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312"/>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2914 Model</t>
        </is>
      </c>
    </row>
    <row r="2">
      <c r="A2" s="2" t="inlineStr">
        <is>
          <t>모를 땐 보수적으로</t>
        </is>
      </c>
      <c r="B2" s="3" t="inlineStr">
        <is>
          <t>(단위: 백만엔)</t>
        </is>
      </c>
      <c r="C2" s="3" t="inlineStr">
        <is>
          <t>12월 결산 · IFRS · 2026.2Q = 2026년 12월 결산기 2분기</t>
        </is>
      </c>
      <c r="Y2" s="4" t="inlineStr">
        <is>
          <t>(추정: 파란 글씨 = 직접 입력)</t>
        </is>
      </c>
    </row>
    <row r="3">
      <c r="A3" s="5" t="inlineStr">
        <is>
          <t>항목</t>
        </is>
      </c>
      <c r="B3" s="5" t="inlineStr">
        <is>
          <t>참고</t>
        </is>
      </c>
      <c r="C3" s="6" t="inlineStr">
        <is>
          <t>2023.3Q</t>
        </is>
      </c>
      <c r="D3" s="5" t="inlineStr">
        <is>
          <t>2023.4Q</t>
        </is>
      </c>
      <c r="E3" s="5" t="inlineStr">
        <is>
          <t>2024.1Q</t>
        </is>
      </c>
      <c r="F3" s="5" t="inlineStr">
        <is>
          <t>2024.2Q</t>
        </is>
      </c>
      <c r="G3" s="5" t="inlineStr">
        <is>
          <t>2024.3Q</t>
        </is>
      </c>
      <c r="H3" s="5" t="inlineStr">
        <is>
          <t>2024.4Q</t>
        </is>
      </c>
      <c r="I3" s="5" t="inlineStr">
        <is>
          <t>2025.1Q</t>
        </is>
      </c>
      <c r="J3" s="5" t="inlineStr">
        <is>
          <t>2025.2Q</t>
        </is>
      </c>
      <c r="K3" s="5" t="inlineStr">
        <is>
          <t>2025.3Q</t>
        </is>
      </c>
      <c r="L3" s="5" t="inlineStr">
        <is>
          <t>2025.4Q</t>
        </is>
      </c>
      <c r="M3" s="5" t="inlineStr">
        <is>
          <t>2026.1Q</t>
        </is>
      </c>
      <c r="N3" s="5" t="inlineStr">
        <is>
          <t>2026.2Q</t>
        </is>
      </c>
      <c r="O3" s="6" t="inlineStr">
        <is>
          <t>2016</t>
        </is>
      </c>
      <c r="P3" s="5" t="inlineStr">
        <is>
          <t>2017</t>
        </is>
      </c>
      <c r="Q3" s="5" t="inlineStr">
        <is>
          <t>2018</t>
        </is>
      </c>
      <c r="R3" s="5" t="inlineStr">
        <is>
          <t>2019</t>
        </is>
      </c>
      <c r="S3" s="5" t="inlineStr">
        <is>
          <t>2020</t>
        </is>
      </c>
      <c r="T3" s="5" t="inlineStr">
        <is>
          <t>2021</t>
        </is>
      </c>
      <c r="U3" s="5" t="inlineStr">
        <is>
          <t>2022</t>
        </is>
      </c>
      <c r="V3" s="5" t="inlineStr">
        <is>
          <t>2023</t>
        </is>
      </c>
      <c r="W3" s="5" t="inlineStr">
        <is>
          <t>2024</t>
        </is>
      </c>
      <c r="X3" s="5" t="inlineStr">
        <is>
          <t>2025</t>
        </is>
      </c>
      <c r="Y3" s="7" t="inlineStr">
        <is>
          <t>2026(MW)</t>
        </is>
      </c>
      <c r="Z3" s="8" t="inlineStr">
        <is>
          <t>2027(MW)</t>
        </is>
      </c>
      <c r="AA3" s="8" t="inlineStr">
        <is>
          <t>2028(MW)</t>
        </is>
      </c>
      <c r="AB3" s="8" t="inlineStr">
        <is>
          <t>2029(MW)</t>
        </is>
      </c>
      <c r="AC3" s="8" t="inlineStr">
        <is>
          <t>2030(MW)</t>
        </is>
      </c>
    </row>
    <row r="4">
      <c r="A4" s="9" t="inlineStr">
        <is>
          <t>매출액</t>
        </is>
      </c>
      <c r="B4" s="10" t="inlineStr">
        <is>
          <t>MW = 제품 합계</t>
        </is>
      </c>
      <c r="C4" s="11" t="n">
        <v>764206</v>
      </c>
      <c r="D4" s="12" t="n">
        <v>684059</v>
      </c>
      <c r="E4" s="12" t="n">
        <v>740333</v>
      </c>
      <c r="F4" s="12" t="n">
        <v>829559</v>
      </c>
      <c r="G4" s="12" t="n">
        <v>757352</v>
      </c>
      <c r="H4" s="12" t="n">
        <v>729465</v>
      </c>
      <c r="I4" s="12" t="n">
        <v>801872</v>
      </c>
      <c r="J4" s="12" t="n">
        <v>884917</v>
      </c>
      <c r="K4" s="12" t="n">
        <v>947239</v>
      </c>
      <c r="L4" s="12" t="n">
        <v>833647</v>
      </c>
      <c r="M4" s="12" t="n">
        <v>923963</v>
      </c>
      <c r="N4" s="12" t="n">
        <v>1062107</v>
      </c>
      <c r="O4" s="11" t="n">
        <v>729286</v>
      </c>
      <c r="P4" s="12" t="n">
        <v>681840</v>
      </c>
      <c r="Q4" s="12" t="n">
        <v>2215962</v>
      </c>
      <c r="R4" s="12" t="n">
        <v>2175626</v>
      </c>
      <c r="S4" s="12" t="n">
        <v>2092561</v>
      </c>
      <c r="T4" s="12" t="n">
        <v>2324838</v>
      </c>
      <c r="U4" s="12" t="n">
        <v>2657832</v>
      </c>
      <c r="V4" s="12" t="n">
        <v>2841077</v>
      </c>
      <c r="W4" s="12" t="n">
        <v>3056709</v>
      </c>
      <c r="X4" s="12" t="n">
        <v>3467675</v>
      </c>
      <c r="Y4" s="11">
        <f>IF(COUNT(Y7,Y10,Y13,Y16)=0,"",SUM(Y7,Y10,Y13,Y16))</f>
        <v/>
      </c>
      <c r="Z4" s="12">
        <f>IF(COUNT(Z7,Z10,Z13,Z16)=0,"",SUM(Z7,Z10,Z13,Z16))</f>
        <v/>
      </c>
      <c r="AA4" s="12">
        <f>IF(COUNT(AA7,AA10,AA13,AA16)=0,"",SUM(AA7,AA10,AA13,AA16))</f>
        <v/>
      </c>
      <c r="AB4" s="12">
        <f>IF(COUNT(AB7,AB10,AB13,AB16)=0,"",SUM(AB7,AB10,AB13,AB16))</f>
        <v/>
      </c>
      <c r="AC4" s="12">
        <f>IF(COUNT(AC7,AC10,AC13,AC16)=0,"",SUM(AC7,AC10,AC13,AC16))</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Tobacco</t>
        </is>
      </c>
      <c r="B7" s="10" t="n"/>
      <c r="C7" s="19" t="n">
        <v>703487</v>
      </c>
      <c r="D7" s="20" t="n">
        <v>616375</v>
      </c>
      <c r="E7" s="20" t="n">
        <v>680981</v>
      </c>
      <c r="F7" s="20" t="n">
        <v>770379</v>
      </c>
      <c r="G7" s="20" t="n">
        <v>760667</v>
      </c>
      <c r="H7" s="20" t="n">
        <v>684957</v>
      </c>
      <c r="I7" s="20" t="n">
        <v>764807</v>
      </c>
      <c r="J7" s="20" t="n">
        <v>843972</v>
      </c>
      <c r="K7" s="20" t="n">
        <v>908080</v>
      </c>
      <c r="L7" s="20" t="n">
        <v>788548</v>
      </c>
      <c r="M7" s="20" t="n">
        <v>885554</v>
      </c>
      <c r="N7" s="20" t="n">
        <v>1020039</v>
      </c>
      <c r="O7" s="19" t="n"/>
      <c r="P7" s="20" t="n"/>
      <c r="Q7" s="20" t="n"/>
      <c r="R7" s="20" t="n"/>
      <c r="S7" s="20" t="n"/>
      <c r="T7" s="20" t="n"/>
      <c r="U7" s="20" t="n"/>
      <c r="V7" s="20" t="n">
        <v>2590910</v>
      </c>
      <c r="W7" s="20" t="n">
        <v>2896984</v>
      </c>
      <c r="X7" s="20" t="n">
        <v>3305407</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Pharmaceuticals</t>
        </is>
      </c>
      <c r="B10" s="10" t="n"/>
      <c r="C10" s="19" t="n">
        <v>22147</v>
      </c>
      <c r="D10" s="20" t="n">
        <v>25076</v>
      </c>
      <c r="E10" s="20" t="n">
        <v>23341</v>
      </c>
      <c r="F10" s="20" t="n">
        <v>20718</v>
      </c>
      <c r="G10" s="20" t="n">
        <v>22990</v>
      </c>
      <c r="H10" s="20" t="n">
        <v>27415</v>
      </c>
      <c r="I10" s="20" t="n">
        <v>25388</v>
      </c>
      <c r="J10" s="20" t="n">
        <v>22943</v>
      </c>
      <c r="K10" s="20" t="n"/>
      <c r="L10" s="20" t="n"/>
      <c r="M10" s="20" t="n"/>
      <c r="N10" s="20" t="n"/>
      <c r="O10" s="19" t="n"/>
      <c r="P10" s="20" t="n"/>
      <c r="Q10" s="20" t="n"/>
      <c r="R10" s="20" t="n"/>
      <c r="S10" s="20" t="n"/>
      <c r="T10" s="20" t="n"/>
      <c r="U10" s="20" t="n"/>
      <c r="V10" s="20" t="n">
        <v>94875</v>
      </c>
      <c r="W10" s="20" t="n">
        <v>94464</v>
      </c>
      <c r="X10" s="20" t="n"/>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Processed Food</t>
        </is>
      </c>
      <c r="B13" s="10" t="n"/>
      <c r="C13" s="19" t="n">
        <v>38084</v>
      </c>
      <c r="D13" s="20" t="n">
        <v>42368</v>
      </c>
      <c r="E13" s="20" t="n">
        <v>35689</v>
      </c>
      <c r="F13" s="20" t="n">
        <v>38126</v>
      </c>
      <c r="G13" s="20" t="n">
        <v>39672</v>
      </c>
      <c r="H13" s="20" t="n">
        <v>43696</v>
      </c>
      <c r="I13" s="20" t="n">
        <v>36468</v>
      </c>
      <c r="J13" s="20" t="n">
        <v>40279</v>
      </c>
      <c r="K13" s="20" t="n">
        <v>38500</v>
      </c>
      <c r="L13" s="20" t="n">
        <v>44266</v>
      </c>
      <c r="M13" s="20" t="n">
        <v>37826</v>
      </c>
      <c r="N13" s="20" t="n">
        <v>41411</v>
      </c>
      <c r="O13" s="19" t="n"/>
      <c r="P13" s="20" t="n"/>
      <c r="Q13" s="20" t="n"/>
      <c r="R13" s="20" t="n"/>
      <c r="S13" s="20" t="n"/>
      <c r="T13" s="20" t="n"/>
      <c r="U13" s="20" t="n"/>
      <c r="V13" s="20" t="n">
        <v>153854</v>
      </c>
      <c r="W13" s="20" t="n">
        <v>157183</v>
      </c>
      <c r="X13" s="20" t="n">
        <v>159513</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기타</t>
        </is>
      </c>
      <c r="B16" s="10" t="n"/>
      <c r="C16" s="19" t="n">
        <v>488</v>
      </c>
      <c r="D16" s="20" t="n">
        <v>240</v>
      </c>
      <c r="E16" s="20" t="n">
        <v>322</v>
      </c>
      <c r="F16" s="20" t="n">
        <v>336</v>
      </c>
      <c r="G16" s="20" t="n">
        <v>1071</v>
      </c>
      <c r="H16" s="20" t="n">
        <v>812</v>
      </c>
      <c r="I16" s="20" t="n">
        <v>597</v>
      </c>
      <c r="J16" s="20" t="n">
        <v>665</v>
      </c>
      <c r="K16" s="20" t="n">
        <v>660</v>
      </c>
      <c r="L16" s="20" t="n">
        <v>834</v>
      </c>
      <c r="M16" s="20" t="n">
        <v>582</v>
      </c>
      <c r="N16" s="20" t="n">
        <v>658</v>
      </c>
      <c r="O16" s="19" t="n"/>
      <c r="P16" s="20" t="n"/>
      <c r="Q16" s="20" t="n"/>
      <c r="R16" s="20" t="n"/>
      <c r="S16" s="20" t="n"/>
      <c r="T16" s="20" t="n"/>
      <c r="U16" s="20" t="n"/>
      <c r="V16" s="20" t="n">
        <v>1439</v>
      </c>
      <c r="W16" s="20" t="n">
        <v>2541</v>
      </c>
      <c r="X16" s="20" t="n">
        <v>2756</v>
      </c>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6" t="inlineStr">
        <is>
          <t>매출원가</t>
        </is>
      </c>
      <c r="B19" s="16" t="n"/>
      <c r="C19" s="17" t="n"/>
      <c r="D19" s="16" t="n"/>
      <c r="E19" s="16" t="n"/>
      <c r="F19" s="16" t="n"/>
      <c r="G19" s="16" t="n"/>
      <c r="H19" s="16" t="n"/>
      <c r="I19" s="16" t="n"/>
      <c r="J19" s="16" t="n"/>
      <c r="K19" s="16" t="n"/>
      <c r="L19" s="16" t="n"/>
      <c r="M19" s="16" t="n"/>
      <c r="N19" s="16" t="n"/>
      <c r="O19" s="17" t="n"/>
      <c r="P19" s="16" t="n"/>
      <c r="Q19" s="16" t="n"/>
      <c r="R19" s="16" t="n"/>
      <c r="S19" s="16" t="n"/>
      <c r="T19" s="16" t="n"/>
      <c r="U19" s="16" t="n"/>
      <c r="V19" s="16" t="n"/>
      <c r="W19" s="16" t="n"/>
      <c r="X19" s="16" t="n"/>
      <c r="Y19" s="17" t="n"/>
      <c r="Z19" s="16" t="n"/>
      <c r="AA19" s="16" t="n"/>
      <c r="AB19" s="16" t="n"/>
      <c r="AC19" s="16" t="n"/>
    </row>
    <row r="20">
      <c r="A20" s="18" t="inlineStr">
        <is>
          <t>전체 매출원가</t>
        </is>
      </c>
      <c r="B20" s="10" t="n"/>
      <c r="C20" s="19" t="n">
        <v>315564</v>
      </c>
      <c r="D20" s="20" t="n">
        <v>346599</v>
      </c>
      <c r="E20" s="20" t="n">
        <v>320101</v>
      </c>
      <c r="F20" s="20" t="n">
        <v>362177</v>
      </c>
      <c r="G20" s="20" t="n">
        <v>338038</v>
      </c>
      <c r="H20" s="20" t="n">
        <v>358968</v>
      </c>
      <c r="I20" s="20" t="n">
        <v>339477</v>
      </c>
      <c r="J20" s="20" t="n">
        <v>375962</v>
      </c>
      <c r="K20" s="20" t="n">
        <v>410593</v>
      </c>
      <c r="L20" s="20" t="n">
        <v>393059</v>
      </c>
      <c r="M20" s="20" t="n">
        <v>379003</v>
      </c>
      <c r="N20" s="20" t="n">
        <v>437078</v>
      </c>
      <c r="O20" s="19" t="n">
        <v>208648</v>
      </c>
      <c r="P20" s="20" t="n">
        <v>182446</v>
      </c>
      <c r="Q20" s="20" t="n">
        <v>933034</v>
      </c>
      <c r="R20" s="20" t="n">
        <v>942299</v>
      </c>
      <c r="S20" s="20" t="n">
        <v>898001</v>
      </c>
      <c r="T20" s="20" t="n">
        <v>956861</v>
      </c>
      <c r="U20" s="20" t="n">
        <v>1090989</v>
      </c>
      <c r="V20" s="20" t="n">
        <v>1225974</v>
      </c>
      <c r="W20" s="20" t="n">
        <v>1379284</v>
      </c>
      <c r="X20" s="20" t="n">
        <v>1519091</v>
      </c>
      <c r="Y20" s="19" t="n"/>
      <c r="Z20" s="20" t="n"/>
      <c r="AA20" s="20" t="n"/>
      <c r="AB20" s="20" t="n"/>
      <c r="AC20" s="20" t="n"/>
    </row>
    <row r="21">
      <c r="A21" s="18" t="inlineStr">
        <is>
          <t>매출총이익</t>
        </is>
      </c>
      <c r="B21" s="10" t="n"/>
      <c r="C21" s="19">
        <f>IF(OR(C4="",C20=""),"",IFERROR(C4-C20,""))</f>
        <v/>
      </c>
      <c r="D21" s="20">
        <f>IF(OR(D4="",D20=""),"",IFERROR(D4-D20,""))</f>
        <v/>
      </c>
      <c r="E21" s="20">
        <f>IF(OR(E4="",E20=""),"",IFERROR(E4-E20,""))</f>
        <v/>
      </c>
      <c r="F21" s="20">
        <f>IF(OR(F4="",F20=""),"",IFERROR(F4-F20,""))</f>
        <v/>
      </c>
      <c r="G21" s="20">
        <f>IF(OR(G4="",G20=""),"",IFERROR(G4-G20,""))</f>
        <v/>
      </c>
      <c r="H21" s="20">
        <f>IF(OR(H4="",H20=""),"",IFERROR(H4-H20,""))</f>
        <v/>
      </c>
      <c r="I21" s="20">
        <f>IF(OR(I4="",I20=""),"",IFERROR(I4-I20,""))</f>
        <v/>
      </c>
      <c r="J21" s="20">
        <f>IF(OR(J4="",J20=""),"",IFERROR(J4-J20,""))</f>
        <v/>
      </c>
      <c r="K21" s="20">
        <f>IF(OR(K4="",K20=""),"",IFERROR(K4-K20,""))</f>
        <v/>
      </c>
      <c r="L21" s="20">
        <f>IF(OR(L4="",L20=""),"",IFERROR(L4-L20,""))</f>
        <v/>
      </c>
      <c r="M21" s="20">
        <f>IF(OR(M4="",M20=""),"",IFERROR(M4-M20,""))</f>
        <v/>
      </c>
      <c r="N21" s="20">
        <f>IF(OR(N4="",N20=""),"",IFERROR(N4-N20,""))</f>
        <v/>
      </c>
      <c r="O21" s="19">
        <f>IF(OR(O4="",O20=""),"",IFERROR(O4-O20,""))</f>
        <v/>
      </c>
      <c r="P21" s="20">
        <f>IF(OR(P4="",P20=""),"",IFERROR(P4-P20,""))</f>
        <v/>
      </c>
      <c r="Q21" s="20">
        <f>IF(OR(Q4="",Q20=""),"",IFERROR(Q4-Q20,""))</f>
        <v/>
      </c>
      <c r="R21" s="20">
        <f>IF(OR(R4="",R20=""),"",IFERROR(R4-R20,""))</f>
        <v/>
      </c>
      <c r="S21" s="20">
        <f>IF(OR(S4="",S20=""),"",IFERROR(S4-S20,""))</f>
        <v/>
      </c>
      <c r="T21" s="20">
        <f>IF(OR(T4="",T20=""),"",IFERROR(T4-T20,""))</f>
        <v/>
      </c>
      <c r="U21" s="20">
        <f>IF(OR(U4="",U20=""),"",IFERROR(U4-U20,""))</f>
        <v/>
      </c>
      <c r="V21" s="20">
        <f>IF(OR(V4="",V20=""),"",IFERROR(V4-V20,""))</f>
        <v/>
      </c>
      <c r="W21" s="20">
        <f>IF(OR(W4="",W20=""),"",IFERROR(W4-W20,""))</f>
        <v/>
      </c>
      <c r="X21" s="20">
        <f>IF(OR(X4="",X20=""),"",IFERROR(X4-X20,""))</f>
        <v/>
      </c>
      <c r="Y21" s="19" t="n"/>
      <c r="Z21" s="20" t="n"/>
      <c r="AA21" s="20" t="n"/>
      <c r="AB21" s="20" t="n"/>
      <c r="AC21" s="20" t="n"/>
    </row>
    <row r="22">
      <c r="A22" s="13" t="inlineStr">
        <is>
          <t>GPM</t>
        </is>
      </c>
      <c r="B22" s="10" t="n"/>
      <c r="C22" s="14">
        <f>IF(OR(C21="",C4=""),"",IFERROR(C21/C4,""))</f>
        <v/>
      </c>
      <c r="D22" s="15">
        <f>IF(OR(D21="",D4=""),"",IFERROR(D21/D4,""))</f>
        <v/>
      </c>
      <c r="E22" s="15">
        <f>IF(OR(E21="",E4=""),"",IFERROR(E21/E4,""))</f>
        <v/>
      </c>
      <c r="F22" s="15">
        <f>IF(OR(F21="",F4=""),"",IFERROR(F21/F4,""))</f>
        <v/>
      </c>
      <c r="G22" s="15">
        <f>IF(OR(G21="",G4=""),"",IFERROR(G21/G4,""))</f>
        <v/>
      </c>
      <c r="H22" s="15">
        <f>IF(OR(H21="",H4=""),"",IFERROR(H21/H4,""))</f>
        <v/>
      </c>
      <c r="I22" s="15">
        <f>IF(OR(I21="",I4=""),"",IFERROR(I21/I4,""))</f>
        <v/>
      </c>
      <c r="J22" s="15">
        <f>IF(OR(J21="",J4=""),"",IFERROR(J21/J4,""))</f>
        <v/>
      </c>
      <c r="K22" s="15">
        <f>IF(OR(K21="",K4=""),"",IFERROR(K21/K4,""))</f>
        <v/>
      </c>
      <c r="L22" s="15">
        <f>IF(OR(L21="",L4=""),"",IFERROR(L21/L4,""))</f>
        <v/>
      </c>
      <c r="M22" s="15">
        <f>IF(OR(M21="",M4=""),"",IFERROR(M21/M4,""))</f>
        <v/>
      </c>
      <c r="N22" s="15">
        <f>IF(OR(N21="",N4=""),"",IFERROR(N21/N4,""))</f>
        <v/>
      </c>
      <c r="O22" s="14">
        <f>IF(OR(O21="",O4=""),"",IFERROR(O21/O4,""))</f>
        <v/>
      </c>
      <c r="P22" s="15">
        <f>IF(OR(P21="",P4=""),"",IFERROR(P21/P4,""))</f>
        <v/>
      </c>
      <c r="Q22" s="15">
        <f>IF(OR(Q21="",Q4=""),"",IFERROR(Q21/Q4,""))</f>
        <v/>
      </c>
      <c r="R22" s="15">
        <f>IF(OR(R21="",R4=""),"",IFERROR(R21/R4,""))</f>
        <v/>
      </c>
      <c r="S22" s="15">
        <f>IF(OR(S21="",S4=""),"",IFERROR(S21/S4,""))</f>
        <v/>
      </c>
      <c r="T22" s="15">
        <f>IF(OR(T21="",T4=""),"",IFERROR(T21/T4,""))</f>
        <v/>
      </c>
      <c r="U22" s="15">
        <f>IF(OR(U21="",U4=""),"",IFERROR(U21/U4,""))</f>
        <v/>
      </c>
      <c r="V22" s="15">
        <f>IF(OR(V21="",V4=""),"",IFERROR(V21/V4,""))</f>
        <v/>
      </c>
      <c r="W22" s="15">
        <f>IF(OR(W21="",W4=""),"",IFERROR(W21/W4,""))</f>
        <v/>
      </c>
      <c r="X22" s="15">
        <f>IF(OR(X21="",X4=""),"",IFERROR(X21/X4,""))</f>
        <v/>
      </c>
      <c r="Y22" s="14">
        <f>IF(OR(Y21="",Y4=""),"",IFERROR(Y21/Y4,""))</f>
        <v/>
      </c>
      <c r="Z22" s="15">
        <f>IF(OR(Z21="",Z4=""),"",IFERROR(Z21/Z4,""))</f>
        <v/>
      </c>
      <c r="AA22" s="15">
        <f>IF(OR(AA21="",AA4=""),"",IFERROR(AA21/AA4,""))</f>
        <v/>
      </c>
      <c r="AB22" s="15">
        <f>IF(OR(AB21="",AB4=""),"",IFERROR(AB21/AB4,""))</f>
        <v/>
      </c>
      <c r="AC22" s="15">
        <f>IF(OR(AC21="",AC4=""),"",IFERROR(AC21/AC4,""))</f>
        <v/>
      </c>
    </row>
    <row r="23">
      <c r="A23" s="23" t="inlineStr">
        <is>
          <t>판매관리비</t>
        </is>
      </c>
      <c r="B23" s="23" t="n"/>
      <c r="C23" s="24" t="n"/>
      <c r="D23" s="23" t="n"/>
      <c r="E23" s="23" t="n"/>
      <c r="F23" s="23" t="n"/>
      <c r="G23" s="23" t="n"/>
      <c r="H23" s="23" t="n"/>
      <c r="I23" s="23" t="n"/>
      <c r="J23" s="23" t="n"/>
      <c r="K23" s="23" t="n"/>
      <c r="L23" s="23" t="n"/>
      <c r="M23" s="23" t="n"/>
      <c r="N23" s="23" t="n"/>
      <c r="O23" s="24" t="n"/>
      <c r="P23" s="23" t="n"/>
      <c r="Q23" s="23" t="n"/>
      <c r="R23" s="23" t="n"/>
      <c r="S23" s="23" t="n"/>
      <c r="T23" s="23" t="n"/>
      <c r="U23" s="23" t="n"/>
      <c r="V23" s="23" t="n"/>
      <c r="W23" s="23" t="n"/>
      <c r="X23" s="23" t="n"/>
      <c r="Y23" s="24" t="n"/>
      <c r="Z23" s="23" t="n"/>
      <c r="AA23" s="23" t="n"/>
      <c r="AB23" s="23" t="n"/>
      <c r="AC23" s="23" t="n"/>
    </row>
    <row r="24">
      <c r="A24" s="18" t="inlineStr">
        <is>
          <t>전체 판관비</t>
        </is>
      </c>
      <c r="B24" s="10" t="n"/>
      <c r="C24" s="19" t="n">
        <v>247351</v>
      </c>
      <c r="D24" s="20" t="n">
        <v>305655</v>
      </c>
      <c r="E24" s="20" t="n">
        <v>212863</v>
      </c>
      <c r="F24" s="20" t="n">
        <v>261862</v>
      </c>
      <c r="G24" s="20" t="n">
        <v>229580</v>
      </c>
      <c r="H24" s="20" t="n">
        <v>702919</v>
      </c>
      <c r="I24" s="20" t="n">
        <v>224338</v>
      </c>
      <c r="J24" s="20" t="n">
        <v>260669</v>
      </c>
      <c r="K24" s="20" t="n">
        <v>284192</v>
      </c>
      <c r="L24" s="20" t="n">
        <v>408963</v>
      </c>
      <c r="M24" s="20" t="n">
        <v>246983</v>
      </c>
      <c r="N24" s="20" t="n">
        <v>292194</v>
      </c>
      <c r="O24" s="19" t="n">
        <v>323938</v>
      </c>
      <c r="P24" s="20" t="n">
        <v>330951</v>
      </c>
      <c r="Q24" s="20" t="n">
        <v>770407</v>
      </c>
      <c r="R24" s="20" t="n">
        <v>831707</v>
      </c>
      <c r="S24" s="20" t="n">
        <v>784472</v>
      </c>
      <c r="T24" s="20" t="n">
        <v>888574</v>
      </c>
      <c r="U24" s="20" t="n">
        <v>941538</v>
      </c>
      <c r="V24" s="20" t="n">
        <v>981052</v>
      </c>
      <c r="W24" s="20" t="n">
        <v>1407224</v>
      </c>
      <c r="X24" s="20" t="n">
        <v>1178162</v>
      </c>
      <c r="Y24" s="19" t="n"/>
      <c r="Z24" s="20" t="n"/>
      <c r="AA24" s="20" t="n"/>
      <c r="AB24" s="20" t="n"/>
      <c r="AC24" s="20" t="n"/>
    </row>
    <row r="25">
      <c r="A25" s="9" t="inlineStr">
        <is>
          <t>영업이익</t>
        </is>
      </c>
      <c r="B25" s="10" t="inlineStr">
        <is>
          <t>MW = 매출 × OPM</t>
        </is>
      </c>
      <c r="C25" s="11" t="n">
        <v>218292</v>
      </c>
      <c r="D25" s="12" t="n">
        <v>40563</v>
      </c>
      <c r="E25" s="12" t="n">
        <v>215818</v>
      </c>
      <c r="F25" s="12" t="n">
        <v>216844</v>
      </c>
      <c r="G25" s="12" t="n">
        <v>198806</v>
      </c>
      <c r="H25" s="12" t="n">
        <v>-317245</v>
      </c>
      <c r="I25" s="12" t="n">
        <v>244318</v>
      </c>
      <c r="J25" s="12" t="n">
        <v>255811</v>
      </c>
      <c r="K25" s="12" t="n">
        <v>262806</v>
      </c>
      <c r="L25" s="12" t="n">
        <v>104103</v>
      </c>
      <c r="M25" s="12" t="n">
        <v>304554</v>
      </c>
      <c r="N25" s="12" t="n">
        <v>340386</v>
      </c>
      <c r="O25" s="11" t="n">
        <v>196700</v>
      </c>
      <c r="P25" s="12" t="n">
        <v>168443</v>
      </c>
      <c r="Q25" s="12" t="n">
        <v>564984</v>
      </c>
      <c r="R25" s="12" t="n">
        <v>502355</v>
      </c>
      <c r="S25" s="12" t="n">
        <v>469054</v>
      </c>
      <c r="T25" s="12" t="n">
        <v>499021</v>
      </c>
      <c r="U25" s="12" t="n">
        <v>653575</v>
      </c>
      <c r="V25" s="12" t="n">
        <v>672410</v>
      </c>
      <c r="W25" s="12" t="n">
        <v>314223</v>
      </c>
      <c r="X25" s="12" t="n">
        <v>867038</v>
      </c>
      <c r="Y25" s="11">
        <f>IF(OR(Y4="",Y26=""),"",IFERROR(Y4*Y26,""))</f>
        <v/>
      </c>
      <c r="Z25" s="12">
        <f>IF(OR(Z4="",Z26=""),"",IFERROR(Z4*Z26,""))</f>
        <v/>
      </c>
      <c r="AA25" s="12">
        <f>IF(OR(AA4="",AA26=""),"",IFERROR(AA4*AA26,""))</f>
        <v/>
      </c>
      <c r="AB25" s="12">
        <f>IF(OR(AB4="",AB26=""),"",IFERROR(AB4*AB26,""))</f>
        <v/>
      </c>
      <c r="AC25" s="12">
        <f>IF(OR(AC4="",AC26=""),"",IFERROR(AC4*AC26,""))</f>
        <v/>
      </c>
    </row>
    <row r="26">
      <c r="A26" s="13" t="inlineStr">
        <is>
          <t>OPM</t>
        </is>
      </c>
      <c r="B26" s="10" t="inlineStr">
        <is>
          <t>MW 입력</t>
        </is>
      </c>
      <c r="C26" s="14">
        <f>IF(OR(C25="",C4=""),"",IFERROR(C25/C4,""))</f>
        <v/>
      </c>
      <c r="D26" s="15">
        <f>IF(OR(D25="",D4=""),"",IFERROR(D25/D4,""))</f>
        <v/>
      </c>
      <c r="E26" s="15">
        <f>IF(OR(E25="",E4=""),"",IFERROR(E25/E4,""))</f>
        <v/>
      </c>
      <c r="F26" s="15">
        <f>IF(OR(F25="",F4=""),"",IFERROR(F25/F4,""))</f>
        <v/>
      </c>
      <c r="G26" s="15">
        <f>IF(OR(G25="",G4=""),"",IFERROR(G25/G4,""))</f>
        <v/>
      </c>
      <c r="H26" s="15">
        <f>IF(OR(H25="",H4=""),"",IFERROR(H25/H4,""))</f>
        <v/>
      </c>
      <c r="I26" s="15">
        <f>IF(OR(I25="",I4=""),"",IFERROR(I25/I4,""))</f>
        <v/>
      </c>
      <c r="J26" s="15">
        <f>IF(OR(J25="",J4=""),"",IFERROR(J25/J4,""))</f>
        <v/>
      </c>
      <c r="K26" s="15">
        <f>IF(OR(K25="",K4=""),"",IFERROR(K25/K4,""))</f>
        <v/>
      </c>
      <c r="L26" s="15">
        <f>IF(OR(L25="",L4=""),"",IFERROR(L25/L4,""))</f>
        <v/>
      </c>
      <c r="M26" s="15">
        <f>IF(OR(M25="",M4=""),"",IFERROR(M25/M4,""))</f>
        <v/>
      </c>
      <c r="N26" s="15">
        <f>IF(OR(N25="",N4=""),"",IFERROR(N25/N4,""))</f>
        <v/>
      </c>
      <c r="O26" s="14">
        <f>IF(OR(O25="",O4=""),"",IFERROR(O25/O4,""))</f>
        <v/>
      </c>
      <c r="P26" s="15">
        <f>IF(OR(P25="",P4=""),"",IFERROR(P25/P4,""))</f>
        <v/>
      </c>
      <c r="Q26" s="15">
        <f>IF(OR(Q25="",Q4=""),"",IFERROR(Q25/Q4,""))</f>
        <v/>
      </c>
      <c r="R26" s="15">
        <f>IF(OR(R25="",R4=""),"",IFERROR(R25/R4,""))</f>
        <v/>
      </c>
      <c r="S26" s="15">
        <f>IF(OR(S25="",S4=""),"",IFERROR(S25/S4,""))</f>
        <v/>
      </c>
      <c r="T26" s="15">
        <f>IF(OR(T25="",T4=""),"",IFERROR(T25/T4,""))</f>
        <v/>
      </c>
      <c r="U26" s="15">
        <f>IF(OR(U25="",U4=""),"",IFERROR(U25/U4,""))</f>
        <v/>
      </c>
      <c r="V26" s="15">
        <f>IF(OR(V25="",V4=""),"",IFERROR(V25/V4,""))</f>
        <v/>
      </c>
      <c r="W26" s="15">
        <f>IF(OR(W25="",W4=""),"",IFERROR(W25/W4,""))</f>
        <v/>
      </c>
      <c r="X26" s="15">
        <f>IF(OR(X25="",X4=""),"",IFERROR(X25/X4,""))</f>
        <v/>
      </c>
      <c r="Y26" s="25" t="n"/>
      <c r="Z26" s="26" t="n"/>
      <c r="AA26" s="26" t="n"/>
      <c r="AB26" s="26" t="n"/>
      <c r="AC26" s="26" t="n"/>
    </row>
    <row r="27">
      <c r="A27" s="13" t="inlineStr">
        <is>
          <t>증가율</t>
        </is>
      </c>
      <c r="B27" s="10" t="n"/>
      <c r="C27" s="14" t="n"/>
      <c r="D27" s="15" t="n"/>
      <c r="E27" s="15" t="n"/>
      <c r="F27" s="15" t="n"/>
      <c r="G27" s="15">
        <f>IF(OR(G25="",C25=""),"",IFERROR(G25/C25-1,""))</f>
        <v/>
      </c>
      <c r="H27" s="15">
        <f>IF(OR(H25="",D25=""),"",IFERROR(H25/D25-1,""))</f>
        <v/>
      </c>
      <c r="I27" s="15">
        <f>IF(OR(I25="",E25=""),"",IFERROR(I25/E25-1,""))</f>
        <v/>
      </c>
      <c r="J27" s="15">
        <f>IF(OR(J25="",F25=""),"",IFERROR(J25/F25-1,""))</f>
        <v/>
      </c>
      <c r="K27" s="15">
        <f>IF(OR(K25="",G25=""),"",IFERROR(K25/G25-1,""))</f>
        <v/>
      </c>
      <c r="L27" s="15">
        <f>IF(OR(L25="",H25=""),"",IFERROR(L25/H25-1,""))</f>
        <v/>
      </c>
      <c r="M27" s="15">
        <f>IF(OR(M25="",I25=""),"",IFERROR(M25/I25-1,""))</f>
        <v/>
      </c>
      <c r="N27" s="15">
        <f>IF(OR(N25="",J25=""),"",IFERROR(N25/J25-1,""))</f>
        <v/>
      </c>
      <c r="O27" s="14" t="n"/>
      <c r="P27" s="15">
        <f>IF(OR(P25="",O25=""),"",IFERROR(P25/O25-1,""))</f>
        <v/>
      </c>
      <c r="Q27" s="15">
        <f>IF(OR(Q25="",P25=""),"",IFERROR(Q25/P25-1,""))</f>
        <v/>
      </c>
      <c r="R27" s="15">
        <f>IF(OR(R25="",Q25=""),"",IFERROR(R25/Q25-1,""))</f>
        <v/>
      </c>
      <c r="S27" s="15">
        <f>IF(OR(S25="",R25=""),"",IFERROR(S25/R25-1,""))</f>
        <v/>
      </c>
      <c r="T27" s="15">
        <f>IF(OR(T25="",S25=""),"",IFERROR(T25/S25-1,""))</f>
        <v/>
      </c>
      <c r="U27" s="15">
        <f>IF(OR(U25="",T25=""),"",IFERROR(U25/T25-1,""))</f>
        <v/>
      </c>
      <c r="V27" s="15">
        <f>IF(OR(V25="",U25=""),"",IFERROR(V25/U25-1,""))</f>
        <v/>
      </c>
      <c r="W27" s="15">
        <f>IF(OR(W25="",V25=""),"",IFERROR(W25/V25-1,""))</f>
        <v/>
      </c>
      <c r="X27" s="15">
        <f>IF(OR(X25="",W25=""),"",IFERROR(X25/W25-1,""))</f>
        <v/>
      </c>
      <c r="Y27" s="14">
        <f>IF(OR(Y25="",X25=""),"",IFERROR(Y25/X25-1,""))</f>
        <v/>
      </c>
      <c r="Z27" s="15">
        <f>IF(OR(Z25="",Y25=""),"",IFERROR(Z25/Y25-1,""))</f>
        <v/>
      </c>
      <c r="AA27" s="15">
        <f>IF(OR(AA25="",Z25=""),"",IFERROR(AA25/Z25-1,""))</f>
        <v/>
      </c>
      <c r="AB27" s="15">
        <f>IF(OR(AB25="",AA25=""),"",IFERROR(AB25/AA25-1,""))</f>
        <v/>
      </c>
      <c r="AC27" s="15">
        <f>IF(OR(AC25="",AB25=""),"",IFERROR(AC25/AB25-1,""))</f>
        <v/>
      </c>
    </row>
    <row r="28">
      <c r="A28" s="16" t="inlineStr">
        <is>
          <t>비용의 성격별 분류</t>
        </is>
      </c>
      <c r="B28" s="16" t="inlineStr">
        <is>
          <t>참고 데이터</t>
        </is>
      </c>
      <c r="C28" s="17" t="n"/>
      <c r="D28" s="16" t="n"/>
      <c r="E28" s="16" t="n"/>
      <c r="F28" s="16" t="n"/>
      <c r="G28" s="16" t="n"/>
      <c r="H28" s="16" t="n"/>
      <c r="I28" s="16" t="n"/>
      <c r="J28" s="16" t="n"/>
      <c r="K28" s="16" t="n"/>
      <c r="L28" s="16" t="n"/>
      <c r="M28" s="16" t="n"/>
      <c r="N28" s="16" t="n"/>
      <c r="O28" s="17" t="n"/>
      <c r="P28" s="16" t="n"/>
      <c r="Q28" s="16" t="n"/>
      <c r="R28" s="16" t="n"/>
      <c r="S28" s="16" t="n"/>
      <c r="T28" s="16" t="n"/>
      <c r="U28" s="16" t="n"/>
      <c r="V28" s="16" t="n"/>
      <c r="W28" s="16" t="n"/>
      <c r="X28" s="16" t="n"/>
      <c r="Y28" s="17" t="n"/>
      <c r="Z28" s="16" t="n"/>
      <c r="AA28" s="16" t="n"/>
      <c r="AB28" s="16" t="n"/>
      <c r="AC28" s="16" t="n"/>
    </row>
    <row r="29">
      <c r="A29" s="9" t="inlineStr">
        <is>
          <t>총 판관비</t>
        </is>
      </c>
      <c r="B29" s="10" t="n"/>
      <c r="C29" s="11" t="n"/>
      <c r="D29" s="12" t="n"/>
      <c r="E29" s="12" t="n"/>
      <c r="F29" s="12" t="n"/>
      <c r="G29" s="12" t="n"/>
      <c r="H29" s="12" t="n"/>
      <c r="I29" s="12" t="n"/>
      <c r="J29" s="12" t="n"/>
      <c r="K29" s="12" t="n"/>
      <c r="L29" s="12" t="n"/>
      <c r="M29" s="12" t="n"/>
      <c r="N29" s="12" t="n"/>
      <c r="O29" s="11">
        <f>IF(O24="","",O24)</f>
        <v/>
      </c>
      <c r="P29" s="12">
        <f>IF(P24="","",P24)</f>
        <v/>
      </c>
      <c r="Q29" s="12">
        <f>IF(Q24="","",Q24)</f>
        <v/>
      </c>
      <c r="R29" s="12">
        <f>IF(R24="","",R24)</f>
        <v/>
      </c>
      <c r="S29" s="12">
        <f>IF(S24="","",S24)</f>
        <v/>
      </c>
      <c r="T29" s="12">
        <f>IF(T24="","",T24)</f>
        <v/>
      </c>
      <c r="U29" s="12">
        <f>IF(U24="","",U24)</f>
        <v/>
      </c>
      <c r="V29" s="12">
        <f>IF(V24="","",V24)</f>
        <v/>
      </c>
      <c r="W29" s="12">
        <f>IF(W24="","",W24)</f>
        <v/>
      </c>
      <c r="X29" s="12">
        <f>IF(X24="","",X24)</f>
        <v/>
      </c>
      <c r="Y29" s="11" t="n"/>
      <c r="Z29" s="12" t="n"/>
      <c r="AA29" s="12" t="n"/>
      <c r="AB29" s="12" t="n"/>
      <c r="AC29" s="12" t="n"/>
    </row>
    <row r="30">
      <c r="A30" s="18" t="inlineStr">
        <is>
          <t>급여</t>
        </is>
      </c>
      <c r="B30" s="10" t="inlineStr">
        <is>
          <t>고정비</t>
        </is>
      </c>
      <c r="C30" s="19" t="n"/>
      <c r="D30" s="20" t="n"/>
      <c r="E30" s="20" t="n"/>
      <c r="F30" s="20" t="n"/>
      <c r="G30" s="20" t="n"/>
      <c r="H30" s="20" t="n"/>
      <c r="I30" s="20" t="n"/>
      <c r="J30" s="20" t="n"/>
      <c r="K30" s="20" t="n"/>
      <c r="L30" s="20" t="n"/>
      <c r="M30" s="20" t="n"/>
      <c r="N30" s="20" t="n"/>
      <c r="O30" s="19" t="n"/>
      <c r="P30" s="20" t="n"/>
      <c r="Q30" s="20" t="n"/>
      <c r="R30" s="20" t="n"/>
      <c r="S30" s="20" t="n"/>
      <c r="T30" s="20" t="n"/>
      <c r="U30" s="20" t="n"/>
      <c r="V30" s="20" t="n"/>
      <c r="W30" s="20" t="n"/>
      <c r="X30" s="20" t="n"/>
      <c r="Y30" s="19" t="n"/>
      <c r="Z30" s="20" t="n"/>
      <c r="AA30" s="20" t="n"/>
      <c r="AB30" s="20" t="n"/>
      <c r="AC30" s="20" t="n"/>
    </row>
    <row r="31">
      <c r="A31" s="13" t="inlineStr">
        <is>
          <t>% of Sales</t>
        </is>
      </c>
      <c r="B31" s="10" t="n"/>
      <c r="C31" s="14" t="n"/>
      <c r="D31" s="15" t="n"/>
      <c r="E31" s="15" t="n"/>
      <c r="F31" s="15" t="n"/>
      <c r="G31" s="15" t="n"/>
      <c r="H31" s="15" t="n"/>
      <c r="I31" s="15" t="n"/>
      <c r="J31" s="15" t="n"/>
      <c r="K31" s="15" t="n"/>
      <c r="L31" s="15" t="n"/>
      <c r="M31" s="15" t="n"/>
      <c r="N31" s="15" t="n"/>
      <c r="O31" s="14">
        <f>IF(OR(O30="",O4=""),"",IFERROR(O30/O4,""))</f>
        <v/>
      </c>
      <c r="P31" s="15">
        <f>IF(OR(P30="",P4=""),"",IFERROR(P30/P4,""))</f>
        <v/>
      </c>
      <c r="Q31" s="15">
        <f>IF(OR(Q30="",Q4=""),"",IFERROR(Q30/Q4,""))</f>
        <v/>
      </c>
      <c r="R31" s="15">
        <f>IF(OR(R30="",R4=""),"",IFERROR(R30/R4,""))</f>
        <v/>
      </c>
      <c r="S31" s="15">
        <f>IF(OR(S30="",S4=""),"",IFERROR(S30/S4,""))</f>
        <v/>
      </c>
      <c r="T31" s="15">
        <f>IF(OR(T30="",T4=""),"",IFERROR(T30/T4,""))</f>
        <v/>
      </c>
      <c r="U31" s="15">
        <f>IF(OR(U30="",U4=""),"",IFERROR(U30/U4,""))</f>
        <v/>
      </c>
      <c r="V31" s="15">
        <f>IF(OR(V30="",V4=""),"",IFERROR(V30/V4,""))</f>
        <v/>
      </c>
      <c r="W31" s="15">
        <f>IF(OR(W30="",W4=""),"",IFERROR(W30/W4,""))</f>
        <v/>
      </c>
      <c r="X31" s="15">
        <f>IF(OR(X30="",X4=""),"",IFERROR(X30/X4,""))</f>
        <v/>
      </c>
      <c r="Y31" s="14" t="n"/>
      <c r="Z31" s="15" t="n"/>
      <c r="AA31" s="15" t="n"/>
      <c r="AB31" s="15" t="n"/>
      <c r="AC31" s="15" t="n"/>
    </row>
    <row r="32">
      <c r="A32" s="18" t="inlineStr">
        <is>
          <t>감가상각비</t>
        </is>
      </c>
      <c r="B32" s="10" t="inlineStr">
        <is>
          <t>고정비</t>
        </is>
      </c>
      <c r="C32" s="19" t="n"/>
      <c r="D32" s="20" t="n"/>
      <c r="E32" s="20" t="n"/>
      <c r="F32" s="20" t="n"/>
      <c r="G32" s="20" t="n"/>
      <c r="H32" s="20" t="n"/>
      <c r="I32" s="20" t="n"/>
      <c r="J32" s="20" t="n"/>
      <c r="K32" s="20" t="n"/>
      <c r="L32" s="20" t="n"/>
      <c r="M32" s="20" t="n"/>
      <c r="N32" s="20" t="n"/>
      <c r="O32" s="19" t="n"/>
      <c r="P32" s="20" t="n"/>
      <c r="Q32" s="20" t="n"/>
      <c r="R32" s="20" t="n"/>
      <c r="S32" s="20" t="n"/>
      <c r="T32" s="20" t="n"/>
      <c r="U32" s="20" t="n"/>
      <c r="V32" s="20" t="n"/>
      <c r="W32" s="20" t="n"/>
      <c r="X32" s="20" t="n"/>
      <c r="Y32" s="19" t="n"/>
      <c r="Z32" s="20" t="n"/>
      <c r="AA32" s="20" t="n"/>
      <c r="AB32" s="20" t="n"/>
      <c r="AC32" s="20" t="n"/>
    </row>
    <row r="33">
      <c r="A33" s="13" t="inlineStr">
        <is>
          <t>% of Sales</t>
        </is>
      </c>
      <c r="B33" s="10" t="n"/>
      <c r="C33" s="14" t="n"/>
      <c r="D33" s="15" t="n"/>
      <c r="E33" s="15" t="n"/>
      <c r="F33" s="15" t="n"/>
      <c r="G33" s="15" t="n"/>
      <c r="H33" s="15" t="n"/>
      <c r="I33" s="15" t="n"/>
      <c r="J33" s="15" t="n"/>
      <c r="K33" s="15" t="n"/>
      <c r="L33" s="15" t="n"/>
      <c r="M33" s="15" t="n"/>
      <c r="N33" s="15" t="n"/>
      <c r="O33" s="14">
        <f>IF(OR(O32="",O4=""),"",IFERROR(O32/O4,""))</f>
        <v/>
      </c>
      <c r="P33" s="15">
        <f>IF(OR(P32="",P4=""),"",IFERROR(P32/P4,""))</f>
        <v/>
      </c>
      <c r="Q33" s="15">
        <f>IF(OR(Q32="",Q4=""),"",IFERROR(Q32/Q4,""))</f>
        <v/>
      </c>
      <c r="R33" s="15">
        <f>IF(OR(R32="",R4=""),"",IFERROR(R32/R4,""))</f>
        <v/>
      </c>
      <c r="S33" s="15">
        <f>IF(OR(S32="",S4=""),"",IFERROR(S32/S4,""))</f>
        <v/>
      </c>
      <c r="T33" s="15">
        <f>IF(OR(T32="",T4=""),"",IFERROR(T32/T4,""))</f>
        <v/>
      </c>
      <c r="U33" s="15">
        <f>IF(OR(U32="",U4=""),"",IFERROR(U32/U4,""))</f>
        <v/>
      </c>
      <c r="V33" s="15">
        <f>IF(OR(V32="",V4=""),"",IFERROR(V32/V4,""))</f>
        <v/>
      </c>
      <c r="W33" s="15">
        <f>IF(OR(W32="",W4=""),"",IFERROR(W32/W4,""))</f>
        <v/>
      </c>
      <c r="X33" s="15">
        <f>IF(OR(X32="",X4=""),"",IFERROR(X32/X4,""))</f>
        <v/>
      </c>
      <c r="Y33" s="14" t="n"/>
      <c r="Z33" s="15" t="n"/>
      <c r="AA33" s="15" t="n"/>
      <c r="AB33" s="15" t="n"/>
      <c r="AC33" s="15" t="n"/>
    </row>
    <row r="34">
      <c r="A34" s="18" t="inlineStr">
        <is>
          <t>지급수수료</t>
        </is>
      </c>
      <c r="B34" s="10" t="inlineStr">
        <is>
          <t>고정비</t>
        </is>
      </c>
      <c r="C34" s="19" t="n"/>
      <c r="D34" s="20" t="n"/>
      <c r="E34" s="20" t="n"/>
      <c r="F34" s="20" t="n"/>
      <c r="G34" s="20" t="n"/>
      <c r="H34" s="20" t="n"/>
      <c r="I34" s="20" t="n"/>
      <c r="J34" s="20" t="n"/>
      <c r="K34" s="20" t="n"/>
      <c r="L34" s="20" t="n"/>
      <c r="M34" s="20" t="n"/>
      <c r="N34" s="20" t="n"/>
      <c r="O34" s="19" t="n"/>
      <c r="P34" s="20" t="n"/>
      <c r="Q34" s="20" t="n"/>
      <c r="R34" s="20" t="n"/>
      <c r="S34" s="20" t="n"/>
      <c r="T34" s="20" t="n"/>
      <c r="U34" s="20" t="n"/>
      <c r="V34" s="20" t="n"/>
      <c r="W34" s="20" t="n"/>
      <c r="X34" s="20" t="n"/>
      <c r="Y34" s="19" t="n"/>
      <c r="Z34" s="20" t="n"/>
      <c r="AA34" s="20" t="n"/>
      <c r="AB34" s="20" t="n"/>
      <c r="AC34" s="20" t="n"/>
    </row>
    <row r="35">
      <c r="A35" s="13" t="inlineStr">
        <is>
          <t>% of Sales</t>
        </is>
      </c>
      <c r="B35" s="10" t="n"/>
      <c r="C35" s="14" t="n"/>
      <c r="D35" s="15" t="n"/>
      <c r="E35" s="15" t="n"/>
      <c r="F35" s="15" t="n"/>
      <c r="G35" s="15" t="n"/>
      <c r="H35" s="15" t="n"/>
      <c r="I35" s="15" t="n"/>
      <c r="J35" s="15" t="n"/>
      <c r="K35" s="15" t="n"/>
      <c r="L35" s="15" t="n"/>
      <c r="M35" s="15" t="n"/>
      <c r="N35" s="15" t="n"/>
      <c r="O35" s="14">
        <f>IF(OR(O34="",O4=""),"",IFERROR(O34/O4,""))</f>
        <v/>
      </c>
      <c r="P35" s="15">
        <f>IF(OR(P34="",P4=""),"",IFERROR(P34/P4,""))</f>
        <v/>
      </c>
      <c r="Q35" s="15">
        <f>IF(OR(Q34="",Q4=""),"",IFERROR(Q34/Q4,""))</f>
        <v/>
      </c>
      <c r="R35" s="15">
        <f>IF(OR(R34="",R4=""),"",IFERROR(R34/R4,""))</f>
        <v/>
      </c>
      <c r="S35" s="15">
        <f>IF(OR(S34="",S4=""),"",IFERROR(S34/S4,""))</f>
        <v/>
      </c>
      <c r="T35" s="15">
        <f>IF(OR(T34="",T4=""),"",IFERROR(T34/T4,""))</f>
        <v/>
      </c>
      <c r="U35" s="15">
        <f>IF(OR(U34="",U4=""),"",IFERROR(U34/U4,""))</f>
        <v/>
      </c>
      <c r="V35" s="15">
        <f>IF(OR(V34="",V4=""),"",IFERROR(V34/V4,""))</f>
        <v/>
      </c>
      <c r="W35" s="15">
        <f>IF(OR(W34="",W4=""),"",IFERROR(W34/W4,""))</f>
        <v/>
      </c>
      <c r="X35" s="15">
        <f>IF(OR(X34="",X4=""),"",IFERROR(X34/X4,""))</f>
        <v/>
      </c>
      <c r="Y35" s="14" t="n"/>
      <c r="Z35" s="15" t="n"/>
      <c r="AA35" s="15" t="n"/>
      <c r="AB35" s="15" t="n"/>
      <c r="AC35" s="15" t="n"/>
    </row>
    <row r="36">
      <c r="A36" s="18" t="inlineStr">
        <is>
          <t>연구개발비</t>
        </is>
      </c>
      <c r="B36" s="10" t="inlineStr">
        <is>
          <t>변동비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기타비용</t>
        </is>
      </c>
      <c r="B38" s="10" t="inlineStr">
        <is>
          <t>변동비</t>
        </is>
      </c>
      <c r="C38" s="19" t="n"/>
      <c r="D38" s="20" t="n"/>
      <c r="E38" s="20" t="n"/>
      <c r="F38" s="20" t="n"/>
      <c r="G38" s="20" t="n"/>
      <c r="H38" s="20" t="n"/>
      <c r="I38" s="20" t="n"/>
      <c r="J38" s="20" t="n"/>
      <c r="K38" s="20" t="n"/>
      <c r="L38" s="20" t="n"/>
      <c r="M38" s="20" t="n"/>
      <c r="N38" s="20" t="n"/>
      <c r="O38" s="19">
        <f>IF(OR(O29="",O30="",O32="",O34="",O36=""),"",IFERROR(O29-O30-O32-O34-O36,""))</f>
        <v/>
      </c>
      <c r="P38" s="20">
        <f>IF(OR(P29="",P30="",P32="",P34="",P36=""),"",IFERROR(P29-P30-P32-P34-P36,""))</f>
        <v/>
      </c>
      <c r="Q38" s="20">
        <f>IF(OR(Q29="",Q30="",Q32="",Q34="",Q36=""),"",IFERROR(Q29-Q30-Q32-Q34-Q36,""))</f>
        <v/>
      </c>
      <c r="R38" s="20">
        <f>IF(OR(R29="",R30="",R32="",R34="",R36=""),"",IFERROR(R29-R30-R32-R34-R36,""))</f>
        <v/>
      </c>
      <c r="S38" s="20">
        <f>IF(OR(S29="",S30="",S32="",S34="",S36=""),"",IFERROR(S29-S30-S32-S34-S36,""))</f>
        <v/>
      </c>
      <c r="T38" s="20">
        <f>IF(OR(T29="",T30="",T32="",T34="",T36=""),"",IFERROR(T29-T30-T32-T34-T36,""))</f>
        <v/>
      </c>
      <c r="U38" s="20">
        <f>IF(OR(U29="",U30="",U32="",U34="",U36=""),"",IFERROR(U29-U30-U32-U34-U36,""))</f>
        <v/>
      </c>
      <c r="V38" s="20">
        <f>IF(OR(V29="",V30="",V32="",V34="",V36=""),"",IFERROR(V29-V30-V32-V34-V36,""))</f>
        <v/>
      </c>
      <c r="W38" s="20">
        <f>IF(OR(W29="",W30="",W32="",W34="",W36=""),"",IFERROR(W29-W30-W32-W34-W36,""))</f>
        <v/>
      </c>
      <c r="X38" s="20">
        <f>IF(OR(X29="",X30="",X32="",X34="",X36=""),"",IFERROR(X29-X30-X32-X34-X36,""))</f>
        <v/>
      </c>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6" t="inlineStr">
        <is>
          <t>당기순이익 추정</t>
        </is>
      </c>
      <c r="B40" s="16" t="n"/>
      <c r="C40" s="17" t="n"/>
      <c r="D40" s="16" t="n"/>
      <c r="E40" s="16" t="n"/>
      <c r="F40" s="16" t="n"/>
      <c r="G40" s="16" t="n"/>
      <c r="H40" s="16" t="n"/>
      <c r="I40" s="16" t="n"/>
      <c r="J40" s="16" t="n"/>
      <c r="K40" s="16" t="n"/>
      <c r="L40" s="16" t="n"/>
      <c r="M40" s="16" t="n"/>
      <c r="N40" s="16" t="n"/>
      <c r="O40" s="17" t="n"/>
      <c r="P40" s="16" t="n"/>
      <c r="Q40" s="16" t="n"/>
      <c r="R40" s="16" t="n"/>
      <c r="S40" s="16" t="n"/>
      <c r="T40" s="16" t="n"/>
      <c r="U40" s="16" t="n"/>
      <c r="V40" s="16" t="n"/>
      <c r="W40" s="16" t="n"/>
      <c r="X40" s="16" t="n"/>
      <c r="Y40" s="17" t="n"/>
      <c r="Z40" s="16" t="n"/>
      <c r="AA40" s="16" t="n"/>
      <c r="AB40" s="16" t="n"/>
      <c r="AC40" s="16" t="n"/>
    </row>
    <row r="41">
      <c r="A41" s="18" t="inlineStr">
        <is>
          <t>기타이익</t>
        </is>
      </c>
      <c r="B41" s="10" t="n"/>
      <c r="C41" s="19" t="n"/>
      <c r="D41" s="20" t="n"/>
      <c r="E41" s="20" t="n"/>
      <c r="F41" s="20" t="n"/>
      <c r="G41" s="20" t="n"/>
      <c r="H41" s="20" t="n"/>
      <c r="I41" s="20" t="n"/>
      <c r="J41" s="20" t="n"/>
      <c r="K41" s="20" t="n"/>
      <c r="L41" s="20" t="n"/>
      <c r="M41" s="20" t="n"/>
      <c r="N41" s="20" t="n"/>
      <c r="O41" s="19" t="n">
        <v>66214</v>
      </c>
      <c r="P41" s="20" t="n">
        <v>21499</v>
      </c>
      <c r="Q41" s="20" t="n">
        <v>39714</v>
      </c>
      <c r="R41" s="20" t="n">
        <v>56495</v>
      </c>
      <c r="S41" s="20" t="n">
        <v>53094</v>
      </c>
      <c r="T41" s="20" t="n">
        <v>6789</v>
      </c>
      <c r="U41" s="20" t="n">
        <v>50968</v>
      </c>
      <c r="V41" s="20" t="n">
        <v>18699</v>
      </c>
      <c r="W41" s="20" t="n">
        <v>9223</v>
      </c>
      <c r="X41" s="20" t="n">
        <v>44035</v>
      </c>
      <c r="Y41" s="19">
        <f>IF(OR(Y4="",Y42=""),"",IFERROR(Y4*Y42,""))</f>
        <v/>
      </c>
      <c r="Z41" s="20">
        <f>IF(OR(Z4="",Z42=""),"",IFERROR(Z4*Z42,""))</f>
        <v/>
      </c>
      <c r="AA41" s="20">
        <f>IF(OR(AA4="",AA42=""),"",IFERROR(AA4*AA42,""))</f>
        <v/>
      </c>
      <c r="AB41" s="20">
        <f>IF(OR(AB4="",AB42=""),"",IFERROR(AB4*AB42,""))</f>
        <v/>
      </c>
      <c r="AC41" s="20">
        <f>IF(OR(AC4="",AC42=""),"",IFERROR(AC4*AC42,""))</f>
        <v/>
      </c>
    </row>
    <row r="42">
      <c r="A42" s="13" t="inlineStr">
        <is>
          <t>% of Sales</t>
        </is>
      </c>
      <c r="B42" s="10" t="inlineStr">
        <is>
          <t>MW = 최근 3년 평균</t>
        </is>
      </c>
      <c r="C42" s="14">
        <f>IF(OR(C41="",C4=""),"",IFERROR(C41/C4,""))</f>
        <v/>
      </c>
      <c r="D42" s="15">
        <f>IF(OR(D41="",D4=""),"",IFERROR(D41/D4,""))</f>
        <v/>
      </c>
      <c r="E42" s="15">
        <f>IF(OR(E41="",E4=""),"",IFERROR(E41/E4,""))</f>
        <v/>
      </c>
      <c r="F42" s="15">
        <f>IF(OR(F41="",F4=""),"",IFERROR(F41/F4,""))</f>
        <v/>
      </c>
      <c r="G42" s="15">
        <f>IF(OR(G41="",G4=""),"",IFERROR(G41/G4,""))</f>
        <v/>
      </c>
      <c r="H42" s="15">
        <f>IF(OR(H41="",H4=""),"",IFERROR(H41/H4,""))</f>
        <v/>
      </c>
      <c r="I42" s="15">
        <f>IF(OR(I41="",I4=""),"",IFERROR(I41/I4,""))</f>
        <v/>
      </c>
      <c r="J42" s="15">
        <f>IF(OR(J41="",J4=""),"",IFERROR(J41/J4,""))</f>
        <v/>
      </c>
      <c r="K42" s="15">
        <f>IF(OR(K41="",K4=""),"",IFERROR(K41/K4,""))</f>
        <v/>
      </c>
      <c r="L42" s="15">
        <f>IF(OR(L41="",L4=""),"",IFERROR(L41/L4,""))</f>
        <v/>
      </c>
      <c r="M42" s="15">
        <f>IF(OR(M41="",M4=""),"",IFERROR(M41/M4,""))</f>
        <v/>
      </c>
      <c r="N42" s="15">
        <f>IF(OR(N41="",N4=""),"",IFERROR(N41/N4,""))</f>
        <v/>
      </c>
      <c r="O42" s="14">
        <f>IF(OR(O41="",O4=""),"",IFERROR(O41/O4,""))</f>
        <v/>
      </c>
      <c r="P42" s="15">
        <f>IF(OR(P41="",P4=""),"",IFERROR(P41/P4,""))</f>
        <v/>
      </c>
      <c r="Q42" s="15">
        <f>IF(OR(Q41="",Q4=""),"",IFERROR(Q41/Q4,""))</f>
        <v/>
      </c>
      <c r="R42" s="15">
        <f>IF(OR(R41="",R4=""),"",IFERROR(R41/R4,""))</f>
        <v/>
      </c>
      <c r="S42" s="15">
        <f>IF(OR(S41="",S4=""),"",IFERROR(S41/S4,""))</f>
        <v/>
      </c>
      <c r="T42" s="15">
        <f>IF(OR(T41="",T4=""),"",IFERROR(T41/T4,""))</f>
        <v/>
      </c>
      <c r="U42" s="15">
        <f>IF(OR(U41="",U4=""),"",IFERROR(U41/U4,""))</f>
        <v/>
      </c>
      <c r="V42" s="15">
        <f>IF(OR(V41="",V4=""),"",IFERROR(V41/V4,""))</f>
        <v/>
      </c>
      <c r="W42" s="15">
        <f>IF(OR(W41="",W4=""),"",IFERROR(W41/W4,""))</f>
        <v/>
      </c>
      <c r="X42" s="15">
        <f>IF(OR(X41="",X4=""),"",IFERROR(X41/X4,""))</f>
        <v/>
      </c>
      <c r="Y42" s="25">
        <f>IFERROR(AVERAGE(V42,W42,X42),"")</f>
        <v/>
      </c>
      <c r="Z42" s="26">
        <f>Y42</f>
        <v/>
      </c>
      <c r="AA42" s="26">
        <f>Z42</f>
        <v/>
      </c>
      <c r="AB42" s="26">
        <f>AA42</f>
        <v/>
      </c>
      <c r="AC42" s="26">
        <f>AB42</f>
        <v/>
      </c>
    </row>
    <row r="43">
      <c r="A43" s="18" t="inlineStr">
        <is>
          <t>기타손실</t>
        </is>
      </c>
      <c r="B43" s="10" t="n"/>
      <c r="C43" s="19" t="n"/>
      <c r="D43" s="20" t="n"/>
      <c r="E43" s="20" t="n"/>
      <c r="F43" s="20" t="n"/>
      <c r="G43" s="20" t="n"/>
      <c r="H43" s="20" t="n"/>
      <c r="I43" s="20" t="n"/>
      <c r="J43" s="20" t="n"/>
      <c r="K43" s="20" t="n"/>
      <c r="L43" s="20" t="n"/>
      <c r="M43" s="20" t="n"/>
      <c r="N43" s="20" t="n"/>
      <c r="O43" s="19" t="n">
        <v>13240</v>
      </c>
      <c r="P43" s="20" t="n">
        <v>5839</v>
      </c>
      <c r="Q43" s="20" t="n">
        <v>8958</v>
      </c>
      <c r="R43" s="20" t="n">
        <v>39584</v>
      </c>
      <c r="S43" s="20" t="n">
        <v>8889</v>
      </c>
      <c r="T43" s="20" t="n">
        <v>49397</v>
      </c>
      <c r="U43" s="20" t="n">
        <v>14647</v>
      </c>
      <c r="V43" s="20" t="n">
        <v>9289</v>
      </c>
      <c r="W43" s="20" t="n">
        <v>8048</v>
      </c>
      <c r="X43" s="20" t="n">
        <v>21093</v>
      </c>
      <c r="Y43" s="19">
        <f>IF(OR(Y4="",Y44=""),"",IFERROR(Y4*Y44,""))</f>
        <v/>
      </c>
      <c r="Z43" s="20">
        <f>IF(OR(Z4="",Z44=""),"",IFERROR(Z4*Z44,""))</f>
        <v/>
      </c>
      <c r="AA43" s="20">
        <f>IF(OR(AA4="",AA44=""),"",IFERROR(AA4*AA44,""))</f>
        <v/>
      </c>
      <c r="AB43" s="20">
        <f>IF(OR(AB4="",AB44=""),"",IFERROR(AB4*AB44,""))</f>
        <v/>
      </c>
      <c r="AC43" s="20">
        <f>IF(OR(AC4="",AC44=""),"",IFERROR(AC4*AC44,""))</f>
        <v/>
      </c>
    </row>
    <row r="44">
      <c r="A44" s="13" t="inlineStr">
        <is>
          <t>% of Sales</t>
        </is>
      </c>
      <c r="B44" s="10" t="n"/>
      <c r="C44" s="14">
        <f>IF(OR(C43="",C4=""),"",IFERROR(C43/C4,""))</f>
        <v/>
      </c>
      <c r="D44" s="15">
        <f>IF(OR(D43="",D4=""),"",IFERROR(D43/D4,""))</f>
        <v/>
      </c>
      <c r="E44" s="15">
        <f>IF(OR(E43="",E4=""),"",IFERROR(E43/E4,""))</f>
        <v/>
      </c>
      <c r="F44" s="15">
        <f>IF(OR(F43="",F4=""),"",IFERROR(F43/F4,""))</f>
        <v/>
      </c>
      <c r="G44" s="15">
        <f>IF(OR(G43="",G4=""),"",IFERROR(G43/G4,""))</f>
        <v/>
      </c>
      <c r="H44" s="15">
        <f>IF(OR(H43="",H4=""),"",IFERROR(H43/H4,""))</f>
        <v/>
      </c>
      <c r="I44" s="15">
        <f>IF(OR(I43="",I4=""),"",IFERROR(I43/I4,""))</f>
        <v/>
      </c>
      <c r="J44" s="15">
        <f>IF(OR(J43="",J4=""),"",IFERROR(J43/J4,""))</f>
        <v/>
      </c>
      <c r="K44" s="15">
        <f>IF(OR(K43="",K4=""),"",IFERROR(K43/K4,""))</f>
        <v/>
      </c>
      <c r="L44" s="15">
        <f>IF(OR(L43="",L4=""),"",IFERROR(L43/L4,""))</f>
        <v/>
      </c>
      <c r="M44" s="15">
        <f>IF(OR(M43="",M4=""),"",IFERROR(M43/M4,""))</f>
        <v/>
      </c>
      <c r="N44" s="15">
        <f>IF(OR(N43="",N4=""),"",IFERROR(N43/N4,""))</f>
        <v/>
      </c>
      <c r="O44" s="14">
        <f>IF(OR(O43="",O4=""),"",IFERROR(O43/O4,""))</f>
        <v/>
      </c>
      <c r="P44" s="15">
        <f>IF(OR(P43="",P4=""),"",IFERROR(P43/P4,""))</f>
        <v/>
      </c>
      <c r="Q44" s="15">
        <f>IF(OR(Q43="",Q4=""),"",IFERROR(Q43/Q4,""))</f>
        <v/>
      </c>
      <c r="R44" s="15">
        <f>IF(OR(R43="",R4=""),"",IFERROR(R43/R4,""))</f>
        <v/>
      </c>
      <c r="S44" s="15">
        <f>IF(OR(S43="",S4=""),"",IFERROR(S43/S4,""))</f>
        <v/>
      </c>
      <c r="T44" s="15">
        <f>IF(OR(T43="",T4=""),"",IFERROR(T43/T4,""))</f>
        <v/>
      </c>
      <c r="U44" s="15">
        <f>IF(OR(U43="",U4=""),"",IFERROR(U43/U4,""))</f>
        <v/>
      </c>
      <c r="V44" s="15">
        <f>IF(OR(V43="",V4=""),"",IFERROR(V43/V4,""))</f>
        <v/>
      </c>
      <c r="W44" s="15">
        <f>IF(OR(W43="",W4=""),"",IFERROR(W43/W4,""))</f>
        <v/>
      </c>
      <c r="X44" s="15">
        <f>IF(OR(X43="",X4=""),"",IFERROR(X43/X4,""))</f>
        <v/>
      </c>
      <c r="Y44" s="25">
        <f>IFERROR(AVERAGE(V44,W44,X44),"")</f>
        <v/>
      </c>
      <c r="Z44" s="26">
        <f>Y44</f>
        <v/>
      </c>
      <c r="AA44" s="26">
        <f>Z44</f>
        <v/>
      </c>
      <c r="AB44" s="26">
        <f>AA44</f>
        <v/>
      </c>
      <c r="AC44" s="26">
        <f>AB44</f>
        <v/>
      </c>
    </row>
    <row r="45">
      <c r="A45" s="18" t="inlineStr">
        <is>
          <t>금융수익</t>
        </is>
      </c>
      <c r="B45" s="10" t="n"/>
      <c r="C45" s="19" t="n">
        <v>12660</v>
      </c>
      <c r="D45" s="20" t="n">
        <v>14760</v>
      </c>
      <c r="E45" s="20" t="n">
        <v>14877</v>
      </c>
      <c r="F45" s="20" t="n">
        <v>16608</v>
      </c>
      <c r="G45" s="20" t="n">
        <v>19162</v>
      </c>
      <c r="H45" s="20" t="n">
        <v>18357</v>
      </c>
      <c r="I45" s="20" t="n">
        <v>17308</v>
      </c>
      <c r="J45" s="20" t="n">
        <v>19455</v>
      </c>
      <c r="K45" s="20" t="n">
        <v>21037</v>
      </c>
      <c r="L45" s="20" t="n">
        <v>10142</v>
      </c>
      <c r="M45" s="20" t="n">
        <v>17348</v>
      </c>
      <c r="N45" s="20" t="n">
        <v>21291</v>
      </c>
      <c r="O45" s="19" t="n">
        <v>14109</v>
      </c>
      <c r="P45" s="20" t="n">
        <v>37479</v>
      </c>
      <c r="Q45" s="20" t="n">
        <v>5754</v>
      </c>
      <c r="R45" s="20" t="n">
        <v>8402</v>
      </c>
      <c r="S45" s="20" t="n">
        <v>12353</v>
      </c>
      <c r="T45" s="20" t="n">
        <v>19013</v>
      </c>
      <c r="U45" s="20" t="n">
        <v>31147</v>
      </c>
      <c r="V45" s="20" t="n">
        <v>44414</v>
      </c>
      <c r="W45" s="20" t="n">
        <v>69004</v>
      </c>
      <c r="X45" s="20" t="n">
        <v>67942</v>
      </c>
      <c r="Y45" s="19">
        <f>IF(OR(Y4="",Y46=""),"",IFERROR(Y4*Y46,""))</f>
        <v/>
      </c>
      <c r="Z45" s="20">
        <f>IF(OR(Z4="",Z46=""),"",IFERROR(Z4*Z46,""))</f>
        <v/>
      </c>
      <c r="AA45" s="20">
        <f>IF(OR(AA4="",AA46=""),"",IFERROR(AA4*AA46,""))</f>
        <v/>
      </c>
      <c r="AB45" s="20">
        <f>IF(OR(AB4="",AB46=""),"",IFERROR(AB4*AB46,""))</f>
        <v/>
      </c>
      <c r="AC45" s="20">
        <f>IF(OR(AC4="",AC46=""),"",IFERROR(AC4*AC46,""))</f>
        <v/>
      </c>
    </row>
    <row r="46">
      <c r="A46" s="13" t="inlineStr">
        <is>
          <t>% of Sales</t>
        </is>
      </c>
      <c r="B46" s="10" t="n"/>
      <c r="C46" s="14">
        <f>IF(OR(C45="",C4=""),"",IFERROR(C45/C4,""))</f>
        <v/>
      </c>
      <c r="D46" s="15">
        <f>IF(OR(D45="",D4=""),"",IFERROR(D45/D4,""))</f>
        <v/>
      </c>
      <c r="E46" s="15">
        <f>IF(OR(E45="",E4=""),"",IFERROR(E45/E4,""))</f>
        <v/>
      </c>
      <c r="F46" s="15">
        <f>IF(OR(F45="",F4=""),"",IFERROR(F45/F4,""))</f>
        <v/>
      </c>
      <c r="G46" s="15">
        <f>IF(OR(G45="",G4=""),"",IFERROR(G45/G4,""))</f>
        <v/>
      </c>
      <c r="H46" s="15">
        <f>IF(OR(H45="",H4=""),"",IFERROR(H45/H4,""))</f>
        <v/>
      </c>
      <c r="I46" s="15">
        <f>IF(OR(I45="",I4=""),"",IFERROR(I45/I4,""))</f>
        <v/>
      </c>
      <c r="J46" s="15">
        <f>IF(OR(J45="",J4=""),"",IFERROR(J45/J4,""))</f>
        <v/>
      </c>
      <c r="K46" s="15">
        <f>IF(OR(K45="",K4=""),"",IFERROR(K45/K4,""))</f>
        <v/>
      </c>
      <c r="L46" s="15">
        <f>IF(OR(L45="",L4=""),"",IFERROR(L45/L4,""))</f>
        <v/>
      </c>
      <c r="M46" s="15">
        <f>IF(OR(M45="",M4=""),"",IFERROR(M45/M4,""))</f>
        <v/>
      </c>
      <c r="N46" s="15">
        <f>IF(OR(N45="",N4=""),"",IFERROR(N45/N4,""))</f>
        <v/>
      </c>
      <c r="O46" s="14">
        <f>IF(OR(O45="",O4=""),"",IFERROR(O45/O4,""))</f>
        <v/>
      </c>
      <c r="P46" s="15">
        <f>IF(OR(P45="",P4=""),"",IFERROR(P45/P4,""))</f>
        <v/>
      </c>
      <c r="Q46" s="15">
        <f>IF(OR(Q45="",Q4=""),"",IFERROR(Q45/Q4,""))</f>
        <v/>
      </c>
      <c r="R46" s="15">
        <f>IF(OR(R45="",R4=""),"",IFERROR(R45/R4,""))</f>
        <v/>
      </c>
      <c r="S46" s="15">
        <f>IF(OR(S45="",S4=""),"",IFERROR(S45/S4,""))</f>
        <v/>
      </c>
      <c r="T46" s="15">
        <f>IF(OR(T45="",T4=""),"",IFERROR(T45/T4,""))</f>
        <v/>
      </c>
      <c r="U46" s="15">
        <f>IF(OR(U45="",U4=""),"",IFERROR(U45/U4,""))</f>
        <v/>
      </c>
      <c r="V46" s="15">
        <f>IF(OR(V45="",V4=""),"",IFERROR(V45/V4,""))</f>
        <v/>
      </c>
      <c r="W46" s="15">
        <f>IF(OR(W45="",W4=""),"",IFERROR(W45/W4,""))</f>
        <v/>
      </c>
      <c r="X46" s="15">
        <f>IF(OR(X45="",X4=""),"",IFERROR(X45/X4,""))</f>
        <v/>
      </c>
      <c r="Y46" s="25">
        <f>IFERROR(AVERAGE(V46,W46,X46),"")</f>
        <v/>
      </c>
      <c r="Z46" s="26">
        <f>Y46</f>
        <v/>
      </c>
      <c r="AA46" s="26">
        <f>Z46</f>
        <v/>
      </c>
      <c r="AB46" s="26">
        <f>AA46</f>
        <v/>
      </c>
      <c r="AC46" s="26">
        <f>AB46</f>
        <v/>
      </c>
    </row>
    <row r="47">
      <c r="A47" s="18" t="inlineStr">
        <is>
          <t>금융원가</t>
        </is>
      </c>
      <c r="B47" s="10" t="n"/>
      <c r="C47" s="19" t="n">
        <v>18173</v>
      </c>
      <c r="D47" s="20" t="n">
        <v>19930</v>
      </c>
      <c r="E47" s="20" t="n">
        <v>29429</v>
      </c>
      <c r="F47" s="20" t="n">
        <v>35645</v>
      </c>
      <c r="G47" s="20" t="n">
        <v>42086</v>
      </c>
      <c r="H47" s="20" t="n">
        <v>51735</v>
      </c>
      <c r="I47" s="20" t="n">
        <v>40175</v>
      </c>
      <c r="J47" s="20" t="n">
        <v>38961</v>
      </c>
      <c r="K47" s="20" t="n">
        <v>34438</v>
      </c>
      <c r="L47" s="20" t="n">
        <v>81620</v>
      </c>
      <c r="M47" s="20" t="n">
        <v>34241</v>
      </c>
      <c r="N47" s="20" t="n">
        <v>43339</v>
      </c>
      <c r="O47" s="19" t="n">
        <v>7567</v>
      </c>
      <c r="P47" s="20" t="n">
        <v>6586</v>
      </c>
      <c r="Q47" s="20" t="n">
        <v>39252</v>
      </c>
      <c r="R47" s="20" t="n">
        <v>45526</v>
      </c>
      <c r="S47" s="20" t="n">
        <v>61344</v>
      </c>
      <c r="T47" s="20" t="n">
        <v>45645</v>
      </c>
      <c r="U47" s="20" t="n">
        <v>91272</v>
      </c>
      <c r="V47" s="20" t="n">
        <v>95222</v>
      </c>
      <c r="W47" s="20" t="n">
        <v>158895</v>
      </c>
      <c r="X47" s="20" t="n">
        <v>195194</v>
      </c>
      <c r="Y47" s="19">
        <f>IF(OR(Y4="",Y48=""),"",IFERROR(Y4*Y48,""))</f>
        <v/>
      </c>
      <c r="Z47" s="20">
        <f>IF(OR(Z4="",Z48=""),"",IFERROR(Z4*Z48,""))</f>
        <v/>
      </c>
      <c r="AA47" s="20">
        <f>IF(OR(AA4="",AA48=""),"",IFERROR(AA4*AA48,""))</f>
        <v/>
      </c>
      <c r="AB47" s="20">
        <f>IF(OR(AB4="",AB48=""),"",IFERROR(AB4*AB48,""))</f>
        <v/>
      </c>
      <c r="AC47" s="20">
        <f>IF(OR(AC4="",AC48=""),"",IFERROR(AC4*AC48,""))</f>
        <v/>
      </c>
    </row>
    <row r="48">
      <c r="A48" s="13" t="inlineStr">
        <is>
          <t>% of Sales</t>
        </is>
      </c>
      <c r="B48" s="10" t="n"/>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9" t="inlineStr">
        <is>
          <t>법인세비용차감전순이익(손실)</t>
        </is>
      </c>
      <c r="B49" s="10" t="n"/>
      <c r="C49" s="11" t="n">
        <v>212779</v>
      </c>
      <c r="D49" s="12" t="n">
        <v>35392</v>
      </c>
      <c r="E49" s="12" t="n">
        <v>201266</v>
      </c>
      <c r="F49" s="12" t="n">
        <v>197807</v>
      </c>
      <c r="G49" s="12" t="n">
        <v>175882</v>
      </c>
      <c r="H49" s="12" t="n">
        <v>-350622</v>
      </c>
      <c r="I49" s="12" t="n">
        <v>221451</v>
      </c>
      <c r="J49" s="12" t="n">
        <v>236304</v>
      </c>
      <c r="K49" s="12" t="n">
        <v>249407</v>
      </c>
      <c r="L49" s="12" t="n">
        <v>32624</v>
      </c>
      <c r="M49" s="12" t="n">
        <v>287660</v>
      </c>
      <c r="N49" s="12" t="n">
        <v>318339</v>
      </c>
      <c r="O49" s="11" t="n">
        <v>256217</v>
      </c>
      <c r="P49" s="12" t="n">
        <v>214996</v>
      </c>
      <c r="Q49" s="12" t="n">
        <v>531486</v>
      </c>
      <c r="R49" s="12" t="n">
        <v>465232</v>
      </c>
      <c r="S49" s="12" t="n">
        <v>420063</v>
      </c>
      <c r="T49" s="12" t="n">
        <v>472390</v>
      </c>
      <c r="U49" s="12" t="n">
        <v>593450</v>
      </c>
      <c r="V49" s="12" t="n">
        <v>621601</v>
      </c>
      <c r="W49" s="12" t="n">
        <v>224333</v>
      </c>
      <c r="X49" s="12" t="n">
        <v>739786</v>
      </c>
      <c r="Y49" s="11">
        <f>IF(OR(Y25=""),"",IFERROR(Y25+N(Y41)-N(Y43)+N(Y45)-N(Y47),""))</f>
        <v/>
      </c>
      <c r="Z49" s="12">
        <f>IF(OR(Z25=""),"",IFERROR(Z25+N(Z41)-N(Z43)+N(Z45)-N(Z47),""))</f>
        <v/>
      </c>
      <c r="AA49" s="12">
        <f>IF(OR(AA25=""),"",IFERROR(AA25+N(AA41)-N(AA43)+N(AA45)-N(AA47),""))</f>
        <v/>
      </c>
      <c r="AB49" s="12">
        <f>IF(OR(AB25=""),"",IFERROR(AB25+N(AB41)-N(AB43)+N(AB45)-N(AB47),""))</f>
        <v/>
      </c>
      <c r="AC49" s="12">
        <f>IF(OR(AC25=""),"",IFERROR(AC25+N(AC41)-N(AC43)+N(AC45)-N(AC47),""))</f>
        <v/>
      </c>
    </row>
    <row r="50">
      <c r="A50" s="18" t="inlineStr">
        <is>
          <t>법인세비용(수익)</t>
        </is>
      </c>
      <c r="B50" s="10" t="n"/>
      <c r="C50" s="19" t="n">
        <v>56710</v>
      </c>
      <c r="D50" s="20" t="n">
        <v>-5385</v>
      </c>
      <c r="E50" s="20" t="n">
        <v>43499</v>
      </c>
      <c r="F50" s="20" t="n">
        <v>48447</v>
      </c>
      <c r="G50" s="20" t="n">
        <v>43735</v>
      </c>
      <c r="H50" s="20" t="n">
        <v>-85275</v>
      </c>
      <c r="I50" s="20" t="n">
        <v>66518</v>
      </c>
      <c r="J50" s="20" t="n">
        <v>55263</v>
      </c>
      <c r="K50" s="20" t="n">
        <v>72508</v>
      </c>
      <c r="L50" s="20" t="n">
        <v>44422</v>
      </c>
      <c r="M50" s="20" t="n">
        <v>90417</v>
      </c>
      <c r="N50" s="20" t="n">
        <v>82401</v>
      </c>
      <c r="O50" s="19" t="n">
        <v>82609</v>
      </c>
      <c r="P50" s="20" t="n">
        <v>54875</v>
      </c>
      <c r="Q50" s="20" t="n">
        <v>144055</v>
      </c>
      <c r="R50" s="20" t="n">
        <v>103609</v>
      </c>
      <c r="S50" s="20" t="n">
        <v>108034</v>
      </c>
      <c r="T50" s="20" t="n">
        <v>132208</v>
      </c>
      <c r="U50" s="20" t="n">
        <v>149277</v>
      </c>
      <c r="V50" s="20" t="n">
        <v>136292</v>
      </c>
      <c r="W50" s="20" t="n">
        <v>50406</v>
      </c>
      <c r="X50" s="20" t="n">
        <v>238711</v>
      </c>
      <c r="Y50" s="19">
        <f>IF(OR(Y49="",Y51=""),"",IFERROR(MAX(Y49,0)*Y51,""))</f>
        <v/>
      </c>
      <c r="Z50" s="20">
        <f>IF(OR(Z49="",Z51=""),"",IFERROR(MAX(Z49,0)*Z51,""))</f>
        <v/>
      </c>
      <c r="AA50" s="20">
        <f>IF(OR(AA49="",AA51=""),"",IFERROR(MAX(AA49,0)*AA51,""))</f>
        <v/>
      </c>
      <c r="AB50" s="20">
        <f>IF(OR(AB49="",AB51=""),"",IFERROR(MAX(AB49,0)*AB51,""))</f>
        <v/>
      </c>
      <c r="AC50" s="20">
        <f>IF(OR(AC49="",AC51=""),"",IFERROR(MAX(AC49,0)*AC51,""))</f>
        <v/>
      </c>
    </row>
    <row r="51">
      <c r="A51" s="13" t="inlineStr">
        <is>
          <t>법인세율</t>
        </is>
      </c>
      <c r="B51" s="10" t="inlineStr">
        <is>
          <t>MW 기본 30%</t>
        </is>
      </c>
      <c r="C51" s="14">
        <f>IF(OR(C50="",C49=""),"",IFERROR(C50/C49,""))</f>
        <v/>
      </c>
      <c r="D51" s="15">
        <f>IF(OR(D50="",D49=""),"",IFERROR(D50/D49,""))</f>
        <v/>
      </c>
      <c r="E51" s="15">
        <f>IF(OR(E50="",E49=""),"",IFERROR(E50/E49,""))</f>
        <v/>
      </c>
      <c r="F51" s="15">
        <f>IF(OR(F50="",F49=""),"",IFERROR(F50/F49,""))</f>
        <v/>
      </c>
      <c r="G51" s="15">
        <f>IF(OR(G50="",G49=""),"",IFERROR(G50/G49,""))</f>
        <v/>
      </c>
      <c r="H51" s="15">
        <f>IF(OR(H50="",H49=""),"",IFERROR(H50/H49,""))</f>
        <v/>
      </c>
      <c r="I51" s="15">
        <f>IF(OR(I50="",I49=""),"",IFERROR(I50/I49,""))</f>
        <v/>
      </c>
      <c r="J51" s="15">
        <f>IF(OR(J50="",J49=""),"",IFERROR(J50/J49,""))</f>
        <v/>
      </c>
      <c r="K51" s="15">
        <f>IF(OR(K50="",K49=""),"",IFERROR(K50/K49,""))</f>
        <v/>
      </c>
      <c r="L51" s="15">
        <f>IF(OR(L50="",L49=""),"",IFERROR(L50/L49,""))</f>
        <v/>
      </c>
      <c r="M51" s="15">
        <f>IF(OR(M50="",M49=""),"",IFERROR(M50/M49,""))</f>
        <v/>
      </c>
      <c r="N51" s="15">
        <f>IF(OR(N50="",N49=""),"",IFERROR(N50/N49,""))</f>
        <v/>
      </c>
      <c r="O51" s="14">
        <f>IF(OR(O50="",O49=""),"",IFERROR(O50/O49,""))</f>
        <v/>
      </c>
      <c r="P51" s="15">
        <f>IF(OR(P50="",P49=""),"",IFERROR(P50/P49,""))</f>
        <v/>
      </c>
      <c r="Q51" s="15">
        <f>IF(OR(Q50="",Q49=""),"",IFERROR(Q50/Q49,""))</f>
        <v/>
      </c>
      <c r="R51" s="15">
        <f>IF(OR(R50="",R49=""),"",IFERROR(R50/R49,""))</f>
        <v/>
      </c>
      <c r="S51" s="15">
        <f>IF(OR(S50="",S49=""),"",IFERROR(S50/S49,""))</f>
        <v/>
      </c>
      <c r="T51" s="15">
        <f>IF(OR(T50="",T49=""),"",IFERROR(T50/T49,""))</f>
        <v/>
      </c>
      <c r="U51" s="15">
        <f>IF(OR(U50="",U49=""),"",IFERROR(U50/U49,""))</f>
        <v/>
      </c>
      <c r="V51" s="15">
        <f>IF(OR(V50="",V49=""),"",IFERROR(V50/V49,""))</f>
        <v/>
      </c>
      <c r="W51" s="15">
        <f>IF(OR(W50="",W49=""),"",IFERROR(W50/W49,""))</f>
        <v/>
      </c>
      <c r="X51" s="15">
        <f>IF(OR(X50="",X49=""),"",IFERROR(X50/X49,""))</f>
        <v/>
      </c>
      <c r="Y51" s="25" t="n">
        <v>0.3</v>
      </c>
      <c r="Z51" s="26" t="n">
        <v>0.3</v>
      </c>
      <c r="AA51" s="26" t="n">
        <v>0.3</v>
      </c>
      <c r="AB51" s="26" t="n">
        <v>0.3</v>
      </c>
      <c r="AC51" s="26" t="n">
        <v>0.3</v>
      </c>
    </row>
    <row r="52">
      <c r="A52" s="9" t="inlineStr">
        <is>
          <t>당기순이익(손실)</t>
        </is>
      </c>
      <c r="B52" s="10" t="n"/>
      <c r="C52" s="11" t="n">
        <v>156070</v>
      </c>
      <c r="D52" s="12" t="n">
        <v>40778</v>
      </c>
      <c r="E52" s="12" t="n">
        <v>157766</v>
      </c>
      <c r="F52" s="12" t="n">
        <v>149360</v>
      </c>
      <c r="G52" s="12" t="n">
        <v>137417</v>
      </c>
      <c r="H52" s="12" t="n">
        <v>-261947</v>
      </c>
      <c r="I52" s="12" t="n">
        <v>158226</v>
      </c>
      <c r="J52" s="12" t="n">
        <v>163739</v>
      </c>
      <c r="K52" s="12" t="n">
        <v>192274</v>
      </c>
      <c r="L52" s="12" t="n">
        <v>-1025</v>
      </c>
      <c r="M52" s="12" t="n">
        <v>197243</v>
      </c>
      <c r="N52" s="12" t="n">
        <v>235938</v>
      </c>
      <c r="O52" s="11" t="n">
        <v>173607</v>
      </c>
      <c r="P52" s="12" t="n">
        <v>160120</v>
      </c>
      <c r="Q52" s="12" t="n">
        <v>387431</v>
      </c>
      <c r="R52" s="12" t="n">
        <v>361622</v>
      </c>
      <c r="S52" s="12" t="n">
        <v>312029</v>
      </c>
      <c r="T52" s="12" t="n">
        <v>340181</v>
      </c>
      <c r="U52" s="12" t="n">
        <v>444174</v>
      </c>
      <c r="V52" s="12" t="n">
        <v>485310</v>
      </c>
      <c r="W52" s="12" t="n">
        <v>182596</v>
      </c>
      <c r="X52" s="12" t="n">
        <v>513214</v>
      </c>
      <c r="Y52" s="11">
        <f>IF(OR(Y49=""),"",IFERROR(Y49-Y50,""))</f>
        <v/>
      </c>
      <c r="Z52" s="12">
        <f>IF(OR(Z49=""),"",IFERROR(Z49-Z50,""))</f>
        <v/>
      </c>
      <c r="AA52" s="12">
        <f>IF(OR(AA49=""),"",IFERROR(AA49-AA50,""))</f>
        <v/>
      </c>
      <c r="AB52" s="12">
        <f>IF(OR(AB49=""),"",IFERROR(AB49-AB50,""))</f>
        <v/>
      </c>
      <c r="AC52" s="12">
        <f>IF(OR(AC49=""),"",IFERROR(AC49-AC50,""))</f>
        <v/>
      </c>
    </row>
    <row r="53">
      <c r="A53" s="9" t="inlineStr">
        <is>
          <t>지배주주 순이익</t>
        </is>
      </c>
      <c r="B53" s="10" t="n"/>
      <c r="C53" s="11" t="n">
        <v>155001</v>
      </c>
      <c r="D53" s="12" t="n">
        <v>40278</v>
      </c>
      <c r="E53" s="12" t="n">
        <v>157266</v>
      </c>
      <c r="F53" s="12" t="n">
        <v>147906</v>
      </c>
      <c r="G53" s="12" t="n">
        <v>137242</v>
      </c>
      <c r="H53" s="12" t="n">
        <v>-263174</v>
      </c>
      <c r="I53" s="12" t="n">
        <v>157480</v>
      </c>
      <c r="J53" s="12" t="n">
        <v>162425</v>
      </c>
      <c r="K53" s="12" t="n">
        <v>191844</v>
      </c>
      <c r="L53" s="12" t="n">
        <v>-1574</v>
      </c>
      <c r="M53" s="12" t="n">
        <v>197041</v>
      </c>
      <c r="N53" s="12" t="n">
        <v>234788</v>
      </c>
      <c r="O53" s="11" t="n"/>
      <c r="P53" s="12" t="n"/>
      <c r="Q53" s="12" t="n">
        <v>385677</v>
      </c>
      <c r="R53" s="12" t="n">
        <v>348190</v>
      </c>
      <c r="S53" s="12" t="n">
        <v>310253</v>
      </c>
      <c r="T53" s="12" t="n">
        <v>338490</v>
      </c>
      <c r="U53" s="12" t="n">
        <v>442716</v>
      </c>
      <c r="V53" s="12" t="n">
        <v>482288</v>
      </c>
      <c r="W53" s="12" t="n">
        <v>179240</v>
      </c>
      <c r="X53" s="12" t="n">
        <v>510175</v>
      </c>
      <c r="Y53" s="11">
        <f>IF(OR(Y52="",Y54=""),"",IFERROR(Y52*Y54,""))</f>
        <v/>
      </c>
      <c r="Z53" s="12">
        <f>IF(OR(Z52="",Z54=""),"",IFERROR(Z52*Z54,""))</f>
        <v/>
      </c>
      <c r="AA53" s="12">
        <f>IF(OR(AA52="",AA54=""),"",IFERROR(AA52*AA54,""))</f>
        <v/>
      </c>
      <c r="AB53" s="12">
        <f>IF(OR(AB52="",AB54=""),"",IFERROR(AB52*AB54,""))</f>
        <v/>
      </c>
      <c r="AC53" s="12">
        <f>IF(OR(AC52="",AC54=""),"",IFERROR(AC52*AC54,""))</f>
        <v/>
      </c>
    </row>
    <row r="54">
      <c r="A54" s="13" t="inlineStr">
        <is>
          <t>지배주주 순이익률</t>
        </is>
      </c>
      <c r="B54" s="10" t="inlineStr">
        <is>
          <t>MW 기본 100%</t>
        </is>
      </c>
      <c r="C54" s="14">
        <f>IF(OR(C53="",C52=""),"",IFERROR(C53/C52,""))</f>
        <v/>
      </c>
      <c r="D54" s="15">
        <f>IF(OR(D53="",D52=""),"",IFERROR(D53/D52,""))</f>
        <v/>
      </c>
      <c r="E54" s="15">
        <f>IF(OR(E53="",E52=""),"",IFERROR(E53/E52,""))</f>
        <v/>
      </c>
      <c r="F54" s="15">
        <f>IF(OR(F53="",F52=""),"",IFERROR(F53/F52,""))</f>
        <v/>
      </c>
      <c r="G54" s="15">
        <f>IF(OR(G53="",G52=""),"",IFERROR(G53/G52,""))</f>
        <v/>
      </c>
      <c r="H54" s="15">
        <f>IF(OR(H53="",H52=""),"",IFERROR(H53/H52,""))</f>
        <v/>
      </c>
      <c r="I54" s="15">
        <f>IF(OR(I53="",I52=""),"",IFERROR(I53/I52,""))</f>
        <v/>
      </c>
      <c r="J54" s="15">
        <f>IF(OR(J53="",J52=""),"",IFERROR(J53/J52,""))</f>
        <v/>
      </c>
      <c r="K54" s="15">
        <f>IF(OR(K53="",K52=""),"",IFERROR(K53/K52,""))</f>
        <v/>
      </c>
      <c r="L54" s="15">
        <f>IF(OR(L53="",L52=""),"",IFERROR(L53/L52,""))</f>
        <v/>
      </c>
      <c r="M54" s="15">
        <f>IF(OR(M53="",M52=""),"",IFERROR(M53/M52,""))</f>
        <v/>
      </c>
      <c r="N54" s="15">
        <f>IF(OR(N53="",N52=""),"",IFERROR(N53/N52,""))</f>
        <v/>
      </c>
      <c r="O54" s="14">
        <f>IF(OR(O53="",O52=""),"",IFERROR(O53/O52,""))</f>
        <v/>
      </c>
      <c r="P54" s="15">
        <f>IF(OR(P53="",P52=""),"",IFERROR(P53/P52,""))</f>
        <v/>
      </c>
      <c r="Q54" s="15">
        <f>IF(OR(Q53="",Q52=""),"",IFERROR(Q53/Q52,""))</f>
        <v/>
      </c>
      <c r="R54" s="15">
        <f>IF(OR(R53="",R52=""),"",IFERROR(R53/R52,""))</f>
        <v/>
      </c>
      <c r="S54" s="15">
        <f>IF(OR(S53="",S52=""),"",IFERROR(S53/S52,""))</f>
        <v/>
      </c>
      <c r="T54" s="15">
        <f>IF(OR(T53="",T52=""),"",IFERROR(T53/T52,""))</f>
        <v/>
      </c>
      <c r="U54" s="15">
        <f>IF(OR(U53="",U52=""),"",IFERROR(U53/U52,""))</f>
        <v/>
      </c>
      <c r="V54" s="15">
        <f>IF(OR(V53="",V52=""),"",IFERROR(V53/V52,""))</f>
        <v/>
      </c>
      <c r="W54" s="15">
        <f>IF(OR(W53="",W52=""),"",IFERROR(W53/W52,""))</f>
        <v/>
      </c>
      <c r="X54" s="15">
        <f>IF(OR(X53="",X52=""),"",IFERROR(X53/X52,""))</f>
        <v/>
      </c>
      <c r="Y54" s="25" t="n">
        <v>1</v>
      </c>
      <c r="Z54" s="26" t="n">
        <v>1</v>
      </c>
      <c r="AA54" s="26" t="n">
        <v>1</v>
      </c>
      <c r="AB54" s="26" t="n">
        <v>1</v>
      </c>
      <c r="AC54" s="26" t="n">
        <v>1</v>
      </c>
    </row>
    <row r="55">
      <c r="A55" s="16" t="inlineStr">
        <is>
          <t>목표주가 산출</t>
        </is>
      </c>
      <c r="B55" s="16" t="n"/>
      <c r="C55" s="17" t="n"/>
      <c r="D55" s="16" t="n"/>
      <c r="E55" s="16" t="n"/>
      <c r="F55" s="16" t="n"/>
      <c r="G55" s="16" t="n"/>
      <c r="H55" s="16" t="n"/>
      <c r="I55" s="16" t="n"/>
      <c r="J55" s="16" t="n"/>
      <c r="K55" s="16" t="n"/>
      <c r="L55" s="16" t="n"/>
      <c r="M55" s="16" t="n"/>
      <c r="N55" s="16" t="n"/>
      <c r="O55" s="17" t="n"/>
      <c r="P55" s="16" t="n"/>
      <c r="Q55" s="16" t="n"/>
      <c r="R55" s="16" t="n"/>
      <c r="S55" s="16" t="n"/>
      <c r="T55" s="16" t="n"/>
      <c r="U55" s="16" t="n"/>
      <c r="V55" s="16" t="n"/>
      <c r="W55" s="16" t="n"/>
      <c r="X55" s="16" t="n"/>
      <c r="Y55" s="17" t="n"/>
      <c r="Z55" s="16" t="n"/>
      <c r="AA55" s="16" t="n"/>
      <c r="AB55" s="16" t="n"/>
      <c r="AC55" s="16" t="n"/>
    </row>
    <row r="56">
      <c r="A56" s="18" t="inlineStr">
        <is>
          <t>현재 주가 (2026.10.26)</t>
        </is>
      </c>
      <c r="B56" s="27" t="n">
        <v>7599</v>
      </c>
      <c r="C56" s="28" t="n"/>
      <c r="D56" s="29" t="n"/>
      <c r="E56" s="29" t="n"/>
      <c r="F56" s="29" t="n"/>
      <c r="G56" s="29" t="n"/>
      <c r="H56" s="29" t="n"/>
      <c r="I56" s="29" t="n"/>
      <c r="J56" s="29" t="n"/>
      <c r="K56" s="29" t="n"/>
      <c r="L56" s="29" t="n"/>
      <c r="M56" s="29" t="n"/>
      <c r="N56" s="29" t="n"/>
      <c r="O56" s="28" t="n"/>
      <c r="P56" s="29" t="n"/>
      <c r="Q56" s="29" t="n"/>
      <c r="R56" s="29" t="n"/>
      <c r="S56" s="29" t="n"/>
      <c r="T56" s="29" t="n"/>
      <c r="U56" s="29" t="n"/>
      <c r="V56" s="29" t="n"/>
      <c r="W56" s="29" t="n"/>
      <c r="X56" s="29" t="n"/>
      <c r="Y56" s="28" t="n"/>
      <c r="Z56" s="29" t="n"/>
      <c r="AA56" s="29" t="n"/>
      <c r="AB56" s="29" t="n"/>
      <c r="AC56" s="29" t="n"/>
    </row>
    <row r="57">
      <c r="A57" s="18" t="inlineStr">
        <is>
          <t>발행주식수 (보통주)</t>
        </is>
      </c>
      <c r="B57" s="27" t="n">
        <v>2000000000</v>
      </c>
      <c r="C57" s="28" t="n"/>
      <c r="D57" s="29" t="n"/>
      <c r="E57" s="29" t="n"/>
      <c r="F57" s="29" t="n"/>
      <c r="G57" s="29" t="n"/>
      <c r="H57" s="29" t="n"/>
      <c r="I57" s="29" t="n"/>
      <c r="J57" s="29" t="n"/>
      <c r="K57" s="29" t="n"/>
      <c r="L57" s="29" t="n"/>
      <c r="M57" s="29" t="n"/>
      <c r="N57" s="29" t="n"/>
      <c r="O57" s="28" t="n"/>
      <c r="P57" s="29" t="n"/>
      <c r="Q57" s="29" t="n"/>
      <c r="R57" s="29" t="n"/>
      <c r="S57" s="29" t="n"/>
      <c r="T57" s="29" t="n"/>
      <c r="U57" s="29" t="n"/>
      <c r="V57" s="29" t="n"/>
      <c r="W57" s="29" t="n"/>
      <c r="X57" s="29" t="n"/>
      <c r="Y57" s="28" t="n"/>
      <c r="Z57" s="29" t="n"/>
      <c r="AA57" s="29" t="n"/>
      <c r="AB57" s="29" t="n"/>
      <c r="AC57" s="29" t="n"/>
    </row>
    <row r="58">
      <c r="A58" s="18" t="inlineStr">
        <is>
          <t>시가총액 (백만엔)</t>
        </is>
      </c>
      <c r="B58" s="12">
        <f>IF(OR(B56="",B57=""),"",B56*B57/1000000.0)</f>
        <v/>
      </c>
      <c r="C58" s="19" t="n"/>
      <c r="D58" s="20" t="n"/>
      <c r="E58" s="20" t="n"/>
      <c r="F58" s="20" t="n"/>
      <c r="G58" s="20" t="n"/>
      <c r="H58" s="20" t="n"/>
      <c r="I58" s="20" t="n"/>
      <c r="J58" s="20" t="n"/>
      <c r="K58" s="20" t="n"/>
      <c r="L58" s="20" t="n"/>
      <c r="M58" s="20" t="n"/>
      <c r="N58" s="20" t="n"/>
      <c r="O58" s="19" t="n"/>
      <c r="P58" s="20" t="n"/>
      <c r="Q58" s="20" t="n"/>
      <c r="R58" s="20" t="n"/>
      <c r="S58" s="20" t="n"/>
      <c r="T58" s="20" t="n"/>
      <c r="U58" s="20" t="n"/>
      <c r="V58" s="20" t="n"/>
      <c r="W58" s="20" t="n"/>
      <c r="X58" s="20" t="n"/>
      <c r="Y58" s="19" t="n"/>
      <c r="Z58" s="20" t="n"/>
      <c r="AA58" s="20" t="n"/>
      <c r="AB58" s="20" t="n"/>
      <c r="AC58" s="20" t="n"/>
    </row>
    <row r="59">
      <c r="A59" s="13" t="inlineStr">
        <is>
          <t>OPM</t>
        </is>
      </c>
      <c r="B59" s="10" t="n"/>
      <c r="C59" s="14" t="n"/>
      <c r="D59" s="15" t="n"/>
      <c r="E59" s="15" t="n"/>
      <c r="F59" s="15" t="n"/>
      <c r="G59" s="15" t="n"/>
      <c r="H59" s="15" t="n"/>
      <c r="I59" s="15" t="n"/>
      <c r="J59" s="15" t="n"/>
      <c r="K59" s="15" t="n"/>
      <c r="L59" s="15" t="n"/>
      <c r="M59" s="15" t="n"/>
      <c r="N59" s="15" t="n"/>
      <c r="O59" s="14">
        <f>IF(O26="","",O26)</f>
        <v/>
      </c>
      <c r="P59" s="15">
        <f>IF(P26="","",P26)</f>
        <v/>
      </c>
      <c r="Q59" s="15">
        <f>IF(Q26="","",Q26)</f>
        <v/>
      </c>
      <c r="R59" s="15">
        <f>IF(R26="","",R26)</f>
        <v/>
      </c>
      <c r="S59" s="15">
        <f>IF(S26="","",S26)</f>
        <v/>
      </c>
      <c r="T59" s="15">
        <f>IF(T26="","",T26)</f>
        <v/>
      </c>
      <c r="U59" s="15">
        <f>IF(U26="","",U26)</f>
        <v/>
      </c>
      <c r="V59" s="15">
        <f>IF(V26="","",V26)</f>
        <v/>
      </c>
      <c r="W59" s="15">
        <f>IF(W26="","",W26)</f>
        <v/>
      </c>
      <c r="X59" s="15">
        <f>IF(X26="","",X26)</f>
        <v/>
      </c>
      <c r="Y59" s="14">
        <f>IF(Y26="","",Y26)</f>
        <v/>
      </c>
      <c r="Z59" s="15">
        <f>IF(Z26="","",Z26)</f>
        <v/>
      </c>
      <c r="AA59" s="15">
        <f>IF(AA26="","",AA26)</f>
        <v/>
      </c>
      <c r="AB59" s="15">
        <f>IF(AB26="","",AB26)</f>
        <v/>
      </c>
      <c r="AC59" s="15">
        <f>IF(AC26="","",AC26)</f>
        <v/>
      </c>
    </row>
    <row r="60">
      <c r="A60" s="13" t="inlineStr">
        <is>
          <t>지배주주 순이익 증가율</t>
        </is>
      </c>
      <c r="B60" s="10" t="n"/>
      <c r="C60" s="14" t="n"/>
      <c r="D60" s="15" t="n"/>
      <c r="E60" s="15" t="n"/>
      <c r="F60" s="15" t="n"/>
      <c r="G60" s="15" t="n"/>
      <c r="H60" s="15" t="n"/>
      <c r="I60" s="15" t="n"/>
      <c r="J60" s="15" t="n"/>
      <c r="K60" s="15" t="n"/>
      <c r="L60" s="15" t="n"/>
      <c r="M60" s="15" t="n"/>
      <c r="N60" s="15" t="n"/>
      <c r="O60" s="14" t="n"/>
      <c r="P60" s="15">
        <f>IF(OR(P53="",O53=""),"",IFERROR(P53/O53-1,""))</f>
        <v/>
      </c>
      <c r="Q60" s="15">
        <f>IF(OR(Q53="",P53=""),"",IFERROR(Q53/P53-1,""))</f>
        <v/>
      </c>
      <c r="R60" s="15">
        <f>IF(OR(R53="",Q53=""),"",IFERROR(R53/Q53-1,""))</f>
        <v/>
      </c>
      <c r="S60" s="15">
        <f>IF(OR(S53="",R53=""),"",IFERROR(S53/R53-1,""))</f>
        <v/>
      </c>
      <c r="T60" s="15">
        <f>IF(OR(T53="",S53=""),"",IFERROR(T53/S53-1,""))</f>
        <v/>
      </c>
      <c r="U60" s="15">
        <f>IF(OR(U53="",T53=""),"",IFERROR(U53/T53-1,""))</f>
        <v/>
      </c>
      <c r="V60" s="15">
        <f>IF(OR(V53="",U53=""),"",IFERROR(V53/U53-1,""))</f>
        <v/>
      </c>
      <c r="W60" s="15">
        <f>IF(OR(W53="",V53=""),"",IFERROR(W53/V53-1,""))</f>
        <v/>
      </c>
      <c r="X60" s="15">
        <f>IF(OR(X53="",W53=""),"",IFERROR(X53/W53-1,""))</f>
        <v/>
      </c>
      <c r="Y60" s="14">
        <f>IF(OR(Y53="",X53=""),"",IFERROR(Y53/X53-1,""))</f>
        <v/>
      </c>
      <c r="Z60" s="15">
        <f>IF(OR(Z53="",Y53=""),"",IFERROR(Z53/Y53-1,""))</f>
        <v/>
      </c>
      <c r="AA60" s="15">
        <f>IF(OR(AA53="",Z53=""),"",IFERROR(AA53/Z53-1,""))</f>
        <v/>
      </c>
      <c r="AB60" s="15">
        <f>IF(OR(AB53="",AA53=""),"",IFERROR(AB53/AA53-1,""))</f>
        <v/>
      </c>
      <c r="AC60" s="15">
        <f>IF(OR(AC53="",AB53=""),"",IFERROR(AC53/AB53-1,""))</f>
        <v/>
      </c>
    </row>
    <row r="61">
      <c r="A61" s="18" t="inlineStr">
        <is>
          <t>P/E (현재 주가)</t>
        </is>
      </c>
      <c r="B61" s="10" t="inlineStr">
        <is>
          <t>시총 ÷ 지배순이익</t>
        </is>
      </c>
      <c r="C61" s="30" t="n"/>
      <c r="D61" s="31" t="n"/>
      <c r="E61" s="31" t="n"/>
      <c r="F61" s="31" t="n"/>
      <c r="G61" s="31" t="n"/>
      <c r="H61" s="31" t="n"/>
      <c r="I61" s="31" t="n"/>
      <c r="J61" s="31" t="n"/>
      <c r="K61" s="31" t="n"/>
      <c r="L61" s="31" t="n"/>
      <c r="M61" s="31" t="n"/>
      <c r="N61" s="31" t="n"/>
      <c r="O61" s="30" t="n"/>
      <c r="P61" s="31" t="n"/>
      <c r="Q61" s="31" t="n"/>
      <c r="R61" s="31" t="n"/>
      <c r="S61" s="31" t="n"/>
      <c r="T61" s="31" t="n"/>
      <c r="U61" s="31" t="n"/>
      <c r="V61" s="31" t="n"/>
      <c r="W61" s="31" t="n"/>
      <c r="X61" s="31">
        <f>IF(OR($B$58="",X53=""),"",IFERROR($B$58/X53,""))</f>
        <v/>
      </c>
      <c r="Y61" s="30">
        <f>IF(OR($B$58="",Y53=""),"",IFERROR($B$58/Y53,""))</f>
        <v/>
      </c>
      <c r="Z61" s="31">
        <f>IF(OR($B$58="",Z53=""),"",IFERROR($B$58/Z53,""))</f>
        <v/>
      </c>
      <c r="AA61" s="31">
        <f>IF(OR($B$58="",AA53=""),"",IFERROR($B$58/AA53,""))</f>
        <v/>
      </c>
      <c r="AB61" s="31">
        <f>IF(OR($B$58="",AB53=""),"",IFERROR($B$58/AB53,""))</f>
        <v/>
      </c>
      <c r="AC61" s="31">
        <f>IF(OR($B$58="",AC53=""),"",IFERROR($B$58/AC53,""))</f>
        <v/>
      </c>
    </row>
    <row r="62">
      <c r="A62" s="18" t="inlineStr">
        <is>
          <t>Target P/E</t>
        </is>
      </c>
      <c r="B62" s="10" t="inlineStr">
        <is>
          <t>직접 입력</t>
        </is>
      </c>
      <c r="C62" s="30" t="n"/>
      <c r="D62" s="31" t="n"/>
      <c r="E62" s="31" t="n"/>
      <c r="F62" s="31" t="n"/>
      <c r="G62" s="31" t="n"/>
      <c r="H62" s="31" t="n"/>
      <c r="I62" s="31" t="n"/>
      <c r="J62" s="31" t="n"/>
      <c r="K62" s="31" t="n"/>
      <c r="L62" s="31" t="n"/>
      <c r="M62" s="31" t="n"/>
      <c r="N62" s="31" t="n"/>
      <c r="O62" s="30" t="n"/>
      <c r="P62" s="31" t="n"/>
      <c r="Q62" s="31" t="n"/>
      <c r="R62" s="31" t="n"/>
      <c r="S62" s="31" t="n"/>
      <c r="T62" s="31" t="n"/>
      <c r="U62" s="31" t="n"/>
      <c r="V62" s="31" t="n"/>
      <c r="W62" s="31" t="n"/>
      <c r="X62" s="31" t="n"/>
      <c r="Y62" s="32" t="n"/>
      <c r="Z62" s="33" t="n"/>
      <c r="AA62" s="33" t="n"/>
      <c r="AB62" s="33" t="n"/>
      <c r="AC62" s="33" t="n"/>
    </row>
    <row r="63">
      <c r="A63" s="18" t="inlineStr">
        <is>
          <t>EPS</t>
        </is>
      </c>
      <c r="B63" s="10" t="inlineStr">
        <is>
          <t>지배순이익 ÷ 주식수</t>
        </is>
      </c>
      <c r="C63" s="28" t="n"/>
      <c r="D63" s="29" t="n"/>
      <c r="E63" s="29" t="n"/>
      <c r="F63" s="29" t="n"/>
      <c r="G63" s="29" t="n"/>
      <c r="H63" s="29" t="n"/>
      <c r="I63" s="29" t="n"/>
      <c r="J63" s="29" t="n"/>
      <c r="K63" s="29" t="n"/>
      <c r="L63" s="29" t="n"/>
      <c r="M63" s="29" t="n"/>
      <c r="N63" s="29" t="n"/>
      <c r="O63" s="28">
        <f>IF(OR(O53="",$B$57=""),"",IFERROR(O53*1000000.0/$B$57,""))</f>
        <v/>
      </c>
      <c r="P63" s="29">
        <f>IF(OR(P53="",$B$57=""),"",IFERROR(P53*1000000.0/$B$57,""))</f>
        <v/>
      </c>
      <c r="Q63" s="29">
        <f>IF(OR(Q53="",$B$57=""),"",IFERROR(Q53*1000000.0/$B$57,""))</f>
        <v/>
      </c>
      <c r="R63" s="29">
        <f>IF(OR(R53="",$B$57=""),"",IFERROR(R53*1000000.0/$B$57,""))</f>
        <v/>
      </c>
      <c r="S63" s="29">
        <f>IF(OR(S53="",$B$57=""),"",IFERROR(S53*1000000.0/$B$57,""))</f>
        <v/>
      </c>
      <c r="T63" s="29">
        <f>IF(OR(T53="",$B$57=""),"",IFERROR(T53*1000000.0/$B$57,""))</f>
        <v/>
      </c>
      <c r="U63" s="29">
        <f>IF(OR(U53="",$B$57=""),"",IFERROR(U53*1000000.0/$B$57,""))</f>
        <v/>
      </c>
      <c r="V63" s="29">
        <f>IF(OR(V53="",$B$57=""),"",IFERROR(V53*1000000.0/$B$57,""))</f>
        <v/>
      </c>
      <c r="W63" s="29">
        <f>IF(OR(W53="",$B$57=""),"",IFERROR(W53*1000000.0/$B$57,""))</f>
        <v/>
      </c>
      <c r="X63" s="29">
        <f>IF(OR(X53="",$B$57=""),"",IFERROR(X53*1000000.0/$B$57,""))</f>
        <v/>
      </c>
      <c r="Y63" s="28">
        <f>IF(OR(Y53="",$B$57=""),"",IFERROR(Y53*1000000.0/$B$57,""))</f>
        <v/>
      </c>
      <c r="Z63" s="29">
        <f>IF(OR(Z53="",$B$57=""),"",IFERROR(Z53*1000000.0/$B$57,""))</f>
        <v/>
      </c>
      <c r="AA63" s="29">
        <f>IF(OR(AA53="",$B$57=""),"",IFERROR(AA53*1000000.0/$B$57,""))</f>
        <v/>
      </c>
      <c r="AB63" s="29">
        <f>IF(OR(AB53="",$B$57=""),"",IFERROR(AB53*1000000.0/$B$57,""))</f>
        <v/>
      </c>
      <c r="AC63" s="29">
        <f>IF(OR(AC53="",$B$57=""),"",IFERROR(AC53*1000000.0/$B$57,""))</f>
        <v/>
      </c>
    </row>
    <row r="64">
      <c r="A64" s="9" t="inlineStr">
        <is>
          <t>목표주가</t>
        </is>
      </c>
      <c r="B64" s="10" t="n"/>
      <c r="C64" s="34" t="n"/>
      <c r="D64" s="27" t="n"/>
      <c r="E64" s="27" t="n"/>
      <c r="F64" s="27" t="n"/>
      <c r="G64" s="27" t="n"/>
      <c r="H64" s="27" t="n"/>
      <c r="I64" s="27" t="n"/>
      <c r="J64" s="27" t="n"/>
      <c r="K64" s="27" t="n"/>
      <c r="L64" s="27" t="n"/>
      <c r="M64" s="27" t="n"/>
      <c r="N64" s="27" t="n"/>
      <c r="O64" s="34" t="n"/>
      <c r="P64" s="27" t="n"/>
      <c r="Q64" s="27" t="n"/>
      <c r="R64" s="27" t="n"/>
      <c r="S64" s="27" t="n"/>
      <c r="T64" s="27" t="n"/>
      <c r="U64" s="27" t="n"/>
      <c r="V64" s="27" t="n"/>
      <c r="W64" s="27" t="n"/>
      <c r="X64" s="27" t="n"/>
      <c r="Y64" s="34">
        <f>IF(OR(Y63="",Y62=""),"",IFERROR(Y63*Y62,""))</f>
        <v/>
      </c>
      <c r="Z64" s="27">
        <f>IF(OR(Z63="",Z62=""),"",IFERROR(Z63*Z62,""))</f>
        <v/>
      </c>
      <c r="AA64" s="27">
        <f>IF(OR(AA63="",AA62=""),"",IFERROR(AA63*AA62,""))</f>
        <v/>
      </c>
      <c r="AB64" s="27">
        <f>IF(OR(AB63="",AB62=""),"",IFERROR(AB63*AB62,""))</f>
        <v/>
      </c>
      <c r="AC64" s="27">
        <f>IF(OR(AC63="",AC62=""),"",IFERROR(AC63*AC62,""))</f>
        <v/>
      </c>
    </row>
    <row r="65">
      <c r="A65" s="18" t="inlineStr">
        <is>
          <t>상승여력</t>
        </is>
      </c>
      <c r="B65" s="10" t="n"/>
      <c r="C65" s="35" t="n"/>
      <c r="D65" s="36" t="n"/>
      <c r="E65" s="36" t="n"/>
      <c r="F65" s="36" t="n"/>
      <c r="G65" s="36" t="n"/>
      <c r="H65" s="36" t="n"/>
      <c r="I65" s="36" t="n"/>
      <c r="J65" s="36" t="n"/>
      <c r="K65" s="36" t="n"/>
      <c r="L65" s="36" t="n"/>
      <c r="M65" s="36" t="n"/>
      <c r="N65" s="36" t="n"/>
      <c r="O65" s="35" t="n"/>
      <c r="P65" s="36" t="n"/>
      <c r="Q65" s="36" t="n"/>
      <c r="R65" s="36" t="n"/>
      <c r="S65" s="36" t="n"/>
      <c r="T65" s="36" t="n"/>
      <c r="U65" s="36" t="n"/>
      <c r="V65" s="36" t="n"/>
      <c r="W65" s="36" t="n"/>
      <c r="X65" s="36" t="n"/>
      <c r="Y65" s="37">
        <f>IF(OR(Y64="",$B$56=""),"",IFERROR(Y64/$B$56-1,""))</f>
        <v/>
      </c>
      <c r="Z65" s="38">
        <f>IF(OR(Z64="",$B$56=""),"",IFERROR(Z64/$B$56-1,""))</f>
        <v/>
      </c>
      <c r="AA65" s="38">
        <f>IF(OR(AA64="",$B$56=""),"",IFERROR(AA64/$B$56-1,""))</f>
        <v/>
      </c>
      <c r="AB65" s="38">
        <f>IF(OR(AB64="",$B$56=""),"",IFERROR(AB64/$B$56-1,""))</f>
        <v/>
      </c>
      <c r="AC65" s="38">
        <f>IF(OR(AC64="",$B$56=""),"",IFERROR(AC64/$B$56-1,""))</f>
        <v/>
      </c>
    </row>
    <row r="66">
      <c r="A66" s="16" t="inlineStr">
        <is>
          <t>자산가치 산출</t>
        </is>
      </c>
      <c r="B66" s="16" t="inlineStr">
        <is>
          <t>최신 분기 BS</t>
        </is>
      </c>
      <c r="C66" s="17" t="n"/>
      <c r="D66" s="16" t="n"/>
      <c r="E66" s="16" t="n"/>
      <c r="F66" s="16" t="n"/>
      <c r="G66" s="16" t="n"/>
      <c r="H66" s="16" t="n"/>
      <c r="I66" s="16" t="n"/>
      <c r="J66" s="16" t="n"/>
      <c r="K66" s="16" t="n"/>
      <c r="L66" s="16" t="n"/>
      <c r="M66" s="16" t="n"/>
      <c r="N66" s="16" t="n"/>
      <c r="O66" s="17" t="n"/>
      <c r="P66" s="16" t="n"/>
      <c r="Q66" s="16" t="n"/>
      <c r="R66" s="16" t="n"/>
      <c r="S66" s="16" t="n"/>
      <c r="T66" s="16" t="n"/>
      <c r="U66" s="16" t="n"/>
      <c r="V66" s="16" t="n"/>
      <c r="W66" s="16" t="n"/>
      <c r="X66" s="16" t="n"/>
      <c r="Y66" s="17" t="n"/>
      <c r="Z66" s="16" t="n"/>
      <c r="AA66" s="16" t="n"/>
      <c r="AB66" s="16" t="n"/>
      <c r="AC66" s="16" t="n"/>
    </row>
    <row r="67">
      <c r="A67" s="18" t="inlineStr">
        <is>
          <t>현금및현금성자산</t>
        </is>
      </c>
      <c r="B67" s="10" t="n"/>
      <c r="C67" s="19" t="n"/>
      <c r="D67" s="20" t="n"/>
      <c r="E67" s="20" t="n"/>
      <c r="F67" s="20" t="n"/>
      <c r="G67" s="20" t="n"/>
      <c r="H67" s="20" t="n"/>
      <c r="I67" s="20" t="n"/>
      <c r="J67" s="20" t="n"/>
      <c r="K67" s="20" t="n"/>
      <c r="L67" s="20" t="n"/>
      <c r="M67" s="20" t="n"/>
      <c r="N67" s="20" t="n"/>
      <c r="O67" s="19" t="n"/>
      <c r="P67" s="20" t="n"/>
      <c r="Q67" s="20" t="n"/>
      <c r="R67" s="20" t="n"/>
      <c r="S67" s="20" t="n"/>
      <c r="T67" s="20" t="n"/>
      <c r="U67" s="20" t="n"/>
      <c r="V67" s="20" t="n"/>
      <c r="W67" s="20" t="n"/>
      <c r="X67" s="20">
        <f>'재무상태표'!G6</f>
        <v/>
      </c>
      <c r="Y67" s="19">
        <f>'재무상태표'!G6</f>
        <v/>
      </c>
      <c r="Z67" s="20">
        <f>'재무상태표'!G6</f>
        <v/>
      </c>
      <c r="AA67" s="20">
        <f>'재무상태표'!G6</f>
        <v/>
      </c>
      <c r="AB67" s="20">
        <f>'재무상태표'!G6</f>
        <v/>
      </c>
      <c r="AC67" s="20">
        <f>'재무상태표'!G6</f>
        <v/>
      </c>
    </row>
    <row r="68">
      <c r="A68" s="18" t="inlineStr">
        <is>
          <t>단기금융상품</t>
        </is>
      </c>
      <c r="B68" s="10" t="n"/>
      <c r="C68" s="19" t="n"/>
      <c r="D68" s="20" t="n"/>
      <c r="E68" s="20" t="n"/>
      <c r="F68" s="20" t="n"/>
      <c r="G68" s="20" t="n"/>
      <c r="H68" s="20" t="n"/>
      <c r="I68" s="20" t="n"/>
      <c r="J68" s="20" t="n"/>
      <c r="K68" s="20" t="n"/>
      <c r="L68" s="20" t="n"/>
      <c r="M68" s="20" t="n"/>
      <c r="N68" s="20" t="n"/>
      <c r="O68" s="19" t="n"/>
      <c r="P68" s="20" t="n"/>
      <c r="Q68" s="20" t="n"/>
      <c r="R68" s="20" t="n"/>
      <c r="S68" s="20" t="n"/>
      <c r="T68" s="20" t="n"/>
      <c r="U68" s="20" t="n"/>
      <c r="V68" s="20" t="n"/>
      <c r="W68" s="20" t="n"/>
      <c r="X68" s="20">
        <f>'재무상태표'!G7</f>
        <v/>
      </c>
      <c r="Y68" s="19">
        <f>'재무상태표'!G7</f>
        <v/>
      </c>
      <c r="Z68" s="20">
        <f>'재무상태표'!G7</f>
        <v/>
      </c>
      <c r="AA68" s="20">
        <f>'재무상태표'!G7</f>
        <v/>
      </c>
      <c r="AB68" s="20">
        <f>'재무상태표'!G7</f>
        <v/>
      </c>
      <c r="AC68" s="20">
        <f>'재무상태표'!G7</f>
        <v/>
      </c>
    </row>
    <row r="69">
      <c r="A69" s="18" t="inlineStr">
        <is>
          <t>투자부동산</t>
        </is>
      </c>
      <c r="B69" s="10" t="n"/>
      <c r="C69" s="19" t="n"/>
      <c r="D69" s="20" t="n"/>
      <c r="E69" s="20" t="n"/>
      <c r="F69" s="20" t="n"/>
      <c r="G69" s="20" t="n"/>
      <c r="H69" s="20" t="n"/>
      <c r="I69" s="20" t="n"/>
      <c r="J69" s="20" t="n"/>
      <c r="K69" s="20" t="n"/>
      <c r="L69" s="20" t="n"/>
      <c r="M69" s="20" t="n"/>
      <c r="N69" s="20" t="n"/>
      <c r="O69" s="19" t="n"/>
      <c r="P69" s="20" t="n"/>
      <c r="Q69" s="20" t="n"/>
      <c r="R69" s="20" t="n"/>
      <c r="S69" s="20" t="n"/>
      <c r="T69" s="20" t="n"/>
      <c r="U69" s="20" t="n"/>
      <c r="V69" s="20" t="n"/>
      <c r="W69" s="20" t="n"/>
      <c r="X69" s="20">
        <f>'재무상태표'!G14</f>
        <v/>
      </c>
      <c r="Y69" s="19">
        <f>'재무상태표'!G14</f>
        <v/>
      </c>
      <c r="Z69" s="20">
        <f>'재무상태표'!G14</f>
        <v/>
      </c>
      <c r="AA69" s="20">
        <f>'재무상태표'!G14</f>
        <v/>
      </c>
      <c r="AB69" s="20">
        <f>'재무상태표'!G14</f>
        <v/>
      </c>
      <c r="AC69" s="20">
        <f>'재무상태표'!G14</f>
        <v/>
      </c>
    </row>
    <row r="70">
      <c r="A70" s="18" t="inlineStr">
        <is>
          <t>지배자본</t>
        </is>
      </c>
      <c r="B70" s="10" t="n"/>
      <c r="C70" s="19" t="n"/>
      <c r="D70" s="20" t="n"/>
      <c r="E70" s="20" t="n"/>
      <c r="F70" s="20" t="n"/>
      <c r="G70" s="20" t="n"/>
      <c r="H70" s="20" t="n"/>
      <c r="I70" s="20" t="n"/>
      <c r="J70" s="20" t="n"/>
      <c r="K70" s="20" t="n"/>
      <c r="L70" s="20" t="n"/>
      <c r="M70" s="20" t="n"/>
      <c r="N70" s="20" t="n"/>
      <c r="O70" s="19" t="n"/>
      <c r="P70" s="20" t="n"/>
      <c r="Q70" s="20" t="n"/>
      <c r="R70" s="20" t="n"/>
      <c r="S70" s="20" t="n"/>
      <c r="T70" s="20" t="n"/>
      <c r="U70" s="20" t="n"/>
      <c r="V70" s="20" t="n"/>
      <c r="W70" s="20" t="n"/>
      <c r="X70" s="20">
        <f>'재무상태표'!G31</f>
        <v/>
      </c>
      <c r="Y70" s="19">
        <f>'재무상태표'!G31</f>
        <v/>
      </c>
      <c r="Z70" s="20">
        <f>'재무상태표'!G31</f>
        <v/>
      </c>
      <c r="AA70" s="20">
        <f>'재무상태표'!G31</f>
        <v/>
      </c>
      <c r="AB70" s="20">
        <f>'재무상태표'!G31</f>
        <v/>
      </c>
      <c r="AC70" s="20">
        <f>'재무상태표'!G31</f>
        <v/>
      </c>
    </row>
    <row r="71">
      <c r="A71" s="18" t="inlineStr">
        <is>
          <t>부채</t>
        </is>
      </c>
      <c r="B71" s="10" t="n"/>
      <c r="C71" s="19" t="n"/>
      <c r="D71" s="20" t="n"/>
      <c r="E71" s="20" t="n"/>
      <c r="F71" s="20" t="n"/>
      <c r="G71" s="20" t="n"/>
      <c r="H71" s="20" t="n"/>
      <c r="I71" s="20" t="n"/>
      <c r="J71" s="20" t="n"/>
      <c r="K71" s="20" t="n"/>
      <c r="L71" s="20" t="n"/>
      <c r="M71" s="20" t="n"/>
      <c r="N71" s="20" t="n"/>
      <c r="O71" s="19" t="n"/>
      <c r="P71" s="20" t="n"/>
      <c r="Q71" s="20" t="n"/>
      <c r="R71" s="20" t="n"/>
      <c r="S71" s="20" t="n"/>
      <c r="T71" s="20" t="n"/>
      <c r="U71" s="20" t="n"/>
      <c r="V71" s="20" t="n"/>
      <c r="W71" s="20" t="n"/>
      <c r="X71" s="20">
        <f>'재무상태표'!G27</f>
        <v/>
      </c>
      <c r="Y71" s="19">
        <f>'재무상태표'!G27</f>
        <v/>
      </c>
      <c r="Z71" s="20">
        <f>'재무상태표'!G27</f>
        <v/>
      </c>
      <c r="AA71" s="20">
        <f>'재무상태표'!G27</f>
        <v/>
      </c>
      <c r="AB71" s="20">
        <f>'재무상태표'!G27</f>
        <v/>
      </c>
      <c r="AC71" s="20">
        <f>'재무상태표'!G27</f>
        <v/>
      </c>
    </row>
    <row r="72">
      <c r="A72" s="13" t="inlineStr">
        <is>
          <t>부채비율</t>
        </is>
      </c>
      <c r="B72" s="10" t="n"/>
      <c r="C72" s="14" t="n"/>
      <c r="D72" s="15" t="n"/>
      <c r="E72" s="15" t="n"/>
      <c r="F72" s="15" t="n"/>
      <c r="G72" s="15" t="n"/>
      <c r="H72" s="15" t="n"/>
      <c r="I72" s="15" t="n"/>
      <c r="J72" s="15" t="n"/>
      <c r="K72" s="15" t="n"/>
      <c r="L72" s="15" t="n"/>
      <c r="M72" s="15" t="n"/>
      <c r="N72" s="15" t="n"/>
      <c r="O72" s="14" t="n"/>
      <c r="P72" s="15" t="n"/>
      <c r="Q72" s="15" t="n"/>
      <c r="R72" s="15" t="n"/>
      <c r="S72" s="15" t="n"/>
      <c r="T72" s="15" t="n"/>
      <c r="U72" s="15" t="n"/>
      <c r="V72" s="15" t="n"/>
      <c r="W72" s="15" t="n"/>
      <c r="X72" s="15">
        <f>IF(OR(X71="",X70=""),"",IFERROR(X71/X70,""))</f>
        <v/>
      </c>
      <c r="Y72" s="14">
        <f>IF(OR(Y71="",Y70=""),"",IFERROR(Y71/Y70,""))</f>
        <v/>
      </c>
      <c r="Z72" s="15">
        <f>IF(OR(Z71="",Z70=""),"",IFERROR(Z71/Z70,""))</f>
        <v/>
      </c>
      <c r="AA72" s="15">
        <f>IF(OR(AA71="",AA70=""),"",IFERROR(AA71/AA70,""))</f>
        <v/>
      </c>
      <c r="AB72" s="15">
        <f>IF(OR(AB71="",AB70=""),"",IFERROR(AB71/AB70,""))</f>
        <v/>
      </c>
      <c r="AC72" s="15">
        <f>IF(OR(AC71="",AC70=""),"",IFERROR(AC71/AC70,""))</f>
        <v/>
      </c>
    </row>
    <row r="73">
      <c r="A73" s="9" t="inlineStr">
        <is>
          <t>자산가치</t>
        </is>
      </c>
      <c r="B73" s="10" t="inlineStr">
        <is>
          <t>현금+단기금융+투자부동산</t>
        </is>
      </c>
      <c r="C73" s="11" t="n"/>
      <c r="D73" s="12" t="n"/>
      <c r="E73" s="12" t="n"/>
      <c r="F73" s="12" t="n"/>
      <c r="G73" s="12" t="n"/>
      <c r="H73" s="12" t="n"/>
      <c r="I73" s="12" t="n"/>
      <c r="J73" s="12" t="n"/>
      <c r="K73" s="12" t="n"/>
      <c r="L73" s="12" t="n"/>
      <c r="M73" s="12" t="n"/>
      <c r="N73" s="12" t="n"/>
      <c r="O73" s="11" t="n"/>
      <c r="P73" s="12" t="n"/>
      <c r="Q73" s="12" t="n"/>
      <c r="R73" s="12" t="n"/>
      <c r="S73" s="12" t="n"/>
      <c r="T73" s="12" t="n"/>
      <c r="U73" s="12" t="n"/>
      <c r="V73" s="12" t="n"/>
      <c r="W73" s="12" t="n"/>
      <c r="X73" s="12">
        <f>SUM(X67,X68,X69)</f>
        <v/>
      </c>
      <c r="Y73" s="11">
        <f>SUM(Y67,Y68,Y69)</f>
        <v/>
      </c>
      <c r="Z73" s="12">
        <f>SUM(Z67,Z68,Z69)</f>
        <v/>
      </c>
      <c r="AA73" s="12">
        <f>SUM(AA67,AA68,AA69)</f>
        <v/>
      </c>
      <c r="AB73" s="12">
        <f>SUM(AB67,AB68,AB69)</f>
        <v/>
      </c>
      <c r="AC73" s="12">
        <f>SUM(AC67,AC68,AC69)</f>
        <v/>
      </c>
    </row>
    <row r="74">
      <c r="A74" s="16" t="inlineStr">
        <is>
          <t>기업가치 산출</t>
        </is>
      </c>
      <c r="B74" s="16" t="n"/>
      <c r="C74" s="17" t="n"/>
      <c r="D74" s="16" t="n"/>
      <c r="E74" s="16" t="n"/>
      <c r="F74" s="16" t="n"/>
      <c r="G74" s="16" t="n"/>
      <c r="H74" s="16" t="n"/>
      <c r="I74" s="16" t="n"/>
      <c r="J74" s="16" t="n"/>
      <c r="K74" s="16" t="n"/>
      <c r="L74" s="16" t="n"/>
      <c r="M74" s="16" t="n"/>
      <c r="N74" s="16" t="n"/>
      <c r="O74" s="17" t="n"/>
      <c r="P74" s="16" t="n"/>
      <c r="Q74" s="16" t="n"/>
      <c r="R74" s="16" t="n"/>
      <c r="S74" s="16" t="n"/>
      <c r="T74" s="16" t="n"/>
      <c r="U74" s="16" t="n"/>
      <c r="V74" s="16" t="n"/>
      <c r="W74" s="16" t="n"/>
      <c r="X74" s="16" t="n"/>
      <c r="Y74" s="17" t="n"/>
      <c r="Z74" s="16" t="n"/>
      <c r="AA74" s="16" t="n"/>
      <c r="AB74" s="16" t="n"/>
      <c r="AC74" s="16" t="n"/>
    </row>
    <row r="75">
      <c r="A75" s="18" t="inlineStr">
        <is>
          <t>목표 시가총액 (P/E)</t>
        </is>
      </c>
      <c r="B75" s="10" t="inlineStr">
        <is>
          <t>지배순이익 × Target P/E</t>
        </is>
      </c>
      <c r="C75" s="19" t="n"/>
      <c r="D75" s="20" t="n"/>
      <c r="E75" s="20" t="n"/>
      <c r="F75" s="20" t="n"/>
      <c r="G75" s="20" t="n"/>
      <c r="H75" s="20" t="n"/>
      <c r="I75" s="20" t="n"/>
      <c r="J75" s="20" t="n"/>
      <c r="K75" s="20" t="n"/>
      <c r="L75" s="20" t="n"/>
      <c r="M75" s="20" t="n"/>
      <c r="N75" s="20" t="n"/>
      <c r="O75" s="19" t="n"/>
      <c r="P75" s="20" t="n"/>
      <c r="Q75" s="20" t="n"/>
      <c r="R75" s="20" t="n"/>
      <c r="S75" s="20" t="n"/>
      <c r="T75" s="20" t="n"/>
      <c r="U75" s="20" t="n"/>
      <c r="V75" s="20" t="n"/>
      <c r="W75" s="20" t="n"/>
      <c r="X75" s="20" t="n"/>
      <c r="Y75" s="19">
        <f>IF(OR(Y53="",Y62=""),"",IFERROR(Y53*Y62,""))</f>
        <v/>
      </c>
      <c r="Z75" s="20">
        <f>IF(OR(Z53="",Z62=""),"",IFERROR(Z53*Z62,""))</f>
        <v/>
      </c>
      <c r="AA75" s="20">
        <f>IF(OR(AA53="",AA62=""),"",IFERROR(AA53*AA62,""))</f>
        <v/>
      </c>
      <c r="AB75" s="20">
        <f>IF(OR(AB53="",AB62=""),"",IFERROR(AB53*AB62,""))</f>
        <v/>
      </c>
      <c r="AC75" s="20">
        <f>IF(OR(AC53="",AC62=""),"",IFERROR(AC53*AC62,""))</f>
        <v/>
      </c>
    </row>
    <row r="76">
      <c r="A76" s="9" t="inlineStr">
        <is>
          <t>기업가치</t>
        </is>
      </c>
      <c r="B76" s="10" t="inlineStr">
        <is>
          <t>목표시총 + 자산가치</t>
        </is>
      </c>
      <c r="C76" s="11" t="n"/>
      <c r="D76" s="12" t="n"/>
      <c r="E76" s="12" t="n"/>
      <c r="F76" s="12" t="n"/>
      <c r="G76" s="12" t="n"/>
      <c r="H76" s="12" t="n"/>
      <c r="I76" s="12" t="n"/>
      <c r="J76" s="12" t="n"/>
      <c r="K76" s="12" t="n"/>
      <c r="L76" s="12" t="n"/>
      <c r="M76" s="12" t="n"/>
      <c r="N76" s="12" t="n"/>
      <c r="O76" s="11" t="n"/>
      <c r="P76" s="12" t="n"/>
      <c r="Q76" s="12" t="n"/>
      <c r="R76" s="12" t="n"/>
      <c r="S76" s="12" t="n"/>
      <c r="T76" s="12" t="n"/>
      <c r="U76" s="12" t="n"/>
      <c r="V76" s="12" t="n"/>
      <c r="W76" s="12" t="n"/>
      <c r="X76" s="12" t="n"/>
      <c r="Y76" s="11">
        <f>IF(OR(Y75=""),"",IFERROR(Y75+Y73,""))</f>
        <v/>
      </c>
      <c r="Z76" s="12">
        <f>IF(OR(Z75=""),"",IFERROR(Z75+Z73,""))</f>
        <v/>
      </c>
      <c r="AA76" s="12">
        <f>IF(OR(AA75=""),"",IFERROR(AA75+AA73,""))</f>
        <v/>
      </c>
      <c r="AB76" s="12">
        <f>IF(OR(AB75=""),"",IFERROR(AB75+AB73,""))</f>
        <v/>
      </c>
      <c r="AC76" s="12">
        <f>IF(OR(AC75=""),"",IFERROR(AC75+AC73,""))</f>
        <v/>
      </c>
    </row>
    <row r="77">
      <c r="A77" s="18" t="inlineStr">
        <is>
          <t>현재 시가총액</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t="n"/>
      <c r="Y77" s="19">
        <f>$B$58</f>
        <v/>
      </c>
      <c r="Z77" s="20">
        <f>$B$58</f>
        <v/>
      </c>
      <c r="AA77" s="20">
        <f>$B$58</f>
        <v/>
      </c>
      <c r="AB77" s="20">
        <f>$B$58</f>
        <v/>
      </c>
      <c r="AC77" s="20">
        <f>$B$58</f>
        <v/>
      </c>
    </row>
    <row r="78">
      <c r="A78" s="18" t="inlineStr">
        <is>
          <t>상승여력</t>
        </is>
      </c>
      <c r="B78" s="10" t="n"/>
      <c r="C78" s="35" t="n"/>
      <c r="D78" s="36" t="n"/>
      <c r="E78" s="36" t="n"/>
      <c r="F78" s="36" t="n"/>
      <c r="G78" s="36" t="n"/>
      <c r="H78" s="36" t="n"/>
      <c r="I78" s="36" t="n"/>
      <c r="J78" s="36" t="n"/>
      <c r="K78" s="36" t="n"/>
      <c r="L78" s="36" t="n"/>
      <c r="M78" s="36" t="n"/>
      <c r="N78" s="36" t="n"/>
      <c r="O78" s="35" t="n"/>
      <c r="P78" s="36" t="n"/>
      <c r="Q78" s="36" t="n"/>
      <c r="R78" s="36" t="n"/>
      <c r="S78" s="36" t="n"/>
      <c r="T78" s="36" t="n"/>
      <c r="U78" s="36" t="n"/>
      <c r="V78" s="36" t="n"/>
      <c r="W78" s="36" t="n"/>
      <c r="X78" s="36" t="n"/>
      <c r="Y78" s="37">
        <f>IF(OR(Y76="",Y77=""),"",IFERROR(Y76/Y77-1,""))</f>
        <v/>
      </c>
      <c r="Z78" s="38">
        <f>IF(OR(Z76="",Z77=""),"",IFERROR(Z76/Z77-1,""))</f>
        <v/>
      </c>
      <c r="AA78" s="38">
        <f>IF(OR(AA76="",AA77=""),"",IFERROR(AA76/AA77-1,""))</f>
        <v/>
      </c>
      <c r="AB78" s="38">
        <f>IF(OR(AB76="",AB77=""),"",IFERROR(AB76/AB77-1,""))</f>
        <v/>
      </c>
      <c r="AC78" s="38">
        <f>IF(OR(AC76="",AC77=""),"",IFERROR(AC76/AC77-1,""))</f>
        <v/>
      </c>
    </row>
    <row r="79">
      <c r="C79" s="39" t="n"/>
      <c r="O79" s="39" t="n"/>
      <c r="Y79" s="39" t="n"/>
    </row>
    <row r="80">
      <c r="A80" s="40" t="inlineStr">
        <is>
          <t>출처</t>
        </is>
      </c>
      <c r="C80" s="39" t="n"/>
      <c r="O80" s="39" t="n"/>
      <c r="Y80" s="39" t="n"/>
    </row>
    <row r="81">
      <c r="A81" s="41" t="inlineStr">
        <is>
          <t>결산단신 XBRL(TDnet·JPX 보관소) — 쓴 문서는 '출처' 시트</t>
        </is>
      </c>
      <c r="C81" s="39" t="n"/>
      <c r="O81" s="39" t="n"/>
      <c r="Y81" s="39" t="n"/>
    </row>
    <row r="82">
      <c r="A82" s="41" t="inlineStr">
        <is>
          <t>분기 = 누계에서 앞 분기를 뺀 3개월 값</t>
        </is>
      </c>
      <c r="C82" s="39" t="n"/>
      <c r="O82" s="39" t="n"/>
      <c r="Y82" s="39" t="n"/>
    </row>
    <row r="83">
      <c r="A83" s="41" t="inlineStr">
        <is>
          <t>주가: 야후 파이낸스 일봉 2026.10.26</t>
        </is>
      </c>
      <c r="C83" s="39" t="n"/>
      <c r="O83" s="39" t="n"/>
      <c r="Y83" s="39" t="n"/>
    </row>
    <row r="85">
      <c r="A85" s="16" t="inlineStr">
        <is>
          <t>손익계산서 · 전 항목</t>
        </is>
      </c>
      <c r="B85" s="42" t="inlineStr">
        <is>
          <t>분기 = 3개월 단독</t>
        </is>
      </c>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c r="AB85" s="16" t="n"/>
      <c r="AC85" s="16" t="n"/>
    </row>
    <row r="86">
      <c r="A86" s="5" t="inlineStr">
        <is>
          <t>항목</t>
        </is>
      </c>
      <c r="B86" s="5" t="inlineStr">
        <is>
          <t>참고</t>
        </is>
      </c>
      <c r="C86" s="5" t="inlineStr">
        <is>
          <t>2023.3Q</t>
        </is>
      </c>
      <c r="D86" s="5" t="inlineStr">
        <is>
          <t>2023.4Q</t>
        </is>
      </c>
      <c r="E86" s="5" t="inlineStr">
        <is>
          <t>2024.1Q</t>
        </is>
      </c>
      <c r="F86" s="5" t="inlineStr">
        <is>
          <t>2024.2Q</t>
        </is>
      </c>
      <c r="G86" s="5" t="inlineStr">
        <is>
          <t>2024.3Q</t>
        </is>
      </c>
      <c r="H86" s="5" t="inlineStr">
        <is>
          <t>2024.4Q</t>
        </is>
      </c>
      <c r="I86" s="5" t="inlineStr">
        <is>
          <t>2025.1Q</t>
        </is>
      </c>
      <c r="J86" s="5" t="inlineStr">
        <is>
          <t>2025.2Q</t>
        </is>
      </c>
      <c r="K86" s="5" t="inlineStr">
        <is>
          <t>2025.3Q</t>
        </is>
      </c>
      <c r="L86" s="5" t="inlineStr">
        <is>
          <t>2025.4Q</t>
        </is>
      </c>
      <c r="M86" s="5" t="inlineStr">
        <is>
          <t>2026.1Q</t>
        </is>
      </c>
      <c r="N86" s="5" t="inlineStr">
        <is>
          <t>2026.2Q</t>
        </is>
      </c>
      <c r="O86" s="5" t="inlineStr">
        <is>
          <t>2016</t>
        </is>
      </c>
      <c r="P86" s="5" t="inlineStr">
        <is>
          <t>2017</t>
        </is>
      </c>
      <c r="Q86" s="5" t="inlineStr">
        <is>
          <t>2018</t>
        </is>
      </c>
      <c r="R86" s="5" t="inlineStr">
        <is>
          <t>2019</t>
        </is>
      </c>
      <c r="S86" s="5" t="inlineStr">
        <is>
          <t>2020</t>
        </is>
      </c>
      <c r="T86" s="5" t="inlineStr">
        <is>
          <t>2021</t>
        </is>
      </c>
      <c r="U86" s="5" t="inlineStr">
        <is>
          <t>2022</t>
        </is>
      </c>
      <c r="V86" s="5" t="inlineStr">
        <is>
          <t>2023</t>
        </is>
      </c>
      <c r="W86" s="5" t="inlineStr">
        <is>
          <t>2024</t>
        </is>
      </c>
      <c r="X86" s="5" t="inlineStr">
        <is>
          <t>2025</t>
        </is>
      </c>
      <c r="Y86" s="5" t="inlineStr">
        <is>
          <t>2026(MW)</t>
        </is>
      </c>
      <c r="Z86" s="5" t="inlineStr">
        <is>
          <t>2027(MW)</t>
        </is>
      </c>
      <c r="AA86" s="5" t="inlineStr">
        <is>
          <t>2028(MW)</t>
        </is>
      </c>
      <c r="AB86" s="5" t="inlineStr">
        <is>
          <t>2029(MW)</t>
        </is>
      </c>
      <c r="AC86" s="5" t="inlineStr">
        <is>
          <t>2030(MW)</t>
        </is>
      </c>
    </row>
    <row r="87">
      <c r="A87" s="9" t="inlineStr">
        <is>
          <t>매출수익</t>
        </is>
      </c>
      <c r="C87" s="12" t="n">
        <v>764206</v>
      </c>
      <c r="D87" s="12" t="n">
        <v>684059</v>
      </c>
      <c r="E87" s="12" t="n">
        <v>740333</v>
      </c>
      <c r="F87" s="12" t="n">
        <v>829559</v>
      </c>
      <c r="G87" s="12" t="n">
        <v>757352</v>
      </c>
      <c r="H87" s="12" t="n">
        <v>729465</v>
      </c>
      <c r="I87" s="12" t="n">
        <v>801872</v>
      </c>
      <c r="J87" s="12" t="n">
        <v>884917</v>
      </c>
      <c r="K87" s="12" t="n">
        <v>947239</v>
      </c>
      <c r="L87" s="12" t="n">
        <v>833647</v>
      </c>
      <c r="M87" s="12" t="n">
        <v>923963</v>
      </c>
      <c r="N87" s="12" t="n">
        <v>1062107</v>
      </c>
      <c r="T87" s="12" t="n">
        <v>558763</v>
      </c>
      <c r="U87" s="12" t="n">
        <v>649284</v>
      </c>
      <c r="V87" s="12" t="n">
        <v>684059</v>
      </c>
      <c r="W87" s="12" t="n">
        <v>729465</v>
      </c>
      <c r="X87" s="12" t="n">
        <v>833647</v>
      </c>
    </row>
    <row r="88">
      <c r="A88" s="43" t="inlineStr">
        <is>
          <t>YoY</t>
        </is>
      </c>
      <c r="B88" s="3" t="inlineStr">
        <is>
          <t>전년 같은 분기·전년 대비</t>
        </is>
      </c>
      <c r="G88" s="15">
        <f>IF(OR(G87="",C87=""),"",IF(C87&lt;=0,"",IFERROR(G87/C87-1,"")))</f>
        <v/>
      </c>
      <c r="H88" s="15">
        <f>IF(OR(H87="",D87=""),"",IF(D87&lt;=0,"",IFERROR(H87/D87-1,"")))</f>
        <v/>
      </c>
      <c r="I88" s="15">
        <f>IF(OR(I87="",E87=""),"",IF(E87&lt;=0,"",IFERROR(I87/E87-1,"")))</f>
        <v/>
      </c>
      <c r="J88" s="15">
        <f>IF(OR(J87="",F87=""),"",IF(F87&lt;=0,"",IFERROR(J87/F87-1,"")))</f>
        <v/>
      </c>
      <c r="K88" s="15">
        <f>IF(OR(K87="",G87=""),"",IF(G87&lt;=0,"",IFERROR(K87/G87-1,"")))</f>
        <v/>
      </c>
      <c r="L88" s="15">
        <f>IF(OR(L87="",H87=""),"",IF(H87&lt;=0,"",IFERROR(L87/H87-1,"")))</f>
        <v/>
      </c>
      <c r="M88" s="15">
        <f>IF(OR(M87="",I87=""),"",IF(I87&lt;=0,"",IFERROR(M87/I87-1,"")))</f>
        <v/>
      </c>
      <c r="N88" s="15">
        <f>IF(OR(N87="",J87=""),"",IF(J87&lt;=0,"",IFERROR(N87/J87-1,"")))</f>
        <v/>
      </c>
      <c r="T88" s="15">
        <f>IF(OR(T87="",S87=""),"",IF(S87&lt;=0,"",IFERROR(T87/S87-1,"")))</f>
        <v/>
      </c>
      <c r="U88" s="15">
        <f>IF(OR(U87="",T87=""),"",IF(T87&lt;=0,"",IFERROR(U87/T87-1,"")))</f>
        <v/>
      </c>
      <c r="V88" s="15">
        <f>IF(OR(V87="",U87=""),"",IF(U87&lt;=0,"",IFERROR(V87/U87-1,"")))</f>
        <v/>
      </c>
      <c r="W88" s="15">
        <f>IF(OR(W87="",V87=""),"",IF(V87&lt;=0,"",IFERROR(W87/V87-1,"")))</f>
        <v/>
      </c>
      <c r="X88" s="15">
        <f>IF(OR(X87="",W87=""),"",IF(W87&lt;=0,"",IFERROR(X87/W87-1,"")))</f>
        <v/>
      </c>
    </row>
    <row r="89">
      <c r="A89" s="18" t="inlineStr">
        <is>
          <t>매출원가</t>
        </is>
      </c>
      <c r="C89" s="20" t="n">
        <v>315564</v>
      </c>
      <c r="D89" s="20" t="n">
        <v>346599</v>
      </c>
      <c r="E89" s="20" t="n">
        <v>320101</v>
      </c>
      <c r="F89" s="20" t="n">
        <v>362177</v>
      </c>
      <c r="G89" s="20" t="n">
        <v>338038</v>
      </c>
      <c r="H89" s="20" t="n">
        <v>358968</v>
      </c>
      <c r="I89" s="20" t="n">
        <v>339477</v>
      </c>
      <c r="J89" s="20" t="n">
        <v>375962</v>
      </c>
      <c r="K89" s="20" t="n">
        <v>410593</v>
      </c>
      <c r="L89" s="20" t="n">
        <v>393059</v>
      </c>
      <c r="M89" s="20" t="n">
        <v>379003</v>
      </c>
      <c r="N89" s="20" t="n">
        <v>437078</v>
      </c>
      <c r="T89" s="20" t="n">
        <v>248213</v>
      </c>
      <c r="U89" s="20" t="n">
        <v>284507</v>
      </c>
      <c r="V89" s="20" t="n">
        <v>346599</v>
      </c>
      <c r="W89" s="20" t="n">
        <v>358968</v>
      </c>
      <c r="X89" s="20" t="n">
        <v>393059</v>
      </c>
    </row>
    <row r="90">
      <c r="A90" s="9" t="inlineStr">
        <is>
          <t>매출총이익</t>
        </is>
      </c>
      <c r="C90" s="12" t="n">
        <v>448642</v>
      </c>
      <c r="D90" s="12" t="n">
        <v>337460</v>
      </c>
      <c r="E90" s="12" t="n">
        <v>420232</v>
      </c>
      <c r="F90" s="12" t="n">
        <v>467382</v>
      </c>
      <c r="G90" s="12" t="n">
        <v>419313</v>
      </c>
      <c r="H90" s="12" t="n">
        <v>370498</v>
      </c>
      <c r="I90" s="12" t="n">
        <v>462395</v>
      </c>
      <c r="J90" s="12" t="n">
        <v>508954</v>
      </c>
      <c r="K90" s="12" t="n">
        <v>536647</v>
      </c>
      <c r="L90" s="12" t="n">
        <v>440589</v>
      </c>
      <c r="M90" s="12" t="n">
        <v>544959</v>
      </c>
      <c r="N90" s="12" t="n">
        <v>625029</v>
      </c>
      <c r="T90" s="12" t="n">
        <v>310549</v>
      </c>
      <c r="U90" s="12" t="n">
        <v>364777</v>
      </c>
      <c r="V90" s="12" t="n">
        <v>337460</v>
      </c>
      <c r="W90" s="12" t="n">
        <v>370498</v>
      </c>
      <c r="X90" s="12" t="n">
        <v>440589</v>
      </c>
    </row>
    <row r="91">
      <c r="A91" s="43" t="inlineStr">
        <is>
          <t>YoY</t>
        </is>
      </c>
      <c r="B91" s="3" t="inlineStr">
        <is>
          <t>전년 같은 분기·전년 대비</t>
        </is>
      </c>
      <c r="G91" s="15">
        <f>IF(OR(G90="",C90=""),"",IF(C90&lt;=0,"",IFERROR(G90/C90-1,"")))</f>
        <v/>
      </c>
      <c r="H91" s="15">
        <f>IF(OR(H90="",D90=""),"",IF(D90&lt;=0,"",IFERROR(H90/D90-1,"")))</f>
        <v/>
      </c>
      <c r="I91" s="15">
        <f>IF(OR(I90="",E90=""),"",IF(E90&lt;=0,"",IFERROR(I90/E90-1,"")))</f>
        <v/>
      </c>
      <c r="J91" s="15">
        <f>IF(OR(J90="",F90=""),"",IF(F90&lt;=0,"",IFERROR(J90/F90-1,"")))</f>
        <v/>
      </c>
      <c r="K91" s="15">
        <f>IF(OR(K90="",G90=""),"",IF(G90&lt;=0,"",IFERROR(K90/G90-1,"")))</f>
        <v/>
      </c>
      <c r="L91" s="15">
        <f>IF(OR(L90="",H90=""),"",IF(H90&lt;=0,"",IFERROR(L90/H90-1,"")))</f>
        <v/>
      </c>
      <c r="M91" s="15">
        <f>IF(OR(M90="",I90=""),"",IF(I90&lt;=0,"",IFERROR(M90/I90-1,"")))</f>
        <v/>
      </c>
      <c r="N91" s="15">
        <f>IF(OR(N90="",J90=""),"",IF(J90&lt;=0,"",IFERROR(N90/J90-1,"")))</f>
        <v/>
      </c>
      <c r="T91" s="15">
        <f>IF(OR(T90="",S90=""),"",IF(S90&lt;=0,"",IFERROR(T90/S90-1,"")))</f>
        <v/>
      </c>
      <c r="U91" s="15">
        <f>IF(OR(U90="",T90=""),"",IF(T90&lt;=0,"",IFERROR(U90/T90-1,"")))</f>
        <v/>
      </c>
      <c r="V91" s="15">
        <f>IF(OR(V90="",U90=""),"",IF(U90&lt;=0,"",IFERROR(V90/U90-1,"")))</f>
        <v/>
      </c>
      <c r="W91" s="15">
        <f>IF(OR(W90="",V90=""),"",IF(V90&lt;=0,"",IFERROR(W90/V90-1,"")))</f>
        <v/>
      </c>
      <c r="X91" s="15">
        <f>IF(OR(X90="",W90=""),"",IF(W90&lt;=0,"",IFERROR(X90/W90-1,"")))</f>
        <v/>
      </c>
    </row>
    <row r="92">
      <c r="A92" s="18" t="inlineStr">
        <is>
          <t>Other Operating Income</t>
        </is>
      </c>
      <c r="C92" s="20" t="n">
        <v>13740</v>
      </c>
      <c r="D92" s="20" t="n">
        <v>7241</v>
      </c>
      <c r="E92" s="20" t="n">
        <v>6377</v>
      </c>
      <c r="F92" s="20" t="n">
        <v>9400</v>
      </c>
      <c r="G92" s="20" t="n">
        <v>4704</v>
      </c>
      <c r="H92" s="20" t="n">
        <v>10655</v>
      </c>
      <c r="I92" s="20" t="n">
        <v>3926</v>
      </c>
      <c r="J92" s="20" t="n">
        <v>3157</v>
      </c>
      <c r="K92" s="20" t="n">
        <v>6831</v>
      </c>
      <c r="L92" s="20" t="n">
        <v>69370</v>
      </c>
      <c r="M92" s="20" t="n">
        <v>4394</v>
      </c>
      <c r="N92" s="20" t="n">
        <v>4251</v>
      </c>
      <c r="T92" s="20" t="n">
        <v>5357</v>
      </c>
      <c r="U92" s="20" t="n">
        <v>9389</v>
      </c>
      <c r="V92" s="20" t="n">
        <v>7241</v>
      </c>
      <c r="W92" s="20" t="n">
        <v>10655</v>
      </c>
      <c r="X92" s="20" t="n">
        <v>69370</v>
      </c>
    </row>
    <row r="93">
      <c r="A93" s="18" t="inlineStr">
        <is>
          <t>지분법이익</t>
        </is>
      </c>
      <c r="C93" s="20" t="n">
        <v>3260</v>
      </c>
      <c r="D93" s="20" t="n">
        <v>1518</v>
      </c>
      <c r="E93" s="20" t="n">
        <v>2073</v>
      </c>
      <c r="F93" s="20" t="n">
        <v>1923</v>
      </c>
      <c r="G93" s="20" t="n">
        <v>4369</v>
      </c>
      <c r="H93" s="20" t="n">
        <v>4520</v>
      </c>
      <c r="I93" s="20" t="n">
        <v>2335</v>
      </c>
      <c r="J93" s="20" t="n">
        <v>4368</v>
      </c>
      <c r="K93" s="20" t="n">
        <v>3521</v>
      </c>
      <c r="L93" s="20" t="n">
        <v>3108</v>
      </c>
      <c r="M93" s="20" t="n">
        <v>2183</v>
      </c>
      <c r="N93" s="20" t="n">
        <v>3300</v>
      </c>
      <c r="T93" s="20" t="n">
        <v>455</v>
      </c>
      <c r="U93" s="20" t="n">
        <v>1743</v>
      </c>
      <c r="V93" s="20" t="n">
        <v>1518</v>
      </c>
      <c r="W93" s="20" t="n">
        <v>4520</v>
      </c>
      <c r="X93" s="20" t="n">
        <v>3108</v>
      </c>
    </row>
    <row r="94">
      <c r="A94" s="18" t="inlineStr">
        <is>
          <t>Selling General And Administrative Expenses</t>
        </is>
      </c>
      <c r="C94" s="20" t="n">
        <v>247351</v>
      </c>
      <c r="D94" s="20" t="n">
        <v>305655</v>
      </c>
      <c r="E94" s="20" t="n">
        <v>212863</v>
      </c>
      <c r="F94" s="20" t="n">
        <v>261862</v>
      </c>
      <c r="G94" s="20" t="n">
        <v>229580</v>
      </c>
      <c r="H94" s="20" t="n">
        <v>702919</v>
      </c>
      <c r="I94" s="20" t="n">
        <v>224338</v>
      </c>
      <c r="J94" s="20" t="n">
        <v>260669</v>
      </c>
      <c r="K94" s="20" t="n">
        <v>284192</v>
      </c>
      <c r="L94" s="20" t="n">
        <v>408963</v>
      </c>
      <c r="M94" s="20" t="n">
        <v>246983</v>
      </c>
      <c r="N94" s="20" t="n">
        <v>292194</v>
      </c>
      <c r="T94" s="20" t="n">
        <v>298036</v>
      </c>
      <c r="U94" s="20" t="n">
        <v>301675</v>
      </c>
      <c r="V94" s="20" t="n">
        <v>305655</v>
      </c>
      <c r="W94" s="20" t="n">
        <v>702919</v>
      </c>
      <c r="X94" s="20" t="n">
        <v>408963</v>
      </c>
    </row>
    <row r="95">
      <c r="A95" s="18" t="inlineStr">
        <is>
          <t>영업이익</t>
        </is>
      </c>
      <c r="C95" s="20" t="n">
        <v>218292</v>
      </c>
      <c r="D95" s="20" t="n">
        <v>40563</v>
      </c>
      <c r="E95" s="20" t="n">
        <v>215818</v>
      </c>
      <c r="F95" s="20" t="n">
        <v>216844</v>
      </c>
      <c r="G95" s="20" t="n">
        <v>198806</v>
      </c>
      <c r="H95" s="20" t="n">
        <v>-317245</v>
      </c>
      <c r="I95" s="20" t="n">
        <v>244318</v>
      </c>
      <c r="J95" s="20" t="n">
        <v>255811</v>
      </c>
      <c r="K95" s="20" t="n">
        <v>262806</v>
      </c>
      <c r="L95" s="20" t="n">
        <v>104103</v>
      </c>
      <c r="M95" s="20" t="n">
        <v>304554</v>
      </c>
      <c r="N95" s="20" t="n">
        <v>340386</v>
      </c>
      <c r="T95" s="20" t="n">
        <v>18325</v>
      </c>
      <c r="U95" s="20" t="n">
        <v>74234</v>
      </c>
      <c r="V95" s="20" t="n">
        <v>40563</v>
      </c>
      <c r="W95" s="20" t="n">
        <v>-317245</v>
      </c>
      <c r="X95" s="20" t="n">
        <v>104103</v>
      </c>
    </row>
    <row r="96">
      <c r="A96" s="43" t="inlineStr">
        <is>
          <t>OPM</t>
        </is>
      </c>
      <c r="B96" s="3" t="inlineStr">
        <is>
          <t>영업이익 ÷ 매출</t>
        </is>
      </c>
      <c r="C96" s="15">
        <f>IF(OR(C95="",C87=""),"",IF(C87&lt;=0,"",IFERROR(C95/C87,"")))</f>
        <v/>
      </c>
      <c r="D96" s="15">
        <f>IF(OR(D95="",D87=""),"",IF(D87&lt;=0,"",IFERROR(D95/D87,"")))</f>
        <v/>
      </c>
      <c r="E96" s="15">
        <f>IF(OR(E95="",E87=""),"",IF(E87&lt;=0,"",IFERROR(E95/E87,"")))</f>
        <v/>
      </c>
      <c r="F96" s="15">
        <f>IF(OR(F95="",F87=""),"",IF(F87&lt;=0,"",IFERROR(F95/F87,"")))</f>
        <v/>
      </c>
      <c r="G96" s="15">
        <f>IF(OR(G95="",G87=""),"",IF(G87&lt;=0,"",IFERROR(G95/G87,"")))</f>
        <v/>
      </c>
      <c r="H96" s="15">
        <f>IF(OR(H95="",H87=""),"",IF(H87&lt;=0,"",IFERROR(H95/H87,"")))</f>
        <v/>
      </c>
      <c r="I96" s="15">
        <f>IF(OR(I95="",I87=""),"",IF(I87&lt;=0,"",IFERROR(I95/I87,"")))</f>
        <v/>
      </c>
      <c r="J96" s="15">
        <f>IF(OR(J95="",J87=""),"",IF(J87&lt;=0,"",IFERROR(J95/J87,"")))</f>
        <v/>
      </c>
      <c r="K96" s="15">
        <f>IF(OR(K95="",K87=""),"",IF(K87&lt;=0,"",IFERROR(K95/K87,"")))</f>
        <v/>
      </c>
      <c r="L96" s="15">
        <f>IF(OR(L95="",L87=""),"",IF(L87&lt;=0,"",IFERROR(L95/L87,"")))</f>
        <v/>
      </c>
      <c r="M96" s="15">
        <f>IF(OR(M95="",M87=""),"",IF(M87&lt;=0,"",IFERROR(M95/M87,"")))</f>
        <v/>
      </c>
      <c r="N96" s="15">
        <f>IF(OR(N95="",N87=""),"",IF(N87&lt;=0,"",IFERROR(N95/N87,"")))</f>
        <v/>
      </c>
      <c r="T96" s="15">
        <f>IF(OR(T95="",T87=""),"",IF(T87&lt;=0,"",IFERROR(T95/T87,"")))</f>
        <v/>
      </c>
      <c r="U96" s="15">
        <f>IF(OR(U95="",U87=""),"",IF(U87&lt;=0,"",IFERROR(U95/U87,"")))</f>
        <v/>
      </c>
      <c r="V96" s="15">
        <f>IF(OR(V95="",V87=""),"",IF(V87&lt;=0,"",IFERROR(V95/V87,"")))</f>
        <v/>
      </c>
      <c r="W96" s="15">
        <f>IF(OR(W95="",W87=""),"",IF(W87&lt;=0,"",IFERROR(W95/W87,"")))</f>
        <v/>
      </c>
      <c r="X96" s="15">
        <f>IF(OR(X95="",X87=""),"",IF(X87&lt;=0,"",IFERROR(X95/X87,"")))</f>
        <v/>
      </c>
    </row>
    <row r="97">
      <c r="A97" s="43" t="inlineStr">
        <is>
          <t>YoY</t>
        </is>
      </c>
      <c r="B97" s="3" t="inlineStr">
        <is>
          <t>전년 같은 분기·전년 대비</t>
        </is>
      </c>
      <c r="G97" s="15">
        <f>IF(OR(G95="",C95=""),"",IF(C95&lt;=0,"",IFERROR(G95/C95-1,"")))</f>
        <v/>
      </c>
      <c r="H97" s="15">
        <f>IF(OR(H95="",D95=""),"",IF(D95&lt;=0,"",IFERROR(H95/D95-1,"")))</f>
        <v/>
      </c>
      <c r="I97" s="15">
        <f>IF(OR(I95="",E95=""),"",IF(E95&lt;=0,"",IFERROR(I95/E95-1,"")))</f>
        <v/>
      </c>
      <c r="J97" s="15">
        <f>IF(OR(J95="",F95=""),"",IF(F95&lt;=0,"",IFERROR(J95/F95-1,"")))</f>
        <v/>
      </c>
      <c r="K97" s="15">
        <f>IF(OR(K95="",G95=""),"",IF(G95&lt;=0,"",IFERROR(K95/G95-1,"")))</f>
        <v/>
      </c>
      <c r="L97" s="15">
        <f>IF(OR(L95="",H95=""),"",IF(H95&lt;=0,"",IFERROR(L95/H95-1,"")))</f>
        <v/>
      </c>
      <c r="M97" s="15">
        <f>IF(OR(M95="",I95=""),"",IF(I95&lt;=0,"",IFERROR(M95/I95-1,"")))</f>
        <v/>
      </c>
      <c r="N97" s="15">
        <f>IF(OR(N95="",J95=""),"",IF(J95&lt;=0,"",IFERROR(N95/J95-1,"")))</f>
        <v/>
      </c>
      <c r="T97" s="15">
        <f>IF(OR(T95="",S95=""),"",IF(S95&lt;=0,"",IFERROR(T95/S95-1,"")))</f>
        <v/>
      </c>
      <c r="U97" s="15">
        <f>IF(OR(U95="",T95=""),"",IF(T95&lt;=0,"",IFERROR(U95/T95-1,"")))</f>
        <v/>
      </c>
      <c r="V97" s="15">
        <f>IF(OR(V95="",U95=""),"",IF(U95&lt;=0,"",IFERROR(V95/U95-1,"")))</f>
        <v/>
      </c>
      <c r="W97" s="15">
        <f>IF(OR(W95="",V95=""),"",IF(V95&lt;=0,"",IFERROR(W95/V95-1,"")))</f>
        <v/>
      </c>
      <c r="X97" s="15">
        <f>IF(OR(X95="",W95=""),"",IF(W95&lt;=0,"",IFERROR(X95/W95-1,"")))</f>
        <v/>
      </c>
    </row>
    <row r="98">
      <c r="A98" s="18" t="inlineStr">
        <is>
          <t>금융수익</t>
        </is>
      </c>
      <c r="C98" s="20" t="n">
        <v>12660</v>
      </c>
      <c r="D98" s="20" t="n">
        <v>14760</v>
      </c>
      <c r="E98" s="20" t="n">
        <v>14877</v>
      </c>
      <c r="F98" s="20" t="n">
        <v>16608</v>
      </c>
      <c r="G98" s="20" t="n">
        <v>19162</v>
      </c>
      <c r="H98" s="20" t="n">
        <v>18357</v>
      </c>
      <c r="I98" s="20" t="n">
        <v>17308</v>
      </c>
      <c r="J98" s="20" t="n">
        <v>19455</v>
      </c>
      <c r="K98" s="20" t="n">
        <v>21037</v>
      </c>
      <c r="L98" s="20" t="n">
        <v>10142</v>
      </c>
      <c r="M98" s="20" t="n">
        <v>17348</v>
      </c>
      <c r="N98" s="20" t="n">
        <v>21291</v>
      </c>
      <c r="T98" s="20" t="n">
        <v>3201</v>
      </c>
      <c r="U98" s="20" t="n">
        <v>13389</v>
      </c>
      <c r="V98" s="20" t="n">
        <v>14760</v>
      </c>
      <c r="W98" s="20" t="n">
        <v>18357</v>
      </c>
      <c r="X98" s="20" t="n">
        <v>10142</v>
      </c>
    </row>
    <row r="99">
      <c r="A99" s="18" t="inlineStr">
        <is>
          <t>금융비용</t>
        </is>
      </c>
      <c r="C99" s="20" t="n">
        <v>18173</v>
      </c>
      <c r="D99" s="20" t="n">
        <v>19930</v>
      </c>
      <c r="E99" s="20" t="n">
        <v>29429</v>
      </c>
      <c r="F99" s="20" t="n">
        <v>35645</v>
      </c>
      <c r="G99" s="20" t="n">
        <v>42086</v>
      </c>
      <c r="H99" s="20" t="n">
        <v>51735</v>
      </c>
      <c r="I99" s="20" t="n">
        <v>40175</v>
      </c>
      <c r="J99" s="20" t="n">
        <v>38961</v>
      </c>
      <c r="K99" s="20" t="n">
        <v>34438</v>
      </c>
      <c r="L99" s="20" t="n">
        <v>81620</v>
      </c>
      <c r="M99" s="20" t="n">
        <v>34241</v>
      </c>
      <c r="N99" s="20" t="n">
        <v>43339</v>
      </c>
      <c r="T99" s="20" t="n">
        <v>12958</v>
      </c>
      <c r="U99" s="20" t="n">
        <v>29769</v>
      </c>
      <c r="V99" s="20" t="n">
        <v>19930</v>
      </c>
      <c r="W99" s="20" t="n">
        <v>51735</v>
      </c>
      <c r="X99" s="20" t="n">
        <v>81620</v>
      </c>
    </row>
    <row r="100">
      <c r="A100" s="9" t="inlineStr">
        <is>
          <t>법인세비용차감전 중간이익</t>
        </is>
      </c>
      <c r="C100" s="12" t="n">
        <v>212779</v>
      </c>
      <c r="D100" s="12" t="n">
        <v>35392</v>
      </c>
      <c r="E100" s="12" t="n">
        <v>201266</v>
      </c>
      <c r="F100" s="12" t="n">
        <v>197807</v>
      </c>
      <c r="G100" s="12" t="n">
        <v>175882</v>
      </c>
      <c r="H100" s="12" t="n">
        <v>-350622</v>
      </c>
      <c r="I100" s="12" t="n">
        <v>221451</v>
      </c>
      <c r="J100" s="12" t="n">
        <v>236304</v>
      </c>
      <c r="K100" s="12" t="n">
        <v>249407</v>
      </c>
      <c r="L100" s="12" t="n">
        <v>32624</v>
      </c>
      <c r="M100" s="12" t="n">
        <v>287660</v>
      </c>
      <c r="N100" s="12" t="n">
        <v>318339</v>
      </c>
      <c r="T100" s="12" t="n">
        <v>8569</v>
      </c>
      <c r="U100" s="12" t="n">
        <v>57854</v>
      </c>
      <c r="V100" s="12" t="n">
        <v>35392</v>
      </c>
      <c r="W100" s="12" t="n">
        <v>-350622</v>
      </c>
      <c r="X100" s="12" t="n">
        <v>32624</v>
      </c>
    </row>
    <row r="101">
      <c r="A101" s="18" t="inlineStr">
        <is>
          <t>Income Tax Expense</t>
        </is>
      </c>
      <c r="C101" s="20" t="n">
        <v>56710</v>
      </c>
      <c r="D101" s="20" t="n">
        <v>-5385</v>
      </c>
      <c r="E101" s="20" t="n">
        <v>43499</v>
      </c>
      <c r="F101" s="20" t="n">
        <v>48447</v>
      </c>
      <c r="G101" s="20" t="n">
        <v>43735</v>
      </c>
      <c r="H101" s="20" t="n">
        <v>-85275</v>
      </c>
      <c r="I101" s="20" t="n">
        <v>66518</v>
      </c>
      <c r="J101" s="20" t="n">
        <v>55263</v>
      </c>
      <c r="K101" s="20" t="n">
        <v>72508</v>
      </c>
      <c r="L101" s="20" t="n">
        <v>44422</v>
      </c>
      <c r="M101" s="20" t="n">
        <v>90417</v>
      </c>
      <c r="N101" s="20" t="n">
        <v>82401</v>
      </c>
      <c r="T101" s="20" t="n">
        <v>8672</v>
      </c>
      <c r="U101" s="20" t="n">
        <v>17611</v>
      </c>
      <c r="V101" s="20" t="n">
        <v>-5385</v>
      </c>
      <c r="W101" s="20" t="n">
        <v>-85275</v>
      </c>
      <c r="X101" s="20" t="n">
        <v>44422</v>
      </c>
    </row>
    <row r="102">
      <c r="A102" s="9" t="inlineStr">
        <is>
          <t>Profit Loss From Continuing Operations</t>
        </is>
      </c>
      <c r="H102" s="12" t="n">
        <v>-265347</v>
      </c>
      <c r="I102" s="12" t="n">
        <v>154933</v>
      </c>
      <c r="J102" s="12" t="n">
        <v>181042</v>
      </c>
      <c r="K102" s="12" t="n">
        <v>176897</v>
      </c>
      <c r="L102" s="12" t="n">
        <v>-11797</v>
      </c>
      <c r="M102" s="12" t="n">
        <v>197243</v>
      </c>
      <c r="N102" s="12" t="n">
        <v>235938</v>
      </c>
      <c r="W102" s="12" t="n">
        <v>-265347</v>
      </c>
      <c r="X102" s="12" t="n">
        <v>-11797</v>
      </c>
    </row>
    <row r="103">
      <c r="A103" s="9" t="inlineStr">
        <is>
          <t>Profit Loss From Discontinued Operations</t>
        </is>
      </c>
      <c r="H103" s="12" t="n">
        <v>3400</v>
      </c>
      <c r="I103" s="12" t="n">
        <v>3293</v>
      </c>
      <c r="J103" s="12" t="n">
        <v>-17303</v>
      </c>
      <c r="K103" s="12" t="n">
        <v>15377</v>
      </c>
      <c r="L103" s="12" t="n">
        <v>10772</v>
      </c>
      <c r="M103" s="12" t="n">
        <v>0</v>
      </c>
      <c r="N103" s="12" t="n">
        <v>0</v>
      </c>
      <c r="W103" s="12" t="n">
        <v>3400</v>
      </c>
      <c r="X103" s="12" t="n">
        <v>10772</v>
      </c>
    </row>
    <row r="104">
      <c r="A104" s="9" t="inlineStr">
        <is>
          <t>중간이익</t>
        </is>
      </c>
      <c r="C104" s="12" t="n">
        <v>156070</v>
      </c>
      <c r="D104" s="12" t="n">
        <v>40778</v>
      </c>
      <c r="E104" s="12" t="n">
        <v>157766</v>
      </c>
      <c r="F104" s="12" t="n">
        <v>149360</v>
      </c>
      <c r="G104" s="12" t="n">
        <v>137417</v>
      </c>
      <c r="H104" s="12" t="n">
        <v>-261947</v>
      </c>
      <c r="I104" s="12" t="n">
        <v>158226</v>
      </c>
      <c r="J104" s="12" t="n">
        <v>163739</v>
      </c>
      <c r="K104" s="12" t="n">
        <v>192274</v>
      </c>
      <c r="L104" s="12" t="n">
        <v>-1025</v>
      </c>
      <c r="M104" s="12" t="n">
        <v>197243</v>
      </c>
      <c r="N104" s="12" t="n">
        <v>235938</v>
      </c>
      <c r="T104" s="12" t="n">
        <v>-104</v>
      </c>
      <c r="U104" s="12" t="n">
        <v>40244</v>
      </c>
      <c r="V104" s="12" t="n">
        <v>40778</v>
      </c>
      <c r="W104" s="12" t="n">
        <v>-261947</v>
      </c>
      <c r="X104" s="12" t="n">
        <v>-1025</v>
      </c>
    </row>
    <row r="105">
      <c r="A105" s="18" t="inlineStr">
        <is>
          <t>Continuing Operations Basic Earnings Loss Per Share</t>
        </is>
      </c>
      <c r="H105" s="20" t="n">
        <v>-0.00014975</v>
      </c>
      <c r="I105" s="20" t="n">
        <v>8.719e-05</v>
      </c>
      <c r="J105" s="20" t="n">
        <v>0.00010148</v>
      </c>
      <c r="K105" s="20" t="n">
        <v>9.939000000000001e-05</v>
      </c>
      <c r="L105" s="20" t="n">
        <v>-6.949999999999989e-06</v>
      </c>
      <c r="M105" s="20" t="n">
        <v>0.00011099</v>
      </c>
      <c r="N105" s="20" t="n">
        <v>0.00013225</v>
      </c>
      <c r="W105" s="20" t="n">
        <v>-0.00014975</v>
      </c>
      <c r="X105" s="20" t="n">
        <v>-6.949999999999989e-06</v>
      </c>
    </row>
    <row r="106">
      <c r="A106" s="18" t="inlineStr">
        <is>
          <t>Discontinued Operations Basic Earnings Loss Per Share</t>
        </is>
      </c>
      <c r="H106" s="20" t="n">
        <v>1.52e-06</v>
      </c>
      <c r="I106" s="20" t="n">
        <v>1.5e-06</v>
      </c>
      <c r="J106" s="20" t="n">
        <v>-9.980000000000001e-06</v>
      </c>
      <c r="K106" s="20" t="n">
        <v>8.66e-06</v>
      </c>
      <c r="L106" s="20" t="n">
        <v>6.07e-06</v>
      </c>
      <c r="M106" s="20" t="n">
        <v>0</v>
      </c>
      <c r="N106" s="20" t="n">
        <v>0</v>
      </c>
      <c r="W106" s="20" t="n">
        <v>1.52e-06</v>
      </c>
      <c r="X106" s="20" t="n">
        <v>6.07e-06</v>
      </c>
    </row>
    <row r="107">
      <c r="A107" s="18" t="inlineStr">
        <is>
          <t>Basic Earnings Loss Per Share</t>
        </is>
      </c>
      <c r="C107" s="20" t="n">
        <v>8.731e-05</v>
      </c>
      <c r="D107" s="20" t="n">
        <v>2.268000000000001e-05</v>
      </c>
      <c r="E107" s="20" t="n">
        <v>8.858e-05</v>
      </c>
      <c r="F107" s="20" t="n">
        <v>8.330999999999999e-05</v>
      </c>
      <c r="G107" s="20" t="n">
        <v>7.729000000000001e-05</v>
      </c>
      <c r="H107" s="20" t="n">
        <v>-0.00014823</v>
      </c>
      <c r="I107" s="20" t="n">
        <v>8.868999999999999e-05</v>
      </c>
      <c r="J107" s="20" t="n">
        <v>9.15e-05</v>
      </c>
      <c r="K107" s="20" t="n">
        <v>0.00010805</v>
      </c>
      <c r="L107" s="20" t="n">
        <v>-8.799999999999955e-07</v>
      </c>
      <c r="M107" s="20" t="n">
        <v>0.00011099</v>
      </c>
      <c r="N107" s="20" t="n">
        <v>0.00013225</v>
      </c>
      <c r="T107" s="20" t="n">
        <v>-1.899999999999977e-07</v>
      </c>
      <c r="U107" s="20" t="n">
        <v>2.191999999999999e-05</v>
      </c>
      <c r="V107" s="20" t="n">
        <v>2.268000000000001e-05</v>
      </c>
      <c r="W107" s="20" t="n">
        <v>-0.00014823</v>
      </c>
      <c r="X107" s="20" t="n">
        <v>-8.799999999999955e-07</v>
      </c>
    </row>
    <row r="108">
      <c r="A108" s="18" t="inlineStr">
        <is>
          <t>Continuing Operations Diluted Earnings Loss Per Share</t>
        </is>
      </c>
      <c r="H108" s="20" t="n">
        <v>-0.00014972</v>
      </c>
      <c r="I108" s="20" t="n">
        <v>8.718e-05</v>
      </c>
      <c r="J108" s="20" t="n">
        <v>0.00010146</v>
      </c>
      <c r="K108" s="20" t="n">
        <v>9.938999999999998e-05</v>
      </c>
      <c r="L108" s="20" t="n">
        <v>-6.949999999999989e-06</v>
      </c>
      <c r="M108" s="20" t="n">
        <v>0.00011097</v>
      </c>
      <c r="N108" s="20" t="n">
        <v>0.00013225</v>
      </c>
      <c r="W108" s="20" t="n">
        <v>-0.00014972</v>
      </c>
      <c r="X108" s="20" t="n">
        <v>-6.949999999999989e-06</v>
      </c>
    </row>
    <row r="109">
      <c r="A109" s="18" t="inlineStr">
        <is>
          <t>Discontinued Operations Diluted Earnings Loss Per Share</t>
        </is>
      </c>
      <c r="H109" s="20" t="n">
        <v>1.52e-06</v>
      </c>
      <c r="I109" s="20" t="n">
        <v>1.5e-06</v>
      </c>
      <c r="J109" s="20" t="n">
        <v>-9.980000000000001e-06</v>
      </c>
      <c r="K109" s="20" t="n">
        <v>8.66e-06</v>
      </c>
      <c r="L109" s="20" t="n">
        <v>6.07e-06</v>
      </c>
      <c r="M109" s="20" t="n">
        <v>0</v>
      </c>
      <c r="N109" s="20" t="n">
        <v>0</v>
      </c>
      <c r="W109" s="20" t="n">
        <v>1.52e-06</v>
      </c>
      <c r="X109" s="20" t="n">
        <v>6.07e-06</v>
      </c>
    </row>
    <row r="110">
      <c r="A110" s="18" t="inlineStr">
        <is>
          <t>Diluted Earnings Loss Per Share</t>
        </is>
      </c>
      <c r="C110" s="20" t="n">
        <v>8.729999999999998e-05</v>
      </c>
      <c r="D110" s="20" t="n">
        <v>2.268000000000001e-05</v>
      </c>
      <c r="E110" s="20" t="n">
        <v>8.856999999999999e-05</v>
      </c>
      <c r="F110" s="20" t="n">
        <v>8.329000000000002e-05</v>
      </c>
      <c r="G110" s="20" t="n">
        <v>7.727999999999998e-05</v>
      </c>
      <c r="H110" s="20" t="n">
        <v>-0.0001482</v>
      </c>
      <c r="I110" s="20" t="n">
        <v>8.868000000000001e-05</v>
      </c>
      <c r="J110" s="20" t="n">
        <v>9.148999999999998e-05</v>
      </c>
      <c r="K110" s="20" t="n">
        <v>0.00010804</v>
      </c>
      <c r="L110" s="20" t="n">
        <v>-8.799999999999955e-07</v>
      </c>
      <c r="M110" s="20" t="n">
        <v>0.00011097</v>
      </c>
      <c r="N110" s="20" t="n">
        <v>0.00013225</v>
      </c>
      <c r="T110" s="20" t="n">
        <v>-1.899999999999977e-07</v>
      </c>
      <c r="U110" s="20" t="n">
        <v>2.191000000000003e-05</v>
      </c>
      <c r="V110" s="20" t="n">
        <v>2.268000000000001e-05</v>
      </c>
      <c r="W110" s="20" t="n">
        <v>-0.0001482</v>
      </c>
      <c r="X110" s="20" t="n">
        <v>-8.799999999999955e-07</v>
      </c>
    </row>
    <row r="111">
      <c r="A111" s="9" t="inlineStr">
        <is>
          <t>Profit Loss Attributable To Owners Of Parent</t>
        </is>
      </c>
      <c r="C111" s="12" t="n">
        <v>155001</v>
      </c>
      <c r="D111" s="12" t="n">
        <v>40278</v>
      </c>
      <c r="E111" s="12" t="n">
        <v>157266</v>
      </c>
      <c r="F111" s="12" t="n">
        <v>147906</v>
      </c>
      <c r="G111" s="12" t="n">
        <v>137242</v>
      </c>
      <c r="H111" s="12" t="n">
        <v>-263174</v>
      </c>
      <c r="I111" s="12" t="n">
        <v>157480</v>
      </c>
      <c r="J111" s="12" t="n">
        <v>162425</v>
      </c>
      <c r="K111" s="12" t="n">
        <v>191844</v>
      </c>
      <c r="L111" s="12" t="n">
        <v>-1574</v>
      </c>
      <c r="M111" s="12" t="n">
        <v>197041</v>
      </c>
      <c r="N111" s="12" t="n">
        <v>234788</v>
      </c>
      <c r="T111" s="12" t="n">
        <v>-323</v>
      </c>
      <c r="U111" s="12" t="n">
        <v>38909</v>
      </c>
      <c r="V111" s="12" t="n">
        <v>40278</v>
      </c>
      <c r="W111" s="12" t="n">
        <v>-263174</v>
      </c>
      <c r="X111" s="12" t="n">
        <v>-1574</v>
      </c>
    </row>
    <row r="112">
      <c r="A112" s="43" t="inlineStr">
        <is>
          <t>YoY</t>
        </is>
      </c>
      <c r="B112" s="3" t="inlineStr">
        <is>
          <t>전년 같은 분기·전년 대비</t>
        </is>
      </c>
      <c r="G112" s="15">
        <f>IF(OR(G111="",C111=""),"",IF(C111&lt;=0,"",IFERROR(G111/C111-1,"")))</f>
        <v/>
      </c>
      <c r="H112" s="15">
        <f>IF(OR(H111="",D111=""),"",IF(D111&lt;=0,"",IFERROR(H111/D111-1,"")))</f>
        <v/>
      </c>
      <c r="I112" s="15">
        <f>IF(OR(I111="",E111=""),"",IF(E111&lt;=0,"",IFERROR(I111/E111-1,"")))</f>
        <v/>
      </c>
      <c r="J112" s="15">
        <f>IF(OR(J111="",F111=""),"",IF(F111&lt;=0,"",IFERROR(J111/F111-1,"")))</f>
        <v/>
      </c>
      <c r="K112" s="15">
        <f>IF(OR(K111="",G111=""),"",IF(G111&lt;=0,"",IFERROR(K111/G111-1,"")))</f>
        <v/>
      </c>
      <c r="L112" s="15">
        <f>IF(OR(L111="",H111=""),"",IF(H111&lt;=0,"",IFERROR(L111/H111-1,"")))</f>
        <v/>
      </c>
      <c r="M112" s="15">
        <f>IF(OR(M111="",I111=""),"",IF(I111&lt;=0,"",IFERROR(M111/I111-1,"")))</f>
        <v/>
      </c>
      <c r="N112" s="15">
        <f>IF(OR(N111="",J111=""),"",IF(J111&lt;=0,"",IFERROR(N111/J111-1,"")))</f>
        <v/>
      </c>
      <c r="T112" s="15">
        <f>IF(OR(T111="",S111=""),"",IF(S111&lt;=0,"",IFERROR(T111/S111-1,"")))</f>
        <v/>
      </c>
      <c r="U112" s="15">
        <f>IF(OR(U111="",T111=""),"",IF(T111&lt;=0,"",IFERROR(U111/T111-1,"")))</f>
        <v/>
      </c>
      <c r="V112" s="15">
        <f>IF(OR(V111="",U111=""),"",IF(U111&lt;=0,"",IFERROR(V111/U111-1,"")))</f>
        <v/>
      </c>
      <c r="W112" s="15">
        <f>IF(OR(W111="",V111=""),"",IF(V111&lt;=0,"",IFERROR(W111/V111-1,"")))</f>
        <v/>
      </c>
      <c r="X112" s="15">
        <f>IF(OR(X111="",W111=""),"",IF(W111&lt;=0,"",IFERROR(X111/W111-1,"")))</f>
        <v/>
      </c>
    </row>
    <row r="113">
      <c r="A113" s="9" t="inlineStr">
        <is>
          <t>비지배지분</t>
        </is>
      </c>
      <c r="C113" s="12" t="n">
        <v>1068</v>
      </c>
      <c r="D113" s="12" t="n">
        <v>500</v>
      </c>
      <c r="E113" s="12" t="n">
        <v>501</v>
      </c>
      <c r="F113" s="12" t="n">
        <v>1453</v>
      </c>
      <c r="G113" s="12" t="n">
        <v>175</v>
      </c>
      <c r="H113" s="12" t="n">
        <v>1227</v>
      </c>
      <c r="I113" s="12" t="n">
        <v>746</v>
      </c>
      <c r="J113" s="12" t="n">
        <v>1314</v>
      </c>
      <c r="K113" s="12" t="n">
        <v>430</v>
      </c>
      <c r="L113" s="12" t="n">
        <v>549</v>
      </c>
      <c r="M113" s="12" t="n">
        <v>202</v>
      </c>
      <c r="N113" s="12" t="n">
        <v>1150</v>
      </c>
      <c r="T113" s="12" t="n">
        <v>219</v>
      </c>
      <c r="U113" s="12" t="n">
        <v>1335</v>
      </c>
      <c r="V113" s="12" t="n">
        <v>500</v>
      </c>
      <c r="W113" s="12" t="n">
        <v>1227</v>
      </c>
      <c r="X113" s="12" t="n">
        <v>549</v>
      </c>
    </row>
    <row r="115">
      <c r="A115" s="16" t="inlineStr">
        <is>
          <t>포괄손익 · 전 항목</t>
        </is>
      </c>
      <c r="B115" s="42" t="inlineStr">
        <is>
          <t>분기 = 3개월 단독</t>
        </is>
      </c>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row>
    <row r="116">
      <c r="A116" s="5" t="inlineStr">
        <is>
          <t>항목</t>
        </is>
      </c>
      <c r="B116" s="5" t="inlineStr">
        <is>
          <t>참고</t>
        </is>
      </c>
      <c r="C116" s="5" t="inlineStr">
        <is>
          <t>2023.3Q</t>
        </is>
      </c>
      <c r="D116" s="5" t="inlineStr">
        <is>
          <t>2023.4Q</t>
        </is>
      </c>
      <c r="E116" s="5" t="inlineStr">
        <is>
          <t>2024.1Q</t>
        </is>
      </c>
      <c r="F116" s="5" t="inlineStr">
        <is>
          <t>2024.2Q</t>
        </is>
      </c>
      <c r="G116" s="5" t="inlineStr">
        <is>
          <t>2024.3Q</t>
        </is>
      </c>
      <c r="H116" s="5" t="inlineStr">
        <is>
          <t>2024.4Q</t>
        </is>
      </c>
      <c r="I116" s="5" t="inlineStr">
        <is>
          <t>2025.1Q</t>
        </is>
      </c>
      <c r="J116" s="5" t="inlineStr">
        <is>
          <t>2025.2Q</t>
        </is>
      </c>
      <c r="K116" s="5" t="inlineStr">
        <is>
          <t>2025.3Q</t>
        </is>
      </c>
      <c r="L116" s="5" t="inlineStr">
        <is>
          <t>2025.4Q</t>
        </is>
      </c>
      <c r="M116" s="5" t="inlineStr">
        <is>
          <t>2026.1Q</t>
        </is>
      </c>
      <c r="N116" s="5" t="inlineStr">
        <is>
          <t>2026.2Q</t>
        </is>
      </c>
      <c r="O116" s="5" t="inlineStr">
        <is>
          <t>2016</t>
        </is>
      </c>
      <c r="P116" s="5" t="inlineStr">
        <is>
          <t>2017</t>
        </is>
      </c>
      <c r="Q116" s="5" t="inlineStr">
        <is>
          <t>2018</t>
        </is>
      </c>
      <c r="R116" s="5" t="inlineStr">
        <is>
          <t>2019</t>
        </is>
      </c>
      <c r="S116" s="5" t="inlineStr">
        <is>
          <t>2020</t>
        </is>
      </c>
      <c r="T116" s="5" t="inlineStr">
        <is>
          <t>2021</t>
        </is>
      </c>
      <c r="U116" s="5" t="inlineStr">
        <is>
          <t>2022</t>
        </is>
      </c>
      <c r="V116" s="5" t="inlineStr">
        <is>
          <t>2023</t>
        </is>
      </c>
      <c r="W116" s="5" t="inlineStr">
        <is>
          <t>2024</t>
        </is>
      </c>
      <c r="X116" s="5" t="inlineStr">
        <is>
          <t>2025</t>
        </is>
      </c>
      <c r="Y116" s="5" t="inlineStr">
        <is>
          <t>2026(MW)</t>
        </is>
      </c>
      <c r="Z116" s="5" t="inlineStr">
        <is>
          <t>2027(MW)</t>
        </is>
      </c>
      <c r="AA116" s="5" t="inlineStr">
        <is>
          <t>2028(MW)</t>
        </is>
      </c>
      <c r="AB116" s="5" t="inlineStr">
        <is>
          <t>2029(MW)</t>
        </is>
      </c>
      <c r="AC116" s="5" t="inlineStr">
        <is>
          <t>2030(MW)</t>
        </is>
      </c>
    </row>
    <row r="117">
      <c r="A117" s="9" t="inlineStr">
        <is>
          <t>중간이익</t>
        </is>
      </c>
      <c r="C117" s="12" t="n">
        <v>156070</v>
      </c>
      <c r="D117" s="12" t="n">
        <v>40778</v>
      </c>
      <c r="E117" s="12" t="n">
        <v>157766</v>
      </c>
      <c r="F117" s="12" t="n">
        <v>149360</v>
      </c>
      <c r="G117" s="12" t="n">
        <v>137417</v>
      </c>
      <c r="H117" s="12" t="n">
        <v>-261947</v>
      </c>
      <c r="I117" s="12" t="n">
        <v>158226</v>
      </c>
      <c r="J117" s="12" t="n">
        <v>163739</v>
      </c>
      <c r="K117" s="12" t="n">
        <v>192274</v>
      </c>
      <c r="L117" s="12" t="n">
        <v>-1025</v>
      </c>
      <c r="M117" s="12" t="n">
        <v>197243</v>
      </c>
      <c r="N117" s="12" t="n">
        <v>235938</v>
      </c>
      <c r="T117" s="12" t="n">
        <v>-104</v>
      </c>
      <c r="U117" s="12" t="n">
        <v>40244</v>
      </c>
      <c r="V117" s="12" t="n">
        <v>40778</v>
      </c>
      <c r="W117" s="12" t="n">
        <v>-261947</v>
      </c>
      <c r="X117" s="12" t="n">
        <v>-1025</v>
      </c>
    </row>
    <row r="118">
      <c r="A118" s="18" t="inlineStr">
        <is>
          <t>Net Change In Fair Value Of Equity Instruments Designated As Measured At Fair Value Through Other Comprehensive Income Net Of Tax Items That Will Not Be Reclassified To Profit Or Loss OCI</t>
        </is>
      </c>
      <c r="C118" s="20" t="n">
        <v>441</v>
      </c>
      <c r="D118" s="20" t="n">
        <v>-223</v>
      </c>
      <c r="E118" s="20" t="n">
        <v>1220</v>
      </c>
      <c r="F118" s="20" t="n">
        <v>816</v>
      </c>
      <c r="G118" s="20" t="n">
        <v>-395</v>
      </c>
      <c r="H118" s="20" t="n">
        <v>698</v>
      </c>
      <c r="I118" s="20" t="n">
        <v>-1259</v>
      </c>
      <c r="J118" s="20" t="n">
        <v>1174</v>
      </c>
      <c r="K118" s="20" t="n">
        <v>491</v>
      </c>
      <c r="L118" s="20" t="n">
        <v>531</v>
      </c>
      <c r="M118" s="20" t="n">
        <v>358</v>
      </c>
      <c r="N118" s="20" t="n">
        <v>-620</v>
      </c>
      <c r="T118" s="20" t="n">
        <v>-1773</v>
      </c>
      <c r="U118" s="20" t="n">
        <v>168</v>
      </c>
      <c r="V118" s="20" t="n">
        <v>-223</v>
      </c>
      <c r="W118" s="20" t="n">
        <v>698</v>
      </c>
      <c r="X118" s="20" t="n">
        <v>531</v>
      </c>
    </row>
    <row r="119">
      <c r="A119" s="18" t="inlineStr">
        <is>
          <t>Remeasurements Of Defined Benefit Plans Net Of Tax Items That Will Not Be Reclassified To Profit Or Loss OCI</t>
        </is>
      </c>
      <c r="C119" s="20" t="n">
        <v>0</v>
      </c>
      <c r="D119" s="20" t="n">
        <v>-13538</v>
      </c>
      <c r="E119" s="20" t="n">
        <v>0</v>
      </c>
      <c r="F119" s="20" t="n">
        <v>16360</v>
      </c>
      <c r="G119" s="20" t="n">
        <v>0</v>
      </c>
      <c r="H119" s="20" t="n">
        <v>-2362</v>
      </c>
      <c r="I119" s="20" t="n">
        <v>180</v>
      </c>
      <c r="J119" s="20" t="n">
        <v>5</v>
      </c>
      <c r="K119" s="20" t="n">
        <v>0</v>
      </c>
      <c r="L119" s="20" t="n">
        <v>21986</v>
      </c>
      <c r="M119" s="20" t="n">
        <v>0</v>
      </c>
      <c r="N119" s="20" t="n">
        <v>0</v>
      </c>
      <c r="T119" s="20" t="n">
        <v>-18020</v>
      </c>
      <c r="U119" s="20" t="n">
        <v>8079</v>
      </c>
      <c r="V119" s="20" t="n">
        <v>-13538</v>
      </c>
      <c r="W119" s="20" t="n">
        <v>-2362</v>
      </c>
      <c r="X119" s="20" t="n">
        <v>21986</v>
      </c>
    </row>
    <row r="120">
      <c r="A120" s="18" t="inlineStr">
        <is>
          <t>Total Of Items That Will Not Be Reclassified To Profit Or Loss OCI</t>
        </is>
      </c>
      <c r="C120" s="20" t="n">
        <v>441</v>
      </c>
      <c r="D120" s="20" t="n">
        <v>-13760</v>
      </c>
      <c r="E120" s="20" t="n">
        <v>1220</v>
      </c>
      <c r="F120" s="20" t="n">
        <v>17176</v>
      </c>
      <c r="G120" s="20" t="n">
        <v>-395</v>
      </c>
      <c r="H120" s="20" t="n">
        <v>-1664</v>
      </c>
      <c r="I120" s="20" t="n">
        <v>-1079</v>
      </c>
      <c r="J120" s="20" t="n">
        <v>1179</v>
      </c>
      <c r="K120" s="20" t="n">
        <v>490</v>
      </c>
      <c r="L120" s="20" t="n">
        <v>22519</v>
      </c>
      <c r="M120" s="20" t="n">
        <v>358</v>
      </c>
      <c r="N120" s="20" t="n">
        <v>-620</v>
      </c>
      <c r="T120" s="20" t="n">
        <v>-19795</v>
      </c>
      <c r="U120" s="20" t="n">
        <v>8247</v>
      </c>
      <c r="V120" s="20" t="n">
        <v>-13760</v>
      </c>
      <c r="W120" s="20" t="n">
        <v>-1664</v>
      </c>
      <c r="X120" s="20" t="n">
        <v>22519</v>
      </c>
    </row>
    <row r="121">
      <c r="A121" s="18" t="inlineStr">
        <is>
          <t>Exchange Differences On Translation Of Foreign Operations Net Of Tax Items That May Be Reclassified To Profit Or Loss OCI</t>
        </is>
      </c>
      <c r="C121" s="20" t="n">
        <v>61260</v>
      </c>
      <c r="D121" s="20" t="n">
        <v>-117721</v>
      </c>
      <c r="E121" s="20" t="n">
        <v>183361</v>
      </c>
      <c r="F121" s="20" t="n">
        <v>287994</v>
      </c>
      <c r="G121" s="20" t="n">
        <v>-516818</v>
      </c>
      <c r="H121" s="20" t="n">
        <v>139315</v>
      </c>
      <c r="I121" s="20" t="n">
        <v>35339</v>
      </c>
      <c r="J121" s="20" t="n">
        <v>115076</v>
      </c>
      <c r="K121" s="20" t="n">
        <v>72776</v>
      </c>
      <c r="L121" s="20" t="n">
        <v>-73023</v>
      </c>
      <c r="M121" s="20" t="n">
        <v>29259</v>
      </c>
      <c r="N121" s="20" t="n">
        <v>72830</v>
      </c>
      <c r="T121" s="20" t="n">
        <v>39365</v>
      </c>
      <c r="U121" s="20" t="n">
        <v>-289788</v>
      </c>
      <c r="V121" s="20" t="n">
        <v>-117721</v>
      </c>
      <c r="W121" s="20" t="n">
        <v>139315</v>
      </c>
      <c r="X121" s="20" t="n">
        <v>-73023</v>
      </c>
    </row>
    <row r="122">
      <c r="A122" s="18" t="inlineStr">
        <is>
          <t>Effective Portion Of Cash Flow Hedges Net Of Tax Items That May Be Reclassified To Profit Or Loss OCI</t>
        </is>
      </c>
      <c r="C122" s="20" t="n">
        <v>4075</v>
      </c>
      <c r="D122" s="20" t="n">
        <v>1880</v>
      </c>
      <c r="E122" s="20" t="n">
        <v>-3104</v>
      </c>
      <c r="F122" s="20" t="n">
        <v>-1735</v>
      </c>
      <c r="G122" s="20" t="n">
        <v>794</v>
      </c>
      <c r="H122" s="20" t="n">
        <v>-156</v>
      </c>
      <c r="I122" s="20" t="n">
        <v>-2970</v>
      </c>
      <c r="J122" s="20" t="n">
        <v>-1706</v>
      </c>
      <c r="K122" s="20" t="n">
        <v>4181</v>
      </c>
      <c r="L122" s="20" t="n">
        <v>417</v>
      </c>
      <c r="M122" s="20" t="n">
        <v>6297</v>
      </c>
      <c r="N122" s="20" t="n">
        <v>2628</v>
      </c>
      <c r="T122" s="20" t="n">
        <v>11</v>
      </c>
      <c r="U122" s="20" t="n">
        <v>-8221</v>
      </c>
      <c r="V122" s="20" t="n">
        <v>1880</v>
      </c>
      <c r="W122" s="20" t="n">
        <v>-156</v>
      </c>
      <c r="X122" s="20" t="n">
        <v>417</v>
      </c>
    </row>
    <row r="123">
      <c r="A123" s="18" t="inlineStr">
        <is>
          <t>Hedge Costs Net Of Tax Items That May Be Reclassified To Profit Or Loss OCI</t>
        </is>
      </c>
      <c r="C123" s="20" t="n">
        <v>0</v>
      </c>
      <c r="D123" s="20" t="n">
        <v>-17</v>
      </c>
      <c r="E123" s="20" t="n">
        <v>-229</v>
      </c>
      <c r="F123" s="20" t="n">
        <v>107</v>
      </c>
      <c r="G123" s="20" t="n">
        <v>87</v>
      </c>
      <c r="H123" s="20" t="n">
        <v>64</v>
      </c>
      <c r="I123" s="20" t="n">
        <v>0</v>
      </c>
      <c r="J123" s="20" t="n">
        <v>-14</v>
      </c>
      <c r="K123" s="20" t="n">
        <v>0</v>
      </c>
      <c r="L123" s="20" t="n">
        <v>19</v>
      </c>
      <c r="M123" s="20" t="n">
        <v>-283</v>
      </c>
      <c r="N123" s="20" t="n">
        <v>-359</v>
      </c>
      <c r="V123" s="20" t="n">
        <v>-17</v>
      </c>
      <c r="W123" s="20" t="n">
        <v>64</v>
      </c>
      <c r="X123" s="20" t="n">
        <v>19</v>
      </c>
    </row>
    <row r="124">
      <c r="A124" s="18" t="inlineStr">
        <is>
          <t>Total Of Items That May Be Reclassified To Profit Or Loss OCI</t>
        </is>
      </c>
      <c r="C124" s="20" t="n">
        <v>65335</v>
      </c>
      <c r="D124" s="20" t="n">
        <v>-115858</v>
      </c>
      <c r="E124" s="20" t="n">
        <v>180028</v>
      </c>
      <c r="F124" s="20" t="n">
        <v>286367</v>
      </c>
      <c r="G124" s="20" t="n">
        <v>-515938</v>
      </c>
      <c r="H124" s="20" t="n">
        <v>139223</v>
      </c>
      <c r="I124" s="20" t="n">
        <v>32369</v>
      </c>
      <c r="J124" s="20" t="n">
        <v>113357</v>
      </c>
      <c r="K124" s="20" t="n">
        <v>76956</v>
      </c>
      <c r="L124" s="20" t="n">
        <v>-72587</v>
      </c>
      <c r="M124" s="20" t="n">
        <v>35273</v>
      </c>
      <c r="N124" s="20" t="n">
        <v>75100</v>
      </c>
      <c r="T124" s="20" t="n">
        <v>39376</v>
      </c>
      <c r="U124" s="20" t="n">
        <v>-298009</v>
      </c>
      <c r="V124" s="20" t="n">
        <v>-115858</v>
      </c>
      <c r="W124" s="20" t="n">
        <v>139223</v>
      </c>
      <c r="X124" s="20" t="n">
        <v>-72587</v>
      </c>
    </row>
    <row r="125">
      <c r="A125" s="18" t="inlineStr">
        <is>
          <t>Other Comprehensive Income</t>
        </is>
      </c>
      <c r="C125" s="20" t="n">
        <v>65776</v>
      </c>
      <c r="D125" s="20" t="n">
        <v>-129618</v>
      </c>
      <c r="E125" s="20" t="n">
        <v>181248</v>
      </c>
      <c r="F125" s="20" t="n">
        <v>303543</v>
      </c>
      <c r="G125" s="20" t="n">
        <v>-516333</v>
      </c>
      <c r="H125" s="20" t="n">
        <v>137559</v>
      </c>
      <c r="I125" s="20" t="n">
        <v>31290</v>
      </c>
      <c r="J125" s="20" t="n">
        <v>114536</v>
      </c>
      <c r="K125" s="20" t="n">
        <v>77447</v>
      </c>
      <c r="L125" s="20" t="n">
        <v>-50069</v>
      </c>
      <c r="M125" s="20" t="n">
        <v>35631</v>
      </c>
      <c r="N125" s="20" t="n">
        <v>74480</v>
      </c>
      <c r="T125" s="20" t="n">
        <v>19581</v>
      </c>
      <c r="U125" s="20" t="n">
        <v>-289762</v>
      </c>
      <c r="V125" s="20" t="n">
        <v>-129618</v>
      </c>
      <c r="W125" s="20" t="n">
        <v>137559</v>
      </c>
      <c r="X125" s="20" t="n">
        <v>-50069</v>
      </c>
    </row>
    <row r="126">
      <c r="A126" s="9" t="inlineStr">
        <is>
          <t>포괄이익</t>
        </is>
      </c>
      <c r="C126" s="12" t="n">
        <v>221846</v>
      </c>
      <c r="D126" s="12" t="n">
        <v>-88841</v>
      </c>
      <c r="E126" s="12" t="n">
        <v>339015</v>
      </c>
      <c r="F126" s="12" t="n">
        <v>452902</v>
      </c>
      <c r="G126" s="12" t="n">
        <v>-378917</v>
      </c>
      <c r="H126" s="12" t="n">
        <v>-124388</v>
      </c>
      <c r="I126" s="12" t="n">
        <v>189516</v>
      </c>
      <c r="J126" s="12" t="n">
        <v>278275</v>
      </c>
      <c r="K126" s="12" t="n">
        <v>269721</v>
      </c>
      <c r="L126" s="12" t="n">
        <v>-51094</v>
      </c>
      <c r="M126" s="12" t="n">
        <v>232875</v>
      </c>
      <c r="N126" s="12" t="n">
        <v>310417</v>
      </c>
      <c r="T126" s="12" t="n">
        <v>19477</v>
      </c>
      <c r="U126" s="12" t="n">
        <v>-249518</v>
      </c>
      <c r="V126" s="12" t="n">
        <v>-88841</v>
      </c>
      <c r="W126" s="12" t="n">
        <v>-124388</v>
      </c>
      <c r="X126" s="12" t="n">
        <v>-51094</v>
      </c>
    </row>
    <row r="127">
      <c r="A127" s="9" t="inlineStr">
        <is>
          <t>Comprehensive Income Attributable To Owners Of Parent</t>
        </is>
      </c>
      <c r="C127" s="12" t="n">
        <v>220279</v>
      </c>
      <c r="D127" s="12" t="n">
        <v>-88959</v>
      </c>
      <c r="E127" s="12" t="n">
        <v>337642</v>
      </c>
      <c r="F127" s="12" t="n">
        <v>450757</v>
      </c>
      <c r="G127" s="12" t="n">
        <v>-376602</v>
      </c>
      <c r="H127" s="12" t="n">
        <v>-126343</v>
      </c>
      <c r="I127" s="12" t="n">
        <v>189150</v>
      </c>
      <c r="J127" s="12" t="n">
        <v>276891</v>
      </c>
      <c r="K127" s="12" t="n">
        <v>268926</v>
      </c>
      <c r="L127" s="12" t="n">
        <v>-52494</v>
      </c>
      <c r="M127" s="12" t="n">
        <v>232767</v>
      </c>
      <c r="N127" s="12" t="n">
        <v>309321</v>
      </c>
      <c r="T127" s="12" t="n">
        <v>19152</v>
      </c>
      <c r="U127" s="12" t="n">
        <v>-249373</v>
      </c>
      <c r="V127" s="12" t="n">
        <v>-88959</v>
      </c>
      <c r="W127" s="12" t="n">
        <v>-126343</v>
      </c>
      <c r="X127" s="12" t="n">
        <v>-52494</v>
      </c>
    </row>
    <row r="128">
      <c r="A128" s="9" t="inlineStr">
        <is>
          <t>비지배지분</t>
        </is>
      </c>
      <c r="C128" s="12" t="n">
        <v>1567</v>
      </c>
      <c r="D128" s="12" t="n">
        <v>118</v>
      </c>
      <c r="E128" s="12" t="n">
        <v>1373</v>
      </c>
      <c r="F128" s="12" t="n">
        <v>2146</v>
      </c>
      <c r="G128" s="12" t="n">
        <v>-2316</v>
      </c>
      <c r="H128" s="12" t="n">
        <v>1956</v>
      </c>
      <c r="I128" s="12" t="n">
        <v>366</v>
      </c>
      <c r="J128" s="12" t="n">
        <v>1384</v>
      </c>
      <c r="K128" s="12" t="n">
        <v>794</v>
      </c>
      <c r="L128" s="12" t="n">
        <v>1401</v>
      </c>
      <c r="M128" s="12" t="n">
        <v>107</v>
      </c>
      <c r="N128" s="12" t="n">
        <v>1097</v>
      </c>
      <c r="T128" s="12" t="n">
        <v>325</v>
      </c>
      <c r="U128" s="12" t="n">
        <v>-145</v>
      </c>
      <c r="V128" s="12" t="n">
        <v>118</v>
      </c>
      <c r="W128" s="12" t="n">
        <v>1956</v>
      </c>
      <c r="X128" s="12" t="n">
        <v>1401</v>
      </c>
    </row>
    <row r="130">
      <c r="A130" s="16" t="inlineStr">
        <is>
          <t>부문 · 전 항목</t>
        </is>
      </c>
      <c r="B130" s="42" t="inlineStr">
        <is>
          <t>부문 · 항목</t>
        </is>
      </c>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row>
    <row r="131">
      <c r="A131" s="5" t="inlineStr">
        <is>
          <t>항목</t>
        </is>
      </c>
      <c r="B131" s="5" t="inlineStr">
        <is>
          <t>참고</t>
        </is>
      </c>
      <c r="C131" s="5" t="inlineStr">
        <is>
          <t>2023.3Q</t>
        </is>
      </c>
      <c r="D131" s="5" t="inlineStr">
        <is>
          <t>2023.4Q</t>
        </is>
      </c>
      <c r="E131" s="5" t="inlineStr">
        <is>
          <t>2024.1Q</t>
        </is>
      </c>
      <c r="F131" s="5" t="inlineStr">
        <is>
          <t>2024.2Q</t>
        </is>
      </c>
      <c r="G131" s="5" t="inlineStr">
        <is>
          <t>2024.3Q</t>
        </is>
      </c>
      <c r="H131" s="5" t="inlineStr">
        <is>
          <t>2024.4Q</t>
        </is>
      </c>
      <c r="I131" s="5" t="inlineStr">
        <is>
          <t>2025.1Q</t>
        </is>
      </c>
      <c r="J131" s="5" t="inlineStr">
        <is>
          <t>2025.2Q</t>
        </is>
      </c>
      <c r="K131" s="5" t="inlineStr">
        <is>
          <t>2025.3Q</t>
        </is>
      </c>
      <c r="L131" s="5" t="inlineStr">
        <is>
          <t>2025.4Q</t>
        </is>
      </c>
      <c r="M131" s="5" t="inlineStr">
        <is>
          <t>2026.1Q</t>
        </is>
      </c>
      <c r="N131" s="5" t="inlineStr">
        <is>
          <t>2026.2Q</t>
        </is>
      </c>
      <c r="O131" s="5" t="inlineStr">
        <is>
          <t>2016</t>
        </is>
      </c>
      <c r="P131" s="5" t="inlineStr">
        <is>
          <t>2017</t>
        </is>
      </c>
      <c r="Q131" s="5" t="inlineStr">
        <is>
          <t>2018</t>
        </is>
      </c>
      <c r="R131" s="5" t="inlineStr">
        <is>
          <t>2019</t>
        </is>
      </c>
      <c r="S131" s="5" t="inlineStr">
        <is>
          <t>2020</t>
        </is>
      </c>
      <c r="T131" s="5" t="inlineStr">
        <is>
          <t>2021</t>
        </is>
      </c>
      <c r="U131" s="5" t="inlineStr">
        <is>
          <t>2022</t>
        </is>
      </c>
      <c r="V131" s="5" t="inlineStr">
        <is>
          <t>2023</t>
        </is>
      </c>
      <c r="W131" s="5" t="inlineStr">
        <is>
          <t>2024</t>
        </is>
      </c>
      <c r="X131" s="5" t="inlineStr">
        <is>
          <t>2025</t>
        </is>
      </c>
      <c r="Y131" s="5" t="inlineStr">
        <is>
          <t>2026(MW)</t>
        </is>
      </c>
      <c r="Z131" s="5" t="inlineStr">
        <is>
          <t>2027(MW)</t>
        </is>
      </c>
      <c r="AA131" s="5" t="inlineStr">
        <is>
          <t>2028(MW)</t>
        </is>
      </c>
      <c r="AB131" s="5" t="inlineStr">
        <is>
          <t>2029(MW)</t>
        </is>
      </c>
      <c r="AC131" s="5" t="inlineStr">
        <is>
          <t>2030(MW)</t>
        </is>
      </c>
    </row>
    <row r="132">
      <c r="A132" s="18" t="inlineStr">
        <is>
          <t>부문 · Revenue From External Customers</t>
        </is>
      </c>
      <c r="C132" s="20" t="n">
        <v>703487</v>
      </c>
      <c r="D132" s="20" t="n">
        <v>616375</v>
      </c>
      <c r="E132" s="20" t="n">
        <v>680981</v>
      </c>
      <c r="F132" s="20" t="n">
        <v>770379</v>
      </c>
      <c r="G132" s="20" t="n">
        <v>760667</v>
      </c>
      <c r="H132" s="20" t="n">
        <v>684957</v>
      </c>
      <c r="I132" s="20" t="n">
        <v>764807</v>
      </c>
      <c r="J132" s="20" t="n">
        <v>843972</v>
      </c>
      <c r="K132" s="20" t="n">
        <v>908080</v>
      </c>
      <c r="L132" s="20" t="n">
        <v>788548</v>
      </c>
      <c r="M132" s="20" t="n">
        <v>885554</v>
      </c>
      <c r="N132" s="20" t="n">
        <v>1020039</v>
      </c>
      <c r="V132" s="20" t="n">
        <v>616375</v>
      </c>
      <c r="W132" s="20" t="n">
        <v>684957</v>
      </c>
      <c r="X132" s="20" t="n">
        <v>788548</v>
      </c>
    </row>
    <row r="133">
      <c r="A133" s="43" t="inlineStr">
        <is>
          <t>YoY</t>
        </is>
      </c>
      <c r="B133" s="3" t="inlineStr">
        <is>
          <t>전년 같은 분기·전년 대비</t>
        </is>
      </c>
      <c r="G133" s="15">
        <f>IF(OR(G132="",C132=""),"",IF(C132&lt;=0,"",IFERROR(G132/C132-1,"")))</f>
        <v/>
      </c>
      <c r="H133" s="15">
        <f>IF(OR(H132="",D132=""),"",IF(D132&lt;=0,"",IFERROR(H132/D132-1,"")))</f>
        <v/>
      </c>
      <c r="I133" s="15">
        <f>IF(OR(I132="",E132=""),"",IF(E132&lt;=0,"",IFERROR(I132/E132-1,"")))</f>
        <v/>
      </c>
      <c r="J133" s="15">
        <f>IF(OR(J132="",F132=""),"",IF(F132&lt;=0,"",IFERROR(J132/F132-1,"")))</f>
        <v/>
      </c>
      <c r="K133" s="15">
        <f>IF(OR(K132="",G132=""),"",IF(G132&lt;=0,"",IFERROR(K132/G132-1,"")))</f>
        <v/>
      </c>
      <c r="L133" s="15">
        <f>IF(OR(L132="",H132=""),"",IF(H132&lt;=0,"",IFERROR(L132/H132-1,"")))</f>
        <v/>
      </c>
      <c r="M133" s="15">
        <f>IF(OR(M132="",I132=""),"",IF(I132&lt;=0,"",IFERROR(M132/I132-1,"")))</f>
        <v/>
      </c>
      <c r="N133" s="15">
        <f>IF(OR(N132="",J132=""),"",IF(J132&lt;=0,"",IFERROR(N132/J132-1,"")))</f>
        <v/>
      </c>
      <c r="V133" s="15">
        <f>IF(OR(V132="",U132=""),"",IF(U132&lt;=0,"",IFERROR(V132/U132-1,"")))</f>
        <v/>
      </c>
      <c r="W133" s="15">
        <f>IF(OR(W132="",V132=""),"",IF(V132&lt;=0,"",IFERROR(W132/V132-1,"")))</f>
        <v/>
      </c>
      <c r="X133" s="15">
        <f>IF(OR(X132="",W132=""),"",IF(W132&lt;=0,"",IFERROR(X132/W132-1,"")))</f>
        <v/>
      </c>
    </row>
    <row r="134">
      <c r="A134" s="18" t="inlineStr">
        <is>
          <t>부문 · Revenue From External Customers</t>
        </is>
      </c>
      <c r="C134" s="20" t="n">
        <v>22147</v>
      </c>
      <c r="D134" s="20" t="n">
        <v>25076</v>
      </c>
      <c r="E134" s="20" t="n">
        <v>23341</v>
      </c>
      <c r="F134" s="20" t="n">
        <v>20718</v>
      </c>
      <c r="G134" s="20" t="n">
        <v>22990</v>
      </c>
      <c r="H134" s="20" t="n">
        <v>27415</v>
      </c>
      <c r="I134" s="20" t="n">
        <v>25388</v>
      </c>
      <c r="J134" s="20" t="n">
        <v>22943</v>
      </c>
      <c r="V134" s="20" t="n">
        <v>25076</v>
      </c>
      <c r="W134" s="20" t="n">
        <v>27415</v>
      </c>
    </row>
    <row r="135">
      <c r="A135" s="43" t="inlineStr">
        <is>
          <t>YoY</t>
        </is>
      </c>
      <c r="B135" s="3" t="inlineStr">
        <is>
          <t>전년 같은 분기·전년 대비</t>
        </is>
      </c>
      <c r="G135" s="15">
        <f>IF(OR(G134="",C134=""),"",IF(C134&lt;=0,"",IFERROR(G134/C134-1,"")))</f>
        <v/>
      </c>
      <c r="H135" s="15">
        <f>IF(OR(H134="",D134=""),"",IF(D134&lt;=0,"",IFERROR(H134/D134-1,"")))</f>
        <v/>
      </c>
      <c r="I135" s="15">
        <f>IF(OR(I134="",E134=""),"",IF(E134&lt;=0,"",IFERROR(I134/E134-1,"")))</f>
        <v/>
      </c>
      <c r="J135" s="15">
        <f>IF(OR(J134="",F134=""),"",IF(F134&lt;=0,"",IFERROR(J134/F134-1,"")))</f>
        <v/>
      </c>
      <c r="V135" s="15">
        <f>IF(OR(V134="",U134=""),"",IF(U134&lt;=0,"",IFERROR(V134/U134-1,"")))</f>
        <v/>
      </c>
      <c r="W135" s="15">
        <f>IF(OR(W134="",V134=""),"",IF(V134&lt;=0,"",IFERROR(W134/V134-1,"")))</f>
        <v/>
      </c>
    </row>
    <row r="136">
      <c r="A136" s="18" t="inlineStr">
        <is>
          <t>부문 · Revenue From External Customers</t>
        </is>
      </c>
      <c r="C136" s="20" t="n">
        <v>38084</v>
      </c>
      <c r="D136" s="20" t="n">
        <v>42368</v>
      </c>
      <c r="E136" s="20" t="n">
        <v>35689</v>
      </c>
      <c r="F136" s="20" t="n">
        <v>38126</v>
      </c>
      <c r="G136" s="20" t="n">
        <v>39672</v>
      </c>
      <c r="H136" s="20" t="n">
        <v>43696</v>
      </c>
      <c r="I136" s="20" t="n">
        <v>36468</v>
      </c>
      <c r="J136" s="20" t="n">
        <v>40279</v>
      </c>
      <c r="K136" s="20" t="n">
        <v>38500</v>
      </c>
      <c r="L136" s="20" t="n">
        <v>44266</v>
      </c>
      <c r="M136" s="20" t="n">
        <v>37826</v>
      </c>
      <c r="N136" s="20" t="n">
        <v>41411</v>
      </c>
      <c r="V136" s="20" t="n">
        <v>42368</v>
      </c>
      <c r="W136" s="20" t="n">
        <v>43696</v>
      </c>
      <c r="X136" s="20" t="n">
        <v>44266</v>
      </c>
    </row>
    <row r="137">
      <c r="A137" s="43" t="inlineStr">
        <is>
          <t>YoY</t>
        </is>
      </c>
      <c r="B137" s="3" t="inlineStr">
        <is>
          <t>전년 같은 분기·전년 대비</t>
        </is>
      </c>
      <c r="G137" s="15">
        <f>IF(OR(G136="",C136=""),"",IF(C136&lt;=0,"",IFERROR(G136/C136-1,"")))</f>
        <v/>
      </c>
      <c r="H137" s="15">
        <f>IF(OR(H136="",D136=""),"",IF(D136&lt;=0,"",IFERROR(H136/D136-1,"")))</f>
        <v/>
      </c>
      <c r="I137" s="15">
        <f>IF(OR(I136="",E136=""),"",IF(E136&lt;=0,"",IFERROR(I136/E136-1,"")))</f>
        <v/>
      </c>
      <c r="J137" s="15">
        <f>IF(OR(J136="",F136=""),"",IF(F136&lt;=0,"",IFERROR(J136/F136-1,"")))</f>
        <v/>
      </c>
      <c r="K137" s="15">
        <f>IF(OR(K136="",G136=""),"",IF(G136&lt;=0,"",IFERROR(K136/G136-1,"")))</f>
        <v/>
      </c>
      <c r="L137" s="15">
        <f>IF(OR(L136="",H136=""),"",IF(H136&lt;=0,"",IFERROR(L136/H136-1,"")))</f>
        <v/>
      </c>
      <c r="M137" s="15">
        <f>IF(OR(M136="",I136=""),"",IF(I136&lt;=0,"",IFERROR(M136/I136-1,"")))</f>
        <v/>
      </c>
      <c r="N137" s="15">
        <f>IF(OR(N136="",J136=""),"",IF(J136&lt;=0,"",IFERROR(N136/J136-1,"")))</f>
        <v/>
      </c>
      <c r="V137" s="15">
        <f>IF(OR(V136="",U136=""),"",IF(U136&lt;=0,"",IFERROR(V136/U136-1,"")))</f>
        <v/>
      </c>
      <c r="W137" s="15">
        <f>IF(OR(W136="",V136=""),"",IF(V136&lt;=0,"",IFERROR(W136/V136-1,"")))</f>
        <v/>
      </c>
      <c r="X137" s="15">
        <f>IF(OR(X136="",W136=""),"",IF(W136&lt;=0,"",IFERROR(X136/W136-1,"")))</f>
        <v/>
      </c>
    </row>
    <row r="138">
      <c r="A138" s="18" t="inlineStr">
        <is>
          <t>보고부문 합계 · Revenue From External Customers</t>
        </is>
      </c>
      <c r="C138" s="20" t="n">
        <v>763718</v>
      </c>
      <c r="D138" s="20" t="n">
        <v>683818</v>
      </c>
      <c r="E138" s="20" t="n">
        <v>740011</v>
      </c>
      <c r="F138" s="20" t="n">
        <v>829224</v>
      </c>
      <c r="G138" s="20" t="n">
        <v>756280</v>
      </c>
      <c r="H138" s="20" t="n">
        <v>728653</v>
      </c>
      <c r="I138" s="20" t="n">
        <v>801275</v>
      </c>
      <c r="J138" s="20" t="n">
        <v>884252</v>
      </c>
      <c r="K138" s="20" t="n">
        <v>946579</v>
      </c>
      <c r="L138" s="20" t="n">
        <v>832814</v>
      </c>
      <c r="M138" s="20" t="n">
        <v>923380</v>
      </c>
      <c r="N138" s="20" t="n">
        <v>1061450</v>
      </c>
      <c r="V138" s="20" t="n">
        <v>683818</v>
      </c>
      <c r="W138" s="20" t="n">
        <v>728653</v>
      </c>
      <c r="X138" s="20" t="n">
        <v>832814</v>
      </c>
    </row>
    <row r="139">
      <c r="A139" s="43" t="inlineStr">
        <is>
          <t>YoY</t>
        </is>
      </c>
      <c r="B139" s="3" t="inlineStr">
        <is>
          <t>전년 같은 분기·전년 대비</t>
        </is>
      </c>
      <c r="G139" s="15">
        <f>IF(OR(G138="",C138=""),"",IF(C138&lt;=0,"",IFERROR(G138/C138-1,"")))</f>
        <v/>
      </c>
      <c r="H139" s="15">
        <f>IF(OR(H138="",D138=""),"",IF(D138&lt;=0,"",IFERROR(H138/D138-1,"")))</f>
        <v/>
      </c>
      <c r="I139" s="15">
        <f>IF(OR(I138="",E138=""),"",IF(E138&lt;=0,"",IFERROR(I138/E138-1,"")))</f>
        <v/>
      </c>
      <c r="J139" s="15">
        <f>IF(OR(J138="",F138=""),"",IF(F138&lt;=0,"",IFERROR(J138/F138-1,"")))</f>
        <v/>
      </c>
      <c r="K139" s="15">
        <f>IF(OR(K138="",G138=""),"",IF(G138&lt;=0,"",IFERROR(K138/G138-1,"")))</f>
        <v/>
      </c>
      <c r="L139" s="15">
        <f>IF(OR(L138="",H138=""),"",IF(H138&lt;=0,"",IFERROR(L138/H138-1,"")))</f>
        <v/>
      </c>
      <c r="M139" s="15">
        <f>IF(OR(M138="",I138=""),"",IF(I138&lt;=0,"",IFERROR(M138/I138-1,"")))</f>
        <v/>
      </c>
      <c r="N139" s="15">
        <f>IF(OR(N138="",J138=""),"",IF(J138&lt;=0,"",IFERROR(N138/J138-1,"")))</f>
        <v/>
      </c>
      <c r="V139" s="15">
        <f>IF(OR(V138="",U138=""),"",IF(U138&lt;=0,"",IFERROR(V138/U138-1,"")))</f>
        <v/>
      </c>
      <c r="W139" s="15">
        <f>IF(OR(W138="",V138=""),"",IF(V138&lt;=0,"",IFERROR(W138/V138-1,"")))</f>
        <v/>
      </c>
      <c r="X139" s="15">
        <f>IF(OR(X138="",W138=""),"",IF(W138&lt;=0,"",IFERROR(X138/W138-1,"")))</f>
        <v/>
      </c>
    </row>
    <row r="140">
      <c r="A140" s="18" t="inlineStr">
        <is>
          <t>기타 · Revenue From External Customers</t>
        </is>
      </c>
      <c r="C140" s="20" t="n">
        <v>488</v>
      </c>
      <c r="D140" s="20" t="n">
        <v>240</v>
      </c>
      <c r="E140" s="20" t="n">
        <v>322</v>
      </c>
      <c r="F140" s="20" t="n">
        <v>336</v>
      </c>
      <c r="G140" s="20" t="n">
        <v>1071</v>
      </c>
      <c r="H140" s="20" t="n">
        <v>812</v>
      </c>
      <c r="I140" s="20" t="n">
        <v>597</v>
      </c>
      <c r="J140" s="20" t="n">
        <v>665</v>
      </c>
      <c r="K140" s="20" t="n">
        <v>660</v>
      </c>
      <c r="L140" s="20" t="n">
        <v>834</v>
      </c>
      <c r="M140" s="20" t="n">
        <v>582</v>
      </c>
      <c r="N140" s="20" t="n">
        <v>658</v>
      </c>
      <c r="V140" s="20" t="n">
        <v>240</v>
      </c>
      <c r="W140" s="20" t="n">
        <v>812</v>
      </c>
      <c r="X140" s="20" t="n">
        <v>834</v>
      </c>
    </row>
    <row r="141">
      <c r="A141" s="43" t="inlineStr">
        <is>
          <t>YoY</t>
        </is>
      </c>
      <c r="B141" s="3" t="inlineStr">
        <is>
          <t>전년 같은 분기·전년 대비</t>
        </is>
      </c>
      <c r="G141" s="15">
        <f>IF(OR(G140="",C140=""),"",IF(C140&lt;=0,"",IFERROR(G140/C140-1,"")))</f>
        <v/>
      </c>
      <c r="H141" s="15">
        <f>IF(OR(H140="",D140=""),"",IF(D140&lt;=0,"",IFERROR(H140/D140-1,"")))</f>
        <v/>
      </c>
      <c r="I141" s="15">
        <f>IF(OR(I140="",E140=""),"",IF(E140&lt;=0,"",IFERROR(I140/E140-1,"")))</f>
        <v/>
      </c>
      <c r="J141" s="15">
        <f>IF(OR(J140="",F140=""),"",IF(F140&lt;=0,"",IFERROR(J140/F140-1,"")))</f>
        <v/>
      </c>
      <c r="K141" s="15">
        <f>IF(OR(K140="",G140=""),"",IF(G140&lt;=0,"",IFERROR(K140/G140-1,"")))</f>
        <v/>
      </c>
      <c r="L141" s="15">
        <f>IF(OR(L140="",H140=""),"",IF(H140&lt;=0,"",IFERROR(L140/H140-1,"")))</f>
        <v/>
      </c>
      <c r="M141" s="15">
        <f>IF(OR(M140="",I140=""),"",IF(I140&lt;=0,"",IFERROR(M140/I140-1,"")))</f>
        <v/>
      </c>
      <c r="N141" s="15">
        <f>IF(OR(N140="",J140=""),"",IF(J140&lt;=0,"",IFERROR(N140/J140-1,"")))</f>
        <v/>
      </c>
      <c r="V141" s="15">
        <f>IF(OR(V140="",U140=""),"",IF(U140&lt;=0,"",IFERROR(V140/U140-1,"")))</f>
        <v/>
      </c>
      <c r="W141" s="15">
        <f>IF(OR(W140="",V140=""),"",IF(V140&lt;=0,"",IFERROR(W140/V140-1,"")))</f>
        <v/>
      </c>
      <c r="X141" s="15">
        <f>IF(OR(X140="",W140=""),"",IF(W140&lt;=0,"",IFERROR(X140/W140-1,"")))</f>
        <v/>
      </c>
    </row>
    <row r="142">
      <c r="A142" s="18" t="inlineStr">
        <is>
          <t>조정액 · Revenue From External Customers</t>
        </is>
      </c>
      <c r="C142" s="20" t="n">
        <v>0</v>
      </c>
      <c r="D142" s="20" t="n">
        <v>0</v>
      </c>
      <c r="E142" s="20" t="n">
        <v>0</v>
      </c>
      <c r="F142" s="20" t="n">
        <v>0</v>
      </c>
      <c r="G142" s="20" t="n">
        <v>0</v>
      </c>
      <c r="H142" s="20" t="n">
        <v>0</v>
      </c>
      <c r="I142" s="20" t="n">
        <v>0</v>
      </c>
      <c r="J142" s="20" t="n">
        <v>0</v>
      </c>
      <c r="K142" s="20" t="n">
        <v>0</v>
      </c>
      <c r="L142" s="20" t="n">
        <v>0</v>
      </c>
      <c r="M142" s="20" t="n">
        <v>0</v>
      </c>
      <c r="N142" s="20" t="n">
        <v>0</v>
      </c>
      <c r="V142" s="20" t="n">
        <v>0</v>
      </c>
      <c r="W142" s="20" t="n">
        <v>0</v>
      </c>
      <c r="X142" s="20" t="n">
        <v>0</v>
      </c>
    </row>
    <row r="143">
      <c r="A143" s="9" t="inlineStr">
        <is>
          <t>Revenue From External Customers</t>
        </is>
      </c>
      <c r="C143" s="12" t="n">
        <v>764206</v>
      </c>
      <c r="D143" s="12" t="n">
        <v>684059</v>
      </c>
      <c r="E143" s="12" t="n">
        <v>740333</v>
      </c>
      <c r="F143" s="12" t="n">
        <v>829559</v>
      </c>
      <c r="G143" s="12" t="n">
        <v>757352</v>
      </c>
      <c r="H143" s="12" t="n">
        <v>729465</v>
      </c>
      <c r="I143" s="12" t="n">
        <v>801872</v>
      </c>
      <c r="J143" s="12" t="n">
        <v>884917</v>
      </c>
      <c r="K143" s="12" t="n">
        <v>947239</v>
      </c>
      <c r="L143" s="12" t="n">
        <v>833647</v>
      </c>
      <c r="M143" s="12" t="n">
        <v>923963</v>
      </c>
      <c r="N143" s="12" t="n">
        <v>1062107</v>
      </c>
      <c r="V143" s="12" t="n">
        <v>684059</v>
      </c>
      <c r="W143" s="12" t="n">
        <v>729465</v>
      </c>
      <c r="X143" s="12" t="n">
        <v>833647</v>
      </c>
    </row>
    <row r="144">
      <c r="A144" s="43" t="inlineStr">
        <is>
          <t>YoY</t>
        </is>
      </c>
      <c r="B144" s="3" t="inlineStr">
        <is>
          <t>전년 같은 분기·전년 대비</t>
        </is>
      </c>
      <c r="G144" s="15">
        <f>IF(OR(G143="",C143=""),"",IF(C143&lt;=0,"",IFERROR(G143/C143-1,"")))</f>
        <v/>
      </c>
      <c r="H144" s="15">
        <f>IF(OR(H143="",D143=""),"",IF(D143&lt;=0,"",IFERROR(H143/D143-1,"")))</f>
        <v/>
      </c>
      <c r="I144" s="15">
        <f>IF(OR(I143="",E143=""),"",IF(E143&lt;=0,"",IFERROR(I143/E143-1,"")))</f>
        <v/>
      </c>
      <c r="J144" s="15">
        <f>IF(OR(J143="",F143=""),"",IF(F143&lt;=0,"",IFERROR(J143/F143-1,"")))</f>
        <v/>
      </c>
      <c r="K144" s="15">
        <f>IF(OR(K143="",G143=""),"",IF(G143&lt;=0,"",IFERROR(K143/G143-1,"")))</f>
        <v/>
      </c>
      <c r="L144" s="15">
        <f>IF(OR(L143="",H143=""),"",IF(H143&lt;=0,"",IFERROR(L143/H143-1,"")))</f>
        <v/>
      </c>
      <c r="M144" s="15">
        <f>IF(OR(M143="",I143=""),"",IF(I143&lt;=0,"",IFERROR(M143/I143-1,"")))</f>
        <v/>
      </c>
      <c r="N144" s="15">
        <f>IF(OR(N143="",J143=""),"",IF(J143&lt;=0,"",IFERROR(N143/J143-1,"")))</f>
        <v/>
      </c>
      <c r="V144" s="15">
        <f>IF(OR(V143="",U143=""),"",IF(U143&lt;=0,"",IFERROR(V143/U143-1,"")))</f>
        <v/>
      </c>
      <c r="W144" s="15">
        <f>IF(OR(W143="",V143=""),"",IF(V143&lt;=0,"",IFERROR(W143/V143-1,"")))</f>
        <v/>
      </c>
      <c r="X144" s="15">
        <f>IF(OR(X143="",W143=""),"",IF(W143&lt;=0,"",IFERROR(X143/W143-1,"")))</f>
        <v/>
      </c>
    </row>
    <row r="145">
      <c r="A145" s="18" t="inlineStr">
        <is>
          <t>부문 · Intersegment Revenue</t>
        </is>
      </c>
      <c r="C145" s="20" t="n">
        <v>92</v>
      </c>
      <c r="D145" s="20" t="n">
        <v>150</v>
      </c>
      <c r="E145" s="20" t="n">
        <v>64</v>
      </c>
      <c r="F145" s="20" t="n">
        <v>118</v>
      </c>
      <c r="G145" s="20" t="n">
        <v>-181</v>
      </c>
      <c r="H145" s="20" t="n">
        <v>0</v>
      </c>
      <c r="I145" s="20" t="n">
        <v>0</v>
      </c>
      <c r="J145" s="20" t="n">
        <v>0</v>
      </c>
      <c r="K145" s="20" t="n">
        <v>1</v>
      </c>
      <c r="L145" s="20" t="n">
        <v>0</v>
      </c>
      <c r="M145" s="20" t="n">
        <v>0</v>
      </c>
      <c r="N145" s="20" t="n">
        <v>0</v>
      </c>
      <c r="V145" s="20" t="n">
        <v>150</v>
      </c>
      <c r="W145" s="20" t="n">
        <v>0</v>
      </c>
      <c r="X145" s="20" t="n">
        <v>0</v>
      </c>
    </row>
    <row r="146">
      <c r="A146" s="18" t="inlineStr">
        <is>
          <t>부문 · Intersegment Revenue</t>
        </is>
      </c>
      <c r="C146" s="20" t="n">
        <v>0</v>
      </c>
      <c r="D146" s="20" t="n">
        <v>0</v>
      </c>
      <c r="E146" s="20" t="n">
        <v>0</v>
      </c>
      <c r="F146" s="20" t="n">
        <v>0</v>
      </c>
      <c r="G146" s="20" t="n">
        <v>0</v>
      </c>
      <c r="H146" s="20" t="n">
        <v>0</v>
      </c>
      <c r="I146" s="20" t="n">
        <v>0</v>
      </c>
      <c r="J146" s="20" t="n">
        <v>0</v>
      </c>
      <c r="V146" s="20" t="n">
        <v>0</v>
      </c>
      <c r="W146" s="20" t="n">
        <v>0</v>
      </c>
    </row>
    <row r="147">
      <c r="A147" s="18" t="inlineStr">
        <is>
          <t>부문 · Intersegment Revenue</t>
        </is>
      </c>
      <c r="C147" s="20" t="n">
        <v>8</v>
      </c>
      <c r="D147" s="20" t="n">
        <v>7</v>
      </c>
      <c r="E147" s="20" t="n">
        <v>6</v>
      </c>
      <c r="F147" s="20" t="n">
        <v>7</v>
      </c>
      <c r="G147" s="20" t="n">
        <v>8</v>
      </c>
      <c r="H147" s="20" t="n">
        <v>7</v>
      </c>
      <c r="I147" s="20" t="n">
        <v>7</v>
      </c>
      <c r="J147" s="20" t="n">
        <v>7</v>
      </c>
      <c r="K147" s="20" t="n">
        <v>9</v>
      </c>
      <c r="L147" s="20" t="n">
        <v>12</v>
      </c>
      <c r="M147" s="20" t="n">
        <v>9</v>
      </c>
      <c r="N147" s="20" t="n">
        <v>9</v>
      </c>
      <c r="V147" s="20" t="n">
        <v>7</v>
      </c>
      <c r="W147" s="20" t="n">
        <v>7</v>
      </c>
      <c r="X147" s="20" t="n">
        <v>12</v>
      </c>
    </row>
    <row r="148">
      <c r="A148" s="18" t="inlineStr">
        <is>
          <t>보고부문 합계 · Intersegment Revenue</t>
        </is>
      </c>
      <c r="C148" s="20" t="n">
        <v>100</v>
      </c>
      <c r="D148" s="20" t="n">
        <v>158</v>
      </c>
      <c r="E148" s="20" t="n">
        <v>69</v>
      </c>
      <c r="F148" s="20" t="n">
        <v>127</v>
      </c>
      <c r="G148" s="20" t="n">
        <v>-174</v>
      </c>
      <c r="H148" s="20" t="n">
        <v>7</v>
      </c>
      <c r="I148" s="20" t="n">
        <v>8</v>
      </c>
      <c r="J148" s="20" t="n">
        <v>6</v>
      </c>
      <c r="K148" s="20" t="n">
        <v>9</v>
      </c>
      <c r="L148" s="20" t="n">
        <v>12</v>
      </c>
      <c r="M148" s="20" t="n">
        <v>9</v>
      </c>
      <c r="N148" s="20" t="n">
        <v>9</v>
      </c>
      <c r="V148" s="20" t="n">
        <v>158</v>
      </c>
      <c r="W148" s="20" t="n">
        <v>7</v>
      </c>
      <c r="X148" s="20" t="n">
        <v>12</v>
      </c>
    </row>
    <row r="149">
      <c r="A149" s="18" t="inlineStr">
        <is>
          <t>기타 · Intersegment Revenue</t>
        </is>
      </c>
      <c r="C149" s="20" t="n">
        <v>652</v>
      </c>
      <c r="D149" s="20" t="n">
        <v>694</v>
      </c>
      <c r="E149" s="20" t="n">
        <v>705</v>
      </c>
      <c r="F149" s="20" t="n">
        <v>803</v>
      </c>
      <c r="G149" s="20" t="n">
        <v>5</v>
      </c>
      <c r="H149" s="20" t="n">
        <v>539</v>
      </c>
      <c r="I149" s="20" t="n">
        <v>560</v>
      </c>
      <c r="J149" s="20" t="n">
        <v>746</v>
      </c>
      <c r="K149" s="20" t="n">
        <v>652</v>
      </c>
      <c r="L149" s="20" t="n">
        <v>694</v>
      </c>
      <c r="M149" s="20" t="n">
        <v>620</v>
      </c>
      <c r="N149" s="20" t="n">
        <v>867</v>
      </c>
      <c r="V149" s="20" t="n">
        <v>694</v>
      </c>
      <c r="W149" s="20" t="n">
        <v>539</v>
      </c>
      <c r="X149" s="20" t="n">
        <v>694</v>
      </c>
    </row>
    <row r="150">
      <c r="A150" s="18" t="inlineStr">
        <is>
          <t>조정액 · Intersegment Revenue</t>
        </is>
      </c>
      <c r="C150" s="20" t="n">
        <v>-752</v>
      </c>
      <c r="D150" s="20" t="n">
        <v>-852</v>
      </c>
      <c r="E150" s="20" t="n">
        <v>-774</v>
      </c>
      <c r="F150" s="20" t="n">
        <v>-929</v>
      </c>
      <c r="G150" s="20" t="n">
        <v>168</v>
      </c>
      <c r="H150" s="20" t="n">
        <v>-546</v>
      </c>
      <c r="I150" s="20" t="n">
        <v>-567</v>
      </c>
      <c r="J150" s="20" t="n">
        <v>-753</v>
      </c>
      <c r="K150" s="20" t="n">
        <v>-661</v>
      </c>
      <c r="L150" s="20" t="n">
        <v>-706</v>
      </c>
      <c r="M150" s="20" t="n">
        <v>-629</v>
      </c>
      <c r="N150" s="20" t="n">
        <v>-876</v>
      </c>
      <c r="V150" s="20" t="n">
        <v>-852</v>
      </c>
      <c r="W150" s="20" t="n">
        <v>-546</v>
      </c>
      <c r="X150" s="20" t="n">
        <v>-706</v>
      </c>
    </row>
    <row r="151">
      <c r="A151" s="18" t="inlineStr">
        <is>
          <t>Intersegment Revenue</t>
        </is>
      </c>
      <c r="C151" s="20" t="n">
        <v>0</v>
      </c>
      <c r="D151" s="20" t="n">
        <v>0</v>
      </c>
      <c r="E151" s="20" t="n">
        <v>0</v>
      </c>
      <c r="F151" s="20" t="n">
        <v>0</v>
      </c>
      <c r="G151" s="20" t="n">
        <v>0</v>
      </c>
      <c r="H151" s="20" t="n">
        <v>0</v>
      </c>
      <c r="I151" s="20" t="n">
        <v>0</v>
      </c>
      <c r="J151" s="20" t="n">
        <v>0</v>
      </c>
      <c r="K151" s="20" t="n">
        <v>0</v>
      </c>
      <c r="L151" s="20" t="n">
        <v>0</v>
      </c>
      <c r="M151" s="20" t="n">
        <v>0</v>
      </c>
      <c r="N151" s="20" t="n">
        <v>0</v>
      </c>
      <c r="V151" s="20" t="n">
        <v>0</v>
      </c>
      <c r="W151" s="20" t="n">
        <v>0</v>
      </c>
      <c r="X151" s="20" t="n">
        <v>0</v>
      </c>
    </row>
    <row r="152">
      <c r="A152" s="18" t="inlineStr">
        <is>
          <t>부문 · Revenue</t>
        </is>
      </c>
      <c r="C152" s="20" t="n">
        <v>703579</v>
      </c>
      <c r="D152" s="20" t="n">
        <v>616525</v>
      </c>
      <c r="E152" s="20" t="n">
        <v>681045</v>
      </c>
      <c r="F152" s="20" t="n">
        <v>770497</v>
      </c>
      <c r="G152" s="20" t="n">
        <v>760486</v>
      </c>
      <c r="H152" s="20" t="n">
        <v>684958</v>
      </c>
      <c r="I152" s="20" t="n">
        <v>764807</v>
      </c>
      <c r="J152" s="20" t="n">
        <v>843973</v>
      </c>
      <c r="K152" s="20" t="n">
        <v>908079</v>
      </c>
      <c r="L152" s="20" t="n">
        <v>788549</v>
      </c>
      <c r="M152" s="20" t="n">
        <v>885554</v>
      </c>
      <c r="N152" s="20" t="n">
        <v>1020039</v>
      </c>
      <c r="V152" s="20" t="n">
        <v>616525</v>
      </c>
      <c r="W152" s="20" t="n">
        <v>684958</v>
      </c>
      <c r="X152" s="20" t="n">
        <v>788549</v>
      </c>
    </row>
    <row r="153">
      <c r="A153" s="43" t="inlineStr">
        <is>
          <t>YoY</t>
        </is>
      </c>
      <c r="B153" s="3" t="inlineStr">
        <is>
          <t>전년 같은 분기·전년 대비</t>
        </is>
      </c>
      <c r="G153" s="15">
        <f>IF(OR(G152="",C152=""),"",IF(C152&lt;=0,"",IFERROR(G152/C152-1,"")))</f>
        <v/>
      </c>
      <c r="H153" s="15">
        <f>IF(OR(H152="",D152=""),"",IF(D152&lt;=0,"",IFERROR(H152/D152-1,"")))</f>
        <v/>
      </c>
      <c r="I153" s="15">
        <f>IF(OR(I152="",E152=""),"",IF(E152&lt;=0,"",IFERROR(I152/E152-1,"")))</f>
        <v/>
      </c>
      <c r="J153" s="15">
        <f>IF(OR(J152="",F152=""),"",IF(F152&lt;=0,"",IFERROR(J152/F152-1,"")))</f>
        <v/>
      </c>
      <c r="K153" s="15">
        <f>IF(OR(K152="",G152=""),"",IF(G152&lt;=0,"",IFERROR(K152/G152-1,"")))</f>
        <v/>
      </c>
      <c r="L153" s="15">
        <f>IF(OR(L152="",H152=""),"",IF(H152&lt;=0,"",IFERROR(L152/H152-1,"")))</f>
        <v/>
      </c>
      <c r="M153" s="15">
        <f>IF(OR(M152="",I152=""),"",IF(I152&lt;=0,"",IFERROR(M152/I152-1,"")))</f>
        <v/>
      </c>
      <c r="N153" s="15">
        <f>IF(OR(N152="",J152=""),"",IF(J152&lt;=0,"",IFERROR(N152/J152-1,"")))</f>
        <v/>
      </c>
      <c r="V153" s="15">
        <f>IF(OR(V152="",U152=""),"",IF(U152&lt;=0,"",IFERROR(V152/U152-1,"")))</f>
        <v/>
      </c>
      <c r="W153" s="15">
        <f>IF(OR(W152="",V152=""),"",IF(V152&lt;=0,"",IFERROR(W152/V152-1,"")))</f>
        <v/>
      </c>
      <c r="X153" s="15">
        <f>IF(OR(X152="",W152=""),"",IF(W152&lt;=0,"",IFERROR(X152/W152-1,"")))</f>
        <v/>
      </c>
    </row>
    <row r="154">
      <c r="A154" s="18" t="inlineStr">
        <is>
          <t>부문 · Revenue</t>
        </is>
      </c>
      <c r="C154" s="20" t="n">
        <v>22147</v>
      </c>
      <c r="D154" s="20" t="n">
        <v>25076</v>
      </c>
      <c r="E154" s="20" t="n">
        <v>23341</v>
      </c>
      <c r="F154" s="20" t="n">
        <v>20718</v>
      </c>
      <c r="G154" s="20" t="n">
        <v>22990</v>
      </c>
      <c r="H154" s="20" t="n">
        <v>27415</v>
      </c>
      <c r="I154" s="20" t="n">
        <v>25388</v>
      </c>
      <c r="J154" s="20" t="n">
        <v>22943</v>
      </c>
      <c r="V154" s="20" t="n">
        <v>25076</v>
      </c>
      <c r="W154" s="20" t="n">
        <v>27415</v>
      </c>
    </row>
    <row r="155">
      <c r="A155" s="43" t="inlineStr">
        <is>
          <t>YoY</t>
        </is>
      </c>
      <c r="B155" s="3" t="inlineStr">
        <is>
          <t>전년 같은 분기·전년 대비</t>
        </is>
      </c>
      <c r="G155" s="15">
        <f>IF(OR(G154="",C154=""),"",IF(C154&lt;=0,"",IFERROR(G154/C154-1,"")))</f>
        <v/>
      </c>
      <c r="H155" s="15">
        <f>IF(OR(H154="",D154=""),"",IF(D154&lt;=0,"",IFERROR(H154/D154-1,"")))</f>
        <v/>
      </c>
      <c r="I155" s="15">
        <f>IF(OR(I154="",E154=""),"",IF(E154&lt;=0,"",IFERROR(I154/E154-1,"")))</f>
        <v/>
      </c>
      <c r="J155" s="15">
        <f>IF(OR(J154="",F154=""),"",IF(F154&lt;=0,"",IFERROR(J154/F154-1,"")))</f>
        <v/>
      </c>
      <c r="V155" s="15">
        <f>IF(OR(V154="",U154=""),"",IF(U154&lt;=0,"",IFERROR(V154/U154-1,"")))</f>
        <v/>
      </c>
      <c r="W155" s="15">
        <f>IF(OR(W154="",V154=""),"",IF(V154&lt;=0,"",IFERROR(W154/V154-1,"")))</f>
        <v/>
      </c>
    </row>
    <row r="156">
      <c r="A156" s="18" t="inlineStr">
        <is>
          <t>부문 · Revenue</t>
        </is>
      </c>
      <c r="C156" s="20" t="n">
        <v>38091</v>
      </c>
      <c r="D156" s="20" t="n">
        <v>42376</v>
      </c>
      <c r="E156" s="20" t="n">
        <v>35695</v>
      </c>
      <c r="F156" s="20" t="n">
        <v>38134</v>
      </c>
      <c r="G156" s="20" t="n">
        <v>39679</v>
      </c>
      <c r="H156" s="20" t="n">
        <v>43703</v>
      </c>
      <c r="I156" s="20" t="n">
        <v>36476</v>
      </c>
      <c r="J156" s="20" t="n">
        <v>40285</v>
      </c>
      <c r="K156" s="20" t="n">
        <v>38509</v>
      </c>
      <c r="L156" s="20" t="n">
        <v>44277</v>
      </c>
      <c r="M156" s="20" t="n">
        <v>37835</v>
      </c>
      <c r="N156" s="20" t="n">
        <v>41420</v>
      </c>
      <c r="V156" s="20" t="n">
        <v>42376</v>
      </c>
      <c r="W156" s="20" t="n">
        <v>43703</v>
      </c>
      <c r="X156" s="20" t="n">
        <v>44277</v>
      </c>
    </row>
    <row r="157">
      <c r="A157" s="43" t="inlineStr">
        <is>
          <t>YoY</t>
        </is>
      </c>
      <c r="B157" s="3" t="inlineStr">
        <is>
          <t>전년 같은 분기·전년 대비</t>
        </is>
      </c>
      <c r="G157" s="15">
        <f>IF(OR(G156="",C156=""),"",IF(C156&lt;=0,"",IFERROR(G156/C156-1,"")))</f>
        <v/>
      </c>
      <c r="H157" s="15">
        <f>IF(OR(H156="",D156=""),"",IF(D156&lt;=0,"",IFERROR(H156/D156-1,"")))</f>
        <v/>
      </c>
      <c r="I157" s="15">
        <f>IF(OR(I156="",E156=""),"",IF(E156&lt;=0,"",IFERROR(I156/E156-1,"")))</f>
        <v/>
      </c>
      <c r="J157" s="15">
        <f>IF(OR(J156="",F156=""),"",IF(F156&lt;=0,"",IFERROR(J156/F156-1,"")))</f>
        <v/>
      </c>
      <c r="K157" s="15">
        <f>IF(OR(K156="",G156=""),"",IF(G156&lt;=0,"",IFERROR(K156/G156-1,"")))</f>
        <v/>
      </c>
      <c r="L157" s="15">
        <f>IF(OR(L156="",H156=""),"",IF(H156&lt;=0,"",IFERROR(L156/H156-1,"")))</f>
        <v/>
      </c>
      <c r="M157" s="15">
        <f>IF(OR(M156="",I156=""),"",IF(I156&lt;=0,"",IFERROR(M156/I156-1,"")))</f>
        <v/>
      </c>
      <c r="N157" s="15">
        <f>IF(OR(N156="",J156=""),"",IF(J156&lt;=0,"",IFERROR(N156/J156-1,"")))</f>
        <v/>
      </c>
      <c r="V157" s="15">
        <f>IF(OR(V156="",U156=""),"",IF(U156&lt;=0,"",IFERROR(V156/U156-1,"")))</f>
        <v/>
      </c>
      <c r="W157" s="15">
        <f>IF(OR(W156="",V156=""),"",IF(V156&lt;=0,"",IFERROR(W156/V156-1,"")))</f>
        <v/>
      </c>
      <c r="X157" s="15">
        <f>IF(OR(X156="",W156=""),"",IF(W156&lt;=0,"",IFERROR(X156/W156-1,"")))</f>
        <v/>
      </c>
    </row>
    <row r="158">
      <c r="A158" s="18" t="inlineStr">
        <is>
          <t>보고부문 합계 · Revenue</t>
        </is>
      </c>
      <c r="C158" s="20" t="n">
        <v>763817</v>
      </c>
      <c r="D158" s="20" t="n">
        <v>683977</v>
      </c>
      <c r="E158" s="20" t="n">
        <v>740080</v>
      </c>
      <c r="F158" s="20" t="n">
        <v>829350</v>
      </c>
      <c r="G158" s="20" t="n">
        <v>756106</v>
      </c>
      <c r="H158" s="20" t="n">
        <v>728661</v>
      </c>
      <c r="I158" s="20" t="n">
        <v>801283</v>
      </c>
      <c r="J158" s="20" t="n">
        <v>884258</v>
      </c>
      <c r="K158" s="20" t="n">
        <v>946588</v>
      </c>
      <c r="L158" s="20" t="n">
        <v>832826</v>
      </c>
      <c r="M158" s="20" t="n">
        <v>923389</v>
      </c>
      <c r="N158" s="20" t="n">
        <v>1061459</v>
      </c>
      <c r="V158" s="20" t="n">
        <v>683977</v>
      </c>
      <c r="W158" s="20" t="n">
        <v>728661</v>
      </c>
      <c r="X158" s="20" t="n">
        <v>832826</v>
      </c>
    </row>
    <row r="159">
      <c r="A159" s="43" t="inlineStr">
        <is>
          <t>YoY</t>
        </is>
      </c>
      <c r="B159" s="3" t="inlineStr">
        <is>
          <t>전년 같은 분기·전년 대비</t>
        </is>
      </c>
      <c r="G159" s="15">
        <f>IF(OR(G158="",C158=""),"",IF(C158&lt;=0,"",IFERROR(G158/C158-1,"")))</f>
        <v/>
      </c>
      <c r="H159" s="15">
        <f>IF(OR(H158="",D158=""),"",IF(D158&lt;=0,"",IFERROR(H158/D158-1,"")))</f>
        <v/>
      </c>
      <c r="I159" s="15">
        <f>IF(OR(I158="",E158=""),"",IF(E158&lt;=0,"",IFERROR(I158/E158-1,"")))</f>
        <v/>
      </c>
      <c r="J159" s="15">
        <f>IF(OR(J158="",F158=""),"",IF(F158&lt;=0,"",IFERROR(J158/F158-1,"")))</f>
        <v/>
      </c>
      <c r="K159" s="15">
        <f>IF(OR(K158="",G158=""),"",IF(G158&lt;=0,"",IFERROR(K158/G158-1,"")))</f>
        <v/>
      </c>
      <c r="L159" s="15">
        <f>IF(OR(L158="",H158=""),"",IF(H158&lt;=0,"",IFERROR(L158/H158-1,"")))</f>
        <v/>
      </c>
      <c r="M159" s="15">
        <f>IF(OR(M158="",I158=""),"",IF(I158&lt;=0,"",IFERROR(M158/I158-1,"")))</f>
        <v/>
      </c>
      <c r="N159" s="15">
        <f>IF(OR(N158="",J158=""),"",IF(J158&lt;=0,"",IFERROR(N158/J158-1,"")))</f>
        <v/>
      </c>
      <c r="V159" s="15">
        <f>IF(OR(V158="",U158=""),"",IF(U158&lt;=0,"",IFERROR(V158/U158-1,"")))</f>
        <v/>
      </c>
      <c r="W159" s="15">
        <f>IF(OR(W158="",V158=""),"",IF(V158&lt;=0,"",IFERROR(W158/V158-1,"")))</f>
        <v/>
      </c>
      <c r="X159" s="15">
        <f>IF(OR(X158="",W158=""),"",IF(W158&lt;=0,"",IFERROR(X158/W158-1,"")))</f>
        <v/>
      </c>
    </row>
    <row r="160">
      <c r="A160" s="18" t="inlineStr">
        <is>
          <t>기타 · Revenue</t>
        </is>
      </c>
      <c r="C160" s="20" t="n">
        <v>1140</v>
      </c>
      <c r="D160" s="20" t="n">
        <v>934</v>
      </c>
      <c r="E160" s="20" t="n">
        <v>1027</v>
      </c>
      <c r="F160" s="20" t="n">
        <v>1138</v>
      </c>
      <c r="G160" s="20" t="n">
        <v>1077</v>
      </c>
      <c r="H160" s="20" t="n">
        <v>1351</v>
      </c>
      <c r="I160" s="20" t="n">
        <v>1156</v>
      </c>
      <c r="J160" s="20" t="n">
        <v>1412</v>
      </c>
      <c r="K160" s="20" t="n">
        <v>1312</v>
      </c>
      <c r="L160" s="20" t="n">
        <v>1528</v>
      </c>
      <c r="M160" s="20" t="n">
        <v>1202</v>
      </c>
      <c r="N160" s="20" t="n">
        <v>1525</v>
      </c>
      <c r="V160" s="20" t="n">
        <v>934</v>
      </c>
      <c r="W160" s="20" t="n">
        <v>1351</v>
      </c>
      <c r="X160" s="20" t="n">
        <v>1528</v>
      </c>
    </row>
    <row r="161">
      <c r="A161" s="43" t="inlineStr">
        <is>
          <t>YoY</t>
        </is>
      </c>
      <c r="B161" s="3" t="inlineStr">
        <is>
          <t>전년 같은 분기·전년 대비</t>
        </is>
      </c>
      <c r="G161" s="15">
        <f>IF(OR(G160="",C160=""),"",IF(C160&lt;=0,"",IFERROR(G160/C160-1,"")))</f>
        <v/>
      </c>
      <c r="H161" s="15">
        <f>IF(OR(H160="",D160=""),"",IF(D160&lt;=0,"",IFERROR(H160/D160-1,"")))</f>
        <v/>
      </c>
      <c r="I161" s="15">
        <f>IF(OR(I160="",E160=""),"",IF(E160&lt;=0,"",IFERROR(I160/E160-1,"")))</f>
        <v/>
      </c>
      <c r="J161" s="15">
        <f>IF(OR(J160="",F160=""),"",IF(F160&lt;=0,"",IFERROR(J160/F160-1,"")))</f>
        <v/>
      </c>
      <c r="K161" s="15">
        <f>IF(OR(K160="",G160=""),"",IF(G160&lt;=0,"",IFERROR(K160/G160-1,"")))</f>
        <v/>
      </c>
      <c r="L161" s="15">
        <f>IF(OR(L160="",H160=""),"",IF(H160&lt;=0,"",IFERROR(L160/H160-1,"")))</f>
        <v/>
      </c>
      <c r="M161" s="15">
        <f>IF(OR(M160="",I160=""),"",IF(I160&lt;=0,"",IFERROR(M160/I160-1,"")))</f>
        <v/>
      </c>
      <c r="N161" s="15">
        <f>IF(OR(N160="",J160=""),"",IF(J160&lt;=0,"",IFERROR(N160/J160-1,"")))</f>
        <v/>
      </c>
      <c r="V161" s="15">
        <f>IF(OR(V160="",U160=""),"",IF(U160&lt;=0,"",IFERROR(V160/U160-1,"")))</f>
        <v/>
      </c>
      <c r="W161" s="15">
        <f>IF(OR(W160="",V160=""),"",IF(V160&lt;=0,"",IFERROR(W160/V160-1,"")))</f>
        <v/>
      </c>
      <c r="X161" s="15">
        <f>IF(OR(X160="",W160=""),"",IF(W160&lt;=0,"",IFERROR(X160/W160-1,"")))</f>
        <v/>
      </c>
    </row>
    <row r="162">
      <c r="A162" s="18" t="inlineStr">
        <is>
          <t>조정액 · Revenue</t>
        </is>
      </c>
      <c r="C162" s="20" t="n">
        <v>-752</v>
      </c>
      <c r="D162" s="20" t="n">
        <v>-852</v>
      </c>
      <c r="E162" s="20" t="n">
        <v>-774</v>
      </c>
      <c r="F162" s="20" t="n">
        <v>-929</v>
      </c>
      <c r="G162" s="20" t="n">
        <v>168</v>
      </c>
      <c r="H162" s="20" t="n">
        <v>-546</v>
      </c>
      <c r="I162" s="20" t="n">
        <v>-567</v>
      </c>
      <c r="J162" s="20" t="n">
        <v>-753</v>
      </c>
      <c r="K162" s="20" t="n">
        <v>-661</v>
      </c>
      <c r="L162" s="20" t="n">
        <v>-706</v>
      </c>
      <c r="M162" s="20" t="n">
        <v>-629</v>
      </c>
      <c r="N162" s="20" t="n">
        <v>-876</v>
      </c>
      <c r="V162" s="20" t="n">
        <v>-852</v>
      </c>
      <c r="W162" s="20" t="n">
        <v>-546</v>
      </c>
      <c r="X162" s="20" t="n">
        <v>-706</v>
      </c>
    </row>
    <row r="163">
      <c r="A163" s="9" t="inlineStr">
        <is>
          <t>Revenue</t>
        </is>
      </c>
      <c r="C163" s="12" t="n">
        <v>764206</v>
      </c>
      <c r="D163" s="12" t="n">
        <v>684059</v>
      </c>
      <c r="E163" s="12" t="n">
        <v>740333</v>
      </c>
      <c r="F163" s="12" t="n">
        <v>829559</v>
      </c>
      <c r="G163" s="12" t="n">
        <v>757352</v>
      </c>
      <c r="H163" s="12" t="n">
        <v>729465</v>
      </c>
      <c r="I163" s="12" t="n">
        <v>801872</v>
      </c>
      <c r="J163" s="12" t="n">
        <v>884917</v>
      </c>
      <c r="K163" s="12" t="n">
        <v>947239</v>
      </c>
      <c r="L163" s="12" t="n">
        <v>833647</v>
      </c>
      <c r="M163" s="12" t="n">
        <v>923963</v>
      </c>
      <c r="N163" s="12" t="n">
        <v>1062107</v>
      </c>
      <c r="V163" s="12" t="n">
        <v>684059</v>
      </c>
      <c r="W163" s="12" t="n">
        <v>729465</v>
      </c>
      <c r="X163" s="12" t="n">
        <v>833647</v>
      </c>
    </row>
    <row r="164">
      <c r="A164" s="43" t="inlineStr">
        <is>
          <t>YoY</t>
        </is>
      </c>
      <c r="B164" s="3" t="inlineStr">
        <is>
          <t>전년 같은 분기·전년 대비</t>
        </is>
      </c>
      <c r="G164" s="15">
        <f>IF(OR(G163="",C163=""),"",IF(C163&lt;=0,"",IFERROR(G163/C163-1,"")))</f>
        <v/>
      </c>
      <c r="H164" s="15">
        <f>IF(OR(H163="",D163=""),"",IF(D163&lt;=0,"",IFERROR(H163/D163-1,"")))</f>
        <v/>
      </c>
      <c r="I164" s="15">
        <f>IF(OR(I163="",E163=""),"",IF(E163&lt;=0,"",IFERROR(I163/E163-1,"")))</f>
        <v/>
      </c>
      <c r="J164" s="15">
        <f>IF(OR(J163="",F163=""),"",IF(F163&lt;=0,"",IFERROR(J163/F163-1,"")))</f>
        <v/>
      </c>
      <c r="K164" s="15">
        <f>IF(OR(K163="",G163=""),"",IF(G163&lt;=0,"",IFERROR(K163/G163-1,"")))</f>
        <v/>
      </c>
      <c r="L164" s="15">
        <f>IF(OR(L163="",H163=""),"",IF(H163&lt;=0,"",IFERROR(L163/H163-1,"")))</f>
        <v/>
      </c>
      <c r="M164" s="15">
        <f>IF(OR(M163="",I163=""),"",IF(I163&lt;=0,"",IFERROR(M163/I163-1,"")))</f>
        <v/>
      </c>
      <c r="N164" s="15">
        <f>IF(OR(N163="",J163=""),"",IF(J163&lt;=0,"",IFERROR(N163/J163-1,"")))</f>
        <v/>
      </c>
      <c r="V164" s="15">
        <f>IF(OR(V163="",U163=""),"",IF(U163&lt;=0,"",IFERROR(V163/U163-1,"")))</f>
        <v/>
      </c>
      <c r="W164" s="15">
        <f>IF(OR(W163="",V163=""),"",IF(V163&lt;=0,"",IFERROR(W163/V163-1,"")))</f>
        <v/>
      </c>
      <c r="X164" s="15">
        <f>IF(OR(X163="",W163=""),"",IF(W163&lt;=0,"",IFERROR(X163/W163-1,"")))</f>
        <v/>
      </c>
    </row>
    <row r="165">
      <c r="A165" s="18" t="inlineStr">
        <is>
          <t>부문 · Segment Profit Loss</t>
        </is>
      </c>
      <c r="C165" s="20" t="n">
        <v>226652</v>
      </c>
      <c r="D165" s="20" t="n">
        <v>72926</v>
      </c>
      <c r="E165" s="20" t="n">
        <v>231883</v>
      </c>
      <c r="F165" s="20" t="n">
        <v>240221</v>
      </c>
      <c r="G165" s="20" t="n">
        <v>227498</v>
      </c>
      <c r="H165" s="20" t="n">
        <v>92171</v>
      </c>
      <c r="I165" s="20" t="n">
        <v>267987</v>
      </c>
      <c r="J165" s="20" t="n">
        <v>276933</v>
      </c>
      <c r="K165" s="20" t="n">
        <v>300466</v>
      </c>
      <c r="L165" s="20" t="n">
        <v>106775</v>
      </c>
      <c r="M165" s="20" t="n">
        <v>325414</v>
      </c>
      <c r="N165" s="20" t="n">
        <v>357488</v>
      </c>
      <c r="V165" s="20" t="n">
        <v>72926</v>
      </c>
      <c r="W165" s="20" t="n">
        <v>92171</v>
      </c>
      <c r="X165" s="20" t="n">
        <v>106775</v>
      </c>
    </row>
    <row r="166">
      <c r="A166" s="43" t="inlineStr">
        <is>
          <t>OPM</t>
        </is>
      </c>
      <c r="B166" s="3" t="inlineStr">
        <is>
          <t>영업이익 ÷ 매출</t>
        </is>
      </c>
      <c r="C166" s="15">
        <f>IF(OR(C165="",C152=""),"",IF(C152&lt;=0,"",IFERROR(C165/C152,"")))</f>
        <v/>
      </c>
      <c r="D166" s="15">
        <f>IF(OR(D165="",D152=""),"",IF(D152&lt;=0,"",IFERROR(D165/D152,"")))</f>
        <v/>
      </c>
      <c r="E166" s="15">
        <f>IF(OR(E165="",E152=""),"",IF(E152&lt;=0,"",IFERROR(E165/E152,"")))</f>
        <v/>
      </c>
      <c r="F166" s="15">
        <f>IF(OR(F165="",F152=""),"",IF(F152&lt;=0,"",IFERROR(F165/F152,"")))</f>
        <v/>
      </c>
      <c r="G166" s="15">
        <f>IF(OR(G165="",G152=""),"",IF(G152&lt;=0,"",IFERROR(G165/G152,"")))</f>
        <v/>
      </c>
      <c r="H166" s="15">
        <f>IF(OR(H165="",H152=""),"",IF(H152&lt;=0,"",IFERROR(H165/H152,"")))</f>
        <v/>
      </c>
      <c r="I166" s="15">
        <f>IF(OR(I165="",I152=""),"",IF(I152&lt;=0,"",IFERROR(I165/I152,"")))</f>
        <v/>
      </c>
      <c r="J166" s="15">
        <f>IF(OR(J165="",J152=""),"",IF(J152&lt;=0,"",IFERROR(J165/J152,"")))</f>
        <v/>
      </c>
      <c r="K166" s="15">
        <f>IF(OR(K165="",K152=""),"",IF(K152&lt;=0,"",IFERROR(K165/K152,"")))</f>
        <v/>
      </c>
      <c r="L166" s="15">
        <f>IF(OR(L165="",L152=""),"",IF(L152&lt;=0,"",IFERROR(L165/L152,"")))</f>
        <v/>
      </c>
      <c r="M166" s="15">
        <f>IF(OR(M165="",M152=""),"",IF(M152&lt;=0,"",IFERROR(M165/M152,"")))</f>
        <v/>
      </c>
      <c r="N166" s="15">
        <f>IF(OR(N165="",N152=""),"",IF(N152&lt;=0,"",IFERROR(N165/N152,"")))</f>
        <v/>
      </c>
      <c r="V166" s="15">
        <f>IF(OR(V165="",V152=""),"",IF(V152&lt;=0,"",IFERROR(V165/V152,"")))</f>
        <v/>
      </c>
      <c r="W166" s="15">
        <f>IF(OR(W165="",W152=""),"",IF(W152&lt;=0,"",IFERROR(W165/W152,"")))</f>
        <v/>
      </c>
      <c r="X166" s="15">
        <f>IF(OR(X165="",X152=""),"",IF(X152&lt;=0,"",IFERROR(X165/X152,"")))</f>
        <v/>
      </c>
    </row>
    <row r="167">
      <c r="A167" s="43" t="inlineStr">
        <is>
          <t>YoY</t>
        </is>
      </c>
      <c r="B167" s="3" t="inlineStr">
        <is>
          <t>전년 같은 분기·전년 대비</t>
        </is>
      </c>
      <c r="G167" s="15">
        <f>IF(OR(G165="",C165=""),"",IF(C165&lt;=0,"",IFERROR(G165/C165-1,"")))</f>
        <v/>
      </c>
      <c r="H167" s="15">
        <f>IF(OR(H165="",D165=""),"",IF(D165&lt;=0,"",IFERROR(H165/D165-1,"")))</f>
        <v/>
      </c>
      <c r="I167" s="15">
        <f>IF(OR(I165="",E165=""),"",IF(E165&lt;=0,"",IFERROR(I165/E165-1,"")))</f>
        <v/>
      </c>
      <c r="J167" s="15">
        <f>IF(OR(J165="",F165=""),"",IF(F165&lt;=0,"",IFERROR(J165/F165-1,"")))</f>
        <v/>
      </c>
      <c r="K167" s="15">
        <f>IF(OR(K165="",G165=""),"",IF(G165&lt;=0,"",IFERROR(K165/G165-1,"")))</f>
        <v/>
      </c>
      <c r="L167" s="15">
        <f>IF(OR(L165="",H165=""),"",IF(H165&lt;=0,"",IFERROR(L165/H165-1,"")))</f>
        <v/>
      </c>
      <c r="M167" s="15">
        <f>IF(OR(M165="",I165=""),"",IF(I165&lt;=0,"",IFERROR(M165/I165-1,"")))</f>
        <v/>
      </c>
      <c r="N167" s="15">
        <f>IF(OR(N165="",J165=""),"",IF(J165&lt;=0,"",IFERROR(N165/J165-1,"")))</f>
        <v/>
      </c>
      <c r="V167" s="15">
        <f>IF(OR(V165="",U165=""),"",IF(U165&lt;=0,"",IFERROR(V165/U165-1,"")))</f>
        <v/>
      </c>
      <c r="W167" s="15">
        <f>IF(OR(W165="",V165=""),"",IF(V165&lt;=0,"",IFERROR(W165/V165-1,"")))</f>
        <v/>
      </c>
      <c r="X167" s="15">
        <f>IF(OR(X165="",W165=""),"",IF(W165&lt;=0,"",IFERROR(X165/W165-1,"")))</f>
        <v/>
      </c>
    </row>
    <row r="168">
      <c r="A168" s="18" t="inlineStr">
        <is>
          <t>부문 · Segment Profit Loss</t>
        </is>
      </c>
      <c r="C168" s="20" t="n">
        <v>3072</v>
      </c>
      <c r="D168" s="20" t="n">
        <v>4291</v>
      </c>
      <c r="E168" s="20" t="n">
        <v>3842</v>
      </c>
      <c r="F168" s="20" t="n">
        <v>153</v>
      </c>
      <c r="G168" s="20" t="n">
        <v>1163</v>
      </c>
      <c r="H168" s="20" t="n">
        <v>4075</v>
      </c>
      <c r="I168" s="20" t="n">
        <v>4493</v>
      </c>
      <c r="J168" s="20" t="n">
        <v>-330</v>
      </c>
      <c r="V168" s="20" t="n">
        <v>4291</v>
      </c>
      <c r="W168" s="20" t="n">
        <v>4075</v>
      </c>
    </row>
    <row r="169">
      <c r="A169" s="43" t="inlineStr">
        <is>
          <t>OPM</t>
        </is>
      </c>
      <c r="B169" s="3" t="inlineStr">
        <is>
          <t>영업이익 ÷ 매출</t>
        </is>
      </c>
      <c r="C169" s="15">
        <f>IF(OR(C168="",C154=""),"",IF(C154&lt;=0,"",IFERROR(C168/C154,"")))</f>
        <v/>
      </c>
      <c r="D169" s="15">
        <f>IF(OR(D168="",D154=""),"",IF(D154&lt;=0,"",IFERROR(D168/D154,"")))</f>
        <v/>
      </c>
      <c r="E169" s="15">
        <f>IF(OR(E168="",E154=""),"",IF(E154&lt;=0,"",IFERROR(E168/E154,"")))</f>
        <v/>
      </c>
      <c r="F169" s="15">
        <f>IF(OR(F168="",F154=""),"",IF(F154&lt;=0,"",IFERROR(F168/F154,"")))</f>
        <v/>
      </c>
      <c r="G169" s="15">
        <f>IF(OR(G168="",G154=""),"",IF(G154&lt;=0,"",IFERROR(G168/G154,"")))</f>
        <v/>
      </c>
      <c r="H169" s="15">
        <f>IF(OR(H168="",H154=""),"",IF(H154&lt;=0,"",IFERROR(H168/H154,"")))</f>
        <v/>
      </c>
      <c r="I169" s="15">
        <f>IF(OR(I168="",I154=""),"",IF(I154&lt;=0,"",IFERROR(I168/I154,"")))</f>
        <v/>
      </c>
      <c r="J169" s="15">
        <f>IF(OR(J168="",J154=""),"",IF(J154&lt;=0,"",IFERROR(J168/J154,"")))</f>
        <v/>
      </c>
      <c r="V169" s="15">
        <f>IF(OR(V168="",V154=""),"",IF(V154&lt;=0,"",IFERROR(V168/V154,"")))</f>
        <v/>
      </c>
      <c r="W169" s="15">
        <f>IF(OR(W168="",W154=""),"",IF(W154&lt;=0,"",IFERROR(W168/W154,"")))</f>
        <v/>
      </c>
    </row>
    <row r="170">
      <c r="A170" s="43" t="inlineStr">
        <is>
          <t>YoY</t>
        </is>
      </c>
      <c r="B170" s="3" t="inlineStr">
        <is>
          <t>전년 같은 분기·전년 대비</t>
        </is>
      </c>
      <c r="G170" s="15">
        <f>IF(OR(G168="",C168=""),"",IF(C168&lt;=0,"",IFERROR(G168/C168-1,"")))</f>
        <v/>
      </c>
      <c r="H170" s="15">
        <f>IF(OR(H168="",D168=""),"",IF(D168&lt;=0,"",IFERROR(H168/D168-1,"")))</f>
        <v/>
      </c>
      <c r="I170" s="15">
        <f>IF(OR(I168="",E168=""),"",IF(E168&lt;=0,"",IFERROR(I168/E168-1,"")))</f>
        <v/>
      </c>
      <c r="J170" s="15">
        <f>IF(OR(J168="",F168=""),"",IF(F168&lt;=0,"",IFERROR(J168/F168-1,"")))</f>
        <v/>
      </c>
      <c r="V170" s="15">
        <f>IF(OR(V168="",U168=""),"",IF(U168&lt;=0,"",IFERROR(V168/U168-1,"")))</f>
        <v/>
      </c>
      <c r="W170" s="15">
        <f>IF(OR(W168="",V168=""),"",IF(V168&lt;=0,"",IFERROR(W168/V168-1,"")))</f>
        <v/>
      </c>
    </row>
    <row r="171">
      <c r="A171" s="18" t="inlineStr">
        <is>
          <t>부문 · Segment Profit Loss</t>
        </is>
      </c>
      <c r="C171" s="20" t="n">
        <v>1698</v>
      </c>
      <c r="D171" s="20" t="n">
        <v>2200</v>
      </c>
      <c r="E171" s="20" t="n">
        <v>2021</v>
      </c>
      <c r="F171" s="20" t="n">
        <v>2345</v>
      </c>
      <c r="G171" s="20" t="n">
        <v>1989</v>
      </c>
      <c r="H171" s="20" t="n">
        <v>1716</v>
      </c>
      <c r="I171" s="20" t="n">
        <v>794</v>
      </c>
      <c r="J171" s="20" t="n">
        <v>1774</v>
      </c>
      <c r="K171" s="20" t="n">
        <v>2980</v>
      </c>
      <c r="L171" s="20" t="n">
        <v>3041</v>
      </c>
      <c r="M171" s="20" t="n">
        <v>1739</v>
      </c>
      <c r="N171" s="20" t="n">
        <v>2331</v>
      </c>
      <c r="V171" s="20" t="n">
        <v>2200</v>
      </c>
      <c r="W171" s="20" t="n">
        <v>1716</v>
      </c>
      <c r="X171" s="20" t="n">
        <v>3041</v>
      </c>
    </row>
    <row r="172">
      <c r="A172" s="43" t="inlineStr">
        <is>
          <t>OPM</t>
        </is>
      </c>
      <c r="B172" s="3" t="inlineStr">
        <is>
          <t>영업이익 ÷ 매출</t>
        </is>
      </c>
      <c r="C172" s="15">
        <f>IF(OR(C171="",C156=""),"",IF(C156&lt;=0,"",IFERROR(C171/C156,"")))</f>
        <v/>
      </c>
      <c r="D172" s="15">
        <f>IF(OR(D171="",D156=""),"",IF(D156&lt;=0,"",IFERROR(D171/D156,"")))</f>
        <v/>
      </c>
      <c r="E172" s="15">
        <f>IF(OR(E171="",E156=""),"",IF(E156&lt;=0,"",IFERROR(E171/E156,"")))</f>
        <v/>
      </c>
      <c r="F172" s="15">
        <f>IF(OR(F171="",F156=""),"",IF(F156&lt;=0,"",IFERROR(F171/F156,"")))</f>
        <v/>
      </c>
      <c r="G172" s="15">
        <f>IF(OR(G171="",G156=""),"",IF(G156&lt;=0,"",IFERROR(G171/G156,"")))</f>
        <v/>
      </c>
      <c r="H172" s="15">
        <f>IF(OR(H171="",H156=""),"",IF(H156&lt;=0,"",IFERROR(H171/H156,"")))</f>
        <v/>
      </c>
      <c r="I172" s="15">
        <f>IF(OR(I171="",I156=""),"",IF(I156&lt;=0,"",IFERROR(I171/I156,"")))</f>
        <v/>
      </c>
      <c r="J172" s="15">
        <f>IF(OR(J171="",J156=""),"",IF(J156&lt;=0,"",IFERROR(J171/J156,"")))</f>
        <v/>
      </c>
      <c r="K172" s="15">
        <f>IF(OR(K171="",K156=""),"",IF(K156&lt;=0,"",IFERROR(K171/K156,"")))</f>
        <v/>
      </c>
      <c r="L172" s="15">
        <f>IF(OR(L171="",L156=""),"",IF(L156&lt;=0,"",IFERROR(L171/L156,"")))</f>
        <v/>
      </c>
      <c r="M172" s="15">
        <f>IF(OR(M171="",M156=""),"",IF(M156&lt;=0,"",IFERROR(M171/M156,"")))</f>
        <v/>
      </c>
      <c r="N172" s="15">
        <f>IF(OR(N171="",N156=""),"",IF(N156&lt;=0,"",IFERROR(N171/N156,"")))</f>
        <v/>
      </c>
      <c r="V172" s="15">
        <f>IF(OR(V171="",V156=""),"",IF(V156&lt;=0,"",IFERROR(V171/V156,"")))</f>
        <v/>
      </c>
      <c r="W172" s="15">
        <f>IF(OR(W171="",W156=""),"",IF(W156&lt;=0,"",IFERROR(W171/W156,"")))</f>
        <v/>
      </c>
      <c r="X172" s="15">
        <f>IF(OR(X171="",X156=""),"",IF(X156&lt;=0,"",IFERROR(X171/X156,"")))</f>
        <v/>
      </c>
    </row>
    <row r="173">
      <c r="A173" s="43" t="inlineStr">
        <is>
          <t>YoY</t>
        </is>
      </c>
      <c r="B173" s="3" t="inlineStr">
        <is>
          <t>전년 같은 분기·전년 대비</t>
        </is>
      </c>
      <c r="G173" s="15">
        <f>IF(OR(G171="",C171=""),"",IF(C171&lt;=0,"",IFERROR(G171/C171-1,"")))</f>
        <v/>
      </c>
      <c r="H173" s="15">
        <f>IF(OR(H171="",D171=""),"",IF(D171&lt;=0,"",IFERROR(H171/D171-1,"")))</f>
        <v/>
      </c>
      <c r="I173" s="15">
        <f>IF(OR(I171="",E171=""),"",IF(E171&lt;=0,"",IFERROR(I171/E171-1,"")))</f>
        <v/>
      </c>
      <c r="J173" s="15">
        <f>IF(OR(J171="",F171=""),"",IF(F171&lt;=0,"",IFERROR(J171/F171-1,"")))</f>
        <v/>
      </c>
      <c r="K173" s="15">
        <f>IF(OR(K171="",G171=""),"",IF(G171&lt;=0,"",IFERROR(K171/G171-1,"")))</f>
        <v/>
      </c>
      <c r="L173" s="15">
        <f>IF(OR(L171="",H171=""),"",IF(H171&lt;=0,"",IFERROR(L171/H171-1,"")))</f>
        <v/>
      </c>
      <c r="M173" s="15">
        <f>IF(OR(M171="",I171=""),"",IF(I171&lt;=0,"",IFERROR(M171/I171-1,"")))</f>
        <v/>
      </c>
      <c r="N173" s="15">
        <f>IF(OR(N171="",J171=""),"",IF(J171&lt;=0,"",IFERROR(N171/J171-1,"")))</f>
        <v/>
      </c>
      <c r="V173" s="15">
        <f>IF(OR(V171="",U171=""),"",IF(U171&lt;=0,"",IFERROR(V171/U171-1,"")))</f>
        <v/>
      </c>
      <c r="W173" s="15">
        <f>IF(OR(W171="",V171=""),"",IF(V171&lt;=0,"",IFERROR(W171/V171-1,"")))</f>
        <v/>
      </c>
      <c r="X173" s="15">
        <f>IF(OR(X171="",W171=""),"",IF(W171&lt;=0,"",IFERROR(X171/W171-1,"")))</f>
        <v/>
      </c>
    </row>
    <row r="174">
      <c r="A174" s="18" t="inlineStr">
        <is>
          <t>보고부문 합계 · Segment Profit Loss</t>
        </is>
      </c>
      <c r="C174" s="20" t="n">
        <v>231421</v>
      </c>
      <c r="D174" s="20" t="n">
        <v>79418</v>
      </c>
      <c r="E174" s="20" t="n">
        <v>237746</v>
      </c>
      <c r="F174" s="20" t="n">
        <v>242719</v>
      </c>
      <c r="G174" s="20" t="n">
        <v>225492</v>
      </c>
      <c r="H174" s="20" t="n">
        <v>93887</v>
      </c>
      <c r="I174" s="20" t="n">
        <v>268781</v>
      </c>
      <c r="J174" s="20" t="n">
        <v>278707</v>
      </c>
      <c r="K174" s="20" t="n">
        <v>303445</v>
      </c>
      <c r="L174" s="20" t="n">
        <v>109817</v>
      </c>
      <c r="M174" s="20" t="n">
        <v>327154</v>
      </c>
      <c r="N174" s="20" t="n">
        <v>359817</v>
      </c>
      <c r="V174" s="20" t="n">
        <v>79418</v>
      </c>
      <c r="W174" s="20" t="n">
        <v>93887</v>
      </c>
      <c r="X174" s="20" t="n">
        <v>109817</v>
      </c>
    </row>
    <row r="175">
      <c r="A175" s="43" t="inlineStr">
        <is>
          <t>OPM</t>
        </is>
      </c>
      <c r="B175" s="3" t="inlineStr">
        <is>
          <t>영업이익 ÷ 매출</t>
        </is>
      </c>
      <c r="C175" s="15">
        <f>IF(OR(C174="",C158=""),"",IF(C158&lt;=0,"",IFERROR(C174/C158,"")))</f>
        <v/>
      </c>
      <c r="D175" s="15">
        <f>IF(OR(D174="",D158=""),"",IF(D158&lt;=0,"",IFERROR(D174/D158,"")))</f>
        <v/>
      </c>
      <c r="E175" s="15">
        <f>IF(OR(E174="",E158=""),"",IF(E158&lt;=0,"",IFERROR(E174/E158,"")))</f>
        <v/>
      </c>
      <c r="F175" s="15">
        <f>IF(OR(F174="",F158=""),"",IF(F158&lt;=0,"",IFERROR(F174/F158,"")))</f>
        <v/>
      </c>
      <c r="G175" s="15">
        <f>IF(OR(G174="",G158=""),"",IF(G158&lt;=0,"",IFERROR(G174/G158,"")))</f>
        <v/>
      </c>
      <c r="H175" s="15">
        <f>IF(OR(H174="",H158=""),"",IF(H158&lt;=0,"",IFERROR(H174/H158,"")))</f>
        <v/>
      </c>
      <c r="I175" s="15">
        <f>IF(OR(I174="",I158=""),"",IF(I158&lt;=0,"",IFERROR(I174/I158,"")))</f>
        <v/>
      </c>
      <c r="J175" s="15">
        <f>IF(OR(J174="",J158=""),"",IF(J158&lt;=0,"",IFERROR(J174/J158,"")))</f>
        <v/>
      </c>
      <c r="K175" s="15">
        <f>IF(OR(K174="",K158=""),"",IF(K158&lt;=0,"",IFERROR(K174/K158,"")))</f>
        <v/>
      </c>
      <c r="L175" s="15">
        <f>IF(OR(L174="",L158=""),"",IF(L158&lt;=0,"",IFERROR(L174/L158,"")))</f>
        <v/>
      </c>
      <c r="M175" s="15">
        <f>IF(OR(M174="",M158=""),"",IF(M158&lt;=0,"",IFERROR(M174/M158,"")))</f>
        <v/>
      </c>
      <c r="N175" s="15">
        <f>IF(OR(N174="",N158=""),"",IF(N158&lt;=0,"",IFERROR(N174/N158,"")))</f>
        <v/>
      </c>
      <c r="V175" s="15">
        <f>IF(OR(V174="",V158=""),"",IF(V158&lt;=0,"",IFERROR(V174/V158,"")))</f>
        <v/>
      </c>
      <c r="W175" s="15">
        <f>IF(OR(W174="",W158=""),"",IF(W158&lt;=0,"",IFERROR(W174/W158,"")))</f>
        <v/>
      </c>
      <c r="X175" s="15">
        <f>IF(OR(X174="",X158=""),"",IF(X158&lt;=0,"",IFERROR(X174/X158,"")))</f>
        <v/>
      </c>
    </row>
    <row r="176">
      <c r="A176" s="43" t="inlineStr">
        <is>
          <t>YoY</t>
        </is>
      </c>
      <c r="B176" s="3" t="inlineStr">
        <is>
          <t>전년 같은 분기·전년 대비</t>
        </is>
      </c>
      <c r="G176" s="15">
        <f>IF(OR(G174="",C174=""),"",IF(C174&lt;=0,"",IFERROR(G174/C174-1,"")))</f>
        <v/>
      </c>
      <c r="H176" s="15">
        <f>IF(OR(H174="",D174=""),"",IF(D174&lt;=0,"",IFERROR(H174/D174-1,"")))</f>
        <v/>
      </c>
      <c r="I176" s="15">
        <f>IF(OR(I174="",E174=""),"",IF(E174&lt;=0,"",IFERROR(I174/E174-1,"")))</f>
        <v/>
      </c>
      <c r="J176" s="15">
        <f>IF(OR(J174="",F174=""),"",IF(F174&lt;=0,"",IFERROR(J174/F174-1,"")))</f>
        <v/>
      </c>
      <c r="K176" s="15">
        <f>IF(OR(K174="",G174=""),"",IF(G174&lt;=0,"",IFERROR(K174/G174-1,"")))</f>
        <v/>
      </c>
      <c r="L176" s="15">
        <f>IF(OR(L174="",H174=""),"",IF(H174&lt;=0,"",IFERROR(L174/H174-1,"")))</f>
        <v/>
      </c>
      <c r="M176" s="15">
        <f>IF(OR(M174="",I174=""),"",IF(I174&lt;=0,"",IFERROR(M174/I174-1,"")))</f>
        <v/>
      </c>
      <c r="N176" s="15">
        <f>IF(OR(N174="",J174=""),"",IF(J174&lt;=0,"",IFERROR(N174/J174-1,"")))</f>
        <v/>
      </c>
      <c r="V176" s="15">
        <f>IF(OR(V174="",U174=""),"",IF(U174&lt;=0,"",IFERROR(V174/U174-1,"")))</f>
        <v/>
      </c>
      <c r="W176" s="15">
        <f>IF(OR(W174="",V174=""),"",IF(V174&lt;=0,"",IFERROR(W174/V174-1,"")))</f>
        <v/>
      </c>
      <c r="X176" s="15">
        <f>IF(OR(X174="",W174=""),"",IF(W174&lt;=0,"",IFERROR(X174/W174-1,"")))</f>
        <v/>
      </c>
    </row>
    <row r="177">
      <c r="A177" s="18" t="inlineStr">
        <is>
          <t>기타 · Segment Profit Loss</t>
        </is>
      </c>
      <c r="C177" s="20" t="n">
        <v>-9900</v>
      </c>
      <c r="D177" s="20" t="n">
        <v>-15875</v>
      </c>
      <c r="E177" s="20" t="n">
        <v>-11074</v>
      </c>
      <c r="F177" s="20" t="n">
        <v>-16350</v>
      </c>
      <c r="G177" s="20" t="n">
        <v>-11227</v>
      </c>
      <c r="H177" s="20" t="n">
        <v>-18563</v>
      </c>
      <c r="I177" s="20" t="n">
        <v>-11900</v>
      </c>
      <c r="J177" s="20" t="n">
        <v>-11093</v>
      </c>
      <c r="K177" s="20" t="n">
        <v>-13243</v>
      </c>
      <c r="L177" s="20" t="n">
        <v>-22333</v>
      </c>
      <c r="M177" s="20" t="n">
        <v>-11637</v>
      </c>
      <c r="N177" s="20" t="n">
        <v>-13632</v>
      </c>
      <c r="V177" s="20" t="n">
        <v>-15875</v>
      </c>
      <c r="W177" s="20" t="n">
        <v>-18563</v>
      </c>
      <c r="X177" s="20" t="n">
        <v>-22333</v>
      </c>
    </row>
    <row r="178">
      <c r="A178" s="43" t="inlineStr">
        <is>
          <t>OPM</t>
        </is>
      </c>
      <c r="B178" s="3" t="inlineStr">
        <is>
          <t>영업이익 ÷ 매출</t>
        </is>
      </c>
      <c r="C178" s="15">
        <f>IF(OR(C177="",C160=""),"",IF(C160&lt;=0,"",IFERROR(C177/C160,"")))</f>
        <v/>
      </c>
      <c r="D178" s="15">
        <f>IF(OR(D177="",D160=""),"",IF(D160&lt;=0,"",IFERROR(D177/D160,"")))</f>
        <v/>
      </c>
      <c r="E178" s="15">
        <f>IF(OR(E177="",E160=""),"",IF(E160&lt;=0,"",IFERROR(E177/E160,"")))</f>
        <v/>
      </c>
      <c r="F178" s="15">
        <f>IF(OR(F177="",F160=""),"",IF(F160&lt;=0,"",IFERROR(F177/F160,"")))</f>
        <v/>
      </c>
      <c r="G178" s="15">
        <f>IF(OR(G177="",G160=""),"",IF(G160&lt;=0,"",IFERROR(G177/G160,"")))</f>
        <v/>
      </c>
      <c r="H178" s="15">
        <f>IF(OR(H177="",H160=""),"",IF(H160&lt;=0,"",IFERROR(H177/H160,"")))</f>
        <v/>
      </c>
      <c r="I178" s="15">
        <f>IF(OR(I177="",I160=""),"",IF(I160&lt;=0,"",IFERROR(I177/I160,"")))</f>
        <v/>
      </c>
      <c r="J178" s="15">
        <f>IF(OR(J177="",J160=""),"",IF(J160&lt;=0,"",IFERROR(J177/J160,"")))</f>
        <v/>
      </c>
      <c r="K178" s="15">
        <f>IF(OR(K177="",K160=""),"",IF(K160&lt;=0,"",IFERROR(K177/K160,"")))</f>
        <v/>
      </c>
      <c r="L178" s="15">
        <f>IF(OR(L177="",L160=""),"",IF(L160&lt;=0,"",IFERROR(L177/L160,"")))</f>
        <v/>
      </c>
      <c r="M178" s="15">
        <f>IF(OR(M177="",M160=""),"",IF(M160&lt;=0,"",IFERROR(M177/M160,"")))</f>
        <v/>
      </c>
      <c r="N178" s="15">
        <f>IF(OR(N177="",N160=""),"",IF(N160&lt;=0,"",IFERROR(N177/N160,"")))</f>
        <v/>
      </c>
      <c r="V178" s="15">
        <f>IF(OR(V177="",V160=""),"",IF(V160&lt;=0,"",IFERROR(V177/V160,"")))</f>
        <v/>
      </c>
      <c r="W178" s="15">
        <f>IF(OR(W177="",W160=""),"",IF(W160&lt;=0,"",IFERROR(W177/W160,"")))</f>
        <v/>
      </c>
      <c r="X178" s="15">
        <f>IF(OR(X177="",X160=""),"",IF(X160&lt;=0,"",IFERROR(X177/X160,"")))</f>
        <v/>
      </c>
    </row>
    <row r="179">
      <c r="A179" s="43" t="inlineStr">
        <is>
          <t>YoY</t>
        </is>
      </c>
      <c r="B179" s="3" t="inlineStr">
        <is>
          <t>전년 같은 분기·전년 대비</t>
        </is>
      </c>
      <c r="G179" s="15">
        <f>IF(OR(G177="",C177=""),"",IF(C177&lt;=0,"",IFERROR(G177/C177-1,"")))</f>
        <v/>
      </c>
      <c r="H179" s="15">
        <f>IF(OR(H177="",D177=""),"",IF(D177&lt;=0,"",IFERROR(H177/D177-1,"")))</f>
        <v/>
      </c>
      <c r="I179" s="15">
        <f>IF(OR(I177="",E177=""),"",IF(E177&lt;=0,"",IFERROR(I177/E177-1,"")))</f>
        <v/>
      </c>
      <c r="J179" s="15">
        <f>IF(OR(J177="",F177=""),"",IF(F177&lt;=0,"",IFERROR(J177/F177-1,"")))</f>
        <v/>
      </c>
      <c r="K179" s="15">
        <f>IF(OR(K177="",G177=""),"",IF(G177&lt;=0,"",IFERROR(K177/G177-1,"")))</f>
        <v/>
      </c>
      <c r="L179" s="15">
        <f>IF(OR(L177="",H177=""),"",IF(H177&lt;=0,"",IFERROR(L177/H177-1,"")))</f>
        <v/>
      </c>
      <c r="M179" s="15">
        <f>IF(OR(M177="",I177=""),"",IF(I177&lt;=0,"",IFERROR(M177/I177-1,"")))</f>
        <v/>
      </c>
      <c r="N179" s="15">
        <f>IF(OR(N177="",J177=""),"",IF(J177&lt;=0,"",IFERROR(N177/J177-1,"")))</f>
        <v/>
      </c>
      <c r="V179" s="15">
        <f>IF(OR(V177="",U177=""),"",IF(U177&lt;=0,"",IFERROR(V177/U177-1,"")))</f>
        <v/>
      </c>
      <c r="W179" s="15">
        <f>IF(OR(W177="",V177=""),"",IF(V177&lt;=0,"",IFERROR(W177/V177-1,"")))</f>
        <v/>
      </c>
      <c r="X179" s="15">
        <f>IF(OR(X177="",W177=""),"",IF(W177&lt;=0,"",IFERROR(X177/W177-1,"")))</f>
        <v/>
      </c>
    </row>
    <row r="180">
      <c r="A180" s="18" t="inlineStr">
        <is>
          <t>조정액 · Segment Profit Loss</t>
        </is>
      </c>
      <c r="C180" s="20" t="n">
        <v>4</v>
      </c>
      <c r="D180" s="20" t="n">
        <v>103</v>
      </c>
      <c r="E180" s="20" t="n">
        <v>24</v>
      </c>
      <c r="F180" s="20" t="n">
        <v>0</v>
      </c>
      <c r="G180" s="20" t="n">
        <v>-4</v>
      </c>
      <c r="H180" s="20" t="n">
        <v>-20</v>
      </c>
      <c r="I180" s="20" t="n">
        <v>15</v>
      </c>
      <c r="J180" s="20" t="n">
        <v>-18</v>
      </c>
      <c r="K180" s="20" t="n">
        <v>10</v>
      </c>
      <c r="L180" s="20" t="n">
        <v>20</v>
      </c>
      <c r="M180" s="20" t="n">
        <v>3</v>
      </c>
      <c r="N180" s="20" t="n">
        <v>15</v>
      </c>
      <c r="V180" s="20" t="n">
        <v>103</v>
      </c>
      <c r="W180" s="20" t="n">
        <v>-20</v>
      </c>
      <c r="X180" s="20" t="n">
        <v>20</v>
      </c>
    </row>
    <row r="181">
      <c r="A181" s="18" t="inlineStr">
        <is>
          <t>Segment Profit Loss</t>
        </is>
      </c>
      <c r="C181" s="20" t="n">
        <v>221524</v>
      </c>
      <c r="D181" s="20" t="n">
        <v>63646</v>
      </c>
      <c r="E181" s="20" t="n">
        <v>226695</v>
      </c>
      <c r="F181" s="20" t="n">
        <v>226370</v>
      </c>
      <c r="G181" s="20" t="n">
        <v>214261</v>
      </c>
      <c r="H181" s="20" t="n">
        <v>75303</v>
      </c>
      <c r="I181" s="20" t="n">
        <v>256896</v>
      </c>
      <c r="J181" s="20" t="n">
        <v>267597</v>
      </c>
      <c r="K181" s="20" t="n">
        <v>290211</v>
      </c>
      <c r="L181" s="20" t="n">
        <v>87503</v>
      </c>
      <c r="M181" s="20" t="n">
        <v>315520</v>
      </c>
      <c r="N181" s="20" t="n">
        <v>346201</v>
      </c>
      <c r="V181" s="20" t="n">
        <v>63646</v>
      </c>
      <c r="W181" s="20" t="n">
        <v>75303</v>
      </c>
      <c r="X181" s="20" t="n">
        <v>87503</v>
      </c>
    </row>
    <row r="182">
      <c r="A182" s="18" t="inlineStr">
        <is>
          <t>부문 · Amortization Cost Of Acquired Intangibles Arising From Business Acquisitions</t>
        </is>
      </c>
      <c r="C182" s="20" t="n">
        <v>14499</v>
      </c>
      <c r="D182" s="20" t="n">
        <v>13798</v>
      </c>
      <c r="E182" s="20" t="n">
        <v>12952</v>
      </c>
      <c r="F182" s="20" t="n">
        <v>13302</v>
      </c>
      <c r="G182" s="20" t="n">
        <v>12112</v>
      </c>
      <c r="H182" s="20" t="n">
        <v>17317</v>
      </c>
      <c r="I182" s="20" t="n">
        <v>17488</v>
      </c>
      <c r="J182" s="20" t="n">
        <v>17557</v>
      </c>
      <c r="K182" s="20" t="n">
        <v>17752</v>
      </c>
      <c r="L182" s="20" t="n">
        <v>17728</v>
      </c>
      <c r="M182" s="20" t="n">
        <v>12094</v>
      </c>
      <c r="N182" s="20" t="n">
        <v>12241</v>
      </c>
      <c r="V182" s="20" t="n">
        <v>13798</v>
      </c>
      <c r="W182" s="20" t="n">
        <v>17317</v>
      </c>
      <c r="X182" s="20" t="n">
        <v>17728</v>
      </c>
    </row>
    <row r="183">
      <c r="A183" s="18" t="inlineStr">
        <is>
          <t>부문 · Amortization Cost Of Acquired Intangibles Arising From Business Acquisitions</t>
        </is>
      </c>
      <c r="C183" s="20" t="n">
        <v>0</v>
      </c>
      <c r="D183" s="20" t="n">
        <v>0</v>
      </c>
      <c r="E183" s="20" t="n">
        <v>0</v>
      </c>
      <c r="F183" s="20" t="n">
        <v>0</v>
      </c>
      <c r="G183" s="20" t="n">
        <v>0</v>
      </c>
      <c r="H183" s="20" t="n">
        <v>0</v>
      </c>
      <c r="I183" s="20" t="n">
        <v>0</v>
      </c>
      <c r="J183" s="20" t="n">
        <v>0</v>
      </c>
      <c r="V183" s="20" t="n">
        <v>0</v>
      </c>
      <c r="W183" s="20" t="n">
        <v>0</v>
      </c>
    </row>
    <row r="184">
      <c r="A184" s="18" t="inlineStr">
        <is>
          <t>부문 · Amortization Cost Of Acquired Intangibles Arising From Business Acquisitions</t>
        </is>
      </c>
      <c r="C184" s="20" t="n">
        <v>0</v>
      </c>
      <c r="D184" s="20" t="n">
        <v>0</v>
      </c>
      <c r="E184" s="20" t="n">
        <v>0</v>
      </c>
      <c r="F184" s="20" t="n">
        <v>0</v>
      </c>
      <c r="G184" s="20" t="n">
        <v>0</v>
      </c>
      <c r="H184" s="20" t="n">
        <v>0</v>
      </c>
      <c r="I184" s="20" t="n">
        <v>0</v>
      </c>
      <c r="J184" s="20" t="n">
        <v>0</v>
      </c>
      <c r="K184" s="20" t="n">
        <v>0</v>
      </c>
      <c r="L184" s="20" t="n">
        <v>0</v>
      </c>
      <c r="M184" s="20" t="n">
        <v>0</v>
      </c>
      <c r="N184" s="20" t="n">
        <v>0</v>
      </c>
      <c r="V184" s="20" t="n">
        <v>0</v>
      </c>
      <c r="W184" s="20" t="n">
        <v>0</v>
      </c>
      <c r="X184" s="20" t="n">
        <v>0</v>
      </c>
    </row>
    <row r="185">
      <c r="A185" s="18" t="inlineStr">
        <is>
          <t>보고부문 합계 · Amortization Cost Of Acquired Intangibles Arising From Business Acquisitions</t>
        </is>
      </c>
      <c r="C185" s="20" t="n">
        <v>14499</v>
      </c>
      <c r="D185" s="20" t="n">
        <v>13798</v>
      </c>
      <c r="E185" s="20" t="n">
        <v>12952</v>
      </c>
      <c r="F185" s="20" t="n">
        <v>13302</v>
      </c>
      <c r="G185" s="20" t="n">
        <v>12112</v>
      </c>
      <c r="H185" s="20" t="n">
        <v>17317</v>
      </c>
      <c r="I185" s="20" t="n">
        <v>17488</v>
      </c>
      <c r="J185" s="20" t="n">
        <v>17557</v>
      </c>
      <c r="K185" s="20" t="n">
        <v>17752</v>
      </c>
      <c r="L185" s="20" t="n">
        <v>17728</v>
      </c>
      <c r="M185" s="20" t="n">
        <v>12094</v>
      </c>
      <c r="N185" s="20" t="n">
        <v>12241</v>
      </c>
      <c r="V185" s="20" t="n">
        <v>13798</v>
      </c>
      <c r="W185" s="20" t="n">
        <v>17317</v>
      </c>
      <c r="X185" s="20" t="n">
        <v>17728</v>
      </c>
    </row>
    <row r="186">
      <c r="A186" s="18" t="inlineStr">
        <is>
          <t>기타 · Amortization Cost Of Acquired Intangibles Arising From Business Acquisitions</t>
        </is>
      </c>
      <c r="C186" s="20" t="n">
        <v>0</v>
      </c>
      <c r="D186" s="20" t="n">
        <v>0</v>
      </c>
      <c r="E186" s="20" t="n">
        <v>0</v>
      </c>
      <c r="F186" s="20" t="n">
        <v>0</v>
      </c>
      <c r="G186" s="20" t="n">
        <v>0</v>
      </c>
      <c r="H186" s="20" t="n">
        <v>0</v>
      </c>
      <c r="I186" s="20" t="n">
        <v>0</v>
      </c>
      <c r="J186" s="20" t="n">
        <v>0</v>
      </c>
      <c r="K186" s="20" t="n">
        <v>0</v>
      </c>
      <c r="L186" s="20" t="n">
        <v>0</v>
      </c>
      <c r="M186" s="20" t="n">
        <v>0</v>
      </c>
      <c r="N186" s="20" t="n">
        <v>0</v>
      </c>
      <c r="V186" s="20" t="n">
        <v>0</v>
      </c>
      <c r="W186" s="20" t="n">
        <v>0</v>
      </c>
      <c r="X186" s="20" t="n">
        <v>0</v>
      </c>
    </row>
    <row r="187">
      <c r="A187" s="18" t="inlineStr">
        <is>
          <t>조정액 · Amortization Cost Of Acquired Intangibles Arising From Business Acquisitions</t>
        </is>
      </c>
      <c r="C187" s="20" t="n">
        <v>0</v>
      </c>
      <c r="D187" s="20" t="n">
        <v>0</v>
      </c>
      <c r="E187" s="20" t="n">
        <v>0</v>
      </c>
      <c r="F187" s="20" t="n">
        <v>0</v>
      </c>
      <c r="G187" s="20" t="n">
        <v>0</v>
      </c>
      <c r="H187" s="20" t="n">
        <v>0</v>
      </c>
      <c r="I187" s="20" t="n">
        <v>0</v>
      </c>
      <c r="J187" s="20" t="n">
        <v>0</v>
      </c>
      <c r="K187" s="20" t="n">
        <v>0</v>
      </c>
      <c r="L187" s="20" t="n">
        <v>0</v>
      </c>
      <c r="M187" s="20" t="n">
        <v>0</v>
      </c>
      <c r="N187" s="20" t="n">
        <v>0</v>
      </c>
      <c r="V187" s="20" t="n">
        <v>0</v>
      </c>
      <c r="W187" s="20" t="n">
        <v>0</v>
      </c>
      <c r="X187" s="20" t="n">
        <v>0</v>
      </c>
    </row>
    <row r="188">
      <c r="A188" s="18" t="inlineStr">
        <is>
          <t>Amortization Cost Of Acquired Intangibles Arising From Business Acquisitions</t>
        </is>
      </c>
      <c r="C188" s="20" t="n">
        <v>14499</v>
      </c>
      <c r="D188" s="20" t="n">
        <v>13798</v>
      </c>
      <c r="E188" s="20" t="n">
        <v>12952</v>
      </c>
      <c r="F188" s="20" t="n">
        <v>13302</v>
      </c>
      <c r="G188" s="20" t="n">
        <v>12112</v>
      </c>
      <c r="H188" s="20" t="n">
        <v>17317</v>
      </c>
      <c r="I188" s="20" t="n">
        <v>17488</v>
      </c>
      <c r="J188" s="20" t="n">
        <v>17557</v>
      </c>
      <c r="K188" s="20" t="n">
        <v>17752</v>
      </c>
      <c r="L188" s="20" t="n">
        <v>17728</v>
      </c>
      <c r="M188" s="20" t="n">
        <v>12094</v>
      </c>
      <c r="N188" s="20" t="n">
        <v>12241</v>
      </c>
      <c r="V188" s="20" t="n">
        <v>13798</v>
      </c>
      <c r="W188" s="20" t="n">
        <v>17317</v>
      </c>
      <c r="X188" s="20" t="n">
        <v>17728</v>
      </c>
    </row>
    <row r="189">
      <c r="A189" s="18" t="inlineStr">
        <is>
          <t>부문 · Canada Adjustment</t>
        </is>
      </c>
      <c r="I189" s="20" t="n">
        <v>5261</v>
      </c>
      <c r="J189" s="20" t="n">
        <v>5961</v>
      </c>
      <c r="M189" s="20" t="n">
        <v>3994</v>
      </c>
      <c r="N189" s="20" t="n">
        <v>4195</v>
      </c>
    </row>
    <row r="190">
      <c r="A190" s="18" t="inlineStr">
        <is>
          <t>부문 · Canada Adjustment</t>
        </is>
      </c>
      <c r="I190" s="20" t="n">
        <v>0</v>
      </c>
      <c r="J190" s="20" t="n">
        <v>0</v>
      </c>
      <c r="M190" s="20" t="n">
        <v>0</v>
      </c>
      <c r="N190" s="20" t="n">
        <v>0</v>
      </c>
    </row>
    <row r="191">
      <c r="A191" s="18" t="inlineStr">
        <is>
          <t>보고부문 합계 · Canada Adjustment</t>
        </is>
      </c>
      <c r="I191" s="20" t="n">
        <v>5261</v>
      </c>
      <c r="J191" s="20" t="n">
        <v>5961</v>
      </c>
      <c r="M191" s="20" t="n">
        <v>3994</v>
      </c>
      <c r="N191" s="20" t="n">
        <v>4195</v>
      </c>
    </row>
    <row r="192">
      <c r="A192" s="18" t="inlineStr">
        <is>
          <t>기타 · Canada Adjustment</t>
        </is>
      </c>
      <c r="I192" s="20" t="n">
        <v>0</v>
      </c>
      <c r="J192" s="20" t="n">
        <v>0</v>
      </c>
      <c r="M192" s="20" t="n">
        <v>0</v>
      </c>
      <c r="N192" s="20" t="n">
        <v>0</v>
      </c>
    </row>
    <row r="193">
      <c r="A193" s="18" t="inlineStr">
        <is>
          <t>조정액 · Canada Adjustment</t>
        </is>
      </c>
      <c r="I193" s="20" t="n">
        <v>0</v>
      </c>
      <c r="J193" s="20" t="n">
        <v>0</v>
      </c>
      <c r="M193" s="20" t="n">
        <v>0</v>
      </c>
      <c r="N193" s="20" t="n">
        <v>0</v>
      </c>
    </row>
    <row r="194">
      <c r="A194" s="18" t="inlineStr">
        <is>
          <t>Canada Adjustment</t>
        </is>
      </c>
      <c r="I194" s="20" t="n">
        <v>5261</v>
      </c>
      <c r="J194" s="20" t="n">
        <v>5961</v>
      </c>
      <c r="M194" s="20" t="n">
        <v>3994</v>
      </c>
      <c r="N194" s="20" t="n">
        <v>4195</v>
      </c>
    </row>
    <row r="195">
      <c r="A195" s="18" t="inlineStr">
        <is>
          <t>부문 · Adjustment Items Income</t>
        </is>
      </c>
      <c r="C195" s="20" t="n">
        <v>395</v>
      </c>
      <c r="D195" s="20" t="n">
        <v>-77</v>
      </c>
      <c r="E195" s="20" t="n">
        <v>7</v>
      </c>
      <c r="F195" s="20" t="n">
        <v>3132</v>
      </c>
      <c r="G195" s="20" t="n">
        <v>2</v>
      </c>
      <c r="H195" s="20" t="n">
        <v>2427</v>
      </c>
      <c r="I195" s="20" t="n">
        <v>4</v>
      </c>
      <c r="J195" s="20" t="n">
        <v>0</v>
      </c>
      <c r="K195" s="20" t="n">
        <v>345</v>
      </c>
      <c r="L195" s="20" t="n">
        <v>52883</v>
      </c>
      <c r="M195" s="20" t="n">
        <v>11</v>
      </c>
      <c r="N195" s="20" t="n">
        <v>0</v>
      </c>
      <c r="V195" s="20" t="n">
        <v>-77</v>
      </c>
      <c r="W195" s="20" t="n">
        <v>2427</v>
      </c>
      <c r="X195" s="20" t="n">
        <v>52883</v>
      </c>
    </row>
    <row r="196">
      <c r="A196" s="18" t="inlineStr">
        <is>
          <t>부문 · Adjustment Items Income</t>
        </is>
      </c>
      <c r="C196" s="20" t="n">
        <v>0</v>
      </c>
      <c r="D196" s="20" t="n">
        <v>0</v>
      </c>
      <c r="E196" s="20" t="n">
        <v>0</v>
      </c>
      <c r="F196" s="20" t="n">
        <v>0</v>
      </c>
      <c r="G196" s="20" t="n">
        <v>0</v>
      </c>
      <c r="H196" s="20" t="n">
        <v>0</v>
      </c>
      <c r="I196" s="20" t="n">
        <v>0</v>
      </c>
      <c r="J196" s="20" t="n">
        <v>0</v>
      </c>
      <c r="V196" s="20" t="n">
        <v>0</v>
      </c>
      <c r="W196" s="20" t="n">
        <v>0</v>
      </c>
    </row>
    <row r="197">
      <c r="A197" s="18" t="inlineStr">
        <is>
          <t>부문 · Adjustment Items Income</t>
        </is>
      </c>
      <c r="C197" s="20" t="n">
        <v>11</v>
      </c>
      <c r="D197" s="20" t="n">
        <v>11</v>
      </c>
      <c r="E197" s="20" t="n">
        <v>0</v>
      </c>
      <c r="F197" s="20" t="n">
        <v>0</v>
      </c>
      <c r="G197" s="20" t="n">
        <v>0</v>
      </c>
      <c r="H197" s="20" t="n">
        <v>446</v>
      </c>
      <c r="I197" s="20" t="n">
        <v>435</v>
      </c>
      <c r="J197" s="20" t="n">
        <v>-11</v>
      </c>
      <c r="K197" s="20" t="n">
        <v>477</v>
      </c>
      <c r="L197" s="20" t="n">
        <v>233</v>
      </c>
      <c r="M197" s="20" t="n">
        <v>0</v>
      </c>
      <c r="N197" s="20" t="n">
        <v>2279</v>
      </c>
      <c r="V197" s="20" t="n">
        <v>11</v>
      </c>
      <c r="W197" s="20" t="n">
        <v>446</v>
      </c>
      <c r="X197" s="20" t="n">
        <v>233</v>
      </c>
    </row>
    <row r="198">
      <c r="A198" s="18" t="inlineStr">
        <is>
          <t>보고부문 합계 · Adjustment Items Income</t>
        </is>
      </c>
      <c r="C198" s="20" t="n">
        <v>406</v>
      </c>
      <c r="D198" s="20" t="n">
        <v>-67</v>
      </c>
      <c r="E198" s="20" t="n">
        <v>7</v>
      </c>
      <c r="F198" s="20" t="n">
        <v>3132</v>
      </c>
      <c r="G198" s="20" t="n">
        <v>2</v>
      </c>
      <c r="H198" s="20" t="n">
        <v>2872</v>
      </c>
      <c r="I198" s="20" t="n">
        <v>438</v>
      </c>
      <c r="J198" s="20" t="n">
        <v>-10</v>
      </c>
      <c r="K198" s="20" t="n">
        <v>822</v>
      </c>
      <c r="L198" s="20" t="n">
        <v>53115</v>
      </c>
      <c r="M198" s="20" t="n">
        <v>11</v>
      </c>
      <c r="N198" s="20" t="n">
        <v>2279</v>
      </c>
      <c r="V198" s="20" t="n">
        <v>-67</v>
      </c>
      <c r="W198" s="20" t="n">
        <v>2872</v>
      </c>
      <c r="X198" s="20" t="n">
        <v>53115</v>
      </c>
    </row>
    <row r="199">
      <c r="A199" s="18" t="inlineStr">
        <is>
          <t>기타 · Adjustment Items Income</t>
        </is>
      </c>
      <c r="C199" s="20" t="n">
        <v>10687</v>
      </c>
      <c r="D199" s="20" t="n">
        <v>4173</v>
      </c>
      <c r="E199" s="20" t="n">
        <v>1956</v>
      </c>
      <c r="F199" s="20" t="n">
        <v>849</v>
      </c>
      <c r="G199" s="20" t="n">
        <v>3325</v>
      </c>
      <c r="H199" s="20" t="n">
        <v>3477</v>
      </c>
      <c r="I199" s="20" t="n">
        <v>3</v>
      </c>
      <c r="J199" s="20" t="n">
        <v>4</v>
      </c>
      <c r="K199" s="20" t="n">
        <v>1871</v>
      </c>
      <c r="L199" s="20" t="n">
        <v>11872</v>
      </c>
      <c r="M199" s="20" t="n">
        <v>0</v>
      </c>
      <c r="N199" s="20" t="n">
        <v>0</v>
      </c>
      <c r="V199" s="20" t="n">
        <v>4173</v>
      </c>
      <c r="W199" s="20" t="n">
        <v>3477</v>
      </c>
      <c r="X199" s="20" t="n">
        <v>11872</v>
      </c>
    </row>
    <row r="200">
      <c r="A200" s="18" t="inlineStr">
        <is>
          <t>조정액 · Adjustment Items Income</t>
        </is>
      </c>
      <c r="C200" s="20" t="n">
        <v>0</v>
      </c>
      <c r="D200" s="20" t="n">
        <v>0</v>
      </c>
      <c r="E200" s="20" t="n">
        <v>0</v>
      </c>
      <c r="F200" s="20" t="n">
        <v>0</v>
      </c>
      <c r="G200" s="20" t="n">
        <v>0</v>
      </c>
      <c r="H200" s="20" t="n">
        <v>0</v>
      </c>
      <c r="I200" s="20" t="n">
        <v>0</v>
      </c>
      <c r="J200" s="20" t="n">
        <v>0</v>
      </c>
      <c r="K200" s="20" t="n">
        <v>0</v>
      </c>
      <c r="L200" s="20" t="n">
        <v>0</v>
      </c>
      <c r="M200" s="20" t="n">
        <v>0</v>
      </c>
      <c r="N200" s="20" t="n">
        <v>0</v>
      </c>
      <c r="V200" s="20" t="n">
        <v>0</v>
      </c>
      <c r="W200" s="20" t="n">
        <v>0</v>
      </c>
      <c r="X200" s="20" t="n">
        <v>0</v>
      </c>
    </row>
    <row r="201">
      <c r="A201" s="18" t="inlineStr">
        <is>
          <t>Adjustment Items Income</t>
        </is>
      </c>
      <c r="C201" s="20" t="n">
        <v>11093</v>
      </c>
      <c r="D201" s="20" t="n">
        <v>4107</v>
      </c>
      <c r="E201" s="20" t="n">
        <v>1963</v>
      </c>
      <c r="F201" s="20" t="n">
        <v>3981</v>
      </c>
      <c r="G201" s="20" t="n">
        <v>3326</v>
      </c>
      <c r="H201" s="20" t="n">
        <v>6351</v>
      </c>
      <c r="I201" s="20" t="n">
        <v>442</v>
      </c>
      <c r="J201" s="20" t="n">
        <v>-7</v>
      </c>
      <c r="K201" s="20" t="n">
        <v>2693</v>
      </c>
      <c r="L201" s="20" t="n">
        <v>64987</v>
      </c>
      <c r="M201" s="20" t="n">
        <v>11</v>
      </c>
      <c r="N201" s="20" t="n">
        <v>2279</v>
      </c>
      <c r="V201" s="20" t="n">
        <v>4107</v>
      </c>
      <c r="W201" s="20" t="n">
        <v>6351</v>
      </c>
      <c r="X201" s="20" t="n">
        <v>64987</v>
      </c>
    </row>
    <row r="202">
      <c r="A202" s="18" t="inlineStr">
        <is>
          <t>부문 · Adjustment Items Costs</t>
        </is>
      </c>
      <c r="C202" s="20" t="n">
        <v>-336</v>
      </c>
      <c r="D202" s="20" t="n">
        <v>13227</v>
      </c>
      <c r="E202" s="20" t="n">
        <v>-291</v>
      </c>
      <c r="F202" s="20" t="n">
        <v>-336</v>
      </c>
      <c r="G202" s="20" t="n">
        <v>6601</v>
      </c>
      <c r="H202" s="20" t="n">
        <v>381100</v>
      </c>
      <c r="I202" s="20" t="n">
        <v>134</v>
      </c>
      <c r="J202" s="20" t="n">
        <v>18</v>
      </c>
      <c r="K202" s="20" t="n">
        <v>507</v>
      </c>
      <c r="L202" s="20" t="n">
        <v>28856</v>
      </c>
      <c r="M202" s="20" t="n">
        <v>751</v>
      </c>
      <c r="N202" s="20" t="n">
        <v>101</v>
      </c>
      <c r="V202" s="20" t="n">
        <v>13227</v>
      </c>
      <c r="W202" s="20" t="n">
        <v>381100</v>
      </c>
      <c r="X202" s="20" t="n">
        <v>28856</v>
      </c>
    </row>
    <row r="203">
      <c r="A203" s="18" t="inlineStr">
        <is>
          <t>부문 · Adjustment Items Costs</t>
        </is>
      </c>
      <c r="C203" s="20" t="n">
        <v>0</v>
      </c>
      <c r="D203" s="20" t="n">
        <v>0</v>
      </c>
      <c r="E203" s="20" t="n">
        <v>0</v>
      </c>
      <c r="F203" s="20" t="n">
        <v>0</v>
      </c>
      <c r="G203" s="20" t="n">
        <v>0</v>
      </c>
      <c r="H203" s="20" t="n">
        <v>0</v>
      </c>
      <c r="I203" s="20" t="n">
        <v>0</v>
      </c>
      <c r="J203" s="20" t="n">
        <v>24346</v>
      </c>
      <c r="V203" s="20" t="n">
        <v>0</v>
      </c>
      <c r="W203" s="20" t="n">
        <v>0</v>
      </c>
    </row>
    <row r="204">
      <c r="A204" s="18" t="inlineStr">
        <is>
          <t>부문 · Adjustment Items Costs</t>
        </is>
      </c>
      <c r="C204" s="20" t="n">
        <v>-6</v>
      </c>
      <c r="D204" s="20" t="n">
        <v>19</v>
      </c>
      <c r="E204" s="20" t="n">
        <v>20</v>
      </c>
      <c r="F204" s="20" t="n">
        <v>4</v>
      </c>
      <c r="G204" s="20" t="n">
        <v>6</v>
      </c>
      <c r="H204" s="20" t="n">
        <v>481</v>
      </c>
      <c r="I204" s="20" t="n">
        <v>7</v>
      </c>
      <c r="J204" s="20" t="n">
        <v>3</v>
      </c>
      <c r="K204" s="20" t="n">
        <v>13</v>
      </c>
      <c r="L204" s="20" t="n">
        <v>1803</v>
      </c>
      <c r="M204" s="20" t="n">
        <v>2094</v>
      </c>
      <c r="N204" s="20" t="n">
        <v>-111</v>
      </c>
      <c r="V204" s="20" t="n">
        <v>19</v>
      </c>
      <c r="W204" s="20" t="n">
        <v>481</v>
      </c>
      <c r="X204" s="20" t="n">
        <v>1803</v>
      </c>
    </row>
    <row r="205">
      <c r="A205" s="18" t="inlineStr">
        <is>
          <t>보고부문 합계 · Adjustment Items Costs</t>
        </is>
      </c>
      <c r="C205" s="20" t="n">
        <v>-342</v>
      </c>
      <c r="D205" s="20" t="n">
        <v>13246</v>
      </c>
      <c r="E205" s="20" t="n">
        <v>-271</v>
      </c>
      <c r="F205" s="20" t="n">
        <v>-332</v>
      </c>
      <c r="G205" s="20" t="n">
        <v>6607</v>
      </c>
      <c r="H205" s="20" t="n">
        <v>381581</v>
      </c>
      <c r="I205" s="20" t="n">
        <v>141</v>
      </c>
      <c r="J205" s="20" t="n">
        <v>21</v>
      </c>
      <c r="K205" s="20" t="n">
        <v>520</v>
      </c>
      <c r="L205" s="20" t="n">
        <v>30659</v>
      </c>
      <c r="M205" s="20" t="n">
        <v>2845</v>
      </c>
      <c r="N205" s="20" t="n">
        <v>-10</v>
      </c>
      <c r="V205" s="20" t="n">
        <v>13246</v>
      </c>
      <c r="W205" s="20" t="n">
        <v>381581</v>
      </c>
      <c r="X205" s="20" t="n">
        <v>30659</v>
      </c>
    </row>
    <row r="206">
      <c r="A206" s="18" t="inlineStr">
        <is>
          <t>기타 · Adjustment Items Costs</t>
        </is>
      </c>
      <c r="C206" s="20" t="n">
        <v>169</v>
      </c>
      <c r="D206" s="20" t="n">
        <v>145</v>
      </c>
      <c r="E206" s="20" t="n">
        <v>159</v>
      </c>
      <c r="F206" s="20" t="n">
        <v>537</v>
      </c>
      <c r="G206" s="20" t="n">
        <v>62</v>
      </c>
      <c r="H206" s="20" t="n">
        <v>2</v>
      </c>
      <c r="I206" s="20" t="n">
        <v>651</v>
      </c>
      <c r="J206" s="20" t="n">
        <v>163</v>
      </c>
      <c r="K206" s="20" t="n">
        <v>604</v>
      </c>
      <c r="L206" s="20" t="n">
        <v>0</v>
      </c>
      <c r="M206" s="20" t="n">
        <v>32</v>
      </c>
      <c r="N206" s="20" t="n">
        <v>59</v>
      </c>
      <c r="V206" s="20" t="n">
        <v>145</v>
      </c>
      <c r="W206" s="20" t="n">
        <v>2</v>
      </c>
      <c r="X206" s="20" t="n">
        <v>0</v>
      </c>
    </row>
    <row r="207">
      <c r="A207" s="18" t="inlineStr">
        <is>
          <t>조정액 · Adjustment Items Costs</t>
        </is>
      </c>
      <c r="C207" s="20" t="n">
        <v>0</v>
      </c>
      <c r="D207" s="20" t="n">
        <v>0</v>
      </c>
      <c r="E207" s="20" t="n">
        <v>0</v>
      </c>
      <c r="F207" s="20" t="n">
        <v>0</v>
      </c>
      <c r="G207" s="20" t="n">
        <v>0</v>
      </c>
      <c r="H207" s="20" t="n">
        <v>0</v>
      </c>
      <c r="I207" s="20" t="n">
        <v>0</v>
      </c>
      <c r="J207" s="20" t="n">
        <v>0</v>
      </c>
      <c r="K207" s="20" t="n">
        <v>0</v>
      </c>
      <c r="L207" s="20" t="n">
        <v>0</v>
      </c>
      <c r="M207" s="20" t="n">
        <v>0</v>
      </c>
      <c r="N207" s="20" t="n">
        <v>0</v>
      </c>
      <c r="V207" s="20" t="n">
        <v>0</v>
      </c>
      <c r="W207" s="20" t="n">
        <v>0</v>
      </c>
      <c r="X207" s="20" t="n">
        <v>0</v>
      </c>
    </row>
    <row r="208">
      <c r="A208" s="18" t="inlineStr">
        <is>
          <t>Adjustment Items Costs</t>
        </is>
      </c>
      <c r="C208" s="20" t="n">
        <v>-173</v>
      </c>
      <c r="D208" s="20" t="n">
        <v>13392</v>
      </c>
      <c r="E208" s="20" t="n">
        <v>-112</v>
      </c>
      <c r="F208" s="20" t="n">
        <v>205</v>
      </c>
      <c r="G208" s="20" t="n">
        <v>6669</v>
      </c>
      <c r="H208" s="20" t="n">
        <v>381583</v>
      </c>
      <c r="I208" s="20" t="n">
        <v>792</v>
      </c>
      <c r="J208" s="20" t="n">
        <v>183</v>
      </c>
      <c r="K208" s="20" t="n">
        <v>1125</v>
      </c>
      <c r="L208" s="20" t="n">
        <v>30659</v>
      </c>
      <c r="M208" s="20" t="n">
        <v>2877</v>
      </c>
      <c r="N208" s="20" t="n">
        <v>49</v>
      </c>
      <c r="V208" s="20" t="n">
        <v>13392</v>
      </c>
      <c r="W208" s="20" t="n">
        <v>381583</v>
      </c>
      <c r="X208" s="20" t="n">
        <v>30659</v>
      </c>
    </row>
    <row r="209">
      <c r="A209" s="18" t="inlineStr">
        <is>
          <t>부문 · Operating Profit Loss</t>
        </is>
      </c>
      <c r="C209" s="20" t="n">
        <v>212884</v>
      </c>
      <c r="D209" s="20" t="n">
        <v>45825</v>
      </c>
      <c r="E209" s="20" t="n">
        <v>219229</v>
      </c>
      <c r="F209" s="20" t="n">
        <v>230388</v>
      </c>
      <c r="G209" s="20" t="n">
        <v>208786</v>
      </c>
      <c r="H209" s="20" t="n">
        <v>-303819</v>
      </c>
      <c r="I209" s="20" t="n">
        <v>255630</v>
      </c>
      <c r="J209" s="20" t="n">
        <v>265319</v>
      </c>
      <c r="K209" s="20" t="n">
        <v>271330</v>
      </c>
      <c r="L209" s="20" t="n">
        <v>113074</v>
      </c>
      <c r="M209" s="20" t="n">
        <v>316574</v>
      </c>
      <c r="N209" s="20" t="n">
        <v>349341</v>
      </c>
      <c r="V209" s="20" t="n">
        <v>45825</v>
      </c>
      <c r="W209" s="20" t="n">
        <v>-303819</v>
      </c>
      <c r="X209" s="20" t="n">
        <v>113074</v>
      </c>
    </row>
    <row r="210">
      <c r="A210" s="43" t="inlineStr">
        <is>
          <t>OPM</t>
        </is>
      </c>
      <c r="B210" s="3" t="inlineStr">
        <is>
          <t>영업이익 ÷ 매출</t>
        </is>
      </c>
      <c r="C210" s="15">
        <f>IF(OR(C209="",C152=""),"",IF(C152&lt;=0,"",IFERROR(C209/C152,"")))</f>
        <v/>
      </c>
      <c r="D210" s="15">
        <f>IF(OR(D209="",D152=""),"",IF(D152&lt;=0,"",IFERROR(D209/D152,"")))</f>
        <v/>
      </c>
      <c r="E210" s="15">
        <f>IF(OR(E209="",E152=""),"",IF(E152&lt;=0,"",IFERROR(E209/E152,"")))</f>
        <v/>
      </c>
      <c r="F210" s="15">
        <f>IF(OR(F209="",F152=""),"",IF(F152&lt;=0,"",IFERROR(F209/F152,"")))</f>
        <v/>
      </c>
      <c r="G210" s="15">
        <f>IF(OR(G209="",G152=""),"",IF(G152&lt;=0,"",IFERROR(G209/G152,"")))</f>
        <v/>
      </c>
      <c r="H210" s="15">
        <f>IF(OR(H209="",H152=""),"",IF(H152&lt;=0,"",IFERROR(H209/H152,"")))</f>
        <v/>
      </c>
      <c r="I210" s="15">
        <f>IF(OR(I209="",I152=""),"",IF(I152&lt;=0,"",IFERROR(I209/I152,"")))</f>
        <v/>
      </c>
      <c r="J210" s="15">
        <f>IF(OR(J209="",J152=""),"",IF(J152&lt;=0,"",IFERROR(J209/J152,"")))</f>
        <v/>
      </c>
      <c r="K210" s="15">
        <f>IF(OR(K209="",K152=""),"",IF(K152&lt;=0,"",IFERROR(K209/K152,"")))</f>
        <v/>
      </c>
      <c r="L210" s="15">
        <f>IF(OR(L209="",L152=""),"",IF(L152&lt;=0,"",IFERROR(L209/L152,"")))</f>
        <v/>
      </c>
      <c r="M210" s="15">
        <f>IF(OR(M209="",M152=""),"",IF(M152&lt;=0,"",IFERROR(M209/M152,"")))</f>
        <v/>
      </c>
      <c r="N210" s="15">
        <f>IF(OR(N209="",N152=""),"",IF(N152&lt;=0,"",IFERROR(N209/N152,"")))</f>
        <v/>
      </c>
      <c r="V210" s="15">
        <f>IF(OR(V209="",V152=""),"",IF(V152&lt;=0,"",IFERROR(V209/V152,"")))</f>
        <v/>
      </c>
      <c r="W210" s="15">
        <f>IF(OR(W209="",W152=""),"",IF(W152&lt;=0,"",IFERROR(W209/W152,"")))</f>
        <v/>
      </c>
      <c r="X210" s="15">
        <f>IF(OR(X209="",X152=""),"",IF(X152&lt;=0,"",IFERROR(X209/X152,"")))</f>
        <v/>
      </c>
    </row>
    <row r="211">
      <c r="A211" s="43" t="inlineStr">
        <is>
          <t>YoY</t>
        </is>
      </c>
      <c r="B211" s="3" t="inlineStr">
        <is>
          <t>전년 같은 분기·전년 대비</t>
        </is>
      </c>
      <c r="G211" s="15">
        <f>IF(OR(G209="",C209=""),"",IF(C209&lt;=0,"",IFERROR(G209/C209-1,"")))</f>
        <v/>
      </c>
      <c r="H211" s="15">
        <f>IF(OR(H209="",D209=""),"",IF(D209&lt;=0,"",IFERROR(H209/D209-1,"")))</f>
        <v/>
      </c>
      <c r="I211" s="15">
        <f>IF(OR(I209="",E209=""),"",IF(E209&lt;=0,"",IFERROR(I209/E209-1,"")))</f>
        <v/>
      </c>
      <c r="J211" s="15">
        <f>IF(OR(J209="",F209=""),"",IF(F209&lt;=0,"",IFERROR(J209/F209-1,"")))</f>
        <v/>
      </c>
      <c r="K211" s="15">
        <f>IF(OR(K209="",G209=""),"",IF(G209&lt;=0,"",IFERROR(K209/G209-1,"")))</f>
        <v/>
      </c>
      <c r="L211" s="15">
        <f>IF(OR(L209="",H209=""),"",IF(H209&lt;=0,"",IFERROR(L209/H209-1,"")))</f>
        <v/>
      </c>
      <c r="M211" s="15">
        <f>IF(OR(M209="",I209=""),"",IF(I209&lt;=0,"",IFERROR(M209/I209-1,"")))</f>
        <v/>
      </c>
      <c r="N211" s="15">
        <f>IF(OR(N209="",J209=""),"",IF(J209&lt;=0,"",IFERROR(N209/J209-1,"")))</f>
        <v/>
      </c>
      <c r="V211" s="15">
        <f>IF(OR(V209="",U209=""),"",IF(U209&lt;=0,"",IFERROR(V209/U209-1,"")))</f>
        <v/>
      </c>
      <c r="W211" s="15">
        <f>IF(OR(W209="",V209=""),"",IF(V209&lt;=0,"",IFERROR(W209/V209-1,"")))</f>
        <v/>
      </c>
      <c r="X211" s="15">
        <f>IF(OR(X209="",W209=""),"",IF(W209&lt;=0,"",IFERROR(X209/W209-1,"")))</f>
        <v/>
      </c>
    </row>
    <row r="212">
      <c r="A212" s="18" t="inlineStr">
        <is>
          <t>부문 · Operating Profit Loss</t>
        </is>
      </c>
      <c r="C212" s="20" t="n">
        <v>3072</v>
      </c>
      <c r="D212" s="20" t="n">
        <v>4291</v>
      </c>
      <c r="E212" s="20" t="n">
        <v>3842</v>
      </c>
      <c r="F212" s="20" t="n">
        <v>153</v>
      </c>
      <c r="G212" s="20" t="n">
        <v>1163</v>
      </c>
      <c r="H212" s="20" t="n">
        <v>4075</v>
      </c>
      <c r="I212" s="20" t="n">
        <v>4493</v>
      </c>
      <c r="J212" s="20" t="n">
        <v>-24676</v>
      </c>
      <c r="V212" s="20" t="n">
        <v>4291</v>
      </c>
      <c r="W212" s="20" t="n">
        <v>4075</v>
      </c>
    </row>
    <row r="213">
      <c r="A213" s="43" t="inlineStr">
        <is>
          <t>OPM</t>
        </is>
      </c>
      <c r="B213" s="3" t="inlineStr">
        <is>
          <t>영업이익 ÷ 매출</t>
        </is>
      </c>
      <c r="C213" s="15">
        <f>IF(OR(C212="",C154=""),"",IF(C154&lt;=0,"",IFERROR(C212/C154,"")))</f>
        <v/>
      </c>
      <c r="D213" s="15">
        <f>IF(OR(D212="",D154=""),"",IF(D154&lt;=0,"",IFERROR(D212/D154,"")))</f>
        <v/>
      </c>
      <c r="E213" s="15">
        <f>IF(OR(E212="",E154=""),"",IF(E154&lt;=0,"",IFERROR(E212/E154,"")))</f>
        <v/>
      </c>
      <c r="F213" s="15">
        <f>IF(OR(F212="",F154=""),"",IF(F154&lt;=0,"",IFERROR(F212/F154,"")))</f>
        <v/>
      </c>
      <c r="G213" s="15">
        <f>IF(OR(G212="",G154=""),"",IF(G154&lt;=0,"",IFERROR(G212/G154,"")))</f>
        <v/>
      </c>
      <c r="H213" s="15">
        <f>IF(OR(H212="",H154=""),"",IF(H154&lt;=0,"",IFERROR(H212/H154,"")))</f>
        <v/>
      </c>
      <c r="I213" s="15">
        <f>IF(OR(I212="",I154=""),"",IF(I154&lt;=0,"",IFERROR(I212/I154,"")))</f>
        <v/>
      </c>
      <c r="J213" s="15">
        <f>IF(OR(J212="",J154=""),"",IF(J154&lt;=0,"",IFERROR(J212/J154,"")))</f>
        <v/>
      </c>
      <c r="V213" s="15">
        <f>IF(OR(V212="",V154=""),"",IF(V154&lt;=0,"",IFERROR(V212/V154,"")))</f>
        <v/>
      </c>
      <c r="W213" s="15">
        <f>IF(OR(W212="",W154=""),"",IF(W154&lt;=0,"",IFERROR(W212/W154,"")))</f>
        <v/>
      </c>
    </row>
    <row r="214">
      <c r="A214" s="43" t="inlineStr">
        <is>
          <t>YoY</t>
        </is>
      </c>
      <c r="B214" s="3" t="inlineStr">
        <is>
          <t>전년 같은 분기·전년 대비</t>
        </is>
      </c>
      <c r="G214" s="15">
        <f>IF(OR(G212="",C212=""),"",IF(C212&lt;=0,"",IFERROR(G212/C212-1,"")))</f>
        <v/>
      </c>
      <c r="H214" s="15">
        <f>IF(OR(H212="",D212=""),"",IF(D212&lt;=0,"",IFERROR(H212/D212-1,"")))</f>
        <v/>
      </c>
      <c r="I214" s="15">
        <f>IF(OR(I212="",E212=""),"",IF(E212&lt;=0,"",IFERROR(I212/E212-1,"")))</f>
        <v/>
      </c>
      <c r="J214" s="15">
        <f>IF(OR(J212="",F212=""),"",IF(F212&lt;=0,"",IFERROR(J212/F212-1,"")))</f>
        <v/>
      </c>
      <c r="V214" s="15">
        <f>IF(OR(V212="",U212=""),"",IF(U212&lt;=0,"",IFERROR(V212/U212-1,"")))</f>
        <v/>
      </c>
      <c r="W214" s="15">
        <f>IF(OR(W212="",V212=""),"",IF(V212&lt;=0,"",IFERROR(W212/V212-1,"")))</f>
        <v/>
      </c>
    </row>
    <row r="215">
      <c r="A215" s="18" t="inlineStr">
        <is>
          <t>부문 · Operating Profit Loss</t>
        </is>
      </c>
      <c r="C215" s="20" t="n">
        <v>1715</v>
      </c>
      <c r="D215" s="20" t="n">
        <v>2192</v>
      </c>
      <c r="E215" s="20" t="n">
        <v>2001</v>
      </c>
      <c r="F215" s="20" t="n">
        <v>2341</v>
      </c>
      <c r="G215" s="20" t="n">
        <v>1983</v>
      </c>
      <c r="H215" s="20" t="n">
        <v>1680</v>
      </c>
      <c r="I215" s="20" t="n">
        <v>1221</v>
      </c>
      <c r="J215" s="20" t="n">
        <v>1762</v>
      </c>
      <c r="K215" s="20" t="n">
        <v>3442</v>
      </c>
      <c r="L215" s="20" t="n">
        <v>1471</v>
      </c>
      <c r="M215" s="20" t="n">
        <v>-354</v>
      </c>
      <c r="N215" s="20" t="n">
        <v>4720</v>
      </c>
      <c r="V215" s="20" t="n">
        <v>2192</v>
      </c>
      <c r="W215" s="20" t="n">
        <v>1680</v>
      </c>
      <c r="X215" s="20" t="n">
        <v>1471</v>
      </c>
    </row>
    <row r="216">
      <c r="A216" s="43" t="inlineStr">
        <is>
          <t>OPM</t>
        </is>
      </c>
      <c r="B216" s="3" t="inlineStr">
        <is>
          <t>영업이익 ÷ 매출</t>
        </is>
      </c>
      <c r="C216" s="15">
        <f>IF(OR(C215="",C156=""),"",IF(C156&lt;=0,"",IFERROR(C215/C156,"")))</f>
        <v/>
      </c>
      <c r="D216" s="15">
        <f>IF(OR(D215="",D156=""),"",IF(D156&lt;=0,"",IFERROR(D215/D156,"")))</f>
        <v/>
      </c>
      <c r="E216" s="15">
        <f>IF(OR(E215="",E156=""),"",IF(E156&lt;=0,"",IFERROR(E215/E156,"")))</f>
        <v/>
      </c>
      <c r="F216" s="15">
        <f>IF(OR(F215="",F156=""),"",IF(F156&lt;=0,"",IFERROR(F215/F156,"")))</f>
        <v/>
      </c>
      <c r="G216" s="15">
        <f>IF(OR(G215="",G156=""),"",IF(G156&lt;=0,"",IFERROR(G215/G156,"")))</f>
        <v/>
      </c>
      <c r="H216" s="15">
        <f>IF(OR(H215="",H156=""),"",IF(H156&lt;=0,"",IFERROR(H215/H156,"")))</f>
        <v/>
      </c>
      <c r="I216" s="15">
        <f>IF(OR(I215="",I156=""),"",IF(I156&lt;=0,"",IFERROR(I215/I156,"")))</f>
        <v/>
      </c>
      <c r="J216" s="15">
        <f>IF(OR(J215="",J156=""),"",IF(J156&lt;=0,"",IFERROR(J215/J156,"")))</f>
        <v/>
      </c>
      <c r="K216" s="15">
        <f>IF(OR(K215="",K156=""),"",IF(K156&lt;=0,"",IFERROR(K215/K156,"")))</f>
        <v/>
      </c>
      <c r="L216" s="15">
        <f>IF(OR(L215="",L156=""),"",IF(L156&lt;=0,"",IFERROR(L215/L156,"")))</f>
        <v/>
      </c>
      <c r="M216" s="15">
        <f>IF(OR(M215="",M156=""),"",IF(M156&lt;=0,"",IFERROR(M215/M156,"")))</f>
        <v/>
      </c>
      <c r="N216" s="15">
        <f>IF(OR(N215="",N156=""),"",IF(N156&lt;=0,"",IFERROR(N215/N156,"")))</f>
        <v/>
      </c>
      <c r="V216" s="15">
        <f>IF(OR(V215="",V156=""),"",IF(V156&lt;=0,"",IFERROR(V215/V156,"")))</f>
        <v/>
      </c>
      <c r="W216" s="15">
        <f>IF(OR(W215="",W156=""),"",IF(W156&lt;=0,"",IFERROR(W215/W156,"")))</f>
        <v/>
      </c>
      <c r="X216" s="15">
        <f>IF(OR(X215="",X156=""),"",IF(X156&lt;=0,"",IFERROR(X215/X156,"")))</f>
        <v/>
      </c>
    </row>
    <row r="217">
      <c r="A217" s="43" t="inlineStr">
        <is>
          <t>YoY</t>
        </is>
      </c>
      <c r="B217" s="3" t="inlineStr">
        <is>
          <t>전년 같은 분기·전년 대비</t>
        </is>
      </c>
      <c r="G217" s="15">
        <f>IF(OR(G215="",C215=""),"",IF(C215&lt;=0,"",IFERROR(G215/C215-1,"")))</f>
        <v/>
      </c>
      <c r="H217" s="15">
        <f>IF(OR(H215="",D215=""),"",IF(D215&lt;=0,"",IFERROR(H215/D215-1,"")))</f>
        <v/>
      </c>
      <c r="I217" s="15">
        <f>IF(OR(I215="",E215=""),"",IF(E215&lt;=0,"",IFERROR(I215/E215-1,"")))</f>
        <v/>
      </c>
      <c r="J217" s="15">
        <f>IF(OR(J215="",F215=""),"",IF(F215&lt;=0,"",IFERROR(J215/F215-1,"")))</f>
        <v/>
      </c>
      <c r="K217" s="15">
        <f>IF(OR(K215="",G215=""),"",IF(G215&lt;=0,"",IFERROR(K215/G215-1,"")))</f>
        <v/>
      </c>
      <c r="L217" s="15">
        <f>IF(OR(L215="",H215=""),"",IF(H215&lt;=0,"",IFERROR(L215/H215-1,"")))</f>
        <v/>
      </c>
      <c r="M217" s="15">
        <f>IF(OR(M215="",I215=""),"",IF(I215&lt;=0,"",IFERROR(M215/I215-1,"")))</f>
        <v/>
      </c>
      <c r="N217" s="15">
        <f>IF(OR(N215="",J215=""),"",IF(J215&lt;=0,"",IFERROR(N215/J215-1,"")))</f>
        <v/>
      </c>
      <c r="V217" s="15">
        <f>IF(OR(V215="",U215=""),"",IF(U215&lt;=0,"",IFERROR(V215/U215-1,"")))</f>
        <v/>
      </c>
      <c r="W217" s="15">
        <f>IF(OR(W215="",V215=""),"",IF(V215&lt;=0,"",IFERROR(W215/V215-1,"")))</f>
        <v/>
      </c>
      <c r="X217" s="15">
        <f>IF(OR(X215="",W215=""),"",IF(W215&lt;=0,"",IFERROR(X215/W215-1,"")))</f>
        <v/>
      </c>
    </row>
    <row r="218">
      <c r="A218" s="18" t="inlineStr">
        <is>
          <t>보고부문 합계 · Operating Profit Loss</t>
        </is>
      </c>
      <c r="C218" s="20" t="n">
        <v>217669</v>
      </c>
      <c r="D218" s="20" t="n">
        <v>52309</v>
      </c>
      <c r="E218" s="20" t="n">
        <v>225072</v>
      </c>
      <c r="F218" s="20" t="n">
        <v>232882</v>
      </c>
      <c r="G218" s="20" t="n">
        <v>206773</v>
      </c>
      <c r="H218" s="20" t="n">
        <v>-302138</v>
      </c>
      <c r="I218" s="20" t="n">
        <v>256851</v>
      </c>
      <c r="J218" s="20" t="n">
        <v>267080</v>
      </c>
      <c r="K218" s="20" t="n">
        <v>274773</v>
      </c>
      <c r="L218" s="20" t="n">
        <v>114545</v>
      </c>
      <c r="M218" s="20" t="n">
        <v>316219</v>
      </c>
      <c r="N218" s="20" t="n">
        <v>354062</v>
      </c>
      <c r="V218" s="20" t="n">
        <v>52309</v>
      </c>
      <c r="W218" s="20" t="n">
        <v>-302138</v>
      </c>
      <c r="X218" s="20" t="n">
        <v>114545</v>
      </c>
    </row>
    <row r="219">
      <c r="A219" s="43" t="inlineStr">
        <is>
          <t>OPM</t>
        </is>
      </c>
      <c r="B219" s="3" t="inlineStr">
        <is>
          <t>영업이익 ÷ 매출</t>
        </is>
      </c>
      <c r="C219" s="15">
        <f>IF(OR(C218="",C158=""),"",IF(C158&lt;=0,"",IFERROR(C218/C158,"")))</f>
        <v/>
      </c>
      <c r="D219" s="15">
        <f>IF(OR(D218="",D158=""),"",IF(D158&lt;=0,"",IFERROR(D218/D158,"")))</f>
        <v/>
      </c>
      <c r="E219" s="15">
        <f>IF(OR(E218="",E158=""),"",IF(E158&lt;=0,"",IFERROR(E218/E158,"")))</f>
        <v/>
      </c>
      <c r="F219" s="15">
        <f>IF(OR(F218="",F158=""),"",IF(F158&lt;=0,"",IFERROR(F218/F158,"")))</f>
        <v/>
      </c>
      <c r="G219" s="15">
        <f>IF(OR(G218="",G158=""),"",IF(G158&lt;=0,"",IFERROR(G218/G158,"")))</f>
        <v/>
      </c>
      <c r="H219" s="15">
        <f>IF(OR(H218="",H158=""),"",IF(H158&lt;=0,"",IFERROR(H218/H158,"")))</f>
        <v/>
      </c>
      <c r="I219" s="15">
        <f>IF(OR(I218="",I158=""),"",IF(I158&lt;=0,"",IFERROR(I218/I158,"")))</f>
        <v/>
      </c>
      <c r="J219" s="15">
        <f>IF(OR(J218="",J158=""),"",IF(J158&lt;=0,"",IFERROR(J218/J158,"")))</f>
        <v/>
      </c>
      <c r="K219" s="15">
        <f>IF(OR(K218="",K158=""),"",IF(K158&lt;=0,"",IFERROR(K218/K158,"")))</f>
        <v/>
      </c>
      <c r="L219" s="15">
        <f>IF(OR(L218="",L158=""),"",IF(L158&lt;=0,"",IFERROR(L218/L158,"")))</f>
        <v/>
      </c>
      <c r="M219" s="15">
        <f>IF(OR(M218="",M158=""),"",IF(M158&lt;=0,"",IFERROR(M218/M158,"")))</f>
        <v/>
      </c>
      <c r="N219" s="15">
        <f>IF(OR(N218="",N158=""),"",IF(N158&lt;=0,"",IFERROR(N218/N158,"")))</f>
        <v/>
      </c>
      <c r="V219" s="15">
        <f>IF(OR(V218="",V158=""),"",IF(V158&lt;=0,"",IFERROR(V218/V158,"")))</f>
        <v/>
      </c>
      <c r="W219" s="15">
        <f>IF(OR(W218="",W158=""),"",IF(W158&lt;=0,"",IFERROR(W218/W158,"")))</f>
        <v/>
      </c>
      <c r="X219" s="15">
        <f>IF(OR(X218="",X158=""),"",IF(X158&lt;=0,"",IFERROR(X218/X158,"")))</f>
        <v/>
      </c>
    </row>
    <row r="220">
      <c r="A220" s="43" t="inlineStr">
        <is>
          <t>YoY</t>
        </is>
      </c>
      <c r="B220" s="3" t="inlineStr">
        <is>
          <t>전년 같은 분기·전년 대비</t>
        </is>
      </c>
      <c r="G220" s="15">
        <f>IF(OR(G218="",C218=""),"",IF(C218&lt;=0,"",IFERROR(G218/C218-1,"")))</f>
        <v/>
      </c>
      <c r="H220" s="15">
        <f>IF(OR(H218="",D218=""),"",IF(D218&lt;=0,"",IFERROR(H218/D218-1,"")))</f>
        <v/>
      </c>
      <c r="I220" s="15">
        <f>IF(OR(I218="",E218=""),"",IF(E218&lt;=0,"",IFERROR(I218/E218-1,"")))</f>
        <v/>
      </c>
      <c r="J220" s="15">
        <f>IF(OR(J218="",F218=""),"",IF(F218&lt;=0,"",IFERROR(J218/F218-1,"")))</f>
        <v/>
      </c>
      <c r="K220" s="15">
        <f>IF(OR(K218="",G218=""),"",IF(G218&lt;=0,"",IFERROR(K218/G218-1,"")))</f>
        <v/>
      </c>
      <c r="L220" s="15">
        <f>IF(OR(L218="",H218=""),"",IF(H218&lt;=0,"",IFERROR(L218/H218-1,"")))</f>
        <v/>
      </c>
      <c r="M220" s="15">
        <f>IF(OR(M218="",I218=""),"",IF(I218&lt;=0,"",IFERROR(M218/I218-1,"")))</f>
        <v/>
      </c>
      <c r="N220" s="15">
        <f>IF(OR(N218="",J218=""),"",IF(J218&lt;=0,"",IFERROR(N218/J218-1,"")))</f>
        <v/>
      </c>
      <c r="V220" s="15">
        <f>IF(OR(V218="",U218=""),"",IF(U218&lt;=0,"",IFERROR(V218/U218-1,"")))</f>
        <v/>
      </c>
      <c r="W220" s="15">
        <f>IF(OR(W218="",V218=""),"",IF(V218&lt;=0,"",IFERROR(W218/V218-1,"")))</f>
        <v/>
      </c>
      <c r="X220" s="15">
        <f>IF(OR(X218="",W218=""),"",IF(W218&lt;=0,"",IFERROR(X218/W218-1,"")))</f>
        <v/>
      </c>
    </row>
    <row r="221">
      <c r="A221" s="18" t="inlineStr">
        <is>
          <t>기타 · Operating Profit Loss</t>
        </is>
      </c>
      <c r="C221" s="20" t="n">
        <v>617</v>
      </c>
      <c r="D221" s="20" t="n">
        <v>-11847</v>
      </c>
      <c r="E221" s="20" t="n">
        <v>-9278</v>
      </c>
      <c r="F221" s="20" t="n">
        <v>-16038</v>
      </c>
      <c r="G221" s="20" t="n">
        <v>-7963</v>
      </c>
      <c r="H221" s="20" t="n">
        <v>-15088</v>
      </c>
      <c r="I221" s="20" t="n">
        <v>-12548</v>
      </c>
      <c r="J221" s="20" t="n">
        <v>-11252</v>
      </c>
      <c r="K221" s="20" t="n">
        <v>-11976</v>
      </c>
      <c r="L221" s="20" t="n">
        <v>-10461</v>
      </c>
      <c r="M221" s="20" t="n">
        <v>-11669</v>
      </c>
      <c r="N221" s="20" t="n">
        <v>-13691</v>
      </c>
      <c r="V221" s="20" t="n">
        <v>-11847</v>
      </c>
      <c r="W221" s="20" t="n">
        <v>-15088</v>
      </c>
      <c r="X221" s="20" t="n">
        <v>-10461</v>
      </c>
    </row>
    <row r="222">
      <c r="A222" s="43" t="inlineStr">
        <is>
          <t>OPM</t>
        </is>
      </c>
      <c r="B222" s="3" t="inlineStr">
        <is>
          <t>영업이익 ÷ 매출</t>
        </is>
      </c>
      <c r="C222" s="15">
        <f>IF(OR(C221="",C160=""),"",IF(C160&lt;=0,"",IFERROR(C221/C160,"")))</f>
        <v/>
      </c>
      <c r="D222" s="15">
        <f>IF(OR(D221="",D160=""),"",IF(D160&lt;=0,"",IFERROR(D221/D160,"")))</f>
        <v/>
      </c>
      <c r="E222" s="15">
        <f>IF(OR(E221="",E160=""),"",IF(E160&lt;=0,"",IFERROR(E221/E160,"")))</f>
        <v/>
      </c>
      <c r="F222" s="15">
        <f>IF(OR(F221="",F160=""),"",IF(F160&lt;=0,"",IFERROR(F221/F160,"")))</f>
        <v/>
      </c>
      <c r="G222" s="15">
        <f>IF(OR(G221="",G160=""),"",IF(G160&lt;=0,"",IFERROR(G221/G160,"")))</f>
        <v/>
      </c>
      <c r="H222" s="15">
        <f>IF(OR(H221="",H160=""),"",IF(H160&lt;=0,"",IFERROR(H221/H160,"")))</f>
        <v/>
      </c>
      <c r="I222" s="15">
        <f>IF(OR(I221="",I160=""),"",IF(I160&lt;=0,"",IFERROR(I221/I160,"")))</f>
        <v/>
      </c>
      <c r="J222" s="15">
        <f>IF(OR(J221="",J160=""),"",IF(J160&lt;=0,"",IFERROR(J221/J160,"")))</f>
        <v/>
      </c>
      <c r="K222" s="15">
        <f>IF(OR(K221="",K160=""),"",IF(K160&lt;=0,"",IFERROR(K221/K160,"")))</f>
        <v/>
      </c>
      <c r="L222" s="15">
        <f>IF(OR(L221="",L160=""),"",IF(L160&lt;=0,"",IFERROR(L221/L160,"")))</f>
        <v/>
      </c>
      <c r="M222" s="15">
        <f>IF(OR(M221="",M160=""),"",IF(M160&lt;=0,"",IFERROR(M221/M160,"")))</f>
        <v/>
      </c>
      <c r="N222" s="15">
        <f>IF(OR(N221="",N160=""),"",IF(N160&lt;=0,"",IFERROR(N221/N160,"")))</f>
        <v/>
      </c>
      <c r="V222" s="15">
        <f>IF(OR(V221="",V160=""),"",IF(V160&lt;=0,"",IFERROR(V221/V160,"")))</f>
        <v/>
      </c>
      <c r="W222" s="15">
        <f>IF(OR(W221="",W160=""),"",IF(W160&lt;=0,"",IFERROR(W221/W160,"")))</f>
        <v/>
      </c>
      <c r="X222" s="15">
        <f>IF(OR(X221="",X160=""),"",IF(X160&lt;=0,"",IFERROR(X221/X160,"")))</f>
        <v/>
      </c>
    </row>
    <row r="223">
      <c r="A223" s="43" t="inlineStr">
        <is>
          <t>YoY</t>
        </is>
      </c>
      <c r="B223" s="3" t="inlineStr">
        <is>
          <t>전년 같은 분기·전년 대비</t>
        </is>
      </c>
      <c r="G223" s="15">
        <f>IF(OR(G221="",C221=""),"",IF(C221&lt;=0,"",IFERROR(G221/C221-1,"")))</f>
        <v/>
      </c>
      <c r="H223" s="15">
        <f>IF(OR(H221="",D221=""),"",IF(D221&lt;=0,"",IFERROR(H221/D221-1,"")))</f>
        <v/>
      </c>
      <c r="I223" s="15">
        <f>IF(OR(I221="",E221=""),"",IF(E221&lt;=0,"",IFERROR(I221/E221-1,"")))</f>
        <v/>
      </c>
      <c r="J223" s="15">
        <f>IF(OR(J221="",F221=""),"",IF(F221&lt;=0,"",IFERROR(J221/F221-1,"")))</f>
        <v/>
      </c>
      <c r="K223" s="15">
        <f>IF(OR(K221="",G221=""),"",IF(G221&lt;=0,"",IFERROR(K221/G221-1,"")))</f>
        <v/>
      </c>
      <c r="L223" s="15">
        <f>IF(OR(L221="",H221=""),"",IF(H221&lt;=0,"",IFERROR(L221/H221-1,"")))</f>
        <v/>
      </c>
      <c r="M223" s="15">
        <f>IF(OR(M221="",I221=""),"",IF(I221&lt;=0,"",IFERROR(M221/I221-1,"")))</f>
        <v/>
      </c>
      <c r="N223" s="15">
        <f>IF(OR(N221="",J221=""),"",IF(J221&lt;=0,"",IFERROR(N221/J221-1,"")))</f>
        <v/>
      </c>
      <c r="V223" s="15">
        <f>IF(OR(V221="",U221=""),"",IF(U221&lt;=0,"",IFERROR(V221/U221-1,"")))</f>
        <v/>
      </c>
      <c r="W223" s="15">
        <f>IF(OR(W221="",V221=""),"",IF(V221&lt;=0,"",IFERROR(W221/V221-1,"")))</f>
        <v/>
      </c>
      <c r="X223" s="15">
        <f>IF(OR(X221="",W221=""),"",IF(W221&lt;=0,"",IFERROR(X221/W221-1,"")))</f>
        <v/>
      </c>
    </row>
    <row r="224">
      <c r="A224" s="18" t="inlineStr">
        <is>
          <t>조정액 · Operating Profit Loss</t>
        </is>
      </c>
      <c r="C224" s="20" t="n">
        <v>4</v>
      </c>
      <c r="D224" s="20" t="n">
        <v>103</v>
      </c>
      <c r="E224" s="20" t="n">
        <v>24</v>
      </c>
      <c r="F224" s="20" t="n">
        <v>0</v>
      </c>
      <c r="G224" s="20" t="n">
        <v>-4</v>
      </c>
      <c r="H224" s="20" t="n">
        <v>-20</v>
      </c>
      <c r="I224" s="20" t="n">
        <v>15</v>
      </c>
      <c r="J224" s="20" t="n">
        <v>-18</v>
      </c>
      <c r="K224" s="20" t="n">
        <v>10</v>
      </c>
      <c r="L224" s="20" t="n">
        <v>20</v>
      </c>
      <c r="M224" s="20" t="n">
        <v>3</v>
      </c>
      <c r="N224" s="20" t="n">
        <v>15</v>
      </c>
      <c r="V224" s="20" t="n">
        <v>103</v>
      </c>
      <c r="W224" s="20" t="n">
        <v>-20</v>
      </c>
      <c r="X224" s="20" t="n">
        <v>20</v>
      </c>
    </row>
    <row r="225">
      <c r="A225" s="18" t="inlineStr">
        <is>
          <t>Operating Profit Loss</t>
        </is>
      </c>
      <c r="C225" s="20" t="n">
        <v>218292</v>
      </c>
      <c r="D225" s="20" t="n">
        <v>40563</v>
      </c>
      <c r="E225" s="20" t="n">
        <v>215818</v>
      </c>
      <c r="F225" s="20" t="n">
        <v>216844</v>
      </c>
      <c r="G225" s="20" t="n">
        <v>198806</v>
      </c>
      <c r="H225" s="20" t="n">
        <v>-317245</v>
      </c>
      <c r="I225" s="20" t="n">
        <v>244318</v>
      </c>
      <c r="J225" s="20" t="n">
        <v>255811</v>
      </c>
      <c r="K225" s="20" t="n">
        <v>262806</v>
      </c>
      <c r="L225" s="20" t="n">
        <v>104103</v>
      </c>
      <c r="M225" s="20" t="n">
        <v>304554</v>
      </c>
      <c r="N225" s="20" t="n">
        <v>340386</v>
      </c>
      <c r="V225" s="20" t="n">
        <v>40563</v>
      </c>
      <c r="W225" s="20" t="n">
        <v>-317245</v>
      </c>
      <c r="X225" s="20" t="n">
        <v>104103</v>
      </c>
    </row>
    <row r="226">
      <c r="A226" s="43" t="inlineStr">
        <is>
          <t>OPM</t>
        </is>
      </c>
      <c r="B226" s="3" t="inlineStr">
        <is>
          <t>영업이익 ÷ 매출</t>
        </is>
      </c>
      <c r="C226" s="15">
        <f>IF(OR(C225="",C143=""),"",IF(C143&lt;=0,"",IFERROR(C225/C143,"")))</f>
        <v/>
      </c>
      <c r="D226" s="15">
        <f>IF(OR(D225="",D143=""),"",IF(D143&lt;=0,"",IFERROR(D225/D143,"")))</f>
        <v/>
      </c>
      <c r="E226" s="15">
        <f>IF(OR(E225="",E143=""),"",IF(E143&lt;=0,"",IFERROR(E225/E143,"")))</f>
        <v/>
      </c>
      <c r="F226" s="15">
        <f>IF(OR(F225="",F143=""),"",IF(F143&lt;=0,"",IFERROR(F225/F143,"")))</f>
        <v/>
      </c>
      <c r="G226" s="15">
        <f>IF(OR(G225="",G143=""),"",IF(G143&lt;=0,"",IFERROR(G225/G143,"")))</f>
        <v/>
      </c>
      <c r="H226" s="15">
        <f>IF(OR(H225="",H143=""),"",IF(H143&lt;=0,"",IFERROR(H225/H143,"")))</f>
        <v/>
      </c>
      <c r="I226" s="15">
        <f>IF(OR(I225="",I143=""),"",IF(I143&lt;=0,"",IFERROR(I225/I143,"")))</f>
        <v/>
      </c>
      <c r="J226" s="15">
        <f>IF(OR(J225="",J143=""),"",IF(J143&lt;=0,"",IFERROR(J225/J143,"")))</f>
        <v/>
      </c>
      <c r="K226" s="15">
        <f>IF(OR(K225="",K143=""),"",IF(K143&lt;=0,"",IFERROR(K225/K143,"")))</f>
        <v/>
      </c>
      <c r="L226" s="15">
        <f>IF(OR(L225="",L143=""),"",IF(L143&lt;=0,"",IFERROR(L225/L143,"")))</f>
        <v/>
      </c>
      <c r="M226" s="15">
        <f>IF(OR(M225="",M143=""),"",IF(M143&lt;=0,"",IFERROR(M225/M143,"")))</f>
        <v/>
      </c>
      <c r="N226" s="15">
        <f>IF(OR(N225="",N143=""),"",IF(N143&lt;=0,"",IFERROR(N225/N143,"")))</f>
        <v/>
      </c>
      <c r="V226" s="15">
        <f>IF(OR(V225="",V143=""),"",IF(V143&lt;=0,"",IFERROR(V225/V143,"")))</f>
        <v/>
      </c>
      <c r="W226" s="15">
        <f>IF(OR(W225="",W143=""),"",IF(W143&lt;=0,"",IFERROR(W225/W143,"")))</f>
        <v/>
      </c>
      <c r="X226" s="15">
        <f>IF(OR(X225="",X143=""),"",IF(X143&lt;=0,"",IFERROR(X225/X143,"")))</f>
        <v/>
      </c>
    </row>
    <row r="227">
      <c r="A227" s="43" t="inlineStr">
        <is>
          <t>YoY</t>
        </is>
      </c>
      <c r="B227" s="3" t="inlineStr">
        <is>
          <t>전년 같은 분기·전년 대비</t>
        </is>
      </c>
      <c r="G227" s="15">
        <f>IF(OR(G225="",C225=""),"",IF(C225&lt;=0,"",IFERROR(G225/C225-1,"")))</f>
        <v/>
      </c>
      <c r="H227" s="15">
        <f>IF(OR(H225="",D225=""),"",IF(D225&lt;=0,"",IFERROR(H225/D225-1,"")))</f>
        <v/>
      </c>
      <c r="I227" s="15">
        <f>IF(OR(I225="",E225=""),"",IF(E225&lt;=0,"",IFERROR(I225/E225-1,"")))</f>
        <v/>
      </c>
      <c r="J227" s="15">
        <f>IF(OR(J225="",F225=""),"",IF(F225&lt;=0,"",IFERROR(J225/F225-1,"")))</f>
        <v/>
      </c>
      <c r="K227" s="15">
        <f>IF(OR(K225="",G225=""),"",IF(G225&lt;=0,"",IFERROR(K225/G225-1,"")))</f>
        <v/>
      </c>
      <c r="L227" s="15">
        <f>IF(OR(L225="",H225=""),"",IF(H225&lt;=0,"",IFERROR(L225/H225-1,"")))</f>
        <v/>
      </c>
      <c r="M227" s="15">
        <f>IF(OR(M225="",I225=""),"",IF(I225&lt;=0,"",IFERROR(M225/I225-1,"")))</f>
        <v/>
      </c>
      <c r="N227" s="15">
        <f>IF(OR(N225="",J225=""),"",IF(J225&lt;=0,"",IFERROR(N225/J225-1,"")))</f>
        <v/>
      </c>
      <c r="V227" s="15">
        <f>IF(OR(V225="",U225=""),"",IF(U225&lt;=0,"",IFERROR(V225/U225-1,"")))</f>
        <v/>
      </c>
      <c r="W227" s="15">
        <f>IF(OR(W225="",V225=""),"",IF(V225&lt;=0,"",IFERROR(W225/V225-1,"")))</f>
        <v/>
      </c>
      <c r="X227" s="15">
        <f>IF(OR(X225="",W225=""),"",IF(W225&lt;=0,"",IFERROR(X225/W225-1,"")))</f>
        <v/>
      </c>
    </row>
    <row r="228">
      <c r="A228" s="18" t="inlineStr">
        <is>
          <t>금융수익</t>
        </is>
      </c>
      <c r="C228" s="20" t="n">
        <v>12660</v>
      </c>
      <c r="D228" s="20" t="n">
        <v>14760</v>
      </c>
      <c r="E228" s="20" t="n">
        <v>14877</v>
      </c>
      <c r="F228" s="20" t="n">
        <v>16608</v>
      </c>
      <c r="G228" s="20" t="n">
        <v>19162</v>
      </c>
      <c r="H228" s="20" t="n">
        <v>18357</v>
      </c>
      <c r="I228" s="20" t="n">
        <v>17308</v>
      </c>
      <c r="J228" s="20" t="n">
        <v>19455</v>
      </c>
      <c r="K228" s="20" t="n">
        <v>21037</v>
      </c>
      <c r="L228" s="20" t="n">
        <v>10142</v>
      </c>
      <c r="M228" s="20" t="n">
        <v>17348</v>
      </c>
      <c r="N228" s="20" t="n">
        <v>21291</v>
      </c>
      <c r="V228" s="20" t="n">
        <v>14760</v>
      </c>
      <c r="W228" s="20" t="n">
        <v>18357</v>
      </c>
      <c r="X228" s="20" t="n">
        <v>10142</v>
      </c>
    </row>
    <row r="229">
      <c r="A229" s="18" t="inlineStr">
        <is>
          <t>금융비용</t>
        </is>
      </c>
      <c r="C229" s="20" t="n">
        <v>18173</v>
      </c>
      <c r="D229" s="20" t="n">
        <v>19930</v>
      </c>
      <c r="E229" s="20" t="n">
        <v>29429</v>
      </c>
      <c r="F229" s="20" t="n">
        <v>35645</v>
      </c>
      <c r="G229" s="20" t="n">
        <v>42086</v>
      </c>
      <c r="H229" s="20" t="n">
        <v>51735</v>
      </c>
      <c r="I229" s="20" t="n">
        <v>40175</v>
      </c>
      <c r="J229" s="20" t="n">
        <v>38961</v>
      </c>
      <c r="K229" s="20" t="n">
        <v>34438</v>
      </c>
      <c r="L229" s="20" t="n">
        <v>81620</v>
      </c>
      <c r="M229" s="20" t="n">
        <v>34241</v>
      </c>
      <c r="N229" s="20" t="n">
        <v>43339</v>
      </c>
      <c r="V229" s="20" t="n">
        <v>19930</v>
      </c>
      <c r="W229" s="20" t="n">
        <v>51735</v>
      </c>
      <c r="X229" s="20" t="n">
        <v>81620</v>
      </c>
    </row>
    <row r="230">
      <c r="A230" s="9" t="inlineStr">
        <is>
          <t>법인세비용차감전 중간이익</t>
        </is>
      </c>
      <c r="C230" s="12" t="n">
        <v>212779</v>
      </c>
      <c r="D230" s="12" t="n">
        <v>35392</v>
      </c>
      <c r="E230" s="12" t="n">
        <v>201266</v>
      </c>
      <c r="F230" s="12" t="n">
        <v>197807</v>
      </c>
      <c r="G230" s="12" t="n">
        <v>175882</v>
      </c>
      <c r="H230" s="12" t="n">
        <v>-350622</v>
      </c>
      <c r="I230" s="12" t="n">
        <v>221451</v>
      </c>
      <c r="J230" s="12" t="n">
        <v>236304</v>
      </c>
      <c r="K230" s="12" t="n">
        <v>249407</v>
      </c>
      <c r="L230" s="12" t="n">
        <v>32624</v>
      </c>
      <c r="M230" s="12" t="n">
        <v>287660</v>
      </c>
      <c r="N230" s="12" t="n">
        <v>318339</v>
      </c>
      <c r="V230" s="12" t="n">
        <v>35392</v>
      </c>
      <c r="W230" s="12" t="n">
        <v>-350622</v>
      </c>
      <c r="X230" s="12" t="n">
        <v>32624</v>
      </c>
    </row>
    <row r="232">
      <c r="A232" s="16" t="inlineStr">
        <is>
          <t>현금흐름표 · 전 항목</t>
        </is>
      </c>
      <c r="B232" s="42" t="inlineStr">
        <is>
          <t>분기 = 결산기 첫날부터 누계(공시 그대로)</t>
        </is>
      </c>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c r="AB232" s="16" t="n"/>
      <c r="AC232" s="16" t="n"/>
    </row>
    <row r="233">
      <c r="A233" s="5" t="inlineStr">
        <is>
          <t>항목</t>
        </is>
      </c>
      <c r="B233" s="5" t="inlineStr">
        <is>
          <t>참고</t>
        </is>
      </c>
      <c r="C233" s="5" t="inlineStr">
        <is>
          <t>2023.3Q</t>
        </is>
      </c>
      <c r="D233" s="5" t="inlineStr">
        <is>
          <t>2023.4Q</t>
        </is>
      </c>
      <c r="E233" s="5" t="inlineStr">
        <is>
          <t>2024.1Q</t>
        </is>
      </c>
      <c r="F233" s="5" t="inlineStr">
        <is>
          <t>2024.2Q</t>
        </is>
      </c>
      <c r="G233" s="5" t="inlineStr">
        <is>
          <t>2024.3Q</t>
        </is>
      </c>
      <c r="H233" s="5" t="inlineStr">
        <is>
          <t>2024.4Q</t>
        </is>
      </c>
      <c r="I233" s="5" t="inlineStr">
        <is>
          <t>2025.1Q</t>
        </is>
      </c>
      <c r="J233" s="5" t="inlineStr">
        <is>
          <t>2025.2Q</t>
        </is>
      </c>
      <c r="K233" s="5" t="inlineStr">
        <is>
          <t>2025.3Q</t>
        </is>
      </c>
      <c r="L233" s="5" t="inlineStr">
        <is>
          <t>2025.4Q</t>
        </is>
      </c>
      <c r="M233" s="5" t="inlineStr">
        <is>
          <t>2026.1Q</t>
        </is>
      </c>
      <c r="N233" s="5" t="inlineStr">
        <is>
          <t>2026.2Q</t>
        </is>
      </c>
      <c r="O233" s="5" t="inlineStr">
        <is>
          <t>2016</t>
        </is>
      </c>
      <c r="P233" s="5" t="inlineStr">
        <is>
          <t>2017</t>
        </is>
      </c>
      <c r="Q233" s="5" t="inlineStr">
        <is>
          <t>2018</t>
        </is>
      </c>
      <c r="R233" s="5" t="inlineStr">
        <is>
          <t>2019</t>
        </is>
      </c>
      <c r="S233" s="5" t="inlineStr">
        <is>
          <t>2020</t>
        </is>
      </c>
      <c r="T233" s="5" t="inlineStr">
        <is>
          <t>2021</t>
        </is>
      </c>
      <c r="U233" s="5" t="inlineStr">
        <is>
          <t>2022</t>
        </is>
      </c>
      <c r="V233" s="5" t="inlineStr">
        <is>
          <t>2023</t>
        </is>
      </c>
      <c r="W233" s="5" t="inlineStr">
        <is>
          <t>2024</t>
        </is>
      </c>
      <c r="X233" s="5" t="inlineStr">
        <is>
          <t>2025</t>
        </is>
      </c>
      <c r="Y233" s="5" t="inlineStr">
        <is>
          <t>2026(MW)</t>
        </is>
      </c>
      <c r="Z233" s="5" t="inlineStr">
        <is>
          <t>2027(MW)</t>
        </is>
      </c>
      <c r="AA233" s="5" t="inlineStr">
        <is>
          <t>2028(MW)</t>
        </is>
      </c>
      <c r="AB233" s="5" t="inlineStr">
        <is>
          <t>2029(MW)</t>
        </is>
      </c>
      <c r="AC233" s="5" t="inlineStr">
        <is>
          <t>2030(MW)</t>
        </is>
      </c>
    </row>
    <row r="234">
      <c r="A234" s="9" t="inlineStr">
        <is>
          <t>법인세비용차감전 중간이익</t>
        </is>
      </c>
      <c r="C234" s="12" t="n">
        <v>586209</v>
      </c>
      <c r="D234" s="12" t="n">
        <v>621601</v>
      </c>
      <c r="E234" s="12" t="n">
        <v>201266</v>
      </c>
      <c r="F234" s="12" t="n">
        <v>399073</v>
      </c>
      <c r="G234" s="12" t="n">
        <v>574955</v>
      </c>
      <c r="H234" s="12" t="n">
        <v>224333</v>
      </c>
      <c r="I234" s="12" t="n">
        <v>221451</v>
      </c>
      <c r="J234" s="12" t="n">
        <v>457755</v>
      </c>
      <c r="K234" s="12" t="n">
        <v>707162</v>
      </c>
      <c r="L234" s="12" t="n">
        <v>739786</v>
      </c>
      <c r="M234" s="12" t="n">
        <v>287660</v>
      </c>
      <c r="N234" s="12" t="n">
        <v>605999</v>
      </c>
      <c r="Q234" s="12" t="n">
        <v>531486</v>
      </c>
      <c r="R234" s="12" t="n">
        <v>465232</v>
      </c>
      <c r="S234" s="12" t="n">
        <v>420063</v>
      </c>
      <c r="T234" s="12" t="n">
        <v>472390</v>
      </c>
      <c r="U234" s="12" t="n">
        <v>593450</v>
      </c>
      <c r="V234" s="12" t="n">
        <v>621601</v>
      </c>
      <c r="W234" s="12" t="n">
        <v>224333</v>
      </c>
      <c r="X234" s="12" t="n">
        <v>739786</v>
      </c>
    </row>
    <row r="235">
      <c r="A235" s="9" t="inlineStr">
        <is>
          <t>Profit Loss Before Tax From Discontinued Operations</t>
        </is>
      </c>
      <c r="G235" s="12" t="n">
        <v>5317</v>
      </c>
      <c r="H235" s="12" t="n">
        <v>9434</v>
      </c>
      <c r="I235" s="12" t="n">
        <v>4618</v>
      </c>
      <c r="J235" s="12" t="n">
        <v>-19934</v>
      </c>
      <c r="K235" s="12" t="n">
        <v>-14668</v>
      </c>
      <c r="L235" s="12" t="n">
        <v>-4962</v>
      </c>
      <c r="M235" s="12" t="n">
        <v>0</v>
      </c>
      <c r="N235" s="12" t="n">
        <v>0</v>
      </c>
      <c r="W235" s="12" t="n">
        <v>9434</v>
      </c>
      <c r="X235" s="12" t="n">
        <v>-4962</v>
      </c>
    </row>
    <row r="236">
      <c r="A236" s="18" t="inlineStr">
        <is>
          <t>감가상각비 및 상각비</t>
        </is>
      </c>
      <c r="C236" s="20" t="n">
        <v>130241</v>
      </c>
      <c r="D236" s="20" t="n">
        <v>177409</v>
      </c>
      <c r="E236" s="20" t="n">
        <v>43965</v>
      </c>
      <c r="F236" s="20" t="n">
        <v>88121</v>
      </c>
      <c r="G236" s="20" t="n">
        <v>130252</v>
      </c>
      <c r="H236" s="20" t="n">
        <v>179837</v>
      </c>
      <c r="I236" s="20" t="n">
        <v>48858</v>
      </c>
      <c r="J236" s="20" t="n">
        <v>97452</v>
      </c>
      <c r="K236" s="20" t="n">
        <v>146280</v>
      </c>
      <c r="L236" s="20" t="n">
        <v>195899</v>
      </c>
      <c r="M236" s="20" t="n">
        <v>44445</v>
      </c>
      <c r="N236" s="20" t="n">
        <v>90391</v>
      </c>
      <c r="Q236" s="20" t="n">
        <v>158671</v>
      </c>
      <c r="R236" s="20" t="n">
        <v>183852</v>
      </c>
      <c r="S236" s="20" t="n">
        <v>179654</v>
      </c>
      <c r="T236" s="20" t="n">
        <v>187057</v>
      </c>
      <c r="U236" s="20" t="n">
        <v>199651</v>
      </c>
      <c r="V236" s="20" t="n">
        <v>177409</v>
      </c>
      <c r="W236" s="20" t="n">
        <v>179837</v>
      </c>
      <c r="X236" s="20" t="n">
        <v>195899</v>
      </c>
    </row>
    <row r="237">
      <c r="A237" s="18" t="inlineStr">
        <is>
          <t>Losses On Liquidation Of Subsidiary Ope CF</t>
        </is>
      </c>
      <c r="H237" s="20" t="n">
        <v>0</v>
      </c>
      <c r="L237" s="20" t="n">
        <v>27128</v>
      </c>
      <c r="W237" s="20" t="n">
        <v>0</v>
      </c>
      <c r="X237" s="20" t="n">
        <v>27128</v>
      </c>
    </row>
    <row r="238">
      <c r="A238" s="18" t="inlineStr">
        <is>
          <t>손상차손</t>
        </is>
      </c>
      <c r="C238" s="20" t="n">
        <v>6441</v>
      </c>
      <c r="D238" s="20" t="n">
        <v>13710</v>
      </c>
      <c r="E238" s="20" t="n">
        <v>190</v>
      </c>
      <c r="F238" s="20" t="n">
        <v>1585</v>
      </c>
      <c r="G238" s="20" t="n">
        <v>11468</v>
      </c>
      <c r="H238" s="20" t="n">
        <v>17370</v>
      </c>
      <c r="I238" s="20" t="n">
        <v>764</v>
      </c>
      <c r="J238" s="20" t="n">
        <v>25183</v>
      </c>
      <c r="K238" s="20" t="n">
        <v>27069</v>
      </c>
      <c r="L238" s="20" t="n">
        <v>34892</v>
      </c>
      <c r="M238" s="20" t="n">
        <v>52</v>
      </c>
      <c r="N238" s="20" t="n">
        <v>1038</v>
      </c>
      <c r="Q238" s="20" t="n">
        <v>8454</v>
      </c>
      <c r="R238" s="20" t="n">
        <v>16124</v>
      </c>
      <c r="S238" s="20" t="n">
        <v>12571</v>
      </c>
      <c r="T238" s="20" t="n">
        <v>22768</v>
      </c>
      <c r="U238" s="20" t="n">
        <v>27539</v>
      </c>
      <c r="V238" s="20" t="n">
        <v>13710</v>
      </c>
      <c r="W238" s="20" t="n">
        <v>17370</v>
      </c>
      <c r="X238" s="20" t="n">
        <v>34892</v>
      </c>
    </row>
    <row r="239">
      <c r="A239" s="18" t="inlineStr">
        <is>
          <t>이자·배당금 수익</t>
        </is>
      </c>
      <c r="C239" s="20" t="n">
        <v>-29093</v>
      </c>
      <c r="D239" s="20" t="n">
        <v>-42816</v>
      </c>
      <c r="E239" s="20" t="n">
        <v>-14231</v>
      </c>
      <c r="F239" s="20" t="n">
        <v>-30338</v>
      </c>
      <c r="G239" s="20" t="n">
        <v>-49973</v>
      </c>
      <c r="H239" s="20" t="n">
        <v>-67562</v>
      </c>
      <c r="I239" s="20" t="n">
        <v>-16729</v>
      </c>
      <c r="J239" s="20" t="n">
        <v>-36307</v>
      </c>
      <c r="K239" s="20" t="n">
        <v>-57208</v>
      </c>
      <c r="L239" s="20" t="n">
        <v>-67271</v>
      </c>
      <c r="M239" s="20" t="n">
        <v>-17304</v>
      </c>
      <c r="N239" s="20" t="n">
        <v>-38599</v>
      </c>
      <c r="Q239" s="20" t="n">
        <v>-5751</v>
      </c>
      <c r="R239" s="20" t="n">
        <v>-7944</v>
      </c>
      <c r="S239" s="20" t="n">
        <v>-7318</v>
      </c>
      <c r="T239" s="20" t="n">
        <v>-13372</v>
      </c>
      <c r="U239" s="20" t="n">
        <v>-26535</v>
      </c>
      <c r="V239" s="20" t="n">
        <v>-42816</v>
      </c>
      <c r="W239" s="20" t="n">
        <v>-67562</v>
      </c>
      <c r="X239" s="20" t="n">
        <v>-67271</v>
      </c>
    </row>
    <row r="240">
      <c r="A240" s="18" t="inlineStr">
        <is>
          <t>이자비용</t>
        </is>
      </c>
      <c r="C240" s="20" t="n">
        <v>21428</v>
      </c>
      <c r="D240" s="20" t="n">
        <v>28493</v>
      </c>
      <c r="E240" s="20" t="n">
        <v>7477</v>
      </c>
      <c r="F240" s="20" t="n">
        <v>16607</v>
      </c>
      <c r="G240" s="20" t="n">
        <v>24652</v>
      </c>
      <c r="H240" s="20" t="n">
        <v>42485</v>
      </c>
      <c r="I240" s="20" t="n">
        <v>19818</v>
      </c>
      <c r="J240" s="20" t="n">
        <v>37899</v>
      </c>
      <c r="K240" s="20" t="n">
        <v>55798</v>
      </c>
      <c r="L240" s="20" t="n">
        <v>76157</v>
      </c>
      <c r="M240" s="20" t="n">
        <v>19963</v>
      </c>
      <c r="N240" s="20" t="n">
        <v>39659</v>
      </c>
      <c r="Q240" s="20" t="n">
        <v>16343</v>
      </c>
      <c r="R240" s="20" t="n">
        <v>27557</v>
      </c>
      <c r="S240" s="20" t="n">
        <v>22535</v>
      </c>
      <c r="T240" s="20" t="n">
        <v>23050</v>
      </c>
      <c r="U240" s="20" t="n">
        <v>27019</v>
      </c>
      <c r="V240" s="20" t="n">
        <v>28493</v>
      </c>
      <c r="W240" s="20" t="n">
        <v>42485</v>
      </c>
      <c r="X240" s="20" t="n">
        <v>76157</v>
      </c>
    </row>
    <row r="241">
      <c r="A241" s="18" t="inlineStr">
        <is>
          <t>Share Of Loss Profit Of Investments Accounted For Using Equity Method Ope CF</t>
        </is>
      </c>
      <c r="C241" s="20" t="n">
        <v>-6814</v>
      </c>
      <c r="D241" s="20" t="n">
        <v>-8332</v>
      </c>
      <c r="E241" s="20" t="n">
        <v>-2073</v>
      </c>
      <c r="F241" s="20" t="n">
        <v>-3996</v>
      </c>
      <c r="G241" s="20" t="n">
        <v>-8365</v>
      </c>
      <c r="H241" s="20" t="n">
        <v>-12885</v>
      </c>
      <c r="I241" s="20" t="n">
        <v>-2335</v>
      </c>
      <c r="J241" s="20" t="n">
        <v>-6703</v>
      </c>
      <c r="K241" s="20" t="n">
        <v>-10224</v>
      </c>
      <c r="L241" s="20" t="n">
        <v>-13332</v>
      </c>
      <c r="M241" s="20" t="n">
        <v>-2183</v>
      </c>
      <c r="N241" s="20" t="n">
        <v>-5483</v>
      </c>
      <c r="Q241" s="20" t="n">
        <v>-3931</v>
      </c>
      <c r="R241" s="20" t="n">
        <v>-5011</v>
      </c>
      <c r="S241" s="20" t="n">
        <v>-4042</v>
      </c>
      <c r="T241" s="20" t="n">
        <v>-3997</v>
      </c>
      <c r="U241" s="20" t="n">
        <v>-8009</v>
      </c>
      <c r="V241" s="20" t="n">
        <v>-8332</v>
      </c>
      <c r="W241" s="20" t="n">
        <v>-12885</v>
      </c>
      <c r="X241" s="20" t="n">
        <v>-13332</v>
      </c>
    </row>
    <row r="242">
      <c r="A242" s="18" t="inlineStr">
        <is>
          <t>Gains Losses On Sale And Disposal Of Property Plant And Equipment Intangible Assets And Investment Property</t>
        </is>
      </c>
      <c r="Q242" s="20" t="n">
        <v>-34905</v>
      </c>
      <c r="R242" s="20" t="n">
        <v>-8299</v>
      </c>
    </row>
    <row r="243">
      <c r="A243" s="18" t="inlineStr">
        <is>
          <t>Gains Losses On Sale And Disposal Of Property Plant And Equipment Intangible Assets And Investment Property IFRSOpe CF</t>
        </is>
      </c>
      <c r="D243" s="20" t="n">
        <v>-16810</v>
      </c>
      <c r="H243" s="20" t="n">
        <v>-7374</v>
      </c>
      <c r="L243" s="20" t="n">
        <v>-13570</v>
      </c>
      <c r="R243" s="20" t="n">
        <v>-8299</v>
      </c>
      <c r="S243" s="20" t="n">
        <v>-40821</v>
      </c>
      <c r="T243" s="20" t="n">
        <v>-3974</v>
      </c>
      <c r="U243" s="20" t="n">
        <v>-4891</v>
      </c>
      <c r="V243" s="20" t="n">
        <v>-16810</v>
      </c>
      <c r="W243" s="20" t="n">
        <v>-7374</v>
      </c>
      <c r="X243" s="20" t="n">
        <v>-13570</v>
      </c>
    </row>
    <row r="244">
      <c r="A244" s="18" t="inlineStr">
        <is>
          <t>Gain Losses On Sale Of Investments In Subsidiaries</t>
        </is>
      </c>
      <c r="T244" s="20" t="n">
        <v>0</v>
      </c>
      <c r="U244" s="20" t="n">
        <v>-849</v>
      </c>
    </row>
    <row r="245">
      <c r="A245" s="18" t="inlineStr">
        <is>
          <t>Gains Losses On Sale And Disposal Of Property Plant And Equipment Intangible Assets And Investment Property Ope CF</t>
        </is>
      </c>
      <c r="C245" s="20" t="n">
        <v>-13697</v>
      </c>
      <c r="E245" s="20" t="n">
        <v>-1829</v>
      </c>
      <c r="F245" s="20" t="n">
        <v>-3015</v>
      </c>
      <c r="G245" s="20" t="n">
        <v>-6234</v>
      </c>
      <c r="I245" s="20" t="n">
        <v>-155</v>
      </c>
      <c r="J245" s="20" t="n">
        <v>450</v>
      </c>
      <c r="K245" s="20" t="n">
        <v>-2468</v>
      </c>
      <c r="M245" s="20" t="n">
        <v>173</v>
      </c>
      <c r="N245" s="20" t="n">
        <v>215</v>
      </c>
    </row>
    <row r="246">
      <c r="A246" s="18" t="inlineStr">
        <is>
          <t>Gain Losses On Sale Of Investments In Subsidiaries Ope CF</t>
        </is>
      </c>
      <c r="D246" s="20" t="n">
        <v>104</v>
      </c>
      <c r="H246" s="20" t="n">
        <v>-1722</v>
      </c>
      <c r="J246" s="20" t="n">
        <v>0</v>
      </c>
      <c r="L246" s="20" t="n">
        <v>0</v>
      </c>
      <c r="N246" s="20" t="n">
        <v>-2279</v>
      </c>
      <c r="U246" s="20" t="n">
        <v>-849</v>
      </c>
      <c r="V246" s="20" t="n">
        <v>104</v>
      </c>
      <c r="W246" s="20" t="n">
        <v>-1722</v>
      </c>
      <c r="X246" s="20" t="n">
        <v>0</v>
      </c>
    </row>
    <row r="247">
      <c r="A247" s="18" t="inlineStr">
        <is>
          <t>Gains Losses On Transfer Of Business Ope CF</t>
        </is>
      </c>
      <c r="H247" s="20" t="n">
        <v>0</v>
      </c>
      <c r="L247" s="20" t="n">
        <v>-4725</v>
      </c>
      <c r="W247" s="20" t="n">
        <v>0</v>
      </c>
      <c r="X247" s="20" t="n">
        <v>-4725</v>
      </c>
    </row>
    <row r="248">
      <c r="A248" s="18" t="inlineStr">
        <is>
          <t>Decrease Increase In Trade And Other Receivables Ope CF</t>
        </is>
      </c>
      <c r="C248" s="20" t="n">
        <v>-65614</v>
      </c>
      <c r="D248" s="20" t="n">
        <v>-30169</v>
      </c>
      <c r="E248" s="20" t="n">
        <v>-19610</v>
      </c>
      <c r="F248" s="20" t="n">
        <v>-70331</v>
      </c>
      <c r="G248" s="20" t="n">
        <v>-32726</v>
      </c>
      <c r="H248" s="20" t="n">
        <v>45770</v>
      </c>
      <c r="I248" s="20" t="n">
        <v>-3244</v>
      </c>
      <c r="J248" s="20" t="n">
        <v>-60647</v>
      </c>
      <c r="K248" s="20" t="n">
        <v>-85511</v>
      </c>
      <c r="L248" s="20" t="n">
        <v>-33364</v>
      </c>
      <c r="M248" s="20" t="n">
        <v>-68186</v>
      </c>
      <c r="N248" s="20" t="n">
        <v>-100562</v>
      </c>
      <c r="Q248" s="20" t="n">
        <v>-30818</v>
      </c>
      <c r="R248" s="20" t="n">
        <v>10673</v>
      </c>
      <c r="S248" s="20" t="n">
        <v>21554</v>
      </c>
      <c r="T248" s="20" t="n">
        <v>-29891</v>
      </c>
      <c r="U248" s="20" t="n">
        <v>26574</v>
      </c>
      <c r="V248" s="20" t="n">
        <v>-30169</v>
      </c>
      <c r="W248" s="20" t="n">
        <v>45770</v>
      </c>
      <c r="X248" s="20" t="n">
        <v>-33364</v>
      </c>
    </row>
    <row r="249">
      <c r="A249" s="18" t="inlineStr">
        <is>
          <t>Decrease Increase In Inventories Ope CF</t>
        </is>
      </c>
      <c r="C249" s="20" t="n">
        <v>-97471</v>
      </c>
      <c r="D249" s="20" t="n">
        <v>-136232</v>
      </c>
      <c r="E249" s="20" t="n">
        <v>-10873</v>
      </c>
      <c r="F249" s="20" t="n">
        <v>-40250</v>
      </c>
      <c r="G249" s="20" t="n">
        <v>-66455</v>
      </c>
      <c r="H249" s="20" t="n">
        <v>-96566</v>
      </c>
      <c r="I249" s="20" t="n">
        <v>-18615</v>
      </c>
      <c r="J249" s="20" t="n">
        <v>-52885</v>
      </c>
      <c r="K249" s="20" t="n">
        <v>-79717</v>
      </c>
      <c r="L249" s="20" t="n">
        <v>-121938</v>
      </c>
      <c r="M249" s="20" t="n">
        <v>-11729</v>
      </c>
      <c r="N249" s="20" t="n">
        <v>-25307</v>
      </c>
      <c r="Q249" s="20" t="n">
        <v>-53058</v>
      </c>
      <c r="R249" s="20" t="n">
        <v>-9046</v>
      </c>
      <c r="S249" s="20" t="n">
        <v>748</v>
      </c>
      <c r="T249" s="20" t="n">
        <v>9770</v>
      </c>
      <c r="U249" s="20" t="n">
        <v>-93910</v>
      </c>
      <c r="V249" s="20" t="n">
        <v>-136232</v>
      </c>
      <c r="W249" s="20" t="n">
        <v>-96566</v>
      </c>
      <c r="X249" s="20" t="n">
        <v>-121938</v>
      </c>
    </row>
    <row r="250">
      <c r="A250" s="18" t="inlineStr">
        <is>
          <t>Increase Decrease In Trade And Other Payables Ope CF</t>
        </is>
      </c>
      <c r="C250" s="20" t="n">
        <v>-63768</v>
      </c>
      <c r="D250" s="20" t="n">
        <v>40998</v>
      </c>
      <c r="E250" s="20" t="n">
        <v>-80986</v>
      </c>
      <c r="F250" s="20" t="n">
        <v>-105381</v>
      </c>
      <c r="G250" s="20" t="n">
        <v>-92010</v>
      </c>
      <c r="H250" s="20" t="n">
        <v>-46221</v>
      </c>
      <c r="I250" s="20" t="n">
        <v>-61512</v>
      </c>
      <c r="J250" s="20" t="n">
        <v>-57777</v>
      </c>
      <c r="K250" s="20" t="n">
        <v>-34515</v>
      </c>
      <c r="L250" s="20" t="n">
        <v>42139</v>
      </c>
      <c r="M250" s="20" t="n">
        <v>-43962</v>
      </c>
      <c r="N250" s="20" t="n">
        <v>-82972</v>
      </c>
      <c r="Q250" s="20" t="n">
        <v>-4618</v>
      </c>
      <c r="R250" s="20" t="n">
        <v>28294</v>
      </c>
      <c r="S250" s="20" t="n">
        <v>39288</v>
      </c>
      <c r="T250" s="20" t="n">
        <v>111912</v>
      </c>
      <c r="U250" s="20" t="n">
        <v>-38251</v>
      </c>
      <c r="V250" s="20" t="n">
        <v>40998</v>
      </c>
      <c r="W250" s="20" t="n">
        <v>-46221</v>
      </c>
      <c r="X250" s="20" t="n">
        <v>42139</v>
      </c>
    </row>
    <row r="251">
      <c r="A251" s="18" t="inlineStr">
        <is>
          <t>Increase Decrease In Retirement Benefit Liability Ope CF</t>
        </is>
      </c>
      <c r="C251" s="20" t="n">
        <v>-1867</v>
      </c>
      <c r="D251" s="20" t="n">
        <v>455</v>
      </c>
      <c r="E251" s="20" t="n">
        <v>-12259</v>
      </c>
      <c r="F251" s="20" t="n">
        <v>-8688</v>
      </c>
      <c r="G251" s="20" t="n">
        <v>-6922</v>
      </c>
      <c r="H251" s="20" t="n">
        <v>-7175</v>
      </c>
      <c r="I251" s="20" t="n">
        <v>-8712</v>
      </c>
      <c r="J251" s="20" t="n">
        <v>-9475</v>
      </c>
      <c r="K251" s="20" t="n">
        <v>-7991</v>
      </c>
      <c r="L251" s="20" t="n">
        <v>-12335</v>
      </c>
      <c r="M251" s="20" t="n">
        <v>-6079</v>
      </c>
      <c r="N251" s="20" t="n">
        <v>-2525</v>
      </c>
      <c r="Q251" s="20" t="n">
        <v>-8864</v>
      </c>
      <c r="R251" s="20" t="n">
        <v>-9526</v>
      </c>
      <c r="S251" s="20" t="n">
        <v>-5788</v>
      </c>
      <c r="T251" s="20" t="n">
        <v>-23651</v>
      </c>
      <c r="U251" s="20" t="n">
        <v>-4156</v>
      </c>
      <c r="V251" s="20" t="n">
        <v>455</v>
      </c>
      <c r="W251" s="20" t="n">
        <v>-7175</v>
      </c>
      <c r="X251" s="20" t="n">
        <v>-12335</v>
      </c>
    </row>
    <row r="252">
      <c r="A252" s="18" t="inlineStr">
        <is>
          <t>Increase Decrease In Prepaid Tobacco Excise Taxes</t>
        </is>
      </c>
      <c r="Q252" s="20" t="n">
        <v>-36662</v>
      </c>
      <c r="R252" s="20" t="n">
        <v>-21864</v>
      </c>
    </row>
    <row r="253">
      <c r="A253" s="18" t="inlineStr">
        <is>
          <t>Increase Decrease In Tobacco Excise Tax Payables</t>
        </is>
      </c>
      <c r="Q253" s="20" t="n">
        <v>53408</v>
      </c>
      <c r="R253" s="20" t="n">
        <v>3891</v>
      </c>
    </row>
    <row r="254">
      <c r="A254" s="18" t="inlineStr">
        <is>
          <t>Increase Decrease In Consumption Tax Payables</t>
        </is>
      </c>
      <c r="Q254" s="20" t="n">
        <v>-11026</v>
      </c>
      <c r="R254" s="20" t="n">
        <v>29592</v>
      </c>
    </row>
    <row r="255">
      <c r="A255" s="18" t="inlineStr">
        <is>
          <t>Decrease Increase In Retirement Benefit Asset Ope CF</t>
        </is>
      </c>
      <c r="H255" s="20" t="n">
        <v>39</v>
      </c>
      <c r="L255" s="20" t="n">
        <v>69804</v>
      </c>
      <c r="W255" s="20" t="n">
        <v>39</v>
      </c>
      <c r="X255" s="20" t="n">
        <v>69804</v>
      </c>
    </row>
    <row r="256">
      <c r="A256" s="18" t="inlineStr">
        <is>
          <t>Increase Decrease In Prepaid Tobacco Excise Taxes IFRSOpe CF</t>
        </is>
      </c>
      <c r="D256" s="20" t="n">
        <v>-106987</v>
      </c>
      <c r="H256" s="20" t="n">
        <v>13802</v>
      </c>
      <c r="L256" s="20" t="n">
        <v>-78877</v>
      </c>
      <c r="R256" s="20" t="n">
        <v>-21864</v>
      </c>
      <c r="S256" s="20" t="n">
        <v>-29996</v>
      </c>
      <c r="T256" s="20" t="n">
        <v>-43617</v>
      </c>
      <c r="U256" s="20" t="n">
        <v>-6825</v>
      </c>
      <c r="V256" s="20" t="n">
        <v>-106987</v>
      </c>
      <c r="W256" s="20" t="n">
        <v>13802</v>
      </c>
      <c r="X256" s="20" t="n">
        <v>-78877</v>
      </c>
    </row>
    <row r="257">
      <c r="A257" s="18" t="inlineStr">
        <is>
          <t>Increase Decrease In Tobacco Excise Tax Payables IFRSOpe CF</t>
        </is>
      </c>
      <c r="D257" s="20" t="n">
        <v>102787</v>
      </c>
      <c r="H257" s="20" t="n">
        <v>4973</v>
      </c>
      <c r="L257" s="20" t="n">
        <v>-21495</v>
      </c>
      <c r="R257" s="20" t="n">
        <v>3891</v>
      </c>
      <c r="S257" s="20" t="n">
        <v>-18038</v>
      </c>
      <c r="T257" s="20" t="n">
        <v>33167</v>
      </c>
      <c r="U257" s="20" t="n">
        <v>24989</v>
      </c>
      <c r="V257" s="20" t="n">
        <v>102787</v>
      </c>
      <c r="W257" s="20" t="n">
        <v>4973</v>
      </c>
      <c r="X257" s="20" t="n">
        <v>-21495</v>
      </c>
    </row>
    <row r="258">
      <c r="A258" s="18" t="inlineStr">
        <is>
          <t>Increase Decrease In Consumption Tax Payables IFRSOpe CF</t>
        </is>
      </c>
      <c r="D258" s="20" t="n">
        <v>23249</v>
      </c>
      <c r="H258" s="20" t="n">
        <v>4126</v>
      </c>
      <c r="L258" s="20" t="n">
        <v>21208</v>
      </c>
      <c r="R258" s="20" t="n">
        <v>29592</v>
      </c>
      <c r="S258" s="20" t="n">
        <v>9762</v>
      </c>
      <c r="T258" s="20" t="n">
        <v>-3856</v>
      </c>
      <c r="U258" s="20" t="n">
        <v>-11461</v>
      </c>
      <c r="V258" s="20" t="n">
        <v>23249</v>
      </c>
      <c r="W258" s="20" t="n">
        <v>4126</v>
      </c>
      <c r="X258" s="20" t="n">
        <v>21208</v>
      </c>
    </row>
    <row r="259">
      <c r="A259" s="18" t="inlineStr">
        <is>
          <t>Increase Decrease In Provisions Ope CF</t>
        </is>
      </c>
      <c r="G259" s="20" t="n">
        <v>1847</v>
      </c>
      <c r="H259" s="20" t="n">
        <v>381670</v>
      </c>
      <c r="K259" s="20" t="n">
        <v>-184762</v>
      </c>
      <c r="L259" s="20" t="n">
        <v>-177164</v>
      </c>
      <c r="W259" s="20" t="n">
        <v>381670</v>
      </c>
      <c r="X259" s="20" t="n">
        <v>-177164</v>
      </c>
    </row>
    <row r="260">
      <c r="A260" s="18" t="inlineStr">
        <is>
          <t>Increase Decrease In Settlement Liabilities On Litigation In Canada Ope CF</t>
        </is>
      </c>
      <c r="H260" s="20" t="n">
        <v>0</v>
      </c>
      <c r="L260" s="20" t="n">
        <v>-49645</v>
      </c>
      <c r="W260" s="20" t="n">
        <v>0</v>
      </c>
      <c r="X260" s="20" t="n">
        <v>-49645</v>
      </c>
    </row>
    <row r="261">
      <c r="A261" s="18" t="inlineStr">
        <is>
          <t>Increase Decrease In Prepaid Tobacco Excise Taxes Ope CF</t>
        </is>
      </c>
      <c r="C261" s="20" t="n">
        <v>6943</v>
      </c>
      <c r="E261" s="20" t="n">
        <v>59795</v>
      </c>
      <c r="F261" s="20" t="n">
        <v>104663</v>
      </c>
      <c r="G261" s="20" t="n">
        <v>115780</v>
      </c>
      <c r="I261" s="20" t="n">
        <v>26965</v>
      </c>
      <c r="J261" s="20" t="n">
        <v>15942</v>
      </c>
      <c r="K261" s="20" t="n">
        <v>22559</v>
      </c>
      <c r="M261" s="20" t="n">
        <v>27256</v>
      </c>
      <c r="N261" s="20" t="n">
        <v>13921</v>
      </c>
    </row>
    <row r="262">
      <c r="A262" s="18" t="inlineStr">
        <is>
          <t>Increase Decrease In Tobacco Excise Tax Payables Ope CF</t>
        </is>
      </c>
      <c r="C262" s="20" t="n">
        <v>46987</v>
      </c>
      <c r="E262" s="20" t="n">
        <v>-49852</v>
      </c>
      <c r="F262" s="20" t="n">
        <v>-27126</v>
      </c>
      <c r="G262" s="20" t="n">
        <v>-176406</v>
      </c>
      <c r="I262" s="20" t="n">
        <v>-144895</v>
      </c>
      <c r="J262" s="20" t="n">
        <v>-122440</v>
      </c>
      <c r="K262" s="20" t="n">
        <v>-129194</v>
      </c>
      <c r="M262" s="20" t="n">
        <v>-101433</v>
      </c>
      <c r="N262" s="20" t="n">
        <v>-38793</v>
      </c>
    </row>
    <row r="263">
      <c r="A263" s="18" t="inlineStr">
        <is>
          <t>Increase Decrease In Consumption Tax Payables Ope CF</t>
        </is>
      </c>
      <c r="C263" s="20" t="n">
        <v>21280</v>
      </c>
      <c r="E263" s="20" t="n">
        <v>10511</v>
      </c>
      <c r="F263" s="20" t="n">
        <v>38273</v>
      </c>
      <c r="G263" s="20" t="n">
        <v>12334</v>
      </c>
      <c r="I263" s="20" t="n">
        <v>-5401</v>
      </c>
      <c r="J263" s="20" t="n">
        <v>10810</v>
      </c>
      <c r="K263" s="20" t="n">
        <v>20928</v>
      </c>
      <c r="M263" s="20" t="n">
        <v>5424</v>
      </c>
      <c r="N263" s="20" t="n">
        <v>44905</v>
      </c>
    </row>
    <row r="264">
      <c r="A264" s="18" t="inlineStr">
        <is>
          <t>기타</t>
        </is>
      </c>
      <c r="C264" s="20" t="n">
        <v>43604</v>
      </c>
      <c r="D264" s="20" t="n">
        <v>43079</v>
      </c>
      <c r="E264" s="20" t="n">
        <v>-36634</v>
      </c>
      <c r="F264" s="20" t="n">
        <v>-30709</v>
      </c>
      <c r="G264" s="20" t="n">
        <v>46558</v>
      </c>
      <c r="H264" s="20" t="n">
        <v>75259</v>
      </c>
      <c r="I264" s="20" t="n">
        <v>-55746</v>
      </c>
      <c r="J264" s="20" t="n">
        <v>-47798</v>
      </c>
      <c r="K264" s="20" t="n">
        <v>12624</v>
      </c>
      <c r="L264" s="20" t="n">
        <v>66554</v>
      </c>
      <c r="M264" s="20" t="n">
        <v>-42091</v>
      </c>
      <c r="N264" s="20" t="n">
        <v>-35725</v>
      </c>
      <c r="Q264" s="20" t="n">
        <v>8969</v>
      </c>
      <c r="R264" s="20" t="n">
        <v>-7005</v>
      </c>
      <c r="S264" s="20" t="n">
        <v>49132</v>
      </c>
      <c r="T264" s="20" t="n">
        <v>2849</v>
      </c>
      <c r="U264" s="20" t="n">
        <v>-28608</v>
      </c>
      <c r="V264" s="20" t="n">
        <v>43079</v>
      </c>
      <c r="W264" s="20" t="n">
        <v>75259</v>
      </c>
      <c r="X264" s="20" t="n">
        <v>66554</v>
      </c>
    </row>
    <row r="265">
      <c r="A265" s="18" t="inlineStr">
        <is>
          <t>소계</t>
        </is>
      </c>
      <c r="C265" s="20" t="n">
        <v>584807</v>
      </c>
      <c r="D265" s="20" t="n">
        <v>710540</v>
      </c>
      <c r="E265" s="20" t="n">
        <v>94857</v>
      </c>
      <c r="F265" s="20" t="n">
        <v>328489</v>
      </c>
      <c r="G265" s="20" t="n">
        <v>484072</v>
      </c>
      <c r="H265" s="20" t="n">
        <v>759591</v>
      </c>
      <c r="I265" s="20" t="n">
        <v>5131</v>
      </c>
      <c r="J265" s="20" t="n">
        <v>231525</v>
      </c>
      <c r="K265" s="20" t="n">
        <v>386160</v>
      </c>
      <c r="L265" s="20" t="n">
        <v>674889</v>
      </c>
      <c r="M265" s="20" t="n">
        <v>92007</v>
      </c>
      <c r="N265" s="20" t="n">
        <v>463883</v>
      </c>
      <c r="Q265" s="20" t="n">
        <v>587697</v>
      </c>
      <c r="R265" s="20" t="n">
        <v>696521</v>
      </c>
      <c r="S265" s="20" t="n">
        <v>649305</v>
      </c>
      <c r="T265" s="20" t="n">
        <v>740605</v>
      </c>
      <c r="U265" s="20" t="n">
        <v>675728</v>
      </c>
      <c r="V265" s="20" t="n">
        <v>710540</v>
      </c>
      <c r="W265" s="20" t="n">
        <v>759591</v>
      </c>
      <c r="X265" s="20" t="n">
        <v>674889</v>
      </c>
    </row>
    <row r="266">
      <c r="A266" s="18" t="inlineStr">
        <is>
          <t>이자·배당금 수취</t>
        </is>
      </c>
      <c r="C266" s="20" t="n">
        <v>28666</v>
      </c>
      <c r="D266" s="20" t="n">
        <v>41189</v>
      </c>
      <c r="E266" s="20" t="n">
        <v>14537</v>
      </c>
      <c r="F266" s="20" t="n">
        <v>29728</v>
      </c>
      <c r="G266" s="20" t="n">
        <v>48525</v>
      </c>
      <c r="H266" s="20" t="n">
        <v>65353</v>
      </c>
      <c r="I266" s="20" t="n">
        <v>44369</v>
      </c>
      <c r="J266" s="20" t="n">
        <v>75867</v>
      </c>
      <c r="K266" s="20" t="n">
        <v>99874</v>
      </c>
      <c r="L266" s="20" t="n">
        <v>111202</v>
      </c>
      <c r="M266" s="20" t="n">
        <v>22110</v>
      </c>
      <c r="N266" s="20" t="n">
        <v>42407</v>
      </c>
      <c r="Q266" s="20" t="n">
        <v>11743</v>
      </c>
      <c r="R266" s="20" t="n">
        <v>15340</v>
      </c>
      <c r="S266" s="20" t="n">
        <v>14589</v>
      </c>
      <c r="T266" s="20" t="n">
        <v>19245</v>
      </c>
      <c r="U266" s="20" t="n">
        <v>25530</v>
      </c>
      <c r="V266" s="20" t="n">
        <v>41189</v>
      </c>
      <c r="W266" s="20" t="n">
        <v>65353</v>
      </c>
      <c r="X266" s="20" t="n">
        <v>111202</v>
      </c>
    </row>
    <row r="267">
      <c r="A267" s="18" t="inlineStr">
        <is>
          <t>이자 지급</t>
        </is>
      </c>
      <c r="C267" s="20" t="n">
        <v>-21580</v>
      </c>
      <c r="D267" s="20" t="n">
        <v>-26324</v>
      </c>
      <c r="E267" s="20" t="n">
        <v>-7569</v>
      </c>
      <c r="F267" s="20" t="n">
        <v>-16175</v>
      </c>
      <c r="G267" s="20" t="n">
        <v>-23751</v>
      </c>
      <c r="H267" s="20" t="n">
        <v>-33980</v>
      </c>
      <c r="I267" s="20" t="n">
        <v>-8091</v>
      </c>
      <c r="J267" s="20" t="n">
        <v>-34188</v>
      </c>
      <c r="K267" s="20" t="n">
        <v>-43535</v>
      </c>
      <c r="L267" s="20" t="n">
        <v>-64041</v>
      </c>
      <c r="M267" s="20" t="n">
        <v>-13119</v>
      </c>
      <c r="N267" s="20" t="n">
        <v>-39291</v>
      </c>
      <c r="Q267" s="20" t="n">
        <v>-13685</v>
      </c>
      <c r="R267" s="20" t="n">
        <v>-24346</v>
      </c>
      <c r="S267" s="20" t="n">
        <v>-19549</v>
      </c>
      <c r="T267" s="20" t="n">
        <v>-19113</v>
      </c>
      <c r="U267" s="20" t="n">
        <v>-23728</v>
      </c>
      <c r="V267" s="20" t="n">
        <v>-26324</v>
      </c>
      <c r="W267" s="20" t="n">
        <v>-33980</v>
      </c>
      <c r="X267" s="20" t="n">
        <v>-64041</v>
      </c>
    </row>
    <row r="268">
      <c r="A268" s="18" t="inlineStr">
        <is>
          <t>Income Taxes Refund Paid Ope CF</t>
        </is>
      </c>
      <c r="C268" s="20" t="n">
        <v>-101459</v>
      </c>
      <c r="D268" s="20" t="n">
        <v>-159088</v>
      </c>
      <c r="E268" s="20" t="n">
        <v>-39991</v>
      </c>
      <c r="F268" s="20" t="n">
        <v>-81837</v>
      </c>
      <c r="G268" s="20" t="n">
        <v>-116831</v>
      </c>
      <c r="H268" s="20" t="n">
        <v>-160953</v>
      </c>
      <c r="I268" s="20" t="n">
        <v>-47982</v>
      </c>
      <c r="J268" s="20" t="n">
        <v>-105752</v>
      </c>
      <c r="K268" s="20" t="n">
        <v>-155502</v>
      </c>
      <c r="L268" s="20" t="n">
        <v>-207993</v>
      </c>
      <c r="M268" s="20" t="n">
        <v>-61401</v>
      </c>
      <c r="N268" s="20" t="n">
        <v>-135670</v>
      </c>
      <c r="Q268" s="20" t="n">
        <v>-124366</v>
      </c>
      <c r="R268" s="20" t="n">
        <v>-147105</v>
      </c>
      <c r="S268" s="20" t="n">
        <v>-124511</v>
      </c>
      <c r="T268" s="20" t="n">
        <v>-141829</v>
      </c>
      <c r="U268" s="20" t="n">
        <v>-193731</v>
      </c>
      <c r="V268" s="20" t="n">
        <v>-159088</v>
      </c>
      <c r="W268" s="20" t="n">
        <v>-160953</v>
      </c>
      <c r="X268" s="20" t="n">
        <v>-207993</v>
      </c>
    </row>
    <row r="269">
      <c r="A269" s="9" t="inlineStr">
        <is>
          <t>영업활동 현금흐름</t>
        </is>
      </c>
      <c r="C269" s="12" t="n">
        <v>490434</v>
      </c>
      <c r="D269" s="12" t="n">
        <v>566317</v>
      </c>
      <c r="E269" s="12" t="n">
        <v>61833</v>
      </c>
      <c r="F269" s="12" t="n">
        <v>260206</v>
      </c>
      <c r="G269" s="12" t="n">
        <v>392015</v>
      </c>
      <c r="H269" s="12" t="n">
        <v>630011</v>
      </c>
      <c r="I269" s="12" t="n">
        <v>-6572</v>
      </c>
      <c r="J269" s="12" t="n">
        <v>167451</v>
      </c>
      <c r="K269" s="12" t="n">
        <v>286997</v>
      </c>
      <c r="L269" s="12" t="n">
        <v>514056</v>
      </c>
      <c r="M269" s="12" t="n">
        <v>39597</v>
      </c>
      <c r="N269" s="12" t="n">
        <v>331329</v>
      </c>
      <c r="Q269" s="12" t="n">
        <v>461389</v>
      </c>
      <c r="R269" s="12" t="n">
        <v>540410</v>
      </c>
      <c r="S269" s="12" t="n">
        <v>519833</v>
      </c>
      <c r="T269" s="12" t="n">
        <v>598909</v>
      </c>
      <c r="U269" s="12" t="n">
        <v>483799</v>
      </c>
      <c r="V269" s="12" t="n">
        <v>566317</v>
      </c>
      <c r="W269" s="12" t="n">
        <v>630011</v>
      </c>
      <c r="X269" s="12" t="n">
        <v>514056</v>
      </c>
    </row>
    <row r="270">
      <c r="A270" s="18" t="inlineStr">
        <is>
          <t>Purchase Of Investments Inv CF</t>
        </is>
      </c>
      <c r="C270" s="20" t="n">
        <v>-76638</v>
      </c>
      <c r="D270" s="20" t="n">
        <v>-113010</v>
      </c>
      <c r="E270" s="20" t="n">
        <v>-10171</v>
      </c>
      <c r="F270" s="20" t="n">
        <v>-18911</v>
      </c>
      <c r="G270" s="20" t="n">
        <v>-54101</v>
      </c>
      <c r="H270" s="20" t="n">
        <v>-65514</v>
      </c>
      <c r="I270" s="20" t="n">
        <v>-5149</v>
      </c>
      <c r="J270" s="20" t="n">
        <v>-8874</v>
      </c>
      <c r="K270" s="20" t="n">
        <v>-10104</v>
      </c>
      <c r="L270" s="20" t="n">
        <v>-12585</v>
      </c>
      <c r="M270" s="20" t="n">
        <v>-550</v>
      </c>
      <c r="N270" s="20" t="n">
        <v>-2051</v>
      </c>
      <c r="Q270" s="20" t="n">
        <v>-36705</v>
      </c>
      <c r="R270" s="20" t="n">
        <v>-45401</v>
      </c>
      <c r="S270" s="20" t="n">
        <v>-39991</v>
      </c>
      <c r="T270" s="20" t="n">
        <v>-27810</v>
      </c>
      <c r="U270" s="20" t="n">
        <v>-37414</v>
      </c>
      <c r="V270" s="20" t="n">
        <v>-113010</v>
      </c>
      <c r="W270" s="20" t="n">
        <v>-65514</v>
      </c>
      <c r="X270" s="20" t="n">
        <v>-12585</v>
      </c>
    </row>
    <row r="271">
      <c r="A271" s="18" t="inlineStr">
        <is>
          <t>Proceeds From Sale Of Investments Inv CF</t>
        </is>
      </c>
      <c r="C271" s="20" t="n">
        <v>31946</v>
      </c>
      <c r="D271" s="20" t="n">
        <v>84363</v>
      </c>
      <c r="E271" s="20" t="n">
        <v>9646</v>
      </c>
      <c r="F271" s="20" t="n">
        <v>49279</v>
      </c>
      <c r="G271" s="20" t="n">
        <v>54410</v>
      </c>
      <c r="H271" s="20" t="n">
        <v>81318</v>
      </c>
      <c r="I271" s="20" t="n">
        <v>40809</v>
      </c>
      <c r="J271" s="20" t="n">
        <v>46272</v>
      </c>
      <c r="K271" s="20" t="n">
        <v>51780</v>
      </c>
      <c r="L271" s="20" t="n">
        <v>52073</v>
      </c>
      <c r="M271" s="20" t="n">
        <v>75</v>
      </c>
      <c r="N271" s="20" t="n">
        <v>281</v>
      </c>
      <c r="Q271" s="20" t="n">
        <v>10159</v>
      </c>
      <c r="R271" s="20" t="n">
        <v>77200</v>
      </c>
      <c r="S271" s="20" t="n">
        <v>49802</v>
      </c>
      <c r="T271" s="20" t="n">
        <v>24137</v>
      </c>
      <c r="U271" s="20" t="n">
        <v>18208</v>
      </c>
      <c r="V271" s="20" t="n">
        <v>84363</v>
      </c>
      <c r="W271" s="20" t="n">
        <v>81318</v>
      </c>
      <c r="X271" s="20" t="n">
        <v>52073</v>
      </c>
    </row>
    <row r="272">
      <c r="A272" s="18" t="inlineStr">
        <is>
          <t>유형자산 취득(설비투자)</t>
        </is>
      </c>
      <c r="C272" s="20" t="n">
        <v>-61412</v>
      </c>
      <c r="D272" s="20" t="n">
        <v>-94861</v>
      </c>
      <c r="E272" s="20" t="n">
        <v>-26491</v>
      </c>
      <c r="F272" s="20" t="n">
        <v>-56375</v>
      </c>
      <c r="G272" s="20" t="n">
        <v>-86208</v>
      </c>
      <c r="H272" s="20" t="n">
        <v>-127769</v>
      </c>
      <c r="I272" s="20" t="n">
        <v>-27566</v>
      </c>
      <c r="J272" s="20" t="n">
        <v>-52982</v>
      </c>
      <c r="K272" s="20" t="n">
        <v>-94438</v>
      </c>
      <c r="L272" s="20" t="n">
        <v>-143204</v>
      </c>
      <c r="M272" s="20" t="n">
        <v>-24039</v>
      </c>
      <c r="N272" s="20" t="n">
        <v>-53227</v>
      </c>
      <c r="Q272" s="20" t="n">
        <v>-138605</v>
      </c>
      <c r="R272" s="20" t="n">
        <v>-111366</v>
      </c>
      <c r="S272" s="20" t="n">
        <v>-85319</v>
      </c>
      <c r="T272" s="20" t="n">
        <v>-86350</v>
      </c>
      <c r="U272" s="20" t="n">
        <v>-81411</v>
      </c>
      <c r="V272" s="20" t="n">
        <v>-94861</v>
      </c>
      <c r="W272" s="20" t="n">
        <v>-127769</v>
      </c>
      <c r="X272" s="20" t="n">
        <v>-143204</v>
      </c>
    </row>
    <row r="273">
      <c r="A273" s="18" t="inlineStr">
        <is>
          <t>투자부동산 매각</t>
        </is>
      </c>
      <c r="C273" s="20" t="n">
        <v>15767</v>
      </c>
      <c r="D273" s="20" t="n">
        <v>19653</v>
      </c>
      <c r="E273" s="20" t="n">
        <v>2079</v>
      </c>
      <c r="F273" s="20" t="n">
        <v>3105</v>
      </c>
      <c r="G273" s="20" t="n">
        <v>6437</v>
      </c>
      <c r="H273" s="20" t="n">
        <v>9753</v>
      </c>
      <c r="I273" s="20" t="n">
        <v>0</v>
      </c>
      <c r="J273" s="20" t="n">
        <v>0</v>
      </c>
      <c r="K273" s="20" t="n">
        <v>3650</v>
      </c>
      <c r="L273" s="20" t="n">
        <v>18604</v>
      </c>
      <c r="N273" s="20" t="n">
        <v>1386</v>
      </c>
      <c r="Q273" s="20" t="n">
        <v>46868</v>
      </c>
      <c r="R273" s="20" t="n">
        <v>15863</v>
      </c>
      <c r="S273" s="20" t="n">
        <v>86263</v>
      </c>
      <c r="T273" s="20" t="n">
        <v>8002</v>
      </c>
      <c r="U273" s="20" t="n">
        <v>7583</v>
      </c>
      <c r="V273" s="20" t="n">
        <v>19653</v>
      </c>
      <c r="W273" s="20" t="n">
        <v>9753</v>
      </c>
      <c r="X273" s="20" t="n">
        <v>18604</v>
      </c>
    </row>
    <row r="274">
      <c r="A274" s="18" t="inlineStr">
        <is>
          <t>무형자산 취득 지출</t>
        </is>
      </c>
      <c r="C274" s="20" t="n">
        <v>-17389</v>
      </c>
      <c r="D274" s="20" t="n">
        <v>-21707</v>
      </c>
      <c r="E274" s="20" t="n">
        <v>-2362</v>
      </c>
      <c r="F274" s="20" t="n">
        <v>-6494</v>
      </c>
      <c r="G274" s="20" t="n">
        <v>-16919</v>
      </c>
      <c r="H274" s="20" t="n">
        <v>-22598</v>
      </c>
      <c r="I274" s="20" t="n">
        <v>-3180</v>
      </c>
      <c r="J274" s="20" t="n">
        <v>-8383</v>
      </c>
      <c r="K274" s="20" t="n">
        <v>-12214</v>
      </c>
      <c r="L274" s="20" t="n">
        <v>-19182</v>
      </c>
      <c r="M274" s="20" t="n">
        <v>-3070</v>
      </c>
      <c r="N274" s="20" t="n">
        <v>-7173</v>
      </c>
      <c r="Q274" s="20" t="n">
        <v>-20205</v>
      </c>
      <c r="R274" s="20" t="n">
        <v>-22004</v>
      </c>
      <c r="S274" s="20" t="n">
        <v>-23301</v>
      </c>
      <c r="T274" s="20" t="n">
        <v>-16568</v>
      </c>
      <c r="U274" s="20" t="n">
        <v>-17997</v>
      </c>
      <c r="V274" s="20" t="n">
        <v>-21707</v>
      </c>
      <c r="W274" s="20" t="n">
        <v>-22598</v>
      </c>
      <c r="X274" s="20" t="n">
        <v>-19182</v>
      </c>
    </row>
    <row r="275">
      <c r="A275" s="18" t="inlineStr">
        <is>
          <t>정기예금 예입</t>
        </is>
      </c>
      <c r="C275" s="20" t="n">
        <v>0</v>
      </c>
      <c r="D275" s="20" t="n">
        <v>0</v>
      </c>
      <c r="E275" s="20" t="n">
        <v>0</v>
      </c>
      <c r="F275" s="20" t="n">
        <v>0</v>
      </c>
      <c r="G275" s="20" t="n">
        <v>-47657</v>
      </c>
      <c r="H275" s="20" t="n">
        <v>-48262</v>
      </c>
      <c r="I275" s="20" t="n">
        <v>-66186</v>
      </c>
      <c r="J275" s="20" t="n">
        <v>-138520</v>
      </c>
      <c r="K275" s="20" t="n">
        <v>-234400</v>
      </c>
      <c r="L275" s="20" t="n">
        <v>-321591</v>
      </c>
      <c r="M275" s="20" t="n">
        <v>-130683</v>
      </c>
      <c r="N275" s="20" t="n">
        <v>-241958</v>
      </c>
      <c r="Q275" s="20" t="n">
        <v>-878</v>
      </c>
      <c r="R275" s="20" t="n">
        <v>-218</v>
      </c>
      <c r="S275" s="20" t="n">
        <v>-491</v>
      </c>
      <c r="T275" s="20" t="n">
        <v>-1427</v>
      </c>
      <c r="U275" s="20" t="n">
        <v>-350</v>
      </c>
      <c r="V275" s="20" t="n">
        <v>0</v>
      </c>
      <c r="W275" s="20" t="n">
        <v>-48262</v>
      </c>
      <c r="X275" s="20" t="n">
        <v>-321591</v>
      </c>
    </row>
    <row r="276">
      <c r="A276" s="18" t="inlineStr">
        <is>
          <t>Proceeds From Sale Of Investments In Associates Inv CFIFRS</t>
        </is>
      </c>
      <c r="C276" s="20" t="n">
        <v>1369</v>
      </c>
      <c r="E276" s="20" t="n">
        <v>0</v>
      </c>
      <c r="F276" s="20" t="n">
        <v>0</v>
      </c>
      <c r="G276" s="20" t="n">
        <v>0</v>
      </c>
    </row>
    <row r="277">
      <c r="A277" s="18" t="inlineStr">
        <is>
          <t>Proceeds From Withdrawal Of Time Deposits Inv CF</t>
        </is>
      </c>
      <c r="C277" s="20" t="n">
        <v>0</v>
      </c>
      <c r="D277" s="20" t="n">
        <v>0</v>
      </c>
      <c r="E277" s="20" t="n">
        <v>0</v>
      </c>
      <c r="F277" s="20" t="n">
        <v>0</v>
      </c>
      <c r="G277" s="20" t="n">
        <v>0</v>
      </c>
      <c r="H277" s="20" t="n">
        <v>0</v>
      </c>
      <c r="I277" s="20" t="n">
        <v>47211</v>
      </c>
      <c r="J277" s="20" t="n">
        <v>120115</v>
      </c>
      <c r="K277" s="20" t="n">
        <v>174332</v>
      </c>
      <c r="L277" s="20" t="n">
        <v>207252</v>
      </c>
      <c r="M277" s="20" t="n">
        <v>147286</v>
      </c>
      <c r="N277" s="20" t="n">
        <v>246301</v>
      </c>
      <c r="Q277" s="20" t="n">
        <v>812</v>
      </c>
      <c r="R277" s="20" t="n">
        <v>409</v>
      </c>
      <c r="S277" s="20" t="n">
        <v>334</v>
      </c>
      <c r="T277" s="20" t="n">
        <v>1222</v>
      </c>
      <c r="U277" s="20" t="n">
        <v>1602</v>
      </c>
      <c r="V277" s="20" t="n">
        <v>0</v>
      </c>
      <c r="W277" s="20" t="n">
        <v>0</v>
      </c>
      <c r="X277" s="20" t="n">
        <v>207252</v>
      </c>
    </row>
    <row r="278">
      <c r="A278" s="18" t="inlineStr">
        <is>
          <t>Payments For Business Combinations</t>
        </is>
      </c>
      <c r="Q278" s="20" t="n">
        <v>-247632</v>
      </c>
      <c r="R278" s="20" t="n">
        <v>0</v>
      </c>
    </row>
    <row r="279">
      <c r="A279" s="18" t="inlineStr">
        <is>
          <t>Subsequent Payments For Past Fiscal Years Business Combinations</t>
        </is>
      </c>
      <c r="Q279" s="20" t="n">
        <v>-4589</v>
      </c>
      <c r="R279" s="20" t="n">
        <v>-40127</v>
      </c>
    </row>
    <row r="280">
      <c r="A280" s="18" t="inlineStr">
        <is>
          <t>Subsequent Payments For Past Fiscal Years Business Combinations IFRSInv CF</t>
        </is>
      </c>
      <c r="R280" s="20" t="n">
        <v>-40127</v>
      </c>
      <c r="S280" s="20" t="n">
        <v>-1140</v>
      </c>
    </row>
    <row r="281">
      <c r="A281" s="18" t="inlineStr">
        <is>
          <t>Proceeds From Sale Of Investments In Subsidiaries</t>
        </is>
      </c>
      <c r="T281" s="20" t="n">
        <v>0</v>
      </c>
      <c r="U281" s="20" t="n">
        <v>2963</v>
      </c>
    </row>
    <row r="282">
      <c r="A282" s="18" t="inlineStr">
        <is>
          <t>Proceeds From Sale Of Subsidiaries Inv CF</t>
        </is>
      </c>
      <c r="D282" s="20" t="n">
        <v>0</v>
      </c>
      <c r="U282" s="20" t="n">
        <v>2963</v>
      </c>
      <c r="V282" s="20" t="n">
        <v>0</v>
      </c>
    </row>
    <row r="283">
      <c r="A283" s="18" t="inlineStr">
        <is>
          <t>Payments For Business Combinations Inv CF</t>
        </is>
      </c>
      <c r="D283" s="20" t="n">
        <v>0</v>
      </c>
      <c r="H283" s="20" t="n">
        <v>-265667</v>
      </c>
      <c r="L283" s="20" t="n">
        <v>0</v>
      </c>
      <c r="V283" s="20" t="n">
        <v>0</v>
      </c>
      <c r="W283" s="20" t="n">
        <v>-265667</v>
      </c>
      <c r="X283" s="20" t="n">
        <v>0</v>
      </c>
    </row>
    <row r="284">
      <c r="A284" s="18" t="inlineStr">
        <is>
          <t>Subsequent Payments For Past Fiscal Years Business Combinations Inv CF</t>
        </is>
      </c>
      <c r="E284" s="20" t="n">
        <v>0</v>
      </c>
      <c r="F284" s="20" t="n">
        <v>0</v>
      </c>
      <c r="G284" s="20" t="n">
        <v>0</v>
      </c>
      <c r="H284" s="20" t="n">
        <v>0</v>
      </c>
      <c r="I284" s="20" t="n">
        <v>-68271</v>
      </c>
      <c r="J284" s="20" t="n">
        <v>-68271</v>
      </c>
      <c r="K284" s="20" t="n">
        <v>-68271</v>
      </c>
      <c r="L284" s="20" t="n">
        <v>-68271</v>
      </c>
      <c r="M284" s="20" t="n">
        <v>0</v>
      </c>
      <c r="N284" s="20" t="n">
        <v>0</v>
      </c>
      <c r="W284" s="20" t="n">
        <v>0</v>
      </c>
      <c r="X284" s="20" t="n">
        <v>-68271</v>
      </c>
    </row>
    <row r="285">
      <c r="A285" s="18" t="inlineStr">
        <is>
          <t>사업양도 수입</t>
        </is>
      </c>
      <c r="G285" s="20" t="n">
        <v>0</v>
      </c>
      <c r="H285" s="20" t="n">
        <v>0</v>
      </c>
      <c r="K285" s="20" t="n">
        <v>36064</v>
      </c>
      <c r="L285" s="20" t="n">
        <v>42811</v>
      </c>
      <c r="W285" s="20" t="n">
        <v>0</v>
      </c>
      <c r="X285" s="20" t="n">
        <v>42811</v>
      </c>
    </row>
    <row r="286">
      <c r="A286" s="18" t="inlineStr">
        <is>
          <t>Purchase Of Investments In Associates</t>
        </is>
      </c>
      <c r="F286" s="20" t="n">
        <v>0</v>
      </c>
      <c r="G286" s="20" t="n">
        <v>0</v>
      </c>
      <c r="H286" s="20" t="n">
        <v>0</v>
      </c>
      <c r="J286" s="20" t="n">
        <v>-22873</v>
      </c>
      <c r="K286" s="20" t="n">
        <v>-23091</v>
      </c>
      <c r="L286" s="20" t="n">
        <v>-24752</v>
      </c>
      <c r="N286" s="20" t="n">
        <v>-1065</v>
      </c>
      <c r="W286" s="20" t="n">
        <v>0</v>
      </c>
      <c r="X286" s="20" t="n">
        <v>-24752</v>
      </c>
    </row>
    <row r="287">
      <c r="A287" s="18" t="inlineStr">
        <is>
          <t>Proceeds From Sale Of Investments In Associates Inv CF</t>
        </is>
      </c>
      <c r="D287" s="20" t="n">
        <v>1369</v>
      </c>
      <c r="H287" s="20" t="n">
        <v>414</v>
      </c>
      <c r="L287" s="20" t="n">
        <v>2272</v>
      </c>
      <c r="R287" s="20" t="n">
        <v>0</v>
      </c>
      <c r="S287" s="20" t="n">
        <v>17413</v>
      </c>
      <c r="T287" s="20" t="n">
        <v>2562</v>
      </c>
      <c r="U287" s="20" t="n">
        <v>63</v>
      </c>
      <c r="V287" s="20" t="n">
        <v>1369</v>
      </c>
      <c r="W287" s="20" t="n">
        <v>414</v>
      </c>
      <c r="X287" s="20" t="n">
        <v>2272</v>
      </c>
    </row>
    <row r="288">
      <c r="A288" s="18" t="inlineStr">
        <is>
          <t>기타</t>
        </is>
      </c>
      <c r="C288" s="20" t="n">
        <v>2315</v>
      </c>
      <c r="D288" s="20" t="n">
        <v>-1239</v>
      </c>
      <c r="E288" s="20" t="n">
        <v>-376</v>
      </c>
      <c r="F288" s="20" t="n">
        <v>695</v>
      </c>
      <c r="G288" s="20" t="n">
        <v>1399</v>
      </c>
      <c r="H288" s="20" t="n">
        <v>-1441</v>
      </c>
      <c r="I288" s="20" t="n">
        <v>1241</v>
      </c>
      <c r="J288" s="20" t="n">
        <v>1550</v>
      </c>
      <c r="K288" s="20" t="n">
        <v>5416</v>
      </c>
      <c r="L288" s="20" t="n">
        <v>1586</v>
      </c>
      <c r="M288" s="20" t="n">
        <v>-1514</v>
      </c>
      <c r="N288" s="20" t="n">
        <v>-916</v>
      </c>
      <c r="Q288" s="20" t="n">
        <v>7467</v>
      </c>
      <c r="R288" s="20" t="n">
        <v>2073</v>
      </c>
      <c r="S288" s="20" t="n">
        <v>645</v>
      </c>
      <c r="T288" s="20" t="n">
        <v>-1268</v>
      </c>
      <c r="U288" s="20" t="n">
        <v>4930</v>
      </c>
      <c r="V288" s="20" t="n">
        <v>-1239</v>
      </c>
      <c r="W288" s="20" t="n">
        <v>-1441</v>
      </c>
      <c r="X288" s="20" t="n">
        <v>1586</v>
      </c>
    </row>
    <row r="289">
      <c r="A289" s="9" t="inlineStr">
        <is>
          <t>투자활동 현금흐름</t>
        </is>
      </c>
      <c r="C289" s="12" t="n">
        <v>-104040</v>
      </c>
      <c r="D289" s="12" t="n">
        <v>-125432</v>
      </c>
      <c r="E289" s="12" t="n">
        <v>-27674</v>
      </c>
      <c r="F289" s="12" t="n">
        <v>-28700</v>
      </c>
      <c r="G289" s="12" t="n">
        <v>-142640</v>
      </c>
      <c r="H289" s="12" t="n">
        <v>-439766</v>
      </c>
      <c r="I289" s="12" t="n">
        <v>-81091</v>
      </c>
      <c r="J289" s="12" t="n">
        <v>-131965</v>
      </c>
      <c r="K289" s="12" t="n">
        <v>-171277</v>
      </c>
      <c r="L289" s="12" t="n">
        <v>-264986</v>
      </c>
      <c r="M289" s="12" t="n">
        <v>-12493</v>
      </c>
      <c r="N289" s="12" t="n">
        <v>-58422</v>
      </c>
      <c r="Q289" s="12" t="n">
        <v>-383307</v>
      </c>
      <c r="R289" s="12" t="n">
        <v>-123571</v>
      </c>
      <c r="S289" s="12" t="n">
        <v>5354</v>
      </c>
      <c r="T289" s="12" t="n">
        <v>-97499</v>
      </c>
      <c r="U289" s="12" t="n">
        <v>-101822</v>
      </c>
      <c r="V289" s="12" t="n">
        <v>-125432</v>
      </c>
      <c r="W289" s="12" t="n">
        <v>-439766</v>
      </c>
      <c r="X289" s="12" t="n">
        <v>-264986</v>
      </c>
    </row>
    <row r="290">
      <c r="A290" s="18" t="inlineStr">
        <is>
          <t>Dividends Paid Fin CF</t>
        </is>
      </c>
      <c r="C290" s="20" t="n">
        <v>-366964</v>
      </c>
      <c r="D290" s="20" t="n">
        <v>-367331</v>
      </c>
      <c r="E290" s="20" t="n">
        <v>-172715</v>
      </c>
      <c r="F290" s="20" t="n">
        <v>-177463</v>
      </c>
      <c r="G290" s="20" t="n">
        <v>-349057</v>
      </c>
      <c r="H290" s="20" t="n">
        <v>-349645</v>
      </c>
      <c r="I290" s="20" t="n">
        <v>-167293</v>
      </c>
      <c r="J290" s="20" t="n">
        <v>-172192</v>
      </c>
      <c r="K290" s="20" t="n">
        <v>-356455</v>
      </c>
      <c r="L290" s="20" t="n">
        <v>-356853</v>
      </c>
      <c r="M290" s="20" t="n">
        <v>-225877</v>
      </c>
      <c r="N290" s="20" t="n">
        <v>-230725</v>
      </c>
      <c r="Q290" s="20" t="n">
        <v>-259671</v>
      </c>
      <c r="R290" s="20" t="n">
        <v>-270871</v>
      </c>
      <c r="S290" s="20" t="n">
        <v>-273134</v>
      </c>
      <c r="T290" s="20" t="n">
        <v>-251935</v>
      </c>
      <c r="U290" s="20" t="n">
        <v>-266175</v>
      </c>
      <c r="V290" s="20" t="n">
        <v>-367331</v>
      </c>
      <c r="W290" s="20" t="n">
        <v>-349645</v>
      </c>
      <c r="X290" s="20" t="n">
        <v>-356853</v>
      </c>
    </row>
    <row r="291">
      <c r="A291" s="18" t="inlineStr">
        <is>
          <t>Dividends Paid To Non Controlling Interests Fin CF</t>
        </is>
      </c>
      <c r="C291" s="20" t="n">
        <v>-2183</v>
      </c>
      <c r="D291" s="20" t="n">
        <v>-2594</v>
      </c>
      <c r="E291" s="20" t="n">
        <v>-897</v>
      </c>
      <c r="F291" s="20" t="n">
        <v>-1555</v>
      </c>
      <c r="G291" s="20" t="n">
        <v>-2321</v>
      </c>
      <c r="H291" s="20" t="n">
        <v>-2701</v>
      </c>
      <c r="I291" s="20" t="n">
        <v>-1266</v>
      </c>
      <c r="J291" s="20" t="n">
        <v>-2002</v>
      </c>
      <c r="K291" s="20" t="n">
        <v>-2064</v>
      </c>
      <c r="L291" s="20" t="n">
        <v>-2691</v>
      </c>
      <c r="M291" s="20" t="n">
        <v>-406</v>
      </c>
      <c r="N291" s="20" t="n">
        <v>-1366</v>
      </c>
      <c r="Q291" s="20" t="n">
        <v>-1747</v>
      </c>
      <c r="R291" s="20" t="n">
        <v>-1913</v>
      </c>
      <c r="S291" s="20" t="n">
        <v>-1404</v>
      </c>
      <c r="T291" s="20" t="n">
        <v>-1958</v>
      </c>
      <c r="U291" s="20" t="n">
        <v>-1536</v>
      </c>
      <c r="V291" s="20" t="n">
        <v>-2594</v>
      </c>
      <c r="W291" s="20" t="n">
        <v>-2701</v>
      </c>
      <c r="X291" s="20" t="n">
        <v>-2691</v>
      </c>
    </row>
    <row r="292">
      <c r="A292" s="18" t="inlineStr">
        <is>
          <t>Capital Contribution From Non Controlling Interests Fin CF</t>
        </is>
      </c>
      <c r="C292" s="20" t="n">
        <v>438</v>
      </c>
      <c r="D292" s="20" t="n">
        <v>431</v>
      </c>
      <c r="E292" s="20" t="n">
        <v>92</v>
      </c>
      <c r="F292" s="20" t="n">
        <v>108</v>
      </c>
      <c r="G292" s="20" t="n">
        <v>115</v>
      </c>
      <c r="H292" s="20" t="n">
        <v>130</v>
      </c>
      <c r="I292" s="20" t="n">
        <v>0</v>
      </c>
      <c r="J292" s="20" t="n">
        <v>0</v>
      </c>
      <c r="K292" s="20" t="n">
        <v>0</v>
      </c>
      <c r="L292" s="20" t="n">
        <v>0</v>
      </c>
      <c r="Q292" s="20" t="n">
        <v>109</v>
      </c>
      <c r="R292" s="20" t="n">
        <v>358</v>
      </c>
      <c r="S292" s="20" t="n">
        <v>117</v>
      </c>
      <c r="T292" s="20" t="n">
        <v>42</v>
      </c>
      <c r="U292" s="20" t="n">
        <v>27</v>
      </c>
      <c r="V292" s="20" t="n">
        <v>431</v>
      </c>
      <c r="W292" s="20" t="n">
        <v>130</v>
      </c>
      <c r="X292" s="20" t="n">
        <v>0</v>
      </c>
    </row>
    <row r="293">
      <c r="A293" s="18" t="inlineStr">
        <is>
          <t>Increase Decrease In Short Term Borrowings And Commercial Paper</t>
        </is>
      </c>
      <c r="Q293" s="20" t="n">
        <v>-133849</v>
      </c>
      <c r="R293" s="20" t="n">
        <v>-44976</v>
      </c>
    </row>
    <row r="294">
      <c r="A294" s="18" t="inlineStr">
        <is>
          <t>Increase Decrease In Short Term Borrowings And Commercial Paper IFRSFin CF</t>
        </is>
      </c>
      <c r="R294" s="20" t="n">
        <v>-44976</v>
      </c>
      <c r="S294" s="20" t="n">
        <v>-132462</v>
      </c>
    </row>
    <row r="295">
      <c r="A295" s="18" t="inlineStr">
        <is>
          <t>Increase Decrease In Short Term Borrowings And Commercial Paper Fin CF</t>
        </is>
      </c>
      <c r="C295" s="20" t="n">
        <v>-13120</v>
      </c>
      <c r="D295" s="20" t="n">
        <v>143042</v>
      </c>
      <c r="E295" s="20" t="n">
        <v>-156465</v>
      </c>
      <c r="F295" s="20" t="n">
        <v>-159982</v>
      </c>
      <c r="G295" s="20" t="n">
        <v>-152814</v>
      </c>
      <c r="H295" s="20" t="n">
        <v>-150105</v>
      </c>
      <c r="I295" s="20" t="n">
        <v>-2776</v>
      </c>
      <c r="J295" s="20" t="n">
        <v>9973</v>
      </c>
      <c r="K295" s="20" t="n">
        <v>14832</v>
      </c>
      <c r="L295" s="20" t="n">
        <v>20365</v>
      </c>
      <c r="M295" s="20" t="n">
        <v>141912</v>
      </c>
      <c r="N295" s="20" t="n">
        <v>36209</v>
      </c>
      <c r="S295" s="20" t="n">
        <v>-132462</v>
      </c>
      <c r="T295" s="20" t="n">
        <v>22887</v>
      </c>
      <c r="U295" s="20" t="n">
        <v>-27610</v>
      </c>
      <c r="V295" s="20" t="n">
        <v>143042</v>
      </c>
      <c r="W295" s="20" t="n">
        <v>-150105</v>
      </c>
      <c r="X295" s="20" t="n">
        <v>20365</v>
      </c>
    </row>
    <row r="296">
      <c r="A296" s="18" t="inlineStr">
        <is>
          <t>Proceeds From Long Term Borrowings Fin CF</t>
        </is>
      </c>
      <c r="C296" s="20" t="n">
        <v>2911</v>
      </c>
      <c r="D296" s="20" t="n">
        <v>2890</v>
      </c>
      <c r="E296" s="20" t="n">
        <v>197</v>
      </c>
      <c r="F296" s="20" t="n">
        <v>202</v>
      </c>
      <c r="G296" s="20" t="n">
        <v>100</v>
      </c>
      <c r="H296" s="20" t="n">
        <v>581380</v>
      </c>
      <c r="I296" s="20" t="n">
        <v>99437</v>
      </c>
      <c r="J296" s="20" t="n">
        <v>99437</v>
      </c>
      <c r="K296" s="20" t="n">
        <v>99437</v>
      </c>
      <c r="L296" s="20" t="n">
        <v>99437</v>
      </c>
      <c r="M296" s="20" t="n">
        <v>0</v>
      </c>
      <c r="N296" s="20" t="n">
        <v>0</v>
      </c>
      <c r="Q296" s="20" t="n">
        <v>59135</v>
      </c>
      <c r="R296" s="20" t="n">
        <v>0</v>
      </c>
      <c r="S296" s="20" t="n">
        <v>100101</v>
      </c>
      <c r="T296" s="20" t="n">
        <v>3295</v>
      </c>
      <c r="U296" s="20" t="n">
        <v>1522</v>
      </c>
      <c r="V296" s="20" t="n">
        <v>2890</v>
      </c>
      <c r="W296" s="20" t="n">
        <v>581380</v>
      </c>
      <c r="X296" s="20" t="n">
        <v>99437</v>
      </c>
    </row>
    <row r="297">
      <c r="A297" s="18" t="inlineStr">
        <is>
          <t>장기차입금 상환</t>
        </is>
      </c>
      <c r="C297" s="20" t="n">
        <v>-14436</v>
      </c>
      <c r="D297" s="20" t="n">
        <v>-14909</v>
      </c>
      <c r="E297" s="20" t="n">
        <v>-36</v>
      </c>
      <c r="F297" s="20" t="n">
        <v>-4492</v>
      </c>
      <c r="G297" s="20" t="n">
        <v>-4481</v>
      </c>
      <c r="H297" s="20" t="n">
        <v>-236538</v>
      </c>
      <c r="I297" s="20" t="n">
        <v>-101223</v>
      </c>
      <c r="J297" s="20" t="n">
        <v>-666593</v>
      </c>
      <c r="K297" s="20" t="n">
        <v>-666609</v>
      </c>
      <c r="L297" s="20" t="n">
        <v>-666626</v>
      </c>
      <c r="M297" s="20" t="n">
        <v>-107</v>
      </c>
      <c r="N297" s="20" t="n">
        <v>-290</v>
      </c>
      <c r="Q297" s="20" t="n">
        <v>-2710</v>
      </c>
      <c r="R297" s="20" t="n">
        <v>-11568</v>
      </c>
      <c r="S297" s="20" t="n">
        <v>-11948</v>
      </c>
      <c r="T297" s="20" t="n">
        <v>-12442</v>
      </c>
      <c r="U297" s="20" t="n">
        <v>-42849</v>
      </c>
      <c r="V297" s="20" t="n">
        <v>-14909</v>
      </c>
      <c r="W297" s="20" t="n">
        <v>-236538</v>
      </c>
      <c r="X297" s="20" t="n">
        <v>-666626</v>
      </c>
    </row>
    <row r="298">
      <c r="A298" s="18" t="inlineStr">
        <is>
          <t>사채 발행</t>
        </is>
      </c>
      <c r="C298" s="20" t="n">
        <v>59795</v>
      </c>
      <c r="D298" s="20" t="n">
        <v>59795</v>
      </c>
      <c r="F298" s="20" t="n">
        <v>97616</v>
      </c>
      <c r="G298" s="20" t="n">
        <v>97616</v>
      </c>
      <c r="H298" s="20" t="n">
        <v>97616</v>
      </c>
      <c r="J298" s="20" t="n">
        <v>515001</v>
      </c>
      <c r="K298" s="20" t="n">
        <v>577483</v>
      </c>
      <c r="L298" s="20" t="n">
        <v>577483</v>
      </c>
      <c r="N298" s="20" t="n">
        <v>0</v>
      </c>
      <c r="Q298" s="20" t="n">
        <v>341516</v>
      </c>
      <c r="R298" s="20" t="n">
        <v>59435</v>
      </c>
      <c r="S298" s="20" t="n">
        <v>122201</v>
      </c>
      <c r="T298" s="20" t="n">
        <v>55334</v>
      </c>
      <c r="U298" s="20" t="n">
        <v>69175</v>
      </c>
      <c r="V298" s="20" t="n">
        <v>59795</v>
      </c>
      <c r="W298" s="20" t="n">
        <v>97616</v>
      </c>
      <c r="X298" s="20" t="n">
        <v>577483</v>
      </c>
    </row>
    <row r="299">
      <c r="A299" s="18" t="inlineStr">
        <is>
          <t>사채 상환</t>
        </is>
      </c>
      <c r="C299" s="20" t="n">
        <v>-62445</v>
      </c>
      <c r="D299" s="20" t="n">
        <v>-68194</v>
      </c>
      <c r="E299" s="20" t="n">
        <v>-4819</v>
      </c>
      <c r="F299" s="20" t="n">
        <v>-8397</v>
      </c>
      <c r="G299" s="20" t="n">
        <v>-8719</v>
      </c>
      <c r="H299" s="20" t="n">
        <v>-8722</v>
      </c>
      <c r="I299" s="20" t="n">
        <v>0</v>
      </c>
      <c r="J299" s="20" t="n">
        <v>0</v>
      </c>
      <c r="K299" s="20" t="n">
        <v>-120165</v>
      </c>
      <c r="L299" s="20" t="n">
        <v>-120165</v>
      </c>
      <c r="M299" s="20" t="n">
        <v>-67532</v>
      </c>
      <c r="N299" s="20" t="n">
        <v>-67532</v>
      </c>
      <c r="Q299" s="20" t="n">
        <v>-54086</v>
      </c>
      <c r="R299" s="20" t="n">
        <v>0</v>
      </c>
      <c r="S299" s="20" t="n">
        <v>-80000</v>
      </c>
      <c r="T299" s="20" t="n">
        <v>-147911</v>
      </c>
      <c r="U299" s="20" t="n">
        <v>-30000</v>
      </c>
      <c r="V299" s="20" t="n">
        <v>-68194</v>
      </c>
      <c r="W299" s="20" t="n">
        <v>-8722</v>
      </c>
      <c r="X299" s="20" t="n">
        <v>-120165</v>
      </c>
    </row>
    <row r="300">
      <c r="A300" s="18" t="inlineStr">
        <is>
          <t>리스부채 상환 지출</t>
        </is>
      </c>
      <c r="Q300" s="20" t="n">
        <v>-1637</v>
      </c>
      <c r="R300" s="20" t="n">
        <v>-14294</v>
      </c>
    </row>
    <row r="301">
      <c r="A301" s="18" t="inlineStr">
        <is>
          <t>리스부채 상환 지출</t>
        </is>
      </c>
      <c r="R301" s="20" t="n">
        <v>-14294</v>
      </c>
      <c r="S301" s="20" t="n">
        <v>-17741</v>
      </c>
    </row>
    <row r="302">
      <c r="A302" s="18" t="inlineStr">
        <is>
          <t>리스부채 상환 지출</t>
        </is>
      </c>
      <c r="C302" s="20" t="n">
        <v>-17724</v>
      </c>
      <c r="D302" s="20" t="n">
        <v>-23613</v>
      </c>
      <c r="E302" s="20" t="n">
        <v>-6504</v>
      </c>
      <c r="F302" s="20" t="n">
        <v>-13427</v>
      </c>
      <c r="G302" s="20" t="n">
        <v>-19758</v>
      </c>
      <c r="H302" s="20" t="n">
        <v>-26218</v>
      </c>
      <c r="I302" s="20" t="n">
        <v>-6378</v>
      </c>
      <c r="J302" s="20" t="n">
        <v>-12916</v>
      </c>
      <c r="K302" s="20" t="n">
        <v>-18767</v>
      </c>
      <c r="L302" s="20" t="n">
        <v>-24787</v>
      </c>
      <c r="M302" s="20" t="n">
        <v>-6962</v>
      </c>
      <c r="N302" s="20" t="n">
        <v>-13679</v>
      </c>
      <c r="S302" s="20" t="n">
        <v>-17741</v>
      </c>
      <c r="T302" s="20" t="n">
        <v>-20449</v>
      </c>
      <c r="U302" s="20" t="n">
        <v>-21009</v>
      </c>
      <c r="V302" s="20" t="n">
        <v>-23613</v>
      </c>
      <c r="W302" s="20" t="n">
        <v>-26218</v>
      </c>
      <c r="X302" s="20" t="n">
        <v>-24787</v>
      </c>
    </row>
    <row r="303">
      <c r="A303" s="18" t="inlineStr">
        <is>
          <t>자기주식 취득</t>
        </is>
      </c>
      <c r="C303" s="20" t="n">
        <v>-1</v>
      </c>
      <c r="D303" s="20" t="n">
        <v>-1</v>
      </c>
      <c r="E303" s="20" t="n">
        <v>-1</v>
      </c>
      <c r="F303" s="20" t="n">
        <v>-1</v>
      </c>
      <c r="G303" s="20" t="n">
        <v>-2</v>
      </c>
      <c r="H303" s="20" t="n">
        <v>-2</v>
      </c>
      <c r="I303" s="20" t="n">
        <v>-620</v>
      </c>
      <c r="J303" s="20" t="n">
        <v>-1579</v>
      </c>
      <c r="K303" s="20" t="n">
        <v>-1622</v>
      </c>
      <c r="L303" s="20" t="n">
        <v>-1622</v>
      </c>
      <c r="M303" s="20" t="n">
        <v>-842</v>
      </c>
      <c r="N303" s="20" t="n">
        <v>-858</v>
      </c>
      <c r="Q303" s="20" t="n">
        <v>-0</v>
      </c>
      <c r="R303" s="20" t="n">
        <v>-50001</v>
      </c>
      <c r="S303" s="20" t="n">
        <v>-1</v>
      </c>
      <c r="T303" s="20" t="n">
        <v>-1</v>
      </c>
      <c r="U303" s="20" t="n">
        <v>-1</v>
      </c>
      <c r="V303" s="20" t="n">
        <v>-1</v>
      </c>
      <c r="W303" s="20" t="n">
        <v>-2</v>
      </c>
      <c r="X303" s="20" t="n">
        <v>-1622</v>
      </c>
    </row>
    <row r="304">
      <c r="A304" s="18" t="inlineStr">
        <is>
          <t>비지배지분으로부터 자회사 지분 취득 지출</t>
        </is>
      </c>
      <c r="C304" s="20" t="n">
        <v>-16</v>
      </c>
      <c r="D304" s="20" t="n">
        <v>-17</v>
      </c>
      <c r="E304" s="20" t="n">
        <v>-99</v>
      </c>
      <c r="F304" s="20" t="n">
        <v>-99</v>
      </c>
      <c r="G304" s="20" t="n">
        <v>-100</v>
      </c>
      <c r="H304" s="20" t="n">
        <v>-100</v>
      </c>
      <c r="I304" s="20" t="n">
        <v>-0</v>
      </c>
      <c r="J304" s="20" t="n">
        <v>-5</v>
      </c>
      <c r="K304" s="20" t="n">
        <v>-12</v>
      </c>
      <c r="L304" s="20" t="n">
        <v>-12</v>
      </c>
      <c r="M304" s="20" t="n">
        <v>0</v>
      </c>
      <c r="N304" s="20" t="n">
        <v>0</v>
      </c>
      <c r="Q304" s="20" t="n">
        <v>-9421</v>
      </c>
      <c r="R304" s="20" t="n">
        <v>-1</v>
      </c>
      <c r="S304" s="20" t="n">
        <v>-3132</v>
      </c>
      <c r="T304" s="20" t="n">
        <v>-1</v>
      </c>
      <c r="U304" s="20" t="n">
        <v>-1</v>
      </c>
      <c r="V304" s="20" t="n">
        <v>-17</v>
      </c>
      <c r="W304" s="20" t="n">
        <v>-100</v>
      </c>
      <c r="X304" s="20" t="n">
        <v>-12</v>
      </c>
    </row>
    <row r="305">
      <c r="A305" s="18" t="inlineStr">
        <is>
          <t>Proceeds From Settlement Of Derivatives</t>
        </is>
      </c>
      <c r="T305" s="20" t="n">
        <v>0</v>
      </c>
      <c r="U305" s="20" t="n">
        <v>12281</v>
      </c>
    </row>
    <row r="306">
      <c r="A306" s="18" t="inlineStr">
        <is>
          <t>Proceeds From Settlement Of Derivatives Fin CF</t>
        </is>
      </c>
      <c r="D306" s="20" t="n">
        <v>0</v>
      </c>
      <c r="U306" s="20" t="n">
        <v>12281</v>
      </c>
      <c r="V306" s="20" t="n">
        <v>0</v>
      </c>
    </row>
    <row r="307">
      <c r="A307" s="18" t="inlineStr">
        <is>
          <t>기타</t>
        </is>
      </c>
      <c r="C307" s="20" t="n">
        <v>0</v>
      </c>
      <c r="D307" s="20" t="n">
        <v>0</v>
      </c>
      <c r="E307" s="20" t="n">
        <v>0</v>
      </c>
      <c r="F307" s="20" t="n">
        <v>0</v>
      </c>
      <c r="G307" s="20" t="n">
        <v>0</v>
      </c>
      <c r="H307" s="20" t="n">
        <v>0</v>
      </c>
      <c r="I307" s="20" t="n">
        <v>0</v>
      </c>
      <c r="J307" s="20" t="n">
        <v>0</v>
      </c>
      <c r="K307" s="20" t="n">
        <v>0</v>
      </c>
      <c r="L307" s="20" t="n">
        <v>0</v>
      </c>
      <c r="M307" s="20" t="n">
        <v>0</v>
      </c>
      <c r="N307" s="20" t="n">
        <v>0</v>
      </c>
      <c r="Q307" s="20" t="n">
        <v>0</v>
      </c>
      <c r="R307" s="20" t="n">
        <v>0</v>
      </c>
      <c r="S307" s="20" t="n">
        <v>0</v>
      </c>
      <c r="T307" s="20" t="n">
        <v>0</v>
      </c>
      <c r="U307" s="20" t="n">
        <v>0</v>
      </c>
      <c r="V307" s="20" t="n">
        <v>0</v>
      </c>
      <c r="W307" s="20" t="n">
        <v>0</v>
      </c>
      <c r="X307" s="20" t="n">
        <v>0</v>
      </c>
    </row>
    <row r="308">
      <c r="A308" s="9" t="inlineStr">
        <is>
          <t>재무활동 현금흐름</t>
        </is>
      </c>
      <c r="C308" s="12" t="n">
        <v>-413746</v>
      </c>
      <c r="D308" s="12" t="n">
        <v>-270500</v>
      </c>
      <c r="E308" s="12" t="n">
        <v>-341248</v>
      </c>
      <c r="F308" s="12" t="n">
        <v>-267492</v>
      </c>
      <c r="G308" s="12" t="n">
        <v>-439420</v>
      </c>
      <c r="H308" s="12" t="n">
        <v>-94906</v>
      </c>
      <c r="I308" s="12" t="n">
        <v>-180119</v>
      </c>
      <c r="J308" s="12" t="n">
        <v>-230877</v>
      </c>
      <c r="K308" s="12" t="n">
        <v>-473942</v>
      </c>
      <c r="L308" s="12" t="n">
        <v>-475471</v>
      </c>
      <c r="M308" s="12" t="n">
        <v>-159815</v>
      </c>
      <c r="N308" s="12" t="n">
        <v>-278240</v>
      </c>
      <c r="Q308" s="12" t="n">
        <v>-62360</v>
      </c>
      <c r="R308" s="12" t="n">
        <v>-333832</v>
      </c>
      <c r="S308" s="12" t="n">
        <v>-297404</v>
      </c>
      <c r="T308" s="12" t="n">
        <v>-353138</v>
      </c>
      <c r="U308" s="12" t="n">
        <v>-306176</v>
      </c>
      <c r="V308" s="12" t="n">
        <v>-270500</v>
      </c>
      <c r="W308" s="12" t="n">
        <v>-94906</v>
      </c>
      <c r="X308" s="12" t="n">
        <v>-475471</v>
      </c>
    </row>
    <row r="309">
      <c r="A309" s="18" t="inlineStr">
        <is>
          <t>Net Increase Decrease In Cash And Cash Equivalents Before Effect Of Exchange Rate Changes</t>
        </is>
      </c>
      <c r="C309" s="20" t="n">
        <v>-27352</v>
      </c>
      <c r="D309" s="20" t="n">
        <v>170385</v>
      </c>
      <c r="E309" s="20" t="n">
        <v>-307089</v>
      </c>
      <c r="F309" s="20" t="n">
        <v>-35986</v>
      </c>
      <c r="G309" s="20" t="n">
        <v>-190046</v>
      </c>
      <c r="H309" s="20" t="n">
        <v>95339</v>
      </c>
      <c r="I309" s="20" t="n">
        <v>-267782</v>
      </c>
      <c r="J309" s="20" t="n">
        <v>-195391</v>
      </c>
      <c r="K309" s="20" t="n">
        <v>-358221</v>
      </c>
      <c r="L309" s="20" t="n">
        <v>-226400</v>
      </c>
      <c r="M309" s="20" t="n">
        <v>-132711</v>
      </c>
      <c r="N309" s="20" t="n">
        <v>-5334</v>
      </c>
      <c r="Q309" s="20" t="n">
        <v>15721</v>
      </c>
      <c r="R309" s="20" t="n">
        <v>83008</v>
      </c>
      <c r="S309" s="20" t="n">
        <v>227784</v>
      </c>
      <c r="T309" s="20" t="n">
        <v>148271</v>
      </c>
      <c r="U309" s="20" t="n">
        <v>75801</v>
      </c>
      <c r="V309" s="20" t="n">
        <v>170385</v>
      </c>
      <c r="W309" s="20" t="n">
        <v>95339</v>
      </c>
      <c r="X309" s="20" t="n">
        <v>-226400</v>
      </c>
    </row>
    <row r="310">
      <c r="A310" s="18" t="inlineStr">
        <is>
          <t>현금성자산 환율변동 효과</t>
        </is>
      </c>
      <c r="C310" s="20" t="n">
        <v>29509</v>
      </c>
      <c r="D310" s="20" t="n">
        <v>2935</v>
      </c>
      <c r="E310" s="20" t="n">
        <v>33831</v>
      </c>
      <c r="F310" s="20" t="n">
        <v>83620</v>
      </c>
      <c r="G310" s="20" t="n">
        <v>-55312</v>
      </c>
      <c r="H310" s="20" t="n">
        <v>-50978</v>
      </c>
      <c r="I310" s="20" t="n">
        <v>-7421</v>
      </c>
      <c r="J310" s="20" t="n">
        <v>-3153</v>
      </c>
      <c r="K310" s="20" t="n">
        <v>5330</v>
      </c>
      <c r="L310" s="20" t="n">
        <v>-27015</v>
      </c>
      <c r="M310" s="20" t="n">
        <v>-1096</v>
      </c>
      <c r="N310" s="20" t="n">
        <v>2091</v>
      </c>
      <c r="Q310" s="20" t="n">
        <v>-19145</v>
      </c>
      <c r="R310" s="20" t="n">
        <v>-7913</v>
      </c>
      <c r="S310" s="20" t="n">
        <v>-46098</v>
      </c>
      <c r="T310" s="20" t="n">
        <v>34616</v>
      </c>
      <c r="U310" s="20" t="n">
        <v>69353</v>
      </c>
      <c r="V310" s="20" t="n">
        <v>2935</v>
      </c>
      <c r="W310" s="20" t="n">
        <v>-50978</v>
      </c>
      <c r="X310" s="20" t="n">
        <v>-27015</v>
      </c>
    </row>
    <row r="311">
      <c r="A311" s="18" t="inlineStr">
        <is>
          <t>Changes In Cash And Cash Equivalents Resulting From Transfer To Assets Held For Sale</t>
        </is>
      </c>
      <c r="F311" s="20" t="n">
        <v>0</v>
      </c>
      <c r="G311" s="20" t="n">
        <v>0</v>
      </c>
      <c r="H311" s="20" t="n">
        <v>0</v>
      </c>
      <c r="I311" s="20" t="n">
        <v>0</v>
      </c>
      <c r="J311" s="20" t="n">
        <v>-20837</v>
      </c>
      <c r="K311" s="20" t="n">
        <v>-2212</v>
      </c>
      <c r="L311" s="20" t="n">
        <v>-17</v>
      </c>
      <c r="M311" s="20" t="n">
        <v>-2706</v>
      </c>
      <c r="W311" s="20" t="n">
        <v>0</v>
      </c>
      <c r="X311" s="20" t="n">
        <v>-17</v>
      </c>
    </row>
    <row r="312">
      <c r="A312" s="18" t="inlineStr">
        <is>
          <t>Changes In Cash And Cash Equivalents Resulting From Transfer To Assets Held For Sale CF</t>
        </is>
      </c>
      <c r="J312" s="20" t="n">
        <v>-20837</v>
      </c>
      <c r="N312" s="20" t="n">
        <v>17</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94"/>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2914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2025.2Q</t>
        </is>
      </c>
      <c r="D3" s="5" t="inlineStr">
        <is>
          <t>2025.3Q</t>
        </is>
      </c>
      <c r="E3" s="5" t="inlineStr">
        <is>
          <t>2025.4Q</t>
        </is>
      </c>
      <c r="F3" s="5" t="inlineStr">
        <is>
          <t>2026.1Q</t>
        </is>
      </c>
      <c r="G3" s="5" t="inlineStr">
        <is>
          <t>2026.2Q</t>
        </is>
      </c>
      <c r="H3" s="6" t="inlineStr">
        <is>
          <t>2021</t>
        </is>
      </c>
      <c r="I3" s="5" t="inlineStr">
        <is>
          <t>2022</t>
        </is>
      </c>
      <c r="J3" s="5" t="inlineStr">
        <is>
          <t>2023</t>
        </is>
      </c>
      <c r="K3" s="5" t="inlineStr">
        <is>
          <t>2024</t>
        </is>
      </c>
      <c r="L3" s="5" t="inlineStr">
        <is>
          <t>2025</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3443426</v>
      </c>
      <c r="D5" s="12" t="n">
        <v>3303093</v>
      </c>
      <c r="E5" s="12" t="n">
        <v>3711097</v>
      </c>
      <c r="F5" s="12" t="n">
        <v>3587373</v>
      </c>
      <c r="G5" s="12" t="n">
        <v>3853117</v>
      </c>
      <c r="H5" s="11" t="n">
        <v>2321289</v>
      </c>
      <c r="I5" s="12" t="n">
        <v>2723591</v>
      </c>
      <c r="J5" s="12" t="n">
        <v>3259561</v>
      </c>
      <c r="K5" s="12" t="n">
        <v>3577572</v>
      </c>
      <c r="L5" s="12" t="n">
        <v>3711097</v>
      </c>
    </row>
    <row r="6">
      <c r="A6" s="18" t="inlineStr">
        <is>
          <t>현금및현금성자산</t>
        </is>
      </c>
      <c r="B6" s="10" t="n"/>
      <c r="C6" s="19" t="n">
        <v>865185</v>
      </c>
      <c r="D6" s="20" t="n">
        <v>729463</v>
      </c>
      <c r="E6" s="20" t="n">
        <v>831135</v>
      </c>
      <c r="F6" s="20" t="n">
        <v>694622</v>
      </c>
      <c r="G6" s="20" t="n">
        <v>827909</v>
      </c>
      <c r="H6" s="19" t="n">
        <v>721731</v>
      </c>
      <c r="I6" s="20" t="n">
        <v>866885</v>
      </c>
      <c r="J6" s="20" t="n">
        <v>1040206</v>
      </c>
      <c r="K6" s="20" t="n">
        <v>1084567</v>
      </c>
      <c r="L6" s="20" t="n">
        <v>831135</v>
      </c>
    </row>
    <row r="7">
      <c r="A7" s="18" t="inlineStr">
        <is>
          <t>단기금융상품</t>
        </is>
      </c>
      <c r="B7" s="10" t="n"/>
      <c r="C7" s="19" t="n">
        <v>100177</v>
      </c>
      <c r="D7" s="20" t="n">
        <v>131871</v>
      </c>
      <c r="E7" s="20" t="n">
        <v>195816</v>
      </c>
      <c r="F7" s="20" t="n">
        <v>187695</v>
      </c>
      <c r="G7" s="20" t="n">
        <v>205435</v>
      </c>
      <c r="H7" s="19" t="n">
        <v>17254</v>
      </c>
      <c r="I7" s="20" t="n">
        <v>37677</v>
      </c>
      <c r="J7" s="20" t="n">
        <v>58633</v>
      </c>
      <c r="K7" s="20" t="n">
        <v>120211</v>
      </c>
      <c r="L7" s="20" t="n">
        <v>195816</v>
      </c>
    </row>
    <row r="8">
      <c r="A8" s="18" t="inlineStr">
        <is>
          <t>매출채권</t>
        </is>
      </c>
      <c r="B8" s="10" t="n"/>
      <c r="C8" s="19" t="n">
        <v>581171</v>
      </c>
      <c r="D8" s="20" t="n">
        <v>614024</v>
      </c>
      <c r="E8" s="20" t="n">
        <v>640681</v>
      </c>
      <c r="F8" s="20" t="n">
        <v>706827</v>
      </c>
      <c r="G8" s="20" t="n">
        <v>753747</v>
      </c>
      <c r="H8" s="19" t="n">
        <v>456587</v>
      </c>
      <c r="I8" s="20" t="n">
        <v>477239</v>
      </c>
      <c r="J8" s="20" t="n">
        <v>535302</v>
      </c>
      <c r="K8" s="20" t="n">
        <v>568982</v>
      </c>
      <c r="L8" s="20" t="n">
        <v>640681</v>
      </c>
    </row>
    <row r="9">
      <c r="A9" s="18" t="inlineStr">
        <is>
          <t>재고자산</t>
        </is>
      </c>
      <c r="B9" s="10" t="n"/>
      <c r="C9" s="19" t="n">
        <v>962632</v>
      </c>
      <c r="D9" s="20" t="n">
        <v>1003588</v>
      </c>
      <c r="E9" s="20" t="n">
        <v>1060136</v>
      </c>
      <c r="F9" s="20" t="n">
        <v>1089424</v>
      </c>
      <c r="G9" s="20" t="n">
        <v>1118751</v>
      </c>
      <c r="H9" s="19" t="n">
        <v>563182</v>
      </c>
      <c r="I9" s="20" t="n">
        <v>691906</v>
      </c>
      <c r="J9" s="20" t="n">
        <v>832611</v>
      </c>
      <c r="K9" s="20" t="n">
        <v>957281</v>
      </c>
      <c r="L9" s="20" t="n">
        <v>1060136</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4819360</v>
      </c>
      <c r="D11" s="12" t="n">
        <v>4891952</v>
      </c>
      <c r="E11" s="12" t="n">
        <v>4708143</v>
      </c>
      <c r="F11" s="12" t="n">
        <v>4763837</v>
      </c>
      <c r="G11" s="12" t="n">
        <v>4816836</v>
      </c>
      <c r="H11" s="11" t="n">
        <v>3452920</v>
      </c>
      <c r="I11" s="12" t="n">
        <v>3824487</v>
      </c>
      <c r="J11" s="12" t="n">
        <v>4022536</v>
      </c>
      <c r="K11" s="12" t="n">
        <v>4793160</v>
      </c>
      <c r="L11" s="12" t="n">
        <v>4708143</v>
      </c>
    </row>
    <row r="12">
      <c r="A12" s="18" t="inlineStr">
        <is>
          <t>유형자산</t>
        </is>
      </c>
      <c r="B12" s="10" t="n"/>
      <c r="C12" s="19" t="n">
        <v>902212</v>
      </c>
      <c r="D12" s="20" t="n">
        <v>925446</v>
      </c>
      <c r="E12" s="20" t="n">
        <v>979800</v>
      </c>
      <c r="F12" s="20" t="n">
        <v>981948</v>
      </c>
      <c r="G12" s="20" t="n">
        <v>994977</v>
      </c>
      <c r="H12" s="19" t="n">
        <v>755843</v>
      </c>
      <c r="I12" s="20" t="n">
        <v>775957</v>
      </c>
      <c r="J12" s="20" t="n">
        <v>821499</v>
      </c>
      <c r="K12" s="20" t="n">
        <v>907700</v>
      </c>
      <c r="L12" s="20" t="n">
        <v>979800</v>
      </c>
    </row>
    <row r="13">
      <c r="A13" s="18" t="inlineStr">
        <is>
          <t>무형자산</t>
        </is>
      </c>
      <c r="B13" s="10" t="n"/>
      <c r="C13" s="19" t="n">
        <v>403680</v>
      </c>
      <c r="D13" s="20" t="n">
        <v>393856</v>
      </c>
      <c r="E13" s="20" t="n">
        <v>395658</v>
      </c>
      <c r="F13" s="20" t="n">
        <v>393430</v>
      </c>
      <c r="G13" s="20" t="n">
        <v>385184</v>
      </c>
      <c r="H13" s="19" t="n">
        <v>307152</v>
      </c>
      <c r="I13" s="20" t="n">
        <v>246442</v>
      </c>
      <c r="J13" s="20" t="n">
        <v>200819</v>
      </c>
      <c r="K13" s="20" t="n">
        <v>486463</v>
      </c>
      <c r="L13" s="20" t="n">
        <v>395658</v>
      </c>
    </row>
    <row r="14">
      <c r="A14" s="18" t="inlineStr">
        <is>
          <t>투자부동산</t>
        </is>
      </c>
      <c r="B14" s="10" t="n"/>
      <c r="C14" s="19" t="n">
        <v>3436</v>
      </c>
      <c r="D14" s="20" t="n">
        <v>2940</v>
      </c>
      <c r="E14" s="20" t="n">
        <v>3068</v>
      </c>
      <c r="F14" s="20" t="n">
        <v>3036</v>
      </c>
      <c r="G14" s="20" t="n">
        <v>3139</v>
      </c>
      <c r="H14" s="19" t="n">
        <v>4985</v>
      </c>
      <c r="I14" s="20" t="n">
        <v>9495</v>
      </c>
      <c r="J14" s="20" t="n">
        <v>9338</v>
      </c>
      <c r="K14" s="20" t="n">
        <v>3716</v>
      </c>
      <c r="L14" s="20" t="n">
        <v>3068</v>
      </c>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8262786</v>
      </c>
      <c r="D16" s="12" t="n">
        <v>8195045</v>
      </c>
      <c r="E16" s="12" t="n">
        <v>8419240</v>
      </c>
      <c r="F16" s="12" t="n">
        <v>8351210</v>
      </c>
      <c r="G16" s="12" t="n">
        <v>8669953</v>
      </c>
      <c r="H16" s="11" t="n">
        <v>5774209</v>
      </c>
      <c r="I16" s="12" t="n">
        <v>6548078</v>
      </c>
      <c r="J16" s="12" t="n">
        <v>7282097</v>
      </c>
      <c r="K16" s="12" t="n">
        <v>8370732</v>
      </c>
      <c r="L16" s="12" t="n">
        <v>8419240</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1874309</v>
      </c>
      <c r="D18" s="12" t="n">
        <v>1691886</v>
      </c>
      <c r="E18" s="12" t="n">
        <v>1927252</v>
      </c>
      <c r="F18" s="12" t="n">
        <v>1906663</v>
      </c>
      <c r="G18" s="12" t="n">
        <v>1884837</v>
      </c>
      <c r="H18" s="11" t="n">
        <v>1500326</v>
      </c>
      <c r="I18" s="12" t="n">
        <v>1562664</v>
      </c>
      <c r="J18" s="12" t="n">
        <v>1927276</v>
      </c>
      <c r="K18" s="12" t="n">
        <v>2148607</v>
      </c>
      <c r="L18" s="12" t="n">
        <v>1927252</v>
      </c>
    </row>
    <row r="19">
      <c r="A19" s="18" t="inlineStr">
        <is>
          <t>매입채무</t>
        </is>
      </c>
      <c r="B19" s="10" t="n"/>
      <c r="C19" s="19" t="n">
        <v>567713</v>
      </c>
      <c r="D19" s="20" t="n">
        <v>597373</v>
      </c>
      <c r="E19" s="20" t="n">
        <v>711721</v>
      </c>
      <c r="F19" s="20" t="n">
        <v>671320</v>
      </c>
      <c r="G19" s="20" t="n">
        <v>623516</v>
      </c>
      <c r="H19" s="19" t="n">
        <v>555777</v>
      </c>
      <c r="I19" s="20" t="n">
        <v>540089</v>
      </c>
      <c r="J19" s="20" t="n">
        <v>592802</v>
      </c>
      <c r="K19" s="20" t="n">
        <v>659510</v>
      </c>
      <c r="L19" s="20" t="n">
        <v>711721</v>
      </c>
    </row>
    <row r="20">
      <c r="A20" s="18" t="inlineStr">
        <is>
          <t>단기차입금</t>
        </is>
      </c>
      <c r="B20" s="10" t="n"/>
      <c r="C20" s="19" t="n"/>
      <c r="D20" s="20" t="n"/>
      <c r="E20" s="20" t="n">
        <v>0</v>
      </c>
      <c r="F20" s="20" t="n"/>
      <c r="G20" s="20" t="n"/>
      <c r="H20" s="19" t="n"/>
      <c r="I20" s="20" t="n">
        <v>0</v>
      </c>
      <c r="J20" s="20" t="n">
        <v>158000</v>
      </c>
      <c r="K20" s="20" t="n">
        <v>100000</v>
      </c>
      <c r="L20" s="20" t="n">
        <v>0</v>
      </c>
    </row>
    <row r="21">
      <c r="A21" s="18" t="inlineStr">
        <is>
          <t>유동성장기부채</t>
        </is>
      </c>
      <c r="B21" s="10" t="n"/>
      <c r="C21" s="19" t="n"/>
      <c r="D21" s="20" t="n"/>
      <c r="E21" s="20" t="n">
        <v>0</v>
      </c>
      <c r="F21" s="20" t="n"/>
      <c r="G21" s="20" t="n"/>
      <c r="H21" s="19" t="n">
        <v>60000</v>
      </c>
      <c r="I21" s="20" t="n">
        <v>60000</v>
      </c>
      <c r="J21" s="20" t="n">
        <v>20000</v>
      </c>
      <c r="K21" s="20" t="n">
        <v>25000</v>
      </c>
      <c r="L21" s="20" t="n">
        <v>0</v>
      </c>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2246639</v>
      </c>
      <c r="D23" s="12" t="n">
        <v>2334395</v>
      </c>
      <c r="E23" s="12" t="n">
        <v>2376599</v>
      </c>
      <c r="F23" s="12" t="n">
        <v>2329658</v>
      </c>
      <c r="G23" s="12" t="n">
        <v>2362066</v>
      </c>
      <c r="H23" s="11" t="n">
        <v>1387803</v>
      </c>
      <c r="I23" s="12" t="n">
        <v>1368653</v>
      </c>
      <c r="J23" s="12" t="n">
        <v>1442329</v>
      </c>
      <c r="K23" s="12" t="n">
        <v>2373398</v>
      </c>
      <c r="L23" s="12" t="n">
        <v>2376599</v>
      </c>
    </row>
    <row r="24">
      <c r="A24" s="18" t="inlineStr">
        <is>
          <t>장기차입금</t>
        </is>
      </c>
      <c r="B24" s="10" t="n"/>
      <c r="C24" s="19" t="n"/>
      <c r="D24" s="20" t="n"/>
      <c r="E24" s="20" t="n">
        <v>120000</v>
      </c>
      <c r="F24" s="20" t="n"/>
      <c r="G24" s="20" t="n"/>
      <c r="H24" s="19" t="n">
        <v>140000</v>
      </c>
      <c r="I24" s="20" t="n">
        <v>140000</v>
      </c>
      <c r="J24" s="20" t="n">
        <v>120000</v>
      </c>
      <c r="K24" s="20" t="n">
        <v>120000</v>
      </c>
      <c r="L24" s="20" t="n">
        <v>120000</v>
      </c>
    </row>
    <row r="25">
      <c r="A25" s="18" t="inlineStr">
        <is>
          <t>사채</t>
        </is>
      </c>
      <c r="B25" s="10" t="n"/>
      <c r="C25" s="19" t="n">
        <v>1439954</v>
      </c>
      <c r="D25" s="20" t="n">
        <v>1539781</v>
      </c>
      <c r="E25" s="20" t="n">
        <v>1599061</v>
      </c>
      <c r="F25" s="20" t="n">
        <v>1553454</v>
      </c>
      <c r="G25" s="20" t="n">
        <v>1559685</v>
      </c>
      <c r="H25" s="19" t="n">
        <v>775721</v>
      </c>
      <c r="I25" s="20" t="n">
        <v>821003</v>
      </c>
      <c r="J25" s="20" t="n">
        <v>908926</v>
      </c>
      <c r="K25" s="20" t="n">
        <v>1548120</v>
      </c>
      <c r="L25" s="20" t="n">
        <v>1599061</v>
      </c>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4120948</v>
      </c>
      <c r="D27" s="12" t="n">
        <v>4026281</v>
      </c>
      <c r="E27" s="12" t="n">
        <v>4303851</v>
      </c>
      <c r="F27" s="12" t="n">
        <v>4236321</v>
      </c>
      <c r="G27" s="12" t="n">
        <v>4246903</v>
      </c>
      <c r="H27" s="11" t="n">
        <v>2888128</v>
      </c>
      <c r="I27" s="12" t="n">
        <v>2931317</v>
      </c>
      <c r="J27" s="12" t="n">
        <v>3369605</v>
      </c>
      <c r="K27" s="12" t="n">
        <v>4522005</v>
      </c>
      <c r="L27" s="12" t="n">
        <v>4303851</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4059580</v>
      </c>
      <c r="D31" s="12" t="n">
        <v>4142487</v>
      </c>
      <c r="E31" s="12" t="n">
        <v>4086933</v>
      </c>
      <c r="F31" s="12" t="n">
        <v>4085402</v>
      </c>
      <c r="G31" s="12" t="n">
        <v>4393958</v>
      </c>
      <c r="H31" s="11" t="n">
        <v>2809258</v>
      </c>
      <c r="I31" s="12" t="n">
        <v>3540435</v>
      </c>
      <c r="J31" s="12" t="n">
        <v>3830156</v>
      </c>
      <c r="K31" s="12" t="n">
        <v>3766623</v>
      </c>
      <c r="L31" s="12" t="n">
        <v>4086933</v>
      </c>
    </row>
    <row r="32">
      <c r="A32" s="18" t="inlineStr">
        <is>
          <t>자본금</t>
        </is>
      </c>
      <c r="B32" s="10" t="n"/>
      <c r="C32" s="19" t="n">
        <v>100000</v>
      </c>
      <c r="D32" s="20" t="n">
        <v>100000</v>
      </c>
      <c r="E32" s="20" t="n">
        <v>100000</v>
      </c>
      <c r="F32" s="20" t="n">
        <v>100000</v>
      </c>
      <c r="G32" s="20" t="n">
        <v>100000</v>
      </c>
      <c r="H32" s="19" t="n">
        <v>100000</v>
      </c>
      <c r="I32" s="20" t="n">
        <v>100000</v>
      </c>
      <c r="J32" s="20" t="n">
        <v>100000</v>
      </c>
      <c r="K32" s="20" t="n">
        <v>100000</v>
      </c>
      <c r="L32" s="20" t="n">
        <v>100000</v>
      </c>
    </row>
    <row r="33">
      <c r="A33" s="18" t="inlineStr">
        <is>
          <t>이익잉여금</t>
        </is>
      </c>
      <c r="B33" s="10" t="n"/>
      <c r="C33" s="19" t="n">
        <v>3184646</v>
      </c>
      <c r="D33" s="20" t="n">
        <v>3194640</v>
      </c>
      <c r="E33" s="20" t="n">
        <v>3213555</v>
      </c>
      <c r="F33" s="20" t="n">
        <v>3178880</v>
      </c>
      <c r="G33" s="20" t="n">
        <v>3413605</v>
      </c>
      <c r="H33" s="19" t="n">
        <v>2863843</v>
      </c>
      <c r="I33" s="20" t="n">
        <v>3089909</v>
      </c>
      <c r="J33" s="20" t="n">
        <v>3192323</v>
      </c>
      <c r="K33" s="20" t="n">
        <v>3036905</v>
      </c>
      <c r="L33" s="20" t="n">
        <v>3213555</v>
      </c>
    </row>
    <row r="34">
      <c r="A34" s="18" t="inlineStr">
        <is>
          <t>비지배지분</t>
        </is>
      </c>
      <c r="B34" s="10" t="n"/>
      <c r="C34" s="19" t="n">
        <v>82258</v>
      </c>
      <c r="D34" s="20" t="n">
        <v>26277</v>
      </c>
      <c r="E34" s="20" t="n">
        <v>28456</v>
      </c>
      <c r="F34" s="20" t="n">
        <v>29487</v>
      </c>
      <c r="G34" s="20" t="n">
        <v>29092</v>
      </c>
      <c r="H34" s="19" t="n">
        <v>76823</v>
      </c>
      <c r="I34" s="20" t="n">
        <v>76326</v>
      </c>
      <c r="J34" s="20" t="n">
        <v>82336</v>
      </c>
      <c r="K34" s="20" t="n">
        <v>82104</v>
      </c>
      <c r="L34" s="20" t="n">
        <v>28456</v>
      </c>
    </row>
    <row r="35">
      <c r="A35" s="9" t="inlineStr">
        <is>
          <t>자본총계</t>
        </is>
      </c>
      <c r="B35" s="10" t="n"/>
      <c r="C35" s="11" t="n">
        <v>4141838</v>
      </c>
      <c r="D35" s="12" t="n">
        <v>4168764</v>
      </c>
      <c r="E35" s="12" t="n">
        <v>4115389</v>
      </c>
      <c r="F35" s="12" t="n">
        <v>4114889</v>
      </c>
      <c r="G35" s="12" t="n">
        <v>4423050</v>
      </c>
      <c r="H35" s="11" t="n">
        <v>2886081</v>
      </c>
      <c r="I35" s="12" t="n">
        <v>3616761</v>
      </c>
      <c r="J35" s="12" t="n">
        <v>3912491</v>
      </c>
      <c r="K35" s="12" t="n">
        <v>3848727</v>
      </c>
      <c r="L35" s="12" t="n">
        <v>4115389</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537256</v>
      </c>
      <c r="D37" s="12" t="n">
        <v>524993</v>
      </c>
      <c r="E37" s="12" t="n">
        <v>514056</v>
      </c>
      <c r="F37" s="12" t="n">
        <v>560225</v>
      </c>
      <c r="G37" s="12" t="n">
        <v>677934</v>
      </c>
      <c r="H37" s="11" t="n">
        <v>598909</v>
      </c>
      <c r="I37" s="12" t="n">
        <v>483799</v>
      </c>
      <c r="J37" s="12" t="n">
        <v>566317</v>
      </c>
      <c r="K37" s="12" t="n">
        <v>630011</v>
      </c>
      <c r="L37" s="12" t="n">
        <v>514056</v>
      </c>
    </row>
    <row r="38">
      <c r="A38" s="18" t="inlineStr">
        <is>
          <t>CAPEX (유·무형 취득)</t>
        </is>
      </c>
      <c r="B38" s="10" t="inlineStr">
        <is>
          <t>양수로 입력</t>
        </is>
      </c>
      <c r="C38" s="19" t="n">
        <v>148863</v>
      </c>
      <c r="D38" s="20" t="n">
        <v>153892</v>
      </c>
      <c r="E38" s="20" t="n">
        <v>162386</v>
      </c>
      <c r="F38" s="20" t="n">
        <v>158749</v>
      </c>
      <c r="G38" s="20" t="n">
        <v>161421</v>
      </c>
      <c r="H38" s="19" t="n">
        <v>102918</v>
      </c>
      <c r="I38" s="20" t="n">
        <v>99408</v>
      </c>
      <c r="J38" s="20" t="n">
        <v>116568</v>
      </c>
      <c r="K38" s="20" t="n">
        <v>150367</v>
      </c>
      <c r="L38" s="20" t="n">
        <v>162386</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344374</v>
      </c>
      <c r="D40" s="20" t="n">
        <v>357043</v>
      </c>
      <c r="E40" s="20" t="n">
        <v>356853</v>
      </c>
      <c r="F40" s="20" t="n">
        <v>415437</v>
      </c>
      <c r="G40" s="20" t="n">
        <v>415386</v>
      </c>
      <c r="H40" s="19" t="n">
        <v>251935</v>
      </c>
      <c r="I40" s="20" t="n">
        <v>266175</v>
      </c>
      <c r="J40" s="20" t="n">
        <v>367331</v>
      </c>
      <c r="K40" s="20" t="n">
        <v>349645</v>
      </c>
      <c r="L40" s="20" t="n">
        <v>356853</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IFERROR((IF(COUNT('연간'!G25:J25)&lt;4,"",SUM('연간'!G25:J25)))/(IF(COUNT('연간'!G47:J47)&lt;4,"",SUM('연간'!G47:J47))),"")</f>
        <v/>
      </c>
      <c r="D48" s="31">
        <f>IFERROR((IF(COUNT('연간'!H25:K25)&lt;4,"",SUM('연간'!H25:K25)))/(IF(COUNT('연간'!H47:K47)&lt;4,"",SUM('연간'!H47:K47))),"")</f>
        <v/>
      </c>
      <c r="E48" s="31">
        <f>IFERROR((IF(COUNT('연간'!I25:L25)&lt;4,"",SUM('연간'!I25:L25)))/(IF(COUNT('연간'!I47:L47)&lt;4,"",SUM('연간'!I47:L47))),"")</f>
        <v/>
      </c>
      <c r="F48" s="31">
        <f>IFERROR((IF(COUNT('연간'!J25:M25)&lt;4,"",SUM('연간'!J25:M25)))/(IF(COUNT('연간'!J47:M47)&lt;4,"",SUM('연간'!J47:M47))),"")</f>
        <v/>
      </c>
      <c r="G48" s="31">
        <f>IFERROR((IF(COUNT('연간'!K25:N25)&lt;4,"",SUM('연간'!K25:N25)))/(IF(COUNT('연간'!K47:N47)&lt;4,"",SUM('연간'!K47:N47))),"")</f>
        <v/>
      </c>
      <c r="H48" s="30">
        <f>IFERROR(('연간'!T25)/('연간'!T47),"")</f>
        <v/>
      </c>
      <c r="I48" s="31">
        <f>IFERROR(('연간'!U25)/('연간'!U47),"")</f>
        <v/>
      </c>
      <c r="J48" s="31">
        <f>IFERROR(('연간'!V25)/('연간'!V47),"")</f>
        <v/>
      </c>
      <c r="K48" s="31">
        <f>IFERROR(('연간'!W25)/('연간'!W47),"")</f>
        <v/>
      </c>
      <c r="L48" s="31">
        <f>IFERROR(('연간'!X25)/('연간'!X47),"")</f>
        <v/>
      </c>
    </row>
    <row r="49">
      <c r="A49" s="45" t="inlineStr">
        <is>
          <t>차입금 상환연수</t>
        </is>
      </c>
      <c r="B49" s="10" t="inlineStr">
        <is>
          <t>4년↓ (버핏)</t>
        </is>
      </c>
      <c r="C49" s="46">
        <f>IFERROR(IF((IF(COUNT('연간'!G53:J53)&lt;4,"",SUM('연간'!G53:J53)))&lt;=0,"적자",C28/(IF(COUNT('연간'!G53:J53)&lt;4,"",SUM('연간'!G53:J53)))),"")</f>
        <v/>
      </c>
      <c r="D49" s="47">
        <f>IFERROR(IF((IF(COUNT('연간'!H53:K53)&lt;4,"",SUM('연간'!H53:K53)))&lt;=0,"적자",D28/(IF(COUNT('연간'!H53:K53)&lt;4,"",SUM('연간'!H53:K53)))),"")</f>
        <v/>
      </c>
      <c r="E49" s="47">
        <f>IFERROR(IF((IF(COUNT('연간'!I53:L53)&lt;4,"",SUM('연간'!I53:L53)))&lt;=0,"적자",E28/(IF(COUNT('연간'!I53:L53)&lt;4,"",SUM('연간'!I53:L53)))),"")</f>
        <v/>
      </c>
      <c r="F49" s="47">
        <f>IFERROR(IF((IF(COUNT('연간'!J53:M53)&lt;4,"",SUM('연간'!J53:M53)))&lt;=0,"적자",F28/(IF(COUNT('연간'!J53:M53)&lt;4,"",SUM('연간'!J53:M53)))),"")</f>
        <v/>
      </c>
      <c r="G49" s="47">
        <f>IFERROR(IF((IF(COUNT('연간'!K53:N53)&lt;4,"",SUM('연간'!K53:N53)))&lt;=0,"적자",G28/(IF(COUNT('연간'!K53:N53)&lt;4,"",SUM('연간'!K53:N53)))),"")</f>
        <v/>
      </c>
      <c r="H49" s="46">
        <f>IFERROR(IF(('연간'!T53)&lt;=0,"적자",H28/('연간'!T53)),"")</f>
        <v/>
      </c>
      <c r="I49" s="47">
        <f>IFERROR(IF(('연간'!U53)&lt;=0,"적자",I28/('연간'!U53)),"")</f>
        <v/>
      </c>
      <c r="J49" s="47">
        <f>IFERROR(IF(('연간'!V53)&lt;=0,"적자",J28/('연간'!V53)),"")</f>
        <v/>
      </c>
      <c r="K49" s="47">
        <f>IFERROR(IF(('연간'!W53)&lt;=0,"적자",K28/('연간'!W53)),"")</f>
        <v/>
      </c>
      <c r="L49" s="47">
        <f>IFERROR(IF(('연간'!X53)&lt;=0,"적자",L28/('연간'!X53)),"")</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IFERROR((IF(COUNT('연간'!G53:J53)&lt;4,"",SUM('연간'!G53:J53)))/C31,"")</f>
        <v/>
      </c>
      <c r="D51" s="36">
        <f>IFERROR((IF(COUNT('연간'!H53:K53)&lt;4,"",SUM('연간'!H53:K53)))/D31,"")</f>
        <v/>
      </c>
      <c r="E51" s="36">
        <f>IFERROR((IF(COUNT('연간'!I53:L53)&lt;4,"",SUM('연간'!I53:L53)))/E31,"")</f>
        <v/>
      </c>
      <c r="F51" s="36">
        <f>IFERROR((IF(COUNT('연간'!J53:M53)&lt;4,"",SUM('연간'!J53:M53)))/F31,"")</f>
        <v/>
      </c>
      <c r="G51" s="36">
        <f>IFERROR((IF(COUNT('연간'!K53:N53)&lt;4,"",SUM('연간'!K53:N53)))/G31,"")</f>
        <v/>
      </c>
      <c r="H51" s="35">
        <f>IFERROR(('연간'!T53)/H31,"")</f>
        <v/>
      </c>
      <c r="I51" s="36">
        <f>IFERROR(('연간'!U53)/I31,"")</f>
        <v/>
      </c>
      <c r="J51" s="36">
        <f>IFERROR(('연간'!V53)/J31,"")</f>
        <v/>
      </c>
      <c r="K51" s="36">
        <f>IFERROR(('연간'!W53)/K31,"")</f>
        <v/>
      </c>
      <c r="L51" s="36">
        <f>IFERROR(('연간'!X53)/L31,"")</f>
        <v/>
      </c>
    </row>
    <row r="52">
      <c r="A52" s="45" t="inlineStr">
        <is>
          <t>ROA</t>
        </is>
      </c>
      <c r="B52" s="10" t="inlineStr">
        <is>
          <t>5%↑</t>
        </is>
      </c>
      <c r="C52" s="35">
        <f>IFERROR((IF(COUNT('연간'!G52:J52)&lt;4,"",SUM('연간'!G52:J52)))/C16,"")</f>
        <v/>
      </c>
      <c r="D52" s="36">
        <f>IFERROR((IF(COUNT('연간'!H52:K52)&lt;4,"",SUM('연간'!H52:K52)))/D16,"")</f>
        <v/>
      </c>
      <c r="E52" s="36">
        <f>IFERROR((IF(COUNT('연간'!I52:L52)&lt;4,"",SUM('연간'!I52:L52)))/E16,"")</f>
        <v/>
      </c>
      <c r="F52" s="36">
        <f>IFERROR((IF(COUNT('연간'!J52:M52)&lt;4,"",SUM('연간'!J52:M52)))/F16,"")</f>
        <v/>
      </c>
      <c r="G52" s="36">
        <f>IFERROR((IF(COUNT('연간'!K52:N52)&lt;4,"",SUM('연간'!K52:N52)))/G16,"")</f>
        <v/>
      </c>
      <c r="H52" s="35">
        <f>IFERROR(('연간'!T52)/H16,"")</f>
        <v/>
      </c>
      <c r="I52" s="36">
        <f>IFERROR(('연간'!U52)/I16,"")</f>
        <v/>
      </c>
      <c r="J52" s="36">
        <f>IFERROR(('연간'!V52)/J16,"")</f>
        <v/>
      </c>
      <c r="K52" s="36">
        <f>IFERROR(('연간'!W52)/K16,"")</f>
        <v/>
      </c>
      <c r="L52" s="36">
        <f>IFERROR(('연간'!X52)/L16,"")</f>
        <v/>
      </c>
    </row>
    <row r="53">
      <c r="A53" s="45" t="inlineStr">
        <is>
          <t>ROIC</t>
        </is>
      </c>
      <c r="B53" s="10" t="inlineStr">
        <is>
          <t>10%↑ (세후영업이익 기준)</t>
        </is>
      </c>
      <c r="C53" s="35">
        <f>IFERROR((IF(COUNT('연간'!G25:J25)&lt;4,"",SUM('연간'!G25:J25)))*(1-0.3)/(C35+C29),"")</f>
        <v/>
      </c>
      <c r="D53" s="36">
        <f>IFERROR((IF(COUNT('연간'!H25:K25)&lt;4,"",SUM('연간'!H25:K25)))*(1-0.3)/(D35+D29),"")</f>
        <v/>
      </c>
      <c r="E53" s="36">
        <f>IFERROR((IF(COUNT('연간'!I25:L25)&lt;4,"",SUM('연간'!I25:L25)))*(1-0.3)/(E35+E29),"")</f>
        <v/>
      </c>
      <c r="F53" s="36">
        <f>IFERROR((IF(COUNT('연간'!J25:M25)&lt;4,"",SUM('연간'!J25:M25)))*(1-0.3)/(F35+F29),"")</f>
        <v/>
      </c>
      <c r="G53" s="36">
        <f>IFERROR((IF(COUNT('연간'!K25:N25)&lt;4,"",SUM('연간'!K25:N25)))*(1-0.3)/(G35+G29),"")</f>
        <v/>
      </c>
      <c r="H53" s="35">
        <f>IFERROR(('연간'!T25)*(1-0.3)/(H35+H29),"")</f>
        <v/>
      </c>
      <c r="I53" s="36">
        <f>IFERROR(('연간'!U25)*(1-0.3)/(I35+I29),"")</f>
        <v/>
      </c>
      <c r="J53" s="36">
        <f>IFERROR(('연간'!V25)*(1-0.3)/(J35+J29),"")</f>
        <v/>
      </c>
      <c r="K53" s="36">
        <f>IFERROR(('연간'!W25)*(1-0.3)/(K35+K29),"")</f>
        <v/>
      </c>
      <c r="L53" s="36">
        <f>IFERROR(('연간'!X25)*(1-0.3)/(L35+L29),"")</f>
        <v/>
      </c>
    </row>
    <row r="54">
      <c r="A54" s="45" t="inlineStr">
        <is>
          <t>매출총이익률 (GPM)</t>
        </is>
      </c>
      <c r="B54" s="10" t="inlineStr">
        <is>
          <t>40%↑ (해자 신호)</t>
        </is>
      </c>
      <c r="C54" s="35">
        <f>IFERROR((IF(COUNT('연간'!G21:J21)&lt;4,"",SUM('연간'!G21:J21)))/(IF(COUNT('연간'!G4:J4)&lt;4,"",SUM('연간'!G4:J4))),"")</f>
        <v/>
      </c>
      <c r="D54" s="36">
        <f>IFERROR((IF(COUNT('연간'!H21:K21)&lt;4,"",SUM('연간'!H21:K21)))/(IF(COUNT('연간'!H4:K4)&lt;4,"",SUM('연간'!H4:K4))),"")</f>
        <v/>
      </c>
      <c r="E54" s="36">
        <f>IFERROR((IF(COUNT('연간'!I21:L21)&lt;4,"",SUM('연간'!I21:L21)))/(IF(COUNT('연간'!I4:L4)&lt;4,"",SUM('연간'!I4:L4))),"")</f>
        <v/>
      </c>
      <c r="F54" s="36">
        <f>IFERROR((IF(COUNT('연간'!J21:M21)&lt;4,"",SUM('연간'!J21:M21)))/(IF(COUNT('연간'!J4:M4)&lt;4,"",SUM('연간'!J4:M4))),"")</f>
        <v/>
      </c>
      <c r="G54" s="36">
        <f>IFERROR((IF(COUNT('연간'!K21:N21)&lt;4,"",SUM('연간'!K21:N21)))/(IF(COUNT('연간'!K4:N4)&lt;4,"",SUM('연간'!K4:N4))),"")</f>
        <v/>
      </c>
      <c r="H54" s="35">
        <f>IFERROR(('연간'!T21)/('연간'!T4),"")</f>
        <v/>
      </c>
      <c r="I54" s="36">
        <f>IFERROR(('연간'!U21)/('연간'!U4),"")</f>
        <v/>
      </c>
      <c r="J54" s="36">
        <f>IFERROR(('연간'!V21)/('연간'!V4),"")</f>
        <v/>
      </c>
      <c r="K54" s="36">
        <f>IFERROR(('연간'!W21)/('연간'!W4),"")</f>
        <v/>
      </c>
      <c r="L54" s="36">
        <f>IFERROR(('연간'!X21)/('연간'!X4),"")</f>
        <v/>
      </c>
    </row>
    <row r="55">
      <c r="A55" s="45" t="inlineStr">
        <is>
          <t>영업이익률 (OPM)</t>
        </is>
      </c>
      <c r="B55" s="10" t="inlineStr">
        <is>
          <t>15%↑</t>
        </is>
      </c>
      <c r="C55" s="35">
        <f>IFERROR((IF(COUNT('연간'!G25:J25)&lt;4,"",SUM('연간'!G25:J25)))/(IF(COUNT('연간'!G4:J4)&lt;4,"",SUM('연간'!G4:J4))),"")</f>
        <v/>
      </c>
      <c r="D55" s="36">
        <f>IFERROR((IF(COUNT('연간'!H25:K25)&lt;4,"",SUM('연간'!H25:K25)))/(IF(COUNT('연간'!H4:K4)&lt;4,"",SUM('연간'!H4:K4))),"")</f>
        <v/>
      </c>
      <c r="E55" s="36">
        <f>IFERROR((IF(COUNT('연간'!I25:L25)&lt;4,"",SUM('연간'!I25:L25)))/(IF(COUNT('연간'!I4:L4)&lt;4,"",SUM('연간'!I4:L4))),"")</f>
        <v/>
      </c>
      <c r="F55" s="36">
        <f>IFERROR((IF(COUNT('연간'!J25:M25)&lt;4,"",SUM('연간'!J25:M25)))/(IF(COUNT('연간'!J4:M4)&lt;4,"",SUM('연간'!J4:M4))),"")</f>
        <v/>
      </c>
      <c r="G55" s="36">
        <f>IFERROR((IF(COUNT('연간'!K25:N25)&lt;4,"",SUM('연간'!K25:N25)))/(IF(COUNT('연간'!K4:N4)&lt;4,"",SUM('연간'!K4:N4))),"")</f>
        <v/>
      </c>
      <c r="H55" s="35">
        <f>IFERROR(('연간'!T25)/('연간'!T4),"")</f>
        <v/>
      </c>
      <c r="I55" s="36">
        <f>IFERROR(('연간'!U25)/('연간'!U4),"")</f>
        <v/>
      </c>
      <c r="J55" s="36">
        <f>IFERROR(('연간'!V25)/('연간'!V4),"")</f>
        <v/>
      </c>
      <c r="K55" s="36">
        <f>IFERROR(('연간'!W25)/('연간'!W4),"")</f>
        <v/>
      </c>
      <c r="L55" s="36">
        <f>IFERROR(('연간'!X25)/('연간'!X4),"")</f>
        <v/>
      </c>
    </row>
    <row r="56">
      <c r="A56" s="45" t="inlineStr">
        <is>
          <t>순이익률</t>
        </is>
      </c>
      <c r="B56" s="10" t="inlineStr">
        <is>
          <t>10%↑</t>
        </is>
      </c>
      <c r="C56" s="35">
        <f>IFERROR((IF(COUNT('연간'!G52:J52)&lt;4,"",SUM('연간'!G52:J52)))/(IF(COUNT('연간'!G4:J4)&lt;4,"",SUM('연간'!G4:J4))),"")</f>
        <v/>
      </c>
      <c r="D56" s="36">
        <f>IFERROR((IF(COUNT('연간'!H52:K52)&lt;4,"",SUM('연간'!H52:K52)))/(IF(COUNT('연간'!H4:K4)&lt;4,"",SUM('연간'!H4:K4))),"")</f>
        <v/>
      </c>
      <c r="E56" s="36">
        <f>IFERROR((IF(COUNT('연간'!I52:L52)&lt;4,"",SUM('연간'!I52:L52)))/(IF(COUNT('연간'!I4:L4)&lt;4,"",SUM('연간'!I4:L4))),"")</f>
        <v/>
      </c>
      <c r="F56" s="36">
        <f>IFERROR((IF(COUNT('연간'!J52:M52)&lt;4,"",SUM('연간'!J52:M52)))/(IF(COUNT('연간'!J4:M4)&lt;4,"",SUM('연간'!J4:M4))),"")</f>
        <v/>
      </c>
      <c r="G56" s="36">
        <f>IFERROR((IF(COUNT('연간'!K52:N52)&lt;4,"",SUM('연간'!K52:N52)))/(IF(COUNT('연간'!K4:N4)&lt;4,"",SUM('연간'!K4:N4))),"")</f>
        <v/>
      </c>
      <c r="H56" s="35">
        <f>IFERROR(('연간'!T52)/('연간'!T4),"")</f>
        <v/>
      </c>
      <c r="I56" s="36">
        <f>IFERROR(('연간'!U52)/('연간'!U4),"")</f>
        <v/>
      </c>
      <c r="J56" s="36">
        <f>IFERROR(('연간'!V52)/('연간'!V4),"")</f>
        <v/>
      </c>
      <c r="K56" s="36">
        <f>IFERROR(('연간'!W52)/('연간'!W4),"")</f>
        <v/>
      </c>
      <c r="L56" s="36">
        <f>IFERROR(('연간'!X52)/('연간'!X4),"")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IFERROR(C9/(IF(COUNT('연간'!G20:J20)&lt;4,"",SUM('연간'!G20:J20)))*365,"")</f>
        <v/>
      </c>
      <c r="D60" s="49">
        <f>IFERROR(D9/(IF(COUNT('연간'!H20:K20)&lt;4,"",SUM('연간'!H20:K20)))*365,"")</f>
        <v/>
      </c>
      <c r="E60" s="49">
        <f>IFERROR(E9/(IF(COUNT('연간'!I20:L20)&lt;4,"",SUM('연간'!I20:L20)))*365,"")</f>
        <v/>
      </c>
      <c r="F60" s="49">
        <f>IFERROR(F9/(IF(COUNT('연간'!J20:M20)&lt;4,"",SUM('연간'!J20:M20)))*365,"")</f>
        <v/>
      </c>
      <c r="G60" s="49">
        <f>IFERROR(G9/(IF(COUNT('연간'!K20:N20)&lt;4,"",SUM('연간'!K20:N20)))*365,"")</f>
        <v/>
      </c>
      <c r="H60" s="48">
        <f>IFERROR(H9/('연간'!T20)*365,"")</f>
        <v/>
      </c>
      <c r="I60" s="49">
        <f>IFERROR(I9/('연간'!U20)*365,"")</f>
        <v/>
      </c>
      <c r="J60" s="49">
        <f>IFERROR(J9/('연간'!V20)*365,"")</f>
        <v/>
      </c>
      <c r="K60" s="49">
        <f>IFERROR(K9/('연간'!W20)*365,"")</f>
        <v/>
      </c>
      <c r="L60" s="49">
        <f>IFERROR(L9/('연간'!X20)*365,"")</f>
        <v/>
      </c>
    </row>
    <row r="61">
      <c r="A61" s="45" t="inlineStr">
        <is>
          <t>매입채무회전일수</t>
        </is>
      </c>
      <c r="B61" s="10" t="inlineStr">
        <is>
          <t>길수록 유리</t>
        </is>
      </c>
      <c r="C61" s="48">
        <f>IFERROR(C19/(IF(COUNT('연간'!G20:J20)&lt;4,"",SUM('연간'!G20:J20)))*365,"")</f>
        <v/>
      </c>
      <c r="D61" s="49">
        <f>IFERROR(D19/(IF(COUNT('연간'!H20:K20)&lt;4,"",SUM('연간'!H20:K20)))*365,"")</f>
        <v/>
      </c>
      <c r="E61" s="49">
        <f>IFERROR(E19/(IF(COUNT('연간'!I20:L20)&lt;4,"",SUM('연간'!I20:L20)))*365,"")</f>
        <v/>
      </c>
      <c r="F61" s="49">
        <f>IFERROR(F19/(IF(COUNT('연간'!J20:M20)&lt;4,"",SUM('연간'!J20:M20)))*365,"")</f>
        <v/>
      </c>
      <c r="G61" s="49">
        <f>IFERROR(G19/(IF(COUNT('연간'!K20:N20)&lt;4,"",SUM('연간'!K20:N20)))*365,"")</f>
        <v/>
      </c>
      <c r="H61" s="48">
        <f>IFERROR(H19/('연간'!T20)*365,"")</f>
        <v/>
      </c>
      <c r="I61" s="49">
        <f>IFERROR(I19/('연간'!U20)*365,"")</f>
        <v/>
      </c>
      <c r="J61" s="49">
        <f>IFERROR(J19/('연간'!V20)*365,"")</f>
        <v/>
      </c>
      <c r="K61" s="49">
        <f>IFERROR(K19/('연간'!W20)*365,"")</f>
        <v/>
      </c>
      <c r="L61" s="49">
        <f>IFERROR(L19/('연간'!X20)*365,"")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IF(C37="","",IFERROR(C37/(IF(COUNT('연간'!G52:J52)&lt;4,"",SUM('연간'!G52:J52))),""))</f>
        <v/>
      </c>
      <c r="D64" s="31">
        <f>IF(D37="","",IFERROR(D37/(IF(COUNT('연간'!H52:K52)&lt;4,"",SUM('연간'!H52:K52))),""))</f>
        <v/>
      </c>
      <c r="E64" s="31">
        <f>IF(E37="","",IFERROR(E37/(IF(COUNT('연간'!I52:L52)&lt;4,"",SUM('연간'!I52:L52))),""))</f>
        <v/>
      </c>
      <c r="F64" s="31">
        <f>IF(F37="","",IFERROR(F37/(IF(COUNT('연간'!J52:M52)&lt;4,"",SUM('연간'!J52:M52))),""))</f>
        <v/>
      </c>
      <c r="G64" s="31">
        <f>IF(G37="","",IFERROR(G37/(IF(COUNT('연간'!K52:N52)&lt;4,"",SUM('연간'!K52:N52))),""))</f>
        <v/>
      </c>
      <c r="H64" s="30">
        <f>IF(H37="","",IFERROR(H37/('연간'!T52),""))</f>
        <v/>
      </c>
      <c r="I64" s="31">
        <f>IF(I37="","",IFERROR(I37/('연간'!U52),""))</f>
        <v/>
      </c>
      <c r="J64" s="31">
        <f>IF(J37="","",IFERROR(J37/('연간'!V52),""))</f>
        <v/>
      </c>
      <c r="K64" s="31">
        <f>IF(K37="","",IFERROR(K37/('연간'!W52),""))</f>
        <v/>
      </c>
      <c r="L64" s="31">
        <f>IF(L37="","",IFERROR(L37/('연간'!X52),""))</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IF(C40="","",IFERROR(C40/(IF(COUNT('연간'!G53:J53)&lt;4,"",SUM('연간'!G53:J53))),""))</f>
        <v/>
      </c>
      <c r="D67" s="36">
        <f>IF(D40="","",IFERROR(D40/(IF(COUNT('연간'!H53:K53)&lt;4,"",SUM('연간'!H53:K53))),""))</f>
        <v/>
      </c>
      <c r="E67" s="36">
        <f>IF(E40="","",IFERROR(E40/(IF(COUNT('연간'!I53:L53)&lt;4,"",SUM('연간'!I53:L53))),""))</f>
        <v/>
      </c>
      <c r="F67" s="36">
        <f>IF(F40="","",IFERROR(F40/(IF(COUNT('연간'!J53:M53)&lt;4,"",SUM('연간'!J53:M53))),""))</f>
        <v/>
      </c>
      <c r="G67" s="36">
        <f>IF(G40="","",IFERROR(G40/(IF(COUNT('연간'!K53:N53)&lt;4,"",SUM('연간'!K53:N53))),""))</f>
        <v/>
      </c>
      <c r="H67" s="35">
        <f>IF(H40="","",IFERROR(H40/('연간'!T53),""))</f>
        <v/>
      </c>
      <c r="I67" s="36">
        <f>IF(I40="","",IFERROR(I40/('연간'!U53),""))</f>
        <v/>
      </c>
      <c r="J67" s="36">
        <f>IF(J40="","",IFERROR(J40/('연간'!V53),""))</f>
        <v/>
      </c>
      <c r="K67" s="36">
        <f>IF(K40="","",IFERROR(K40/('연간'!W53),""))</f>
        <v/>
      </c>
      <c r="L67" s="36">
        <f>IF(L40="","",IFERROR(L40/('연간'!X53),""))</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2025.2Q</t>
        </is>
      </c>
      <c r="D70" s="5" t="inlineStr">
        <is>
          <t>2025.3Q</t>
        </is>
      </c>
      <c r="E70" s="5" t="inlineStr">
        <is>
          <t>2025.4Q</t>
        </is>
      </c>
      <c r="F70" s="5" t="inlineStr">
        <is>
          <t>2026.1Q</t>
        </is>
      </c>
      <c r="G70" s="5" t="inlineStr">
        <is>
          <t>2026.2Q</t>
        </is>
      </c>
      <c r="H70" s="5" t="inlineStr">
        <is>
          <t>2021</t>
        </is>
      </c>
      <c r="I70" s="5" t="inlineStr">
        <is>
          <t>2022</t>
        </is>
      </c>
      <c r="J70" s="5" t="inlineStr">
        <is>
          <t>2023</t>
        </is>
      </c>
      <c r="K70" s="5" t="inlineStr">
        <is>
          <t>2024</t>
        </is>
      </c>
      <c r="L70" s="5" t="inlineStr">
        <is>
          <t>2025</t>
        </is>
      </c>
    </row>
    <row r="71">
      <c r="A71" s="18" t="inlineStr">
        <is>
          <t>현금및현금성자산</t>
        </is>
      </c>
      <c r="C71" s="20" t="n">
        <v>865185</v>
      </c>
      <c r="D71" s="20" t="n">
        <v>729463</v>
      </c>
      <c r="E71" s="20" t="n">
        <v>831135</v>
      </c>
      <c r="F71" s="20" t="n">
        <v>694622</v>
      </c>
      <c r="G71" s="20" t="n">
        <v>827909</v>
      </c>
      <c r="H71" s="20" t="n">
        <v>721731</v>
      </c>
      <c r="I71" s="20" t="n">
        <v>866885</v>
      </c>
      <c r="J71" s="20" t="n">
        <v>1040206</v>
      </c>
      <c r="K71" s="20" t="n">
        <v>1084567</v>
      </c>
      <c r="L71" s="20" t="n">
        <v>831135</v>
      </c>
    </row>
    <row r="72">
      <c r="A72" s="18" t="inlineStr">
        <is>
          <t>영업채권 및 기타채권</t>
        </is>
      </c>
      <c r="C72" s="20" t="n">
        <v>581171</v>
      </c>
      <c r="D72" s="20" t="n">
        <v>614024</v>
      </c>
      <c r="E72" s="20" t="n">
        <v>640681</v>
      </c>
      <c r="F72" s="20" t="n">
        <v>706827</v>
      </c>
      <c r="G72" s="20" t="n">
        <v>753747</v>
      </c>
      <c r="H72" s="20" t="n">
        <v>456587</v>
      </c>
      <c r="I72" s="20" t="n">
        <v>477239</v>
      </c>
      <c r="J72" s="20" t="n">
        <v>535302</v>
      </c>
      <c r="K72" s="20" t="n">
        <v>568982</v>
      </c>
      <c r="L72" s="20" t="n">
        <v>640681</v>
      </c>
    </row>
    <row r="73">
      <c r="A73" s="18" t="inlineStr">
        <is>
          <t>재고자산</t>
        </is>
      </c>
      <c r="C73" s="20" t="n">
        <v>962632</v>
      </c>
      <c r="D73" s="20" t="n">
        <v>1003588</v>
      </c>
      <c r="E73" s="20" t="n">
        <v>1060136</v>
      </c>
      <c r="F73" s="20" t="n">
        <v>1089424</v>
      </c>
      <c r="G73" s="20" t="n">
        <v>1118751</v>
      </c>
      <c r="H73" s="20" t="n">
        <v>563182</v>
      </c>
      <c r="I73" s="20" t="n">
        <v>691906</v>
      </c>
      <c r="J73" s="20" t="n">
        <v>832611</v>
      </c>
      <c r="K73" s="20" t="n">
        <v>957281</v>
      </c>
      <c r="L73" s="20" t="n">
        <v>1060136</v>
      </c>
    </row>
    <row r="74">
      <c r="A74" s="18" t="inlineStr">
        <is>
          <t>기타금융자산</t>
        </is>
      </c>
      <c r="C74" s="20" t="n">
        <v>100177</v>
      </c>
      <c r="D74" s="20" t="n">
        <v>131871</v>
      </c>
      <c r="E74" s="20" t="n">
        <v>195816</v>
      </c>
      <c r="F74" s="20" t="n">
        <v>187695</v>
      </c>
      <c r="G74" s="20" t="n">
        <v>205435</v>
      </c>
      <c r="H74" s="20" t="n">
        <v>17254</v>
      </c>
      <c r="I74" s="20" t="n">
        <v>37677</v>
      </c>
      <c r="J74" s="20" t="n">
        <v>58633</v>
      </c>
      <c r="K74" s="20" t="n">
        <v>120211</v>
      </c>
      <c r="L74" s="20" t="n">
        <v>195816</v>
      </c>
    </row>
    <row r="75">
      <c r="A75" s="18" t="inlineStr">
        <is>
          <t>기타유동자산</t>
        </is>
      </c>
      <c r="C75" s="20" t="n">
        <v>796844</v>
      </c>
      <c r="D75" s="20" t="n">
        <v>792232</v>
      </c>
      <c r="E75" s="20" t="n">
        <v>977640</v>
      </c>
      <c r="F75" s="20" t="n">
        <v>898775</v>
      </c>
      <c r="G75" s="20" t="n">
        <v>942389</v>
      </c>
      <c r="H75" s="20" t="n">
        <v>562034</v>
      </c>
      <c r="I75" s="20" t="n">
        <v>649181</v>
      </c>
      <c r="J75" s="20" t="n">
        <v>789888</v>
      </c>
      <c r="K75" s="20" t="n">
        <v>826766</v>
      </c>
      <c r="L75" s="20" t="n">
        <v>977640</v>
      </c>
    </row>
    <row r="76">
      <c r="A76" s="9" t="inlineStr">
        <is>
          <t>소계</t>
        </is>
      </c>
      <c r="C76" s="12" t="n">
        <v>3306010</v>
      </c>
      <c r="D76" s="12" t="n">
        <v>3271179</v>
      </c>
      <c r="E76" s="12" t="n">
        <v>3705408</v>
      </c>
      <c r="F76" s="12" t="n">
        <v>3577343</v>
      </c>
      <c r="G76" s="12" t="n">
        <v>3848232</v>
      </c>
      <c r="H76" s="12" t="n">
        <v>2320789</v>
      </c>
      <c r="I76" s="12" t="n">
        <v>2722889</v>
      </c>
      <c r="J76" s="12" t="n">
        <v>3256639</v>
      </c>
      <c r="K76" s="12" t="n">
        <v>3557807</v>
      </c>
      <c r="L76" s="12" t="n">
        <v>3705408</v>
      </c>
    </row>
    <row r="77">
      <c r="A77" s="18" t="inlineStr">
        <is>
          <t>매각예정 자산</t>
        </is>
      </c>
      <c r="C77" s="20" t="n">
        <v>137416</v>
      </c>
      <c r="D77" s="20" t="n">
        <v>31914</v>
      </c>
      <c r="E77" s="20" t="n">
        <v>5689</v>
      </c>
      <c r="F77" s="20" t="n">
        <v>10030</v>
      </c>
      <c r="G77" s="20" t="n">
        <v>4885</v>
      </c>
      <c r="H77" s="20" t="n">
        <v>500</v>
      </c>
      <c r="I77" s="20" t="n">
        <v>702</v>
      </c>
      <c r="J77" s="20" t="n">
        <v>2921</v>
      </c>
      <c r="K77" s="20" t="n">
        <v>19765</v>
      </c>
      <c r="L77" s="20" t="n">
        <v>5689</v>
      </c>
    </row>
    <row r="78">
      <c r="A78" s="9" t="inlineStr">
        <is>
          <t>유동자산 합계</t>
        </is>
      </c>
      <c r="C78" s="12" t="n">
        <v>3443426</v>
      </c>
      <c r="D78" s="12" t="n">
        <v>3303093</v>
      </c>
      <c r="E78" s="12" t="n">
        <v>3711097</v>
      </c>
      <c r="F78" s="12" t="n">
        <v>3587373</v>
      </c>
      <c r="G78" s="12" t="n">
        <v>3853117</v>
      </c>
      <c r="H78" s="12" t="n">
        <v>2321289</v>
      </c>
      <c r="I78" s="12" t="n">
        <v>2723591</v>
      </c>
      <c r="J78" s="12" t="n">
        <v>3259561</v>
      </c>
      <c r="K78" s="12" t="n">
        <v>3577572</v>
      </c>
      <c r="L78" s="12" t="n">
        <v>3711097</v>
      </c>
    </row>
    <row r="79">
      <c r="A79" s="18" t="inlineStr">
        <is>
          <t>유형자산</t>
        </is>
      </c>
      <c r="C79" s="20" t="n">
        <v>902212</v>
      </c>
      <c r="D79" s="20" t="n">
        <v>925446</v>
      </c>
      <c r="E79" s="20" t="n">
        <v>979800</v>
      </c>
      <c r="F79" s="20" t="n">
        <v>981948</v>
      </c>
      <c r="G79" s="20" t="n">
        <v>994977</v>
      </c>
      <c r="H79" s="20" t="n">
        <v>755843</v>
      </c>
      <c r="I79" s="20" t="n">
        <v>775957</v>
      </c>
      <c r="J79" s="20" t="n">
        <v>821499</v>
      </c>
      <c r="K79" s="20" t="n">
        <v>907700</v>
      </c>
      <c r="L79" s="20" t="n">
        <v>979800</v>
      </c>
    </row>
    <row r="80">
      <c r="A80" s="18" t="inlineStr">
        <is>
          <t>영업권</t>
        </is>
      </c>
      <c r="C80" s="20" t="n">
        <v>3037581</v>
      </c>
      <c r="D80" s="20" t="n">
        <v>3102544</v>
      </c>
      <c r="E80" s="20" t="n">
        <v>2923096</v>
      </c>
      <c r="F80" s="20" t="n">
        <v>2954536</v>
      </c>
      <c r="G80" s="20" t="n">
        <v>2986714</v>
      </c>
      <c r="H80" s="20" t="n">
        <v>2060965</v>
      </c>
      <c r="I80" s="20" t="n">
        <v>2446063</v>
      </c>
      <c r="J80" s="20" t="n">
        <v>2616440</v>
      </c>
      <c r="K80" s="20" t="n">
        <v>2914254</v>
      </c>
      <c r="L80" s="20" t="n">
        <v>2923096</v>
      </c>
    </row>
    <row r="81">
      <c r="A81" s="18" t="inlineStr">
        <is>
          <t>무형자산</t>
        </is>
      </c>
      <c r="C81" s="20" t="n">
        <v>403680</v>
      </c>
      <c r="D81" s="20" t="n">
        <v>393856</v>
      </c>
      <c r="E81" s="20" t="n">
        <v>395658</v>
      </c>
      <c r="F81" s="20" t="n">
        <v>393430</v>
      </c>
      <c r="G81" s="20" t="n">
        <v>385184</v>
      </c>
      <c r="H81" s="20" t="n">
        <v>307152</v>
      </c>
      <c r="I81" s="20" t="n">
        <v>246442</v>
      </c>
      <c r="J81" s="20" t="n">
        <v>200819</v>
      </c>
      <c r="K81" s="20" t="n">
        <v>486463</v>
      </c>
      <c r="L81" s="20" t="n">
        <v>395658</v>
      </c>
    </row>
    <row r="82">
      <c r="A82" s="18" t="inlineStr">
        <is>
          <t>Investment Property</t>
        </is>
      </c>
      <c r="C82" s="20" t="n">
        <v>3436</v>
      </c>
      <c r="D82" s="20" t="n">
        <v>2940</v>
      </c>
      <c r="E82" s="20" t="n">
        <v>3068</v>
      </c>
      <c r="F82" s="20" t="n">
        <v>3036</v>
      </c>
      <c r="G82" s="20" t="n">
        <v>3139</v>
      </c>
      <c r="H82" s="20" t="n">
        <v>4985</v>
      </c>
      <c r="I82" s="20" t="n">
        <v>9495</v>
      </c>
      <c r="J82" s="20" t="n">
        <v>9338</v>
      </c>
      <c r="K82" s="20" t="n">
        <v>3716</v>
      </c>
      <c r="L82" s="20" t="n">
        <v>3068</v>
      </c>
    </row>
    <row r="83">
      <c r="A83" s="18" t="inlineStr">
        <is>
          <t>퇴직급여자산</t>
        </is>
      </c>
      <c r="C83" s="20" t="n">
        <v>91493</v>
      </c>
      <c r="D83" s="20" t="n">
        <v>93438</v>
      </c>
      <c r="E83" s="20" t="n">
        <v>29946</v>
      </c>
      <c r="F83" s="20" t="n">
        <v>30739</v>
      </c>
      <c r="G83" s="20" t="n">
        <v>31083</v>
      </c>
      <c r="H83" s="20" t="n">
        <v>53177</v>
      </c>
      <c r="I83" s="20" t="n">
        <v>57792</v>
      </c>
      <c r="J83" s="20" t="n">
        <v>65856</v>
      </c>
      <c r="K83" s="20" t="n">
        <v>89573</v>
      </c>
      <c r="L83" s="20" t="n">
        <v>29946</v>
      </c>
    </row>
    <row r="84">
      <c r="A84" s="18" t="inlineStr">
        <is>
          <t>지분법 투자</t>
        </is>
      </c>
      <c r="C84" s="20" t="n">
        <v>75952</v>
      </c>
      <c r="D84" s="20" t="n">
        <v>75621</v>
      </c>
      <c r="E84" s="20" t="n">
        <v>82205</v>
      </c>
      <c r="F84" s="20" t="n">
        <v>83051</v>
      </c>
      <c r="G84" s="20" t="n">
        <v>87467</v>
      </c>
      <c r="H84" s="20" t="n">
        <v>41721</v>
      </c>
      <c r="I84" s="20" t="n">
        <v>56943</v>
      </c>
      <c r="J84" s="20" t="n">
        <v>56726</v>
      </c>
      <c r="K84" s="20" t="n">
        <v>50423</v>
      </c>
      <c r="L84" s="20" t="n">
        <v>82205</v>
      </c>
    </row>
    <row r="85">
      <c r="A85" s="18" t="inlineStr">
        <is>
          <t>기타금융자산</t>
        </is>
      </c>
      <c r="C85" s="20" t="n">
        <v>123868</v>
      </c>
      <c r="D85" s="20" t="n">
        <v>127319</v>
      </c>
      <c r="E85" s="20" t="n">
        <v>131600</v>
      </c>
      <c r="F85" s="20" t="n">
        <v>147373</v>
      </c>
      <c r="G85" s="20" t="n">
        <v>159234</v>
      </c>
      <c r="H85" s="20" t="n">
        <v>108658</v>
      </c>
      <c r="I85" s="20" t="n">
        <v>140366</v>
      </c>
      <c r="J85" s="20" t="n">
        <v>155267</v>
      </c>
      <c r="K85" s="20" t="n">
        <v>151940</v>
      </c>
      <c r="L85" s="20" t="n">
        <v>131600</v>
      </c>
    </row>
    <row r="86">
      <c r="A86" s="18" t="inlineStr">
        <is>
          <t>기타비유동자산</t>
        </is>
      </c>
      <c r="C86" s="20" t="n">
        <v>4311</v>
      </c>
      <c r="D86" s="20" t="n">
        <v>3280</v>
      </c>
      <c r="E86" s="20" t="n">
        <v>4240</v>
      </c>
      <c r="F86" s="20" t="n">
        <v>4262</v>
      </c>
      <c r="G86" s="20" t="n">
        <v>3964</v>
      </c>
      <c r="J86" s="20" t="n">
        <v>7212</v>
      </c>
      <c r="K86" s="20" t="n">
        <v>5500</v>
      </c>
      <c r="L86" s="20" t="n">
        <v>4240</v>
      </c>
    </row>
    <row r="87">
      <c r="A87" s="18" t="inlineStr">
        <is>
          <t>이연법인세자산</t>
        </is>
      </c>
      <c r="C87" s="20" t="n">
        <v>176828</v>
      </c>
      <c r="D87" s="20" t="n">
        <v>167509</v>
      </c>
      <c r="E87" s="20" t="n">
        <v>158528</v>
      </c>
      <c r="F87" s="20" t="n">
        <v>165462</v>
      </c>
      <c r="G87" s="20" t="n">
        <v>165073</v>
      </c>
      <c r="H87" s="20" t="n">
        <v>120419</v>
      </c>
      <c r="I87" s="20" t="n">
        <v>91430</v>
      </c>
      <c r="J87" s="20" t="n">
        <v>89379</v>
      </c>
      <c r="K87" s="20" t="n">
        <v>183591</v>
      </c>
      <c r="L87" s="20" t="n">
        <v>158528</v>
      </c>
    </row>
    <row r="88">
      <c r="A88" s="18" t="inlineStr">
        <is>
          <t>비유동자산 합계</t>
        </is>
      </c>
      <c r="C88" s="20" t="n">
        <v>4819360</v>
      </c>
      <c r="D88" s="20" t="n">
        <v>4891952</v>
      </c>
      <c r="E88" s="20" t="n">
        <v>4708143</v>
      </c>
      <c r="F88" s="20" t="n">
        <v>4763837</v>
      </c>
      <c r="G88" s="20" t="n">
        <v>4816836</v>
      </c>
      <c r="H88" s="20" t="n">
        <v>3452920</v>
      </c>
      <c r="I88" s="20" t="n">
        <v>3824487</v>
      </c>
      <c r="J88" s="20" t="n">
        <v>4022536</v>
      </c>
      <c r="K88" s="20" t="n">
        <v>4793160</v>
      </c>
      <c r="L88" s="20" t="n">
        <v>4708143</v>
      </c>
    </row>
    <row r="89">
      <c r="A89" s="18" t="inlineStr">
        <is>
          <t>자산 합계</t>
        </is>
      </c>
      <c r="C89" s="20" t="n">
        <v>8262786</v>
      </c>
      <c r="D89" s="20" t="n">
        <v>8195045</v>
      </c>
      <c r="E89" s="20" t="n">
        <v>8419240</v>
      </c>
      <c r="F89" s="20" t="n">
        <v>8351210</v>
      </c>
      <c r="G89" s="20" t="n">
        <v>8669953</v>
      </c>
      <c r="H89" s="20" t="n">
        <v>5774209</v>
      </c>
      <c r="I89" s="20" t="n">
        <v>6548078</v>
      </c>
      <c r="J89" s="20" t="n">
        <v>7282097</v>
      </c>
      <c r="K89" s="20" t="n">
        <v>8370732</v>
      </c>
      <c r="L89" s="20" t="n">
        <v>8419240</v>
      </c>
    </row>
    <row r="90">
      <c r="A90" s="18" t="inlineStr">
        <is>
          <t>영업채무 및 기타채무</t>
        </is>
      </c>
      <c r="C90" s="20" t="n">
        <v>567713</v>
      </c>
      <c r="D90" s="20" t="n">
        <v>597373</v>
      </c>
      <c r="E90" s="20" t="n">
        <v>711721</v>
      </c>
      <c r="F90" s="20" t="n">
        <v>671320</v>
      </c>
      <c r="G90" s="20" t="n">
        <v>623516</v>
      </c>
      <c r="H90" s="20" t="n">
        <v>555777</v>
      </c>
      <c r="I90" s="20" t="n">
        <v>540089</v>
      </c>
      <c r="J90" s="20" t="n">
        <v>592802</v>
      </c>
      <c r="K90" s="20" t="n">
        <v>659510</v>
      </c>
      <c r="L90" s="20" t="n">
        <v>711721</v>
      </c>
    </row>
    <row r="91">
      <c r="A91" s="18" t="inlineStr">
        <is>
          <t>사채 및 차입금</t>
        </is>
      </c>
      <c r="C91" s="20" t="n">
        <v>186479</v>
      </c>
      <c r="D91" s="20" t="n">
        <v>74287</v>
      </c>
      <c r="E91" s="20" t="n">
        <v>79627</v>
      </c>
      <c r="F91" s="20" t="n">
        <v>224176</v>
      </c>
      <c r="G91" s="20" t="n">
        <v>117087</v>
      </c>
      <c r="H91" s="20" t="n">
        <v>142901</v>
      </c>
      <c r="I91" s="20" t="n">
        <v>137308</v>
      </c>
      <c r="J91" s="20" t="n">
        <v>233333</v>
      </c>
      <c r="K91" s="20" t="n">
        <v>178668</v>
      </c>
      <c r="L91" s="20" t="n">
        <v>79627</v>
      </c>
    </row>
    <row r="92">
      <c r="A92" s="18" t="inlineStr">
        <is>
          <t>미지급법인세 등</t>
        </is>
      </c>
      <c r="C92" s="20" t="n">
        <v>40971</v>
      </c>
      <c r="D92" s="20" t="n">
        <v>72889</v>
      </c>
      <c r="E92" s="20" t="n">
        <v>36546</v>
      </c>
      <c r="F92" s="20" t="n">
        <v>63875</v>
      </c>
      <c r="G92" s="20" t="n">
        <v>77316</v>
      </c>
      <c r="H92" s="20" t="n">
        <v>30794</v>
      </c>
      <c r="I92" s="20" t="n">
        <v>37470</v>
      </c>
      <c r="J92" s="20" t="n">
        <v>29647</v>
      </c>
      <c r="K92" s="20" t="n">
        <v>24621</v>
      </c>
      <c r="L92" s="20" t="n">
        <v>36546</v>
      </c>
    </row>
    <row r="93">
      <c r="A93" s="18" t="inlineStr">
        <is>
          <t>기타금융부채</t>
        </is>
      </c>
      <c r="C93" s="20" t="n">
        <v>54626</v>
      </c>
      <c r="D93" s="20" t="n">
        <v>51142</v>
      </c>
      <c r="E93" s="20" t="n">
        <v>62068</v>
      </c>
      <c r="F93" s="20" t="n">
        <v>63579</v>
      </c>
      <c r="G93" s="20" t="n">
        <v>68065</v>
      </c>
      <c r="H93" s="20" t="n">
        <v>28342</v>
      </c>
      <c r="I93" s="20" t="n">
        <v>40065</v>
      </c>
      <c r="J93" s="20" t="n">
        <v>44470</v>
      </c>
      <c r="K93" s="20" t="n">
        <v>59965</v>
      </c>
      <c r="L93" s="20" t="n">
        <v>62068</v>
      </c>
    </row>
    <row r="94">
      <c r="A94" s="18" t="inlineStr">
        <is>
          <t>충당금</t>
        </is>
      </c>
      <c r="C94" s="20" t="n">
        <v>191886</v>
      </c>
      <c r="D94" s="20" t="n">
        <v>25520</v>
      </c>
      <c r="E94" s="20" t="n">
        <v>32783</v>
      </c>
      <c r="F94" s="20" t="n">
        <v>22731</v>
      </c>
      <c r="G94" s="20" t="n">
        <v>19776</v>
      </c>
      <c r="H94" s="20" t="n">
        <v>24858</v>
      </c>
      <c r="I94" s="20" t="n">
        <v>26610</v>
      </c>
      <c r="J94" s="20" t="n">
        <v>18634</v>
      </c>
      <c r="K94" s="20" t="n">
        <v>195918</v>
      </c>
      <c r="L94" s="20" t="n">
        <v>32783</v>
      </c>
    </row>
    <row r="95">
      <c r="A95" s="18" t="inlineStr">
        <is>
          <t>기타유동부채</t>
        </is>
      </c>
      <c r="C95" s="20" t="n">
        <v>815676</v>
      </c>
      <c r="D95" s="20" t="n">
        <v>854151</v>
      </c>
      <c r="E95" s="20" t="n">
        <v>1004331</v>
      </c>
      <c r="F95" s="20" t="n">
        <v>858783</v>
      </c>
      <c r="G95" s="20" t="n">
        <v>979079</v>
      </c>
      <c r="H95" s="20" t="n">
        <v>717653</v>
      </c>
      <c r="I95" s="20" t="n">
        <v>781093</v>
      </c>
      <c r="J95" s="20" t="n">
        <v>1008390</v>
      </c>
      <c r="K95" s="20" t="n">
        <v>1029925</v>
      </c>
      <c r="L95" s="20" t="n">
        <v>1004331</v>
      </c>
    </row>
    <row r="96">
      <c r="A96" s="18" t="inlineStr">
        <is>
          <t>소계</t>
        </is>
      </c>
      <c r="C96" s="20" t="n">
        <v>1857350</v>
      </c>
      <c r="D96" s="20" t="n">
        <v>1675361</v>
      </c>
      <c r="E96" s="20" t="n">
        <v>1927076</v>
      </c>
      <c r="F96" s="20" t="n">
        <v>1904465</v>
      </c>
      <c r="G96" s="20" t="n">
        <v>1884837</v>
      </c>
      <c r="H96" s="20" t="n">
        <v>1500326</v>
      </c>
      <c r="I96" s="20" t="n">
        <v>1562635</v>
      </c>
      <c r="J96" s="20" t="n">
        <v>1927276</v>
      </c>
      <c r="K96" s="20" t="n">
        <v>2148607</v>
      </c>
      <c r="L96" s="20" t="n">
        <v>1927076</v>
      </c>
    </row>
    <row r="97">
      <c r="A97" s="18" t="inlineStr">
        <is>
          <t>매각예정 자산 직접 관련 부채</t>
        </is>
      </c>
      <c r="C97" s="20" t="n">
        <v>16959</v>
      </c>
      <c r="D97" s="20" t="n">
        <v>16525</v>
      </c>
      <c r="E97" s="20" t="n">
        <v>177</v>
      </c>
      <c r="F97" s="20" t="n">
        <v>2198</v>
      </c>
      <c r="G97" s="20" t="n">
        <v>0</v>
      </c>
      <c r="H97" s="20" t="n">
        <v>0</v>
      </c>
      <c r="I97" s="20" t="n">
        <v>29</v>
      </c>
      <c r="J97" s="20" t="n">
        <v>0</v>
      </c>
      <c r="K97" s="20" t="n">
        <v>0</v>
      </c>
      <c r="L97" s="20" t="n">
        <v>177</v>
      </c>
    </row>
    <row r="98">
      <c r="A98" s="18" t="inlineStr">
        <is>
          <t>유동부채 합계</t>
        </is>
      </c>
      <c r="C98" s="20" t="n">
        <v>1874309</v>
      </c>
      <c r="D98" s="20" t="n">
        <v>1691886</v>
      </c>
      <c r="E98" s="20" t="n">
        <v>1927252</v>
      </c>
      <c r="F98" s="20" t="n">
        <v>1906663</v>
      </c>
      <c r="G98" s="20" t="n">
        <v>1884837</v>
      </c>
      <c r="H98" s="20" t="n">
        <v>1500326</v>
      </c>
      <c r="I98" s="20" t="n">
        <v>1562664</v>
      </c>
      <c r="J98" s="20" t="n">
        <v>1927276</v>
      </c>
      <c r="K98" s="20" t="n">
        <v>2148607</v>
      </c>
      <c r="L98" s="20" t="n">
        <v>1927252</v>
      </c>
    </row>
    <row r="99">
      <c r="A99" s="18" t="inlineStr">
        <is>
          <t>사채 및 차입금</t>
        </is>
      </c>
      <c r="C99" s="20" t="n">
        <v>1439954</v>
      </c>
      <c r="D99" s="20" t="n">
        <v>1539781</v>
      </c>
      <c r="E99" s="20" t="n">
        <v>1599061</v>
      </c>
      <c r="F99" s="20" t="n">
        <v>1553454</v>
      </c>
      <c r="G99" s="20" t="n">
        <v>1559685</v>
      </c>
      <c r="H99" s="20" t="n">
        <v>775721</v>
      </c>
      <c r="I99" s="20" t="n">
        <v>821003</v>
      </c>
      <c r="J99" s="20" t="n">
        <v>908926</v>
      </c>
      <c r="K99" s="20" t="n">
        <v>1548120</v>
      </c>
      <c r="L99" s="20" t="n">
        <v>1599061</v>
      </c>
    </row>
    <row r="100">
      <c r="A100" s="18" t="inlineStr">
        <is>
          <t>기타금융부채</t>
        </is>
      </c>
      <c r="C100" s="20" t="n">
        <v>49716</v>
      </c>
      <c r="D100" s="20" t="n">
        <v>240029</v>
      </c>
      <c r="E100" s="20" t="n">
        <v>205628</v>
      </c>
      <c r="F100" s="20" t="n">
        <v>209564</v>
      </c>
      <c r="G100" s="20" t="n">
        <v>210106</v>
      </c>
      <c r="H100" s="20" t="n">
        <v>43885</v>
      </c>
      <c r="I100" s="20" t="n">
        <v>41735</v>
      </c>
      <c r="J100" s="20" t="n">
        <v>40678</v>
      </c>
      <c r="K100" s="20" t="n">
        <v>49210</v>
      </c>
      <c r="L100" s="20" t="n">
        <v>205628</v>
      </c>
    </row>
    <row r="101">
      <c r="A101" s="18" t="inlineStr">
        <is>
          <t>퇴직급여부채</t>
        </is>
      </c>
      <c r="C101" s="20" t="n">
        <v>273357</v>
      </c>
      <c r="D101" s="20" t="n">
        <v>273847</v>
      </c>
      <c r="E101" s="20" t="n">
        <v>253225</v>
      </c>
      <c r="F101" s="20" t="n">
        <v>246972</v>
      </c>
      <c r="G101" s="20" t="n">
        <v>249967</v>
      </c>
      <c r="H101" s="20" t="n">
        <v>296176</v>
      </c>
      <c r="I101" s="20" t="n">
        <v>244116</v>
      </c>
      <c r="J101" s="20" t="n">
        <v>279443</v>
      </c>
      <c r="K101" s="20" t="n">
        <v>277236</v>
      </c>
      <c r="L101" s="20" t="n">
        <v>253225</v>
      </c>
    </row>
    <row r="102">
      <c r="A102" s="18" t="inlineStr">
        <is>
          <t>충당금</t>
        </is>
      </c>
      <c r="C102" s="20" t="n">
        <v>244755</v>
      </c>
      <c r="D102" s="20" t="n">
        <v>41433</v>
      </c>
      <c r="E102" s="20" t="n">
        <v>54355</v>
      </c>
      <c r="F102" s="20" t="n">
        <v>57174</v>
      </c>
      <c r="G102" s="20" t="n">
        <v>60970</v>
      </c>
      <c r="H102" s="20" t="n">
        <v>22867</v>
      </c>
      <c r="I102" s="20" t="n">
        <v>26490</v>
      </c>
      <c r="J102" s="20" t="n">
        <v>45527</v>
      </c>
      <c r="K102" s="20" t="n">
        <v>253949</v>
      </c>
      <c r="L102" s="20" t="n">
        <v>54355</v>
      </c>
    </row>
    <row r="103">
      <c r="A103" s="18" t="inlineStr">
        <is>
          <t>기타비유동부채</t>
        </is>
      </c>
      <c r="C103" s="20" t="n">
        <v>111528</v>
      </c>
      <c r="D103" s="20" t="n">
        <v>124221</v>
      </c>
      <c r="E103" s="20" t="n">
        <v>134724</v>
      </c>
      <c r="F103" s="20" t="n">
        <v>119257</v>
      </c>
      <c r="G103" s="20" t="n">
        <v>135057</v>
      </c>
      <c r="H103" s="20" t="n">
        <v>179195</v>
      </c>
      <c r="I103" s="20" t="n">
        <v>195248</v>
      </c>
      <c r="J103" s="20" t="n">
        <v>127170</v>
      </c>
      <c r="K103" s="20" t="n">
        <v>120427</v>
      </c>
      <c r="L103" s="20" t="n">
        <v>134724</v>
      </c>
    </row>
    <row r="104">
      <c r="A104" s="18" t="inlineStr">
        <is>
          <t>이연법인세부채</t>
        </is>
      </c>
      <c r="C104" s="20" t="n">
        <v>127329</v>
      </c>
      <c r="D104" s="20" t="n">
        <v>115083</v>
      </c>
      <c r="E104" s="20" t="n">
        <v>129606</v>
      </c>
      <c r="F104" s="20" t="n">
        <v>143238</v>
      </c>
      <c r="G104" s="20" t="n">
        <v>146281</v>
      </c>
      <c r="H104" s="20" t="n">
        <v>69959</v>
      </c>
      <c r="I104" s="20" t="n">
        <v>40061</v>
      </c>
      <c r="J104" s="20" t="n">
        <v>40586</v>
      </c>
      <c r="K104" s="20" t="n">
        <v>124455</v>
      </c>
      <c r="L104" s="20" t="n">
        <v>129606</v>
      </c>
    </row>
    <row r="105">
      <c r="A105" s="18" t="inlineStr">
        <is>
          <t>비유동부채 합계</t>
        </is>
      </c>
      <c r="C105" s="20" t="n">
        <v>2246639</v>
      </c>
      <c r="D105" s="20" t="n">
        <v>2334395</v>
      </c>
      <c r="E105" s="20" t="n">
        <v>2376599</v>
      </c>
      <c r="F105" s="20" t="n">
        <v>2329658</v>
      </c>
      <c r="G105" s="20" t="n">
        <v>2362066</v>
      </c>
      <c r="H105" s="20" t="n">
        <v>1387803</v>
      </c>
      <c r="I105" s="20" t="n">
        <v>1368653</v>
      </c>
      <c r="J105" s="20" t="n">
        <v>1442329</v>
      </c>
      <c r="K105" s="20" t="n">
        <v>2373398</v>
      </c>
      <c r="L105" s="20" t="n">
        <v>2376599</v>
      </c>
    </row>
    <row r="106">
      <c r="A106" s="18" t="inlineStr">
        <is>
          <t>부채 합계</t>
        </is>
      </c>
      <c r="C106" s="20" t="n">
        <v>4120948</v>
      </c>
      <c r="D106" s="20" t="n">
        <v>4026281</v>
      </c>
      <c r="E106" s="20" t="n">
        <v>4303851</v>
      </c>
      <c r="F106" s="20" t="n">
        <v>4236321</v>
      </c>
      <c r="G106" s="20" t="n">
        <v>4246903</v>
      </c>
      <c r="H106" s="20" t="n">
        <v>2888128</v>
      </c>
      <c r="I106" s="20" t="n">
        <v>2931317</v>
      </c>
      <c r="J106" s="20" t="n">
        <v>3369605</v>
      </c>
      <c r="K106" s="20" t="n">
        <v>4522005</v>
      </c>
      <c r="L106" s="20" t="n">
        <v>4303851</v>
      </c>
    </row>
    <row r="107">
      <c r="A107" s="18" t="inlineStr">
        <is>
          <t>자본금</t>
        </is>
      </c>
      <c r="C107" s="20" t="n">
        <v>100000</v>
      </c>
      <c r="D107" s="20" t="n">
        <v>100000</v>
      </c>
      <c r="E107" s="20" t="n">
        <v>100000</v>
      </c>
      <c r="F107" s="20" t="n">
        <v>100000</v>
      </c>
      <c r="G107" s="20" t="n">
        <v>100000</v>
      </c>
      <c r="H107" s="20" t="n">
        <v>100000</v>
      </c>
      <c r="I107" s="20" t="n">
        <v>100000</v>
      </c>
      <c r="J107" s="20" t="n">
        <v>100000</v>
      </c>
      <c r="K107" s="20" t="n">
        <v>100000</v>
      </c>
      <c r="L107" s="20" t="n">
        <v>100000</v>
      </c>
    </row>
    <row r="108">
      <c r="A108" s="18" t="inlineStr">
        <is>
          <t>자본잉여금</t>
        </is>
      </c>
      <c r="C108" s="20" t="n">
        <v>737065</v>
      </c>
      <c r="D108" s="20" t="n">
        <v>737064</v>
      </c>
      <c r="E108" s="20" t="n">
        <v>737064</v>
      </c>
      <c r="F108" s="20" t="n">
        <v>737064</v>
      </c>
      <c r="G108" s="20" t="n">
        <v>737472</v>
      </c>
      <c r="H108" s="20" t="n">
        <v>736400</v>
      </c>
      <c r="I108" s="20" t="n">
        <v>736400</v>
      </c>
      <c r="J108" s="20" t="n">
        <v>736478</v>
      </c>
      <c r="K108" s="20" t="n">
        <v>736697</v>
      </c>
      <c r="L108" s="20" t="n">
        <v>737064</v>
      </c>
    </row>
    <row r="109">
      <c r="A109" s="18" t="inlineStr">
        <is>
          <t>자기주식</t>
        </is>
      </c>
      <c r="C109" s="20" t="n">
        <v>-489705</v>
      </c>
      <c r="D109" s="20" t="n">
        <v>-489745</v>
      </c>
      <c r="E109" s="20" t="n">
        <v>-489744</v>
      </c>
      <c r="F109" s="20" t="n">
        <v>-490584</v>
      </c>
      <c r="G109" s="20" t="n">
        <v>-490165</v>
      </c>
      <c r="H109" s="20" t="n">
        <v>-490899</v>
      </c>
      <c r="I109" s="20" t="n">
        <v>-490183</v>
      </c>
      <c r="J109" s="20" t="n">
        <v>-489194</v>
      </c>
      <c r="K109" s="20" t="n">
        <v>-488579</v>
      </c>
      <c r="L109" s="20" t="n">
        <v>-489744</v>
      </c>
    </row>
    <row r="110">
      <c r="A110" s="18" t="inlineStr">
        <is>
          <t>기타자본구성요소</t>
        </is>
      </c>
      <c r="C110" s="20" t="n">
        <v>527574</v>
      </c>
      <c r="D110" s="20" t="n">
        <v>600528</v>
      </c>
      <c r="E110" s="20" t="n">
        <v>526058</v>
      </c>
      <c r="F110" s="20" t="n">
        <v>560042</v>
      </c>
      <c r="G110" s="20" t="n">
        <v>633046</v>
      </c>
      <c r="H110" s="20" t="n">
        <v>-400086</v>
      </c>
      <c r="I110" s="20" t="n">
        <v>104309</v>
      </c>
      <c r="J110" s="20" t="n">
        <v>290550</v>
      </c>
      <c r="K110" s="20" t="n">
        <v>381599</v>
      </c>
      <c r="L110" s="20" t="n">
        <v>526058</v>
      </c>
    </row>
    <row r="111">
      <c r="A111" s="18" t="inlineStr">
        <is>
          <t>이익잉여금</t>
        </is>
      </c>
      <c r="C111" s="20" t="n">
        <v>3184646</v>
      </c>
      <c r="D111" s="20" t="n">
        <v>3194640</v>
      </c>
      <c r="E111" s="20" t="n">
        <v>3213555</v>
      </c>
      <c r="F111" s="20" t="n">
        <v>3178880</v>
      </c>
      <c r="G111" s="20" t="n">
        <v>3413605</v>
      </c>
      <c r="H111" s="20" t="n">
        <v>2863843</v>
      </c>
      <c r="I111" s="20" t="n">
        <v>3089909</v>
      </c>
      <c r="J111" s="20" t="n">
        <v>3192323</v>
      </c>
      <c r="K111" s="20" t="n">
        <v>3036905</v>
      </c>
      <c r="L111" s="20" t="n">
        <v>3213555</v>
      </c>
    </row>
    <row r="112">
      <c r="A112" s="18" t="inlineStr">
        <is>
          <t>Equity Attributable To Owners Of Parent</t>
        </is>
      </c>
      <c r="C112" s="20" t="n">
        <v>4059580</v>
      </c>
      <c r="D112" s="20" t="n">
        <v>4142487</v>
      </c>
      <c r="E112" s="20" t="n">
        <v>4086933</v>
      </c>
      <c r="F112" s="20" t="n">
        <v>4085402</v>
      </c>
      <c r="G112" s="20" t="n">
        <v>4393958</v>
      </c>
      <c r="H112" s="20" t="n">
        <v>2809258</v>
      </c>
      <c r="I112" s="20" t="n">
        <v>3540435</v>
      </c>
      <c r="J112" s="20" t="n">
        <v>3830156</v>
      </c>
      <c r="K112" s="20" t="n">
        <v>3766623</v>
      </c>
      <c r="L112" s="20" t="n">
        <v>4086933</v>
      </c>
    </row>
    <row r="113">
      <c r="A113" s="18" t="inlineStr">
        <is>
          <t>비지배지분</t>
        </is>
      </c>
      <c r="C113" s="20" t="n">
        <v>82258</v>
      </c>
      <c r="D113" s="20" t="n">
        <v>26277</v>
      </c>
      <c r="E113" s="20" t="n">
        <v>28456</v>
      </c>
      <c r="F113" s="20" t="n">
        <v>29487</v>
      </c>
      <c r="G113" s="20" t="n">
        <v>29092</v>
      </c>
      <c r="H113" s="20" t="n">
        <v>76823</v>
      </c>
      <c r="I113" s="20" t="n">
        <v>76326</v>
      </c>
      <c r="J113" s="20" t="n">
        <v>82336</v>
      </c>
      <c r="K113" s="20" t="n">
        <v>82104</v>
      </c>
      <c r="L113" s="20" t="n">
        <v>28456</v>
      </c>
    </row>
    <row r="114">
      <c r="A114" s="18" t="inlineStr">
        <is>
          <t>자본 합계</t>
        </is>
      </c>
      <c r="C114" s="20" t="n">
        <v>4141838</v>
      </c>
      <c r="D114" s="20" t="n">
        <v>4168764</v>
      </c>
      <c r="E114" s="20" t="n">
        <v>4115389</v>
      </c>
      <c r="F114" s="20" t="n">
        <v>4114889</v>
      </c>
      <c r="G114" s="20" t="n">
        <v>4423050</v>
      </c>
      <c r="H114" s="20" t="n">
        <v>2886081</v>
      </c>
      <c r="I114" s="20" t="n">
        <v>3616761</v>
      </c>
      <c r="J114" s="20" t="n">
        <v>3912491</v>
      </c>
      <c r="K114" s="20" t="n">
        <v>3848727</v>
      </c>
      <c r="L114" s="20" t="n">
        <v>4115389</v>
      </c>
    </row>
    <row r="115">
      <c r="A115" s="18" t="inlineStr">
        <is>
          <t>부채및자본 합계</t>
        </is>
      </c>
      <c r="C115" s="20" t="n">
        <v>8262786</v>
      </c>
      <c r="D115" s="20" t="n">
        <v>8195045</v>
      </c>
      <c r="E115" s="20" t="n">
        <v>8419240</v>
      </c>
      <c r="F115" s="20" t="n">
        <v>8351210</v>
      </c>
      <c r="G115" s="20" t="n">
        <v>8669953</v>
      </c>
      <c r="H115" s="20" t="n">
        <v>5774209</v>
      </c>
      <c r="I115" s="20" t="n">
        <v>6548078</v>
      </c>
      <c r="J115" s="20" t="n">
        <v>7282097</v>
      </c>
      <c r="K115" s="20" t="n">
        <v>8370732</v>
      </c>
      <c r="L115" s="20" t="n">
        <v>8419240</v>
      </c>
    </row>
    <row r="116">
      <c r="A116" s="18" t="inlineStr">
        <is>
          <t>현금 및 예금</t>
        </is>
      </c>
      <c r="E116" s="20" t="n">
        <v>252923</v>
      </c>
      <c r="H116" s="20" t="n">
        <v>238127</v>
      </c>
      <c r="I116" s="20" t="n">
        <v>193376</v>
      </c>
      <c r="J116" s="20" t="n">
        <v>177685</v>
      </c>
      <c r="K116" s="20" t="n">
        <v>205764</v>
      </c>
      <c r="L116" s="20" t="n">
        <v>252923</v>
      </c>
    </row>
    <row r="117">
      <c r="A117" s="18" t="inlineStr">
        <is>
          <t>유가증권</t>
        </is>
      </c>
      <c r="E117" s="20" t="n">
        <v>21000</v>
      </c>
      <c r="H117" s="20" t="n">
        <v>20000</v>
      </c>
      <c r="I117" s="20" t="n">
        <v>18000</v>
      </c>
      <c r="J117" s="20" t="n">
        <v>0</v>
      </c>
      <c r="K117" s="20" t="n">
        <v>0</v>
      </c>
      <c r="L117" s="20" t="n">
        <v>21000</v>
      </c>
    </row>
    <row r="118">
      <c r="A118" s="18" t="inlineStr">
        <is>
          <t>매출채권</t>
        </is>
      </c>
      <c r="E118" s="20" t="n">
        <v>39953</v>
      </c>
      <c r="H118" s="20" t="n">
        <v>37614</v>
      </c>
      <c r="I118" s="20" t="n">
        <v>31739</v>
      </c>
      <c r="J118" s="20" t="n">
        <v>33949</v>
      </c>
      <c r="K118" s="20" t="n">
        <v>35420</v>
      </c>
      <c r="L118" s="20" t="n">
        <v>39953</v>
      </c>
    </row>
    <row r="119">
      <c r="A119" s="18" t="inlineStr">
        <is>
          <t>상품·제품</t>
        </is>
      </c>
      <c r="E119" s="20" t="n">
        <v>39084</v>
      </c>
      <c r="H119" s="20" t="n">
        <v>26768</v>
      </c>
      <c r="I119" s="20" t="n">
        <v>25424</v>
      </c>
      <c r="J119" s="20" t="n">
        <v>38008</v>
      </c>
      <c r="K119" s="20" t="n">
        <v>38813</v>
      </c>
      <c r="L119" s="20" t="n">
        <v>39084</v>
      </c>
    </row>
    <row r="120">
      <c r="A120" s="18" t="inlineStr">
        <is>
          <t>Semi Finished Goods</t>
        </is>
      </c>
      <c r="E120" s="20" t="n">
        <v>44220</v>
      </c>
      <c r="H120" s="20" t="n">
        <v>83612</v>
      </c>
      <c r="I120" s="20" t="n">
        <v>84534</v>
      </c>
      <c r="J120" s="20" t="n">
        <v>80783</v>
      </c>
      <c r="K120" s="20" t="n">
        <v>76050</v>
      </c>
      <c r="L120" s="20" t="n">
        <v>44220</v>
      </c>
    </row>
    <row r="121">
      <c r="A121" s="18" t="inlineStr">
        <is>
          <t>재공품</t>
        </is>
      </c>
      <c r="E121" s="20" t="n">
        <v>1644</v>
      </c>
      <c r="H121" s="20" t="n">
        <v>1725</v>
      </c>
      <c r="I121" s="20" t="n">
        <v>1815</v>
      </c>
      <c r="J121" s="20" t="n">
        <v>988</v>
      </c>
      <c r="K121" s="20" t="n">
        <v>1726</v>
      </c>
      <c r="L121" s="20" t="n">
        <v>1644</v>
      </c>
    </row>
    <row r="122">
      <c r="A122" s="18" t="inlineStr">
        <is>
          <t>원재료·저장품</t>
        </is>
      </c>
      <c r="E122" s="20" t="n">
        <v>38622</v>
      </c>
      <c r="H122" s="20" t="n">
        <v>29364</v>
      </c>
      <c r="I122" s="20" t="n">
        <v>32017</v>
      </c>
      <c r="J122" s="20" t="n">
        <v>38491</v>
      </c>
      <c r="K122" s="20" t="n">
        <v>42204</v>
      </c>
      <c r="L122" s="20" t="n">
        <v>38622</v>
      </c>
    </row>
    <row r="123">
      <c r="A123" s="18" t="inlineStr">
        <is>
          <t>선급금</t>
        </is>
      </c>
      <c r="E123" s="20" t="n">
        <v>2626</v>
      </c>
      <c r="H123" s="20" t="n">
        <v>1714</v>
      </c>
      <c r="I123" s="20" t="n">
        <v>2440</v>
      </c>
      <c r="J123" s="20" t="n">
        <v>400</v>
      </c>
      <c r="K123" s="20" t="n">
        <v>1641</v>
      </c>
      <c r="L123" s="20" t="n">
        <v>2626</v>
      </c>
    </row>
    <row r="124">
      <c r="A124" s="18" t="inlineStr">
        <is>
          <t>선급비용</t>
        </is>
      </c>
      <c r="E124" s="20" t="n">
        <v>3418</v>
      </c>
      <c r="H124" s="20" t="n">
        <v>5669</v>
      </c>
      <c r="I124" s="20" t="n">
        <v>5040</v>
      </c>
      <c r="J124" s="20" t="n">
        <v>6165</v>
      </c>
      <c r="K124" s="20" t="n">
        <v>5364</v>
      </c>
      <c r="L124" s="20" t="n">
        <v>3418</v>
      </c>
    </row>
    <row r="125">
      <c r="A125" s="18" t="inlineStr">
        <is>
          <t>관계회사 단기대여금</t>
        </is>
      </c>
      <c r="E125" s="20" t="n">
        <v>119092</v>
      </c>
      <c r="H125" s="20" t="n">
        <v>4967</v>
      </c>
      <c r="I125" s="20" t="n">
        <v>38649</v>
      </c>
      <c r="J125" s="20" t="n">
        <v>33831</v>
      </c>
      <c r="K125" s="20" t="n">
        <v>39264</v>
      </c>
      <c r="L125" s="20" t="n">
        <v>119092</v>
      </c>
    </row>
    <row r="126">
      <c r="A126" s="18" t="inlineStr">
        <is>
          <t>기타</t>
        </is>
      </c>
      <c r="E126" s="20" t="n">
        <v>31224</v>
      </c>
      <c r="H126" s="20" t="n">
        <v>18579</v>
      </c>
      <c r="I126" s="20" t="n">
        <v>26255</v>
      </c>
      <c r="J126" s="20" t="n">
        <v>15967</v>
      </c>
      <c r="K126" s="20" t="n">
        <v>33922</v>
      </c>
      <c r="L126" s="20" t="n">
        <v>31224</v>
      </c>
    </row>
    <row r="127">
      <c r="A127" s="18" t="inlineStr">
        <is>
          <t>대손충당금</t>
        </is>
      </c>
      <c r="E127" s="20" t="n">
        <v>-31</v>
      </c>
      <c r="H127" s="20" t="n">
        <v>-24</v>
      </c>
      <c r="I127" s="20" t="n">
        <v>-29</v>
      </c>
      <c r="J127" s="20" t="n">
        <v>-31</v>
      </c>
      <c r="K127" s="20" t="n">
        <v>-31</v>
      </c>
      <c r="L127" s="20" t="n">
        <v>-31</v>
      </c>
    </row>
    <row r="128">
      <c r="A128" s="9" t="inlineStr">
        <is>
          <t>유동자산 합계</t>
        </is>
      </c>
      <c r="E128" s="12" t="n">
        <v>593774</v>
      </c>
      <c r="H128" s="12" t="n">
        <v>468113</v>
      </c>
      <c r="I128" s="12" t="n">
        <v>459260</v>
      </c>
      <c r="J128" s="12" t="n">
        <v>426237</v>
      </c>
      <c r="K128" s="12" t="n">
        <v>480137</v>
      </c>
      <c r="L128" s="12" t="n">
        <v>593774</v>
      </c>
    </row>
    <row r="129">
      <c r="A129" s="18" t="inlineStr">
        <is>
          <t>건물</t>
        </is>
      </c>
      <c r="E129" s="20" t="n">
        <v>49966</v>
      </c>
      <c r="H129" s="20" t="n">
        <v>77170</v>
      </c>
      <c r="I129" s="20" t="n">
        <v>69893</v>
      </c>
      <c r="J129" s="20" t="n">
        <v>67108</v>
      </c>
      <c r="K129" s="20" t="n">
        <v>65106</v>
      </c>
      <c r="L129" s="20" t="n">
        <v>49966</v>
      </c>
    </row>
    <row r="130">
      <c r="A130" s="18" t="inlineStr">
        <is>
          <t>구축물</t>
        </is>
      </c>
      <c r="E130" s="20" t="n">
        <v>1641</v>
      </c>
      <c r="H130" s="20" t="n">
        <v>2404</v>
      </c>
      <c r="I130" s="20" t="n">
        <v>2066</v>
      </c>
      <c r="J130" s="20" t="n">
        <v>1891</v>
      </c>
      <c r="K130" s="20" t="n">
        <v>1849</v>
      </c>
      <c r="L130" s="20" t="n">
        <v>1641</v>
      </c>
    </row>
    <row r="131">
      <c r="A131" s="18" t="inlineStr">
        <is>
          <t>기계장치</t>
        </is>
      </c>
      <c r="E131" s="20" t="n">
        <v>37322</v>
      </c>
      <c r="H131" s="20" t="n">
        <v>41889</v>
      </c>
      <c r="I131" s="20" t="n">
        <v>34722</v>
      </c>
      <c r="J131" s="20" t="n">
        <v>27462</v>
      </c>
      <c r="K131" s="20" t="n">
        <v>28822</v>
      </c>
      <c r="L131" s="20" t="n">
        <v>37322</v>
      </c>
    </row>
    <row r="132">
      <c r="A132" s="18" t="inlineStr">
        <is>
          <t>차량운반구</t>
        </is>
      </c>
      <c r="E132" s="20" t="n">
        <v>1277</v>
      </c>
      <c r="H132" s="20" t="n">
        <v>832</v>
      </c>
      <c r="I132" s="20" t="n">
        <v>536</v>
      </c>
      <c r="J132" s="20" t="n">
        <v>305</v>
      </c>
      <c r="K132" s="20" t="n">
        <v>961</v>
      </c>
      <c r="L132" s="20" t="n">
        <v>1277</v>
      </c>
    </row>
    <row r="133">
      <c r="A133" s="18" t="inlineStr">
        <is>
          <t>공구·기구·비품</t>
        </is>
      </c>
      <c r="E133" s="20" t="n">
        <v>11008</v>
      </c>
      <c r="H133" s="20" t="n">
        <v>11898</v>
      </c>
      <c r="I133" s="20" t="n">
        <v>9996</v>
      </c>
      <c r="J133" s="20" t="n">
        <v>9652</v>
      </c>
      <c r="K133" s="20" t="n">
        <v>12401</v>
      </c>
      <c r="L133" s="20" t="n">
        <v>11008</v>
      </c>
    </row>
    <row r="134">
      <c r="A134" s="18" t="inlineStr">
        <is>
          <t>토지</t>
        </is>
      </c>
      <c r="E134" s="20" t="n">
        <v>37449</v>
      </c>
      <c r="H134" s="20" t="n">
        <v>48113</v>
      </c>
      <c r="I134" s="20" t="n">
        <v>47298</v>
      </c>
      <c r="J134" s="20" t="n">
        <v>46171</v>
      </c>
      <c r="K134" s="20" t="n">
        <v>43669</v>
      </c>
      <c r="L134" s="20" t="n">
        <v>37449</v>
      </c>
    </row>
    <row r="135">
      <c r="A135" s="18" t="inlineStr">
        <is>
          <t>건설중인자산</t>
        </is>
      </c>
      <c r="E135" s="20" t="n">
        <v>5392</v>
      </c>
      <c r="H135" s="20" t="n">
        <v>384</v>
      </c>
      <c r="I135" s="20" t="n">
        <v>533</v>
      </c>
      <c r="J135" s="20" t="n">
        <v>5994</v>
      </c>
      <c r="K135" s="20" t="n">
        <v>6605</v>
      </c>
      <c r="L135" s="20" t="n">
        <v>5392</v>
      </c>
    </row>
    <row r="136">
      <c r="A136" s="18" t="inlineStr">
        <is>
          <t>유형자산 합계</t>
        </is>
      </c>
      <c r="E136" s="20" t="n">
        <v>144054</v>
      </c>
      <c r="H136" s="20" t="n">
        <v>182690</v>
      </c>
      <c r="I136" s="20" t="n">
        <v>165044</v>
      </c>
      <c r="J136" s="20" t="n">
        <v>158583</v>
      </c>
      <c r="K136" s="20" t="n">
        <v>159412</v>
      </c>
      <c r="L136" s="20" t="n">
        <v>144054</v>
      </c>
    </row>
    <row r="137">
      <c r="A137" s="18" t="inlineStr">
        <is>
          <t>Patent Right</t>
        </is>
      </c>
      <c r="H137" s="20" t="n">
        <v>91</v>
      </c>
      <c r="I137" s="20" t="n">
        <v>194</v>
      </c>
      <c r="J137" s="20" t="n">
        <v>163</v>
      </c>
    </row>
    <row r="138">
      <c r="A138" s="18" t="inlineStr">
        <is>
          <t>상표권</t>
        </is>
      </c>
      <c r="E138" s="20" t="n">
        <v>96</v>
      </c>
      <c r="H138" s="20" t="n">
        <v>65629</v>
      </c>
      <c r="I138" s="20" t="n">
        <v>49196</v>
      </c>
      <c r="J138" s="20" t="n">
        <v>32783</v>
      </c>
      <c r="K138" s="20" t="n">
        <v>16422</v>
      </c>
      <c r="L138" s="20" t="n">
        <v>96</v>
      </c>
    </row>
    <row r="139">
      <c r="A139" s="18" t="inlineStr">
        <is>
          <t>Software</t>
        </is>
      </c>
      <c r="E139" s="20" t="n">
        <v>14699</v>
      </c>
      <c r="H139" s="20" t="n">
        <v>14818</v>
      </c>
      <c r="I139" s="20" t="n">
        <v>11652</v>
      </c>
      <c r="J139" s="20" t="n">
        <v>8331</v>
      </c>
      <c r="K139" s="20" t="n">
        <v>16481</v>
      </c>
      <c r="L139" s="20" t="n">
        <v>14699</v>
      </c>
    </row>
    <row r="140">
      <c r="A140" s="18" t="inlineStr">
        <is>
          <t>영업권</t>
        </is>
      </c>
      <c r="E140" s="20" t="n">
        <v>0</v>
      </c>
      <c r="H140" s="20" t="n">
        <v>143084</v>
      </c>
      <c r="I140" s="20" t="n">
        <v>107313</v>
      </c>
      <c r="J140" s="20" t="n">
        <v>71542</v>
      </c>
      <c r="K140" s="20" t="n">
        <v>35771</v>
      </c>
      <c r="L140" s="20" t="n">
        <v>0</v>
      </c>
    </row>
    <row r="141">
      <c r="A141" s="18" t="inlineStr">
        <is>
          <t>기타</t>
        </is>
      </c>
      <c r="E141" s="20" t="n">
        <v>4670</v>
      </c>
      <c r="H141" s="20" t="n">
        <v>2834</v>
      </c>
      <c r="I141" s="20" t="n">
        <v>7337</v>
      </c>
      <c r="J141" s="20" t="n">
        <v>13830</v>
      </c>
      <c r="K141" s="20" t="n">
        <v>6831</v>
      </c>
      <c r="L141" s="20" t="n">
        <v>4670</v>
      </c>
    </row>
    <row r="142">
      <c r="A142" s="18" t="inlineStr">
        <is>
          <t>무형자산 합계</t>
        </is>
      </c>
      <c r="E142" s="20" t="n">
        <v>19464</v>
      </c>
      <c r="H142" s="20" t="n">
        <v>226457</v>
      </c>
      <c r="I142" s="20" t="n">
        <v>175692</v>
      </c>
      <c r="J142" s="20" t="n">
        <v>126487</v>
      </c>
      <c r="K142" s="20" t="n">
        <v>75505</v>
      </c>
      <c r="L142" s="20" t="n">
        <v>19464</v>
      </c>
    </row>
    <row r="143">
      <c r="A143" s="18" t="inlineStr">
        <is>
          <t>투자유가증권</t>
        </is>
      </c>
      <c r="E143" s="20" t="n">
        <v>22521</v>
      </c>
      <c r="H143" s="20" t="n">
        <v>19136</v>
      </c>
      <c r="I143" s="20" t="n">
        <v>22358</v>
      </c>
      <c r="J143" s="20" t="n">
        <v>21753</v>
      </c>
      <c r="K143" s="20" t="n">
        <v>21707</v>
      </c>
      <c r="L143" s="20" t="n">
        <v>22521</v>
      </c>
    </row>
    <row r="144">
      <c r="A144" s="18" t="inlineStr">
        <is>
          <t>관계회사 주식</t>
        </is>
      </c>
      <c r="E144" s="20" t="n">
        <v>1652493</v>
      </c>
      <c r="H144" s="20" t="n">
        <v>1492833</v>
      </c>
      <c r="I144" s="20" t="n">
        <v>1495647</v>
      </c>
      <c r="J144" s="20" t="n">
        <v>1502043</v>
      </c>
      <c r="K144" s="20" t="n">
        <v>1508834</v>
      </c>
      <c r="L144" s="20" t="n">
        <v>1652493</v>
      </c>
    </row>
    <row r="145">
      <c r="A145" s="18" t="inlineStr">
        <is>
          <t>관계회사 장기대여금</t>
        </is>
      </c>
      <c r="E145" s="20" t="n">
        <v>269132</v>
      </c>
      <c r="H145" s="20" t="n">
        <v>51299</v>
      </c>
      <c r="I145" s="20" t="n">
        <v>6069</v>
      </c>
      <c r="J145" s="20" t="n">
        <v>5558</v>
      </c>
      <c r="K145" s="20" t="n">
        <v>5488</v>
      </c>
      <c r="L145" s="20" t="n">
        <v>269132</v>
      </c>
    </row>
    <row r="146">
      <c r="A146" s="18" t="inlineStr">
        <is>
          <t>장기선급비용</t>
        </is>
      </c>
      <c r="E146" s="20" t="n">
        <v>6794</v>
      </c>
      <c r="H146" s="20" t="n">
        <v>7881</v>
      </c>
      <c r="I146" s="20" t="n">
        <v>7335</v>
      </c>
      <c r="J146" s="20" t="n">
        <v>10593</v>
      </c>
      <c r="K146" s="20" t="n">
        <v>9714</v>
      </c>
      <c r="L146" s="20" t="n">
        <v>6794</v>
      </c>
    </row>
    <row r="147">
      <c r="A147" s="18" t="inlineStr">
        <is>
          <t>이연법인세자산</t>
        </is>
      </c>
      <c r="E147" s="20" t="n">
        <v>17266</v>
      </c>
      <c r="H147" s="20" t="n">
        <v>28751</v>
      </c>
      <c r="I147" s="20" t="n">
        <v>16987</v>
      </c>
      <c r="J147" s="20" t="n">
        <v>24694</v>
      </c>
      <c r="K147" s="20" t="n">
        <v>25981</v>
      </c>
      <c r="L147" s="20" t="n">
        <v>17266</v>
      </c>
    </row>
    <row r="148">
      <c r="A148" s="18" t="inlineStr">
        <is>
          <t>기타</t>
        </is>
      </c>
      <c r="E148" s="20" t="n">
        <v>16933</v>
      </c>
      <c r="H148" s="20" t="n">
        <v>14998</v>
      </c>
      <c r="I148" s="20" t="n">
        <v>15030</v>
      </c>
      <c r="J148" s="20" t="n">
        <v>18110</v>
      </c>
      <c r="K148" s="20" t="n">
        <v>17102</v>
      </c>
      <c r="L148" s="20" t="n">
        <v>16933</v>
      </c>
    </row>
    <row r="149">
      <c r="A149" s="18" t="inlineStr">
        <is>
          <t>대손충당금</t>
        </is>
      </c>
      <c r="E149" s="20" t="n">
        <v>-64</v>
      </c>
      <c r="H149" s="20" t="n">
        <v>-4179</v>
      </c>
      <c r="I149" s="20" t="n">
        <v>-154</v>
      </c>
      <c r="J149" s="20" t="n">
        <v>-108</v>
      </c>
      <c r="K149" s="20" t="n">
        <v>-90</v>
      </c>
      <c r="L149" s="20" t="n">
        <v>-64</v>
      </c>
    </row>
    <row r="150">
      <c r="A150" s="18" t="inlineStr">
        <is>
          <t>투자 및 기타자산 합계</t>
        </is>
      </c>
      <c r="E150" s="20" t="n">
        <v>1985074</v>
      </c>
      <c r="H150" s="20" t="n">
        <v>1610719</v>
      </c>
      <c r="I150" s="20" t="n">
        <v>1563271</v>
      </c>
      <c r="J150" s="20" t="n">
        <v>1582644</v>
      </c>
      <c r="K150" s="20" t="n">
        <v>1588735</v>
      </c>
      <c r="L150" s="20" t="n">
        <v>1985074</v>
      </c>
    </row>
    <row r="151">
      <c r="A151" s="9" t="inlineStr">
        <is>
          <t>비유동자산 합계</t>
        </is>
      </c>
      <c r="E151" s="12" t="n">
        <v>2148593</v>
      </c>
      <c r="H151" s="12" t="n">
        <v>2019866</v>
      </c>
      <c r="I151" s="12" t="n">
        <v>1904007</v>
      </c>
      <c r="J151" s="12" t="n">
        <v>1867714</v>
      </c>
      <c r="K151" s="12" t="n">
        <v>1823652</v>
      </c>
      <c r="L151" s="12" t="n">
        <v>2148593</v>
      </c>
    </row>
    <row r="152">
      <c r="A152" s="9" t="inlineStr">
        <is>
          <t>자산 합계</t>
        </is>
      </c>
      <c r="E152" s="12" t="n">
        <v>2742366</v>
      </c>
      <c r="H152" s="12" t="n">
        <v>2487979</v>
      </c>
      <c r="I152" s="12" t="n">
        <v>2363267</v>
      </c>
      <c r="J152" s="12" t="n">
        <v>2293951</v>
      </c>
      <c r="K152" s="12" t="n">
        <v>2303789</v>
      </c>
      <c r="L152" s="12" t="n">
        <v>2742366</v>
      </c>
    </row>
    <row r="153">
      <c r="A153" s="18" t="inlineStr">
        <is>
          <t>매입채무</t>
        </is>
      </c>
      <c r="E153" s="20" t="n">
        <v>17001</v>
      </c>
      <c r="H153" s="20" t="n">
        <v>5675</v>
      </c>
      <c r="I153" s="20" t="n">
        <v>10445</v>
      </c>
      <c r="J153" s="20" t="n">
        <v>7279</v>
      </c>
      <c r="K153" s="20" t="n">
        <v>15261</v>
      </c>
      <c r="L153" s="20" t="n">
        <v>17001</v>
      </c>
    </row>
    <row r="154">
      <c r="A154" s="18" t="inlineStr">
        <is>
          <t>단기차입금</t>
        </is>
      </c>
      <c r="E154" s="20" t="n">
        <v>0</v>
      </c>
      <c r="I154" s="20" t="n">
        <v>0</v>
      </c>
      <c r="J154" s="20" t="n">
        <v>158000</v>
      </c>
      <c r="K154" s="20" t="n">
        <v>100000</v>
      </c>
      <c r="L154" s="20" t="n">
        <v>0</v>
      </c>
    </row>
    <row r="155">
      <c r="A155" s="18" t="inlineStr">
        <is>
          <t>1년 내 상환 사채</t>
        </is>
      </c>
      <c r="E155" s="20" t="n">
        <v>0</v>
      </c>
      <c r="H155" s="20" t="n">
        <v>30000</v>
      </c>
      <c r="I155" s="20" t="n">
        <v>60000</v>
      </c>
      <c r="J155" s="20" t="n">
        <v>0</v>
      </c>
      <c r="K155" s="20" t="n">
        <v>25000</v>
      </c>
      <c r="L155" s="20" t="n">
        <v>0</v>
      </c>
    </row>
    <row r="156">
      <c r="A156" s="18" t="inlineStr">
        <is>
          <t>1년 내 상환 장기차입금</t>
        </is>
      </c>
      <c r="H156" s="20" t="n">
        <v>30000</v>
      </c>
      <c r="I156" s="20" t="n">
        <v>0</v>
      </c>
      <c r="J156" s="20" t="n">
        <v>20000</v>
      </c>
      <c r="K156" s="20" t="n">
        <v>0</v>
      </c>
    </row>
    <row r="157">
      <c r="A157" s="18" t="inlineStr">
        <is>
          <t>리스부채</t>
        </is>
      </c>
      <c r="E157" s="20" t="n">
        <v>90</v>
      </c>
      <c r="H157" s="20" t="n">
        <v>2050</v>
      </c>
      <c r="I157" s="20" t="n">
        <v>230</v>
      </c>
      <c r="J157" s="20" t="n">
        <v>138</v>
      </c>
      <c r="K157" s="20" t="n">
        <v>182</v>
      </c>
      <c r="L157" s="20" t="n">
        <v>90</v>
      </c>
    </row>
    <row r="158">
      <c r="A158" s="18" t="inlineStr">
        <is>
          <t>미지급금</t>
        </is>
      </c>
      <c r="E158" s="20" t="n">
        <v>82268</v>
      </c>
      <c r="H158" s="20" t="n">
        <v>124329</v>
      </c>
      <c r="I158" s="20" t="n">
        <v>72620</v>
      </c>
      <c r="J158" s="20" t="n">
        <v>42765</v>
      </c>
      <c r="K158" s="20" t="n">
        <v>71164</v>
      </c>
      <c r="L158" s="20" t="n">
        <v>82268</v>
      </c>
    </row>
    <row r="159">
      <c r="A159" s="18" t="inlineStr">
        <is>
          <t>National Tobacco Excise Taxes Payable</t>
        </is>
      </c>
      <c r="E159" s="20" t="n">
        <v>66788</v>
      </c>
      <c r="H159" s="20" t="n">
        <v>69066</v>
      </c>
      <c r="I159" s="20" t="n">
        <v>72925</v>
      </c>
      <c r="J159" s="20" t="n">
        <v>70378</v>
      </c>
      <c r="K159" s="20" t="n">
        <v>66209</v>
      </c>
      <c r="L159" s="20" t="n">
        <v>66788</v>
      </c>
    </row>
    <row r="160">
      <c r="A160" s="18" t="inlineStr">
        <is>
          <t>National Tobacco Special Excise Taxes Payable</t>
        </is>
      </c>
      <c r="E160" s="20" t="n">
        <v>8052</v>
      </c>
      <c r="H160" s="20" t="n">
        <v>8298</v>
      </c>
      <c r="I160" s="20" t="n">
        <v>8791</v>
      </c>
      <c r="J160" s="20" t="n">
        <v>8484</v>
      </c>
      <c r="K160" s="20" t="n">
        <v>7982</v>
      </c>
      <c r="L160" s="20" t="n">
        <v>8052</v>
      </c>
    </row>
    <row r="161">
      <c r="A161" s="18" t="inlineStr">
        <is>
          <t>Local Tobacco Excise Taxes Payable</t>
        </is>
      </c>
      <c r="E161" s="20" t="n">
        <v>74945</v>
      </c>
      <c r="H161" s="20" t="n">
        <v>78114</v>
      </c>
      <c r="I161" s="20" t="n">
        <v>82013</v>
      </c>
      <c r="J161" s="20" t="n">
        <v>79077</v>
      </c>
      <c r="K161" s="20" t="n">
        <v>76693</v>
      </c>
      <c r="L161" s="20" t="n">
        <v>74945</v>
      </c>
    </row>
    <row r="162">
      <c r="A162" s="18" t="inlineStr">
        <is>
          <t>미지급법인세</t>
        </is>
      </c>
      <c r="E162" s="20" t="n">
        <v>1446</v>
      </c>
      <c r="H162" s="20" t="n">
        <v>10910</v>
      </c>
      <c r="I162" s="20" t="n">
        <v>1863</v>
      </c>
      <c r="J162" s="20" t="n">
        <v>5624</v>
      </c>
      <c r="K162" s="20" t="n">
        <v>1330</v>
      </c>
      <c r="L162" s="20" t="n">
        <v>1446</v>
      </c>
    </row>
    <row r="163">
      <c r="A163" s="18" t="inlineStr">
        <is>
          <t>미지급 소비세</t>
        </is>
      </c>
      <c r="E163" s="20" t="n">
        <v>25705</v>
      </c>
      <c r="H163" s="20" t="n">
        <v>30596</v>
      </c>
      <c r="I163" s="20" t="n">
        <v>28711</v>
      </c>
      <c r="J163" s="20" t="n">
        <v>27323</v>
      </c>
      <c r="K163" s="20" t="n">
        <v>26994</v>
      </c>
      <c r="L163" s="20" t="n">
        <v>25705</v>
      </c>
    </row>
    <row r="164">
      <c r="A164" s="18" t="inlineStr">
        <is>
          <t>Cash Management System Deposits Received CL</t>
        </is>
      </c>
      <c r="E164" s="20" t="n">
        <v>275181</v>
      </c>
      <c r="H164" s="20" t="n">
        <v>360786</v>
      </c>
      <c r="I164" s="20" t="n">
        <v>318412</v>
      </c>
      <c r="J164" s="20" t="n">
        <v>300833</v>
      </c>
      <c r="K164" s="20" t="n">
        <v>292571</v>
      </c>
      <c r="L164" s="20" t="n">
        <v>275181</v>
      </c>
    </row>
    <row r="165">
      <c r="A165" s="18" t="inlineStr">
        <is>
          <t>상여충당금</t>
        </is>
      </c>
      <c r="E165" s="20" t="n">
        <v>13843</v>
      </c>
      <c r="H165" s="20" t="n">
        <v>5898</v>
      </c>
      <c r="I165" s="20" t="n">
        <v>5675</v>
      </c>
      <c r="J165" s="20" t="n">
        <v>5498</v>
      </c>
      <c r="K165" s="20" t="n">
        <v>13396</v>
      </c>
      <c r="L165" s="20" t="n">
        <v>13843</v>
      </c>
    </row>
    <row r="166">
      <c r="A166" s="18" t="inlineStr">
        <is>
          <t>Other Provision CL</t>
        </is>
      </c>
      <c r="E166" s="20" t="n">
        <v>1379</v>
      </c>
      <c r="I166" s="20" t="n">
        <v>0</v>
      </c>
      <c r="J166" s="20" t="n">
        <v>1331</v>
      </c>
      <c r="K166" s="20" t="n">
        <v>3471</v>
      </c>
      <c r="L166" s="20" t="n">
        <v>1379</v>
      </c>
    </row>
    <row r="167">
      <c r="A167" s="18" t="inlineStr">
        <is>
          <t>기타</t>
        </is>
      </c>
      <c r="E167" s="20" t="n">
        <v>58338</v>
      </c>
      <c r="H167" s="20" t="n">
        <v>11584</v>
      </c>
      <c r="I167" s="20" t="n">
        <v>20565</v>
      </c>
      <c r="J167" s="20" t="n">
        <v>28933</v>
      </c>
      <c r="K167" s="20" t="n">
        <v>53561</v>
      </c>
      <c r="L167" s="20" t="n">
        <v>58338</v>
      </c>
    </row>
    <row r="168">
      <c r="A168" s="9" t="inlineStr">
        <is>
          <t>유동부채 합계</t>
        </is>
      </c>
      <c r="E168" s="12" t="n">
        <v>625035</v>
      </c>
      <c r="H168" s="12" t="n">
        <v>767305</v>
      </c>
      <c r="I168" s="12" t="n">
        <v>682250</v>
      </c>
      <c r="J168" s="12" t="n">
        <v>755663</v>
      </c>
      <c r="K168" s="12" t="n">
        <v>753816</v>
      </c>
      <c r="L168" s="12" t="n">
        <v>625035</v>
      </c>
    </row>
    <row r="169">
      <c r="A169" s="18" t="inlineStr">
        <is>
          <t>사채</t>
        </is>
      </c>
      <c r="E169" s="20" t="n">
        <v>559543</v>
      </c>
      <c r="H169" s="20" t="n">
        <v>125000</v>
      </c>
      <c r="I169" s="20" t="n">
        <v>65000</v>
      </c>
      <c r="J169" s="20" t="n">
        <v>125000</v>
      </c>
      <c r="K169" s="20" t="n">
        <v>100000</v>
      </c>
      <c r="L169" s="20" t="n">
        <v>559543</v>
      </c>
    </row>
    <row r="170">
      <c r="A170" s="18" t="inlineStr">
        <is>
          <t>장기차입금</t>
        </is>
      </c>
      <c r="E170" s="20" t="n">
        <v>120000</v>
      </c>
      <c r="H170" s="20" t="n">
        <v>140000</v>
      </c>
      <c r="I170" s="20" t="n">
        <v>140000</v>
      </c>
      <c r="J170" s="20" t="n">
        <v>120000</v>
      </c>
      <c r="K170" s="20" t="n">
        <v>120000</v>
      </c>
      <c r="L170" s="20" t="n">
        <v>120000</v>
      </c>
    </row>
    <row r="171">
      <c r="A171" s="18" t="inlineStr">
        <is>
          <t>리스부채</t>
        </is>
      </c>
      <c r="E171" s="20" t="n">
        <v>955</v>
      </c>
      <c r="H171" s="20" t="n">
        <v>3061</v>
      </c>
      <c r="I171" s="20" t="n">
        <v>152</v>
      </c>
      <c r="J171" s="20" t="n">
        <v>45</v>
      </c>
      <c r="K171" s="20" t="n">
        <v>616</v>
      </c>
      <c r="L171" s="20" t="n">
        <v>955</v>
      </c>
    </row>
    <row r="172">
      <c r="A172" s="18" t="inlineStr">
        <is>
          <t>퇴직급여충당금</t>
        </is>
      </c>
      <c r="E172" s="20" t="n">
        <v>86089</v>
      </c>
      <c r="H172" s="20" t="n">
        <v>102960</v>
      </c>
      <c r="I172" s="20" t="n">
        <v>101421</v>
      </c>
      <c r="J172" s="20" t="n">
        <v>101387</v>
      </c>
      <c r="K172" s="20" t="n">
        <v>98521</v>
      </c>
      <c r="L172" s="20" t="n">
        <v>86089</v>
      </c>
    </row>
    <row r="173">
      <c r="A173" s="18" t="inlineStr">
        <is>
          <t>장기 미지급 법인세</t>
        </is>
      </c>
      <c r="E173" s="20" t="n">
        <v>936</v>
      </c>
      <c r="K173" s="20" t="n">
        <v>0</v>
      </c>
      <c r="L173" s="20" t="n">
        <v>936</v>
      </c>
    </row>
    <row r="174">
      <c r="A174" s="18" t="inlineStr">
        <is>
          <t>기타</t>
        </is>
      </c>
      <c r="E174" s="20" t="n">
        <v>11424</v>
      </c>
      <c r="H174" s="20" t="n">
        <v>4957</v>
      </c>
      <c r="I174" s="20" t="n">
        <v>5800</v>
      </c>
      <c r="J174" s="20" t="n">
        <v>12278</v>
      </c>
      <c r="K174" s="20" t="n">
        <v>15943</v>
      </c>
      <c r="L174" s="20" t="n">
        <v>11424</v>
      </c>
    </row>
    <row r="175">
      <c r="A175" s="9" t="inlineStr">
        <is>
          <t>비유동부채 합계</t>
        </is>
      </c>
      <c r="E175" s="12" t="n">
        <v>778948</v>
      </c>
      <c r="H175" s="12" t="n">
        <v>375978</v>
      </c>
      <c r="I175" s="12" t="n">
        <v>312374</v>
      </c>
      <c r="J175" s="12" t="n">
        <v>358711</v>
      </c>
      <c r="K175" s="12" t="n">
        <v>335079</v>
      </c>
      <c r="L175" s="12" t="n">
        <v>778948</v>
      </c>
    </row>
    <row r="176">
      <c r="A176" s="9" t="inlineStr">
        <is>
          <t>부채 합계</t>
        </is>
      </c>
      <c r="E176" s="12" t="n">
        <v>1403983</v>
      </c>
      <c r="H176" s="12" t="n">
        <v>1143283</v>
      </c>
      <c r="I176" s="12" t="n">
        <v>994623</v>
      </c>
      <c r="J176" s="12" t="n">
        <v>1114374</v>
      </c>
      <c r="K176" s="12" t="n">
        <v>1088895</v>
      </c>
      <c r="L176" s="12" t="n">
        <v>1403983</v>
      </c>
    </row>
    <row r="177">
      <c r="A177" s="18" t="inlineStr">
        <is>
          <t>자본금</t>
        </is>
      </c>
      <c r="E177" s="20" t="n">
        <v>100000</v>
      </c>
      <c r="H177" s="20" t="n">
        <v>100000</v>
      </c>
      <c r="I177" s="20" t="n">
        <v>100000</v>
      </c>
      <c r="J177" s="20" t="n">
        <v>100000</v>
      </c>
      <c r="K177" s="20" t="n">
        <v>100000</v>
      </c>
      <c r="L177" s="20" t="n">
        <v>100000</v>
      </c>
    </row>
    <row r="178">
      <c r="A178" s="18" t="inlineStr">
        <is>
          <t>자본준비금</t>
        </is>
      </c>
      <c r="E178" s="20" t="n">
        <v>636400</v>
      </c>
      <c r="H178" s="20" t="n">
        <v>736400</v>
      </c>
      <c r="I178" s="20" t="n">
        <v>736400</v>
      </c>
      <c r="J178" s="20" t="n">
        <v>736400</v>
      </c>
      <c r="K178" s="20" t="n">
        <v>636400</v>
      </c>
      <c r="L178" s="20" t="n">
        <v>636400</v>
      </c>
    </row>
    <row r="179">
      <c r="A179" s="18" t="inlineStr">
        <is>
          <t>기타자본잉여금</t>
        </is>
      </c>
      <c r="E179" s="20" t="n">
        <v>100664</v>
      </c>
      <c r="I179" s="20" t="n">
        <v>0</v>
      </c>
      <c r="J179" s="20" t="n">
        <v>78</v>
      </c>
      <c r="K179" s="20" t="n">
        <v>100297</v>
      </c>
      <c r="L179" s="20" t="n">
        <v>100664</v>
      </c>
    </row>
    <row r="180">
      <c r="A180" s="18" t="inlineStr">
        <is>
          <t>자본잉여금 합계</t>
        </is>
      </c>
      <c r="E180" s="20" t="n">
        <v>737064</v>
      </c>
      <c r="H180" s="20" t="n">
        <v>736400</v>
      </c>
      <c r="I180" s="20" t="n">
        <v>736400</v>
      </c>
      <c r="J180" s="20" t="n">
        <v>736478</v>
      </c>
      <c r="K180" s="20" t="n">
        <v>736697</v>
      </c>
      <c r="L180" s="20" t="n">
        <v>737064</v>
      </c>
    </row>
    <row r="181">
      <c r="A181" s="18" t="inlineStr">
        <is>
          <t>이익준비금</t>
        </is>
      </c>
      <c r="E181" s="20" t="n">
        <v>18776</v>
      </c>
      <c r="H181" s="20" t="n">
        <v>18776</v>
      </c>
      <c r="I181" s="20" t="n">
        <v>18776</v>
      </c>
      <c r="J181" s="20" t="n">
        <v>18776</v>
      </c>
      <c r="K181" s="20" t="n">
        <v>18776</v>
      </c>
      <c r="L181" s="20" t="n">
        <v>18776</v>
      </c>
    </row>
    <row r="182">
      <c r="A182" s="18" t="inlineStr">
        <is>
          <t>Reserve For Investment Loss On Developing New Business</t>
        </is>
      </c>
      <c r="E182" s="20" t="n">
        <v>223</v>
      </c>
      <c r="H182" s="20" t="n">
        <v>356</v>
      </c>
      <c r="I182" s="20" t="n">
        <v>331</v>
      </c>
      <c r="J182" s="20" t="n">
        <v>326</v>
      </c>
      <c r="K182" s="20" t="n">
        <v>243</v>
      </c>
      <c r="L182" s="20" t="n">
        <v>223</v>
      </c>
    </row>
    <row r="183">
      <c r="A183" s="18" t="inlineStr">
        <is>
          <t>Reserve For Reduction Entry1</t>
        </is>
      </c>
      <c r="E183" s="20" t="n">
        <v>22486</v>
      </c>
      <c r="H183" s="20" t="n">
        <v>37715</v>
      </c>
      <c r="I183" s="20" t="n">
        <v>34780</v>
      </c>
      <c r="J183" s="20" t="n">
        <v>32922</v>
      </c>
      <c r="K183" s="20" t="n">
        <v>31382</v>
      </c>
      <c r="L183" s="20" t="n">
        <v>22486</v>
      </c>
    </row>
    <row r="184">
      <c r="A184" s="18" t="inlineStr">
        <is>
          <t>Special Account For Reduction Entry</t>
        </is>
      </c>
      <c r="E184" s="20" t="n">
        <v>822</v>
      </c>
      <c r="H184" s="20" t="n">
        <v>425</v>
      </c>
      <c r="I184" s="20" t="n">
        <v>574</v>
      </c>
      <c r="J184" s="20" t="n">
        <v>914</v>
      </c>
      <c r="K184" s="20" t="n">
        <v>877</v>
      </c>
      <c r="L184" s="20" t="n">
        <v>822</v>
      </c>
    </row>
    <row r="185">
      <c r="A185" s="18" t="inlineStr">
        <is>
          <t>이월이익잉여금</t>
        </is>
      </c>
      <c r="E185" s="20" t="n">
        <v>975733</v>
      </c>
      <c r="H185" s="20" t="n">
        <v>935204</v>
      </c>
      <c r="I185" s="20" t="n">
        <v>956333</v>
      </c>
      <c r="J185" s="20" t="n">
        <v>775229</v>
      </c>
      <c r="K185" s="20" t="n">
        <v>831979</v>
      </c>
      <c r="L185" s="20" t="n">
        <v>975733</v>
      </c>
    </row>
    <row r="186">
      <c r="A186" s="18" t="inlineStr">
        <is>
          <t>이익잉여금 합계</t>
        </is>
      </c>
      <c r="E186" s="20" t="n">
        <v>1018039</v>
      </c>
      <c r="H186" s="20" t="n">
        <v>992476</v>
      </c>
      <c r="I186" s="20" t="n">
        <v>1010794</v>
      </c>
      <c r="J186" s="20" t="n">
        <v>828167</v>
      </c>
      <c r="K186" s="20" t="n">
        <v>883256</v>
      </c>
      <c r="L186" s="20" t="n">
        <v>1018039</v>
      </c>
    </row>
    <row r="187">
      <c r="A187" s="18" t="inlineStr">
        <is>
          <t>자기주식</t>
        </is>
      </c>
      <c r="E187" s="20" t="n">
        <v>-488124</v>
      </c>
      <c r="H187" s="20" t="n">
        <v>-490899</v>
      </c>
      <c r="I187" s="20" t="n">
        <v>-490183</v>
      </c>
      <c r="J187" s="20" t="n">
        <v>-489194</v>
      </c>
      <c r="K187" s="20" t="n">
        <v>-488579</v>
      </c>
      <c r="L187" s="20" t="n">
        <v>-488124</v>
      </c>
    </row>
    <row r="188">
      <c r="A188" s="9" t="inlineStr">
        <is>
          <t>주주자본 합계</t>
        </is>
      </c>
      <c r="E188" s="12" t="n">
        <v>1366980</v>
      </c>
      <c r="H188" s="12" t="n">
        <v>1337977</v>
      </c>
      <c r="I188" s="12" t="n">
        <v>1357011</v>
      </c>
      <c r="J188" s="12" t="n">
        <v>1175451</v>
      </c>
      <c r="K188" s="12" t="n">
        <v>1231375</v>
      </c>
      <c r="L188" s="12" t="n">
        <v>1366980</v>
      </c>
    </row>
    <row r="189">
      <c r="A189" s="18" t="inlineStr">
        <is>
          <t>기타유가증권 평가차액</t>
        </is>
      </c>
      <c r="E189" s="20" t="n">
        <v>6503</v>
      </c>
      <c r="H189" s="20" t="n">
        <v>5833</v>
      </c>
      <c r="I189" s="20" t="n">
        <v>6903</v>
      </c>
      <c r="J189" s="20" t="n">
        <v>6545</v>
      </c>
      <c r="K189" s="20" t="n">
        <v>7052</v>
      </c>
      <c r="L189" s="20" t="n">
        <v>6503</v>
      </c>
    </row>
    <row r="190">
      <c r="A190" s="18" t="inlineStr">
        <is>
          <t>이연헤지손익</t>
        </is>
      </c>
      <c r="E190" s="20" t="n">
        <v>-35389</v>
      </c>
      <c r="H190" s="20" t="n">
        <v>-316</v>
      </c>
      <c r="I190" s="20" t="n">
        <v>3728</v>
      </c>
      <c r="J190" s="20" t="n">
        <v>-2975</v>
      </c>
      <c r="K190" s="20" t="n">
        <v>-23896</v>
      </c>
      <c r="L190" s="20" t="n">
        <v>-35389</v>
      </c>
    </row>
    <row r="191">
      <c r="A191" s="18" t="inlineStr">
        <is>
          <t>평가·환산차액 합계</t>
        </is>
      </c>
      <c r="E191" s="20" t="n">
        <v>-28887</v>
      </c>
      <c r="H191" s="20" t="n">
        <v>5517</v>
      </c>
      <c r="I191" s="20" t="n">
        <v>10631</v>
      </c>
      <c r="J191" s="20" t="n">
        <v>3569</v>
      </c>
      <c r="K191" s="20" t="n">
        <v>-16844</v>
      </c>
      <c r="L191" s="20" t="n">
        <v>-28887</v>
      </c>
    </row>
    <row r="192">
      <c r="A192" s="18" t="inlineStr">
        <is>
          <t>신주예약권</t>
        </is>
      </c>
      <c r="E192" s="20" t="n">
        <v>291</v>
      </c>
      <c r="H192" s="20" t="n">
        <v>1202</v>
      </c>
      <c r="I192" s="20" t="n">
        <v>1001</v>
      </c>
      <c r="J192" s="20" t="n">
        <v>557</v>
      </c>
      <c r="K192" s="20" t="n">
        <v>364</v>
      </c>
      <c r="L192" s="20" t="n">
        <v>291</v>
      </c>
    </row>
    <row r="193">
      <c r="A193" s="9" t="inlineStr">
        <is>
          <t>순자산 합계</t>
        </is>
      </c>
      <c r="E193" s="12" t="n">
        <v>1338384</v>
      </c>
      <c r="H193" s="12" t="n">
        <v>1344696</v>
      </c>
      <c r="I193" s="12" t="n">
        <v>1368643</v>
      </c>
      <c r="J193" s="12" t="n">
        <v>1179577</v>
      </c>
      <c r="K193" s="12" t="n">
        <v>1214895</v>
      </c>
      <c r="L193" s="12" t="n">
        <v>1338384</v>
      </c>
    </row>
    <row r="194">
      <c r="A194" s="9" t="inlineStr">
        <is>
          <t>부채·순자산 합계</t>
        </is>
      </c>
      <c r="E194" s="12" t="n">
        <v>2742366</v>
      </c>
      <c r="H194" s="12" t="n">
        <v>2487979</v>
      </c>
      <c r="I194" s="12" t="n">
        <v>2363267</v>
      </c>
      <c r="J194" s="12" t="n">
        <v>2293951</v>
      </c>
      <c r="K194" s="12" t="n">
        <v>2303789</v>
      </c>
      <c r="L194" s="12" t="n">
        <v>2742366</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2026-07-30</t>
        </is>
      </c>
      <c r="B4" t="inlineStr">
        <is>
          <t>2026년 12월 결산기 2분기 결산단신</t>
        </is>
      </c>
      <c r="C4" t="inlineStr">
        <is>
          <t>https://www2.jpx.co.jp/disc/29140/140120260730502851.pdf</t>
        </is>
      </c>
    </row>
    <row r="5">
      <c r="A5" t="inlineStr">
        <is>
          <t>2026-05-08</t>
        </is>
      </c>
      <c r="B5" t="inlineStr">
        <is>
          <t>2026년 12월 결산기 1분기 결산단신</t>
        </is>
      </c>
      <c r="C5" t="inlineStr">
        <is>
          <t>https://www2.jpx.co.jp/disc/29140/140120260508519418.pdf</t>
        </is>
      </c>
    </row>
    <row r="6">
      <c r="A6" t="inlineStr">
        <is>
          <t>2026-02-12</t>
        </is>
      </c>
      <c r="B6" t="inlineStr">
        <is>
          <t>2025년 12월 결산기 연간 결산단신</t>
        </is>
      </c>
      <c r="C6" t="inlineStr">
        <is>
          <t>https://www2.jpx.co.jp/disc/29140/140120260212555840.pdf</t>
        </is>
      </c>
    </row>
    <row r="7">
      <c r="A7" t="inlineStr">
        <is>
          <t>2025-10-30</t>
        </is>
      </c>
      <c r="B7" t="inlineStr">
        <is>
          <t>2025년 12월 결산기 3분기 결산단신</t>
        </is>
      </c>
      <c r="C7" t="inlineStr">
        <is>
          <t>https://www2.jpx.co.jp/disc/29140/140120251030582082.pdf</t>
        </is>
      </c>
    </row>
    <row r="8">
      <c r="A8" t="inlineStr">
        <is>
          <t>2025-07-31</t>
        </is>
      </c>
      <c r="B8" t="inlineStr">
        <is>
          <t>2025년 12월 결산기 2분기 결산단신</t>
        </is>
      </c>
      <c r="C8" t="inlineStr">
        <is>
          <t>https://www2.jpx.co.jp/disc/29140/140120250731525325.pdf</t>
        </is>
      </c>
    </row>
    <row r="9">
      <c r="A9" t="inlineStr">
        <is>
          <t>2025-05-07</t>
        </is>
      </c>
      <c r="B9" t="inlineStr">
        <is>
          <t>2025년 12월 결산기 1분기 결산단신</t>
        </is>
      </c>
      <c r="C9" t="inlineStr">
        <is>
          <t>https://www2.jpx.co.jp/disc/29140/140120250507531824.pdf</t>
        </is>
      </c>
    </row>
    <row r="10">
      <c r="A10" t="inlineStr">
        <is>
          <t>2025-02-13</t>
        </is>
      </c>
      <c r="B10" t="inlineStr">
        <is>
          <t>2024년 12월 결산기 연간 결산단신</t>
        </is>
      </c>
      <c r="C10" t="inlineStr">
        <is>
          <t>https://www2.jpx.co.jp/disc/29140/140120250212569311.pdf</t>
        </is>
      </c>
    </row>
    <row r="11">
      <c r="A11" t="inlineStr">
        <is>
          <t>2024-10-31</t>
        </is>
      </c>
      <c r="B11" t="inlineStr">
        <is>
          <t>2024년 12월 결산기 3분기 결산단신</t>
        </is>
      </c>
      <c r="C11" t="inlineStr">
        <is>
          <t>https://www2.jpx.co.jp/disc/29140/140120241030505788.pdf</t>
        </is>
      </c>
    </row>
    <row r="12">
      <c r="A12" t="inlineStr">
        <is>
          <t>2024-08-02</t>
        </is>
      </c>
      <c r="B12" t="inlineStr">
        <is>
          <t>2024년 12월 결산기 2분기 결산단신</t>
        </is>
      </c>
      <c r="C12" t="inlineStr">
        <is>
          <t>https://www2.jpx.co.jp/disc/29140/140120240801560266.pdf</t>
        </is>
      </c>
    </row>
    <row r="13">
      <c r="A13" t="inlineStr">
        <is>
          <t>2024-05-09</t>
        </is>
      </c>
      <c r="B13" t="inlineStr">
        <is>
          <t>2024년 12월 결산기 1분기 결산단신</t>
        </is>
      </c>
      <c r="C13" t="inlineStr">
        <is>
          <t>https://www2.jpx.co.jp/disc/29140/140120240508583485.pdf</t>
        </is>
      </c>
    </row>
    <row r="14">
      <c r="A14" t="inlineStr">
        <is>
          <t>2024-02-13</t>
        </is>
      </c>
      <c r="B14" t="inlineStr">
        <is>
          <t>2023년 12월 결산기 연간 결산단신</t>
        </is>
      </c>
      <c r="C14" t="inlineStr">
        <is>
          <t>https://www2.jpx.co.jp/disc/29140/140120240212533028.pdf</t>
        </is>
      </c>
    </row>
    <row r="15">
      <c r="A15" t="inlineStr">
        <is>
          <t>2023-10-31</t>
        </is>
      </c>
      <c r="B15" t="inlineStr">
        <is>
          <t>2023년 12월 결산기 3분기 결산단신</t>
        </is>
      </c>
      <c r="C15" t="inlineStr">
        <is>
          <t>https://www2.jpx.co.jp/disc/29140/140120231030574088.pdf</t>
        </is>
      </c>
    </row>
    <row r="16">
      <c r="A16" t="inlineStr">
        <is>
          <t>2023-07-31</t>
        </is>
      </c>
      <c r="B16" t="inlineStr">
        <is>
          <t>2023년 12월 결산기 2분기 결산단신</t>
        </is>
      </c>
      <c r="C16" t="inlineStr">
        <is>
          <t>https://www2.jpx.co.jp/disc/29140/140120230728528784.pdf</t>
        </is>
      </c>
    </row>
    <row r="17">
      <c r="A17" t="inlineStr">
        <is>
          <t>2023-05-02</t>
        </is>
      </c>
      <c r="B17" t="inlineStr">
        <is>
          <t>2023년 12월 결산기 1분기 결산단신</t>
        </is>
      </c>
      <c r="C17" t="inlineStr">
        <is>
          <t>https://www2.jpx.co.jp/disc/29140/140120230501557681.pdf</t>
        </is>
      </c>
    </row>
    <row r="18">
      <c r="A18" t="inlineStr">
        <is>
          <t>2023-02-14</t>
        </is>
      </c>
      <c r="B18" t="inlineStr">
        <is>
          <t>2022년 12월 결산기 연간 결산단신</t>
        </is>
      </c>
      <c r="C18" t="inlineStr">
        <is>
          <t>https://www2.jpx.co.jp/disc/29140/140120230214510677.pdf</t>
        </is>
      </c>
    </row>
    <row r="19">
      <c r="A19" t="inlineStr">
        <is>
          <t>2022-10-31</t>
        </is>
      </c>
      <c r="B19" t="inlineStr">
        <is>
          <t>2022년 12월 결산기 3분기 결산단신</t>
        </is>
      </c>
      <c r="C19" t="inlineStr">
        <is>
          <t>https://www2.jpx.co.jp/disc/29140/140120221028552731.pdf</t>
        </is>
      </c>
    </row>
    <row r="20">
      <c r="A20" t="inlineStr">
        <is>
          <t>2022-02-14</t>
        </is>
      </c>
      <c r="B20" t="inlineStr">
        <is>
          <t>2021년 12월 결산기 연간 결산단신</t>
        </is>
      </c>
      <c r="C20" t="inlineStr">
        <is>
          <t>https://www2.jpx.co.jp/disc/29140/140120220127573828.pdf</t>
        </is>
      </c>
    </row>
    <row r="21">
      <c r="A21" t="inlineStr">
        <is>
          <t>2021-02-09</t>
        </is>
      </c>
      <c r="B21" t="inlineStr">
        <is>
          <t>2020년 12월 결산기 연간 결산단신</t>
        </is>
      </c>
      <c r="C21" t="inlineStr">
        <is>
          <t>https://www2.jpx.co.jp/disc/29140/140120210208458789.pdf</t>
        </is>
      </c>
    </row>
    <row r="22">
      <c r="A22" t="inlineStr">
        <is>
          <t>2020-02-06</t>
        </is>
      </c>
      <c r="B22" t="inlineStr">
        <is>
          <t>2019년 12월 결산기 연간 결산단신</t>
        </is>
      </c>
      <c r="C22" t="inlineStr">
        <is>
          <t>https://www2.jpx.co.jp/disc/29140/140120200205458256.pdf</t>
        </is>
      </c>
    </row>
    <row r="23">
      <c r="A23" t="inlineStr">
        <is>
          <t>2019-02-07</t>
        </is>
      </c>
      <c r="B23" t="inlineStr">
        <is>
          <t>연간 결산단신</t>
        </is>
      </c>
      <c r="C23" t="inlineStr">
        <is>
          <t>https://www2.jpx.co.jp/disc/29140/140120190207471729.pdf</t>
        </is>
      </c>
    </row>
    <row r="24">
      <c r="A24" t="inlineStr">
        <is>
          <t>2018-02-06</t>
        </is>
      </c>
      <c r="B24" t="inlineStr">
        <is>
          <t>연간 결산단신</t>
        </is>
      </c>
      <c r="C24" t="inlineStr">
        <is>
          <t>https://www2.jpx.co.jp/disc/29140/140120171120421896.pdf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2026-10-26T10:53:25Z</dcterms:created>
  <dcterms:modified xmlns:dcterms="http://purl.org/dc/terms/" xmlns:xsi="http://www.w3.org/2001/XMLSchema-instance" xsi:type="dcterms:W3CDTF">2026-10-26T10:53:26Z</dcterms:modified>
</cp:coreProperties>
</file>