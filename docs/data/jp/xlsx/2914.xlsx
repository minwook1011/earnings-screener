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2914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IFRS · 2025.4Q = 2025년 12월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2023.1Q</t>
        </is>
      </c>
      <c r="D3" s="5" t="inlineStr">
        <is>
          <t>2023.2Q</t>
        </is>
      </c>
      <c r="E3" s="5" t="inlineStr">
        <is>
          <t>2023.3Q</t>
        </is>
      </c>
      <c r="F3" s="5" t="inlineStr">
        <is>
          <t>2023.4Q</t>
        </is>
      </c>
      <c r="G3" s="5" t="inlineStr">
        <is>
          <t>2024.1Q</t>
        </is>
      </c>
      <c r="H3" s="5" t="inlineStr">
        <is>
          <t>2024.2Q</t>
        </is>
      </c>
      <c r="I3" s="5" t="inlineStr">
        <is>
          <t>2024.3Q</t>
        </is>
      </c>
      <c r="J3" s="5" t="inlineStr">
        <is>
          <t>2024.4Q</t>
        </is>
      </c>
      <c r="K3" s="5" t="inlineStr">
        <is>
          <t>2025.1Q</t>
        </is>
      </c>
      <c r="L3" s="5" t="inlineStr">
        <is>
          <t>2025.2Q</t>
        </is>
      </c>
      <c r="M3" s="5" t="inlineStr">
        <is>
          <t>2025.3Q</t>
        </is>
      </c>
      <c r="N3" s="5" t="inlineStr">
        <is>
          <t>2025.4Q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1" t="n">
        <v>729286</v>
      </c>
      <c r="P4" s="12" t="n">
        <v>681840</v>
      </c>
      <c r="Q4" s="12" t="n">
        <v>696250</v>
      </c>
      <c r="R4" s="12" t="n">
        <v>660805</v>
      </c>
      <c r="S4" s="12" t="n">
        <v>596887</v>
      </c>
      <c r="T4" s="12" t="n">
        <v>592220</v>
      </c>
      <c r="U4" s="12" t="n">
        <v>542181</v>
      </c>
      <c r="V4" s="12" t="n">
        <v>537261</v>
      </c>
      <c r="W4" s="12" t="n">
        <v>530247</v>
      </c>
      <c r="X4" s="12" t="n">
        <v>566521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부문</t>
        </is>
      </c>
      <c r="B7" s="10" t="n"/>
      <c r="C7" s="19" t="n"/>
      <c r="D7" s="20" t="n"/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2590910</v>
      </c>
      <c r="W7" s="20" t="n">
        <v>2896984</v>
      </c>
      <c r="X7" s="20" t="n">
        <v>3305407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부문</t>
        </is>
      </c>
      <c r="B10" s="10" t="n"/>
      <c r="C10" s="19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94875</v>
      </c>
      <c r="W10" s="20" t="n">
        <v>94464</v>
      </c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부문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153854</v>
      </c>
      <c r="W13" s="20" t="n">
        <v>157183</v>
      </c>
      <c r="X13" s="20" t="n">
        <v>159513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1439</v>
      </c>
      <c r="W16" s="20" t="n">
        <v>2541</v>
      </c>
      <c r="X16" s="20" t="n">
        <v>2756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19" t="n">
        <v>208648</v>
      </c>
      <c r="P20" s="20" t="n">
        <v>182446</v>
      </c>
      <c r="Q20" s="20" t="n">
        <v>192604</v>
      </c>
      <c r="R20" s="20" t="n">
        <v>195933</v>
      </c>
      <c r="S20" s="20" t="n">
        <v>166144</v>
      </c>
      <c r="T20" s="20" t="n">
        <v>154227</v>
      </c>
      <c r="U20" s="20" t="n">
        <v>173609</v>
      </c>
      <c r="V20" s="20" t="n">
        <v>191861</v>
      </c>
      <c r="W20" s="20" t="n">
        <v>195050</v>
      </c>
      <c r="X20" s="20" t="n">
        <v>216731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19" t="n">
        <v>323938</v>
      </c>
      <c r="P24" s="20" t="n">
        <v>330951</v>
      </c>
      <c r="Q24" s="20" t="n">
        <v>348375</v>
      </c>
      <c r="R24" s="20" t="n">
        <v>335858</v>
      </c>
      <c r="S24" s="20" t="n">
        <v>329792</v>
      </c>
      <c r="T24" s="20" t="n">
        <v>344154</v>
      </c>
      <c r="U24" s="20" t="n">
        <v>303998</v>
      </c>
      <c r="V24" s="20" t="n">
        <v>325269</v>
      </c>
      <c r="W24" s="20" t="n">
        <v>341273</v>
      </c>
      <c r="X24" s="20" t="n">
        <v>355879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1" t="n">
        <v>196700</v>
      </c>
      <c r="P25" s="12" t="n">
        <v>168443</v>
      </c>
      <c r="Q25" s="12" t="n">
        <v>155271</v>
      </c>
      <c r="R25" s="12" t="n">
        <v>129014</v>
      </c>
      <c r="S25" s="12" t="n">
        <v>100950</v>
      </c>
      <c r="T25" s="12" t="n">
        <v>93839</v>
      </c>
      <c r="U25" s="12" t="n">
        <v>64574</v>
      </c>
      <c r="V25" s="12" t="n">
        <v>20131</v>
      </c>
      <c r="W25" s="12" t="n">
        <v>-6076</v>
      </c>
      <c r="X25" s="12" t="n">
        <v>-6090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기타이익</t>
        </is>
      </c>
      <c r="B41" s="10" t="n"/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>
        <v>66214</v>
      </c>
      <c r="P41" s="20" t="n">
        <v>21499</v>
      </c>
      <c r="Q41" s="20" t="n">
        <v>39714</v>
      </c>
      <c r="R41" s="20" t="n">
        <v>56495</v>
      </c>
      <c r="S41" s="20" t="n">
        <v>53094</v>
      </c>
      <c r="T41" s="20" t="n">
        <v>6789</v>
      </c>
      <c r="U41" s="20" t="n">
        <v>50968</v>
      </c>
      <c r="V41" s="20" t="n">
        <v>18699</v>
      </c>
      <c r="W41" s="20" t="n">
        <v>9223</v>
      </c>
      <c r="X41" s="20" t="n">
        <v>44035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기타손실</t>
        </is>
      </c>
      <c r="B43" s="10" t="n"/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>
        <v>13240</v>
      </c>
      <c r="P43" s="20" t="n">
        <v>5839</v>
      </c>
      <c r="Q43" s="20" t="n">
        <v>8958</v>
      </c>
      <c r="R43" s="20" t="n">
        <v>39584</v>
      </c>
      <c r="S43" s="20" t="n">
        <v>8889</v>
      </c>
      <c r="T43" s="20" t="n">
        <v>49397</v>
      </c>
      <c r="U43" s="20" t="n">
        <v>14647</v>
      </c>
      <c r="V43" s="20" t="n">
        <v>9289</v>
      </c>
      <c r="W43" s="20" t="n">
        <v>8048</v>
      </c>
      <c r="X43" s="20" t="n">
        <v>21093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금융수익</t>
        </is>
      </c>
      <c r="B45" s="10" t="n"/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>
        <v>14109</v>
      </c>
      <c r="P45" s="20" t="n">
        <v>37479</v>
      </c>
      <c r="Q45" s="20" t="n">
        <v>43366</v>
      </c>
      <c r="R45" s="20" t="n">
        <v>156376</v>
      </c>
      <c r="S45" s="20" t="n">
        <v>151329</v>
      </c>
      <c r="T45" s="20" t="n">
        <v>190842</v>
      </c>
      <c r="U45" s="20" t="n">
        <v>213108</v>
      </c>
      <c r="V45" s="20" t="n">
        <v>175064</v>
      </c>
      <c r="W45" s="20" t="n">
        <v>433934</v>
      </c>
      <c r="X45" s="20" t="n">
        <v>505641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금융원가</t>
        </is>
      </c>
      <c r="B47" s="10" t="n"/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 t="n">
        <v>7567</v>
      </c>
      <c r="P47" s="20" t="n">
        <v>6586</v>
      </c>
      <c r="Q47" s="20" t="n">
        <v>8294</v>
      </c>
      <c r="R47" s="20" t="n">
        <v>6422</v>
      </c>
      <c r="S47" s="20" t="n">
        <v>11789</v>
      </c>
      <c r="T47" s="20" t="n">
        <v>5871</v>
      </c>
      <c r="U47" s="20" t="n">
        <v>3948</v>
      </c>
      <c r="V47" s="20" t="n">
        <v>9529</v>
      </c>
      <c r="W47" s="20" t="n">
        <v>23482</v>
      </c>
      <c r="X47" s="20" t="n">
        <v>26990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1" t="n">
        <v>256217</v>
      </c>
      <c r="P49" s="12" t="n">
        <v>214996</v>
      </c>
      <c r="Q49" s="12" t="n">
        <v>221098</v>
      </c>
      <c r="R49" s="12" t="n">
        <v>295879</v>
      </c>
      <c r="S49" s="12" t="n">
        <v>284695</v>
      </c>
      <c r="T49" s="12" t="n">
        <v>236202</v>
      </c>
      <c r="U49" s="12" t="n">
        <v>310055</v>
      </c>
      <c r="V49" s="12" t="n">
        <v>195075</v>
      </c>
      <c r="W49" s="12" t="n">
        <v>405552</v>
      </c>
      <c r="X49" s="12" t="n">
        <v>495504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19" t="n">
        <v>82609</v>
      </c>
      <c r="P50" s="20" t="n">
        <v>54875</v>
      </c>
      <c r="Q50" s="20" t="n">
        <v>56503</v>
      </c>
      <c r="R50" s="20" t="n">
        <v>33409</v>
      </c>
      <c r="S50" s="20" t="n">
        <v>42943</v>
      </c>
      <c r="T50" s="20" t="n">
        <v>19306</v>
      </c>
      <c r="U50" s="20" t="n">
        <v>26594</v>
      </c>
      <c r="V50" s="20" t="n">
        <v>10287</v>
      </c>
      <c r="W50" s="20" t="n">
        <v>703</v>
      </c>
      <c r="X50" s="20" t="n">
        <v>3805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1" t="n">
        <v>173607</v>
      </c>
      <c r="P52" s="12" t="n">
        <v>160120</v>
      </c>
      <c r="Q52" s="12" t="n">
        <v>164595</v>
      </c>
      <c r="R52" s="12" t="n">
        <v>262469</v>
      </c>
      <c r="S52" s="12" t="n">
        <v>241752</v>
      </c>
      <c r="T52" s="12" t="n">
        <v>216896</v>
      </c>
      <c r="U52" s="12" t="n">
        <v>283461</v>
      </c>
      <c r="V52" s="12" t="n">
        <v>184788</v>
      </c>
      <c r="W52" s="12" t="n">
        <v>404849</v>
      </c>
      <c r="X52" s="12" t="n">
        <v>491698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1" t="n"/>
      <c r="P53" s="12" t="n"/>
      <c r="Q53" s="12" t="n">
        <v>385677</v>
      </c>
      <c r="R53" s="12" t="n">
        <v>348190</v>
      </c>
      <c r="S53" s="12" t="n">
        <v>310253</v>
      </c>
      <c r="T53" s="12" t="n">
        <v>338490</v>
      </c>
      <c r="U53" s="12" t="n">
        <v>442716</v>
      </c>
      <c r="V53" s="12" t="n">
        <v>482288</v>
      </c>
      <c r="W53" s="12" t="n">
        <v>179240</v>
      </c>
      <c r="X53" s="12" t="n">
        <v>510175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()</t>
        </is>
      </c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/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</t>
        </is>
      </c>
      <c r="C83" s="39" t="n"/>
      <c r="O83" s="39" t="n"/>
      <c r="Y83" s="39" t="n"/>
    </row>
    <row r="85">
      <c r="A85" s="16" t="inlineStr">
        <is>
          <t>현금흐름표 · 전 항목</t>
        </is>
      </c>
      <c r="B85" s="42" t="inlineStr">
        <is>
          <t>분기 = 결산기 첫날부터 누계(공시 그대로)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2023.1Q</t>
        </is>
      </c>
      <c r="D86" s="5" t="inlineStr">
        <is>
          <t>2023.2Q</t>
        </is>
      </c>
      <c r="E86" s="5" t="inlineStr">
        <is>
          <t>2023.3Q</t>
        </is>
      </c>
      <c r="F86" s="5" t="inlineStr">
        <is>
          <t>2023.4Q</t>
        </is>
      </c>
      <c r="G86" s="5" t="inlineStr">
        <is>
          <t>2024.1Q</t>
        </is>
      </c>
      <c r="H86" s="5" t="inlineStr">
        <is>
          <t>2024.2Q</t>
        </is>
      </c>
      <c r="I86" s="5" t="inlineStr">
        <is>
          <t>2024.3Q</t>
        </is>
      </c>
      <c r="J86" s="5" t="inlineStr">
        <is>
          <t>2024.4Q</t>
        </is>
      </c>
      <c r="K86" s="5" t="inlineStr">
        <is>
          <t>2025.1Q</t>
        </is>
      </c>
      <c r="L86" s="5" t="inlineStr">
        <is>
          <t>2025.2Q</t>
        </is>
      </c>
      <c r="M86" s="5" t="inlineStr">
        <is>
          <t>2025.3Q</t>
        </is>
      </c>
      <c r="N86" s="5" t="inlineStr">
        <is>
          <t>2025.4Q</t>
        </is>
      </c>
      <c r="O86" s="5" t="inlineStr">
        <is>
          <t>2016</t>
        </is>
      </c>
      <c r="P86" s="5" t="inlineStr">
        <is>
          <t>2017</t>
        </is>
      </c>
      <c r="Q86" s="5" t="inlineStr">
        <is>
          <t>2018</t>
        </is>
      </c>
      <c r="R86" s="5" t="inlineStr">
        <is>
          <t>2019</t>
        </is>
      </c>
      <c r="S86" s="5" t="inlineStr">
        <is>
          <t>2020</t>
        </is>
      </c>
      <c r="T86" s="5" t="inlineStr">
        <is>
          <t>2021</t>
        </is>
      </c>
      <c r="U86" s="5" t="inlineStr">
        <is>
          <t>2022</t>
        </is>
      </c>
      <c r="V86" s="5" t="inlineStr">
        <is>
          <t>2023</t>
        </is>
      </c>
      <c r="W86" s="5" t="inlineStr">
        <is>
          <t>2024</t>
        </is>
      </c>
      <c r="X86" s="5" t="inlineStr">
        <is>
          <t>2025</t>
        </is>
      </c>
      <c r="Y86" s="5" t="inlineStr">
        <is>
          <t>2026(MW)</t>
        </is>
      </c>
      <c r="Z86" s="5" t="inlineStr">
        <is>
          <t>2027(MW)</t>
        </is>
      </c>
      <c r="AA86" s="5" t="inlineStr">
        <is>
          <t>2028(MW)</t>
        </is>
      </c>
      <c r="AB86" s="5" t="inlineStr">
        <is>
          <t>2029(MW)</t>
        </is>
      </c>
      <c r="AC86" s="5" t="inlineStr">
        <is>
          <t>2030(MW)</t>
        </is>
      </c>
    </row>
    <row r="87">
      <c r="A87" s="9" t="inlineStr">
        <is>
          <t>법인세차감전 이익</t>
        </is>
      </c>
      <c r="F87" s="12" t="n">
        <v>621601</v>
      </c>
      <c r="J87" s="12" t="n">
        <v>224333</v>
      </c>
      <c r="N87" s="12" t="n">
        <v>739786</v>
      </c>
      <c r="Q87" s="12" t="n">
        <v>531486</v>
      </c>
      <c r="R87" s="12" t="n">
        <v>465232</v>
      </c>
      <c r="S87" s="12" t="n">
        <v>420063</v>
      </c>
      <c r="T87" s="12" t="n">
        <v>472390</v>
      </c>
      <c r="U87" s="12" t="n">
        <v>593450</v>
      </c>
      <c r="V87" s="12" t="n">
        <v>621601</v>
      </c>
      <c r="W87" s="12" t="n">
        <v>224333</v>
      </c>
      <c r="X87" s="12" t="n">
        <v>739786</v>
      </c>
    </row>
    <row r="88">
      <c r="A88" s="9" t="inlineStr">
        <is>
          <t>Profit Loss Before Tax From Discontinued Operations</t>
        </is>
      </c>
      <c r="J88" s="12" t="n">
        <v>9434</v>
      </c>
      <c r="N88" s="12" t="n">
        <v>-4962</v>
      </c>
      <c r="W88" s="12" t="n">
        <v>9434</v>
      </c>
      <c r="X88" s="12" t="n">
        <v>-4962</v>
      </c>
    </row>
    <row r="89">
      <c r="A89" s="18" t="inlineStr">
        <is>
          <t>감가상각비 및 상각비</t>
        </is>
      </c>
      <c r="F89" s="20" t="n">
        <v>177409</v>
      </c>
      <c r="J89" s="20" t="n">
        <v>179837</v>
      </c>
      <c r="N89" s="20" t="n">
        <v>195899</v>
      </c>
      <c r="Q89" s="20" t="n">
        <v>158671</v>
      </c>
      <c r="R89" s="20" t="n">
        <v>183852</v>
      </c>
      <c r="S89" s="20" t="n">
        <v>179654</v>
      </c>
      <c r="T89" s="20" t="n">
        <v>187057</v>
      </c>
      <c r="U89" s="20" t="n">
        <v>199651</v>
      </c>
      <c r="V89" s="20" t="n">
        <v>177409</v>
      </c>
      <c r="W89" s="20" t="n">
        <v>179837</v>
      </c>
      <c r="X89" s="20" t="n">
        <v>195899</v>
      </c>
    </row>
    <row r="90">
      <c r="A90" s="18" t="inlineStr">
        <is>
          <t>Losses On Liquidation Of Subsidiary Ope CF</t>
        </is>
      </c>
      <c r="J90" s="20" t="n">
        <v>0</v>
      </c>
      <c r="N90" s="20" t="n">
        <v>27128</v>
      </c>
      <c r="W90" s="20" t="n">
        <v>0</v>
      </c>
      <c r="X90" s="20" t="n">
        <v>27128</v>
      </c>
    </row>
    <row r="91">
      <c r="A91" s="18" t="inlineStr">
        <is>
          <t>손상차손</t>
        </is>
      </c>
      <c r="F91" s="20" t="n">
        <v>13710</v>
      </c>
      <c r="J91" s="20" t="n">
        <v>17370</v>
      </c>
      <c r="N91" s="20" t="n">
        <v>34892</v>
      </c>
      <c r="Q91" s="20" t="n">
        <v>8454</v>
      </c>
      <c r="R91" s="20" t="n">
        <v>16124</v>
      </c>
      <c r="S91" s="20" t="n">
        <v>12571</v>
      </c>
      <c r="T91" s="20" t="n">
        <v>22768</v>
      </c>
      <c r="U91" s="20" t="n">
        <v>27539</v>
      </c>
      <c r="V91" s="20" t="n">
        <v>13710</v>
      </c>
      <c r="W91" s="20" t="n">
        <v>17370</v>
      </c>
      <c r="X91" s="20" t="n">
        <v>34892</v>
      </c>
    </row>
    <row r="92">
      <c r="A92" s="18" t="inlineStr">
        <is>
          <t>이자·배당금 수익</t>
        </is>
      </c>
      <c r="F92" s="20" t="n">
        <v>-42816</v>
      </c>
      <c r="J92" s="20" t="n">
        <v>-67562</v>
      </c>
      <c r="N92" s="20" t="n">
        <v>-67271</v>
      </c>
      <c r="Q92" s="20" t="n">
        <v>-5751</v>
      </c>
      <c r="R92" s="20" t="n">
        <v>-7944</v>
      </c>
      <c r="S92" s="20" t="n">
        <v>-7318</v>
      </c>
      <c r="T92" s="20" t="n">
        <v>-13372</v>
      </c>
      <c r="U92" s="20" t="n">
        <v>-26535</v>
      </c>
      <c r="V92" s="20" t="n">
        <v>-42816</v>
      </c>
      <c r="W92" s="20" t="n">
        <v>-67562</v>
      </c>
      <c r="X92" s="20" t="n">
        <v>-67271</v>
      </c>
    </row>
    <row r="93">
      <c r="A93" s="18" t="inlineStr">
        <is>
          <t>이자비용</t>
        </is>
      </c>
      <c r="F93" s="20" t="n">
        <v>28493</v>
      </c>
      <c r="J93" s="20" t="n">
        <v>42485</v>
      </c>
      <c r="N93" s="20" t="n">
        <v>76157</v>
      </c>
      <c r="Q93" s="20" t="n">
        <v>16343</v>
      </c>
      <c r="R93" s="20" t="n">
        <v>27557</v>
      </c>
      <c r="S93" s="20" t="n">
        <v>22535</v>
      </c>
      <c r="T93" s="20" t="n">
        <v>23050</v>
      </c>
      <c r="U93" s="20" t="n">
        <v>27019</v>
      </c>
      <c r="V93" s="20" t="n">
        <v>28493</v>
      </c>
      <c r="W93" s="20" t="n">
        <v>42485</v>
      </c>
      <c r="X93" s="20" t="n">
        <v>76157</v>
      </c>
    </row>
    <row r="94">
      <c r="A94" s="18" t="inlineStr">
        <is>
          <t>Share Of Loss Profit Of Investments Accounted For Using Equity Method Ope CF</t>
        </is>
      </c>
      <c r="F94" s="20" t="n">
        <v>-8332</v>
      </c>
      <c r="J94" s="20" t="n">
        <v>-12885</v>
      </c>
      <c r="N94" s="20" t="n">
        <v>-13332</v>
      </c>
      <c r="Q94" s="20" t="n">
        <v>-3931</v>
      </c>
      <c r="R94" s="20" t="n">
        <v>-5011</v>
      </c>
      <c r="S94" s="20" t="n">
        <v>-4042</v>
      </c>
      <c r="T94" s="20" t="n">
        <v>-3997</v>
      </c>
      <c r="U94" s="20" t="n">
        <v>-8009</v>
      </c>
      <c r="V94" s="20" t="n">
        <v>-8332</v>
      </c>
      <c r="W94" s="20" t="n">
        <v>-12885</v>
      </c>
      <c r="X94" s="20" t="n">
        <v>-13332</v>
      </c>
    </row>
    <row r="95">
      <c r="A95" s="18" t="inlineStr">
        <is>
          <t>Gains Losses On Sale And Disposal Of Property Plant And Equipment Intangible Assets And Investment Property</t>
        </is>
      </c>
      <c r="Q95" s="20" t="n">
        <v>-34905</v>
      </c>
      <c r="R95" s="20" t="n">
        <v>-8299</v>
      </c>
    </row>
    <row r="96">
      <c r="A96" s="18" t="inlineStr">
        <is>
          <t>Gains Losses On Sale And Disposal Of Property Plant And Equipment Intangible Assets And Investment Property IFRSOpe CF</t>
        </is>
      </c>
      <c r="F96" s="20" t="n">
        <v>-16810</v>
      </c>
      <c r="J96" s="20" t="n">
        <v>-7374</v>
      </c>
      <c r="N96" s="20" t="n">
        <v>-13570</v>
      </c>
      <c r="R96" s="20" t="n">
        <v>-8299</v>
      </c>
      <c r="S96" s="20" t="n">
        <v>-40821</v>
      </c>
      <c r="T96" s="20" t="n">
        <v>-3974</v>
      </c>
      <c r="U96" s="20" t="n">
        <v>-4891</v>
      </c>
      <c r="V96" s="20" t="n">
        <v>-16810</v>
      </c>
      <c r="W96" s="20" t="n">
        <v>-7374</v>
      </c>
      <c r="X96" s="20" t="n">
        <v>-13570</v>
      </c>
    </row>
    <row r="97">
      <c r="A97" s="18" t="inlineStr">
        <is>
          <t>Gain Losses On Sale Of Investments In Subsidiaries</t>
        </is>
      </c>
      <c r="T97" s="20" t="n">
        <v>0</v>
      </c>
      <c r="U97" s="20" t="n">
        <v>-849</v>
      </c>
    </row>
    <row r="98">
      <c r="A98" s="18" t="inlineStr">
        <is>
          <t>Gain Losses On Sale Of Investments In Subsidiaries Ope CF</t>
        </is>
      </c>
      <c r="F98" s="20" t="n">
        <v>104</v>
      </c>
      <c r="J98" s="20" t="n">
        <v>-1722</v>
      </c>
      <c r="N98" s="20" t="n">
        <v>0</v>
      </c>
      <c r="U98" s="20" t="n">
        <v>-849</v>
      </c>
      <c r="V98" s="20" t="n">
        <v>104</v>
      </c>
      <c r="W98" s="20" t="n">
        <v>-1722</v>
      </c>
      <c r="X98" s="20" t="n">
        <v>0</v>
      </c>
    </row>
    <row r="99">
      <c r="A99" s="18" t="inlineStr">
        <is>
          <t>Gains Losses On Transfer Of Business Ope CF</t>
        </is>
      </c>
      <c r="J99" s="20" t="n">
        <v>0</v>
      </c>
      <c r="N99" s="20" t="n">
        <v>-4725</v>
      </c>
      <c r="W99" s="20" t="n">
        <v>0</v>
      </c>
      <c r="X99" s="20" t="n">
        <v>-4725</v>
      </c>
    </row>
    <row r="100">
      <c r="A100" s="18" t="inlineStr">
        <is>
          <t>Decrease Increase In Trade And Other Receivables Ope CF</t>
        </is>
      </c>
      <c r="F100" s="20" t="n">
        <v>-30169</v>
      </c>
      <c r="J100" s="20" t="n">
        <v>45770</v>
      </c>
      <c r="N100" s="20" t="n">
        <v>-33364</v>
      </c>
      <c r="Q100" s="20" t="n">
        <v>-30818</v>
      </c>
      <c r="R100" s="20" t="n">
        <v>10673</v>
      </c>
      <c r="S100" s="20" t="n">
        <v>21554</v>
      </c>
      <c r="T100" s="20" t="n">
        <v>-29891</v>
      </c>
      <c r="U100" s="20" t="n">
        <v>26574</v>
      </c>
      <c r="V100" s="20" t="n">
        <v>-30169</v>
      </c>
      <c r="W100" s="20" t="n">
        <v>45770</v>
      </c>
      <c r="X100" s="20" t="n">
        <v>-33364</v>
      </c>
    </row>
    <row r="101">
      <c r="A101" s="18" t="inlineStr">
        <is>
          <t>Decrease Increase In Inventories Ope CF</t>
        </is>
      </c>
      <c r="F101" s="20" t="n">
        <v>-136232</v>
      </c>
      <c r="J101" s="20" t="n">
        <v>-96566</v>
      </c>
      <c r="N101" s="20" t="n">
        <v>-121938</v>
      </c>
      <c r="Q101" s="20" t="n">
        <v>-53058</v>
      </c>
      <c r="R101" s="20" t="n">
        <v>-9046</v>
      </c>
      <c r="S101" s="20" t="n">
        <v>748</v>
      </c>
      <c r="T101" s="20" t="n">
        <v>9770</v>
      </c>
      <c r="U101" s="20" t="n">
        <v>-93910</v>
      </c>
      <c r="V101" s="20" t="n">
        <v>-136232</v>
      </c>
      <c r="W101" s="20" t="n">
        <v>-96566</v>
      </c>
      <c r="X101" s="20" t="n">
        <v>-121938</v>
      </c>
    </row>
    <row r="102">
      <c r="A102" s="18" t="inlineStr">
        <is>
          <t>Increase Decrease In Trade And Other Payables Ope CF</t>
        </is>
      </c>
      <c r="F102" s="20" t="n">
        <v>40998</v>
      </c>
      <c r="J102" s="20" t="n">
        <v>-46221</v>
      </c>
      <c r="N102" s="20" t="n">
        <v>42139</v>
      </c>
      <c r="Q102" s="20" t="n">
        <v>-4618</v>
      </c>
      <c r="R102" s="20" t="n">
        <v>28294</v>
      </c>
      <c r="S102" s="20" t="n">
        <v>39288</v>
      </c>
      <c r="T102" s="20" t="n">
        <v>111912</v>
      </c>
      <c r="U102" s="20" t="n">
        <v>-38251</v>
      </c>
      <c r="V102" s="20" t="n">
        <v>40998</v>
      </c>
      <c r="W102" s="20" t="n">
        <v>-46221</v>
      </c>
      <c r="X102" s="20" t="n">
        <v>42139</v>
      </c>
    </row>
    <row r="103">
      <c r="A103" s="18" t="inlineStr">
        <is>
          <t>Increase Decrease In Retirement Benefit Liability Ope CF</t>
        </is>
      </c>
      <c r="F103" s="20" t="n">
        <v>455</v>
      </c>
      <c r="J103" s="20" t="n">
        <v>-7175</v>
      </c>
      <c r="N103" s="20" t="n">
        <v>-12335</v>
      </c>
      <c r="Q103" s="20" t="n">
        <v>-8864</v>
      </c>
      <c r="R103" s="20" t="n">
        <v>-9526</v>
      </c>
      <c r="S103" s="20" t="n">
        <v>-5788</v>
      </c>
      <c r="T103" s="20" t="n">
        <v>-23651</v>
      </c>
      <c r="U103" s="20" t="n">
        <v>-4156</v>
      </c>
      <c r="V103" s="20" t="n">
        <v>455</v>
      </c>
      <c r="W103" s="20" t="n">
        <v>-7175</v>
      </c>
      <c r="X103" s="20" t="n">
        <v>-12335</v>
      </c>
    </row>
    <row r="104">
      <c r="A104" s="18" t="inlineStr">
        <is>
          <t>Increase Decrease In Prepaid Tobacco Excise Taxes</t>
        </is>
      </c>
      <c r="Q104" s="20" t="n">
        <v>-36662</v>
      </c>
      <c r="R104" s="20" t="n">
        <v>-21864</v>
      </c>
    </row>
    <row r="105">
      <c r="A105" s="18" t="inlineStr">
        <is>
          <t>Increase Decrease In Tobacco Excise Tax Payables</t>
        </is>
      </c>
      <c r="Q105" s="20" t="n">
        <v>53408</v>
      </c>
      <c r="R105" s="20" t="n">
        <v>3891</v>
      </c>
    </row>
    <row r="106">
      <c r="A106" s="18" t="inlineStr">
        <is>
          <t>Increase Decrease In Consumption Tax Payables</t>
        </is>
      </c>
      <c r="Q106" s="20" t="n">
        <v>-11026</v>
      </c>
      <c r="R106" s="20" t="n">
        <v>29592</v>
      </c>
    </row>
    <row r="107">
      <c r="A107" s="18" t="inlineStr">
        <is>
          <t>Decrease Increase In Retirement Benefit Asset Ope CF</t>
        </is>
      </c>
      <c r="J107" s="20" t="n">
        <v>39</v>
      </c>
      <c r="N107" s="20" t="n">
        <v>69804</v>
      </c>
      <c r="W107" s="20" t="n">
        <v>39</v>
      </c>
      <c r="X107" s="20" t="n">
        <v>69804</v>
      </c>
    </row>
    <row r="108">
      <c r="A108" s="18" t="inlineStr">
        <is>
          <t>Increase Decrease In Prepaid Tobacco Excise Taxes IFRSOpe CF</t>
        </is>
      </c>
      <c r="F108" s="20" t="n">
        <v>-106987</v>
      </c>
      <c r="J108" s="20" t="n">
        <v>13802</v>
      </c>
      <c r="N108" s="20" t="n">
        <v>-78877</v>
      </c>
      <c r="R108" s="20" t="n">
        <v>-21864</v>
      </c>
      <c r="S108" s="20" t="n">
        <v>-29996</v>
      </c>
      <c r="T108" s="20" t="n">
        <v>-43617</v>
      </c>
      <c r="U108" s="20" t="n">
        <v>-6825</v>
      </c>
      <c r="V108" s="20" t="n">
        <v>-106987</v>
      </c>
      <c r="W108" s="20" t="n">
        <v>13802</v>
      </c>
      <c r="X108" s="20" t="n">
        <v>-78877</v>
      </c>
    </row>
    <row r="109">
      <c r="A109" s="18" t="inlineStr">
        <is>
          <t>Increase Decrease In Tobacco Excise Tax Payables IFRSOpe CF</t>
        </is>
      </c>
      <c r="F109" s="20" t="n">
        <v>102787</v>
      </c>
      <c r="J109" s="20" t="n">
        <v>4973</v>
      </c>
      <c r="N109" s="20" t="n">
        <v>-21495</v>
      </c>
      <c r="R109" s="20" t="n">
        <v>3891</v>
      </c>
      <c r="S109" s="20" t="n">
        <v>-18038</v>
      </c>
      <c r="T109" s="20" t="n">
        <v>33167</v>
      </c>
      <c r="U109" s="20" t="n">
        <v>24989</v>
      </c>
      <c r="V109" s="20" t="n">
        <v>102787</v>
      </c>
      <c r="W109" s="20" t="n">
        <v>4973</v>
      </c>
      <c r="X109" s="20" t="n">
        <v>-21495</v>
      </c>
    </row>
    <row r="110">
      <c r="A110" s="18" t="inlineStr">
        <is>
          <t>Increase Decrease In Consumption Tax Payables IFRSOpe CF</t>
        </is>
      </c>
      <c r="F110" s="20" t="n">
        <v>23249</v>
      </c>
      <c r="J110" s="20" t="n">
        <v>4126</v>
      </c>
      <c r="N110" s="20" t="n">
        <v>21208</v>
      </c>
      <c r="R110" s="20" t="n">
        <v>29592</v>
      </c>
      <c r="S110" s="20" t="n">
        <v>9762</v>
      </c>
      <c r="T110" s="20" t="n">
        <v>-3856</v>
      </c>
      <c r="U110" s="20" t="n">
        <v>-11461</v>
      </c>
      <c r="V110" s="20" t="n">
        <v>23249</v>
      </c>
      <c r="W110" s="20" t="n">
        <v>4126</v>
      </c>
      <c r="X110" s="20" t="n">
        <v>21208</v>
      </c>
    </row>
    <row r="111">
      <c r="A111" s="18" t="inlineStr">
        <is>
          <t>Increase Decrease In Provisions Ope CF</t>
        </is>
      </c>
      <c r="J111" s="20" t="n">
        <v>381670</v>
      </c>
      <c r="N111" s="20" t="n">
        <v>-177164</v>
      </c>
      <c r="W111" s="20" t="n">
        <v>381670</v>
      </c>
      <c r="X111" s="20" t="n">
        <v>-177164</v>
      </c>
    </row>
    <row r="112">
      <c r="A112" s="18" t="inlineStr">
        <is>
          <t>Increase Decrease In Settlement Liabilities On Litigation In Canada Ope CF</t>
        </is>
      </c>
      <c r="J112" s="20" t="n">
        <v>0</v>
      </c>
      <c r="N112" s="20" t="n">
        <v>-49645</v>
      </c>
      <c r="W112" s="20" t="n">
        <v>0</v>
      </c>
      <c r="X112" s="20" t="n">
        <v>-49645</v>
      </c>
    </row>
    <row r="113">
      <c r="A113" s="18" t="inlineStr">
        <is>
          <t>기타</t>
        </is>
      </c>
      <c r="F113" s="20" t="n">
        <v>43079</v>
      </c>
      <c r="J113" s="20" t="n">
        <v>75259</v>
      </c>
      <c r="N113" s="20" t="n">
        <v>66554</v>
      </c>
      <c r="Q113" s="20" t="n">
        <v>8969</v>
      </c>
      <c r="R113" s="20" t="n">
        <v>-7005</v>
      </c>
      <c r="S113" s="20" t="n">
        <v>49132</v>
      </c>
      <c r="T113" s="20" t="n">
        <v>2849</v>
      </c>
      <c r="U113" s="20" t="n">
        <v>-28608</v>
      </c>
      <c r="V113" s="20" t="n">
        <v>43079</v>
      </c>
      <c r="W113" s="20" t="n">
        <v>75259</v>
      </c>
      <c r="X113" s="20" t="n">
        <v>66554</v>
      </c>
    </row>
    <row r="114">
      <c r="A114" s="18" t="inlineStr">
        <is>
          <t>소계</t>
        </is>
      </c>
      <c r="F114" s="20" t="n">
        <v>710540</v>
      </c>
      <c r="J114" s="20" t="n">
        <v>759591</v>
      </c>
      <c r="N114" s="20" t="n">
        <v>674889</v>
      </c>
      <c r="Q114" s="20" t="n">
        <v>587697</v>
      </c>
      <c r="R114" s="20" t="n">
        <v>696521</v>
      </c>
      <c r="S114" s="20" t="n">
        <v>649305</v>
      </c>
      <c r="T114" s="20" t="n">
        <v>740605</v>
      </c>
      <c r="U114" s="20" t="n">
        <v>675728</v>
      </c>
      <c r="V114" s="20" t="n">
        <v>710540</v>
      </c>
      <c r="W114" s="20" t="n">
        <v>759591</v>
      </c>
      <c r="X114" s="20" t="n">
        <v>674889</v>
      </c>
    </row>
    <row r="115">
      <c r="A115" s="18" t="inlineStr">
        <is>
          <t>이자·배당금 수취</t>
        </is>
      </c>
      <c r="F115" s="20" t="n">
        <v>41189</v>
      </c>
      <c r="J115" s="20" t="n">
        <v>65353</v>
      </c>
      <c r="N115" s="20" t="n">
        <v>111202</v>
      </c>
      <c r="Q115" s="20" t="n">
        <v>11743</v>
      </c>
      <c r="R115" s="20" t="n">
        <v>15340</v>
      </c>
      <c r="S115" s="20" t="n">
        <v>14589</v>
      </c>
      <c r="T115" s="20" t="n">
        <v>19245</v>
      </c>
      <c r="U115" s="20" t="n">
        <v>25530</v>
      </c>
      <c r="V115" s="20" t="n">
        <v>41189</v>
      </c>
      <c r="W115" s="20" t="n">
        <v>65353</v>
      </c>
      <c r="X115" s="20" t="n">
        <v>111202</v>
      </c>
    </row>
    <row r="116">
      <c r="A116" s="18" t="inlineStr">
        <is>
          <t>이자 지급</t>
        </is>
      </c>
      <c r="F116" s="20" t="n">
        <v>-26324</v>
      </c>
      <c r="J116" s="20" t="n">
        <v>-33980</v>
      </c>
      <c r="N116" s="20" t="n">
        <v>-64041</v>
      </c>
      <c r="Q116" s="20" t="n">
        <v>-13685</v>
      </c>
      <c r="R116" s="20" t="n">
        <v>-24346</v>
      </c>
      <c r="S116" s="20" t="n">
        <v>-19549</v>
      </c>
      <c r="T116" s="20" t="n">
        <v>-19113</v>
      </c>
      <c r="U116" s="20" t="n">
        <v>-23728</v>
      </c>
      <c r="V116" s="20" t="n">
        <v>-26324</v>
      </c>
      <c r="W116" s="20" t="n">
        <v>-33980</v>
      </c>
      <c r="X116" s="20" t="n">
        <v>-64041</v>
      </c>
    </row>
    <row r="117">
      <c r="A117" s="18" t="inlineStr">
        <is>
          <t>Income Taxes Refund Paid Ope CF</t>
        </is>
      </c>
      <c r="F117" s="20" t="n">
        <v>-159088</v>
      </c>
      <c r="J117" s="20" t="n">
        <v>-160953</v>
      </c>
      <c r="N117" s="20" t="n">
        <v>-207993</v>
      </c>
      <c r="Q117" s="20" t="n">
        <v>-124366</v>
      </c>
      <c r="R117" s="20" t="n">
        <v>-147105</v>
      </c>
      <c r="S117" s="20" t="n">
        <v>-124511</v>
      </c>
      <c r="T117" s="20" t="n">
        <v>-141829</v>
      </c>
      <c r="U117" s="20" t="n">
        <v>-193731</v>
      </c>
      <c r="V117" s="20" t="n">
        <v>-159088</v>
      </c>
      <c r="W117" s="20" t="n">
        <v>-160953</v>
      </c>
      <c r="X117" s="20" t="n">
        <v>-207993</v>
      </c>
    </row>
    <row r="118">
      <c r="A118" s="9" t="inlineStr">
        <is>
          <t>영업활동 현금흐름</t>
        </is>
      </c>
      <c r="F118" s="12" t="n">
        <v>566317</v>
      </c>
      <c r="J118" s="12" t="n">
        <v>630011</v>
      </c>
      <c r="N118" s="12" t="n">
        <v>514056</v>
      </c>
      <c r="Q118" s="12" t="n">
        <v>461389</v>
      </c>
      <c r="R118" s="12" t="n">
        <v>540410</v>
      </c>
      <c r="S118" s="12" t="n">
        <v>519833</v>
      </c>
      <c r="T118" s="12" t="n">
        <v>598909</v>
      </c>
      <c r="U118" s="12" t="n">
        <v>483799</v>
      </c>
      <c r="V118" s="12" t="n">
        <v>566317</v>
      </c>
      <c r="W118" s="12" t="n">
        <v>630011</v>
      </c>
      <c r="X118" s="12" t="n">
        <v>514056</v>
      </c>
    </row>
    <row r="119">
      <c r="A119" s="18" t="inlineStr">
        <is>
          <t>Purchase Of Investments Inv CF</t>
        </is>
      </c>
      <c r="F119" s="20" t="n">
        <v>-113010</v>
      </c>
      <c r="J119" s="20" t="n">
        <v>-65514</v>
      </c>
      <c r="N119" s="20" t="n">
        <v>-12585</v>
      </c>
      <c r="Q119" s="20" t="n">
        <v>-36705</v>
      </c>
      <c r="R119" s="20" t="n">
        <v>-45401</v>
      </c>
      <c r="S119" s="20" t="n">
        <v>-39991</v>
      </c>
      <c r="T119" s="20" t="n">
        <v>-27810</v>
      </c>
      <c r="U119" s="20" t="n">
        <v>-37414</v>
      </c>
      <c r="V119" s="20" t="n">
        <v>-113010</v>
      </c>
      <c r="W119" s="20" t="n">
        <v>-65514</v>
      </c>
      <c r="X119" s="20" t="n">
        <v>-12585</v>
      </c>
    </row>
    <row r="120">
      <c r="A120" s="18" t="inlineStr">
        <is>
          <t>Proceeds From Sale Of Investments Inv CF</t>
        </is>
      </c>
      <c r="F120" s="20" t="n">
        <v>84363</v>
      </c>
      <c r="J120" s="20" t="n">
        <v>81318</v>
      </c>
      <c r="N120" s="20" t="n">
        <v>52073</v>
      </c>
      <c r="Q120" s="20" t="n">
        <v>10159</v>
      </c>
      <c r="R120" s="20" t="n">
        <v>77200</v>
      </c>
      <c r="S120" s="20" t="n">
        <v>49802</v>
      </c>
      <c r="T120" s="20" t="n">
        <v>24137</v>
      </c>
      <c r="U120" s="20" t="n">
        <v>18208</v>
      </c>
      <c r="V120" s="20" t="n">
        <v>84363</v>
      </c>
      <c r="W120" s="20" t="n">
        <v>81318</v>
      </c>
      <c r="X120" s="20" t="n">
        <v>52073</v>
      </c>
    </row>
    <row r="121">
      <c r="A121" s="18" t="inlineStr">
        <is>
          <t>유형자산 취득(설비투자)</t>
        </is>
      </c>
      <c r="F121" s="20" t="n">
        <v>-94861</v>
      </c>
      <c r="J121" s="20" t="n">
        <v>-127769</v>
      </c>
      <c r="N121" s="20" t="n">
        <v>-143204</v>
      </c>
      <c r="Q121" s="20" t="n">
        <v>-138605</v>
      </c>
      <c r="R121" s="20" t="n">
        <v>-111366</v>
      </c>
      <c r="S121" s="20" t="n">
        <v>-85319</v>
      </c>
      <c r="T121" s="20" t="n">
        <v>-86350</v>
      </c>
      <c r="U121" s="20" t="n">
        <v>-81411</v>
      </c>
      <c r="V121" s="20" t="n">
        <v>-94861</v>
      </c>
      <c r="W121" s="20" t="n">
        <v>-127769</v>
      </c>
      <c r="X121" s="20" t="n">
        <v>-143204</v>
      </c>
    </row>
    <row r="122">
      <c r="A122" s="18" t="inlineStr">
        <is>
          <t>투자부동산 매각</t>
        </is>
      </c>
      <c r="F122" s="20" t="n">
        <v>19653</v>
      </c>
      <c r="J122" s="20" t="n">
        <v>9753</v>
      </c>
      <c r="N122" s="20" t="n">
        <v>18604</v>
      </c>
      <c r="Q122" s="20" t="n">
        <v>46868</v>
      </c>
      <c r="R122" s="20" t="n">
        <v>15863</v>
      </c>
      <c r="S122" s="20" t="n">
        <v>86263</v>
      </c>
      <c r="T122" s="20" t="n">
        <v>8002</v>
      </c>
      <c r="U122" s="20" t="n">
        <v>7583</v>
      </c>
      <c r="V122" s="20" t="n">
        <v>19653</v>
      </c>
      <c r="W122" s="20" t="n">
        <v>9753</v>
      </c>
      <c r="X122" s="20" t="n">
        <v>18604</v>
      </c>
    </row>
    <row r="123">
      <c r="A123" s="18" t="inlineStr">
        <is>
          <t>무형자산 취득 지출</t>
        </is>
      </c>
      <c r="F123" s="20" t="n">
        <v>-21707</v>
      </c>
      <c r="J123" s="20" t="n">
        <v>-22598</v>
      </c>
      <c r="N123" s="20" t="n">
        <v>-19182</v>
      </c>
      <c r="Q123" s="20" t="n">
        <v>-20205</v>
      </c>
      <c r="R123" s="20" t="n">
        <v>-22004</v>
      </c>
      <c r="S123" s="20" t="n">
        <v>-23301</v>
      </c>
      <c r="T123" s="20" t="n">
        <v>-16568</v>
      </c>
      <c r="U123" s="20" t="n">
        <v>-17997</v>
      </c>
      <c r="V123" s="20" t="n">
        <v>-21707</v>
      </c>
      <c r="W123" s="20" t="n">
        <v>-22598</v>
      </c>
      <c r="X123" s="20" t="n">
        <v>-19182</v>
      </c>
    </row>
    <row r="124">
      <c r="A124" s="18" t="inlineStr">
        <is>
          <t>정기예금 예입</t>
        </is>
      </c>
      <c r="F124" s="20" t="n">
        <v>0</v>
      </c>
      <c r="J124" s="20" t="n">
        <v>-48262</v>
      </c>
      <c r="N124" s="20" t="n">
        <v>-321591</v>
      </c>
      <c r="Q124" s="20" t="n">
        <v>-878</v>
      </c>
      <c r="R124" s="20" t="n">
        <v>-218</v>
      </c>
      <c r="S124" s="20" t="n">
        <v>-491</v>
      </c>
      <c r="T124" s="20" t="n">
        <v>-1427</v>
      </c>
      <c r="U124" s="20" t="n">
        <v>-350</v>
      </c>
      <c r="V124" s="20" t="n">
        <v>0</v>
      </c>
      <c r="W124" s="20" t="n">
        <v>-48262</v>
      </c>
      <c r="X124" s="20" t="n">
        <v>-321591</v>
      </c>
    </row>
    <row r="125">
      <c r="A125" s="18" t="inlineStr">
        <is>
          <t>Proceeds From Withdrawal Of Time Deposits Inv CF</t>
        </is>
      </c>
      <c r="F125" s="20" t="n">
        <v>0</v>
      </c>
      <c r="J125" s="20" t="n">
        <v>0</v>
      </c>
      <c r="N125" s="20" t="n">
        <v>207252</v>
      </c>
      <c r="Q125" s="20" t="n">
        <v>812</v>
      </c>
      <c r="R125" s="20" t="n">
        <v>409</v>
      </c>
      <c r="S125" s="20" t="n">
        <v>334</v>
      </c>
      <c r="T125" s="20" t="n">
        <v>1222</v>
      </c>
      <c r="U125" s="20" t="n">
        <v>1602</v>
      </c>
      <c r="V125" s="20" t="n">
        <v>0</v>
      </c>
      <c r="W125" s="20" t="n">
        <v>0</v>
      </c>
      <c r="X125" s="20" t="n">
        <v>207252</v>
      </c>
    </row>
    <row r="126">
      <c r="A126" s="18" t="inlineStr">
        <is>
          <t>Payments For Business Combinations</t>
        </is>
      </c>
      <c r="Q126" s="20" t="n">
        <v>-247632</v>
      </c>
      <c r="R126" s="20" t="n">
        <v>0</v>
      </c>
    </row>
    <row r="127">
      <c r="A127" s="18" t="inlineStr">
        <is>
          <t>Subsequent Payments For Past Fiscal Years Business Combinations</t>
        </is>
      </c>
      <c r="Q127" s="20" t="n">
        <v>-4589</v>
      </c>
      <c r="R127" s="20" t="n">
        <v>-40127</v>
      </c>
    </row>
    <row r="128">
      <c r="A128" s="18" t="inlineStr">
        <is>
          <t>Subsequent Payments For Past Fiscal Years Business Combinations IFRSInv CF</t>
        </is>
      </c>
      <c r="R128" s="20" t="n">
        <v>-40127</v>
      </c>
      <c r="S128" s="20" t="n">
        <v>-1140</v>
      </c>
    </row>
    <row r="129">
      <c r="A129" s="18" t="inlineStr">
        <is>
          <t>Proceeds From Sale Of Investments In Subsidiaries</t>
        </is>
      </c>
      <c r="T129" s="20" t="n">
        <v>0</v>
      </c>
      <c r="U129" s="20" t="n">
        <v>2963</v>
      </c>
    </row>
    <row r="130">
      <c r="A130" s="18" t="inlineStr">
        <is>
          <t>Proceeds From Sale Of Subsidiaries Inv CF</t>
        </is>
      </c>
      <c r="F130" s="20" t="n">
        <v>0</v>
      </c>
      <c r="U130" s="20" t="n">
        <v>2963</v>
      </c>
      <c r="V130" s="20" t="n">
        <v>0</v>
      </c>
    </row>
    <row r="131">
      <c r="A131" s="18" t="inlineStr">
        <is>
          <t>Payments For Business Combinations Inv CF</t>
        </is>
      </c>
      <c r="F131" s="20" t="n">
        <v>0</v>
      </c>
      <c r="J131" s="20" t="n">
        <v>-265667</v>
      </c>
      <c r="N131" s="20" t="n">
        <v>0</v>
      </c>
      <c r="V131" s="20" t="n">
        <v>0</v>
      </c>
      <c r="W131" s="20" t="n">
        <v>-265667</v>
      </c>
      <c r="X131" s="20" t="n">
        <v>0</v>
      </c>
    </row>
    <row r="132">
      <c r="A132" s="18" t="inlineStr">
        <is>
          <t>Subsequent Payments For Past Fiscal Years Business Combinations Inv CF</t>
        </is>
      </c>
      <c r="J132" s="20" t="n">
        <v>0</v>
      </c>
      <c r="N132" s="20" t="n">
        <v>-68271</v>
      </c>
      <c r="W132" s="20" t="n">
        <v>0</v>
      </c>
      <c r="X132" s="20" t="n">
        <v>-68271</v>
      </c>
    </row>
    <row r="133">
      <c r="A133" s="18" t="inlineStr">
        <is>
          <t>사업양도 수입</t>
        </is>
      </c>
      <c r="J133" s="20" t="n">
        <v>0</v>
      </c>
      <c r="N133" s="20" t="n">
        <v>42811</v>
      </c>
      <c r="W133" s="20" t="n">
        <v>0</v>
      </c>
      <c r="X133" s="20" t="n">
        <v>42811</v>
      </c>
    </row>
    <row r="134">
      <c r="A134" s="18" t="inlineStr">
        <is>
          <t>Purchase Of Investments In Associates</t>
        </is>
      </c>
      <c r="J134" s="20" t="n">
        <v>0</v>
      </c>
      <c r="N134" s="20" t="n">
        <v>-24752</v>
      </c>
      <c r="W134" s="20" t="n">
        <v>0</v>
      </c>
      <c r="X134" s="20" t="n">
        <v>-24752</v>
      </c>
    </row>
    <row r="135">
      <c r="A135" s="18" t="inlineStr">
        <is>
          <t>Proceeds From Sale Of Investments In Associates Inv CF</t>
        </is>
      </c>
      <c r="F135" s="20" t="n">
        <v>1369</v>
      </c>
      <c r="J135" s="20" t="n">
        <v>414</v>
      </c>
      <c r="N135" s="20" t="n">
        <v>2272</v>
      </c>
      <c r="R135" s="20" t="n">
        <v>0</v>
      </c>
      <c r="S135" s="20" t="n">
        <v>17413</v>
      </c>
      <c r="T135" s="20" t="n">
        <v>2562</v>
      </c>
      <c r="U135" s="20" t="n">
        <v>63</v>
      </c>
      <c r="V135" s="20" t="n">
        <v>1369</v>
      </c>
      <c r="W135" s="20" t="n">
        <v>414</v>
      </c>
      <c r="X135" s="20" t="n">
        <v>2272</v>
      </c>
    </row>
    <row r="136">
      <c r="A136" s="18" t="inlineStr">
        <is>
          <t>기타</t>
        </is>
      </c>
      <c r="F136" s="20" t="n">
        <v>-1239</v>
      </c>
      <c r="J136" s="20" t="n">
        <v>-1441</v>
      </c>
      <c r="N136" s="20" t="n">
        <v>1586</v>
      </c>
      <c r="Q136" s="20" t="n">
        <v>7467</v>
      </c>
      <c r="R136" s="20" t="n">
        <v>2073</v>
      </c>
      <c r="S136" s="20" t="n">
        <v>645</v>
      </c>
      <c r="T136" s="20" t="n">
        <v>-1268</v>
      </c>
      <c r="U136" s="20" t="n">
        <v>4930</v>
      </c>
      <c r="V136" s="20" t="n">
        <v>-1239</v>
      </c>
      <c r="W136" s="20" t="n">
        <v>-1441</v>
      </c>
      <c r="X136" s="20" t="n">
        <v>1586</v>
      </c>
    </row>
    <row r="137">
      <c r="A137" s="9" t="inlineStr">
        <is>
          <t>투자활동 현금흐름</t>
        </is>
      </c>
      <c r="F137" s="12" t="n">
        <v>-125432</v>
      </c>
      <c r="J137" s="12" t="n">
        <v>-439766</v>
      </c>
      <c r="N137" s="12" t="n">
        <v>-264986</v>
      </c>
      <c r="Q137" s="12" t="n">
        <v>-383307</v>
      </c>
      <c r="R137" s="12" t="n">
        <v>-123571</v>
      </c>
      <c r="S137" s="12" t="n">
        <v>5354</v>
      </c>
      <c r="T137" s="12" t="n">
        <v>-97499</v>
      </c>
      <c r="U137" s="12" t="n">
        <v>-101822</v>
      </c>
      <c r="V137" s="12" t="n">
        <v>-125432</v>
      </c>
      <c r="W137" s="12" t="n">
        <v>-439766</v>
      </c>
      <c r="X137" s="12" t="n">
        <v>-264986</v>
      </c>
    </row>
    <row r="138">
      <c r="A138" s="18" t="inlineStr">
        <is>
          <t>Dividends Paid Fin CF</t>
        </is>
      </c>
      <c r="F138" s="20" t="n">
        <v>-367331</v>
      </c>
      <c r="J138" s="20" t="n">
        <v>-349645</v>
      </c>
      <c r="N138" s="20" t="n">
        <v>-356853</v>
      </c>
      <c r="Q138" s="20" t="n">
        <v>-259671</v>
      </c>
      <c r="R138" s="20" t="n">
        <v>-270871</v>
      </c>
      <c r="S138" s="20" t="n">
        <v>-273134</v>
      </c>
      <c r="T138" s="20" t="n">
        <v>-251935</v>
      </c>
      <c r="U138" s="20" t="n">
        <v>-266175</v>
      </c>
      <c r="V138" s="20" t="n">
        <v>-367331</v>
      </c>
      <c r="W138" s="20" t="n">
        <v>-349645</v>
      </c>
      <c r="X138" s="20" t="n">
        <v>-356853</v>
      </c>
    </row>
    <row r="139">
      <c r="A139" s="18" t="inlineStr">
        <is>
          <t>Dividends Paid To Non Controlling Interests Fin CF</t>
        </is>
      </c>
      <c r="F139" s="20" t="n">
        <v>-2594</v>
      </c>
      <c r="J139" s="20" t="n">
        <v>-2701</v>
      </c>
      <c r="N139" s="20" t="n">
        <v>-2691</v>
      </c>
      <c r="Q139" s="20" t="n">
        <v>-1747</v>
      </c>
      <c r="R139" s="20" t="n">
        <v>-1913</v>
      </c>
      <c r="S139" s="20" t="n">
        <v>-1404</v>
      </c>
      <c r="T139" s="20" t="n">
        <v>-1958</v>
      </c>
      <c r="U139" s="20" t="n">
        <v>-1536</v>
      </c>
      <c r="V139" s="20" t="n">
        <v>-2594</v>
      </c>
      <c r="W139" s="20" t="n">
        <v>-2701</v>
      </c>
      <c r="X139" s="20" t="n">
        <v>-2691</v>
      </c>
    </row>
    <row r="140">
      <c r="A140" s="18" t="inlineStr">
        <is>
          <t>Capital Contribution From Non Controlling Interests Fin CF</t>
        </is>
      </c>
      <c r="F140" s="20" t="n">
        <v>431</v>
      </c>
      <c r="J140" s="20" t="n">
        <v>130</v>
      </c>
      <c r="N140" s="20" t="n">
        <v>0</v>
      </c>
      <c r="Q140" s="20" t="n">
        <v>109</v>
      </c>
      <c r="R140" s="20" t="n">
        <v>358</v>
      </c>
      <c r="S140" s="20" t="n">
        <v>117</v>
      </c>
      <c r="T140" s="20" t="n">
        <v>42</v>
      </c>
      <c r="U140" s="20" t="n">
        <v>27</v>
      </c>
      <c r="V140" s="20" t="n">
        <v>431</v>
      </c>
      <c r="W140" s="20" t="n">
        <v>130</v>
      </c>
      <c r="X140" s="20" t="n">
        <v>0</v>
      </c>
    </row>
    <row r="141">
      <c r="A141" s="18" t="inlineStr">
        <is>
          <t>Increase Decrease In Short Term Borrowings And Commercial Paper</t>
        </is>
      </c>
      <c r="Q141" s="20" t="n">
        <v>-133849</v>
      </c>
      <c r="R141" s="20" t="n">
        <v>-44976</v>
      </c>
    </row>
    <row r="142">
      <c r="A142" s="18" t="inlineStr">
        <is>
          <t>Increase Decrease In Short Term Borrowings And Commercial Paper IFRSFin CF</t>
        </is>
      </c>
      <c r="R142" s="20" t="n">
        <v>-44976</v>
      </c>
      <c r="S142" s="20" t="n">
        <v>-132462</v>
      </c>
    </row>
    <row r="143">
      <c r="A143" s="18" t="inlineStr">
        <is>
          <t>Increase Decrease In Short Term Borrowings And Commercial Paper Fin CF</t>
        </is>
      </c>
      <c r="F143" s="20" t="n">
        <v>143042</v>
      </c>
      <c r="J143" s="20" t="n">
        <v>-150105</v>
      </c>
      <c r="N143" s="20" t="n">
        <v>20365</v>
      </c>
      <c r="S143" s="20" t="n">
        <v>-132462</v>
      </c>
      <c r="T143" s="20" t="n">
        <v>22887</v>
      </c>
      <c r="U143" s="20" t="n">
        <v>-27610</v>
      </c>
      <c r="V143" s="20" t="n">
        <v>143042</v>
      </c>
      <c r="W143" s="20" t="n">
        <v>-150105</v>
      </c>
      <c r="X143" s="20" t="n">
        <v>20365</v>
      </c>
    </row>
    <row r="144">
      <c r="A144" s="18" t="inlineStr">
        <is>
          <t>Proceeds From Long Term Borrowings Fin CF</t>
        </is>
      </c>
      <c r="F144" s="20" t="n">
        <v>2890</v>
      </c>
      <c r="J144" s="20" t="n">
        <v>581380</v>
      </c>
      <c r="N144" s="20" t="n">
        <v>99437</v>
      </c>
      <c r="Q144" s="20" t="n">
        <v>59135</v>
      </c>
      <c r="R144" s="20" t="n">
        <v>0</v>
      </c>
      <c r="S144" s="20" t="n">
        <v>100101</v>
      </c>
      <c r="T144" s="20" t="n">
        <v>3295</v>
      </c>
      <c r="U144" s="20" t="n">
        <v>1522</v>
      </c>
      <c r="V144" s="20" t="n">
        <v>2890</v>
      </c>
      <c r="W144" s="20" t="n">
        <v>581380</v>
      </c>
      <c r="X144" s="20" t="n">
        <v>99437</v>
      </c>
    </row>
    <row r="145">
      <c r="A145" s="18" t="inlineStr">
        <is>
          <t>장기차입금 상환</t>
        </is>
      </c>
      <c r="F145" s="20" t="n">
        <v>-14909</v>
      </c>
      <c r="J145" s="20" t="n">
        <v>-236538</v>
      </c>
      <c r="N145" s="20" t="n">
        <v>-666626</v>
      </c>
      <c r="Q145" s="20" t="n">
        <v>-2710</v>
      </c>
      <c r="R145" s="20" t="n">
        <v>-11568</v>
      </c>
      <c r="S145" s="20" t="n">
        <v>-11948</v>
      </c>
      <c r="T145" s="20" t="n">
        <v>-12442</v>
      </c>
      <c r="U145" s="20" t="n">
        <v>-42849</v>
      </c>
      <c r="V145" s="20" t="n">
        <v>-14909</v>
      </c>
      <c r="W145" s="20" t="n">
        <v>-236538</v>
      </c>
      <c r="X145" s="20" t="n">
        <v>-666626</v>
      </c>
    </row>
    <row r="146">
      <c r="A146" s="18" t="inlineStr">
        <is>
          <t>사채 발행</t>
        </is>
      </c>
      <c r="F146" s="20" t="n">
        <v>59795</v>
      </c>
      <c r="J146" s="20" t="n">
        <v>97616</v>
      </c>
      <c r="N146" s="20" t="n">
        <v>577483</v>
      </c>
      <c r="Q146" s="20" t="n">
        <v>341516</v>
      </c>
      <c r="R146" s="20" t="n">
        <v>59435</v>
      </c>
      <c r="S146" s="20" t="n">
        <v>122201</v>
      </c>
      <c r="T146" s="20" t="n">
        <v>55334</v>
      </c>
      <c r="U146" s="20" t="n">
        <v>69175</v>
      </c>
      <c r="V146" s="20" t="n">
        <v>59795</v>
      </c>
      <c r="W146" s="20" t="n">
        <v>97616</v>
      </c>
      <c r="X146" s="20" t="n">
        <v>577483</v>
      </c>
    </row>
    <row r="147">
      <c r="A147" s="18" t="inlineStr">
        <is>
          <t>사채 상환</t>
        </is>
      </c>
      <c r="F147" s="20" t="n">
        <v>-68194</v>
      </c>
      <c r="J147" s="20" t="n">
        <v>-8722</v>
      </c>
      <c r="N147" s="20" t="n">
        <v>-120165</v>
      </c>
      <c r="Q147" s="20" t="n">
        <v>-54086</v>
      </c>
      <c r="R147" s="20" t="n">
        <v>0</v>
      </c>
      <c r="S147" s="20" t="n">
        <v>-80000</v>
      </c>
      <c r="T147" s="20" t="n">
        <v>-147911</v>
      </c>
      <c r="U147" s="20" t="n">
        <v>-30000</v>
      </c>
      <c r="V147" s="20" t="n">
        <v>-68194</v>
      </c>
      <c r="W147" s="20" t="n">
        <v>-8722</v>
      </c>
      <c r="X147" s="20" t="n">
        <v>-120165</v>
      </c>
    </row>
    <row r="148">
      <c r="A148" s="18" t="inlineStr">
        <is>
          <t>리스부채 상환 지출</t>
        </is>
      </c>
      <c r="Q148" s="20" t="n">
        <v>-1637</v>
      </c>
      <c r="R148" s="20" t="n">
        <v>-14294</v>
      </c>
    </row>
    <row r="149">
      <c r="A149" s="18" t="inlineStr">
        <is>
          <t>리스부채 상환 지출</t>
        </is>
      </c>
      <c r="R149" s="20" t="n">
        <v>-14294</v>
      </c>
      <c r="S149" s="20" t="n">
        <v>-17741</v>
      </c>
    </row>
    <row r="150">
      <c r="A150" s="18" t="inlineStr">
        <is>
          <t>리스부채 상환 지출</t>
        </is>
      </c>
      <c r="F150" s="20" t="n">
        <v>-23613</v>
      </c>
      <c r="J150" s="20" t="n">
        <v>-26218</v>
      </c>
      <c r="N150" s="20" t="n">
        <v>-24787</v>
      </c>
      <c r="S150" s="20" t="n">
        <v>-17741</v>
      </c>
      <c r="T150" s="20" t="n">
        <v>-20449</v>
      </c>
      <c r="U150" s="20" t="n">
        <v>-21009</v>
      </c>
      <c r="V150" s="20" t="n">
        <v>-23613</v>
      </c>
      <c r="W150" s="20" t="n">
        <v>-26218</v>
      </c>
      <c r="X150" s="20" t="n">
        <v>-24787</v>
      </c>
    </row>
    <row r="151">
      <c r="A151" s="18" t="inlineStr">
        <is>
          <t>자기주식 취득</t>
        </is>
      </c>
      <c r="F151" s="20" t="n">
        <v>-1</v>
      </c>
      <c r="J151" s="20" t="n">
        <v>-2</v>
      </c>
      <c r="N151" s="20" t="n">
        <v>-1622</v>
      </c>
      <c r="Q151" s="20" t="n">
        <v>-0</v>
      </c>
      <c r="R151" s="20" t="n">
        <v>-50001</v>
      </c>
      <c r="S151" s="20" t="n">
        <v>-1</v>
      </c>
      <c r="T151" s="20" t="n">
        <v>-1</v>
      </c>
      <c r="U151" s="20" t="n">
        <v>-1</v>
      </c>
      <c r="V151" s="20" t="n">
        <v>-1</v>
      </c>
      <c r="W151" s="20" t="n">
        <v>-2</v>
      </c>
      <c r="X151" s="20" t="n">
        <v>-1622</v>
      </c>
    </row>
    <row r="152">
      <c r="A152" s="18" t="inlineStr">
        <is>
          <t>비지배지분으로부터 자회사 지분 취득 지출</t>
        </is>
      </c>
      <c r="F152" s="20" t="n">
        <v>-17</v>
      </c>
      <c r="J152" s="20" t="n">
        <v>-100</v>
      </c>
      <c r="N152" s="20" t="n">
        <v>-12</v>
      </c>
      <c r="Q152" s="20" t="n">
        <v>-9421</v>
      </c>
      <c r="R152" s="20" t="n">
        <v>-1</v>
      </c>
      <c r="S152" s="20" t="n">
        <v>-3132</v>
      </c>
      <c r="T152" s="20" t="n">
        <v>-1</v>
      </c>
      <c r="U152" s="20" t="n">
        <v>-1</v>
      </c>
      <c r="V152" s="20" t="n">
        <v>-17</v>
      </c>
      <c r="W152" s="20" t="n">
        <v>-100</v>
      </c>
      <c r="X152" s="20" t="n">
        <v>-12</v>
      </c>
    </row>
    <row r="153">
      <c r="A153" s="18" t="inlineStr">
        <is>
          <t>Proceeds From Settlement Of Derivatives</t>
        </is>
      </c>
      <c r="T153" s="20" t="n">
        <v>0</v>
      </c>
      <c r="U153" s="20" t="n">
        <v>12281</v>
      </c>
    </row>
    <row r="154">
      <c r="A154" s="18" t="inlineStr">
        <is>
          <t>Proceeds From Settlement Of Derivatives Fin CF</t>
        </is>
      </c>
      <c r="F154" s="20" t="n">
        <v>0</v>
      </c>
      <c r="U154" s="20" t="n">
        <v>12281</v>
      </c>
      <c r="V154" s="20" t="n">
        <v>0</v>
      </c>
    </row>
    <row r="155">
      <c r="A155" s="18" t="inlineStr">
        <is>
          <t>기타</t>
        </is>
      </c>
      <c r="F155" s="20" t="n">
        <v>0</v>
      </c>
      <c r="J155" s="20" t="n">
        <v>0</v>
      </c>
      <c r="N155" s="20" t="n">
        <v>0</v>
      </c>
      <c r="Q155" s="20" t="n">
        <v>0</v>
      </c>
      <c r="R155" s="20" t="n">
        <v>0</v>
      </c>
      <c r="S155" s="20" t="n">
        <v>0</v>
      </c>
      <c r="T155" s="20" t="n">
        <v>0</v>
      </c>
      <c r="U155" s="20" t="n">
        <v>0</v>
      </c>
      <c r="V155" s="20" t="n">
        <v>0</v>
      </c>
      <c r="W155" s="20" t="n">
        <v>0</v>
      </c>
      <c r="X155" s="20" t="n">
        <v>0</v>
      </c>
    </row>
    <row r="156">
      <c r="A156" s="9" t="inlineStr">
        <is>
          <t>재무활동 현금흐름</t>
        </is>
      </c>
      <c r="F156" s="12" t="n">
        <v>-270500</v>
      </c>
      <c r="J156" s="12" t="n">
        <v>-94906</v>
      </c>
      <c r="N156" s="12" t="n">
        <v>-475471</v>
      </c>
      <c r="Q156" s="12" t="n">
        <v>-62360</v>
      </c>
      <c r="R156" s="12" t="n">
        <v>-333832</v>
      </c>
      <c r="S156" s="12" t="n">
        <v>-297404</v>
      </c>
      <c r="T156" s="12" t="n">
        <v>-353138</v>
      </c>
      <c r="U156" s="12" t="n">
        <v>-306176</v>
      </c>
      <c r="V156" s="12" t="n">
        <v>-270500</v>
      </c>
      <c r="W156" s="12" t="n">
        <v>-94906</v>
      </c>
      <c r="X156" s="12" t="n">
        <v>-475471</v>
      </c>
    </row>
    <row r="157">
      <c r="A157" s="18" t="inlineStr">
        <is>
          <t>Net Increase Decrease In Cash And Cash Equivalents Before Effect Of Exchange Rate Changes</t>
        </is>
      </c>
      <c r="F157" s="20" t="n">
        <v>170385</v>
      </c>
      <c r="J157" s="20" t="n">
        <v>95339</v>
      </c>
      <c r="N157" s="20" t="n">
        <v>-226400</v>
      </c>
      <c r="Q157" s="20" t="n">
        <v>15721</v>
      </c>
      <c r="R157" s="20" t="n">
        <v>83008</v>
      </c>
      <c r="S157" s="20" t="n">
        <v>227784</v>
      </c>
      <c r="T157" s="20" t="n">
        <v>148271</v>
      </c>
      <c r="U157" s="20" t="n">
        <v>75801</v>
      </c>
      <c r="V157" s="20" t="n">
        <v>170385</v>
      </c>
      <c r="W157" s="20" t="n">
        <v>95339</v>
      </c>
      <c r="X157" s="20" t="n">
        <v>-226400</v>
      </c>
    </row>
    <row r="158">
      <c r="A158" s="18" t="inlineStr">
        <is>
          <t>현금성자산 환율변동 효과</t>
        </is>
      </c>
      <c r="F158" s="20" t="n">
        <v>2935</v>
      </c>
      <c r="J158" s="20" t="n">
        <v>-50978</v>
      </c>
      <c r="N158" s="20" t="n">
        <v>-27015</v>
      </c>
      <c r="Q158" s="20" t="n">
        <v>-19145</v>
      </c>
      <c r="R158" s="20" t="n">
        <v>-7913</v>
      </c>
      <c r="S158" s="20" t="n">
        <v>-46098</v>
      </c>
      <c r="T158" s="20" t="n">
        <v>34616</v>
      </c>
      <c r="U158" s="20" t="n">
        <v>69353</v>
      </c>
      <c r="V158" s="20" t="n">
        <v>2935</v>
      </c>
      <c r="W158" s="20" t="n">
        <v>-50978</v>
      </c>
      <c r="X158" s="20" t="n">
        <v>-27015</v>
      </c>
    </row>
    <row r="159">
      <c r="A159" s="18" t="inlineStr">
        <is>
          <t>Changes In Cash And Cash Equivalents Resulting From Transfer To Assets Held For Sale</t>
        </is>
      </c>
      <c r="J159" s="20" t="n">
        <v>0</v>
      </c>
      <c r="N159" s="20" t="n">
        <v>-17</v>
      </c>
      <c r="W159" s="20" t="n">
        <v>0</v>
      </c>
      <c r="X159" s="20" t="n">
        <v>-17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9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2914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2024.4Q</t>
        </is>
      </c>
      <c r="D3" s="5" t="inlineStr">
        <is>
          <t>2025.1Q</t>
        </is>
      </c>
      <c r="E3" s="5" t="inlineStr">
        <is>
          <t>2025.2Q</t>
        </is>
      </c>
      <c r="F3" s="5" t="inlineStr">
        <is>
          <t>2025.3Q</t>
        </is>
      </c>
      <c r="G3" s="5" t="inlineStr">
        <is>
          <t>2025.4Q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480137</v>
      </c>
      <c r="D5" s="12" t="n"/>
      <c r="E5" s="12" t="n"/>
      <c r="F5" s="12" t="n"/>
      <c r="G5" s="12" t="n">
        <v>593774</v>
      </c>
      <c r="H5" s="11" t="n">
        <v>468113</v>
      </c>
      <c r="I5" s="12" t="n">
        <v>459260</v>
      </c>
      <c r="J5" s="12" t="n">
        <v>426237</v>
      </c>
      <c r="K5" s="12" t="n">
        <v>480137</v>
      </c>
      <c r="L5" s="12" t="n">
        <v>593774</v>
      </c>
    </row>
    <row r="6">
      <c r="A6" s="18" t="inlineStr">
        <is>
          <t>현금및현금성자산</t>
        </is>
      </c>
      <c r="B6" s="10" t="n"/>
      <c r="C6" s="19" t="n">
        <v>205764</v>
      </c>
      <c r="D6" s="20" t="n"/>
      <c r="E6" s="20" t="n"/>
      <c r="F6" s="20" t="n"/>
      <c r="G6" s="20" t="n">
        <v>252923</v>
      </c>
      <c r="H6" s="19" t="n">
        <v>238127</v>
      </c>
      <c r="I6" s="20" t="n">
        <v>193376</v>
      </c>
      <c r="J6" s="20" t="n">
        <v>177685</v>
      </c>
      <c r="K6" s="20" t="n">
        <v>205764</v>
      </c>
      <c r="L6" s="20" t="n">
        <v>252923</v>
      </c>
    </row>
    <row r="7">
      <c r="A7" s="18" t="inlineStr">
        <is>
          <t>단기금융상품</t>
        </is>
      </c>
      <c r="B7" s="10" t="n"/>
      <c r="C7" s="19" t="n">
        <v>0</v>
      </c>
      <c r="D7" s="20" t="n"/>
      <c r="E7" s="20" t="n"/>
      <c r="F7" s="20" t="n"/>
      <c r="G7" s="20" t="n">
        <v>21000</v>
      </c>
      <c r="H7" s="19" t="n">
        <v>20000</v>
      </c>
      <c r="I7" s="20" t="n">
        <v>18000</v>
      </c>
      <c r="J7" s="20" t="n">
        <v>0</v>
      </c>
      <c r="K7" s="20" t="n">
        <v>0</v>
      </c>
      <c r="L7" s="20" t="n">
        <v>21000</v>
      </c>
    </row>
    <row r="8">
      <c r="A8" s="18" t="inlineStr">
        <is>
          <t>매출채권</t>
        </is>
      </c>
      <c r="B8" s="10" t="n"/>
      <c r="C8" s="19" t="n">
        <v>35420</v>
      </c>
      <c r="D8" s="20" t="n"/>
      <c r="E8" s="20" t="n"/>
      <c r="F8" s="20" t="n"/>
      <c r="G8" s="20" t="n">
        <v>39953</v>
      </c>
      <c r="H8" s="19" t="n">
        <v>37614</v>
      </c>
      <c r="I8" s="20" t="n">
        <v>31739</v>
      </c>
      <c r="J8" s="20" t="n">
        <v>33949</v>
      </c>
      <c r="K8" s="20" t="n">
        <v>35420</v>
      </c>
      <c r="L8" s="20" t="n">
        <v>39953</v>
      </c>
    </row>
    <row r="9">
      <c r="A9" s="18" t="inlineStr">
        <is>
          <t>재고자산</t>
        </is>
      </c>
      <c r="B9" s="10" t="n"/>
      <c r="C9" s="19" t="n">
        <v>957281</v>
      </c>
      <c r="D9" s="20" t="n"/>
      <c r="E9" s="20" t="n"/>
      <c r="F9" s="20" t="n"/>
      <c r="G9" s="20" t="n">
        <v>1060136</v>
      </c>
      <c r="H9" s="19" t="n">
        <v>563182</v>
      </c>
      <c r="I9" s="20" t="n">
        <v>691906</v>
      </c>
      <c r="J9" s="20" t="n">
        <v>832611</v>
      </c>
      <c r="K9" s="20" t="n">
        <v>957281</v>
      </c>
      <c r="L9" s="20" t="n">
        <v>1060136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1823652</v>
      </c>
      <c r="D11" s="12" t="n"/>
      <c r="E11" s="12" t="n"/>
      <c r="F11" s="12" t="n"/>
      <c r="G11" s="12" t="n">
        <v>2148593</v>
      </c>
      <c r="H11" s="11" t="n">
        <v>2019866</v>
      </c>
      <c r="I11" s="12" t="n">
        <v>1904007</v>
      </c>
      <c r="J11" s="12" t="n">
        <v>1867714</v>
      </c>
      <c r="K11" s="12" t="n">
        <v>1823652</v>
      </c>
      <c r="L11" s="12" t="n">
        <v>2148593</v>
      </c>
    </row>
    <row r="12">
      <c r="A12" s="18" t="inlineStr">
        <is>
          <t>유형자산</t>
        </is>
      </c>
      <c r="B12" s="10" t="n"/>
      <c r="C12" s="19" t="n">
        <v>159412</v>
      </c>
      <c r="D12" s="20" t="n"/>
      <c r="E12" s="20" t="n"/>
      <c r="F12" s="20" t="n"/>
      <c r="G12" s="20" t="n">
        <v>144054</v>
      </c>
      <c r="H12" s="19" t="n">
        <v>182690</v>
      </c>
      <c r="I12" s="20" t="n">
        <v>165044</v>
      </c>
      <c r="J12" s="20" t="n">
        <v>158583</v>
      </c>
      <c r="K12" s="20" t="n">
        <v>159412</v>
      </c>
      <c r="L12" s="20" t="n">
        <v>144054</v>
      </c>
    </row>
    <row r="13">
      <c r="A13" s="18" t="inlineStr">
        <is>
          <t>무형자산</t>
        </is>
      </c>
      <c r="B13" s="10" t="n"/>
      <c r="C13" s="19" t="n">
        <v>75505</v>
      </c>
      <c r="D13" s="20" t="n"/>
      <c r="E13" s="20" t="n"/>
      <c r="F13" s="20" t="n"/>
      <c r="G13" s="20" t="n">
        <v>19464</v>
      </c>
      <c r="H13" s="19" t="n">
        <v>226457</v>
      </c>
      <c r="I13" s="20" t="n">
        <v>175692</v>
      </c>
      <c r="J13" s="20" t="n">
        <v>126487</v>
      </c>
      <c r="K13" s="20" t="n">
        <v>75505</v>
      </c>
      <c r="L13" s="20" t="n">
        <v>19464</v>
      </c>
    </row>
    <row r="14">
      <c r="A14" s="18" t="inlineStr">
        <is>
          <t>투자부동산</t>
        </is>
      </c>
      <c r="B14" s="10" t="n"/>
      <c r="C14" s="19" t="n">
        <v>3716</v>
      </c>
      <c r="D14" s="20" t="n"/>
      <c r="E14" s="20" t="n"/>
      <c r="F14" s="20" t="n"/>
      <c r="G14" s="20" t="n">
        <v>3068</v>
      </c>
      <c r="H14" s="19" t="n">
        <v>4985</v>
      </c>
      <c r="I14" s="20" t="n">
        <v>9495</v>
      </c>
      <c r="J14" s="20" t="n">
        <v>9338</v>
      </c>
      <c r="K14" s="20" t="n">
        <v>3716</v>
      </c>
      <c r="L14" s="20" t="n">
        <v>3068</v>
      </c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2303789</v>
      </c>
      <c r="D16" s="12" t="n"/>
      <c r="E16" s="12" t="n"/>
      <c r="F16" s="12" t="n"/>
      <c r="G16" s="12" t="n">
        <v>2742366</v>
      </c>
      <c r="H16" s="11" t="n">
        <v>2487979</v>
      </c>
      <c r="I16" s="12" t="n">
        <v>2363267</v>
      </c>
      <c r="J16" s="12" t="n">
        <v>2293951</v>
      </c>
      <c r="K16" s="12" t="n">
        <v>2303789</v>
      </c>
      <c r="L16" s="12" t="n">
        <v>2742366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753816</v>
      </c>
      <c r="D18" s="12" t="n"/>
      <c r="E18" s="12" t="n"/>
      <c r="F18" s="12" t="n"/>
      <c r="G18" s="12" t="n">
        <v>625035</v>
      </c>
      <c r="H18" s="11" t="n">
        <v>767305</v>
      </c>
      <c r="I18" s="12" t="n">
        <v>682250</v>
      </c>
      <c r="J18" s="12" t="n">
        <v>755663</v>
      </c>
      <c r="K18" s="12" t="n">
        <v>753816</v>
      </c>
      <c r="L18" s="12" t="n">
        <v>625035</v>
      </c>
    </row>
    <row r="19">
      <c r="A19" s="18" t="inlineStr">
        <is>
          <t>매입채무</t>
        </is>
      </c>
      <c r="B19" s="10" t="n"/>
      <c r="C19" s="19" t="n">
        <v>15261</v>
      </c>
      <c r="D19" s="20" t="n"/>
      <c r="E19" s="20" t="n"/>
      <c r="F19" s="20" t="n"/>
      <c r="G19" s="20" t="n">
        <v>17001</v>
      </c>
      <c r="H19" s="19" t="n">
        <v>5675</v>
      </c>
      <c r="I19" s="20" t="n">
        <v>10445</v>
      </c>
      <c r="J19" s="20" t="n">
        <v>7279</v>
      </c>
      <c r="K19" s="20" t="n">
        <v>15261</v>
      </c>
      <c r="L19" s="20" t="n">
        <v>17001</v>
      </c>
    </row>
    <row r="20">
      <c r="A20" s="18" t="inlineStr">
        <is>
          <t>단기차입금</t>
        </is>
      </c>
      <c r="B20" s="10" t="n"/>
      <c r="C20" s="19" t="n">
        <v>100000</v>
      </c>
      <c r="D20" s="20" t="n"/>
      <c r="E20" s="20" t="n"/>
      <c r="F20" s="20" t="n"/>
      <c r="G20" s="20" t="n">
        <v>0</v>
      </c>
      <c r="H20" s="19" t="n"/>
      <c r="I20" s="20" t="n">
        <v>0</v>
      </c>
      <c r="J20" s="20" t="n">
        <v>158000</v>
      </c>
      <c r="K20" s="20" t="n">
        <v>100000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>
        <v>25000</v>
      </c>
      <c r="D21" s="20" t="n"/>
      <c r="E21" s="20" t="n"/>
      <c r="F21" s="20" t="n"/>
      <c r="G21" s="20" t="n">
        <v>0</v>
      </c>
      <c r="H21" s="19" t="n">
        <v>60000</v>
      </c>
      <c r="I21" s="20" t="n">
        <v>60000</v>
      </c>
      <c r="J21" s="20" t="n">
        <v>20000</v>
      </c>
      <c r="K21" s="20" t="n">
        <v>25000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335079</v>
      </c>
      <c r="D23" s="12" t="n"/>
      <c r="E23" s="12" t="n"/>
      <c r="F23" s="12" t="n"/>
      <c r="G23" s="12" t="n">
        <v>778948</v>
      </c>
      <c r="H23" s="11" t="n">
        <v>375978</v>
      </c>
      <c r="I23" s="12" t="n">
        <v>312374</v>
      </c>
      <c r="J23" s="12" t="n">
        <v>358711</v>
      </c>
      <c r="K23" s="12" t="n">
        <v>335079</v>
      </c>
      <c r="L23" s="12" t="n">
        <v>778948</v>
      </c>
    </row>
    <row r="24">
      <c r="A24" s="18" t="inlineStr">
        <is>
          <t>장기차입금</t>
        </is>
      </c>
      <c r="B24" s="10" t="n"/>
      <c r="C24" s="19" t="n">
        <v>120000</v>
      </c>
      <c r="D24" s="20" t="n"/>
      <c r="E24" s="20" t="n"/>
      <c r="F24" s="20" t="n"/>
      <c r="G24" s="20" t="n">
        <v>120000</v>
      </c>
      <c r="H24" s="19" t="n">
        <v>140000</v>
      </c>
      <c r="I24" s="20" t="n">
        <v>140000</v>
      </c>
      <c r="J24" s="20" t="n">
        <v>120000</v>
      </c>
      <c r="K24" s="20" t="n">
        <v>120000</v>
      </c>
      <c r="L24" s="20" t="n">
        <v>120000</v>
      </c>
    </row>
    <row r="25">
      <c r="A25" s="18" t="inlineStr">
        <is>
          <t>사채</t>
        </is>
      </c>
      <c r="B25" s="10" t="n"/>
      <c r="C25" s="19" t="n">
        <v>100000</v>
      </c>
      <c r="D25" s="20" t="n"/>
      <c r="E25" s="20" t="n"/>
      <c r="F25" s="20" t="n"/>
      <c r="G25" s="20" t="n">
        <v>559543</v>
      </c>
      <c r="H25" s="19" t="n">
        <v>125000</v>
      </c>
      <c r="I25" s="20" t="n">
        <v>65000</v>
      </c>
      <c r="J25" s="20" t="n">
        <v>125000</v>
      </c>
      <c r="K25" s="20" t="n">
        <v>100000</v>
      </c>
      <c r="L25" s="20" t="n">
        <v>559543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1088895</v>
      </c>
      <c r="D27" s="12" t="n"/>
      <c r="E27" s="12" t="n"/>
      <c r="F27" s="12" t="n"/>
      <c r="G27" s="12" t="n">
        <v>1403983</v>
      </c>
      <c r="H27" s="11" t="n">
        <v>1143283</v>
      </c>
      <c r="I27" s="12" t="n">
        <v>994623</v>
      </c>
      <c r="J27" s="12" t="n">
        <v>1114374</v>
      </c>
      <c r="K27" s="12" t="n">
        <v>1088895</v>
      </c>
      <c r="L27" s="12" t="n">
        <v>1403983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3766623</v>
      </c>
      <c r="D31" s="12" t="n"/>
      <c r="E31" s="12" t="n"/>
      <c r="F31" s="12" t="n"/>
      <c r="G31" s="12" t="n">
        <v>4086933</v>
      </c>
      <c r="H31" s="11" t="n">
        <v>2809258</v>
      </c>
      <c r="I31" s="12" t="n">
        <v>3540435</v>
      </c>
      <c r="J31" s="12" t="n">
        <v>3830156</v>
      </c>
      <c r="K31" s="12" t="n">
        <v>3766623</v>
      </c>
      <c r="L31" s="12" t="n">
        <v>4086933</v>
      </c>
    </row>
    <row r="32">
      <c r="A32" s="18" t="inlineStr">
        <is>
          <t>자본금</t>
        </is>
      </c>
      <c r="B32" s="10" t="n"/>
      <c r="C32" s="19" t="n">
        <v>100000</v>
      </c>
      <c r="D32" s="20" t="n"/>
      <c r="E32" s="20" t="n"/>
      <c r="F32" s="20" t="n"/>
      <c r="G32" s="20" t="n">
        <v>100000</v>
      </c>
      <c r="H32" s="19" t="n">
        <v>100000</v>
      </c>
      <c r="I32" s="20" t="n">
        <v>100000</v>
      </c>
      <c r="J32" s="20" t="n">
        <v>100000</v>
      </c>
      <c r="K32" s="20" t="n">
        <v>100000</v>
      </c>
      <c r="L32" s="20" t="n">
        <v>100000</v>
      </c>
    </row>
    <row r="33">
      <c r="A33" s="18" t="inlineStr">
        <is>
          <t>이익잉여금</t>
        </is>
      </c>
      <c r="B33" s="10" t="n"/>
      <c r="C33" s="19" t="n">
        <v>883256</v>
      </c>
      <c r="D33" s="20" t="n"/>
      <c r="E33" s="20" t="n"/>
      <c r="F33" s="20" t="n"/>
      <c r="G33" s="20" t="n">
        <v>1018039</v>
      </c>
      <c r="H33" s="19" t="n">
        <v>992476</v>
      </c>
      <c r="I33" s="20" t="n">
        <v>1010794</v>
      </c>
      <c r="J33" s="20" t="n">
        <v>828167</v>
      </c>
      <c r="K33" s="20" t="n">
        <v>883256</v>
      </c>
      <c r="L33" s="20" t="n">
        <v>1018039</v>
      </c>
    </row>
    <row r="34">
      <c r="A34" s="18" t="inlineStr">
        <is>
          <t>비지배지분</t>
        </is>
      </c>
      <c r="B34" s="10" t="n"/>
      <c r="C34" s="19" t="n">
        <v>82104</v>
      </c>
      <c r="D34" s="20" t="n"/>
      <c r="E34" s="20" t="n"/>
      <c r="F34" s="20" t="n"/>
      <c r="G34" s="20" t="n">
        <v>28456</v>
      </c>
      <c r="H34" s="19" t="n">
        <v>76823</v>
      </c>
      <c r="I34" s="20" t="n">
        <v>76326</v>
      </c>
      <c r="J34" s="20" t="n">
        <v>82336</v>
      </c>
      <c r="K34" s="20" t="n">
        <v>82104</v>
      </c>
      <c r="L34" s="20" t="n">
        <v>28456</v>
      </c>
    </row>
    <row r="35">
      <c r="A35" s="9" t="inlineStr">
        <is>
          <t>자본총계</t>
        </is>
      </c>
      <c r="B35" s="10" t="n"/>
      <c r="C35" s="11" t="n">
        <v>1214895</v>
      </c>
      <c r="D35" s="12" t="n"/>
      <c r="E35" s="12" t="n"/>
      <c r="F35" s="12" t="n"/>
      <c r="G35" s="12" t="n">
        <v>1338384</v>
      </c>
      <c r="H35" s="11" t="n">
        <v>1344696</v>
      </c>
      <c r="I35" s="12" t="n">
        <v>1368643</v>
      </c>
      <c r="J35" s="12" t="n">
        <v>1179577</v>
      </c>
      <c r="K35" s="12" t="n">
        <v>1214895</v>
      </c>
      <c r="L35" s="12" t="n">
        <v>1338384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630011</v>
      </c>
      <c r="D37" s="12" t="n"/>
      <c r="E37" s="12" t="n"/>
      <c r="F37" s="12" t="n"/>
      <c r="G37" s="12" t="n">
        <v>514056</v>
      </c>
      <c r="H37" s="11" t="n">
        <v>598909</v>
      </c>
      <c r="I37" s="12" t="n">
        <v>483799</v>
      </c>
      <c r="J37" s="12" t="n">
        <v>566317</v>
      </c>
      <c r="K37" s="12" t="n">
        <v>630011</v>
      </c>
      <c r="L37" s="12" t="n">
        <v>514056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150367</v>
      </c>
      <c r="D38" s="20" t="n"/>
      <c r="E38" s="20" t="n"/>
      <c r="F38" s="20" t="n"/>
      <c r="G38" s="20" t="n">
        <v>162386</v>
      </c>
      <c r="H38" s="19" t="n">
        <v>102918</v>
      </c>
      <c r="I38" s="20" t="n">
        <v>99408</v>
      </c>
      <c r="J38" s="20" t="n">
        <v>116568</v>
      </c>
      <c r="K38" s="20" t="n">
        <v>150367</v>
      </c>
      <c r="L38" s="20" t="n">
        <v>162386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349645</v>
      </c>
      <c r="D40" s="20" t="n"/>
      <c r="E40" s="20" t="n"/>
      <c r="F40" s="20" t="n"/>
      <c r="G40" s="20" t="n">
        <v>356853</v>
      </c>
      <c r="H40" s="19" t="n">
        <v>251935</v>
      </c>
      <c r="I40" s="20" t="n">
        <v>266175</v>
      </c>
      <c r="J40" s="20" t="n">
        <v>367331</v>
      </c>
      <c r="K40" s="20" t="n">
        <v>349645</v>
      </c>
      <c r="L40" s="20" t="n">
        <v>356853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IFERROR(IF((IF(COUNT('연간'!G53:J53)&lt;4,"",SUM('연간'!G53:J53)))&lt;=0,"적자",C28/(IF(COUNT('연간'!G53:J53)&lt;4,"",SUM('연간'!G53:J53)))),"")</f>
        <v/>
      </c>
      <c r="D49" s="46">
        <f>IFERROR(IF((IF(COUNT('연간'!H53:K53)&lt;4,"",SUM('연간'!H53:K53)))&lt;=0,"적자",D28/(IF(COUNT('연간'!H53:K53)&lt;4,"",SUM('연간'!H53:K53)))),"")</f>
        <v/>
      </c>
      <c r="E49" s="46">
        <f>IFERROR(IF((IF(COUNT('연간'!I53:L53)&lt;4,"",SUM('연간'!I53:L53)))&lt;=0,"적자",E28/(IF(COUNT('연간'!I53:L53)&lt;4,"",SUM('연간'!I53:L53)))),"")</f>
        <v/>
      </c>
      <c r="F49" s="46">
        <f>IFERROR(IF((IF(COUNT('연간'!J53:M53)&lt;4,"",SUM('연간'!J53:M53)))&lt;=0,"적자",F28/(IF(COUNT('연간'!J53:M53)&lt;4,"",SUM('연간'!J53:M53)))),"")</f>
        <v/>
      </c>
      <c r="G49" s="46">
        <f>IFERROR(IF((IF(COUNT('연간'!K53:N53)&lt;4,"",SUM('연간'!K53:N53)))&lt;=0,"적자",G28/(IF(COUNT('연간'!K53:N53)&lt;4,"",SUM('연간'!K53:N53)))),"")</f>
        <v/>
      </c>
      <c r="H49" s="45">
        <f>IFERROR(IF(('연간'!T53)&lt;=0,"적자",H28/('연간'!T53)),"")</f>
        <v/>
      </c>
      <c r="I49" s="46">
        <f>IFERROR(IF(('연간'!U53)&lt;=0,"적자",I28/('연간'!U53)),"")</f>
        <v/>
      </c>
      <c r="J49" s="46">
        <f>IFERROR(IF(('연간'!V53)&lt;=0,"적자",J28/('연간'!V53)),"")</f>
        <v/>
      </c>
      <c r="K49" s="46">
        <f>IFERROR(IF(('연간'!W53)&lt;=0,"적자",K28/('연간'!W53)),"")</f>
        <v/>
      </c>
      <c r="L49" s="46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IFERROR(C9/(IF(COUNT('연간'!G20:J20)&lt;4,"",SUM('연간'!G20:J20)))*365,"")</f>
        <v/>
      </c>
      <c r="D60" s="48">
        <f>IFERROR(D9/(IF(COUNT('연간'!H20:K20)&lt;4,"",SUM('연간'!H20:K20)))*365,"")</f>
        <v/>
      </c>
      <c r="E60" s="48">
        <f>IFERROR(E9/(IF(COUNT('연간'!I20:L20)&lt;4,"",SUM('연간'!I20:L20)))*365,"")</f>
        <v/>
      </c>
      <c r="F60" s="48">
        <f>IFERROR(F9/(IF(COUNT('연간'!J20:M20)&lt;4,"",SUM('연간'!J20:M20)))*365,"")</f>
        <v/>
      </c>
      <c r="G60" s="48">
        <f>IFERROR(G9/(IF(COUNT('연간'!K20:N20)&lt;4,"",SUM('연간'!K20:N20)))*365,"")</f>
        <v/>
      </c>
      <c r="H60" s="47">
        <f>IFERROR(H9/('연간'!T20)*365,"")</f>
        <v/>
      </c>
      <c r="I60" s="48">
        <f>IFERROR(I9/('연간'!U20)*365,"")</f>
        <v/>
      </c>
      <c r="J60" s="48">
        <f>IFERROR(J9/('연간'!V20)*365,"")</f>
        <v/>
      </c>
      <c r="K60" s="48">
        <f>IFERROR(K9/('연간'!W20)*365,"")</f>
        <v/>
      </c>
      <c r="L60" s="48">
        <f>IFERROR(L9/('연간'!X20)*365,"")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IFERROR(C19/(IF(COUNT('연간'!G20:J20)&lt;4,"",SUM('연간'!G20:J20)))*365,"")</f>
        <v/>
      </c>
      <c r="D61" s="48">
        <f>IFERROR(D19/(IF(COUNT('연간'!H20:K20)&lt;4,"",SUM('연간'!H20:K20)))*365,"")</f>
        <v/>
      </c>
      <c r="E61" s="48">
        <f>IFERROR(E19/(IF(COUNT('연간'!I20:L20)&lt;4,"",SUM('연간'!I20:L20)))*365,"")</f>
        <v/>
      </c>
      <c r="F61" s="48">
        <f>IFERROR(F19/(IF(COUNT('연간'!J20:M20)&lt;4,"",SUM('연간'!J20:M20)))*365,"")</f>
        <v/>
      </c>
      <c r="G61" s="48">
        <f>IFERROR(G19/(IF(COUNT('연간'!K20:N20)&lt;4,"",SUM('연간'!K20:N20)))*365,"")</f>
        <v/>
      </c>
      <c r="H61" s="47">
        <f>IFERROR(H19/('연간'!T20)*365,"")</f>
        <v/>
      </c>
      <c r="I61" s="48">
        <f>IFERROR(I19/('연간'!U20)*365,"")</f>
        <v/>
      </c>
      <c r="J61" s="48">
        <f>IFERROR(J19/('연간'!V20)*365,"")</f>
        <v/>
      </c>
      <c r="K61" s="48">
        <f>IFERROR(K19/('연간'!W20)*365,"")</f>
        <v/>
      </c>
      <c r="L61" s="48">
        <f>IFERROR(L19/('연간'!X20)*365,"")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2024.4Q</t>
        </is>
      </c>
      <c r="D70" s="5" t="inlineStr">
        <is>
          <t>2025.1Q</t>
        </is>
      </c>
      <c r="E70" s="5" t="inlineStr">
        <is>
          <t>2025.2Q</t>
        </is>
      </c>
      <c r="F70" s="5" t="inlineStr">
        <is>
          <t>2025.3Q</t>
        </is>
      </c>
      <c r="G70" s="5" t="inlineStr">
        <is>
          <t>2025.4Q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현금및현금성자산</t>
        </is>
      </c>
      <c r="C71" s="20" t="n">
        <v>1084567</v>
      </c>
      <c r="G71" s="20" t="n">
        <v>831135</v>
      </c>
      <c r="H71" s="20" t="n">
        <v>721731</v>
      </c>
      <c r="I71" s="20" t="n">
        <v>866885</v>
      </c>
      <c r="J71" s="20" t="n">
        <v>1040206</v>
      </c>
      <c r="K71" s="20" t="n">
        <v>1084567</v>
      </c>
      <c r="L71" s="20" t="n">
        <v>831135</v>
      </c>
    </row>
    <row r="72">
      <c r="A72" s="18" t="inlineStr">
        <is>
          <t>영업채권 및 기타채권</t>
        </is>
      </c>
      <c r="C72" s="20" t="n">
        <v>568982</v>
      </c>
      <c r="G72" s="20" t="n">
        <v>640681</v>
      </c>
      <c r="H72" s="20" t="n">
        <v>456587</v>
      </c>
      <c r="I72" s="20" t="n">
        <v>477239</v>
      </c>
      <c r="J72" s="20" t="n">
        <v>535302</v>
      </c>
      <c r="K72" s="20" t="n">
        <v>568982</v>
      </c>
      <c r="L72" s="20" t="n">
        <v>640681</v>
      </c>
    </row>
    <row r="73">
      <c r="A73" s="18" t="inlineStr">
        <is>
          <t>재고자산</t>
        </is>
      </c>
      <c r="C73" s="20" t="n">
        <v>957281</v>
      </c>
      <c r="G73" s="20" t="n">
        <v>1060136</v>
      </c>
      <c r="H73" s="20" t="n">
        <v>563182</v>
      </c>
      <c r="I73" s="20" t="n">
        <v>691906</v>
      </c>
      <c r="J73" s="20" t="n">
        <v>832611</v>
      </c>
      <c r="K73" s="20" t="n">
        <v>957281</v>
      </c>
      <c r="L73" s="20" t="n">
        <v>1060136</v>
      </c>
    </row>
    <row r="74">
      <c r="A74" s="18" t="inlineStr">
        <is>
          <t>기타금융자산</t>
        </is>
      </c>
      <c r="C74" s="20" t="n">
        <v>120211</v>
      </c>
      <c r="G74" s="20" t="n">
        <v>195816</v>
      </c>
      <c r="H74" s="20" t="n">
        <v>17254</v>
      </c>
      <c r="I74" s="20" t="n">
        <v>37677</v>
      </c>
      <c r="J74" s="20" t="n">
        <v>58633</v>
      </c>
      <c r="K74" s="20" t="n">
        <v>120211</v>
      </c>
      <c r="L74" s="20" t="n">
        <v>195816</v>
      </c>
    </row>
    <row r="75">
      <c r="A75" s="18" t="inlineStr">
        <is>
          <t>기타유동자산</t>
        </is>
      </c>
      <c r="C75" s="20" t="n">
        <v>826766</v>
      </c>
      <c r="G75" s="20" t="n">
        <v>977640</v>
      </c>
      <c r="H75" s="20" t="n">
        <v>562034</v>
      </c>
      <c r="I75" s="20" t="n">
        <v>649181</v>
      </c>
      <c r="J75" s="20" t="n">
        <v>789888</v>
      </c>
      <c r="K75" s="20" t="n">
        <v>826766</v>
      </c>
      <c r="L75" s="20" t="n">
        <v>977640</v>
      </c>
    </row>
    <row r="76">
      <c r="A76" s="9" t="inlineStr">
        <is>
          <t>소계</t>
        </is>
      </c>
      <c r="C76" s="12" t="n">
        <v>3557807</v>
      </c>
      <c r="G76" s="12" t="n">
        <v>3705408</v>
      </c>
      <c r="H76" s="12" t="n">
        <v>2320789</v>
      </c>
      <c r="I76" s="12" t="n">
        <v>2722889</v>
      </c>
      <c r="J76" s="12" t="n">
        <v>3256639</v>
      </c>
      <c r="K76" s="12" t="n">
        <v>3557807</v>
      </c>
      <c r="L76" s="12" t="n">
        <v>3705408</v>
      </c>
    </row>
    <row r="77">
      <c r="A77" s="18" t="inlineStr">
        <is>
          <t>매각예정 자산</t>
        </is>
      </c>
      <c r="C77" s="20" t="n">
        <v>19765</v>
      </c>
      <c r="G77" s="20" t="n">
        <v>5689</v>
      </c>
      <c r="H77" s="20" t="n">
        <v>500</v>
      </c>
      <c r="I77" s="20" t="n">
        <v>702</v>
      </c>
      <c r="J77" s="20" t="n">
        <v>2921</v>
      </c>
      <c r="K77" s="20" t="n">
        <v>19765</v>
      </c>
      <c r="L77" s="20" t="n">
        <v>5689</v>
      </c>
    </row>
    <row r="78">
      <c r="A78" s="9" t="inlineStr">
        <is>
          <t>유동자산 합계</t>
        </is>
      </c>
      <c r="C78" s="12" t="n">
        <v>3577572</v>
      </c>
      <c r="G78" s="12" t="n">
        <v>3711097</v>
      </c>
      <c r="H78" s="12" t="n">
        <v>2321289</v>
      </c>
      <c r="I78" s="12" t="n">
        <v>2723591</v>
      </c>
      <c r="J78" s="12" t="n">
        <v>3259561</v>
      </c>
      <c r="K78" s="12" t="n">
        <v>3577572</v>
      </c>
      <c r="L78" s="12" t="n">
        <v>3711097</v>
      </c>
    </row>
    <row r="79">
      <c r="A79" s="18" t="inlineStr">
        <is>
          <t>유형자산</t>
        </is>
      </c>
      <c r="C79" s="20" t="n">
        <v>907700</v>
      </c>
      <c r="G79" s="20" t="n">
        <v>979800</v>
      </c>
      <c r="H79" s="20" t="n">
        <v>755843</v>
      </c>
      <c r="I79" s="20" t="n">
        <v>775957</v>
      </c>
      <c r="J79" s="20" t="n">
        <v>821499</v>
      </c>
      <c r="K79" s="20" t="n">
        <v>907700</v>
      </c>
      <c r="L79" s="20" t="n">
        <v>979800</v>
      </c>
    </row>
    <row r="80">
      <c r="A80" s="18" t="inlineStr">
        <is>
          <t>영업권</t>
        </is>
      </c>
      <c r="C80" s="20" t="n">
        <v>2914254</v>
      </c>
      <c r="G80" s="20" t="n">
        <v>2923096</v>
      </c>
      <c r="H80" s="20" t="n">
        <v>2060965</v>
      </c>
      <c r="I80" s="20" t="n">
        <v>2446063</v>
      </c>
      <c r="J80" s="20" t="n">
        <v>2616440</v>
      </c>
      <c r="K80" s="20" t="n">
        <v>2914254</v>
      </c>
      <c r="L80" s="20" t="n">
        <v>2923096</v>
      </c>
    </row>
    <row r="81">
      <c r="A81" s="18" t="inlineStr">
        <is>
          <t>무형자산</t>
        </is>
      </c>
      <c r="C81" s="20" t="n">
        <v>486463</v>
      </c>
      <c r="G81" s="20" t="n">
        <v>395658</v>
      </c>
      <c r="H81" s="20" t="n">
        <v>307152</v>
      </c>
      <c r="I81" s="20" t="n">
        <v>246442</v>
      </c>
      <c r="J81" s="20" t="n">
        <v>200819</v>
      </c>
      <c r="K81" s="20" t="n">
        <v>486463</v>
      </c>
      <c r="L81" s="20" t="n">
        <v>395658</v>
      </c>
    </row>
    <row r="82">
      <c r="A82" s="18" t="inlineStr">
        <is>
          <t>Investment Property</t>
        </is>
      </c>
      <c r="C82" s="20" t="n">
        <v>3716</v>
      </c>
      <c r="G82" s="20" t="n">
        <v>3068</v>
      </c>
      <c r="H82" s="20" t="n">
        <v>4985</v>
      </c>
      <c r="I82" s="20" t="n">
        <v>9495</v>
      </c>
      <c r="J82" s="20" t="n">
        <v>9338</v>
      </c>
      <c r="K82" s="20" t="n">
        <v>3716</v>
      </c>
      <c r="L82" s="20" t="n">
        <v>3068</v>
      </c>
    </row>
    <row r="83">
      <c r="A83" s="18" t="inlineStr">
        <is>
          <t>퇴직급여자산</t>
        </is>
      </c>
      <c r="C83" s="20" t="n">
        <v>89573</v>
      </c>
      <c r="G83" s="20" t="n">
        <v>29946</v>
      </c>
      <c r="H83" s="20" t="n">
        <v>53177</v>
      </c>
      <c r="I83" s="20" t="n">
        <v>57792</v>
      </c>
      <c r="J83" s="20" t="n">
        <v>65856</v>
      </c>
      <c r="K83" s="20" t="n">
        <v>89573</v>
      </c>
      <c r="L83" s="20" t="n">
        <v>29946</v>
      </c>
    </row>
    <row r="84">
      <c r="A84" s="18" t="inlineStr">
        <is>
          <t>지분법 투자</t>
        </is>
      </c>
      <c r="C84" s="20" t="n">
        <v>50423</v>
      </c>
      <c r="G84" s="20" t="n">
        <v>82205</v>
      </c>
      <c r="H84" s="20" t="n">
        <v>41721</v>
      </c>
      <c r="I84" s="20" t="n">
        <v>56943</v>
      </c>
      <c r="J84" s="20" t="n">
        <v>56726</v>
      </c>
      <c r="K84" s="20" t="n">
        <v>50423</v>
      </c>
      <c r="L84" s="20" t="n">
        <v>82205</v>
      </c>
    </row>
    <row r="85">
      <c r="A85" s="18" t="inlineStr">
        <is>
          <t>기타금융자산</t>
        </is>
      </c>
      <c r="C85" s="20" t="n">
        <v>151940</v>
      </c>
      <c r="G85" s="20" t="n">
        <v>131600</v>
      </c>
      <c r="H85" s="20" t="n">
        <v>108658</v>
      </c>
      <c r="I85" s="20" t="n">
        <v>140366</v>
      </c>
      <c r="J85" s="20" t="n">
        <v>155267</v>
      </c>
      <c r="K85" s="20" t="n">
        <v>151940</v>
      </c>
      <c r="L85" s="20" t="n">
        <v>131600</v>
      </c>
    </row>
    <row r="86">
      <c r="A86" s="18" t="inlineStr">
        <is>
          <t>기타비유동자산</t>
        </is>
      </c>
      <c r="C86" s="20" t="n">
        <v>5500</v>
      </c>
      <c r="G86" s="20" t="n">
        <v>4240</v>
      </c>
      <c r="J86" s="20" t="n">
        <v>7212</v>
      </c>
      <c r="K86" s="20" t="n">
        <v>5500</v>
      </c>
      <c r="L86" s="20" t="n">
        <v>4240</v>
      </c>
    </row>
    <row r="87">
      <c r="A87" s="18" t="inlineStr">
        <is>
          <t>이연법인세자산</t>
        </is>
      </c>
      <c r="C87" s="20" t="n">
        <v>183591</v>
      </c>
      <c r="G87" s="20" t="n">
        <v>158528</v>
      </c>
      <c r="H87" s="20" t="n">
        <v>120419</v>
      </c>
      <c r="I87" s="20" t="n">
        <v>91430</v>
      </c>
      <c r="J87" s="20" t="n">
        <v>89379</v>
      </c>
      <c r="K87" s="20" t="n">
        <v>183591</v>
      </c>
      <c r="L87" s="20" t="n">
        <v>158528</v>
      </c>
    </row>
    <row r="88">
      <c r="A88" s="18" t="inlineStr">
        <is>
          <t>비유동자산 합계</t>
        </is>
      </c>
      <c r="C88" s="20" t="n">
        <v>4793160</v>
      </c>
      <c r="G88" s="20" t="n">
        <v>4708143</v>
      </c>
      <c r="H88" s="20" t="n">
        <v>3452920</v>
      </c>
      <c r="I88" s="20" t="n">
        <v>3824487</v>
      </c>
      <c r="J88" s="20" t="n">
        <v>4022536</v>
      </c>
      <c r="K88" s="20" t="n">
        <v>4793160</v>
      </c>
      <c r="L88" s="20" t="n">
        <v>4708143</v>
      </c>
    </row>
    <row r="89">
      <c r="A89" s="18" t="inlineStr">
        <is>
          <t>자산 합계</t>
        </is>
      </c>
      <c r="C89" s="20" t="n">
        <v>8370732</v>
      </c>
      <c r="G89" s="20" t="n">
        <v>8419240</v>
      </c>
      <c r="H89" s="20" t="n">
        <v>5774209</v>
      </c>
      <c r="I89" s="20" t="n">
        <v>6548078</v>
      </c>
      <c r="J89" s="20" t="n">
        <v>7282097</v>
      </c>
      <c r="K89" s="20" t="n">
        <v>8370732</v>
      </c>
      <c r="L89" s="20" t="n">
        <v>8419240</v>
      </c>
    </row>
    <row r="90">
      <c r="A90" s="18" t="inlineStr">
        <is>
          <t>영업채무 및 기타채무</t>
        </is>
      </c>
      <c r="C90" s="20" t="n">
        <v>659510</v>
      </c>
      <c r="G90" s="20" t="n">
        <v>711721</v>
      </c>
      <c r="H90" s="20" t="n">
        <v>555777</v>
      </c>
      <c r="I90" s="20" t="n">
        <v>540089</v>
      </c>
      <c r="J90" s="20" t="n">
        <v>592802</v>
      </c>
      <c r="K90" s="20" t="n">
        <v>659510</v>
      </c>
      <c r="L90" s="20" t="n">
        <v>711721</v>
      </c>
    </row>
    <row r="91">
      <c r="A91" s="18" t="inlineStr">
        <is>
          <t>사채 및 차입금</t>
        </is>
      </c>
      <c r="C91" s="20" t="n">
        <v>178668</v>
      </c>
      <c r="G91" s="20" t="n">
        <v>79627</v>
      </c>
      <c r="H91" s="20" t="n">
        <v>142901</v>
      </c>
      <c r="I91" s="20" t="n">
        <v>137308</v>
      </c>
      <c r="J91" s="20" t="n">
        <v>233333</v>
      </c>
      <c r="K91" s="20" t="n">
        <v>178668</v>
      </c>
      <c r="L91" s="20" t="n">
        <v>79627</v>
      </c>
    </row>
    <row r="92">
      <c r="A92" s="18" t="inlineStr">
        <is>
          <t>미지급법인세 등</t>
        </is>
      </c>
      <c r="C92" s="20" t="n">
        <v>24621</v>
      </c>
      <c r="G92" s="20" t="n">
        <v>36546</v>
      </c>
      <c r="H92" s="20" t="n">
        <v>30794</v>
      </c>
      <c r="I92" s="20" t="n">
        <v>37470</v>
      </c>
      <c r="J92" s="20" t="n">
        <v>29647</v>
      </c>
      <c r="K92" s="20" t="n">
        <v>24621</v>
      </c>
      <c r="L92" s="20" t="n">
        <v>36546</v>
      </c>
    </row>
    <row r="93">
      <c r="A93" s="18" t="inlineStr">
        <is>
          <t>기타금융부채</t>
        </is>
      </c>
      <c r="C93" s="20" t="n">
        <v>59965</v>
      </c>
      <c r="G93" s="20" t="n">
        <v>62068</v>
      </c>
      <c r="H93" s="20" t="n">
        <v>28342</v>
      </c>
      <c r="I93" s="20" t="n">
        <v>40065</v>
      </c>
      <c r="J93" s="20" t="n">
        <v>44470</v>
      </c>
      <c r="K93" s="20" t="n">
        <v>59965</v>
      </c>
      <c r="L93" s="20" t="n">
        <v>62068</v>
      </c>
    </row>
    <row r="94">
      <c r="A94" s="18" t="inlineStr">
        <is>
          <t>충당금</t>
        </is>
      </c>
      <c r="C94" s="20" t="n">
        <v>195918</v>
      </c>
      <c r="G94" s="20" t="n">
        <v>32783</v>
      </c>
      <c r="H94" s="20" t="n">
        <v>24858</v>
      </c>
      <c r="I94" s="20" t="n">
        <v>26610</v>
      </c>
      <c r="J94" s="20" t="n">
        <v>18634</v>
      </c>
      <c r="K94" s="20" t="n">
        <v>195918</v>
      </c>
      <c r="L94" s="20" t="n">
        <v>32783</v>
      </c>
    </row>
    <row r="95">
      <c r="A95" s="18" t="inlineStr">
        <is>
          <t>기타유동부채</t>
        </is>
      </c>
      <c r="C95" s="20" t="n">
        <v>1029925</v>
      </c>
      <c r="G95" s="20" t="n">
        <v>1004331</v>
      </c>
      <c r="H95" s="20" t="n">
        <v>717653</v>
      </c>
      <c r="I95" s="20" t="n">
        <v>781093</v>
      </c>
      <c r="J95" s="20" t="n">
        <v>1008390</v>
      </c>
      <c r="K95" s="20" t="n">
        <v>1029925</v>
      </c>
      <c r="L95" s="20" t="n">
        <v>1004331</v>
      </c>
    </row>
    <row r="96">
      <c r="A96" s="18" t="inlineStr">
        <is>
          <t>소계</t>
        </is>
      </c>
      <c r="C96" s="20" t="n">
        <v>2148607</v>
      </c>
      <c r="G96" s="20" t="n">
        <v>1927076</v>
      </c>
      <c r="H96" s="20" t="n">
        <v>1500326</v>
      </c>
      <c r="I96" s="20" t="n">
        <v>1562635</v>
      </c>
      <c r="J96" s="20" t="n">
        <v>1927276</v>
      </c>
      <c r="K96" s="20" t="n">
        <v>2148607</v>
      </c>
      <c r="L96" s="20" t="n">
        <v>1927076</v>
      </c>
    </row>
    <row r="97">
      <c r="A97" s="18" t="inlineStr">
        <is>
          <t>매각예정 자산 직접 관련 부채</t>
        </is>
      </c>
      <c r="C97" s="20" t="n">
        <v>0</v>
      </c>
      <c r="G97" s="20" t="n">
        <v>177</v>
      </c>
      <c r="H97" s="20" t="n">
        <v>0</v>
      </c>
      <c r="I97" s="20" t="n">
        <v>29</v>
      </c>
      <c r="J97" s="20" t="n">
        <v>0</v>
      </c>
      <c r="K97" s="20" t="n">
        <v>0</v>
      </c>
      <c r="L97" s="20" t="n">
        <v>177</v>
      </c>
    </row>
    <row r="98">
      <c r="A98" s="18" t="inlineStr">
        <is>
          <t>유동부채 합계</t>
        </is>
      </c>
      <c r="C98" s="20" t="n">
        <v>2148607</v>
      </c>
      <c r="G98" s="20" t="n">
        <v>1927252</v>
      </c>
      <c r="H98" s="20" t="n">
        <v>1500326</v>
      </c>
      <c r="I98" s="20" t="n">
        <v>1562664</v>
      </c>
      <c r="J98" s="20" t="n">
        <v>1927276</v>
      </c>
      <c r="K98" s="20" t="n">
        <v>2148607</v>
      </c>
      <c r="L98" s="20" t="n">
        <v>1927252</v>
      </c>
    </row>
    <row r="99">
      <c r="A99" s="18" t="inlineStr">
        <is>
          <t>사채 및 차입금</t>
        </is>
      </c>
      <c r="C99" s="20" t="n">
        <v>1548120</v>
      </c>
      <c r="G99" s="20" t="n">
        <v>1599061</v>
      </c>
      <c r="H99" s="20" t="n">
        <v>775721</v>
      </c>
      <c r="I99" s="20" t="n">
        <v>821003</v>
      </c>
      <c r="J99" s="20" t="n">
        <v>908926</v>
      </c>
      <c r="K99" s="20" t="n">
        <v>1548120</v>
      </c>
      <c r="L99" s="20" t="n">
        <v>1599061</v>
      </c>
    </row>
    <row r="100">
      <c r="A100" s="18" t="inlineStr">
        <is>
          <t>기타금융부채</t>
        </is>
      </c>
      <c r="C100" s="20" t="n">
        <v>49210</v>
      </c>
      <c r="G100" s="20" t="n">
        <v>205628</v>
      </c>
      <c r="H100" s="20" t="n">
        <v>43885</v>
      </c>
      <c r="I100" s="20" t="n">
        <v>41735</v>
      </c>
      <c r="J100" s="20" t="n">
        <v>40678</v>
      </c>
      <c r="K100" s="20" t="n">
        <v>49210</v>
      </c>
      <c r="L100" s="20" t="n">
        <v>205628</v>
      </c>
    </row>
    <row r="101">
      <c r="A101" s="18" t="inlineStr">
        <is>
          <t>퇴직급여부채</t>
        </is>
      </c>
      <c r="C101" s="20" t="n">
        <v>277236</v>
      </c>
      <c r="G101" s="20" t="n">
        <v>253225</v>
      </c>
      <c r="H101" s="20" t="n">
        <v>296176</v>
      </c>
      <c r="I101" s="20" t="n">
        <v>244116</v>
      </c>
      <c r="J101" s="20" t="n">
        <v>279443</v>
      </c>
      <c r="K101" s="20" t="n">
        <v>277236</v>
      </c>
      <c r="L101" s="20" t="n">
        <v>253225</v>
      </c>
    </row>
    <row r="102">
      <c r="A102" s="18" t="inlineStr">
        <is>
          <t>충당금</t>
        </is>
      </c>
      <c r="C102" s="20" t="n">
        <v>253949</v>
      </c>
      <c r="G102" s="20" t="n">
        <v>54355</v>
      </c>
      <c r="H102" s="20" t="n">
        <v>22867</v>
      </c>
      <c r="I102" s="20" t="n">
        <v>26490</v>
      </c>
      <c r="J102" s="20" t="n">
        <v>45527</v>
      </c>
      <c r="K102" s="20" t="n">
        <v>253949</v>
      </c>
      <c r="L102" s="20" t="n">
        <v>54355</v>
      </c>
    </row>
    <row r="103">
      <c r="A103" s="18" t="inlineStr">
        <is>
          <t>기타비유동부채</t>
        </is>
      </c>
      <c r="C103" s="20" t="n">
        <v>120427</v>
      </c>
      <c r="G103" s="20" t="n">
        <v>134724</v>
      </c>
      <c r="H103" s="20" t="n">
        <v>179195</v>
      </c>
      <c r="I103" s="20" t="n">
        <v>195248</v>
      </c>
      <c r="J103" s="20" t="n">
        <v>127170</v>
      </c>
      <c r="K103" s="20" t="n">
        <v>120427</v>
      </c>
      <c r="L103" s="20" t="n">
        <v>134724</v>
      </c>
    </row>
    <row r="104">
      <c r="A104" s="18" t="inlineStr">
        <is>
          <t>이연법인세부채</t>
        </is>
      </c>
      <c r="C104" s="20" t="n">
        <v>124455</v>
      </c>
      <c r="G104" s="20" t="n">
        <v>129606</v>
      </c>
      <c r="H104" s="20" t="n">
        <v>69959</v>
      </c>
      <c r="I104" s="20" t="n">
        <v>40061</v>
      </c>
      <c r="J104" s="20" t="n">
        <v>40586</v>
      </c>
      <c r="K104" s="20" t="n">
        <v>124455</v>
      </c>
      <c r="L104" s="20" t="n">
        <v>129606</v>
      </c>
    </row>
    <row r="105">
      <c r="A105" s="18" t="inlineStr">
        <is>
          <t>비유동부채 합계</t>
        </is>
      </c>
      <c r="C105" s="20" t="n">
        <v>2373398</v>
      </c>
      <c r="G105" s="20" t="n">
        <v>2376599</v>
      </c>
      <c r="H105" s="20" t="n">
        <v>1387803</v>
      </c>
      <c r="I105" s="20" t="n">
        <v>1368653</v>
      </c>
      <c r="J105" s="20" t="n">
        <v>1442329</v>
      </c>
      <c r="K105" s="20" t="n">
        <v>2373398</v>
      </c>
      <c r="L105" s="20" t="n">
        <v>2376599</v>
      </c>
    </row>
    <row r="106">
      <c r="A106" s="18" t="inlineStr">
        <is>
          <t>부채 합계</t>
        </is>
      </c>
      <c r="C106" s="20" t="n">
        <v>4522005</v>
      </c>
      <c r="G106" s="20" t="n">
        <v>4303851</v>
      </c>
      <c r="H106" s="20" t="n">
        <v>2888128</v>
      </c>
      <c r="I106" s="20" t="n">
        <v>2931317</v>
      </c>
      <c r="J106" s="20" t="n">
        <v>3369605</v>
      </c>
      <c r="K106" s="20" t="n">
        <v>4522005</v>
      </c>
      <c r="L106" s="20" t="n">
        <v>4303851</v>
      </c>
    </row>
    <row r="107">
      <c r="A107" s="18" t="inlineStr">
        <is>
          <t>자본금</t>
        </is>
      </c>
      <c r="C107" s="20" t="n">
        <v>100000</v>
      </c>
      <c r="G107" s="20" t="n">
        <v>100000</v>
      </c>
      <c r="H107" s="20" t="n">
        <v>100000</v>
      </c>
      <c r="I107" s="20" t="n">
        <v>100000</v>
      </c>
      <c r="J107" s="20" t="n">
        <v>100000</v>
      </c>
      <c r="K107" s="20" t="n">
        <v>100000</v>
      </c>
      <c r="L107" s="20" t="n">
        <v>100000</v>
      </c>
    </row>
    <row r="108">
      <c r="A108" s="18" t="inlineStr">
        <is>
          <t>자본잉여금</t>
        </is>
      </c>
      <c r="C108" s="20" t="n">
        <v>736697</v>
      </c>
      <c r="G108" s="20" t="n">
        <v>737064</v>
      </c>
      <c r="H108" s="20" t="n">
        <v>736400</v>
      </c>
      <c r="I108" s="20" t="n">
        <v>736400</v>
      </c>
      <c r="J108" s="20" t="n">
        <v>736478</v>
      </c>
      <c r="K108" s="20" t="n">
        <v>736697</v>
      </c>
      <c r="L108" s="20" t="n">
        <v>737064</v>
      </c>
    </row>
    <row r="109">
      <c r="A109" s="18" t="inlineStr">
        <is>
          <t>자기주식</t>
        </is>
      </c>
      <c r="C109" s="20" t="n">
        <v>-488579</v>
      </c>
      <c r="G109" s="20" t="n">
        <v>-489744</v>
      </c>
      <c r="H109" s="20" t="n">
        <v>-490899</v>
      </c>
      <c r="I109" s="20" t="n">
        <v>-490183</v>
      </c>
      <c r="J109" s="20" t="n">
        <v>-489194</v>
      </c>
      <c r="K109" s="20" t="n">
        <v>-488579</v>
      </c>
      <c r="L109" s="20" t="n">
        <v>-489744</v>
      </c>
    </row>
    <row r="110">
      <c r="A110" s="18" t="inlineStr">
        <is>
          <t>기타자본구성요소</t>
        </is>
      </c>
      <c r="C110" s="20" t="n">
        <v>381599</v>
      </c>
      <c r="G110" s="20" t="n">
        <v>526058</v>
      </c>
      <c r="H110" s="20" t="n">
        <v>-400086</v>
      </c>
      <c r="I110" s="20" t="n">
        <v>104309</v>
      </c>
      <c r="J110" s="20" t="n">
        <v>290550</v>
      </c>
      <c r="K110" s="20" t="n">
        <v>381599</v>
      </c>
      <c r="L110" s="20" t="n">
        <v>526058</v>
      </c>
    </row>
    <row r="111">
      <c r="A111" s="18" t="inlineStr">
        <is>
          <t>이익잉여금</t>
        </is>
      </c>
      <c r="C111" s="20" t="n">
        <v>3036905</v>
      </c>
      <c r="G111" s="20" t="n">
        <v>3213555</v>
      </c>
      <c r="H111" s="20" t="n">
        <v>2863843</v>
      </c>
      <c r="I111" s="20" t="n">
        <v>3089909</v>
      </c>
      <c r="J111" s="20" t="n">
        <v>3192323</v>
      </c>
      <c r="K111" s="20" t="n">
        <v>3036905</v>
      </c>
      <c r="L111" s="20" t="n">
        <v>3213555</v>
      </c>
    </row>
    <row r="112">
      <c r="A112" s="18" t="inlineStr">
        <is>
          <t>Equity Attributable To Owners Of Parent</t>
        </is>
      </c>
      <c r="C112" s="20" t="n">
        <v>3766623</v>
      </c>
      <c r="G112" s="20" t="n">
        <v>4086933</v>
      </c>
      <c r="H112" s="20" t="n">
        <v>2809258</v>
      </c>
      <c r="I112" s="20" t="n">
        <v>3540435</v>
      </c>
      <c r="J112" s="20" t="n">
        <v>3830156</v>
      </c>
      <c r="K112" s="20" t="n">
        <v>3766623</v>
      </c>
      <c r="L112" s="20" t="n">
        <v>4086933</v>
      </c>
    </row>
    <row r="113">
      <c r="A113" s="18" t="inlineStr">
        <is>
          <t>비지배지분</t>
        </is>
      </c>
      <c r="C113" s="20" t="n">
        <v>82104</v>
      </c>
      <c r="G113" s="20" t="n">
        <v>28456</v>
      </c>
      <c r="H113" s="20" t="n">
        <v>76823</v>
      </c>
      <c r="I113" s="20" t="n">
        <v>76326</v>
      </c>
      <c r="J113" s="20" t="n">
        <v>82336</v>
      </c>
      <c r="K113" s="20" t="n">
        <v>82104</v>
      </c>
      <c r="L113" s="20" t="n">
        <v>28456</v>
      </c>
    </row>
    <row r="114">
      <c r="A114" s="18" t="inlineStr">
        <is>
          <t>자본 합계</t>
        </is>
      </c>
      <c r="C114" s="20" t="n">
        <v>3848727</v>
      </c>
      <c r="G114" s="20" t="n">
        <v>4115389</v>
      </c>
      <c r="H114" s="20" t="n">
        <v>2886081</v>
      </c>
      <c r="I114" s="20" t="n">
        <v>3616761</v>
      </c>
      <c r="J114" s="20" t="n">
        <v>3912491</v>
      </c>
      <c r="K114" s="20" t="n">
        <v>3848727</v>
      </c>
      <c r="L114" s="20" t="n">
        <v>4115389</v>
      </c>
    </row>
    <row r="115">
      <c r="A115" s="18" t="inlineStr">
        <is>
          <t>부채및자본 합계</t>
        </is>
      </c>
      <c r="C115" s="20" t="n">
        <v>8370732</v>
      </c>
      <c r="G115" s="20" t="n">
        <v>8419240</v>
      </c>
      <c r="H115" s="20" t="n">
        <v>5774209</v>
      </c>
      <c r="I115" s="20" t="n">
        <v>6548078</v>
      </c>
      <c r="J115" s="20" t="n">
        <v>7282097</v>
      </c>
      <c r="K115" s="20" t="n">
        <v>8370732</v>
      </c>
      <c r="L115" s="20" t="n">
        <v>8419240</v>
      </c>
    </row>
    <row r="116">
      <c r="A116" s="18" t="inlineStr">
        <is>
          <t>현금 및 예금</t>
        </is>
      </c>
      <c r="C116" s="20" t="n">
        <v>205764</v>
      </c>
      <c r="G116" s="20" t="n">
        <v>252923</v>
      </c>
      <c r="H116" s="20" t="n">
        <v>238127</v>
      </c>
      <c r="I116" s="20" t="n">
        <v>193376</v>
      </c>
      <c r="J116" s="20" t="n">
        <v>177685</v>
      </c>
      <c r="K116" s="20" t="n">
        <v>205764</v>
      </c>
      <c r="L116" s="20" t="n">
        <v>252923</v>
      </c>
    </row>
    <row r="117">
      <c r="A117" s="18" t="inlineStr">
        <is>
          <t>유가증권</t>
        </is>
      </c>
      <c r="C117" s="20" t="n">
        <v>0</v>
      </c>
      <c r="G117" s="20" t="n">
        <v>21000</v>
      </c>
      <c r="H117" s="20" t="n">
        <v>20000</v>
      </c>
      <c r="I117" s="20" t="n">
        <v>18000</v>
      </c>
      <c r="J117" s="20" t="n">
        <v>0</v>
      </c>
      <c r="K117" s="20" t="n">
        <v>0</v>
      </c>
      <c r="L117" s="20" t="n">
        <v>21000</v>
      </c>
    </row>
    <row r="118">
      <c r="A118" s="18" t="inlineStr">
        <is>
          <t>매출채권</t>
        </is>
      </c>
      <c r="C118" s="20" t="n">
        <v>35420</v>
      </c>
      <c r="G118" s="20" t="n">
        <v>39953</v>
      </c>
      <c r="H118" s="20" t="n">
        <v>37614</v>
      </c>
      <c r="I118" s="20" t="n">
        <v>31739</v>
      </c>
      <c r="J118" s="20" t="n">
        <v>33949</v>
      </c>
      <c r="K118" s="20" t="n">
        <v>35420</v>
      </c>
      <c r="L118" s="20" t="n">
        <v>39953</v>
      </c>
    </row>
    <row r="119">
      <c r="A119" s="18" t="inlineStr">
        <is>
          <t>상품·제품</t>
        </is>
      </c>
      <c r="C119" s="20" t="n">
        <v>38813</v>
      </c>
      <c r="G119" s="20" t="n">
        <v>39084</v>
      </c>
      <c r="H119" s="20" t="n">
        <v>26768</v>
      </c>
      <c r="I119" s="20" t="n">
        <v>25424</v>
      </c>
      <c r="J119" s="20" t="n">
        <v>38008</v>
      </c>
      <c r="K119" s="20" t="n">
        <v>38813</v>
      </c>
      <c r="L119" s="20" t="n">
        <v>39084</v>
      </c>
    </row>
    <row r="120">
      <c r="A120" s="18" t="inlineStr">
        <is>
          <t>Semi Finished Goods</t>
        </is>
      </c>
      <c r="C120" s="20" t="n">
        <v>76050</v>
      </c>
      <c r="G120" s="20" t="n">
        <v>44220</v>
      </c>
      <c r="H120" s="20" t="n">
        <v>83612</v>
      </c>
      <c r="I120" s="20" t="n">
        <v>84534</v>
      </c>
      <c r="J120" s="20" t="n">
        <v>80783</v>
      </c>
      <c r="K120" s="20" t="n">
        <v>76050</v>
      </c>
      <c r="L120" s="20" t="n">
        <v>44220</v>
      </c>
    </row>
    <row r="121">
      <c r="A121" s="18" t="inlineStr">
        <is>
          <t>재공품</t>
        </is>
      </c>
      <c r="C121" s="20" t="n">
        <v>1726</v>
      </c>
      <c r="G121" s="20" t="n">
        <v>1644</v>
      </c>
      <c r="H121" s="20" t="n">
        <v>1725</v>
      </c>
      <c r="I121" s="20" t="n">
        <v>1815</v>
      </c>
      <c r="J121" s="20" t="n">
        <v>988</v>
      </c>
      <c r="K121" s="20" t="n">
        <v>1726</v>
      </c>
      <c r="L121" s="20" t="n">
        <v>1644</v>
      </c>
    </row>
    <row r="122">
      <c r="A122" s="18" t="inlineStr">
        <is>
          <t>원재료·저장품</t>
        </is>
      </c>
      <c r="C122" s="20" t="n">
        <v>42204</v>
      </c>
      <c r="G122" s="20" t="n">
        <v>38622</v>
      </c>
      <c r="H122" s="20" t="n">
        <v>29364</v>
      </c>
      <c r="I122" s="20" t="n">
        <v>32017</v>
      </c>
      <c r="J122" s="20" t="n">
        <v>38491</v>
      </c>
      <c r="K122" s="20" t="n">
        <v>42204</v>
      </c>
      <c r="L122" s="20" t="n">
        <v>38622</v>
      </c>
    </row>
    <row r="123">
      <c r="A123" s="18" t="inlineStr">
        <is>
          <t>선급금</t>
        </is>
      </c>
      <c r="C123" s="20" t="n">
        <v>1641</v>
      </c>
      <c r="G123" s="20" t="n">
        <v>2626</v>
      </c>
      <c r="H123" s="20" t="n">
        <v>1714</v>
      </c>
      <c r="I123" s="20" t="n">
        <v>2440</v>
      </c>
      <c r="J123" s="20" t="n">
        <v>400</v>
      </c>
      <c r="K123" s="20" t="n">
        <v>1641</v>
      </c>
      <c r="L123" s="20" t="n">
        <v>2626</v>
      </c>
    </row>
    <row r="124">
      <c r="A124" s="18" t="inlineStr">
        <is>
          <t>선급비용</t>
        </is>
      </c>
      <c r="C124" s="20" t="n">
        <v>5364</v>
      </c>
      <c r="G124" s="20" t="n">
        <v>3418</v>
      </c>
      <c r="H124" s="20" t="n">
        <v>5669</v>
      </c>
      <c r="I124" s="20" t="n">
        <v>5040</v>
      </c>
      <c r="J124" s="20" t="n">
        <v>6165</v>
      </c>
      <c r="K124" s="20" t="n">
        <v>5364</v>
      </c>
      <c r="L124" s="20" t="n">
        <v>3418</v>
      </c>
    </row>
    <row r="125">
      <c r="A125" s="18" t="inlineStr">
        <is>
          <t>관계회사 단기대여금</t>
        </is>
      </c>
      <c r="C125" s="20" t="n">
        <v>39264</v>
      </c>
      <c r="G125" s="20" t="n">
        <v>119092</v>
      </c>
      <c r="H125" s="20" t="n">
        <v>4967</v>
      </c>
      <c r="I125" s="20" t="n">
        <v>38649</v>
      </c>
      <c r="J125" s="20" t="n">
        <v>33831</v>
      </c>
      <c r="K125" s="20" t="n">
        <v>39264</v>
      </c>
      <c r="L125" s="20" t="n">
        <v>119092</v>
      </c>
    </row>
    <row r="126">
      <c r="A126" s="18" t="inlineStr">
        <is>
          <t>기타</t>
        </is>
      </c>
      <c r="C126" s="20" t="n">
        <v>33922</v>
      </c>
      <c r="G126" s="20" t="n">
        <v>31224</v>
      </c>
      <c r="H126" s="20" t="n">
        <v>18579</v>
      </c>
      <c r="I126" s="20" t="n">
        <v>26255</v>
      </c>
      <c r="J126" s="20" t="n">
        <v>15967</v>
      </c>
      <c r="K126" s="20" t="n">
        <v>33922</v>
      </c>
      <c r="L126" s="20" t="n">
        <v>31224</v>
      </c>
    </row>
    <row r="127">
      <c r="A127" s="18" t="inlineStr">
        <is>
          <t>대손충당금</t>
        </is>
      </c>
      <c r="C127" s="20" t="n">
        <v>-31</v>
      </c>
      <c r="G127" s="20" t="n">
        <v>-31</v>
      </c>
      <c r="H127" s="20" t="n">
        <v>-24</v>
      </c>
      <c r="I127" s="20" t="n">
        <v>-29</v>
      </c>
      <c r="J127" s="20" t="n">
        <v>-31</v>
      </c>
      <c r="K127" s="20" t="n">
        <v>-31</v>
      </c>
      <c r="L127" s="20" t="n">
        <v>-31</v>
      </c>
    </row>
    <row r="128">
      <c r="A128" s="9" t="inlineStr">
        <is>
          <t>유동자산 합계</t>
        </is>
      </c>
      <c r="C128" s="12" t="n">
        <v>480137</v>
      </c>
      <c r="G128" s="12" t="n">
        <v>593774</v>
      </c>
      <c r="H128" s="12" t="n">
        <v>468113</v>
      </c>
      <c r="I128" s="12" t="n">
        <v>459260</v>
      </c>
      <c r="J128" s="12" t="n">
        <v>426237</v>
      </c>
      <c r="K128" s="12" t="n">
        <v>480137</v>
      </c>
      <c r="L128" s="12" t="n">
        <v>593774</v>
      </c>
    </row>
    <row r="129">
      <c r="A129" s="18" t="inlineStr">
        <is>
          <t>건물</t>
        </is>
      </c>
      <c r="C129" s="20" t="n">
        <v>65106</v>
      </c>
      <c r="G129" s="20" t="n">
        <v>49966</v>
      </c>
      <c r="H129" s="20" t="n">
        <v>77170</v>
      </c>
      <c r="I129" s="20" t="n">
        <v>69893</v>
      </c>
      <c r="J129" s="20" t="n">
        <v>67108</v>
      </c>
      <c r="K129" s="20" t="n">
        <v>65106</v>
      </c>
      <c r="L129" s="20" t="n">
        <v>49966</v>
      </c>
    </row>
    <row r="130">
      <c r="A130" s="18" t="inlineStr">
        <is>
          <t>구축물</t>
        </is>
      </c>
      <c r="C130" s="20" t="n">
        <v>1849</v>
      </c>
      <c r="G130" s="20" t="n">
        <v>1641</v>
      </c>
      <c r="H130" s="20" t="n">
        <v>2404</v>
      </c>
      <c r="I130" s="20" t="n">
        <v>2066</v>
      </c>
      <c r="J130" s="20" t="n">
        <v>1891</v>
      </c>
      <c r="K130" s="20" t="n">
        <v>1849</v>
      </c>
      <c r="L130" s="20" t="n">
        <v>1641</v>
      </c>
    </row>
    <row r="131">
      <c r="A131" s="18" t="inlineStr">
        <is>
          <t>기계장치</t>
        </is>
      </c>
      <c r="C131" s="20" t="n">
        <v>28822</v>
      </c>
      <c r="G131" s="20" t="n">
        <v>37322</v>
      </c>
      <c r="H131" s="20" t="n">
        <v>41889</v>
      </c>
      <c r="I131" s="20" t="n">
        <v>34722</v>
      </c>
      <c r="J131" s="20" t="n">
        <v>27462</v>
      </c>
      <c r="K131" s="20" t="n">
        <v>28822</v>
      </c>
      <c r="L131" s="20" t="n">
        <v>37322</v>
      </c>
    </row>
    <row r="132">
      <c r="A132" s="18" t="inlineStr">
        <is>
          <t>차량운반구</t>
        </is>
      </c>
      <c r="C132" s="20" t="n">
        <v>961</v>
      </c>
      <c r="G132" s="20" t="n">
        <v>1277</v>
      </c>
      <c r="H132" s="20" t="n">
        <v>832</v>
      </c>
      <c r="I132" s="20" t="n">
        <v>536</v>
      </c>
      <c r="J132" s="20" t="n">
        <v>305</v>
      </c>
      <c r="K132" s="20" t="n">
        <v>961</v>
      </c>
      <c r="L132" s="20" t="n">
        <v>1277</v>
      </c>
    </row>
    <row r="133">
      <c r="A133" s="18" t="inlineStr">
        <is>
          <t>공구·기구·비품</t>
        </is>
      </c>
      <c r="C133" s="20" t="n">
        <v>12401</v>
      </c>
      <c r="G133" s="20" t="n">
        <v>11008</v>
      </c>
      <c r="H133" s="20" t="n">
        <v>11898</v>
      </c>
      <c r="I133" s="20" t="n">
        <v>9996</v>
      </c>
      <c r="J133" s="20" t="n">
        <v>9652</v>
      </c>
      <c r="K133" s="20" t="n">
        <v>12401</v>
      </c>
      <c r="L133" s="20" t="n">
        <v>11008</v>
      </c>
    </row>
    <row r="134">
      <c r="A134" s="18" t="inlineStr">
        <is>
          <t>토지</t>
        </is>
      </c>
      <c r="C134" s="20" t="n">
        <v>43669</v>
      </c>
      <c r="G134" s="20" t="n">
        <v>37449</v>
      </c>
      <c r="H134" s="20" t="n">
        <v>48113</v>
      </c>
      <c r="I134" s="20" t="n">
        <v>47298</v>
      </c>
      <c r="J134" s="20" t="n">
        <v>46171</v>
      </c>
      <c r="K134" s="20" t="n">
        <v>43669</v>
      </c>
      <c r="L134" s="20" t="n">
        <v>37449</v>
      </c>
    </row>
    <row r="135">
      <c r="A135" s="18" t="inlineStr">
        <is>
          <t>건설중인자산</t>
        </is>
      </c>
      <c r="C135" s="20" t="n">
        <v>6605</v>
      </c>
      <c r="G135" s="20" t="n">
        <v>5392</v>
      </c>
      <c r="H135" s="20" t="n">
        <v>384</v>
      </c>
      <c r="I135" s="20" t="n">
        <v>533</v>
      </c>
      <c r="J135" s="20" t="n">
        <v>5994</v>
      </c>
      <c r="K135" s="20" t="n">
        <v>6605</v>
      </c>
      <c r="L135" s="20" t="n">
        <v>5392</v>
      </c>
    </row>
    <row r="136">
      <c r="A136" s="18" t="inlineStr">
        <is>
          <t>유형자산 합계</t>
        </is>
      </c>
      <c r="C136" s="20" t="n">
        <v>159412</v>
      </c>
      <c r="G136" s="20" t="n">
        <v>144054</v>
      </c>
      <c r="H136" s="20" t="n">
        <v>182690</v>
      </c>
      <c r="I136" s="20" t="n">
        <v>165044</v>
      </c>
      <c r="J136" s="20" t="n">
        <v>158583</v>
      </c>
      <c r="K136" s="20" t="n">
        <v>159412</v>
      </c>
      <c r="L136" s="20" t="n">
        <v>144054</v>
      </c>
    </row>
    <row r="137">
      <c r="A137" s="18" t="inlineStr">
        <is>
          <t>Patent Right</t>
        </is>
      </c>
      <c r="H137" s="20" t="n">
        <v>91</v>
      </c>
      <c r="I137" s="20" t="n">
        <v>194</v>
      </c>
      <c r="J137" s="20" t="n">
        <v>163</v>
      </c>
    </row>
    <row r="138">
      <c r="A138" s="18" t="inlineStr">
        <is>
          <t>상표권</t>
        </is>
      </c>
      <c r="C138" s="20" t="n">
        <v>16422</v>
      </c>
      <c r="G138" s="20" t="n">
        <v>96</v>
      </c>
      <c r="H138" s="20" t="n">
        <v>65629</v>
      </c>
      <c r="I138" s="20" t="n">
        <v>49196</v>
      </c>
      <c r="J138" s="20" t="n">
        <v>32783</v>
      </c>
      <c r="K138" s="20" t="n">
        <v>16422</v>
      </c>
      <c r="L138" s="20" t="n">
        <v>96</v>
      </c>
    </row>
    <row r="139">
      <c r="A139" s="18" t="inlineStr">
        <is>
          <t>Software</t>
        </is>
      </c>
      <c r="C139" s="20" t="n">
        <v>16481</v>
      </c>
      <c r="G139" s="20" t="n">
        <v>14699</v>
      </c>
      <c r="H139" s="20" t="n">
        <v>14818</v>
      </c>
      <c r="I139" s="20" t="n">
        <v>11652</v>
      </c>
      <c r="J139" s="20" t="n">
        <v>8331</v>
      </c>
      <c r="K139" s="20" t="n">
        <v>16481</v>
      </c>
      <c r="L139" s="20" t="n">
        <v>14699</v>
      </c>
    </row>
    <row r="140">
      <c r="A140" s="18" t="inlineStr">
        <is>
          <t>영업권</t>
        </is>
      </c>
      <c r="C140" s="20" t="n">
        <v>35771</v>
      </c>
      <c r="G140" s="20" t="n">
        <v>0</v>
      </c>
      <c r="H140" s="20" t="n">
        <v>143084</v>
      </c>
      <c r="I140" s="20" t="n">
        <v>107313</v>
      </c>
      <c r="J140" s="20" t="n">
        <v>71542</v>
      </c>
      <c r="K140" s="20" t="n">
        <v>35771</v>
      </c>
      <c r="L140" s="20" t="n">
        <v>0</v>
      </c>
    </row>
    <row r="141">
      <c r="A141" s="18" t="inlineStr">
        <is>
          <t>기타</t>
        </is>
      </c>
      <c r="C141" s="20" t="n">
        <v>6831</v>
      </c>
      <c r="G141" s="20" t="n">
        <v>4670</v>
      </c>
      <c r="H141" s="20" t="n">
        <v>2834</v>
      </c>
      <c r="I141" s="20" t="n">
        <v>7337</v>
      </c>
      <c r="J141" s="20" t="n">
        <v>13830</v>
      </c>
      <c r="K141" s="20" t="n">
        <v>6831</v>
      </c>
      <c r="L141" s="20" t="n">
        <v>4670</v>
      </c>
    </row>
    <row r="142">
      <c r="A142" s="18" t="inlineStr">
        <is>
          <t>무형자산 합계</t>
        </is>
      </c>
      <c r="C142" s="20" t="n">
        <v>75505</v>
      </c>
      <c r="G142" s="20" t="n">
        <v>19464</v>
      </c>
      <c r="H142" s="20" t="n">
        <v>226457</v>
      </c>
      <c r="I142" s="20" t="n">
        <v>175692</v>
      </c>
      <c r="J142" s="20" t="n">
        <v>126487</v>
      </c>
      <c r="K142" s="20" t="n">
        <v>75505</v>
      </c>
      <c r="L142" s="20" t="n">
        <v>19464</v>
      </c>
    </row>
    <row r="143">
      <c r="A143" s="18" t="inlineStr">
        <is>
          <t>투자유가증권</t>
        </is>
      </c>
      <c r="C143" s="20" t="n">
        <v>21707</v>
      </c>
      <c r="G143" s="20" t="n">
        <v>22521</v>
      </c>
      <c r="H143" s="20" t="n">
        <v>19136</v>
      </c>
      <c r="I143" s="20" t="n">
        <v>22358</v>
      </c>
      <c r="J143" s="20" t="n">
        <v>21753</v>
      </c>
      <c r="K143" s="20" t="n">
        <v>21707</v>
      </c>
      <c r="L143" s="20" t="n">
        <v>22521</v>
      </c>
    </row>
    <row r="144">
      <c r="A144" s="18" t="inlineStr">
        <is>
          <t>관계회사 주식</t>
        </is>
      </c>
      <c r="C144" s="20" t="n">
        <v>1508834</v>
      </c>
      <c r="G144" s="20" t="n">
        <v>1652493</v>
      </c>
      <c r="H144" s="20" t="n">
        <v>1492833</v>
      </c>
      <c r="I144" s="20" t="n">
        <v>1495647</v>
      </c>
      <c r="J144" s="20" t="n">
        <v>1502043</v>
      </c>
      <c r="K144" s="20" t="n">
        <v>1508834</v>
      </c>
      <c r="L144" s="20" t="n">
        <v>1652493</v>
      </c>
    </row>
    <row r="145">
      <c r="A145" s="18" t="inlineStr">
        <is>
          <t>관계회사 장기대여금</t>
        </is>
      </c>
      <c r="C145" s="20" t="n">
        <v>5488</v>
      </c>
      <c r="G145" s="20" t="n">
        <v>269132</v>
      </c>
      <c r="H145" s="20" t="n">
        <v>51299</v>
      </c>
      <c r="I145" s="20" t="n">
        <v>6069</v>
      </c>
      <c r="J145" s="20" t="n">
        <v>5558</v>
      </c>
      <c r="K145" s="20" t="n">
        <v>5488</v>
      </c>
      <c r="L145" s="20" t="n">
        <v>269132</v>
      </c>
    </row>
    <row r="146">
      <c r="A146" s="18" t="inlineStr">
        <is>
          <t>장기선급비용</t>
        </is>
      </c>
      <c r="C146" s="20" t="n">
        <v>9714</v>
      </c>
      <c r="G146" s="20" t="n">
        <v>6794</v>
      </c>
      <c r="H146" s="20" t="n">
        <v>7881</v>
      </c>
      <c r="I146" s="20" t="n">
        <v>7335</v>
      </c>
      <c r="J146" s="20" t="n">
        <v>10593</v>
      </c>
      <c r="K146" s="20" t="n">
        <v>9714</v>
      </c>
      <c r="L146" s="20" t="n">
        <v>6794</v>
      </c>
    </row>
    <row r="147">
      <c r="A147" s="18" t="inlineStr">
        <is>
          <t>이연법인세자산</t>
        </is>
      </c>
      <c r="C147" s="20" t="n">
        <v>25981</v>
      </c>
      <c r="G147" s="20" t="n">
        <v>17266</v>
      </c>
      <c r="H147" s="20" t="n">
        <v>28751</v>
      </c>
      <c r="I147" s="20" t="n">
        <v>16987</v>
      </c>
      <c r="J147" s="20" t="n">
        <v>24694</v>
      </c>
      <c r="K147" s="20" t="n">
        <v>25981</v>
      </c>
      <c r="L147" s="20" t="n">
        <v>17266</v>
      </c>
    </row>
    <row r="148">
      <c r="A148" s="18" t="inlineStr">
        <is>
          <t>기타</t>
        </is>
      </c>
      <c r="C148" s="20" t="n">
        <v>17102</v>
      </c>
      <c r="G148" s="20" t="n">
        <v>16933</v>
      </c>
      <c r="H148" s="20" t="n">
        <v>14998</v>
      </c>
      <c r="I148" s="20" t="n">
        <v>15030</v>
      </c>
      <c r="J148" s="20" t="n">
        <v>18110</v>
      </c>
      <c r="K148" s="20" t="n">
        <v>17102</v>
      </c>
      <c r="L148" s="20" t="n">
        <v>16933</v>
      </c>
    </row>
    <row r="149">
      <c r="A149" s="18" t="inlineStr">
        <is>
          <t>대손충당금</t>
        </is>
      </c>
      <c r="C149" s="20" t="n">
        <v>-90</v>
      </c>
      <c r="G149" s="20" t="n">
        <v>-64</v>
      </c>
      <c r="H149" s="20" t="n">
        <v>-4179</v>
      </c>
      <c r="I149" s="20" t="n">
        <v>-154</v>
      </c>
      <c r="J149" s="20" t="n">
        <v>-108</v>
      </c>
      <c r="K149" s="20" t="n">
        <v>-90</v>
      </c>
      <c r="L149" s="20" t="n">
        <v>-64</v>
      </c>
    </row>
    <row r="150">
      <c r="A150" s="18" t="inlineStr">
        <is>
          <t>투자 및 기타자산 합계</t>
        </is>
      </c>
      <c r="C150" s="20" t="n">
        <v>1588735</v>
      </c>
      <c r="G150" s="20" t="n">
        <v>1985074</v>
      </c>
      <c r="H150" s="20" t="n">
        <v>1610719</v>
      </c>
      <c r="I150" s="20" t="n">
        <v>1563271</v>
      </c>
      <c r="J150" s="20" t="n">
        <v>1582644</v>
      </c>
      <c r="K150" s="20" t="n">
        <v>1588735</v>
      </c>
      <c r="L150" s="20" t="n">
        <v>1985074</v>
      </c>
    </row>
    <row r="151">
      <c r="A151" s="9" t="inlineStr">
        <is>
          <t>비유동자산 합계</t>
        </is>
      </c>
      <c r="C151" s="12" t="n">
        <v>1823652</v>
      </c>
      <c r="G151" s="12" t="n">
        <v>2148593</v>
      </c>
      <c r="H151" s="12" t="n">
        <v>2019866</v>
      </c>
      <c r="I151" s="12" t="n">
        <v>1904007</v>
      </c>
      <c r="J151" s="12" t="n">
        <v>1867714</v>
      </c>
      <c r="K151" s="12" t="n">
        <v>1823652</v>
      </c>
      <c r="L151" s="12" t="n">
        <v>2148593</v>
      </c>
    </row>
    <row r="152">
      <c r="A152" s="9" t="inlineStr">
        <is>
          <t>자산 합계</t>
        </is>
      </c>
      <c r="C152" s="12" t="n">
        <v>2303789</v>
      </c>
      <c r="G152" s="12" t="n">
        <v>2742366</v>
      </c>
      <c r="H152" s="12" t="n">
        <v>2487979</v>
      </c>
      <c r="I152" s="12" t="n">
        <v>2363267</v>
      </c>
      <c r="J152" s="12" t="n">
        <v>2293951</v>
      </c>
      <c r="K152" s="12" t="n">
        <v>2303789</v>
      </c>
      <c r="L152" s="12" t="n">
        <v>2742366</v>
      </c>
    </row>
    <row r="153">
      <c r="A153" s="18" t="inlineStr">
        <is>
          <t>매입채무</t>
        </is>
      </c>
      <c r="C153" s="20" t="n">
        <v>15261</v>
      </c>
      <c r="G153" s="20" t="n">
        <v>17001</v>
      </c>
      <c r="H153" s="20" t="n">
        <v>5675</v>
      </c>
      <c r="I153" s="20" t="n">
        <v>10445</v>
      </c>
      <c r="J153" s="20" t="n">
        <v>7279</v>
      </c>
      <c r="K153" s="20" t="n">
        <v>15261</v>
      </c>
      <c r="L153" s="20" t="n">
        <v>17001</v>
      </c>
    </row>
    <row r="154">
      <c r="A154" s="18" t="inlineStr">
        <is>
          <t>단기차입금</t>
        </is>
      </c>
      <c r="C154" s="20" t="n">
        <v>100000</v>
      </c>
      <c r="G154" s="20" t="n">
        <v>0</v>
      </c>
      <c r="I154" s="20" t="n">
        <v>0</v>
      </c>
      <c r="J154" s="20" t="n">
        <v>158000</v>
      </c>
      <c r="K154" s="20" t="n">
        <v>100000</v>
      </c>
      <c r="L154" s="20" t="n">
        <v>0</v>
      </c>
    </row>
    <row r="155">
      <c r="A155" s="18" t="inlineStr">
        <is>
          <t>1년 내 상환 사채</t>
        </is>
      </c>
      <c r="C155" s="20" t="n">
        <v>25000</v>
      </c>
      <c r="G155" s="20" t="n">
        <v>0</v>
      </c>
      <c r="H155" s="20" t="n">
        <v>30000</v>
      </c>
      <c r="I155" s="20" t="n">
        <v>60000</v>
      </c>
      <c r="J155" s="20" t="n">
        <v>0</v>
      </c>
      <c r="K155" s="20" t="n">
        <v>25000</v>
      </c>
      <c r="L155" s="20" t="n">
        <v>0</v>
      </c>
    </row>
    <row r="156">
      <c r="A156" s="18" t="inlineStr">
        <is>
          <t>1년 내 상환 장기차입금</t>
        </is>
      </c>
      <c r="C156" s="20" t="n">
        <v>0</v>
      </c>
      <c r="H156" s="20" t="n">
        <v>30000</v>
      </c>
      <c r="I156" s="20" t="n">
        <v>0</v>
      </c>
      <c r="J156" s="20" t="n">
        <v>20000</v>
      </c>
      <c r="K156" s="20" t="n">
        <v>0</v>
      </c>
    </row>
    <row r="157">
      <c r="A157" s="18" t="inlineStr">
        <is>
          <t>리스부채</t>
        </is>
      </c>
      <c r="C157" s="20" t="n">
        <v>182</v>
      </c>
      <c r="G157" s="20" t="n">
        <v>90</v>
      </c>
      <c r="H157" s="20" t="n">
        <v>2050</v>
      </c>
      <c r="I157" s="20" t="n">
        <v>230</v>
      </c>
      <c r="J157" s="20" t="n">
        <v>138</v>
      </c>
      <c r="K157" s="20" t="n">
        <v>182</v>
      </c>
      <c r="L157" s="20" t="n">
        <v>90</v>
      </c>
    </row>
    <row r="158">
      <c r="A158" s="18" t="inlineStr">
        <is>
          <t>미지급금</t>
        </is>
      </c>
      <c r="C158" s="20" t="n">
        <v>71164</v>
      </c>
      <c r="G158" s="20" t="n">
        <v>82268</v>
      </c>
      <c r="H158" s="20" t="n">
        <v>124329</v>
      </c>
      <c r="I158" s="20" t="n">
        <v>72620</v>
      </c>
      <c r="J158" s="20" t="n">
        <v>42765</v>
      </c>
      <c r="K158" s="20" t="n">
        <v>71164</v>
      </c>
      <c r="L158" s="20" t="n">
        <v>82268</v>
      </c>
    </row>
    <row r="159">
      <c r="A159" s="18" t="inlineStr">
        <is>
          <t>National Tobacco Excise Taxes Payable</t>
        </is>
      </c>
      <c r="C159" s="20" t="n">
        <v>66209</v>
      </c>
      <c r="G159" s="20" t="n">
        <v>66788</v>
      </c>
      <c r="H159" s="20" t="n">
        <v>69066</v>
      </c>
      <c r="I159" s="20" t="n">
        <v>72925</v>
      </c>
      <c r="J159" s="20" t="n">
        <v>70378</v>
      </c>
      <c r="K159" s="20" t="n">
        <v>66209</v>
      </c>
      <c r="L159" s="20" t="n">
        <v>66788</v>
      </c>
    </row>
    <row r="160">
      <c r="A160" s="18" t="inlineStr">
        <is>
          <t>National Tobacco Special Excise Taxes Payable</t>
        </is>
      </c>
      <c r="C160" s="20" t="n">
        <v>7982</v>
      </c>
      <c r="G160" s="20" t="n">
        <v>8052</v>
      </c>
      <c r="H160" s="20" t="n">
        <v>8298</v>
      </c>
      <c r="I160" s="20" t="n">
        <v>8791</v>
      </c>
      <c r="J160" s="20" t="n">
        <v>8484</v>
      </c>
      <c r="K160" s="20" t="n">
        <v>7982</v>
      </c>
      <c r="L160" s="20" t="n">
        <v>8052</v>
      </c>
    </row>
    <row r="161">
      <c r="A161" s="18" t="inlineStr">
        <is>
          <t>Local Tobacco Excise Taxes Payable</t>
        </is>
      </c>
      <c r="C161" s="20" t="n">
        <v>76693</v>
      </c>
      <c r="G161" s="20" t="n">
        <v>74945</v>
      </c>
      <c r="H161" s="20" t="n">
        <v>78114</v>
      </c>
      <c r="I161" s="20" t="n">
        <v>82013</v>
      </c>
      <c r="J161" s="20" t="n">
        <v>79077</v>
      </c>
      <c r="K161" s="20" t="n">
        <v>76693</v>
      </c>
      <c r="L161" s="20" t="n">
        <v>74945</v>
      </c>
    </row>
    <row r="162">
      <c r="A162" s="18" t="inlineStr">
        <is>
          <t>미지급법인세</t>
        </is>
      </c>
      <c r="C162" s="20" t="n">
        <v>1330</v>
      </c>
      <c r="G162" s="20" t="n">
        <v>1446</v>
      </c>
      <c r="H162" s="20" t="n">
        <v>10910</v>
      </c>
      <c r="I162" s="20" t="n">
        <v>1863</v>
      </c>
      <c r="J162" s="20" t="n">
        <v>5624</v>
      </c>
      <c r="K162" s="20" t="n">
        <v>1330</v>
      </c>
      <c r="L162" s="20" t="n">
        <v>1446</v>
      </c>
    </row>
    <row r="163">
      <c r="A163" s="18" t="inlineStr">
        <is>
          <t>미지급 소비세</t>
        </is>
      </c>
      <c r="C163" s="20" t="n">
        <v>26994</v>
      </c>
      <c r="G163" s="20" t="n">
        <v>25705</v>
      </c>
      <c r="H163" s="20" t="n">
        <v>30596</v>
      </c>
      <c r="I163" s="20" t="n">
        <v>28711</v>
      </c>
      <c r="J163" s="20" t="n">
        <v>27323</v>
      </c>
      <c r="K163" s="20" t="n">
        <v>26994</v>
      </c>
      <c r="L163" s="20" t="n">
        <v>25705</v>
      </c>
    </row>
    <row r="164">
      <c r="A164" s="18" t="inlineStr">
        <is>
          <t>Cash Management System Deposits Received CL</t>
        </is>
      </c>
      <c r="C164" s="20" t="n">
        <v>292571</v>
      </c>
      <c r="G164" s="20" t="n">
        <v>275181</v>
      </c>
      <c r="H164" s="20" t="n">
        <v>360786</v>
      </c>
      <c r="I164" s="20" t="n">
        <v>318412</v>
      </c>
      <c r="J164" s="20" t="n">
        <v>300833</v>
      </c>
      <c r="K164" s="20" t="n">
        <v>292571</v>
      </c>
      <c r="L164" s="20" t="n">
        <v>275181</v>
      </c>
    </row>
    <row r="165">
      <c r="A165" s="18" t="inlineStr">
        <is>
          <t>상여충당금</t>
        </is>
      </c>
      <c r="C165" s="20" t="n">
        <v>13396</v>
      </c>
      <c r="G165" s="20" t="n">
        <v>13843</v>
      </c>
      <c r="H165" s="20" t="n">
        <v>5898</v>
      </c>
      <c r="I165" s="20" t="n">
        <v>5675</v>
      </c>
      <c r="J165" s="20" t="n">
        <v>5498</v>
      </c>
      <c r="K165" s="20" t="n">
        <v>13396</v>
      </c>
      <c r="L165" s="20" t="n">
        <v>13843</v>
      </c>
    </row>
    <row r="166">
      <c r="A166" s="18" t="inlineStr">
        <is>
          <t>Other Provision CL</t>
        </is>
      </c>
      <c r="C166" s="20" t="n">
        <v>3471</v>
      </c>
      <c r="G166" s="20" t="n">
        <v>1379</v>
      </c>
      <c r="I166" s="20" t="n">
        <v>0</v>
      </c>
      <c r="J166" s="20" t="n">
        <v>1331</v>
      </c>
      <c r="K166" s="20" t="n">
        <v>3471</v>
      </c>
      <c r="L166" s="20" t="n">
        <v>1379</v>
      </c>
    </row>
    <row r="167">
      <c r="A167" s="18" t="inlineStr">
        <is>
          <t>기타</t>
        </is>
      </c>
      <c r="C167" s="20" t="n">
        <v>53561</v>
      </c>
      <c r="G167" s="20" t="n">
        <v>58338</v>
      </c>
      <c r="H167" s="20" t="n">
        <v>11584</v>
      </c>
      <c r="I167" s="20" t="n">
        <v>20565</v>
      </c>
      <c r="J167" s="20" t="n">
        <v>28933</v>
      </c>
      <c r="K167" s="20" t="n">
        <v>53561</v>
      </c>
      <c r="L167" s="20" t="n">
        <v>58338</v>
      </c>
    </row>
    <row r="168">
      <c r="A168" s="9" t="inlineStr">
        <is>
          <t>유동부채 합계</t>
        </is>
      </c>
      <c r="C168" s="12" t="n">
        <v>753816</v>
      </c>
      <c r="G168" s="12" t="n">
        <v>625035</v>
      </c>
      <c r="H168" s="12" t="n">
        <v>767305</v>
      </c>
      <c r="I168" s="12" t="n">
        <v>682250</v>
      </c>
      <c r="J168" s="12" t="n">
        <v>755663</v>
      </c>
      <c r="K168" s="12" t="n">
        <v>753816</v>
      </c>
      <c r="L168" s="12" t="n">
        <v>625035</v>
      </c>
    </row>
    <row r="169">
      <c r="A169" s="18" t="inlineStr">
        <is>
          <t>사채</t>
        </is>
      </c>
      <c r="C169" s="20" t="n">
        <v>100000</v>
      </c>
      <c r="G169" s="20" t="n">
        <v>559543</v>
      </c>
      <c r="H169" s="20" t="n">
        <v>125000</v>
      </c>
      <c r="I169" s="20" t="n">
        <v>65000</v>
      </c>
      <c r="J169" s="20" t="n">
        <v>125000</v>
      </c>
      <c r="K169" s="20" t="n">
        <v>100000</v>
      </c>
      <c r="L169" s="20" t="n">
        <v>559543</v>
      </c>
    </row>
    <row r="170">
      <c r="A170" s="18" t="inlineStr">
        <is>
          <t>장기차입금</t>
        </is>
      </c>
      <c r="C170" s="20" t="n">
        <v>120000</v>
      </c>
      <c r="G170" s="20" t="n">
        <v>120000</v>
      </c>
      <c r="H170" s="20" t="n">
        <v>140000</v>
      </c>
      <c r="I170" s="20" t="n">
        <v>140000</v>
      </c>
      <c r="J170" s="20" t="n">
        <v>120000</v>
      </c>
      <c r="K170" s="20" t="n">
        <v>120000</v>
      </c>
      <c r="L170" s="20" t="n">
        <v>120000</v>
      </c>
    </row>
    <row r="171">
      <c r="A171" s="18" t="inlineStr">
        <is>
          <t>리스부채</t>
        </is>
      </c>
      <c r="C171" s="20" t="n">
        <v>616</v>
      </c>
      <c r="G171" s="20" t="n">
        <v>955</v>
      </c>
      <c r="H171" s="20" t="n">
        <v>3061</v>
      </c>
      <c r="I171" s="20" t="n">
        <v>152</v>
      </c>
      <c r="J171" s="20" t="n">
        <v>45</v>
      </c>
      <c r="K171" s="20" t="n">
        <v>616</v>
      </c>
      <c r="L171" s="20" t="n">
        <v>955</v>
      </c>
    </row>
    <row r="172">
      <c r="A172" s="18" t="inlineStr">
        <is>
          <t>퇴직급여충당금</t>
        </is>
      </c>
      <c r="C172" s="20" t="n">
        <v>98521</v>
      </c>
      <c r="G172" s="20" t="n">
        <v>86089</v>
      </c>
      <c r="H172" s="20" t="n">
        <v>102960</v>
      </c>
      <c r="I172" s="20" t="n">
        <v>101421</v>
      </c>
      <c r="J172" s="20" t="n">
        <v>101387</v>
      </c>
      <c r="K172" s="20" t="n">
        <v>98521</v>
      </c>
      <c r="L172" s="20" t="n">
        <v>86089</v>
      </c>
    </row>
    <row r="173">
      <c r="A173" s="18" t="inlineStr">
        <is>
          <t>장기 미지급 법인세</t>
        </is>
      </c>
      <c r="C173" s="20" t="n">
        <v>0</v>
      </c>
      <c r="G173" s="20" t="n">
        <v>936</v>
      </c>
      <c r="K173" s="20" t="n">
        <v>0</v>
      </c>
      <c r="L173" s="20" t="n">
        <v>936</v>
      </c>
    </row>
    <row r="174">
      <c r="A174" s="18" t="inlineStr">
        <is>
          <t>기타</t>
        </is>
      </c>
      <c r="C174" s="20" t="n">
        <v>15943</v>
      </c>
      <c r="G174" s="20" t="n">
        <v>11424</v>
      </c>
      <c r="H174" s="20" t="n">
        <v>4957</v>
      </c>
      <c r="I174" s="20" t="n">
        <v>5800</v>
      </c>
      <c r="J174" s="20" t="n">
        <v>12278</v>
      </c>
      <c r="K174" s="20" t="n">
        <v>15943</v>
      </c>
      <c r="L174" s="20" t="n">
        <v>11424</v>
      </c>
    </row>
    <row r="175">
      <c r="A175" s="9" t="inlineStr">
        <is>
          <t>비유동부채 합계</t>
        </is>
      </c>
      <c r="C175" s="12" t="n">
        <v>335079</v>
      </c>
      <c r="G175" s="12" t="n">
        <v>778948</v>
      </c>
      <c r="H175" s="12" t="n">
        <v>375978</v>
      </c>
      <c r="I175" s="12" t="n">
        <v>312374</v>
      </c>
      <c r="J175" s="12" t="n">
        <v>358711</v>
      </c>
      <c r="K175" s="12" t="n">
        <v>335079</v>
      </c>
      <c r="L175" s="12" t="n">
        <v>778948</v>
      </c>
    </row>
    <row r="176">
      <c r="A176" s="9" t="inlineStr">
        <is>
          <t>부채 합계</t>
        </is>
      </c>
      <c r="C176" s="12" t="n">
        <v>1088895</v>
      </c>
      <c r="G176" s="12" t="n">
        <v>1403983</v>
      </c>
      <c r="H176" s="12" t="n">
        <v>1143283</v>
      </c>
      <c r="I176" s="12" t="n">
        <v>994623</v>
      </c>
      <c r="J176" s="12" t="n">
        <v>1114374</v>
      </c>
      <c r="K176" s="12" t="n">
        <v>1088895</v>
      </c>
      <c r="L176" s="12" t="n">
        <v>1403983</v>
      </c>
    </row>
    <row r="177">
      <c r="A177" s="18" t="inlineStr">
        <is>
          <t>자본금</t>
        </is>
      </c>
      <c r="C177" s="20" t="n">
        <v>100000</v>
      </c>
      <c r="G177" s="20" t="n">
        <v>100000</v>
      </c>
      <c r="H177" s="20" t="n">
        <v>100000</v>
      </c>
      <c r="I177" s="20" t="n">
        <v>100000</v>
      </c>
      <c r="J177" s="20" t="n">
        <v>100000</v>
      </c>
      <c r="K177" s="20" t="n">
        <v>100000</v>
      </c>
      <c r="L177" s="20" t="n">
        <v>100000</v>
      </c>
    </row>
    <row r="178">
      <c r="A178" s="18" t="inlineStr">
        <is>
          <t>자본준비금</t>
        </is>
      </c>
      <c r="C178" s="20" t="n">
        <v>636400</v>
      </c>
      <c r="G178" s="20" t="n">
        <v>636400</v>
      </c>
      <c r="H178" s="20" t="n">
        <v>736400</v>
      </c>
      <c r="I178" s="20" t="n">
        <v>736400</v>
      </c>
      <c r="J178" s="20" t="n">
        <v>736400</v>
      </c>
      <c r="K178" s="20" t="n">
        <v>636400</v>
      </c>
      <c r="L178" s="20" t="n">
        <v>636400</v>
      </c>
    </row>
    <row r="179">
      <c r="A179" s="18" t="inlineStr">
        <is>
          <t>기타자본잉여금</t>
        </is>
      </c>
      <c r="C179" s="20" t="n">
        <v>100297</v>
      </c>
      <c r="G179" s="20" t="n">
        <v>100664</v>
      </c>
      <c r="I179" s="20" t="n">
        <v>0</v>
      </c>
      <c r="J179" s="20" t="n">
        <v>78</v>
      </c>
      <c r="K179" s="20" t="n">
        <v>100297</v>
      </c>
      <c r="L179" s="20" t="n">
        <v>100664</v>
      </c>
    </row>
    <row r="180">
      <c r="A180" s="18" t="inlineStr">
        <is>
          <t>자본잉여금 합계</t>
        </is>
      </c>
      <c r="C180" s="20" t="n">
        <v>736697</v>
      </c>
      <c r="G180" s="20" t="n">
        <v>737064</v>
      </c>
      <c r="H180" s="20" t="n">
        <v>736400</v>
      </c>
      <c r="I180" s="20" t="n">
        <v>736400</v>
      </c>
      <c r="J180" s="20" t="n">
        <v>736478</v>
      </c>
      <c r="K180" s="20" t="n">
        <v>736697</v>
      </c>
      <c r="L180" s="20" t="n">
        <v>737064</v>
      </c>
    </row>
    <row r="181">
      <c r="A181" s="18" t="inlineStr">
        <is>
          <t>이익준비금</t>
        </is>
      </c>
      <c r="C181" s="20" t="n">
        <v>18776</v>
      </c>
      <c r="G181" s="20" t="n">
        <v>18776</v>
      </c>
      <c r="H181" s="20" t="n">
        <v>18776</v>
      </c>
      <c r="I181" s="20" t="n">
        <v>18776</v>
      </c>
      <c r="J181" s="20" t="n">
        <v>18776</v>
      </c>
      <c r="K181" s="20" t="n">
        <v>18776</v>
      </c>
      <c r="L181" s="20" t="n">
        <v>18776</v>
      </c>
    </row>
    <row r="182">
      <c r="A182" s="18" t="inlineStr">
        <is>
          <t>Reserve For Investment Loss On Developing New Business</t>
        </is>
      </c>
      <c r="C182" s="20" t="n">
        <v>243</v>
      </c>
      <c r="G182" s="20" t="n">
        <v>223</v>
      </c>
      <c r="H182" s="20" t="n">
        <v>356</v>
      </c>
      <c r="I182" s="20" t="n">
        <v>331</v>
      </c>
      <c r="J182" s="20" t="n">
        <v>326</v>
      </c>
      <c r="K182" s="20" t="n">
        <v>243</v>
      </c>
      <c r="L182" s="20" t="n">
        <v>223</v>
      </c>
    </row>
    <row r="183">
      <c r="A183" s="18" t="inlineStr">
        <is>
          <t>Reserve For Reduction Entry1</t>
        </is>
      </c>
      <c r="C183" s="20" t="n">
        <v>31382</v>
      </c>
      <c r="G183" s="20" t="n">
        <v>22486</v>
      </c>
      <c r="H183" s="20" t="n">
        <v>37715</v>
      </c>
      <c r="I183" s="20" t="n">
        <v>34780</v>
      </c>
      <c r="J183" s="20" t="n">
        <v>32922</v>
      </c>
      <c r="K183" s="20" t="n">
        <v>31382</v>
      </c>
      <c r="L183" s="20" t="n">
        <v>22486</v>
      </c>
    </row>
    <row r="184">
      <c r="A184" s="18" t="inlineStr">
        <is>
          <t>Special Account For Reduction Entry</t>
        </is>
      </c>
      <c r="C184" s="20" t="n">
        <v>877</v>
      </c>
      <c r="G184" s="20" t="n">
        <v>822</v>
      </c>
      <c r="H184" s="20" t="n">
        <v>425</v>
      </c>
      <c r="I184" s="20" t="n">
        <v>574</v>
      </c>
      <c r="J184" s="20" t="n">
        <v>914</v>
      </c>
      <c r="K184" s="20" t="n">
        <v>877</v>
      </c>
      <c r="L184" s="20" t="n">
        <v>822</v>
      </c>
    </row>
    <row r="185">
      <c r="A185" s="18" t="inlineStr">
        <is>
          <t>이월이익잉여금</t>
        </is>
      </c>
      <c r="C185" s="20" t="n">
        <v>831979</v>
      </c>
      <c r="G185" s="20" t="n">
        <v>975733</v>
      </c>
      <c r="H185" s="20" t="n">
        <v>935204</v>
      </c>
      <c r="I185" s="20" t="n">
        <v>956333</v>
      </c>
      <c r="J185" s="20" t="n">
        <v>775229</v>
      </c>
      <c r="K185" s="20" t="n">
        <v>831979</v>
      </c>
      <c r="L185" s="20" t="n">
        <v>975733</v>
      </c>
    </row>
    <row r="186">
      <c r="A186" s="18" t="inlineStr">
        <is>
          <t>이익잉여금 합계</t>
        </is>
      </c>
      <c r="C186" s="20" t="n">
        <v>883256</v>
      </c>
      <c r="G186" s="20" t="n">
        <v>1018039</v>
      </c>
      <c r="H186" s="20" t="n">
        <v>992476</v>
      </c>
      <c r="I186" s="20" t="n">
        <v>1010794</v>
      </c>
      <c r="J186" s="20" t="n">
        <v>828167</v>
      </c>
      <c r="K186" s="20" t="n">
        <v>883256</v>
      </c>
      <c r="L186" s="20" t="n">
        <v>1018039</v>
      </c>
    </row>
    <row r="187">
      <c r="A187" s="18" t="inlineStr">
        <is>
          <t>자기주식</t>
        </is>
      </c>
      <c r="C187" s="20" t="n">
        <v>-488579</v>
      </c>
      <c r="G187" s="20" t="n">
        <v>-488124</v>
      </c>
      <c r="H187" s="20" t="n">
        <v>-490899</v>
      </c>
      <c r="I187" s="20" t="n">
        <v>-490183</v>
      </c>
      <c r="J187" s="20" t="n">
        <v>-489194</v>
      </c>
      <c r="K187" s="20" t="n">
        <v>-488579</v>
      </c>
      <c r="L187" s="20" t="n">
        <v>-488124</v>
      </c>
    </row>
    <row r="188">
      <c r="A188" s="9" t="inlineStr">
        <is>
          <t>주주자본 합계</t>
        </is>
      </c>
      <c r="C188" s="12" t="n">
        <v>1231375</v>
      </c>
      <c r="G188" s="12" t="n">
        <v>1366980</v>
      </c>
      <c r="H188" s="12" t="n">
        <v>1337977</v>
      </c>
      <c r="I188" s="12" t="n">
        <v>1357011</v>
      </c>
      <c r="J188" s="12" t="n">
        <v>1175451</v>
      </c>
      <c r="K188" s="12" t="n">
        <v>1231375</v>
      </c>
      <c r="L188" s="12" t="n">
        <v>1366980</v>
      </c>
    </row>
    <row r="189">
      <c r="A189" s="18" t="inlineStr">
        <is>
          <t>기타유가증권 평가차액</t>
        </is>
      </c>
      <c r="C189" s="20" t="n">
        <v>7052</v>
      </c>
      <c r="G189" s="20" t="n">
        <v>6503</v>
      </c>
      <c r="H189" s="20" t="n">
        <v>5833</v>
      </c>
      <c r="I189" s="20" t="n">
        <v>6903</v>
      </c>
      <c r="J189" s="20" t="n">
        <v>6545</v>
      </c>
      <c r="K189" s="20" t="n">
        <v>7052</v>
      </c>
      <c r="L189" s="20" t="n">
        <v>6503</v>
      </c>
    </row>
    <row r="190">
      <c r="A190" s="18" t="inlineStr">
        <is>
          <t>이연헤지손익</t>
        </is>
      </c>
      <c r="C190" s="20" t="n">
        <v>-23896</v>
      </c>
      <c r="G190" s="20" t="n">
        <v>-35389</v>
      </c>
      <c r="H190" s="20" t="n">
        <v>-316</v>
      </c>
      <c r="I190" s="20" t="n">
        <v>3728</v>
      </c>
      <c r="J190" s="20" t="n">
        <v>-2975</v>
      </c>
      <c r="K190" s="20" t="n">
        <v>-23896</v>
      </c>
      <c r="L190" s="20" t="n">
        <v>-35389</v>
      </c>
    </row>
    <row r="191">
      <c r="A191" s="18" t="inlineStr">
        <is>
          <t>평가·환산차액 합계</t>
        </is>
      </c>
      <c r="C191" s="20" t="n">
        <v>-16844</v>
      </c>
      <c r="G191" s="20" t="n">
        <v>-28887</v>
      </c>
      <c r="H191" s="20" t="n">
        <v>5517</v>
      </c>
      <c r="I191" s="20" t="n">
        <v>10631</v>
      </c>
      <c r="J191" s="20" t="n">
        <v>3569</v>
      </c>
      <c r="K191" s="20" t="n">
        <v>-16844</v>
      </c>
      <c r="L191" s="20" t="n">
        <v>-28887</v>
      </c>
    </row>
    <row r="192">
      <c r="A192" s="18" t="inlineStr">
        <is>
          <t>신주예약권</t>
        </is>
      </c>
      <c r="C192" s="20" t="n">
        <v>364</v>
      </c>
      <c r="G192" s="20" t="n">
        <v>291</v>
      </c>
      <c r="H192" s="20" t="n">
        <v>1202</v>
      </c>
      <c r="I192" s="20" t="n">
        <v>1001</v>
      </c>
      <c r="J192" s="20" t="n">
        <v>557</v>
      </c>
      <c r="K192" s="20" t="n">
        <v>364</v>
      </c>
      <c r="L192" s="20" t="n">
        <v>291</v>
      </c>
    </row>
    <row r="193">
      <c r="A193" s="9" t="inlineStr">
        <is>
          <t>순자산 합계</t>
        </is>
      </c>
      <c r="C193" s="12" t="n">
        <v>1214895</v>
      </c>
      <c r="G193" s="12" t="n">
        <v>1338384</v>
      </c>
      <c r="H193" s="12" t="n">
        <v>1344696</v>
      </c>
      <c r="I193" s="12" t="n">
        <v>1368643</v>
      </c>
      <c r="J193" s="12" t="n">
        <v>1179577</v>
      </c>
      <c r="K193" s="12" t="n">
        <v>1214895</v>
      </c>
      <c r="L193" s="12" t="n">
        <v>1338384</v>
      </c>
    </row>
    <row r="194">
      <c r="A194" s="9" t="inlineStr">
        <is>
          <t>부채·순자산 합계</t>
        </is>
      </c>
      <c r="C194" s="12" t="n">
        <v>2303789</v>
      </c>
      <c r="G194" s="12" t="n">
        <v>2742366</v>
      </c>
      <c r="H194" s="12" t="n">
        <v>2487979</v>
      </c>
      <c r="I194" s="12" t="n">
        <v>2363267</v>
      </c>
      <c r="J194" s="12" t="n">
        <v>2293951</v>
      </c>
      <c r="K194" s="12" t="n">
        <v>2303789</v>
      </c>
      <c r="L194" s="12" t="n">
        <v>2742366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2026-02-12</t>
        </is>
      </c>
      <c r="B4" t="inlineStr">
        <is>
          <t>2025년 12월 결산기 연간 결산단신</t>
        </is>
      </c>
      <c r="C4" t="inlineStr">
        <is>
          <t>https://www2.jpx.co.jp/disc/29140/140120260212555840.pdf</t>
        </is>
      </c>
    </row>
    <row r="5">
      <c r="A5" t="inlineStr">
        <is>
          <t>2025-02-13</t>
        </is>
      </c>
      <c r="B5" t="inlineStr">
        <is>
          <t>2024년 12월 결산기 연간 결산단신</t>
        </is>
      </c>
      <c r="C5" t="inlineStr">
        <is>
          <t>https://www2.jpx.co.jp/disc/29140/140120250212569311.pdf</t>
        </is>
      </c>
    </row>
    <row r="6">
      <c r="A6" t="inlineStr">
        <is>
          <t>2024-02-13</t>
        </is>
      </c>
      <c r="B6" t="inlineStr">
        <is>
          <t>2023년 12월 결산기 연간 결산단신</t>
        </is>
      </c>
      <c r="C6" t="inlineStr">
        <is>
          <t>https://www2.jpx.co.jp/disc/29140/140120240212533028.pdf</t>
        </is>
      </c>
    </row>
    <row r="7">
      <c r="A7" t="inlineStr">
        <is>
          <t>2023-02-14</t>
        </is>
      </c>
      <c r="B7" t="inlineStr">
        <is>
          <t>2022년 12월 결산기 연간 결산단신</t>
        </is>
      </c>
      <c r="C7" t="inlineStr">
        <is>
          <t>https://www2.jpx.co.jp/disc/29140/140120230214510677.pdf</t>
        </is>
      </c>
    </row>
    <row r="8">
      <c r="A8" t="inlineStr">
        <is>
          <t>2022-02-14</t>
        </is>
      </c>
      <c r="B8" t="inlineStr">
        <is>
          <t>2021년 12월 결산기 연간 결산단신</t>
        </is>
      </c>
      <c r="C8" t="inlineStr">
        <is>
          <t>https://www2.jpx.co.jp/disc/29140/140120220127573828.pdf</t>
        </is>
      </c>
    </row>
    <row r="9">
      <c r="A9" t="inlineStr">
        <is>
          <t>2021-02-09</t>
        </is>
      </c>
      <c r="B9" t="inlineStr">
        <is>
          <t>2020년 12월 결산기 연간 결산단신</t>
        </is>
      </c>
      <c r="C9" t="inlineStr">
        <is>
          <t>https://www2.jpx.co.jp/disc/29140/140120210208458789.pdf</t>
        </is>
      </c>
    </row>
    <row r="10">
      <c r="A10" t="inlineStr">
        <is>
          <t>2020-02-06</t>
        </is>
      </c>
      <c r="B10" t="inlineStr">
        <is>
          <t>2019년 12월 결산기 연간 결산단신</t>
        </is>
      </c>
      <c r="C10" t="inlineStr">
        <is>
          <t>https://www2.jpx.co.jp/disc/29140/140120200205458256.pdf</t>
        </is>
      </c>
    </row>
    <row r="11">
      <c r="A11" t="inlineStr">
        <is>
          <t>2019-02-07</t>
        </is>
      </c>
      <c r="B11" t="inlineStr">
        <is>
          <t>연간 결산단신</t>
        </is>
      </c>
      <c r="C11" t="inlineStr">
        <is>
          <t>https://www2.jpx.co.jp/disc/29140/140120190207471729.pdf</t>
        </is>
      </c>
    </row>
    <row r="12">
      <c r="A12" t="inlineStr">
        <is>
          <t>2018-02-06</t>
        </is>
      </c>
      <c r="B12" t="inlineStr">
        <is>
          <t>연간 결산단신</t>
        </is>
      </c>
      <c r="C12" t="inlineStr">
        <is>
          <t>https://www2.jpx.co.jp/disc/29140/140120171120421896.pdf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2026-10-25T15:21:11Z</dcterms:created>
  <dcterms:modified xmlns:dcterms="http://purl.org/dc/terms/" xmlns:xsi="http://www.w3.org/2001/XMLSchema-instance" xsi:type="dcterms:W3CDTF">2026-10-25T15:21:12Z</dcterms:modified>
</cp:coreProperties>
</file>