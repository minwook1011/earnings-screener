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산키서비스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5월 결산 · 일본 기준 · 2027.1Q = 2027년 5월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5069.553</v>
      </c>
      <c r="D4" s="12" t="n">
        <v>4495.955</v>
      </c>
      <c r="E4" s="12" t="n">
        <v>5328.078</v>
      </c>
      <c r="F4" s="12" t="n">
        <v>4122.481</v>
      </c>
      <c r="G4" s="12" t="n">
        <v>5409.129</v>
      </c>
      <c r="H4" s="12" t="n">
        <v>4677.838</v>
      </c>
      <c r="I4" s="12" t="n">
        <v>6426.624</v>
      </c>
      <c r="J4" s="12" t="n">
        <v>5956.904</v>
      </c>
      <c r="K4" s="12" t="n">
        <v>5969.503</v>
      </c>
      <c r="L4" s="12" t="n">
        <v>6001.919</v>
      </c>
      <c r="M4" s="12" t="n">
        <v>6325.128</v>
      </c>
      <c r="N4" s="12" t="n">
        <v>6761.48</v>
      </c>
      <c r="O4" s="11" t="n">
        <v>8777.946</v>
      </c>
      <c r="P4" s="12" t="n">
        <v>11148.841</v>
      </c>
      <c r="Q4" s="12" t="n">
        <v>11050.444</v>
      </c>
      <c r="R4" s="12" t="n">
        <v>11679.18</v>
      </c>
      <c r="S4" s="12" t="n">
        <v>11525.334</v>
      </c>
      <c r="T4" s="12" t="n">
        <v>11581.813</v>
      </c>
      <c r="U4" s="12" t="n">
        <v>14733.528</v>
      </c>
      <c r="V4" s="12" t="n">
        <v>19430.983</v>
      </c>
      <c r="W4" s="12" t="n">
        <v>20636.072</v>
      </c>
      <c r="X4" s="12" t="n">
        <v>24253.454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MentenansReportableSegmentMember</t>
        </is>
      </c>
      <c r="B7" s="10" t="n"/>
      <c r="C7" s="19" t="n">
        <v>4574.927</v>
      </c>
      <c r="D7" s="20" t="n">
        <v>4037.523</v>
      </c>
      <c r="E7" s="20" t="n">
        <v>4746.18</v>
      </c>
      <c r="F7" s="20" t="n">
        <v>3803.708</v>
      </c>
      <c r="G7" s="20" t="n">
        <v>5040.332</v>
      </c>
      <c r="H7" s="20" t="n">
        <v>4109.043</v>
      </c>
      <c r="I7" s="20" t="n">
        <v>5620.271</v>
      </c>
      <c r="J7" s="20" t="n">
        <v>5285.034</v>
      </c>
      <c r="K7" s="20" t="n">
        <v>5292.249</v>
      </c>
      <c r="L7" s="20" t="n">
        <v>5277.874</v>
      </c>
      <c r="M7" s="20" t="n">
        <v>5814.843</v>
      </c>
      <c r="N7" s="20" t="n">
        <v>6146.709</v>
      </c>
      <c r="O7" s="19" t="n"/>
      <c r="P7" s="20" t="n"/>
      <c r="Q7" s="20" t="n"/>
      <c r="R7" s="20" t="n"/>
      <c r="S7" s="20" t="n"/>
      <c r="T7" s="20" t="n"/>
      <c r="U7" s="20" t="n"/>
      <c r="V7" s="20" t="n">
        <v>17459.021</v>
      </c>
      <c r="W7" s="20" t="n">
        <v>18573.354</v>
      </c>
      <c r="X7" s="20" t="n">
        <v>21670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ServiseReportableSegmentMember</t>
        </is>
      </c>
      <c r="B10" s="10" t="n"/>
      <c r="C10" s="19" t="n">
        <v>494.625</v>
      </c>
      <c r="D10" s="20" t="n">
        <v>458.432</v>
      </c>
      <c r="E10" s="20" t="n">
        <v>581.898</v>
      </c>
      <c r="F10" s="20" t="n">
        <v>318.772</v>
      </c>
      <c r="G10" s="20" t="n">
        <v>368.798</v>
      </c>
      <c r="H10" s="20" t="n">
        <v>568.794</v>
      </c>
      <c r="I10" s="20" t="n">
        <v>806.354</v>
      </c>
      <c r="J10" s="20" t="n">
        <v>671.869</v>
      </c>
      <c r="K10" s="20" t="n">
        <v>677.254</v>
      </c>
      <c r="L10" s="20" t="n">
        <v>724.046</v>
      </c>
      <c r="M10" s="20" t="n">
        <v>510.285</v>
      </c>
      <c r="N10" s="20" t="n">
        <v>614.771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1971.961</v>
      </c>
      <c r="W10" s="20" t="n">
        <v>2062.718</v>
      </c>
      <c r="X10" s="20" t="n">
        <v>2583.454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EntityTotalMember</t>
        </is>
      </c>
      <c r="B13" s="10" t="n"/>
      <c r="C13" s="19" t="n"/>
      <c r="D13" s="20" t="n"/>
      <c r="E13" s="20" t="n"/>
      <c r="F13" s="20" t="n">
        <v>4122.481</v>
      </c>
      <c r="G13" s="20" t="n"/>
      <c r="H13" s="20" t="n"/>
      <c r="I13" s="20" t="n"/>
      <c r="J13" s="20" t="n">
        <v>5956.904</v>
      </c>
      <c r="K13" s="20" t="n"/>
      <c r="L13" s="20" t="n"/>
      <c r="M13" s="20" t="n"/>
      <c r="N13" s="20" t="n">
        <v>6761.48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3906.536</v>
      </c>
      <c r="D17" s="20" t="n">
        <v>3621.888</v>
      </c>
      <c r="E17" s="20" t="n">
        <v>4150.818</v>
      </c>
      <c r="F17" s="20" t="n">
        <v>3329.104</v>
      </c>
      <c r="G17" s="20" t="n">
        <v>4098.526</v>
      </c>
      <c r="H17" s="20" t="n">
        <v>3769.529</v>
      </c>
      <c r="I17" s="20" t="n">
        <v>4744.933</v>
      </c>
      <c r="J17" s="20" t="n">
        <v>4812.692</v>
      </c>
      <c r="K17" s="20" t="n">
        <v>4693.067</v>
      </c>
      <c r="L17" s="20" t="n">
        <v>4890.493</v>
      </c>
      <c r="M17" s="20" t="n">
        <v>4790.275</v>
      </c>
      <c r="N17" s="20" t="n">
        <v>5210.34</v>
      </c>
      <c r="O17" s="19" t="n">
        <v>6899.684</v>
      </c>
      <c r="P17" s="20" t="n">
        <v>8695.346</v>
      </c>
      <c r="Q17" s="20" t="n">
        <v>8639.438</v>
      </c>
      <c r="R17" s="20" t="n">
        <v>9016.115</v>
      </c>
      <c r="S17" s="20" t="n">
        <v>8896.478999999999</v>
      </c>
      <c r="T17" s="20" t="n">
        <v>9127.386</v>
      </c>
      <c r="U17" s="20" t="n">
        <v>11349.731</v>
      </c>
      <c r="V17" s="20" t="n">
        <v>15293.597</v>
      </c>
      <c r="W17" s="20" t="n">
        <v>15942.092</v>
      </c>
      <c r="X17" s="20" t="n">
        <v>19186.527</v>
      </c>
      <c r="Y17" s="19" t="n"/>
      <c r="Z17" s="20" t="n"/>
      <c r="AA17" s="20" t="n"/>
      <c r="AB17" s="20" t="n"/>
      <c r="AC17" s="20" t="n"/>
    </row>
    <row r="18">
      <c r="A18" s="18" t="inlineStr">
        <is>
          <t>매출총이익</t>
        </is>
      </c>
      <c r="B18" s="10" t="n"/>
      <c r="C18" s="19">
        <f>IF(OR(C4="",C17=""),"",IFERROR(C4-C17,""))</f>
        <v/>
      </c>
      <c r="D18" s="20">
        <f>IF(OR(D4="",D17=""),"",IFERROR(D4-D17,""))</f>
        <v/>
      </c>
      <c r="E18" s="20">
        <f>IF(OR(E4="",E17=""),"",IFERROR(E4-E17,""))</f>
        <v/>
      </c>
      <c r="F18" s="20">
        <f>IF(OR(F4="",F17=""),"",IFERROR(F4-F17,""))</f>
        <v/>
      </c>
      <c r="G18" s="20">
        <f>IF(OR(G4="",G17=""),"",IFERROR(G4-G17,""))</f>
        <v/>
      </c>
      <c r="H18" s="20">
        <f>IF(OR(H4="",H17=""),"",IFERROR(H4-H17,""))</f>
        <v/>
      </c>
      <c r="I18" s="20">
        <f>IF(OR(I4="",I17=""),"",IFERROR(I4-I17,""))</f>
        <v/>
      </c>
      <c r="J18" s="20">
        <f>IF(OR(J4="",J17=""),"",IFERROR(J4-J17,""))</f>
        <v/>
      </c>
      <c r="K18" s="20">
        <f>IF(OR(K4="",K17=""),"",IFERROR(K4-K17,""))</f>
        <v/>
      </c>
      <c r="L18" s="20">
        <f>IF(OR(L4="",L17=""),"",IFERROR(L4-L17,""))</f>
        <v/>
      </c>
      <c r="M18" s="20">
        <f>IF(OR(M4="",M17=""),"",IFERROR(M4-M17,""))</f>
        <v/>
      </c>
      <c r="N18" s="20">
        <f>IF(OR(N4="",N17=""),"",IFERROR(N4-N17,""))</f>
        <v/>
      </c>
      <c r="O18" s="19">
        <f>IF(OR(O4="",O17=""),"",IFERROR(O4-O17,""))</f>
        <v/>
      </c>
      <c r="P18" s="20">
        <f>IF(OR(P4="",P17=""),"",IFERROR(P4-P17,""))</f>
        <v/>
      </c>
      <c r="Q18" s="20">
        <f>IF(OR(Q4="",Q17=""),"",IFERROR(Q4-Q17,""))</f>
        <v/>
      </c>
      <c r="R18" s="20">
        <f>IF(OR(R4="",R17=""),"",IFERROR(R4-R17,""))</f>
        <v/>
      </c>
      <c r="S18" s="20">
        <f>IF(OR(S4="",S17=""),"",IFERROR(S4-S17,""))</f>
        <v/>
      </c>
      <c r="T18" s="20">
        <f>IF(OR(T4="",T17=""),"",IFERROR(T4-T17,""))</f>
        <v/>
      </c>
      <c r="U18" s="20">
        <f>IF(OR(U4="",U17=""),"",IFERROR(U4-U17,""))</f>
        <v/>
      </c>
      <c r="V18" s="20">
        <f>IF(OR(V4="",V17=""),"",IFERROR(V4-V17,""))</f>
        <v/>
      </c>
      <c r="W18" s="20">
        <f>IF(OR(W4="",W17=""),"",IFERROR(W4-W17,""))</f>
        <v/>
      </c>
      <c r="X18" s="20">
        <f>IF(OR(X4="",X17=""),"",IFERROR(X4-X17,""))</f>
        <v/>
      </c>
      <c r="Y18" s="19" t="n"/>
      <c r="Z18" s="20" t="n"/>
      <c r="AA18" s="20" t="n"/>
      <c r="AB18" s="20" t="n"/>
      <c r="AC18" s="20" t="n"/>
    </row>
    <row r="19">
      <c r="A19" s="13" t="inlineStr">
        <is>
          <t>GPM</t>
        </is>
      </c>
      <c r="B19" s="10" t="n"/>
      <c r="C19" s="14">
        <f>IF(OR(C18="",C4=""),"",IFERROR(C18/C4,""))</f>
        <v/>
      </c>
      <c r="D19" s="15">
        <f>IF(OR(D18="",D4=""),"",IFERROR(D18/D4,""))</f>
        <v/>
      </c>
      <c r="E19" s="15">
        <f>IF(OR(E18="",E4=""),"",IFERROR(E18/E4,""))</f>
        <v/>
      </c>
      <c r="F19" s="15">
        <f>IF(OR(F18="",F4=""),"",IFERROR(F18/F4,""))</f>
        <v/>
      </c>
      <c r="G19" s="15">
        <f>IF(OR(G18="",G4=""),"",IFERROR(G18/G4,""))</f>
        <v/>
      </c>
      <c r="H19" s="15">
        <f>IF(OR(H18="",H4=""),"",IFERROR(H18/H4,""))</f>
        <v/>
      </c>
      <c r="I19" s="15">
        <f>IF(OR(I18="",I4=""),"",IFERROR(I18/I4,""))</f>
        <v/>
      </c>
      <c r="J19" s="15">
        <f>IF(OR(J18="",J4=""),"",IFERROR(J18/J4,""))</f>
        <v/>
      </c>
      <c r="K19" s="15">
        <f>IF(OR(K18="",K4=""),"",IFERROR(K18/K4,""))</f>
        <v/>
      </c>
      <c r="L19" s="15">
        <f>IF(OR(L18="",L4=""),"",IFERROR(L18/L4,""))</f>
        <v/>
      </c>
      <c r="M19" s="15">
        <f>IF(OR(M18="",M4=""),"",IFERROR(M18/M4,""))</f>
        <v/>
      </c>
      <c r="N19" s="15">
        <f>IF(OR(N18="",N4=""),"",IFERROR(N18/N4,""))</f>
        <v/>
      </c>
      <c r="O19" s="14">
        <f>IF(OR(O18="",O4=""),"",IFERROR(O18/O4,""))</f>
        <v/>
      </c>
      <c r="P19" s="15">
        <f>IF(OR(P18="",P4=""),"",IFERROR(P18/P4,""))</f>
        <v/>
      </c>
      <c r="Q19" s="15">
        <f>IF(OR(Q18="",Q4=""),"",IFERROR(Q18/Q4,""))</f>
        <v/>
      </c>
      <c r="R19" s="15">
        <f>IF(OR(R18="",R4=""),"",IFERROR(R18/R4,""))</f>
        <v/>
      </c>
      <c r="S19" s="15">
        <f>IF(OR(S18="",S4=""),"",IFERROR(S18/S4,""))</f>
        <v/>
      </c>
      <c r="T19" s="15">
        <f>IF(OR(T18="",T4=""),"",IFERROR(T18/T4,""))</f>
        <v/>
      </c>
      <c r="U19" s="15">
        <f>IF(OR(U18="",U4=""),"",IFERROR(U18/U4,""))</f>
        <v/>
      </c>
      <c r="V19" s="15">
        <f>IF(OR(V18="",V4=""),"",IFERROR(V18/V4,""))</f>
        <v/>
      </c>
      <c r="W19" s="15">
        <f>IF(OR(W18="",W4=""),"",IFERROR(W18/W4,""))</f>
        <v/>
      </c>
      <c r="X19" s="15">
        <f>IF(OR(X18="",X4=""),"",IFERROR(X18/X4,""))</f>
        <v/>
      </c>
      <c r="Y19" s="14">
        <f>IF(OR(Y18="",Y4=""),"",IFERROR(Y18/Y4,""))</f>
        <v/>
      </c>
      <c r="Z19" s="15">
        <f>IF(OR(Z18="",Z4=""),"",IFERROR(Z18/Z4,""))</f>
        <v/>
      </c>
      <c r="AA19" s="15">
        <f>IF(OR(AA18="",AA4=""),"",IFERROR(AA18/AA4,""))</f>
        <v/>
      </c>
      <c r="AB19" s="15">
        <f>IF(OR(AB18="",AB4=""),"",IFERROR(AB18/AB4,""))</f>
        <v/>
      </c>
      <c r="AC19" s="15">
        <f>IF(OR(AC18="",AC4=""),"",IFERROR(AC18/AC4,""))</f>
        <v/>
      </c>
    </row>
    <row r="20">
      <c r="A20" s="23" t="inlineStr">
        <is>
          <t>판매관리비</t>
        </is>
      </c>
      <c r="B20" s="23" t="n"/>
      <c r="C20" s="2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4" t="n"/>
      <c r="Z20" s="23" t="n"/>
      <c r="AA20" s="23" t="n"/>
      <c r="AB20" s="23" t="n"/>
      <c r="AC20" s="23" t="n"/>
    </row>
    <row r="21">
      <c r="A21" s="18" t="inlineStr">
        <is>
          <t>전체 판관비</t>
        </is>
      </c>
      <c r="B21" s="10" t="n"/>
      <c r="C21" s="19" t="n">
        <v>835.399</v>
      </c>
      <c r="D21" s="20" t="n">
        <v>839.657</v>
      </c>
      <c r="E21" s="20" t="n">
        <v>910.505</v>
      </c>
      <c r="F21" s="20" t="n">
        <v>909.96</v>
      </c>
      <c r="G21" s="20" t="n">
        <v>858.881</v>
      </c>
      <c r="H21" s="20" t="n">
        <v>927.852</v>
      </c>
      <c r="I21" s="20" t="n">
        <v>976.552</v>
      </c>
      <c r="J21" s="20" t="n">
        <v>948.505</v>
      </c>
      <c r="K21" s="20" t="n">
        <v>928.951</v>
      </c>
      <c r="L21" s="20" t="n">
        <v>989.9640000000001</v>
      </c>
      <c r="M21" s="20" t="n">
        <v>1029.364</v>
      </c>
      <c r="N21" s="20" t="n">
        <v>1151.294</v>
      </c>
      <c r="O21" s="19" t="n">
        <v>1339.479</v>
      </c>
      <c r="P21" s="20" t="n">
        <v>1676.266</v>
      </c>
      <c r="Q21" s="20" t="n">
        <v>1758.038</v>
      </c>
      <c r="R21" s="20" t="n">
        <v>2256.405</v>
      </c>
      <c r="S21" s="20" t="n">
        <v>2340.001</v>
      </c>
      <c r="T21" s="20" t="n">
        <v>2233.242</v>
      </c>
      <c r="U21" s="20" t="n">
        <v>2808.635</v>
      </c>
      <c r="V21" s="20" t="n">
        <v>3400.771</v>
      </c>
      <c r="W21" s="20" t="n">
        <v>3673.245</v>
      </c>
      <c r="X21" s="20" t="n">
        <v>3896.784</v>
      </c>
      <c r="Y21" s="19" t="n"/>
      <c r="Z21" s="20" t="n"/>
      <c r="AA21" s="20" t="n"/>
      <c r="AB21" s="20" t="n"/>
      <c r="AC21" s="20" t="n"/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327.618</v>
      </c>
      <c r="D22" s="12" t="n">
        <v>34.409</v>
      </c>
      <c r="E22" s="12" t="n">
        <v>266.755</v>
      </c>
      <c r="F22" s="12" t="n">
        <v>-116.584</v>
      </c>
      <c r="G22" s="12" t="n">
        <v>451.722</v>
      </c>
      <c r="H22" s="12" t="n">
        <v>-19.544</v>
      </c>
      <c r="I22" s="12" t="n">
        <v>705.14</v>
      </c>
      <c r="J22" s="12" t="n">
        <v>195.707</v>
      </c>
      <c r="K22" s="12" t="n">
        <v>347.484</v>
      </c>
      <c r="L22" s="12" t="n">
        <v>121.462</v>
      </c>
      <c r="M22" s="12" t="n">
        <v>505.489</v>
      </c>
      <c r="N22" s="12" t="n">
        <v>399.845</v>
      </c>
      <c r="O22" s="11" t="n">
        <v>538.7809999999999</v>
      </c>
      <c r="P22" s="12" t="n">
        <v>777.228</v>
      </c>
      <c r="Q22" s="12" t="n">
        <v>652.967</v>
      </c>
      <c r="R22" s="12" t="n">
        <v>406.66</v>
      </c>
      <c r="S22" s="12" t="n">
        <v>288.853</v>
      </c>
      <c r="T22" s="12" t="n">
        <v>221.184</v>
      </c>
      <c r="U22" s="12" t="n">
        <v>575.16</v>
      </c>
      <c r="V22" s="12" t="n">
        <v>736.6130000000001</v>
      </c>
      <c r="W22" s="12" t="n">
        <v>1020.734</v>
      </c>
      <c r="X22" s="12" t="n">
        <v>1170.142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IF(O21="","",O21)</f>
        <v/>
      </c>
      <c r="P26" s="12">
        <f>IF(P21="","",P21)</f>
        <v/>
      </c>
      <c r="Q26" s="12">
        <f>IF(Q21="","",Q21)</f>
        <v/>
      </c>
      <c r="R26" s="12">
        <f>IF(R21="","",R21)</f>
        <v/>
      </c>
      <c r="S26" s="12">
        <f>IF(S21="","",S21)</f>
        <v/>
      </c>
      <c r="T26" s="12">
        <f>IF(T21="","",T21)</f>
        <v/>
      </c>
      <c r="U26" s="12">
        <f>IF(U21="","",U21)</f>
        <v/>
      </c>
      <c r="V26" s="12">
        <f>IF(V21="","",V21)</f>
        <v/>
      </c>
      <c r="W26" s="12">
        <f>IF(W21="","",W21)</f>
        <v/>
      </c>
      <c r="X26" s="12">
        <f>IF(X21="","",X21)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>
        <v>0</v>
      </c>
      <c r="D38" s="20" t="n">
        <v>0</v>
      </c>
      <c r="E38" s="20" t="n">
        <v>1.344</v>
      </c>
      <c r="F38" s="20" t="n">
        <v>0</v>
      </c>
      <c r="G38" s="20" t="n">
        <v>0</v>
      </c>
      <c r="H38" s="20" t="n">
        <v>0</v>
      </c>
      <c r="I38" s="20" t="n">
        <v>29.019</v>
      </c>
      <c r="J38" s="20" t="n"/>
      <c r="K38" s="20" t="n"/>
      <c r="L38" s="20" t="n">
        <v>0.022</v>
      </c>
      <c r="M38" s="20" t="n">
        <v>-0.007</v>
      </c>
      <c r="N38" s="20" t="n"/>
      <c r="O38" s="19" t="n"/>
      <c r="P38" s="20" t="n"/>
      <c r="Q38" s="20" t="n"/>
      <c r="R38" s="20" t="n"/>
      <c r="S38" s="20" t="n">
        <v>0</v>
      </c>
      <c r="T38" s="20" t="n">
        <v>24.965</v>
      </c>
      <c r="U38" s="20" t="n">
        <v>97.876</v>
      </c>
      <c r="V38" s="20" t="n">
        <v>9.348000000000001</v>
      </c>
      <c r="W38" s="20" t="n">
        <v>29.019</v>
      </c>
      <c r="X38" s="20" t="n">
        <v>0.487</v>
      </c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/>
      <c r="D40" s="20" t="n"/>
      <c r="E40" s="20" t="n">
        <v>52.278</v>
      </c>
      <c r="F40" s="20" t="n"/>
      <c r="G40" s="20" t="n"/>
      <c r="H40" s="20" t="n">
        <v>0.061</v>
      </c>
      <c r="I40" s="20" t="n">
        <v>0</v>
      </c>
      <c r="J40" s="20" t="n">
        <v>0</v>
      </c>
      <c r="K40" s="20" t="n">
        <v>0</v>
      </c>
      <c r="L40" s="20" t="n">
        <v>0.305</v>
      </c>
      <c r="M40" s="20" t="n">
        <v>0.005</v>
      </c>
      <c r="N40" s="20" t="n">
        <v>0</v>
      </c>
      <c r="O40" s="19" t="n"/>
      <c r="P40" s="20" t="n"/>
      <c r="Q40" s="20" t="n"/>
      <c r="R40" s="20" t="n">
        <v>0</v>
      </c>
      <c r="S40" s="20" t="n">
        <v>19.317</v>
      </c>
      <c r="T40" s="20" t="n">
        <v>2.226</v>
      </c>
      <c r="U40" s="20" t="n">
        <v>0</v>
      </c>
      <c r="V40" s="20" t="n">
        <v>52.278</v>
      </c>
      <c r="W40" s="20" t="n">
        <v>0.061</v>
      </c>
      <c r="X40" s="20" t="n">
        <v>0.31</v>
      </c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6.29</v>
      </c>
      <c r="D42" s="20" t="n">
        <v>2.082</v>
      </c>
      <c r="E42" s="20" t="n">
        <v>16.42</v>
      </c>
      <c r="F42" s="20" t="n">
        <v>3.184</v>
      </c>
      <c r="G42" s="20" t="n">
        <v>3.139</v>
      </c>
      <c r="H42" s="20" t="n">
        <v>3.861</v>
      </c>
      <c r="I42" s="20" t="n">
        <v>3.061</v>
      </c>
      <c r="J42" s="20" t="n">
        <v>4.045</v>
      </c>
      <c r="K42" s="20" t="n">
        <v>6.693</v>
      </c>
      <c r="L42" s="20" t="n">
        <v>4.058</v>
      </c>
      <c r="M42" s="20" t="n">
        <v>10.479</v>
      </c>
      <c r="N42" s="20" t="n">
        <v>5.201</v>
      </c>
      <c r="O42" s="19" t="n">
        <v>7.709</v>
      </c>
      <c r="P42" s="20" t="n">
        <v>9.08</v>
      </c>
      <c r="Q42" s="20" t="n">
        <v>12.177</v>
      </c>
      <c r="R42" s="20" t="n">
        <v>7.417</v>
      </c>
      <c r="S42" s="20" t="n">
        <v>9.497999999999999</v>
      </c>
      <c r="T42" s="20" t="n">
        <v>11.174</v>
      </c>
      <c r="U42" s="20" t="n">
        <v>7.269</v>
      </c>
      <c r="V42" s="20" t="n">
        <v>28.063</v>
      </c>
      <c r="W42" s="20" t="n">
        <v>13.245</v>
      </c>
      <c r="X42" s="20" t="n">
        <v>25.275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1.719</v>
      </c>
      <c r="D44" s="20" t="n">
        <v>0.949</v>
      </c>
      <c r="E44" s="20" t="n">
        <v>2.494</v>
      </c>
      <c r="F44" s="20" t="n">
        <v>5.905</v>
      </c>
      <c r="G44" s="20" t="n">
        <v>-0.427</v>
      </c>
      <c r="H44" s="20" t="n">
        <v>2.723</v>
      </c>
      <c r="I44" s="20" t="n">
        <v>4.733</v>
      </c>
      <c r="J44" s="20" t="n">
        <v>2.115</v>
      </c>
      <c r="K44" s="20" t="n">
        <v>2.899</v>
      </c>
      <c r="L44" s="20" t="n">
        <v>2.464</v>
      </c>
      <c r="M44" s="20" t="n">
        <v>13.527</v>
      </c>
      <c r="N44" s="20" t="n">
        <v>1.845</v>
      </c>
      <c r="O44" s="19" t="n">
        <v>13.236</v>
      </c>
      <c r="P44" s="20" t="n">
        <v>10.214</v>
      </c>
      <c r="Q44" s="20" t="n">
        <v>6.094</v>
      </c>
      <c r="R44" s="20" t="n">
        <v>5.55</v>
      </c>
      <c r="S44" s="20" t="n">
        <v>4.409</v>
      </c>
      <c r="T44" s="20" t="n">
        <v>7.762</v>
      </c>
      <c r="U44" s="20" t="n">
        <v>3.141</v>
      </c>
      <c r="V44" s="20" t="n">
        <v>5.889</v>
      </c>
      <c r="W44" s="20" t="n">
        <v>12.934</v>
      </c>
      <c r="X44" s="20" t="n">
        <v>21.005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332.19</v>
      </c>
      <c r="D46" s="12" t="n">
        <v>35.542</v>
      </c>
      <c r="E46" s="12" t="n">
        <v>229.746</v>
      </c>
      <c r="F46" s="12" t="n">
        <v>-119.305</v>
      </c>
      <c r="G46" s="12" t="n">
        <v>455.288</v>
      </c>
      <c r="H46" s="12" t="n">
        <v>-18.468</v>
      </c>
      <c r="I46" s="12" t="n">
        <v>732.487</v>
      </c>
      <c r="J46" s="12" t="n">
        <v>197.636</v>
      </c>
      <c r="K46" s="12" t="n">
        <v>351.751</v>
      </c>
      <c r="L46" s="12" t="n">
        <v>122.773</v>
      </c>
      <c r="M46" s="12" t="n">
        <v>502.429</v>
      </c>
      <c r="N46" s="12" t="n">
        <v>403.2</v>
      </c>
      <c r="O46" s="11" t="n">
        <v>533.255</v>
      </c>
      <c r="P46" s="12" t="n">
        <v>776.0940000000001</v>
      </c>
      <c r="Q46" s="12" t="n">
        <v>659.05</v>
      </c>
      <c r="R46" s="12" t="n">
        <v>408.526</v>
      </c>
      <c r="S46" s="12" t="n">
        <v>274.624</v>
      </c>
      <c r="T46" s="12" t="n">
        <v>247.335</v>
      </c>
      <c r="U46" s="12" t="n">
        <v>677.1660000000001</v>
      </c>
      <c r="V46" s="12" t="n">
        <v>715.857</v>
      </c>
      <c r="W46" s="12" t="n">
        <v>1050.002</v>
      </c>
      <c r="X46" s="12" t="n">
        <v>1174.589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8" t="inlineStr">
        <is>
          <t>법인세비용(수익)</t>
        </is>
      </c>
      <c r="B47" s="10" t="n"/>
      <c r="C47" s="19" t="n">
        <v>126.626</v>
      </c>
      <c r="D47" s="20" t="n">
        <v>14.28</v>
      </c>
      <c r="E47" s="20" t="n">
        <v>60.656</v>
      </c>
      <c r="F47" s="20" t="n">
        <v>-33.079</v>
      </c>
      <c r="G47" s="20" t="n">
        <v>145.827</v>
      </c>
      <c r="H47" s="20" t="n">
        <v>0.9429999999999999</v>
      </c>
      <c r="I47" s="20" t="n">
        <v>247.242</v>
      </c>
      <c r="J47" s="20" t="n">
        <v>68.41</v>
      </c>
      <c r="K47" s="20" t="n">
        <v>122.185</v>
      </c>
      <c r="L47" s="20" t="n">
        <v>44.457</v>
      </c>
      <c r="M47" s="20" t="n">
        <v>86.175</v>
      </c>
      <c r="N47" s="20" t="n">
        <v>145.504</v>
      </c>
      <c r="O47" s="19" t="n">
        <v>172.567</v>
      </c>
      <c r="P47" s="20" t="n">
        <v>248.944</v>
      </c>
      <c r="Q47" s="20" t="n">
        <v>227.779</v>
      </c>
      <c r="R47" s="20" t="n">
        <v>153.756</v>
      </c>
      <c r="S47" s="20" t="n">
        <v>105.998</v>
      </c>
      <c r="T47" s="20" t="n">
        <v>93.104</v>
      </c>
      <c r="U47" s="20" t="n">
        <v>224.24</v>
      </c>
      <c r="V47" s="20" t="n">
        <v>247.963</v>
      </c>
      <c r="W47" s="20" t="n">
        <v>360.933</v>
      </c>
      <c r="X47" s="20" t="n">
        <v>321.227</v>
      </c>
      <c r="Y47" s="19">
        <f>IF(OR(Y46="",Y48=""),"",IFERROR(MAX(Y46,0)*Y48,""))</f>
        <v/>
      </c>
      <c r="Z47" s="20">
        <f>IF(OR(Z46="",Z48=""),"",IFERROR(MAX(Z46,0)*Z48,""))</f>
        <v/>
      </c>
      <c r="AA47" s="20">
        <f>IF(OR(AA46="",AA48=""),"",IFERROR(MAX(AA46,0)*AA48,""))</f>
        <v/>
      </c>
      <c r="AB47" s="20">
        <f>IF(OR(AB46="",AB48=""),"",IFERROR(MAX(AB46,0)*AB48,""))</f>
        <v/>
      </c>
      <c r="AC47" s="20">
        <f>IF(OR(AC46="",AC48=""),"",IFERROR(MAX(AC46,0)*AC48,""))</f>
        <v/>
      </c>
    </row>
    <row r="48">
      <c r="A48" s="13" t="inlineStr">
        <is>
          <t>법인세율</t>
        </is>
      </c>
      <c r="B48" s="10" t="inlineStr">
        <is>
          <t>MW 기본 30%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0.3</v>
      </c>
      <c r="Z48" s="26" t="n">
        <v>0.3</v>
      </c>
      <c r="AA48" s="26" t="n">
        <v>0.3</v>
      </c>
      <c r="AB48" s="26" t="n">
        <v>0.3</v>
      </c>
      <c r="AC48" s="26" t="n">
        <v>0.3</v>
      </c>
    </row>
    <row r="49">
      <c r="A49" s="9" t="inlineStr">
        <is>
          <t>당기순이익(손실)</t>
        </is>
      </c>
      <c r="B49" s="10" t="n"/>
      <c r="C49" s="11" t="n">
        <v>205.564</v>
      </c>
      <c r="D49" s="12" t="n">
        <v>21.262</v>
      </c>
      <c r="E49" s="12" t="n">
        <v>169.09</v>
      </c>
      <c r="F49" s="12" t="n">
        <v>-86.22499999999999</v>
      </c>
      <c r="G49" s="12" t="n">
        <v>309.459</v>
      </c>
      <c r="H49" s="12" t="n">
        <v>-19.41</v>
      </c>
      <c r="I49" s="12" t="n">
        <v>485.244</v>
      </c>
      <c r="J49" s="12" t="n">
        <v>129.226</v>
      </c>
      <c r="K49" s="12" t="n">
        <v>229.566</v>
      </c>
      <c r="L49" s="12" t="n">
        <v>78.315</v>
      </c>
      <c r="M49" s="12" t="n">
        <v>416.254</v>
      </c>
      <c r="N49" s="12" t="n">
        <v>257.696</v>
      </c>
      <c r="O49" s="11" t="n">
        <v>360.687</v>
      </c>
      <c r="P49" s="12" t="n">
        <v>527.149</v>
      </c>
      <c r="Q49" s="12" t="n">
        <v>431.271</v>
      </c>
      <c r="R49" s="12" t="n">
        <v>254.77</v>
      </c>
      <c r="S49" s="12" t="n">
        <v>168.626</v>
      </c>
      <c r="T49" s="12" t="n">
        <v>154.231</v>
      </c>
      <c r="U49" s="12" t="n">
        <v>452.926</v>
      </c>
      <c r="V49" s="12" t="n">
        <v>467.894</v>
      </c>
      <c r="W49" s="12" t="n">
        <v>689.068</v>
      </c>
      <c r="X49" s="12" t="n">
        <v>853.361</v>
      </c>
      <c r="Y49" s="11">
        <f>IF(OR(Y46=""),"",IFERROR(Y46-Y47,""))</f>
        <v/>
      </c>
      <c r="Z49" s="12">
        <f>IF(OR(Z46=""),"",IFERROR(Z46-Z47,""))</f>
        <v/>
      </c>
      <c r="AA49" s="12">
        <f>IF(OR(AA46=""),"",IFERROR(AA46-AA47,""))</f>
        <v/>
      </c>
      <c r="AB49" s="12">
        <f>IF(OR(AB46=""),"",IFERROR(AB46-AB47,""))</f>
        <v/>
      </c>
      <c r="AC49" s="12">
        <f>IF(OR(AC46=""),"",IFERROR(AC46-AC47,""))</f>
        <v/>
      </c>
    </row>
    <row r="50">
      <c r="A50" s="9" t="inlineStr">
        <is>
          <t>지배주주 순이익</t>
        </is>
      </c>
      <c r="B50" s="10" t="n"/>
      <c r="C50" s="11" t="n">
        <v>205.564</v>
      </c>
      <c r="D50" s="12" t="n">
        <v>21.262</v>
      </c>
      <c r="E50" s="12" t="n">
        <v>169.09</v>
      </c>
      <c r="F50" s="12" t="n">
        <v>-86.22499999999999</v>
      </c>
      <c r="G50" s="12" t="n">
        <v>309.459</v>
      </c>
      <c r="H50" s="12" t="n">
        <v>-19.41</v>
      </c>
      <c r="I50" s="12" t="n">
        <v>485.244</v>
      </c>
      <c r="J50" s="12" t="n">
        <v>129.226</v>
      </c>
      <c r="K50" s="12" t="n">
        <v>229.566</v>
      </c>
      <c r="L50" s="12" t="n">
        <v>78.315</v>
      </c>
      <c r="M50" s="12" t="n">
        <v>416.254</v>
      </c>
      <c r="N50" s="12" t="n">
        <v>257.696</v>
      </c>
      <c r="O50" s="11" t="n">
        <v>360.687</v>
      </c>
      <c r="P50" s="12" t="n">
        <v>527.149</v>
      </c>
      <c r="Q50" s="12" t="n">
        <v>431.271</v>
      </c>
      <c r="R50" s="12" t="n">
        <v>272.534</v>
      </c>
      <c r="S50" s="12" t="n">
        <v>175.795</v>
      </c>
      <c r="T50" s="12" t="n">
        <v>154.231</v>
      </c>
      <c r="U50" s="12" t="n">
        <v>452.926</v>
      </c>
      <c r="V50" s="12" t="n">
        <v>467.894</v>
      </c>
      <c r="W50" s="12" t="n">
        <v>689.068</v>
      </c>
      <c r="X50" s="12" t="n">
        <v>853.361</v>
      </c>
      <c r="Y50" s="11">
        <f>IF(OR(Y49="",Y51=""),"",IFERROR(Y49*Y51,""))</f>
        <v/>
      </c>
      <c r="Z50" s="12">
        <f>IF(OR(Z49="",Z51=""),"",IFERROR(Z49*Z51,""))</f>
        <v/>
      </c>
      <c r="AA50" s="12">
        <f>IF(OR(AA49="",AA51=""),"",IFERROR(AA49*AA51,""))</f>
        <v/>
      </c>
      <c r="AB50" s="12">
        <f>IF(OR(AB49="",AB51=""),"",IFERROR(AB49*AB51,""))</f>
        <v/>
      </c>
      <c r="AC50" s="12">
        <f>IF(OR(AC49="",AC51=""),"",IFERROR(AC49*AC51,""))</f>
        <v/>
      </c>
    </row>
    <row r="51">
      <c r="A51" s="13" t="inlineStr">
        <is>
          <t>지배주주 순이익률</t>
        </is>
      </c>
      <c r="B51" s="10" t="inlineStr">
        <is>
          <t>MW 기본 100%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1</v>
      </c>
      <c r="Z51" s="26" t="n">
        <v>1</v>
      </c>
      <c r="AA51" s="26" t="n">
        <v>1</v>
      </c>
      <c r="AB51" s="26" t="n">
        <v>1</v>
      </c>
      <c r="AC51" s="26" t="n">
        <v>1</v>
      </c>
    </row>
    <row r="52">
      <c r="A52" s="16" t="inlineStr">
        <is>
          <t>목표주가 산출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현재 주가 ()</t>
        </is>
      </c>
      <c r="B53" s="27" t="n"/>
      <c r="C53" s="28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8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8" t="n"/>
      <c r="Z53" s="29" t="n"/>
      <c r="AA53" s="29" t="n"/>
      <c r="AB53" s="29" t="n"/>
      <c r="AC53" s="29" t="n"/>
    </row>
    <row r="54">
      <c r="A54" s="18" t="inlineStr">
        <is>
          <t>발행주식수 (보통주)</t>
        </is>
      </c>
      <c r="B54" s="27" t="n"/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8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8" t="n"/>
      <c r="Z54" s="29" t="n"/>
      <c r="AA54" s="29" t="n"/>
      <c r="AB54" s="29" t="n"/>
      <c r="AC54" s="29" t="n"/>
    </row>
    <row r="55">
      <c r="A55" s="18" t="inlineStr">
        <is>
          <t>시가총액 (백만엔)</t>
        </is>
      </c>
      <c r="B55" s="12">
        <f>IF(OR(B53="",B54=""),"",B53*B54/1000000.0)</f>
        <v/>
      </c>
      <c r="C55" s="19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19" t="n"/>
      <c r="Z55" s="20" t="n"/>
      <c r="AA55" s="20" t="n"/>
      <c r="AB55" s="20" t="n"/>
      <c r="AC55" s="20" t="n"/>
    </row>
    <row r="56">
      <c r="A56" s="13" t="inlineStr">
        <is>
          <t>OPM</t>
        </is>
      </c>
      <c r="B56" s="10" t="n"/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4">
        <f>IF(O23="","",O23)</f>
        <v/>
      </c>
      <c r="P56" s="15">
        <f>IF(P23="","",P23)</f>
        <v/>
      </c>
      <c r="Q56" s="15">
        <f>IF(Q23="","",Q23)</f>
        <v/>
      </c>
      <c r="R56" s="15">
        <f>IF(R23="","",R23)</f>
        <v/>
      </c>
      <c r="S56" s="15">
        <f>IF(S23="","",S23)</f>
        <v/>
      </c>
      <c r="T56" s="15">
        <f>IF(T23="","",T23)</f>
        <v/>
      </c>
      <c r="U56" s="15">
        <f>IF(U23="","",U23)</f>
        <v/>
      </c>
      <c r="V56" s="15">
        <f>IF(V23="","",V23)</f>
        <v/>
      </c>
      <c r="W56" s="15">
        <f>IF(W23="","",W23)</f>
        <v/>
      </c>
      <c r="X56" s="15">
        <f>IF(X23="","",X23)</f>
        <v/>
      </c>
      <c r="Y56" s="14">
        <f>IF(Y23="","",Y23)</f>
        <v/>
      </c>
      <c r="Z56" s="15">
        <f>IF(Z23="","",Z23)</f>
        <v/>
      </c>
      <c r="AA56" s="15">
        <f>IF(AA23="","",AA23)</f>
        <v/>
      </c>
      <c r="AB56" s="15">
        <f>IF(AB23="","",AB23)</f>
        <v/>
      </c>
      <c r="AC56" s="15">
        <f>IF(AC23="","",AC23)</f>
        <v/>
      </c>
    </row>
    <row r="57">
      <c r="A57" s="13" t="inlineStr">
        <is>
          <t>지배주주 순이익 증가율</t>
        </is>
      </c>
      <c r="B57" s="10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4" t="n"/>
      <c r="P57" s="15">
        <f>IF(OR(P50="",O50=""),"",IFERROR(P50/O50-1,""))</f>
        <v/>
      </c>
      <c r="Q57" s="15">
        <f>IF(OR(Q50="",P50=""),"",IFERROR(Q50/P50-1,""))</f>
        <v/>
      </c>
      <c r="R57" s="15">
        <f>IF(OR(R50="",Q50=""),"",IFERROR(R50/Q50-1,""))</f>
        <v/>
      </c>
      <c r="S57" s="15">
        <f>IF(OR(S50="",R50=""),"",IFERROR(S50/R50-1,""))</f>
        <v/>
      </c>
      <c r="T57" s="15">
        <f>IF(OR(T50="",S50=""),"",IFERROR(T50/S50-1,""))</f>
        <v/>
      </c>
      <c r="U57" s="15">
        <f>IF(OR(U50="",T50=""),"",IFERROR(U50/T50-1,""))</f>
        <v/>
      </c>
      <c r="V57" s="15">
        <f>IF(OR(V50="",U50=""),"",IFERROR(V50/U50-1,""))</f>
        <v/>
      </c>
      <c r="W57" s="15">
        <f>IF(OR(W50="",V50=""),"",IFERROR(W50/V50-1,""))</f>
        <v/>
      </c>
      <c r="X57" s="15">
        <f>IF(OR(X50="",W50=""),"",IFERROR(X50/W50-1,""))</f>
        <v/>
      </c>
      <c r="Y57" s="14">
        <f>IF(OR(Y50="",X50=""),"",IFERROR(Y50/X50-1,""))</f>
        <v/>
      </c>
      <c r="Z57" s="15">
        <f>IF(OR(Z50="",Y50=""),"",IFERROR(Z50/Y50-1,""))</f>
        <v/>
      </c>
      <c r="AA57" s="15">
        <f>IF(OR(AA50="",Z50=""),"",IFERROR(AA50/Z50-1,""))</f>
        <v/>
      </c>
      <c r="AB57" s="15">
        <f>IF(OR(AB50="",AA50=""),"",IFERROR(AB50/AA50-1,""))</f>
        <v/>
      </c>
      <c r="AC57" s="15">
        <f>IF(OR(AC50="",AB50=""),"",IFERROR(AC50/AB50-1,""))</f>
        <v/>
      </c>
    </row>
    <row r="58">
      <c r="A58" s="18" t="inlineStr">
        <is>
          <t>P/E (현재 주가)</t>
        </is>
      </c>
      <c r="B58" s="10" t="inlineStr">
        <is>
          <t>시총 ÷ 지배순이익</t>
        </is>
      </c>
      <c r="C58" s="30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0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>
        <f>IF(OR($B$55="",X50=""),"",IFERROR($B$55/X50,""))</f>
        <v/>
      </c>
      <c r="Y58" s="30">
        <f>IF(OR($B$55="",Y50=""),"",IFERROR($B$55/Y50,""))</f>
        <v/>
      </c>
      <c r="Z58" s="31">
        <f>IF(OR($B$55="",Z50=""),"",IFERROR($B$55/Z50,""))</f>
        <v/>
      </c>
      <c r="AA58" s="31">
        <f>IF(OR($B$55="",AA50=""),"",IFERROR($B$55/AA50,""))</f>
        <v/>
      </c>
      <c r="AB58" s="31">
        <f>IF(OR($B$55="",AB50=""),"",IFERROR($B$55/AB50,""))</f>
        <v/>
      </c>
      <c r="AC58" s="31">
        <f>IF(OR($B$55="",AC50=""),"",IFERROR($B$55/AC50,""))</f>
        <v/>
      </c>
    </row>
    <row r="59">
      <c r="A59" s="18" t="inlineStr">
        <is>
          <t>Target P/E</t>
        </is>
      </c>
      <c r="B59" s="10" t="inlineStr">
        <is>
          <t>직접 입력</t>
        </is>
      </c>
      <c r="C59" s="30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0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2" t="n"/>
      <c r="Z59" s="33" t="n"/>
      <c r="AA59" s="33" t="n"/>
      <c r="AB59" s="33" t="n"/>
      <c r="AC59" s="33" t="n"/>
    </row>
    <row r="60">
      <c r="A60" s="18" t="inlineStr">
        <is>
          <t>EPS</t>
        </is>
      </c>
      <c r="B60" s="10" t="inlineStr">
        <is>
          <t>지배순이익 ÷ 주식수</t>
        </is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>
        <f>IF(OR(O50="",$B$54=""),"",IFERROR(O50*1000000.0/$B$54,""))</f>
        <v/>
      </c>
      <c r="P60" s="29">
        <f>IF(OR(P50="",$B$54=""),"",IFERROR(P50*1000000.0/$B$54,""))</f>
        <v/>
      </c>
      <c r="Q60" s="29">
        <f>IF(OR(Q50="",$B$54=""),"",IFERROR(Q50*1000000.0/$B$54,""))</f>
        <v/>
      </c>
      <c r="R60" s="29">
        <f>IF(OR(R50="",$B$54=""),"",IFERROR(R50*1000000.0/$B$54,""))</f>
        <v/>
      </c>
      <c r="S60" s="29">
        <f>IF(OR(S50="",$B$54=""),"",IFERROR(S50*1000000.0/$B$54,""))</f>
        <v/>
      </c>
      <c r="T60" s="29">
        <f>IF(OR(T50="",$B$54=""),"",IFERROR(T50*1000000.0/$B$54,""))</f>
        <v/>
      </c>
      <c r="U60" s="29">
        <f>IF(OR(U50="",$B$54=""),"",IFERROR(U50*1000000.0/$B$54,""))</f>
        <v/>
      </c>
      <c r="V60" s="29">
        <f>IF(OR(V50="",$B$54=""),"",IFERROR(V50*1000000.0/$B$54,""))</f>
        <v/>
      </c>
      <c r="W60" s="29">
        <f>IF(OR(W50="",$B$54=""),"",IFERROR(W50*1000000.0/$B$54,""))</f>
        <v/>
      </c>
      <c r="X60" s="29">
        <f>IF(OR(X50="",$B$54=""),"",IFERROR(X50*1000000.0/$B$54,""))</f>
        <v/>
      </c>
      <c r="Y60" s="28">
        <f>IF(OR(Y50="",$B$54=""),"",IFERROR(Y50*1000000.0/$B$54,""))</f>
        <v/>
      </c>
      <c r="Z60" s="29">
        <f>IF(OR(Z50="",$B$54=""),"",IFERROR(Z50*1000000.0/$B$54,""))</f>
        <v/>
      </c>
      <c r="AA60" s="29">
        <f>IF(OR(AA50="",$B$54=""),"",IFERROR(AA50*1000000.0/$B$54,""))</f>
        <v/>
      </c>
      <c r="AB60" s="29">
        <f>IF(OR(AB50="",$B$54=""),"",IFERROR(AB50*1000000.0/$B$54,""))</f>
        <v/>
      </c>
      <c r="AC60" s="29">
        <f>IF(OR(AC50="",$B$54=""),"",IFERROR(AC50*1000000.0/$B$54,""))</f>
        <v/>
      </c>
    </row>
    <row r="61">
      <c r="A61" s="9" t="inlineStr">
        <is>
          <t>목표주가</t>
        </is>
      </c>
      <c r="B61" s="10" t="n"/>
      <c r="C61" s="34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34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34">
        <f>IF(OR(Y60="",Y59=""),"",IFERROR(Y60*Y59,""))</f>
        <v/>
      </c>
      <c r="Z61" s="27">
        <f>IF(OR(Z60="",Z59=""),"",IFERROR(Z60*Z59,""))</f>
        <v/>
      </c>
      <c r="AA61" s="27">
        <f>IF(OR(AA60="",AA59=""),"",IFERROR(AA60*AA59,""))</f>
        <v/>
      </c>
      <c r="AB61" s="27">
        <f>IF(OR(AB60="",AB59=""),"",IFERROR(AB60*AB59,""))</f>
        <v/>
      </c>
      <c r="AC61" s="27">
        <f>IF(OR(AC60="",AC59=""),"",IFERROR(AC60*AC59,""))</f>
        <v/>
      </c>
    </row>
    <row r="62">
      <c r="A62" s="18" t="inlineStr">
        <is>
          <t>상승여력</t>
        </is>
      </c>
      <c r="B62" s="10" t="n"/>
      <c r="C62" s="35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5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7">
        <f>IF(OR(Y61="",$B$53=""),"",IFERROR(Y61/$B$53-1,""))</f>
        <v/>
      </c>
      <c r="Z62" s="38">
        <f>IF(OR(Z61="",$B$53=""),"",IFERROR(Z61/$B$53-1,""))</f>
        <v/>
      </c>
      <c r="AA62" s="38">
        <f>IF(OR(AA61="",$B$53=""),"",IFERROR(AA61/$B$53-1,""))</f>
        <v/>
      </c>
      <c r="AB62" s="38">
        <f>IF(OR(AB61="",$B$53=""),"",IFERROR(AB61/$B$53-1,""))</f>
        <v/>
      </c>
      <c r="AC62" s="38">
        <f>IF(OR(AC61="",$B$53=""),"",IFERROR(AC61/$B$53-1,""))</f>
        <v/>
      </c>
    </row>
    <row r="63">
      <c r="A63" s="16" t="inlineStr">
        <is>
          <t>자산가치 산출</t>
        </is>
      </c>
      <c r="B63" s="16" t="inlineStr">
        <is>
          <t>최신 분기 BS</t>
        </is>
      </c>
      <c r="C63" s="17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7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7" t="n"/>
      <c r="Z63" s="16" t="n"/>
      <c r="AA63" s="16" t="n"/>
      <c r="AB63" s="16" t="n"/>
      <c r="AC63" s="16" t="n"/>
    </row>
    <row r="64">
      <c r="A64" s="18" t="inlineStr">
        <is>
          <t>현금및현금성자산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'재무상태표'!G6</f>
        <v/>
      </c>
      <c r="Y64" s="19">
        <f>'재무상태표'!G6</f>
        <v/>
      </c>
      <c r="Z64" s="20">
        <f>'재무상태표'!G6</f>
        <v/>
      </c>
      <c r="AA64" s="20">
        <f>'재무상태표'!G6</f>
        <v/>
      </c>
      <c r="AB64" s="20">
        <f>'재무상태표'!G6</f>
        <v/>
      </c>
      <c r="AC64" s="20">
        <f>'재무상태표'!G6</f>
        <v/>
      </c>
    </row>
    <row r="65">
      <c r="A65" s="18" t="inlineStr">
        <is>
          <t>단기금융상품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'재무상태표'!G7</f>
        <v/>
      </c>
      <c r="Y65" s="19">
        <f>'재무상태표'!G7</f>
        <v/>
      </c>
      <c r="Z65" s="20">
        <f>'재무상태표'!G7</f>
        <v/>
      </c>
      <c r="AA65" s="20">
        <f>'재무상태표'!G7</f>
        <v/>
      </c>
      <c r="AB65" s="20">
        <f>'재무상태표'!G7</f>
        <v/>
      </c>
      <c r="AC65" s="20">
        <f>'재무상태표'!G7</f>
        <v/>
      </c>
    </row>
    <row r="66">
      <c r="A66" s="18" t="inlineStr">
        <is>
          <t>투자부동산</t>
        </is>
      </c>
      <c r="B66" s="10" t="n"/>
      <c r="C66" s="19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19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>
        <f>'재무상태표'!G14</f>
        <v/>
      </c>
      <c r="Y66" s="19">
        <f>'재무상태표'!G14</f>
        <v/>
      </c>
      <c r="Z66" s="20">
        <f>'재무상태표'!G14</f>
        <v/>
      </c>
      <c r="AA66" s="20">
        <f>'재무상태표'!G14</f>
        <v/>
      </c>
      <c r="AB66" s="20">
        <f>'재무상태표'!G14</f>
        <v/>
      </c>
      <c r="AC66" s="20">
        <f>'재무상태표'!G14</f>
        <v/>
      </c>
    </row>
    <row r="67">
      <c r="A67" s="18" t="inlineStr">
        <is>
          <t>지배자본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'재무상태표'!G31</f>
        <v/>
      </c>
      <c r="Y67" s="19">
        <f>'재무상태표'!G31</f>
        <v/>
      </c>
      <c r="Z67" s="20">
        <f>'재무상태표'!G31</f>
        <v/>
      </c>
      <c r="AA67" s="20">
        <f>'재무상태표'!G31</f>
        <v/>
      </c>
      <c r="AB67" s="20">
        <f>'재무상태표'!G31</f>
        <v/>
      </c>
      <c r="AC67" s="20">
        <f>'재무상태표'!G31</f>
        <v/>
      </c>
    </row>
    <row r="68">
      <c r="A68" s="18" t="inlineStr">
        <is>
          <t>부채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'재무상태표'!G27</f>
        <v/>
      </c>
      <c r="Y68" s="19">
        <f>'재무상태표'!G27</f>
        <v/>
      </c>
      <c r="Z68" s="20">
        <f>'재무상태표'!G27</f>
        <v/>
      </c>
      <c r="AA68" s="20">
        <f>'재무상태표'!G27</f>
        <v/>
      </c>
      <c r="AB68" s="20">
        <f>'재무상태표'!G27</f>
        <v/>
      </c>
      <c r="AC68" s="20">
        <f>'재무상태표'!G27</f>
        <v/>
      </c>
    </row>
    <row r="69">
      <c r="A69" s="13" t="inlineStr">
        <is>
          <t>부채비율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>
        <f>IF(OR(X68="",X67=""),"",IFERROR(X68/X67,""))</f>
        <v/>
      </c>
      <c r="Y69" s="14">
        <f>IF(OR(Y68="",Y67=""),"",IFERROR(Y68/Y67,""))</f>
        <v/>
      </c>
      <c r="Z69" s="15">
        <f>IF(OR(Z68="",Z67=""),"",IFERROR(Z68/Z67,""))</f>
        <v/>
      </c>
      <c r="AA69" s="15">
        <f>IF(OR(AA68="",AA67=""),"",IFERROR(AA68/AA67,""))</f>
        <v/>
      </c>
      <c r="AB69" s="15">
        <f>IF(OR(AB68="",AB67=""),"",IFERROR(AB68/AB67,""))</f>
        <v/>
      </c>
      <c r="AC69" s="15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6" t="inlineStr">
        <is>
          <t>기업가치 산출</t>
        </is>
      </c>
      <c r="B71" s="16" t="n"/>
      <c r="C71" s="17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7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7" t="n"/>
      <c r="Z71" s="16" t="n"/>
      <c r="AA71" s="16" t="n"/>
      <c r="AB71" s="16" t="n"/>
      <c r="AC71" s="16" t="n"/>
    </row>
    <row r="72">
      <c r="A72" s="18" t="inlineStr">
        <is>
          <t>목표 시가총액 (P/E)</t>
        </is>
      </c>
      <c r="B72" s="10" t="inlineStr">
        <is>
          <t>지배순이익 × Target P/E</t>
        </is>
      </c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19">
        <f>IF(OR(Y50="",Y59=""),"",IFERROR(Y50*Y59,""))</f>
        <v/>
      </c>
      <c r="Z72" s="20">
        <f>IF(OR(Z50="",Z59=""),"",IFERROR(Z50*Z59,""))</f>
        <v/>
      </c>
      <c r="AA72" s="20">
        <f>IF(OR(AA50="",AA59=""),"",IFERROR(AA50*AA59,""))</f>
        <v/>
      </c>
      <c r="AB72" s="20">
        <f>IF(OR(AB50="",AB59=""),"",IFERROR(AB50*AB59,""))</f>
        <v/>
      </c>
      <c r="AC72" s="20">
        <f>IF(OR(AC50="",AC59=""),"",IFERROR(AC50*AC59,""))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18" t="inlineStr">
        <is>
          <t>현재 시가총액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19">
        <f>$B$55</f>
        <v/>
      </c>
      <c r="Z74" s="20">
        <f>$B$55</f>
        <v/>
      </c>
      <c r="AA74" s="20">
        <f>$B$55</f>
        <v/>
      </c>
      <c r="AB74" s="20">
        <f>$B$55</f>
        <v/>
      </c>
      <c r="AC74" s="20">
        <f>$B$55</f>
        <v/>
      </c>
    </row>
    <row r="75">
      <c r="A75" s="18" t="inlineStr">
        <is>
          <t>상승여력</t>
        </is>
      </c>
      <c r="B75" s="10" t="n"/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5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7">
        <f>IF(OR(Y73="",Y74=""),"",IFERROR(Y73/Y74-1,""))</f>
        <v/>
      </c>
      <c r="Z75" s="38">
        <f>IF(OR(Z73="",Z74=""),"",IFERROR(Z73/Z74-1,""))</f>
        <v/>
      </c>
      <c r="AA75" s="38">
        <f>IF(OR(AA73="",AA74=""),"",IFERROR(AA73/AA74-1,""))</f>
        <v/>
      </c>
      <c r="AB75" s="38">
        <f>IF(OR(AB73="",AB74=""),"",IFERROR(AB73/AB74-1,""))</f>
        <v/>
      </c>
      <c r="AC75" s="38">
        <f>IF(OR(AC73="",AC74=""),"",IFERROR(AC73/AC74-1,""))</f>
        <v/>
      </c>
    </row>
    <row r="76">
      <c r="C76" s="39" t="n"/>
      <c r="O76" s="39" t="n"/>
      <c r="Y76" s="39" t="n"/>
    </row>
    <row r="77">
      <c r="A77" s="40" t="inlineStr">
        <is>
          <t>출처</t>
        </is>
      </c>
      <c r="C77" s="39" t="n"/>
      <c r="O77" s="39" t="n"/>
      <c r="Y77" s="39" t="n"/>
    </row>
    <row r="78">
      <c r="A78" s="41" t="inlineStr">
        <is>
          <t>결산단신 XBRL(TDnet·JPX 보관소) — 쓴 문서는 '출처' 시트</t>
        </is>
      </c>
      <c r="C78" s="39" t="n"/>
      <c r="O78" s="39" t="n"/>
      <c r="Y78" s="39" t="n"/>
    </row>
    <row r="79">
      <c r="A79" s="41" t="inlineStr">
        <is>
          <t>분기 = 누계에서 앞 분기를 뺀 3개월 값</t>
        </is>
      </c>
      <c r="C79" s="39" t="n"/>
      <c r="O79" s="39" t="n"/>
      <c r="Y79" s="39" t="n"/>
    </row>
    <row r="80">
      <c r="A80" s="41" t="inlineStr">
        <is>
          <t>주가: 야후 파이낸스 일봉</t>
        </is>
      </c>
      <c r="C80" s="39" t="n"/>
      <c r="O80" s="39" t="n"/>
      <c r="Y80" s="39" t="n"/>
    </row>
    <row r="82">
      <c r="A82" s="16" t="inlineStr">
        <is>
          <t>손익계산서 · 전 항목</t>
        </is>
      </c>
      <c r="B82" s="42" t="inlineStr">
        <is>
          <t>분기 = 3개월 단독</t>
        </is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2024.2Q</t>
        </is>
      </c>
      <c r="D83" s="5" t="inlineStr">
        <is>
          <t>2024.3Q</t>
        </is>
      </c>
      <c r="E83" s="5" t="inlineStr">
        <is>
          <t>2024.4Q</t>
        </is>
      </c>
      <c r="F83" s="5" t="inlineStr">
        <is>
          <t>2025.1Q</t>
        </is>
      </c>
      <c r="G83" s="5" t="inlineStr">
        <is>
          <t>2025.2Q</t>
        </is>
      </c>
      <c r="H83" s="5" t="inlineStr">
        <is>
          <t>2025.3Q</t>
        </is>
      </c>
      <c r="I83" s="5" t="inlineStr">
        <is>
          <t>2025.4Q</t>
        </is>
      </c>
      <c r="J83" s="5" t="inlineStr">
        <is>
          <t>2026.1Q</t>
        </is>
      </c>
      <c r="K83" s="5" t="inlineStr">
        <is>
          <t>2026.2Q</t>
        </is>
      </c>
      <c r="L83" s="5" t="inlineStr">
        <is>
          <t>2026.3Q</t>
        </is>
      </c>
      <c r="M83" s="5" t="inlineStr">
        <is>
          <t>2026.4Q</t>
        </is>
      </c>
      <c r="N83" s="5" t="inlineStr">
        <is>
          <t>2027.1Q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5069.553</v>
      </c>
      <c r="D84" s="12" t="n">
        <v>4495.955</v>
      </c>
      <c r="E84" s="12" t="n">
        <v>5328.078</v>
      </c>
      <c r="F84" s="12" t="n">
        <v>4122.481</v>
      </c>
      <c r="G84" s="12" t="n">
        <v>5409.129</v>
      </c>
      <c r="H84" s="12" t="n">
        <v>4677.838</v>
      </c>
      <c r="I84" s="12" t="n">
        <v>6426.624</v>
      </c>
      <c r="J84" s="12" t="n">
        <v>5956.904</v>
      </c>
      <c r="K84" s="12" t="n">
        <v>5969.503</v>
      </c>
      <c r="L84" s="12" t="n">
        <v>6001.919</v>
      </c>
      <c r="M84" s="12" t="n">
        <v>6325.128</v>
      </c>
      <c r="N84" s="12" t="n">
        <v>6761.48</v>
      </c>
      <c r="T84" s="12" t="n">
        <v>2906.276</v>
      </c>
      <c r="U84" s="12" t="n">
        <v>4770.179</v>
      </c>
      <c r="V84" s="12" t="n">
        <v>5328.078</v>
      </c>
      <c r="W84" s="12" t="n">
        <v>6426.624</v>
      </c>
      <c r="X84" s="12" t="n">
        <v>6325.128</v>
      </c>
    </row>
    <row r="85">
      <c r="A85" s="43" t="inlineStr">
        <is>
          <t>YoY</t>
        </is>
      </c>
      <c r="B85" s="3" t="inlineStr">
        <is>
          <t>전년 같은 분기·전년 대비</t>
        </is>
      </c>
      <c r="G85" s="15">
        <f>IF(OR(G84="",C84=""),"",IF(C84&lt;=0,"",IFERROR(G84/C84-1,"")))</f>
        <v/>
      </c>
      <c r="H85" s="15">
        <f>IF(OR(H84="",D84=""),"",IF(D84&lt;=0,"",IFERROR(H84/D84-1,"")))</f>
        <v/>
      </c>
      <c r="I85" s="15">
        <f>IF(OR(I84="",E84=""),"",IF(E84&lt;=0,"",IFERROR(I84/E84-1,"")))</f>
        <v/>
      </c>
      <c r="J85" s="15">
        <f>IF(OR(J84="",F84=""),"",IF(F84&lt;=0,"",IFERROR(J84/F84-1,"")))</f>
        <v/>
      </c>
      <c r="K85" s="15">
        <f>IF(OR(K84="",G84=""),"",IF(G84&lt;=0,"",IFERROR(K84/G84-1,"")))</f>
        <v/>
      </c>
      <c r="L85" s="15">
        <f>IF(OR(L84="",H84=""),"",IF(H84&lt;=0,"",IFERROR(L84/H84-1,"")))</f>
        <v/>
      </c>
      <c r="M85" s="15">
        <f>IF(OR(M84="",I84=""),"",IF(I84&lt;=0,"",IFERROR(M84/I84-1,"")))</f>
        <v/>
      </c>
      <c r="N85" s="15">
        <f>IF(OR(N84="",J84=""),"",IF(J84&lt;=0,"",IFERROR(N84/J84-1,"")))</f>
        <v/>
      </c>
      <c r="T85" s="15">
        <f>IF(OR(T84="",S84=""),"",IF(S84&lt;=0,"",IFERROR(T84/S84-1,"")))</f>
        <v/>
      </c>
      <c r="U85" s="15">
        <f>IF(OR(U84="",T84=""),"",IF(T84&lt;=0,"",IFERROR(U84/T84-1,"")))</f>
        <v/>
      </c>
      <c r="V85" s="15">
        <f>IF(OR(V84="",U84=""),"",IF(U84&lt;=0,"",IFERROR(V84/U84-1,"")))</f>
        <v/>
      </c>
      <c r="W85" s="15">
        <f>IF(OR(W84="",V84=""),"",IF(V84&lt;=0,"",IFERROR(W84/V84-1,"")))</f>
        <v/>
      </c>
      <c r="X85" s="15">
        <f>IF(OR(X84="",W84=""),"",IF(W84&lt;=0,"",IFERROR(X84/W84-1,"")))</f>
        <v/>
      </c>
    </row>
    <row r="86">
      <c r="A86" s="18" t="inlineStr">
        <is>
          <t>매출원가</t>
        </is>
      </c>
      <c r="C86" s="20" t="n">
        <v>3906.536</v>
      </c>
      <c r="D86" s="20" t="n">
        <v>3621.888</v>
      </c>
      <c r="E86" s="20" t="n">
        <v>4150.818</v>
      </c>
      <c r="F86" s="20" t="n">
        <v>3329.104</v>
      </c>
      <c r="G86" s="20" t="n">
        <v>4098.526</v>
      </c>
      <c r="H86" s="20" t="n">
        <v>3769.529</v>
      </c>
      <c r="I86" s="20" t="n">
        <v>4744.933</v>
      </c>
      <c r="J86" s="20" t="n">
        <v>4812.692</v>
      </c>
      <c r="K86" s="20" t="n">
        <v>4693.067</v>
      </c>
      <c r="L86" s="20" t="n">
        <v>4890.493</v>
      </c>
      <c r="M86" s="20" t="n">
        <v>4790.275</v>
      </c>
      <c r="N86" s="20" t="n">
        <v>5210.34</v>
      </c>
      <c r="T86" s="20" t="n">
        <v>2188.597</v>
      </c>
      <c r="U86" s="20" t="n">
        <v>3660.306</v>
      </c>
      <c r="V86" s="20" t="n">
        <v>4150.818</v>
      </c>
      <c r="W86" s="20" t="n">
        <v>4744.933</v>
      </c>
      <c r="X86" s="20" t="n">
        <v>4790.275</v>
      </c>
    </row>
    <row r="87">
      <c r="A87" s="9" t="inlineStr">
        <is>
          <t>매출총이익</t>
        </is>
      </c>
      <c r="C87" s="12" t="n">
        <v>1163.018</v>
      </c>
      <c r="D87" s="12" t="n">
        <v>874.066</v>
      </c>
      <c r="E87" s="12" t="n">
        <v>1177.26</v>
      </c>
      <c r="F87" s="12" t="n">
        <v>793.376</v>
      </c>
      <c r="G87" s="12" t="n">
        <v>1310.604</v>
      </c>
      <c r="H87" s="12" t="n">
        <v>908.308</v>
      </c>
      <c r="I87" s="12" t="n">
        <v>1681.692</v>
      </c>
      <c r="J87" s="12" t="n">
        <v>1144.212</v>
      </c>
      <c r="K87" s="12" t="n">
        <v>1276.435</v>
      </c>
      <c r="L87" s="12" t="n">
        <v>1111.426</v>
      </c>
      <c r="M87" s="12" t="n">
        <v>1534.854</v>
      </c>
      <c r="N87" s="12" t="n">
        <v>1551.14</v>
      </c>
      <c r="T87" s="12" t="n">
        <v>717.678</v>
      </c>
      <c r="U87" s="12" t="n">
        <v>1109.872</v>
      </c>
      <c r="V87" s="12" t="n">
        <v>1177.26</v>
      </c>
      <c r="W87" s="12" t="n">
        <v>1681.692</v>
      </c>
      <c r="X87" s="12" t="n">
        <v>1534.854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판매비와 관리비</t>
        </is>
      </c>
      <c r="C89" s="20" t="n">
        <v>835.399</v>
      </c>
      <c r="D89" s="20" t="n">
        <v>839.657</v>
      </c>
      <c r="E89" s="20" t="n">
        <v>910.505</v>
      </c>
      <c r="F89" s="20" t="n">
        <v>909.96</v>
      </c>
      <c r="G89" s="20" t="n">
        <v>858.881</v>
      </c>
      <c r="H89" s="20" t="n">
        <v>927.852</v>
      </c>
      <c r="I89" s="20" t="n">
        <v>976.552</v>
      </c>
      <c r="J89" s="20" t="n">
        <v>948.505</v>
      </c>
      <c r="K89" s="20" t="n">
        <v>928.951</v>
      </c>
      <c r="L89" s="20" t="n">
        <v>989.9640000000001</v>
      </c>
      <c r="M89" s="20" t="n">
        <v>1029.364</v>
      </c>
      <c r="N89" s="20" t="n">
        <v>1151.294</v>
      </c>
      <c r="T89" s="20" t="n">
        <v>566.876</v>
      </c>
      <c r="U89" s="20" t="n">
        <v>881.159</v>
      </c>
      <c r="V89" s="20" t="n">
        <v>910.505</v>
      </c>
      <c r="W89" s="20" t="n">
        <v>976.552</v>
      </c>
      <c r="X89" s="20" t="n">
        <v>1029.364</v>
      </c>
    </row>
    <row r="90">
      <c r="A90" s="9" t="inlineStr">
        <is>
          <t>영업이익</t>
        </is>
      </c>
      <c r="C90" s="12" t="n">
        <v>327.618</v>
      </c>
      <c r="D90" s="12" t="n">
        <v>34.409</v>
      </c>
      <c r="E90" s="12" t="n">
        <v>266.755</v>
      </c>
      <c r="F90" s="12" t="n">
        <v>-116.584</v>
      </c>
      <c r="G90" s="12" t="n">
        <v>451.722</v>
      </c>
      <c r="H90" s="12" t="n">
        <v>-19.544</v>
      </c>
      <c r="I90" s="12" t="n">
        <v>705.14</v>
      </c>
      <c r="J90" s="12" t="n">
        <v>195.707</v>
      </c>
      <c r="K90" s="12" t="n">
        <v>347.484</v>
      </c>
      <c r="L90" s="12" t="n">
        <v>121.462</v>
      </c>
      <c r="M90" s="12" t="n">
        <v>505.489</v>
      </c>
      <c r="N90" s="12" t="n">
        <v>399.845</v>
      </c>
      <c r="T90" s="12" t="n">
        <v>150.802</v>
      </c>
      <c r="U90" s="12" t="n">
        <v>228.713</v>
      </c>
      <c r="V90" s="12" t="n">
        <v>266.755</v>
      </c>
      <c r="W90" s="12" t="n">
        <v>705.14</v>
      </c>
      <c r="X90" s="12" t="n">
        <v>505.489</v>
      </c>
    </row>
    <row r="91">
      <c r="A91" s="43" t="inlineStr">
        <is>
          <t>OPM</t>
        </is>
      </c>
      <c r="B91" s="3" t="inlineStr">
        <is>
          <t>영업이익 ÷ 매출</t>
        </is>
      </c>
      <c r="C91" s="15">
        <f>IF(OR(C90="",C84=""),"",IF(C84&lt;=0,"",IFERROR(C90/C84,"")))</f>
        <v/>
      </c>
      <c r="D91" s="15">
        <f>IF(OR(D90="",D84=""),"",IF(D84&lt;=0,"",IFERROR(D90/D84,"")))</f>
        <v/>
      </c>
      <c r="E91" s="15">
        <f>IF(OR(E90="",E84=""),"",IF(E84&lt;=0,"",IFERROR(E90/E84,"")))</f>
        <v/>
      </c>
      <c r="F91" s="15">
        <f>IF(OR(F90="",F84=""),"",IF(F84&lt;=0,"",IFERROR(F90/F84,"")))</f>
        <v/>
      </c>
      <c r="G91" s="15">
        <f>IF(OR(G90="",G84=""),"",IF(G84&lt;=0,"",IFERROR(G90/G84,"")))</f>
        <v/>
      </c>
      <c r="H91" s="15">
        <f>IF(OR(H90="",H84=""),"",IF(H84&lt;=0,"",IFERROR(H90/H84,"")))</f>
        <v/>
      </c>
      <c r="I91" s="15">
        <f>IF(OR(I90="",I84=""),"",IF(I84&lt;=0,"",IFERROR(I90/I84,"")))</f>
        <v/>
      </c>
      <c r="J91" s="15">
        <f>IF(OR(J90="",J84=""),"",IF(J84&lt;=0,"",IFERROR(J90/J84,"")))</f>
        <v/>
      </c>
      <c r="K91" s="15">
        <f>IF(OR(K90="",K84=""),"",IF(K84&lt;=0,"",IFERROR(K90/K84,"")))</f>
        <v/>
      </c>
      <c r="L91" s="15">
        <f>IF(OR(L90="",L84=""),"",IF(L84&lt;=0,"",IFERROR(L90/L84,"")))</f>
        <v/>
      </c>
      <c r="M91" s="15">
        <f>IF(OR(M90="",M84=""),"",IF(M84&lt;=0,"",IFERROR(M90/M84,"")))</f>
        <v/>
      </c>
      <c r="N91" s="15">
        <f>IF(OR(N90="",N84=""),"",IF(N84&lt;=0,"",IFERROR(N90/N84,"")))</f>
        <v/>
      </c>
      <c r="T91" s="15">
        <f>IF(OR(T90="",T84=""),"",IF(T84&lt;=0,"",IFERROR(T90/T84,"")))</f>
        <v/>
      </c>
      <c r="U91" s="15">
        <f>IF(OR(U90="",U84=""),"",IF(U84&lt;=0,"",IFERROR(U90/U84,"")))</f>
        <v/>
      </c>
      <c r="V91" s="15">
        <f>IF(OR(V90="",V84=""),"",IF(V84&lt;=0,"",IFERROR(V90/V84,"")))</f>
        <v/>
      </c>
      <c r="W91" s="15">
        <f>IF(OR(W90="",W84=""),"",IF(W84&lt;=0,"",IFERROR(W90/W84,"")))</f>
        <v/>
      </c>
      <c r="X91" s="15">
        <f>IF(OR(X90="",X84=""),"",IF(X84&lt;=0,"",IFERROR(X90/X84,"")))</f>
        <v/>
      </c>
    </row>
    <row r="92">
      <c r="A92" s="43" t="inlineStr">
        <is>
          <t>YoY</t>
        </is>
      </c>
      <c r="B92" s="3" t="inlineStr">
        <is>
          <t>전년 같은 분기·전년 대비</t>
        </is>
      </c>
      <c r="G92" s="15">
        <f>IF(OR(G90="",C90=""),"",IF(C90&lt;=0,"",IFERROR(G90/C90-1,"")))</f>
        <v/>
      </c>
      <c r="H92" s="15">
        <f>IF(OR(H90="",D90=""),"",IF(D90&lt;=0,"",IFERROR(H90/D90-1,"")))</f>
        <v/>
      </c>
      <c r="I92" s="15">
        <f>IF(OR(I90="",E90=""),"",IF(E90&lt;=0,"",IFERROR(I90/E90-1,"")))</f>
        <v/>
      </c>
      <c r="J92" s="15">
        <f>IF(OR(J90="",F90=""),"",IF(F90&lt;=0,"",IFERROR(J90/F90-1,"")))</f>
        <v/>
      </c>
      <c r="K92" s="15">
        <f>IF(OR(K90="",G90=""),"",IF(G90&lt;=0,"",IFERROR(K90/G90-1,"")))</f>
        <v/>
      </c>
      <c r="L92" s="15">
        <f>IF(OR(L90="",H90=""),"",IF(H90&lt;=0,"",IFERROR(L90/H90-1,"")))</f>
        <v/>
      </c>
      <c r="M92" s="15">
        <f>IF(OR(M90="",I90=""),"",IF(I90&lt;=0,"",IFERROR(M90/I90-1,"")))</f>
        <v/>
      </c>
      <c r="N92" s="15">
        <f>IF(OR(N90="",J90=""),"",IF(J90&lt;=0,"",IFERROR(N90/J90-1,"")))</f>
        <v/>
      </c>
      <c r="T92" s="15">
        <f>IF(OR(T90="",S90=""),"",IF(S90&lt;=0,"",IFERROR(T90/S90-1,"")))</f>
        <v/>
      </c>
      <c r="U92" s="15">
        <f>IF(OR(U90="",T90=""),"",IF(T90&lt;=0,"",IFERROR(U90/T90-1,"")))</f>
        <v/>
      </c>
      <c r="V92" s="15">
        <f>IF(OR(V90="",U90=""),"",IF(U90&lt;=0,"",IFERROR(V90/U90-1,"")))</f>
        <v/>
      </c>
      <c r="W92" s="15">
        <f>IF(OR(W90="",V90=""),"",IF(V90&lt;=0,"",IFERROR(W90/V90-1,"")))</f>
        <v/>
      </c>
      <c r="X92" s="15">
        <f>IF(OR(X90="",W90=""),"",IF(W90&lt;=0,"",IFERROR(X90/W90-1,"")))</f>
        <v/>
      </c>
    </row>
    <row r="93">
      <c r="A93" s="18" t="inlineStr">
        <is>
          <t>이자수익</t>
        </is>
      </c>
      <c r="C93" s="20" t="n">
        <v>0.065</v>
      </c>
      <c r="D93" s="20" t="n">
        <v>0.034</v>
      </c>
      <c r="E93" s="20" t="n">
        <v>0.027</v>
      </c>
      <c r="F93" s="20" t="n">
        <v>0.055</v>
      </c>
      <c r="G93" s="20" t="n">
        <v>0.07000000000000001</v>
      </c>
      <c r="H93" s="20" t="n">
        <v>0.158</v>
      </c>
      <c r="I93" s="20" t="n">
        <v>0.065</v>
      </c>
      <c r="J93" s="20" t="n">
        <v>0.526</v>
      </c>
      <c r="K93" s="20" t="n">
        <v>0.207</v>
      </c>
      <c r="L93" s="20" t="n">
        <v>0.327</v>
      </c>
      <c r="M93" s="20" t="n">
        <v>0.505</v>
      </c>
      <c r="N93" s="20" t="n">
        <v>1.04</v>
      </c>
      <c r="T93" s="20" t="n">
        <v>0.036</v>
      </c>
      <c r="U93" s="20" t="n">
        <v>0.027</v>
      </c>
      <c r="V93" s="20" t="n">
        <v>0.027</v>
      </c>
      <c r="W93" s="20" t="n">
        <v>0.065</v>
      </c>
      <c r="X93" s="20" t="n">
        <v>0.505</v>
      </c>
    </row>
    <row r="94">
      <c r="A94" s="18" t="inlineStr">
        <is>
          <t>배당금수익</t>
        </is>
      </c>
      <c r="C94" s="20" t="n">
        <v>3.585</v>
      </c>
      <c r="D94" s="20" t="n">
        <v>0.06</v>
      </c>
      <c r="E94" s="20" t="n">
        <v>0</v>
      </c>
      <c r="F94" s="20" t="n">
        <v>1.109</v>
      </c>
      <c r="G94" s="20" t="n">
        <v>1.975</v>
      </c>
      <c r="H94" s="20" t="n">
        <v>2.409</v>
      </c>
      <c r="I94" s="20" t="n">
        <v>0</v>
      </c>
      <c r="J94" s="20" t="n">
        <v>1.327</v>
      </c>
      <c r="K94" s="20" t="n">
        <v>2.355</v>
      </c>
      <c r="L94" s="20" t="n">
        <v>2.812</v>
      </c>
      <c r="M94" s="20" t="n">
        <v>3.162</v>
      </c>
      <c r="N94" s="20" t="n">
        <v>1.532</v>
      </c>
      <c r="T94" s="20" t="n">
        <v>0</v>
      </c>
      <c r="U94" s="20" t="n">
        <v>0</v>
      </c>
      <c r="V94" s="20" t="n">
        <v>0</v>
      </c>
      <c r="W94" s="20" t="n">
        <v>0</v>
      </c>
      <c r="X94" s="20" t="n">
        <v>3.162</v>
      </c>
    </row>
    <row r="95">
      <c r="A95" s="18" t="inlineStr">
        <is>
          <t>수수료 수익</t>
        </is>
      </c>
      <c r="C95" s="20" t="n">
        <v>0.287</v>
      </c>
      <c r="D95" s="20" t="n">
        <v>0.277</v>
      </c>
      <c r="E95" s="20" t="n">
        <v>0.303</v>
      </c>
      <c r="F95" s="20" t="n">
        <v>0.961</v>
      </c>
      <c r="G95" s="20" t="n">
        <v>-0.432</v>
      </c>
      <c r="H95" s="20" t="n">
        <v>0.263</v>
      </c>
      <c r="I95" s="20" t="n">
        <v>0.396</v>
      </c>
      <c r="J95" s="20" t="n">
        <v>0.279</v>
      </c>
      <c r="K95" s="20" t="n">
        <v>0.006</v>
      </c>
      <c r="L95" s="20" t="n">
        <v>0.026</v>
      </c>
      <c r="M95" s="20" t="n">
        <v>0.9389999999999999</v>
      </c>
      <c r="N95" s="20" t="n">
        <v>0.243</v>
      </c>
      <c r="T95" s="20" t="n">
        <v>0.291</v>
      </c>
      <c r="U95" s="20" t="n">
        <v>0.278</v>
      </c>
      <c r="V95" s="20" t="n">
        <v>0.303</v>
      </c>
      <c r="W95" s="20" t="n">
        <v>0.396</v>
      </c>
      <c r="X95" s="20" t="n">
        <v>0.9389999999999999</v>
      </c>
    </row>
    <row r="96">
      <c r="A96" s="18" t="inlineStr">
        <is>
          <t>임대료 수익</t>
        </is>
      </c>
      <c r="C96" s="20" t="n">
        <v>0.54</v>
      </c>
      <c r="D96" s="20" t="n">
        <v>0.54</v>
      </c>
      <c r="E96" s="20" t="n">
        <v>0.639</v>
      </c>
      <c r="F96" s="20" t="n">
        <v>0.339</v>
      </c>
      <c r="G96" s="20" t="n">
        <v>0.64</v>
      </c>
      <c r="H96" s="20" t="n">
        <v>0.54</v>
      </c>
      <c r="I96" s="20" t="n">
        <v>0.639</v>
      </c>
      <c r="J96" s="20" t="n">
        <v>0.539</v>
      </c>
      <c r="K96" s="20" t="n">
        <v>0.54</v>
      </c>
      <c r="L96" s="20" t="n">
        <v>0.54</v>
      </c>
      <c r="M96" s="20" t="n">
        <v>0.539</v>
      </c>
      <c r="N96" s="20" t="n">
        <v>0.539</v>
      </c>
      <c r="T96" s="20" t="n">
        <v>0.3</v>
      </c>
      <c r="U96" s="20" t="n">
        <v>0.479</v>
      </c>
      <c r="V96" s="20" t="n">
        <v>0.639</v>
      </c>
      <c r="W96" s="20" t="n">
        <v>0.639</v>
      </c>
      <c r="X96" s="20" t="n">
        <v>0.539</v>
      </c>
    </row>
    <row r="97">
      <c r="A97" s="18" t="inlineStr">
        <is>
          <t>외환차익</t>
        </is>
      </c>
      <c r="C97" s="20" t="n">
        <v>0.341</v>
      </c>
      <c r="D97" s="20" t="n">
        <v>1.006</v>
      </c>
      <c r="E97" s="20" t="n">
        <v>1.075</v>
      </c>
      <c r="F97" s="20" t="n">
        <v>0</v>
      </c>
      <c r="G97" s="20" t="n">
        <v>0</v>
      </c>
      <c r="H97" s="20" t="n">
        <v>0</v>
      </c>
      <c r="I97" s="20" t="n">
        <v>0</v>
      </c>
      <c r="J97" s="20" t="n">
        <v>0.555</v>
      </c>
      <c r="K97" s="20" t="n">
        <v>2.217</v>
      </c>
      <c r="L97" s="20" t="n">
        <v>0.163</v>
      </c>
      <c r="M97" s="20" t="n">
        <v>0.991</v>
      </c>
      <c r="N97" s="20" t="n">
        <v>0.528</v>
      </c>
      <c r="T97" s="20" t="n">
        <v>1.719</v>
      </c>
      <c r="U97" s="20" t="n">
        <v>0.641</v>
      </c>
      <c r="V97" s="20" t="n">
        <v>1.075</v>
      </c>
      <c r="W97" s="20" t="n">
        <v>0</v>
      </c>
      <c r="X97" s="20" t="n">
        <v>0.991</v>
      </c>
    </row>
    <row r="98">
      <c r="A98" s="18" t="inlineStr">
        <is>
          <t>기타</t>
        </is>
      </c>
      <c r="C98" s="20" t="n">
        <v>1.473</v>
      </c>
      <c r="D98" s="20" t="n">
        <v>0.165</v>
      </c>
      <c r="E98" s="20" t="n">
        <v>3.842</v>
      </c>
      <c r="F98" s="20" t="n">
        <v>0.718</v>
      </c>
      <c r="G98" s="20" t="n">
        <v>0.886</v>
      </c>
      <c r="H98" s="20" t="n">
        <v>0.491</v>
      </c>
      <c r="I98" s="20" t="n">
        <v>0.76</v>
      </c>
      <c r="J98" s="20" t="n">
        <v>0.8159999999999999</v>
      </c>
      <c r="K98" s="20" t="n">
        <v>1.368</v>
      </c>
      <c r="L98" s="20" t="n">
        <v>0.191</v>
      </c>
      <c r="M98" s="20" t="n">
        <v>0.74</v>
      </c>
      <c r="N98" s="20" t="n">
        <v>1.316</v>
      </c>
      <c r="T98" s="20" t="n">
        <v>0.74</v>
      </c>
      <c r="U98" s="20" t="n">
        <v>-0.189</v>
      </c>
      <c r="V98" s="20" t="n">
        <v>3.842</v>
      </c>
      <c r="W98" s="20" t="n">
        <v>0.76</v>
      </c>
      <c r="X98" s="20" t="n">
        <v>0.74</v>
      </c>
    </row>
    <row r="99">
      <c r="A99" s="18" t="inlineStr">
        <is>
          <t>영업외수익 합계</t>
        </is>
      </c>
      <c r="C99" s="20" t="n">
        <v>6.29</v>
      </c>
      <c r="D99" s="20" t="n">
        <v>2.082</v>
      </c>
      <c r="E99" s="20" t="n">
        <v>16.42</v>
      </c>
      <c r="F99" s="20" t="n">
        <v>3.184</v>
      </c>
      <c r="G99" s="20" t="n">
        <v>3.139</v>
      </c>
      <c r="H99" s="20" t="n">
        <v>3.861</v>
      </c>
      <c r="I99" s="20" t="n">
        <v>3.061</v>
      </c>
      <c r="J99" s="20" t="n">
        <v>4.045</v>
      </c>
      <c r="K99" s="20" t="n">
        <v>6.693</v>
      </c>
      <c r="L99" s="20" t="n">
        <v>4.058</v>
      </c>
      <c r="M99" s="20" t="n">
        <v>10.479</v>
      </c>
      <c r="N99" s="20" t="n">
        <v>5.201</v>
      </c>
      <c r="T99" s="20" t="n">
        <v>3.086</v>
      </c>
      <c r="U99" s="20" t="n">
        <v>2.554</v>
      </c>
      <c r="V99" s="20" t="n">
        <v>16.42</v>
      </c>
      <c r="W99" s="20" t="n">
        <v>3.061</v>
      </c>
      <c r="X99" s="20" t="n">
        <v>10.479</v>
      </c>
    </row>
    <row r="100">
      <c r="A100" s="18" t="inlineStr">
        <is>
          <t>이자비용</t>
        </is>
      </c>
      <c r="C100" s="20" t="n">
        <v>1.322</v>
      </c>
      <c r="D100" s="20" t="n">
        <v>0.453</v>
      </c>
      <c r="E100" s="20" t="n">
        <v>1</v>
      </c>
      <c r="F100" s="20" t="n">
        <v>1.813</v>
      </c>
      <c r="G100" s="20" t="n">
        <v>1.2</v>
      </c>
      <c r="H100" s="20" t="n">
        <v>0.9360000000000001</v>
      </c>
      <c r="I100" s="20" t="n">
        <v>0.953</v>
      </c>
      <c r="J100" s="20" t="n">
        <v>1.483</v>
      </c>
      <c r="K100" s="20" t="n">
        <v>1.663</v>
      </c>
      <c r="L100" s="20" t="n">
        <v>0.767</v>
      </c>
      <c r="M100" s="20" t="n">
        <v>0.708</v>
      </c>
      <c r="N100" s="20" t="n">
        <v>0.964</v>
      </c>
      <c r="T100" s="20" t="n">
        <v>0.374</v>
      </c>
      <c r="U100" s="20" t="n">
        <v>0.785</v>
      </c>
      <c r="V100" s="20" t="n">
        <v>1</v>
      </c>
      <c r="W100" s="20" t="n">
        <v>0.953</v>
      </c>
      <c r="X100" s="20" t="n">
        <v>0.708</v>
      </c>
    </row>
    <row r="101">
      <c r="A101" s="18" t="inlineStr">
        <is>
          <t>세금과공과</t>
        </is>
      </c>
      <c r="C101" s="20" t="n">
        <v>0.35</v>
      </c>
      <c r="D101" s="20" t="n">
        <v>0.45</v>
      </c>
      <c r="E101" s="20" t="n">
        <v>1.09</v>
      </c>
      <c r="F101" s="20" t="n">
        <v>1.23</v>
      </c>
      <c r="G101" s="20" t="n">
        <v>-1.07</v>
      </c>
      <c r="H101" s="20" t="n">
        <v>0.8</v>
      </c>
      <c r="I101" s="20" t="n">
        <v>0.7</v>
      </c>
      <c r="J101" s="20" t="n">
        <v>0.6</v>
      </c>
      <c r="K101" s="20" t="n">
        <v>0.75</v>
      </c>
      <c r="L101" s="20" t="n">
        <v>0.75</v>
      </c>
      <c r="M101" s="20" t="n">
        <v>0.4</v>
      </c>
      <c r="N101" s="20" t="n">
        <v>0.85</v>
      </c>
      <c r="T101" s="20" t="n">
        <v>0.4</v>
      </c>
      <c r="U101" s="20" t="n">
        <v>0.2</v>
      </c>
      <c r="V101" s="20" t="n">
        <v>1.09</v>
      </c>
      <c r="W101" s="20" t="n">
        <v>0.7</v>
      </c>
      <c r="X101" s="20" t="n">
        <v>0.4</v>
      </c>
    </row>
    <row r="102">
      <c r="A102" s="18" t="inlineStr">
        <is>
          <t>외환차손</t>
        </is>
      </c>
      <c r="C102" s="20" t="n">
        <v>0</v>
      </c>
      <c r="D102" s="20" t="n">
        <v>0</v>
      </c>
      <c r="E102" s="20" t="n">
        <v>0</v>
      </c>
      <c r="F102" s="20" t="n">
        <v>2.387</v>
      </c>
      <c r="G102" s="20" t="n">
        <v>-0.78</v>
      </c>
      <c r="H102" s="20" t="n">
        <v>0.921</v>
      </c>
      <c r="I102" s="20" t="n">
        <v>0.864</v>
      </c>
      <c r="J102" s="20" t="n">
        <v>0</v>
      </c>
      <c r="K102" s="20" t="n">
        <v>0</v>
      </c>
      <c r="L102" s="20" t="n">
        <v>0</v>
      </c>
      <c r="M102" s="20" t="n">
        <v>0</v>
      </c>
      <c r="V102" s="20" t="n">
        <v>0</v>
      </c>
      <c r="W102" s="20" t="n">
        <v>0.864</v>
      </c>
      <c r="X102" s="20" t="n">
        <v>0</v>
      </c>
    </row>
    <row r="103">
      <c r="A103" s="18" t="inlineStr">
        <is>
          <t>주식보상비용</t>
        </is>
      </c>
      <c r="C103" s="20" t="n">
        <v>0.011</v>
      </c>
      <c r="D103" s="20" t="n">
        <v>0</v>
      </c>
      <c r="E103" s="20" t="n">
        <v>0</v>
      </c>
      <c r="F103" s="20" t="n">
        <v>0</v>
      </c>
      <c r="G103" s="20" t="n">
        <v>0</v>
      </c>
      <c r="H103" s="20" t="n">
        <v>0</v>
      </c>
      <c r="I103" s="20" t="n">
        <v>0</v>
      </c>
      <c r="T103" s="20" t="n">
        <v>0.245</v>
      </c>
      <c r="U103" s="20" t="n">
        <v>0.183</v>
      </c>
      <c r="V103" s="20" t="n">
        <v>0</v>
      </c>
      <c r="W103" s="20" t="n">
        <v>0</v>
      </c>
    </row>
    <row r="104">
      <c r="A104" s="18" t="inlineStr">
        <is>
          <t>유가증권 상환손실</t>
        </is>
      </c>
      <c r="T104" s="20" t="n">
        <v>0</v>
      </c>
      <c r="U104" s="20" t="n">
        <v>0</v>
      </c>
    </row>
    <row r="105">
      <c r="A105" s="18" t="inlineStr">
        <is>
          <t>기타</t>
        </is>
      </c>
      <c r="C105" s="20" t="n">
        <v>0.035</v>
      </c>
      <c r="D105" s="20" t="n">
        <v>0.046</v>
      </c>
      <c r="E105" s="20" t="n">
        <v>0.404</v>
      </c>
      <c r="F105" s="20" t="n">
        <v>0.474</v>
      </c>
      <c r="G105" s="20" t="n">
        <v>0.223</v>
      </c>
      <c r="H105" s="20" t="n">
        <v>0.066</v>
      </c>
      <c r="I105" s="20" t="n">
        <v>0.716</v>
      </c>
      <c r="J105" s="20" t="n">
        <v>0.032</v>
      </c>
      <c r="K105" s="20" t="n">
        <v>0.485</v>
      </c>
      <c r="L105" s="20" t="n">
        <v>0.947</v>
      </c>
      <c r="M105" s="20" t="n">
        <v>0.033</v>
      </c>
      <c r="N105" s="20" t="n">
        <v>0.031</v>
      </c>
      <c r="T105" s="20" t="n">
        <v>0.037</v>
      </c>
      <c r="U105" s="20" t="n">
        <v>0.038</v>
      </c>
      <c r="V105" s="20" t="n">
        <v>0.404</v>
      </c>
      <c r="W105" s="20" t="n">
        <v>0.716</v>
      </c>
      <c r="X105" s="20" t="n">
        <v>0.033</v>
      </c>
    </row>
    <row r="106">
      <c r="A106" s="18" t="inlineStr">
        <is>
          <t>영업외비용 합계</t>
        </is>
      </c>
      <c r="C106" s="20" t="n">
        <v>1.719</v>
      </c>
      <c r="D106" s="20" t="n">
        <v>0.949</v>
      </c>
      <c r="E106" s="20" t="n">
        <v>2.494</v>
      </c>
      <c r="F106" s="20" t="n">
        <v>5.905</v>
      </c>
      <c r="G106" s="20" t="n">
        <v>-0.427</v>
      </c>
      <c r="H106" s="20" t="n">
        <v>2.723</v>
      </c>
      <c r="I106" s="20" t="n">
        <v>4.733</v>
      </c>
      <c r="J106" s="20" t="n">
        <v>2.115</v>
      </c>
      <c r="K106" s="20" t="n">
        <v>2.899</v>
      </c>
      <c r="L106" s="20" t="n">
        <v>2.464</v>
      </c>
      <c r="M106" s="20" t="n">
        <v>13.527</v>
      </c>
      <c r="N106" s="20" t="n">
        <v>1.845</v>
      </c>
      <c r="T106" s="20" t="n">
        <v>1.057</v>
      </c>
      <c r="U106" s="20" t="n">
        <v>0.915</v>
      </c>
      <c r="V106" s="20" t="n">
        <v>2.494</v>
      </c>
      <c r="W106" s="20" t="n">
        <v>4.733</v>
      </c>
      <c r="X106" s="20" t="n">
        <v>13.527</v>
      </c>
    </row>
    <row r="107">
      <c r="A107" s="9" t="inlineStr">
        <is>
          <t>경상이익</t>
        </is>
      </c>
      <c r="C107" s="12" t="n">
        <v>332.19</v>
      </c>
      <c r="D107" s="12" t="n">
        <v>35.542</v>
      </c>
      <c r="E107" s="12" t="n">
        <v>280.681</v>
      </c>
      <c r="F107" s="12" t="n">
        <v>-119.305</v>
      </c>
      <c r="G107" s="12" t="n">
        <v>455.288</v>
      </c>
      <c r="H107" s="12" t="n">
        <v>-18.407</v>
      </c>
      <c r="I107" s="12" t="n">
        <v>703.4690000000001</v>
      </c>
      <c r="J107" s="12" t="n">
        <v>197.636</v>
      </c>
      <c r="K107" s="12" t="n">
        <v>351.279</v>
      </c>
      <c r="L107" s="12" t="n">
        <v>123.056</v>
      </c>
      <c r="M107" s="12" t="n">
        <v>502.441</v>
      </c>
      <c r="N107" s="12" t="n">
        <v>403.2</v>
      </c>
      <c r="T107" s="12" t="n">
        <v>152.832</v>
      </c>
      <c r="U107" s="12" t="n">
        <v>230.353</v>
      </c>
      <c r="V107" s="12" t="n">
        <v>280.681</v>
      </c>
      <c r="W107" s="12" t="n">
        <v>703.4690000000001</v>
      </c>
      <c r="X107" s="12" t="n">
        <v>502.441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IF(OR(G107="",C107=""),"",IF(C107&lt;=0,"",IFERROR(G107/C107-1,"")))</f>
        <v/>
      </c>
      <c r="H108" s="15">
        <f>IF(OR(H107="",D107=""),"",IF(D107&lt;=0,"",IFERROR(H107/D107-1,"")))</f>
        <v/>
      </c>
      <c r="I108" s="15">
        <f>IF(OR(I107="",E107=""),"",IF(E107&lt;=0,"",IFERROR(I107/E107-1,"")))</f>
        <v/>
      </c>
      <c r="J108" s="15">
        <f>IF(OR(J107="",F107=""),"",IF(F107&lt;=0,"",IFERROR(J107/F107-1,"")))</f>
        <v/>
      </c>
      <c r="K108" s="15">
        <f>IF(OR(K107="",G107=""),"",IF(G107&lt;=0,"",IFERROR(K107/G107-1,"")))</f>
        <v/>
      </c>
      <c r="L108" s="15">
        <f>IF(OR(L107="",H107=""),"",IF(H107&lt;=0,"",IFERROR(L107/H107-1,"")))</f>
        <v/>
      </c>
      <c r="M108" s="15">
        <f>IF(OR(M107="",I107=""),"",IF(I107&lt;=0,"",IFERROR(M107/I107-1,"")))</f>
        <v/>
      </c>
      <c r="N108" s="15">
        <f>IF(OR(N107="",J107=""),"",IF(J107&lt;=0,"",IFERROR(N107/J107-1,"")))</f>
        <v/>
      </c>
      <c r="T108" s="15">
        <f>IF(OR(T107="",S107=""),"",IF(S107&lt;=0,"",IFERROR(T107/S107-1,"")))</f>
        <v/>
      </c>
      <c r="U108" s="15">
        <f>IF(OR(U107="",T107=""),"",IF(T107&lt;=0,"",IFERROR(U107/T107-1,"")))</f>
        <v/>
      </c>
      <c r="V108" s="15">
        <f>IF(OR(V107="",U107=""),"",IF(U107&lt;=0,"",IFERROR(V107/U107-1,"")))</f>
        <v/>
      </c>
      <c r="W108" s="15">
        <f>IF(OR(W107="",V107=""),"",IF(V107&lt;=0,"",IFERROR(W107/V107-1,"")))</f>
        <v/>
      </c>
      <c r="X108" s="15">
        <f>IF(OR(X107="",W107=""),"",IF(W107&lt;=0,"",IFERROR(X107/W107-1,"")))</f>
        <v/>
      </c>
    </row>
    <row r="109">
      <c r="A109" s="18" t="inlineStr">
        <is>
          <t>퇴직급여제도 개정 이익</t>
        </is>
      </c>
      <c r="C109" s="20" t="n">
        <v>0</v>
      </c>
      <c r="D109" s="20" t="n">
        <v>0</v>
      </c>
      <c r="E109" s="20" t="n">
        <v>0</v>
      </c>
      <c r="T109" s="20" t="n">
        <v>0</v>
      </c>
      <c r="U109" s="20" t="n">
        <v>0</v>
      </c>
      <c r="V109" s="20" t="n">
        <v>0</v>
      </c>
    </row>
    <row r="110">
      <c r="A110" s="18" t="inlineStr">
        <is>
          <t>고정자산 매각이익</t>
        </is>
      </c>
      <c r="H110" s="20" t="n">
        <v>0</v>
      </c>
      <c r="I110" s="20" t="n">
        <v>0</v>
      </c>
      <c r="L110" s="20" t="n">
        <v>0.022</v>
      </c>
      <c r="M110" s="20" t="n">
        <v>-0.007</v>
      </c>
      <c r="T110" s="20" t="n">
        <v>0.459</v>
      </c>
      <c r="U110" s="20" t="n">
        <v>0.483</v>
      </c>
      <c r="W110" s="20" t="n">
        <v>0</v>
      </c>
      <c r="X110" s="20" t="n">
        <v>-0.007</v>
      </c>
    </row>
    <row r="111">
      <c r="A111" s="18" t="inlineStr">
        <is>
          <t>부의 영업권 발생이익</t>
        </is>
      </c>
      <c r="E111" s="20" t="n">
        <v>0</v>
      </c>
      <c r="T111" s="20" t="n">
        <v>0</v>
      </c>
      <c r="U111" s="20" t="n">
        <v>0</v>
      </c>
      <c r="V111" s="20" t="n">
        <v>0</v>
      </c>
    </row>
    <row r="112">
      <c r="A112" s="18" t="inlineStr">
        <is>
          <t>보험 해약환급금</t>
        </is>
      </c>
      <c r="C112" s="20" t="n">
        <v>0</v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0</v>
      </c>
      <c r="I112" s="20" t="n">
        <v>0</v>
      </c>
      <c r="U112" s="20" t="n">
        <v>0</v>
      </c>
      <c r="V112" s="20" t="n">
        <v>0</v>
      </c>
      <c r="W112" s="20" t="n">
        <v>0</v>
      </c>
    </row>
    <row r="113">
      <c r="A113" s="18" t="inlineStr">
        <is>
          <t>특별이익 합계</t>
        </is>
      </c>
      <c r="C113" s="20" t="n">
        <v>0</v>
      </c>
      <c r="D113" s="20" t="n">
        <v>0</v>
      </c>
      <c r="E113" s="20" t="n">
        <v>1.344</v>
      </c>
      <c r="F113" s="20" t="n">
        <v>0</v>
      </c>
      <c r="G113" s="20" t="n">
        <v>0</v>
      </c>
      <c r="H113" s="20" t="n">
        <v>0</v>
      </c>
      <c r="I113" s="20" t="n">
        <v>29.019</v>
      </c>
      <c r="L113" s="20" t="n">
        <v>0.022</v>
      </c>
      <c r="M113" s="20" t="n">
        <v>-0.007</v>
      </c>
      <c r="T113" s="20" t="n">
        <v>0.459</v>
      </c>
      <c r="U113" s="20" t="n">
        <v>0.483</v>
      </c>
      <c r="V113" s="20" t="n">
        <v>1.344</v>
      </c>
      <c r="W113" s="20" t="n">
        <v>29.019</v>
      </c>
      <c r="X113" s="20" t="n">
        <v>-0.007</v>
      </c>
    </row>
    <row r="114">
      <c r="A114" s="18" t="inlineStr">
        <is>
          <t>고정자산 매각손실</t>
        </is>
      </c>
      <c r="I114" s="20" t="n">
        <v>-0.061</v>
      </c>
      <c r="M114" s="20" t="n">
        <v>0.005</v>
      </c>
      <c r="W114" s="20" t="n">
        <v>-0.061</v>
      </c>
      <c r="X114" s="20" t="n">
        <v>0.005</v>
      </c>
    </row>
    <row r="115">
      <c r="A115" s="18" t="inlineStr">
        <is>
          <t>고정자산 제각손실</t>
        </is>
      </c>
      <c r="H115" s="20" t="n">
        <v>0</v>
      </c>
      <c r="I115" s="20" t="n">
        <v>0.061</v>
      </c>
      <c r="J115" s="20" t="n">
        <v>0</v>
      </c>
      <c r="K115" s="20" t="n">
        <v>0</v>
      </c>
      <c r="L115" s="20" t="n">
        <v>0.166</v>
      </c>
      <c r="M115" s="20" t="n">
        <v>0</v>
      </c>
      <c r="N115" s="20" t="n">
        <v>0</v>
      </c>
      <c r="T115" s="20" t="n">
        <v>0</v>
      </c>
      <c r="U115" s="20" t="n">
        <v>0</v>
      </c>
      <c r="W115" s="20" t="n">
        <v>0.061</v>
      </c>
      <c r="X115" s="20" t="n">
        <v>0</v>
      </c>
    </row>
    <row r="116">
      <c r="A116" s="18" t="inlineStr">
        <is>
          <t>특별손실 합계</t>
        </is>
      </c>
      <c r="E116" s="20" t="n">
        <v>52.278</v>
      </c>
      <c r="H116" s="20" t="n">
        <v>0.061</v>
      </c>
      <c r="I116" s="20" t="n">
        <v>0</v>
      </c>
      <c r="J116" s="20" t="n">
        <v>0</v>
      </c>
      <c r="K116" s="20" t="n">
        <v>0</v>
      </c>
      <c r="L116" s="20" t="n">
        <v>0.305</v>
      </c>
      <c r="M116" s="20" t="n">
        <v>0.005</v>
      </c>
      <c r="N116" s="20" t="n">
        <v>0</v>
      </c>
      <c r="T116" s="20" t="n">
        <v>0</v>
      </c>
      <c r="U116" s="20" t="n">
        <v>0</v>
      </c>
      <c r="V116" s="20" t="n">
        <v>52.278</v>
      </c>
      <c r="W116" s="20" t="n">
        <v>0</v>
      </c>
      <c r="X116" s="20" t="n">
        <v>0.005</v>
      </c>
    </row>
    <row r="117">
      <c r="A117" s="9" t="inlineStr">
        <is>
          <t>법인세차감전 순이익</t>
        </is>
      </c>
      <c r="C117" s="12" t="n">
        <v>332.19</v>
      </c>
      <c r="D117" s="12" t="n">
        <v>35.542</v>
      </c>
      <c r="E117" s="12" t="n">
        <v>229.746</v>
      </c>
      <c r="F117" s="12" t="n">
        <v>-119.305</v>
      </c>
      <c r="G117" s="12" t="n">
        <v>455.288</v>
      </c>
      <c r="H117" s="12" t="n">
        <v>-18.468</v>
      </c>
      <c r="I117" s="12" t="n">
        <v>732.487</v>
      </c>
      <c r="J117" s="12" t="n">
        <v>197.636</v>
      </c>
      <c r="K117" s="12" t="n">
        <v>351.751</v>
      </c>
      <c r="L117" s="12" t="n">
        <v>122.773</v>
      </c>
      <c r="M117" s="12" t="n">
        <v>502.429</v>
      </c>
      <c r="N117" s="12" t="n">
        <v>403.2</v>
      </c>
      <c r="T117" s="12" t="n">
        <v>153.291</v>
      </c>
      <c r="U117" s="12" t="n">
        <v>230.836</v>
      </c>
      <c r="V117" s="12" t="n">
        <v>229.746</v>
      </c>
      <c r="W117" s="12" t="n">
        <v>732.487</v>
      </c>
      <c r="X117" s="12" t="n">
        <v>502.429</v>
      </c>
    </row>
    <row r="118">
      <c r="A118" s="18" t="inlineStr">
        <is>
          <t>법인세 등</t>
        </is>
      </c>
      <c r="C118" s="20" t="n">
        <v>126.626</v>
      </c>
      <c r="D118" s="20" t="n">
        <v>14.28</v>
      </c>
      <c r="E118" s="20" t="n">
        <v>60.656</v>
      </c>
      <c r="F118" s="20" t="n">
        <v>-33.079</v>
      </c>
      <c r="G118" s="20" t="n">
        <v>145.827</v>
      </c>
      <c r="H118" s="20" t="n">
        <v>0.9429999999999999</v>
      </c>
      <c r="I118" s="20" t="n">
        <v>247.242</v>
      </c>
      <c r="J118" s="20" t="n">
        <v>68.41</v>
      </c>
      <c r="K118" s="20" t="n">
        <v>122.185</v>
      </c>
      <c r="L118" s="20" t="n">
        <v>44.457</v>
      </c>
      <c r="M118" s="20" t="n">
        <v>86.175</v>
      </c>
      <c r="N118" s="20" t="n">
        <v>145.504</v>
      </c>
      <c r="T118" s="20" t="n">
        <v>69.52800000000001</v>
      </c>
      <c r="U118" s="20" t="n">
        <v>92.94499999999999</v>
      </c>
      <c r="V118" s="20" t="n">
        <v>60.656</v>
      </c>
      <c r="W118" s="20" t="n">
        <v>247.242</v>
      </c>
      <c r="X118" s="20" t="n">
        <v>86.175</v>
      </c>
    </row>
    <row r="119">
      <c r="A119" s="9" t="inlineStr">
        <is>
          <t>순이익</t>
        </is>
      </c>
      <c r="C119" s="12" t="n">
        <v>205.564</v>
      </c>
      <c r="D119" s="12" t="n">
        <v>21.262</v>
      </c>
      <c r="E119" s="12" t="n">
        <v>169.09</v>
      </c>
      <c r="F119" s="12" t="n">
        <v>-86.22499999999999</v>
      </c>
      <c r="G119" s="12" t="n">
        <v>309.459</v>
      </c>
      <c r="H119" s="12" t="n">
        <v>-19.41</v>
      </c>
      <c r="I119" s="12" t="n">
        <v>485.244</v>
      </c>
      <c r="J119" s="12" t="n">
        <v>129.226</v>
      </c>
      <c r="K119" s="12" t="n">
        <v>229.566</v>
      </c>
      <c r="L119" s="12" t="n">
        <v>78.315</v>
      </c>
      <c r="M119" s="12" t="n">
        <v>416.254</v>
      </c>
      <c r="N119" s="12" t="n">
        <v>257.696</v>
      </c>
      <c r="T119" s="12" t="n">
        <v>83.76300000000001</v>
      </c>
      <c r="U119" s="12" t="n">
        <v>137.892</v>
      </c>
      <c r="V119" s="12" t="n">
        <v>169.09</v>
      </c>
      <c r="W119" s="12" t="n">
        <v>485.244</v>
      </c>
      <c r="X119" s="12" t="n">
        <v>416.254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T120" s="15">
        <f>IF(OR(T119="",S119=""),"",IF(S119&lt;=0,"",IFERROR(T119/S119-1,"")))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9" t="inlineStr">
        <is>
          <t>지배주주 순이익</t>
        </is>
      </c>
      <c r="C121" s="12" t="n">
        <v>205.564</v>
      </c>
      <c r="D121" s="12" t="n">
        <v>21.262</v>
      </c>
      <c r="E121" s="12" t="n">
        <v>169.09</v>
      </c>
      <c r="F121" s="12" t="n">
        <v>-86.22499999999999</v>
      </c>
      <c r="G121" s="12" t="n">
        <v>309.459</v>
      </c>
      <c r="H121" s="12" t="n">
        <v>-19.41</v>
      </c>
      <c r="I121" s="12" t="n">
        <v>485.244</v>
      </c>
      <c r="J121" s="12" t="n">
        <v>129.226</v>
      </c>
      <c r="K121" s="12" t="n">
        <v>229.566</v>
      </c>
      <c r="L121" s="12" t="n">
        <v>78.315</v>
      </c>
      <c r="M121" s="12" t="n">
        <v>416.254</v>
      </c>
      <c r="N121" s="12" t="n">
        <v>257.696</v>
      </c>
      <c r="T121" s="12" t="n">
        <v>83.76300000000001</v>
      </c>
      <c r="U121" s="12" t="n">
        <v>137.892</v>
      </c>
      <c r="V121" s="12" t="n">
        <v>169.09</v>
      </c>
      <c r="W121" s="12" t="n">
        <v>485.244</v>
      </c>
      <c r="X121" s="12" t="n">
        <v>416.254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4">
      <c r="A124" s="16" t="inlineStr">
        <is>
          <t>포괄손익 · 전 항목</t>
        </is>
      </c>
      <c r="B124" s="42" t="inlineStr">
        <is>
          <t>분기 = 3개월 단독</t>
        </is>
      </c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</row>
    <row r="125">
      <c r="A125" s="5" t="inlineStr">
        <is>
          <t>항목</t>
        </is>
      </c>
      <c r="B125" s="5" t="inlineStr">
        <is>
          <t>참고</t>
        </is>
      </c>
      <c r="C125" s="5" t="inlineStr">
        <is>
          <t>2024.2Q</t>
        </is>
      </c>
      <c r="D125" s="5" t="inlineStr">
        <is>
          <t>2024.3Q</t>
        </is>
      </c>
      <c r="E125" s="5" t="inlineStr">
        <is>
          <t>2024.4Q</t>
        </is>
      </c>
      <c r="F125" s="5" t="inlineStr">
        <is>
          <t>2025.1Q</t>
        </is>
      </c>
      <c r="G125" s="5" t="inlineStr">
        <is>
          <t>2025.2Q</t>
        </is>
      </c>
      <c r="H125" s="5" t="inlineStr">
        <is>
          <t>2025.3Q</t>
        </is>
      </c>
      <c r="I125" s="5" t="inlineStr">
        <is>
          <t>2025.4Q</t>
        </is>
      </c>
      <c r="J125" s="5" t="inlineStr">
        <is>
          <t>2026.1Q</t>
        </is>
      </c>
      <c r="K125" s="5" t="inlineStr">
        <is>
          <t>2026.2Q</t>
        </is>
      </c>
      <c r="L125" s="5" t="inlineStr">
        <is>
          <t>2026.3Q</t>
        </is>
      </c>
      <c r="M125" s="5" t="inlineStr">
        <is>
          <t>2026.4Q</t>
        </is>
      </c>
      <c r="N125" s="5" t="inlineStr">
        <is>
          <t>2027.1Q</t>
        </is>
      </c>
      <c r="O125" s="5" t="inlineStr">
        <is>
          <t>2017</t>
        </is>
      </c>
      <c r="P125" s="5" t="inlineStr">
        <is>
          <t>2018</t>
        </is>
      </c>
      <c r="Q125" s="5" t="inlineStr">
        <is>
          <t>2019</t>
        </is>
      </c>
      <c r="R125" s="5" t="inlineStr">
        <is>
          <t>2020</t>
        </is>
      </c>
      <c r="S125" s="5" t="inlineStr">
        <is>
          <t>2021</t>
        </is>
      </c>
      <c r="T125" s="5" t="inlineStr">
        <is>
          <t>2022</t>
        </is>
      </c>
      <c r="U125" s="5" t="inlineStr">
        <is>
          <t>2023</t>
        </is>
      </c>
      <c r="V125" s="5" t="inlineStr">
        <is>
          <t>2024</t>
        </is>
      </c>
      <c r="W125" s="5" t="inlineStr">
        <is>
          <t>2025</t>
        </is>
      </c>
      <c r="X125" s="5" t="inlineStr">
        <is>
          <t>2026</t>
        </is>
      </c>
      <c r="Y125" s="5" t="inlineStr">
        <is>
          <t>2027(MW)</t>
        </is>
      </c>
      <c r="Z125" s="5" t="inlineStr">
        <is>
          <t>2028(MW)</t>
        </is>
      </c>
      <c r="AA125" s="5" t="inlineStr">
        <is>
          <t>2029(MW)</t>
        </is>
      </c>
      <c r="AB125" s="5" t="inlineStr">
        <is>
          <t>2030(MW)</t>
        </is>
      </c>
      <c r="AC125" s="5" t="inlineStr">
        <is>
          <t>2031(MW)</t>
        </is>
      </c>
    </row>
    <row r="126">
      <c r="A126" s="9" t="inlineStr">
        <is>
          <t>순이익</t>
        </is>
      </c>
      <c r="C126" s="12" t="n">
        <v>205.564</v>
      </c>
      <c r="D126" s="12" t="n">
        <v>21.262</v>
      </c>
      <c r="E126" s="12" t="n">
        <v>169.09</v>
      </c>
      <c r="F126" s="12" t="n">
        <v>-86.22499999999999</v>
      </c>
      <c r="G126" s="12" t="n">
        <v>309.459</v>
      </c>
      <c r="H126" s="12" t="n">
        <v>-19.41</v>
      </c>
      <c r="I126" s="12" t="n">
        <v>485.244</v>
      </c>
      <c r="J126" s="12" t="n">
        <v>129.226</v>
      </c>
      <c r="K126" s="12" t="n">
        <v>229.566</v>
      </c>
      <c r="L126" s="12" t="n">
        <v>78.315</v>
      </c>
      <c r="M126" s="12" t="n">
        <v>416.254</v>
      </c>
      <c r="N126" s="12" t="n">
        <v>257.696</v>
      </c>
      <c r="T126" s="12" t="n">
        <v>83.76300000000001</v>
      </c>
      <c r="U126" s="12" t="n">
        <v>137.892</v>
      </c>
      <c r="V126" s="12" t="n">
        <v>169.09</v>
      </c>
      <c r="W126" s="12" t="n">
        <v>485.244</v>
      </c>
      <c r="X126" s="12" t="n">
        <v>416.254</v>
      </c>
    </row>
    <row r="127">
      <c r="A127" s="18" t="inlineStr">
        <is>
          <t>기타유가증권 평가차액</t>
        </is>
      </c>
      <c r="C127" s="20" t="n">
        <v>13.019</v>
      </c>
      <c r="D127" s="20" t="n">
        <v>0.195</v>
      </c>
      <c r="E127" s="20" t="n">
        <v>18.853</v>
      </c>
      <c r="F127" s="20" t="n">
        <v>-0.77</v>
      </c>
      <c r="G127" s="20" t="n">
        <v>-3.018</v>
      </c>
      <c r="H127" s="20" t="n">
        <v>17.031</v>
      </c>
      <c r="I127" s="20" t="n">
        <v>10.568</v>
      </c>
      <c r="J127" s="20" t="n">
        <v>19.055</v>
      </c>
      <c r="K127" s="20" t="n">
        <v>35.054</v>
      </c>
      <c r="L127" s="20" t="n">
        <v>84.824</v>
      </c>
      <c r="M127" s="20" t="n">
        <v>-28.451</v>
      </c>
      <c r="N127" s="20" t="n">
        <v>-24.612</v>
      </c>
      <c r="T127" s="20" t="n">
        <v>1.299</v>
      </c>
      <c r="U127" s="20" t="n">
        <v>4.969</v>
      </c>
      <c r="V127" s="20" t="n">
        <v>18.853</v>
      </c>
      <c r="W127" s="20" t="n">
        <v>10.568</v>
      </c>
      <c r="X127" s="20" t="n">
        <v>-28.451</v>
      </c>
    </row>
    <row r="128">
      <c r="A128" s="18" t="inlineStr">
        <is>
          <t>해외사업환산조정</t>
        </is>
      </c>
      <c r="C128" s="20" t="n">
        <v>1.142</v>
      </c>
      <c r="D128" s="20" t="n">
        <v>-2.299</v>
      </c>
      <c r="E128" s="20" t="n">
        <v>1.544</v>
      </c>
      <c r="F128" s="20" t="n">
        <v>1.747</v>
      </c>
      <c r="G128" s="20" t="n">
        <v>-1.511</v>
      </c>
      <c r="H128" s="20" t="n">
        <v>3.882</v>
      </c>
      <c r="I128" s="20" t="n">
        <v>-1.99</v>
      </c>
      <c r="J128" s="20" t="n">
        <v>-1.133</v>
      </c>
      <c r="K128" s="20" t="n">
        <v>-0.502</v>
      </c>
      <c r="L128" s="20" t="n">
        <v>1.707</v>
      </c>
      <c r="M128" s="20" t="n">
        <v>1.105</v>
      </c>
      <c r="N128" s="20" t="n">
        <v>5.391</v>
      </c>
      <c r="T128" s="20" t="n">
        <v>2.237</v>
      </c>
      <c r="U128" s="20" t="n">
        <v>0.593</v>
      </c>
      <c r="V128" s="20" t="n">
        <v>1.544</v>
      </c>
      <c r="W128" s="20" t="n">
        <v>-1.99</v>
      </c>
      <c r="X128" s="20" t="n">
        <v>1.105</v>
      </c>
    </row>
    <row r="129">
      <c r="A129" s="18" t="inlineStr">
        <is>
          <t>기타포괄손익 합계</t>
        </is>
      </c>
      <c r="C129" s="20" t="n">
        <v>14.161</v>
      </c>
      <c r="D129" s="20" t="n">
        <v>-2.105</v>
      </c>
      <c r="E129" s="20" t="n">
        <v>20.397</v>
      </c>
      <c r="F129" s="20" t="n">
        <v>0.976</v>
      </c>
      <c r="G129" s="20" t="n">
        <v>-4.527</v>
      </c>
      <c r="H129" s="20" t="n">
        <v>20.913</v>
      </c>
      <c r="I129" s="20" t="n">
        <v>8.577</v>
      </c>
      <c r="J129" s="20" t="n">
        <v>17.921</v>
      </c>
      <c r="K129" s="20" t="n">
        <v>34.553</v>
      </c>
      <c r="L129" s="20" t="n">
        <v>86.532</v>
      </c>
      <c r="M129" s="20" t="n">
        <v>-27.346</v>
      </c>
      <c r="N129" s="20" t="n">
        <v>-19.221</v>
      </c>
      <c r="T129" s="20" t="n">
        <v>3.535</v>
      </c>
      <c r="U129" s="20" t="n">
        <v>5.561</v>
      </c>
      <c r="V129" s="20" t="n">
        <v>20.397</v>
      </c>
      <c r="W129" s="20" t="n">
        <v>8.577</v>
      </c>
      <c r="X129" s="20" t="n">
        <v>-27.346</v>
      </c>
    </row>
    <row r="130">
      <c r="A130" s="9" t="inlineStr">
        <is>
          <t>포괄이익</t>
        </is>
      </c>
      <c r="C130" s="12" t="n">
        <v>219.725</v>
      </c>
      <c r="D130" s="12" t="n">
        <v>19.158</v>
      </c>
      <c r="E130" s="12" t="n">
        <v>189.487</v>
      </c>
      <c r="F130" s="12" t="n">
        <v>-85.249</v>
      </c>
      <c r="G130" s="12" t="n">
        <v>304.932</v>
      </c>
      <c r="H130" s="12" t="n">
        <v>1.503</v>
      </c>
      <c r="I130" s="12" t="n">
        <v>493.822</v>
      </c>
      <c r="J130" s="12" t="n">
        <v>147.147</v>
      </c>
      <c r="K130" s="12" t="n">
        <v>264.119</v>
      </c>
      <c r="L130" s="12" t="n">
        <v>164.848</v>
      </c>
      <c r="M130" s="12" t="n">
        <v>388.907</v>
      </c>
      <c r="N130" s="12" t="n">
        <v>238.475</v>
      </c>
      <c r="T130" s="12" t="n">
        <v>87.29900000000001</v>
      </c>
      <c r="U130" s="12" t="n">
        <v>143.453</v>
      </c>
      <c r="V130" s="12" t="n">
        <v>189.487</v>
      </c>
      <c r="W130" s="12" t="n">
        <v>493.822</v>
      </c>
      <c r="X130" s="12" t="n">
        <v>388.907</v>
      </c>
    </row>
    <row r="131">
      <c r="A131" s="9" t="inlineStr">
        <is>
          <t>지배주주 포괄이익</t>
        </is>
      </c>
      <c r="C131" s="12" t="n">
        <v>219.725</v>
      </c>
      <c r="D131" s="12" t="n">
        <v>19.158</v>
      </c>
      <c r="E131" s="12" t="n">
        <v>189.487</v>
      </c>
      <c r="F131" s="12" t="n">
        <v>-85.249</v>
      </c>
      <c r="G131" s="12" t="n">
        <v>304.932</v>
      </c>
      <c r="H131" s="12" t="n">
        <v>1.503</v>
      </c>
      <c r="I131" s="12" t="n">
        <v>493.822</v>
      </c>
      <c r="J131" s="12" t="n">
        <v>147.147</v>
      </c>
      <c r="K131" s="12" t="n">
        <v>264.119</v>
      </c>
      <c r="L131" s="12" t="n">
        <v>164.848</v>
      </c>
      <c r="M131" s="12" t="n">
        <v>388.907</v>
      </c>
      <c r="N131" s="12" t="n">
        <v>238.475</v>
      </c>
      <c r="T131" s="12" t="n">
        <v>87.29900000000001</v>
      </c>
      <c r="U131" s="12" t="n">
        <v>143.453</v>
      </c>
      <c r="V131" s="12" t="n">
        <v>189.487</v>
      </c>
      <c r="W131" s="12" t="n">
        <v>493.822</v>
      </c>
      <c r="X131" s="12" t="n">
        <v>388.907</v>
      </c>
    </row>
    <row r="133">
      <c r="A133" s="16" t="inlineStr">
        <is>
          <t>부문 · 전 항목</t>
        </is>
      </c>
      <c r="B133" s="42" t="inlineStr">
        <is>
          <t>부문 · 항목</t>
        </is>
      </c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</row>
    <row r="134">
      <c r="A134" s="5" t="inlineStr">
        <is>
          <t>항목</t>
        </is>
      </c>
      <c r="B134" s="5" t="inlineStr">
        <is>
          <t>참고</t>
        </is>
      </c>
      <c r="C134" s="5" t="inlineStr">
        <is>
          <t>2024.2Q</t>
        </is>
      </c>
      <c r="D134" s="5" t="inlineStr">
        <is>
          <t>2024.3Q</t>
        </is>
      </c>
      <c r="E134" s="5" t="inlineStr">
        <is>
          <t>2024.4Q</t>
        </is>
      </c>
      <c r="F134" s="5" t="inlineStr">
        <is>
          <t>2025.1Q</t>
        </is>
      </c>
      <c r="G134" s="5" t="inlineStr">
        <is>
          <t>2025.2Q</t>
        </is>
      </c>
      <c r="H134" s="5" t="inlineStr">
        <is>
          <t>2025.3Q</t>
        </is>
      </c>
      <c r="I134" s="5" t="inlineStr">
        <is>
          <t>2025.4Q</t>
        </is>
      </c>
      <c r="J134" s="5" t="inlineStr">
        <is>
          <t>2026.1Q</t>
        </is>
      </c>
      <c r="K134" s="5" t="inlineStr">
        <is>
          <t>2026.2Q</t>
        </is>
      </c>
      <c r="L134" s="5" t="inlineStr">
        <is>
          <t>2026.3Q</t>
        </is>
      </c>
      <c r="M134" s="5" t="inlineStr">
        <is>
          <t>2026.4Q</t>
        </is>
      </c>
      <c r="N134" s="5" t="inlineStr">
        <is>
          <t>2027.1Q</t>
        </is>
      </c>
      <c r="O134" s="5" t="inlineStr">
        <is>
          <t>2017</t>
        </is>
      </c>
      <c r="P134" s="5" t="inlineStr">
        <is>
          <t>2018</t>
        </is>
      </c>
      <c r="Q134" s="5" t="inlineStr">
        <is>
          <t>2019</t>
        </is>
      </c>
      <c r="R134" s="5" t="inlineStr">
        <is>
          <t>2020</t>
        </is>
      </c>
      <c r="S134" s="5" t="inlineStr">
        <is>
          <t>2021</t>
        </is>
      </c>
      <c r="T134" s="5" t="inlineStr">
        <is>
          <t>2022</t>
        </is>
      </c>
      <c r="U134" s="5" t="inlineStr">
        <is>
          <t>2023</t>
        </is>
      </c>
      <c r="V134" s="5" t="inlineStr">
        <is>
          <t>2024</t>
        </is>
      </c>
      <c r="W134" s="5" t="inlineStr">
        <is>
          <t>2025</t>
        </is>
      </c>
      <c r="X134" s="5" t="inlineStr">
        <is>
          <t>2026</t>
        </is>
      </c>
      <c r="Y134" s="5" t="inlineStr">
        <is>
          <t>2027(MW)</t>
        </is>
      </c>
      <c r="Z134" s="5" t="inlineStr">
        <is>
          <t>2028(MW)</t>
        </is>
      </c>
      <c r="AA134" s="5" t="inlineStr">
        <is>
          <t>2029(MW)</t>
        </is>
      </c>
      <c r="AB134" s="5" t="inlineStr">
        <is>
          <t>2030(MW)</t>
        </is>
      </c>
      <c r="AC134" s="5" t="inlineStr">
        <is>
          <t>2031(MW)</t>
        </is>
      </c>
    </row>
    <row r="135">
      <c r="A135" s="18" t="inlineStr">
        <is>
          <t>MentenansReportableSegmentMember · 외부 고객 매출</t>
        </is>
      </c>
      <c r="C135" s="20" t="n">
        <v>4574.927</v>
      </c>
      <c r="D135" s="20" t="n">
        <v>4037.523</v>
      </c>
      <c r="E135" s="20" t="n">
        <v>4746.18</v>
      </c>
      <c r="F135" s="20" t="n">
        <v>3803.708</v>
      </c>
      <c r="G135" s="20" t="n">
        <v>5040.332</v>
      </c>
      <c r="H135" s="20" t="n">
        <v>4109.043</v>
      </c>
      <c r="I135" s="20" t="n">
        <v>5620.271</v>
      </c>
      <c r="J135" s="20" t="n">
        <v>5285.034</v>
      </c>
      <c r="K135" s="20" t="n">
        <v>5292.249</v>
      </c>
      <c r="L135" s="20" t="n">
        <v>5277.874</v>
      </c>
      <c r="M135" s="20" t="n">
        <v>5814.843</v>
      </c>
      <c r="N135" s="20" t="n">
        <v>6146.709</v>
      </c>
      <c r="V135" s="20" t="n">
        <v>4746.18</v>
      </c>
      <c r="W135" s="20" t="n">
        <v>5620.271</v>
      </c>
      <c r="X135" s="20" t="n">
        <v>5814.843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7">
      <c r="A137" s="18" t="inlineStr">
        <is>
          <t>ServiseReportableSegmentMember · 외부 고객 매출</t>
        </is>
      </c>
      <c r="C137" s="20" t="n">
        <v>494.625</v>
      </c>
      <c r="D137" s="20" t="n">
        <v>458.432</v>
      </c>
      <c r="E137" s="20" t="n">
        <v>581.898</v>
      </c>
      <c r="F137" s="20" t="n">
        <v>318.772</v>
      </c>
      <c r="G137" s="20" t="n">
        <v>368.798</v>
      </c>
      <c r="H137" s="20" t="n">
        <v>568.794</v>
      </c>
      <c r="I137" s="20" t="n">
        <v>806.354</v>
      </c>
      <c r="J137" s="20" t="n">
        <v>671.869</v>
      </c>
      <c r="K137" s="20" t="n">
        <v>677.254</v>
      </c>
      <c r="L137" s="20" t="n">
        <v>724.046</v>
      </c>
      <c r="M137" s="20" t="n">
        <v>510.285</v>
      </c>
      <c r="N137" s="20" t="n">
        <v>614.771</v>
      </c>
      <c r="V137" s="20" t="n">
        <v>581.898</v>
      </c>
      <c r="W137" s="20" t="n">
        <v>806.354</v>
      </c>
      <c r="X137" s="20" t="n">
        <v>510.285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39">
      <c r="A139" s="18" t="inlineStr">
        <is>
          <t>합계 · 외부 고객 매출</t>
        </is>
      </c>
      <c r="E139" s="20" t="n">
        <v>5328.078</v>
      </c>
      <c r="F139" s="20" t="n">
        <v>4122.481</v>
      </c>
      <c r="G139" s="20" t="n">
        <v>5409.129</v>
      </c>
      <c r="H139" s="20" t="n">
        <v>4677.838</v>
      </c>
      <c r="I139" s="20" t="n">
        <v>6426.624</v>
      </c>
      <c r="J139" s="20" t="n">
        <v>5956.904</v>
      </c>
      <c r="K139" s="20" t="n">
        <v>5969.503</v>
      </c>
      <c r="L139" s="20" t="n">
        <v>6001.919</v>
      </c>
      <c r="M139" s="20" t="n">
        <v>6325.128</v>
      </c>
      <c r="N139" s="20" t="n">
        <v>6761.48</v>
      </c>
      <c r="V139" s="20" t="n">
        <v>5328.078</v>
      </c>
      <c r="W139" s="20" t="n">
        <v>6426.624</v>
      </c>
      <c r="X139" s="20" t="n">
        <v>6325.128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조정액 · 외부 고객 매출</t>
        </is>
      </c>
      <c r="C141" s="20" t="n">
        <v>0</v>
      </c>
      <c r="D141" s="20" t="n">
        <v>0</v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0</v>
      </c>
      <c r="J141" s="20" t="n">
        <v>0</v>
      </c>
      <c r="K141" s="20" t="n">
        <v>0</v>
      </c>
      <c r="L141" s="20" t="n">
        <v>0</v>
      </c>
      <c r="M141" s="20" t="n">
        <v>0</v>
      </c>
      <c r="N141" s="20" t="n">
        <v>0</v>
      </c>
      <c r="V141" s="20" t="n">
        <v>0</v>
      </c>
      <c r="W141" s="20" t="n">
        <v>0</v>
      </c>
      <c r="X141" s="20" t="n">
        <v>0</v>
      </c>
    </row>
    <row r="142">
      <c r="A142" s="9" t="inlineStr">
        <is>
          <t>외부 고객 매출</t>
        </is>
      </c>
      <c r="C142" s="12" t="n">
        <v>5069.553</v>
      </c>
      <c r="D142" s="12" t="n">
        <v>4495.955</v>
      </c>
      <c r="E142" s="12" t="n">
        <v>5328.078</v>
      </c>
      <c r="F142" s="12" t="n">
        <v>4122.481</v>
      </c>
      <c r="G142" s="12" t="n">
        <v>5409.129</v>
      </c>
      <c r="H142" s="12" t="n">
        <v>4677.838</v>
      </c>
      <c r="I142" s="12" t="n">
        <v>6426.624</v>
      </c>
      <c r="V142" s="12" t="n">
        <v>5328.078</v>
      </c>
      <c r="W142" s="12" t="n">
        <v>6426.624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</row>
    <row r="144">
      <c r="A144" s="18" t="inlineStr">
        <is>
          <t>EntityTotalMember · 외부 고객 매출</t>
        </is>
      </c>
      <c r="F144" s="20" t="n">
        <v>4122.481</v>
      </c>
      <c r="J144" s="20" t="n">
        <v>5956.904</v>
      </c>
      <c r="N144" s="20" t="n">
        <v>6761.48</v>
      </c>
    </row>
    <row r="145">
      <c r="A145" s="18" t="inlineStr">
        <is>
          <t>MentenansReportableSegmentMember · 부문 간 내부매출·대체</t>
        </is>
      </c>
      <c r="C145" s="20" t="n">
        <v>0</v>
      </c>
      <c r="D145" s="20" t="n">
        <v>0</v>
      </c>
      <c r="E145" s="20" t="n">
        <v>0</v>
      </c>
      <c r="F145" s="20" t="n">
        <v>0</v>
      </c>
      <c r="G145" s="20" t="n">
        <v>0</v>
      </c>
      <c r="H145" s="20" t="n">
        <v>0</v>
      </c>
      <c r="I145" s="20" t="n">
        <v>0</v>
      </c>
      <c r="J145" s="20" t="n">
        <v>0</v>
      </c>
      <c r="K145" s="20" t="n">
        <v>26.77</v>
      </c>
      <c r="L145" s="20" t="n">
        <v>0</v>
      </c>
      <c r="M145" s="20" t="n">
        <v>0</v>
      </c>
      <c r="N145" s="20" t="n">
        <v>0.599</v>
      </c>
      <c r="V145" s="20" t="n">
        <v>0</v>
      </c>
      <c r="W145" s="20" t="n">
        <v>0</v>
      </c>
      <c r="X145" s="20" t="n">
        <v>0</v>
      </c>
    </row>
    <row r="146">
      <c r="A146" s="18" t="inlineStr">
        <is>
          <t>ServiseReportableSegmentMember · 부문 간 내부매출·대체</t>
        </is>
      </c>
      <c r="C146" s="20" t="n">
        <v>0</v>
      </c>
      <c r="D146" s="20" t="n">
        <v>0</v>
      </c>
      <c r="E146" s="20" t="n">
        <v>0</v>
      </c>
      <c r="F146" s="20" t="n">
        <v>0</v>
      </c>
      <c r="G146" s="20" t="n">
        <v>10</v>
      </c>
      <c r="H146" s="20" t="n">
        <v>0</v>
      </c>
      <c r="I146" s="20" t="n">
        <v>0</v>
      </c>
      <c r="J146" s="20" t="n">
        <v>8.199999999999999</v>
      </c>
      <c r="K146" s="20" t="n">
        <v>0</v>
      </c>
      <c r="L146" s="20" t="n">
        <v>0</v>
      </c>
      <c r="M146" s="20" t="n">
        <v>0</v>
      </c>
      <c r="N146" s="20" t="n">
        <v>0</v>
      </c>
      <c r="V146" s="20" t="n">
        <v>0</v>
      </c>
      <c r="W146" s="20" t="n">
        <v>0</v>
      </c>
      <c r="X146" s="20" t="n">
        <v>0</v>
      </c>
    </row>
    <row r="147">
      <c r="A147" s="18" t="inlineStr">
        <is>
          <t>합계 · 부문 간 내부매출·대체</t>
        </is>
      </c>
      <c r="E147" s="20" t="n">
        <v>0</v>
      </c>
      <c r="F147" s="20" t="n">
        <v>0</v>
      </c>
      <c r="G147" s="20" t="n">
        <v>10</v>
      </c>
      <c r="H147" s="20" t="n">
        <v>0</v>
      </c>
      <c r="I147" s="20" t="n">
        <v>0</v>
      </c>
      <c r="J147" s="20" t="n">
        <v>8.199999999999999</v>
      </c>
      <c r="K147" s="20" t="n">
        <v>26.77</v>
      </c>
      <c r="L147" s="20" t="n">
        <v>0</v>
      </c>
      <c r="M147" s="20" t="n">
        <v>0</v>
      </c>
      <c r="N147" s="20" t="n">
        <v>0.599</v>
      </c>
      <c r="V147" s="20" t="n">
        <v>0</v>
      </c>
      <c r="W147" s="20" t="n">
        <v>0</v>
      </c>
      <c r="X147" s="20" t="n">
        <v>0</v>
      </c>
    </row>
    <row r="148">
      <c r="A148" s="18" t="inlineStr">
        <is>
          <t>조정액 · 부문 간 내부매출·대체</t>
        </is>
      </c>
      <c r="C148" s="20" t="n">
        <v>0</v>
      </c>
      <c r="D148" s="20" t="n">
        <v>0</v>
      </c>
      <c r="E148" s="20" t="n">
        <v>0</v>
      </c>
      <c r="F148" s="20" t="n">
        <v>0</v>
      </c>
      <c r="G148" s="20" t="n">
        <v>-10</v>
      </c>
      <c r="H148" s="20" t="n">
        <v>0</v>
      </c>
      <c r="I148" s="20" t="n">
        <v>0</v>
      </c>
      <c r="J148" s="20" t="n">
        <v>-8.199999999999999</v>
      </c>
      <c r="K148" s="20" t="n">
        <v>-26.77</v>
      </c>
      <c r="L148" s="20" t="n">
        <v>0</v>
      </c>
      <c r="M148" s="20" t="n">
        <v>0</v>
      </c>
      <c r="N148" s="20" t="n">
        <v>-0.599</v>
      </c>
      <c r="V148" s="20" t="n">
        <v>0</v>
      </c>
      <c r="W148" s="20" t="n">
        <v>0</v>
      </c>
      <c r="X148" s="20" t="n">
        <v>0</v>
      </c>
    </row>
    <row r="149">
      <c r="A149" s="18" t="inlineStr">
        <is>
          <t>부문 간 내부매출·대체</t>
        </is>
      </c>
      <c r="C149" s="20" t="n">
        <v>0</v>
      </c>
      <c r="D149" s="20" t="n">
        <v>0</v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V149" s="20" t="n">
        <v>0</v>
      </c>
      <c r="W149" s="20" t="n">
        <v>0</v>
      </c>
    </row>
    <row r="150">
      <c r="A150" s="18" t="inlineStr">
        <is>
          <t>EntityTotalMember · 부문 간 내부매출·대체</t>
        </is>
      </c>
      <c r="F150" s="20" t="n">
        <v>0</v>
      </c>
      <c r="J150" s="20" t="n">
        <v>0</v>
      </c>
      <c r="N150" s="20" t="n">
        <v>0</v>
      </c>
    </row>
    <row r="151">
      <c r="A151" s="18" t="inlineStr">
        <is>
          <t>MentenansReportableSegmentMember · 계</t>
        </is>
      </c>
      <c r="C151" s="20" t="n">
        <v>4574.927</v>
      </c>
      <c r="D151" s="20" t="n">
        <v>4037.523</v>
      </c>
      <c r="E151" s="20" t="n">
        <v>4746.18</v>
      </c>
      <c r="F151" s="20" t="n">
        <v>3803.708</v>
      </c>
      <c r="G151" s="20" t="n">
        <v>5040.332</v>
      </c>
      <c r="H151" s="20" t="n">
        <v>4109.043</v>
      </c>
      <c r="I151" s="20" t="n">
        <v>5620.271</v>
      </c>
      <c r="J151" s="20" t="n">
        <v>5285.034</v>
      </c>
      <c r="K151" s="20" t="n">
        <v>5319.019</v>
      </c>
      <c r="L151" s="20" t="n">
        <v>5277.874</v>
      </c>
      <c r="M151" s="20" t="n">
        <v>5814.843</v>
      </c>
      <c r="N151" s="20" t="n">
        <v>6147.308</v>
      </c>
      <c r="V151" s="20" t="n">
        <v>4746.18</v>
      </c>
      <c r="W151" s="20" t="n">
        <v>5620.271</v>
      </c>
      <c r="X151" s="20" t="n">
        <v>5814.843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ServiseReportableSegmentMember · 계</t>
        </is>
      </c>
      <c r="C153" s="20" t="n">
        <v>494.625</v>
      </c>
      <c r="D153" s="20" t="n">
        <v>458.432</v>
      </c>
      <c r="E153" s="20" t="n">
        <v>581.898</v>
      </c>
      <c r="F153" s="20" t="n">
        <v>318.772</v>
      </c>
      <c r="G153" s="20" t="n">
        <v>378.798</v>
      </c>
      <c r="H153" s="20" t="n">
        <v>568.794</v>
      </c>
      <c r="I153" s="20" t="n">
        <v>806.354</v>
      </c>
      <c r="J153" s="20" t="n">
        <v>680.069</v>
      </c>
      <c r="K153" s="20" t="n">
        <v>677.254</v>
      </c>
      <c r="L153" s="20" t="n">
        <v>724.046</v>
      </c>
      <c r="M153" s="20" t="n">
        <v>510.285</v>
      </c>
      <c r="N153" s="20" t="n">
        <v>614.771</v>
      </c>
      <c r="V153" s="20" t="n">
        <v>581.898</v>
      </c>
      <c r="W153" s="20" t="n">
        <v>806.354</v>
      </c>
      <c r="X153" s="20" t="n">
        <v>510.285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합계 · 계</t>
        </is>
      </c>
      <c r="E155" s="20" t="n">
        <v>5328.078</v>
      </c>
      <c r="F155" s="20" t="n">
        <v>4122.481</v>
      </c>
      <c r="G155" s="20" t="n">
        <v>5419.129</v>
      </c>
      <c r="H155" s="20" t="n">
        <v>4677.838</v>
      </c>
      <c r="I155" s="20" t="n">
        <v>6426.624</v>
      </c>
      <c r="J155" s="20" t="n">
        <v>5965.104</v>
      </c>
      <c r="K155" s="20" t="n">
        <v>5996.273</v>
      </c>
      <c r="L155" s="20" t="n">
        <v>6001.919</v>
      </c>
      <c r="M155" s="20" t="n">
        <v>6325.128</v>
      </c>
      <c r="N155" s="20" t="n">
        <v>6762.079</v>
      </c>
      <c r="V155" s="20" t="n">
        <v>5328.078</v>
      </c>
      <c r="W155" s="20" t="n">
        <v>6426.624</v>
      </c>
      <c r="X155" s="20" t="n">
        <v>6325.128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조정액 · 계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-10</v>
      </c>
      <c r="H157" s="20" t="n">
        <v>0</v>
      </c>
      <c r="I157" s="20" t="n">
        <v>0</v>
      </c>
      <c r="J157" s="20" t="n">
        <v>-8.199999999999999</v>
      </c>
      <c r="K157" s="20" t="n">
        <v>-26.77</v>
      </c>
      <c r="L157" s="20" t="n">
        <v>0</v>
      </c>
      <c r="M157" s="20" t="n">
        <v>0</v>
      </c>
      <c r="N157" s="20" t="n">
        <v>-0.599</v>
      </c>
      <c r="V157" s="20" t="n">
        <v>0</v>
      </c>
      <c r="W157" s="20" t="n">
        <v>0</v>
      </c>
      <c r="X157" s="20" t="n">
        <v>0</v>
      </c>
    </row>
    <row r="158">
      <c r="A158" s="9" t="inlineStr">
        <is>
          <t>계</t>
        </is>
      </c>
      <c r="C158" s="12" t="n">
        <v>5069.553</v>
      </c>
      <c r="D158" s="12" t="n">
        <v>4495.955</v>
      </c>
      <c r="E158" s="12" t="n">
        <v>5328.078</v>
      </c>
      <c r="F158" s="12" t="n">
        <v>4122.481</v>
      </c>
      <c r="G158" s="12" t="n">
        <v>5409.129</v>
      </c>
      <c r="H158" s="12" t="n">
        <v>4677.838</v>
      </c>
      <c r="I158" s="12" t="n">
        <v>6426.624</v>
      </c>
      <c r="V158" s="12" t="n">
        <v>5328.078</v>
      </c>
      <c r="W158" s="12" t="n">
        <v>6426.624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</row>
    <row r="160">
      <c r="A160" s="18" t="inlineStr">
        <is>
          <t>EntityTotalMember · 계</t>
        </is>
      </c>
      <c r="F160" s="20" t="n">
        <v>4122.481</v>
      </c>
      <c r="J160" s="20" t="n">
        <v>5956.904</v>
      </c>
      <c r="N160" s="20" t="n">
        <v>6761.48</v>
      </c>
    </row>
    <row r="161">
      <c r="A161" s="18" t="inlineStr">
        <is>
          <t>MentenansReportableSegmentMember · 부문 이익</t>
        </is>
      </c>
      <c r="C161" s="20" t="n">
        <v>301.967</v>
      </c>
      <c r="D161" s="20" t="n">
        <v>30.365</v>
      </c>
      <c r="E161" s="20" t="n">
        <v>259.823</v>
      </c>
      <c r="F161" s="20" t="n">
        <v>-115.027</v>
      </c>
      <c r="G161" s="20" t="n">
        <v>451.834</v>
      </c>
      <c r="H161" s="20" t="n">
        <v>-36.527</v>
      </c>
      <c r="I161" s="20" t="n">
        <v>609.083</v>
      </c>
      <c r="J161" s="20" t="n">
        <v>130.099</v>
      </c>
      <c r="K161" s="20" t="n">
        <v>318.502</v>
      </c>
      <c r="L161" s="20" t="n">
        <v>74.637</v>
      </c>
      <c r="M161" s="20" t="n">
        <v>546.766</v>
      </c>
      <c r="N161" s="20" t="n">
        <v>302.053</v>
      </c>
      <c r="V161" s="20" t="n">
        <v>259.823</v>
      </c>
      <c r="W161" s="20" t="n">
        <v>609.083</v>
      </c>
      <c r="X161" s="20" t="n">
        <v>546.766</v>
      </c>
    </row>
    <row r="162">
      <c r="A162" s="43" t="inlineStr">
        <is>
          <t>OPM</t>
        </is>
      </c>
      <c r="B162" s="3" t="inlineStr">
        <is>
          <t>영업이익 ÷ 매출</t>
        </is>
      </c>
      <c r="C162" s="15">
        <f>IF(OR(C161="",C151=""),"",IF(C151&lt;=0,"",IFERROR(C161/C151,"")))</f>
        <v/>
      </c>
      <c r="D162" s="15">
        <f>IF(OR(D161="",D151=""),"",IF(D151&lt;=0,"",IFERROR(D161/D151,"")))</f>
        <v/>
      </c>
      <c r="E162" s="15">
        <f>IF(OR(E161="",E151=""),"",IF(E151&lt;=0,"",IFERROR(E161/E151,"")))</f>
        <v/>
      </c>
      <c r="F162" s="15">
        <f>IF(OR(F161="",F151=""),"",IF(F151&lt;=0,"",IFERROR(F161/F151,"")))</f>
        <v/>
      </c>
      <c r="G162" s="15">
        <f>IF(OR(G161="",G151=""),"",IF(G151&lt;=0,"",IFERROR(G161/G151,"")))</f>
        <v/>
      </c>
      <c r="H162" s="15">
        <f>IF(OR(H161="",H151=""),"",IF(H151&lt;=0,"",IFERROR(H161/H151,"")))</f>
        <v/>
      </c>
      <c r="I162" s="15">
        <f>IF(OR(I161="",I151=""),"",IF(I151&lt;=0,"",IFERROR(I161/I151,"")))</f>
        <v/>
      </c>
      <c r="J162" s="15">
        <f>IF(OR(J161="",J151=""),"",IF(J151&lt;=0,"",IFERROR(J161/J151,"")))</f>
        <v/>
      </c>
      <c r="K162" s="15">
        <f>IF(OR(K161="",K151=""),"",IF(K151&lt;=0,"",IFERROR(K161/K151,"")))</f>
        <v/>
      </c>
      <c r="L162" s="15">
        <f>IF(OR(L161="",L151=""),"",IF(L151&lt;=0,"",IFERROR(L161/L151,"")))</f>
        <v/>
      </c>
      <c r="M162" s="15">
        <f>IF(OR(M161="",M151=""),"",IF(M151&lt;=0,"",IFERROR(M161/M151,"")))</f>
        <v/>
      </c>
      <c r="N162" s="15">
        <f>IF(OR(N161="",N151=""),"",IF(N151&lt;=0,"",IFERROR(N161/N151,"")))</f>
        <v/>
      </c>
      <c r="V162" s="15">
        <f>IF(OR(V161="",V151=""),"",IF(V151&lt;=0,"",IFERROR(V161/V151,"")))</f>
        <v/>
      </c>
      <c r="W162" s="15">
        <f>IF(OR(W161="",W151=""),"",IF(W151&lt;=0,"",IFERROR(W161/W151,"")))</f>
        <v/>
      </c>
      <c r="X162" s="15">
        <f>IF(OR(X161="",X151=""),"",IF(X151&lt;=0,"",IFERROR(X161/X151,"")))</f>
        <v/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IF(OR(G161="",C161=""),"",IF(C161&lt;=0,"",IFERROR(G161/C161-1,"")))</f>
        <v/>
      </c>
      <c r="H163" s="15">
        <f>IF(OR(H161="",D161=""),"",IF(D161&lt;=0,"",IFERROR(H161/D161-1,"")))</f>
        <v/>
      </c>
      <c r="I163" s="15">
        <f>IF(OR(I161="",E161=""),"",IF(E161&lt;=0,"",IFERROR(I161/E161-1,"")))</f>
        <v/>
      </c>
      <c r="J163" s="15">
        <f>IF(OR(J161="",F161=""),"",IF(F161&lt;=0,"",IFERROR(J161/F161-1,"")))</f>
        <v/>
      </c>
      <c r="K163" s="15">
        <f>IF(OR(K161="",G161=""),"",IF(G161&lt;=0,"",IFERROR(K161/G161-1,"")))</f>
        <v/>
      </c>
      <c r="L163" s="15">
        <f>IF(OR(L161="",H161=""),"",IF(H161&lt;=0,"",IFERROR(L161/H161-1,"")))</f>
        <v/>
      </c>
      <c r="M163" s="15">
        <f>IF(OR(M161="",I161=""),"",IF(I161&lt;=0,"",IFERROR(M161/I161-1,"")))</f>
        <v/>
      </c>
      <c r="N163" s="15">
        <f>IF(OR(N161="",J161=""),"",IF(J161&lt;=0,"",IFERROR(N161/J161-1,"")))</f>
        <v/>
      </c>
      <c r="V163" s="15">
        <f>IF(OR(V161="",U161=""),"",IF(U161&lt;=0,"",IFERROR(V161/U161-1,"")))</f>
        <v/>
      </c>
      <c r="W163" s="15">
        <f>IF(OR(W161="",V161=""),"",IF(V161&lt;=0,"",IFERROR(W161/V161-1,"")))</f>
        <v/>
      </c>
      <c r="X163" s="15">
        <f>IF(OR(X161="",W161=""),"",IF(W161&lt;=0,"",IFERROR(X161/W161-1,"")))</f>
        <v/>
      </c>
    </row>
    <row r="164">
      <c r="A164" s="18" t="inlineStr">
        <is>
          <t>ServiseReportableSegmentMember · 부문 이익</t>
        </is>
      </c>
      <c r="C164" s="20" t="n">
        <v>25.65</v>
      </c>
      <c r="D164" s="20" t="n">
        <v>4.045</v>
      </c>
      <c r="E164" s="20" t="n">
        <v>6.931</v>
      </c>
      <c r="F164" s="20" t="n">
        <v>-1.557</v>
      </c>
      <c r="G164" s="20" t="n">
        <v>-0.111</v>
      </c>
      <c r="H164" s="20" t="n">
        <v>16.982</v>
      </c>
      <c r="I164" s="20" t="n">
        <v>96.057</v>
      </c>
      <c r="J164" s="20" t="n">
        <v>65.607</v>
      </c>
      <c r="K164" s="20" t="n">
        <v>32.211</v>
      </c>
      <c r="L164" s="20" t="n">
        <v>46.824</v>
      </c>
      <c r="M164" s="20" t="n">
        <v>-41.277</v>
      </c>
      <c r="N164" s="20" t="n">
        <v>97.791</v>
      </c>
      <c r="V164" s="20" t="n">
        <v>6.931</v>
      </c>
      <c r="W164" s="20" t="n">
        <v>96.057</v>
      </c>
      <c r="X164" s="20" t="n">
        <v>-41.277</v>
      </c>
    </row>
    <row r="165">
      <c r="A165" s="43" t="inlineStr">
        <is>
          <t>OPM</t>
        </is>
      </c>
      <c r="B165" s="3" t="inlineStr">
        <is>
          <t>영업이익 ÷ 매출</t>
        </is>
      </c>
      <c r="C165" s="15">
        <f>IF(OR(C164="",C153=""),"",IF(C153&lt;=0,"",IFERROR(C164/C153,"")))</f>
        <v/>
      </c>
      <c r="D165" s="15">
        <f>IF(OR(D164="",D153=""),"",IF(D153&lt;=0,"",IFERROR(D164/D153,"")))</f>
        <v/>
      </c>
      <c r="E165" s="15">
        <f>IF(OR(E164="",E153=""),"",IF(E153&lt;=0,"",IFERROR(E164/E153,"")))</f>
        <v/>
      </c>
      <c r="F165" s="15">
        <f>IF(OR(F164="",F153=""),"",IF(F153&lt;=0,"",IFERROR(F164/F153,"")))</f>
        <v/>
      </c>
      <c r="G165" s="15">
        <f>IF(OR(G164="",G153=""),"",IF(G153&lt;=0,"",IFERROR(G164/G153,"")))</f>
        <v/>
      </c>
      <c r="H165" s="15">
        <f>IF(OR(H164="",H153=""),"",IF(H153&lt;=0,"",IFERROR(H164/H153,"")))</f>
        <v/>
      </c>
      <c r="I165" s="15">
        <f>IF(OR(I164="",I153=""),"",IF(I153&lt;=0,"",IFERROR(I164/I153,"")))</f>
        <v/>
      </c>
      <c r="J165" s="15">
        <f>IF(OR(J164="",J153=""),"",IF(J153&lt;=0,"",IFERROR(J164/J153,"")))</f>
        <v/>
      </c>
      <c r="K165" s="15">
        <f>IF(OR(K164="",K153=""),"",IF(K153&lt;=0,"",IFERROR(K164/K153,"")))</f>
        <v/>
      </c>
      <c r="L165" s="15">
        <f>IF(OR(L164="",L153=""),"",IF(L153&lt;=0,"",IFERROR(L164/L153,"")))</f>
        <v/>
      </c>
      <c r="M165" s="15">
        <f>IF(OR(M164="",M153=""),"",IF(M153&lt;=0,"",IFERROR(M164/M153,"")))</f>
        <v/>
      </c>
      <c r="N165" s="15">
        <f>IF(OR(N164="",N153=""),"",IF(N153&lt;=0,"",IFERROR(N164/N153,"")))</f>
        <v/>
      </c>
      <c r="V165" s="15">
        <f>IF(OR(V164="",V153=""),"",IF(V153&lt;=0,"",IFERROR(V164/V153,"")))</f>
        <v/>
      </c>
      <c r="W165" s="15">
        <f>IF(OR(W164="",W153=""),"",IF(W153&lt;=0,"",IFERROR(W164/W153,"")))</f>
        <v/>
      </c>
      <c r="X165" s="15">
        <f>IF(OR(X164="",X153=""),"",IF(X153&lt;=0,"",IFERROR(X164/X153,"")))</f>
        <v/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IF(OR(G164="",C164=""),"",IF(C164&lt;=0,"",IFERROR(G164/C164-1,"")))</f>
        <v/>
      </c>
      <c r="H166" s="15">
        <f>IF(OR(H164="",D164=""),"",IF(D164&lt;=0,"",IFERROR(H164/D164-1,"")))</f>
        <v/>
      </c>
      <c r="I166" s="15">
        <f>IF(OR(I164="",E164=""),"",IF(E164&lt;=0,"",IFERROR(I164/E164-1,"")))</f>
        <v/>
      </c>
      <c r="J166" s="15">
        <f>IF(OR(J164="",F164=""),"",IF(F164&lt;=0,"",IFERROR(J164/F164-1,"")))</f>
        <v/>
      </c>
      <c r="K166" s="15">
        <f>IF(OR(K164="",G164=""),"",IF(G164&lt;=0,"",IFERROR(K164/G164-1,"")))</f>
        <v/>
      </c>
      <c r="L166" s="15">
        <f>IF(OR(L164="",H164=""),"",IF(H164&lt;=0,"",IFERROR(L164/H164-1,"")))</f>
        <v/>
      </c>
      <c r="M166" s="15">
        <f>IF(OR(M164="",I164=""),"",IF(I164&lt;=0,"",IFERROR(M164/I164-1,"")))</f>
        <v/>
      </c>
      <c r="N166" s="15">
        <f>IF(OR(N164="",J164=""),"",IF(J164&lt;=0,"",IFERROR(N164/J164-1,"")))</f>
        <v/>
      </c>
      <c r="V166" s="15">
        <f>IF(OR(V164="",U164=""),"",IF(U164&lt;=0,"",IFERROR(V164/U164-1,"")))</f>
        <v/>
      </c>
      <c r="W166" s="15">
        <f>IF(OR(W164="",V164=""),"",IF(V164&lt;=0,"",IFERROR(W164/V164-1,"")))</f>
        <v/>
      </c>
      <c r="X166" s="15">
        <f>IF(OR(X164="",W164=""),"",IF(W164&lt;=0,"",IFERROR(X164/W164-1,"")))</f>
        <v/>
      </c>
    </row>
    <row r="167">
      <c r="A167" s="18" t="inlineStr">
        <is>
          <t>합계 · 부문 이익</t>
        </is>
      </c>
      <c r="E167" s="20" t="n">
        <v>266.755</v>
      </c>
      <c r="F167" s="20" t="n">
        <v>-116.584</v>
      </c>
      <c r="G167" s="20" t="n">
        <v>451.722</v>
      </c>
      <c r="H167" s="20" t="n">
        <v>-19.544</v>
      </c>
      <c r="I167" s="20" t="n">
        <v>705.14</v>
      </c>
      <c r="J167" s="20" t="n">
        <v>195.707</v>
      </c>
      <c r="K167" s="20" t="n">
        <v>350.712</v>
      </c>
      <c r="L167" s="20" t="n">
        <v>121.461</v>
      </c>
      <c r="M167" s="20" t="n">
        <v>505.489</v>
      </c>
      <c r="N167" s="20" t="n">
        <v>399.845</v>
      </c>
      <c r="V167" s="20" t="n">
        <v>266.755</v>
      </c>
      <c r="W167" s="20" t="n">
        <v>705.14</v>
      </c>
      <c r="X167" s="20" t="n">
        <v>505.489</v>
      </c>
    </row>
    <row r="168">
      <c r="A168" s="43" t="inlineStr">
        <is>
          <t>OPM</t>
        </is>
      </c>
      <c r="B168" s="3" t="inlineStr">
        <is>
          <t>영업이익 ÷ 매출</t>
        </is>
      </c>
      <c r="E168" s="15">
        <f>IF(OR(E167="",E155=""),"",IF(E155&lt;=0,"",IFERROR(E167/E155,"")))</f>
        <v/>
      </c>
      <c r="F168" s="15">
        <f>IF(OR(F167="",F155=""),"",IF(F155&lt;=0,"",IFERROR(F167/F155,"")))</f>
        <v/>
      </c>
      <c r="G168" s="15">
        <f>IF(OR(G167="",G155=""),"",IF(G155&lt;=0,"",IFERROR(G167/G155,"")))</f>
        <v/>
      </c>
      <c r="H168" s="15">
        <f>IF(OR(H167="",H155=""),"",IF(H155&lt;=0,"",IFERROR(H167/H155,"")))</f>
        <v/>
      </c>
      <c r="I168" s="15">
        <f>IF(OR(I167="",I155=""),"",IF(I155&lt;=0,"",IFERROR(I167/I155,"")))</f>
        <v/>
      </c>
      <c r="J168" s="15">
        <f>IF(OR(J167="",J155=""),"",IF(J155&lt;=0,"",IFERROR(J167/J155,"")))</f>
        <v/>
      </c>
      <c r="K168" s="15">
        <f>IF(OR(K167="",K155=""),"",IF(K155&lt;=0,"",IFERROR(K167/K155,"")))</f>
        <v/>
      </c>
      <c r="L168" s="15">
        <f>IF(OR(L167="",L155=""),"",IF(L155&lt;=0,"",IFERROR(L167/L155,"")))</f>
        <v/>
      </c>
      <c r="M168" s="15">
        <f>IF(OR(M167="",M155=""),"",IF(M155&lt;=0,"",IFERROR(M167/M155,"")))</f>
        <v/>
      </c>
      <c r="N168" s="15">
        <f>IF(OR(N167="",N155=""),"",IF(N155&lt;=0,"",IFERROR(N167/N155,"")))</f>
        <v/>
      </c>
      <c r="V168" s="15">
        <f>IF(OR(V167="",V155=""),"",IF(V155&lt;=0,"",IFERROR(V167/V155,"")))</f>
        <v/>
      </c>
      <c r="W168" s="15">
        <f>IF(OR(W167="",W155=""),"",IF(W155&lt;=0,"",IFERROR(W167/W155,"")))</f>
        <v/>
      </c>
      <c r="X168" s="15">
        <f>IF(OR(X167="",X155=""),"",IF(X155&lt;=0,"",IFERROR(X167/X155,"")))</f>
        <v/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IF(OR(G167="",C167=""),"",IF(C167&lt;=0,"",IFERROR(G167/C167-1,"")))</f>
        <v/>
      </c>
      <c r="H169" s="15">
        <f>IF(OR(H167="",D167=""),"",IF(D167&lt;=0,"",IFERROR(H167/D167-1,"")))</f>
        <v/>
      </c>
      <c r="I169" s="15">
        <f>IF(OR(I167="",E167=""),"",IF(E167&lt;=0,"",IFERROR(I167/E167-1,"")))</f>
        <v/>
      </c>
      <c r="J169" s="15">
        <f>IF(OR(J167="",F167=""),"",IF(F167&lt;=0,"",IFERROR(J167/F167-1,"")))</f>
        <v/>
      </c>
      <c r="K169" s="15">
        <f>IF(OR(K167="",G167=""),"",IF(G167&lt;=0,"",IFERROR(K167/G167-1,"")))</f>
        <v/>
      </c>
      <c r="L169" s="15">
        <f>IF(OR(L167="",H167=""),"",IF(H167&lt;=0,"",IFERROR(L167/H167-1,"")))</f>
        <v/>
      </c>
      <c r="M169" s="15">
        <f>IF(OR(M167="",I167=""),"",IF(I167&lt;=0,"",IFERROR(M167/I167-1,"")))</f>
        <v/>
      </c>
      <c r="N169" s="15">
        <f>IF(OR(N167="",J167=""),"",IF(J167&lt;=0,"",IFERROR(N167/J167-1,"")))</f>
        <v/>
      </c>
      <c r="V169" s="15">
        <f>IF(OR(V167="",U167=""),"",IF(U167&lt;=0,"",IFERROR(V167/U167-1,"")))</f>
        <v/>
      </c>
      <c r="W169" s="15">
        <f>IF(OR(W167="",V167=""),"",IF(V167&lt;=0,"",IFERROR(W167/V167-1,"")))</f>
        <v/>
      </c>
      <c r="X169" s="15">
        <f>IF(OR(X167="",W167=""),"",IF(W167&lt;=0,"",IFERROR(X167/W167-1,"")))</f>
        <v/>
      </c>
    </row>
    <row r="170">
      <c r="A170" s="18" t="inlineStr">
        <is>
          <t>조정액 · 부문 이익</t>
        </is>
      </c>
      <c r="C170" s="20" t="n">
        <v>0</v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J170" s="20" t="n">
        <v>0</v>
      </c>
      <c r="K170" s="20" t="n">
        <v>-3.227</v>
      </c>
      <c r="L170" s="20" t="n">
        <v>0</v>
      </c>
      <c r="M170" s="20" t="n">
        <v>0</v>
      </c>
      <c r="N170" s="20" t="n">
        <v>0</v>
      </c>
      <c r="V170" s="20" t="n">
        <v>0</v>
      </c>
      <c r="W170" s="20" t="n">
        <v>0</v>
      </c>
      <c r="X170" s="20" t="n">
        <v>0</v>
      </c>
    </row>
    <row r="171">
      <c r="A171" s="9" t="inlineStr">
        <is>
          <t>부문 이익</t>
        </is>
      </c>
      <c r="C171" s="12" t="n">
        <v>327.618</v>
      </c>
      <c r="D171" s="12" t="n">
        <v>34.409</v>
      </c>
      <c r="E171" s="12" t="n">
        <v>266.755</v>
      </c>
      <c r="F171" s="12" t="n">
        <v>-116.584</v>
      </c>
      <c r="G171" s="12" t="n">
        <v>451.722</v>
      </c>
      <c r="H171" s="12" t="n">
        <v>-19.544</v>
      </c>
      <c r="I171" s="12" t="n">
        <v>705.14</v>
      </c>
      <c r="V171" s="12" t="n">
        <v>266.755</v>
      </c>
      <c r="W171" s="12" t="n">
        <v>705.14</v>
      </c>
    </row>
    <row r="172">
      <c r="A172" s="43" t="inlineStr">
        <is>
          <t>OPM</t>
        </is>
      </c>
      <c r="B172" s="3" t="inlineStr">
        <is>
          <t>영업이익 ÷ 매출</t>
        </is>
      </c>
      <c r="C172" s="15">
        <f>IF(OR(C171="",C142=""),"",IF(C142&lt;=0,"",IFERROR(C171/C142,"")))</f>
        <v/>
      </c>
      <c r="D172" s="15">
        <f>IF(OR(D171="",D142=""),"",IF(D142&lt;=0,"",IFERROR(D171/D142,"")))</f>
        <v/>
      </c>
      <c r="E172" s="15">
        <f>IF(OR(E171="",E142=""),"",IF(E142&lt;=0,"",IFERROR(E171/E142,"")))</f>
        <v/>
      </c>
      <c r="F172" s="15">
        <f>IF(OR(F171="",F142=""),"",IF(F142&lt;=0,"",IFERROR(F171/F142,"")))</f>
        <v/>
      </c>
      <c r="G172" s="15">
        <f>IF(OR(G171="",G142=""),"",IF(G142&lt;=0,"",IFERROR(G171/G142,"")))</f>
        <v/>
      </c>
      <c r="H172" s="15">
        <f>IF(OR(H171="",H142=""),"",IF(H142&lt;=0,"",IFERROR(H171/H142,"")))</f>
        <v/>
      </c>
      <c r="I172" s="15">
        <f>IF(OR(I171="",I142=""),"",IF(I142&lt;=0,"",IFERROR(I171/I142,"")))</f>
        <v/>
      </c>
      <c r="V172" s="15">
        <f>IF(OR(V171="",V142=""),"",IF(V142&lt;=0,"",IFERROR(V171/V142,"")))</f>
        <v/>
      </c>
      <c r="W172" s="15">
        <f>IF(OR(W171="",W142=""),"",IF(W142&lt;=0,"",IFERROR(W171/W142,"")))</f>
        <v/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IF(OR(G171="",C171=""),"",IF(C171&lt;=0,"",IFERROR(G171/C171-1,"")))</f>
        <v/>
      </c>
      <c r="H173" s="15">
        <f>IF(OR(H171="",D171=""),"",IF(D171&lt;=0,"",IFERROR(H171/D171-1,"")))</f>
        <v/>
      </c>
      <c r="I173" s="15">
        <f>IF(OR(I171="",E171=""),"",IF(E171&lt;=0,"",IFERROR(I171/E171-1,"")))</f>
        <v/>
      </c>
      <c r="V173" s="15">
        <f>IF(OR(V171="",U171=""),"",IF(U171&lt;=0,"",IFERROR(V171/U171-1,"")))</f>
        <v/>
      </c>
      <c r="W173" s="15">
        <f>IF(OR(W171="",V171=""),"",IF(V171&lt;=0,"",IFERROR(W171/V171-1,"")))</f>
        <v/>
      </c>
    </row>
    <row r="174">
      <c r="A174" s="18" t="inlineStr">
        <is>
          <t>EntityTotalMember · 부문 이익</t>
        </is>
      </c>
      <c r="F174" s="20" t="n">
        <v>-116.584</v>
      </c>
      <c r="J174" s="20" t="n">
        <v>195.707</v>
      </c>
      <c r="N174" s="20" t="n">
        <v>399.845</v>
      </c>
    </row>
    <row r="176">
      <c r="A176" s="16" t="inlineStr">
        <is>
          <t>현금흐름표 · 전 항목</t>
        </is>
      </c>
      <c r="B176" s="42" t="inlineStr">
        <is>
          <t>분기 = 결산기 첫날부터 누계(공시 그대로)</t>
        </is>
      </c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</row>
    <row r="177">
      <c r="A177" s="5" t="inlineStr">
        <is>
          <t>항목</t>
        </is>
      </c>
      <c r="B177" s="5" t="inlineStr">
        <is>
          <t>참고</t>
        </is>
      </c>
      <c r="C177" s="5" t="inlineStr">
        <is>
          <t>2024.2Q</t>
        </is>
      </c>
      <c r="D177" s="5" t="inlineStr">
        <is>
          <t>2024.3Q</t>
        </is>
      </c>
      <c r="E177" s="5" t="inlineStr">
        <is>
          <t>2024.4Q</t>
        </is>
      </c>
      <c r="F177" s="5" t="inlineStr">
        <is>
          <t>2025.1Q</t>
        </is>
      </c>
      <c r="G177" s="5" t="inlineStr">
        <is>
          <t>2025.2Q</t>
        </is>
      </c>
      <c r="H177" s="5" t="inlineStr">
        <is>
          <t>2025.3Q</t>
        </is>
      </c>
      <c r="I177" s="5" t="inlineStr">
        <is>
          <t>2025.4Q</t>
        </is>
      </c>
      <c r="J177" s="5" t="inlineStr">
        <is>
          <t>2026.1Q</t>
        </is>
      </c>
      <c r="K177" s="5" t="inlineStr">
        <is>
          <t>2026.2Q</t>
        </is>
      </c>
      <c r="L177" s="5" t="inlineStr">
        <is>
          <t>2026.3Q</t>
        </is>
      </c>
      <c r="M177" s="5" t="inlineStr">
        <is>
          <t>2026.4Q</t>
        </is>
      </c>
      <c r="N177" s="5" t="inlineStr">
        <is>
          <t>2027.1Q</t>
        </is>
      </c>
      <c r="O177" s="5" t="inlineStr">
        <is>
          <t>2017</t>
        </is>
      </c>
      <c r="P177" s="5" t="inlineStr">
        <is>
          <t>2018</t>
        </is>
      </c>
      <c r="Q177" s="5" t="inlineStr">
        <is>
          <t>2019</t>
        </is>
      </c>
      <c r="R177" s="5" t="inlineStr">
        <is>
          <t>2020</t>
        </is>
      </c>
      <c r="S177" s="5" t="inlineStr">
        <is>
          <t>2021</t>
        </is>
      </c>
      <c r="T177" s="5" t="inlineStr">
        <is>
          <t>2022</t>
        </is>
      </c>
      <c r="U177" s="5" t="inlineStr">
        <is>
          <t>2023</t>
        </is>
      </c>
      <c r="V177" s="5" t="inlineStr">
        <is>
          <t>2024</t>
        </is>
      </c>
      <c r="W177" s="5" t="inlineStr">
        <is>
          <t>2025</t>
        </is>
      </c>
      <c r="X177" s="5" t="inlineStr">
        <is>
          <t>2026</t>
        </is>
      </c>
      <c r="Y177" s="5" t="inlineStr">
        <is>
          <t>2027(MW)</t>
        </is>
      </c>
      <c r="Z177" s="5" t="inlineStr">
        <is>
          <t>2028(MW)</t>
        </is>
      </c>
      <c r="AA177" s="5" t="inlineStr">
        <is>
          <t>2029(MW)</t>
        </is>
      </c>
      <c r="AB177" s="5" t="inlineStr">
        <is>
          <t>2030(MW)</t>
        </is>
      </c>
      <c r="AC177" s="5" t="inlineStr">
        <is>
          <t>2031(MW)</t>
        </is>
      </c>
    </row>
    <row r="178">
      <c r="A178" s="9" t="inlineStr">
        <is>
          <t>법인세차감전 순이익</t>
        </is>
      </c>
      <c r="C178" s="12" t="n">
        <v>450.569</v>
      </c>
      <c r="E178" s="12" t="n">
        <v>715.857</v>
      </c>
      <c r="G178" s="12" t="n">
        <v>335.983</v>
      </c>
      <c r="I178" s="12" t="n">
        <v>1050.002</v>
      </c>
      <c r="K178" s="12" t="n">
        <v>549.3869999999999</v>
      </c>
      <c r="M178" s="12" t="n">
        <v>1174.589</v>
      </c>
      <c r="O178" s="12" t="n">
        <v>533.255</v>
      </c>
      <c r="P178" s="12" t="n">
        <v>776.0940000000001</v>
      </c>
      <c r="Q178" s="12" t="n">
        <v>659.05</v>
      </c>
      <c r="R178" s="12" t="n">
        <v>408.526</v>
      </c>
      <c r="S178" s="12" t="n">
        <v>274.624</v>
      </c>
      <c r="T178" s="12" t="n">
        <v>247.335</v>
      </c>
      <c r="U178" s="12" t="n">
        <v>677.1660000000001</v>
      </c>
      <c r="V178" s="12" t="n">
        <v>715.857</v>
      </c>
      <c r="W178" s="12" t="n">
        <v>1050.002</v>
      </c>
      <c r="X178" s="12" t="n">
        <v>1174.589</v>
      </c>
    </row>
    <row r="179">
      <c r="A179" s="18" t="inlineStr">
        <is>
          <t>감가상각비</t>
        </is>
      </c>
      <c r="C179" s="20" t="n">
        <v>69.07899999999999</v>
      </c>
      <c r="E179" s="20" t="n">
        <v>140.3</v>
      </c>
      <c r="G179" s="20" t="n">
        <v>58.685</v>
      </c>
      <c r="I179" s="20" t="n">
        <v>110.477</v>
      </c>
      <c r="K179" s="20" t="n">
        <v>34.156</v>
      </c>
      <c r="M179" s="20" t="n">
        <v>76.661</v>
      </c>
      <c r="O179" s="20" t="n">
        <v>41.403</v>
      </c>
      <c r="P179" s="20" t="n">
        <v>37.713</v>
      </c>
      <c r="Q179" s="20" t="n">
        <v>38.707</v>
      </c>
      <c r="R179" s="20" t="n">
        <v>77.66500000000001</v>
      </c>
      <c r="S179" s="20" t="n">
        <v>124.431</v>
      </c>
      <c r="T179" s="20" t="n">
        <v>127.275</v>
      </c>
      <c r="U179" s="20" t="n">
        <v>126.232</v>
      </c>
      <c r="V179" s="20" t="n">
        <v>140.3</v>
      </c>
      <c r="W179" s="20" t="n">
        <v>110.477</v>
      </c>
      <c r="X179" s="20" t="n">
        <v>76.661</v>
      </c>
    </row>
    <row r="180">
      <c r="A180" s="18" t="inlineStr">
        <is>
          <t>손상차손</t>
        </is>
      </c>
      <c r="E180" s="20" t="n">
        <v>5.532</v>
      </c>
      <c r="I180" s="20" t="n">
        <v>0</v>
      </c>
      <c r="U180" s="20" t="n">
        <v>0</v>
      </c>
      <c r="V180" s="20" t="n">
        <v>5.532</v>
      </c>
      <c r="W180" s="20" t="n">
        <v>0</v>
      </c>
    </row>
    <row r="181">
      <c r="A181" s="18" t="inlineStr">
        <is>
          <t>영업권 상각</t>
        </is>
      </c>
      <c r="C181" s="20" t="n">
        <v>0</v>
      </c>
      <c r="E181" s="20" t="n">
        <v>1.449</v>
      </c>
      <c r="G181" s="20" t="n">
        <v>2.898</v>
      </c>
      <c r="I181" s="20" t="n">
        <v>5.796</v>
      </c>
      <c r="K181" s="20" t="n">
        <v>2.898</v>
      </c>
      <c r="M181" s="20" t="n">
        <v>5.796</v>
      </c>
      <c r="U181" s="20" t="n">
        <v>0</v>
      </c>
      <c r="V181" s="20" t="n">
        <v>1.449</v>
      </c>
      <c r="W181" s="20" t="n">
        <v>5.796</v>
      </c>
      <c r="X181" s="20" t="n">
        <v>5.796</v>
      </c>
    </row>
    <row r="182">
      <c r="A182" s="18" t="inlineStr">
        <is>
          <t>부의 영업권 발생이익</t>
        </is>
      </c>
      <c r="E182" s="20" t="n">
        <v>0</v>
      </c>
      <c r="T182" s="20" t="n">
        <v>0</v>
      </c>
      <c r="U182" s="20" t="n">
        <v>-73.2</v>
      </c>
      <c r="V182" s="20" t="n">
        <v>0</v>
      </c>
    </row>
    <row r="183">
      <c r="A183" s="18" t="inlineStr">
        <is>
          <t>대손충당금 증감</t>
        </is>
      </c>
      <c r="C183" s="20" t="n">
        <v>0</v>
      </c>
      <c r="E183" s="20" t="n">
        <v>1.95</v>
      </c>
      <c r="G183" s="20" t="n">
        <v>-0.008999999999999999</v>
      </c>
      <c r="I183" s="20" t="n">
        <v>-3.209</v>
      </c>
      <c r="K183" s="20" t="n">
        <v>-0.201</v>
      </c>
      <c r="M183" s="20" t="n">
        <v>-0.144</v>
      </c>
      <c r="O183" s="20" t="n">
        <v>0.343</v>
      </c>
      <c r="P183" s="20" t="n">
        <v>0.835</v>
      </c>
      <c r="Q183" s="20" t="n">
        <v>-0.11</v>
      </c>
      <c r="R183" s="20" t="n">
        <v>4.125</v>
      </c>
      <c r="S183" s="20" t="n">
        <v>-4.756</v>
      </c>
      <c r="T183" s="20" t="n">
        <v>-0.9370000000000001</v>
      </c>
      <c r="U183" s="20" t="n">
        <v>0.162</v>
      </c>
      <c r="V183" s="20" t="n">
        <v>1.95</v>
      </c>
      <c r="W183" s="20" t="n">
        <v>-3.209</v>
      </c>
      <c r="X183" s="20" t="n">
        <v>-0.144</v>
      </c>
    </row>
    <row r="184">
      <c r="A184" s="18" t="inlineStr">
        <is>
          <t>상여충당금 증감</t>
        </is>
      </c>
      <c r="C184" s="20" t="n">
        <v>-71.267</v>
      </c>
      <c r="E184" s="20" t="n">
        <v>-72.27800000000001</v>
      </c>
      <c r="G184" s="20" t="n">
        <v>1.585</v>
      </c>
      <c r="I184" s="20" t="n">
        <v>51.128</v>
      </c>
      <c r="K184" s="20" t="n">
        <v>13.58</v>
      </c>
      <c r="M184" s="20" t="n">
        <v>43.349</v>
      </c>
      <c r="O184" s="20" t="n">
        <v>21.222</v>
      </c>
      <c r="P184" s="20" t="n">
        <v>42.319</v>
      </c>
      <c r="Q184" s="20" t="n">
        <v>-41.14</v>
      </c>
      <c r="R184" s="20" t="n">
        <v>10</v>
      </c>
      <c r="S184" s="20" t="n">
        <v>0</v>
      </c>
      <c r="T184" s="20" t="n">
        <v>20.627</v>
      </c>
      <c r="U184" s="20" t="n">
        <v>133.786</v>
      </c>
      <c r="V184" s="20" t="n">
        <v>-72.27800000000001</v>
      </c>
      <c r="W184" s="20" t="n">
        <v>51.128</v>
      </c>
      <c r="X184" s="20" t="n">
        <v>43.349</v>
      </c>
    </row>
    <row r="185">
      <c r="A185" s="18" t="inlineStr">
        <is>
          <t>기부금</t>
        </is>
      </c>
      <c r="I185" s="20" t="n">
        <v>0</v>
      </c>
      <c r="M185" s="20" t="n">
        <v>12.387</v>
      </c>
      <c r="W185" s="20" t="n">
        <v>0</v>
      </c>
      <c r="X185" s="20" t="n">
        <v>12.387</v>
      </c>
    </row>
    <row r="186">
      <c r="A186" s="18" t="inlineStr">
        <is>
          <t>퇴직급여자산 증감</t>
        </is>
      </c>
      <c r="C186" s="20" t="n">
        <v>0.982</v>
      </c>
      <c r="E186" s="20" t="n">
        <v>2.635</v>
      </c>
      <c r="G186" s="20" t="n">
        <v>0.885</v>
      </c>
      <c r="I186" s="20" t="n">
        <v>-2.263</v>
      </c>
      <c r="K186" s="20" t="n">
        <v>0.394</v>
      </c>
      <c r="M186" s="20" t="n">
        <v>-1.686</v>
      </c>
      <c r="O186" s="20" t="n">
        <v>0.322</v>
      </c>
      <c r="P186" s="20" t="n">
        <v>2.15</v>
      </c>
      <c r="Q186" s="20" t="n">
        <v>3.697</v>
      </c>
      <c r="R186" s="20" t="n">
        <v>0.321</v>
      </c>
      <c r="S186" s="20" t="n">
        <v>21.585</v>
      </c>
      <c r="T186" s="20" t="n">
        <v>-12.673</v>
      </c>
      <c r="U186" s="20" t="n">
        <v>4.981</v>
      </c>
      <c r="V186" s="20" t="n">
        <v>2.635</v>
      </c>
      <c r="W186" s="20" t="n">
        <v>-2.263</v>
      </c>
      <c r="X186" s="20" t="n">
        <v>-1.686</v>
      </c>
    </row>
    <row r="187">
      <c r="A187" s="18" t="inlineStr">
        <is>
          <t>퇴직급여부채 증감</t>
        </is>
      </c>
      <c r="C187" s="20" t="n">
        <v>2.709</v>
      </c>
      <c r="E187" s="20" t="n">
        <v>13.951</v>
      </c>
      <c r="G187" s="20" t="n">
        <v>3.832</v>
      </c>
      <c r="I187" s="20" t="n">
        <v>9.696</v>
      </c>
      <c r="K187" s="20" t="n">
        <v>2.421</v>
      </c>
      <c r="M187" s="20" t="n">
        <v>-21.286</v>
      </c>
      <c r="O187" s="20" t="n">
        <v>7.753</v>
      </c>
      <c r="P187" s="20" t="n">
        <v>12.044</v>
      </c>
      <c r="Q187" s="20" t="n">
        <v>8.598000000000001</v>
      </c>
      <c r="R187" s="20" t="n">
        <v>8.845000000000001</v>
      </c>
      <c r="S187" s="20" t="n">
        <v>15.341</v>
      </c>
      <c r="T187" s="20" t="n">
        <v>-23.912</v>
      </c>
      <c r="U187" s="20" t="n">
        <v>4.953</v>
      </c>
      <c r="V187" s="20" t="n">
        <v>13.951</v>
      </c>
      <c r="W187" s="20" t="n">
        <v>9.696</v>
      </c>
      <c r="X187" s="20" t="n">
        <v>-21.286</v>
      </c>
    </row>
    <row r="188">
      <c r="A188" s="18" t="inlineStr">
        <is>
          <t>임원 퇴직위로 충당금 증감</t>
        </is>
      </c>
      <c r="C188" s="20" t="n">
        <v>1.565</v>
      </c>
      <c r="E188" s="20" t="n">
        <v>3.13</v>
      </c>
      <c r="G188" s="20" t="n">
        <v>1.775</v>
      </c>
      <c r="I188" s="20" t="n">
        <v>3.55</v>
      </c>
      <c r="K188" s="20" t="n">
        <v>1.914</v>
      </c>
      <c r="M188" s="20" t="n">
        <v>3.83</v>
      </c>
      <c r="O188" s="20" t="n">
        <v>7.766</v>
      </c>
      <c r="P188" s="20" t="n">
        <v>-0.174</v>
      </c>
      <c r="Q188" s="20" t="n">
        <v>-164.582</v>
      </c>
      <c r="R188" s="20" t="n">
        <v>0</v>
      </c>
      <c r="U188" s="20" t="n">
        <v>0</v>
      </c>
      <c r="V188" s="20" t="n">
        <v>3.13</v>
      </c>
      <c r="W188" s="20" t="n">
        <v>3.55</v>
      </c>
      <c r="X188" s="20" t="n">
        <v>3.83</v>
      </c>
    </row>
    <row r="189">
      <c r="A189" s="18" t="inlineStr">
        <is>
          <t>손해보상 충당금 증감액</t>
        </is>
      </c>
      <c r="C189" s="20" t="n">
        <v>0</v>
      </c>
      <c r="E189" s="20" t="n">
        <v>31.42</v>
      </c>
      <c r="G189" s="20" t="n">
        <v>-33.265</v>
      </c>
      <c r="I189" s="20" t="n">
        <v>-33.265</v>
      </c>
      <c r="K189" s="20" t="n">
        <v>0</v>
      </c>
      <c r="M189" s="20" t="n">
        <v>0</v>
      </c>
      <c r="U189" s="20" t="n">
        <v>0</v>
      </c>
      <c r="V189" s="20" t="n">
        <v>31.42</v>
      </c>
      <c r="W189" s="20" t="n">
        <v>-33.265</v>
      </c>
      <c r="X189" s="20" t="n">
        <v>0</v>
      </c>
    </row>
    <row r="190">
      <c r="A190" s="18" t="inlineStr">
        <is>
          <t>이자·배당금 수익</t>
        </is>
      </c>
      <c r="C190" s="20" t="n">
        <v>-4.628</v>
      </c>
      <c r="E190" s="20" t="n">
        <v>-4.748</v>
      </c>
      <c r="G190" s="20" t="n">
        <v>-3.21</v>
      </c>
      <c r="I190" s="20" t="n">
        <v>-5.842</v>
      </c>
      <c r="K190" s="20" t="n">
        <v>-4.416</v>
      </c>
      <c r="M190" s="20" t="n">
        <v>-11.221</v>
      </c>
      <c r="O190" s="20" t="n">
        <v>-0.8110000000000001</v>
      </c>
      <c r="P190" s="20" t="n">
        <v>-1.47</v>
      </c>
      <c r="Q190" s="20" t="n">
        <v>-1.777</v>
      </c>
      <c r="R190" s="20" t="n">
        <v>-2.572</v>
      </c>
      <c r="S190" s="20" t="n">
        <v>-2.911</v>
      </c>
      <c r="T190" s="20" t="n">
        <v>-1.87</v>
      </c>
      <c r="U190" s="20" t="n">
        <v>-1.776</v>
      </c>
      <c r="V190" s="20" t="n">
        <v>-4.748</v>
      </c>
      <c r="W190" s="20" t="n">
        <v>-5.842</v>
      </c>
      <c r="X190" s="20" t="n">
        <v>-11.221</v>
      </c>
    </row>
    <row r="191">
      <c r="A191" s="18" t="inlineStr">
        <is>
          <t>이자비용</t>
        </is>
      </c>
      <c r="C191" s="20" t="n">
        <v>1.902</v>
      </c>
      <c r="E191" s="20" t="n">
        <v>3.355</v>
      </c>
      <c r="G191" s="20" t="n">
        <v>3.013</v>
      </c>
      <c r="I191" s="20" t="n">
        <v>4.902</v>
      </c>
      <c r="K191" s="20" t="n">
        <v>3.146</v>
      </c>
      <c r="M191" s="20" t="n">
        <v>4.621</v>
      </c>
      <c r="O191" s="20" t="n">
        <v>1.954</v>
      </c>
      <c r="P191" s="20" t="n">
        <v>1.747</v>
      </c>
      <c r="Q191" s="20" t="n">
        <v>2.229</v>
      </c>
      <c r="R191" s="20" t="n">
        <v>1.967</v>
      </c>
      <c r="S191" s="20" t="n">
        <v>2.148</v>
      </c>
      <c r="T191" s="20" t="n">
        <v>1.683</v>
      </c>
      <c r="U191" s="20" t="n">
        <v>1.511</v>
      </c>
      <c r="V191" s="20" t="n">
        <v>3.355</v>
      </c>
      <c r="W191" s="20" t="n">
        <v>4.902</v>
      </c>
      <c r="X191" s="20" t="n">
        <v>4.621</v>
      </c>
    </row>
    <row r="192">
      <c r="A192" s="18" t="inlineStr">
        <is>
          <t>주식교부비</t>
        </is>
      </c>
      <c r="O192" s="20" t="n">
        <v>0</v>
      </c>
      <c r="P192" s="20" t="n">
        <v>4.825</v>
      </c>
      <c r="Q192" s="20" t="n">
        <v>0</v>
      </c>
    </row>
    <row r="193">
      <c r="A193" s="18" t="inlineStr">
        <is>
          <t>주식보상비용</t>
        </is>
      </c>
      <c r="C193" s="20" t="n">
        <v>11.748</v>
      </c>
      <c r="E193" s="20" t="n">
        <v>17.026</v>
      </c>
      <c r="G193" s="20" t="n">
        <v>5.708</v>
      </c>
      <c r="I193" s="20" t="n">
        <v>11.849</v>
      </c>
      <c r="K193" s="20" t="n">
        <v>6.325</v>
      </c>
      <c r="M193" s="20" t="n">
        <v>12.835</v>
      </c>
      <c r="P193" s="20" t="n">
        <v>0</v>
      </c>
      <c r="Q193" s="20" t="n">
        <v>6.477</v>
      </c>
      <c r="R193" s="20" t="n">
        <v>8.305</v>
      </c>
      <c r="S193" s="20" t="n">
        <v>12.252</v>
      </c>
      <c r="T193" s="20" t="n">
        <v>29.357</v>
      </c>
      <c r="U193" s="20" t="n">
        <v>26.733</v>
      </c>
      <c r="V193" s="20" t="n">
        <v>17.026</v>
      </c>
      <c r="W193" s="20" t="n">
        <v>11.849</v>
      </c>
      <c r="X193" s="20" t="n">
        <v>12.835</v>
      </c>
    </row>
    <row r="194">
      <c r="A194" s="18" t="inlineStr">
        <is>
          <t>보상금 수취</t>
        </is>
      </c>
      <c r="P194" s="20" t="n">
        <v>0</v>
      </c>
      <c r="Q194" s="20" t="n">
        <v>-3.358</v>
      </c>
      <c r="R194" s="20" t="n">
        <v>0</v>
      </c>
    </row>
    <row r="195">
      <c r="A195" s="18" t="inlineStr">
        <is>
          <t>보험배당금</t>
        </is>
      </c>
      <c r="P195" s="20" t="n">
        <v>0</v>
      </c>
      <c r="Q195" s="20" t="n">
        <v>-2.35</v>
      </c>
      <c r="R195" s="20" t="n">
        <v>0</v>
      </c>
    </row>
    <row r="196">
      <c r="A196" s="18" t="inlineStr">
        <is>
          <t>외환차손익</t>
        </is>
      </c>
      <c r="O196" s="20" t="n">
        <v>-2.296</v>
      </c>
      <c r="P196" s="20" t="n">
        <v>-1.3</v>
      </c>
      <c r="Q196" s="20" t="n">
        <v>0.863</v>
      </c>
      <c r="R196" s="20" t="n">
        <v>0.423</v>
      </c>
    </row>
    <row r="197">
      <c r="A197" s="18" t="inlineStr">
        <is>
          <t>자회사 청산손익</t>
        </is>
      </c>
      <c r="R197" s="20" t="n">
        <v>0</v>
      </c>
      <c r="S197" s="20" t="n">
        <v>19.317</v>
      </c>
      <c r="T197" s="20" t="n">
        <v>0</v>
      </c>
    </row>
    <row r="198">
      <c r="A198" s="18" t="inlineStr">
        <is>
          <t>유가증권 상환손익</t>
        </is>
      </c>
      <c r="S198" s="20" t="n">
        <v>0</v>
      </c>
      <c r="T198" s="20" t="n">
        <v>2.122</v>
      </c>
      <c r="U198" s="20" t="n">
        <v>0</v>
      </c>
    </row>
    <row r="199">
      <c r="A199" s="18" t="inlineStr">
        <is>
          <t>퇴직급여제도 개정 손익</t>
        </is>
      </c>
      <c r="C199" s="20" t="n">
        <v>0</v>
      </c>
      <c r="E199" s="20" t="n">
        <v>0</v>
      </c>
      <c r="T199" s="20" t="n">
        <v>0</v>
      </c>
      <c r="U199" s="20" t="n">
        <v>-24.192</v>
      </c>
      <c r="V199" s="20" t="n">
        <v>0</v>
      </c>
    </row>
    <row r="200">
      <c r="A200" s="18" t="inlineStr">
        <is>
          <t>화해금</t>
        </is>
      </c>
      <c r="E200" s="20" t="n">
        <v>15.28</v>
      </c>
      <c r="I200" s="20" t="n">
        <v>0</v>
      </c>
      <c r="U200" s="20" t="n">
        <v>0</v>
      </c>
      <c r="V200" s="20" t="n">
        <v>15.28</v>
      </c>
      <c r="W200" s="20" t="n">
        <v>0</v>
      </c>
    </row>
    <row r="201">
      <c r="A201" s="18" t="inlineStr">
        <is>
          <t>고정자산 제각·매각손익</t>
        </is>
      </c>
      <c r="E201" s="20" t="n">
        <v>-0.854</v>
      </c>
      <c r="G201" s="20" t="n">
        <v>0</v>
      </c>
      <c r="I201" s="20" t="n">
        <v>0</v>
      </c>
      <c r="K201" s="20" t="n">
        <v>-0.472</v>
      </c>
      <c r="M201" s="20" t="n">
        <v>-0.176</v>
      </c>
      <c r="S201" s="20" t="n">
        <v>0</v>
      </c>
      <c r="T201" s="20" t="n">
        <v>-22.739</v>
      </c>
      <c r="U201" s="20" t="n">
        <v>-0.483</v>
      </c>
      <c r="V201" s="20" t="n">
        <v>-0.854</v>
      </c>
      <c r="W201" s="20" t="n">
        <v>0</v>
      </c>
      <c r="X201" s="20" t="n">
        <v>-0.176</v>
      </c>
    </row>
    <row r="202">
      <c r="A202" s="18" t="inlineStr">
        <is>
          <t>매출채권 증감</t>
        </is>
      </c>
      <c r="C202" s="20" t="n">
        <v>520.284</v>
      </c>
      <c r="E202" s="20" t="n">
        <v>134.073</v>
      </c>
      <c r="G202" s="20" t="n">
        <v>-365.379</v>
      </c>
      <c r="I202" s="20" t="n">
        <v>-735.617</v>
      </c>
      <c r="K202" s="20" t="n">
        <v>-376.276</v>
      </c>
      <c r="M202" s="20" t="n">
        <v>134.066</v>
      </c>
      <c r="O202" s="20" t="n">
        <v>-119.707</v>
      </c>
      <c r="P202" s="20" t="n">
        <v>-553.766</v>
      </c>
      <c r="Q202" s="20" t="n">
        <v>342.225</v>
      </c>
      <c r="R202" s="20" t="n">
        <v>-355.36</v>
      </c>
      <c r="S202" s="20" t="n">
        <v>476.133</v>
      </c>
      <c r="T202" s="20" t="n">
        <v>-70.123</v>
      </c>
      <c r="U202" s="20" t="n">
        <v>-2156.291</v>
      </c>
      <c r="V202" s="20" t="n">
        <v>134.073</v>
      </c>
      <c r="W202" s="20" t="n">
        <v>-735.617</v>
      </c>
      <c r="X202" s="20" t="n">
        <v>134.066</v>
      </c>
    </row>
    <row r="203">
      <c r="A203" s="18" t="inlineStr">
        <is>
          <t>재고자산 증감</t>
        </is>
      </c>
      <c r="C203" s="20" t="n">
        <v>-42.847</v>
      </c>
      <c r="E203" s="20" t="n">
        <v>297.648</v>
      </c>
      <c r="G203" s="20" t="n">
        <v>-73.363</v>
      </c>
      <c r="I203" s="20" t="n">
        <v>-53.38</v>
      </c>
      <c r="K203" s="20" t="n">
        <v>-58.501</v>
      </c>
      <c r="M203" s="20" t="n">
        <v>23.817</v>
      </c>
      <c r="O203" s="20" t="n">
        <v>-5.344</v>
      </c>
      <c r="P203" s="20" t="n">
        <v>-55.765</v>
      </c>
      <c r="Q203" s="20" t="n">
        <v>13.699</v>
      </c>
      <c r="R203" s="20" t="n">
        <v>-15.482</v>
      </c>
      <c r="S203" s="20" t="n">
        <v>23.047</v>
      </c>
      <c r="T203" s="20" t="n">
        <v>-7.234</v>
      </c>
      <c r="U203" s="20" t="n">
        <v>-121.856</v>
      </c>
      <c r="V203" s="20" t="n">
        <v>297.648</v>
      </c>
      <c r="W203" s="20" t="n">
        <v>-53.38</v>
      </c>
      <c r="X203" s="20" t="n">
        <v>23.817</v>
      </c>
    </row>
    <row r="204">
      <c r="A204" s="18" t="inlineStr">
        <is>
          <t>매입채무 증감</t>
        </is>
      </c>
      <c r="C204" s="20" t="n">
        <v>260.15</v>
      </c>
      <c r="E204" s="20" t="n">
        <v>121.232</v>
      </c>
      <c r="G204" s="20" t="n">
        <v>177.059</v>
      </c>
      <c r="I204" s="20" t="n">
        <v>337.132</v>
      </c>
      <c r="K204" s="20" t="n">
        <v>-112.828</v>
      </c>
      <c r="M204" s="20" t="n">
        <v>-188.727</v>
      </c>
      <c r="O204" s="20" t="n">
        <v>48.977</v>
      </c>
      <c r="P204" s="20" t="n">
        <v>420.29</v>
      </c>
      <c r="Q204" s="20" t="n">
        <v>-325.892</v>
      </c>
      <c r="R204" s="20" t="n">
        <v>37.095</v>
      </c>
      <c r="S204" s="20" t="n">
        <v>-97.387</v>
      </c>
      <c r="T204" s="20" t="n">
        <v>128.973</v>
      </c>
      <c r="U204" s="20" t="n">
        <v>328.484</v>
      </c>
      <c r="V204" s="20" t="n">
        <v>121.232</v>
      </c>
      <c r="W204" s="20" t="n">
        <v>337.132</v>
      </c>
      <c r="X204" s="20" t="n">
        <v>-188.727</v>
      </c>
    </row>
    <row r="205">
      <c r="A205" s="18" t="inlineStr">
        <is>
          <t>기타 유동자산 증감</t>
        </is>
      </c>
      <c r="C205" s="20" t="n">
        <v>122.574</v>
      </c>
      <c r="E205" s="20" t="n">
        <v>46.869</v>
      </c>
      <c r="G205" s="20" t="n">
        <v>-3.584</v>
      </c>
      <c r="I205" s="20" t="n">
        <v>-112.778</v>
      </c>
      <c r="K205" s="20" t="n">
        <v>106.061</v>
      </c>
      <c r="M205" s="20" t="n">
        <v>-222.842</v>
      </c>
      <c r="O205" s="20" t="n">
        <v>-23.493</v>
      </c>
      <c r="P205" s="20" t="n">
        <v>-19.556</v>
      </c>
      <c r="Q205" s="20" t="n">
        <v>-53.072</v>
      </c>
      <c r="R205" s="20" t="n">
        <v>-78.67100000000001</v>
      </c>
      <c r="S205" s="20" t="n">
        <v>31.183</v>
      </c>
      <c r="T205" s="20" t="n">
        <v>-178.454</v>
      </c>
      <c r="U205" s="20" t="n">
        <v>-98.255</v>
      </c>
      <c r="V205" s="20" t="n">
        <v>46.869</v>
      </c>
      <c r="W205" s="20" t="n">
        <v>-112.778</v>
      </c>
      <c r="X205" s="20" t="n">
        <v>-222.842</v>
      </c>
    </row>
    <row r="206">
      <c r="A206" s="18" t="inlineStr">
        <is>
          <t>기타 유동부채 증감</t>
        </is>
      </c>
      <c r="C206" s="20" t="n">
        <v>-84.938</v>
      </c>
      <c r="E206" s="20" t="n">
        <v>-17.685</v>
      </c>
      <c r="G206" s="20" t="n">
        <v>-86.65900000000001</v>
      </c>
      <c r="I206" s="20" t="n">
        <v>381.456</v>
      </c>
      <c r="K206" s="20" t="n">
        <v>-404.014</v>
      </c>
      <c r="M206" s="20" t="n">
        <v>-330.797</v>
      </c>
      <c r="O206" s="20" t="n">
        <v>83.667</v>
      </c>
      <c r="P206" s="20" t="n">
        <v>25.008</v>
      </c>
      <c r="Q206" s="20" t="n">
        <v>11.602</v>
      </c>
      <c r="R206" s="20" t="n">
        <v>243.968</v>
      </c>
      <c r="S206" s="20" t="n">
        <v>-83.571</v>
      </c>
      <c r="T206" s="20" t="n">
        <v>-71.541</v>
      </c>
      <c r="U206" s="20" t="n">
        <v>201.536</v>
      </c>
      <c r="V206" s="20" t="n">
        <v>-17.685</v>
      </c>
      <c r="W206" s="20" t="n">
        <v>381.456</v>
      </c>
      <c r="X206" s="20" t="n">
        <v>-330.797</v>
      </c>
    </row>
    <row r="207">
      <c r="A207" s="18" t="inlineStr">
        <is>
          <t>기타</t>
        </is>
      </c>
      <c r="C207" s="20" t="n">
        <v>-0.492</v>
      </c>
      <c r="E207" s="20" t="n">
        <v>0.401</v>
      </c>
      <c r="G207" s="20" t="n">
        <v>2.274</v>
      </c>
      <c r="I207" s="20" t="n">
        <v>5.823</v>
      </c>
      <c r="K207" s="20" t="n">
        <v>-1.007</v>
      </c>
      <c r="M207" s="20" t="n">
        <v>-3.263</v>
      </c>
      <c r="O207" s="20" t="n">
        <v>4.309</v>
      </c>
      <c r="P207" s="20" t="n">
        <v>0.771</v>
      </c>
      <c r="Q207" s="20" t="n">
        <v>154.447</v>
      </c>
      <c r="R207" s="20" t="n">
        <v>-2.574</v>
      </c>
      <c r="S207" s="20" t="n">
        <v>-2.443</v>
      </c>
      <c r="T207" s="20" t="n">
        <v>1.001</v>
      </c>
      <c r="U207" s="20" t="n">
        <v>0.696</v>
      </c>
      <c r="V207" s="20" t="n">
        <v>0.401</v>
      </c>
      <c r="W207" s="20" t="n">
        <v>5.823</v>
      </c>
      <c r="X207" s="20" t="n">
        <v>-3.263</v>
      </c>
    </row>
    <row r="208">
      <c r="A208" s="18" t="inlineStr">
        <is>
          <t>소계</t>
        </is>
      </c>
      <c r="C208" s="20" t="n">
        <v>1237.393</v>
      </c>
      <c r="E208" s="20" t="n">
        <v>1456.547</v>
      </c>
      <c r="G208" s="20" t="n">
        <v>28.231</v>
      </c>
      <c r="I208" s="20" t="n">
        <v>1025.458</v>
      </c>
      <c r="K208" s="20" t="n">
        <v>-237.431</v>
      </c>
      <c r="M208" s="20" t="n">
        <v>711.806</v>
      </c>
      <c r="O208" s="20" t="n">
        <v>599.322</v>
      </c>
      <c r="P208" s="20" t="n">
        <v>691.766</v>
      </c>
      <c r="Q208" s="20" t="n">
        <v>649.3150000000001</v>
      </c>
      <c r="R208" s="20" t="n">
        <v>346.158</v>
      </c>
      <c r="S208" s="20" t="n">
        <v>808.997</v>
      </c>
      <c r="T208" s="20" t="n">
        <v>168.889</v>
      </c>
      <c r="U208" s="20" t="n">
        <v>-969.812</v>
      </c>
      <c r="V208" s="20" t="n">
        <v>1456.547</v>
      </c>
      <c r="W208" s="20" t="n">
        <v>1025.458</v>
      </c>
      <c r="X208" s="20" t="n">
        <v>711.806</v>
      </c>
    </row>
    <row r="209">
      <c r="A209" s="18" t="inlineStr">
        <is>
          <t>이자·배당금 수취</t>
        </is>
      </c>
      <c r="C209" s="20" t="n">
        <v>4.628</v>
      </c>
      <c r="E209" s="20" t="n">
        <v>4.748</v>
      </c>
      <c r="G209" s="20" t="n">
        <v>3.21</v>
      </c>
      <c r="I209" s="20" t="n">
        <v>5.842</v>
      </c>
      <c r="K209" s="20" t="n">
        <v>4.416</v>
      </c>
      <c r="M209" s="20" t="n">
        <v>11.221</v>
      </c>
      <c r="O209" s="20" t="n">
        <v>0.8139999999999999</v>
      </c>
      <c r="P209" s="20" t="n">
        <v>1.277</v>
      </c>
      <c r="Q209" s="20" t="n">
        <v>4.12</v>
      </c>
      <c r="R209" s="20" t="n">
        <v>2.571</v>
      </c>
      <c r="S209" s="20" t="n">
        <v>2.918</v>
      </c>
      <c r="T209" s="20" t="n">
        <v>2.221</v>
      </c>
      <c r="U209" s="20" t="n">
        <v>1.776</v>
      </c>
      <c r="V209" s="20" t="n">
        <v>4.748</v>
      </c>
      <c r="W209" s="20" t="n">
        <v>5.842</v>
      </c>
      <c r="X209" s="20" t="n">
        <v>11.221</v>
      </c>
    </row>
    <row r="210">
      <c r="A210" s="18" t="inlineStr">
        <is>
          <t>이자 지급</t>
        </is>
      </c>
      <c r="C210" s="20" t="n">
        <v>-1.886</v>
      </c>
      <c r="E210" s="20" t="n">
        <v>-2.83</v>
      </c>
      <c r="G210" s="20" t="n">
        <v>-2.458</v>
      </c>
      <c r="I210" s="20" t="n">
        <v>-4.335</v>
      </c>
      <c r="K210" s="20" t="n">
        <v>-3.195</v>
      </c>
      <c r="M210" s="20" t="n">
        <v>-4.665</v>
      </c>
      <c r="O210" s="20" t="n">
        <v>-1.913</v>
      </c>
      <c r="P210" s="20" t="n">
        <v>-1.732</v>
      </c>
      <c r="Q210" s="20" t="n">
        <v>-2.201</v>
      </c>
      <c r="R210" s="20" t="n">
        <v>-1.941</v>
      </c>
      <c r="S210" s="20" t="n">
        <v>-2.272</v>
      </c>
      <c r="T210" s="20" t="n">
        <v>-1.65</v>
      </c>
      <c r="U210" s="20" t="n">
        <v>-1.612</v>
      </c>
      <c r="V210" s="20" t="n">
        <v>-2.83</v>
      </c>
      <c r="W210" s="20" t="n">
        <v>-4.335</v>
      </c>
      <c r="X210" s="20" t="n">
        <v>-4.665</v>
      </c>
    </row>
    <row r="211">
      <c r="A211" s="18" t="inlineStr">
        <is>
          <t>보상금 수취</t>
        </is>
      </c>
      <c r="P211" s="20" t="n">
        <v>0</v>
      </c>
      <c r="Q211" s="20" t="n">
        <v>3.358</v>
      </c>
    </row>
    <row r="212">
      <c r="A212" s="18" t="inlineStr">
        <is>
          <t>보상금 수령액</t>
        </is>
      </c>
      <c r="Q212" s="20" t="n">
        <v>3.358</v>
      </c>
      <c r="R212" s="20" t="n">
        <v>0</v>
      </c>
    </row>
    <row r="213">
      <c r="A213" s="18" t="inlineStr">
        <is>
          <t>화해금 지급액</t>
        </is>
      </c>
      <c r="C213" s="20" t="n">
        <v>0</v>
      </c>
      <c r="G213" s="20" t="n">
        <v>-15.28</v>
      </c>
      <c r="K213" s="20" t="n">
        <v>0</v>
      </c>
    </row>
    <row r="214">
      <c r="A214" s="18" t="inlineStr">
        <is>
          <t>기부금 지급액</t>
        </is>
      </c>
      <c r="I214" s="20" t="n">
        <v>0</v>
      </c>
      <c r="M214" s="20" t="n">
        <v>-12.387</v>
      </c>
      <c r="W214" s="20" t="n">
        <v>0</v>
      </c>
      <c r="X214" s="20" t="n">
        <v>-12.387</v>
      </c>
    </row>
    <row r="215">
      <c r="A215" s="18" t="inlineStr">
        <is>
          <t>법인세 납부</t>
        </is>
      </c>
      <c r="C215" s="20" t="n">
        <v>-258.824</v>
      </c>
      <c r="E215" s="20" t="n">
        <v>-427.103</v>
      </c>
      <c r="G215" s="20" t="n">
        <v>-58.432</v>
      </c>
      <c r="I215" s="20" t="n">
        <v>-162.387</v>
      </c>
      <c r="K215" s="20" t="n">
        <v>-286.747</v>
      </c>
      <c r="M215" s="20" t="n">
        <v>-465.138</v>
      </c>
      <c r="O215" s="20" t="n">
        <v>-144.808</v>
      </c>
      <c r="P215" s="20" t="n">
        <v>-227.21</v>
      </c>
      <c r="Q215" s="20" t="n">
        <v>-339.798</v>
      </c>
      <c r="R215" s="20" t="n">
        <v>-184.632</v>
      </c>
      <c r="S215" s="20" t="n">
        <v>-143.534</v>
      </c>
      <c r="T215" s="20" t="n">
        <v>-109.912</v>
      </c>
      <c r="U215" s="20" t="n">
        <v>-97.848</v>
      </c>
      <c r="V215" s="20" t="n">
        <v>-427.103</v>
      </c>
      <c r="W215" s="20" t="n">
        <v>-162.387</v>
      </c>
      <c r="X215" s="20" t="n">
        <v>-465.138</v>
      </c>
    </row>
    <row r="216">
      <c r="A216" s="18" t="inlineStr">
        <is>
          <t>법인세 환급</t>
        </is>
      </c>
      <c r="C216" s="20" t="n">
        <v>7.307</v>
      </c>
      <c r="E216" s="20" t="n">
        <v>7.307</v>
      </c>
      <c r="G216" s="20" t="n">
        <v>0</v>
      </c>
      <c r="I216" s="20" t="n">
        <v>0</v>
      </c>
      <c r="S216" s="20" t="n">
        <v>0</v>
      </c>
      <c r="T216" s="20" t="n">
        <v>0.016</v>
      </c>
      <c r="U216" s="20" t="n">
        <v>0</v>
      </c>
      <c r="V216" s="20" t="n">
        <v>7.307</v>
      </c>
      <c r="W216" s="20" t="n">
        <v>0</v>
      </c>
    </row>
    <row r="217">
      <c r="A217" s="9" t="inlineStr">
        <is>
          <t>영업활동 현금흐름</t>
        </is>
      </c>
      <c r="C217" s="12" t="n">
        <v>988.6180000000001</v>
      </c>
      <c r="E217" s="12" t="n">
        <v>1038.669</v>
      </c>
      <c r="G217" s="12" t="n">
        <v>-44.73</v>
      </c>
      <c r="I217" s="12" t="n">
        <v>864.578</v>
      </c>
      <c r="K217" s="12" t="n">
        <v>-522.957</v>
      </c>
      <c r="M217" s="12" t="n">
        <v>240.837</v>
      </c>
      <c r="O217" s="12" t="n">
        <v>453.416</v>
      </c>
      <c r="P217" s="12" t="n">
        <v>464.1</v>
      </c>
      <c r="Q217" s="12" t="n">
        <v>314.795</v>
      </c>
      <c r="R217" s="12" t="n">
        <v>162.156</v>
      </c>
      <c r="S217" s="12" t="n">
        <v>666.1079999999999</v>
      </c>
      <c r="T217" s="12" t="n">
        <v>59.565</v>
      </c>
      <c r="U217" s="12" t="n">
        <v>-1067.497</v>
      </c>
      <c r="V217" s="12" t="n">
        <v>1038.669</v>
      </c>
      <c r="W217" s="12" t="n">
        <v>864.578</v>
      </c>
      <c r="X217" s="12" t="n">
        <v>240.837</v>
      </c>
    </row>
    <row r="218">
      <c r="A218" s="18" t="inlineStr">
        <is>
          <t>정기예금 예입</t>
        </is>
      </c>
      <c r="C218" s="20" t="n">
        <v>-68.002</v>
      </c>
      <c r="E218" s="20" t="n">
        <v>-86.90900000000001</v>
      </c>
      <c r="G218" s="20" t="n">
        <v>-19.205</v>
      </c>
      <c r="I218" s="20" t="n">
        <v>-39.02</v>
      </c>
      <c r="K218" s="20" t="n">
        <v>-19.333</v>
      </c>
      <c r="M218" s="20" t="n">
        <v>-87.63800000000001</v>
      </c>
      <c r="O218" s="20" t="n">
        <v>-12.032</v>
      </c>
      <c r="P218" s="20" t="n">
        <v>-12.021</v>
      </c>
      <c r="Q218" s="20" t="n">
        <v>-12.021</v>
      </c>
      <c r="R218" s="20" t="n">
        <v>-21.744</v>
      </c>
      <c r="S218" s="20" t="n">
        <v>-12.015</v>
      </c>
      <c r="T218" s="20" t="n">
        <v>-12.007</v>
      </c>
      <c r="U218" s="20" t="n">
        <v>-18.007</v>
      </c>
      <c r="V218" s="20" t="n">
        <v>-86.90900000000001</v>
      </c>
      <c r="W218" s="20" t="n">
        <v>-39.02</v>
      </c>
      <c r="X218" s="20" t="n">
        <v>-87.63800000000001</v>
      </c>
    </row>
    <row r="219">
      <c r="A219" s="18" t="inlineStr">
        <is>
          <t>정기예금 인출</t>
        </is>
      </c>
      <c r="C219" s="20" t="n">
        <v>60</v>
      </c>
      <c r="E219" s="20" t="n">
        <v>60.002</v>
      </c>
      <c r="G219" s="20" t="n">
        <v>77.602</v>
      </c>
      <c r="I219" s="20" t="n">
        <v>77.602</v>
      </c>
      <c r="K219" s="20" t="n">
        <v>39.61</v>
      </c>
      <c r="M219" s="20" t="n">
        <v>139.75</v>
      </c>
      <c r="O219" s="20" t="n">
        <v>0</v>
      </c>
      <c r="P219" s="20" t="n">
        <v>55.235</v>
      </c>
      <c r="Q219" s="20" t="n">
        <v>0</v>
      </c>
      <c r="R219" s="20" t="n">
        <v>0</v>
      </c>
      <c r="S219" s="20" t="n">
        <v>9.464</v>
      </c>
      <c r="T219" s="20" t="n">
        <v>0</v>
      </c>
      <c r="U219" s="20" t="n">
        <v>0</v>
      </c>
      <c r="V219" s="20" t="n">
        <v>60.002</v>
      </c>
      <c r="W219" s="20" t="n">
        <v>77.602</v>
      </c>
      <c r="X219" s="20" t="n">
        <v>139.75</v>
      </c>
    </row>
    <row r="220">
      <c r="A220" s="18" t="inlineStr">
        <is>
          <t>유형자산 취득(설비투자)</t>
        </is>
      </c>
      <c r="C220" s="20" t="n">
        <v>-14.243</v>
      </c>
      <c r="E220" s="20" t="n">
        <v>-55.576</v>
      </c>
      <c r="G220" s="20" t="n">
        <v>-19.783</v>
      </c>
      <c r="I220" s="20" t="n">
        <v>-25.502</v>
      </c>
      <c r="K220" s="20" t="n">
        <v>-39.867</v>
      </c>
      <c r="M220" s="20" t="n">
        <v>-89.383</v>
      </c>
      <c r="O220" s="20" t="n">
        <v>-18.441</v>
      </c>
      <c r="P220" s="20" t="n">
        <v>-19.328</v>
      </c>
      <c r="Q220" s="20" t="n">
        <v>-6.712</v>
      </c>
      <c r="R220" s="20" t="n">
        <v>-2.041</v>
      </c>
      <c r="S220" s="20" t="n">
        <v>-2.667</v>
      </c>
      <c r="T220" s="20" t="n">
        <v>-11.012</v>
      </c>
      <c r="U220" s="20" t="n">
        <v>-1.699</v>
      </c>
      <c r="V220" s="20" t="n">
        <v>-55.576</v>
      </c>
      <c r="W220" s="20" t="n">
        <v>-25.502</v>
      </c>
      <c r="X220" s="20" t="n">
        <v>-89.383</v>
      </c>
    </row>
    <row r="221">
      <c r="A221" s="18" t="inlineStr">
        <is>
          <t>유형자산 매각</t>
        </is>
      </c>
      <c r="E221" s="20" t="n">
        <v>0.9</v>
      </c>
      <c r="G221" s="20" t="n">
        <v>0</v>
      </c>
      <c r="I221" s="20" t="n">
        <v>0</v>
      </c>
      <c r="K221" s="20" t="n">
        <v>0.472</v>
      </c>
      <c r="M221" s="20" t="n">
        <v>3.791</v>
      </c>
      <c r="P221" s="20" t="n">
        <v>0</v>
      </c>
      <c r="Q221" s="20" t="n">
        <v>0.984</v>
      </c>
      <c r="R221" s="20" t="n">
        <v>0</v>
      </c>
      <c r="S221" s="20" t="n">
        <v>0</v>
      </c>
      <c r="T221" s="20" t="n">
        <v>28.503</v>
      </c>
      <c r="U221" s="20" t="n">
        <v>0.483</v>
      </c>
      <c r="V221" s="20" t="n">
        <v>0.9</v>
      </c>
      <c r="W221" s="20" t="n">
        <v>0</v>
      </c>
      <c r="X221" s="20" t="n">
        <v>3.791</v>
      </c>
    </row>
    <row r="222">
      <c r="A222" s="18" t="inlineStr">
        <is>
          <t>무형자산 취득</t>
        </is>
      </c>
      <c r="C222" s="20" t="n">
        <v>-12.85</v>
      </c>
      <c r="E222" s="20" t="n">
        <v>-38.003</v>
      </c>
      <c r="G222" s="20" t="n">
        <v>-17.34</v>
      </c>
      <c r="I222" s="20" t="n">
        <v>-24.93</v>
      </c>
      <c r="K222" s="20" t="n">
        <v>-11.3</v>
      </c>
      <c r="M222" s="20" t="n">
        <v>-17.332</v>
      </c>
      <c r="O222" s="20" t="n">
        <v>-0.47</v>
      </c>
      <c r="P222" s="20" t="n">
        <v>-25.122</v>
      </c>
      <c r="Q222" s="20" t="n">
        <v>-274.428</v>
      </c>
      <c r="R222" s="20" t="n">
        <v>-108.682</v>
      </c>
      <c r="S222" s="20" t="n">
        <v>-86.574</v>
      </c>
      <c r="T222" s="20" t="n">
        <v>-18.124</v>
      </c>
      <c r="U222" s="20" t="n">
        <v>-11.149</v>
      </c>
      <c r="V222" s="20" t="n">
        <v>-38.003</v>
      </c>
      <c r="W222" s="20" t="n">
        <v>-24.93</v>
      </c>
      <c r="X222" s="20" t="n">
        <v>-17.332</v>
      </c>
    </row>
    <row r="223">
      <c r="A223" s="18" t="inlineStr">
        <is>
          <t>투자유가증권 취득</t>
        </is>
      </c>
      <c r="C223" s="20" t="n">
        <v>-0.439</v>
      </c>
      <c r="E223" s="20" t="n">
        <v>-0.882</v>
      </c>
      <c r="G223" s="20" t="n">
        <v>-0.451</v>
      </c>
      <c r="I223" s="20" t="n">
        <v>-0.904</v>
      </c>
      <c r="K223" s="20" t="n">
        <v>-0.461</v>
      </c>
      <c r="M223" s="20" t="n">
        <v>-4.005</v>
      </c>
      <c r="O223" s="20" t="n">
        <v>-0.429</v>
      </c>
      <c r="P223" s="20" t="n">
        <v>-57.546</v>
      </c>
      <c r="Q223" s="20" t="n">
        <v>-100.809</v>
      </c>
      <c r="R223" s="20" t="n">
        <v>-0.454</v>
      </c>
      <c r="S223" s="20" t="n">
        <v>-0.47</v>
      </c>
      <c r="T223" s="20" t="n">
        <v>-0.487</v>
      </c>
      <c r="U223" s="20" t="n">
        <v>-0.592</v>
      </c>
      <c r="V223" s="20" t="n">
        <v>-0.882</v>
      </c>
      <c r="W223" s="20" t="n">
        <v>-0.904</v>
      </c>
      <c r="X223" s="20" t="n">
        <v>-4.005</v>
      </c>
    </row>
    <row r="224">
      <c r="A224" s="18" t="inlineStr">
        <is>
          <t>자회사 청산 지출</t>
        </is>
      </c>
      <c r="R224" s="20" t="n">
        <v>0</v>
      </c>
      <c r="S224" s="20" t="n">
        <v>-16.863</v>
      </c>
    </row>
    <row r="225">
      <c r="A225" s="18" t="inlineStr">
        <is>
          <t>자회사 청산 지출</t>
        </is>
      </c>
      <c r="S225" s="20" t="n">
        <v>-16.863</v>
      </c>
      <c r="T225" s="20" t="n">
        <v>0</v>
      </c>
    </row>
    <row r="226">
      <c r="A226" s="18" t="inlineStr">
        <is>
          <t>유가증권 상환 수입</t>
        </is>
      </c>
      <c r="S226" s="20" t="n">
        <v>0</v>
      </c>
      <c r="T226" s="20" t="n">
        <v>54.992</v>
      </c>
      <c r="U226" s="20" t="n">
        <v>0</v>
      </c>
    </row>
    <row r="227">
      <c r="A227" s="18" t="inlineStr">
        <is>
          <t>자산복구부채 이행 지출</t>
        </is>
      </c>
      <c r="C227" s="20" t="n">
        <v>-0.057</v>
      </c>
      <c r="E227" s="20" t="n">
        <v>-3.064</v>
      </c>
      <c r="G227" s="20" t="n">
        <v>0</v>
      </c>
      <c r="I227" s="20" t="n">
        <v>0</v>
      </c>
      <c r="O227" s="20" t="n">
        <v>-1.515</v>
      </c>
      <c r="P227" s="20" t="n">
        <v>0</v>
      </c>
      <c r="S227" s="20" t="n">
        <v>0</v>
      </c>
      <c r="T227" s="20" t="n">
        <v>-4.257</v>
      </c>
      <c r="U227" s="20" t="n">
        <v>0</v>
      </c>
      <c r="V227" s="20" t="n">
        <v>-3.064</v>
      </c>
      <c r="W227" s="20" t="n">
        <v>0</v>
      </c>
    </row>
    <row r="228">
      <c r="A228" s="18" t="inlineStr">
        <is>
          <t>임차보증금·보증금 납입</t>
        </is>
      </c>
      <c r="C228" s="20" t="n">
        <v>-5.405</v>
      </c>
      <c r="E228" s="20" t="n">
        <v>-7.164</v>
      </c>
      <c r="G228" s="20" t="n">
        <v>-1.532</v>
      </c>
      <c r="I228" s="20" t="n">
        <v>-4.329</v>
      </c>
      <c r="K228" s="20" t="n">
        <v>-5.472</v>
      </c>
      <c r="M228" s="20" t="n">
        <v>-31.875</v>
      </c>
      <c r="O228" s="20" t="n">
        <v>-5.965</v>
      </c>
      <c r="P228" s="20" t="n">
        <v>-6.637</v>
      </c>
      <c r="Q228" s="20" t="n">
        <v>-4.611</v>
      </c>
      <c r="R228" s="20" t="n">
        <v>-7.12</v>
      </c>
      <c r="S228" s="20" t="n">
        <v>-2.633</v>
      </c>
      <c r="T228" s="20" t="n">
        <v>-1.432</v>
      </c>
      <c r="U228" s="20" t="n">
        <v>-2.698</v>
      </c>
      <c r="V228" s="20" t="n">
        <v>-7.164</v>
      </c>
      <c r="W228" s="20" t="n">
        <v>-4.329</v>
      </c>
      <c r="X228" s="20" t="n">
        <v>-31.875</v>
      </c>
    </row>
    <row r="229">
      <c r="A229" s="18" t="inlineStr">
        <is>
          <t>임차보증금·보증금 회수</t>
        </is>
      </c>
      <c r="C229" s="20" t="n">
        <v>0.362</v>
      </c>
      <c r="E229" s="20" t="n">
        <v>0.967</v>
      </c>
      <c r="G229" s="20" t="n">
        <v>1.781</v>
      </c>
      <c r="I229" s="20" t="n">
        <v>2.012</v>
      </c>
      <c r="K229" s="20" t="n">
        <v>0.388</v>
      </c>
      <c r="M229" s="20" t="n">
        <v>2.911</v>
      </c>
      <c r="O229" s="20" t="n">
        <v>3.665</v>
      </c>
      <c r="P229" s="20" t="n">
        <v>0.585</v>
      </c>
      <c r="Q229" s="20" t="n">
        <v>0.889</v>
      </c>
      <c r="R229" s="20" t="n">
        <v>2.084</v>
      </c>
      <c r="S229" s="20" t="n">
        <v>2.195</v>
      </c>
      <c r="T229" s="20" t="n">
        <v>9.696999999999999</v>
      </c>
      <c r="U229" s="20" t="n">
        <v>1.889</v>
      </c>
      <c r="V229" s="20" t="n">
        <v>0.967</v>
      </c>
      <c r="W229" s="20" t="n">
        <v>2.012</v>
      </c>
      <c r="X229" s="20" t="n">
        <v>2.911</v>
      </c>
    </row>
    <row r="230">
      <c r="A230" s="18" t="inlineStr">
        <is>
          <t>연결범위 변경 자회사 주식 취득</t>
        </is>
      </c>
      <c r="E230" s="20" t="n">
        <v>-79.185</v>
      </c>
      <c r="I230" s="20" t="n">
        <v>0</v>
      </c>
      <c r="U230" s="20" t="n">
        <v>0</v>
      </c>
      <c r="V230" s="20" t="n">
        <v>-79.185</v>
      </c>
      <c r="W230" s="20" t="n">
        <v>0</v>
      </c>
    </row>
    <row r="231">
      <c r="A231" s="18" t="inlineStr">
        <is>
          <t>장기선급비용 지출</t>
        </is>
      </c>
      <c r="C231" s="20" t="n">
        <v>-3</v>
      </c>
      <c r="E231" s="20" t="n">
        <v>-7.002</v>
      </c>
      <c r="G231" s="20" t="n">
        <v>-5.939</v>
      </c>
      <c r="I231" s="20" t="n">
        <v>-9.228</v>
      </c>
      <c r="K231" s="20" t="n">
        <v>-4.775</v>
      </c>
      <c r="M231" s="20" t="n">
        <v>-11.315</v>
      </c>
      <c r="O231" s="20" t="n">
        <v>-5.441</v>
      </c>
      <c r="P231" s="20" t="n">
        <v>-5.578</v>
      </c>
      <c r="Q231" s="20" t="n">
        <v>-5.788</v>
      </c>
      <c r="R231" s="20" t="n">
        <v>-7.808</v>
      </c>
      <c r="S231" s="20" t="n">
        <v>-5.441</v>
      </c>
      <c r="T231" s="20" t="n">
        <v>-6.553</v>
      </c>
      <c r="U231" s="20" t="n">
        <v>-6.676</v>
      </c>
      <c r="V231" s="20" t="n">
        <v>-7.002</v>
      </c>
      <c r="W231" s="20" t="n">
        <v>-9.228</v>
      </c>
      <c r="X231" s="20" t="n">
        <v>-11.315</v>
      </c>
    </row>
    <row r="232">
      <c r="A232" s="18" t="inlineStr">
        <is>
          <t>기타</t>
        </is>
      </c>
      <c r="C232" s="20" t="n">
        <v>-2.636</v>
      </c>
      <c r="E232" s="20" t="n">
        <v>-4.56</v>
      </c>
      <c r="G232" s="20" t="n">
        <v>-2.593</v>
      </c>
      <c r="I232" s="20" t="n">
        <v>-5.909</v>
      </c>
      <c r="K232" s="20" t="n">
        <v>-2.45</v>
      </c>
      <c r="M232" s="20" t="n">
        <v>-4.663</v>
      </c>
      <c r="O232" s="20" t="n">
        <v>-2.47</v>
      </c>
      <c r="P232" s="20" t="n">
        <v>-2.47</v>
      </c>
      <c r="Q232" s="20" t="n">
        <v>-2.374</v>
      </c>
      <c r="R232" s="20" t="n">
        <v>-2.509</v>
      </c>
      <c r="S232" s="20" t="n">
        <v>4.735</v>
      </c>
      <c r="T232" s="20" t="n">
        <v>-0.578</v>
      </c>
      <c r="U232" s="20" t="n">
        <v>-1.607</v>
      </c>
      <c r="V232" s="20" t="n">
        <v>-4.56</v>
      </c>
      <c r="W232" s="20" t="n">
        <v>-5.909</v>
      </c>
      <c r="X232" s="20" t="n">
        <v>-4.663</v>
      </c>
    </row>
    <row r="233">
      <c r="A233" s="9" t="inlineStr">
        <is>
          <t>투자활동 현금흐름</t>
        </is>
      </c>
      <c r="C233" s="12" t="n">
        <v>-46.274</v>
      </c>
      <c r="E233" s="12" t="n">
        <v>-220.478</v>
      </c>
      <c r="G233" s="12" t="n">
        <v>12.539</v>
      </c>
      <c r="I233" s="12" t="n">
        <v>-30.21</v>
      </c>
      <c r="K233" s="12" t="n">
        <v>-43.189</v>
      </c>
      <c r="M233" s="12" t="n">
        <v>-99.762</v>
      </c>
      <c r="O233" s="12" t="n">
        <v>-43.099</v>
      </c>
      <c r="P233" s="12" t="n">
        <v>-72.884</v>
      </c>
      <c r="Q233" s="12" t="n">
        <v>-404.871</v>
      </c>
      <c r="R233" s="12" t="n">
        <v>-148.277</v>
      </c>
      <c r="S233" s="12" t="n">
        <v>-110.269</v>
      </c>
      <c r="T233" s="12" t="n">
        <v>38.738</v>
      </c>
      <c r="U233" s="12" t="n">
        <v>-40.059</v>
      </c>
      <c r="V233" s="12" t="n">
        <v>-220.478</v>
      </c>
      <c r="W233" s="12" t="n">
        <v>-30.21</v>
      </c>
      <c r="X233" s="12" t="n">
        <v>-99.762</v>
      </c>
    </row>
    <row r="234">
      <c r="A234" s="18" t="inlineStr">
        <is>
          <t>단기차입금 순증감</t>
        </is>
      </c>
      <c r="C234" s="20" t="n">
        <v>2.495</v>
      </c>
      <c r="E234" s="20" t="n">
        <v>14.713</v>
      </c>
      <c r="G234" s="20" t="n">
        <v>39.481</v>
      </c>
      <c r="I234" s="20" t="n">
        <v>4.573</v>
      </c>
      <c r="K234" s="20" t="n">
        <v>298.607</v>
      </c>
      <c r="M234" s="20" t="n">
        <v>-1.54</v>
      </c>
      <c r="T234" s="20" t="n">
        <v>0</v>
      </c>
      <c r="U234" s="20" t="n">
        <v>14.76</v>
      </c>
      <c r="V234" s="20" t="n">
        <v>14.713</v>
      </c>
      <c r="W234" s="20" t="n">
        <v>4.573</v>
      </c>
      <c r="X234" s="20" t="n">
        <v>-1.54</v>
      </c>
    </row>
    <row r="235">
      <c r="A235" s="18" t="inlineStr">
        <is>
          <t>장기차입</t>
        </is>
      </c>
      <c r="E235" s="20" t="n">
        <v>0</v>
      </c>
      <c r="I235" s="20" t="n">
        <v>34.753</v>
      </c>
      <c r="M235" s="20" t="n">
        <v>0</v>
      </c>
      <c r="R235" s="20" t="n">
        <v>0</v>
      </c>
      <c r="S235" s="20" t="n">
        <v>450</v>
      </c>
      <c r="T235" s="20" t="n">
        <v>0</v>
      </c>
      <c r="U235" s="20" t="n">
        <v>500</v>
      </c>
      <c r="V235" s="20" t="n">
        <v>0</v>
      </c>
      <c r="W235" s="20" t="n">
        <v>34.753</v>
      </c>
      <c r="X235" s="20" t="n">
        <v>0</v>
      </c>
    </row>
    <row r="236">
      <c r="A236" s="18" t="inlineStr">
        <is>
          <t>장기차입금 상환</t>
        </is>
      </c>
      <c r="C236" s="20" t="n">
        <v>-98.134</v>
      </c>
      <c r="E236" s="20" t="n">
        <v>-201.107</v>
      </c>
      <c r="G236" s="20" t="n">
        <v>-139.893</v>
      </c>
      <c r="I236" s="20" t="n">
        <v>-274.784</v>
      </c>
      <c r="K236" s="20" t="n">
        <v>-81.846</v>
      </c>
      <c r="M236" s="20" t="n">
        <v>-136.988</v>
      </c>
      <c r="O236" s="20" t="n">
        <v>-93.607</v>
      </c>
      <c r="P236" s="20" t="n">
        <v>-59.992</v>
      </c>
      <c r="Q236" s="20" t="n">
        <v>-59.992</v>
      </c>
      <c r="R236" s="20" t="n">
        <v>-59.992</v>
      </c>
      <c r="S236" s="20" t="n">
        <v>-104.197</v>
      </c>
      <c r="T236" s="20" t="n">
        <v>-89.992</v>
      </c>
      <c r="U236" s="20" t="n">
        <v>-99.848</v>
      </c>
      <c r="V236" s="20" t="n">
        <v>-201.107</v>
      </c>
      <c r="W236" s="20" t="n">
        <v>-274.784</v>
      </c>
      <c r="X236" s="20" t="n">
        <v>-136.988</v>
      </c>
    </row>
    <row r="237">
      <c r="A237" s="18" t="inlineStr">
        <is>
          <t>주식 발행</t>
        </is>
      </c>
      <c r="O237" s="20" t="n">
        <v>0</v>
      </c>
      <c r="P237" s="20" t="n">
        <v>328.576</v>
      </c>
      <c r="Q237" s="20" t="n">
        <v>0</v>
      </c>
    </row>
    <row r="238">
      <c r="A238" s="18" t="inlineStr">
        <is>
          <t>배당금 지급</t>
        </is>
      </c>
      <c r="C238" s="20" t="n">
        <v>-149.217</v>
      </c>
      <c r="E238" s="20" t="n">
        <v>-147.694</v>
      </c>
      <c r="G238" s="20" t="n">
        <v>-128.552</v>
      </c>
      <c r="I238" s="20" t="n">
        <v>-128.585</v>
      </c>
      <c r="K238" s="20" t="n">
        <v>-161.021</v>
      </c>
      <c r="M238" s="20" t="n">
        <v>-161.044</v>
      </c>
      <c r="O238" s="20" t="n">
        <v>-82.94199999999999</v>
      </c>
      <c r="P238" s="20" t="n">
        <v>-111.231</v>
      </c>
      <c r="Q238" s="20" t="n">
        <v>-162.812</v>
      </c>
      <c r="R238" s="20" t="n">
        <v>-174.912</v>
      </c>
      <c r="S238" s="20" t="n">
        <v>-145.119</v>
      </c>
      <c r="T238" s="20" t="n">
        <v>-91.435</v>
      </c>
      <c r="U238" s="20" t="n">
        <v>-88.849</v>
      </c>
      <c r="V238" s="20" t="n">
        <v>-147.694</v>
      </c>
      <c r="W238" s="20" t="n">
        <v>-128.585</v>
      </c>
      <c r="X238" s="20" t="n">
        <v>-161.044</v>
      </c>
    </row>
    <row r="239">
      <c r="A239" s="18" t="inlineStr">
        <is>
          <t>자기주식 취득</t>
        </is>
      </c>
      <c r="E239" s="20" t="n">
        <v>-0.102</v>
      </c>
      <c r="I239" s="20" t="n">
        <v>0</v>
      </c>
      <c r="O239" s="20" t="n">
        <v>-0.026</v>
      </c>
      <c r="P239" s="20" t="n">
        <v>0</v>
      </c>
      <c r="Q239" s="20" t="n">
        <v>-0.204</v>
      </c>
      <c r="R239" s="20" t="n">
        <v>-0.044</v>
      </c>
      <c r="S239" s="20" t="n">
        <v>0</v>
      </c>
      <c r="T239" s="20" t="n">
        <v>-27.922</v>
      </c>
      <c r="U239" s="20" t="n">
        <v>-0</v>
      </c>
      <c r="V239" s="20" t="n">
        <v>-0.102</v>
      </c>
      <c r="W239" s="20" t="n">
        <v>0</v>
      </c>
    </row>
    <row r="240">
      <c r="A240" s="18" t="inlineStr">
        <is>
          <t>신주예약권 발행</t>
        </is>
      </c>
      <c r="O240" s="20" t="n">
        <v>0.981</v>
      </c>
      <c r="P240" s="20" t="n">
        <v>0</v>
      </c>
      <c r="Q240" s="20" t="n">
        <v>27.613</v>
      </c>
    </row>
    <row r="241">
      <c r="A241" s="18" t="inlineStr">
        <is>
          <t>신주예약권 발행 지출</t>
        </is>
      </c>
      <c r="O241" s="20" t="n">
        <v>-2.637</v>
      </c>
      <c r="P241" s="20" t="n">
        <v>0</v>
      </c>
    </row>
    <row r="242">
      <c r="A242" s="18" t="inlineStr">
        <is>
          <t>신주예약권 행사에 따른 주식 발행</t>
        </is>
      </c>
      <c r="Q242" s="20" t="n">
        <v>27.613</v>
      </c>
      <c r="R242" s="20" t="n">
        <v>35.309</v>
      </c>
      <c r="S242" s="20" t="n">
        <v>0</v>
      </c>
    </row>
    <row r="243">
      <c r="A243" s="18" t="inlineStr">
        <is>
          <t>비지배주주 납입</t>
        </is>
      </c>
      <c r="Q243" s="20" t="n">
        <v>0</v>
      </c>
      <c r="R243" s="20" t="n">
        <v>29.54</v>
      </c>
      <c r="S243" s="20" t="n">
        <v>0</v>
      </c>
    </row>
    <row r="244">
      <c r="A244" s="18" t="inlineStr">
        <is>
          <t>기타</t>
        </is>
      </c>
      <c r="C244" s="20" t="n">
        <v>-4.48</v>
      </c>
      <c r="E244" s="20" t="n">
        <v>-7.83</v>
      </c>
      <c r="G244" s="20" t="n">
        <v>-2.625</v>
      </c>
      <c r="I244" s="20" t="n">
        <v>-4.613</v>
      </c>
      <c r="K244" s="20" t="n">
        <v>-2.053</v>
      </c>
      <c r="M244" s="20" t="n">
        <v>-4.327</v>
      </c>
      <c r="O244" s="20" t="n">
        <v>-12.935</v>
      </c>
      <c r="P244" s="20" t="n">
        <v>-2.411</v>
      </c>
      <c r="Q244" s="20" t="n">
        <v>1.833</v>
      </c>
      <c r="R244" s="20" t="n">
        <v>-15.905</v>
      </c>
      <c r="S244" s="20" t="n">
        <v>-16.947</v>
      </c>
      <c r="T244" s="20" t="n">
        <v>-15.756</v>
      </c>
      <c r="U244" s="20" t="n">
        <v>-16.025</v>
      </c>
      <c r="V244" s="20" t="n">
        <v>-7.83</v>
      </c>
      <c r="W244" s="20" t="n">
        <v>-4.613</v>
      </c>
      <c r="X244" s="20" t="n">
        <v>-4.327</v>
      </c>
    </row>
    <row r="245">
      <c r="A245" s="9" t="inlineStr">
        <is>
          <t>재무활동 현금흐름</t>
        </is>
      </c>
      <c r="C245" s="12" t="n">
        <v>-249.336</v>
      </c>
      <c r="E245" s="12" t="n">
        <v>-342.02</v>
      </c>
      <c r="G245" s="12" t="n">
        <v>-231.589</v>
      </c>
      <c r="I245" s="12" t="n">
        <v>-368.655</v>
      </c>
      <c r="K245" s="12" t="n">
        <v>53.686</v>
      </c>
      <c r="M245" s="12" t="n">
        <v>-303.901</v>
      </c>
      <c r="O245" s="12" t="n">
        <v>-191.166</v>
      </c>
      <c r="P245" s="12" t="n">
        <v>154.94</v>
      </c>
      <c r="Q245" s="12" t="n">
        <v>-193.562</v>
      </c>
      <c r="R245" s="12" t="n">
        <v>-186.004</v>
      </c>
      <c r="S245" s="12" t="n">
        <v>183.735</v>
      </c>
      <c r="T245" s="12" t="n">
        <v>-225.106</v>
      </c>
      <c r="U245" s="12" t="n">
        <v>310.037</v>
      </c>
      <c r="V245" s="12" t="n">
        <v>-342.02</v>
      </c>
      <c r="W245" s="12" t="n">
        <v>-368.655</v>
      </c>
      <c r="X245" s="12" t="n">
        <v>-303.901</v>
      </c>
    </row>
    <row r="246">
      <c r="A246" s="18" t="inlineStr">
        <is>
          <t>현금성자산 환산차이</t>
        </is>
      </c>
      <c r="C246" s="20" t="n">
        <v>1.271</v>
      </c>
      <c r="E246" s="20" t="n">
        <v>1.995</v>
      </c>
      <c r="G246" s="20" t="n">
        <v>-0.622</v>
      </c>
      <c r="I246" s="20" t="n">
        <v>-0.748</v>
      </c>
      <c r="K246" s="20" t="n">
        <v>1.216</v>
      </c>
      <c r="M246" s="20" t="n">
        <v>6.9</v>
      </c>
      <c r="O246" s="20" t="n">
        <v>-4.365</v>
      </c>
      <c r="P246" s="20" t="n">
        <v>2.104</v>
      </c>
      <c r="Q246" s="20" t="n">
        <v>-0.6840000000000001</v>
      </c>
      <c r="R246" s="20" t="n">
        <v>-1.67</v>
      </c>
      <c r="S246" s="20" t="n">
        <v>2.342</v>
      </c>
      <c r="T246" s="20" t="n">
        <v>6.379</v>
      </c>
      <c r="U246" s="20" t="n">
        <v>0.836</v>
      </c>
      <c r="V246" s="20" t="n">
        <v>1.995</v>
      </c>
      <c r="W246" s="20" t="n">
        <v>-0.748</v>
      </c>
      <c r="X246" s="20" t="n">
        <v>6.9</v>
      </c>
    </row>
    <row r="247">
      <c r="A247" s="18" t="inlineStr">
        <is>
          <t>현금성자산 증감</t>
        </is>
      </c>
      <c r="C247" s="20" t="n">
        <v>694.279</v>
      </c>
      <c r="E247" s="20" t="n">
        <v>478.165</v>
      </c>
      <c r="G247" s="20" t="n">
        <v>-264.403</v>
      </c>
      <c r="I247" s="20" t="n">
        <v>464.963</v>
      </c>
      <c r="K247" s="20" t="n">
        <v>-511.245</v>
      </c>
      <c r="M247" s="20" t="n">
        <v>-155.924</v>
      </c>
      <c r="O247" s="20" t="n">
        <v>214.784</v>
      </c>
      <c r="P247" s="20" t="n">
        <v>548.26</v>
      </c>
      <c r="Q247" s="20" t="n">
        <v>-284.323</v>
      </c>
      <c r="R247" s="20" t="n">
        <v>-173.795</v>
      </c>
      <c r="S247" s="20" t="n">
        <v>741.917</v>
      </c>
      <c r="T247" s="20" t="n">
        <v>-120.423</v>
      </c>
      <c r="U247" s="20" t="n">
        <v>-796.683</v>
      </c>
      <c r="V247" s="20" t="n">
        <v>478.165</v>
      </c>
      <c r="W247" s="20" t="n">
        <v>464.963</v>
      </c>
      <c r="X247" s="20" t="n">
        <v>-155.924</v>
      </c>
    </row>
    <row r="248">
      <c r="A248" s="18" t="inlineStr">
        <is>
          <t>주식교환 현금성자산 증가</t>
        </is>
      </c>
      <c r="E248" s="20" t="n">
        <v>0</v>
      </c>
      <c r="T248" s="20" t="n">
        <v>0</v>
      </c>
      <c r="U248" s="20" t="n">
        <v>270.777</v>
      </c>
      <c r="V248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산키서비스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8020.051</v>
      </c>
      <c r="D5" s="12" t="n">
        <v>8217.725</v>
      </c>
      <c r="E5" s="12" t="n">
        <v>7620.768</v>
      </c>
      <c r="F5" s="12" t="n">
        <v>8319.557000000001</v>
      </c>
      <c r="G5" s="12" t="n">
        <v>8684.044</v>
      </c>
      <c r="H5" s="11" t="n">
        <v>4054.924</v>
      </c>
      <c r="I5" s="12" t="n">
        <v>6952.21</v>
      </c>
      <c r="J5" s="12" t="n">
        <v>7033.908</v>
      </c>
      <c r="K5" s="12" t="n">
        <v>8367.576999999999</v>
      </c>
      <c r="L5" s="12" t="n">
        <v>8319.557000000001</v>
      </c>
    </row>
    <row r="6">
      <c r="A6" s="18" t="inlineStr">
        <is>
          <t>현금및현금성자산</t>
        </is>
      </c>
      <c r="B6" s="10" t="n"/>
      <c r="C6" s="19" t="n">
        <v>2191.592</v>
      </c>
      <c r="D6" s="20" t="n">
        <v>1968.747</v>
      </c>
      <c r="E6" s="20" t="n">
        <v>1874.796</v>
      </c>
      <c r="F6" s="20" t="n">
        <v>2292.233</v>
      </c>
      <c r="G6" s="20" t="n">
        <v>2502.437</v>
      </c>
      <c r="H6" s="19" t="n">
        <v>1772.342</v>
      </c>
      <c r="I6" s="20" t="n">
        <v>1524.485</v>
      </c>
      <c r="J6" s="20" t="n">
        <v>2073.888</v>
      </c>
      <c r="K6" s="20" t="n">
        <v>2500.269</v>
      </c>
      <c r="L6" s="20" t="n">
        <v>2292.233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>
        <v>0</v>
      </c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5067.612</v>
      </c>
      <c r="D8" s="20" t="n">
        <v>5564.766</v>
      </c>
      <c r="E8" s="20" t="n">
        <v>5040.54</v>
      </c>
      <c r="F8" s="20" t="n">
        <v>5098.371</v>
      </c>
      <c r="G8" s="20" t="n">
        <v>5284.566</v>
      </c>
      <c r="H8" s="19" t="n">
        <v>1821.963</v>
      </c>
      <c r="I8" s="20" t="n">
        <v>4514.468</v>
      </c>
      <c r="J8" s="20" t="n">
        <v>4401.923</v>
      </c>
      <c r="K8" s="20" t="n">
        <v>5138.455</v>
      </c>
      <c r="L8" s="20" t="n">
        <v>5098.371</v>
      </c>
    </row>
    <row r="9">
      <c r="A9" s="18" t="inlineStr">
        <is>
          <t>재고자산</t>
        </is>
      </c>
      <c r="B9" s="10" t="n"/>
      <c r="C9" s="19" t="n">
        <v>45.786</v>
      </c>
      <c r="D9" s="20" t="n">
        <v>41.106</v>
      </c>
      <c r="E9" s="20" t="n">
        <v>43.296</v>
      </c>
      <c r="F9" s="20" t="n">
        <v>37.58</v>
      </c>
      <c r="G9" s="20" t="n">
        <v>34.459</v>
      </c>
      <c r="H9" s="19" t="n">
        <v>23.094</v>
      </c>
      <c r="I9" s="20" t="n">
        <v>39.909</v>
      </c>
      <c r="J9" s="20" t="n">
        <v>37.895</v>
      </c>
      <c r="K9" s="20" t="n">
        <v>45.649</v>
      </c>
      <c r="L9" s="20" t="n">
        <v>37.58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1616.442</v>
      </c>
      <c r="D11" s="12" t="n">
        <v>1705.054</v>
      </c>
      <c r="E11" s="12" t="n">
        <v>1792.361</v>
      </c>
      <c r="F11" s="12" t="n">
        <v>1829.12</v>
      </c>
      <c r="G11" s="12" t="n">
        <v>1787.52</v>
      </c>
      <c r="H11" s="11" t="n">
        <v>1026.393</v>
      </c>
      <c r="I11" s="12" t="n">
        <v>1400.801</v>
      </c>
      <c r="J11" s="12" t="n">
        <v>1578.677</v>
      </c>
      <c r="K11" s="12" t="n">
        <v>1580.604</v>
      </c>
      <c r="L11" s="12" t="n">
        <v>1829.12</v>
      </c>
    </row>
    <row r="12">
      <c r="A12" s="18" t="inlineStr">
        <is>
          <t>유형자산</t>
        </is>
      </c>
      <c r="B12" s="10" t="n"/>
      <c r="C12" s="19" t="n">
        <v>686.26</v>
      </c>
      <c r="D12" s="20" t="n">
        <v>737.829</v>
      </c>
      <c r="E12" s="20" t="n">
        <v>729.934</v>
      </c>
      <c r="F12" s="20" t="n">
        <v>738.093</v>
      </c>
      <c r="G12" s="20" t="n">
        <v>733.699</v>
      </c>
      <c r="H12" s="19" t="n">
        <v>312.476</v>
      </c>
      <c r="I12" s="20" t="n">
        <v>551.427</v>
      </c>
      <c r="J12" s="20" t="n">
        <v>700.285</v>
      </c>
      <c r="K12" s="20" t="n">
        <v>687.0549999999999</v>
      </c>
      <c r="L12" s="20" t="n">
        <v>738.093</v>
      </c>
    </row>
    <row r="13">
      <c r="A13" s="18" t="inlineStr">
        <is>
          <t>무형자산</t>
        </is>
      </c>
      <c r="B13" s="10" t="n"/>
      <c r="C13" s="19" t="n">
        <v>91.96599999999999</v>
      </c>
      <c r="D13" s="20" t="n">
        <v>84.06</v>
      </c>
      <c r="E13" s="20" t="n">
        <v>76.893</v>
      </c>
      <c r="F13" s="20" t="n">
        <v>105.683</v>
      </c>
      <c r="G13" s="20" t="n">
        <v>97.348</v>
      </c>
      <c r="H13" s="19" t="n">
        <v>271.281</v>
      </c>
      <c r="I13" s="20" t="n">
        <v>183.253</v>
      </c>
      <c r="J13" s="20" t="n">
        <v>143.449</v>
      </c>
      <c r="K13" s="20" t="n">
        <v>88.613</v>
      </c>
      <c r="L13" s="20" t="n">
        <v>105.683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9636.493</v>
      </c>
      <c r="D16" s="12" t="n">
        <v>9922.780000000001</v>
      </c>
      <c r="E16" s="12" t="n">
        <v>9413.610000000001</v>
      </c>
      <c r="F16" s="12" t="n">
        <v>10151.666</v>
      </c>
      <c r="G16" s="12" t="n">
        <v>10478.326</v>
      </c>
      <c r="H16" s="11" t="n">
        <v>5081.318</v>
      </c>
      <c r="I16" s="12" t="n">
        <v>8353.011</v>
      </c>
      <c r="J16" s="12" t="n">
        <v>8612.584999999999</v>
      </c>
      <c r="K16" s="12" t="n">
        <v>9948.182000000001</v>
      </c>
      <c r="L16" s="12" t="n">
        <v>10151.666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4187.161</v>
      </c>
      <c r="D18" s="12" t="n">
        <v>4214.688</v>
      </c>
      <c r="E18" s="12" t="n">
        <v>3542.788</v>
      </c>
      <c r="F18" s="12" t="n">
        <v>3937.373</v>
      </c>
      <c r="G18" s="12" t="n">
        <v>4253.66</v>
      </c>
      <c r="H18" s="11" t="n">
        <v>1551.08</v>
      </c>
      <c r="I18" s="12" t="n">
        <v>3575.674</v>
      </c>
      <c r="J18" s="12" t="n">
        <v>3520.611</v>
      </c>
      <c r="K18" s="12" t="n">
        <v>4454.444</v>
      </c>
      <c r="L18" s="12" t="n">
        <v>3937.373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110.292</v>
      </c>
      <c r="D20" s="20" t="n">
        <v>383.981</v>
      </c>
      <c r="E20" s="20" t="n">
        <v>87.117</v>
      </c>
      <c r="F20" s="20" t="n">
        <v>87.61</v>
      </c>
      <c r="G20" s="20" t="n">
        <v>50.8</v>
      </c>
      <c r="H20" s="19" t="n">
        <v>0</v>
      </c>
      <c r="I20" s="20" t="n">
        <v>64.76000000000001</v>
      </c>
      <c r="J20" s="20" t="n">
        <v>80.545</v>
      </c>
      <c r="K20" s="20" t="n">
        <v>84.88200000000001</v>
      </c>
      <c r="L20" s="20" t="n">
        <v>87.61</v>
      </c>
    </row>
    <row r="21">
      <c r="A21" s="18" t="inlineStr">
        <is>
          <t>유동성장기부채</t>
        </is>
      </c>
      <c r="B21" s="10" t="n"/>
      <c r="C21" s="19" t="n">
        <v>119.473</v>
      </c>
      <c r="D21" s="20" t="n">
        <v>115.307</v>
      </c>
      <c r="E21" s="20" t="n">
        <v>110.284</v>
      </c>
      <c r="F21" s="20" t="n">
        <v>115.307</v>
      </c>
      <c r="G21" s="20" t="n">
        <v>110.284</v>
      </c>
      <c r="H21" s="19" t="n">
        <v>89.992</v>
      </c>
      <c r="I21" s="20" t="n">
        <v>196.268</v>
      </c>
      <c r="J21" s="20" t="n">
        <v>204.031</v>
      </c>
      <c r="K21" s="20" t="n">
        <v>136.988</v>
      </c>
      <c r="L21" s="20" t="n">
        <v>115.307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650.514</v>
      </c>
      <c r="D23" s="12" t="n">
        <v>632.134</v>
      </c>
      <c r="E23" s="12" t="n">
        <v>630.018</v>
      </c>
      <c r="F23" s="12" t="n">
        <v>584.58</v>
      </c>
      <c r="G23" s="12" t="n">
        <v>550.059</v>
      </c>
      <c r="H23" s="11" t="n">
        <v>512.865</v>
      </c>
      <c r="I23" s="12" t="n">
        <v>943.741</v>
      </c>
      <c r="J23" s="12" t="n">
        <v>877.79</v>
      </c>
      <c r="K23" s="12" t="n">
        <v>680.925</v>
      </c>
      <c r="L23" s="12" t="n">
        <v>584.58</v>
      </c>
    </row>
    <row r="24">
      <c r="A24" s="18" t="inlineStr">
        <is>
          <t>장기차입금</t>
        </is>
      </c>
      <c r="B24" s="10" t="n"/>
      <c r="C24" s="19" t="n">
        <v>206.08</v>
      </c>
      <c r="D24" s="20" t="n">
        <v>178.509</v>
      </c>
      <c r="E24" s="20" t="n">
        <v>155.961</v>
      </c>
      <c r="F24" s="20" t="n">
        <v>123.367</v>
      </c>
      <c r="G24" s="20" t="n">
        <v>95.79600000000001</v>
      </c>
      <c r="H24" s="19" t="n">
        <v>205.855</v>
      </c>
      <c r="I24" s="20" t="n">
        <v>549.231</v>
      </c>
      <c r="J24" s="20" t="n">
        <v>411.662</v>
      </c>
      <c r="K24" s="20" t="n">
        <v>238.674</v>
      </c>
      <c r="L24" s="20" t="n">
        <v>123.367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4837.675</v>
      </c>
      <c r="D27" s="12" t="n">
        <v>4846.823</v>
      </c>
      <c r="E27" s="12" t="n">
        <v>4172.806</v>
      </c>
      <c r="F27" s="12" t="n">
        <v>4521.954</v>
      </c>
      <c r="G27" s="12" t="n">
        <v>4803.72</v>
      </c>
      <c r="H27" s="11" t="n">
        <v>2063.945</v>
      </c>
      <c r="I27" s="12" t="n">
        <v>4519.415</v>
      </c>
      <c r="J27" s="12" t="n">
        <v>4398.401</v>
      </c>
      <c r="K27" s="12" t="n">
        <v>5135.369</v>
      </c>
      <c r="L27" s="12" t="n">
        <v>4521.954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4798.817</v>
      </c>
      <c r="D31" s="12" t="n">
        <v>5075.957</v>
      </c>
      <c r="E31" s="12" t="n">
        <v>5240.804</v>
      </c>
      <c r="F31" s="12" t="n">
        <v>5629.711</v>
      </c>
      <c r="G31" s="12" t="n">
        <v>5674.606</v>
      </c>
      <c r="H31" s="11" t="n">
        <v>3017.372</v>
      </c>
      <c r="I31" s="12" t="n">
        <v>3833.596</v>
      </c>
      <c r="J31" s="12" t="n">
        <v>4214.183</v>
      </c>
      <c r="K31" s="12" t="n">
        <v>4812.812</v>
      </c>
      <c r="L31" s="12" t="n">
        <v>5629.711</v>
      </c>
    </row>
    <row r="32">
      <c r="A32" s="18" t="inlineStr">
        <is>
          <t>자본금</t>
        </is>
      </c>
      <c r="B32" s="10" t="n"/>
      <c r="C32" s="19" t="n">
        <v>616.652</v>
      </c>
      <c r="D32" s="20" t="n">
        <v>616.652</v>
      </c>
      <c r="E32" s="20" t="n">
        <v>616.652</v>
      </c>
      <c r="F32" s="20" t="n">
        <v>616.652</v>
      </c>
      <c r="G32" s="20" t="n">
        <v>616.652</v>
      </c>
      <c r="H32" s="19" t="n">
        <v>616.652</v>
      </c>
      <c r="I32" s="20" t="n">
        <v>616.652</v>
      </c>
      <c r="J32" s="20" t="n">
        <v>616.652</v>
      </c>
      <c r="K32" s="20" t="n">
        <v>616.652</v>
      </c>
      <c r="L32" s="20" t="n">
        <v>616.652</v>
      </c>
    </row>
    <row r="33">
      <c r="A33" s="18" t="inlineStr">
        <is>
          <t>이익잉여금</t>
        </is>
      </c>
      <c r="B33" s="10" t="n"/>
      <c r="C33" s="19" t="n">
        <v>3126.566</v>
      </c>
      <c r="D33" s="20" t="n">
        <v>3356.133</v>
      </c>
      <c r="E33" s="20" t="n">
        <v>3434.448</v>
      </c>
      <c r="F33" s="20" t="n">
        <v>3850.702</v>
      </c>
      <c r="G33" s="20" t="n">
        <v>3914.818</v>
      </c>
      <c r="H33" s="19" t="n">
        <v>1913.902</v>
      </c>
      <c r="I33" s="20" t="n">
        <v>2277.924</v>
      </c>
      <c r="J33" s="20" t="n">
        <v>2598.074</v>
      </c>
      <c r="K33" s="20" t="n">
        <v>3158.483</v>
      </c>
      <c r="L33" s="20" t="n">
        <v>3850.702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4798.817</v>
      </c>
      <c r="D35" s="12" t="n">
        <v>5075.957</v>
      </c>
      <c r="E35" s="12" t="n">
        <v>5240.804</v>
      </c>
      <c r="F35" s="12" t="n">
        <v>5629.711</v>
      </c>
      <c r="G35" s="12" t="n">
        <v>5674.606</v>
      </c>
      <c r="H35" s="11" t="n">
        <v>3017.372</v>
      </c>
      <c r="I35" s="12" t="n">
        <v>3833.596</v>
      </c>
      <c r="J35" s="12" t="n">
        <v>4214.183</v>
      </c>
      <c r="K35" s="12" t="n">
        <v>4812.812</v>
      </c>
      <c r="L35" s="12" t="n">
        <v>5629.711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386.351</v>
      </c>
      <c r="E37" s="12" t="n"/>
      <c r="F37" s="12" t="n">
        <v>240.837</v>
      </c>
      <c r="G37" s="12" t="n"/>
      <c r="H37" s="11" t="n">
        <v>59.565</v>
      </c>
      <c r="I37" s="12" t="n">
        <v>-1067.497</v>
      </c>
      <c r="J37" s="12" t="n">
        <v>1038.669</v>
      </c>
      <c r="K37" s="12" t="n">
        <v>864.578</v>
      </c>
      <c r="L37" s="12" t="n">
        <v>240.837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64.476</v>
      </c>
      <c r="E38" s="20" t="n"/>
      <c r="F38" s="20" t="n">
        <v>106.715</v>
      </c>
      <c r="G38" s="20" t="n"/>
      <c r="H38" s="19" t="n">
        <v>29.136</v>
      </c>
      <c r="I38" s="20" t="n">
        <v>12.848</v>
      </c>
      <c r="J38" s="20" t="n">
        <v>93.57899999999999</v>
      </c>
      <c r="K38" s="20" t="n">
        <v>50.432</v>
      </c>
      <c r="L38" s="20" t="n">
        <v>106.715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161.054</v>
      </c>
      <c r="E40" s="20" t="n"/>
      <c r="F40" s="20" t="n">
        <v>161.044</v>
      </c>
      <c r="G40" s="20" t="n"/>
      <c r="H40" s="19" t="n">
        <v>91.435</v>
      </c>
      <c r="I40" s="20" t="n">
        <v>88.849</v>
      </c>
      <c r="J40" s="20" t="n">
        <v>147.694</v>
      </c>
      <c r="K40" s="20" t="n">
        <v>128.585</v>
      </c>
      <c r="L40" s="20" t="n">
        <v>161.044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IFERROR(IF((IF(COUNT('연간'!G50:J50)&lt;4,"",SUM('연간'!G50:J50)))&lt;=0,"적자",C28/(IF(COUNT('연간'!G50:J50)&lt;4,"",SUM('연간'!G50:J50)))),"")</f>
        <v/>
      </c>
      <c r="D49" s="47">
        <f>IFERROR(IF((IF(COUNT('연간'!H50:K50)&lt;4,"",SUM('연간'!H50:K50)))&lt;=0,"적자",D28/(IF(COUNT('연간'!H50:K50)&lt;4,"",SUM('연간'!H50:K50)))),"")</f>
        <v/>
      </c>
      <c r="E49" s="47">
        <f>IFERROR(IF((IF(COUNT('연간'!I50:L50)&lt;4,"",SUM('연간'!I50:L50)))&lt;=0,"적자",E28/(IF(COUNT('연간'!I50:L50)&lt;4,"",SUM('연간'!I50:L50)))),"")</f>
        <v/>
      </c>
      <c r="F49" s="47">
        <f>IFERROR(IF((IF(COUNT('연간'!J50:M50)&lt;4,"",SUM('연간'!J50:M50)))&lt;=0,"적자",F28/(IF(COUNT('연간'!J50:M50)&lt;4,"",SUM('연간'!J50:M50)))),"")</f>
        <v/>
      </c>
      <c r="G49" s="47">
        <f>IFERROR(IF((IF(COUNT('연간'!K50:N50)&lt;4,"",SUM('연간'!K50:N50)))&lt;=0,"적자",G28/(IF(COUNT('연간'!K50:N50)&lt;4,"",SUM('연간'!K50:N50)))),"")</f>
        <v/>
      </c>
      <c r="H49" s="46">
        <f>IFERROR(IF(('연간'!T50)&lt;=0,"적자",H28/('연간'!T50)),"")</f>
        <v/>
      </c>
      <c r="I49" s="47">
        <f>IFERROR(IF(('연간'!U50)&lt;=0,"적자",I28/('연간'!U50)),"")</f>
        <v/>
      </c>
      <c r="J49" s="47">
        <f>IFERROR(IF(('연간'!V50)&lt;=0,"적자",J28/('연간'!V50)),"")</f>
        <v/>
      </c>
      <c r="K49" s="47">
        <f>IFERROR(IF(('연간'!W50)&lt;=0,"적자",K28/('연간'!W50)),"")</f>
        <v/>
      </c>
      <c r="L49" s="47">
        <f>IFERROR(IF(('연간'!X50)&lt;=0,"적자",L28/('연간'!X50)),"")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IFERROR((IF(COUNT('연간'!G50:J50)&lt;4,"",SUM('연간'!G50:J50)))/C31,"")</f>
        <v/>
      </c>
      <c r="D51" s="36">
        <f>IFERROR((IF(COUNT('연간'!H50:K50)&lt;4,"",SUM('연간'!H50:K50)))/D31,"")</f>
        <v/>
      </c>
      <c r="E51" s="36">
        <f>IFERROR((IF(COUNT('연간'!I50:L50)&lt;4,"",SUM('연간'!I50:L50)))/E31,"")</f>
        <v/>
      </c>
      <c r="F51" s="36">
        <f>IFERROR((IF(COUNT('연간'!J50:M50)&lt;4,"",SUM('연간'!J50:M50)))/F31,"")</f>
        <v/>
      </c>
      <c r="G51" s="36">
        <f>IFERROR((IF(COUNT('연간'!K50:N50)&lt;4,"",SUM('연간'!K50:N50)))/G31,"")</f>
        <v/>
      </c>
      <c r="H51" s="35">
        <f>IFERROR(('연간'!T50)/H31,"")</f>
        <v/>
      </c>
      <c r="I51" s="36">
        <f>IFERROR(('연간'!U50)/I31,"")</f>
        <v/>
      </c>
      <c r="J51" s="36">
        <f>IFERROR(('연간'!V50)/J31,"")</f>
        <v/>
      </c>
      <c r="K51" s="36">
        <f>IFERROR(('연간'!W50)/K31,"")</f>
        <v/>
      </c>
      <c r="L51" s="36">
        <f>IFERROR(('연간'!X50)/L31,"")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IFERROR((IF(COUNT('연간'!G49:J49)&lt;4,"",SUM('연간'!G49:J49)))/C16,"")</f>
        <v/>
      </c>
      <c r="D52" s="36">
        <f>IFERROR((IF(COUNT('연간'!H49:K49)&lt;4,"",SUM('연간'!H49:K49)))/D16,"")</f>
        <v/>
      </c>
      <c r="E52" s="36">
        <f>IFERROR((IF(COUNT('연간'!I49:L49)&lt;4,"",SUM('연간'!I49:L49)))/E16,"")</f>
        <v/>
      </c>
      <c r="F52" s="36">
        <f>IFERROR((IF(COUNT('연간'!J49:M49)&lt;4,"",SUM('연간'!J49:M49)))/F16,"")</f>
        <v/>
      </c>
      <c r="G52" s="36">
        <f>IFERROR((IF(COUNT('연간'!K49:N49)&lt;4,"",SUM('연간'!K49:N49)))/G16,"")</f>
        <v/>
      </c>
      <c r="H52" s="35">
        <f>IFERROR(('연간'!T49)/H16,"")</f>
        <v/>
      </c>
      <c r="I52" s="36">
        <f>IFERROR(('연간'!U49)/I16,"")</f>
        <v/>
      </c>
      <c r="J52" s="36">
        <f>IFERROR(('연간'!V49)/J16,"")</f>
        <v/>
      </c>
      <c r="K52" s="36">
        <f>IFERROR(('연간'!W49)/K16,"")</f>
        <v/>
      </c>
      <c r="L52" s="36">
        <f>IFERROR(('연간'!X49)/L16,"")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IFERROR((IF(COUNT('연간'!G18:J18)&lt;4,"",SUM('연간'!G18:J18)))/(IF(COUNT('연간'!G4:J4)&lt;4,"",SUM('연간'!G4:J4))),"")</f>
        <v/>
      </c>
      <c r="D54" s="36">
        <f>IFERROR((IF(COUNT('연간'!H18:K18)&lt;4,"",SUM('연간'!H18:K18)))/(IF(COUNT('연간'!H4:K4)&lt;4,"",SUM('연간'!H4:K4))),"")</f>
        <v/>
      </c>
      <c r="E54" s="36">
        <f>IFERROR((IF(COUNT('연간'!I18:L18)&lt;4,"",SUM('연간'!I18:L18)))/(IF(COUNT('연간'!I4:L4)&lt;4,"",SUM('연간'!I4:L4))),"")</f>
        <v/>
      </c>
      <c r="F54" s="36">
        <f>IFERROR((IF(COUNT('연간'!J18:M18)&lt;4,"",SUM('연간'!J18:M18)))/(IF(COUNT('연간'!J4:M4)&lt;4,"",SUM('연간'!J4:M4))),"")</f>
        <v/>
      </c>
      <c r="G54" s="36">
        <f>IFERROR((IF(COUNT('연간'!K18:N18)&lt;4,"",SUM('연간'!K18:N18)))/(IF(COUNT('연간'!K4:N4)&lt;4,"",SUM('연간'!K4:N4))),"")</f>
        <v/>
      </c>
      <c r="H54" s="35">
        <f>IFERROR(('연간'!T18)/('연간'!T4),"")</f>
        <v/>
      </c>
      <c r="I54" s="36">
        <f>IFERROR(('연간'!U18)/('연간'!U4),"")</f>
        <v/>
      </c>
      <c r="J54" s="36">
        <f>IFERROR(('연간'!V18)/('연간'!V4),"")</f>
        <v/>
      </c>
      <c r="K54" s="36">
        <f>IFERROR(('연간'!W18)/('연간'!W4),"")</f>
        <v/>
      </c>
      <c r="L54" s="36">
        <f>IFERROR(('연간'!X18)/('연간'!X4),"")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IFERROR((IF(COUNT('연간'!G49:J49)&lt;4,"",SUM('연간'!G49:J49)))/(IF(COUNT('연간'!G4:J4)&lt;4,"",SUM('연간'!G4:J4))),"")</f>
        <v/>
      </c>
      <c r="D56" s="36">
        <f>IFERROR((IF(COUNT('연간'!H49:K49)&lt;4,"",SUM('연간'!H49:K49)))/(IF(COUNT('연간'!H4:K4)&lt;4,"",SUM('연간'!H4:K4))),"")</f>
        <v/>
      </c>
      <c r="E56" s="36">
        <f>IFERROR((IF(COUNT('연간'!I49:L49)&lt;4,"",SUM('연간'!I49:L49)))/(IF(COUNT('연간'!I4:L4)&lt;4,"",SUM('연간'!I4:L4))),"")</f>
        <v/>
      </c>
      <c r="F56" s="36">
        <f>IFERROR((IF(COUNT('연간'!J49:M49)&lt;4,"",SUM('연간'!J49:M49)))/(IF(COUNT('연간'!J4:M4)&lt;4,"",SUM('연간'!J4:M4))),"")</f>
        <v/>
      </c>
      <c r="G56" s="36">
        <f>IFERROR((IF(COUNT('연간'!K49:N49)&lt;4,"",SUM('연간'!K49:N49)))/(IF(COUNT('연간'!K4:N4)&lt;4,"",SUM('연간'!K4:N4))),"")</f>
        <v/>
      </c>
      <c r="H56" s="35">
        <f>IFERROR(('연간'!T49)/('연간'!T4),"")</f>
        <v/>
      </c>
      <c r="I56" s="36">
        <f>IFERROR(('연간'!U49)/('연간'!U4),"")</f>
        <v/>
      </c>
      <c r="J56" s="36">
        <f>IFERROR(('연간'!V49)/('연간'!V4),"")</f>
        <v/>
      </c>
      <c r="K56" s="36">
        <f>IFERROR(('연간'!W49)/('연간'!W4),"")</f>
        <v/>
      </c>
      <c r="L56" s="36">
        <f>IFERROR(('연간'!X49)/('연간'!X4),"")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IF(C37="","",IFERROR(C37/(IF(COUNT('연간'!G49:J49)&lt;4,"",SUM('연간'!G49:J49))),""))</f>
        <v/>
      </c>
      <c r="D64" s="31">
        <f>IF(D37="","",IFERROR(D37/(IF(COUNT('연간'!H49:K49)&lt;4,"",SUM('연간'!H49:K49))),""))</f>
        <v/>
      </c>
      <c r="E64" s="31">
        <f>IF(E37="","",IFERROR(E37/(IF(COUNT('연간'!I49:L49)&lt;4,"",SUM('연간'!I49:L49))),""))</f>
        <v/>
      </c>
      <c r="F64" s="31">
        <f>IF(F37="","",IFERROR(F37/(IF(COUNT('연간'!J49:M49)&lt;4,"",SUM('연간'!J49:M49))),""))</f>
        <v/>
      </c>
      <c r="G64" s="31">
        <f>IF(G37="","",IFERROR(G37/(IF(COUNT('연간'!K49:N49)&lt;4,"",SUM('연간'!K49:N49))),""))</f>
        <v/>
      </c>
      <c r="H64" s="30">
        <f>IF(H37="","",IFERROR(H37/('연간'!T49),""))</f>
        <v/>
      </c>
      <c r="I64" s="31">
        <f>IF(I37="","",IFERROR(I37/('연간'!U49),""))</f>
        <v/>
      </c>
      <c r="J64" s="31">
        <f>IF(J37="","",IFERROR(J37/('연간'!V49),""))</f>
        <v/>
      </c>
      <c r="K64" s="31">
        <f>IF(K37="","",IFERROR(K37/('연간'!W49),""))</f>
        <v/>
      </c>
      <c r="L64" s="31">
        <f>IF(L37="","",IFERROR(L37/('연간'!X49),""))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IF(C40="","",IFERROR(C40/(IF(COUNT('연간'!G50:J50)&lt;4,"",SUM('연간'!G50:J50))),""))</f>
        <v/>
      </c>
      <c r="D67" s="36">
        <f>IF(D40="","",IFERROR(D40/(IF(COUNT('연간'!H50:K50)&lt;4,"",SUM('연간'!H50:K50))),""))</f>
        <v/>
      </c>
      <c r="E67" s="36">
        <f>IF(E40="","",IFERROR(E40/(IF(COUNT('연간'!I50:L50)&lt;4,"",SUM('연간'!I50:L50))),""))</f>
        <v/>
      </c>
      <c r="F67" s="36">
        <f>IF(F40="","",IFERROR(F40/(IF(COUNT('연간'!J50:M50)&lt;4,"",SUM('연간'!J50:M50))),""))</f>
        <v/>
      </c>
      <c r="G67" s="36">
        <f>IF(G40="","",IFERROR(G40/(IF(COUNT('연간'!K50:N50)&lt;4,"",SUM('연간'!K50:N50))),""))</f>
        <v/>
      </c>
      <c r="H67" s="35">
        <f>IF(H40="","",IFERROR(H40/('연간'!T50),""))</f>
        <v/>
      </c>
      <c r="I67" s="36">
        <f>IF(I40="","",IFERROR(I40/('연간'!U50),""))</f>
        <v/>
      </c>
      <c r="J67" s="36">
        <f>IF(J40="","",IFERROR(J40/('연간'!V50),""))</f>
        <v/>
      </c>
      <c r="K67" s="36">
        <f>IF(K40="","",IFERROR(K40/('연간'!W50),""))</f>
        <v/>
      </c>
      <c r="L67" s="36">
        <f>IF(L40="","",IFERROR(L40/('연간'!X50),""))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2191.592</v>
      </c>
      <c r="D71" s="20" t="n">
        <v>1968.747</v>
      </c>
      <c r="E71" s="20" t="n">
        <v>1874.796</v>
      </c>
      <c r="F71" s="20" t="n">
        <v>2292.233</v>
      </c>
      <c r="G71" s="20" t="n">
        <v>2502.437</v>
      </c>
      <c r="H71" s="20" t="n">
        <v>1772.342</v>
      </c>
      <c r="I71" s="20" t="n">
        <v>1524.485</v>
      </c>
      <c r="J71" s="20" t="n">
        <v>2073.888</v>
      </c>
      <c r="K71" s="20" t="n">
        <v>2500.269</v>
      </c>
      <c r="L71" s="20" t="n">
        <v>2292.233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5067.612</v>
      </c>
      <c r="D73" s="20" t="n">
        <v>5564.766</v>
      </c>
      <c r="E73" s="20" t="n">
        <v>5040.54</v>
      </c>
      <c r="F73" s="20" t="n">
        <v>5098.371</v>
      </c>
      <c r="G73" s="20" t="n">
        <v>5284.566</v>
      </c>
      <c r="H73" s="20" t="n">
        <v>1821.963</v>
      </c>
      <c r="I73" s="20" t="n">
        <v>4514.468</v>
      </c>
      <c r="J73" s="20" t="n">
        <v>4401.923</v>
      </c>
      <c r="K73" s="20" t="n">
        <v>5138.455</v>
      </c>
      <c r="L73" s="20" t="n">
        <v>5098.371</v>
      </c>
    </row>
    <row r="74">
      <c r="A74" s="18" t="inlineStr">
        <is>
          <t>유가증권</t>
        </is>
      </c>
      <c r="H74" s="20" t="n">
        <v>0</v>
      </c>
    </row>
    <row r="75">
      <c r="A75" s="18" t="inlineStr">
        <is>
          <t>미성공사 지출금</t>
        </is>
      </c>
      <c r="C75" s="20" t="n">
        <v>228.583</v>
      </c>
      <c r="D75" s="20" t="n">
        <v>210.305</v>
      </c>
      <c r="E75" s="20" t="n">
        <v>197.637</v>
      </c>
      <c r="F75" s="20" t="n">
        <v>131.512</v>
      </c>
      <c r="G75" s="20" t="n">
        <v>238.603</v>
      </c>
      <c r="H75" s="20" t="n">
        <v>55.222</v>
      </c>
      <c r="I75" s="20" t="n">
        <v>397.262</v>
      </c>
      <c r="J75" s="20" t="n">
        <v>101.633</v>
      </c>
      <c r="K75" s="20" t="n">
        <v>147.26</v>
      </c>
      <c r="L75" s="20" t="n">
        <v>131.512</v>
      </c>
    </row>
    <row r="76">
      <c r="A76" s="18" t="inlineStr">
        <is>
          <t>원재료·저장품</t>
        </is>
      </c>
      <c r="C76" s="20" t="n">
        <v>45.786</v>
      </c>
      <c r="D76" s="20" t="n">
        <v>41.106</v>
      </c>
      <c r="E76" s="20" t="n">
        <v>43.296</v>
      </c>
      <c r="F76" s="20" t="n">
        <v>37.58</v>
      </c>
      <c r="G76" s="20" t="n">
        <v>34.459</v>
      </c>
      <c r="H76" s="20" t="n">
        <v>23.094</v>
      </c>
      <c r="I76" s="20" t="n">
        <v>39.909</v>
      </c>
      <c r="J76" s="20" t="n">
        <v>37.895</v>
      </c>
      <c r="K76" s="20" t="n">
        <v>45.649</v>
      </c>
      <c r="L76" s="20" t="n">
        <v>37.58</v>
      </c>
    </row>
    <row r="77">
      <c r="A77" s="18" t="inlineStr">
        <is>
          <t>기타</t>
        </is>
      </c>
      <c r="C77" s="20" t="n">
        <v>491.737</v>
      </c>
      <c r="D77" s="20" t="n">
        <v>438.149</v>
      </c>
      <c r="E77" s="20" t="n">
        <v>469.85</v>
      </c>
      <c r="F77" s="20" t="n">
        <v>765.276</v>
      </c>
      <c r="G77" s="20" t="n">
        <v>629.424</v>
      </c>
      <c r="H77" s="20" t="n">
        <v>382.483</v>
      </c>
      <c r="I77" s="20" t="n">
        <v>476.917</v>
      </c>
      <c r="J77" s="20" t="n">
        <v>422.529</v>
      </c>
      <c r="K77" s="20" t="n">
        <v>541.205</v>
      </c>
      <c r="L77" s="20" t="n">
        <v>765.276</v>
      </c>
    </row>
    <row r="78">
      <c r="A78" s="18" t="inlineStr">
        <is>
          <t>대손충당금</t>
        </is>
      </c>
      <c r="C78" s="20" t="n">
        <v>-5.261</v>
      </c>
      <c r="D78" s="20" t="n">
        <v>-5.348</v>
      </c>
      <c r="E78" s="20" t="n">
        <v>-5.352</v>
      </c>
      <c r="F78" s="20" t="n">
        <v>-5.416</v>
      </c>
      <c r="G78" s="20" t="n">
        <v>-5.446</v>
      </c>
      <c r="H78" s="20" t="n">
        <v>-0.181</v>
      </c>
      <c r="I78" s="20" t="n">
        <v>-0.833</v>
      </c>
      <c r="J78" s="20" t="n">
        <v>-3.962</v>
      </c>
      <c r="K78" s="20" t="n">
        <v>-5.263</v>
      </c>
      <c r="L78" s="20" t="n">
        <v>-5.416</v>
      </c>
    </row>
    <row r="79">
      <c r="A79" s="9" t="inlineStr">
        <is>
          <t>유동자산 합계</t>
        </is>
      </c>
      <c r="C79" s="12" t="n">
        <v>8020.051</v>
      </c>
      <c r="D79" s="12" t="n">
        <v>8217.725</v>
      </c>
      <c r="E79" s="12" t="n">
        <v>7620.768</v>
      </c>
      <c r="F79" s="12" t="n">
        <v>8319.557000000001</v>
      </c>
      <c r="G79" s="12" t="n">
        <v>8684.044</v>
      </c>
      <c r="H79" s="12" t="n">
        <v>4054.924</v>
      </c>
      <c r="I79" s="12" t="n">
        <v>6952.21</v>
      </c>
      <c r="J79" s="12" t="n">
        <v>7033.908</v>
      </c>
      <c r="K79" s="12" t="n">
        <v>8367.576999999999</v>
      </c>
      <c r="L79" s="12" t="n">
        <v>8319.557000000001</v>
      </c>
    </row>
    <row r="80">
      <c r="A80" s="18" t="inlineStr">
        <is>
          <t>건물·구축물</t>
        </is>
      </c>
      <c r="F80" s="20" t="n">
        <v>720.029</v>
      </c>
      <c r="H80" s="20" t="n">
        <v>346.929</v>
      </c>
      <c r="I80" s="20" t="n">
        <v>617.899</v>
      </c>
      <c r="J80" s="20" t="n">
        <v>684.492</v>
      </c>
      <c r="K80" s="20" t="n">
        <v>686.682</v>
      </c>
      <c r="L80" s="20" t="n">
        <v>720.029</v>
      </c>
    </row>
    <row r="81">
      <c r="A81" s="18" t="inlineStr">
        <is>
          <t>감가상각누계액</t>
        </is>
      </c>
      <c r="F81" s="20" t="n">
        <v>-402.655</v>
      </c>
      <c r="H81" s="20" t="n">
        <v>-131.211</v>
      </c>
      <c r="I81" s="20" t="n">
        <v>-294.299</v>
      </c>
      <c r="J81" s="20" t="n">
        <v>-361.602</v>
      </c>
      <c r="K81" s="20" t="n">
        <v>-381.532</v>
      </c>
      <c r="L81" s="20" t="n">
        <v>-402.655</v>
      </c>
    </row>
    <row r="82">
      <c r="A82" s="18" t="inlineStr">
        <is>
          <t>손상차손누계액</t>
        </is>
      </c>
      <c r="F82" s="20" t="n">
        <v>-6.311</v>
      </c>
      <c r="H82" s="20" t="n">
        <v>-6.311</v>
      </c>
      <c r="I82" s="20" t="n">
        <v>-6.311</v>
      </c>
      <c r="J82" s="20" t="n">
        <v>-6.311</v>
      </c>
      <c r="K82" s="20" t="n">
        <v>-6.311</v>
      </c>
      <c r="L82" s="20" t="n">
        <v>-6.311</v>
      </c>
    </row>
    <row r="83">
      <c r="A83" s="18" t="inlineStr">
        <is>
          <t>건물·구축물(순액)</t>
        </is>
      </c>
      <c r="C83" s="20" t="n">
        <v>294.41</v>
      </c>
      <c r="D83" s="20" t="n">
        <v>302.498</v>
      </c>
      <c r="E83" s="20" t="n">
        <v>301.578</v>
      </c>
      <c r="F83" s="20" t="n">
        <v>311.063</v>
      </c>
      <c r="G83" s="20" t="n">
        <v>311.794</v>
      </c>
      <c r="H83" s="20" t="n">
        <v>209.406</v>
      </c>
      <c r="I83" s="20" t="n">
        <v>317.288</v>
      </c>
      <c r="J83" s="20" t="n">
        <v>316.577</v>
      </c>
      <c r="K83" s="20" t="n">
        <v>298.838</v>
      </c>
      <c r="L83" s="20" t="n">
        <v>311.063</v>
      </c>
    </row>
    <row r="84">
      <c r="A84" s="18" t="inlineStr">
        <is>
          <t>기계장치·운반구</t>
        </is>
      </c>
      <c r="F84" s="20" t="n">
        <v>205.183</v>
      </c>
      <c r="H84" s="20" t="n">
        <v>0.328</v>
      </c>
      <c r="I84" s="20" t="n">
        <v>136.021</v>
      </c>
      <c r="J84" s="20" t="n">
        <v>167.455</v>
      </c>
      <c r="K84" s="20" t="n">
        <v>167.675</v>
      </c>
      <c r="L84" s="20" t="n">
        <v>205.183</v>
      </c>
    </row>
    <row r="85">
      <c r="A85" s="18" t="inlineStr">
        <is>
          <t>감가상각누계액</t>
        </is>
      </c>
      <c r="F85" s="20" t="n">
        <v>-124.393</v>
      </c>
      <c r="H85" s="20" t="n">
        <v>-0.221</v>
      </c>
      <c r="I85" s="20" t="n">
        <v>-104.691</v>
      </c>
      <c r="J85" s="20" t="n">
        <v>-101.648</v>
      </c>
      <c r="K85" s="20" t="n">
        <v>-112.786</v>
      </c>
      <c r="L85" s="20" t="n">
        <v>-124.393</v>
      </c>
    </row>
    <row r="86">
      <c r="A86" s="18" t="inlineStr">
        <is>
          <t>기계장치·운반구(순액)</t>
        </is>
      </c>
      <c r="F86" s="20" t="n">
        <v>80.79000000000001</v>
      </c>
      <c r="H86" s="20" t="n">
        <v>0.107</v>
      </c>
      <c r="I86" s="20" t="n">
        <v>31.33</v>
      </c>
      <c r="J86" s="20" t="n">
        <v>65.806</v>
      </c>
      <c r="K86" s="20" t="n">
        <v>54.888</v>
      </c>
      <c r="L86" s="20" t="n">
        <v>80.79000000000001</v>
      </c>
    </row>
    <row r="87">
      <c r="A87" s="18" t="inlineStr">
        <is>
          <t>공구·기구·비품</t>
        </is>
      </c>
      <c r="F87" s="20" t="n">
        <v>95.85899999999999</v>
      </c>
      <c r="H87" s="20" t="n">
        <v>34.541</v>
      </c>
      <c r="I87" s="20" t="n">
        <v>42.24</v>
      </c>
      <c r="J87" s="20" t="n">
        <v>47.632</v>
      </c>
      <c r="K87" s="20" t="n">
        <v>54.574</v>
      </c>
      <c r="L87" s="20" t="n">
        <v>95.85899999999999</v>
      </c>
    </row>
    <row r="88">
      <c r="A88" s="18" t="inlineStr">
        <is>
          <t>감가상각누계액</t>
        </is>
      </c>
      <c r="F88" s="20" t="n">
        <v>-59.726</v>
      </c>
      <c r="H88" s="20" t="n">
        <v>-30.17</v>
      </c>
      <c r="I88" s="20" t="n">
        <v>-36.912</v>
      </c>
      <c r="J88" s="20" t="n">
        <v>-41.031</v>
      </c>
      <c r="K88" s="20" t="n">
        <v>-45.94</v>
      </c>
      <c r="L88" s="20" t="n">
        <v>-59.726</v>
      </c>
    </row>
    <row r="89">
      <c r="A89" s="18" t="inlineStr">
        <is>
          <t>손상차손누계액</t>
        </is>
      </c>
      <c r="F89" s="20" t="n">
        <v>-0.825</v>
      </c>
      <c r="I89" s="20" t="n">
        <v>0</v>
      </c>
      <c r="J89" s="20" t="n">
        <v>-0.645</v>
      </c>
      <c r="K89" s="20" t="n">
        <v>-0.735</v>
      </c>
      <c r="L89" s="20" t="n">
        <v>-0.825</v>
      </c>
    </row>
    <row r="90">
      <c r="A90" s="18" t="inlineStr">
        <is>
          <t>공구·기구·비품(순액)</t>
        </is>
      </c>
      <c r="F90" s="20" t="n">
        <v>35.306</v>
      </c>
      <c r="H90" s="20" t="n">
        <v>4.37</v>
      </c>
      <c r="I90" s="20" t="n">
        <v>5.328</v>
      </c>
      <c r="J90" s="20" t="n">
        <v>5.955</v>
      </c>
      <c r="K90" s="20" t="n">
        <v>7.898</v>
      </c>
      <c r="L90" s="20" t="n">
        <v>35.306</v>
      </c>
    </row>
    <row r="91">
      <c r="A91" s="18" t="inlineStr">
        <is>
          <t>토지</t>
        </is>
      </c>
      <c r="C91" s="20" t="n">
        <v>296.007</v>
      </c>
      <c r="D91" s="20" t="n">
        <v>296.007</v>
      </c>
      <c r="E91" s="20" t="n">
        <v>296.007</v>
      </c>
      <c r="F91" s="20" t="n">
        <v>296.007</v>
      </c>
      <c r="G91" s="20" t="n">
        <v>296.007</v>
      </c>
      <c r="H91" s="20" t="n">
        <v>91.98399999999999</v>
      </c>
      <c r="I91" s="20" t="n">
        <v>175.207</v>
      </c>
      <c r="J91" s="20" t="n">
        <v>296.007</v>
      </c>
      <c r="K91" s="20" t="n">
        <v>296.007</v>
      </c>
      <c r="L91" s="20" t="n">
        <v>296.007</v>
      </c>
    </row>
    <row r="92">
      <c r="A92" s="18" t="inlineStr">
        <is>
          <t>리스자산</t>
        </is>
      </c>
      <c r="F92" s="20" t="n">
        <v>33.663</v>
      </c>
      <c r="H92" s="20" t="n">
        <v>39.237</v>
      </c>
      <c r="I92" s="20" t="n">
        <v>48.817</v>
      </c>
      <c r="J92" s="20" t="n">
        <v>38.92</v>
      </c>
      <c r="K92" s="20" t="n">
        <v>29.599</v>
      </c>
      <c r="L92" s="20" t="n">
        <v>33.663</v>
      </c>
    </row>
    <row r="93">
      <c r="A93" s="18" t="inlineStr">
        <is>
          <t>감가상각누계액</t>
        </is>
      </c>
      <c r="F93" s="20" t="n">
        <v>-18.7</v>
      </c>
      <c r="H93" s="20" t="n">
        <v>-32.629</v>
      </c>
      <c r="I93" s="20" t="n">
        <v>-26.544</v>
      </c>
      <c r="J93" s="20" t="n">
        <v>-22.949</v>
      </c>
      <c r="K93" s="20" t="n">
        <v>-17.279</v>
      </c>
      <c r="L93" s="20" t="n">
        <v>-18.7</v>
      </c>
    </row>
    <row r="94">
      <c r="A94" s="18" t="inlineStr">
        <is>
          <t>손상차손누계액</t>
        </is>
      </c>
      <c r="F94" s="20" t="n">
        <v>-0.037</v>
      </c>
      <c r="I94" s="20" t="n">
        <v>0</v>
      </c>
      <c r="J94" s="20" t="n">
        <v>-0.033</v>
      </c>
      <c r="K94" s="20" t="n">
        <v>-0.033</v>
      </c>
      <c r="L94" s="20" t="n">
        <v>-0.037</v>
      </c>
    </row>
    <row r="95">
      <c r="A95" s="18" t="inlineStr">
        <is>
          <t>리스자산(순액)</t>
        </is>
      </c>
      <c r="F95" s="20" t="n">
        <v>14.925</v>
      </c>
      <c r="H95" s="20" t="n">
        <v>6.607</v>
      </c>
      <c r="I95" s="20" t="n">
        <v>22.272</v>
      </c>
      <c r="J95" s="20" t="n">
        <v>15.937</v>
      </c>
      <c r="K95" s="20" t="n">
        <v>12.286</v>
      </c>
      <c r="L95" s="20" t="n">
        <v>14.925</v>
      </c>
    </row>
    <row r="96">
      <c r="A96" s="18" t="inlineStr">
        <is>
          <t>건설중인자산</t>
        </is>
      </c>
      <c r="F96" s="20" t="n">
        <v>0</v>
      </c>
      <c r="J96" s="20" t="n">
        <v>0</v>
      </c>
      <c r="K96" s="20" t="n">
        <v>17.137</v>
      </c>
      <c r="L96" s="20" t="n">
        <v>0</v>
      </c>
    </row>
    <row r="97">
      <c r="A97" s="18" t="inlineStr">
        <is>
          <t>기타(순액)</t>
        </is>
      </c>
      <c r="C97" s="20" t="n">
        <v>95.842</v>
      </c>
      <c r="D97" s="20" t="n">
        <v>139.323</v>
      </c>
      <c r="E97" s="20" t="n">
        <v>132.348</v>
      </c>
      <c r="F97" s="20" t="n">
        <v>131.022</v>
      </c>
      <c r="G97" s="20" t="n">
        <v>125.897</v>
      </c>
      <c r="H97" s="20" t="n">
        <v>11.086</v>
      </c>
      <c r="I97" s="20" t="n">
        <v>58.931</v>
      </c>
      <c r="J97" s="20" t="n">
        <v>87.699</v>
      </c>
      <c r="K97" s="20" t="n">
        <v>92.20999999999999</v>
      </c>
      <c r="L97" s="20" t="n">
        <v>131.022</v>
      </c>
    </row>
    <row r="98">
      <c r="A98" s="18" t="inlineStr">
        <is>
          <t>유형자산 합계</t>
        </is>
      </c>
      <c r="C98" s="20" t="n">
        <v>686.26</v>
      </c>
      <c r="D98" s="20" t="n">
        <v>737.829</v>
      </c>
      <c r="E98" s="20" t="n">
        <v>729.934</v>
      </c>
      <c r="F98" s="20" t="n">
        <v>738.093</v>
      </c>
      <c r="G98" s="20" t="n">
        <v>733.699</v>
      </c>
      <c r="H98" s="20" t="n">
        <v>312.476</v>
      </c>
      <c r="I98" s="20" t="n">
        <v>551.427</v>
      </c>
      <c r="J98" s="20" t="n">
        <v>700.285</v>
      </c>
      <c r="K98" s="20" t="n">
        <v>687.0549999999999</v>
      </c>
      <c r="L98" s="20" t="n">
        <v>738.093</v>
      </c>
    </row>
    <row r="99">
      <c r="A99" s="18" t="inlineStr">
        <is>
          <t>소프트웨어</t>
        </is>
      </c>
      <c r="F99" s="20" t="n">
        <v>85.45699999999999</v>
      </c>
      <c r="H99" s="20" t="n">
        <v>256.543</v>
      </c>
      <c r="I99" s="20" t="n">
        <v>168.185</v>
      </c>
      <c r="J99" s="20" t="n">
        <v>109.868</v>
      </c>
      <c r="K99" s="20" t="n">
        <v>61.731</v>
      </c>
      <c r="L99" s="20" t="n">
        <v>85.45699999999999</v>
      </c>
    </row>
    <row r="100">
      <c r="A100" s="18" t="inlineStr">
        <is>
          <t>영업권</t>
        </is>
      </c>
      <c r="C100" s="20" t="n">
        <v>20.286</v>
      </c>
      <c r="D100" s="20" t="n">
        <v>18.837</v>
      </c>
      <c r="E100" s="20" t="n">
        <v>17.388</v>
      </c>
      <c r="F100" s="20" t="n">
        <v>15.939</v>
      </c>
      <c r="G100" s="20" t="n">
        <v>14.49</v>
      </c>
      <c r="I100" s="20" t="n">
        <v>0</v>
      </c>
      <c r="J100" s="20" t="n">
        <v>27.531</v>
      </c>
      <c r="K100" s="20" t="n">
        <v>21.735</v>
      </c>
      <c r="L100" s="20" t="n">
        <v>15.939</v>
      </c>
    </row>
    <row r="101">
      <c r="A101" s="18" t="inlineStr">
        <is>
          <t>리스자산</t>
        </is>
      </c>
      <c r="F101" s="20" t="n">
        <v>1.38</v>
      </c>
      <c r="H101" s="20" t="n">
        <v>7.854</v>
      </c>
      <c r="I101" s="20" t="n">
        <v>6.183</v>
      </c>
      <c r="J101" s="20" t="n">
        <v>2.816</v>
      </c>
      <c r="K101" s="20" t="n">
        <v>2.042</v>
      </c>
      <c r="L101" s="20" t="n">
        <v>1.38</v>
      </c>
    </row>
    <row r="102">
      <c r="A102" s="18" t="inlineStr">
        <is>
          <t>기타</t>
        </is>
      </c>
      <c r="C102" s="20" t="n">
        <v>71.679</v>
      </c>
      <c r="D102" s="20" t="n">
        <v>65.223</v>
      </c>
      <c r="E102" s="20" t="n">
        <v>59.505</v>
      </c>
      <c r="F102" s="20" t="n">
        <v>89.744</v>
      </c>
      <c r="G102" s="20" t="n">
        <v>82.858</v>
      </c>
      <c r="H102" s="20" t="n">
        <v>6.883</v>
      </c>
      <c r="I102" s="20" t="n">
        <v>8.885</v>
      </c>
      <c r="J102" s="20" t="n">
        <v>3.233</v>
      </c>
      <c r="K102" s="20" t="n">
        <v>3.104</v>
      </c>
      <c r="L102" s="20" t="n">
        <v>89.744</v>
      </c>
    </row>
    <row r="103">
      <c r="A103" s="18" t="inlineStr">
        <is>
          <t>무형자산 합계</t>
        </is>
      </c>
      <c r="C103" s="20" t="n">
        <v>91.96599999999999</v>
      </c>
      <c r="D103" s="20" t="n">
        <v>84.06</v>
      </c>
      <c r="E103" s="20" t="n">
        <v>76.893</v>
      </c>
      <c r="F103" s="20" t="n">
        <v>105.683</v>
      </c>
      <c r="G103" s="20" t="n">
        <v>97.348</v>
      </c>
      <c r="H103" s="20" t="n">
        <v>271.281</v>
      </c>
      <c r="I103" s="20" t="n">
        <v>183.253</v>
      </c>
      <c r="J103" s="20" t="n">
        <v>143.449</v>
      </c>
      <c r="K103" s="20" t="n">
        <v>88.613</v>
      </c>
      <c r="L103" s="20" t="n">
        <v>105.683</v>
      </c>
    </row>
    <row r="104">
      <c r="A104" s="18" t="inlineStr">
        <is>
          <t>투자유가증권</t>
        </is>
      </c>
      <c r="C104" s="20" t="n">
        <v>336.81</v>
      </c>
      <c r="D104" s="20" t="n">
        <v>388.85</v>
      </c>
      <c r="E104" s="20" t="n">
        <v>515.1079999999999</v>
      </c>
      <c r="F104" s="20" t="n">
        <v>478.065</v>
      </c>
      <c r="G104" s="20" t="n">
        <v>441.212</v>
      </c>
      <c r="H104" s="20" t="n">
        <v>105.178</v>
      </c>
      <c r="I104" s="20" t="n">
        <v>198.302</v>
      </c>
      <c r="J104" s="20" t="n">
        <v>270.184</v>
      </c>
      <c r="K104" s="20" t="n">
        <v>307.862</v>
      </c>
      <c r="L104" s="20" t="n">
        <v>478.065</v>
      </c>
    </row>
    <row r="105">
      <c r="A105" s="18" t="inlineStr">
        <is>
          <t>장기선급비용</t>
        </is>
      </c>
      <c r="C105" s="20" t="n">
        <v>137.911</v>
      </c>
      <c r="D105" s="20" t="n">
        <v>138.855</v>
      </c>
      <c r="E105" s="20" t="n">
        <v>141.224</v>
      </c>
      <c r="F105" s="20" t="n">
        <v>144.609</v>
      </c>
      <c r="G105" s="20" t="n">
        <v>146.774</v>
      </c>
      <c r="H105" s="20" t="n">
        <v>124.305</v>
      </c>
      <c r="I105" s="20" t="n">
        <v>123.362</v>
      </c>
      <c r="J105" s="20" t="n">
        <v>128.24</v>
      </c>
      <c r="K105" s="20" t="n">
        <v>135.007</v>
      </c>
      <c r="L105" s="20" t="n">
        <v>144.609</v>
      </c>
    </row>
    <row r="106">
      <c r="A106" s="18" t="inlineStr">
        <is>
          <t>퇴직급여자산</t>
        </is>
      </c>
      <c r="C106" s="20" t="n">
        <v>32.552</v>
      </c>
      <c r="D106" s="20" t="n">
        <v>32.318</v>
      </c>
      <c r="E106" s="20" t="n">
        <v>32.051</v>
      </c>
      <c r="F106" s="20" t="n">
        <v>34.399</v>
      </c>
      <c r="G106" s="20" t="n">
        <v>34.146</v>
      </c>
      <c r="H106" s="20" t="n">
        <v>13.873</v>
      </c>
      <c r="I106" s="20" t="n">
        <v>33.085</v>
      </c>
      <c r="J106" s="20" t="n">
        <v>30.449</v>
      </c>
      <c r="K106" s="20" t="n">
        <v>32.713</v>
      </c>
      <c r="L106" s="20" t="n">
        <v>34.399</v>
      </c>
    </row>
    <row r="107">
      <c r="A107" s="18" t="inlineStr">
        <is>
          <t>이연법인세자산</t>
        </is>
      </c>
      <c r="C107" s="20" t="n">
        <v>188.546</v>
      </c>
      <c r="D107" s="20" t="n">
        <v>176.633</v>
      </c>
      <c r="E107" s="20" t="n">
        <v>150.645</v>
      </c>
      <c r="F107" s="20" t="n">
        <v>159.961</v>
      </c>
      <c r="G107" s="20" t="n">
        <v>163.993</v>
      </c>
      <c r="H107" s="20" t="n">
        <v>143.484</v>
      </c>
      <c r="I107" s="20" t="n">
        <v>203.849</v>
      </c>
      <c r="J107" s="20" t="n">
        <v>177.427</v>
      </c>
      <c r="K107" s="20" t="n">
        <v>194.151</v>
      </c>
      <c r="L107" s="20" t="n">
        <v>159.961</v>
      </c>
    </row>
    <row r="108">
      <c r="A108" s="18" t="inlineStr">
        <is>
          <t>기타</t>
        </is>
      </c>
      <c r="C108" s="20" t="n">
        <v>144.794</v>
      </c>
      <c r="D108" s="20" t="n">
        <v>148.906</v>
      </c>
      <c r="E108" s="20" t="n">
        <v>148.904</v>
      </c>
      <c r="F108" s="20" t="n">
        <v>170.707</v>
      </c>
      <c r="G108" s="20" t="n">
        <v>172.744</v>
      </c>
      <c r="H108" s="20" t="n">
        <v>60.592</v>
      </c>
      <c r="I108" s="20" t="n">
        <v>112.32</v>
      </c>
      <c r="J108" s="20" t="n">
        <v>135.84</v>
      </c>
      <c r="K108" s="20" t="n">
        <v>137.887</v>
      </c>
      <c r="L108" s="20" t="n">
        <v>170.707</v>
      </c>
    </row>
    <row r="109">
      <c r="A109" s="18" t="inlineStr">
        <is>
          <t>대손충당금</t>
        </is>
      </c>
      <c r="C109" s="20" t="n">
        <v>-2.4</v>
      </c>
      <c r="D109" s="20" t="n">
        <v>-2.4</v>
      </c>
      <c r="E109" s="20" t="n">
        <v>-2.4</v>
      </c>
      <c r="F109" s="20" t="n">
        <v>-2.4</v>
      </c>
      <c r="G109" s="20" t="n">
        <v>-2.4</v>
      </c>
      <c r="H109" s="20" t="n">
        <v>-4.8</v>
      </c>
      <c r="I109" s="20" t="n">
        <v>-4.8</v>
      </c>
      <c r="J109" s="20" t="n">
        <v>-7.2</v>
      </c>
      <c r="K109" s="20" t="n">
        <v>-2.686</v>
      </c>
      <c r="L109" s="20" t="n">
        <v>-2.4</v>
      </c>
    </row>
    <row r="110">
      <c r="A110" s="18" t="inlineStr">
        <is>
          <t>투자 및 기타자산 합계</t>
        </is>
      </c>
      <c r="C110" s="20" t="n">
        <v>838.215</v>
      </c>
      <c r="D110" s="20" t="n">
        <v>883.164</v>
      </c>
      <c r="E110" s="20" t="n">
        <v>985.534</v>
      </c>
      <c r="F110" s="20" t="n">
        <v>985.343</v>
      </c>
      <c r="G110" s="20" t="n">
        <v>956.472</v>
      </c>
      <c r="H110" s="20" t="n">
        <v>442.634</v>
      </c>
      <c r="I110" s="20" t="n">
        <v>666.12</v>
      </c>
      <c r="J110" s="20" t="n">
        <v>734.942</v>
      </c>
      <c r="K110" s="20" t="n">
        <v>804.9349999999999</v>
      </c>
      <c r="L110" s="20" t="n">
        <v>985.343</v>
      </c>
    </row>
    <row r="111">
      <c r="A111" s="9" t="inlineStr">
        <is>
          <t>비유동자산 합계</t>
        </is>
      </c>
      <c r="C111" s="12" t="n">
        <v>1616.442</v>
      </c>
      <c r="D111" s="12" t="n">
        <v>1705.054</v>
      </c>
      <c r="E111" s="12" t="n">
        <v>1792.361</v>
      </c>
      <c r="F111" s="12" t="n">
        <v>1829.12</v>
      </c>
      <c r="G111" s="12" t="n">
        <v>1787.52</v>
      </c>
      <c r="H111" s="12" t="n">
        <v>1026.393</v>
      </c>
      <c r="I111" s="12" t="n">
        <v>1400.801</v>
      </c>
      <c r="J111" s="12" t="n">
        <v>1578.677</v>
      </c>
      <c r="K111" s="12" t="n">
        <v>1580.604</v>
      </c>
      <c r="L111" s="12" t="n">
        <v>1829.12</v>
      </c>
    </row>
    <row r="112">
      <c r="A112" s="18" t="inlineStr">
        <is>
          <t>이연자산</t>
        </is>
      </c>
      <c r="E112" s="20" t="n">
        <v>0.48</v>
      </c>
      <c r="F112" s="20" t="n">
        <v>2.988</v>
      </c>
      <c r="G112" s="20" t="n">
        <v>6.761</v>
      </c>
      <c r="K112" s="20" t="n">
        <v>0</v>
      </c>
      <c r="L112" s="20" t="n">
        <v>2.988</v>
      </c>
    </row>
    <row r="113">
      <c r="A113" s="9" t="inlineStr">
        <is>
          <t>자산 합계</t>
        </is>
      </c>
      <c r="C113" s="12" t="n">
        <v>9636.493</v>
      </c>
      <c r="D113" s="12" t="n">
        <v>9922.780000000001</v>
      </c>
      <c r="E113" s="12" t="n">
        <v>9413.610000000001</v>
      </c>
      <c r="F113" s="12" t="n">
        <v>10151.666</v>
      </c>
      <c r="G113" s="12" t="n">
        <v>10478.326</v>
      </c>
      <c r="H113" s="12" t="n">
        <v>5081.318</v>
      </c>
      <c r="I113" s="12" t="n">
        <v>8353.011</v>
      </c>
      <c r="J113" s="12" t="n">
        <v>8612.584999999999</v>
      </c>
      <c r="K113" s="12" t="n">
        <v>9948.182000000001</v>
      </c>
      <c r="L113" s="12" t="n">
        <v>10151.666</v>
      </c>
    </row>
    <row r="114">
      <c r="A114" s="18" t="inlineStr">
        <is>
          <t>지급어음 및 공사 미지급금</t>
        </is>
      </c>
      <c r="C114" s="20" t="n">
        <v>2360.369</v>
      </c>
      <c r="D114" s="20" t="n">
        <v>2184.401</v>
      </c>
      <c r="E114" s="20" t="n">
        <v>2109.49</v>
      </c>
      <c r="F114" s="20" t="n">
        <v>2112.781</v>
      </c>
      <c r="G114" s="20" t="n">
        <v>2607.189</v>
      </c>
      <c r="H114" s="20" t="n">
        <v>0</v>
      </c>
      <c r="I114" s="20" t="n">
        <v>1818.049</v>
      </c>
      <c r="J114" s="20" t="n">
        <v>1960.458</v>
      </c>
      <c r="K114" s="20" t="n">
        <v>2296.672</v>
      </c>
      <c r="L114" s="20" t="n">
        <v>2112.781</v>
      </c>
    </row>
    <row r="115">
      <c r="A115" s="18" t="inlineStr">
        <is>
          <t>공사 미지급금</t>
        </is>
      </c>
      <c r="H115" s="20" t="n">
        <v>897.34</v>
      </c>
      <c r="I115" s="20" t="n">
        <v>0</v>
      </c>
    </row>
    <row r="116">
      <c r="A116" s="18" t="inlineStr">
        <is>
          <t>단기차입금</t>
        </is>
      </c>
      <c r="C116" s="20" t="n">
        <v>110.292</v>
      </c>
      <c r="D116" s="20" t="n">
        <v>383.981</v>
      </c>
      <c r="E116" s="20" t="n">
        <v>87.117</v>
      </c>
      <c r="F116" s="20" t="n">
        <v>87.61</v>
      </c>
      <c r="G116" s="20" t="n">
        <v>50.8</v>
      </c>
      <c r="H116" s="20" t="n">
        <v>0</v>
      </c>
      <c r="I116" s="20" t="n">
        <v>64.76000000000001</v>
      </c>
      <c r="J116" s="20" t="n">
        <v>80.545</v>
      </c>
      <c r="K116" s="20" t="n">
        <v>84.88200000000001</v>
      </c>
      <c r="L116" s="20" t="n">
        <v>87.61</v>
      </c>
    </row>
    <row r="117">
      <c r="A117" s="18" t="inlineStr">
        <is>
          <t>1년 내 상환 장기차입금</t>
        </is>
      </c>
      <c r="C117" s="20" t="n">
        <v>119.473</v>
      </c>
      <c r="D117" s="20" t="n">
        <v>115.307</v>
      </c>
      <c r="E117" s="20" t="n">
        <v>110.284</v>
      </c>
      <c r="F117" s="20" t="n">
        <v>115.307</v>
      </c>
      <c r="G117" s="20" t="n">
        <v>110.284</v>
      </c>
      <c r="H117" s="20" t="n">
        <v>89.992</v>
      </c>
      <c r="I117" s="20" t="n">
        <v>196.268</v>
      </c>
      <c r="J117" s="20" t="n">
        <v>204.031</v>
      </c>
      <c r="K117" s="20" t="n">
        <v>136.988</v>
      </c>
      <c r="L117" s="20" t="n">
        <v>115.307</v>
      </c>
    </row>
    <row r="118">
      <c r="A118" s="18" t="inlineStr">
        <is>
          <t>리스부채</t>
        </is>
      </c>
      <c r="F118" s="20" t="n">
        <v>5.263</v>
      </c>
      <c r="H118" s="20" t="n">
        <v>11.712</v>
      </c>
      <c r="I118" s="20" t="n">
        <v>6.859</v>
      </c>
      <c r="J118" s="20" t="n">
        <v>4.429</v>
      </c>
      <c r="K118" s="20" t="n">
        <v>3.915</v>
      </c>
      <c r="L118" s="20" t="n">
        <v>5.263</v>
      </c>
    </row>
    <row r="119">
      <c r="A119" s="18" t="inlineStr">
        <is>
          <t>미지급법인세</t>
        </is>
      </c>
      <c r="C119" s="20" t="n">
        <v>88.48399999999999</v>
      </c>
      <c r="D119" s="20" t="n">
        <v>222.551</v>
      </c>
      <c r="E119" s="20" t="n">
        <v>60.535</v>
      </c>
      <c r="F119" s="20" t="n">
        <v>147.547</v>
      </c>
      <c r="G119" s="20" t="n">
        <v>162.402</v>
      </c>
      <c r="H119" s="20" t="n">
        <v>51.87</v>
      </c>
      <c r="I119" s="20" t="n">
        <v>294.045</v>
      </c>
      <c r="J119" s="20" t="n">
        <v>83.852</v>
      </c>
      <c r="K119" s="20" t="n">
        <v>320.416</v>
      </c>
      <c r="L119" s="20" t="n">
        <v>147.547</v>
      </c>
    </row>
    <row r="120">
      <c r="A120" s="18" t="inlineStr">
        <is>
          <t>상여충당금</t>
        </is>
      </c>
      <c r="C120" s="20" t="n">
        <v>166.318</v>
      </c>
      <c r="D120" s="20" t="n">
        <v>260.027</v>
      </c>
      <c r="E120" s="20" t="n">
        <v>182.734</v>
      </c>
      <c r="F120" s="20" t="n">
        <v>289.883</v>
      </c>
      <c r="G120" s="20" t="n">
        <v>182.151</v>
      </c>
      <c r="H120" s="20" t="n">
        <v>130.627</v>
      </c>
      <c r="I120" s="20" t="n">
        <v>265.86</v>
      </c>
      <c r="J120" s="20" t="n">
        <v>195.306</v>
      </c>
      <c r="K120" s="20" t="n">
        <v>246.435</v>
      </c>
      <c r="L120" s="20" t="n">
        <v>289.883</v>
      </c>
    </row>
    <row r="121">
      <c r="A121" s="18" t="inlineStr">
        <is>
          <t>기타</t>
        </is>
      </c>
      <c r="C121" s="20" t="n">
        <v>1342.223</v>
      </c>
      <c r="D121" s="20" t="n">
        <v>1048.419</v>
      </c>
      <c r="E121" s="20" t="n">
        <v>992.627</v>
      </c>
      <c r="F121" s="20" t="n">
        <v>1184.243</v>
      </c>
      <c r="G121" s="20" t="n">
        <v>1140.832</v>
      </c>
      <c r="H121" s="20" t="n">
        <v>369.537</v>
      </c>
      <c r="I121" s="20" t="n">
        <v>929.83</v>
      </c>
      <c r="J121" s="20" t="n">
        <v>991.987</v>
      </c>
      <c r="K121" s="20" t="n">
        <v>1365.133</v>
      </c>
      <c r="L121" s="20" t="n">
        <v>1184.243</v>
      </c>
    </row>
    <row r="122">
      <c r="A122" s="9" t="inlineStr">
        <is>
          <t>유동부채 합계</t>
        </is>
      </c>
      <c r="C122" s="12" t="n">
        <v>4187.161</v>
      </c>
      <c r="D122" s="12" t="n">
        <v>4214.688</v>
      </c>
      <c r="E122" s="12" t="n">
        <v>3542.788</v>
      </c>
      <c r="F122" s="12" t="n">
        <v>3937.373</v>
      </c>
      <c r="G122" s="12" t="n">
        <v>4253.66</v>
      </c>
      <c r="H122" s="12" t="n">
        <v>1551.08</v>
      </c>
      <c r="I122" s="12" t="n">
        <v>3575.674</v>
      </c>
      <c r="J122" s="12" t="n">
        <v>3520.611</v>
      </c>
      <c r="K122" s="12" t="n">
        <v>4454.444</v>
      </c>
      <c r="L122" s="12" t="n">
        <v>3937.373</v>
      </c>
    </row>
    <row r="123">
      <c r="A123" s="18" t="inlineStr">
        <is>
          <t>장기차입금</t>
        </is>
      </c>
      <c r="C123" s="20" t="n">
        <v>206.08</v>
      </c>
      <c r="D123" s="20" t="n">
        <v>178.509</v>
      </c>
      <c r="E123" s="20" t="n">
        <v>155.961</v>
      </c>
      <c r="F123" s="20" t="n">
        <v>123.367</v>
      </c>
      <c r="G123" s="20" t="n">
        <v>95.79600000000001</v>
      </c>
      <c r="H123" s="20" t="n">
        <v>205.855</v>
      </c>
      <c r="I123" s="20" t="n">
        <v>549.231</v>
      </c>
      <c r="J123" s="20" t="n">
        <v>411.662</v>
      </c>
      <c r="K123" s="20" t="n">
        <v>238.674</v>
      </c>
      <c r="L123" s="20" t="n">
        <v>123.367</v>
      </c>
    </row>
    <row r="124">
      <c r="A124" s="18" t="inlineStr">
        <is>
          <t>리스부채</t>
        </is>
      </c>
      <c r="F124" s="20" t="n">
        <v>11.957</v>
      </c>
      <c r="H124" s="20" t="n">
        <v>2.256</v>
      </c>
      <c r="I124" s="20" t="n">
        <v>16.183</v>
      </c>
      <c r="J124" s="20" t="n">
        <v>14.756</v>
      </c>
      <c r="K124" s="20" t="n">
        <v>10.84</v>
      </c>
      <c r="L124" s="20" t="n">
        <v>11.957</v>
      </c>
    </row>
    <row r="125">
      <c r="A125" s="18" t="inlineStr">
        <is>
          <t>임원 퇴직위로 충당금</t>
        </is>
      </c>
      <c r="C125" s="20" t="n">
        <v>55.767</v>
      </c>
      <c r="D125" s="20" t="n">
        <v>56.724</v>
      </c>
      <c r="E125" s="20" t="n">
        <v>57.682</v>
      </c>
      <c r="F125" s="20" t="n">
        <v>58.64</v>
      </c>
      <c r="G125" s="20" t="n">
        <v>59.654</v>
      </c>
      <c r="H125" s="20" t="n">
        <v>0</v>
      </c>
      <c r="I125" s="20" t="n">
        <v>48.13</v>
      </c>
      <c r="J125" s="20" t="n">
        <v>51.26</v>
      </c>
      <c r="K125" s="20" t="n">
        <v>54.81</v>
      </c>
      <c r="L125" s="20" t="n">
        <v>58.64</v>
      </c>
    </row>
    <row r="126">
      <c r="A126" s="18" t="inlineStr">
        <is>
          <t>퇴직급여부채</t>
        </is>
      </c>
      <c r="C126" s="20" t="n">
        <v>164.799</v>
      </c>
      <c r="D126" s="20" t="n">
        <v>169.071</v>
      </c>
      <c r="E126" s="20" t="n">
        <v>173.914</v>
      </c>
      <c r="F126" s="20" t="n">
        <v>145.364</v>
      </c>
      <c r="G126" s="20" t="n">
        <v>149.727</v>
      </c>
      <c r="H126" s="20" t="n">
        <v>137.28</v>
      </c>
      <c r="I126" s="20" t="n">
        <v>143.003</v>
      </c>
      <c r="J126" s="20" t="n">
        <v>156.954</v>
      </c>
      <c r="K126" s="20" t="n">
        <v>166.65</v>
      </c>
      <c r="L126" s="20" t="n">
        <v>145.364</v>
      </c>
    </row>
    <row r="127">
      <c r="A127" s="18" t="inlineStr">
        <is>
          <t>자산복구부채</t>
        </is>
      </c>
      <c r="C127" s="20" t="n">
        <v>18.123</v>
      </c>
      <c r="D127" s="20" t="n">
        <v>18.176</v>
      </c>
      <c r="E127" s="20" t="n">
        <v>18.631</v>
      </c>
      <c r="F127" s="20" t="n">
        <v>20.221</v>
      </c>
      <c r="G127" s="20" t="n">
        <v>20.289</v>
      </c>
      <c r="H127" s="20" t="n">
        <v>16.448</v>
      </c>
      <c r="I127" s="20" t="n">
        <v>17.126</v>
      </c>
      <c r="J127" s="20" t="n">
        <v>17.336</v>
      </c>
      <c r="K127" s="20" t="n">
        <v>18.069</v>
      </c>
      <c r="L127" s="20" t="n">
        <v>20.221</v>
      </c>
    </row>
    <row r="128">
      <c r="A128" s="18" t="inlineStr">
        <is>
          <t>장기미지급금</t>
        </is>
      </c>
      <c r="C128" s="20" t="n">
        <v>150.885</v>
      </c>
      <c r="D128" s="20" t="n">
        <v>150.885</v>
      </c>
      <c r="E128" s="20" t="n">
        <v>150.885</v>
      </c>
      <c r="F128" s="20" t="n">
        <v>150.885</v>
      </c>
      <c r="G128" s="20" t="n">
        <v>148.2</v>
      </c>
      <c r="H128" s="20" t="n">
        <v>150.885</v>
      </c>
      <c r="I128" s="20" t="n">
        <v>150.885</v>
      </c>
      <c r="J128" s="20" t="n">
        <v>150.885</v>
      </c>
      <c r="K128" s="20" t="n">
        <v>150.885</v>
      </c>
      <c r="L128" s="20" t="n">
        <v>150.885</v>
      </c>
    </row>
    <row r="129">
      <c r="A129" s="18" t="inlineStr">
        <is>
          <t>이연법인세부채</t>
        </is>
      </c>
      <c r="C129" s="20" t="n">
        <v>44.901</v>
      </c>
      <c r="D129" s="20" t="n">
        <v>49.793</v>
      </c>
      <c r="E129" s="20" t="n">
        <v>64.956</v>
      </c>
      <c r="F129" s="20" t="n">
        <v>74.045</v>
      </c>
      <c r="G129" s="20" t="n">
        <v>65.54300000000001</v>
      </c>
      <c r="H129" s="20" t="n">
        <v>0</v>
      </c>
      <c r="I129" s="20" t="n">
        <v>19.082</v>
      </c>
      <c r="J129" s="20" t="n">
        <v>41.569</v>
      </c>
      <c r="K129" s="20" t="n">
        <v>40.895</v>
      </c>
      <c r="L129" s="20" t="n">
        <v>74.045</v>
      </c>
    </row>
    <row r="130">
      <c r="A130" s="18" t="inlineStr">
        <is>
          <t>손해보상 충당금</t>
        </is>
      </c>
      <c r="I130" s="20" t="n">
        <v>0</v>
      </c>
      <c r="J130" s="20" t="n">
        <v>31.42</v>
      </c>
      <c r="K130" s="20" t="n">
        <v>0</v>
      </c>
    </row>
    <row r="131">
      <c r="A131" s="18" t="inlineStr">
        <is>
          <t>기타</t>
        </is>
      </c>
      <c r="C131" s="20" t="n">
        <v>9.957000000000001</v>
      </c>
      <c r="D131" s="20" t="n">
        <v>8.973000000000001</v>
      </c>
      <c r="E131" s="20" t="n">
        <v>7.986</v>
      </c>
      <c r="F131" s="20" t="n">
        <v>12.057</v>
      </c>
      <c r="G131" s="20" t="n">
        <v>10.847</v>
      </c>
      <c r="H131" s="20" t="n">
        <v>0.139</v>
      </c>
      <c r="I131" s="20" t="n">
        <v>0.1</v>
      </c>
      <c r="J131" s="20" t="n">
        <v>1.945</v>
      </c>
      <c r="K131" s="20" t="n">
        <v>0.1</v>
      </c>
      <c r="L131" s="20" t="n">
        <v>12.057</v>
      </c>
    </row>
    <row r="132">
      <c r="A132" s="9" t="inlineStr">
        <is>
          <t>비유동부채 합계</t>
        </is>
      </c>
      <c r="C132" s="12" t="n">
        <v>650.514</v>
      </c>
      <c r="D132" s="12" t="n">
        <v>632.134</v>
      </c>
      <c r="E132" s="12" t="n">
        <v>630.018</v>
      </c>
      <c r="F132" s="12" t="n">
        <v>584.58</v>
      </c>
      <c r="G132" s="12" t="n">
        <v>550.059</v>
      </c>
      <c r="H132" s="12" t="n">
        <v>512.865</v>
      </c>
      <c r="I132" s="12" t="n">
        <v>943.741</v>
      </c>
      <c r="J132" s="12" t="n">
        <v>877.79</v>
      </c>
      <c r="K132" s="12" t="n">
        <v>680.925</v>
      </c>
      <c r="L132" s="12" t="n">
        <v>584.58</v>
      </c>
    </row>
    <row r="133">
      <c r="A133" s="9" t="inlineStr">
        <is>
          <t>부채 합계</t>
        </is>
      </c>
      <c r="C133" s="12" t="n">
        <v>4837.675</v>
      </c>
      <c r="D133" s="12" t="n">
        <v>4846.823</v>
      </c>
      <c r="E133" s="12" t="n">
        <v>4172.806</v>
      </c>
      <c r="F133" s="12" t="n">
        <v>4521.954</v>
      </c>
      <c r="G133" s="12" t="n">
        <v>4803.72</v>
      </c>
      <c r="H133" s="12" t="n">
        <v>2063.945</v>
      </c>
      <c r="I133" s="12" t="n">
        <v>4519.415</v>
      </c>
      <c r="J133" s="12" t="n">
        <v>4398.401</v>
      </c>
      <c r="K133" s="12" t="n">
        <v>5135.369</v>
      </c>
      <c r="L133" s="12" t="n">
        <v>4521.954</v>
      </c>
    </row>
    <row r="134">
      <c r="A134" s="18" t="inlineStr">
        <is>
          <t>자본금</t>
        </is>
      </c>
      <c r="C134" s="20" t="n">
        <v>616.652</v>
      </c>
      <c r="D134" s="20" t="n">
        <v>616.652</v>
      </c>
      <c r="E134" s="20" t="n">
        <v>616.652</v>
      </c>
      <c r="F134" s="20" t="n">
        <v>616.652</v>
      </c>
      <c r="G134" s="20" t="n">
        <v>616.652</v>
      </c>
      <c r="H134" s="20" t="n">
        <v>616.652</v>
      </c>
      <c r="I134" s="20" t="n">
        <v>616.652</v>
      </c>
      <c r="J134" s="20" t="n">
        <v>616.652</v>
      </c>
      <c r="K134" s="20" t="n">
        <v>616.652</v>
      </c>
      <c r="L134" s="20" t="n">
        <v>616.652</v>
      </c>
    </row>
    <row r="135">
      <c r="A135" s="18" t="inlineStr">
        <is>
          <t>자본잉여금</t>
        </is>
      </c>
      <c r="C135" s="20" t="n">
        <v>1081.22</v>
      </c>
      <c r="D135" s="20" t="n">
        <v>1081.227</v>
      </c>
      <c r="E135" s="20" t="n">
        <v>1081.227</v>
      </c>
      <c r="F135" s="20" t="n">
        <v>1081.227</v>
      </c>
      <c r="G135" s="20" t="n">
        <v>1081.227</v>
      </c>
      <c r="H135" s="20" t="n">
        <v>504.352</v>
      </c>
      <c r="I135" s="20" t="n">
        <v>1080.97</v>
      </c>
      <c r="J135" s="20" t="n">
        <v>1081.627</v>
      </c>
      <c r="K135" s="20" t="n">
        <v>1081.22</v>
      </c>
      <c r="L135" s="20" t="n">
        <v>1081.227</v>
      </c>
    </row>
    <row r="136">
      <c r="A136" s="18" t="inlineStr">
        <is>
          <t>이익잉여금</t>
        </is>
      </c>
      <c r="C136" s="20" t="n">
        <v>3126.566</v>
      </c>
      <c r="D136" s="20" t="n">
        <v>3356.133</v>
      </c>
      <c r="E136" s="20" t="n">
        <v>3434.448</v>
      </c>
      <c r="F136" s="20" t="n">
        <v>3850.702</v>
      </c>
      <c r="G136" s="20" t="n">
        <v>3914.818</v>
      </c>
      <c r="H136" s="20" t="n">
        <v>1913.902</v>
      </c>
      <c r="I136" s="20" t="n">
        <v>2277.924</v>
      </c>
      <c r="J136" s="20" t="n">
        <v>2598.074</v>
      </c>
      <c r="K136" s="20" t="n">
        <v>3158.483</v>
      </c>
      <c r="L136" s="20" t="n">
        <v>3850.702</v>
      </c>
    </row>
    <row r="137">
      <c r="A137" s="18" t="inlineStr">
        <is>
          <t>자기주식</t>
        </is>
      </c>
      <c r="C137" s="20" t="n">
        <v>-119.463</v>
      </c>
      <c r="D137" s="20" t="n">
        <v>-106.45</v>
      </c>
      <c r="E137" s="20" t="n">
        <v>-106.45</v>
      </c>
      <c r="F137" s="20" t="n">
        <v>-106.45</v>
      </c>
      <c r="G137" s="20" t="n">
        <v>-106.45</v>
      </c>
      <c r="H137" s="20" t="n">
        <v>-15.305</v>
      </c>
      <c r="I137" s="20" t="n">
        <v>-141.946</v>
      </c>
      <c r="J137" s="20" t="n">
        <v>-132.15</v>
      </c>
      <c r="K137" s="20" t="n">
        <v>-119.463</v>
      </c>
      <c r="L137" s="20" t="n">
        <v>-106.45</v>
      </c>
    </row>
    <row r="138">
      <c r="A138" s="9" t="inlineStr">
        <is>
          <t>주주자본 합계</t>
        </is>
      </c>
      <c r="C138" s="12" t="n">
        <v>4704.976</v>
      </c>
      <c r="D138" s="12" t="n">
        <v>4947.563</v>
      </c>
      <c r="E138" s="12" t="n">
        <v>5025.878</v>
      </c>
      <c r="F138" s="12" t="n">
        <v>5442.132</v>
      </c>
      <c r="G138" s="12" t="n">
        <v>5506.248</v>
      </c>
      <c r="H138" s="12" t="n">
        <v>3019.603</v>
      </c>
      <c r="I138" s="12" t="n">
        <v>3833.601</v>
      </c>
      <c r="J138" s="12" t="n">
        <v>4164.203</v>
      </c>
      <c r="K138" s="12" t="n">
        <v>4736.893</v>
      </c>
      <c r="L138" s="12" t="n">
        <v>5442.132</v>
      </c>
    </row>
    <row r="139">
      <c r="A139" s="18" t="inlineStr">
        <is>
          <t>기타유가증권 평가차액</t>
        </is>
      </c>
      <c r="C139" s="20" t="n">
        <v>87.27</v>
      </c>
      <c r="D139" s="20" t="n">
        <v>122.324</v>
      </c>
      <c r="E139" s="20" t="n">
        <v>207.148</v>
      </c>
      <c r="F139" s="20" t="n">
        <v>178.697</v>
      </c>
      <c r="G139" s="20" t="n">
        <v>154.085</v>
      </c>
      <c r="H139" s="20" t="n">
        <v>-5.082</v>
      </c>
      <c r="I139" s="20" t="n">
        <v>-3.726</v>
      </c>
      <c r="J139" s="20" t="n">
        <v>44.403</v>
      </c>
      <c r="K139" s="20" t="n">
        <v>68.214</v>
      </c>
      <c r="L139" s="20" t="n">
        <v>178.697</v>
      </c>
    </row>
    <row r="140">
      <c r="A140" s="18" t="inlineStr">
        <is>
          <t>해외사업환산조정</t>
        </is>
      </c>
      <c r="C140" s="20" t="n">
        <v>6.57</v>
      </c>
      <c r="D140" s="20" t="n">
        <v>6.069</v>
      </c>
      <c r="E140" s="20" t="n">
        <v>7.777</v>
      </c>
      <c r="F140" s="20" t="n">
        <v>8.881</v>
      </c>
      <c r="G140" s="20" t="n">
        <v>14.273</v>
      </c>
      <c r="H140" s="20" t="n">
        <v>2.851</v>
      </c>
      <c r="I140" s="20" t="n">
        <v>3.721</v>
      </c>
      <c r="J140" s="20" t="n">
        <v>5.576</v>
      </c>
      <c r="K140" s="20" t="n">
        <v>7.704</v>
      </c>
      <c r="L140" s="20" t="n">
        <v>8.881</v>
      </c>
    </row>
    <row r="141">
      <c r="A141" s="18" t="inlineStr">
        <is>
          <t>기타포괄손익누계액 합계</t>
        </is>
      </c>
      <c r="C141" s="20" t="n">
        <v>93.84099999999999</v>
      </c>
      <c r="D141" s="20" t="n">
        <v>128.394</v>
      </c>
      <c r="E141" s="20" t="n">
        <v>214.925</v>
      </c>
      <c r="F141" s="20" t="n">
        <v>187.579</v>
      </c>
      <c r="G141" s="20" t="n">
        <v>168.358</v>
      </c>
      <c r="H141" s="20" t="n">
        <v>-2.23</v>
      </c>
      <c r="I141" s="20" t="n">
        <v>-0.005</v>
      </c>
      <c r="J141" s="20" t="n">
        <v>49.979</v>
      </c>
      <c r="K141" s="20" t="n">
        <v>75.919</v>
      </c>
      <c r="L141" s="20" t="n">
        <v>187.579</v>
      </c>
    </row>
    <row r="142">
      <c r="A142" s="9" t="inlineStr">
        <is>
          <t>순자산 합계</t>
        </is>
      </c>
      <c r="C142" s="12" t="n">
        <v>4798.817</v>
      </c>
      <c r="D142" s="12" t="n">
        <v>5075.957</v>
      </c>
      <c r="E142" s="12" t="n">
        <v>5240.804</v>
      </c>
      <c r="F142" s="12" t="n">
        <v>5629.711</v>
      </c>
      <c r="G142" s="12" t="n">
        <v>5674.606</v>
      </c>
      <c r="H142" s="12" t="n">
        <v>3017.372</v>
      </c>
      <c r="I142" s="12" t="n">
        <v>3833.596</v>
      </c>
      <c r="J142" s="12" t="n">
        <v>4214.183</v>
      </c>
      <c r="K142" s="12" t="n">
        <v>4812.812</v>
      </c>
      <c r="L142" s="12" t="n">
        <v>5629.711</v>
      </c>
    </row>
    <row r="143">
      <c r="A143" s="9" t="inlineStr">
        <is>
          <t>부채·순자산 합계</t>
        </is>
      </c>
      <c r="C143" s="12" t="n">
        <v>9636.493</v>
      </c>
      <c r="D143" s="12" t="n">
        <v>9922.780000000001</v>
      </c>
      <c r="E143" s="12" t="n">
        <v>9413.610000000001</v>
      </c>
      <c r="F143" s="12" t="n">
        <v>10151.666</v>
      </c>
      <c r="G143" s="12" t="n">
        <v>10478.326</v>
      </c>
      <c r="H143" s="12" t="n">
        <v>5081.318</v>
      </c>
      <c r="I143" s="12" t="n">
        <v>8353.011</v>
      </c>
      <c r="J143" s="12" t="n">
        <v>8612.584999999999</v>
      </c>
      <c r="K143" s="12" t="n">
        <v>9948.182000000001</v>
      </c>
      <c r="L143" s="12" t="n">
        <v>10151.666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산키서비스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quarter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67.59999999999999</v>
      </c>
      <c r="C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15.5</v>
      </c>
    </row>
    <row r="8">
      <c r="A8" s="54" t="inlineStr">
        <is>
          <t>sga</t>
        </is>
      </c>
      <c r="B8" s="55" t="n">
        <v>11.5</v>
      </c>
    </row>
    <row r="9">
      <c r="A9" s="54" t="inlineStr">
        <is>
          <t>영업이익</t>
        </is>
      </c>
      <c r="B9" s="55" t="n">
        <v>4</v>
      </c>
    </row>
    <row r="10">
      <c r="A10" s="54" t="inlineStr">
        <is>
          <t>ord</t>
        </is>
      </c>
      <c r="B10" s="55" t="n">
        <v>4.03</v>
      </c>
    </row>
    <row r="11">
      <c r="A11" s="54" t="inlineStr">
        <is>
          <t>순이익</t>
        </is>
      </c>
      <c r="B11" s="55" t="n">
        <v>2.58</v>
      </c>
    </row>
    <row r="12">
      <c r="A12" s="54" t="inlineStr">
        <is>
          <t>EPS</t>
        </is>
      </c>
      <c r="B12" s="55" t="n">
        <v>39.94</v>
      </c>
    </row>
    <row r="14">
      <c r="A14" s="52" t="inlineStr">
        <is>
          <t>deal</t>
        </is>
      </c>
      <c r="B14" s="52" t="n"/>
      <c r="C14" s="52" t="n"/>
    </row>
    <row r="15">
      <c r="A15" s="53" t="inlineStr">
        <is>
          <t>항목</t>
        </is>
      </c>
      <c r="B15" s="53" t="inlineStr">
        <is>
          <t>값</t>
        </is>
      </c>
      <c r="C15" s="53" t="inlineStr">
        <is>
          <t>출처</t>
        </is>
      </c>
    </row>
    <row r="16">
      <c r="A16" s="54" t="inlineStr">
        <is>
          <t>ratio</t>
        </is>
      </c>
      <c r="B16" s="55" t="n">
        <v>1.92</v>
      </c>
      <c r="C16" s="56" t="inlineStr">
        <is>
          <t>2단계 보고서 자료(회사 설명회 자료·공시)</t>
        </is>
      </c>
    </row>
    <row r="17">
      <c r="A17" s="54" t="inlineStr">
        <is>
          <t>new shares</t>
        </is>
      </c>
      <c r="B17" s="57" t="n">
        <v>11179572</v>
      </c>
    </row>
    <row r="18">
      <c r="A18" s="54" t="inlineStr">
        <is>
          <t>shinmente holds</t>
        </is>
      </c>
      <c r="B18" s="57" t="n">
        <v>630000</v>
      </c>
    </row>
    <row r="20">
      <c r="A20" s="52" t="inlineStr">
        <is>
          <t>spread</t>
        </is>
      </c>
      <c r="B20" s="52" t="n"/>
      <c r="C20" s="52" t="n"/>
    </row>
    <row r="21">
      <c r="A21" s="53" t="inlineStr">
        <is>
          <t>항목</t>
        </is>
      </c>
      <c r="B21" s="53" t="inlineStr">
        <is>
          <t>값</t>
        </is>
      </c>
      <c r="C21" s="53" t="inlineStr">
        <is>
          <t>출처</t>
        </is>
      </c>
    </row>
    <row r="22">
      <c r="A22" s="54" t="inlineStr">
        <is>
          <t>평균</t>
        </is>
      </c>
      <c r="B22" s="55" t="n">
        <v>-3.94</v>
      </c>
      <c r="C22" s="56" t="inlineStr">
        <is>
          <t>2단계 보고서 자료(회사 설명회 자료·공시)</t>
        </is>
      </c>
    </row>
    <row r="23">
      <c r="A23" s="54" t="inlineStr">
        <is>
          <t>min</t>
        </is>
      </c>
      <c r="B23" s="55" t="n">
        <v>-7.15</v>
      </c>
    </row>
    <row r="24">
      <c r="A24" s="54" t="inlineStr">
        <is>
          <t>max</t>
        </is>
      </c>
      <c r="B24" s="55" t="n">
        <v>-1.19</v>
      </c>
    </row>
    <row r="25">
      <c r="A25" s="54" t="inlineStr">
        <is>
          <t>last</t>
        </is>
      </c>
      <c r="B25" s="55" t="n">
        <v>-1.19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2026-10-15</t>
        </is>
      </c>
      <c r="B4" t="inlineStr">
        <is>
          <t>2027년 5월 결산기 １분기 결산단신</t>
        </is>
      </c>
      <c r="C4" t="inlineStr">
        <is>
          <t>https://www2.jpx.co.jp/disc/60440/140120261015551621.pdf</t>
        </is>
      </c>
    </row>
    <row r="5">
      <c r="A5" t="inlineStr">
        <is>
          <t>2026-07-15</t>
        </is>
      </c>
      <c r="B5" t="inlineStr">
        <is>
          <t>2026년 5월 결산기 연간 결산단신</t>
        </is>
      </c>
      <c r="C5" t="inlineStr">
        <is>
          <t>https://www2.jpx.co.jp/disc/60440/140120260714593474.pdf</t>
        </is>
      </c>
    </row>
    <row r="6">
      <c r="A6" t="inlineStr">
        <is>
          <t>2026-04-14</t>
        </is>
      </c>
      <c r="B6" t="inlineStr">
        <is>
          <t>2026년 5월 결산기 ３분기 결산단신</t>
        </is>
      </c>
      <c r="C6" t="inlineStr">
        <is>
          <t>https://www2.jpx.co.jp/disc/60440/140120260413502317.pdf</t>
        </is>
      </c>
    </row>
    <row r="7">
      <c r="A7" t="inlineStr">
        <is>
          <t>2026-01-14</t>
        </is>
      </c>
      <c r="B7" t="inlineStr">
        <is>
          <t>2026년 5월 결산기 ２분기 결산단신</t>
        </is>
      </c>
      <c r="C7" t="inlineStr">
        <is>
          <t>https://www2.jpx.co.jp/disc/60440/140120260114533078.pdf</t>
        </is>
      </c>
    </row>
    <row r="8">
      <c r="A8" t="inlineStr">
        <is>
          <t>2025-10-15</t>
        </is>
      </c>
      <c r="B8" t="inlineStr">
        <is>
          <t>2026년 5월 결산기 １분기 결산단신</t>
        </is>
      </c>
      <c r="C8" t="inlineStr">
        <is>
          <t>https://www2.jpx.co.jp/disc/60440/140120251014573339.pdf</t>
        </is>
      </c>
    </row>
    <row r="9">
      <c r="A9" t="inlineStr">
        <is>
          <t>2025-07-15</t>
        </is>
      </c>
      <c r="B9" t="inlineStr">
        <is>
          <t>2025년 5월 결산기 연간 결산단신</t>
        </is>
      </c>
      <c r="C9" t="inlineStr">
        <is>
          <t>https://www2.jpx.co.jp/disc/60440/140120250714514249.pdf</t>
        </is>
      </c>
    </row>
    <row r="10">
      <c r="A10" t="inlineStr">
        <is>
          <t>2025-04-11</t>
        </is>
      </c>
      <c r="B10" t="inlineStr">
        <is>
          <t>2025년 5월 결산기 ３분기 결산단신</t>
        </is>
      </c>
      <c r="C10" t="inlineStr">
        <is>
          <t>https://www2.jpx.co.jp/disc/60440/140120250411513213.pdf</t>
        </is>
      </c>
    </row>
    <row r="11">
      <c r="A11" t="inlineStr">
        <is>
          <t>2025-01-14</t>
        </is>
      </c>
      <c r="B11" t="inlineStr">
        <is>
          <t>2025년 5월 결산기 ２분기 결산단신</t>
        </is>
      </c>
      <c r="C11" t="inlineStr">
        <is>
          <t>https://www2.jpx.co.jp/disc/60440/140120250110549446.pdf</t>
        </is>
      </c>
    </row>
    <row r="12">
      <c r="A12" t="inlineStr">
        <is>
          <t>2024-10-15</t>
        </is>
      </c>
      <c r="B12" t="inlineStr">
        <is>
          <t>2025년 5월 결산기 １분기 결산단신</t>
        </is>
      </c>
      <c r="C12" t="inlineStr">
        <is>
          <t>https://www2.jpx.co.jp/disc/60440/140120241015597917.pdf</t>
        </is>
      </c>
    </row>
    <row r="13">
      <c r="A13" t="inlineStr">
        <is>
          <t>2024-07-12</t>
        </is>
      </c>
      <c r="B13" t="inlineStr">
        <is>
          <t>2024년 5월 결산기 연간 결산단신</t>
        </is>
      </c>
      <c r="C13" t="inlineStr">
        <is>
          <t>https://www2.jpx.co.jp/disc/60440/140120240712548441.pdf</t>
        </is>
      </c>
    </row>
    <row r="14">
      <c r="A14" t="inlineStr">
        <is>
          <t>2024-04-12</t>
        </is>
      </c>
      <c r="B14" t="inlineStr">
        <is>
          <t>2024년 5월 결산기 ３분기 결산단신</t>
        </is>
      </c>
      <c r="C14" t="inlineStr">
        <is>
          <t>https://www2.jpx.co.jp/disc/60440/140120240412569692.pdf</t>
        </is>
      </c>
    </row>
    <row r="15">
      <c r="A15" t="inlineStr">
        <is>
          <t>2024-01-12</t>
        </is>
      </c>
      <c r="B15" t="inlineStr">
        <is>
          <t>2024년 5월 결산기 ２분기 결산단신</t>
        </is>
      </c>
      <c r="C15" t="inlineStr">
        <is>
          <t>https://www2.jpx.co.jp/disc/60440/140120240112514396.pdf</t>
        </is>
      </c>
    </row>
    <row r="16">
      <c r="A16" t="inlineStr">
        <is>
          <t>2023-10-13</t>
        </is>
      </c>
      <c r="B16" t="inlineStr">
        <is>
          <t>2024년 5월 결산기 １분기 결산단신</t>
        </is>
      </c>
      <c r="C16" t="inlineStr">
        <is>
          <t>https://www2.jpx.co.jp/disc/60440/140120231013566403.pdf</t>
        </is>
      </c>
    </row>
    <row r="17">
      <c r="A17" t="inlineStr">
        <is>
          <t>2023-07-14</t>
        </is>
      </c>
      <c r="B17" t="inlineStr">
        <is>
          <t>2023년 5월 결산기 연간 결산단신</t>
        </is>
      </c>
      <c r="C17" t="inlineStr">
        <is>
          <t>https://www2.jpx.co.jp/disc/60440/140120230714522331.pdf</t>
        </is>
      </c>
    </row>
    <row r="18">
      <c r="A18" t="inlineStr">
        <is>
          <t>2023-04-14</t>
        </is>
      </c>
      <c r="B18" t="inlineStr">
        <is>
          <t>2023년 5월 결산기 ３분기 결산단신</t>
        </is>
      </c>
      <c r="C18" t="inlineStr">
        <is>
          <t>https://www2.jpx.co.jp/disc/60440/140120230413546881.pdf</t>
        </is>
      </c>
    </row>
    <row r="19">
      <c r="A19" t="inlineStr">
        <is>
          <t>2023-01-13</t>
        </is>
      </c>
      <c r="B19" t="inlineStr">
        <is>
          <t>2023년 5월 결산기 ２분기 결산단신</t>
        </is>
      </c>
      <c r="C19" t="inlineStr">
        <is>
          <t>https://www2.jpx.co.jp/disc/60440/140120230112588599.pdf</t>
        </is>
      </c>
    </row>
    <row r="20">
      <c r="A20" t="inlineStr">
        <is>
          <t>2022-07-14</t>
        </is>
      </c>
      <c r="B20" t="inlineStr">
        <is>
          <t>2022년 5월 결산기 연간 결산단신</t>
        </is>
      </c>
      <c r="C20" t="inlineStr">
        <is>
          <t>https://www2.jpx.co.jp/disc/60440/140120220713599257.pdf</t>
        </is>
      </c>
    </row>
    <row r="21">
      <c r="A21" t="inlineStr">
        <is>
          <t>2021-07-15</t>
        </is>
      </c>
      <c r="B21" t="inlineStr">
        <is>
          <t>2021년 5월 결산기 연간 결산단신</t>
        </is>
      </c>
      <c r="C21" t="inlineStr">
        <is>
          <t>https://www2.jpx.co.jp/disc/60440/140120210714467068.pdf</t>
        </is>
      </c>
    </row>
    <row r="22">
      <c r="A22" t="inlineStr">
        <is>
          <t>2020-07-13</t>
        </is>
      </c>
      <c r="B22" t="inlineStr">
        <is>
          <t>2020년 5월 결산기 연간 결산단신</t>
        </is>
      </c>
      <c r="C22" t="inlineStr">
        <is>
          <t>https://www2.jpx.co.jp/disc/60440/140120200713461525.pdf</t>
        </is>
      </c>
    </row>
    <row r="23">
      <c r="A23" t="inlineStr">
        <is>
          <t>2019-07-12</t>
        </is>
      </c>
      <c r="B23" t="inlineStr">
        <is>
          <t>2019년 5월 결산기 연간 결산단신</t>
        </is>
      </c>
      <c r="C23" t="inlineStr">
        <is>
          <t>https://www2.jpx.co.jp/disc/60440/140120190712470851.pdf</t>
        </is>
      </c>
    </row>
    <row r="24">
      <c r="A24" t="inlineStr">
        <is>
          <t>2018-07-12</t>
        </is>
      </c>
      <c r="B24" t="inlineStr">
        <is>
          <t>연간 결산단신</t>
        </is>
      </c>
      <c r="C24" t="inlineStr">
        <is>
          <t>https://www2.jpx.co.jp/disc/60440/140120180711479863.pdf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2026-10-27T05:10:23Z</dcterms:created>
  <dcterms:modified xmlns:dcterms="http://purl.org/dc/terms/" xmlns:xsi="http://www.w3.org/2001/XMLSchema-instance" xsi:type="dcterms:W3CDTF">2026-10-27T05:10:23Z</dcterms:modified>
</cp:coreProperties>
</file>