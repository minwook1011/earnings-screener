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산키서비스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5069.553</v>
      </c>
      <c r="D4" s="12" t="n">
        <v>4495.955</v>
      </c>
      <c r="E4" s="12" t="n">
        <v>5328.078</v>
      </c>
      <c r="F4" s="12" t="n">
        <v>4122.481</v>
      </c>
      <c r="G4" s="12" t="n">
        <v>5409.129</v>
      </c>
      <c r="H4" s="12" t="n">
        <v>4677.838</v>
      </c>
      <c r="I4" s="12" t="n">
        <v>6426.624</v>
      </c>
      <c r="J4" s="12" t="n">
        <v>5956.904</v>
      </c>
      <c r="K4" s="12" t="n">
        <v>5969.503</v>
      </c>
      <c r="L4" s="12" t="n">
        <v>6001.919</v>
      </c>
      <c r="M4" s="12" t="n">
        <v>6325.128</v>
      </c>
      <c r="N4" s="12" t="n">
        <v>6761.48</v>
      </c>
      <c r="O4" s="11" t="n">
        <v>8777.946</v>
      </c>
      <c r="P4" s="12" t="n">
        <v>11148.841</v>
      </c>
      <c r="Q4" s="12" t="n">
        <v>11050.444</v>
      </c>
      <c r="R4" s="12" t="n">
        <v>11679.18</v>
      </c>
      <c r="S4" s="12" t="n">
        <v>11525.334</v>
      </c>
      <c r="T4" s="12" t="n">
        <v>11581.813</v>
      </c>
      <c r="U4" s="12" t="n">
        <v>14733.528</v>
      </c>
      <c r="V4" s="12" t="n">
        <v>19430.983</v>
      </c>
      <c r="W4" s="12" t="n">
        <v>20636.072</v>
      </c>
      <c r="X4" s="12" t="n">
        <v>24253.454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MentenansReportableSegmentMember</t>
        </is>
      </c>
      <c r="B7" s="10" t="n"/>
      <c r="C7" s="19" t="n">
        <v>4574.927</v>
      </c>
      <c r="D7" s="20" t="n">
        <v>4037.523</v>
      </c>
      <c r="E7" s="20" t="n">
        <v>4746.18</v>
      </c>
      <c r="F7" s="20" t="n">
        <v>3803.708</v>
      </c>
      <c r="G7" s="20" t="n">
        <v>5040.332</v>
      </c>
      <c r="H7" s="20" t="n">
        <v>4109.043</v>
      </c>
      <c r="I7" s="20" t="n">
        <v>5620.271</v>
      </c>
      <c r="J7" s="20" t="n">
        <v>5285.034</v>
      </c>
      <c r="K7" s="20" t="n">
        <v>5292.249</v>
      </c>
      <c r="L7" s="20" t="n">
        <v>5277.874</v>
      </c>
      <c r="M7" s="20" t="n">
        <v>5814.843</v>
      </c>
      <c r="N7" s="20" t="n">
        <v>6146.709</v>
      </c>
      <c r="O7" s="19" t="n"/>
      <c r="P7" s="20" t="n"/>
      <c r="Q7" s="20" t="n"/>
      <c r="R7" s="20" t="n"/>
      <c r="S7" s="20" t="n"/>
      <c r="T7" s="20" t="n"/>
      <c r="U7" s="20" t="n"/>
      <c r="V7" s="20" t="n">
        <v>17459.021</v>
      </c>
      <c r="W7" s="20" t="n">
        <v>18573.354</v>
      </c>
      <c r="X7" s="20" t="n">
        <v>21670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ServiseReportableSegmentMember</t>
        </is>
      </c>
      <c r="B10" s="10" t="n"/>
      <c r="C10" s="19" t="n">
        <v>494.625</v>
      </c>
      <c r="D10" s="20" t="n">
        <v>458.432</v>
      </c>
      <c r="E10" s="20" t="n">
        <v>581.898</v>
      </c>
      <c r="F10" s="20" t="n">
        <v>318.772</v>
      </c>
      <c r="G10" s="20" t="n">
        <v>368.798</v>
      </c>
      <c r="H10" s="20" t="n">
        <v>568.794</v>
      </c>
      <c r="I10" s="20" t="n">
        <v>806.354</v>
      </c>
      <c r="J10" s="20" t="n">
        <v>671.869</v>
      </c>
      <c r="K10" s="20" t="n">
        <v>677.254</v>
      </c>
      <c r="L10" s="20" t="n">
        <v>724.046</v>
      </c>
      <c r="M10" s="20" t="n">
        <v>510.285</v>
      </c>
      <c r="N10" s="20" t="n">
        <v>614.771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1971.961</v>
      </c>
      <c r="W10" s="20" t="n">
        <v>2062.718</v>
      </c>
      <c r="X10" s="20" t="n">
        <v>2583.454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>
        <v>4122.481</v>
      </c>
      <c r="G13" s="20" t="n"/>
      <c r="H13" s="20" t="n"/>
      <c r="I13" s="20" t="n"/>
      <c r="J13" s="20" t="n">
        <v>5956.904</v>
      </c>
      <c r="K13" s="20" t="n"/>
      <c r="L13" s="20" t="n"/>
      <c r="M13" s="20" t="n"/>
      <c r="N13" s="20" t="n">
        <v>6761.48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3906.536</v>
      </c>
      <c r="D17" s="20" t="n">
        <v>3621.888</v>
      </c>
      <c r="E17" s="20" t="n">
        <v>4150.818</v>
      </c>
      <c r="F17" s="20" t="n">
        <v>3329.104</v>
      </c>
      <c r="G17" s="20" t="n">
        <v>4098.526</v>
      </c>
      <c r="H17" s="20" t="n">
        <v>3769.529</v>
      </c>
      <c r="I17" s="20" t="n">
        <v>4744.933</v>
      </c>
      <c r="J17" s="20" t="n">
        <v>4812.692</v>
      </c>
      <c r="K17" s="20" t="n">
        <v>4693.067</v>
      </c>
      <c r="L17" s="20" t="n">
        <v>4890.493</v>
      </c>
      <c r="M17" s="20" t="n">
        <v>4790.275</v>
      </c>
      <c r="N17" s="20" t="n">
        <v>5210.34</v>
      </c>
      <c r="O17" s="19" t="n">
        <v>6899.684</v>
      </c>
      <c r="P17" s="20" t="n">
        <v>8695.346</v>
      </c>
      <c r="Q17" s="20" t="n">
        <v>8639.438</v>
      </c>
      <c r="R17" s="20" t="n">
        <v>9016.115</v>
      </c>
      <c r="S17" s="20" t="n">
        <v>8896.478999999999</v>
      </c>
      <c r="T17" s="20" t="n">
        <v>9127.386</v>
      </c>
      <c r="U17" s="20" t="n">
        <v>11349.731</v>
      </c>
      <c r="V17" s="20" t="n">
        <v>15293.597</v>
      </c>
      <c r="W17" s="20" t="n">
        <v>15942.092</v>
      </c>
      <c r="X17" s="20" t="n">
        <v>19186.527</v>
      </c>
      <c r="Y17" s="19" t="n"/>
      <c r="Z17" s="20" t="n"/>
      <c r="AA17" s="20" t="n"/>
      <c r="AB17" s="20" t="n"/>
      <c r="AC17" s="20" t="n"/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IF(OR(G17="",C17=""),"",IF(C17&lt;=0,"",IFERROR(G17/C17-1,"")))</f>
        <v/>
      </c>
      <c r="H18" s="15">
        <f>IF(OR(H17="",D17=""),"",IF(D17&lt;=0,"",IFERROR(H17/D17-1,"")))</f>
        <v/>
      </c>
      <c r="I18" s="15">
        <f>IF(OR(I17="",E17=""),"",IF(E17&lt;=0,"",IFERROR(I17/E17-1,"")))</f>
        <v/>
      </c>
      <c r="J18" s="15">
        <f>IF(OR(J17="",F17=""),"",IF(F17&lt;=0,"",IFERROR(J17/F17-1,"")))</f>
        <v/>
      </c>
      <c r="K18" s="15">
        <f>IF(OR(K17="",G17=""),"",IF(G17&lt;=0,"",IFERROR(K17/G17-1,"")))</f>
        <v/>
      </c>
      <c r="L18" s="15">
        <f>IF(OR(L17="",H17=""),"",IF(H17&lt;=0,"",IFERROR(L17/H17-1,"")))</f>
        <v/>
      </c>
      <c r="M18" s="15">
        <f>IF(OR(M17="",I17=""),"",IF(I17&lt;=0,"",IFERROR(M17/I17-1,"")))</f>
        <v/>
      </c>
      <c r="N18" s="15">
        <f>IF(OR(N17="",J17=""),"",IF(J17&lt;=0,"",IFERROR(N17/J17-1,"")))</f>
        <v/>
      </c>
      <c r="O18" s="14" t="n"/>
      <c r="P18" s="15">
        <f>IF(OR(P17="",O17=""),"",IF(O17&lt;=0,"",IFERROR(P17/O17-1,"")))</f>
        <v/>
      </c>
      <c r="Q18" s="15">
        <f>IF(OR(Q17="",P17=""),"",IF(P17&lt;=0,"",IFERROR(Q17/P17-1,"")))</f>
        <v/>
      </c>
      <c r="R18" s="15">
        <f>IF(OR(R17="",Q17=""),"",IF(Q17&lt;=0,"",IFERROR(R17/Q17-1,"")))</f>
        <v/>
      </c>
      <c r="S18" s="15">
        <f>IF(OR(S17="",R17=""),"",IF(R17&lt;=0,"",IFERROR(S17/R17-1,"")))</f>
        <v/>
      </c>
      <c r="T18" s="15">
        <f>IF(OR(T17="",S17=""),"",IF(S17&lt;=0,"",IFERROR(T17/S17-1,"")))</f>
        <v/>
      </c>
      <c r="U18" s="15">
        <f>IF(OR(U17="",T17=""),"",IF(T17&lt;=0,"",IFERROR(U17/T17-1,"")))</f>
        <v/>
      </c>
      <c r="V18" s="15">
        <f>IF(OR(V17="",U17=""),"",IF(U17&lt;=0,"",IFERROR(V17/U17-1,"")))</f>
        <v/>
      </c>
      <c r="W18" s="15">
        <f>IF(OR(W17="",V17=""),"",IF(V17&lt;=0,"",IFERROR(W17/V17-1,"")))</f>
        <v/>
      </c>
      <c r="X18" s="15">
        <f>IF(OR(X17="",W17=""),"",IF(W17&lt;=0,"",IFERROR(X17/W17-1,"")))</f>
        <v/>
      </c>
      <c r="Y18" s="14">
        <f>IF(OR(Y17="",X17=""),"",IF(X17&lt;=0,"",IFERROR(Y17/X17-1,"")))</f>
        <v/>
      </c>
      <c r="Z18" s="15">
        <f>IF(OR(Z17="",Y17=""),"",IF(Y17&lt;=0,"",IFERROR(Z17/Y17-1,"")))</f>
        <v/>
      </c>
      <c r="AA18" s="15">
        <f>IF(OR(AA17="",Z17=""),"",IF(Z17&lt;=0,"",IFERROR(AA17/Z17-1,"")))</f>
        <v/>
      </c>
      <c r="AB18" s="15">
        <f>IF(OR(AB17="",AA17=""),"",IF(AA17&lt;=0,"",IFERROR(AB17/AA17-1,"")))</f>
        <v/>
      </c>
      <c r="AC18" s="15">
        <f>IF(OR(AC17="",AB17=""),"",IF(AB17&lt;=0,"",IFERROR(AC17/AB17-1,"")))</f>
        <v/>
      </c>
    </row>
    <row r="19">
      <c r="A19" s="18" t="inlineStr">
        <is>
          <t>매출총이익</t>
        </is>
      </c>
      <c r="B19" s="10" t="n"/>
      <c r="C19" s="19">
        <f>IF(OR(C4="",C17=""),"",IFERROR(C4-C17,""))</f>
        <v/>
      </c>
      <c r="D19" s="20">
        <f>IF(OR(D4="",D17=""),"",IFERROR(D4-D17,""))</f>
        <v/>
      </c>
      <c r="E19" s="20">
        <f>IF(OR(E4="",E17=""),"",IFERROR(E4-E17,""))</f>
        <v/>
      </c>
      <c r="F19" s="20">
        <f>IF(OR(F4="",F17=""),"",IFERROR(F4-F17,""))</f>
        <v/>
      </c>
      <c r="G19" s="20">
        <f>IF(OR(G4="",G17=""),"",IFERROR(G4-G17,""))</f>
        <v/>
      </c>
      <c r="H19" s="20">
        <f>IF(OR(H4="",H17=""),"",IFERROR(H4-H17,""))</f>
        <v/>
      </c>
      <c r="I19" s="20">
        <f>IF(OR(I4="",I17=""),"",IFERROR(I4-I17,""))</f>
        <v/>
      </c>
      <c r="J19" s="20">
        <f>IF(OR(J4="",J17=""),"",IFERROR(J4-J17,""))</f>
        <v/>
      </c>
      <c r="K19" s="20">
        <f>IF(OR(K4="",K17=""),"",IFERROR(K4-K17,""))</f>
        <v/>
      </c>
      <c r="L19" s="20">
        <f>IF(OR(L4="",L17=""),"",IFERROR(L4-L17,""))</f>
        <v/>
      </c>
      <c r="M19" s="20">
        <f>IF(OR(M4="",M17=""),"",IFERROR(M4-M17,""))</f>
        <v/>
      </c>
      <c r="N19" s="20">
        <f>IF(OR(N4="",N17=""),"",IFERROR(N4-N17,""))</f>
        <v/>
      </c>
      <c r="O19" s="19">
        <f>IF(OR(O4="",O17=""),"",IFERROR(O4-O17,""))</f>
        <v/>
      </c>
      <c r="P19" s="20">
        <f>IF(OR(P4="",P17=""),"",IFERROR(P4-P17,""))</f>
        <v/>
      </c>
      <c r="Q19" s="20">
        <f>IF(OR(Q4="",Q17=""),"",IFERROR(Q4-Q17,""))</f>
        <v/>
      </c>
      <c r="R19" s="20">
        <f>IF(OR(R4="",R17=""),"",IFERROR(R4-R17,""))</f>
        <v/>
      </c>
      <c r="S19" s="20">
        <f>IF(OR(S4="",S17=""),"",IFERROR(S4-S17,""))</f>
        <v/>
      </c>
      <c r="T19" s="20">
        <f>IF(OR(T4="",T17=""),"",IFERROR(T4-T17,""))</f>
        <v/>
      </c>
      <c r="U19" s="20">
        <f>IF(OR(U4="",U17=""),"",IFERROR(U4-U17,""))</f>
        <v/>
      </c>
      <c r="V19" s="20">
        <f>IF(OR(V4="",V17=""),"",IFERROR(V4-V17,""))</f>
        <v/>
      </c>
      <c r="W19" s="20">
        <f>IF(OR(W4="",W17=""),"",IFERROR(W4-W17,""))</f>
        <v/>
      </c>
      <c r="X19" s="20">
        <f>IF(OR(X4="",X17=""),"",IFERROR(X4-X17,""))</f>
        <v/>
      </c>
      <c r="Y19" s="19" t="n"/>
      <c r="Z19" s="20" t="n"/>
      <c r="AA19" s="20" t="n"/>
      <c r="AB19" s="20" t="n"/>
      <c r="AC19" s="20" t="n"/>
    </row>
    <row r="20">
      <c r="A20" s="13" t="inlineStr">
        <is>
          <t>GPM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IF(OR(G19="",C19=""),"",IF(C19&lt;=0,"",IFERROR(G19/C19-1,"")))</f>
        <v/>
      </c>
      <c r="H21" s="15">
        <f>IF(OR(H19="",D19=""),"",IF(D19&lt;=0,"",IFERROR(H19/D19-1,"")))</f>
        <v/>
      </c>
      <c r="I21" s="15">
        <f>IF(OR(I19="",E19=""),"",IF(E19&lt;=0,"",IFERROR(I19/E19-1,"")))</f>
        <v/>
      </c>
      <c r="J21" s="15">
        <f>IF(OR(J19="",F19=""),"",IF(F19&lt;=0,"",IFERROR(J19/F19-1,"")))</f>
        <v/>
      </c>
      <c r="K21" s="15">
        <f>IF(OR(K19="",G19=""),"",IF(G19&lt;=0,"",IFERROR(K19/G19-1,"")))</f>
        <v/>
      </c>
      <c r="L21" s="15">
        <f>IF(OR(L19="",H19=""),"",IF(H19&lt;=0,"",IFERROR(L19/H19-1,"")))</f>
        <v/>
      </c>
      <c r="M21" s="15">
        <f>IF(OR(M19="",I19=""),"",IF(I19&lt;=0,"",IFERROR(M19/I19-1,"")))</f>
        <v/>
      </c>
      <c r="N21" s="15">
        <f>IF(OR(N19="",J19=""),"",IF(J19&lt;=0,"",IFERROR(N19/J19-1,"")))</f>
        <v/>
      </c>
      <c r="O21" s="14" t="n"/>
      <c r="P21" s="15">
        <f>IF(OR(P19="",O19=""),"",IF(O19&lt;=0,"",IFERROR(P19/O19-1,"")))</f>
        <v/>
      </c>
      <c r="Q21" s="15">
        <f>IF(OR(Q19="",P19=""),"",IF(P19&lt;=0,"",IFERROR(Q19/P19-1,"")))</f>
        <v/>
      </c>
      <c r="R21" s="15">
        <f>IF(OR(R19="",Q19=""),"",IF(Q19&lt;=0,"",IFERROR(R19/Q19-1,"")))</f>
        <v/>
      </c>
      <c r="S21" s="15">
        <f>IF(OR(S19="",R19=""),"",IF(R19&lt;=0,"",IFERROR(S19/R19-1,"")))</f>
        <v/>
      </c>
      <c r="T21" s="15">
        <f>IF(OR(T19="",S19=""),"",IF(S19&lt;=0,"",IFERROR(T19/S19-1,"")))</f>
        <v/>
      </c>
      <c r="U21" s="15">
        <f>IF(OR(U19="",T19=""),"",IF(T19&lt;=0,"",IFERROR(U19/T19-1,"")))</f>
        <v/>
      </c>
      <c r="V21" s="15">
        <f>IF(OR(V19="",U19=""),"",IF(U19&lt;=0,"",IFERROR(V19/U19-1,"")))</f>
        <v/>
      </c>
      <c r="W21" s="15">
        <f>IF(OR(W19="",V19=""),"",IF(V19&lt;=0,"",IFERROR(W19/V19-1,"")))</f>
        <v/>
      </c>
      <c r="X21" s="15">
        <f>IF(OR(X19="",W19=""),"",IF(W19&lt;=0,"",IFERROR(X19/W19-1,"")))</f>
        <v/>
      </c>
      <c r="Y21" s="14">
        <f>IF(OR(Y19="",X19=""),"",IF(X19&lt;=0,"",IFERROR(Y19/X19-1,"")))</f>
        <v/>
      </c>
      <c r="Z21" s="15">
        <f>IF(OR(Z19="",Y19=""),"",IF(Y19&lt;=0,"",IFERROR(Z19/Y19-1,"")))</f>
        <v/>
      </c>
      <c r="AA21" s="15">
        <f>IF(OR(AA19="",Z19=""),"",IF(Z19&lt;=0,"",IFERROR(AA19/Z19-1,"")))</f>
        <v/>
      </c>
      <c r="AB21" s="15">
        <f>IF(OR(AB19="",AA19=""),"",IF(AA19&lt;=0,"",IFERROR(AB19/AA19-1,"")))</f>
        <v/>
      </c>
      <c r="AC21" s="15">
        <f>IF(OR(AC19="",AB19=""),"",IF(AB19&lt;=0,"",IFERROR(AC19/AB19-1,"")))</f>
        <v/>
      </c>
    </row>
    <row r="22">
      <c r="A22" s="23" t="inlineStr">
        <is>
          <t>판매관리비</t>
        </is>
      </c>
      <c r="B22" s="23" t="n"/>
      <c r="C22" s="24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4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4" t="n"/>
      <c r="Z22" s="23" t="n"/>
      <c r="AA22" s="23" t="n"/>
      <c r="AB22" s="23" t="n"/>
      <c r="AC22" s="23" t="n"/>
    </row>
    <row r="23">
      <c r="A23" s="18" t="inlineStr">
        <is>
          <t>전체 판관비</t>
        </is>
      </c>
      <c r="B23" s="10" t="n"/>
      <c r="C23" s="19" t="n">
        <v>835.399</v>
      </c>
      <c r="D23" s="20" t="n">
        <v>839.657</v>
      </c>
      <c r="E23" s="20" t="n">
        <v>910.505</v>
      </c>
      <c r="F23" s="20" t="n">
        <v>909.96</v>
      </c>
      <c r="G23" s="20" t="n">
        <v>858.881</v>
      </c>
      <c r="H23" s="20" t="n">
        <v>927.852</v>
      </c>
      <c r="I23" s="20" t="n">
        <v>976.552</v>
      </c>
      <c r="J23" s="20" t="n">
        <v>948.505</v>
      </c>
      <c r="K23" s="20" t="n">
        <v>928.951</v>
      </c>
      <c r="L23" s="20" t="n">
        <v>989.9640000000001</v>
      </c>
      <c r="M23" s="20" t="n">
        <v>1029.364</v>
      </c>
      <c r="N23" s="20" t="n">
        <v>1151.294</v>
      </c>
      <c r="O23" s="19" t="n">
        <v>1339.479</v>
      </c>
      <c r="P23" s="20" t="n">
        <v>1676.266</v>
      </c>
      <c r="Q23" s="20" t="n">
        <v>1758.038</v>
      </c>
      <c r="R23" s="20" t="n">
        <v>2256.405</v>
      </c>
      <c r="S23" s="20" t="n">
        <v>2340.001</v>
      </c>
      <c r="T23" s="20" t="n">
        <v>2233.242</v>
      </c>
      <c r="U23" s="20" t="n">
        <v>2808.635</v>
      </c>
      <c r="V23" s="20" t="n">
        <v>3400.771</v>
      </c>
      <c r="W23" s="20" t="n">
        <v>3673.245</v>
      </c>
      <c r="X23" s="20" t="n">
        <v>3896.784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327.618</v>
      </c>
      <c r="D25" s="12" t="n">
        <v>34.409</v>
      </c>
      <c r="E25" s="12" t="n">
        <v>266.755</v>
      </c>
      <c r="F25" s="12" t="n">
        <v>-116.584</v>
      </c>
      <c r="G25" s="12" t="n">
        <v>451.722</v>
      </c>
      <c r="H25" s="12" t="n">
        <v>-19.544</v>
      </c>
      <c r="I25" s="12" t="n">
        <v>705.14</v>
      </c>
      <c r="J25" s="12" t="n">
        <v>195.707</v>
      </c>
      <c r="K25" s="12" t="n">
        <v>347.484</v>
      </c>
      <c r="L25" s="12" t="n">
        <v>121.462</v>
      </c>
      <c r="M25" s="12" t="n">
        <v>505.489</v>
      </c>
      <c r="N25" s="12" t="n">
        <v>399.845</v>
      </c>
      <c r="O25" s="11" t="n">
        <v>538.7809999999999</v>
      </c>
      <c r="P25" s="12" t="n">
        <v>777.228</v>
      </c>
      <c r="Q25" s="12" t="n">
        <v>652.967</v>
      </c>
      <c r="R25" s="12" t="n">
        <v>406.66</v>
      </c>
      <c r="S25" s="12" t="n">
        <v>288.853</v>
      </c>
      <c r="T25" s="12" t="n">
        <v>221.184</v>
      </c>
      <c r="U25" s="12" t="n">
        <v>575.16</v>
      </c>
      <c r="V25" s="12" t="n">
        <v>736.6130000000001</v>
      </c>
      <c r="W25" s="12" t="n">
        <v>1020.734</v>
      </c>
      <c r="X25" s="12" t="n">
        <v>1170.142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IF(O23="","",O23)</f>
        <v/>
      </c>
      <c r="P29" s="12">
        <f>IF(P23="","",P23)</f>
        <v/>
      </c>
      <c r="Q29" s="12">
        <f>IF(Q23="","",Q23)</f>
        <v/>
      </c>
      <c r="R29" s="12">
        <f>IF(R23="","",R23)</f>
        <v/>
      </c>
      <c r="S29" s="12">
        <f>IF(S23="","",S23)</f>
        <v/>
      </c>
      <c r="T29" s="12">
        <f>IF(T23="","",T23)</f>
        <v/>
      </c>
      <c r="U29" s="12">
        <f>IF(U23="","",U23)</f>
        <v/>
      </c>
      <c r="V29" s="12">
        <f>IF(V23="","",V23)</f>
        <v/>
      </c>
      <c r="W29" s="12">
        <f>IF(W23="","",W23)</f>
        <v/>
      </c>
      <c r="X29" s="12">
        <f>IF(X23="","",X23)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0</v>
      </c>
      <c r="E41" s="20" t="n">
        <v>1.344</v>
      </c>
      <c r="F41" s="20" t="n">
        <v>0</v>
      </c>
      <c r="G41" s="20" t="n">
        <v>0</v>
      </c>
      <c r="H41" s="20" t="n">
        <v>0</v>
      </c>
      <c r="I41" s="20" t="n">
        <v>29.019</v>
      </c>
      <c r="J41" s="20" t="n"/>
      <c r="K41" s="20" t="n"/>
      <c r="L41" s="20" t="n">
        <v>0.022</v>
      </c>
      <c r="M41" s="20" t="n">
        <v>-0.007</v>
      </c>
      <c r="N41" s="20" t="n"/>
      <c r="O41" s="19" t="n"/>
      <c r="P41" s="20" t="n"/>
      <c r="Q41" s="20" t="n"/>
      <c r="R41" s="20" t="n"/>
      <c r="S41" s="20" t="n">
        <v>0</v>
      </c>
      <c r="T41" s="20" t="n">
        <v>24.965</v>
      </c>
      <c r="U41" s="20" t="n">
        <v>97.876</v>
      </c>
      <c r="V41" s="20" t="n">
        <v>9.348000000000001</v>
      </c>
      <c r="W41" s="20" t="n">
        <v>29.019</v>
      </c>
      <c r="X41" s="20" t="n">
        <v>0.487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/>
      <c r="E43" s="20" t="n">
        <v>52.278</v>
      </c>
      <c r="F43" s="20" t="n"/>
      <c r="G43" s="20" t="n"/>
      <c r="H43" s="20" t="n">
        <v>0.061</v>
      </c>
      <c r="I43" s="20" t="n">
        <v>0</v>
      </c>
      <c r="J43" s="20" t="n">
        <v>0</v>
      </c>
      <c r="K43" s="20" t="n">
        <v>0</v>
      </c>
      <c r="L43" s="20" t="n">
        <v>0.305</v>
      </c>
      <c r="M43" s="20" t="n">
        <v>0.005</v>
      </c>
      <c r="N43" s="20" t="n">
        <v>0</v>
      </c>
      <c r="O43" s="19" t="n"/>
      <c r="P43" s="20" t="n"/>
      <c r="Q43" s="20" t="n"/>
      <c r="R43" s="20" t="n">
        <v>0</v>
      </c>
      <c r="S43" s="20" t="n">
        <v>19.317</v>
      </c>
      <c r="T43" s="20" t="n">
        <v>2.226</v>
      </c>
      <c r="U43" s="20" t="n">
        <v>0</v>
      </c>
      <c r="V43" s="20" t="n">
        <v>52.278</v>
      </c>
      <c r="W43" s="20" t="n">
        <v>0.061</v>
      </c>
      <c r="X43" s="20" t="n">
        <v>0.31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6.29</v>
      </c>
      <c r="D45" s="20" t="n">
        <v>2.082</v>
      </c>
      <c r="E45" s="20" t="n">
        <v>16.42</v>
      </c>
      <c r="F45" s="20" t="n">
        <v>3.184</v>
      </c>
      <c r="G45" s="20" t="n">
        <v>3.139</v>
      </c>
      <c r="H45" s="20" t="n">
        <v>3.861</v>
      </c>
      <c r="I45" s="20" t="n">
        <v>3.061</v>
      </c>
      <c r="J45" s="20" t="n">
        <v>4.045</v>
      </c>
      <c r="K45" s="20" t="n">
        <v>6.693</v>
      </c>
      <c r="L45" s="20" t="n">
        <v>4.058</v>
      </c>
      <c r="M45" s="20" t="n">
        <v>10.479</v>
      </c>
      <c r="N45" s="20" t="n">
        <v>5.201</v>
      </c>
      <c r="O45" s="19" t="n">
        <v>7.709</v>
      </c>
      <c r="P45" s="20" t="n">
        <v>9.08</v>
      </c>
      <c r="Q45" s="20" t="n">
        <v>12.177</v>
      </c>
      <c r="R45" s="20" t="n">
        <v>7.417</v>
      </c>
      <c r="S45" s="20" t="n">
        <v>9.497999999999999</v>
      </c>
      <c r="T45" s="20" t="n">
        <v>11.174</v>
      </c>
      <c r="U45" s="20" t="n">
        <v>7.269</v>
      </c>
      <c r="V45" s="20" t="n">
        <v>28.063</v>
      </c>
      <c r="W45" s="20" t="n">
        <v>13.245</v>
      </c>
      <c r="X45" s="20" t="n">
        <v>25.275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1.719</v>
      </c>
      <c r="D47" s="20" t="n">
        <v>0.949</v>
      </c>
      <c r="E47" s="20" t="n">
        <v>2.494</v>
      </c>
      <c r="F47" s="20" t="n">
        <v>5.905</v>
      </c>
      <c r="G47" s="20" t="n">
        <v>-0.427</v>
      </c>
      <c r="H47" s="20" t="n">
        <v>2.723</v>
      </c>
      <c r="I47" s="20" t="n">
        <v>4.733</v>
      </c>
      <c r="J47" s="20" t="n">
        <v>2.115</v>
      </c>
      <c r="K47" s="20" t="n">
        <v>2.899</v>
      </c>
      <c r="L47" s="20" t="n">
        <v>2.464</v>
      </c>
      <c r="M47" s="20" t="n">
        <v>13.527</v>
      </c>
      <c r="N47" s="20" t="n">
        <v>1.845</v>
      </c>
      <c r="O47" s="19" t="n">
        <v>13.236</v>
      </c>
      <c r="P47" s="20" t="n">
        <v>10.214</v>
      </c>
      <c r="Q47" s="20" t="n">
        <v>6.094</v>
      </c>
      <c r="R47" s="20" t="n">
        <v>5.55</v>
      </c>
      <c r="S47" s="20" t="n">
        <v>4.409</v>
      </c>
      <c r="T47" s="20" t="n">
        <v>7.762</v>
      </c>
      <c r="U47" s="20" t="n">
        <v>3.141</v>
      </c>
      <c r="V47" s="20" t="n">
        <v>5.889</v>
      </c>
      <c r="W47" s="20" t="n">
        <v>12.934</v>
      </c>
      <c r="X47" s="20" t="n">
        <v>21.005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332.19</v>
      </c>
      <c r="D49" s="12" t="n">
        <v>35.542</v>
      </c>
      <c r="E49" s="12" t="n">
        <v>229.746</v>
      </c>
      <c r="F49" s="12" t="n">
        <v>-119.305</v>
      </c>
      <c r="G49" s="12" t="n">
        <v>455.288</v>
      </c>
      <c r="H49" s="12" t="n">
        <v>-18.468</v>
      </c>
      <c r="I49" s="12" t="n">
        <v>732.487</v>
      </c>
      <c r="J49" s="12" t="n">
        <v>197.636</v>
      </c>
      <c r="K49" s="12" t="n">
        <v>351.751</v>
      </c>
      <c r="L49" s="12" t="n">
        <v>122.773</v>
      </c>
      <c r="M49" s="12" t="n">
        <v>502.429</v>
      </c>
      <c r="N49" s="12" t="n">
        <v>403.2</v>
      </c>
      <c r="O49" s="11" t="n">
        <v>533.255</v>
      </c>
      <c r="P49" s="12" t="n">
        <v>776.0940000000001</v>
      </c>
      <c r="Q49" s="12" t="n">
        <v>659.05</v>
      </c>
      <c r="R49" s="12" t="n">
        <v>408.526</v>
      </c>
      <c r="S49" s="12" t="n">
        <v>274.624</v>
      </c>
      <c r="T49" s="12" t="n">
        <v>247.335</v>
      </c>
      <c r="U49" s="12" t="n">
        <v>677.1660000000001</v>
      </c>
      <c r="V49" s="12" t="n">
        <v>715.857</v>
      </c>
      <c r="W49" s="12" t="n">
        <v>1050.002</v>
      </c>
      <c r="X49" s="12" t="n">
        <v>1174.589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3" t="inlineStr">
        <is>
          <t>YoY</t>
        </is>
      </c>
      <c r="B50" s="10" t="n"/>
      <c r="C50" s="14" t="n"/>
      <c r="D50" s="15" t="n"/>
      <c r="E50" s="15" t="n"/>
      <c r="F50" s="15" t="n"/>
      <c r="G50" s="15">
        <f>IF(OR(G49="",C49=""),"",IF(C49&lt;=0,"",IFERROR(G49/C49-1,"")))</f>
        <v/>
      </c>
      <c r="H50" s="15">
        <f>IF(OR(H49="",D49=""),"",IF(D49&lt;=0,"",IFERROR(H49/D49-1,"")))</f>
        <v/>
      </c>
      <c r="I50" s="15">
        <f>IF(OR(I49="",E49=""),"",IF(E49&lt;=0,"",IFERROR(I49/E49-1,"")))</f>
        <v/>
      </c>
      <c r="J50" s="15">
        <f>IF(OR(J49="",F49=""),"",IF(F49&lt;=0,"",IFERROR(J49/F49-1,"")))</f>
        <v/>
      </c>
      <c r="K50" s="15">
        <f>IF(OR(K49="",G49=""),"",IF(G49&lt;=0,"",IFERROR(K49/G49-1,"")))</f>
        <v/>
      </c>
      <c r="L50" s="15">
        <f>IF(OR(L49="",H49=""),"",IF(H49&lt;=0,"",IFERROR(L49/H49-1,"")))</f>
        <v/>
      </c>
      <c r="M50" s="15">
        <f>IF(OR(M49="",I49=""),"",IF(I49&lt;=0,"",IFERROR(M49/I49-1,"")))</f>
        <v/>
      </c>
      <c r="N50" s="15">
        <f>IF(OR(N49="",J49=""),"",IF(J49&lt;=0,"",IFERROR(N49/J49-1,"")))</f>
        <v/>
      </c>
      <c r="O50" s="14" t="n"/>
      <c r="P50" s="15">
        <f>IF(OR(P49="",O49=""),"",IF(O49&lt;=0,"",IFERROR(P49/O49-1,"")))</f>
        <v/>
      </c>
      <c r="Q50" s="15">
        <f>IF(OR(Q49="",P49=""),"",IF(P49&lt;=0,"",IFERROR(Q49/P49-1,"")))</f>
        <v/>
      </c>
      <c r="R50" s="15">
        <f>IF(OR(R49="",Q49=""),"",IF(Q49&lt;=0,"",IFERROR(R49/Q49-1,"")))</f>
        <v/>
      </c>
      <c r="S50" s="15">
        <f>IF(OR(S49="",R49=""),"",IF(R49&lt;=0,"",IFERROR(S49/R49-1,"")))</f>
        <v/>
      </c>
      <c r="T50" s="15">
        <f>IF(OR(T49="",S49=""),"",IF(S49&lt;=0,"",IFERROR(T49/S49-1,"")))</f>
        <v/>
      </c>
      <c r="U50" s="15">
        <f>IF(OR(U49="",T49=""),"",IF(T49&lt;=0,"",IFERROR(U49/T49-1,"")))</f>
        <v/>
      </c>
      <c r="V50" s="15">
        <f>IF(OR(V49="",U49=""),"",IF(U49&lt;=0,"",IFERROR(V49/U49-1,"")))</f>
        <v/>
      </c>
      <c r="W50" s="15">
        <f>IF(OR(W49="",V49=""),"",IF(V49&lt;=0,"",IFERROR(W49/V49-1,"")))</f>
        <v/>
      </c>
      <c r="X50" s="15">
        <f>IF(OR(X49="",W49=""),"",IF(W49&lt;=0,"",IFERROR(X49/W49-1,"")))</f>
        <v/>
      </c>
      <c r="Y50" s="14">
        <f>IF(OR(Y49="",X49=""),"",IF(X49&lt;=0,"",IFERROR(Y49/X49-1,"")))</f>
        <v/>
      </c>
      <c r="Z50" s="15">
        <f>IF(OR(Z49="",Y49=""),"",IF(Y49&lt;=0,"",IFERROR(Z49/Y49-1,"")))</f>
        <v/>
      </c>
      <c r="AA50" s="15">
        <f>IF(OR(AA49="",Z49=""),"",IF(Z49&lt;=0,"",IFERROR(AA49/Z49-1,"")))</f>
        <v/>
      </c>
      <c r="AB50" s="15">
        <f>IF(OR(AB49="",AA49=""),"",IF(AA49&lt;=0,"",IFERROR(AB49/AA49-1,"")))</f>
        <v/>
      </c>
      <c r="AC50" s="15">
        <f>IF(OR(AC49="",AB49=""),"",IF(AB49&lt;=0,"",IFERROR(AC49/AB49-1,"")))</f>
        <v/>
      </c>
    </row>
    <row r="51">
      <c r="A51" s="18" t="inlineStr">
        <is>
          <t>법인세비용(수익)</t>
        </is>
      </c>
      <c r="B51" s="10" t="n"/>
      <c r="C51" s="19" t="n">
        <v>126.626</v>
      </c>
      <c r="D51" s="20" t="n">
        <v>14.28</v>
      </c>
      <c r="E51" s="20" t="n">
        <v>60.656</v>
      </c>
      <c r="F51" s="20" t="n">
        <v>-33.079</v>
      </c>
      <c r="G51" s="20" t="n">
        <v>145.827</v>
      </c>
      <c r="H51" s="20" t="n">
        <v>0.9429999999999999</v>
      </c>
      <c r="I51" s="20" t="n">
        <v>247.242</v>
      </c>
      <c r="J51" s="20" t="n">
        <v>68.41</v>
      </c>
      <c r="K51" s="20" t="n">
        <v>122.185</v>
      </c>
      <c r="L51" s="20" t="n">
        <v>44.457</v>
      </c>
      <c r="M51" s="20" t="n">
        <v>86.175</v>
      </c>
      <c r="N51" s="20" t="n">
        <v>145.504</v>
      </c>
      <c r="O51" s="19" t="n">
        <v>172.567</v>
      </c>
      <c r="P51" s="20" t="n">
        <v>248.944</v>
      </c>
      <c r="Q51" s="20" t="n">
        <v>227.779</v>
      </c>
      <c r="R51" s="20" t="n">
        <v>153.756</v>
      </c>
      <c r="S51" s="20" t="n">
        <v>105.998</v>
      </c>
      <c r="T51" s="20" t="n">
        <v>93.104</v>
      </c>
      <c r="U51" s="20" t="n">
        <v>224.24</v>
      </c>
      <c r="V51" s="20" t="n">
        <v>247.963</v>
      </c>
      <c r="W51" s="20" t="n">
        <v>360.933</v>
      </c>
      <c r="X51" s="20" t="n">
        <v>321.227</v>
      </c>
      <c r="Y51" s="19">
        <f>IF(OR(Y49="",Y52=""),"",IFERROR(MAX(Y49,0)*Y52,""))</f>
        <v/>
      </c>
      <c r="Z51" s="20">
        <f>IF(OR(Z49="",Z52=""),"",IFERROR(MAX(Z49,0)*Z52,""))</f>
        <v/>
      </c>
      <c r="AA51" s="20">
        <f>IF(OR(AA49="",AA52=""),"",IFERROR(MAX(AA49,0)*AA52,""))</f>
        <v/>
      </c>
      <c r="AB51" s="20">
        <f>IF(OR(AB49="",AB52=""),"",IFERROR(MAX(AB49,0)*AB52,""))</f>
        <v/>
      </c>
      <c r="AC51" s="20">
        <f>IF(OR(AC49="",AC52=""),"",IFERROR(MAX(AC49,0)*AC52,""))</f>
        <v/>
      </c>
    </row>
    <row r="52">
      <c r="A52" s="13" t="inlineStr">
        <is>
          <t>법인세율</t>
        </is>
      </c>
      <c r="B52" s="10" t="inlineStr">
        <is>
          <t>MW 기본 30%</t>
        </is>
      </c>
      <c r="C52" s="14">
        <f>IF(OR(C51="",C49=""),"",IFERROR(C51/C49,""))</f>
        <v/>
      </c>
      <c r="D52" s="15">
        <f>IF(OR(D51="",D49=""),"",IFERROR(D51/D49,""))</f>
        <v/>
      </c>
      <c r="E52" s="15">
        <f>IF(OR(E51="",E49=""),"",IFERROR(E51/E49,""))</f>
        <v/>
      </c>
      <c r="F52" s="15">
        <f>IF(OR(F51="",F49=""),"",IFERROR(F51/F49,""))</f>
        <v/>
      </c>
      <c r="G52" s="15">
        <f>IF(OR(G51="",G49=""),"",IFERROR(G51/G49,""))</f>
        <v/>
      </c>
      <c r="H52" s="15">
        <f>IF(OR(H51="",H49=""),"",IFERROR(H51/H49,""))</f>
        <v/>
      </c>
      <c r="I52" s="15">
        <f>IF(OR(I51="",I49=""),"",IFERROR(I51/I49,""))</f>
        <v/>
      </c>
      <c r="J52" s="15">
        <f>IF(OR(J51="",J49=""),"",IFERROR(J51/J49,""))</f>
        <v/>
      </c>
      <c r="K52" s="15">
        <f>IF(OR(K51="",K49=""),"",IFERROR(K51/K49,""))</f>
        <v/>
      </c>
      <c r="L52" s="15">
        <f>IF(OR(L51="",L49=""),"",IFERROR(L51/L49,""))</f>
        <v/>
      </c>
      <c r="M52" s="15">
        <f>IF(OR(M51="",M49=""),"",IFERROR(M51/M49,""))</f>
        <v/>
      </c>
      <c r="N52" s="15">
        <f>IF(OR(N51="",N49=""),"",IFERROR(N51/N49,""))</f>
        <v/>
      </c>
      <c r="O52" s="14">
        <f>IF(OR(O51="",O49=""),"",IFERROR(O51/O49,""))</f>
        <v/>
      </c>
      <c r="P52" s="15">
        <f>IF(OR(P51="",P49=""),"",IFERROR(P51/P49,""))</f>
        <v/>
      </c>
      <c r="Q52" s="15">
        <f>IF(OR(Q51="",Q49=""),"",IFERROR(Q51/Q49,""))</f>
        <v/>
      </c>
      <c r="R52" s="15">
        <f>IF(OR(R51="",R49=""),"",IFERROR(R51/R49,""))</f>
        <v/>
      </c>
      <c r="S52" s="15">
        <f>IF(OR(S51="",S49=""),"",IFERROR(S51/S49,""))</f>
        <v/>
      </c>
      <c r="T52" s="15">
        <f>IF(OR(T51="",T49=""),"",IFERROR(T51/T49,""))</f>
        <v/>
      </c>
      <c r="U52" s="15">
        <f>IF(OR(U51="",U49=""),"",IFERROR(U51/U49,""))</f>
        <v/>
      </c>
      <c r="V52" s="15">
        <f>IF(OR(V51="",V49=""),"",IFERROR(V51/V49,""))</f>
        <v/>
      </c>
      <c r="W52" s="15">
        <f>IF(OR(W51="",W49=""),"",IFERROR(W51/W49,""))</f>
        <v/>
      </c>
      <c r="X52" s="15">
        <f>IF(OR(X51="",X49=""),"",IFERROR(X51/X49,""))</f>
        <v/>
      </c>
      <c r="Y52" s="25" t="n">
        <v>0.3</v>
      </c>
      <c r="Z52" s="26" t="n">
        <v>0.3</v>
      </c>
      <c r="AA52" s="26" t="n">
        <v>0.3</v>
      </c>
      <c r="AB52" s="26" t="n">
        <v>0.3</v>
      </c>
      <c r="AC52" s="26" t="n">
        <v>0.3</v>
      </c>
    </row>
    <row r="53">
      <c r="A53" s="9" t="inlineStr">
        <is>
          <t>당기순이익(손실)</t>
        </is>
      </c>
      <c r="B53" s="10" t="n"/>
      <c r="C53" s="11" t="n">
        <v>205.564</v>
      </c>
      <c r="D53" s="12" t="n">
        <v>21.262</v>
      </c>
      <c r="E53" s="12" t="n">
        <v>169.09</v>
      </c>
      <c r="F53" s="12" t="n">
        <v>-86.22499999999999</v>
      </c>
      <c r="G53" s="12" t="n">
        <v>309.459</v>
      </c>
      <c r="H53" s="12" t="n">
        <v>-19.41</v>
      </c>
      <c r="I53" s="12" t="n">
        <v>485.244</v>
      </c>
      <c r="J53" s="12" t="n">
        <v>129.226</v>
      </c>
      <c r="K53" s="12" t="n">
        <v>229.566</v>
      </c>
      <c r="L53" s="12" t="n">
        <v>78.315</v>
      </c>
      <c r="M53" s="12" t="n">
        <v>416.254</v>
      </c>
      <c r="N53" s="12" t="n">
        <v>257.696</v>
      </c>
      <c r="O53" s="11" t="n">
        <v>360.687</v>
      </c>
      <c r="P53" s="12" t="n">
        <v>527.149</v>
      </c>
      <c r="Q53" s="12" t="n">
        <v>431.271</v>
      </c>
      <c r="R53" s="12" t="n">
        <v>254.77</v>
      </c>
      <c r="S53" s="12" t="n">
        <v>168.626</v>
      </c>
      <c r="T53" s="12" t="n">
        <v>154.231</v>
      </c>
      <c r="U53" s="12" t="n">
        <v>452.926</v>
      </c>
      <c r="V53" s="12" t="n">
        <v>467.894</v>
      </c>
      <c r="W53" s="12" t="n">
        <v>689.068</v>
      </c>
      <c r="X53" s="12" t="n">
        <v>853.361</v>
      </c>
      <c r="Y53" s="11">
        <f>IF(OR(Y49=""),"",IFERROR(Y49-Y51,""))</f>
        <v/>
      </c>
      <c r="Z53" s="12">
        <f>IF(OR(Z49=""),"",IFERROR(Z49-Z51,""))</f>
        <v/>
      </c>
      <c r="AA53" s="12">
        <f>IF(OR(AA49=""),"",IFERROR(AA49-AA51,""))</f>
        <v/>
      </c>
      <c r="AB53" s="12">
        <f>IF(OR(AB49=""),"",IFERROR(AB49-AB51,""))</f>
        <v/>
      </c>
      <c r="AC53" s="12">
        <f>IF(OR(AC49=""),"",IFERROR(AC49-AC51,""))</f>
        <v/>
      </c>
    </row>
    <row r="54">
      <c r="A54" s="13" t="inlineStr">
        <is>
          <t>YoY</t>
        </is>
      </c>
      <c r="B54" s="10" t="n"/>
      <c r="C54" s="14" t="n"/>
      <c r="D54" s="15" t="n"/>
      <c r="E54" s="15" t="n"/>
      <c r="F54" s="15" t="n"/>
      <c r="G54" s="15">
        <f>IF(OR(G53="",C53=""),"",IF(C53&lt;=0,"",IFERROR(G53/C53-1,"")))</f>
        <v/>
      </c>
      <c r="H54" s="15">
        <f>IF(OR(H53="",D53=""),"",IF(D53&lt;=0,"",IFERROR(H53/D53-1,"")))</f>
        <v/>
      </c>
      <c r="I54" s="15">
        <f>IF(OR(I53="",E53=""),"",IF(E53&lt;=0,"",IFERROR(I53/E53-1,"")))</f>
        <v/>
      </c>
      <c r="J54" s="15">
        <f>IF(OR(J53="",F53=""),"",IF(F53&lt;=0,"",IFERROR(J53/F53-1,"")))</f>
        <v/>
      </c>
      <c r="K54" s="15">
        <f>IF(OR(K53="",G53=""),"",IF(G53&lt;=0,"",IFERROR(K53/G53-1,"")))</f>
        <v/>
      </c>
      <c r="L54" s="15">
        <f>IF(OR(L53="",H53=""),"",IF(H53&lt;=0,"",IFERROR(L53/H53-1,"")))</f>
        <v/>
      </c>
      <c r="M54" s="15">
        <f>IF(OR(M53="",I53=""),"",IF(I53&lt;=0,"",IFERROR(M53/I53-1,"")))</f>
        <v/>
      </c>
      <c r="N54" s="15">
        <f>IF(OR(N53="",J53=""),"",IF(J53&lt;=0,"",IFERROR(N53/J53-1,"")))</f>
        <v/>
      </c>
      <c r="O54" s="14" t="n"/>
      <c r="P54" s="15">
        <f>IF(OR(P53="",O53=""),"",IF(O53&lt;=0,"",IFERROR(P53/O53-1,"")))</f>
        <v/>
      </c>
      <c r="Q54" s="15">
        <f>IF(OR(Q53="",P53=""),"",IF(P53&lt;=0,"",IFERROR(Q53/P53-1,"")))</f>
        <v/>
      </c>
      <c r="R54" s="15">
        <f>IF(OR(R53="",Q53=""),"",IF(Q53&lt;=0,"",IFERROR(R53/Q53-1,"")))</f>
        <v/>
      </c>
      <c r="S54" s="15">
        <f>IF(OR(S53="",R53=""),"",IF(R53&lt;=0,"",IFERROR(S53/R53-1,"")))</f>
        <v/>
      </c>
      <c r="T54" s="15">
        <f>IF(OR(T53="",S53=""),"",IF(S53&lt;=0,"",IFERROR(T53/S53-1,"")))</f>
        <v/>
      </c>
      <c r="U54" s="15">
        <f>IF(OR(U53="",T53=""),"",IF(T53&lt;=0,"",IFERROR(U53/T53-1,"")))</f>
        <v/>
      </c>
      <c r="V54" s="15">
        <f>IF(OR(V53="",U53=""),"",IF(U53&lt;=0,"",IFERROR(V53/U53-1,"")))</f>
        <v/>
      </c>
      <c r="W54" s="15">
        <f>IF(OR(W53="",V53=""),"",IF(V53&lt;=0,"",IFERROR(W53/V53-1,"")))</f>
        <v/>
      </c>
      <c r="X54" s="15">
        <f>IF(OR(X53="",W53=""),"",IF(W53&lt;=0,"",IFERROR(X53/W53-1,"")))</f>
        <v/>
      </c>
      <c r="Y54" s="14">
        <f>IF(OR(Y53="",X53=""),"",IF(X53&lt;=0,"",IFERROR(Y53/X53-1,"")))</f>
        <v/>
      </c>
      <c r="Z54" s="15">
        <f>IF(OR(Z53="",Y53=""),"",IF(Y53&lt;=0,"",IFERROR(Z53/Y53-1,"")))</f>
        <v/>
      </c>
      <c r="AA54" s="15">
        <f>IF(OR(AA53="",Z53=""),"",IF(Z53&lt;=0,"",IFERROR(AA53/Z53-1,"")))</f>
        <v/>
      </c>
      <c r="AB54" s="15">
        <f>IF(OR(AB53="",AA53=""),"",IF(AA53&lt;=0,"",IFERROR(AB53/AA53-1,"")))</f>
        <v/>
      </c>
      <c r="AC54" s="15">
        <f>IF(OR(AC53="",AB53=""),"",IF(AB53&lt;=0,"",IFERROR(AC53/AB53-1,"")))</f>
        <v/>
      </c>
    </row>
    <row r="55">
      <c r="A55" s="9" t="inlineStr">
        <is>
          <t>지배주주 순이익</t>
        </is>
      </c>
      <c r="B55" s="10" t="n"/>
      <c r="C55" s="11" t="n">
        <v>205.564</v>
      </c>
      <c r="D55" s="12" t="n">
        <v>21.262</v>
      </c>
      <c r="E55" s="12" t="n">
        <v>169.09</v>
      </c>
      <c r="F55" s="12" t="n">
        <v>-86.22499999999999</v>
      </c>
      <c r="G55" s="12" t="n">
        <v>309.459</v>
      </c>
      <c r="H55" s="12" t="n">
        <v>-19.41</v>
      </c>
      <c r="I55" s="12" t="n">
        <v>485.244</v>
      </c>
      <c r="J55" s="12" t="n">
        <v>129.226</v>
      </c>
      <c r="K55" s="12" t="n">
        <v>229.566</v>
      </c>
      <c r="L55" s="12" t="n">
        <v>78.315</v>
      </c>
      <c r="M55" s="12" t="n">
        <v>416.254</v>
      </c>
      <c r="N55" s="12" t="n">
        <v>257.696</v>
      </c>
      <c r="O55" s="11" t="n">
        <v>360.687</v>
      </c>
      <c r="P55" s="12" t="n">
        <v>527.149</v>
      </c>
      <c r="Q55" s="12" t="n">
        <v>431.271</v>
      </c>
      <c r="R55" s="12" t="n">
        <v>272.534</v>
      </c>
      <c r="S55" s="12" t="n">
        <v>175.795</v>
      </c>
      <c r="T55" s="12" t="n">
        <v>154.231</v>
      </c>
      <c r="U55" s="12" t="n">
        <v>452.926</v>
      </c>
      <c r="V55" s="12" t="n">
        <v>467.894</v>
      </c>
      <c r="W55" s="12" t="n">
        <v>689.068</v>
      </c>
      <c r="X55" s="12" t="n">
        <v>853.361</v>
      </c>
      <c r="Y55" s="11">
        <f>IF(OR(Y53="",Y56=""),"",IFERROR(Y53*Y56,""))</f>
        <v/>
      </c>
      <c r="Z55" s="12">
        <f>IF(OR(Z53="",Z56=""),"",IFERROR(Z53*Z56,""))</f>
        <v/>
      </c>
      <c r="AA55" s="12">
        <f>IF(OR(AA53="",AA56=""),"",IFERROR(AA53*AA56,""))</f>
        <v/>
      </c>
      <c r="AB55" s="12">
        <f>IF(OR(AB53="",AB56=""),"",IFERROR(AB53*AB56,""))</f>
        <v/>
      </c>
      <c r="AC55" s="12">
        <f>IF(OR(AC53="",AC56=""),"",IFERROR(AC53*AC56,""))</f>
        <v/>
      </c>
    </row>
    <row r="56">
      <c r="A56" s="13" t="inlineStr">
        <is>
          <t>지배주주 순이익률</t>
        </is>
      </c>
      <c r="B56" s="10" t="inlineStr">
        <is>
          <t>MW 기본 100%</t>
        </is>
      </c>
      <c r="C56" s="14">
        <f>IF(OR(C55="",C53=""),"",IFERROR(C55/C53,""))</f>
        <v/>
      </c>
      <c r="D56" s="15">
        <f>IF(OR(D55="",D53=""),"",IFERROR(D55/D53,""))</f>
        <v/>
      </c>
      <c r="E56" s="15">
        <f>IF(OR(E55="",E53=""),"",IFERROR(E55/E53,""))</f>
        <v/>
      </c>
      <c r="F56" s="15">
        <f>IF(OR(F55="",F53=""),"",IFERROR(F55/F53,""))</f>
        <v/>
      </c>
      <c r="G56" s="15">
        <f>IF(OR(G55="",G53=""),"",IFERROR(G55/G53,""))</f>
        <v/>
      </c>
      <c r="H56" s="15">
        <f>IF(OR(H55="",H53=""),"",IFERROR(H55/H53,""))</f>
        <v/>
      </c>
      <c r="I56" s="15">
        <f>IF(OR(I55="",I53=""),"",IFERROR(I55/I53,""))</f>
        <v/>
      </c>
      <c r="J56" s="15">
        <f>IF(OR(J55="",J53=""),"",IFERROR(J55/J53,""))</f>
        <v/>
      </c>
      <c r="K56" s="15">
        <f>IF(OR(K55="",K53=""),"",IFERROR(K55/K53,""))</f>
        <v/>
      </c>
      <c r="L56" s="15">
        <f>IF(OR(L55="",L53=""),"",IFERROR(L55/L53,""))</f>
        <v/>
      </c>
      <c r="M56" s="15">
        <f>IF(OR(M55="",M53=""),"",IFERROR(M55/M53,""))</f>
        <v/>
      </c>
      <c r="N56" s="15">
        <f>IF(OR(N55="",N53=""),"",IFERROR(N55/N53,""))</f>
        <v/>
      </c>
      <c r="O56" s="14">
        <f>IF(OR(O55="",O53=""),"",IFERROR(O55/O53,""))</f>
        <v/>
      </c>
      <c r="P56" s="15">
        <f>IF(OR(P55="",P53=""),"",IFERROR(P55/P53,""))</f>
        <v/>
      </c>
      <c r="Q56" s="15">
        <f>IF(OR(Q55="",Q53=""),"",IFERROR(Q55/Q53,""))</f>
        <v/>
      </c>
      <c r="R56" s="15">
        <f>IF(OR(R55="",R53=""),"",IFERROR(R55/R53,""))</f>
        <v/>
      </c>
      <c r="S56" s="15">
        <f>IF(OR(S55="",S53=""),"",IFERROR(S55/S53,""))</f>
        <v/>
      </c>
      <c r="T56" s="15">
        <f>IF(OR(T55="",T53=""),"",IFERROR(T55/T53,""))</f>
        <v/>
      </c>
      <c r="U56" s="15">
        <f>IF(OR(U55="",U53=""),"",IFERROR(U55/U53,""))</f>
        <v/>
      </c>
      <c r="V56" s="15">
        <f>IF(OR(V55="",V53=""),"",IFERROR(V55/V53,""))</f>
        <v/>
      </c>
      <c r="W56" s="15">
        <f>IF(OR(W55="",W53=""),"",IFERROR(W55/W53,""))</f>
        <v/>
      </c>
      <c r="X56" s="15">
        <f>IF(OR(X55="",X53=""),"",IFERROR(X55/X53,""))</f>
        <v/>
      </c>
      <c r="Y56" s="25" t="n">
        <v>1</v>
      </c>
      <c r="Z56" s="26" t="n">
        <v>1</v>
      </c>
      <c r="AA56" s="26" t="n">
        <v>1</v>
      </c>
      <c r="AB56" s="26" t="n">
        <v>1</v>
      </c>
      <c r="AC56" s="26" t="n">
        <v>1</v>
      </c>
    </row>
    <row r="57">
      <c r="A57" s="13" t="inlineStr">
        <is>
          <t>지배주주 순이익 YoY</t>
        </is>
      </c>
      <c r="B57" s="10" t="n"/>
      <c r="C57" s="14" t="n"/>
      <c r="D57" s="15" t="n"/>
      <c r="E57" s="15" t="n"/>
      <c r="F57" s="15" t="n"/>
      <c r="G57" s="15">
        <f>IF(OR(G55="",C55=""),"",IF(C55&lt;=0,"",IFERROR(G55/C55-1,"")))</f>
        <v/>
      </c>
      <c r="H57" s="15">
        <f>IF(OR(H55="",D55=""),"",IF(D55&lt;=0,"",IFERROR(H55/D55-1,"")))</f>
        <v/>
      </c>
      <c r="I57" s="15">
        <f>IF(OR(I55="",E55=""),"",IF(E55&lt;=0,"",IFERROR(I55/E55-1,"")))</f>
        <v/>
      </c>
      <c r="J57" s="15">
        <f>IF(OR(J55="",F55=""),"",IF(F55&lt;=0,"",IFERROR(J55/F55-1,"")))</f>
        <v/>
      </c>
      <c r="K57" s="15">
        <f>IF(OR(K55="",G55=""),"",IF(G55&lt;=0,"",IFERROR(K55/G55-1,"")))</f>
        <v/>
      </c>
      <c r="L57" s="15">
        <f>IF(OR(L55="",H55=""),"",IF(H55&lt;=0,"",IFERROR(L55/H55-1,"")))</f>
        <v/>
      </c>
      <c r="M57" s="15">
        <f>IF(OR(M55="",I55=""),"",IF(I55&lt;=0,"",IFERROR(M55/I55-1,"")))</f>
        <v/>
      </c>
      <c r="N57" s="15">
        <f>IF(OR(N55="",J55=""),"",IF(J55&lt;=0,"",IFERROR(N55/J55-1,"")))</f>
        <v/>
      </c>
      <c r="O57" s="14" t="n"/>
      <c r="P57" s="15">
        <f>IF(OR(P55="",O55=""),"",IF(O55&lt;=0,"",IFERROR(P55/O55-1,"")))</f>
        <v/>
      </c>
      <c r="Q57" s="15">
        <f>IF(OR(Q55="",P55=""),"",IF(P55&lt;=0,"",IFERROR(Q55/P55-1,"")))</f>
        <v/>
      </c>
      <c r="R57" s="15">
        <f>IF(OR(R55="",Q55=""),"",IF(Q55&lt;=0,"",IFERROR(R55/Q55-1,"")))</f>
        <v/>
      </c>
      <c r="S57" s="15">
        <f>IF(OR(S55="",R55=""),"",IF(R55&lt;=0,"",IFERROR(S55/R55-1,"")))</f>
        <v/>
      </c>
      <c r="T57" s="15">
        <f>IF(OR(T55="",S55=""),"",IF(S55&lt;=0,"",IFERROR(T55/S55-1,"")))</f>
        <v/>
      </c>
      <c r="U57" s="15">
        <f>IF(OR(U55="",T55=""),"",IF(T55&lt;=0,"",IFERROR(U55/T55-1,"")))</f>
        <v/>
      </c>
      <c r="V57" s="15">
        <f>IF(OR(V55="",U55=""),"",IF(U55&lt;=0,"",IFERROR(V55/U55-1,"")))</f>
        <v/>
      </c>
      <c r="W57" s="15">
        <f>IF(OR(W55="",V55=""),"",IF(V55&lt;=0,"",IFERROR(W55/V55-1,"")))</f>
        <v/>
      </c>
      <c r="X57" s="15">
        <f>IF(OR(X55="",W55=""),"",IF(W55&lt;=0,"",IFERROR(X55/W55-1,"")))</f>
        <v/>
      </c>
      <c r="Y57" s="14">
        <f>IF(OR(Y55="",X55=""),"",IF(X55&lt;=0,"",IFERROR(Y55/X55-1,"")))</f>
        <v/>
      </c>
      <c r="Z57" s="15">
        <f>IF(OR(Z55="",Y55=""),"",IF(Y55&lt;=0,"",IFERROR(Z55/Y55-1,"")))</f>
        <v/>
      </c>
      <c r="AA57" s="15">
        <f>IF(OR(AA55="",Z55=""),"",IF(Z55&lt;=0,"",IFERROR(AA55/Z55-1,"")))</f>
        <v/>
      </c>
      <c r="AB57" s="15">
        <f>IF(OR(AB55="",AA55=""),"",IF(AA55&lt;=0,"",IFERROR(AB55/AA55-1,"")))</f>
        <v/>
      </c>
      <c r="AC57" s="15">
        <f>IF(OR(AC55="",AB55=""),"",IF(AB55&lt;=0,"",IFERROR(AC55/AB55-1,"")))</f>
        <v/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(2026.10.28)</t>
        </is>
      </c>
      <c r="B59" s="27" t="n">
        <v>1910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6583485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IF(O26="","",O26)</f>
        <v/>
      </c>
      <c r="P62" s="15">
        <f>IF(P26="","",P26)</f>
        <v/>
      </c>
      <c r="Q62" s="15">
        <f>IF(Q26="","",Q26)</f>
        <v/>
      </c>
      <c r="R62" s="15">
        <f>IF(R26="","",R26)</f>
        <v/>
      </c>
      <c r="S62" s="15">
        <f>IF(S26="","",S26)</f>
        <v/>
      </c>
      <c r="T62" s="15">
        <f>IF(T26="","",T26)</f>
        <v/>
      </c>
      <c r="U62" s="15">
        <f>IF(U26="","",U26)</f>
        <v/>
      </c>
      <c r="V62" s="15">
        <f>IF(V26="","",V26)</f>
        <v/>
      </c>
      <c r="W62" s="15">
        <f>IF(W26="","",W26)</f>
        <v/>
      </c>
      <c r="X62" s="15">
        <f>IF(X26="","",X26)</f>
        <v/>
      </c>
      <c r="Y62" s="14">
        <f>IF(Y26="","",Y26)</f>
        <v/>
      </c>
      <c r="Z62" s="15">
        <f>IF(Z26="","",Z26)</f>
        <v/>
      </c>
      <c r="AA62" s="15">
        <f>IF(AA26="","",AA26)</f>
        <v/>
      </c>
      <c r="AB62" s="15">
        <f>IF(AB26="","",AB26)</f>
        <v/>
      </c>
      <c r="AC62" s="15">
        <f>IF(AC26="","",AC26)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IF(OR(P55="",O55=""),"",IFERROR(P55/O55-1,""))</f>
        <v/>
      </c>
      <c r="Q63" s="15">
        <f>IF(OR(Q55="",P55=""),"",IFERROR(Q55/P55-1,""))</f>
        <v/>
      </c>
      <c r="R63" s="15">
        <f>IF(OR(R55="",Q55=""),"",IFERROR(R55/Q55-1,""))</f>
        <v/>
      </c>
      <c r="S63" s="15">
        <f>IF(OR(S55="",R55=""),"",IFERROR(S55/R55-1,""))</f>
        <v/>
      </c>
      <c r="T63" s="15">
        <f>IF(OR(T55="",S55=""),"",IFERROR(T55/S55-1,""))</f>
        <v/>
      </c>
      <c r="U63" s="15">
        <f>IF(OR(U55="",T55=""),"",IFERROR(U55/T55-1,""))</f>
        <v/>
      </c>
      <c r="V63" s="15">
        <f>IF(OR(V55="",U55=""),"",IFERROR(V55/U55-1,""))</f>
        <v/>
      </c>
      <c r="W63" s="15">
        <f>IF(OR(W55="",V55=""),"",IFERROR(W55/V55-1,""))</f>
        <v/>
      </c>
      <c r="X63" s="15">
        <f>IF(OR(X55="",W55=""),"",IFERROR(X55/W55-1,""))</f>
        <v/>
      </c>
      <c r="Y63" s="14">
        <f>IF(OR(Y55="",X55=""),"",IFERROR(Y55/X55-1,""))</f>
        <v/>
      </c>
      <c r="Z63" s="15">
        <f>IF(OR(Z55="",Y55=""),"",IFERROR(Z55/Y55-1,""))</f>
        <v/>
      </c>
      <c r="AA63" s="15">
        <f>IF(OR(AA55="",Z55=""),"",IFERROR(AA55/Z55-1,""))</f>
        <v/>
      </c>
      <c r="AB63" s="15">
        <f>IF(OR(AB55="",AA55=""),"",IFERROR(AB55/AA55-1,""))</f>
        <v/>
      </c>
      <c r="AC63" s="15">
        <f>IF(OR(AC55="",AB55=""),"",IFERROR(AC55/AB55-1,""))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IF(OR($B$61="",X55=""),"",IFERROR($B$61/X55,""))</f>
        <v/>
      </c>
      <c r="Y64" s="30">
        <f>IF(OR($B$61="",Y55=""),"",IFERROR($B$61/Y55,""))</f>
        <v/>
      </c>
      <c r="Z64" s="31">
        <f>IF(OR($B$61="",Z55=""),"",IFERROR($B$61/Z55,""))</f>
        <v/>
      </c>
      <c r="AA64" s="31">
        <f>IF(OR($B$61="",AA55=""),"",IFERROR($B$61/AA55,""))</f>
        <v/>
      </c>
      <c r="AB64" s="31">
        <f>IF(OR($B$61="",AB55=""),"",IFERROR($B$61/AB55,""))</f>
        <v/>
      </c>
      <c r="AC64" s="31">
        <f>IF(OR($B$61="",AC55=""),"",IFERROR($B$61/AC55,""))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IF(OR(O55="",$B$60=""),"",IFERROR(O55*1000000.0/$B$60,""))</f>
        <v/>
      </c>
      <c r="P66" s="29">
        <f>IF(OR(P55="",$B$60=""),"",IFERROR(P55*1000000.0/$B$60,""))</f>
        <v/>
      </c>
      <c r="Q66" s="29">
        <f>IF(OR(Q55="",$B$60=""),"",IFERROR(Q55*1000000.0/$B$60,""))</f>
        <v/>
      </c>
      <c r="R66" s="29">
        <f>IF(OR(R55="",$B$60=""),"",IFERROR(R55*1000000.0/$B$60,""))</f>
        <v/>
      </c>
      <c r="S66" s="29">
        <f>IF(OR(S55="",$B$60=""),"",IFERROR(S55*1000000.0/$B$60,""))</f>
        <v/>
      </c>
      <c r="T66" s="29">
        <f>IF(OR(T55="",$B$60=""),"",IFERROR(T55*1000000.0/$B$60,""))</f>
        <v/>
      </c>
      <c r="U66" s="29">
        <f>IF(OR(U55="",$B$60=""),"",IFERROR(U55*1000000.0/$B$60,""))</f>
        <v/>
      </c>
      <c r="V66" s="29">
        <f>IF(OR(V55="",$B$60=""),"",IFERROR(V55*1000000.0/$B$60,""))</f>
        <v/>
      </c>
      <c r="W66" s="29">
        <f>IF(OR(W55="",$B$60=""),"",IFERROR(W55*1000000.0/$B$60,""))</f>
        <v/>
      </c>
      <c r="X66" s="29">
        <f>IF(OR(X55="",$B$60=""),"",IFERROR(X55*1000000.0/$B$60,""))</f>
        <v/>
      </c>
      <c r="Y66" s="28">
        <f>IF(OR(Y55="",$B$60=""),"",IFERROR(Y55*1000000.0/$B$60,""))</f>
        <v/>
      </c>
      <c r="Z66" s="29">
        <f>IF(OR(Z55="",$B$60=""),"",IFERROR(Z55*1000000.0/$B$60,""))</f>
        <v/>
      </c>
      <c r="AA66" s="29">
        <f>IF(OR(AA55="",$B$60=""),"",IFERROR(AA55*1000000.0/$B$60,""))</f>
        <v/>
      </c>
      <c r="AB66" s="29">
        <f>IF(OR(AB55="",$B$60=""),"",IFERROR(AB55*1000000.0/$B$60,""))</f>
        <v/>
      </c>
      <c r="AC66" s="29">
        <f>IF(OR(AC55="",$B$60=""),"",IFERROR(AC55*1000000.0/$B$60,""))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IF(OR(Y55="",Y65=""),"",IFERROR(Y55*Y65,""))</f>
        <v/>
      </c>
      <c r="Z78" s="20">
        <f>IF(OR(Z55="",Z65=""),"",IFERROR(Z55*Z65,""))</f>
        <v/>
      </c>
      <c r="AA78" s="20">
        <f>IF(OR(AA55="",AA65=""),"",IFERROR(AA55*AA65,""))</f>
        <v/>
      </c>
      <c r="AB78" s="20">
        <f>IF(OR(AB55="",AB65=""),"",IFERROR(AB55*AB65,""))</f>
        <v/>
      </c>
      <c r="AC78" s="20">
        <f>IF(OR(AC55="",AC65=""),"",IFERROR(AC55*AC65,""))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2026.10.28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5069.553</v>
      </c>
      <c r="D90" s="12" t="n">
        <v>4495.955</v>
      </c>
      <c r="E90" s="12" t="n">
        <v>5328.078</v>
      </c>
      <c r="F90" s="12" t="n">
        <v>4122.481</v>
      </c>
      <c r="G90" s="12" t="n">
        <v>5409.129</v>
      </c>
      <c r="H90" s="12" t="n">
        <v>4677.838</v>
      </c>
      <c r="I90" s="12" t="n">
        <v>6426.624</v>
      </c>
      <c r="J90" s="12" t="n">
        <v>5956.904</v>
      </c>
      <c r="K90" s="12" t="n">
        <v>5969.503</v>
      </c>
      <c r="L90" s="12" t="n">
        <v>6001.919</v>
      </c>
      <c r="M90" s="12" t="n">
        <v>6325.128</v>
      </c>
      <c r="N90" s="12" t="n">
        <v>6761.48</v>
      </c>
      <c r="T90" s="12" t="n">
        <v>2906.276</v>
      </c>
      <c r="U90" s="12" t="n">
        <v>4770.179</v>
      </c>
      <c r="V90" s="12" t="n">
        <v>5328.078</v>
      </c>
      <c r="W90" s="12" t="n">
        <v>6426.624</v>
      </c>
      <c r="X90" s="12" t="n">
        <v>6325.128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3906.536</v>
      </c>
      <c r="D92" s="20" t="n">
        <v>3621.888</v>
      </c>
      <c r="E92" s="20" t="n">
        <v>4150.818</v>
      </c>
      <c r="F92" s="20" t="n">
        <v>3329.104</v>
      </c>
      <c r="G92" s="20" t="n">
        <v>4098.526</v>
      </c>
      <c r="H92" s="20" t="n">
        <v>3769.529</v>
      </c>
      <c r="I92" s="20" t="n">
        <v>4744.933</v>
      </c>
      <c r="J92" s="20" t="n">
        <v>4812.692</v>
      </c>
      <c r="K92" s="20" t="n">
        <v>4693.067</v>
      </c>
      <c r="L92" s="20" t="n">
        <v>4890.493</v>
      </c>
      <c r="M92" s="20" t="n">
        <v>4790.275</v>
      </c>
      <c r="N92" s="20" t="n">
        <v>5210.34</v>
      </c>
      <c r="T92" s="20" t="n">
        <v>2188.597</v>
      </c>
      <c r="U92" s="20" t="n">
        <v>3660.306</v>
      </c>
      <c r="V92" s="20" t="n">
        <v>4150.818</v>
      </c>
      <c r="W92" s="20" t="n">
        <v>4744.933</v>
      </c>
      <c r="X92" s="20" t="n">
        <v>4790.275</v>
      </c>
    </row>
    <row r="93">
      <c r="A93" s="43" t="inlineStr">
        <is>
          <t>YoY</t>
        </is>
      </c>
      <c r="B93" s="3" t="inlineStr">
        <is>
          <t>전년 같은 분기·전년 대비</t>
        </is>
      </c>
      <c r="G93" s="15">
        <f>IF(OR(G92="",C92=""),"",IF(G92*C92&lt;=0,"",IFERROR(G92/C92-1,"")))</f>
        <v/>
      </c>
      <c r="H93" s="15">
        <f>IF(OR(H92="",D92=""),"",IF(H92*D92&lt;=0,"",IFERROR(H92/D92-1,"")))</f>
        <v/>
      </c>
      <c r="I93" s="15">
        <f>IF(OR(I92="",E92=""),"",IF(I92*E92&lt;=0,"",IFERROR(I92/E92-1,"")))</f>
        <v/>
      </c>
      <c r="J93" s="15">
        <f>IF(OR(J92="",F92=""),"",IF(J92*F92&lt;=0,"",IFERROR(J92/F92-1,"")))</f>
        <v/>
      </c>
      <c r="K93" s="15">
        <f>IF(OR(K92="",G92=""),"",IF(K92*G92&lt;=0,"",IFERROR(K92/G92-1,"")))</f>
        <v/>
      </c>
      <c r="L93" s="15">
        <f>IF(OR(L92="",H92=""),"",IF(L92*H92&lt;=0,"",IFERROR(L92/H92-1,"")))</f>
        <v/>
      </c>
      <c r="M93" s="15">
        <f>IF(OR(M92="",I92=""),"",IF(M92*I92&lt;=0,"",IFERROR(M92/I92-1,"")))</f>
        <v/>
      </c>
      <c r="N93" s="15">
        <f>IF(OR(N92="",J92=""),"",IF(N92*J92&lt;=0,"",IFERROR(N92/J92-1,"")))</f>
        <v/>
      </c>
      <c r="T93" s="15">
        <f>IF(OR(T92="",S92=""),"",IF(T92*S92&lt;=0,"",IFERROR(T92/S92-1,"")))</f>
        <v/>
      </c>
      <c r="U93" s="15">
        <f>IF(OR(U92="",T92=""),"",IF(U92*T92&lt;=0,"",IFERROR(U92/T92-1,"")))</f>
        <v/>
      </c>
      <c r="V93" s="15">
        <f>IF(OR(V92="",U92=""),"",IF(V92*U92&lt;=0,"",IFERROR(V92/U92-1,"")))</f>
        <v/>
      </c>
      <c r="W93" s="15">
        <f>IF(OR(W92="",V92=""),"",IF(W92*V92&lt;=0,"",IFERROR(W92/V92-1,"")))</f>
        <v/>
      </c>
      <c r="X93" s="15">
        <f>IF(OR(X92="",W92=""),"",IF(X92*W92&lt;=0,"",IFERROR(X92/W92-1,"")))</f>
        <v/>
      </c>
    </row>
    <row r="94">
      <c r="A94" s="9" t="inlineStr">
        <is>
          <t>매출총이익</t>
        </is>
      </c>
      <c r="C94" s="12" t="n">
        <v>1163.018</v>
      </c>
      <c r="D94" s="12" t="n">
        <v>874.066</v>
      </c>
      <c r="E94" s="12" t="n">
        <v>1177.26</v>
      </c>
      <c r="F94" s="12" t="n">
        <v>793.376</v>
      </c>
      <c r="G94" s="12" t="n">
        <v>1310.604</v>
      </c>
      <c r="H94" s="12" t="n">
        <v>908.308</v>
      </c>
      <c r="I94" s="12" t="n">
        <v>1681.692</v>
      </c>
      <c r="J94" s="12" t="n">
        <v>1144.212</v>
      </c>
      <c r="K94" s="12" t="n">
        <v>1276.435</v>
      </c>
      <c r="L94" s="12" t="n">
        <v>1111.426</v>
      </c>
      <c r="M94" s="12" t="n">
        <v>1534.854</v>
      </c>
      <c r="N94" s="12" t="n">
        <v>1551.14</v>
      </c>
      <c r="T94" s="12" t="n">
        <v>717.678</v>
      </c>
      <c r="U94" s="12" t="n">
        <v>1109.872</v>
      </c>
      <c r="V94" s="12" t="n">
        <v>1177.26</v>
      </c>
      <c r="W94" s="12" t="n">
        <v>1681.692</v>
      </c>
      <c r="X94" s="12" t="n">
        <v>1534.854</v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IF(OR(G94="",C94=""),"",IF(C94&lt;=0,"",IFERROR(G94/C94-1,"")))</f>
        <v/>
      </c>
      <c r="H95" s="15">
        <f>IF(OR(H94="",D94=""),"",IF(D94&lt;=0,"",IFERROR(H94/D94-1,"")))</f>
        <v/>
      </c>
      <c r="I95" s="15">
        <f>IF(OR(I94="",E94=""),"",IF(E94&lt;=0,"",IFERROR(I94/E94-1,"")))</f>
        <v/>
      </c>
      <c r="J95" s="15">
        <f>IF(OR(J94="",F94=""),"",IF(F94&lt;=0,"",IFERROR(J94/F94-1,"")))</f>
        <v/>
      </c>
      <c r="K95" s="15">
        <f>IF(OR(K94="",G94=""),"",IF(G94&lt;=0,"",IFERROR(K94/G94-1,"")))</f>
        <v/>
      </c>
      <c r="L95" s="15">
        <f>IF(OR(L94="",H94=""),"",IF(H94&lt;=0,"",IFERROR(L94/H94-1,"")))</f>
        <v/>
      </c>
      <c r="M95" s="15">
        <f>IF(OR(M94="",I94=""),"",IF(I94&lt;=0,"",IFERROR(M94/I94-1,"")))</f>
        <v/>
      </c>
      <c r="N95" s="15">
        <f>IF(OR(N94="",J94=""),"",IF(J94&lt;=0,"",IFERROR(N94/J94-1,"")))</f>
        <v/>
      </c>
      <c r="T95" s="15">
        <f>IF(OR(T94="",S94=""),"",IF(S94&lt;=0,"",IFERROR(T94/S94-1,"")))</f>
        <v/>
      </c>
      <c r="U95" s="15">
        <f>IF(OR(U94="",T94=""),"",IF(T94&lt;=0,"",IFERROR(U94/T94-1,"")))</f>
        <v/>
      </c>
      <c r="V95" s="15">
        <f>IF(OR(V94="",U94=""),"",IF(U94&lt;=0,"",IFERROR(V94/U94-1,"")))</f>
        <v/>
      </c>
      <c r="W95" s="15">
        <f>IF(OR(W94="",V94=""),"",IF(V94&lt;=0,"",IFERROR(W94/V94-1,"")))</f>
        <v/>
      </c>
      <c r="X95" s="15">
        <f>IF(OR(X94="",W94=""),"",IF(W94&lt;=0,"",IFERROR(X94/W94-1,"")))</f>
        <v/>
      </c>
    </row>
    <row r="96">
      <c r="A96" s="18" t="inlineStr">
        <is>
          <t>판매비와 관리비</t>
        </is>
      </c>
      <c r="C96" s="20" t="n">
        <v>835.399</v>
      </c>
      <c r="D96" s="20" t="n">
        <v>839.657</v>
      </c>
      <c r="E96" s="20" t="n">
        <v>910.505</v>
      </c>
      <c r="F96" s="20" t="n">
        <v>909.96</v>
      </c>
      <c r="G96" s="20" t="n">
        <v>858.881</v>
      </c>
      <c r="H96" s="20" t="n">
        <v>927.852</v>
      </c>
      <c r="I96" s="20" t="n">
        <v>976.552</v>
      </c>
      <c r="J96" s="20" t="n">
        <v>948.505</v>
      </c>
      <c r="K96" s="20" t="n">
        <v>928.951</v>
      </c>
      <c r="L96" s="20" t="n">
        <v>989.9640000000001</v>
      </c>
      <c r="M96" s="20" t="n">
        <v>1029.364</v>
      </c>
      <c r="N96" s="20" t="n">
        <v>1151.294</v>
      </c>
      <c r="T96" s="20" t="n">
        <v>566.876</v>
      </c>
      <c r="U96" s="20" t="n">
        <v>881.159</v>
      </c>
      <c r="V96" s="20" t="n">
        <v>910.505</v>
      </c>
      <c r="W96" s="20" t="n">
        <v>976.552</v>
      </c>
      <c r="X96" s="20" t="n">
        <v>1029.364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IF(OR(G96="",C96=""),"",IF(G96*C96&lt;=0,"",IFERROR(G96/C96-1,"")))</f>
        <v/>
      </c>
      <c r="H97" s="15">
        <f>IF(OR(H96="",D96=""),"",IF(H96*D96&lt;=0,"",IFERROR(H96/D96-1,"")))</f>
        <v/>
      </c>
      <c r="I97" s="15">
        <f>IF(OR(I96="",E96=""),"",IF(I96*E96&lt;=0,"",IFERROR(I96/E96-1,"")))</f>
        <v/>
      </c>
      <c r="J97" s="15">
        <f>IF(OR(J96="",F96=""),"",IF(J96*F96&lt;=0,"",IFERROR(J96/F96-1,"")))</f>
        <v/>
      </c>
      <c r="K97" s="15">
        <f>IF(OR(K96="",G96=""),"",IF(K96*G96&lt;=0,"",IFERROR(K96/G96-1,"")))</f>
        <v/>
      </c>
      <c r="L97" s="15">
        <f>IF(OR(L96="",H96=""),"",IF(L96*H96&lt;=0,"",IFERROR(L96/H96-1,"")))</f>
        <v/>
      </c>
      <c r="M97" s="15">
        <f>IF(OR(M96="",I96=""),"",IF(M96*I96&lt;=0,"",IFERROR(M96/I96-1,"")))</f>
        <v/>
      </c>
      <c r="N97" s="15">
        <f>IF(OR(N96="",J96=""),"",IF(N96*J96&lt;=0,"",IFERROR(N96/J96-1,"")))</f>
        <v/>
      </c>
      <c r="T97" s="15">
        <f>IF(OR(T96="",S96=""),"",IF(T96*S96&lt;=0,"",IFERROR(T96/S96-1,"")))</f>
        <v/>
      </c>
      <c r="U97" s="15">
        <f>IF(OR(U96="",T96=""),"",IF(U96*T96&lt;=0,"",IFERROR(U96/T96-1,"")))</f>
        <v/>
      </c>
      <c r="V97" s="15">
        <f>IF(OR(V96="",U96=""),"",IF(V96*U96&lt;=0,"",IFERROR(V96/U96-1,"")))</f>
        <v/>
      </c>
      <c r="W97" s="15">
        <f>IF(OR(W96="",V96=""),"",IF(W96*V96&lt;=0,"",IFERROR(W96/V96-1,"")))</f>
        <v/>
      </c>
      <c r="X97" s="15">
        <f>IF(OR(X96="",W96=""),"",IF(X96*W96&lt;=0,"",IFERROR(X96/W96-1,"")))</f>
        <v/>
      </c>
    </row>
    <row r="98">
      <c r="A98" s="9" t="inlineStr">
        <is>
          <t>영업이익</t>
        </is>
      </c>
      <c r="C98" s="12" t="n">
        <v>327.618</v>
      </c>
      <c r="D98" s="12" t="n">
        <v>34.409</v>
      </c>
      <c r="E98" s="12" t="n">
        <v>266.755</v>
      </c>
      <c r="F98" s="12" t="n">
        <v>-116.584</v>
      </c>
      <c r="G98" s="12" t="n">
        <v>451.722</v>
      </c>
      <c r="H98" s="12" t="n">
        <v>-19.544</v>
      </c>
      <c r="I98" s="12" t="n">
        <v>705.14</v>
      </c>
      <c r="J98" s="12" t="n">
        <v>195.707</v>
      </c>
      <c r="K98" s="12" t="n">
        <v>347.484</v>
      </c>
      <c r="L98" s="12" t="n">
        <v>121.462</v>
      </c>
      <c r="M98" s="12" t="n">
        <v>505.489</v>
      </c>
      <c r="N98" s="12" t="n">
        <v>399.845</v>
      </c>
      <c r="T98" s="12" t="n">
        <v>150.802</v>
      </c>
      <c r="U98" s="12" t="n">
        <v>228.713</v>
      </c>
      <c r="V98" s="12" t="n">
        <v>266.755</v>
      </c>
      <c r="W98" s="12" t="n">
        <v>705.14</v>
      </c>
      <c r="X98" s="12" t="n">
        <v>505.489</v>
      </c>
    </row>
    <row r="99">
      <c r="A99" s="43" t="inlineStr">
        <is>
          <t>OPM</t>
        </is>
      </c>
      <c r="B99" s="3" t="inlineStr">
        <is>
          <t>영업이익 ÷ 매출</t>
        </is>
      </c>
      <c r="C99" s="15">
        <f>IF(OR(C98="",C90=""),"",IF(C90&lt;=0,"",IFERROR(C98/C90,"")))</f>
        <v/>
      </c>
      <c r="D99" s="15">
        <f>IF(OR(D98="",D90=""),"",IF(D90&lt;=0,"",IFERROR(D98/D90,"")))</f>
        <v/>
      </c>
      <c r="E99" s="15">
        <f>IF(OR(E98="",E90=""),"",IF(E90&lt;=0,"",IFERROR(E98/E90,"")))</f>
        <v/>
      </c>
      <c r="F99" s="15">
        <f>IF(OR(F98="",F90=""),"",IF(F90&lt;=0,"",IFERROR(F98/F90,"")))</f>
        <v/>
      </c>
      <c r="G99" s="15">
        <f>IF(OR(G98="",G90=""),"",IF(G90&lt;=0,"",IFERROR(G98/G90,"")))</f>
        <v/>
      </c>
      <c r="H99" s="15">
        <f>IF(OR(H98="",H90=""),"",IF(H90&lt;=0,"",IFERROR(H98/H90,"")))</f>
        <v/>
      </c>
      <c r="I99" s="15">
        <f>IF(OR(I98="",I90=""),"",IF(I90&lt;=0,"",IFERROR(I98/I90,"")))</f>
        <v/>
      </c>
      <c r="J99" s="15">
        <f>IF(OR(J98="",J90=""),"",IF(J90&lt;=0,"",IFERROR(J98/J90,"")))</f>
        <v/>
      </c>
      <c r="K99" s="15">
        <f>IF(OR(K98="",K90=""),"",IF(K90&lt;=0,"",IFERROR(K98/K90,"")))</f>
        <v/>
      </c>
      <c r="L99" s="15">
        <f>IF(OR(L98="",L90=""),"",IF(L90&lt;=0,"",IFERROR(L98/L90,"")))</f>
        <v/>
      </c>
      <c r="M99" s="15">
        <f>IF(OR(M98="",M90=""),"",IF(M90&lt;=0,"",IFERROR(M98/M90,"")))</f>
        <v/>
      </c>
      <c r="N99" s="15">
        <f>IF(OR(N98="",N90=""),"",IF(N90&lt;=0,"",IFERROR(N98/N90,"")))</f>
        <v/>
      </c>
      <c r="T99" s="15">
        <f>IF(OR(T98="",T90=""),"",IF(T90&lt;=0,"",IFERROR(T98/T90,"")))</f>
        <v/>
      </c>
      <c r="U99" s="15">
        <f>IF(OR(U98="",U90=""),"",IF(U90&lt;=0,"",IFERROR(U98/U90,"")))</f>
        <v/>
      </c>
      <c r="V99" s="15">
        <f>IF(OR(V98="",V90=""),"",IF(V90&lt;=0,"",IFERROR(V98/V90,"")))</f>
        <v/>
      </c>
      <c r="W99" s="15">
        <f>IF(OR(W98="",W90=""),"",IF(W90&lt;=0,"",IFERROR(W98/W90,"")))</f>
        <v/>
      </c>
      <c r="X99" s="15">
        <f>IF(OR(X98="",X90=""),"",IF(X90&lt;=0,"",IFERROR(X98/X90,"")))</f>
        <v/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IF(OR(G98="",C98=""),"",IF(C98&lt;=0,"",IFERROR(G98/C98-1,"")))</f>
        <v/>
      </c>
      <c r="H100" s="15">
        <f>IF(OR(H98="",D98=""),"",IF(D98&lt;=0,"",IFERROR(H98/D98-1,"")))</f>
        <v/>
      </c>
      <c r="I100" s="15">
        <f>IF(OR(I98="",E98=""),"",IF(E98&lt;=0,"",IFERROR(I98/E98-1,"")))</f>
        <v/>
      </c>
      <c r="J100" s="15">
        <f>IF(OR(J98="",F98=""),"",IF(F98&lt;=0,"",IFERROR(J98/F98-1,"")))</f>
        <v/>
      </c>
      <c r="K100" s="15">
        <f>IF(OR(K98="",G98=""),"",IF(G98&lt;=0,"",IFERROR(K98/G98-1,"")))</f>
        <v/>
      </c>
      <c r="L100" s="15">
        <f>IF(OR(L98="",H98=""),"",IF(H98&lt;=0,"",IFERROR(L98/H98-1,"")))</f>
        <v/>
      </c>
      <c r="M100" s="15">
        <f>IF(OR(M98="",I98=""),"",IF(I98&lt;=0,"",IFERROR(M98/I98-1,"")))</f>
        <v/>
      </c>
      <c r="N100" s="15">
        <f>IF(OR(N98="",J98=""),"",IF(J98&lt;=0,"",IFERROR(N98/J98-1,"")))</f>
        <v/>
      </c>
      <c r="T100" s="15">
        <f>IF(OR(T98="",S98=""),"",IF(S98&lt;=0,"",IFERROR(T98/S98-1,"")))</f>
        <v/>
      </c>
      <c r="U100" s="15">
        <f>IF(OR(U98="",T98=""),"",IF(T98&lt;=0,"",IFERROR(U98/T98-1,"")))</f>
        <v/>
      </c>
      <c r="V100" s="15">
        <f>IF(OR(V98="",U98=""),"",IF(U98&lt;=0,"",IFERROR(V98/U98-1,"")))</f>
        <v/>
      </c>
      <c r="W100" s="15">
        <f>IF(OR(W98="",V98=""),"",IF(V98&lt;=0,"",IFERROR(W98/V98-1,"")))</f>
        <v/>
      </c>
      <c r="X100" s="15">
        <f>IF(OR(X98="",W98=""),"",IF(W98&lt;=0,"",IFERROR(X98/W98-1,"")))</f>
        <v/>
      </c>
    </row>
    <row r="101">
      <c r="A101" s="18" t="inlineStr">
        <is>
          <t>이자수익</t>
        </is>
      </c>
      <c r="C101" s="20" t="n">
        <v>0.065</v>
      </c>
      <c r="D101" s="20" t="n">
        <v>0.034</v>
      </c>
      <c r="E101" s="20" t="n">
        <v>0.027</v>
      </c>
      <c r="F101" s="20" t="n">
        <v>0.055</v>
      </c>
      <c r="G101" s="20" t="n">
        <v>0.07000000000000001</v>
      </c>
      <c r="H101" s="20" t="n">
        <v>0.158</v>
      </c>
      <c r="I101" s="20" t="n">
        <v>0.065</v>
      </c>
      <c r="J101" s="20" t="n">
        <v>0.526</v>
      </c>
      <c r="K101" s="20" t="n">
        <v>0.207</v>
      </c>
      <c r="L101" s="20" t="n">
        <v>0.327</v>
      </c>
      <c r="M101" s="20" t="n">
        <v>0.505</v>
      </c>
      <c r="N101" s="20" t="n">
        <v>1.04</v>
      </c>
      <c r="T101" s="20" t="n">
        <v>0.036</v>
      </c>
      <c r="U101" s="20" t="n">
        <v>0.027</v>
      </c>
      <c r="V101" s="20" t="n">
        <v>0.027</v>
      </c>
      <c r="W101" s="20" t="n">
        <v>0.065</v>
      </c>
      <c r="X101" s="20" t="n">
        <v>0.505</v>
      </c>
    </row>
    <row r="102">
      <c r="A102" s="18" t="inlineStr">
        <is>
          <t>배당금수익</t>
        </is>
      </c>
      <c r="C102" s="20" t="n">
        <v>3.585</v>
      </c>
      <c r="D102" s="20" t="n">
        <v>0.06</v>
      </c>
      <c r="E102" s="20" t="n">
        <v>0</v>
      </c>
      <c r="F102" s="20" t="n">
        <v>1.109</v>
      </c>
      <c r="G102" s="20" t="n">
        <v>1.975</v>
      </c>
      <c r="H102" s="20" t="n">
        <v>2.409</v>
      </c>
      <c r="I102" s="20" t="n">
        <v>0</v>
      </c>
      <c r="J102" s="20" t="n">
        <v>1.327</v>
      </c>
      <c r="K102" s="20" t="n">
        <v>2.355</v>
      </c>
      <c r="L102" s="20" t="n">
        <v>2.812</v>
      </c>
      <c r="M102" s="20" t="n">
        <v>3.162</v>
      </c>
      <c r="N102" s="20" t="n">
        <v>1.532</v>
      </c>
      <c r="T102" s="20" t="n">
        <v>0</v>
      </c>
      <c r="U102" s="20" t="n">
        <v>0</v>
      </c>
      <c r="V102" s="20" t="n">
        <v>0</v>
      </c>
      <c r="W102" s="20" t="n">
        <v>0</v>
      </c>
      <c r="X102" s="20" t="n">
        <v>3.162</v>
      </c>
    </row>
    <row r="103">
      <c r="A103" s="18" t="inlineStr">
        <is>
          <t>수수료 수익</t>
        </is>
      </c>
      <c r="C103" s="20" t="n">
        <v>0.287</v>
      </c>
      <c r="D103" s="20" t="n">
        <v>0.277</v>
      </c>
      <c r="E103" s="20" t="n">
        <v>0.303</v>
      </c>
      <c r="F103" s="20" t="n">
        <v>0.961</v>
      </c>
      <c r="G103" s="20" t="n">
        <v>-0.432</v>
      </c>
      <c r="H103" s="20" t="n">
        <v>0.263</v>
      </c>
      <c r="I103" s="20" t="n">
        <v>0.396</v>
      </c>
      <c r="J103" s="20" t="n">
        <v>0.279</v>
      </c>
      <c r="K103" s="20" t="n">
        <v>0.006</v>
      </c>
      <c r="L103" s="20" t="n">
        <v>0.026</v>
      </c>
      <c r="M103" s="20" t="n">
        <v>0.9389999999999999</v>
      </c>
      <c r="N103" s="20" t="n">
        <v>0.243</v>
      </c>
      <c r="T103" s="20" t="n">
        <v>0.291</v>
      </c>
      <c r="U103" s="20" t="n">
        <v>0.278</v>
      </c>
      <c r="V103" s="20" t="n">
        <v>0.303</v>
      </c>
      <c r="W103" s="20" t="n">
        <v>0.396</v>
      </c>
      <c r="X103" s="20" t="n">
        <v>0.9389999999999999</v>
      </c>
    </row>
    <row r="104">
      <c r="A104" s="18" t="inlineStr">
        <is>
          <t>임대료 수익</t>
        </is>
      </c>
      <c r="C104" s="20" t="n">
        <v>0.54</v>
      </c>
      <c r="D104" s="20" t="n">
        <v>0.54</v>
      </c>
      <c r="E104" s="20" t="n">
        <v>0.639</v>
      </c>
      <c r="F104" s="20" t="n">
        <v>0.339</v>
      </c>
      <c r="G104" s="20" t="n">
        <v>0.64</v>
      </c>
      <c r="H104" s="20" t="n">
        <v>0.54</v>
      </c>
      <c r="I104" s="20" t="n">
        <v>0.639</v>
      </c>
      <c r="J104" s="20" t="n">
        <v>0.539</v>
      </c>
      <c r="K104" s="20" t="n">
        <v>0.54</v>
      </c>
      <c r="L104" s="20" t="n">
        <v>0.54</v>
      </c>
      <c r="M104" s="20" t="n">
        <v>0.539</v>
      </c>
      <c r="N104" s="20" t="n">
        <v>0.539</v>
      </c>
      <c r="T104" s="20" t="n">
        <v>0.3</v>
      </c>
      <c r="U104" s="20" t="n">
        <v>0.479</v>
      </c>
      <c r="V104" s="20" t="n">
        <v>0.639</v>
      </c>
      <c r="W104" s="20" t="n">
        <v>0.639</v>
      </c>
      <c r="X104" s="20" t="n">
        <v>0.539</v>
      </c>
    </row>
    <row r="105">
      <c r="A105" s="18" t="inlineStr">
        <is>
          <t>외환차익</t>
        </is>
      </c>
      <c r="C105" s="20" t="n">
        <v>0.341</v>
      </c>
      <c r="D105" s="20" t="n">
        <v>1.006</v>
      </c>
      <c r="E105" s="20" t="n">
        <v>1.075</v>
      </c>
      <c r="F105" s="20" t="n">
        <v>0</v>
      </c>
      <c r="G105" s="20" t="n">
        <v>0</v>
      </c>
      <c r="H105" s="20" t="n">
        <v>0</v>
      </c>
      <c r="I105" s="20" t="n">
        <v>0</v>
      </c>
      <c r="J105" s="20" t="n">
        <v>0.555</v>
      </c>
      <c r="K105" s="20" t="n">
        <v>2.217</v>
      </c>
      <c r="L105" s="20" t="n">
        <v>0.163</v>
      </c>
      <c r="M105" s="20" t="n">
        <v>0.991</v>
      </c>
      <c r="N105" s="20" t="n">
        <v>0.528</v>
      </c>
      <c r="T105" s="20" t="n">
        <v>1.719</v>
      </c>
      <c r="U105" s="20" t="n">
        <v>0.641</v>
      </c>
      <c r="V105" s="20" t="n">
        <v>1.075</v>
      </c>
      <c r="W105" s="20" t="n">
        <v>0</v>
      </c>
      <c r="X105" s="20" t="n">
        <v>0.991</v>
      </c>
    </row>
    <row r="106">
      <c r="A106" s="18" t="inlineStr">
        <is>
          <t>기타</t>
        </is>
      </c>
      <c r="C106" s="20" t="n">
        <v>1.473</v>
      </c>
      <c r="D106" s="20" t="n">
        <v>0.165</v>
      </c>
      <c r="E106" s="20" t="n">
        <v>3.842</v>
      </c>
      <c r="F106" s="20" t="n">
        <v>0.718</v>
      </c>
      <c r="G106" s="20" t="n">
        <v>0.886</v>
      </c>
      <c r="H106" s="20" t="n">
        <v>0.491</v>
      </c>
      <c r="I106" s="20" t="n">
        <v>0.76</v>
      </c>
      <c r="J106" s="20" t="n">
        <v>0.8159999999999999</v>
      </c>
      <c r="K106" s="20" t="n">
        <v>1.368</v>
      </c>
      <c r="L106" s="20" t="n">
        <v>0.191</v>
      </c>
      <c r="M106" s="20" t="n">
        <v>0.74</v>
      </c>
      <c r="N106" s="20" t="n">
        <v>1.316</v>
      </c>
      <c r="T106" s="20" t="n">
        <v>0.74</v>
      </c>
      <c r="U106" s="20" t="n">
        <v>-0.189</v>
      </c>
      <c r="V106" s="20" t="n">
        <v>3.842</v>
      </c>
      <c r="W106" s="20" t="n">
        <v>0.76</v>
      </c>
      <c r="X106" s="20" t="n">
        <v>0.74</v>
      </c>
    </row>
    <row r="107">
      <c r="A107" s="18" t="inlineStr">
        <is>
          <t>영업외수익 합계</t>
        </is>
      </c>
      <c r="C107" s="20" t="n">
        <v>6.29</v>
      </c>
      <c r="D107" s="20" t="n">
        <v>2.082</v>
      </c>
      <c r="E107" s="20" t="n">
        <v>16.42</v>
      </c>
      <c r="F107" s="20" t="n">
        <v>3.184</v>
      </c>
      <c r="G107" s="20" t="n">
        <v>3.139</v>
      </c>
      <c r="H107" s="20" t="n">
        <v>3.861</v>
      </c>
      <c r="I107" s="20" t="n">
        <v>3.061</v>
      </c>
      <c r="J107" s="20" t="n">
        <v>4.045</v>
      </c>
      <c r="K107" s="20" t="n">
        <v>6.693</v>
      </c>
      <c r="L107" s="20" t="n">
        <v>4.058</v>
      </c>
      <c r="M107" s="20" t="n">
        <v>10.479</v>
      </c>
      <c r="N107" s="20" t="n">
        <v>5.201</v>
      </c>
      <c r="T107" s="20" t="n">
        <v>3.086</v>
      </c>
      <c r="U107" s="20" t="n">
        <v>2.554</v>
      </c>
      <c r="V107" s="20" t="n">
        <v>16.42</v>
      </c>
      <c r="W107" s="20" t="n">
        <v>3.061</v>
      </c>
      <c r="X107" s="20" t="n">
        <v>10.479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IF(OR(G107="",C107=""),"",IF(G107*C107&lt;=0,"",IFERROR(G107/C107-1,"")))</f>
        <v/>
      </c>
      <c r="H108" s="15">
        <f>IF(OR(H107="",D107=""),"",IF(H107*D107&lt;=0,"",IFERROR(H107/D107-1,"")))</f>
        <v/>
      </c>
      <c r="I108" s="15">
        <f>IF(OR(I107="",E107=""),"",IF(I107*E107&lt;=0,"",IFERROR(I107/E107-1,"")))</f>
        <v/>
      </c>
      <c r="J108" s="15">
        <f>IF(OR(J107="",F107=""),"",IF(J107*F107&lt;=0,"",IFERROR(J107/F107-1,"")))</f>
        <v/>
      </c>
      <c r="K108" s="15">
        <f>IF(OR(K107="",G107=""),"",IF(K107*G107&lt;=0,"",IFERROR(K107/G107-1,"")))</f>
        <v/>
      </c>
      <c r="L108" s="15">
        <f>IF(OR(L107="",H107=""),"",IF(L107*H107&lt;=0,"",IFERROR(L107/H107-1,"")))</f>
        <v/>
      </c>
      <c r="M108" s="15">
        <f>IF(OR(M107="",I107=""),"",IF(M107*I107&lt;=0,"",IFERROR(M107/I107-1,"")))</f>
        <v/>
      </c>
      <c r="N108" s="15">
        <f>IF(OR(N107="",J107=""),"",IF(N107*J107&lt;=0,"",IFERROR(N107/J107-1,"")))</f>
        <v/>
      </c>
      <c r="T108" s="15">
        <f>IF(OR(T107="",S107=""),"",IF(T107*S107&lt;=0,"",IFERROR(T107/S107-1,"")))</f>
        <v/>
      </c>
      <c r="U108" s="15">
        <f>IF(OR(U107="",T107=""),"",IF(U107*T107&lt;=0,"",IFERROR(U107/T107-1,"")))</f>
        <v/>
      </c>
      <c r="V108" s="15">
        <f>IF(OR(V107="",U107=""),"",IF(V107*U107&lt;=0,"",IFERROR(V107/U107-1,"")))</f>
        <v/>
      </c>
      <c r="W108" s="15">
        <f>IF(OR(W107="",V107=""),"",IF(W107*V107&lt;=0,"",IFERROR(W107/V107-1,"")))</f>
        <v/>
      </c>
      <c r="X108" s="15">
        <f>IF(OR(X107="",W107=""),"",IF(X107*W107&lt;=0,"",IFERROR(X107/W107-1,"")))</f>
        <v/>
      </c>
    </row>
    <row r="109">
      <c r="A109" s="18" t="inlineStr">
        <is>
          <t>이자비용</t>
        </is>
      </c>
      <c r="C109" s="20" t="n">
        <v>1.322</v>
      </c>
      <c r="D109" s="20" t="n">
        <v>0.453</v>
      </c>
      <c r="E109" s="20" t="n">
        <v>1</v>
      </c>
      <c r="F109" s="20" t="n">
        <v>1.813</v>
      </c>
      <c r="G109" s="20" t="n">
        <v>1.2</v>
      </c>
      <c r="H109" s="20" t="n">
        <v>0.9360000000000001</v>
      </c>
      <c r="I109" s="20" t="n">
        <v>0.953</v>
      </c>
      <c r="J109" s="20" t="n">
        <v>1.483</v>
      </c>
      <c r="K109" s="20" t="n">
        <v>1.663</v>
      </c>
      <c r="L109" s="20" t="n">
        <v>0.767</v>
      </c>
      <c r="M109" s="20" t="n">
        <v>0.708</v>
      </c>
      <c r="N109" s="20" t="n">
        <v>0.964</v>
      </c>
      <c r="T109" s="20" t="n">
        <v>0.374</v>
      </c>
      <c r="U109" s="20" t="n">
        <v>0.785</v>
      </c>
      <c r="V109" s="20" t="n">
        <v>1</v>
      </c>
      <c r="W109" s="20" t="n">
        <v>0.953</v>
      </c>
      <c r="X109" s="20" t="n">
        <v>0.708</v>
      </c>
    </row>
    <row r="110">
      <c r="A110" s="18" t="inlineStr">
        <is>
          <t>세금과공과</t>
        </is>
      </c>
      <c r="C110" s="20" t="n">
        <v>0.35</v>
      </c>
      <c r="D110" s="20" t="n">
        <v>0.45</v>
      </c>
      <c r="E110" s="20" t="n">
        <v>1.09</v>
      </c>
      <c r="F110" s="20" t="n">
        <v>1.23</v>
      </c>
      <c r="G110" s="20" t="n">
        <v>-1.07</v>
      </c>
      <c r="H110" s="20" t="n">
        <v>0.8</v>
      </c>
      <c r="I110" s="20" t="n">
        <v>0.7</v>
      </c>
      <c r="J110" s="20" t="n">
        <v>0.6</v>
      </c>
      <c r="K110" s="20" t="n">
        <v>0.75</v>
      </c>
      <c r="L110" s="20" t="n">
        <v>0.75</v>
      </c>
      <c r="M110" s="20" t="n">
        <v>0.4</v>
      </c>
      <c r="N110" s="20" t="n">
        <v>0.85</v>
      </c>
      <c r="T110" s="20" t="n">
        <v>0.4</v>
      </c>
      <c r="U110" s="20" t="n">
        <v>0.2</v>
      </c>
      <c r="V110" s="20" t="n">
        <v>1.09</v>
      </c>
      <c r="W110" s="20" t="n">
        <v>0.7</v>
      </c>
      <c r="X110" s="20" t="n">
        <v>0.4</v>
      </c>
    </row>
    <row r="111">
      <c r="A111" s="18" t="inlineStr">
        <is>
          <t>외환차손</t>
        </is>
      </c>
      <c r="C111" s="20" t="n">
        <v>0</v>
      </c>
      <c r="D111" s="20" t="n">
        <v>0</v>
      </c>
      <c r="E111" s="20" t="n">
        <v>0</v>
      </c>
      <c r="F111" s="20" t="n">
        <v>2.387</v>
      </c>
      <c r="G111" s="20" t="n">
        <v>-0.78</v>
      </c>
      <c r="H111" s="20" t="n">
        <v>0.921</v>
      </c>
      <c r="I111" s="20" t="n">
        <v>0.864</v>
      </c>
      <c r="J111" s="20" t="n">
        <v>0</v>
      </c>
      <c r="K111" s="20" t="n">
        <v>0</v>
      </c>
      <c r="L111" s="20" t="n">
        <v>0</v>
      </c>
      <c r="M111" s="20" t="n">
        <v>0</v>
      </c>
      <c r="V111" s="20" t="n">
        <v>0</v>
      </c>
      <c r="W111" s="20" t="n">
        <v>0.864</v>
      </c>
      <c r="X111" s="20" t="n">
        <v>0</v>
      </c>
    </row>
    <row r="112">
      <c r="A112" s="18" t="inlineStr">
        <is>
          <t>주식보상비용</t>
        </is>
      </c>
      <c r="C112" s="20" t="n">
        <v>0.011</v>
      </c>
      <c r="D112" s="20" t="n">
        <v>0</v>
      </c>
      <c r="E112" s="20" t="n">
        <v>0</v>
      </c>
      <c r="F112" s="20" t="n">
        <v>0</v>
      </c>
      <c r="G112" s="20" t="n">
        <v>0</v>
      </c>
      <c r="H112" s="20" t="n">
        <v>0</v>
      </c>
      <c r="I112" s="20" t="n">
        <v>0</v>
      </c>
      <c r="T112" s="20" t="n">
        <v>0.245</v>
      </c>
      <c r="U112" s="20" t="n">
        <v>0.183</v>
      </c>
      <c r="V112" s="20" t="n">
        <v>0</v>
      </c>
      <c r="W112" s="20" t="n">
        <v>0</v>
      </c>
    </row>
    <row r="113">
      <c r="A113" s="18" t="inlineStr">
        <is>
          <t>유가증권 상환손실</t>
        </is>
      </c>
      <c r="T113" s="20" t="n">
        <v>0</v>
      </c>
      <c r="U113" s="20" t="n">
        <v>0</v>
      </c>
    </row>
    <row r="114">
      <c r="A114" s="18" t="inlineStr">
        <is>
          <t>기타</t>
        </is>
      </c>
      <c r="C114" s="20" t="n">
        <v>0.035</v>
      </c>
      <c r="D114" s="20" t="n">
        <v>0.046</v>
      </c>
      <c r="E114" s="20" t="n">
        <v>0.404</v>
      </c>
      <c r="F114" s="20" t="n">
        <v>0.474</v>
      </c>
      <c r="G114" s="20" t="n">
        <v>0.223</v>
      </c>
      <c r="H114" s="20" t="n">
        <v>0.066</v>
      </c>
      <c r="I114" s="20" t="n">
        <v>0.716</v>
      </c>
      <c r="J114" s="20" t="n">
        <v>0.032</v>
      </c>
      <c r="K114" s="20" t="n">
        <v>0.485</v>
      </c>
      <c r="L114" s="20" t="n">
        <v>0.947</v>
      </c>
      <c r="M114" s="20" t="n">
        <v>0.033</v>
      </c>
      <c r="N114" s="20" t="n">
        <v>0.031</v>
      </c>
      <c r="T114" s="20" t="n">
        <v>0.037</v>
      </c>
      <c r="U114" s="20" t="n">
        <v>0.038</v>
      </c>
      <c r="V114" s="20" t="n">
        <v>0.404</v>
      </c>
      <c r="W114" s="20" t="n">
        <v>0.716</v>
      </c>
      <c r="X114" s="20" t="n">
        <v>0.033</v>
      </c>
    </row>
    <row r="115">
      <c r="A115" s="18" t="inlineStr">
        <is>
          <t>영업외비용 합계</t>
        </is>
      </c>
      <c r="C115" s="20" t="n">
        <v>1.719</v>
      </c>
      <c r="D115" s="20" t="n">
        <v>0.949</v>
      </c>
      <c r="E115" s="20" t="n">
        <v>2.494</v>
      </c>
      <c r="F115" s="20" t="n">
        <v>5.905</v>
      </c>
      <c r="G115" s="20" t="n">
        <v>-0.427</v>
      </c>
      <c r="H115" s="20" t="n">
        <v>2.723</v>
      </c>
      <c r="I115" s="20" t="n">
        <v>4.733</v>
      </c>
      <c r="J115" s="20" t="n">
        <v>2.115</v>
      </c>
      <c r="K115" s="20" t="n">
        <v>2.899</v>
      </c>
      <c r="L115" s="20" t="n">
        <v>2.464</v>
      </c>
      <c r="M115" s="20" t="n">
        <v>13.527</v>
      </c>
      <c r="N115" s="20" t="n">
        <v>1.845</v>
      </c>
      <c r="T115" s="20" t="n">
        <v>1.057</v>
      </c>
      <c r="U115" s="20" t="n">
        <v>0.915</v>
      </c>
      <c r="V115" s="20" t="n">
        <v>2.494</v>
      </c>
      <c r="W115" s="20" t="n">
        <v>4.733</v>
      </c>
      <c r="X115" s="20" t="n">
        <v>13.527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IF(OR(G115="",C115=""),"",IF(G115*C115&lt;=0,"",IFERROR(G115/C115-1,"")))</f>
        <v/>
      </c>
      <c r="H116" s="15">
        <f>IF(OR(H115="",D115=""),"",IF(H115*D115&lt;=0,"",IFERROR(H115/D115-1,"")))</f>
        <v/>
      </c>
      <c r="I116" s="15">
        <f>IF(OR(I115="",E115=""),"",IF(I115*E115&lt;=0,"",IFERROR(I115/E115-1,"")))</f>
        <v/>
      </c>
      <c r="J116" s="15">
        <f>IF(OR(J115="",F115=""),"",IF(J115*F115&lt;=0,"",IFERROR(J115/F115-1,"")))</f>
        <v/>
      </c>
      <c r="K116" s="15">
        <f>IF(OR(K115="",G115=""),"",IF(K115*G115&lt;=0,"",IFERROR(K115/G115-1,"")))</f>
        <v/>
      </c>
      <c r="L116" s="15">
        <f>IF(OR(L115="",H115=""),"",IF(L115*H115&lt;=0,"",IFERROR(L115/H115-1,"")))</f>
        <v/>
      </c>
      <c r="M116" s="15">
        <f>IF(OR(M115="",I115=""),"",IF(M115*I115&lt;=0,"",IFERROR(M115/I115-1,"")))</f>
        <v/>
      </c>
      <c r="N116" s="15">
        <f>IF(OR(N115="",J115=""),"",IF(N115*J115&lt;=0,"",IFERROR(N115/J115-1,"")))</f>
        <v/>
      </c>
      <c r="T116" s="15">
        <f>IF(OR(T115="",S115=""),"",IF(T115*S115&lt;=0,"",IFERROR(T115/S115-1,"")))</f>
        <v/>
      </c>
      <c r="U116" s="15">
        <f>IF(OR(U115="",T115=""),"",IF(U115*T115&lt;=0,"",IFERROR(U115/T115-1,"")))</f>
        <v/>
      </c>
      <c r="V116" s="15">
        <f>IF(OR(V115="",U115=""),"",IF(V115*U115&lt;=0,"",IFERROR(V115/U115-1,"")))</f>
        <v/>
      </c>
      <c r="W116" s="15">
        <f>IF(OR(W115="",V115=""),"",IF(W115*V115&lt;=0,"",IFERROR(W115/V115-1,"")))</f>
        <v/>
      </c>
      <c r="X116" s="15">
        <f>IF(OR(X115="",W115=""),"",IF(X115*W115&lt;=0,"",IFERROR(X115/W115-1,"")))</f>
        <v/>
      </c>
    </row>
    <row r="117">
      <c r="A117" s="9" t="inlineStr">
        <is>
          <t>경상이익</t>
        </is>
      </c>
      <c r="C117" s="12" t="n">
        <v>332.19</v>
      </c>
      <c r="D117" s="12" t="n">
        <v>35.542</v>
      </c>
      <c r="E117" s="12" t="n">
        <v>280.681</v>
      </c>
      <c r="F117" s="12" t="n">
        <v>-119.305</v>
      </c>
      <c r="G117" s="12" t="n">
        <v>455.288</v>
      </c>
      <c r="H117" s="12" t="n">
        <v>-18.407</v>
      </c>
      <c r="I117" s="12" t="n">
        <v>703.4690000000001</v>
      </c>
      <c r="J117" s="12" t="n">
        <v>197.636</v>
      </c>
      <c r="K117" s="12" t="n">
        <v>351.279</v>
      </c>
      <c r="L117" s="12" t="n">
        <v>123.056</v>
      </c>
      <c r="M117" s="12" t="n">
        <v>502.441</v>
      </c>
      <c r="N117" s="12" t="n">
        <v>403.2</v>
      </c>
      <c r="T117" s="12" t="n">
        <v>152.832</v>
      </c>
      <c r="U117" s="12" t="n">
        <v>230.353</v>
      </c>
      <c r="V117" s="12" t="n">
        <v>280.681</v>
      </c>
      <c r="W117" s="12" t="n">
        <v>703.4690000000001</v>
      </c>
      <c r="X117" s="12" t="n">
        <v>502.441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IF(OR(G117="",C117=""),"",IF(C117&lt;=0,"",IFERROR(G117/C117-1,"")))</f>
        <v/>
      </c>
      <c r="H118" s="15">
        <f>IF(OR(H117="",D117=""),"",IF(D117&lt;=0,"",IFERROR(H117/D117-1,"")))</f>
        <v/>
      </c>
      <c r="I118" s="15">
        <f>IF(OR(I117="",E117=""),"",IF(E117&lt;=0,"",IFERROR(I117/E117-1,"")))</f>
        <v/>
      </c>
      <c r="J118" s="15">
        <f>IF(OR(J117="",F117=""),"",IF(F117&lt;=0,"",IFERROR(J117/F117-1,"")))</f>
        <v/>
      </c>
      <c r="K118" s="15">
        <f>IF(OR(K117="",G117=""),"",IF(G117&lt;=0,"",IFERROR(K117/G117-1,"")))</f>
        <v/>
      </c>
      <c r="L118" s="15">
        <f>IF(OR(L117="",H117=""),"",IF(H117&lt;=0,"",IFERROR(L117/H117-1,"")))</f>
        <v/>
      </c>
      <c r="M118" s="15">
        <f>IF(OR(M117="",I117=""),"",IF(I117&lt;=0,"",IFERROR(M117/I117-1,"")))</f>
        <v/>
      </c>
      <c r="N118" s="15">
        <f>IF(OR(N117="",J117=""),"",IF(J117&lt;=0,"",IFERROR(N117/J117-1,"")))</f>
        <v/>
      </c>
      <c r="T118" s="15">
        <f>IF(OR(T117="",S117=""),"",IF(S117&lt;=0,"",IFERROR(T117/S117-1,"")))</f>
        <v/>
      </c>
      <c r="U118" s="15">
        <f>IF(OR(U117="",T117=""),"",IF(T117&lt;=0,"",IFERROR(U117/T117-1,"")))</f>
        <v/>
      </c>
      <c r="V118" s="15">
        <f>IF(OR(V117="",U117=""),"",IF(U117&lt;=0,"",IFERROR(V117/U117-1,"")))</f>
        <v/>
      </c>
      <c r="W118" s="15">
        <f>IF(OR(W117="",V117=""),"",IF(V117&lt;=0,"",IFERROR(W117/V117-1,"")))</f>
        <v/>
      </c>
      <c r="X118" s="15">
        <f>IF(OR(X117="",W117=""),"",IF(W117&lt;=0,"",IFERROR(X117/W117-1,"")))</f>
        <v/>
      </c>
    </row>
    <row r="119">
      <c r="A119" s="18" t="inlineStr">
        <is>
          <t>퇴직급여제도 개정 이익</t>
        </is>
      </c>
      <c r="C119" s="20" t="n">
        <v>0</v>
      </c>
      <c r="D119" s="20" t="n">
        <v>0</v>
      </c>
      <c r="E119" s="20" t="n">
        <v>0</v>
      </c>
      <c r="T119" s="20" t="n">
        <v>0</v>
      </c>
      <c r="U119" s="20" t="n">
        <v>0</v>
      </c>
      <c r="V119" s="20" t="n">
        <v>0</v>
      </c>
    </row>
    <row r="120">
      <c r="A120" s="18" t="inlineStr">
        <is>
          <t>고정자산 매각이익</t>
        </is>
      </c>
      <c r="H120" s="20" t="n">
        <v>0</v>
      </c>
      <c r="I120" s="20" t="n">
        <v>0</v>
      </c>
      <c r="L120" s="20" t="n">
        <v>0.022</v>
      </c>
      <c r="M120" s="20" t="n">
        <v>-0.007</v>
      </c>
      <c r="T120" s="20" t="n">
        <v>0.459</v>
      </c>
      <c r="U120" s="20" t="n">
        <v>0.483</v>
      </c>
      <c r="W120" s="20" t="n">
        <v>0</v>
      </c>
      <c r="X120" s="20" t="n">
        <v>-0.007</v>
      </c>
    </row>
    <row r="121">
      <c r="A121" s="18" t="inlineStr">
        <is>
          <t>부의 영업권 발생이익</t>
        </is>
      </c>
      <c r="E121" s="20" t="n">
        <v>0</v>
      </c>
      <c r="T121" s="20" t="n">
        <v>0</v>
      </c>
      <c r="U121" s="20" t="n">
        <v>0</v>
      </c>
      <c r="V121" s="20" t="n">
        <v>0</v>
      </c>
    </row>
    <row r="122">
      <c r="A122" s="18" t="inlineStr">
        <is>
          <t>보험 해약환급금</t>
        </is>
      </c>
      <c r="C122" s="20" t="n">
        <v>0</v>
      </c>
      <c r="D122" s="20" t="n">
        <v>0</v>
      </c>
      <c r="E122" s="20" t="n">
        <v>0</v>
      </c>
      <c r="F122" s="20" t="n">
        <v>0</v>
      </c>
      <c r="G122" s="20" t="n">
        <v>0</v>
      </c>
      <c r="H122" s="20" t="n">
        <v>0</v>
      </c>
      <c r="I122" s="20" t="n">
        <v>0</v>
      </c>
      <c r="U122" s="20" t="n">
        <v>0</v>
      </c>
      <c r="V122" s="20" t="n">
        <v>0</v>
      </c>
      <c r="W122" s="20" t="n">
        <v>0</v>
      </c>
    </row>
    <row r="123">
      <c r="A123" s="18" t="inlineStr">
        <is>
          <t>특별이익 합계</t>
        </is>
      </c>
      <c r="C123" s="20" t="n">
        <v>0</v>
      </c>
      <c r="D123" s="20" t="n">
        <v>0</v>
      </c>
      <c r="E123" s="20" t="n">
        <v>1.344</v>
      </c>
      <c r="F123" s="20" t="n">
        <v>0</v>
      </c>
      <c r="G123" s="20" t="n">
        <v>0</v>
      </c>
      <c r="H123" s="20" t="n">
        <v>0</v>
      </c>
      <c r="I123" s="20" t="n">
        <v>29.019</v>
      </c>
      <c r="L123" s="20" t="n">
        <v>0.022</v>
      </c>
      <c r="M123" s="20" t="n">
        <v>-0.007</v>
      </c>
      <c r="T123" s="20" t="n">
        <v>0.459</v>
      </c>
      <c r="U123" s="20" t="n">
        <v>0.483</v>
      </c>
      <c r="V123" s="20" t="n">
        <v>1.344</v>
      </c>
      <c r="W123" s="20" t="n">
        <v>29.019</v>
      </c>
      <c r="X123" s="20" t="n">
        <v>-0.007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I124" s="15">
        <f>IF(OR(I123="",E123=""),"",IF(I123*E123&lt;=0,"",IFERROR(I123/E123-1,"")))</f>
        <v/>
      </c>
      <c r="L124" s="15">
        <f>IF(OR(L123="",H123=""),"",IF(L123*H123&lt;=0,"",IFERROR(L123/H123-1,"")))</f>
        <v/>
      </c>
      <c r="M124" s="15">
        <f>IF(OR(M123="",I123=""),"",IF(M123*I123&lt;=0,"",IFERROR(M123/I123-1,"")))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  <c r="W124" s="15">
        <f>IF(OR(W123="",V123=""),"",IF(W123*V123&lt;=0,"",IFERROR(W123/V123-1,"")))</f>
        <v/>
      </c>
      <c r="X124" s="15">
        <f>IF(OR(X123="",W123=""),"",IF(X123*W123&lt;=0,"",IFERROR(X123/W123-1,"")))</f>
        <v/>
      </c>
    </row>
    <row r="125">
      <c r="A125" s="18" t="inlineStr">
        <is>
          <t>고정자산 매각손실</t>
        </is>
      </c>
      <c r="I125" s="20" t="n">
        <v>-0.061</v>
      </c>
      <c r="M125" s="20" t="n">
        <v>0.005</v>
      </c>
      <c r="W125" s="20" t="n">
        <v>-0.061</v>
      </c>
      <c r="X125" s="20" t="n">
        <v>0.005</v>
      </c>
    </row>
    <row r="126">
      <c r="A126" s="18" t="inlineStr">
        <is>
          <t>고정자산 제각손실</t>
        </is>
      </c>
      <c r="H126" s="20" t="n">
        <v>0</v>
      </c>
      <c r="I126" s="20" t="n">
        <v>0.061</v>
      </c>
      <c r="J126" s="20" t="n">
        <v>0</v>
      </c>
      <c r="K126" s="20" t="n">
        <v>0</v>
      </c>
      <c r="L126" s="20" t="n">
        <v>0.166</v>
      </c>
      <c r="M126" s="20" t="n">
        <v>0</v>
      </c>
      <c r="N126" s="20" t="n">
        <v>0</v>
      </c>
      <c r="T126" s="20" t="n">
        <v>0</v>
      </c>
      <c r="U126" s="20" t="n">
        <v>0</v>
      </c>
      <c r="W126" s="20" t="n">
        <v>0.061</v>
      </c>
      <c r="X126" s="20" t="n">
        <v>0</v>
      </c>
    </row>
    <row r="127">
      <c r="A127" s="18" t="inlineStr">
        <is>
          <t>특별손실 합계</t>
        </is>
      </c>
      <c r="E127" s="20" t="n">
        <v>52.278</v>
      </c>
      <c r="H127" s="20" t="n">
        <v>0.061</v>
      </c>
      <c r="I127" s="20" t="n">
        <v>0</v>
      </c>
      <c r="J127" s="20" t="n">
        <v>0</v>
      </c>
      <c r="K127" s="20" t="n">
        <v>0</v>
      </c>
      <c r="L127" s="20" t="n">
        <v>0.305</v>
      </c>
      <c r="M127" s="20" t="n">
        <v>0.005</v>
      </c>
      <c r="N127" s="20" t="n">
        <v>0</v>
      </c>
      <c r="T127" s="20" t="n">
        <v>0</v>
      </c>
      <c r="U127" s="20" t="n">
        <v>0</v>
      </c>
      <c r="V127" s="20" t="n">
        <v>52.278</v>
      </c>
      <c r="W127" s="20" t="n">
        <v>0</v>
      </c>
      <c r="X127" s="20" t="n">
        <v>0.005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9" t="inlineStr">
        <is>
          <t>법인세차감전 순이익</t>
        </is>
      </c>
      <c r="C129" s="12" t="n">
        <v>332.19</v>
      </c>
      <c r="D129" s="12" t="n">
        <v>35.542</v>
      </c>
      <c r="E129" s="12" t="n">
        <v>229.746</v>
      </c>
      <c r="F129" s="12" t="n">
        <v>-119.305</v>
      </c>
      <c r="G129" s="12" t="n">
        <v>455.288</v>
      </c>
      <c r="H129" s="12" t="n">
        <v>-18.468</v>
      </c>
      <c r="I129" s="12" t="n">
        <v>732.487</v>
      </c>
      <c r="J129" s="12" t="n">
        <v>197.636</v>
      </c>
      <c r="K129" s="12" t="n">
        <v>351.751</v>
      </c>
      <c r="L129" s="12" t="n">
        <v>122.773</v>
      </c>
      <c r="M129" s="12" t="n">
        <v>502.429</v>
      </c>
      <c r="N129" s="12" t="n">
        <v>403.2</v>
      </c>
      <c r="T129" s="12" t="n">
        <v>153.291</v>
      </c>
      <c r="U129" s="12" t="n">
        <v>230.836</v>
      </c>
      <c r="V129" s="12" t="n">
        <v>229.746</v>
      </c>
      <c r="W129" s="12" t="n">
        <v>732.487</v>
      </c>
      <c r="X129" s="12" t="n">
        <v>502.429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IF(OR(G129="",C129=""),"",IF(C129&lt;=0,"",IFERROR(G129/C129-1,"")))</f>
        <v/>
      </c>
      <c r="H130" s="15">
        <f>IF(OR(H129="",D129=""),"",IF(D129&lt;=0,"",IFERROR(H129/D129-1,"")))</f>
        <v/>
      </c>
      <c r="I130" s="15">
        <f>IF(OR(I129="",E129=""),"",IF(E129&lt;=0,"",IFERROR(I129/E129-1,"")))</f>
        <v/>
      </c>
      <c r="J130" s="15">
        <f>IF(OR(J129="",F129=""),"",IF(F129&lt;=0,"",IFERROR(J129/F129-1,"")))</f>
        <v/>
      </c>
      <c r="K130" s="15">
        <f>IF(OR(K129="",G129=""),"",IF(G129&lt;=0,"",IFERROR(K129/G129-1,"")))</f>
        <v/>
      </c>
      <c r="L130" s="15">
        <f>IF(OR(L129="",H129=""),"",IF(H129&lt;=0,"",IFERROR(L129/H129-1,"")))</f>
        <v/>
      </c>
      <c r="M130" s="15">
        <f>IF(OR(M129="",I129=""),"",IF(I129&lt;=0,"",IFERROR(M129/I129-1,"")))</f>
        <v/>
      </c>
      <c r="N130" s="15">
        <f>IF(OR(N129="",J129=""),"",IF(J129&lt;=0,"",IFERROR(N129/J129-1,"")))</f>
        <v/>
      </c>
      <c r="T130" s="15">
        <f>IF(OR(T129="",S129=""),"",IF(S129&lt;=0,"",IFERROR(T129/S129-1,"")))</f>
        <v/>
      </c>
      <c r="U130" s="15">
        <f>IF(OR(U129="",T129=""),"",IF(T129&lt;=0,"",IFERROR(U129/T129-1,"")))</f>
        <v/>
      </c>
      <c r="V130" s="15">
        <f>IF(OR(V129="",U129=""),"",IF(U129&lt;=0,"",IFERROR(V129/U129-1,"")))</f>
        <v/>
      </c>
      <c r="W130" s="15">
        <f>IF(OR(W129="",V129=""),"",IF(V129&lt;=0,"",IFERROR(W129/V129-1,"")))</f>
        <v/>
      </c>
      <c r="X130" s="15">
        <f>IF(OR(X129="",W129=""),"",IF(W129&lt;=0,"",IFERROR(X129/W129-1,"")))</f>
        <v/>
      </c>
    </row>
    <row r="131">
      <c r="A131" s="18" t="inlineStr">
        <is>
          <t>법인세 등</t>
        </is>
      </c>
      <c r="C131" s="20" t="n">
        <v>126.626</v>
      </c>
      <c r="D131" s="20" t="n">
        <v>14.28</v>
      </c>
      <c r="E131" s="20" t="n">
        <v>60.656</v>
      </c>
      <c r="F131" s="20" t="n">
        <v>-33.079</v>
      </c>
      <c r="G131" s="20" t="n">
        <v>145.827</v>
      </c>
      <c r="H131" s="20" t="n">
        <v>0.9429999999999999</v>
      </c>
      <c r="I131" s="20" t="n">
        <v>247.242</v>
      </c>
      <c r="J131" s="20" t="n">
        <v>68.41</v>
      </c>
      <c r="K131" s="20" t="n">
        <v>122.185</v>
      </c>
      <c r="L131" s="20" t="n">
        <v>44.457</v>
      </c>
      <c r="M131" s="20" t="n">
        <v>86.175</v>
      </c>
      <c r="N131" s="20" t="n">
        <v>145.504</v>
      </c>
      <c r="T131" s="20" t="n">
        <v>69.52800000000001</v>
      </c>
      <c r="U131" s="20" t="n">
        <v>92.94499999999999</v>
      </c>
      <c r="V131" s="20" t="n">
        <v>60.656</v>
      </c>
      <c r="W131" s="20" t="n">
        <v>247.242</v>
      </c>
      <c r="X131" s="20" t="n">
        <v>86.175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순이익</t>
        </is>
      </c>
      <c r="C133" s="12" t="n">
        <v>205.564</v>
      </c>
      <c r="D133" s="12" t="n">
        <v>21.262</v>
      </c>
      <c r="E133" s="12" t="n">
        <v>169.09</v>
      </c>
      <c r="F133" s="12" t="n">
        <v>-86.22499999999999</v>
      </c>
      <c r="G133" s="12" t="n">
        <v>309.459</v>
      </c>
      <c r="H133" s="12" t="n">
        <v>-19.41</v>
      </c>
      <c r="I133" s="12" t="n">
        <v>485.244</v>
      </c>
      <c r="J133" s="12" t="n">
        <v>129.226</v>
      </c>
      <c r="K133" s="12" t="n">
        <v>229.566</v>
      </c>
      <c r="L133" s="12" t="n">
        <v>78.315</v>
      </c>
      <c r="M133" s="12" t="n">
        <v>416.254</v>
      </c>
      <c r="N133" s="12" t="n">
        <v>257.696</v>
      </c>
      <c r="T133" s="12" t="n">
        <v>83.76300000000001</v>
      </c>
      <c r="U133" s="12" t="n">
        <v>137.892</v>
      </c>
      <c r="V133" s="12" t="n">
        <v>169.09</v>
      </c>
      <c r="W133" s="12" t="n">
        <v>485.244</v>
      </c>
      <c r="X133" s="12" t="n">
        <v>416.254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9" t="inlineStr">
        <is>
          <t>지배주주 순이익</t>
        </is>
      </c>
      <c r="C135" s="12" t="n">
        <v>205.564</v>
      </c>
      <c r="D135" s="12" t="n">
        <v>21.262</v>
      </c>
      <c r="E135" s="12" t="n">
        <v>169.09</v>
      </c>
      <c r="F135" s="12" t="n">
        <v>-86.22499999999999</v>
      </c>
      <c r="G135" s="12" t="n">
        <v>309.459</v>
      </c>
      <c r="H135" s="12" t="n">
        <v>-19.41</v>
      </c>
      <c r="I135" s="12" t="n">
        <v>485.244</v>
      </c>
      <c r="J135" s="12" t="n">
        <v>129.226</v>
      </c>
      <c r="K135" s="12" t="n">
        <v>229.566</v>
      </c>
      <c r="L135" s="12" t="n">
        <v>78.315</v>
      </c>
      <c r="M135" s="12" t="n">
        <v>416.254</v>
      </c>
      <c r="N135" s="12" t="n">
        <v>257.696</v>
      </c>
      <c r="T135" s="12" t="n">
        <v>83.76300000000001</v>
      </c>
      <c r="U135" s="12" t="n">
        <v>137.892</v>
      </c>
      <c r="V135" s="12" t="n">
        <v>169.09</v>
      </c>
      <c r="W135" s="12" t="n">
        <v>485.244</v>
      </c>
      <c r="X135" s="12" t="n">
        <v>416.254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T136" s="15">
        <f>IF(OR(T135="",S135=""),"",IF(S135&lt;=0,"",IFERROR(T135/S135-1,"")))</f>
        <v/>
      </c>
      <c r="U136" s="15">
        <f>IF(OR(U135="",T135=""),"",IF(T135&lt;=0,"",IFERROR(U135/T135-1,"")))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8">
      <c r="A138" s="16" t="inlineStr">
        <is>
          <t>포괄손익 · 전 항목</t>
        </is>
      </c>
      <c r="B138" s="42" t="inlineStr">
        <is>
          <t>분기 = 3개월 단독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순이익</t>
        </is>
      </c>
      <c r="C140" s="12" t="n">
        <v>205.564</v>
      </c>
      <c r="D140" s="12" t="n">
        <v>21.262</v>
      </c>
      <c r="E140" s="12" t="n">
        <v>169.09</v>
      </c>
      <c r="F140" s="12" t="n">
        <v>-86.22499999999999</v>
      </c>
      <c r="G140" s="12" t="n">
        <v>309.459</v>
      </c>
      <c r="H140" s="12" t="n">
        <v>-19.41</v>
      </c>
      <c r="I140" s="12" t="n">
        <v>485.244</v>
      </c>
      <c r="J140" s="12" t="n">
        <v>129.226</v>
      </c>
      <c r="K140" s="12" t="n">
        <v>229.566</v>
      </c>
      <c r="L140" s="12" t="n">
        <v>78.315</v>
      </c>
      <c r="M140" s="12" t="n">
        <v>416.254</v>
      </c>
      <c r="N140" s="12" t="n">
        <v>257.696</v>
      </c>
      <c r="T140" s="12" t="n">
        <v>83.76300000000001</v>
      </c>
      <c r="U140" s="12" t="n">
        <v>137.892</v>
      </c>
      <c r="V140" s="12" t="n">
        <v>169.09</v>
      </c>
      <c r="W140" s="12" t="n">
        <v>485.244</v>
      </c>
      <c r="X140" s="12" t="n">
        <v>416.254</v>
      </c>
    </row>
    <row r="141">
      <c r="A141" s="18" t="inlineStr">
        <is>
          <t>기타유가증권 평가차액</t>
        </is>
      </c>
      <c r="C141" s="20" t="n">
        <v>13.019</v>
      </c>
      <c r="D141" s="20" t="n">
        <v>0.195</v>
      </c>
      <c r="E141" s="20" t="n">
        <v>18.853</v>
      </c>
      <c r="F141" s="20" t="n">
        <v>-0.77</v>
      </c>
      <c r="G141" s="20" t="n">
        <v>-3.018</v>
      </c>
      <c r="H141" s="20" t="n">
        <v>17.031</v>
      </c>
      <c r="I141" s="20" t="n">
        <v>10.568</v>
      </c>
      <c r="J141" s="20" t="n">
        <v>19.055</v>
      </c>
      <c r="K141" s="20" t="n">
        <v>35.054</v>
      </c>
      <c r="L141" s="20" t="n">
        <v>84.824</v>
      </c>
      <c r="M141" s="20" t="n">
        <v>-28.451</v>
      </c>
      <c r="N141" s="20" t="n">
        <v>-24.612</v>
      </c>
      <c r="T141" s="20" t="n">
        <v>1.299</v>
      </c>
      <c r="U141" s="20" t="n">
        <v>4.969</v>
      </c>
      <c r="V141" s="20" t="n">
        <v>18.853</v>
      </c>
      <c r="W141" s="20" t="n">
        <v>10.568</v>
      </c>
      <c r="X141" s="20" t="n">
        <v>-28.451</v>
      </c>
    </row>
    <row r="142">
      <c r="A142" s="18" t="inlineStr">
        <is>
          <t>해외사업환산조정</t>
        </is>
      </c>
      <c r="C142" s="20" t="n">
        <v>1.142</v>
      </c>
      <c r="D142" s="20" t="n">
        <v>-2.299</v>
      </c>
      <c r="E142" s="20" t="n">
        <v>1.544</v>
      </c>
      <c r="F142" s="20" t="n">
        <v>1.747</v>
      </c>
      <c r="G142" s="20" t="n">
        <v>-1.511</v>
      </c>
      <c r="H142" s="20" t="n">
        <v>3.882</v>
      </c>
      <c r="I142" s="20" t="n">
        <v>-1.99</v>
      </c>
      <c r="J142" s="20" t="n">
        <v>-1.133</v>
      </c>
      <c r="K142" s="20" t="n">
        <v>-0.502</v>
      </c>
      <c r="L142" s="20" t="n">
        <v>1.707</v>
      </c>
      <c r="M142" s="20" t="n">
        <v>1.105</v>
      </c>
      <c r="N142" s="20" t="n">
        <v>5.391</v>
      </c>
      <c r="T142" s="20" t="n">
        <v>2.237</v>
      </c>
      <c r="U142" s="20" t="n">
        <v>0.593</v>
      </c>
      <c r="V142" s="20" t="n">
        <v>1.544</v>
      </c>
      <c r="W142" s="20" t="n">
        <v>-1.99</v>
      </c>
      <c r="X142" s="20" t="n">
        <v>1.105</v>
      </c>
    </row>
    <row r="143">
      <c r="A143" s="18" t="inlineStr">
        <is>
          <t>기타포괄손익 합계</t>
        </is>
      </c>
      <c r="C143" s="20" t="n">
        <v>14.161</v>
      </c>
      <c r="D143" s="20" t="n">
        <v>-2.105</v>
      </c>
      <c r="E143" s="20" t="n">
        <v>20.397</v>
      </c>
      <c r="F143" s="20" t="n">
        <v>0.976</v>
      </c>
      <c r="G143" s="20" t="n">
        <v>-4.527</v>
      </c>
      <c r="H143" s="20" t="n">
        <v>20.913</v>
      </c>
      <c r="I143" s="20" t="n">
        <v>8.577</v>
      </c>
      <c r="J143" s="20" t="n">
        <v>17.921</v>
      </c>
      <c r="K143" s="20" t="n">
        <v>34.553</v>
      </c>
      <c r="L143" s="20" t="n">
        <v>86.532</v>
      </c>
      <c r="M143" s="20" t="n">
        <v>-27.346</v>
      </c>
      <c r="N143" s="20" t="n">
        <v>-19.221</v>
      </c>
      <c r="T143" s="20" t="n">
        <v>3.535</v>
      </c>
      <c r="U143" s="20" t="n">
        <v>5.561</v>
      </c>
      <c r="V143" s="20" t="n">
        <v>20.397</v>
      </c>
      <c r="W143" s="20" t="n">
        <v>8.577</v>
      </c>
      <c r="X143" s="20" t="n">
        <v>-27.346</v>
      </c>
    </row>
    <row r="144">
      <c r="A144" s="9" t="inlineStr">
        <is>
          <t>포괄이익</t>
        </is>
      </c>
      <c r="C144" s="12" t="n">
        <v>219.725</v>
      </c>
      <c r="D144" s="12" t="n">
        <v>19.158</v>
      </c>
      <c r="E144" s="12" t="n">
        <v>189.487</v>
      </c>
      <c r="F144" s="12" t="n">
        <v>-85.249</v>
      </c>
      <c r="G144" s="12" t="n">
        <v>304.932</v>
      </c>
      <c r="H144" s="12" t="n">
        <v>1.503</v>
      </c>
      <c r="I144" s="12" t="n">
        <v>493.822</v>
      </c>
      <c r="J144" s="12" t="n">
        <v>147.147</v>
      </c>
      <c r="K144" s="12" t="n">
        <v>264.119</v>
      </c>
      <c r="L144" s="12" t="n">
        <v>164.848</v>
      </c>
      <c r="M144" s="12" t="n">
        <v>388.907</v>
      </c>
      <c r="N144" s="12" t="n">
        <v>238.475</v>
      </c>
      <c r="T144" s="12" t="n">
        <v>87.29900000000001</v>
      </c>
      <c r="U144" s="12" t="n">
        <v>143.453</v>
      </c>
      <c r="V144" s="12" t="n">
        <v>189.487</v>
      </c>
      <c r="W144" s="12" t="n">
        <v>493.822</v>
      </c>
      <c r="X144" s="12" t="n">
        <v>388.907</v>
      </c>
    </row>
    <row r="145">
      <c r="A145" s="9" t="inlineStr">
        <is>
          <t>지배주주 포괄이익</t>
        </is>
      </c>
      <c r="C145" s="12" t="n">
        <v>219.725</v>
      </c>
      <c r="D145" s="12" t="n">
        <v>19.158</v>
      </c>
      <c r="E145" s="12" t="n">
        <v>189.487</v>
      </c>
      <c r="F145" s="12" t="n">
        <v>-85.249</v>
      </c>
      <c r="G145" s="12" t="n">
        <v>304.932</v>
      </c>
      <c r="H145" s="12" t="n">
        <v>1.503</v>
      </c>
      <c r="I145" s="12" t="n">
        <v>493.822</v>
      </c>
      <c r="J145" s="12" t="n">
        <v>147.147</v>
      </c>
      <c r="K145" s="12" t="n">
        <v>264.119</v>
      </c>
      <c r="L145" s="12" t="n">
        <v>164.848</v>
      </c>
      <c r="M145" s="12" t="n">
        <v>388.907</v>
      </c>
      <c r="N145" s="12" t="n">
        <v>238.475</v>
      </c>
      <c r="T145" s="12" t="n">
        <v>87.29900000000001</v>
      </c>
      <c r="U145" s="12" t="n">
        <v>143.453</v>
      </c>
      <c r="V145" s="12" t="n">
        <v>189.487</v>
      </c>
      <c r="W145" s="12" t="n">
        <v>493.822</v>
      </c>
      <c r="X145" s="12" t="n">
        <v>388.907</v>
      </c>
    </row>
    <row r="147">
      <c r="A147" s="16" t="inlineStr">
        <is>
          <t>부문 · 전 항목</t>
        </is>
      </c>
      <c r="B147" s="42" t="inlineStr">
        <is>
          <t>부문 · 항목</t>
        </is>
      </c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2024.2Q</t>
        </is>
      </c>
      <c r="D148" s="5" t="inlineStr">
        <is>
          <t>2024.3Q</t>
        </is>
      </c>
      <c r="E148" s="5" t="inlineStr">
        <is>
          <t>2024.4Q</t>
        </is>
      </c>
      <c r="F148" s="5" t="inlineStr">
        <is>
          <t>2025.1Q</t>
        </is>
      </c>
      <c r="G148" s="5" t="inlineStr">
        <is>
          <t>2025.2Q</t>
        </is>
      </c>
      <c r="H148" s="5" t="inlineStr">
        <is>
          <t>2025.3Q</t>
        </is>
      </c>
      <c r="I148" s="5" t="inlineStr">
        <is>
          <t>2025.4Q</t>
        </is>
      </c>
      <c r="J148" s="5" t="inlineStr">
        <is>
          <t>2026.1Q</t>
        </is>
      </c>
      <c r="K148" s="5" t="inlineStr">
        <is>
          <t>2026.2Q</t>
        </is>
      </c>
      <c r="L148" s="5" t="inlineStr">
        <is>
          <t>2026.3Q</t>
        </is>
      </c>
      <c r="M148" s="5" t="inlineStr">
        <is>
          <t>2026.4Q</t>
        </is>
      </c>
      <c r="N148" s="5" t="inlineStr">
        <is>
          <t>2027.1Q</t>
        </is>
      </c>
      <c r="O148" s="5" t="inlineStr">
        <is>
          <t>2017</t>
        </is>
      </c>
      <c r="P148" s="5" t="inlineStr">
        <is>
          <t>2018</t>
        </is>
      </c>
      <c r="Q148" s="5" t="inlineStr">
        <is>
          <t>2019</t>
        </is>
      </c>
      <c r="R148" s="5" t="inlineStr">
        <is>
          <t>2020</t>
        </is>
      </c>
      <c r="S148" s="5" t="inlineStr">
        <is>
          <t>2021</t>
        </is>
      </c>
      <c r="T148" s="5" t="inlineStr">
        <is>
          <t>2022</t>
        </is>
      </c>
      <c r="U148" s="5" t="inlineStr">
        <is>
          <t>2023</t>
        </is>
      </c>
      <c r="V148" s="5" t="inlineStr">
        <is>
          <t>2024</t>
        </is>
      </c>
      <c r="W148" s="5" t="inlineStr">
        <is>
          <t>2025</t>
        </is>
      </c>
      <c r="X148" s="5" t="inlineStr">
        <is>
          <t>2026</t>
        </is>
      </c>
      <c r="Y148" s="5" t="inlineStr">
        <is>
          <t>2027(MW)</t>
        </is>
      </c>
      <c r="Z148" s="5" t="inlineStr">
        <is>
          <t>2028(MW)</t>
        </is>
      </c>
      <c r="AA148" s="5" t="inlineStr">
        <is>
          <t>2029(MW)</t>
        </is>
      </c>
      <c r="AB148" s="5" t="inlineStr">
        <is>
          <t>2030(MW)</t>
        </is>
      </c>
      <c r="AC148" s="5" t="inlineStr">
        <is>
          <t>2031(MW)</t>
        </is>
      </c>
    </row>
    <row r="149">
      <c r="A149" s="18" t="inlineStr">
        <is>
          <t>MentenansReportableSegmentMember · 외부 고객 매출</t>
        </is>
      </c>
      <c r="C149" s="20" t="n">
        <v>4574.927</v>
      </c>
      <c r="D149" s="20" t="n">
        <v>4037.523</v>
      </c>
      <c r="E149" s="20" t="n">
        <v>4746.18</v>
      </c>
      <c r="F149" s="20" t="n">
        <v>3803.708</v>
      </c>
      <c r="G149" s="20" t="n">
        <v>5040.332</v>
      </c>
      <c r="H149" s="20" t="n">
        <v>4109.043</v>
      </c>
      <c r="I149" s="20" t="n">
        <v>5620.271</v>
      </c>
      <c r="J149" s="20" t="n">
        <v>5285.034</v>
      </c>
      <c r="K149" s="20" t="n">
        <v>5292.249</v>
      </c>
      <c r="L149" s="20" t="n">
        <v>5277.874</v>
      </c>
      <c r="M149" s="20" t="n">
        <v>5814.843</v>
      </c>
      <c r="N149" s="20" t="n">
        <v>6146.709</v>
      </c>
      <c r="V149" s="20" t="n">
        <v>4746.18</v>
      </c>
      <c r="W149" s="20" t="n">
        <v>5620.271</v>
      </c>
      <c r="X149" s="20" t="n">
        <v>5814.843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ServiseReportableSegmentMember · 외부 고객 매출</t>
        </is>
      </c>
      <c r="C151" s="20" t="n">
        <v>494.625</v>
      </c>
      <c r="D151" s="20" t="n">
        <v>458.432</v>
      </c>
      <c r="E151" s="20" t="n">
        <v>581.898</v>
      </c>
      <c r="F151" s="20" t="n">
        <v>318.772</v>
      </c>
      <c r="G151" s="20" t="n">
        <v>368.798</v>
      </c>
      <c r="H151" s="20" t="n">
        <v>568.794</v>
      </c>
      <c r="I151" s="20" t="n">
        <v>806.354</v>
      </c>
      <c r="J151" s="20" t="n">
        <v>671.869</v>
      </c>
      <c r="K151" s="20" t="n">
        <v>677.254</v>
      </c>
      <c r="L151" s="20" t="n">
        <v>724.046</v>
      </c>
      <c r="M151" s="20" t="n">
        <v>510.285</v>
      </c>
      <c r="N151" s="20" t="n">
        <v>614.771</v>
      </c>
      <c r="V151" s="20" t="n">
        <v>581.898</v>
      </c>
      <c r="W151" s="20" t="n">
        <v>806.354</v>
      </c>
      <c r="X151" s="20" t="n">
        <v>510.285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합계 · 외부 고객 매출</t>
        </is>
      </c>
      <c r="E153" s="20" t="n">
        <v>5328.078</v>
      </c>
      <c r="F153" s="20" t="n">
        <v>4122.481</v>
      </c>
      <c r="G153" s="20" t="n">
        <v>5409.129</v>
      </c>
      <c r="H153" s="20" t="n">
        <v>4677.838</v>
      </c>
      <c r="I153" s="20" t="n">
        <v>6426.624</v>
      </c>
      <c r="J153" s="20" t="n">
        <v>5956.904</v>
      </c>
      <c r="K153" s="20" t="n">
        <v>5969.503</v>
      </c>
      <c r="L153" s="20" t="n">
        <v>6001.919</v>
      </c>
      <c r="M153" s="20" t="n">
        <v>6325.128</v>
      </c>
      <c r="N153" s="20" t="n">
        <v>6761.48</v>
      </c>
      <c r="V153" s="20" t="n">
        <v>5328.078</v>
      </c>
      <c r="W153" s="20" t="n">
        <v>6426.624</v>
      </c>
      <c r="X153" s="20" t="n">
        <v>6325.128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조정액 · 외부 고객 매출</t>
        </is>
      </c>
      <c r="C155" s="20" t="n">
        <v>0</v>
      </c>
      <c r="D155" s="20" t="n">
        <v>0</v>
      </c>
      <c r="E155" s="20" t="n">
        <v>0</v>
      </c>
      <c r="F155" s="20" t="n">
        <v>0</v>
      </c>
      <c r="G155" s="20" t="n">
        <v>0</v>
      </c>
      <c r="H155" s="20" t="n">
        <v>0</v>
      </c>
      <c r="I155" s="20" t="n">
        <v>0</v>
      </c>
      <c r="J155" s="20" t="n">
        <v>0</v>
      </c>
      <c r="K155" s="20" t="n">
        <v>0</v>
      </c>
      <c r="L155" s="20" t="n">
        <v>0</v>
      </c>
      <c r="M155" s="20" t="n">
        <v>0</v>
      </c>
      <c r="N155" s="20" t="n">
        <v>0</v>
      </c>
      <c r="V155" s="20" t="n">
        <v>0</v>
      </c>
      <c r="W155" s="20" t="n">
        <v>0</v>
      </c>
      <c r="X155" s="20" t="n">
        <v>0</v>
      </c>
    </row>
    <row r="156">
      <c r="A156" s="9" t="inlineStr">
        <is>
          <t>외부 고객 매출</t>
        </is>
      </c>
      <c r="C156" s="12" t="n">
        <v>5069.553</v>
      </c>
      <c r="D156" s="12" t="n">
        <v>4495.955</v>
      </c>
      <c r="E156" s="12" t="n">
        <v>5328.078</v>
      </c>
      <c r="F156" s="12" t="n">
        <v>4122.481</v>
      </c>
      <c r="G156" s="12" t="n">
        <v>5409.129</v>
      </c>
      <c r="H156" s="12" t="n">
        <v>4677.838</v>
      </c>
      <c r="I156" s="12" t="n">
        <v>6426.624</v>
      </c>
      <c r="V156" s="12" t="n">
        <v>5328.078</v>
      </c>
      <c r="W156" s="12" t="n">
        <v>6426.624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</row>
    <row r="158">
      <c r="A158" s="18" t="inlineStr">
        <is>
          <t>EntityTotalMember · 외부 고객 매출</t>
        </is>
      </c>
      <c r="F158" s="20" t="n">
        <v>4122.481</v>
      </c>
      <c r="J158" s="20" t="n">
        <v>5956.904</v>
      </c>
      <c r="N158" s="20" t="n">
        <v>6761.48</v>
      </c>
    </row>
    <row r="159">
      <c r="A159" s="18" t="inlineStr">
        <is>
          <t>MentenansReportableSegmentMember · 부문 간 내부매출·대체</t>
        </is>
      </c>
      <c r="C159" s="20" t="n">
        <v>0</v>
      </c>
      <c r="D159" s="20" t="n">
        <v>0</v>
      </c>
      <c r="E159" s="20" t="n">
        <v>0</v>
      </c>
      <c r="F159" s="20" t="n">
        <v>0</v>
      </c>
      <c r="G159" s="20" t="n">
        <v>0</v>
      </c>
      <c r="H159" s="20" t="n">
        <v>0</v>
      </c>
      <c r="I159" s="20" t="n">
        <v>0</v>
      </c>
      <c r="J159" s="20" t="n">
        <v>0</v>
      </c>
      <c r="K159" s="20" t="n">
        <v>26.77</v>
      </c>
      <c r="L159" s="20" t="n">
        <v>0</v>
      </c>
      <c r="M159" s="20" t="n">
        <v>0</v>
      </c>
      <c r="N159" s="20" t="n">
        <v>0.599</v>
      </c>
      <c r="V159" s="20" t="n">
        <v>0</v>
      </c>
      <c r="W159" s="20" t="n">
        <v>0</v>
      </c>
      <c r="X159" s="20" t="n">
        <v>0</v>
      </c>
    </row>
    <row r="160">
      <c r="A160" s="18" t="inlineStr">
        <is>
          <t>ServiseReportableSegmentMember · 부문 간 내부매출·대체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10</v>
      </c>
      <c r="H160" s="20" t="n">
        <v>0</v>
      </c>
      <c r="I160" s="20" t="n">
        <v>0</v>
      </c>
      <c r="J160" s="20" t="n">
        <v>8.199999999999999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18" t="inlineStr">
        <is>
          <t>합계 · 부문 간 내부매출·대체</t>
        </is>
      </c>
      <c r="E161" s="20" t="n">
        <v>0</v>
      </c>
      <c r="F161" s="20" t="n">
        <v>0</v>
      </c>
      <c r="G161" s="20" t="n">
        <v>10</v>
      </c>
      <c r="H161" s="20" t="n">
        <v>0</v>
      </c>
      <c r="I161" s="20" t="n">
        <v>0</v>
      </c>
      <c r="J161" s="20" t="n">
        <v>8.199999999999999</v>
      </c>
      <c r="K161" s="20" t="n">
        <v>26.77</v>
      </c>
      <c r="L161" s="20" t="n">
        <v>0</v>
      </c>
      <c r="M161" s="20" t="n">
        <v>0</v>
      </c>
      <c r="N161" s="20" t="n">
        <v>0.599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조정액 · 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-10</v>
      </c>
      <c r="H162" s="20" t="n">
        <v>0</v>
      </c>
      <c r="I162" s="20" t="n">
        <v>0</v>
      </c>
      <c r="J162" s="20" t="n">
        <v>-8.199999999999999</v>
      </c>
      <c r="K162" s="20" t="n">
        <v>-26.77</v>
      </c>
      <c r="L162" s="20" t="n">
        <v>0</v>
      </c>
      <c r="M162" s="20" t="n">
        <v>0</v>
      </c>
      <c r="N162" s="20" t="n">
        <v>-0.599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부문 간 내부매출·대체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V163" s="20" t="n">
        <v>0</v>
      </c>
      <c r="W163" s="20" t="n">
        <v>0</v>
      </c>
    </row>
    <row r="164">
      <c r="A164" s="18" t="inlineStr">
        <is>
          <t>EntityTotalMember · 부문 간 내부매출·대체</t>
        </is>
      </c>
      <c r="F164" s="20" t="n">
        <v>0</v>
      </c>
      <c r="J164" s="20" t="n">
        <v>0</v>
      </c>
      <c r="N164" s="20" t="n">
        <v>0</v>
      </c>
    </row>
    <row r="165">
      <c r="A165" s="18" t="inlineStr">
        <is>
          <t>MentenansReportableSegmentMember · 계</t>
        </is>
      </c>
      <c r="C165" s="20" t="n">
        <v>4574.927</v>
      </c>
      <c r="D165" s="20" t="n">
        <v>4037.523</v>
      </c>
      <c r="E165" s="20" t="n">
        <v>4746.18</v>
      </c>
      <c r="F165" s="20" t="n">
        <v>3803.708</v>
      </c>
      <c r="G165" s="20" t="n">
        <v>5040.332</v>
      </c>
      <c r="H165" s="20" t="n">
        <v>4109.043</v>
      </c>
      <c r="I165" s="20" t="n">
        <v>5620.271</v>
      </c>
      <c r="J165" s="20" t="n">
        <v>5285.034</v>
      </c>
      <c r="K165" s="20" t="n">
        <v>5319.019</v>
      </c>
      <c r="L165" s="20" t="n">
        <v>5277.874</v>
      </c>
      <c r="M165" s="20" t="n">
        <v>5814.843</v>
      </c>
      <c r="N165" s="20" t="n">
        <v>6147.308</v>
      </c>
      <c r="V165" s="20" t="n">
        <v>4746.18</v>
      </c>
      <c r="W165" s="20" t="n">
        <v>5620.271</v>
      </c>
      <c r="X165" s="20" t="n">
        <v>5814.843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ServiseReportableSegmentMember · 계</t>
        </is>
      </c>
      <c r="C167" s="20" t="n">
        <v>494.625</v>
      </c>
      <c r="D167" s="20" t="n">
        <v>458.432</v>
      </c>
      <c r="E167" s="20" t="n">
        <v>581.898</v>
      </c>
      <c r="F167" s="20" t="n">
        <v>318.772</v>
      </c>
      <c r="G167" s="20" t="n">
        <v>378.798</v>
      </c>
      <c r="H167" s="20" t="n">
        <v>568.794</v>
      </c>
      <c r="I167" s="20" t="n">
        <v>806.354</v>
      </c>
      <c r="J167" s="20" t="n">
        <v>680.069</v>
      </c>
      <c r="K167" s="20" t="n">
        <v>677.254</v>
      </c>
      <c r="L167" s="20" t="n">
        <v>724.046</v>
      </c>
      <c r="M167" s="20" t="n">
        <v>510.285</v>
      </c>
      <c r="N167" s="20" t="n">
        <v>614.771</v>
      </c>
      <c r="V167" s="20" t="n">
        <v>581.898</v>
      </c>
      <c r="W167" s="20" t="n">
        <v>806.354</v>
      </c>
      <c r="X167" s="20" t="n">
        <v>510.285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합계 · 계</t>
        </is>
      </c>
      <c r="E169" s="20" t="n">
        <v>5328.078</v>
      </c>
      <c r="F169" s="20" t="n">
        <v>4122.481</v>
      </c>
      <c r="G169" s="20" t="n">
        <v>5419.129</v>
      </c>
      <c r="H169" s="20" t="n">
        <v>4677.838</v>
      </c>
      <c r="I169" s="20" t="n">
        <v>6426.624</v>
      </c>
      <c r="J169" s="20" t="n">
        <v>5965.104</v>
      </c>
      <c r="K169" s="20" t="n">
        <v>5996.273</v>
      </c>
      <c r="L169" s="20" t="n">
        <v>6001.919</v>
      </c>
      <c r="M169" s="20" t="n">
        <v>6325.128</v>
      </c>
      <c r="N169" s="20" t="n">
        <v>6762.079</v>
      </c>
      <c r="V169" s="20" t="n">
        <v>5328.078</v>
      </c>
      <c r="W169" s="20" t="n">
        <v>6426.624</v>
      </c>
      <c r="X169" s="20" t="n">
        <v>6325.128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조정액 · 계</t>
        </is>
      </c>
      <c r="C171" s="20" t="n">
        <v>0</v>
      </c>
      <c r="D171" s="20" t="n">
        <v>0</v>
      </c>
      <c r="E171" s="20" t="n">
        <v>0</v>
      </c>
      <c r="F171" s="20" t="n">
        <v>0</v>
      </c>
      <c r="G171" s="20" t="n">
        <v>-10</v>
      </c>
      <c r="H171" s="20" t="n">
        <v>0</v>
      </c>
      <c r="I171" s="20" t="n">
        <v>0</v>
      </c>
      <c r="J171" s="20" t="n">
        <v>-8.199999999999999</v>
      </c>
      <c r="K171" s="20" t="n">
        <v>-26.77</v>
      </c>
      <c r="L171" s="20" t="n">
        <v>0</v>
      </c>
      <c r="M171" s="20" t="n">
        <v>0</v>
      </c>
      <c r="N171" s="20" t="n">
        <v>-0.599</v>
      </c>
      <c r="V171" s="20" t="n">
        <v>0</v>
      </c>
      <c r="W171" s="20" t="n">
        <v>0</v>
      </c>
      <c r="X171" s="20" t="n">
        <v>0</v>
      </c>
    </row>
    <row r="172">
      <c r="A172" s="9" t="inlineStr">
        <is>
          <t>계</t>
        </is>
      </c>
      <c r="C172" s="12" t="n">
        <v>5069.553</v>
      </c>
      <c r="D172" s="12" t="n">
        <v>4495.955</v>
      </c>
      <c r="E172" s="12" t="n">
        <v>5328.078</v>
      </c>
      <c r="F172" s="12" t="n">
        <v>4122.481</v>
      </c>
      <c r="G172" s="12" t="n">
        <v>5409.129</v>
      </c>
      <c r="H172" s="12" t="n">
        <v>4677.838</v>
      </c>
      <c r="I172" s="12" t="n">
        <v>6426.624</v>
      </c>
      <c r="V172" s="12" t="n">
        <v>5328.078</v>
      </c>
      <c r="W172" s="12" t="n">
        <v>6426.624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</row>
    <row r="174">
      <c r="A174" s="18" t="inlineStr">
        <is>
          <t>EntityTotalMember · 계</t>
        </is>
      </c>
      <c r="F174" s="20" t="n">
        <v>4122.481</v>
      </c>
      <c r="J174" s="20" t="n">
        <v>5956.904</v>
      </c>
      <c r="N174" s="20" t="n">
        <v>6761.48</v>
      </c>
    </row>
    <row r="175">
      <c r="A175" s="18" t="inlineStr">
        <is>
          <t>MentenansReportableSegmentMember · 부문 이익</t>
        </is>
      </c>
      <c r="C175" s="20" t="n">
        <v>301.967</v>
      </c>
      <c r="D175" s="20" t="n">
        <v>30.365</v>
      </c>
      <c r="E175" s="20" t="n">
        <v>259.823</v>
      </c>
      <c r="F175" s="20" t="n">
        <v>-115.027</v>
      </c>
      <c r="G175" s="20" t="n">
        <v>451.834</v>
      </c>
      <c r="H175" s="20" t="n">
        <v>-36.527</v>
      </c>
      <c r="I175" s="20" t="n">
        <v>609.083</v>
      </c>
      <c r="J175" s="20" t="n">
        <v>130.099</v>
      </c>
      <c r="K175" s="20" t="n">
        <v>318.502</v>
      </c>
      <c r="L175" s="20" t="n">
        <v>74.637</v>
      </c>
      <c r="M175" s="20" t="n">
        <v>546.766</v>
      </c>
      <c r="N175" s="20" t="n">
        <v>302.053</v>
      </c>
      <c r="V175" s="20" t="n">
        <v>259.823</v>
      </c>
      <c r="W175" s="20" t="n">
        <v>609.083</v>
      </c>
      <c r="X175" s="20" t="n">
        <v>546.766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IF(OR(C175="",C165=""),"",IF(C165&lt;=0,"",IFERROR(C175/C165,"")))</f>
        <v/>
      </c>
      <c r="D176" s="15">
        <f>IF(OR(D175="",D165=""),"",IF(D165&lt;=0,"",IFERROR(D175/D165,"")))</f>
        <v/>
      </c>
      <c r="E176" s="15">
        <f>IF(OR(E175="",E165=""),"",IF(E165&lt;=0,"",IFERROR(E175/E165,"")))</f>
        <v/>
      </c>
      <c r="F176" s="15">
        <f>IF(OR(F175="",F165=""),"",IF(F165&lt;=0,"",IFERROR(F175/F165,"")))</f>
        <v/>
      </c>
      <c r="G176" s="15">
        <f>IF(OR(G175="",G165=""),"",IF(G165&lt;=0,"",IFERROR(G175/G165,"")))</f>
        <v/>
      </c>
      <c r="H176" s="15">
        <f>IF(OR(H175="",H165=""),"",IF(H165&lt;=0,"",IFERROR(H175/H165,"")))</f>
        <v/>
      </c>
      <c r="I176" s="15">
        <f>IF(OR(I175="",I165=""),"",IF(I165&lt;=0,"",IFERROR(I175/I165,"")))</f>
        <v/>
      </c>
      <c r="J176" s="15">
        <f>IF(OR(J175="",J165=""),"",IF(J165&lt;=0,"",IFERROR(J175/J165,"")))</f>
        <v/>
      </c>
      <c r="K176" s="15">
        <f>IF(OR(K175="",K165=""),"",IF(K165&lt;=0,"",IFERROR(K175/K165,"")))</f>
        <v/>
      </c>
      <c r="L176" s="15">
        <f>IF(OR(L175="",L165=""),"",IF(L165&lt;=0,"",IFERROR(L175/L165,"")))</f>
        <v/>
      </c>
      <c r="M176" s="15">
        <f>IF(OR(M175="",M165=""),"",IF(M165&lt;=0,"",IFERROR(M175/M165,"")))</f>
        <v/>
      </c>
      <c r="N176" s="15">
        <f>IF(OR(N175="",N165=""),"",IF(N165&lt;=0,"",IFERROR(N175/N165,"")))</f>
        <v/>
      </c>
      <c r="V176" s="15">
        <f>IF(OR(V175="",V165=""),"",IF(V165&lt;=0,"",IFERROR(V175/V165,"")))</f>
        <v/>
      </c>
      <c r="W176" s="15">
        <f>IF(OR(W175="",W165=""),"",IF(W165&lt;=0,"",IFERROR(W175/W165,"")))</f>
        <v/>
      </c>
      <c r="X176" s="15">
        <f>IF(OR(X175="",X165=""),"",IF(X165&lt;=0,"",IFERROR(X175/X165,"")))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ServiseReportableSegmentMember · 부문 이익</t>
        </is>
      </c>
      <c r="C178" s="20" t="n">
        <v>25.65</v>
      </c>
      <c r="D178" s="20" t="n">
        <v>4.045</v>
      </c>
      <c r="E178" s="20" t="n">
        <v>6.931</v>
      </c>
      <c r="F178" s="20" t="n">
        <v>-1.557</v>
      </c>
      <c r="G178" s="20" t="n">
        <v>-0.111</v>
      </c>
      <c r="H178" s="20" t="n">
        <v>16.982</v>
      </c>
      <c r="I178" s="20" t="n">
        <v>96.057</v>
      </c>
      <c r="J178" s="20" t="n">
        <v>65.607</v>
      </c>
      <c r="K178" s="20" t="n">
        <v>32.211</v>
      </c>
      <c r="L178" s="20" t="n">
        <v>46.824</v>
      </c>
      <c r="M178" s="20" t="n">
        <v>-41.277</v>
      </c>
      <c r="N178" s="20" t="n">
        <v>97.791</v>
      </c>
      <c r="V178" s="20" t="n">
        <v>6.931</v>
      </c>
      <c r="W178" s="20" t="n">
        <v>96.057</v>
      </c>
      <c r="X178" s="20" t="n">
        <v>-41.277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IF(OR(C178="",C167=""),"",IF(C167&lt;=0,"",IFERROR(C178/C167,"")))</f>
        <v/>
      </c>
      <c r="D179" s="15">
        <f>IF(OR(D178="",D167=""),"",IF(D167&lt;=0,"",IFERROR(D178/D167,"")))</f>
        <v/>
      </c>
      <c r="E179" s="15">
        <f>IF(OR(E178="",E167=""),"",IF(E167&lt;=0,"",IFERROR(E178/E167,"")))</f>
        <v/>
      </c>
      <c r="F179" s="15">
        <f>IF(OR(F178="",F167=""),"",IF(F167&lt;=0,"",IFERROR(F178/F167,"")))</f>
        <v/>
      </c>
      <c r="G179" s="15">
        <f>IF(OR(G178="",G167=""),"",IF(G167&lt;=0,"",IFERROR(G178/G167,"")))</f>
        <v/>
      </c>
      <c r="H179" s="15">
        <f>IF(OR(H178="",H167=""),"",IF(H167&lt;=0,"",IFERROR(H178/H167,"")))</f>
        <v/>
      </c>
      <c r="I179" s="15">
        <f>IF(OR(I178="",I167=""),"",IF(I167&lt;=0,"",IFERROR(I178/I167,"")))</f>
        <v/>
      </c>
      <c r="J179" s="15">
        <f>IF(OR(J178="",J167=""),"",IF(J167&lt;=0,"",IFERROR(J178/J167,"")))</f>
        <v/>
      </c>
      <c r="K179" s="15">
        <f>IF(OR(K178="",K167=""),"",IF(K167&lt;=0,"",IFERROR(K178/K167,"")))</f>
        <v/>
      </c>
      <c r="L179" s="15">
        <f>IF(OR(L178="",L167=""),"",IF(L167&lt;=0,"",IFERROR(L178/L167,"")))</f>
        <v/>
      </c>
      <c r="M179" s="15">
        <f>IF(OR(M178="",M167=""),"",IF(M167&lt;=0,"",IFERROR(M178/M167,"")))</f>
        <v/>
      </c>
      <c r="N179" s="15">
        <f>IF(OR(N178="",N167=""),"",IF(N167&lt;=0,"",IFERROR(N178/N167,"")))</f>
        <v/>
      </c>
      <c r="V179" s="15">
        <f>IF(OR(V178="",V167=""),"",IF(V167&lt;=0,"",IFERROR(V178/V167,"")))</f>
        <v/>
      </c>
      <c r="W179" s="15">
        <f>IF(OR(W178="",W167=""),"",IF(W167&lt;=0,"",IFERROR(W178/W167,"")))</f>
        <v/>
      </c>
      <c r="X179" s="15">
        <f>IF(OR(X178="",X167=""),"",IF(X167&lt;=0,"",IFERROR(X178/X167,"")))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K180" s="15">
        <f>IF(OR(K178="",G178=""),"",IF(G178&lt;=0,"",IFERROR(K178/G178-1,"")))</f>
        <v/>
      </c>
      <c r="L180" s="15">
        <f>IF(OR(L178="",H178=""),"",IF(H178&lt;=0,"",IFERROR(L178/H178-1,"")))</f>
        <v/>
      </c>
      <c r="M180" s="15">
        <f>IF(OR(M178="",I178=""),"",IF(I178&lt;=0,"",IFERROR(M178/I178-1,"")))</f>
        <v/>
      </c>
      <c r="N180" s="15">
        <f>IF(OR(N178="",J178=""),"",IF(J178&lt;=0,"",IFERROR(N178/J178-1,"")))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  <c r="X180" s="15">
        <f>IF(OR(X178="",W178=""),"",IF(W178&lt;=0,"",IFERROR(X178/W178-1,"")))</f>
        <v/>
      </c>
    </row>
    <row r="181">
      <c r="A181" s="18" t="inlineStr">
        <is>
          <t>합계 · 부문 이익</t>
        </is>
      </c>
      <c r="E181" s="20" t="n">
        <v>266.755</v>
      </c>
      <c r="F181" s="20" t="n">
        <v>-116.584</v>
      </c>
      <c r="G181" s="20" t="n">
        <v>451.722</v>
      </c>
      <c r="H181" s="20" t="n">
        <v>-19.544</v>
      </c>
      <c r="I181" s="20" t="n">
        <v>705.14</v>
      </c>
      <c r="J181" s="20" t="n">
        <v>195.707</v>
      </c>
      <c r="K181" s="20" t="n">
        <v>350.712</v>
      </c>
      <c r="L181" s="20" t="n">
        <v>121.461</v>
      </c>
      <c r="M181" s="20" t="n">
        <v>505.489</v>
      </c>
      <c r="N181" s="20" t="n">
        <v>399.845</v>
      </c>
      <c r="V181" s="20" t="n">
        <v>266.755</v>
      </c>
      <c r="W181" s="20" t="n">
        <v>705.14</v>
      </c>
      <c r="X181" s="20" t="n">
        <v>505.489</v>
      </c>
    </row>
    <row r="182">
      <c r="A182" s="43" t="inlineStr">
        <is>
          <t>OPM</t>
        </is>
      </c>
      <c r="B182" s="3" t="inlineStr">
        <is>
          <t>영업이익 ÷ 매출</t>
        </is>
      </c>
      <c r="E182" s="15">
        <f>IF(OR(E181="",E169=""),"",IF(E169&lt;=0,"",IFERROR(E181/E169,"")))</f>
        <v/>
      </c>
      <c r="F182" s="15">
        <f>IF(OR(F181="",F169=""),"",IF(F169&lt;=0,"",IFERROR(F181/F169,"")))</f>
        <v/>
      </c>
      <c r="G182" s="15">
        <f>IF(OR(G181="",G169=""),"",IF(G169&lt;=0,"",IFERROR(G181/G169,"")))</f>
        <v/>
      </c>
      <c r="H182" s="15">
        <f>IF(OR(H181="",H169=""),"",IF(H169&lt;=0,"",IFERROR(H181/H169,"")))</f>
        <v/>
      </c>
      <c r="I182" s="15">
        <f>IF(OR(I181="",I169=""),"",IF(I169&lt;=0,"",IFERROR(I181/I169,"")))</f>
        <v/>
      </c>
      <c r="J182" s="15">
        <f>IF(OR(J181="",J169=""),"",IF(J169&lt;=0,"",IFERROR(J181/J169,"")))</f>
        <v/>
      </c>
      <c r="K182" s="15">
        <f>IF(OR(K181="",K169=""),"",IF(K169&lt;=0,"",IFERROR(K181/K169,"")))</f>
        <v/>
      </c>
      <c r="L182" s="15">
        <f>IF(OR(L181="",L169=""),"",IF(L169&lt;=0,"",IFERROR(L181/L169,"")))</f>
        <v/>
      </c>
      <c r="M182" s="15">
        <f>IF(OR(M181="",M169=""),"",IF(M169&lt;=0,"",IFERROR(M181/M169,"")))</f>
        <v/>
      </c>
      <c r="N182" s="15">
        <f>IF(OR(N181="",N169=""),"",IF(N169&lt;=0,"",IFERROR(N181/N169,"")))</f>
        <v/>
      </c>
      <c r="V182" s="15">
        <f>IF(OR(V181="",V169=""),"",IF(V169&lt;=0,"",IFERROR(V181/V169,"")))</f>
        <v/>
      </c>
      <c r="W182" s="15">
        <f>IF(OR(W181="",W169=""),"",IF(W169&lt;=0,"",IFERROR(W181/W169,"")))</f>
        <v/>
      </c>
      <c r="X182" s="15">
        <f>IF(OR(X181="",X169=""),"",IF(X169&lt;=0,"",IFERROR(X181/X169,"")))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조정액 · 부문 이익</t>
        </is>
      </c>
      <c r="C184" s="20" t="n">
        <v>0</v>
      </c>
      <c r="D184" s="20" t="n">
        <v>0</v>
      </c>
      <c r="E184" s="20" t="n">
        <v>0</v>
      </c>
      <c r="F184" s="20" t="n">
        <v>0</v>
      </c>
      <c r="G184" s="20" t="n">
        <v>0</v>
      </c>
      <c r="H184" s="20" t="n">
        <v>0</v>
      </c>
      <c r="I184" s="20" t="n">
        <v>0</v>
      </c>
      <c r="J184" s="20" t="n">
        <v>0</v>
      </c>
      <c r="K184" s="20" t="n">
        <v>-3.227</v>
      </c>
      <c r="L184" s="20" t="n">
        <v>0</v>
      </c>
      <c r="M184" s="20" t="n">
        <v>0</v>
      </c>
      <c r="N184" s="20" t="n">
        <v>0</v>
      </c>
      <c r="V184" s="20" t="n">
        <v>0</v>
      </c>
      <c r="W184" s="20" t="n">
        <v>0</v>
      </c>
      <c r="X184" s="20" t="n">
        <v>0</v>
      </c>
    </row>
    <row r="185">
      <c r="A185" s="9" t="inlineStr">
        <is>
          <t>부문 이익</t>
        </is>
      </c>
      <c r="C185" s="12" t="n">
        <v>327.618</v>
      </c>
      <c r="D185" s="12" t="n">
        <v>34.409</v>
      </c>
      <c r="E185" s="12" t="n">
        <v>266.755</v>
      </c>
      <c r="F185" s="12" t="n">
        <v>-116.584</v>
      </c>
      <c r="G185" s="12" t="n">
        <v>451.722</v>
      </c>
      <c r="H185" s="12" t="n">
        <v>-19.544</v>
      </c>
      <c r="I185" s="12" t="n">
        <v>705.14</v>
      </c>
      <c r="V185" s="12" t="n">
        <v>266.755</v>
      </c>
      <c r="W185" s="12" t="n">
        <v>705.14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IF(OR(C185="",C156=""),"",IF(C156&lt;=0,"",IFERROR(C185/C156,"")))</f>
        <v/>
      </c>
      <c r="D186" s="15">
        <f>IF(OR(D185="",D156=""),"",IF(D156&lt;=0,"",IFERROR(D185/D156,"")))</f>
        <v/>
      </c>
      <c r="E186" s="15">
        <f>IF(OR(E185="",E156=""),"",IF(E156&lt;=0,"",IFERROR(E185/E156,"")))</f>
        <v/>
      </c>
      <c r="F186" s="15">
        <f>IF(OR(F185="",F156=""),"",IF(F156&lt;=0,"",IFERROR(F185/F156,"")))</f>
        <v/>
      </c>
      <c r="G186" s="15">
        <f>IF(OR(G185="",G156=""),"",IF(G156&lt;=0,"",IFERROR(G185/G156,"")))</f>
        <v/>
      </c>
      <c r="H186" s="15">
        <f>IF(OR(H185="",H156=""),"",IF(H156&lt;=0,"",IFERROR(H185/H156,"")))</f>
        <v/>
      </c>
      <c r="I186" s="15">
        <f>IF(OR(I185="",I156=""),"",IF(I156&lt;=0,"",IFERROR(I185/I156,"")))</f>
        <v/>
      </c>
      <c r="V186" s="15">
        <f>IF(OR(V185="",V156=""),"",IF(V156&lt;=0,"",IFERROR(V185/V156,"")))</f>
        <v/>
      </c>
      <c r="W186" s="15">
        <f>IF(OR(W185="",W156=""),"",IF(W156&lt;=0,"",IFERROR(W185/W156,"")))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</row>
    <row r="188">
      <c r="A188" s="18" t="inlineStr">
        <is>
          <t>EntityTotalMember · 부문 이익</t>
        </is>
      </c>
      <c r="F188" s="20" t="n">
        <v>-116.584</v>
      </c>
      <c r="J188" s="20" t="n">
        <v>195.707</v>
      </c>
      <c r="N188" s="20" t="n">
        <v>399.845</v>
      </c>
    </row>
    <row r="190">
      <c r="A190" s="16" t="inlineStr">
        <is>
          <t>현금흐름표 · 전 항목</t>
        </is>
      </c>
      <c r="B190" s="42" t="inlineStr">
        <is>
          <t>분기 = 결산기 첫날부터 누계(공시 그대로)</t>
        </is>
      </c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</row>
    <row r="191">
      <c r="A191" s="5" t="inlineStr">
        <is>
          <t>항목</t>
        </is>
      </c>
      <c r="B191" s="5" t="inlineStr">
        <is>
          <t>참고</t>
        </is>
      </c>
      <c r="C191" s="5" t="inlineStr">
        <is>
          <t>2024.2Q</t>
        </is>
      </c>
      <c r="D191" s="5" t="inlineStr">
        <is>
          <t>2024.3Q</t>
        </is>
      </c>
      <c r="E191" s="5" t="inlineStr">
        <is>
          <t>2024.4Q</t>
        </is>
      </c>
      <c r="F191" s="5" t="inlineStr">
        <is>
          <t>2025.1Q</t>
        </is>
      </c>
      <c r="G191" s="5" t="inlineStr">
        <is>
          <t>2025.2Q</t>
        </is>
      </c>
      <c r="H191" s="5" t="inlineStr">
        <is>
          <t>2025.3Q</t>
        </is>
      </c>
      <c r="I191" s="5" t="inlineStr">
        <is>
          <t>2025.4Q</t>
        </is>
      </c>
      <c r="J191" s="5" t="inlineStr">
        <is>
          <t>2026.1Q</t>
        </is>
      </c>
      <c r="K191" s="5" t="inlineStr">
        <is>
          <t>2026.2Q</t>
        </is>
      </c>
      <c r="L191" s="5" t="inlineStr">
        <is>
          <t>2026.3Q</t>
        </is>
      </c>
      <c r="M191" s="5" t="inlineStr">
        <is>
          <t>2026.4Q</t>
        </is>
      </c>
      <c r="N191" s="5" t="inlineStr">
        <is>
          <t>2027.1Q</t>
        </is>
      </c>
      <c r="O191" s="5" t="inlineStr">
        <is>
          <t>2017</t>
        </is>
      </c>
      <c r="P191" s="5" t="inlineStr">
        <is>
          <t>2018</t>
        </is>
      </c>
      <c r="Q191" s="5" t="inlineStr">
        <is>
          <t>2019</t>
        </is>
      </c>
      <c r="R191" s="5" t="inlineStr">
        <is>
          <t>2020</t>
        </is>
      </c>
      <c r="S191" s="5" t="inlineStr">
        <is>
          <t>2021</t>
        </is>
      </c>
      <c r="T191" s="5" t="inlineStr">
        <is>
          <t>2022</t>
        </is>
      </c>
      <c r="U191" s="5" t="inlineStr">
        <is>
          <t>2023</t>
        </is>
      </c>
      <c r="V191" s="5" t="inlineStr">
        <is>
          <t>2024</t>
        </is>
      </c>
      <c r="W191" s="5" t="inlineStr">
        <is>
          <t>2025</t>
        </is>
      </c>
      <c r="X191" s="5" t="inlineStr">
        <is>
          <t>2026</t>
        </is>
      </c>
      <c r="Y191" s="5" t="inlineStr">
        <is>
          <t>2027(MW)</t>
        </is>
      </c>
      <c r="Z191" s="5" t="inlineStr">
        <is>
          <t>2028(MW)</t>
        </is>
      </c>
      <c r="AA191" s="5" t="inlineStr">
        <is>
          <t>2029(MW)</t>
        </is>
      </c>
      <c r="AB191" s="5" t="inlineStr">
        <is>
          <t>2030(MW)</t>
        </is>
      </c>
      <c r="AC191" s="5" t="inlineStr">
        <is>
          <t>2031(MW)</t>
        </is>
      </c>
    </row>
    <row r="192">
      <c r="A192" s="9" t="inlineStr">
        <is>
          <t>법인세차감전 순이익</t>
        </is>
      </c>
      <c r="C192" s="12" t="n">
        <v>450.569</v>
      </c>
      <c r="E192" s="12" t="n">
        <v>715.857</v>
      </c>
      <c r="G192" s="12" t="n">
        <v>335.983</v>
      </c>
      <c r="I192" s="12" t="n">
        <v>1050.002</v>
      </c>
      <c r="K192" s="12" t="n">
        <v>549.3869999999999</v>
      </c>
      <c r="M192" s="12" t="n">
        <v>1174.589</v>
      </c>
      <c r="O192" s="12" t="n">
        <v>533.255</v>
      </c>
      <c r="P192" s="12" t="n">
        <v>776.0940000000001</v>
      </c>
      <c r="Q192" s="12" t="n">
        <v>659.05</v>
      </c>
      <c r="R192" s="12" t="n">
        <v>408.526</v>
      </c>
      <c r="S192" s="12" t="n">
        <v>274.624</v>
      </c>
      <c r="T192" s="12" t="n">
        <v>247.335</v>
      </c>
      <c r="U192" s="12" t="n">
        <v>677.1660000000001</v>
      </c>
      <c r="V192" s="12" t="n">
        <v>715.857</v>
      </c>
      <c r="W192" s="12" t="n">
        <v>1050.002</v>
      </c>
      <c r="X192" s="12" t="n">
        <v>1174.589</v>
      </c>
    </row>
    <row r="193">
      <c r="A193" s="18" t="inlineStr">
        <is>
          <t>감가상각비</t>
        </is>
      </c>
      <c r="C193" s="20" t="n">
        <v>69.07899999999999</v>
      </c>
      <c r="E193" s="20" t="n">
        <v>140.3</v>
      </c>
      <c r="G193" s="20" t="n">
        <v>58.685</v>
      </c>
      <c r="I193" s="20" t="n">
        <v>110.477</v>
      </c>
      <c r="K193" s="20" t="n">
        <v>34.156</v>
      </c>
      <c r="M193" s="20" t="n">
        <v>76.661</v>
      </c>
      <c r="O193" s="20" t="n">
        <v>41.403</v>
      </c>
      <c r="P193" s="20" t="n">
        <v>37.713</v>
      </c>
      <c r="Q193" s="20" t="n">
        <v>38.707</v>
      </c>
      <c r="R193" s="20" t="n">
        <v>77.66500000000001</v>
      </c>
      <c r="S193" s="20" t="n">
        <v>124.431</v>
      </c>
      <c r="T193" s="20" t="n">
        <v>127.275</v>
      </c>
      <c r="U193" s="20" t="n">
        <v>126.232</v>
      </c>
      <c r="V193" s="20" t="n">
        <v>140.3</v>
      </c>
      <c r="W193" s="20" t="n">
        <v>110.477</v>
      </c>
      <c r="X193" s="20" t="n">
        <v>76.661</v>
      </c>
    </row>
    <row r="194">
      <c r="A194" s="18" t="inlineStr">
        <is>
          <t>손상차손</t>
        </is>
      </c>
      <c r="E194" s="20" t="n">
        <v>5.532</v>
      </c>
      <c r="I194" s="20" t="n">
        <v>0</v>
      </c>
      <c r="U194" s="20" t="n">
        <v>0</v>
      </c>
      <c r="V194" s="20" t="n">
        <v>5.532</v>
      </c>
      <c r="W194" s="20" t="n">
        <v>0</v>
      </c>
    </row>
    <row r="195">
      <c r="A195" s="18" t="inlineStr">
        <is>
          <t>영업권 상각</t>
        </is>
      </c>
      <c r="C195" s="20" t="n">
        <v>0</v>
      </c>
      <c r="E195" s="20" t="n">
        <v>1.449</v>
      </c>
      <c r="G195" s="20" t="n">
        <v>2.898</v>
      </c>
      <c r="I195" s="20" t="n">
        <v>5.796</v>
      </c>
      <c r="K195" s="20" t="n">
        <v>2.898</v>
      </c>
      <c r="M195" s="20" t="n">
        <v>5.796</v>
      </c>
      <c r="U195" s="20" t="n">
        <v>0</v>
      </c>
      <c r="V195" s="20" t="n">
        <v>1.449</v>
      </c>
      <c r="W195" s="20" t="n">
        <v>5.796</v>
      </c>
      <c r="X195" s="20" t="n">
        <v>5.796</v>
      </c>
    </row>
    <row r="196">
      <c r="A196" s="18" t="inlineStr">
        <is>
          <t>부의 영업권 발생이익</t>
        </is>
      </c>
      <c r="E196" s="20" t="n">
        <v>0</v>
      </c>
      <c r="T196" s="20" t="n">
        <v>0</v>
      </c>
      <c r="U196" s="20" t="n">
        <v>-73.2</v>
      </c>
      <c r="V196" s="20" t="n">
        <v>0</v>
      </c>
    </row>
    <row r="197">
      <c r="A197" s="18" t="inlineStr">
        <is>
          <t>대손충당금 증감</t>
        </is>
      </c>
      <c r="C197" s="20" t="n">
        <v>0</v>
      </c>
      <c r="E197" s="20" t="n">
        <v>1.95</v>
      </c>
      <c r="G197" s="20" t="n">
        <v>-0.008999999999999999</v>
      </c>
      <c r="I197" s="20" t="n">
        <v>-3.209</v>
      </c>
      <c r="K197" s="20" t="n">
        <v>-0.201</v>
      </c>
      <c r="M197" s="20" t="n">
        <v>-0.144</v>
      </c>
      <c r="O197" s="20" t="n">
        <v>0.343</v>
      </c>
      <c r="P197" s="20" t="n">
        <v>0.835</v>
      </c>
      <c r="Q197" s="20" t="n">
        <v>-0.11</v>
      </c>
      <c r="R197" s="20" t="n">
        <v>4.125</v>
      </c>
      <c r="S197" s="20" t="n">
        <v>-4.756</v>
      </c>
      <c r="T197" s="20" t="n">
        <v>-0.9370000000000001</v>
      </c>
      <c r="U197" s="20" t="n">
        <v>0.162</v>
      </c>
      <c r="V197" s="20" t="n">
        <v>1.95</v>
      </c>
      <c r="W197" s="20" t="n">
        <v>-3.209</v>
      </c>
      <c r="X197" s="20" t="n">
        <v>-0.144</v>
      </c>
    </row>
    <row r="198">
      <c r="A198" s="18" t="inlineStr">
        <is>
          <t>상여충당금 증감</t>
        </is>
      </c>
      <c r="C198" s="20" t="n">
        <v>-71.267</v>
      </c>
      <c r="E198" s="20" t="n">
        <v>-72.27800000000001</v>
      </c>
      <c r="G198" s="20" t="n">
        <v>1.585</v>
      </c>
      <c r="I198" s="20" t="n">
        <v>51.128</v>
      </c>
      <c r="K198" s="20" t="n">
        <v>13.58</v>
      </c>
      <c r="M198" s="20" t="n">
        <v>43.349</v>
      </c>
      <c r="O198" s="20" t="n">
        <v>21.222</v>
      </c>
      <c r="P198" s="20" t="n">
        <v>42.319</v>
      </c>
      <c r="Q198" s="20" t="n">
        <v>-41.14</v>
      </c>
      <c r="R198" s="20" t="n">
        <v>10</v>
      </c>
      <c r="S198" s="20" t="n">
        <v>0</v>
      </c>
      <c r="T198" s="20" t="n">
        <v>20.627</v>
      </c>
      <c r="U198" s="20" t="n">
        <v>133.786</v>
      </c>
      <c r="V198" s="20" t="n">
        <v>-72.27800000000001</v>
      </c>
      <c r="W198" s="20" t="n">
        <v>51.128</v>
      </c>
      <c r="X198" s="20" t="n">
        <v>43.349</v>
      </c>
    </row>
    <row r="199">
      <c r="A199" s="18" t="inlineStr">
        <is>
          <t>기부금</t>
        </is>
      </c>
      <c r="I199" s="20" t="n">
        <v>0</v>
      </c>
      <c r="M199" s="20" t="n">
        <v>12.387</v>
      </c>
      <c r="W199" s="20" t="n">
        <v>0</v>
      </c>
      <c r="X199" s="20" t="n">
        <v>12.387</v>
      </c>
    </row>
    <row r="200">
      <c r="A200" s="18" t="inlineStr">
        <is>
          <t>퇴직급여자산 증감</t>
        </is>
      </c>
      <c r="C200" s="20" t="n">
        <v>0.982</v>
      </c>
      <c r="E200" s="20" t="n">
        <v>2.635</v>
      </c>
      <c r="G200" s="20" t="n">
        <v>0.885</v>
      </c>
      <c r="I200" s="20" t="n">
        <v>-2.263</v>
      </c>
      <c r="K200" s="20" t="n">
        <v>0.394</v>
      </c>
      <c r="M200" s="20" t="n">
        <v>-1.686</v>
      </c>
      <c r="O200" s="20" t="n">
        <v>0.322</v>
      </c>
      <c r="P200" s="20" t="n">
        <v>2.15</v>
      </c>
      <c r="Q200" s="20" t="n">
        <v>3.697</v>
      </c>
      <c r="R200" s="20" t="n">
        <v>0.321</v>
      </c>
      <c r="S200" s="20" t="n">
        <v>21.585</v>
      </c>
      <c r="T200" s="20" t="n">
        <v>-12.673</v>
      </c>
      <c r="U200" s="20" t="n">
        <v>4.981</v>
      </c>
      <c r="V200" s="20" t="n">
        <v>2.635</v>
      </c>
      <c r="W200" s="20" t="n">
        <v>-2.263</v>
      </c>
      <c r="X200" s="20" t="n">
        <v>-1.686</v>
      </c>
    </row>
    <row r="201">
      <c r="A201" s="18" t="inlineStr">
        <is>
          <t>퇴직급여부채 증감</t>
        </is>
      </c>
      <c r="C201" s="20" t="n">
        <v>2.709</v>
      </c>
      <c r="E201" s="20" t="n">
        <v>13.951</v>
      </c>
      <c r="G201" s="20" t="n">
        <v>3.832</v>
      </c>
      <c r="I201" s="20" t="n">
        <v>9.696</v>
      </c>
      <c r="K201" s="20" t="n">
        <v>2.421</v>
      </c>
      <c r="M201" s="20" t="n">
        <v>-21.286</v>
      </c>
      <c r="O201" s="20" t="n">
        <v>7.753</v>
      </c>
      <c r="P201" s="20" t="n">
        <v>12.044</v>
      </c>
      <c r="Q201" s="20" t="n">
        <v>8.598000000000001</v>
      </c>
      <c r="R201" s="20" t="n">
        <v>8.845000000000001</v>
      </c>
      <c r="S201" s="20" t="n">
        <v>15.341</v>
      </c>
      <c r="T201" s="20" t="n">
        <v>-23.912</v>
      </c>
      <c r="U201" s="20" t="n">
        <v>4.953</v>
      </c>
      <c r="V201" s="20" t="n">
        <v>13.951</v>
      </c>
      <c r="W201" s="20" t="n">
        <v>9.696</v>
      </c>
      <c r="X201" s="20" t="n">
        <v>-21.286</v>
      </c>
    </row>
    <row r="202">
      <c r="A202" s="18" t="inlineStr">
        <is>
          <t>임원 퇴직위로 충당금 증감</t>
        </is>
      </c>
      <c r="C202" s="20" t="n">
        <v>1.565</v>
      </c>
      <c r="E202" s="20" t="n">
        <v>3.13</v>
      </c>
      <c r="G202" s="20" t="n">
        <v>1.775</v>
      </c>
      <c r="I202" s="20" t="n">
        <v>3.55</v>
      </c>
      <c r="K202" s="20" t="n">
        <v>1.914</v>
      </c>
      <c r="M202" s="20" t="n">
        <v>3.83</v>
      </c>
      <c r="O202" s="20" t="n">
        <v>7.766</v>
      </c>
      <c r="P202" s="20" t="n">
        <v>-0.174</v>
      </c>
      <c r="Q202" s="20" t="n">
        <v>-164.582</v>
      </c>
      <c r="R202" s="20" t="n">
        <v>0</v>
      </c>
      <c r="U202" s="20" t="n">
        <v>0</v>
      </c>
      <c r="V202" s="20" t="n">
        <v>3.13</v>
      </c>
      <c r="W202" s="20" t="n">
        <v>3.55</v>
      </c>
      <c r="X202" s="20" t="n">
        <v>3.83</v>
      </c>
    </row>
    <row r="203">
      <c r="A203" s="18" t="inlineStr">
        <is>
          <t>손해보상 충당금 증감액</t>
        </is>
      </c>
      <c r="C203" s="20" t="n">
        <v>0</v>
      </c>
      <c r="E203" s="20" t="n">
        <v>31.42</v>
      </c>
      <c r="G203" s="20" t="n">
        <v>-33.265</v>
      </c>
      <c r="I203" s="20" t="n">
        <v>-33.265</v>
      </c>
      <c r="K203" s="20" t="n">
        <v>0</v>
      </c>
      <c r="M203" s="20" t="n">
        <v>0</v>
      </c>
      <c r="U203" s="20" t="n">
        <v>0</v>
      </c>
      <c r="V203" s="20" t="n">
        <v>31.42</v>
      </c>
      <c r="W203" s="20" t="n">
        <v>-33.265</v>
      </c>
      <c r="X203" s="20" t="n">
        <v>0</v>
      </c>
    </row>
    <row r="204">
      <c r="A204" s="18" t="inlineStr">
        <is>
          <t>이자·배당금 수익</t>
        </is>
      </c>
      <c r="C204" s="20" t="n">
        <v>-4.628</v>
      </c>
      <c r="E204" s="20" t="n">
        <v>-4.748</v>
      </c>
      <c r="G204" s="20" t="n">
        <v>-3.21</v>
      </c>
      <c r="I204" s="20" t="n">
        <v>-5.842</v>
      </c>
      <c r="K204" s="20" t="n">
        <v>-4.416</v>
      </c>
      <c r="M204" s="20" t="n">
        <v>-11.221</v>
      </c>
      <c r="O204" s="20" t="n">
        <v>-0.8110000000000001</v>
      </c>
      <c r="P204" s="20" t="n">
        <v>-1.47</v>
      </c>
      <c r="Q204" s="20" t="n">
        <v>-1.777</v>
      </c>
      <c r="R204" s="20" t="n">
        <v>-2.572</v>
      </c>
      <c r="S204" s="20" t="n">
        <v>-2.911</v>
      </c>
      <c r="T204" s="20" t="n">
        <v>-1.87</v>
      </c>
      <c r="U204" s="20" t="n">
        <v>-1.776</v>
      </c>
      <c r="V204" s="20" t="n">
        <v>-4.748</v>
      </c>
      <c r="W204" s="20" t="n">
        <v>-5.842</v>
      </c>
      <c r="X204" s="20" t="n">
        <v>-11.221</v>
      </c>
    </row>
    <row r="205">
      <c r="A205" s="18" t="inlineStr">
        <is>
          <t>이자비용</t>
        </is>
      </c>
      <c r="C205" s="20" t="n">
        <v>1.902</v>
      </c>
      <c r="E205" s="20" t="n">
        <v>3.355</v>
      </c>
      <c r="G205" s="20" t="n">
        <v>3.013</v>
      </c>
      <c r="I205" s="20" t="n">
        <v>4.902</v>
      </c>
      <c r="K205" s="20" t="n">
        <v>3.146</v>
      </c>
      <c r="M205" s="20" t="n">
        <v>4.621</v>
      </c>
      <c r="O205" s="20" t="n">
        <v>1.954</v>
      </c>
      <c r="P205" s="20" t="n">
        <v>1.747</v>
      </c>
      <c r="Q205" s="20" t="n">
        <v>2.229</v>
      </c>
      <c r="R205" s="20" t="n">
        <v>1.967</v>
      </c>
      <c r="S205" s="20" t="n">
        <v>2.148</v>
      </c>
      <c r="T205" s="20" t="n">
        <v>1.683</v>
      </c>
      <c r="U205" s="20" t="n">
        <v>1.511</v>
      </c>
      <c r="V205" s="20" t="n">
        <v>3.355</v>
      </c>
      <c r="W205" s="20" t="n">
        <v>4.902</v>
      </c>
      <c r="X205" s="20" t="n">
        <v>4.621</v>
      </c>
    </row>
    <row r="206">
      <c r="A206" s="18" t="inlineStr">
        <is>
          <t>주식교부비</t>
        </is>
      </c>
      <c r="O206" s="20" t="n">
        <v>0</v>
      </c>
      <c r="P206" s="20" t="n">
        <v>4.825</v>
      </c>
      <c r="Q206" s="20" t="n">
        <v>0</v>
      </c>
    </row>
    <row r="207">
      <c r="A207" s="18" t="inlineStr">
        <is>
          <t>주식보상비용</t>
        </is>
      </c>
      <c r="C207" s="20" t="n">
        <v>11.748</v>
      </c>
      <c r="E207" s="20" t="n">
        <v>17.026</v>
      </c>
      <c r="G207" s="20" t="n">
        <v>5.708</v>
      </c>
      <c r="I207" s="20" t="n">
        <v>11.849</v>
      </c>
      <c r="K207" s="20" t="n">
        <v>6.325</v>
      </c>
      <c r="M207" s="20" t="n">
        <v>12.835</v>
      </c>
      <c r="P207" s="20" t="n">
        <v>0</v>
      </c>
      <c r="Q207" s="20" t="n">
        <v>6.477</v>
      </c>
      <c r="R207" s="20" t="n">
        <v>8.305</v>
      </c>
      <c r="S207" s="20" t="n">
        <v>12.252</v>
      </c>
      <c r="T207" s="20" t="n">
        <v>29.357</v>
      </c>
      <c r="U207" s="20" t="n">
        <v>26.733</v>
      </c>
      <c r="V207" s="20" t="n">
        <v>17.026</v>
      </c>
      <c r="W207" s="20" t="n">
        <v>11.849</v>
      </c>
      <c r="X207" s="20" t="n">
        <v>12.835</v>
      </c>
    </row>
    <row r="208">
      <c r="A208" s="18" t="inlineStr">
        <is>
          <t>보상금 수취</t>
        </is>
      </c>
      <c r="P208" s="20" t="n">
        <v>0</v>
      </c>
      <c r="Q208" s="20" t="n">
        <v>-3.358</v>
      </c>
      <c r="R208" s="20" t="n">
        <v>0</v>
      </c>
    </row>
    <row r="209">
      <c r="A209" s="18" t="inlineStr">
        <is>
          <t>보험배당금</t>
        </is>
      </c>
      <c r="P209" s="20" t="n">
        <v>0</v>
      </c>
      <c r="Q209" s="20" t="n">
        <v>-2.35</v>
      </c>
      <c r="R209" s="20" t="n">
        <v>0</v>
      </c>
    </row>
    <row r="210">
      <c r="A210" s="18" t="inlineStr">
        <is>
          <t>외환차손익</t>
        </is>
      </c>
      <c r="O210" s="20" t="n">
        <v>-2.296</v>
      </c>
      <c r="P210" s="20" t="n">
        <v>-1.3</v>
      </c>
      <c r="Q210" s="20" t="n">
        <v>0.863</v>
      </c>
      <c r="R210" s="20" t="n">
        <v>0.423</v>
      </c>
    </row>
    <row r="211">
      <c r="A211" s="18" t="inlineStr">
        <is>
          <t>자회사 청산손익</t>
        </is>
      </c>
      <c r="R211" s="20" t="n">
        <v>0</v>
      </c>
      <c r="S211" s="20" t="n">
        <v>19.317</v>
      </c>
      <c r="T211" s="20" t="n">
        <v>0</v>
      </c>
    </row>
    <row r="212">
      <c r="A212" s="18" t="inlineStr">
        <is>
          <t>유가증권 상환손익</t>
        </is>
      </c>
      <c r="S212" s="20" t="n">
        <v>0</v>
      </c>
      <c r="T212" s="20" t="n">
        <v>2.122</v>
      </c>
      <c r="U212" s="20" t="n">
        <v>0</v>
      </c>
    </row>
    <row r="213">
      <c r="A213" s="18" t="inlineStr">
        <is>
          <t>퇴직급여제도 개정 손익</t>
        </is>
      </c>
      <c r="C213" s="20" t="n">
        <v>0</v>
      </c>
      <c r="E213" s="20" t="n">
        <v>0</v>
      </c>
      <c r="T213" s="20" t="n">
        <v>0</v>
      </c>
      <c r="U213" s="20" t="n">
        <v>-24.192</v>
      </c>
      <c r="V213" s="20" t="n">
        <v>0</v>
      </c>
    </row>
    <row r="214">
      <c r="A214" s="18" t="inlineStr">
        <is>
          <t>화해금</t>
        </is>
      </c>
      <c r="E214" s="20" t="n">
        <v>15.28</v>
      </c>
      <c r="I214" s="20" t="n">
        <v>0</v>
      </c>
      <c r="U214" s="20" t="n">
        <v>0</v>
      </c>
      <c r="V214" s="20" t="n">
        <v>15.28</v>
      </c>
      <c r="W214" s="20" t="n">
        <v>0</v>
      </c>
    </row>
    <row r="215">
      <c r="A215" s="18" t="inlineStr">
        <is>
          <t>고정자산 제각·매각손익</t>
        </is>
      </c>
      <c r="E215" s="20" t="n">
        <v>-0.854</v>
      </c>
      <c r="G215" s="20" t="n">
        <v>0</v>
      </c>
      <c r="I215" s="20" t="n">
        <v>0</v>
      </c>
      <c r="K215" s="20" t="n">
        <v>-0.472</v>
      </c>
      <c r="M215" s="20" t="n">
        <v>-0.176</v>
      </c>
      <c r="S215" s="20" t="n">
        <v>0</v>
      </c>
      <c r="T215" s="20" t="n">
        <v>-22.739</v>
      </c>
      <c r="U215" s="20" t="n">
        <v>-0.483</v>
      </c>
      <c r="V215" s="20" t="n">
        <v>-0.854</v>
      </c>
      <c r="W215" s="20" t="n">
        <v>0</v>
      </c>
      <c r="X215" s="20" t="n">
        <v>-0.176</v>
      </c>
    </row>
    <row r="216">
      <c r="A216" s="18" t="inlineStr">
        <is>
          <t>매출채권 증감</t>
        </is>
      </c>
      <c r="C216" s="20" t="n">
        <v>520.284</v>
      </c>
      <c r="E216" s="20" t="n">
        <v>134.073</v>
      </c>
      <c r="G216" s="20" t="n">
        <v>-365.379</v>
      </c>
      <c r="I216" s="20" t="n">
        <v>-735.617</v>
      </c>
      <c r="K216" s="20" t="n">
        <v>-376.276</v>
      </c>
      <c r="M216" s="20" t="n">
        <v>134.066</v>
      </c>
      <c r="O216" s="20" t="n">
        <v>-119.707</v>
      </c>
      <c r="P216" s="20" t="n">
        <v>-553.766</v>
      </c>
      <c r="Q216" s="20" t="n">
        <v>342.225</v>
      </c>
      <c r="R216" s="20" t="n">
        <v>-355.36</v>
      </c>
      <c r="S216" s="20" t="n">
        <v>476.133</v>
      </c>
      <c r="T216" s="20" t="n">
        <v>-70.123</v>
      </c>
      <c r="U216" s="20" t="n">
        <v>-2156.291</v>
      </c>
      <c r="V216" s="20" t="n">
        <v>134.073</v>
      </c>
      <c r="W216" s="20" t="n">
        <v>-735.617</v>
      </c>
      <c r="X216" s="20" t="n">
        <v>134.066</v>
      </c>
    </row>
    <row r="217">
      <c r="A217" s="18" t="inlineStr">
        <is>
          <t>재고자산 증감</t>
        </is>
      </c>
      <c r="C217" s="20" t="n">
        <v>-42.847</v>
      </c>
      <c r="E217" s="20" t="n">
        <v>297.648</v>
      </c>
      <c r="G217" s="20" t="n">
        <v>-73.363</v>
      </c>
      <c r="I217" s="20" t="n">
        <v>-53.38</v>
      </c>
      <c r="K217" s="20" t="n">
        <v>-58.501</v>
      </c>
      <c r="M217" s="20" t="n">
        <v>23.817</v>
      </c>
      <c r="O217" s="20" t="n">
        <v>-5.344</v>
      </c>
      <c r="P217" s="20" t="n">
        <v>-55.765</v>
      </c>
      <c r="Q217" s="20" t="n">
        <v>13.699</v>
      </c>
      <c r="R217" s="20" t="n">
        <v>-15.482</v>
      </c>
      <c r="S217" s="20" t="n">
        <v>23.047</v>
      </c>
      <c r="T217" s="20" t="n">
        <v>-7.234</v>
      </c>
      <c r="U217" s="20" t="n">
        <v>-121.856</v>
      </c>
      <c r="V217" s="20" t="n">
        <v>297.648</v>
      </c>
      <c r="W217" s="20" t="n">
        <v>-53.38</v>
      </c>
      <c r="X217" s="20" t="n">
        <v>23.817</v>
      </c>
    </row>
    <row r="218">
      <c r="A218" s="18" t="inlineStr">
        <is>
          <t>매입채무 증감</t>
        </is>
      </c>
      <c r="C218" s="20" t="n">
        <v>260.15</v>
      </c>
      <c r="E218" s="20" t="n">
        <v>121.232</v>
      </c>
      <c r="G218" s="20" t="n">
        <v>177.059</v>
      </c>
      <c r="I218" s="20" t="n">
        <v>337.132</v>
      </c>
      <c r="K218" s="20" t="n">
        <v>-112.828</v>
      </c>
      <c r="M218" s="20" t="n">
        <v>-188.727</v>
      </c>
      <c r="O218" s="20" t="n">
        <v>48.977</v>
      </c>
      <c r="P218" s="20" t="n">
        <v>420.29</v>
      </c>
      <c r="Q218" s="20" t="n">
        <v>-325.892</v>
      </c>
      <c r="R218" s="20" t="n">
        <v>37.095</v>
      </c>
      <c r="S218" s="20" t="n">
        <v>-97.387</v>
      </c>
      <c r="T218" s="20" t="n">
        <v>128.973</v>
      </c>
      <c r="U218" s="20" t="n">
        <v>328.484</v>
      </c>
      <c r="V218" s="20" t="n">
        <v>121.232</v>
      </c>
      <c r="W218" s="20" t="n">
        <v>337.132</v>
      </c>
      <c r="X218" s="20" t="n">
        <v>-188.727</v>
      </c>
    </row>
    <row r="219">
      <c r="A219" s="18" t="inlineStr">
        <is>
          <t>기타 유동자산 증감</t>
        </is>
      </c>
      <c r="C219" s="20" t="n">
        <v>122.574</v>
      </c>
      <c r="E219" s="20" t="n">
        <v>46.869</v>
      </c>
      <c r="G219" s="20" t="n">
        <v>-3.584</v>
      </c>
      <c r="I219" s="20" t="n">
        <v>-112.778</v>
      </c>
      <c r="K219" s="20" t="n">
        <v>106.061</v>
      </c>
      <c r="M219" s="20" t="n">
        <v>-222.842</v>
      </c>
      <c r="O219" s="20" t="n">
        <v>-23.493</v>
      </c>
      <c r="P219" s="20" t="n">
        <v>-19.556</v>
      </c>
      <c r="Q219" s="20" t="n">
        <v>-53.072</v>
      </c>
      <c r="R219" s="20" t="n">
        <v>-78.67100000000001</v>
      </c>
      <c r="S219" s="20" t="n">
        <v>31.183</v>
      </c>
      <c r="T219" s="20" t="n">
        <v>-178.454</v>
      </c>
      <c r="U219" s="20" t="n">
        <v>-98.255</v>
      </c>
      <c r="V219" s="20" t="n">
        <v>46.869</v>
      </c>
      <c r="W219" s="20" t="n">
        <v>-112.778</v>
      </c>
      <c r="X219" s="20" t="n">
        <v>-222.842</v>
      </c>
    </row>
    <row r="220">
      <c r="A220" s="18" t="inlineStr">
        <is>
          <t>기타 유동부채 증감</t>
        </is>
      </c>
      <c r="C220" s="20" t="n">
        <v>-84.938</v>
      </c>
      <c r="E220" s="20" t="n">
        <v>-17.685</v>
      </c>
      <c r="G220" s="20" t="n">
        <v>-86.65900000000001</v>
      </c>
      <c r="I220" s="20" t="n">
        <v>381.456</v>
      </c>
      <c r="K220" s="20" t="n">
        <v>-404.014</v>
      </c>
      <c r="M220" s="20" t="n">
        <v>-330.797</v>
      </c>
      <c r="O220" s="20" t="n">
        <v>83.667</v>
      </c>
      <c r="P220" s="20" t="n">
        <v>25.008</v>
      </c>
      <c r="Q220" s="20" t="n">
        <v>11.602</v>
      </c>
      <c r="R220" s="20" t="n">
        <v>243.968</v>
      </c>
      <c r="S220" s="20" t="n">
        <v>-83.571</v>
      </c>
      <c r="T220" s="20" t="n">
        <v>-71.541</v>
      </c>
      <c r="U220" s="20" t="n">
        <v>201.536</v>
      </c>
      <c r="V220" s="20" t="n">
        <v>-17.685</v>
      </c>
      <c r="W220" s="20" t="n">
        <v>381.456</v>
      </c>
      <c r="X220" s="20" t="n">
        <v>-330.797</v>
      </c>
    </row>
    <row r="221">
      <c r="A221" s="18" t="inlineStr">
        <is>
          <t>기타</t>
        </is>
      </c>
      <c r="C221" s="20" t="n">
        <v>-0.492</v>
      </c>
      <c r="E221" s="20" t="n">
        <v>0.401</v>
      </c>
      <c r="G221" s="20" t="n">
        <v>2.274</v>
      </c>
      <c r="I221" s="20" t="n">
        <v>5.823</v>
      </c>
      <c r="K221" s="20" t="n">
        <v>-1.007</v>
      </c>
      <c r="M221" s="20" t="n">
        <v>-3.263</v>
      </c>
      <c r="O221" s="20" t="n">
        <v>4.309</v>
      </c>
      <c r="P221" s="20" t="n">
        <v>0.771</v>
      </c>
      <c r="Q221" s="20" t="n">
        <v>154.447</v>
      </c>
      <c r="R221" s="20" t="n">
        <v>-2.574</v>
      </c>
      <c r="S221" s="20" t="n">
        <v>-2.443</v>
      </c>
      <c r="T221" s="20" t="n">
        <v>1.001</v>
      </c>
      <c r="U221" s="20" t="n">
        <v>0.696</v>
      </c>
      <c r="V221" s="20" t="n">
        <v>0.401</v>
      </c>
      <c r="W221" s="20" t="n">
        <v>5.823</v>
      </c>
      <c r="X221" s="20" t="n">
        <v>-3.263</v>
      </c>
    </row>
    <row r="222">
      <c r="A222" s="18" t="inlineStr">
        <is>
          <t>소계</t>
        </is>
      </c>
      <c r="C222" s="20" t="n">
        <v>1237.393</v>
      </c>
      <c r="E222" s="20" t="n">
        <v>1456.547</v>
      </c>
      <c r="G222" s="20" t="n">
        <v>28.231</v>
      </c>
      <c r="I222" s="20" t="n">
        <v>1025.458</v>
      </c>
      <c r="K222" s="20" t="n">
        <v>-237.431</v>
      </c>
      <c r="M222" s="20" t="n">
        <v>711.806</v>
      </c>
      <c r="O222" s="20" t="n">
        <v>599.322</v>
      </c>
      <c r="P222" s="20" t="n">
        <v>691.766</v>
      </c>
      <c r="Q222" s="20" t="n">
        <v>649.3150000000001</v>
      </c>
      <c r="R222" s="20" t="n">
        <v>346.158</v>
      </c>
      <c r="S222" s="20" t="n">
        <v>808.997</v>
      </c>
      <c r="T222" s="20" t="n">
        <v>168.889</v>
      </c>
      <c r="U222" s="20" t="n">
        <v>-969.812</v>
      </c>
      <c r="V222" s="20" t="n">
        <v>1456.547</v>
      </c>
      <c r="W222" s="20" t="n">
        <v>1025.458</v>
      </c>
      <c r="X222" s="20" t="n">
        <v>711.806</v>
      </c>
    </row>
    <row r="223">
      <c r="A223" s="18" t="inlineStr">
        <is>
          <t>이자·배당금 수취</t>
        </is>
      </c>
      <c r="C223" s="20" t="n">
        <v>4.628</v>
      </c>
      <c r="E223" s="20" t="n">
        <v>4.748</v>
      </c>
      <c r="G223" s="20" t="n">
        <v>3.21</v>
      </c>
      <c r="I223" s="20" t="n">
        <v>5.842</v>
      </c>
      <c r="K223" s="20" t="n">
        <v>4.416</v>
      </c>
      <c r="M223" s="20" t="n">
        <v>11.221</v>
      </c>
      <c r="O223" s="20" t="n">
        <v>0.8139999999999999</v>
      </c>
      <c r="P223" s="20" t="n">
        <v>1.277</v>
      </c>
      <c r="Q223" s="20" t="n">
        <v>4.12</v>
      </c>
      <c r="R223" s="20" t="n">
        <v>2.571</v>
      </c>
      <c r="S223" s="20" t="n">
        <v>2.918</v>
      </c>
      <c r="T223" s="20" t="n">
        <v>2.221</v>
      </c>
      <c r="U223" s="20" t="n">
        <v>1.776</v>
      </c>
      <c r="V223" s="20" t="n">
        <v>4.748</v>
      </c>
      <c r="W223" s="20" t="n">
        <v>5.842</v>
      </c>
      <c r="X223" s="20" t="n">
        <v>11.221</v>
      </c>
    </row>
    <row r="224">
      <c r="A224" s="18" t="inlineStr">
        <is>
          <t>이자 지급</t>
        </is>
      </c>
      <c r="C224" s="20" t="n">
        <v>-1.886</v>
      </c>
      <c r="E224" s="20" t="n">
        <v>-2.83</v>
      </c>
      <c r="G224" s="20" t="n">
        <v>-2.458</v>
      </c>
      <c r="I224" s="20" t="n">
        <v>-4.335</v>
      </c>
      <c r="K224" s="20" t="n">
        <v>-3.195</v>
      </c>
      <c r="M224" s="20" t="n">
        <v>-4.665</v>
      </c>
      <c r="O224" s="20" t="n">
        <v>-1.913</v>
      </c>
      <c r="P224" s="20" t="n">
        <v>-1.732</v>
      </c>
      <c r="Q224" s="20" t="n">
        <v>-2.201</v>
      </c>
      <c r="R224" s="20" t="n">
        <v>-1.941</v>
      </c>
      <c r="S224" s="20" t="n">
        <v>-2.272</v>
      </c>
      <c r="T224" s="20" t="n">
        <v>-1.65</v>
      </c>
      <c r="U224" s="20" t="n">
        <v>-1.612</v>
      </c>
      <c r="V224" s="20" t="n">
        <v>-2.83</v>
      </c>
      <c r="W224" s="20" t="n">
        <v>-4.335</v>
      </c>
      <c r="X224" s="20" t="n">
        <v>-4.665</v>
      </c>
    </row>
    <row r="225">
      <c r="A225" s="18" t="inlineStr">
        <is>
          <t>보상금 수취</t>
        </is>
      </c>
      <c r="P225" s="20" t="n">
        <v>0</v>
      </c>
      <c r="Q225" s="20" t="n">
        <v>3.358</v>
      </c>
    </row>
    <row r="226">
      <c r="A226" s="18" t="inlineStr">
        <is>
          <t>보상금 수령액</t>
        </is>
      </c>
      <c r="Q226" s="20" t="n">
        <v>3.358</v>
      </c>
      <c r="R226" s="20" t="n">
        <v>0</v>
      </c>
    </row>
    <row r="227">
      <c r="A227" s="18" t="inlineStr">
        <is>
          <t>화해금 지급액</t>
        </is>
      </c>
      <c r="C227" s="20" t="n">
        <v>0</v>
      </c>
      <c r="G227" s="20" t="n">
        <v>-15.28</v>
      </c>
      <c r="K227" s="20" t="n">
        <v>0</v>
      </c>
    </row>
    <row r="228">
      <c r="A228" s="18" t="inlineStr">
        <is>
          <t>기부금 지급액</t>
        </is>
      </c>
      <c r="I228" s="20" t="n">
        <v>0</v>
      </c>
      <c r="M228" s="20" t="n">
        <v>-12.387</v>
      </c>
      <c r="W228" s="20" t="n">
        <v>0</v>
      </c>
      <c r="X228" s="20" t="n">
        <v>-12.387</v>
      </c>
    </row>
    <row r="229">
      <c r="A229" s="18" t="inlineStr">
        <is>
          <t>법인세 납부</t>
        </is>
      </c>
      <c r="C229" s="20" t="n">
        <v>-258.824</v>
      </c>
      <c r="E229" s="20" t="n">
        <v>-427.103</v>
      </c>
      <c r="G229" s="20" t="n">
        <v>-58.432</v>
      </c>
      <c r="I229" s="20" t="n">
        <v>-162.387</v>
      </c>
      <c r="K229" s="20" t="n">
        <v>-286.747</v>
      </c>
      <c r="M229" s="20" t="n">
        <v>-465.138</v>
      </c>
      <c r="O229" s="20" t="n">
        <v>-144.808</v>
      </c>
      <c r="P229" s="20" t="n">
        <v>-227.21</v>
      </c>
      <c r="Q229" s="20" t="n">
        <v>-339.798</v>
      </c>
      <c r="R229" s="20" t="n">
        <v>-184.632</v>
      </c>
      <c r="S229" s="20" t="n">
        <v>-143.534</v>
      </c>
      <c r="T229" s="20" t="n">
        <v>-109.912</v>
      </c>
      <c r="U229" s="20" t="n">
        <v>-97.848</v>
      </c>
      <c r="V229" s="20" t="n">
        <v>-427.103</v>
      </c>
      <c r="W229" s="20" t="n">
        <v>-162.387</v>
      </c>
      <c r="X229" s="20" t="n">
        <v>-465.138</v>
      </c>
    </row>
    <row r="230">
      <c r="A230" s="18" t="inlineStr">
        <is>
          <t>법인세 환급</t>
        </is>
      </c>
      <c r="C230" s="20" t="n">
        <v>7.307</v>
      </c>
      <c r="E230" s="20" t="n">
        <v>7.307</v>
      </c>
      <c r="G230" s="20" t="n">
        <v>0</v>
      </c>
      <c r="I230" s="20" t="n">
        <v>0</v>
      </c>
      <c r="S230" s="20" t="n">
        <v>0</v>
      </c>
      <c r="T230" s="20" t="n">
        <v>0.016</v>
      </c>
      <c r="U230" s="20" t="n">
        <v>0</v>
      </c>
      <c r="V230" s="20" t="n">
        <v>7.307</v>
      </c>
      <c r="W230" s="20" t="n">
        <v>0</v>
      </c>
    </row>
    <row r="231">
      <c r="A231" s="9" t="inlineStr">
        <is>
          <t>영업활동 현금흐름</t>
        </is>
      </c>
      <c r="C231" s="12" t="n">
        <v>988.6180000000001</v>
      </c>
      <c r="E231" s="12" t="n">
        <v>1038.669</v>
      </c>
      <c r="G231" s="12" t="n">
        <v>-44.73</v>
      </c>
      <c r="I231" s="12" t="n">
        <v>864.578</v>
      </c>
      <c r="K231" s="12" t="n">
        <v>-522.957</v>
      </c>
      <c r="M231" s="12" t="n">
        <v>240.837</v>
      </c>
      <c r="O231" s="12" t="n">
        <v>453.416</v>
      </c>
      <c r="P231" s="12" t="n">
        <v>464.1</v>
      </c>
      <c r="Q231" s="12" t="n">
        <v>314.795</v>
      </c>
      <c r="R231" s="12" t="n">
        <v>162.156</v>
      </c>
      <c r="S231" s="12" t="n">
        <v>666.1079999999999</v>
      </c>
      <c r="T231" s="12" t="n">
        <v>59.565</v>
      </c>
      <c r="U231" s="12" t="n">
        <v>-1067.497</v>
      </c>
      <c r="V231" s="12" t="n">
        <v>1038.669</v>
      </c>
      <c r="W231" s="12" t="n">
        <v>864.578</v>
      </c>
      <c r="X231" s="12" t="n">
        <v>240.837</v>
      </c>
    </row>
    <row r="232">
      <c r="A232" s="18" t="inlineStr">
        <is>
          <t>정기예금 예입</t>
        </is>
      </c>
      <c r="C232" s="20" t="n">
        <v>-68.002</v>
      </c>
      <c r="E232" s="20" t="n">
        <v>-86.90900000000001</v>
      </c>
      <c r="G232" s="20" t="n">
        <v>-19.205</v>
      </c>
      <c r="I232" s="20" t="n">
        <v>-39.02</v>
      </c>
      <c r="K232" s="20" t="n">
        <v>-19.333</v>
      </c>
      <c r="M232" s="20" t="n">
        <v>-87.63800000000001</v>
      </c>
      <c r="O232" s="20" t="n">
        <v>-12.032</v>
      </c>
      <c r="P232" s="20" t="n">
        <v>-12.021</v>
      </c>
      <c r="Q232" s="20" t="n">
        <v>-12.021</v>
      </c>
      <c r="R232" s="20" t="n">
        <v>-21.744</v>
      </c>
      <c r="S232" s="20" t="n">
        <v>-12.015</v>
      </c>
      <c r="T232" s="20" t="n">
        <v>-12.007</v>
      </c>
      <c r="U232" s="20" t="n">
        <v>-18.007</v>
      </c>
      <c r="V232" s="20" t="n">
        <v>-86.90900000000001</v>
      </c>
      <c r="W232" s="20" t="n">
        <v>-39.02</v>
      </c>
      <c r="X232" s="20" t="n">
        <v>-87.63800000000001</v>
      </c>
    </row>
    <row r="233">
      <c r="A233" s="18" t="inlineStr">
        <is>
          <t>정기예금 인출</t>
        </is>
      </c>
      <c r="C233" s="20" t="n">
        <v>60</v>
      </c>
      <c r="E233" s="20" t="n">
        <v>60.002</v>
      </c>
      <c r="G233" s="20" t="n">
        <v>77.602</v>
      </c>
      <c r="I233" s="20" t="n">
        <v>77.602</v>
      </c>
      <c r="K233" s="20" t="n">
        <v>39.61</v>
      </c>
      <c r="M233" s="20" t="n">
        <v>139.75</v>
      </c>
      <c r="O233" s="20" t="n">
        <v>0</v>
      </c>
      <c r="P233" s="20" t="n">
        <v>55.235</v>
      </c>
      <c r="Q233" s="20" t="n">
        <v>0</v>
      </c>
      <c r="R233" s="20" t="n">
        <v>0</v>
      </c>
      <c r="S233" s="20" t="n">
        <v>9.464</v>
      </c>
      <c r="T233" s="20" t="n">
        <v>0</v>
      </c>
      <c r="U233" s="20" t="n">
        <v>0</v>
      </c>
      <c r="V233" s="20" t="n">
        <v>60.002</v>
      </c>
      <c r="W233" s="20" t="n">
        <v>77.602</v>
      </c>
      <c r="X233" s="20" t="n">
        <v>139.75</v>
      </c>
    </row>
    <row r="234">
      <c r="A234" s="18" t="inlineStr">
        <is>
          <t>유형자산 취득(설비투자)</t>
        </is>
      </c>
      <c r="C234" s="20" t="n">
        <v>-14.243</v>
      </c>
      <c r="E234" s="20" t="n">
        <v>-55.576</v>
      </c>
      <c r="G234" s="20" t="n">
        <v>-19.783</v>
      </c>
      <c r="I234" s="20" t="n">
        <v>-25.502</v>
      </c>
      <c r="K234" s="20" t="n">
        <v>-39.867</v>
      </c>
      <c r="M234" s="20" t="n">
        <v>-89.383</v>
      </c>
      <c r="O234" s="20" t="n">
        <v>-18.441</v>
      </c>
      <c r="P234" s="20" t="n">
        <v>-19.328</v>
      </c>
      <c r="Q234" s="20" t="n">
        <v>-6.712</v>
      </c>
      <c r="R234" s="20" t="n">
        <v>-2.041</v>
      </c>
      <c r="S234" s="20" t="n">
        <v>-2.667</v>
      </c>
      <c r="T234" s="20" t="n">
        <v>-11.012</v>
      </c>
      <c r="U234" s="20" t="n">
        <v>-1.699</v>
      </c>
      <c r="V234" s="20" t="n">
        <v>-55.576</v>
      </c>
      <c r="W234" s="20" t="n">
        <v>-25.502</v>
      </c>
      <c r="X234" s="20" t="n">
        <v>-89.383</v>
      </c>
    </row>
    <row r="235">
      <c r="A235" s="18" t="inlineStr">
        <is>
          <t>유형자산 매각</t>
        </is>
      </c>
      <c r="E235" s="20" t="n">
        <v>0.9</v>
      </c>
      <c r="G235" s="20" t="n">
        <v>0</v>
      </c>
      <c r="I235" s="20" t="n">
        <v>0</v>
      </c>
      <c r="K235" s="20" t="n">
        <v>0.472</v>
      </c>
      <c r="M235" s="20" t="n">
        <v>3.791</v>
      </c>
      <c r="P235" s="20" t="n">
        <v>0</v>
      </c>
      <c r="Q235" s="20" t="n">
        <v>0.984</v>
      </c>
      <c r="R235" s="20" t="n">
        <v>0</v>
      </c>
      <c r="S235" s="20" t="n">
        <v>0</v>
      </c>
      <c r="T235" s="20" t="n">
        <v>28.503</v>
      </c>
      <c r="U235" s="20" t="n">
        <v>0.483</v>
      </c>
      <c r="V235" s="20" t="n">
        <v>0.9</v>
      </c>
      <c r="W235" s="20" t="n">
        <v>0</v>
      </c>
      <c r="X235" s="20" t="n">
        <v>3.791</v>
      </c>
    </row>
    <row r="236">
      <c r="A236" s="18" t="inlineStr">
        <is>
          <t>무형자산 취득</t>
        </is>
      </c>
      <c r="C236" s="20" t="n">
        <v>-12.85</v>
      </c>
      <c r="E236" s="20" t="n">
        <v>-38.003</v>
      </c>
      <c r="G236" s="20" t="n">
        <v>-17.34</v>
      </c>
      <c r="I236" s="20" t="n">
        <v>-24.93</v>
      </c>
      <c r="K236" s="20" t="n">
        <v>-11.3</v>
      </c>
      <c r="M236" s="20" t="n">
        <v>-17.332</v>
      </c>
      <c r="O236" s="20" t="n">
        <v>-0.47</v>
      </c>
      <c r="P236" s="20" t="n">
        <v>-25.122</v>
      </c>
      <c r="Q236" s="20" t="n">
        <v>-274.428</v>
      </c>
      <c r="R236" s="20" t="n">
        <v>-108.682</v>
      </c>
      <c r="S236" s="20" t="n">
        <v>-86.574</v>
      </c>
      <c r="T236" s="20" t="n">
        <v>-18.124</v>
      </c>
      <c r="U236" s="20" t="n">
        <v>-11.149</v>
      </c>
      <c r="V236" s="20" t="n">
        <v>-38.003</v>
      </c>
      <c r="W236" s="20" t="n">
        <v>-24.93</v>
      </c>
      <c r="X236" s="20" t="n">
        <v>-17.332</v>
      </c>
    </row>
    <row r="237">
      <c r="A237" s="18" t="inlineStr">
        <is>
          <t>투자유가증권 취득</t>
        </is>
      </c>
      <c r="C237" s="20" t="n">
        <v>-0.439</v>
      </c>
      <c r="E237" s="20" t="n">
        <v>-0.882</v>
      </c>
      <c r="G237" s="20" t="n">
        <v>-0.451</v>
      </c>
      <c r="I237" s="20" t="n">
        <v>-0.904</v>
      </c>
      <c r="K237" s="20" t="n">
        <v>-0.461</v>
      </c>
      <c r="M237" s="20" t="n">
        <v>-4.005</v>
      </c>
      <c r="O237" s="20" t="n">
        <v>-0.429</v>
      </c>
      <c r="P237" s="20" t="n">
        <v>-57.546</v>
      </c>
      <c r="Q237" s="20" t="n">
        <v>-100.809</v>
      </c>
      <c r="R237" s="20" t="n">
        <v>-0.454</v>
      </c>
      <c r="S237" s="20" t="n">
        <v>-0.47</v>
      </c>
      <c r="T237" s="20" t="n">
        <v>-0.487</v>
      </c>
      <c r="U237" s="20" t="n">
        <v>-0.592</v>
      </c>
      <c r="V237" s="20" t="n">
        <v>-0.882</v>
      </c>
      <c r="W237" s="20" t="n">
        <v>-0.904</v>
      </c>
      <c r="X237" s="20" t="n">
        <v>-4.005</v>
      </c>
    </row>
    <row r="238">
      <c r="A238" s="18" t="inlineStr">
        <is>
          <t>자회사 청산 지출</t>
        </is>
      </c>
      <c r="R238" s="20" t="n">
        <v>0</v>
      </c>
      <c r="S238" s="20" t="n">
        <v>-16.863</v>
      </c>
    </row>
    <row r="239">
      <c r="A239" s="18" t="inlineStr">
        <is>
          <t>자회사 청산 지출</t>
        </is>
      </c>
      <c r="S239" s="20" t="n">
        <v>-16.863</v>
      </c>
      <c r="T239" s="20" t="n">
        <v>0</v>
      </c>
    </row>
    <row r="240">
      <c r="A240" s="18" t="inlineStr">
        <is>
          <t>유가증권 상환 수입</t>
        </is>
      </c>
      <c r="S240" s="20" t="n">
        <v>0</v>
      </c>
      <c r="T240" s="20" t="n">
        <v>54.992</v>
      </c>
      <c r="U240" s="20" t="n">
        <v>0</v>
      </c>
    </row>
    <row r="241">
      <c r="A241" s="18" t="inlineStr">
        <is>
          <t>자산복구부채 이행 지출</t>
        </is>
      </c>
      <c r="C241" s="20" t="n">
        <v>-0.057</v>
      </c>
      <c r="E241" s="20" t="n">
        <v>-3.064</v>
      </c>
      <c r="G241" s="20" t="n">
        <v>0</v>
      </c>
      <c r="I241" s="20" t="n">
        <v>0</v>
      </c>
      <c r="O241" s="20" t="n">
        <v>-1.515</v>
      </c>
      <c r="P241" s="20" t="n">
        <v>0</v>
      </c>
      <c r="S241" s="20" t="n">
        <v>0</v>
      </c>
      <c r="T241" s="20" t="n">
        <v>-4.257</v>
      </c>
      <c r="U241" s="20" t="n">
        <v>0</v>
      </c>
      <c r="V241" s="20" t="n">
        <v>-3.064</v>
      </c>
      <c r="W241" s="20" t="n">
        <v>0</v>
      </c>
    </row>
    <row r="242">
      <c r="A242" s="18" t="inlineStr">
        <is>
          <t>임차보증금·보증금 납입</t>
        </is>
      </c>
      <c r="C242" s="20" t="n">
        <v>-5.405</v>
      </c>
      <c r="E242" s="20" t="n">
        <v>-7.164</v>
      </c>
      <c r="G242" s="20" t="n">
        <v>-1.532</v>
      </c>
      <c r="I242" s="20" t="n">
        <v>-4.329</v>
      </c>
      <c r="K242" s="20" t="n">
        <v>-5.472</v>
      </c>
      <c r="M242" s="20" t="n">
        <v>-31.875</v>
      </c>
      <c r="O242" s="20" t="n">
        <v>-5.965</v>
      </c>
      <c r="P242" s="20" t="n">
        <v>-6.637</v>
      </c>
      <c r="Q242" s="20" t="n">
        <v>-4.611</v>
      </c>
      <c r="R242" s="20" t="n">
        <v>-7.12</v>
      </c>
      <c r="S242" s="20" t="n">
        <v>-2.633</v>
      </c>
      <c r="T242" s="20" t="n">
        <v>-1.432</v>
      </c>
      <c r="U242" s="20" t="n">
        <v>-2.698</v>
      </c>
      <c r="V242" s="20" t="n">
        <v>-7.164</v>
      </c>
      <c r="W242" s="20" t="n">
        <v>-4.329</v>
      </c>
      <c r="X242" s="20" t="n">
        <v>-31.875</v>
      </c>
    </row>
    <row r="243">
      <c r="A243" s="18" t="inlineStr">
        <is>
          <t>임차보증금·보증금 회수</t>
        </is>
      </c>
      <c r="C243" s="20" t="n">
        <v>0.362</v>
      </c>
      <c r="E243" s="20" t="n">
        <v>0.967</v>
      </c>
      <c r="G243" s="20" t="n">
        <v>1.781</v>
      </c>
      <c r="I243" s="20" t="n">
        <v>2.012</v>
      </c>
      <c r="K243" s="20" t="n">
        <v>0.388</v>
      </c>
      <c r="M243" s="20" t="n">
        <v>2.911</v>
      </c>
      <c r="O243" s="20" t="n">
        <v>3.665</v>
      </c>
      <c r="P243" s="20" t="n">
        <v>0.585</v>
      </c>
      <c r="Q243" s="20" t="n">
        <v>0.889</v>
      </c>
      <c r="R243" s="20" t="n">
        <v>2.084</v>
      </c>
      <c r="S243" s="20" t="n">
        <v>2.195</v>
      </c>
      <c r="T243" s="20" t="n">
        <v>9.696999999999999</v>
      </c>
      <c r="U243" s="20" t="n">
        <v>1.889</v>
      </c>
      <c r="V243" s="20" t="n">
        <v>0.967</v>
      </c>
      <c r="W243" s="20" t="n">
        <v>2.012</v>
      </c>
      <c r="X243" s="20" t="n">
        <v>2.911</v>
      </c>
    </row>
    <row r="244">
      <c r="A244" s="18" t="inlineStr">
        <is>
          <t>연결범위 변경 자회사 주식 취득</t>
        </is>
      </c>
      <c r="E244" s="20" t="n">
        <v>-79.185</v>
      </c>
      <c r="I244" s="20" t="n">
        <v>0</v>
      </c>
      <c r="U244" s="20" t="n">
        <v>0</v>
      </c>
      <c r="V244" s="20" t="n">
        <v>-79.185</v>
      </c>
      <c r="W244" s="20" t="n">
        <v>0</v>
      </c>
    </row>
    <row r="245">
      <c r="A245" s="18" t="inlineStr">
        <is>
          <t>장기선급비용 지출</t>
        </is>
      </c>
      <c r="C245" s="20" t="n">
        <v>-3</v>
      </c>
      <c r="E245" s="20" t="n">
        <v>-7.002</v>
      </c>
      <c r="G245" s="20" t="n">
        <v>-5.939</v>
      </c>
      <c r="I245" s="20" t="n">
        <v>-9.228</v>
      </c>
      <c r="K245" s="20" t="n">
        <v>-4.775</v>
      </c>
      <c r="M245" s="20" t="n">
        <v>-11.315</v>
      </c>
      <c r="O245" s="20" t="n">
        <v>-5.441</v>
      </c>
      <c r="P245" s="20" t="n">
        <v>-5.578</v>
      </c>
      <c r="Q245" s="20" t="n">
        <v>-5.788</v>
      </c>
      <c r="R245" s="20" t="n">
        <v>-7.808</v>
      </c>
      <c r="S245" s="20" t="n">
        <v>-5.441</v>
      </c>
      <c r="T245" s="20" t="n">
        <v>-6.553</v>
      </c>
      <c r="U245" s="20" t="n">
        <v>-6.676</v>
      </c>
      <c r="V245" s="20" t="n">
        <v>-7.002</v>
      </c>
      <c r="W245" s="20" t="n">
        <v>-9.228</v>
      </c>
      <c r="X245" s="20" t="n">
        <v>-11.315</v>
      </c>
    </row>
    <row r="246">
      <c r="A246" s="18" t="inlineStr">
        <is>
          <t>기타</t>
        </is>
      </c>
      <c r="C246" s="20" t="n">
        <v>-2.636</v>
      </c>
      <c r="E246" s="20" t="n">
        <v>-4.56</v>
      </c>
      <c r="G246" s="20" t="n">
        <v>-2.593</v>
      </c>
      <c r="I246" s="20" t="n">
        <v>-5.909</v>
      </c>
      <c r="K246" s="20" t="n">
        <v>-2.45</v>
      </c>
      <c r="M246" s="20" t="n">
        <v>-4.663</v>
      </c>
      <c r="O246" s="20" t="n">
        <v>-2.47</v>
      </c>
      <c r="P246" s="20" t="n">
        <v>-2.47</v>
      </c>
      <c r="Q246" s="20" t="n">
        <v>-2.374</v>
      </c>
      <c r="R246" s="20" t="n">
        <v>-2.509</v>
      </c>
      <c r="S246" s="20" t="n">
        <v>4.735</v>
      </c>
      <c r="T246" s="20" t="n">
        <v>-0.578</v>
      </c>
      <c r="U246" s="20" t="n">
        <v>-1.607</v>
      </c>
      <c r="V246" s="20" t="n">
        <v>-4.56</v>
      </c>
      <c r="W246" s="20" t="n">
        <v>-5.909</v>
      </c>
      <c r="X246" s="20" t="n">
        <v>-4.663</v>
      </c>
    </row>
    <row r="247">
      <c r="A247" s="9" t="inlineStr">
        <is>
          <t>투자활동 현금흐름</t>
        </is>
      </c>
      <c r="C247" s="12" t="n">
        <v>-46.274</v>
      </c>
      <c r="E247" s="12" t="n">
        <v>-220.478</v>
      </c>
      <c r="G247" s="12" t="n">
        <v>12.539</v>
      </c>
      <c r="I247" s="12" t="n">
        <v>-30.21</v>
      </c>
      <c r="K247" s="12" t="n">
        <v>-43.189</v>
      </c>
      <c r="M247" s="12" t="n">
        <v>-99.762</v>
      </c>
      <c r="O247" s="12" t="n">
        <v>-43.099</v>
      </c>
      <c r="P247" s="12" t="n">
        <v>-72.884</v>
      </c>
      <c r="Q247" s="12" t="n">
        <v>-404.871</v>
      </c>
      <c r="R247" s="12" t="n">
        <v>-148.277</v>
      </c>
      <c r="S247" s="12" t="n">
        <v>-110.269</v>
      </c>
      <c r="T247" s="12" t="n">
        <v>38.738</v>
      </c>
      <c r="U247" s="12" t="n">
        <v>-40.059</v>
      </c>
      <c r="V247" s="12" t="n">
        <v>-220.478</v>
      </c>
      <c r="W247" s="12" t="n">
        <v>-30.21</v>
      </c>
      <c r="X247" s="12" t="n">
        <v>-99.762</v>
      </c>
    </row>
    <row r="248">
      <c r="A248" s="18" t="inlineStr">
        <is>
          <t>단기차입금 순증감</t>
        </is>
      </c>
      <c r="C248" s="20" t="n">
        <v>2.495</v>
      </c>
      <c r="E248" s="20" t="n">
        <v>14.713</v>
      </c>
      <c r="G248" s="20" t="n">
        <v>39.481</v>
      </c>
      <c r="I248" s="20" t="n">
        <v>4.573</v>
      </c>
      <c r="K248" s="20" t="n">
        <v>298.607</v>
      </c>
      <c r="M248" s="20" t="n">
        <v>-1.54</v>
      </c>
      <c r="T248" s="20" t="n">
        <v>0</v>
      </c>
      <c r="U248" s="20" t="n">
        <v>14.76</v>
      </c>
      <c r="V248" s="20" t="n">
        <v>14.713</v>
      </c>
      <c r="W248" s="20" t="n">
        <v>4.573</v>
      </c>
      <c r="X248" s="20" t="n">
        <v>-1.54</v>
      </c>
    </row>
    <row r="249">
      <c r="A249" s="18" t="inlineStr">
        <is>
          <t>장기차입</t>
        </is>
      </c>
      <c r="E249" s="20" t="n">
        <v>0</v>
      </c>
      <c r="I249" s="20" t="n">
        <v>34.753</v>
      </c>
      <c r="M249" s="20" t="n">
        <v>0</v>
      </c>
      <c r="R249" s="20" t="n">
        <v>0</v>
      </c>
      <c r="S249" s="20" t="n">
        <v>450</v>
      </c>
      <c r="T249" s="20" t="n">
        <v>0</v>
      </c>
      <c r="U249" s="20" t="n">
        <v>500</v>
      </c>
      <c r="V249" s="20" t="n">
        <v>0</v>
      </c>
      <c r="W249" s="20" t="n">
        <v>34.753</v>
      </c>
      <c r="X249" s="20" t="n">
        <v>0</v>
      </c>
    </row>
    <row r="250">
      <c r="A250" s="18" t="inlineStr">
        <is>
          <t>장기차입금 상환</t>
        </is>
      </c>
      <c r="C250" s="20" t="n">
        <v>-98.134</v>
      </c>
      <c r="E250" s="20" t="n">
        <v>-201.107</v>
      </c>
      <c r="G250" s="20" t="n">
        <v>-139.893</v>
      </c>
      <c r="I250" s="20" t="n">
        <v>-274.784</v>
      </c>
      <c r="K250" s="20" t="n">
        <v>-81.846</v>
      </c>
      <c r="M250" s="20" t="n">
        <v>-136.988</v>
      </c>
      <c r="O250" s="20" t="n">
        <v>-93.607</v>
      </c>
      <c r="P250" s="20" t="n">
        <v>-59.992</v>
      </c>
      <c r="Q250" s="20" t="n">
        <v>-59.992</v>
      </c>
      <c r="R250" s="20" t="n">
        <v>-59.992</v>
      </c>
      <c r="S250" s="20" t="n">
        <v>-104.197</v>
      </c>
      <c r="T250" s="20" t="n">
        <v>-89.992</v>
      </c>
      <c r="U250" s="20" t="n">
        <v>-99.848</v>
      </c>
      <c r="V250" s="20" t="n">
        <v>-201.107</v>
      </c>
      <c r="W250" s="20" t="n">
        <v>-274.784</v>
      </c>
      <c r="X250" s="20" t="n">
        <v>-136.988</v>
      </c>
    </row>
    <row r="251">
      <c r="A251" s="18" t="inlineStr">
        <is>
          <t>주식 발행</t>
        </is>
      </c>
      <c r="O251" s="20" t="n">
        <v>0</v>
      </c>
      <c r="P251" s="20" t="n">
        <v>328.576</v>
      </c>
      <c r="Q251" s="20" t="n">
        <v>0</v>
      </c>
    </row>
    <row r="252">
      <c r="A252" s="18" t="inlineStr">
        <is>
          <t>배당금 지급</t>
        </is>
      </c>
      <c r="C252" s="20" t="n">
        <v>-149.217</v>
      </c>
      <c r="E252" s="20" t="n">
        <v>-147.694</v>
      </c>
      <c r="G252" s="20" t="n">
        <v>-128.552</v>
      </c>
      <c r="I252" s="20" t="n">
        <v>-128.585</v>
      </c>
      <c r="K252" s="20" t="n">
        <v>-161.021</v>
      </c>
      <c r="M252" s="20" t="n">
        <v>-161.044</v>
      </c>
      <c r="O252" s="20" t="n">
        <v>-82.94199999999999</v>
      </c>
      <c r="P252" s="20" t="n">
        <v>-111.231</v>
      </c>
      <c r="Q252" s="20" t="n">
        <v>-162.812</v>
      </c>
      <c r="R252" s="20" t="n">
        <v>-174.912</v>
      </c>
      <c r="S252" s="20" t="n">
        <v>-145.119</v>
      </c>
      <c r="T252" s="20" t="n">
        <v>-91.435</v>
      </c>
      <c r="U252" s="20" t="n">
        <v>-88.849</v>
      </c>
      <c r="V252" s="20" t="n">
        <v>-147.694</v>
      </c>
      <c r="W252" s="20" t="n">
        <v>-128.585</v>
      </c>
      <c r="X252" s="20" t="n">
        <v>-161.044</v>
      </c>
    </row>
    <row r="253">
      <c r="A253" s="18" t="inlineStr">
        <is>
          <t>자기주식 취득</t>
        </is>
      </c>
      <c r="E253" s="20" t="n">
        <v>-0.102</v>
      </c>
      <c r="I253" s="20" t="n">
        <v>0</v>
      </c>
      <c r="O253" s="20" t="n">
        <v>-0.026</v>
      </c>
      <c r="P253" s="20" t="n">
        <v>0</v>
      </c>
      <c r="Q253" s="20" t="n">
        <v>-0.204</v>
      </c>
      <c r="R253" s="20" t="n">
        <v>-0.044</v>
      </c>
      <c r="S253" s="20" t="n">
        <v>0</v>
      </c>
      <c r="T253" s="20" t="n">
        <v>-27.922</v>
      </c>
      <c r="U253" s="20" t="n">
        <v>-0</v>
      </c>
      <c r="V253" s="20" t="n">
        <v>-0.102</v>
      </c>
      <c r="W253" s="20" t="n">
        <v>0</v>
      </c>
    </row>
    <row r="254">
      <c r="A254" s="18" t="inlineStr">
        <is>
          <t>신주예약권 발행</t>
        </is>
      </c>
      <c r="O254" s="20" t="n">
        <v>0.981</v>
      </c>
      <c r="P254" s="20" t="n">
        <v>0</v>
      </c>
      <c r="Q254" s="20" t="n">
        <v>27.613</v>
      </c>
    </row>
    <row r="255">
      <c r="A255" s="18" t="inlineStr">
        <is>
          <t>신주예약권 발행 지출</t>
        </is>
      </c>
      <c r="O255" s="20" t="n">
        <v>-2.637</v>
      </c>
      <c r="P255" s="20" t="n">
        <v>0</v>
      </c>
    </row>
    <row r="256">
      <c r="A256" s="18" t="inlineStr">
        <is>
          <t>신주예약권 행사에 따른 주식 발행</t>
        </is>
      </c>
      <c r="Q256" s="20" t="n">
        <v>27.613</v>
      </c>
      <c r="R256" s="20" t="n">
        <v>35.309</v>
      </c>
      <c r="S256" s="20" t="n">
        <v>0</v>
      </c>
    </row>
    <row r="257">
      <c r="A257" s="18" t="inlineStr">
        <is>
          <t>비지배주주 납입</t>
        </is>
      </c>
      <c r="Q257" s="20" t="n">
        <v>0</v>
      </c>
      <c r="R257" s="20" t="n">
        <v>29.54</v>
      </c>
      <c r="S257" s="20" t="n">
        <v>0</v>
      </c>
    </row>
    <row r="258">
      <c r="A258" s="18" t="inlineStr">
        <is>
          <t>기타</t>
        </is>
      </c>
      <c r="C258" s="20" t="n">
        <v>-4.48</v>
      </c>
      <c r="E258" s="20" t="n">
        <v>-7.83</v>
      </c>
      <c r="G258" s="20" t="n">
        <v>-2.625</v>
      </c>
      <c r="I258" s="20" t="n">
        <v>-4.613</v>
      </c>
      <c r="K258" s="20" t="n">
        <v>-2.053</v>
      </c>
      <c r="M258" s="20" t="n">
        <v>-4.327</v>
      </c>
      <c r="O258" s="20" t="n">
        <v>-12.935</v>
      </c>
      <c r="P258" s="20" t="n">
        <v>-2.411</v>
      </c>
      <c r="Q258" s="20" t="n">
        <v>1.833</v>
      </c>
      <c r="R258" s="20" t="n">
        <v>-15.905</v>
      </c>
      <c r="S258" s="20" t="n">
        <v>-16.947</v>
      </c>
      <c r="T258" s="20" t="n">
        <v>-15.756</v>
      </c>
      <c r="U258" s="20" t="n">
        <v>-16.025</v>
      </c>
      <c r="V258" s="20" t="n">
        <v>-7.83</v>
      </c>
      <c r="W258" s="20" t="n">
        <v>-4.613</v>
      </c>
      <c r="X258" s="20" t="n">
        <v>-4.327</v>
      </c>
    </row>
    <row r="259">
      <c r="A259" s="9" t="inlineStr">
        <is>
          <t>재무활동 현금흐름</t>
        </is>
      </c>
      <c r="C259" s="12" t="n">
        <v>-249.336</v>
      </c>
      <c r="E259" s="12" t="n">
        <v>-342.02</v>
      </c>
      <c r="G259" s="12" t="n">
        <v>-231.589</v>
      </c>
      <c r="I259" s="12" t="n">
        <v>-368.655</v>
      </c>
      <c r="K259" s="12" t="n">
        <v>53.686</v>
      </c>
      <c r="M259" s="12" t="n">
        <v>-303.901</v>
      </c>
      <c r="O259" s="12" t="n">
        <v>-191.166</v>
      </c>
      <c r="P259" s="12" t="n">
        <v>154.94</v>
      </c>
      <c r="Q259" s="12" t="n">
        <v>-193.562</v>
      </c>
      <c r="R259" s="12" t="n">
        <v>-186.004</v>
      </c>
      <c r="S259" s="12" t="n">
        <v>183.735</v>
      </c>
      <c r="T259" s="12" t="n">
        <v>-225.106</v>
      </c>
      <c r="U259" s="12" t="n">
        <v>310.037</v>
      </c>
      <c r="V259" s="12" t="n">
        <v>-342.02</v>
      </c>
      <c r="W259" s="12" t="n">
        <v>-368.655</v>
      </c>
      <c r="X259" s="12" t="n">
        <v>-303.901</v>
      </c>
    </row>
    <row r="260">
      <c r="A260" s="18" t="inlineStr">
        <is>
          <t>현금성자산 환산차이</t>
        </is>
      </c>
      <c r="C260" s="20" t="n">
        <v>1.271</v>
      </c>
      <c r="E260" s="20" t="n">
        <v>1.995</v>
      </c>
      <c r="G260" s="20" t="n">
        <v>-0.622</v>
      </c>
      <c r="I260" s="20" t="n">
        <v>-0.748</v>
      </c>
      <c r="K260" s="20" t="n">
        <v>1.216</v>
      </c>
      <c r="M260" s="20" t="n">
        <v>6.9</v>
      </c>
      <c r="O260" s="20" t="n">
        <v>-4.365</v>
      </c>
      <c r="P260" s="20" t="n">
        <v>2.104</v>
      </c>
      <c r="Q260" s="20" t="n">
        <v>-0.6840000000000001</v>
      </c>
      <c r="R260" s="20" t="n">
        <v>-1.67</v>
      </c>
      <c r="S260" s="20" t="n">
        <v>2.342</v>
      </c>
      <c r="T260" s="20" t="n">
        <v>6.379</v>
      </c>
      <c r="U260" s="20" t="n">
        <v>0.836</v>
      </c>
      <c r="V260" s="20" t="n">
        <v>1.995</v>
      </c>
      <c r="W260" s="20" t="n">
        <v>-0.748</v>
      </c>
      <c r="X260" s="20" t="n">
        <v>6.9</v>
      </c>
    </row>
    <row r="261">
      <c r="A261" s="18" t="inlineStr">
        <is>
          <t>현금성자산 증감</t>
        </is>
      </c>
      <c r="C261" s="20" t="n">
        <v>694.279</v>
      </c>
      <c r="E261" s="20" t="n">
        <v>478.165</v>
      </c>
      <c r="G261" s="20" t="n">
        <v>-264.403</v>
      </c>
      <c r="I261" s="20" t="n">
        <v>464.963</v>
      </c>
      <c r="K261" s="20" t="n">
        <v>-511.245</v>
      </c>
      <c r="M261" s="20" t="n">
        <v>-155.924</v>
      </c>
      <c r="O261" s="20" t="n">
        <v>214.784</v>
      </c>
      <c r="P261" s="20" t="n">
        <v>548.26</v>
      </c>
      <c r="Q261" s="20" t="n">
        <v>-284.323</v>
      </c>
      <c r="R261" s="20" t="n">
        <v>-173.795</v>
      </c>
      <c r="S261" s="20" t="n">
        <v>741.917</v>
      </c>
      <c r="T261" s="20" t="n">
        <v>-120.423</v>
      </c>
      <c r="U261" s="20" t="n">
        <v>-796.683</v>
      </c>
      <c r="V261" s="20" t="n">
        <v>478.165</v>
      </c>
      <c r="W261" s="20" t="n">
        <v>464.963</v>
      </c>
      <c r="X261" s="20" t="n">
        <v>-155.924</v>
      </c>
    </row>
    <row r="262">
      <c r="A262" s="18" t="inlineStr">
        <is>
          <t>주식교환 현금성자산 증가</t>
        </is>
      </c>
      <c r="E262" s="20" t="n">
        <v>0</v>
      </c>
      <c r="T262" s="20" t="n">
        <v>0</v>
      </c>
      <c r="U262" s="20" t="n">
        <v>270.777</v>
      </c>
      <c r="V26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산키서비스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8020.051</v>
      </c>
      <c r="D5" s="12" t="n">
        <v>8217.725</v>
      </c>
      <c r="E5" s="12" t="n">
        <v>7620.768</v>
      </c>
      <c r="F5" s="12" t="n">
        <v>8319.557000000001</v>
      </c>
      <c r="G5" s="12" t="n">
        <v>8684.044</v>
      </c>
      <c r="H5" s="11" t="n">
        <v>4054.924</v>
      </c>
      <c r="I5" s="12" t="n">
        <v>6952.21</v>
      </c>
      <c r="J5" s="12" t="n">
        <v>7033.908</v>
      </c>
      <c r="K5" s="12" t="n">
        <v>8367.576999999999</v>
      </c>
      <c r="L5" s="12" t="n">
        <v>8319.557000000001</v>
      </c>
    </row>
    <row r="6">
      <c r="A6" s="18" t="inlineStr">
        <is>
          <t>현금및현금성자산</t>
        </is>
      </c>
      <c r="B6" s="10" t="n"/>
      <c r="C6" s="19" t="n">
        <v>2191.592</v>
      </c>
      <c r="D6" s="20" t="n">
        <v>1968.747</v>
      </c>
      <c r="E6" s="20" t="n">
        <v>1874.796</v>
      </c>
      <c r="F6" s="20" t="n">
        <v>2292.233</v>
      </c>
      <c r="G6" s="20" t="n">
        <v>2502.437</v>
      </c>
      <c r="H6" s="19" t="n">
        <v>1772.342</v>
      </c>
      <c r="I6" s="20" t="n">
        <v>1524.485</v>
      </c>
      <c r="J6" s="20" t="n">
        <v>2073.888</v>
      </c>
      <c r="K6" s="20" t="n">
        <v>2500.269</v>
      </c>
      <c r="L6" s="20" t="n">
        <v>2292.233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5067.612</v>
      </c>
      <c r="D8" s="20" t="n">
        <v>5564.766</v>
      </c>
      <c r="E8" s="20" t="n">
        <v>5040.54</v>
      </c>
      <c r="F8" s="20" t="n">
        <v>5098.371</v>
      </c>
      <c r="G8" s="20" t="n">
        <v>5284.566</v>
      </c>
      <c r="H8" s="19" t="n">
        <v>1821.963</v>
      </c>
      <c r="I8" s="20" t="n">
        <v>4514.468</v>
      </c>
      <c r="J8" s="20" t="n">
        <v>4401.923</v>
      </c>
      <c r="K8" s="20" t="n">
        <v>5138.455</v>
      </c>
      <c r="L8" s="20" t="n">
        <v>5098.371</v>
      </c>
    </row>
    <row r="9">
      <c r="A9" s="18" t="inlineStr">
        <is>
          <t>재고자산</t>
        </is>
      </c>
      <c r="B9" s="10" t="n"/>
      <c r="C9" s="19" t="n">
        <v>45.786</v>
      </c>
      <c r="D9" s="20" t="n">
        <v>41.106</v>
      </c>
      <c r="E9" s="20" t="n">
        <v>43.296</v>
      </c>
      <c r="F9" s="20" t="n">
        <v>37.58</v>
      </c>
      <c r="G9" s="20" t="n">
        <v>34.459</v>
      </c>
      <c r="H9" s="19" t="n">
        <v>23.094</v>
      </c>
      <c r="I9" s="20" t="n">
        <v>39.909</v>
      </c>
      <c r="J9" s="20" t="n">
        <v>37.895</v>
      </c>
      <c r="K9" s="20" t="n">
        <v>45.649</v>
      </c>
      <c r="L9" s="20" t="n">
        <v>37.58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1616.442</v>
      </c>
      <c r="D11" s="12" t="n">
        <v>1705.054</v>
      </c>
      <c r="E11" s="12" t="n">
        <v>1792.361</v>
      </c>
      <c r="F11" s="12" t="n">
        <v>1829.12</v>
      </c>
      <c r="G11" s="12" t="n">
        <v>1787.52</v>
      </c>
      <c r="H11" s="11" t="n">
        <v>1026.393</v>
      </c>
      <c r="I11" s="12" t="n">
        <v>1400.801</v>
      </c>
      <c r="J11" s="12" t="n">
        <v>1578.677</v>
      </c>
      <c r="K11" s="12" t="n">
        <v>1580.604</v>
      </c>
      <c r="L11" s="12" t="n">
        <v>1829.12</v>
      </c>
    </row>
    <row r="12">
      <c r="A12" s="18" t="inlineStr">
        <is>
          <t>유형자산</t>
        </is>
      </c>
      <c r="B12" s="10" t="n"/>
      <c r="C12" s="19" t="n">
        <v>686.26</v>
      </c>
      <c r="D12" s="20" t="n">
        <v>737.829</v>
      </c>
      <c r="E12" s="20" t="n">
        <v>729.934</v>
      </c>
      <c r="F12" s="20" t="n">
        <v>738.093</v>
      </c>
      <c r="G12" s="20" t="n">
        <v>733.699</v>
      </c>
      <c r="H12" s="19" t="n">
        <v>312.476</v>
      </c>
      <c r="I12" s="20" t="n">
        <v>551.427</v>
      </c>
      <c r="J12" s="20" t="n">
        <v>700.285</v>
      </c>
      <c r="K12" s="20" t="n">
        <v>687.0549999999999</v>
      </c>
      <c r="L12" s="20" t="n">
        <v>738.093</v>
      </c>
    </row>
    <row r="13">
      <c r="A13" s="18" t="inlineStr">
        <is>
          <t>무형자산</t>
        </is>
      </c>
      <c r="B13" s="10" t="n"/>
      <c r="C13" s="19" t="n">
        <v>91.96599999999999</v>
      </c>
      <c r="D13" s="20" t="n">
        <v>84.06</v>
      </c>
      <c r="E13" s="20" t="n">
        <v>76.893</v>
      </c>
      <c r="F13" s="20" t="n">
        <v>105.683</v>
      </c>
      <c r="G13" s="20" t="n">
        <v>97.348</v>
      </c>
      <c r="H13" s="19" t="n">
        <v>271.281</v>
      </c>
      <c r="I13" s="20" t="n">
        <v>183.253</v>
      </c>
      <c r="J13" s="20" t="n">
        <v>143.449</v>
      </c>
      <c r="K13" s="20" t="n">
        <v>88.613</v>
      </c>
      <c r="L13" s="20" t="n">
        <v>105.683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9636.493</v>
      </c>
      <c r="D16" s="12" t="n">
        <v>9922.780000000001</v>
      </c>
      <c r="E16" s="12" t="n">
        <v>9413.610000000001</v>
      </c>
      <c r="F16" s="12" t="n">
        <v>10151.666</v>
      </c>
      <c r="G16" s="12" t="n">
        <v>10478.326</v>
      </c>
      <c r="H16" s="11" t="n">
        <v>5081.318</v>
      </c>
      <c r="I16" s="12" t="n">
        <v>8353.011</v>
      </c>
      <c r="J16" s="12" t="n">
        <v>8612.584999999999</v>
      </c>
      <c r="K16" s="12" t="n">
        <v>9948.182000000001</v>
      </c>
      <c r="L16" s="12" t="n">
        <v>10151.666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4187.161</v>
      </c>
      <c r="D18" s="12" t="n">
        <v>4214.688</v>
      </c>
      <c r="E18" s="12" t="n">
        <v>3542.788</v>
      </c>
      <c r="F18" s="12" t="n">
        <v>3937.373</v>
      </c>
      <c r="G18" s="12" t="n">
        <v>4253.66</v>
      </c>
      <c r="H18" s="11" t="n">
        <v>1551.08</v>
      </c>
      <c r="I18" s="12" t="n">
        <v>3575.674</v>
      </c>
      <c r="J18" s="12" t="n">
        <v>3520.611</v>
      </c>
      <c r="K18" s="12" t="n">
        <v>4454.444</v>
      </c>
      <c r="L18" s="12" t="n">
        <v>3937.373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110.292</v>
      </c>
      <c r="D20" s="20" t="n">
        <v>383.981</v>
      </c>
      <c r="E20" s="20" t="n">
        <v>87.117</v>
      </c>
      <c r="F20" s="20" t="n">
        <v>87.61</v>
      </c>
      <c r="G20" s="20" t="n">
        <v>50.8</v>
      </c>
      <c r="H20" s="19" t="n">
        <v>0</v>
      </c>
      <c r="I20" s="20" t="n">
        <v>64.76000000000001</v>
      </c>
      <c r="J20" s="20" t="n">
        <v>80.545</v>
      </c>
      <c r="K20" s="20" t="n">
        <v>84.88200000000001</v>
      </c>
      <c r="L20" s="20" t="n">
        <v>87.61</v>
      </c>
    </row>
    <row r="21">
      <c r="A21" s="18" t="inlineStr">
        <is>
          <t>유동성장기부채</t>
        </is>
      </c>
      <c r="B21" s="10" t="n"/>
      <c r="C21" s="19" t="n">
        <v>119.473</v>
      </c>
      <c r="D21" s="20" t="n">
        <v>115.307</v>
      </c>
      <c r="E21" s="20" t="n">
        <v>110.284</v>
      </c>
      <c r="F21" s="20" t="n">
        <v>115.307</v>
      </c>
      <c r="G21" s="20" t="n">
        <v>110.284</v>
      </c>
      <c r="H21" s="19" t="n">
        <v>89.992</v>
      </c>
      <c r="I21" s="20" t="n">
        <v>196.268</v>
      </c>
      <c r="J21" s="20" t="n">
        <v>204.031</v>
      </c>
      <c r="K21" s="20" t="n">
        <v>136.988</v>
      </c>
      <c r="L21" s="20" t="n">
        <v>115.307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650.514</v>
      </c>
      <c r="D23" s="12" t="n">
        <v>632.134</v>
      </c>
      <c r="E23" s="12" t="n">
        <v>630.018</v>
      </c>
      <c r="F23" s="12" t="n">
        <v>584.58</v>
      </c>
      <c r="G23" s="12" t="n">
        <v>550.059</v>
      </c>
      <c r="H23" s="11" t="n">
        <v>512.865</v>
      </c>
      <c r="I23" s="12" t="n">
        <v>943.741</v>
      </c>
      <c r="J23" s="12" t="n">
        <v>877.79</v>
      </c>
      <c r="K23" s="12" t="n">
        <v>680.925</v>
      </c>
      <c r="L23" s="12" t="n">
        <v>584.58</v>
      </c>
    </row>
    <row r="24">
      <c r="A24" s="18" t="inlineStr">
        <is>
          <t>장기차입금</t>
        </is>
      </c>
      <c r="B24" s="10" t="n"/>
      <c r="C24" s="19" t="n">
        <v>206.08</v>
      </c>
      <c r="D24" s="20" t="n">
        <v>178.509</v>
      </c>
      <c r="E24" s="20" t="n">
        <v>155.961</v>
      </c>
      <c r="F24" s="20" t="n">
        <v>123.367</v>
      </c>
      <c r="G24" s="20" t="n">
        <v>95.79600000000001</v>
      </c>
      <c r="H24" s="19" t="n">
        <v>205.855</v>
      </c>
      <c r="I24" s="20" t="n">
        <v>549.231</v>
      </c>
      <c r="J24" s="20" t="n">
        <v>411.662</v>
      </c>
      <c r="K24" s="20" t="n">
        <v>238.674</v>
      </c>
      <c r="L24" s="20" t="n">
        <v>123.367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4837.675</v>
      </c>
      <c r="D27" s="12" t="n">
        <v>4846.823</v>
      </c>
      <c r="E27" s="12" t="n">
        <v>4172.806</v>
      </c>
      <c r="F27" s="12" t="n">
        <v>4521.954</v>
      </c>
      <c r="G27" s="12" t="n">
        <v>4803.72</v>
      </c>
      <c r="H27" s="11" t="n">
        <v>2063.945</v>
      </c>
      <c r="I27" s="12" t="n">
        <v>4519.415</v>
      </c>
      <c r="J27" s="12" t="n">
        <v>4398.401</v>
      </c>
      <c r="K27" s="12" t="n">
        <v>5135.369</v>
      </c>
      <c r="L27" s="12" t="n">
        <v>4521.954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4798.817</v>
      </c>
      <c r="D31" s="12" t="n">
        <v>5075.957</v>
      </c>
      <c r="E31" s="12" t="n">
        <v>5240.804</v>
      </c>
      <c r="F31" s="12" t="n">
        <v>5629.711</v>
      </c>
      <c r="G31" s="12" t="n">
        <v>5674.606</v>
      </c>
      <c r="H31" s="11" t="n">
        <v>3017.372</v>
      </c>
      <c r="I31" s="12" t="n">
        <v>3833.596</v>
      </c>
      <c r="J31" s="12" t="n">
        <v>4214.183</v>
      </c>
      <c r="K31" s="12" t="n">
        <v>4812.812</v>
      </c>
      <c r="L31" s="12" t="n">
        <v>5629.711</v>
      </c>
    </row>
    <row r="32">
      <c r="A32" s="18" t="inlineStr">
        <is>
          <t>자본금</t>
        </is>
      </c>
      <c r="B32" s="10" t="n"/>
      <c r="C32" s="19" t="n">
        <v>616.652</v>
      </c>
      <c r="D32" s="20" t="n">
        <v>616.652</v>
      </c>
      <c r="E32" s="20" t="n">
        <v>616.652</v>
      </c>
      <c r="F32" s="20" t="n">
        <v>616.652</v>
      </c>
      <c r="G32" s="20" t="n">
        <v>616.652</v>
      </c>
      <c r="H32" s="19" t="n">
        <v>616.652</v>
      </c>
      <c r="I32" s="20" t="n">
        <v>616.652</v>
      </c>
      <c r="J32" s="20" t="n">
        <v>616.652</v>
      </c>
      <c r="K32" s="20" t="n">
        <v>616.652</v>
      </c>
      <c r="L32" s="20" t="n">
        <v>616.652</v>
      </c>
    </row>
    <row r="33">
      <c r="A33" s="18" t="inlineStr">
        <is>
          <t>이익잉여금</t>
        </is>
      </c>
      <c r="B33" s="10" t="n"/>
      <c r="C33" s="19" t="n">
        <v>3126.566</v>
      </c>
      <c r="D33" s="20" t="n">
        <v>3356.133</v>
      </c>
      <c r="E33" s="20" t="n">
        <v>3434.448</v>
      </c>
      <c r="F33" s="20" t="n">
        <v>3850.702</v>
      </c>
      <c r="G33" s="20" t="n">
        <v>3914.818</v>
      </c>
      <c r="H33" s="19" t="n">
        <v>1913.902</v>
      </c>
      <c r="I33" s="20" t="n">
        <v>2277.924</v>
      </c>
      <c r="J33" s="20" t="n">
        <v>2598.074</v>
      </c>
      <c r="K33" s="20" t="n">
        <v>3158.483</v>
      </c>
      <c r="L33" s="20" t="n">
        <v>3850.702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4798.817</v>
      </c>
      <c r="D35" s="12" t="n">
        <v>5075.957</v>
      </c>
      <c r="E35" s="12" t="n">
        <v>5240.804</v>
      </c>
      <c r="F35" s="12" t="n">
        <v>5629.711</v>
      </c>
      <c r="G35" s="12" t="n">
        <v>5674.606</v>
      </c>
      <c r="H35" s="11" t="n">
        <v>3017.372</v>
      </c>
      <c r="I35" s="12" t="n">
        <v>3833.596</v>
      </c>
      <c r="J35" s="12" t="n">
        <v>4214.183</v>
      </c>
      <c r="K35" s="12" t="n">
        <v>4812.812</v>
      </c>
      <c r="L35" s="12" t="n">
        <v>5629.711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386.351</v>
      </c>
      <c r="E37" s="12" t="n"/>
      <c r="F37" s="12" t="n">
        <v>240.837</v>
      </c>
      <c r="G37" s="12" t="n"/>
      <c r="H37" s="11" t="n">
        <v>59.565</v>
      </c>
      <c r="I37" s="12" t="n">
        <v>-1067.497</v>
      </c>
      <c r="J37" s="12" t="n">
        <v>1038.669</v>
      </c>
      <c r="K37" s="12" t="n">
        <v>864.578</v>
      </c>
      <c r="L37" s="12" t="n">
        <v>240.837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64.476</v>
      </c>
      <c r="E38" s="20" t="n"/>
      <c r="F38" s="20" t="n">
        <v>106.715</v>
      </c>
      <c r="G38" s="20" t="n"/>
      <c r="H38" s="19" t="n">
        <v>29.136</v>
      </c>
      <c r="I38" s="20" t="n">
        <v>12.848</v>
      </c>
      <c r="J38" s="20" t="n">
        <v>93.57899999999999</v>
      </c>
      <c r="K38" s="20" t="n">
        <v>50.432</v>
      </c>
      <c r="L38" s="20" t="n">
        <v>106.715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161.054</v>
      </c>
      <c r="E40" s="20" t="n"/>
      <c r="F40" s="20" t="n">
        <v>161.044</v>
      </c>
      <c r="G40" s="20" t="n"/>
      <c r="H40" s="19" t="n">
        <v>91.435</v>
      </c>
      <c r="I40" s="20" t="n">
        <v>88.849</v>
      </c>
      <c r="J40" s="20" t="n">
        <v>147.694</v>
      </c>
      <c r="K40" s="20" t="n">
        <v>128.585</v>
      </c>
      <c r="L40" s="20" t="n">
        <v>161.044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IFERROR(IF((IF(COUNT('연간'!G55:J55)&lt;4,"",SUM('연간'!G55:J55)))&lt;=0,"적자",C28/(IF(COUNT('연간'!G55:J55)&lt;4,"",SUM('연간'!G55:J55)))),"")</f>
        <v/>
      </c>
      <c r="D49" s="47">
        <f>IFERROR(IF((IF(COUNT('연간'!H55:K55)&lt;4,"",SUM('연간'!H55:K55)))&lt;=0,"적자",D28/(IF(COUNT('연간'!H55:K55)&lt;4,"",SUM('연간'!H55:K55)))),"")</f>
        <v/>
      </c>
      <c r="E49" s="47">
        <f>IFERROR(IF((IF(COUNT('연간'!I55:L55)&lt;4,"",SUM('연간'!I55:L55)))&lt;=0,"적자",E28/(IF(COUNT('연간'!I55:L55)&lt;4,"",SUM('연간'!I55:L55)))),"")</f>
        <v/>
      </c>
      <c r="F49" s="47">
        <f>IFERROR(IF((IF(COUNT('연간'!J55:M55)&lt;4,"",SUM('연간'!J55:M55)))&lt;=0,"적자",F28/(IF(COUNT('연간'!J55:M55)&lt;4,"",SUM('연간'!J55:M55)))),"")</f>
        <v/>
      </c>
      <c r="G49" s="47">
        <f>IFERROR(IF((IF(COUNT('연간'!K55:N55)&lt;4,"",SUM('연간'!K55:N55)))&lt;=0,"적자",G28/(IF(COUNT('연간'!K55:N55)&lt;4,"",SUM('연간'!K55:N55)))),"")</f>
        <v/>
      </c>
      <c r="H49" s="46">
        <f>IFERROR(IF(('연간'!T55)&lt;=0,"적자",H28/('연간'!T55)),"")</f>
        <v/>
      </c>
      <c r="I49" s="47">
        <f>IFERROR(IF(('연간'!U55)&lt;=0,"적자",I28/('연간'!U55)),"")</f>
        <v/>
      </c>
      <c r="J49" s="47">
        <f>IFERROR(IF(('연간'!V55)&lt;=0,"적자",J28/('연간'!V55)),"")</f>
        <v/>
      </c>
      <c r="K49" s="47">
        <f>IFERROR(IF(('연간'!W55)&lt;=0,"적자",K28/('연간'!W55)),"")</f>
        <v/>
      </c>
      <c r="L49" s="47">
        <f>IFERROR(IF(('연간'!X55)&lt;=0,"적자",L28/('연간'!X55)),"")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IFERROR((IF(COUNT('연간'!G55:J55)&lt;4,"",SUM('연간'!G55:J55)))/C31,"")</f>
        <v/>
      </c>
      <c r="D51" s="36">
        <f>IFERROR((IF(COUNT('연간'!H55:K55)&lt;4,"",SUM('연간'!H55:K55)))/D31,"")</f>
        <v/>
      </c>
      <c r="E51" s="36">
        <f>IFERROR((IF(COUNT('연간'!I55:L55)&lt;4,"",SUM('연간'!I55:L55)))/E31,"")</f>
        <v/>
      </c>
      <c r="F51" s="36">
        <f>IFERROR((IF(COUNT('연간'!J55:M55)&lt;4,"",SUM('연간'!J55:M55)))/F31,"")</f>
        <v/>
      </c>
      <c r="G51" s="36">
        <f>IFERROR((IF(COUNT('연간'!K55:N55)&lt;4,"",SUM('연간'!K55:N55)))/G31,"")</f>
        <v/>
      </c>
      <c r="H51" s="35">
        <f>IFERROR(('연간'!T55)/H31,"")</f>
        <v/>
      </c>
      <c r="I51" s="36">
        <f>IFERROR(('연간'!U55)/I31,"")</f>
        <v/>
      </c>
      <c r="J51" s="36">
        <f>IFERROR(('연간'!V55)/J31,"")</f>
        <v/>
      </c>
      <c r="K51" s="36">
        <f>IFERROR(('연간'!W55)/K31,"")</f>
        <v/>
      </c>
      <c r="L51" s="36">
        <f>IFERROR(('연간'!X55)/L31,"")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IFERROR((IF(COUNT('연간'!G53:J53)&lt;4,"",SUM('연간'!G53:J53)))/C16,"")</f>
        <v/>
      </c>
      <c r="D52" s="36">
        <f>IFERROR((IF(COUNT('연간'!H53:K53)&lt;4,"",SUM('연간'!H53:K53)))/D16,"")</f>
        <v/>
      </c>
      <c r="E52" s="36">
        <f>IFERROR((IF(COUNT('연간'!I53:L53)&lt;4,"",SUM('연간'!I53:L53)))/E16,"")</f>
        <v/>
      </c>
      <c r="F52" s="36">
        <f>IFERROR((IF(COUNT('연간'!J53:M53)&lt;4,"",SUM('연간'!J53:M53)))/F16,"")</f>
        <v/>
      </c>
      <c r="G52" s="36">
        <f>IFERROR((IF(COUNT('연간'!K53:N53)&lt;4,"",SUM('연간'!K53:N53)))/G16,"")</f>
        <v/>
      </c>
      <c r="H52" s="35">
        <f>IFERROR(('연간'!T53)/H16,"")</f>
        <v/>
      </c>
      <c r="I52" s="36">
        <f>IFERROR(('연간'!U53)/I16,"")</f>
        <v/>
      </c>
      <c r="J52" s="36">
        <f>IFERROR(('연간'!V53)/J16,"")</f>
        <v/>
      </c>
      <c r="K52" s="36">
        <f>IFERROR(('연간'!W53)/K16,"")</f>
        <v/>
      </c>
      <c r="L52" s="36">
        <f>IFERROR(('연간'!X53)/L16,"")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IFERROR((IF(COUNT('연간'!G19:J19)&lt;4,"",SUM('연간'!G19:J19)))/(IF(COUNT('연간'!G4:J4)&lt;4,"",SUM('연간'!G4:J4))),"")</f>
        <v/>
      </c>
      <c r="D54" s="36">
        <f>IFERROR((IF(COUNT('연간'!H19:K19)&lt;4,"",SUM('연간'!H19:K19)))/(IF(COUNT('연간'!H4:K4)&lt;4,"",SUM('연간'!H4:K4))),"")</f>
        <v/>
      </c>
      <c r="E54" s="36">
        <f>IFERROR((IF(COUNT('연간'!I19:L19)&lt;4,"",SUM('연간'!I19:L19)))/(IF(COUNT('연간'!I4:L4)&lt;4,"",SUM('연간'!I4:L4))),"")</f>
        <v/>
      </c>
      <c r="F54" s="36">
        <f>IFERROR((IF(COUNT('연간'!J19:M19)&lt;4,"",SUM('연간'!J19:M19)))/(IF(COUNT('연간'!J4:M4)&lt;4,"",SUM('연간'!J4:M4))),"")</f>
        <v/>
      </c>
      <c r="G54" s="36">
        <f>IFERROR((IF(COUNT('연간'!K19:N19)&lt;4,"",SUM('연간'!K19:N19)))/(IF(COUNT('연간'!K4:N4)&lt;4,"",SUM('연간'!K4:N4))),"")</f>
        <v/>
      </c>
      <c r="H54" s="35">
        <f>IFERROR(('연간'!T19)/('연간'!T4),"")</f>
        <v/>
      </c>
      <c r="I54" s="36">
        <f>IFERROR(('연간'!U19)/('연간'!U4),"")</f>
        <v/>
      </c>
      <c r="J54" s="36">
        <f>IFERROR(('연간'!V19)/('연간'!V4),"")</f>
        <v/>
      </c>
      <c r="K54" s="36">
        <f>IFERROR(('연간'!W19)/('연간'!W4),"")</f>
        <v/>
      </c>
      <c r="L54" s="36">
        <f>IFERROR(('연간'!X19)/('연간'!X4),"")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IFERROR((IF(COUNT('연간'!G53:J53)&lt;4,"",SUM('연간'!G53:J53)))/(IF(COUNT('연간'!G4:J4)&lt;4,"",SUM('연간'!G4:J4))),"")</f>
        <v/>
      </c>
      <c r="D56" s="36">
        <f>IFERROR((IF(COUNT('연간'!H53:K53)&lt;4,"",SUM('연간'!H53:K53)))/(IF(COUNT('연간'!H4:K4)&lt;4,"",SUM('연간'!H4:K4))),"")</f>
        <v/>
      </c>
      <c r="E56" s="36">
        <f>IFERROR((IF(COUNT('연간'!I53:L53)&lt;4,"",SUM('연간'!I53:L53)))/(IF(COUNT('연간'!I4:L4)&lt;4,"",SUM('연간'!I4:L4))),"")</f>
        <v/>
      </c>
      <c r="F56" s="36">
        <f>IFERROR((IF(COUNT('연간'!J53:M53)&lt;4,"",SUM('연간'!J53:M53)))/(IF(COUNT('연간'!J4:M4)&lt;4,"",SUM('연간'!J4:M4))),"")</f>
        <v/>
      </c>
      <c r="G56" s="36">
        <f>IFERROR((IF(COUNT('연간'!K53:N53)&lt;4,"",SUM('연간'!K53:N53)))/(IF(COUNT('연간'!K4:N4)&lt;4,"",SUM('연간'!K4:N4))),"")</f>
        <v/>
      </c>
      <c r="H56" s="35">
        <f>IFERROR(('연간'!T53)/('연간'!T4),"")</f>
        <v/>
      </c>
      <c r="I56" s="36">
        <f>IFERROR(('연간'!U53)/('연간'!U4),"")</f>
        <v/>
      </c>
      <c r="J56" s="36">
        <f>IFERROR(('연간'!V53)/('연간'!V4),"")</f>
        <v/>
      </c>
      <c r="K56" s="36">
        <f>IFERROR(('연간'!W53)/('연간'!W4),"")</f>
        <v/>
      </c>
      <c r="L56" s="36">
        <f>IFERROR(('연간'!X53)/('연간'!X4),"")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IF(C37="","",IFERROR(C37/(IF(COUNT('연간'!G53:J53)&lt;4,"",SUM('연간'!G53:J53))),""))</f>
        <v/>
      </c>
      <c r="D64" s="31">
        <f>IF(D37="","",IFERROR(D37/(IF(COUNT('연간'!H53:K53)&lt;4,"",SUM('연간'!H53:K53))),""))</f>
        <v/>
      </c>
      <c r="E64" s="31">
        <f>IF(E37="","",IFERROR(E37/(IF(COUNT('연간'!I53:L53)&lt;4,"",SUM('연간'!I53:L53))),""))</f>
        <v/>
      </c>
      <c r="F64" s="31">
        <f>IF(F37="","",IFERROR(F37/(IF(COUNT('연간'!J53:M53)&lt;4,"",SUM('연간'!J53:M53))),""))</f>
        <v/>
      </c>
      <c r="G64" s="31">
        <f>IF(G37="","",IFERROR(G37/(IF(COUNT('연간'!K53:N53)&lt;4,"",SUM('연간'!K53:N53))),""))</f>
        <v/>
      </c>
      <c r="H64" s="30">
        <f>IF(H37="","",IFERROR(H37/('연간'!T53),""))</f>
        <v/>
      </c>
      <c r="I64" s="31">
        <f>IF(I37="","",IFERROR(I37/('연간'!U53),""))</f>
        <v/>
      </c>
      <c r="J64" s="31">
        <f>IF(J37="","",IFERROR(J37/('연간'!V53),""))</f>
        <v/>
      </c>
      <c r="K64" s="31">
        <f>IF(K37="","",IFERROR(K37/('연간'!W53),""))</f>
        <v/>
      </c>
      <c r="L64" s="31">
        <f>IF(L37="","",IFERROR(L37/('연간'!X53),""))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IF(C40="","",IFERROR(C40/(IF(COUNT('연간'!G55:J55)&lt;4,"",SUM('연간'!G55:J55))),""))</f>
        <v/>
      </c>
      <c r="D67" s="36">
        <f>IF(D40="","",IFERROR(D40/(IF(COUNT('연간'!H55:K55)&lt;4,"",SUM('연간'!H55:K55))),""))</f>
        <v/>
      </c>
      <c r="E67" s="36">
        <f>IF(E40="","",IFERROR(E40/(IF(COUNT('연간'!I55:L55)&lt;4,"",SUM('연간'!I55:L55))),""))</f>
        <v/>
      </c>
      <c r="F67" s="36">
        <f>IF(F40="","",IFERROR(F40/(IF(COUNT('연간'!J55:M55)&lt;4,"",SUM('연간'!J55:M55))),""))</f>
        <v/>
      </c>
      <c r="G67" s="36">
        <f>IF(G40="","",IFERROR(G40/(IF(COUNT('연간'!K55:N55)&lt;4,"",SUM('연간'!K55:N55))),""))</f>
        <v/>
      </c>
      <c r="H67" s="35">
        <f>IF(H40="","",IFERROR(H40/('연간'!T55),""))</f>
        <v/>
      </c>
      <c r="I67" s="36">
        <f>IF(I40="","",IFERROR(I40/('연간'!U55),""))</f>
        <v/>
      </c>
      <c r="J67" s="36">
        <f>IF(J40="","",IFERROR(J40/('연간'!V55),""))</f>
        <v/>
      </c>
      <c r="K67" s="36">
        <f>IF(K40="","",IFERROR(K40/('연간'!W55),""))</f>
        <v/>
      </c>
      <c r="L67" s="36">
        <f>IF(L40="","",IFERROR(L40/('연간'!X55),""))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2191.592</v>
      </c>
      <c r="D71" s="20" t="n">
        <v>1968.747</v>
      </c>
      <c r="E71" s="20" t="n">
        <v>1874.796</v>
      </c>
      <c r="F71" s="20" t="n">
        <v>2292.233</v>
      </c>
      <c r="G71" s="20" t="n">
        <v>2502.437</v>
      </c>
      <c r="H71" s="20" t="n">
        <v>1772.342</v>
      </c>
      <c r="I71" s="20" t="n">
        <v>1524.485</v>
      </c>
      <c r="J71" s="20" t="n">
        <v>2073.888</v>
      </c>
      <c r="K71" s="20" t="n">
        <v>2500.269</v>
      </c>
      <c r="L71" s="20" t="n">
        <v>2292.233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5067.612</v>
      </c>
      <c r="D73" s="20" t="n">
        <v>5564.766</v>
      </c>
      <c r="E73" s="20" t="n">
        <v>5040.54</v>
      </c>
      <c r="F73" s="20" t="n">
        <v>5098.371</v>
      </c>
      <c r="G73" s="20" t="n">
        <v>5284.566</v>
      </c>
      <c r="H73" s="20" t="n">
        <v>1821.963</v>
      </c>
      <c r="I73" s="20" t="n">
        <v>4514.468</v>
      </c>
      <c r="J73" s="20" t="n">
        <v>4401.923</v>
      </c>
      <c r="K73" s="20" t="n">
        <v>5138.455</v>
      </c>
      <c r="L73" s="20" t="n">
        <v>5098.371</v>
      </c>
    </row>
    <row r="74">
      <c r="A74" s="18" t="inlineStr">
        <is>
          <t>유가증권</t>
        </is>
      </c>
      <c r="H74" s="20" t="n">
        <v>0</v>
      </c>
    </row>
    <row r="75">
      <c r="A75" s="18" t="inlineStr">
        <is>
          <t>미성공사 지출금</t>
        </is>
      </c>
      <c r="C75" s="20" t="n">
        <v>228.583</v>
      </c>
      <c r="D75" s="20" t="n">
        <v>210.305</v>
      </c>
      <c r="E75" s="20" t="n">
        <v>197.637</v>
      </c>
      <c r="F75" s="20" t="n">
        <v>131.512</v>
      </c>
      <c r="G75" s="20" t="n">
        <v>238.603</v>
      </c>
      <c r="H75" s="20" t="n">
        <v>55.222</v>
      </c>
      <c r="I75" s="20" t="n">
        <v>397.262</v>
      </c>
      <c r="J75" s="20" t="n">
        <v>101.633</v>
      </c>
      <c r="K75" s="20" t="n">
        <v>147.26</v>
      </c>
      <c r="L75" s="20" t="n">
        <v>131.512</v>
      </c>
    </row>
    <row r="76">
      <c r="A76" s="18" t="inlineStr">
        <is>
          <t>원재료·저장품</t>
        </is>
      </c>
      <c r="C76" s="20" t="n">
        <v>45.786</v>
      </c>
      <c r="D76" s="20" t="n">
        <v>41.106</v>
      </c>
      <c r="E76" s="20" t="n">
        <v>43.296</v>
      </c>
      <c r="F76" s="20" t="n">
        <v>37.58</v>
      </c>
      <c r="G76" s="20" t="n">
        <v>34.459</v>
      </c>
      <c r="H76" s="20" t="n">
        <v>23.094</v>
      </c>
      <c r="I76" s="20" t="n">
        <v>39.909</v>
      </c>
      <c r="J76" s="20" t="n">
        <v>37.895</v>
      </c>
      <c r="K76" s="20" t="n">
        <v>45.649</v>
      </c>
      <c r="L76" s="20" t="n">
        <v>37.58</v>
      </c>
    </row>
    <row r="77">
      <c r="A77" s="18" t="inlineStr">
        <is>
          <t>기타</t>
        </is>
      </c>
      <c r="C77" s="20" t="n">
        <v>491.737</v>
      </c>
      <c r="D77" s="20" t="n">
        <v>438.149</v>
      </c>
      <c r="E77" s="20" t="n">
        <v>469.85</v>
      </c>
      <c r="F77" s="20" t="n">
        <v>765.276</v>
      </c>
      <c r="G77" s="20" t="n">
        <v>629.424</v>
      </c>
      <c r="H77" s="20" t="n">
        <v>382.483</v>
      </c>
      <c r="I77" s="20" t="n">
        <v>476.917</v>
      </c>
      <c r="J77" s="20" t="n">
        <v>422.529</v>
      </c>
      <c r="K77" s="20" t="n">
        <v>541.205</v>
      </c>
      <c r="L77" s="20" t="n">
        <v>765.276</v>
      </c>
    </row>
    <row r="78">
      <c r="A78" s="18" t="inlineStr">
        <is>
          <t>대손충당금</t>
        </is>
      </c>
      <c r="C78" s="20" t="n">
        <v>-5.261</v>
      </c>
      <c r="D78" s="20" t="n">
        <v>-5.348</v>
      </c>
      <c r="E78" s="20" t="n">
        <v>-5.352</v>
      </c>
      <c r="F78" s="20" t="n">
        <v>-5.416</v>
      </c>
      <c r="G78" s="20" t="n">
        <v>-5.446</v>
      </c>
      <c r="H78" s="20" t="n">
        <v>-0.181</v>
      </c>
      <c r="I78" s="20" t="n">
        <v>-0.833</v>
      </c>
      <c r="J78" s="20" t="n">
        <v>-3.962</v>
      </c>
      <c r="K78" s="20" t="n">
        <v>-5.263</v>
      </c>
      <c r="L78" s="20" t="n">
        <v>-5.416</v>
      </c>
    </row>
    <row r="79">
      <c r="A79" s="9" t="inlineStr">
        <is>
          <t>유동자산 합계</t>
        </is>
      </c>
      <c r="C79" s="12" t="n">
        <v>8020.051</v>
      </c>
      <c r="D79" s="12" t="n">
        <v>8217.725</v>
      </c>
      <c r="E79" s="12" t="n">
        <v>7620.768</v>
      </c>
      <c r="F79" s="12" t="n">
        <v>8319.557000000001</v>
      </c>
      <c r="G79" s="12" t="n">
        <v>8684.044</v>
      </c>
      <c r="H79" s="12" t="n">
        <v>4054.924</v>
      </c>
      <c r="I79" s="12" t="n">
        <v>6952.21</v>
      </c>
      <c r="J79" s="12" t="n">
        <v>7033.908</v>
      </c>
      <c r="K79" s="12" t="n">
        <v>8367.576999999999</v>
      </c>
      <c r="L79" s="12" t="n">
        <v>8319.557000000001</v>
      </c>
    </row>
    <row r="80">
      <c r="A80" s="18" t="inlineStr">
        <is>
          <t>건물·구축물</t>
        </is>
      </c>
      <c r="F80" s="20" t="n">
        <v>720.029</v>
      </c>
      <c r="H80" s="20" t="n">
        <v>346.929</v>
      </c>
      <c r="I80" s="20" t="n">
        <v>617.899</v>
      </c>
      <c r="J80" s="20" t="n">
        <v>684.492</v>
      </c>
      <c r="K80" s="20" t="n">
        <v>686.682</v>
      </c>
      <c r="L80" s="20" t="n">
        <v>720.029</v>
      </c>
    </row>
    <row r="81">
      <c r="A81" s="18" t="inlineStr">
        <is>
          <t>감가상각누계액</t>
        </is>
      </c>
      <c r="F81" s="20" t="n">
        <v>-402.655</v>
      </c>
      <c r="H81" s="20" t="n">
        <v>-131.211</v>
      </c>
      <c r="I81" s="20" t="n">
        <v>-294.299</v>
      </c>
      <c r="J81" s="20" t="n">
        <v>-361.602</v>
      </c>
      <c r="K81" s="20" t="n">
        <v>-381.532</v>
      </c>
      <c r="L81" s="20" t="n">
        <v>-402.655</v>
      </c>
    </row>
    <row r="82">
      <c r="A82" s="18" t="inlineStr">
        <is>
          <t>손상차손누계액</t>
        </is>
      </c>
      <c r="F82" s="20" t="n">
        <v>-6.311</v>
      </c>
      <c r="H82" s="20" t="n">
        <v>-6.311</v>
      </c>
      <c r="I82" s="20" t="n">
        <v>-6.311</v>
      </c>
      <c r="J82" s="20" t="n">
        <v>-6.311</v>
      </c>
      <c r="K82" s="20" t="n">
        <v>-6.311</v>
      </c>
      <c r="L82" s="20" t="n">
        <v>-6.311</v>
      </c>
    </row>
    <row r="83">
      <c r="A83" s="18" t="inlineStr">
        <is>
          <t>건물·구축물(순액)</t>
        </is>
      </c>
      <c r="C83" s="20" t="n">
        <v>294.41</v>
      </c>
      <c r="D83" s="20" t="n">
        <v>302.498</v>
      </c>
      <c r="E83" s="20" t="n">
        <v>301.578</v>
      </c>
      <c r="F83" s="20" t="n">
        <v>311.063</v>
      </c>
      <c r="G83" s="20" t="n">
        <v>311.794</v>
      </c>
      <c r="H83" s="20" t="n">
        <v>209.406</v>
      </c>
      <c r="I83" s="20" t="n">
        <v>317.288</v>
      </c>
      <c r="J83" s="20" t="n">
        <v>316.577</v>
      </c>
      <c r="K83" s="20" t="n">
        <v>298.838</v>
      </c>
      <c r="L83" s="20" t="n">
        <v>311.063</v>
      </c>
    </row>
    <row r="84">
      <c r="A84" s="18" t="inlineStr">
        <is>
          <t>기계장치·운반구</t>
        </is>
      </c>
      <c r="F84" s="20" t="n">
        <v>205.183</v>
      </c>
      <c r="H84" s="20" t="n">
        <v>0.328</v>
      </c>
      <c r="I84" s="20" t="n">
        <v>136.021</v>
      </c>
      <c r="J84" s="20" t="n">
        <v>167.455</v>
      </c>
      <c r="K84" s="20" t="n">
        <v>167.675</v>
      </c>
      <c r="L84" s="20" t="n">
        <v>205.183</v>
      </c>
    </row>
    <row r="85">
      <c r="A85" s="18" t="inlineStr">
        <is>
          <t>감가상각누계액</t>
        </is>
      </c>
      <c r="F85" s="20" t="n">
        <v>-124.393</v>
      </c>
      <c r="H85" s="20" t="n">
        <v>-0.221</v>
      </c>
      <c r="I85" s="20" t="n">
        <v>-104.691</v>
      </c>
      <c r="J85" s="20" t="n">
        <v>-101.648</v>
      </c>
      <c r="K85" s="20" t="n">
        <v>-112.786</v>
      </c>
      <c r="L85" s="20" t="n">
        <v>-124.393</v>
      </c>
    </row>
    <row r="86">
      <c r="A86" s="18" t="inlineStr">
        <is>
          <t>기계장치·운반구(순액)</t>
        </is>
      </c>
      <c r="F86" s="20" t="n">
        <v>80.79000000000001</v>
      </c>
      <c r="H86" s="20" t="n">
        <v>0.107</v>
      </c>
      <c r="I86" s="20" t="n">
        <v>31.33</v>
      </c>
      <c r="J86" s="20" t="n">
        <v>65.806</v>
      </c>
      <c r="K86" s="20" t="n">
        <v>54.888</v>
      </c>
      <c r="L86" s="20" t="n">
        <v>80.79000000000001</v>
      </c>
    </row>
    <row r="87">
      <c r="A87" s="18" t="inlineStr">
        <is>
          <t>공구·기구·비품</t>
        </is>
      </c>
      <c r="F87" s="20" t="n">
        <v>95.85899999999999</v>
      </c>
      <c r="H87" s="20" t="n">
        <v>34.541</v>
      </c>
      <c r="I87" s="20" t="n">
        <v>42.24</v>
      </c>
      <c r="J87" s="20" t="n">
        <v>47.632</v>
      </c>
      <c r="K87" s="20" t="n">
        <v>54.574</v>
      </c>
      <c r="L87" s="20" t="n">
        <v>95.85899999999999</v>
      </c>
    </row>
    <row r="88">
      <c r="A88" s="18" t="inlineStr">
        <is>
          <t>감가상각누계액</t>
        </is>
      </c>
      <c r="F88" s="20" t="n">
        <v>-59.726</v>
      </c>
      <c r="H88" s="20" t="n">
        <v>-30.17</v>
      </c>
      <c r="I88" s="20" t="n">
        <v>-36.912</v>
      </c>
      <c r="J88" s="20" t="n">
        <v>-41.031</v>
      </c>
      <c r="K88" s="20" t="n">
        <v>-45.94</v>
      </c>
      <c r="L88" s="20" t="n">
        <v>-59.726</v>
      </c>
    </row>
    <row r="89">
      <c r="A89" s="18" t="inlineStr">
        <is>
          <t>손상차손누계액</t>
        </is>
      </c>
      <c r="F89" s="20" t="n">
        <v>-0.825</v>
      </c>
      <c r="I89" s="20" t="n">
        <v>0</v>
      </c>
      <c r="J89" s="20" t="n">
        <v>-0.645</v>
      </c>
      <c r="K89" s="20" t="n">
        <v>-0.735</v>
      </c>
      <c r="L89" s="20" t="n">
        <v>-0.825</v>
      </c>
    </row>
    <row r="90">
      <c r="A90" s="18" t="inlineStr">
        <is>
          <t>공구·기구·비품(순액)</t>
        </is>
      </c>
      <c r="F90" s="20" t="n">
        <v>35.306</v>
      </c>
      <c r="H90" s="20" t="n">
        <v>4.37</v>
      </c>
      <c r="I90" s="20" t="n">
        <v>5.328</v>
      </c>
      <c r="J90" s="20" t="n">
        <v>5.955</v>
      </c>
      <c r="K90" s="20" t="n">
        <v>7.898</v>
      </c>
      <c r="L90" s="20" t="n">
        <v>35.306</v>
      </c>
    </row>
    <row r="91">
      <c r="A91" s="18" t="inlineStr">
        <is>
          <t>토지</t>
        </is>
      </c>
      <c r="C91" s="20" t="n">
        <v>296.007</v>
      </c>
      <c r="D91" s="20" t="n">
        <v>296.007</v>
      </c>
      <c r="E91" s="20" t="n">
        <v>296.007</v>
      </c>
      <c r="F91" s="20" t="n">
        <v>296.007</v>
      </c>
      <c r="G91" s="20" t="n">
        <v>296.007</v>
      </c>
      <c r="H91" s="20" t="n">
        <v>91.98399999999999</v>
      </c>
      <c r="I91" s="20" t="n">
        <v>175.207</v>
      </c>
      <c r="J91" s="20" t="n">
        <v>296.007</v>
      </c>
      <c r="K91" s="20" t="n">
        <v>296.007</v>
      </c>
      <c r="L91" s="20" t="n">
        <v>296.007</v>
      </c>
    </row>
    <row r="92">
      <c r="A92" s="18" t="inlineStr">
        <is>
          <t>리스자산</t>
        </is>
      </c>
      <c r="F92" s="20" t="n">
        <v>33.663</v>
      </c>
      <c r="H92" s="20" t="n">
        <v>39.237</v>
      </c>
      <c r="I92" s="20" t="n">
        <v>48.817</v>
      </c>
      <c r="J92" s="20" t="n">
        <v>38.92</v>
      </c>
      <c r="K92" s="20" t="n">
        <v>29.599</v>
      </c>
      <c r="L92" s="20" t="n">
        <v>33.663</v>
      </c>
    </row>
    <row r="93">
      <c r="A93" s="18" t="inlineStr">
        <is>
          <t>감가상각누계액</t>
        </is>
      </c>
      <c r="F93" s="20" t="n">
        <v>-18.7</v>
      </c>
      <c r="H93" s="20" t="n">
        <v>-32.629</v>
      </c>
      <c r="I93" s="20" t="n">
        <v>-26.544</v>
      </c>
      <c r="J93" s="20" t="n">
        <v>-22.949</v>
      </c>
      <c r="K93" s="20" t="n">
        <v>-17.279</v>
      </c>
      <c r="L93" s="20" t="n">
        <v>-18.7</v>
      </c>
    </row>
    <row r="94">
      <c r="A94" s="18" t="inlineStr">
        <is>
          <t>손상차손누계액</t>
        </is>
      </c>
      <c r="F94" s="20" t="n">
        <v>-0.037</v>
      </c>
      <c r="I94" s="20" t="n">
        <v>0</v>
      </c>
      <c r="J94" s="20" t="n">
        <v>-0.033</v>
      </c>
      <c r="K94" s="20" t="n">
        <v>-0.033</v>
      </c>
      <c r="L94" s="20" t="n">
        <v>-0.037</v>
      </c>
    </row>
    <row r="95">
      <c r="A95" s="18" t="inlineStr">
        <is>
          <t>리스자산(순액)</t>
        </is>
      </c>
      <c r="F95" s="20" t="n">
        <v>14.925</v>
      </c>
      <c r="H95" s="20" t="n">
        <v>6.607</v>
      </c>
      <c r="I95" s="20" t="n">
        <v>22.272</v>
      </c>
      <c r="J95" s="20" t="n">
        <v>15.937</v>
      </c>
      <c r="K95" s="20" t="n">
        <v>12.286</v>
      </c>
      <c r="L95" s="20" t="n">
        <v>14.925</v>
      </c>
    </row>
    <row r="96">
      <c r="A96" s="18" t="inlineStr">
        <is>
          <t>건설중인자산</t>
        </is>
      </c>
      <c r="F96" s="20" t="n">
        <v>0</v>
      </c>
      <c r="J96" s="20" t="n">
        <v>0</v>
      </c>
      <c r="K96" s="20" t="n">
        <v>17.137</v>
      </c>
      <c r="L96" s="20" t="n">
        <v>0</v>
      </c>
    </row>
    <row r="97">
      <c r="A97" s="18" t="inlineStr">
        <is>
          <t>기타(순액)</t>
        </is>
      </c>
      <c r="C97" s="20" t="n">
        <v>95.842</v>
      </c>
      <c r="D97" s="20" t="n">
        <v>139.323</v>
      </c>
      <c r="E97" s="20" t="n">
        <v>132.348</v>
      </c>
      <c r="F97" s="20" t="n">
        <v>131.022</v>
      </c>
      <c r="G97" s="20" t="n">
        <v>125.897</v>
      </c>
      <c r="H97" s="20" t="n">
        <v>11.086</v>
      </c>
      <c r="I97" s="20" t="n">
        <v>58.931</v>
      </c>
      <c r="J97" s="20" t="n">
        <v>87.699</v>
      </c>
      <c r="K97" s="20" t="n">
        <v>92.20999999999999</v>
      </c>
      <c r="L97" s="20" t="n">
        <v>131.022</v>
      </c>
    </row>
    <row r="98">
      <c r="A98" s="18" t="inlineStr">
        <is>
          <t>유형자산 합계</t>
        </is>
      </c>
      <c r="C98" s="20" t="n">
        <v>686.26</v>
      </c>
      <c r="D98" s="20" t="n">
        <v>737.829</v>
      </c>
      <c r="E98" s="20" t="n">
        <v>729.934</v>
      </c>
      <c r="F98" s="20" t="n">
        <v>738.093</v>
      </c>
      <c r="G98" s="20" t="n">
        <v>733.699</v>
      </c>
      <c r="H98" s="20" t="n">
        <v>312.476</v>
      </c>
      <c r="I98" s="20" t="n">
        <v>551.427</v>
      </c>
      <c r="J98" s="20" t="n">
        <v>700.285</v>
      </c>
      <c r="K98" s="20" t="n">
        <v>687.0549999999999</v>
      </c>
      <c r="L98" s="20" t="n">
        <v>738.093</v>
      </c>
    </row>
    <row r="99">
      <c r="A99" s="18" t="inlineStr">
        <is>
          <t>소프트웨어</t>
        </is>
      </c>
      <c r="F99" s="20" t="n">
        <v>85.45699999999999</v>
      </c>
      <c r="H99" s="20" t="n">
        <v>256.543</v>
      </c>
      <c r="I99" s="20" t="n">
        <v>168.185</v>
      </c>
      <c r="J99" s="20" t="n">
        <v>109.868</v>
      </c>
      <c r="K99" s="20" t="n">
        <v>61.731</v>
      </c>
      <c r="L99" s="20" t="n">
        <v>85.45699999999999</v>
      </c>
    </row>
    <row r="100">
      <c r="A100" s="18" t="inlineStr">
        <is>
          <t>영업권</t>
        </is>
      </c>
      <c r="C100" s="20" t="n">
        <v>20.286</v>
      </c>
      <c r="D100" s="20" t="n">
        <v>18.837</v>
      </c>
      <c r="E100" s="20" t="n">
        <v>17.388</v>
      </c>
      <c r="F100" s="20" t="n">
        <v>15.939</v>
      </c>
      <c r="G100" s="20" t="n">
        <v>14.49</v>
      </c>
      <c r="I100" s="20" t="n">
        <v>0</v>
      </c>
      <c r="J100" s="20" t="n">
        <v>27.531</v>
      </c>
      <c r="K100" s="20" t="n">
        <v>21.735</v>
      </c>
      <c r="L100" s="20" t="n">
        <v>15.939</v>
      </c>
    </row>
    <row r="101">
      <c r="A101" s="18" t="inlineStr">
        <is>
          <t>리스자산</t>
        </is>
      </c>
      <c r="F101" s="20" t="n">
        <v>1.38</v>
      </c>
      <c r="H101" s="20" t="n">
        <v>7.854</v>
      </c>
      <c r="I101" s="20" t="n">
        <v>6.183</v>
      </c>
      <c r="J101" s="20" t="n">
        <v>2.816</v>
      </c>
      <c r="K101" s="20" t="n">
        <v>2.042</v>
      </c>
      <c r="L101" s="20" t="n">
        <v>1.38</v>
      </c>
    </row>
    <row r="102">
      <c r="A102" s="18" t="inlineStr">
        <is>
          <t>기타</t>
        </is>
      </c>
      <c r="C102" s="20" t="n">
        <v>71.679</v>
      </c>
      <c r="D102" s="20" t="n">
        <v>65.223</v>
      </c>
      <c r="E102" s="20" t="n">
        <v>59.505</v>
      </c>
      <c r="F102" s="20" t="n">
        <v>89.744</v>
      </c>
      <c r="G102" s="20" t="n">
        <v>82.858</v>
      </c>
      <c r="H102" s="20" t="n">
        <v>6.883</v>
      </c>
      <c r="I102" s="20" t="n">
        <v>8.885</v>
      </c>
      <c r="J102" s="20" t="n">
        <v>3.233</v>
      </c>
      <c r="K102" s="20" t="n">
        <v>3.104</v>
      </c>
      <c r="L102" s="20" t="n">
        <v>89.744</v>
      </c>
    </row>
    <row r="103">
      <c r="A103" s="18" t="inlineStr">
        <is>
          <t>무형자산 합계</t>
        </is>
      </c>
      <c r="C103" s="20" t="n">
        <v>91.96599999999999</v>
      </c>
      <c r="D103" s="20" t="n">
        <v>84.06</v>
      </c>
      <c r="E103" s="20" t="n">
        <v>76.893</v>
      </c>
      <c r="F103" s="20" t="n">
        <v>105.683</v>
      </c>
      <c r="G103" s="20" t="n">
        <v>97.348</v>
      </c>
      <c r="H103" s="20" t="n">
        <v>271.281</v>
      </c>
      <c r="I103" s="20" t="n">
        <v>183.253</v>
      </c>
      <c r="J103" s="20" t="n">
        <v>143.449</v>
      </c>
      <c r="K103" s="20" t="n">
        <v>88.613</v>
      </c>
      <c r="L103" s="20" t="n">
        <v>105.683</v>
      </c>
    </row>
    <row r="104">
      <c r="A104" s="18" t="inlineStr">
        <is>
          <t>투자유가증권</t>
        </is>
      </c>
      <c r="C104" s="20" t="n">
        <v>336.81</v>
      </c>
      <c r="D104" s="20" t="n">
        <v>388.85</v>
      </c>
      <c r="E104" s="20" t="n">
        <v>515.1079999999999</v>
      </c>
      <c r="F104" s="20" t="n">
        <v>478.065</v>
      </c>
      <c r="G104" s="20" t="n">
        <v>441.212</v>
      </c>
      <c r="H104" s="20" t="n">
        <v>105.178</v>
      </c>
      <c r="I104" s="20" t="n">
        <v>198.302</v>
      </c>
      <c r="J104" s="20" t="n">
        <v>270.184</v>
      </c>
      <c r="K104" s="20" t="n">
        <v>307.862</v>
      </c>
      <c r="L104" s="20" t="n">
        <v>478.065</v>
      </c>
    </row>
    <row r="105">
      <c r="A105" s="18" t="inlineStr">
        <is>
          <t>장기선급비용</t>
        </is>
      </c>
      <c r="C105" s="20" t="n">
        <v>137.911</v>
      </c>
      <c r="D105" s="20" t="n">
        <v>138.855</v>
      </c>
      <c r="E105" s="20" t="n">
        <v>141.224</v>
      </c>
      <c r="F105" s="20" t="n">
        <v>144.609</v>
      </c>
      <c r="G105" s="20" t="n">
        <v>146.774</v>
      </c>
      <c r="H105" s="20" t="n">
        <v>124.305</v>
      </c>
      <c r="I105" s="20" t="n">
        <v>123.362</v>
      </c>
      <c r="J105" s="20" t="n">
        <v>128.24</v>
      </c>
      <c r="K105" s="20" t="n">
        <v>135.007</v>
      </c>
      <c r="L105" s="20" t="n">
        <v>144.609</v>
      </c>
    </row>
    <row r="106">
      <c r="A106" s="18" t="inlineStr">
        <is>
          <t>퇴직급여자산</t>
        </is>
      </c>
      <c r="C106" s="20" t="n">
        <v>32.552</v>
      </c>
      <c r="D106" s="20" t="n">
        <v>32.318</v>
      </c>
      <c r="E106" s="20" t="n">
        <v>32.051</v>
      </c>
      <c r="F106" s="20" t="n">
        <v>34.399</v>
      </c>
      <c r="G106" s="20" t="n">
        <v>34.146</v>
      </c>
      <c r="H106" s="20" t="n">
        <v>13.873</v>
      </c>
      <c r="I106" s="20" t="n">
        <v>33.085</v>
      </c>
      <c r="J106" s="20" t="n">
        <v>30.449</v>
      </c>
      <c r="K106" s="20" t="n">
        <v>32.713</v>
      </c>
      <c r="L106" s="20" t="n">
        <v>34.399</v>
      </c>
    </row>
    <row r="107">
      <c r="A107" s="18" t="inlineStr">
        <is>
          <t>이연법인세자산</t>
        </is>
      </c>
      <c r="C107" s="20" t="n">
        <v>188.546</v>
      </c>
      <c r="D107" s="20" t="n">
        <v>176.633</v>
      </c>
      <c r="E107" s="20" t="n">
        <v>150.645</v>
      </c>
      <c r="F107" s="20" t="n">
        <v>159.961</v>
      </c>
      <c r="G107" s="20" t="n">
        <v>163.993</v>
      </c>
      <c r="H107" s="20" t="n">
        <v>143.484</v>
      </c>
      <c r="I107" s="20" t="n">
        <v>203.849</v>
      </c>
      <c r="J107" s="20" t="n">
        <v>177.427</v>
      </c>
      <c r="K107" s="20" t="n">
        <v>194.151</v>
      </c>
      <c r="L107" s="20" t="n">
        <v>159.961</v>
      </c>
    </row>
    <row r="108">
      <c r="A108" s="18" t="inlineStr">
        <is>
          <t>기타</t>
        </is>
      </c>
      <c r="C108" s="20" t="n">
        <v>144.794</v>
      </c>
      <c r="D108" s="20" t="n">
        <v>148.906</v>
      </c>
      <c r="E108" s="20" t="n">
        <v>148.904</v>
      </c>
      <c r="F108" s="20" t="n">
        <v>170.707</v>
      </c>
      <c r="G108" s="20" t="n">
        <v>172.744</v>
      </c>
      <c r="H108" s="20" t="n">
        <v>60.592</v>
      </c>
      <c r="I108" s="20" t="n">
        <v>112.32</v>
      </c>
      <c r="J108" s="20" t="n">
        <v>135.84</v>
      </c>
      <c r="K108" s="20" t="n">
        <v>137.887</v>
      </c>
      <c r="L108" s="20" t="n">
        <v>170.707</v>
      </c>
    </row>
    <row r="109">
      <c r="A109" s="18" t="inlineStr">
        <is>
          <t>대손충당금</t>
        </is>
      </c>
      <c r="C109" s="20" t="n">
        <v>-2.4</v>
      </c>
      <c r="D109" s="20" t="n">
        <v>-2.4</v>
      </c>
      <c r="E109" s="20" t="n">
        <v>-2.4</v>
      </c>
      <c r="F109" s="20" t="n">
        <v>-2.4</v>
      </c>
      <c r="G109" s="20" t="n">
        <v>-2.4</v>
      </c>
      <c r="H109" s="20" t="n">
        <v>-4.8</v>
      </c>
      <c r="I109" s="20" t="n">
        <v>-4.8</v>
      </c>
      <c r="J109" s="20" t="n">
        <v>-7.2</v>
      </c>
      <c r="K109" s="20" t="n">
        <v>-2.686</v>
      </c>
      <c r="L109" s="20" t="n">
        <v>-2.4</v>
      </c>
    </row>
    <row r="110">
      <c r="A110" s="18" t="inlineStr">
        <is>
          <t>투자 및 기타자산 합계</t>
        </is>
      </c>
      <c r="C110" s="20" t="n">
        <v>838.215</v>
      </c>
      <c r="D110" s="20" t="n">
        <v>883.164</v>
      </c>
      <c r="E110" s="20" t="n">
        <v>985.534</v>
      </c>
      <c r="F110" s="20" t="n">
        <v>985.343</v>
      </c>
      <c r="G110" s="20" t="n">
        <v>956.472</v>
      </c>
      <c r="H110" s="20" t="n">
        <v>442.634</v>
      </c>
      <c r="I110" s="20" t="n">
        <v>666.12</v>
      </c>
      <c r="J110" s="20" t="n">
        <v>734.942</v>
      </c>
      <c r="K110" s="20" t="n">
        <v>804.9349999999999</v>
      </c>
      <c r="L110" s="20" t="n">
        <v>985.343</v>
      </c>
    </row>
    <row r="111">
      <c r="A111" s="9" t="inlineStr">
        <is>
          <t>비유동자산 합계</t>
        </is>
      </c>
      <c r="C111" s="12" t="n">
        <v>1616.442</v>
      </c>
      <c r="D111" s="12" t="n">
        <v>1705.054</v>
      </c>
      <c r="E111" s="12" t="n">
        <v>1792.361</v>
      </c>
      <c r="F111" s="12" t="n">
        <v>1829.12</v>
      </c>
      <c r="G111" s="12" t="n">
        <v>1787.52</v>
      </c>
      <c r="H111" s="12" t="n">
        <v>1026.393</v>
      </c>
      <c r="I111" s="12" t="n">
        <v>1400.801</v>
      </c>
      <c r="J111" s="12" t="n">
        <v>1578.677</v>
      </c>
      <c r="K111" s="12" t="n">
        <v>1580.604</v>
      </c>
      <c r="L111" s="12" t="n">
        <v>1829.12</v>
      </c>
    </row>
    <row r="112">
      <c r="A112" s="18" t="inlineStr">
        <is>
          <t>이연자산</t>
        </is>
      </c>
      <c r="E112" s="20" t="n">
        <v>0.48</v>
      </c>
      <c r="F112" s="20" t="n">
        <v>2.988</v>
      </c>
      <c r="G112" s="20" t="n">
        <v>6.761</v>
      </c>
      <c r="K112" s="20" t="n">
        <v>0</v>
      </c>
      <c r="L112" s="20" t="n">
        <v>2.988</v>
      </c>
    </row>
    <row r="113">
      <c r="A113" s="9" t="inlineStr">
        <is>
          <t>자산 합계</t>
        </is>
      </c>
      <c r="C113" s="12" t="n">
        <v>9636.493</v>
      </c>
      <c r="D113" s="12" t="n">
        <v>9922.780000000001</v>
      </c>
      <c r="E113" s="12" t="n">
        <v>9413.610000000001</v>
      </c>
      <c r="F113" s="12" t="n">
        <v>10151.666</v>
      </c>
      <c r="G113" s="12" t="n">
        <v>10478.326</v>
      </c>
      <c r="H113" s="12" t="n">
        <v>5081.318</v>
      </c>
      <c r="I113" s="12" t="n">
        <v>8353.011</v>
      </c>
      <c r="J113" s="12" t="n">
        <v>8612.584999999999</v>
      </c>
      <c r="K113" s="12" t="n">
        <v>9948.182000000001</v>
      </c>
      <c r="L113" s="12" t="n">
        <v>10151.666</v>
      </c>
    </row>
    <row r="114">
      <c r="A114" s="18" t="inlineStr">
        <is>
          <t>지급어음 및 공사 미지급금</t>
        </is>
      </c>
      <c r="C114" s="20" t="n">
        <v>2360.369</v>
      </c>
      <c r="D114" s="20" t="n">
        <v>2184.401</v>
      </c>
      <c r="E114" s="20" t="n">
        <v>2109.49</v>
      </c>
      <c r="F114" s="20" t="n">
        <v>2112.781</v>
      </c>
      <c r="G114" s="20" t="n">
        <v>2607.189</v>
      </c>
      <c r="H114" s="20" t="n">
        <v>0</v>
      </c>
      <c r="I114" s="20" t="n">
        <v>1818.049</v>
      </c>
      <c r="J114" s="20" t="n">
        <v>1960.458</v>
      </c>
      <c r="K114" s="20" t="n">
        <v>2296.672</v>
      </c>
      <c r="L114" s="20" t="n">
        <v>2112.781</v>
      </c>
    </row>
    <row r="115">
      <c r="A115" s="18" t="inlineStr">
        <is>
          <t>공사 미지급금</t>
        </is>
      </c>
      <c r="H115" s="20" t="n">
        <v>897.34</v>
      </c>
      <c r="I115" s="20" t="n">
        <v>0</v>
      </c>
    </row>
    <row r="116">
      <c r="A116" s="18" t="inlineStr">
        <is>
          <t>단기차입금</t>
        </is>
      </c>
      <c r="C116" s="20" t="n">
        <v>110.292</v>
      </c>
      <c r="D116" s="20" t="n">
        <v>383.981</v>
      </c>
      <c r="E116" s="20" t="n">
        <v>87.117</v>
      </c>
      <c r="F116" s="20" t="n">
        <v>87.61</v>
      </c>
      <c r="G116" s="20" t="n">
        <v>50.8</v>
      </c>
      <c r="H116" s="20" t="n">
        <v>0</v>
      </c>
      <c r="I116" s="20" t="n">
        <v>64.76000000000001</v>
      </c>
      <c r="J116" s="20" t="n">
        <v>80.545</v>
      </c>
      <c r="K116" s="20" t="n">
        <v>84.88200000000001</v>
      </c>
      <c r="L116" s="20" t="n">
        <v>87.61</v>
      </c>
    </row>
    <row r="117">
      <c r="A117" s="18" t="inlineStr">
        <is>
          <t>1년 내 상환 장기차입금</t>
        </is>
      </c>
      <c r="C117" s="20" t="n">
        <v>119.473</v>
      </c>
      <c r="D117" s="20" t="n">
        <v>115.307</v>
      </c>
      <c r="E117" s="20" t="n">
        <v>110.284</v>
      </c>
      <c r="F117" s="20" t="n">
        <v>115.307</v>
      </c>
      <c r="G117" s="20" t="n">
        <v>110.284</v>
      </c>
      <c r="H117" s="20" t="n">
        <v>89.992</v>
      </c>
      <c r="I117" s="20" t="n">
        <v>196.268</v>
      </c>
      <c r="J117" s="20" t="n">
        <v>204.031</v>
      </c>
      <c r="K117" s="20" t="n">
        <v>136.988</v>
      </c>
      <c r="L117" s="20" t="n">
        <v>115.307</v>
      </c>
    </row>
    <row r="118">
      <c r="A118" s="18" t="inlineStr">
        <is>
          <t>리스부채</t>
        </is>
      </c>
      <c r="F118" s="20" t="n">
        <v>5.263</v>
      </c>
      <c r="H118" s="20" t="n">
        <v>11.712</v>
      </c>
      <c r="I118" s="20" t="n">
        <v>6.859</v>
      </c>
      <c r="J118" s="20" t="n">
        <v>4.429</v>
      </c>
      <c r="K118" s="20" t="n">
        <v>3.915</v>
      </c>
      <c r="L118" s="20" t="n">
        <v>5.263</v>
      </c>
    </row>
    <row r="119">
      <c r="A119" s="18" t="inlineStr">
        <is>
          <t>미지급법인세</t>
        </is>
      </c>
      <c r="C119" s="20" t="n">
        <v>88.48399999999999</v>
      </c>
      <c r="D119" s="20" t="n">
        <v>222.551</v>
      </c>
      <c r="E119" s="20" t="n">
        <v>60.535</v>
      </c>
      <c r="F119" s="20" t="n">
        <v>147.547</v>
      </c>
      <c r="G119" s="20" t="n">
        <v>162.402</v>
      </c>
      <c r="H119" s="20" t="n">
        <v>51.87</v>
      </c>
      <c r="I119" s="20" t="n">
        <v>294.045</v>
      </c>
      <c r="J119" s="20" t="n">
        <v>83.852</v>
      </c>
      <c r="K119" s="20" t="n">
        <v>320.416</v>
      </c>
      <c r="L119" s="20" t="n">
        <v>147.547</v>
      </c>
    </row>
    <row r="120">
      <c r="A120" s="18" t="inlineStr">
        <is>
          <t>상여충당금</t>
        </is>
      </c>
      <c r="C120" s="20" t="n">
        <v>166.318</v>
      </c>
      <c r="D120" s="20" t="n">
        <v>260.027</v>
      </c>
      <c r="E120" s="20" t="n">
        <v>182.734</v>
      </c>
      <c r="F120" s="20" t="n">
        <v>289.883</v>
      </c>
      <c r="G120" s="20" t="n">
        <v>182.151</v>
      </c>
      <c r="H120" s="20" t="n">
        <v>130.627</v>
      </c>
      <c r="I120" s="20" t="n">
        <v>265.86</v>
      </c>
      <c r="J120" s="20" t="n">
        <v>195.306</v>
      </c>
      <c r="K120" s="20" t="n">
        <v>246.435</v>
      </c>
      <c r="L120" s="20" t="n">
        <v>289.883</v>
      </c>
    </row>
    <row r="121">
      <c r="A121" s="18" t="inlineStr">
        <is>
          <t>기타</t>
        </is>
      </c>
      <c r="C121" s="20" t="n">
        <v>1342.223</v>
      </c>
      <c r="D121" s="20" t="n">
        <v>1048.419</v>
      </c>
      <c r="E121" s="20" t="n">
        <v>992.627</v>
      </c>
      <c r="F121" s="20" t="n">
        <v>1184.243</v>
      </c>
      <c r="G121" s="20" t="n">
        <v>1140.832</v>
      </c>
      <c r="H121" s="20" t="n">
        <v>369.537</v>
      </c>
      <c r="I121" s="20" t="n">
        <v>929.83</v>
      </c>
      <c r="J121" s="20" t="n">
        <v>991.987</v>
      </c>
      <c r="K121" s="20" t="n">
        <v>1365.133</v>
      </c>
      <c r="L121" s="20" t="n">
        <v>1184.243</v>
      </c>
    </row>
    <row r="122">
      <c r="A122" s="9" t="inlineStr">
        <is>
          <t>유동부채 합계</t>
        </is>
      </c>
      <c r="C122" s="12" t="n">
        <v>4187.161</v>
      </c>
      <c r="D122" s="12" t="n">
        <v>4214.688</v>
      </c>
      <c r="E122" s="12" t="n">
        <v>3542.788</v>
      </c>
      <c r="F122" s="12" t="n">
        <v>3937.373</v>
      </c>
      <c r="G122" s="12" t="n">
        <v>4253.66</v>
      </c>
      <c r="H122" s="12" t="n">
        <v>1551.08</v>
      </c>
      <c r="I122" s="12" t="n">
        <v>3575.674</v>
      </c>
      <c r="J122" s="12" t="n">
        <v>3520.611</v>
      </c>
      <c r="K122" s="12" t="n">
        <v>4454.444</v>
      </c>
      <c r="L122" s="12" t="n">
        <v>3937.373</v>
      </c>
    </row>
    <row r="123">
      <c r="A123" s="18" t="inlineStr">
        <is>
          <t>장기차입금</t>
        </is>
      </c>
      <c r="C123" s="20" t="n">
        <v>206.08</v>
      </c>
      <c r="D123" s="20" t="n">
        <v>178.509</v>
      </c>
      <c r="E123" s="20" t="n">
        <v>155.961</v>
      </c>
      <c r="F123" s="20" t="n">
        <v>123.367</v>
      </c>
      <c r="G123" s="20" t="n">
        <v>95.79600000000001</v>
      </c>
      <c r="H123" s="20" t="n">
        <v>205.855</v>
      </c>
      <c r="I123" s="20" t="n">
        <v>549.231</v>
      </c>
      <c r="J123" s="20" t="n">
        <v>411.662</v>
      </c>
      <c r="K123" s="20" t="n">
        <v>238.674</v>
      </c>
      <c r="L123" s="20" t="n">
        <v>123.367</v>
      </c>
    </row>
    <row r="124">
      <c r="A124" s="18" t="inlineStr">
        <is>
          <t>리스부채</t>
        </is>
      </c>
      <c r="F124" s="20" t="n">
        <v>11.957</v>
      </c>
      <c r="H124" s="20" t="n">
        <v>2.256</v>
      </c>
      <c r="I124" s="20" t="n">
        <v>16.183</v>
      </c>
      <c r="J124" s="20" t="n">
        <v>14.756</v>
      </c>
      <c r="K124" s="20" t="n">
        <v>10.84</v>
      </c>
      <c r="L124" s="20" t="n">
        <v>11.957</v>
      </c>
    </row>
    <row r="125">
      <c r="A125" s="18" t="inlineStr">
        <is>
          <t>임원 퇴직위로 충당금</t>
        </is>
      </c>
      <c r="C125" s="20" t="n">
        <v>55.767</v>
      </c>
      <c r="D125" s="20" t="n">
        <v>56.724</v>
      </c>
      <c r="E125" s="20" t="n">
        <v>57.682</v>
      </c>
      <c r="F125" s="20" t="n">
        <v>58.64</v>
      </c>
      <c r="G125" s="20" t="n">
        <v>59.654</v>
      </c>
      <c r="H125" s="20" t="n">
        <v>0</v>
      </c>
      <c r="I125" s="20" t="n">
        <v>48.13</v>
      </c>
      <c r="J125" s="20" t="n">
        <v>51.26</v>
      </c>
      <c r="K125" s="20" t="n">
        <v>54.81</v>
      </c>
      <c r="L125" s="20" t="n">
        <v>58.64</v>
      </c>
    </row>
    <row r="126">
      <c r="A126" s="18" t="inlineStr">
        <is>
          <t>퇴직급여부채</t>
        </is>
      </c>
      <c r="C126" s="20" t="n">
        <v>164.799</v>
      </c>
      <c r="D126" s="20" t="n">
        <v>169.071</v>
      </c>
      <c r="E126" s="20" t="n">
        <v>173.914</v>
      </c>
      <c r="F126" s="20" t="n">
        <v>145.364</v>
      </c>
      <c r="G126" s="20" t="n">
        <v>149.727</v>
      </c>
      <c r="H126" s="20" t="n">
        <v>137.28</v>
      </c>
      <c r="I126" s="20" t="n">
        <v>143.003</v>
      </c>
      <c r="J126" s="20" t="n">
        <v>156.954</v>
      </c>
      <c r="K126" s="20" t="n">
        <v>166.65</v>
      </c>
      <c r="L126" s="20" t="n">
        <v>145.364</v>
      </c>
    </row>
    <row r="127">
      <c r="A127" s="18" t="inlineStr">
        <is>
          <t>자산복구부채</t>
        </is>
      </c>
      <c r="C127" s="20" t="n">
        <v>18.123</v>
      </c>
      <c r="D127" s="20" t="n">
        <v>18.176</v>
      </c>
      <c r="E127" s="20" t="n">
        <v>18.631</v>
      </c>
      <c r="F127" s="20" t="n">
        <v>20.221</v>
      </c>
      <c r="G127" s="20" t="n">
        <v>20.289</v>
      </c>
      <c r="H127" s="20" t="n">
        <v>16.448</v>
      </c>
      <c r="I127" s="20" t="n">
        <v>17.126</v>
      </c>
      <c r="J127" s="20" t="n">
        <v>17.336</v>
      </c>
      <c r="K127" s="20" t="n">
        <v>18.069</v>
      </c>
      <c r="L127" s="20" t="n">
        <v>20.221</v>
      </c>
    </row>
    <row r="128">
      <c r="A128" s="18" t="inlineStr">
        <is>
          <t>장기미지급금</t>
        </is>
      </c>
      <c r="C128" s="20" t="n">
        <v>150.885</v>
      </c>
      <c r="D128" s="20" t="n">
        <v>150.885</v>
      </c>
      <c r="E128" s="20" t="n">
        <v>150.885</v>
      </c>
      <c r="F128" s="20" t="n">
        <v>150.885</v>
      </c>
      <c r="G128" s="20" t="n">
        <v>148.2</v>
      </c>
      <c r="H128" s="20" t="n">
        <v>150.885</v>
      </c>
      <c r="I128" s="20" t="n">
        <v>150.885</v>
      </c>
      <c r="J128" s="20" t="n">
        <v>150.885</v>
      </c>
      <c r="K128" s="20" t="n">
        <v>150.885</v>
      </c>
      <c r="L128" s="20" t="n">
        <v>150.885</v>
      </c>
    </row>
    <row r="129">
      <c r="A129" s="18" t="inlineStr">
        <is>
          <t>이연법인세부채</t>
        </is>
      </c>
      <c r="C129" s="20" t="n">
        <v>44.901</v>
      </c>
      <c r="D129" s="20" t="n">
        <v>49.793</v>
      </c>
      <c r="E129" s="20" t="n">
        <v>64.956</v>
      </c>
      <c r="F129" s="20" t="n">
        <v>74.045</v>
      </c>
      <c r="G129" s="20" t="n">
        <v>65.54300000000001</v>
      </c>
      <c r="H129" s="20" t="n">
        <v>0</v>
      </c>
      <c r="I129" s="20" t="n">
        <v>19.082</v>
      </c>
      <c r="J129" s="20" t="n">
        <v>41.569</v>
      </c>
      <c r="K129" s="20" t="n">
        <v>40.895</v>
      </c>
      <c r="L129" s="20" t="n">
        <v>74.045</v>
      </c>
    </row>
    <row r="130">
      <c r="A130" s="18" t="inlineStr">
        <is>
          <t>손해보상 충당금</t>
        </is>
      </c>
      <c r="I130" s="20" t="n">
        <v>0</v>
      </c>
      <c r="J130" s="20" t="n">
        <v>31.42</v>
      </c>
      <c r="K130" s="20" t="n">
        <v>0</v>
      </c>
    </row>
    <row r="131">
      <c r="A131" s="18" t="inlineStr">
        <is>
          <t>기타</t>
        </is>
      </c>
      <c r="C131" s="20" t="n">
        <v>9.957000000000001</v>
      </c>
      <c r="D131" s="20" t="n">
        <v>8.973000000000001</v>
      </c>
      <c r="E131" s="20" t="n">
        <v>7.986</v>
      </c>
      <c r="F131" s="20" t="n">
        <v>12.057</v>
      </c>
      <c r="G131" s="20" t="n">
        <v>10.847</v>
      </c>
      <c r="H131" s="20" t="n">
        <v>0.139</v>
      </c>
      <c r="I131" s="20" t="n">
        <v>0.1</v>
      </c>
      <c r="J131" s="20" t="n">
        <v>1.945</v>
      </c>
      <c r="K131" s="20" t="n">
        <v>0.1</v>
      </c>
      <c r="L131" s="20" t="n">
        <v>12.057</v>
      </c>
    </row>
    <row r="132">
      <c r="A132" s="9" t="inlineStr">
        <is>
          <t>비유동부채 합계</t>
        </is>
      </c>
      <c r="C132" s="12" t="n">
        <v>650.514</v>
      </c>
      <c r="D132" s="12" t="n">
        <v>632.134</v>
      </c>
      <c r="E132" s="12" t="n">
        <v>630.018</v>
      </c>
      <c r="F132" s="12" t="n">
        <v>584.58</v>
      </c>
      <c r="G132" s="12" t="n">
        <v>550.059</v>
      </c>
      <c r="H132" s="12" t="n">
        <v>512.865</v>
      </c>
      <c r="I132" s="12" t="n">
        <v>943.741</v>
      </c>
      <c r="J132" s="12" t="n">
        <v>877.79</v>
      </c>
      <c r="K132" s="12" t="n">
        <v>680.925</v>
      </c>
      <c r="L132" s="12" t="n">
        <v>584.58</v>
      </c>
    </row>
    <row r="133">
      <c r="A133" s="9" t="inlineStr">
        <is>
          <t>부채 합계</t>
        </is>
      </c>
      <c r="C133" s="12" t="n">
        <v>4837.675</v>
      </c>
      <c r="D133" s="12" t="n">
        <v>4846.823</v>
      </c>
      <c r="E133" s="12" t="n">
        <v>4172.806</v>
      </c>
      <c r="F133" s="12" t="n">
        <v>4521.954</v>
      </c>
      <c r="G133" s="12" t="n">
        <v>4803.72</v>
      </c>
      <c r="H133" s="12" t="n">
        <v>2063.945</v>
      </c>
      <c r="I133" s="12" t="n">
        <v>4519.415</v>
      </c>
      <c r="J133" s="12" t="n">
        <v>4398.401</v>
      </c>
      <c r="K133" s="12" t="n">
        <v>5135.369</v>
      </c>
      <c r="L133" s="12" t="n">
        <v>4521.954</v>
      </c>
    </row>
    <row r="134">
      <c r="A134" s="18" t="inlineStr">
        <is>
          <t>자본금</t>
        </is>
      </c>
      <c r="C134" s="20" t="n">
        <v>616.652</v>
      </c>
      <c r="D134" s="20" t="n">
        <v>616.652</v>
      </c>
      <c r="E134" s="20" t="n">
        <v>616.652</v>
      </c>
      <c r="F134" s="20" t="n">
        <v>616.652</v>
      </c>
      <c r="G134" s="20" t="n">
        <v>616.652</v>
      </c>
      <c r="H134" s="20" t="n">
        <v>616.652</v>
      </c>
      <c r="I134" s="20" t="n">
        <v>616.652</v>
      </c>
      <c r="J134" s="20" t="n">
        <v>616.652</v>
      </c>
      <c r="K134" s="20" t="n">
        <v>616.652</v>
      </c>
      <c r="L134" s="20" t="n">
        <v>616.652</v>
      </c>
    </row>
    <row r="135">
      <c r="A135" s="18" t="inlineStr">
        <is>
          <t>자본잉여금</t>
        </is>
      </c>
      <c r="C135" s="20" t="n">
        <v>1081.22</v>
      </c>
      <c r="D135" s="20" t="n">
        <v>1081.227</v>
      </c>
      <c r="E135" s="20" t="n">
        <v>1081.227</v>
      </c>
      <c r="F135" s="20" t="n">
        <v>1081.227</v>
      </c>
      <c r="G135" s="20" t="n">
        <v>1081.227</v>
      </c>
      <c r="H135" s="20" t="n">
        <v>504.352</v>
      </c>
      <c r="I135" s="20" t="n">
        <v>1080.97</v>
      </c>
      <c r="J135" s="20" t="n">
        <v>1081.627</v>
      </c>
      <c r="K135" s="20" t="n">
        <v>1081.22</v>
      </c>
      <c r="L135" s="20" t="n">
        <v>1081.227</v>
      </c>
    </row>
    <row r="136">
      <c r="A136" s="18" t="inlineStr">
        <is>
          <t>이익잉여금</t>
        </is>
      </c>
      <c r="C136" s="20" t="n">
        <v>3126.566</v>
      </c>
      <c r="D136" s="20" t="n">
        <v>3356.133</v>
      </c>
      <c r="E136" s="20" t="n">
        <v>3434.448</v>
      </c>
      <c r="F136" s="20" t="n">
        <v>3850.702</v>
      </c>
      <c r="G136" s="20" t="n">
        <v>3914.818</v>
      </c>
      <c r="H136" s="20" t="n">
        <v>1913.902</v>
      </c>
      <c r="I136" s="20" t="n">
        <v>2277.924</v>
      </c>
      <c r="J136" s="20" t="n">
        <v>2598.074</v>
      </c>
      <c r="K136" s="20" t="n">
        <v>3158.483</v>
      </c>
      <c r="L136" s="20" t="n">
        <v>3850.702</v>
      </c>
    </row>
    <row r="137">
      <c r="A137" s="18" t="inlineStr">
        <is>
          <t>자기주식</t>
        </is>
      </c>
      <c r="C137" s="20" t="n">
        <v>-119.463</v>
      </c>
      <c r="D137" s="20" t="n">
        <v>-106.45</v>
      </c>
      <c r="E137" s="20" t="n">
        <v>-106.45</v>
      </c>
      <c r="F137" s="20" t="n">
        <v>-106.45</v>
      </c>
      <c r="G137" s="20" t="n">
        <v>-106.45</v>
      </c>
      <c r="H137" s="20" t="n">
        <v>-15.305</v>
      </c>
      <c r="I137" s="20" t="n">
        <v>-141.946</v>
      </c>
      <c r="J137" s="20" t="n">
        <v>-132.15</v>
      </c>
      <c r="K137" s="20" t="n">
        <v>-119.463</v>
      </c>
      <c r="L137" s="20" t="n">
        <v>-106.45</v>
      </c>
    </row>
    <row r="138">
      <c r="A138" s="9" t="inlineStr">
        <is>
          <t>주주자본 합계</t>
        </is>
      </c>
      <c r="C138" s="12" t="n">
        <v>4704.976</v>
      </c>
      <c r="D138" s="12" t="n">
        <v>4947.563</v>
      </c>
      <c r="E138" s="12" t="n">
        <v>5025.878</v>
      </c>
      <c r="F138" s="12" t="n">
        <v>5442.132</v>
      </c>
      <c r="G138" s="12" t="n">
        <v>5506.248</v>
      </c>
      <c r="H138" s="12" t="n">
        <v>3019.603</v>
      </c>
      <c r="I138" s="12" t="n">
        <v>3833.601</v>
      </c>
      <c r="J138" s="12" t="n">
        <v>4164.203</v>
      </c>
      <c r="K138" s="12" t="n">
        <v>4736.893</v>
      </c>
      <c r="L138" s="12" t="n">
        <v>5442.132</v>
      </c>
    </row>
    <row r="139">
      <c r="A139" s="18" t="inlineStr">
        <is>
          <t>기타유가증권 평가차액</t>
        </is>
      </c>
      <c r="C139" s="20" t="n">
        <v>87.27</v>
      </c>
      <c r="D139" s="20" t="n">
        <v>122.324</v>
      </c>
      <c r="E139" s="20" t="n">
        <v>207.148</v>
      </c>
      <c r="F139" s="20" t="n">
        <v>178.697</v>
      </c>
      <c r="G139" s="20" t="n">
        <v>154.085</v>
      </c>
      <c r="H139" s="20" t="n">
        <v>-5.082</v>
      </c>
      <c r="I139" s="20" t="n">
        <v>-3.726</v>
      </c>
      <c r="J139" s="20" t="n">
        <v>44.403</v>
      </c>
      <c r="K139" s="20" t="n">
        <v>68.214</v>
      </c>
      <c r="L139" s="20" t="n">
        <v>178.697</v>
      </c>
    </row>
    <row r="140">
      <c r="A140" s="18" t="inlineStr">
        <is>
          <t>해외사업환산조정</t>
        </is>
      </c>
      <c r="C140" s="20" t="n">
        <v>6.57</v>
      </c>
      <c r="D140" s="20" t="n">
        <v>6.069</v>
      </c>
      <c r="E140" s="20" t="n">
        <v>7.777</v>
      </c>
      <c r="F140" s="20" t="n">
        <v>8.881</v>
      </c>
      <c r="G140" s="20" t="n">
        <v>14.273</v>
      </c>
      <c r="H140" s="20" t="n">
        <v>2.851</v>
      </c>
      <c r="I140" s="20" t="n">
        <v>3.721</v>
      </c>
      <c r="J140" s="20" t="n">
        <v>5.576</v>
      </c>
      <c r="K140" s="20" t="n">
        <v>7.704</v>
      </c>
      <c r="L140" s="20" t="n">
        <v>8.881</v>
      </c>
    </row>
    <row r="141">
      <c r="A141" s="18" t="inlineStr">
        <is>
          <t>기타포괄손익누계액 합계</t>
        </is>
      </c>
      <c r="C141" s="20" t="n">
        <v>93.84099999999999</v>
      </c>
      <c r="D141" s="20" t="n">
        <v>128.394</v>
      </c>
      <c r="E141" s="20" t="n">
        <v>214.925</v>
      </c>
      <c r="F141" s="20" t="n">
        <v>187.579</v>
      </c>
      <c r="G141" s="20" t="n">
        <v>168.358</v>
      </c>
      <c r="H141" s="20" t="n">
        <v>-2.23</v>
      </c>
      <c r="I141" s="20" t="n">
        <v>-0.005</v>
      </c>
      <c r="J141" s="20" t="n">
        <v>49.979</v>
      </c>
      <c r="K141" s="20" t="n">
        <v>75.919</v>
      </c>
      <c r="L141" s="20" t="n">
        <v>187.579</v>
      </c>
    </row>
    <row r="142">
      <c r="A142" s="9" t="inlineStr">
        <is>
          <t>순자산 합계</t>
        </is>
      </c>
      <c r="C142" s="12" t="n">
        <v>4798.817</v>
      </c>
      <c r="D142" s="12" t="n">
        <v>5075.957</v>
      </c>
      <c r="E142" s="12" t="n">
        <v>5240.804</v>
      </c>
      <c r="F142" s="12" t="n">
        <v>5629.711</v>
      </c>
      <c r="G142" s="12" t="n">
        <v>5674.606</v>
      </c>
      <c r="H142" s="12" t="n">
        <v>3017.372</v>
      </c>
      <c r="I142" s="12" t="n">
        <v>3833.596</v>
      </c>
      <c r="J142" s="12" t="n">
        <v>4214.183</v>
      </c>
      <c r="K142" s="12" t="n">
        <v>4812.812</v>
      </c>
      <c r="L142" s="12" t="n">
        <v>5629.711</v>
      </c>
    </row>
    <row r="143">
      <c r="A143" s="9" t="inlineStr">
        <is>
          <t>부채·순자산 합계</t>
        </is>
      </c>
      <c r="C143" s="12" t="n">
        <v>9636.493</v>
      </c>
      <c r="D143" s="12" t="n">
        <v>9922.780000000001</v>
      </c>
      <c r="E143" s="12" t="n">
        <v>9413.610000000001</v>
      </c>
      <c r="F143" s="12" t="n">
        <v>10151.666</v>
      </c>
      <c r="G143" s="12" t="n">
        <v>10478.326</v>
      </c>
      <c r="H143" s="12" t="n">
        <v>5081.318</v>
      </c>
      <c r="I143" s="12" t="n">
        <v>8353.011</v>
      </c>
      <c r="J143" s="12" t="n">
        <v>8612.584999999999</v>
      </c>
      <c r="K143" s="12" t="n">
        <v>9948.182000000001</v>
      </c>
      <c r="L143" s="12" t="n">
        <v>10151.666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산키서비스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67.59999999999999</v>
      </c>
      <c r="C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15.5</v>
      </c>
    </row>
    <row r="8">
      <c r="A8" s="54" t="inlineStr">
        <is>
          <t>sga</t>
        </is>
      </c>
      <c r="B8" s="55" t="n">
        <v>11.5</v>
      </c>
    </row>
    <row r="9">
      <c r="A9" s="54" t="inlineStr">
        <is>
          <t>영업이익</t>
        </is>
      </c>
      <c r="B9" s="55" t="n">
        <v>4</v>
      </c>
    </row>
    <row r="10">
      <c r="A10" s="54" t="inlineStr">
        <is>
          <t>ord</t>
        </is>
      </c>
      <c r="B10" s="55" t="n">
        <v>4.03</v>
      </c>
    </row>
    <row r="11">
      <c r="A11" s="54" t="inlineStr">
        <is>
          <t>순이익</t>
        </is>
      </c>
      <c r="B11" s="55" t="n">
        <v>2.58</v>
      </c>
    </row>
    <row r="12">
      <c r="A12" s="54" t="inlineStr">
        <is>
          <t>EPS</t>
        </is>
      </c>
      <c r="B12" s="55" t="n">
        <v>39.94</v>
      </c>
    </row>
    <row r="14">
      <c r="A14" s="52" t="inlineStr">
        <is>
          <t>deal</t>
        </is>
      </c>
      <c r="B14" s="52" t="n"/>
      <c r="C14" s="52" t="n"/>
    </row>
    <row r="15">
      <c r="A15" s="53" t="inlineStr">
        <is>
          <t>항목</t>
        </is>
      </c>
      <c r="B15" s="53" t="inlineStr">
        <is>
          <t>값</t>
        </is>
      </c>
      <c r="C15" s="53" t="inlineStr">
        <is>
          <t>출처</t>
        </is>
      </c>
    </row>
    <row r="16">
      <c r="A16" s="54" t="inlineStr">
        <is>
          <t>ratio</t>
        </is>
      </c>
      <c r="B16" s="55" t="n">
        <v>1.92</v>
      </c>
      <c r="C16" s="56" t="inlineStr">
        <is>
          <t>2단계 보고서 자료(회사 설명회 자료·공시)</t>
        </is>
      </c>
    </row>
    <row r="17">
      <c r="A17" s="54" t="inlineStr">
        <is>
          <t>new shares</t>
        </is>
      </c>
      <c r="B17" s="57" t="n">
        <v>11179572</v>
      </c>
    </row>
    <row r="18">
      <c r="A18" s="54" t="inlineStr">
        <is>
          <t>shinmente holds</t>
        </is>
      </c>
      <c r="B18" s="57" t="n">
        <v>630000</v>
      </c>
    </row>
    <row r="20">
      <c r="A20" s="52" t="inlineStr">
        <is>
          <t>spread</t>
        </is>
      </c>
      <c r="B20" s="52" t="n"/>
      <c r="C20" s="52" t="n"/>
    </row>
    <row r="21">
      <c r="A21" s="53" t="inlineStr">
        <is>
          <t>항목</t>
        </is>
      </c>
      <c r="B21" s="53" t="inlineStr">
        <is>
          <t>값</t>
        </is>
      </c>
      <c r="C21" s="53" t="inlineStr">
        <is>
          <t>출처</t>
        </is>
      </c>
    </row>
    <row r="22">
      <c r="A22" s="54" t="inlineStr">
        <is>
          <t>평균</t>
        </is>
      </c>
      <c r="B22" s="55" t="n">
        <v>-3.94</v>
      </c>
      <c r="C22" s="56" t="inlineStr">
        <is>
          <t>2단계 보고서 자료(회사 설명회 자료·공시)</t>
        </is>
      </c>
    </row>
    <row r="23">
      <c r="A23" s="54" t="inlineStr">
        <is>
          <t>min</t>
        </is>
      </c>
      <c r="B23" s="55" t="n">
        <v>-7.15</v>
      </c>
    </row>
    <row r="24">
      <c r="A24" s="54" t="inlineStr">
        <is>
          <t>max</t>
        </is>
      </c>
      <c r="B24" s="55" t="n">
        <v>-1.19</v>
      </c>
    </row>
    <row r="25">
      <c r="A25" s="54" t="inlineStr">
        <is>
          <t>last</t>
        </is>
      </c>
      <c r="B25" s="55" t="n">
        <v>-1.19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2026-10-15</t>
        </is>
      </c>
      <c r="B4" t="inlineStr">
        <is>
          <t>2027년 5월 결산기 １분기 결산단신</t>
        </is>
      </c>
      <c r="C4" t="inlineStr">
        <is>
          <t>https://www2.jpx.co.jp/disc/60440/140120261015551621.pdf</t>
        </is>
      </c>
    </row>
    <row r="5">
      <c r="A5" t="inlineStr">
        <is>
          <t>2026-07-15</t>
        </is>
      </c>
      <c r="B5" t="inlineStr">
        <is>
          <t>2026년 5월 결산기 연간 결산단신</t>
        </is>
      </c>
      <c r="C5" t="inlineStr">
        <is>
          <t>https://www2.jpx.co.jp/disc/60440/140120260714593474.pdf</t>
        </is>
      </c>
    </row>
    <row r="6">
      <c r="A6" t="inlineStr">
        <is>
          <t>2026-04-14</t>
        </is>
      </c>
      <c r="B6" t="inlineStr">
        <is>
          <t>2026년 5월 결산기 ３분기 결산단신</t>
        </is>
      </c>
      <c r="C6" t="inlineStr">
        <is>
          <t>https://www2.jpx.co.jp/disc/60440/140120260413502317.pdf</t>
        </is>
      </c>
    </row>
    <row r="7">
      <c r="A7" t="inlineStr">
        <is>
          <t>2026-01-14</t>
        </is>
      </c>
      <c r="B7" t="inlineStr">
        <is>
          <t>2026년 5월 결산기 ２분기 결산단신</t>
        </is>
      </c>
      <c r="C7" t="inlineStr">
        <is>
          <t>https://www2.jpx.co.jp/disc/60440/140120260114533078.pdf</t>
        </is>
      </c>
    </row>
    <row r="8">
      <c r="A8" t="inlineStr">
        <is>
          <t>2025-10-15</t>
        </is>
      </c>
      <c r="B8" t="inlineStr">
        <is>
          <t>2026년 5월 결산기 １분기 결산단신</t>
        </is>
      </c>
      <c r="C8" t="inlineStr">
        <is>
          <t>https://www2.jpx.co.jp/disc/60440/140120251014573339.pdf</t>
        </is>
      </c>
    </row>
    <row r="9">
      <c r="A9" t="inlineStr">
        <is>
          <t>2025-07-15</t>
        </is>
      </c>
      <c r="B9" t="inlineStr">
        <is>
          <t>2025년 5월 결산기 연간 결산단신</t>
        </is>
      </c>
      <c r="C9" t="inlineStr">
        <is>
          <t>https://www2.jpx.co.jp/disc/60440/140120250714514249.pdf</t>
        </is>
      </c>
    </row>
    <row r="10">
      <c r="A10" t="inlineStr">
        <is>
          <t>2025-04-11</t>
        </is>
      </c>
      <c r="B10" t="inlineStr">
        <is>
          <t>2025년 5월 결산기 ３분기 결산단신</t>
        </is>
      </c>
      <c r="C10" t="inlineStr">
        <is>
          <t>https://www2.jpx.co.jp/disc/60440/140120250411513213.pdf</t>
        </is>
      </c>
    </row>
    <row r="11">
      <c r="A11" t="inlineStr">
        <is>
          <t>2025-01-14</t>
        </is>
      </c>
      <c r="B11" t="inlineStr">
        <is>
          <t>2025년 5월 결산기 ２분기 결산단신</t>
        </is>
      </c>
      <c r="C11" t="inlineStr">
        <is>
          <t>https://www2.jpx.co.jp/disc/60440/140120250110549446.pdf</t>
        </is>
      </c>
    </row>
    <row r="12">
      <c r="A12" t="inlineStr">
        <is>
          <t>2024-10-15</t>
        </is>
      </c>
      <c r="B12" t="inlineStr">
        <is>
          <t>2025년 5월 결산기 １분기 결산단신</t>
        </is>
      </c>
      <c r="C12" t="inlineStr">
        <is>
          <t>https://www2.jpx.co.jp/disc/60440/140120241015597917.pdf</t>
        </is>
      </c>
    </row>
    <row r="13">
      <c r="A13" t="inlineStr">
        <is>
          <t>2024-07-12</t>
        </is>
      </c>
      <c r="B13" t="inlineStr">
        <is>
          <t>2024년 5월 결산기 연간 결산단신</t>
        </is>
      </c>
      <c r="C13" t="inlineStr">
        <is>
          <t>https://www2.jpx.co.jp/disc/60440/140120240712548441.pdf</t>
        </is>
      </c>
    </row>
    <row r="14">
      <c r="A14" t="inlineStr">
        <is>
          <t>2024-04-12</t>
        </is>
      </c>
      <c r="B14" t="inlineStr">
        <is>
          <t>2024년 5월 결산기 ３분기 결산단신</t>
        </is>
      </c>
      <c r="C14" t="inlineStr">
        <is>
          <t>https://www2.jpx.co.jp/disc/60440/140120240412569692.pdf</t>
        </is>
      </c>
    </row>
    <row r="15">
      <c r="A15" t="inlineStr">
        <is>
          <t>2024-01-12</t>
        </is>
      </c>
      <c r="B15" t="inlineStr">
        <is>
          <t>2024년 5월 결산기 ２분기 결산단신</t>
        </is>
      </c>
      <c r="C15" t="inlineStr">
        <is>
          <t>https://www2.jpx.co.jp/disc/60440/140120240112514396.pdf</t>
        </is>
      </c>
    </row>
    <row r="16">
      <c r="A16" t="inlineStr">
        <is>
          <t>2023-10-13</t>
        </is>
      </c>
      <c r="B16" t="inlineStr">
        <is>
          <t>2024년 5월 결산기 １분기 결산단신</t>
        </is>
      </c>
      <c r="C16" t="inlineStr">
        <is>
          <t>https://www2.jpx.co.jp/disc/60440/140120231013566403.pdf</t>
        </is>
      </c>
    </row>
    <row r="17">
      <c r="A17" t="inlineStr">
        <is>
          <t>2023-07-14</t>
        </is>
      </c>
      <c r="B17" t="inlineStr">
        <is>
          <t>2023년 5월 결산기 연간 결산단신</t>
        </is>
      </c>
      <c r="C17" t="inlineStr">
        <is>
          <t>https://www2.jpx.co.jp/disc/60440/140120230714522331.pdf</t>
        </is>
      </c>
    </row>
    <row r="18">
      <c r="A18" t="inlineStr">
        <is>
          <t>2023-04-14</t>
        </is>
      </c>
      <c r="B18" t="inlineStr">
        <is>
          <t>2023년 5월 결산기 ３분기 결산단신</t>
        </is>
      </c>
      <c r="C18" t="inlineStr">
        <is>
          <t>https://www2.jpx.co.jp/disc/60440/140120230413546881.pdf</t>
        </is>
      </c>
    </row>
    <row r="19">
      <c r="A19" t="inlineStr">
        <is>
          <t>2023-01-13</t>
        </is>
      </c>
      <c r="B19" t="inlineStr">
        <is>
          <t>2023년 5월 결산기 ２분기 결산단신</t>
        </is>
      </c>
      <c r="C19" t="inlineStr">
        <is>
          <t>https://www2.jpx.co.jp/disc/60440/140120230112588599.pdf</t>
        </is>
      </c>
    </row>
    <row r="20">
      <c r="A20" t="inlineStr">
        <is>
          <t>2022-07-14</t>
        </is>
      </c>
      <c r="B20" t="inlineStr">
        <is>
          <t>2022년 5월 결산기 연간 결산단신</t>
        </is>
      </c>
      <c r="C20" t="inlineStr">
        <is>
          <t>https://www2.jpx.co.jp/disc/60440/140120220713599257.pdf</t>
        </is>
      </c>
    </row>
    <row r="21">
      <c r="A21" t="inlineStr">
        <is>
          <t>2021-07-15</t>
        </is>
      </c>
      <c r="B21" t="inlineStr">
        <is>
          <t>2021년 5월 결산기 연간 결산단신</t>
        </is>
      </c>
      <c r="C21" t="inlineStr">
        <is>
          <t>https://www2.jpx.co.jp/disc/60440/140120210714467068.pdf</t>
        </is>
      </c>
    </row>
    <row r="22">
      <c r="A22" t="inlineStr">
        <is>
          <t>2020-07-13</t>
        </is>
      </c>
      <c r="B22" t="inlineStr">
        <is>
          <t>2020년 5월 결산기 연간 결산단신</t>
        </is>
      </c>
      <c r="C22" t="inlineStr">
        <is>
          <t>https://www2.jpx.co.jp/disc/60440/140120200713461525.pdf</t>
        </is>
      </c>
    </row>
    <row r="23">
      <c r="A23" t="inlineStr">
        <is>
          <t>2019-07-12</t>
        </is>
      </c>
      <c r="B23" t="inlineStr">
        <is>
          <t>2019년 5월 결산기 연간 결산단신</t>
        </is>
      </c>
      <c r="C23" t="inlineStr">
        <is>
          <t>https://www2.jpx.co.jp/disc/60440/140120190712470851.pdf</t>
        </is>
      </c>
    </row>
    <row r="24">
      <c r="A24" t="inlineStr">
        <is>
          <t>2018-07-12</t>
        </is>
      </c>
      <c r="B24" t="inlineStr">
        <is>
          <t>연간 결산단신</t>
        </is>
      </c>
      <c r="C24" t="inlineStr">
        <is>
          <t>https://www2.jpx.co.jp/disc/60440/140120180711479863.pdf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2026-10-28T07:04:00Z</dcterms:created>
  <dcterms:modified xmlns:dcterms="http://purl.org/dc/terms/" xmlns:xsi="http://www.w3.org/2001/XMLSchema-instance" xsi:type="dcterms:W3CDTF">2026-10-28T07:04:00Z</dcterms:modified>
</cp:coreProperties>
</file>