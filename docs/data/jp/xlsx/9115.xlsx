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9115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16810.941</v>
      </c>
      <c r="D4" s="12" t="n">
        <v>18095.596</v>
      </c>
      <c r="E4" s="12" t="n">
        <v>14609.033</v>
      </c>
      <c r="F4" s="12" t="n">
        <v>15969.799</v>
      </c>
      <c r="G4" s="12" t="n">
        <v>16930.081</v>
      </c>
      <c r="H4" s="12" t="n">
        <v>15565.653</v>
      </c>
      <c r="I4" s="12" t="n">
        <v>19078.672</v>
      </c>
      <c r="J4" s="12" t="n">
        <v>15373.409</v>
      </c>
      <c r="K4" s="12" t="n">
        <v>14491.028</v>
      </c>
      <c r="L4" s="12" t="n">
        <v>15479.851</v>
      </c>
      <c r="M4" s="12" t="n">
        <v>15927.359</v>
      </c>
      <c r="N4" s="12" t="n">
        <v>15459.715</v>
      </c>
      <c r="O4" s="11" t="n">
        <v>37404.264</v>
      </c>
      <c r="P4" s="12" t="n">
        <v>41768.196</v>
      </c>
      <c r="Q4" s="12" t="n">
        <v>42604.106</v>
      </c>
      <c r="R4" s="12" t="n">
        <v>43881.284</v>
      </c>
      <c r="S4" s="12" t="n">
        <v>40153.086</v>
      </c>
      <c r="T4" s="12" t="n">
        <v>45815.168</v>
      </c>
      <c r="U4" s="12" t="n">
        <v>58061.579</v>
      </c>
      <c r="V4" s="12" t="n">
        <v>65018.086</v>
      </c>
      <c r="W4" s="12" t="n">
        <v>67544.205</v>
      </c>
      <c r="X4" s="12" t="n">
        <v>61271.647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InternationalShippingReportableSegmentsMember</t>
        </is>
      </c>
      <c r="B7" s="10" t="n"/>
      <c r="C7" s="19" t="n">
        <v>14743.592</v>
      </c>
      <c r="D7" s="20" t="n">
        <v>15157.543</v>
      </c>
      <c r="E7" s="20" t="n"/>
      <c r="F7" s="20" t="n">
        <v>13681.75</v>
      </c>
      <c r="G7" s="20" t="n">
        <v>14817.662</v>
      </c>
      <c r="H7" s="20" t="n">
        <v>12430.196</v>
      </c>
      <c r="I7" s="20" t="n">
        <v>16626.401</v>
      </c>
      <c r="J7" s="20" t="n">
        <v>12756.905</v>
      </c>
      <c r="K7" s="20" t="n">
        <v>12115.663</v>
      </c>
      <c r="L7" s="20" t="n">
        <v>12303.825</v>
      </c>
      <c r="M7" s="20" t="n">
        <v>13313.049</v>
      </c>
      <c r="N7" s="20" t="n">
        <v>12775.7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57556.009</v>
      </c>
      <c r="X7" s="20" t="n">
        <v>50489.442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HotelAndHotelRelatedBusinessReportableSegmentsMember</t>
        </is>
      </c>
      <c r="B10" s="10" t="n"/>
      <c r="C10" s="19" t="n">
        <v>1930.617</v>
      </c>
      <c r="D10" s="20" t="n">
        <v>2799.533</v>
      </c>
      <c r="E10" s="20" t="n"/>
      <c r="F10" s="20" t="n">
        <v>2149.948</v>
      </c>
      <c r="G10" s="20" t="n">
        <v>1971.702</v>
      </c>
      <c r="H10" s="20" t="n">
        <v>2994.394</v>
      </c>
      <c r="I10" s="20" t="n">
        <v>2301.995</v>
      </c>
      <c r="J10" s="20" t="n">
        <v>2462.798</v>
      </c>
      <c r="K10" s="20" t="n">
        <v>2224.354</v>
      </c>
      <c r="L10" s="20" t="n">
        <v>3015.235</v>
      </c>
      <c r="M10" s="20" t="n">
        <v>2427.424</v>
      </c>
      <c r="N10" s="20" t="n">
        <v>2469.79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9418.039000000001</v>
      </c>
      <c r="X10" s="20" t="n">
        <v>10129.811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LeasingReportableSegmentsMember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>
        <v>150.276</v>
      </c>
      <c r="J13" s="20" t="n"/>
      <c r="K13" s="20" t="n"/>
      <c r="L13" s="20" t="n"/>
      <c r="M13" s="20" t="n">
        <v>186.886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570.1559999999999</v>
      </c>
      <c r="X13" s="20" t="n">
        <v>652.393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RealEstateLeasingReportableSegmentsMember</t>
        </is>
      </c>
      <c r="B16" s="10" t="n"/>
      <c r="C16" s="19" t="n">
        <v>136.732</v>
      </c>
      <c r="D16" s="20" t="n"/>
      <c r="E16" s="20" t="n"/>
      <c r="F16" s="20" t="n">
        <v>138.1</v>
      </c>
      <c r="G16" s="20" t="n">
        <v>140.717</v>
      </c>
      <c r="H16" s="20" t="n"/>
      <c r="I16" s="20" t="n"/>
      <c r="J16" s="20" t="n">
        <v>153.705</v>
      </c>
      <c r="K16" s="20" t="n">
        <v>151.011</v>
      </c>
      <c r="L16" s="20" t="n"/>
      <c r="M16" s="20" t="n"/>
      <c r="N16" s="20" t="n">
        <v>214.224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/>
      <c r="F19" s="20" t="n">
        <v>15969.799</v>
      </c>
      <c r="G19" s="20" t="n"/>
      <c r="H19" s="20" t="n"/>
      <c r="I19" s="20" t="n"/>
      <c r="J19" s="20" t="n">
        <v>15373.409</v>
      </c>
      <c r="K19" s="20" t="n"/>
      <c r="L19" s="20" t="n"/>
      <c r="M19" s="20" t="n"/>
      <c r="N19" s="20" t="n">
        <v>15459.715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12387.153</v>
      </c>
      <c r="D23" s="20" t="n">
        <v>13531.079</v>
      </c>
      <c r="E23" s="20" t="n">
        <v>11242.75</v>
      </c>
      <c r="F23" s="20" t="n">
        <v>11679.84</v>
      </c>
      <c r="G23" s="20" t="n">
        <v>13195.389</v>
      </c>
      <c r="H23" s="20" t="n">
        <v>11250.812</v>
      </c>
      <c r="I23" s="20" t="n">
        <v>15015.339</v>
      </c>
      <c r="J23" s="20" t="n">
        <v>11853.792</v>
      </c>
      <c r="K23" s="20" t="n">
        <v>12250.789</v>
      </c>
      <c r="L23" s="20" t="n">
        <v>12325.112</v>
      </c>
      <c r="M23" s="20" t="n">
        <v>15254.662</v>
      </c>
      <c r="N23" s="20" t="n">
        <v>12862.571</v>
      </c>
      <c r="O23" s="19" t="n">
        <v>27880.069</v>
      </c>
      <c r="P23" s="20" t="n">
        <v>32396.286</v>
      </c>
      <c r="Q23" s="20" t="n">
        <v>33523.392</v>
      </c>
      <c r="R23" s="20" t="n">
        <v>34214.206</v>
      </c>
      <c r="S23" s="20" t="n">
        <v>33997.148</v>
      </c>
      <c r="T23" s="20" t="n">
        <v>37341.72</v>
      </c>
      <c r="U23" s="20" t="n">
        <v>44899.639</v>
      </c>
      <c r="V23" s="20" t="n">
        <v>48648.036</v>
      </c>
      <c r="W23" s="20" t="n">
        <v>51141.38</v>
      </c>
      <c r="X23" s="20" t="n">
        <v>51684.355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1196.021</v>
      </c>
      <c r="D27" s="20" t="n">
        <v>1253.755</v>
      </c>
      <c r="E27" s="20" t="n">
        <v>1320.627</v>
      </c>
      <c r="F27" s="20" t="n">
        <v>1239.94</v>
      </c>
      <c r="G27" s="20" t="n">
        <v>1319.518</v>
      </c>
      <c r="H27" s="20" t="n">
        <v>1407.977</v>
      </c>
      <c r="I27" s="20" t="n">
        <v>1421.011</v>
      </c>
      <c r="J27" s="20" t="n">
        <v>1369.579</v>
      </c>
      <c r="K27" s="20" t="n">
        <v>1427.818</v>
      </c>
      <c r="L27" s="20" t="n">
        <v>1555.876</v>
      </c>
      <c r="M27" s="20" t="n">
        <v>1527.009</v>
      </c>
      <c r="N27" s="20" t="n">
        <v>1519.815</v>
      </c>
      <c r="O27" s="19" t="n">
        <v>3659.182</v>
      </c>
      <c r="P27" s="20" t="n">
        <v>3780.706</v>
      </c>
      <c r="Q27" s="20" t="n">
        <v>4153.069</v>
      </c>
      <c r="R27" s="20" t="n">
        <v>4222.225</v>
      </c>
      <c r="S27" s="20" t="n">
        <v>4074.127</v>
      </c>
      <c r="T27" s="20" t="n">
        <v>4071.676</v>
      </c>
      <c r="U27" s="20" t="n">
        <v>4397.148</v>
      </c>
      <c r="V27" s="20" t="n">
        <v>4971.319</v>
      </c>
      <c r="W27" s="20" t="n">
        <v>5388.446</v>
      </c>
      <c r="X27" s="20" t="n">
        <v>5880.282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3227.767</v>
      </c>
      <c r="D28" s="12" t="n">
        <v>3310.762</v>
      </c>
      <c r="E28" s="12" t="n">
        <v>2045.655</v>
      </c>
      <c r="F28" s="12" t="n">
        <v>3050.018</v>
      </c>
      <c r="G28" s="12" t="n">
        <v>2415.173</v>
      </c>
      <c r="H28" s="12" t="n">
        <v>2906.865</v>
      </c>
      <c r="I28" s="12" t="n">
        <v>2642.322</v>
      </c>
      <c r="J28" s="12" t="n">
        <v>2150.038</v>
      </c>
      <c r="K28" s="12" t="n">
        <v>812.42</v>
      </c>
      <c r="L28" s="12" t="n">
        <v>1598.862</v>
      </c>
      <c r="M28" s="12" t="n">
        <v>-854.311</v>
      </c>
      <c r="N28" s="12" t="n">
        <v>1077.328</v>
      </c>
      <c r="O28" s="11" t="n">
        <v>5865.012</v>
      </c>
      <c r="P28" s="12" t="n">
        <v>5591.203</v>
      </c>
      <c r="Q28" s="12" t="n">
        <v>4927.644</v>
      </c>
      <c r="R28" s="12" t="n">
        <v>5444.852</v>
      </c>
      <c r="S28" s="12" t="n">
        <v>2081.81</v>
      </c>
      <c r="T28" s="12" t="n">
        <v>4401.77</v>
      </c>
      <c r="U28" s="12" t="n">
        <v>8764.790999999999</v>
      </c>
      <c r="V28" s="12" t="n">
        <v>11398.729</v>
      </c>
      <c r="W28" s="12" t="n">
        <v>11014.378</v>
      </c>
      <c r="X28" s="12" t="n">
        <v>3707.009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104.031</v>
      </c>
      <c r="D44" s="20" t="n">
        <v>672.377</v>
      </c>
      <c r="E44" s="20" t="n">
        <v>5396.534</v>
      </c>
      <c r="F44" s="20" t="n">
        <v>0</v>
      </c>
      <c r="G44" s="20" t="n">
        <v>0</v>
      </c>
      <c r="H44" s="20" t="n">
        <v>0</v>
      </c>
      <c r="I44" s="20" t="n">
        <v>0</v>
      </c>
      <c r="J44" s="20" t="n">
        <v>8091.83</v>
      </c>
      <c r="K44" s="20" t="n">
        <v>1093.151</v>
      </c>
      <c r="L44" s="20" t="n">
        <v>1146.219</v>
      </c>
      <c r="M44" s="20" t="n">
        <v>350.04</v>
      </c>
      <c r="N44" s="20" t="n">
        <v>913.801</v>
      </c>
      <c r="O44" s="19" t="n">
        <v>0</v>
      </c>
      <c r="P44" s="20" t="n">
        <v>0</v>
      </c>
      <c r="Q44" s="20" t="n">
        <v>55.67</v>
      </c>
      <c r="R44" s="20" t="n">
        <v>1046.173</v>
      </c>
      <c r="S44" s="20" t="n">
        <v>1851.832</v>
      </c>
      <c r="T44" s="20" t="n">
        <v>2786.601</v>
      </c>
      <c r="U44" s="20" t="n">
        <v>7466.533</v>
      </c>
      <c r="V44" s="20" t="n">
        <v>7386.239</v>
      </c>
      <c r="W44" s="20" t="n">
        <v>0</v>
      </c>
      <c r="X44" s="20" t="n">
        <v>10681.24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/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152.076</v>
      </c>
      <c r="K46" s="20" t="n">
        <v>0</v>
      </c>
      <c r="L46" s="20" t="n">
        <v>0</v>
      </c>
      <c r="M46" s="20" t="n">
        <v>0</v>
      </c>
      <c r="N46" s="20" t="n">
        <v>0</v>
      </c>
      <c r="O46" s="19" t="n">
        <v>1564.966</v>
      </c>
      <c r="P46" s="20" t="n">
        <v>37.26</v>
      </c>
      <c r="Q46" s="20" t="n">
        <v>0</v>
      </c>
      <c r="R46" s="20" t="n">
        <v>1541.436</v>
      </c>
      <c r="S46" s="20" t="n">
        <v>2054.932</v>
      </c>
      <c r="T46" s="20" t="n">
        <v>0</v>
      </c>
      <c r="U46" s="20" t="n">
        <v>30.853</v>
      </c>
      <c r="V46" s="20" t="n">
        <v>0</v>
      </c>
      <c r="W46" s="20" t="n">
        <v>0</v>
      </c>
      <c r="X46" s="20" t="n">
        <v>152.076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412.178</v>
      </c>
      <c r="D48" s="20" t="n">
        <v>1106.537</v>
      </c>
      <c r="E48" s="20" t="n">
        <v>349.86</v>
      </c>
      <c r="F48" s="20" t="n">
        <v>739.563</v>
      </c>
      <c r="G48" s="20" t="n">
        <v>1203.788</v>
      </c>
      <c r="H48" s="20" t="n">
        <v>980.11</v>
      </c>
      <c r="I48" s="20" t="n">
        <v>2974.933</v>
      </c>
      <c r="J48" s="20" t="n">
        <v>1283.074</v>
      </c>
      <c r="K48" s="20" t="n">
        <v>282.255</v>
      </c>
      <c r="L48" s="20" t="n">
        <v>1211.465</v>
      </c>
      <c r="M48" s="20" t="n">
        <v>1208.338</v>
      </c>
      <c r="N48" s="20" t="n">
        <v>1730.892</v>
      </c>
      <c r="O48" s="19" t="n">
        <v>728.764</v>
      </c>
      <c r="P48" s="20" t="n">
        <v>1152.368</v>
      </c>
      <c r="Q48" s="20" t="n">
        <v>1561.726</v>
      </c>
      <c r="R48" s="20" t="n">
        <v>1137.777</v>
      </c>
      <c r="S48" s="20" t="n">
        <v>2654.831</v>
      </c>
      <c r="T48" s="20" t="n">
        <v>2791.865</v>
      </c>
      <c r="U48" s="20" t="n">
        <v>3060.269</v>
      </c>
      <c r="V48" s="20" t="n">
        <v>2523.826</v>
      </c>
      <c r="W48" s="20" t="n">
        <v>5898.394</v>
      </c>
      <c r="X48" s="20" t="n">
        <v>3985.132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3233.929</v>
      </c>
      <c r="D50" s="20" t="n">
        <v>2672.423</v>
      </c>
      <c r="E50" s="20" t="n">
        <v>710.083</v>
      </c>
      <c r="F50" s="20" t="n">
        <v>2043.843</v>
      </c>
      <c r="G50" s="20" t="n">
        <v>3287.446</v>
      </c>
      <c r="H50" s="20" t="n">
        <v>289.555</v>
      </c>
      <c r="I50" s="20" t="n">
        <v>2160.466</v>
      </c>
      <c r="J50" s="20" t="n">
        <v>1570.587</v>
      </c>
      <c r="K50" s="20" t="n">
        <v>2599.359</v>
      </c>
      <c r="L50" s="20" t="n">
        <v>961.421</v>
      </c>
      <c r="M50" s="20" t="n">
        <v>1362.932</v>
      </c>
      <c r="N50" s="20" t="n">
        <v>1137.228</v>
      </c>
      <c r="O50" s="19" t="n">
        <v>2042.03</v>
      </c>
      <c r="P50" s="20" t="n">
        <v>2252.014</v>
      </c>
      <c r="Q50" s="20" t="n">
        <v>2110.971</v>
      </c>
      <c r="R50" s="20" t="n">
        <v>2327.073</v>
      </c>
      <c r="S50" s="20" t="n">
        <v>2113.461</v>
      </c>
      <c r="T50" s="20" t="n">
        <v>2847.469</v>
      </c>
      <c r="U50" s="20" t="n">
        <v>5381.455</v>
      </c>
      <c r="V50" s="20" t="n">
        <v>8085.797</v>
      </c>
      <c r="W50" s="20" t="n">
        <v>7781.31</v>
      </c>
      <c r="X50" s="20" t="n">
        <v>6494.299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510.045</v>
      </c>
      <c r="D52" s="12" t="n">
        <v>2417.253</v>
      </c>
      <c r="E52" s="12" t="n">
        <v>7081.968</v>
      </c>
      <c r="F52" s="12" t="n">
        <v>1745.738</v>
      </c>
      <c r="G52" s="12" t="n">
        <v>331.515</v>
      </c>
      <c r="H52" s="12" t="n">
        <v>3597.42</v>
      </c>
      <c r="I52" s="12" t="n">
        <v>3456.789</v>
      </c>
      <c r="J52" s="12" t="n">
        <v>9802.280000000001</v>
      </c>
      <c r="K52" s="12" t="n">
        <v>-411.534</v>
      </c>
      <c r="L52" s="12" t="n">
        <v>2995.125</v>
      </c>
      <c r="M52" s="12" t="n">
        <v>-658.865</v>
      </c>
      <c r="N52" s="12" t="n">
        <v>2584.793</v>
      </c>
      <c r="O52" s="11" t="n">
        <v>2986.78</v>
      </c>
      <c r="P52" s="12" t="n">
        <v>4454.296</v>
      </c>
      <c r="Q52" s="12" t="n">
        <v>4434.069</v>
      </c>
      <c r="R52" s="12" t="n">
        <v>3760.294</v>
      </c>
      <c r="S52" s="12" t="n">
        <v>2420.08</v>
      </c>
      <c r="T52" s="12" t="n">
        <v>7132.768</v>
      </c>
      <c r="U52" s="12" t="n">
        <v>13879.285</v>
      </c>
      <c r="V52" s="12" t="n">
        <v>13222.999</v>
      </c>
      <c r="W52" s="12" t="n">
        <v>9131.462</v>
      </c>
      <c r="X52" s="12" t="n">
        <v>11727.006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-445.356</v>
      </c>
      <c r="D53" s="20" t="n">
        <v>-74.848</v>
      </c>
      <c r="E53" s="20" t="n">
        <v>701.28</v>
      </c>
      <c r="F53" s="20" t="n">
        <v>-15.644</v>
      </c>
      <c r="G53" s="20" t="n">
        <v>1033.228</v>
      </c>
      <c r="H53" s="20" t="n">
        <v>1712.525</v>
      </c>
      <c r="I53" s="20" t="n">
        <v>-269.555</v>
      </c>
      <c r="J53" s="20" t="n">
        <v>3111.703</v>
      </c>
      <c r="K53" s="20" t="n">
        <v>-245.412</v>
      </c>
      <c r="L53" s="20" t="n">
        <v>646.7670000000001</v>
      </c>
      <c r="M53" s="20" t="n">
        <v>-618.356</v>
      </c>
      <c r="N53" s="20" t="n">
        <v>855.763</v>
      </c>
      <c r="O53" s="19" t="n">
        <v>922.224</v>
      </c>
      <c r="P53" s="20" t="n">
        <v>275.428</v>
      </c>
      <c r="Q53" s="20" t="n">
        <v>516.874</v>
      </c>
      <c r="R53" s="20" t="n">
        <v>684.1849999999999</v>
      </c>
      <c r="S53" s="20" t="n">
        <v>91.33799999999999</v>
      </c>
      <c r="T53" s="20" t="n">
        <v>1460.753</v>
      </c>
      <c r="U53" s="20" t="n">
        <v>1992.342</v>
      </c>
      <c r="V53" s="20" t="n">
        <v>479.714</v>
      </c>
      <c r="W53" s="20" t="n">
        <v>2460.554</v>
      </c>
      <c r="X53" s="20" t="n">
        <v>2894.702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955.402</v>
      </c>
      <c r="D55" s="12" t="n">
        <v>2492.101</v>
      </c>
      <c r="E55" s="12" t="n">
        <v>6380.686</v>
      </c>
      <c r="F55" s="12" t="n">
        <v>1761.383</v>
      </c>
      <c r="G55" s="12" t="n">
        <v>-701.715</v>
      </c>
      <c r="H55" s="12" t="n">
        <v>1884.896</v>
      </c>
      <c r="I55" s="12" t="n">
        <v>3726.344</v>
      </c>
      <c r="J55" s="12" t="n">
        <v>6690.576</v>
      </c>
      <c r="K55" s="12" t="n">
        <v>-166.121</v>
      </c>
      <c r="L55" s="12" t="n">
        <v>2348.358</v>
      </c>
      <c r="M55" s="12" t="n">
        <v>-40.51</v>
      </c>
      <c r="N55" s="12" t="n">
        <v>1729.029</v>
      </c>
      <c r="O55" s="11" t="n">
        <v>2064.556</v>
      </c>
      <c r="P55" s="12" t="n">
        <v>4178.868</v>
      </c>
      <c r="Q55" s="12" t="n">
        <v>3917.194</v>
      </c>
      <c r="R55" s="12" t="n">
        <v>3076.108</v>
      </c>
      <c r="S55" s="12" t="n">
        <v>2328.741</v>
      </c>
      <c r="T55" s="12" t="n">
        <v>5672.014</v>
      </c>
      <c r="U55" s="12" t="n">
        <v>11886.942</v>
      </c>
      <c r="V55" s="12" t="n">
        <v>12743.284</v>
      </c>
      <c r="W55" s="12" t="n">
        <v>6670.908</v>
      </c>
      <c r="X55" s="12" t="n">
        <v>8832.303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530.601</v>
      </c>
      <c r="D56" s="12" t="n">
        <v>1231.431</v>
      </c>
      <c r="E56" s="12" t="n">
        <v>2069.814</v>
      </c>
      <c r="F56" s="12" t="n">
        <v>906.348</v>
      </c>
      <c r="G56" s="12" t="n">
        <v>-131.327</v>
      </c>
      <c r="H56" s="12" t="n">
        <v>554.856</v>
      </c>
      <c r="I56" s="12" t="n">
        <v>1482.27</v>
      </c>
      <c r="J56" s="12" t="n">
        <v>2895.657</v>
      </c>
      <c r="K56" s="12" t="n">
        <v>-78.98699999999999</v>
      </c>
      <c r="L56" s="12" t="n">
        <v>1614.487</v>
      </c>
      <c r="M56" s="12" t="n">
        <v>-116.875</v>
      </c>
      <c r="N56" s="12" t="n">
        <v>899.639</v>
      </c>
      <c r="O56" s="11" t="n">
        <v>1159.16</v>
      </c>
      <c r="P56" s="12" t="n">
        <v>1810.155</v>
      </c>
      <c r="Q56" s="12" t="n">
        <v>2049.603</v>
      </c>
      <c r="R56" s="12" t="n">
        <v>1719.805</v>
      </c>
      <c r="S56" s="12" t="n">
        <v>1246.576</v>
      </c>
      <c r="T56" s="12" t="n">
        <v>3277.93</v>
      </c>
      <c r="U56" s="12" t="n">
        <v>6439.371</v>
      </c>
      <c r="V56" s="12" t="n">
        <v>5189.393</v>
      </c>
      <c r="W56" s="12" t="n">
        <v>2812.147</v>
      </c>
      <c r="X56" s="12" t="n">
        <v>4314.282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(2026.10.26)</t>
        </is>
      </c>
      <c r="B59" s="27" t="n">
        <v>1004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36000000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2026.10.26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2024.2Q</t>
        </is>
      </c>
      <c r="D89" s="5" t="inlineStr">
        <is>
          <t>2024.3Q</t>
        </is>
      </c>
      <c r="E89" s="5" t="inlineStr">
        <is>
          <t>2024.4Q</t>
        </is>
      </c>
      <c r="F89" s="5" t="inlineStr">
        <is>
          <t>2025.1Q</t>
        </is>
      </c>
      <c r="G89" s="5" t="inlineStr">
        <is>
          <t>2025.2Q</t>
        </is>
      </c>
      <c r="H89" s="5" t="inlineStr">
        <is>
          <t>2025.3Q</t>
        </is>
      </c>
      <c r="I89" s="5" t="inlineStr">
        <is>
          <t>2025.4Q</t>
        </is>
      </c>
      <c r="J89" s="5" t="inlineStr">
        <is>
          <t>2026.1Q</t>
        </is>
      </c>
      <c r="K89" s="5" t="inlineStr">
        <is>
          <t>2026.2Q</t>
        </is>
      </c>
      <c r="L89" s="5" t="inlineStr">
        <is>
          <t>2026.3Q</t>
        </is>
      </c>
      <c r="M89" s="5" t="inlineStr">
        <is>
          <t>2026.4Q</t>
        </is>
      </c>
      <c r="N89" s="5" t="inlineStr">
        <is>
          <t>2027.1Q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16810.941</v>
      </c>
      <c r="D90" s="12" t="n">
        <v>18095.596</v>
      </c>
      <c r="E90" s="12" t="n">
        <v>14609.033</v>
      </c>
      <c r="F90" s="12" t="n">
        <v>15969.799</v>
      </c>
      <c r="G90" s="12" t="n">
        <v>16930.081</v>
      </c>
      <c r="H90" s="12" t="n">
        <v>15565.653</v>
      </c>
      <c r="I90" s="12" t="n">
        <v>19078.672</v>
      </c>
      <c r="J90" s="12" t="n">
        <v>15373.409</v>
      </c>
      <c r="K90" s="12" t="n">
        <v>14491.028</v>
      </c>
      <c r="L90" s="12" t="n">
        <v>15479.851</v>
      </c>
      <c r="M90" s="12" t="n">
        <v>15927.359</v>
      </c>
      <c r="N90" s="12" t="n">
        <v>15459.715</v>
      </c>
      <c r="T90" s="12" t="n">
        <v>13354.59</v>
      </c>
      <c r="U90" s="12" t="n">
        <v>14920.003</v>
      </c>
      <c r="V90" s="12" t="n">
        <v>14609.033</v>
      </c>
      <c r="W90" s="12" t="n">
        <v>19078.672</v>
      </c>
      <c r="X90" s="12" t="n">
        <v>15927.359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12387.153</v>
      </c>
      <c r="D92" s="20" t="n">
        <v>13531.079</v>
      </c>
      <c r="E92" s="20" t="n">
        <v>11242.75</v>
      </c>
      <c r="F92" s="20" t="n">
        <v>11679.84</v>
      </c>
      <c r="G92" s="20" t="n">
        <v>13195.389</v>
      </c>
      <c r="H92" s="20" t="n">
        <v>11250.812</v>
      </c>
      <c r="I92" s="20" t="n">
        <v>15015.339</v>
      </c>
      <c r="J92" s="20" t="n">
        <v>11853.792</v>
      </c>
      <c r="K92" s="20" t="n">
        <v>12250.789</v>
      </c>
      <c r="L92" s="20" t="n">
        <v>12325.112</v>
      </c>
      <c r="M92" s="20" t="n">
        <v>15254.662</v>
      </c>
      <c r="N92" s="20" t="n">
        <v>12862.571</v>
      </c>
      <c r="T92" s="20" t="n">
        <v>10205.097</v>
      </c>
      <c r="U92" s="20" t="n">
        <v>10734.046</v>
      </c>
      <c r="V92" s="20" t="n">
        <v>11242.75</v>
      </c>
      <c r="W92" s="20" t="n">
        <v>15015.339</v>
      </c>
      <c r="X92" s="20" t="n">
        <v>15254.662</v>
      </c>
    </row>
    <row r="93">
      <c r="A93" s="9" t="inlineStr">
        <is>
          <t>매출총이익</t>
        </is>
      </c>
      <c r="C93" s="12" t="n">
        <v>4423.787</v>
      </c>
      <c r="D93" s="12" t="n">
        <v>4564.517</v>
      </c>
      <c r="E93" s="12" t="n">
        <v>3366.283</v>
      </c>
      <c r="F93" s="12" t="n">
        <v>4289.959</v>
      </c>
      <c r="G93" s="12" t="n">
        <v>3734.691</v>
      </c>
      <c r="H93" s="12" t="n">
        <v>4314.841</v>
      </c>
      <c r="I93" s="12" t="n">
        <v>4063.334</v>
      </c>
      <c r="J93" s="12" t="n">
        <v>3519.617</v>
      </c>
      <c r="K93" s="12" t="n">
        <v>2240.238</v>
      </c>
      <c r="L93" s="12" t="n">
        <v>3154.739</v>
      </c>
      <c r="M93" s="12" t="n">
        <v>672.697</v>
      </c>
      <c r="N93" s="12" t="n">
        <v>2597.143</v>
      </c>
      <c r="T93" s="12" t="n">
        <v>3149.492</v>
      </c>
      <c r="U93" s="12" t="n">
        <v>4185.957</v>
      </c>
      <c r="V93" s="12" t="n">
        <v>3366.283</v>
      </c>
      <c r="W93" s="12" t="n">
        <v>4063.334</v>
      </c>
      <c r="X93" s="12" t="n">
        <v>672.697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판매비와 관리비</t>
        </is>
      </c>
      <c r="C95" s="20" t="n">
        <v>1196.021</v>
      </c>
      <c r="D95" s="20" t="n">
        <v>1253.755</v>
      </c>
      <c r="E95" s="20" t="n">
        <v>1320.627</v>
      </c>
      <c r="F95" s="20" t="n">
        <v>1239.94</v>
      </c>
      <c r="G95" s="20" t="n">
        <v>1319.518</v>
      </c>
      <c r="H95" s="20" t="n">
        <v>1407.977</v>
      </c>
      <c r="I95" s="20" t="n">
        <v>1421.011</v>
      </c>
      <c r="J95" s="20" t="n">
        <v>1369.579</v>
      </c>
      <c r="K95" s="20" t="n">
        <v>1427.818</v>
      </c>
      <c r="L95" s="20" t="n">
        <v>1555.876</v>
      </c>
      <c r="M95" s="20" t="n">
        <v>1527.009</v>
      </c>
      <c r="N95" s="20" t="n">
        <v>1519.815</v>
      </c>
      <c r="T95" s="20" t="n">
        <v>1209.75</v>
      </c>
      <c r="U95" s="20" t="n">
        <v>1183.357</v>
      </c>
      <c r="V95" s="20" t="n">
        <v>1320.627</v>
      </c>
      <c r="W95" s="20" t="n">
        <v>1421.011</v>
      </c>
      <c r="X95" s="20" t="n">
        <v>1527.009</v>
      </c>
    </row>
    <row r="96">
      <c r="A96" s="9" t="inlineStr">
        <is>
          <t>영업이익</t>
        </is>
      </c>
      <c r="C96" s="12" t="n">
        <v>3227.767</v>
      </c>
      <c r="D96" s="12" t="n">
        <v>3310.762</v>
      </c>
      <c r="E96" s="12" t="n">
        <v>2045.655</v>
      </c>
      <c r="F96" s="12" t="n">
        <v>3050.018</v>
      </c>
      <c r="G96" s="12" t="n">
        <v>2415.173</v>
      </c>
      <c r="H96" s="12" t="n">
        <v>2906.865</v>
      </c>
      <c r="I96" s="12" t="n">
        <v>2642.322</v>
      </c>
      <c r="J96" s="12" t="n">
        <v>2150.038</v>
      </c>
      <c r="K96" s="12" t="n">
        <v>812.42</v>
      </c>
      <c r="L96" s="12" t="n">
        <v>1598.862</v>
      </c>
      <c r="M96" s="12" t="n">
        <v>-854.311</v>
      </c>
      <c r="N96" s="12" t="n">
        <v>1077.328</v>
      </c>
      <c r="T96" s="12" t="n">
        <v>1939.741</v>
      </c>
      <c r="U96" s="12" t="n">
        <v>3002.6</v>
      </c>
      <c r="V96" s="12" t="n">
        <v>2045.655</v>
      </c>
      <c r="W96" s="12" t="n">
        <v>2642.322</v>
      </c>
      <c r="X96" s="12" t="n">
        <v>-854.311</v>
      </c>
    </row>
    <row r="97">
      <c r="A97" s="43" t="inlineStr">
        <is>
          <t>OPM</t>
        </is>
      </c>
      <c r="B97" s="3" t="inlineStr">
        <is>
          <t>영업이익 ÷ 매출</t>
        </is>
      </c>
      <c r="C97" s="15">
        <f>IF(OR(C96="",C90=""),"",IF(C90&lt;=0,"",IFERROR(C96/C90,"")))</f>
        <v/>
      </c>
      <c r="D97" s="15">
        <f>IF(OR(D96="",D90=""),"",IF(D90&lt;=0,"",IFERROR(D96/D90,"")))</f>
        <v/>
      </c>
      <c r="E97" s="15">
        <f>IF(OR(E96="",E90=""),"",IF(E90&lt;=0,"",IFERROR(E96/E90,"")))</f>
        <v/>
      </c>
      <c r="F97" s="15">
        <f>IF(OR(F96="",F90=""),"",IF(F90&lt;=0,"",IFERROR(F96/F90,"")))</f>
        <v/>
      </c>
      <c r="G97" s="15">
        <f>IF(OR(G96="",G90=""),"",IF(G90&lt;=0,"",IFERROR(G96/G90,"")))</f>
        <v/>
      </c>
      <c r="H97" s="15">
        <f>IF(OR(H96="",H90=""),"",IF(H90&lt;=0,"",IFERROR(H96/H90,"")))</f>
        <v/>
      </c>
      <c r="I97" s="15">
        <f>IF(OR(I96="",I90=""),"",IF(I90&lt;=0,"",IFERROR(I96/I90,"")))</f>
        <v/>
      </c>
      <c r="J97" s="15">
        <f>IF(OR(J96="",J90=""),"",IF(J90&lt;=0,"",IFERROR(J96/J90,"")))</f>
        <v/>
      </c>
      <c r="K97" s="15">
        <f>IF(OR(K96="",K90=""),"",IF(K90&lt;=0,"",IFERROR(K96/K90,"")))</f>
        <v/>
      </c>
      <c r="L97" s="15">
        <f>IF(OR(L96="",L90=""),"",IF(L90&lt;=0,"",IFERROR(L96/L90,"")))</f>
        <v/>
      </c>
      <c r="M97" s="15">
        <f>IF(OR(M96="",M90=""),"",IF(M90&lt;=0,"",IFERROR(M96/M90,"")))</f>
        <v/>
      </c>
      <c r="N97" s="15">
        <f>IF(OR(N96="",N90=""),"",IF(N90&lt;=0,"",IFERROR(N96/N90,"")))</f>
        <v/>
      </c>
      <c r="T97" s="15">
        <f>IF(OR(T96="",T90=""),"",IF(T90&lt;=0,"",IFERROR(T96/T90,"")))</f>
        <v/>
      </c>
      <c r="U97" s="15">
        <f>IF(OR(U96="",U90=""),"",IF(U90&lt;=0,"",IFERROR(U96/U90,"")))</f>
        <v/>
      </c>
      <c r="V97" s="15">
        <f>IF(OR(V96="",V90=""),"",IF(V90&lt;=0,"",IFERROR(V96/V90,"")))</f>
        <v/>
      </c>
      <c r="W97" s="15">
        <f>IF(OR(W96="",W90=""),"",IF(W90&lt;=0,"",IFERROR(W96/W90,"")))</f>
        <v/>
      </c>
      <c r="X97" s="15">
        <f>IF(OR(X96="",X90=""),"",IF(X90&lt;=0,"",IFERROR(X96/X90,"")))</f>
        <v/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IF(OR(G96="",C96=""),"",IF(C96&lt;=0,"",IFERROR(G96/C96-1,"")))</f>
        <v/>
      </c>
      <c r="H98" s="15">
        <f>IF(OR(H96="",D96=""),"",IF(D96&lt;=0,"",IFERROR(H96/D96-1,"")))</f>
        <v/>
      </c>
      <c r="I98" s="15">
        <f>IF(OR(I96="",E96=""),"",IF(E96&lt;=0,"",IFERROR(I96/E96-1,"")))</f>
        <v/>
      </c>
      <c r="J98" s="15">
        <f>IF(OR(J96="",F96=""),"",IF(F96&lt;=0,"",IFERROR(J96/F96-1,"")))</f>
        <v/>
      </c>
      <c r="K98" s="15">
        <f>IF(OR(K96="",G96=""),"",IF(G96&lt;=0,"",IFERROR(K96/G96-1,"")))</f>
        <v/>
      </c>
      <c r="L98" s="15">
        <f>IF(OR(L96="",H96=""),"",IF(H96&lt;=0,"",IFERROR(L96/H96-1,"")))</f>
        <v/>
      </c>
      <c r="M98" s="15">
        <f>IF(OR(M96="",I96=""),"",IF(I96&lt;=0,"",IFERROR(M96/I96-1,"")))</f>
        <v/>
      </c>
      <c r="N98" s="15">
        <f>IF(OR(N96="",J96=""),"",IF(J96&lt;=0,"",IFERROR(N96/J96-1,"")))</f>
        <v/>
      </c>
      <c r="T98" s="15">
        <f>IF(OR(T96="",S96=""),"",IF(S96&lt;=0,"",IFERROR(T96/S96-1,"")))</f>
        <v/>
      </c>
      <c r="U98" s="15">
        <f>IF(OR(U96="",T96=""),"",IF(T96&lt;=0,"",IFERROR(U96/T96-1,"")))</f>
        <v/>
      </c>
      <c r="V98" s="15">
        <f>IF(OR(V96="",U96=""),"",IF(U96&lt;=0,"",IFERROR(V96/U96-1,"")))</f>
        <v/>
      </c>
      <c r="W98" s="15">
        <f>IF(OR(W96="",V96=""),"",IF(V96&lt;=0,"",IFERROR(W96/V96-1,"")))</f>
        <v/>
      </c>
      <c r="X98" s="15">
        <f>IF(OR(X96="",W96=""),"",IF(W96&lt;=0,"",IFERROR(X96/W96-1,"")))</f>
        <v/>
      </c>
    </row>
    <row r="99">
      <c r="A99" s="18" t="inlineStr">
        <is>
          <t>이자수익</t>
        </is>
      </c>
      <c r="C99" s="20" t="n">
        <v>150.947</v>
      </c>
      <c r="D99" s="20" t="n">
        <v>180.472</v>
      </c>
      <c r="E99" s="20" t="n">
        <v>171.88</v>
      </c>
      <c r="F99" s="20" t="n">
        <v>251.43</v>
      </c>
      <c r="G99" s="20" t="n">
        <v>317.562</v>
      </c>
      <c r="H99" s="20" t="n">
        <v>324.098</v>
      </c>
      <c r="I99" s="20" t="n">
        <v>333.477</v>
      </c>
      <c r="J99" s="20" t="n">
        <v>414.122</v>
      </c>
      <c r="K99" s="20" t="n">
        <v>412.78</v>
      </c>
      <c r="L99" s="20" t="n">
        <v>412.889</v>
      </c>
      <c r="M99" s="20" t="n">
        <v>355.53</v>
      </c>
      <c r="N99" s="20" t="n">
        <v>355.549</v>
      </c>
      <c r="T99" s="20" t="n">
        <v>11.64</v>
      </c>
      <c r="U99" s="20" t="n">
        <v>130.828</v>
      </c>
      <c r="V99" s="20" t="n">
        <v>171.88</v>
      </c>
      <c r="W99" s="20" t="n">
        <v>333.477</v>
      </c>
      <c r="X99" s="20" t="n">
        <v>355.53</v>
      </c>
    </row>
    <row r="100">
      <c r="A100" s="18" t="inlineStr">
        <is>
          <t>배당금수익</t>
        </is>
      </c>
      <c r="C100" s="20" t="n">
        <v>51.903</v>
      </c>
      <c r="D100" s="20" t="n">
        <v>34.771</v>
      </c>
      <c r="E100" s="20" t="n">
        <v>3.405</v>
      </c>
      <c r="F100" s="20" t="n">
        <v>45.759</v>
      </c>
      <c r="G100" s="20" t="n">
        <v>11.911</v>
      </c>
      <c r="H100" s="20" t="n">
        <v>49.73</v>
      </c>
      <c r="I100" s="20" t="n">
        <v>12.619</v>
      </c>
      <c r="J100" s="20" t="n">
        <v>67.88800000000001</v>
      </c>
      <c r="K100" s="20" t="n">
        <v>23.298</v>
      </c>
      <c r="L100" s="20" t="n">
        <v>58.189</v>
      </c>
      <c r="M100" s="20" t="n">
        <v>14.556</v>
      </c>
      <c r="N100" s="20" t="n">
        <v>69.223</v>
      </c>
      <c r="T100" s="20" t="n">
        <v>0.328</v>
      </c>
      <c r="U100" s="20" t="n">
        <v>0.356</v>
      </c>
      <c r="V100" s="20" t="n">
        <v>3.405</v>
      </c>
      <c r="W100" s="20" t="n">
        <v>12.619</v>
      </c>
      <c r="X100" s="20" t="n">
        <v>14.556</v>
      </c>
    </row>
    <row r="101">
      <c r="A101" s="18" t="inlineStr">
        <is>
          <t>외환차익</t>
        </is>
      </c>
      <c r="J101" s="20" t="n">
        <v>0</v>
      </c>
      <c r="N101" s="20" t="n">
        <v>28.948</v>
      </c>
    </row>
    <row r="102">
      <c r="A102" s="18" t="inlineStr">
        <is>
          <t>지분법이익</t>
        </is>
      </c>
      <c r="C102" s="20" t="n">
        <v>53.791</v>
      </c>
      <c r="D102" s="20" t="n">
        <v>724.759</v>
      </c>
      <c r="E102" s="20" t="n">
        <v>6.21</v>
      </c>
      <c r="F102" s="20" t="n">
        <v>98.205</v>
      </c>
      <c r="G102" s="20" t="n">
        <v>777.102</v>
      </c>
      <c r="H102" s="20" t="n">
        <v>283.565</v>
      </c>
      <c r="I102" s="20" t="n">
        <v>2660.988</v>
      </c>
      <c r="J102" s="20" t="n">
        <v>258.783</v>
      </c>
      <c r="K102" s="20" t="n">
        <v>180.087</v>
      </c>
      <c r="L102" s="20" t="n">
        <v>580.116</v>
      </c>
      <c r="M102" s="20" t="n">
        <v>763.952</v>
      </c>
      <c r="N102" s="20" t="n">
        <v>488.122</v>
      </c>
      <c r="T102" s="20" t="n">
        <v>258.847</v>
      </c>
      <c r="U102" s="20" t="n">
        <v>-67.806</v>
      </c>
      <c r="V102" s="20" t="n">
        <v>6.21</v>
      </c>
      <c r="W102" s="20" t="n">
        <v>2660.988</v>
      </c>
      <c r="X102" s="20" t="n">
        <v>763.952</v>
      </c>
    </row>
    <row r="103">
      <c r="A103" s="18" t="inlineStr">
        <is>
          <t>고용조정 보조금</t>
        </is>
      </c>
      <c r="T103" s="20" t="n">
        <v>266.212</v>
      </c>
      <c r="U103" s="20" t="n">
        <v>12.447</v>
      </c>
    </row>
    <row r="104">
      <c r="A104" s="18" t="inlineStr">
        <is>
          <t>파생상품 평가이익</t>
        </is>
      </c>
      <c r="F104" s="20" t="n">
        <v>0</v>
      </c>
      <c r="J104" s="20" t="n">
        <v>381.777</v>
      </c>
      <c r="N104" s="20" t="n">
        <v>492.289</v>
      </c>
    </row>
    <row r="105">
      <c r="A105" s="18" t="inlineStr">
        <is>
          <t>기타</t>
        </is>
      </c>
      <c r="C105" s="20" t="n">
        <v>155.537</v>
      </c>
      <c r="D105" s="20" t="n">
        <v>166.534</v>
      </c>
      <c r="E105" s="20" t="n">
        <v>168.366</v>
      </c>
      <c r="F105" s="20" t="n">
        <v>344.168</v>
      </c>
      <c r="G105" s="20" t="n">
        <v>97.21299999999999</v>
      </c>
      <c r="H105" s="20" t="n">
        <v>322.716</v>
      </c>
      <c r="I105" s="20" t="n">
        <v>-32.151</v>
      </c>
      <c r="J105" s="20" t="n">
        <v>160.502</v>
      </c>
      <c r="K105" s="20" t="n">
        <v>47.868</v>
      </c>
      <c r="L105" s="20" t="n">
        <v>160.269</v>
      </c>
      <c r="M105" s="20" t="n">
        <v>74.30200000000001</v>
      </c>
      <c r="N105" s="20" t="n">
        <v>296.759</v>
      </c>
      <c r="T105" s="20" t="n">
        <v>89.33</v>
      </c>
      <c r="U105" s="20" t="n">
        <v>183.322</v>
      </c>
      <c r="V105" s="20" t="n">
        <v>168.366</v>
      </c>
      <c r="W105" s="20" t="n">
        <v>-32.151</v>
      </c>
      <c r="X105" s="20" t="n">
        <v>74.30200000000001</v>
      </c>
    </row>
    <row r="106">
      <c r="A106" s="18" t="inlineStr">
        <is>
          <t>영업외수익 합계</t>
        </is>
      </c>
      <c r="C106" s="20" t="n">
        <v>412.178</v>
      </c>
      <c r="D106" s="20" t="n">
        <v>1106.537</v>
      </c>
      <c r="E106" s="20" t="n">
        <v>349.86</v>
      </c>
      <c r="F106" s="20" t="n">
        <v>739.563</v>
      </c>
      <c r="G106" s="20" t="n">
        <v>1203.788</v>
      </c>
      <c r="H106" s="20" t="n">
        <v>980.11</v>
      </c>
      <c r="I106" s="20" t="n">
        <v>2974.933</v>
      </c>
      <c r="J106" s="20" t="n">
        <v>1283.074</v>
      </c>
      <c r="K106" s="20" t="n">
        <v>282.255</v>
      </c>
      <c r="L106" s="20" t="n">
        <v>1211.465</v>
      </c>
      <c r="M106" s="20" t="n">
        <v>1208.338</v>
      </c>
      <c r="N106" s="20" t="n">
        <v>1730.892</v>
      </c>
      <c r="T106" s="20" t="n">
        <v>819.023</v>
      </c>
      <c r="U106" s="20" t="n">
        <v>246.702</v>
      </c>
      <c r="V106" s="20" t="n">
        <v>349.86</v>
      </c>
      <c r="W106" s="20" t="n">
        <v>2974.933</v>
      </c>
      <c r="X106" s="20" t="n">
        <v>1208.338</v>
      </c>
    </row>
    <row r="107">
      <c r="A107" s="18" t="inlineStr">
        <is>
          <t>이자비용</t>
        </is>
      </c>
      <c r="C107" s="20" t="n">
        <v>1173.897</v>
      </c>
      <c r="D107" s="20" t="n">
        <v>1210.737</v>
      </c>
      <c r="E107" s="20" t="n">
        <v>1090.974</v>
      </c>
      <c r="F107" s="20" t="n">
        <v>1127.193</v>
      </c>
      <c r="G107" s="20" t="n">
        <v>1209.972</v>
      </c>
      <c r="H107" s="20" t="n">
        <v>946.809</v>
      </c>
      <c r="I107" s="20" t="n">
        <v>1334.02</v>
      </c>
      <c r="J107" s="20" t="n">
        <v>967.808</v>
      </c>
      <c r="K107" s="20" t="n">
        <v>904.595</v>
      </c>
      <c r="L107" s="20" t="n">
        <v>964.057</v>
      </c>
      <c r="M107" s="20" t="n">
        <v>1009.873</v>
      </c>
      <c r="N107" s="20" t="n">
        <v>901.561</v>
      </c>
      <c r="T107" s="20" t="n">
        <v>558.582</v>
      </c>
      <c r="U107" s="20" t="n">
        <v>872.851</v>
      </c>
      <c r="V107" s="20" t="n">
        <v>1090.974</v>
      </c>
      <c r="W107" s="20" t="n">
        <v>1334.02</v>
      </c>
      <c r="X107" s="20" t="n">
        <v>1009.873</v>
      </c>
    </row>
    <row r="108">
      <c r="A108" s="18" t="inlineStr">
        <is>
          <t>외환차손</t>
        </is>
      </c>
      <c r="C108" s="20" t="n">
        <v>1277.69</v>
      </c>
      <c r="D108" s="20" t="n">
        <v>1194.124</v>
      </c>
      <c r="E108" s="20" t="n">
        <v>333.46</v>
      </c>
      <c r="F108" s="20" t="n">
        <v>512.157</v>
      </c>
      <c r="G108" s="20" t="n">
        <v>1683.103</v>
      </c>
      <c r="H108" s="20" t="n">
        <v>6.614</v>
      </c>
      <c r="I108" s="20" t="n">
        <v>659.398</v>
      </c>
      <c r="J108" s="20" t="n">
        <v>464.376</v>
      </c>
      <c r="K108" s="20" t="n">
        <v>970.093</v>
      </c>
      <c r="L108" s="20" t="n">
        <v>-55.366</v>
      </c>
      <c r="M108" s="20" t="n">
        <v>-48.98</v>
      </c>
      <c r="N108" s="20" t="n">
        <v>0</v>
      </c>
      <c r="T108" s="20" t="n">
        <v>-138.491</v>
      </c>
      <c r="U108" s="20" t="n">
        <v>-1094.773</v>
      </c>
      <c r="V108" s="20" t="n">
        <v>333.46</v>
      </c>
      <c r="W108" s="20" t="n">
        <v>659.398</v>
      </c>
      <c r="X108" s="20" t="n">
        <v>-48.98</v>
      </c>
    </row>
    <row r="109">
      <c r="A109" s="18" t="inlineStr">
        <is>
          <t>파생상품 평가손실</t>
        </is>
      </c>
      <c r="C109" s="20" t="n">
        <v>691.693</v>
      </c>
      <c r="D109" s="20" t="n">
        <v>173.949</v>
      </c>
      <c r="E109" s="20" t="n">
        <v>-761.481</v>
      </c>
      <c r="F109" s="20" t="n">
        <v>354.873</v>
      </c>
      <c r="G109" s="20" t="n">
        <v>336.098</v>
      </c>
      <c r="H109" s="20" t="n">
        <v>-690.971</v>
      </c>
      <c r="I109" s="20" t="n">
        <v>37.761</v>
      </c>
      <c r="J109" s="20" t="n">
        <v>0</v>
      </c>
      <c r="K109" s="20" t="n">
        <v>628.37</v>
      </c>
      <c r="L109" s="20" t="n">
        <v>-91.41800000000001</v>
      </c>
      <c r="M109" s="20" t="n">
        <v>253.013</v>
      </c>
      <c r="T109" s="20" t="n">
        <v>152.767</v>
      </c>
      <c r="U109" s="20" t="n">
        <v>-922.692</v>
      </c>
      <c r="V109" s="20" t="n">
        <v>-761.481</v>
      </c>
      <c r="W109" s="20" t="n">
        <v>37.761</v>
      </c>
      <c r="X109" s="20" t="n">
        <v>253.013</v>
      </c>
    </row>
    <row r="110">
      <c r="A110" s="18" t="inlineStr">
        <is>
          <t>기타</t>
        </is>
      </c>
      <c r="C110" s="20" t="n">
        <v>90.648</v>
      </c>
      <c r="D110" s="20" t="n">
        <v>93.614</v>
      </c>
      <c r="E110" s="20" t="n">
        <v>47.128</v>
      </c>
      <c r="F110" s="20" t="n">
        <v>49.619</v>
      </c>
      <c r="G110" s="20" t="n">
        <v>58.273</v>
      </c>
      <c r="H110" s="20" t="n">
        <v>27.104</v>
      </c>
      <c r="I110" s="20" t="n">
        <v>129.284</v>
      </c>
      <c r="J110" s="20" t="n">
        <v>138.402</v>
      </c>
      <c r="K110" s="20" t="n">
        <v>96.30200000000001</v>
      </c>
      <c r="L110" s="20" t="n">
        <v>144.147</v>
      </c>
      <c r="M110" s="20" t="n">
        <v>149.027</v>
      </c>
      <c r="N110" s="20" t="n">
        <v>235.666</v>
      </c>
      <c r="T110" s="20" t="n">
        <v>126.008</v>
      </c>
      <c r="U110" s="20" t="n">
        <v>23.77</v>
      </c>
      <c r="V110" s="20" t="n">
        <v>47.128</v>
      </c>
      <c r="W110" s="20" t="n">
        <v>129.284</v>
      </c>
      <c r="X110" s="20" t="n">
        <v>149.027</v>
      </c>
    </row>
    <row r="111">
      <c r="A111" s="18" t="inlineStr">
        <is>
          <t>영업외비용 합계</t>
        </is>
      </c>
      <c r="C111" s="20" t="n">
        <v>3233.929</v>
      </c>
      <c r="D111" s="20" t="n">
        <v>2672.423</v>
      </c>
      <c r="E111" s="20" t="n">
        <v>710.083</v>
      </c>
      <c r="F111" s="20" t="n">
        <v>2043.843</v>
      </c>
      <c r="G111" s="20" t="n">
        <v>3287.446</v>
      </c>
      <c r="H111" s="20" t="n">
        <v>289.555</v>
      </c>
      <c r="I111" s="20" t="n">
        <v>2160.466</v>
      </c>
      <c r="J111" s="20" t="n">
        <v>1570.587</v>
      </c>
      <c r="K111" s="20" t="n">
        <v>2599.359</v>
      </c>
      <c r="L111" s="20" t="n">
        <v>961.421</v>
      </c>
      <c r="M111" s="20" t="n">
        <v>1362.932</v>
      </c>
      <c r="N111" s="20" t="n">
        <v>1137.228</v>
      </c>
      <c r="T111" s="20" t="n">
        <v>698.866</v>
      </c>
      <c r="U111" s="20" t="n">
        <v>-1120.844</v>
      </c>
      <c r="V111" s="20" t="n">
        <v>710.083</v>
      </c>
      <c r="W111" s="20" t="n">
        <v>2160.466</v>
      </c>
      <c r="X111" s="20" t="n">
        <v>1362.932</v>
      </c>
    </row>
    <row r="112">
      <c r="A112" s="9" t="inlineStr">
        <is>
          <t>경상이익</t>
        </is>
      </c>
      <c r="C112" s="12" t="n">
        <v>406.015</v>
      </c>
      <c r="D112" s="12" t="n">
        <v>1744.876</v>
      </c>
      <c r="E112" s="12" t="n">
        <v>1685.433</v>
      </c>
      <c r="F112" s="12" t="n">
        <v>1745.738</v>
      </c>
      <c r="G112" s="12" t="n">
        <v>331.515</v>
      </c>
      <c r="H112" s="12" t="n">
        <v>3597.42</v>
      </c>
      <c r="I112" s="12" t="n">
        <v>3456.789</v>
      </c>
      <c r="J112" s="12" t="n">
        <v>1862.525</v>
      </c>
      <c r="K112" s="12" t="n">
        <v>-1504.684</v>
      </c>
      <c r="L112" s="12" t="n">
        <v>1848.906</v>
      </c>
      <c r="M112" s="12" t="n">
        <v>-1008.906</v>
      </c>
      <c r="N112" s="12" t="n">
        <v>1670.992</v>
      </c>
      <c r="T112" s="12" t="n">
        <v>2059.899</v>
      </c>
      <c r="U112" s="12" t="n">
        <v>4370.145</v>
      </c>
      <c r="V112" s="12" t="n">
        <v>1685.433</v>
      </c>
      <c r="W112" s="12" t="n">
        <v>3456.789</v>
      </c>
      <c r="X112" s="12" t="n">
        <v>-1008.906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IF(OR(G112="",C112=""),"",IF(C112&lt;=0,"",IFERROR(G112/C112-1,"")))</f>
        <v/>
      </c>
      <c r="H113" s="15">
        <f>IF(OR(H112="",D112=""),"",IF(D112&lt;=0,"",IFERROR(H112/D112-1,"")))</f>
        <v/>
      </c>
      <c r="I113" s="15">
        <f>IF(OR(I112="",E112=""),"",IF(E112&lt;=0,"",IFERROR(I112/E112-1,"")))</f>
        <v/>
      </c>
      <c r="J113" s="15">
        <f>IF(OR(J112="",F112=""),"",IF(F112&lt;=0,"",IFERROR(J112/F112-1,"")))</f>
        <v/>
      </c>
      <c r="K113" s="15">
        <f>IF(OR(K112="",G112=""),"",IF(G112&lt;=0,"",IFERROR(K112/G112-1,"")))</f>
        <v/>
      </c>
      <c r="L113" s="15">
        <f>IF(OR(L112="",H112=""),"",IF(H112&lt;=0,"",IFERROR(L112/H112-1,"")))</f>
        <v/>
      </c>
      <c r="M113" s="15">
        <f>IF(OR(M112="",I112=""),"",IF(I112&lt;=0,"",IFERROR(M112/I112-1,"")))</f>
        <v/>
      </c>
      <c r="N113" s="15">
        <f>IF(OR(N112="",J112=""),"",IF(J112&lt;=0,"",IFERROR(N112/J112-1,"")))</f>
        <v/>
      </c>
      <c r="T113" s="15">
        <f>IF(OR(T112="",S112=""),"",IF(S112&lt;=0,"",IFERROR(T112/S112-1,"")))</f>
        <v/>
      </c>
      <c r="U113" s="15">
        <f>IF(OR(U112="",T112=""),"",IF(T112&lt;=0,"",IFERROR(U112/T112-1,"")))</f>
        <v/>
      </c>
      <c r="V113" s="15">
        <f>IF(OR(V112="",U112=""),"",IF(U112&lt;=0,"",IFERROR(V112/U112-1,"")))</f>
        <v/>
      </c>
      <c r="W113" s="15">
        <f>IF(OR(W112="",V112=""),"",IF(V112&lt;=0,"",IFERROR(W112/V112-1,"")))</f>
        <v/>
      </c>
      <c r="X113" s="15">
        <f>IF(OR(X112="",W112=""),"",IF(W112&lt;=0,"",IFERROR(X112/W112-1,"")))</f>
        <v/>
      </c>
    </row>
    <row r="114">
      <c r="A114" s="18" t="inlineStr">
        <is>
          <t>선박 매각이익</t>
        </is>
      </c>
      <c r="C114" s="20" t="n">
        <v>104.031</v>
      </c>
      <c r="D114" s="20" t="n">
        <v>477.294</v>
      </c>
      <c r="E114" s="20" t="n">
        <v>5396.534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8091.83</v>
      </c>
      <c r="K114" s="20" t="n">
        <v>1093.151</v>
      </c>
      <c r="L114" s="20" t="n">
        <v>864.875</v>
      </c>
      <c r="M114" s="20" t="n">
        <v>147.5</v>
      </c>
      <c r="N114" s="20" t="n">
        <v>913.801</v>
      </c>
      <c r="T114" s="20" t="n">
        <v>2580.887</v>
      </c>
      <c r="U114" s="20" t="n">
        <v>-61.904</v>
      </c>
      <c r="V114" s="20" t="n">
        <v>5396.534</v>
      </c>
      <c r="W114" s="20" t="n">
        <v>0</v>
      </c>
      <c r="X114" s="20" t="n">
        <v>147.5</v>
      </c>
    </row>
    <row r="115">
      <c r="A115" s="18" t="inlineStr">
        <is>
          <t>투자유가증권 매각이익</t>
        </is>
      </c>
      <c r="T115" s="20" t="n">
        <v>0</v>
      </c>
      <c r="U115" s="20" t="n">
        <v>0</v>
      </c>
    </row>
    <row r="116">
      <c r="A116" s="18" t="inlineStr">
        <is>
          <t>기타</t>
        </is>
      </c>
      <c r="E116" s="20" t="n">
        <v>0</v>
      </c>
      <c r="I116" s="20" t="n">
        <v>0</v>
      </c>
      <c r="M116" s="20" t="n">
        <v>202.54</v>
      </c>
      <c r="U116" s="20" t="n">
        <v>0</v>
      </c>
      <c r="V116" s="20" t="n">
        <v>0</v>
      </c>
      <c r="W116" s="20" t="n">
        <v>0</v>
      </c>
      <c r="X116" s="20" t="n">
        <v>202.54</v>
      </c>
    </row>
    <row r="117">
      <c r="A117" s="18" t="inlineStr">
        <is>
          <t>특별이익 합계</t>
        </is>
      </c>
      <c r="C117" s="20" t="n">
        <v>104.031</v>
      </c>
      <c r="D117" s="20" t="n">
        <v>672.377</v>
      </c>
      <c r="E117" s="20" t="n">
        <v>5396.534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8091.83</v>
      </c>
      <c r="K117" s="20" t="n">
        <v>1093.151</v>
      </c>
      <c r="L117" s="20" t="n">
        <v>1146.219</v>
      </c>
      <c r="M117" s="20" t="n">
        <v>350.04</v>
      </c>
      <c r="N117" s="20" t="n">
        <v>913.801</v>
      </c>
      <c r="T117" s="20" t="n">
        <v>2580.887</v>
      </c>
      <c r="U117" s="20" t="n">
        <v>-61.904</v>
      </c>
      <c r="V117" s="20" t="n">
        <v>5396.534</v>
      </c>
      <c r="W117" s="20" t="n">
        <v>0</v>
      </c>
      <c r="X117" s="20" t="n">
        <v>350.04</v>
      </c>
    </row>
    <row r="118">
      <c r="A118" s="18" t="inlineStr">
        <is>
          <t>유형자산 제각손실</t>
        </is>
      </c>
      <c r="D118" s="20" t="n">
        <v>0</v>
      </c>
      <c r="E118" s="20" t="n">
        <v>0</v>
      </c>
      <c r="T118" s="20" t="n">
        <v>0</v>
      </c>
      <c r="U118" s="20" t="n">
        <v>0.135</v>
      </c>
      <c r="V118" s="20" t="n">
        <v>0</v>
      </c>
    </row>
    <row r="119">
      <c r="A119" s="18" t="inlineStr">
        <is>
          <t>자회사 주식 매각손실</t>
        </is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152.076</v>
      </c>
      <c r="K119" s="20" t="n">
        <v>0</v>
      </c>
      <c r="L119" s="20" t="n">
        <v>0</v>
      </c>
      <c r="M119" s="20" t="n">
        <v>0</v>
      </c>
      <c r="N119" s="20" t="n">
        <v>0</v>
      </c>
      <c r="W119" s="20" t="n">
        <v>0</v>
      </c>
      <c r="X119" s="20" t="n">
        <v>0</v>
      </c>
    </row>
    <row r="120">
      <c r="A120" s="18" t="inlineStr">
        <is>
          <t>특별손실 합계</t>
        </is>
      </c>
      <c r="D120" s="20" t="n">
        <v>0</v>
      </c>
      <c r="E120" s="20" t="n">
        <v>0</v>
      </c>
      <c r="F120" s="20" t="n">
        <v>0</v>
      </c>
      <c r="G120" s="20" t="n">
        <v>0</v>
      </c>
      <c r="H120" s="20" t="n">
        <v>0</v>
      </c>
      <c r="I120" s="20" t="n">
        <v>0</v>
      </c>
      <c r="J120" s="20" t="n">
        <v>152.076</v>
      </c>
      <c r="K120" s="20" t="n">
        <v>0</v>
      </c>
      <c r="L120" s="20" t="n">
        <v>0</v>
      </c>
      <c r="M120" s="20" t="n">
        <v>0</v>
      </c>
      <c r="N120" s="20" t="n">
        <v>0</v>
      </c>
      <c r="T120" s="20" t="n">
        <v>0</v>
      </c>
      <c r="U120" s="20" t="n">
        <v>0.135</v>
      </c>
      <c r="V120" s="20" t="n">
        <v>0</v>
      </c>
      <c r="W120" s="20" t="n">
        <v>0</v>
      </c>
      <c r="X120" s="20" t="n">
        <v>0</v>
      </c>
    </row>
    <row r="121">
      <c r="A121" s="9" t="inlineStr">
        <is>
          <t>법인세차감전 순이익</t>
        </is>
      </c>
      <c r="C121" s="12" t="n">
        <v>510.045</v>
      </c>
      <c r="D121" s="12" t="n">
        <v>2417.253</v>
      </c>
      <c r="E121" s="12" t="n">
        <v>7081.968</v>
      </c>
      <c r="F121" s="12" t="n">
        <v>1745.738</v>
      </c>
      <c r="G121" s="12" t="n">
        <v>331.515</v>
      </c>
      <c r="H121" s="12" t="n">
        <v>3597.42</v>
      </c>
      <c r="I121" s="12" t="n">
        <v>3456.789</v>
      </c>
      <c r="J121" s="12" t="n">
        <v>9802.280000000001</v>
      </c>
      <c r="K121" s="12" t="n">
        <v>-411.534</v>
      </c>
      <c r="L121" s="12" t="n">
        <v>2995.125</v>
      </c>
      <c r="M121" s="12" t="n">
        <v>-658.865</v>
      </c>
      <c r="N121" s="12" t="n">
        <v>2584.793</v>
      </c>
      <c r="T121" s="12" t="n">
        <v>4640.787</v>
      </c>
      <c r="U121" s="12" t="n">
        <v>4308.107</v>
      </c>
      <c r="V121" s="12" t="n">
        <v>7081.968</v>
      </c>
      <c r="W121" s="12" t="n">
        <v>3456.789</v>
      </c>
      <c r="X121" s="12" t="n">
        <v>-658.865</v>
      </c>
    </row>
    <row r="122">
      <c r="A122" s="18" t="inlineStr">
        <is>
          <t>법인세·주민세·사업세</t>
        </is>
      </c>
      <c r="C122" s="20" t="n">
        <v>211.64</v>
      </c>
      <c r="D122" s="20" t="n">
        <v>489.381</v>
      </c>
      <c r="E122" s="20" t="n">
        <v>241.514</v>
      </c>
      <c r="F122" s="20" t="n">
        <v>374.951</v>
      </c>
      <c r="G122" s="20" t="n">
        <v>9.279</v>
      </c>
      <c r="H122" s="20" t="n">
        <v>306.057</v>
      </c>
      <c r="I122" s="20" t="n">
        <v>1519.999</v>
      </c>
      <c r="J122" s="20" t="n">
        <v>347.597</v>
      </c>
      <c r="K122" s="20" t="n">
        <v>276.245</v>
      </c>
      <c r="L122" s="20" t="n">
        <v>386.883</v>
      </c>
      <c r="M122" s="20" t="n">
        <v>248.257</v>
      </c>
      <c r="N122" s="20" t="n">
        <v>1248.256</v>
      </c>
      <c r="T122" s="20" t="n">
        <v>171.205</v>
      </c>
      <c r="U122" s="20" t="n">
        <v>134.011</v>
      </c>
      <c r="V122" s="20" t="n">
        <v>241.514</v>
      </c>
      <c r="W122" s="20" t="n">
        <v>1519.999</v>
      </c>
      <c r="X122" s="20" t="n">
        <v>248.257</v>
      </c>
    </row>
    <row r="123">
      <c r="A123" s="18" t="inlineStr">
        <is>
          <t>법인세 조정액</t>
        </is>
      </c>
      <c r="C123" s="20" t="n">
        <v>-656.996</v>
      </c>
      <c r="D123" s="20" t="n">
        <v>-564.229</v>
      </c>
      <c r="E123" s="20" t="n">
        <v>459.768</v>
      </c>
      <c r="F123" s="20" t="n">
        <v>-390.596</v>
      </c>
      <c r="G123" s="20" t="n">
        <v>1023.95</v>
      </c>
      <c r="H123" s="20" t="n">
        <v>1406.467</v>
      </c>
      <c r="I123" s="20" t="n">
        <v>-1789.553</v>
      </c>
      <c r="J123" s="20" t="n">
        <v>2764.105</v>
      </c>
      <c r="K123" s="20" t="n">
        <v>-521.657</v>
      </c>
      <c r="L123" s="20" t="n">
        <v>259.884</v>
      </c>
      <c r="M123" s="20" t="n">
        <v>-866.6130000000001</v>
      </c>
      <c r="N123" s="20" t="n">
        <v>-392.493</v>
      </c>
      <c r="T123" s="20" t="n">
        <v>818.59</v>
      </c>
      <c r="U123" s="20" t="n">
        <v>1763.236</v>
      </c>
      <c r="V123" s="20" t="n">
        <v>459.768</v>
      </c>
      <c r="W123" s="20" t="n">
        <v>-1789.553</v>
      </c>
      <c r="X123" s="20" t="n">
        <v>-866.6130000000001</v>
      </c>
    </row>
    <row r="124">
      <c r="A124" s="18" t="inlineStr">
        <is>
          <t>법인세 등 합계</t>
        </is>
      </c>
      <c r="C124" s="20" t="n">
        <v>-445.356</v>
      </c>
      <c r="D124" s="20" t="n">
        <v>-74.848</v>
      </c>
      <c r="E124" s="20" t="n">
        <v>701.28</v>
      </c>
      <c r="F124" s="20" t="n">
        <v>-15.644</v>
      </c>
      <c r="G124" s="20" t="n">
        <v>1033.228</v>
      </c>
      <c r="H124" s="20" t="n">
        <v>1712.525</v>
      </c>
      <c r="I124" s="20" t="n">
        <v>-269.555</v>
      </c>
      <c r="J124" s="20" t="n">
        <v>3111.703</v>
      </c>
      <c r="K124" s="20" t="n">
        <v>-245.412</v>
      </c>
      <c r="L124" s="20" t="n">
        <v>646.7670000000001</v>
      </c>
      <c r="M124" s="20" t="n">
        <v>-618.356</v>
      </c>
      <c r="N124" s="20" t="n">
        <v>855.763</v>
      </c>
      <c r="T124" s="20" t="n">
        <v>989.797</v>
      </c>
      <c r="U124" s="20" t="n">
        <v>1897.248</v>
      </c>
      <c r="V124" s="20" t="n">
        <v>701.28</v>
      </c>
      <c r="W124" s="20" t="n">
        <v>-269.555</v>
      </c>
      <c r="X124" s="20" t="n">
        <v>-618.356</v>
      </c>
    </row>
    <row r="125">
      <c r="A125" s="9" t="inlineStr">
        <is>
          <t>순이익</t>
        </is>
      </c>
      <c r="C125" s="12" t="n">
        <v>955.402</v>
      </c>
      <c r="D125" s="12" t="n">
        <v>2492.101</v>
      </c>
      <c r="E125" s="12" t="n">
        <v>6380.686</v>
      </c>
      <c r="F125" s="12" t="n">
        <v>1761.383</v>
      </c>
      <c r="G125" s="12" t="n">
        <v>-701.715</v>
      </c>
      <c r="H125" s="12" t="n">
        <v>1884.896</v>
      </c>
      <c r="I125" s="12" t="n">
        <v>3726.344</v>
      </c>
      <c r="J125" s="12" t="n">
        <v>6690.576</v>
      </c>
      <c r="K125" s="12" t="n">
        <v>-166.121</v>
      </c>
      <c r="L125" s="12" t="n">
        <v>2348.358</v>
      </c>
      <c r="M125" s="12" t="n">
        <v>-40.51</v>
      </c>
      <c r="N125" s="12" t="n">
        <v>1729.029</v>
      </c>
      <c r="T125" s="12" t="n">
        <v>3650.99</v>
      </c>
      <c r="U125" s="12" t="n">
        <v>2410.859</v>
      </c>
      <c r="V125" s="12" t="n">
        <v>6380.686</v>
      </c>
      <c r="W125" s="12" t="n">
        <v>3726.344</v>
      </c>
      <c r="X125" s="12" t="n">
        <v>-40.51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IF(OR(G125="",C125=""),"",IF(C125&lt;=0,"",IFERROR(G125/C125-1,"")))</f>
        <v/>
      </c>
      <c r="H126" s="15">
        <f>IF(OR(H125="",D125=""),"",IF(D125&lt;=0,"",IFERROR(H125/D125-1,"")))</f>
        <v/>
      </c>
      <c r="I126" s="15">
        <f>IF(OR(I125="",E125=""),"",IF(E125&lt;=0,"",IFERROR(I125/E125-1,"")))</f>
        <v/>
      </c>
      <c r="J126" s="15">
        <f>IF(OR(J125="",F125=""),"",IF(F125&lt;=0,"",IFERROR(J125/F125-1,"")))</f>
        <v/>
      </c>
      <c r="K126" s="15">
        <f>IF(OR(K125="",G125=""),"",IF(G125&lt;=0,"",IFERROR(K125/G125-1,"")))</f>
        <v/>
      </c>
      <c r="L126" s="15">
        <f>IF(OR(L125="",H125=""),"",IF(H125&lt;=0,"",IFERROR(L125/H125-1,"")))</f>
        <v/>
      </c>
      <c r="M126" s="15">
        <f>IF(OR(M125="",I125=""),"",IF(I125&lt;=0,"",IFERROR(M125/I125-1,"")))</f>
        <v/>
      </c>
      <c r="N126" s="15">
        <f>IF(OR(N125="",J125=""),"",IF(J125&lt;=0,"",IFERROR(N125/J125-1,"")))</f>
        <v/>
      </c>
      <c r="T126" s="15">
        <f>IF(OR(T125="",S125=""),"",IF(S125&lt;=0,"",IFERROR(T125/S125-1,"")))</f>
        <v/>
      </c>
      <c r="U126" s="15">
        <f>IF(OR(U125="",T125=""),"",IF(T125&lt;=0,"",IFERROR(U125/T125-1,"")))</f>
        <v/>
      </c>
      <c r="V126" s="15">
        <f>IF(OR(V125="",U125=""),"",IF(U125&lt;=0,"",IFERROR(V125/U125-1,"")))</f>
        <v/>
      </c>
      <c r="W126" s="15">
        <f>IF(OR(W125="",V125=""),"",IF(V125&lt;=0,"",IFERROR(W125/V125-1,"")))</f>
        <v/>
      </c>
      <c r="X126" s="15">
        <f>IF(OR(X125="",W125=""),"",IF(W125&lt;=0,"",IFERROR(X125/W125-1,"")))</f>
        <v/>
      </c>
    </row>
    <row r="127">
      <c r="A127" s="9" t="inlineStr">
        <is>
          <t>비지배주주 순이익</t>
        </is>
      </c>
      <c r="C127" s="12" t="n">
        <v>424.802</v>
      </c>
      <c r="D127" s="12" t="n">
        <v>1260.67</v>
      </c>
      <c r="E127" s="12" t="n">
        <v>4310.872</v>
      </c>
      <c r="F127" s="12" t="n">
        <v>855.034</v>
      </c>
      <c r="G127" s="12" t="n">
        <v>-570.3869999999999</v>
      </c>
      <c r="H127" s="12" t="n">
        <v>1330.039</v>
      </c>
      <c r="I127" s="12" t="n">
        <v>2244.075</v>
      </c>
      <c r="J127" s="12" t="n">
        <v>3794.918</v>
      </c>
      <c r="K127" s="12" t="n">
        <v>-87.133</v>
      </c>
      <c r="L127" s="12" t="n">
        <v>733.87</v>
      </c>
      <c r="M127" s="12" t="n">
        <v>76.36499999999999</v>
      </c>
      <c r="N127" s="12" t="n">
        <v>829.39</v>
      </c>
      <c r="T127" s="12" t="n">
        <v>1670.307</v>
      </c>
      <c r="U127" s="12" t="n">
        <v>1398.785</v>
      </c>
      <c r="V127" s="12" t="n">
        <v>4310.872</v>
      </c>
      <c r="W127" s="12" t="n">
        <v>2244.075</v>
      </c>
      <c r="X127" s="12" t="n">
        <v>76.36499999999999</v>
      </c>
    </row>
    <row r="128">
      <c r="A128" s="9" t="inlineStr">
        <is>
          <t>지배주주 순이익</t>
        </is>
      </c>
      <c r="C128" s="12" t="n">
        <v>530.601</v>
      </c>
      <c r="D128" s="12" t="n">
        <v>1231.431</v>
      </c>
      <c r="E128" s="12" t="n">
        <v>2069.814</v>
      </c>
      <c r="F128" s="12" t="n">
        <v>906.348</v>
      </c>
      <c r="G128" s="12" t="n">
        <v>-131.327</v>
      </c>
      <c r="H128" s="12" t="n">
        <v>554.856</v>
      </c>
      <c r="I128" s="12" t="n">
        <v>1482.27</v>
      </c>
      <c r="J128" s="12" t="n">
        <v>2895.657</v>
      </c>
      <c r="K128" s="12" t="n">
        <v>-78.98699999999999</v>
      </c>
      <c r="L128" s="12" t="n">
        <v>1614.487</v>
      </c>
      <c r="M128" s="12" t="n">
        <v>-116.875</v>
      </c>
      <c r="N128" s="12" t="n">
        <v>899.639</v>
      </c>
      <c r="T128" s="12" t="n">
        <v>1980.682</v>
      </c>
      <c r="U128" s="12" t="n">
        <v>1012.074</v>
      </c>
      <c r="V128" s="12" t="n">
        <v>2069.814</v>
      </c>
      <c r="W128" s="12" t="n">
        <v>1482.27</v>
      </c>
      <c r="X128" s="12" t="n">
        <v>-116.875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1">
      <c r="A131" s="16" t="inlineStr">
        <is>
          <t>포괄손익 · 전 항목</t>
        </is>
      </c>
      <c r="B131" s="42" t="inlineStr">
        <is>
          <t>분기 = 3개월 단독</t>
        </is>
      </c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</row>
    <row r="132">
      <c r="A132" s="5" t="inlineStr">
        <is>
          <t>항목</t>
        </is>
      </c>
      <c r="B132" s="5" t="inlineStr">
        <is>
          <t>참고</t>
        </is>
      </c>
      <c r="C132" s="5" t="inlineStr">
        <is>
          <t>2024.2Q</t>
        </is>
      </c>
      <c r="D132" s="5" t="inlineStr">
        <is>
          <t>2024.3Q</t>
        </is>
      </c>
      <c r="E132" s="5" t="inlineStr">
        <is>
          <t>2024.4Q</t>
        </is>
      </c>
      <c r="F132" s="5" t="inlineStr">
        <is>
          <t>2025.1Q</t>
        </is>
      </c>
      <c r="G132" s="5" t="inlineStr">
        <is>
          <t>2025.2Q</t>
        </is>
      </c>
      <c r="H132" s="5" t="inlineStr">
        <is>
          <t>2025.3Q</t>
        </is>
      </c>
      <c r="I132" s="5" t="inlineStr">
        <is>
          <t>2025.4Q</t>
        </is>
      </c>
      <c r="J132" s="5" t="inlineStr">
        <is>
          <t>2026.1Q</t>
        </is>
      </c>
      <c r="K132" s="5" t="inlineStr">
        <is>
          <t>2026.2Q</t>
        </is>
      </c>
      <c r="L132" s="5" t="inlineStr">
        <is>
          <t>2026.3Q</t>
        </is>
      </c>
      <c r="M132" s="5" t="inlineStr">
        <is>
          <t>2026.4Q</t>
        </is>
      </c>
      <c r="N132" s="5" t="inlineStr">
        <is>
          <t>2027.1Q</t>
        </is>
      </c>
      <c r="O132" s="5" t="inlineStr">
        <is>
          <t>2017</t>
        </is>
      </c>
      <c r="P132" s="5" t="inlineStr">
        <is>
          <t>2018</t>
        </is>
      </c>
      <c r="Q132" s="5" t="inlineStr">
        <is>
          <t>2019</t>
        </is>
      </c>
      <c r="R132" s="5" t="inlineStr">
        <is>
          <t>2020</t>
        </is>
      </c>
      <c r="S132" s="5" t="inlineStr">
        <is>
          <t>2021</t>
        </is>
      </c>
      <c r="T132" s="5" t="inlineStr">
        <is>
          <t>2022</t>
        </is>
      </c>
      <c r="U132" s="5" t="inlineStr">
        <is>
          <t>2023</t>
        </is>
      </c>
      <c r="V132" s="5" t="inlineStr">
        <is>
          <t>2024</t>
        </is>
      </c>
      <c r="W132" s="5" t="inlineStr">
        <is>
          <t>2025</t>
        </is>
      </c>
      <c r="X132" s="5" t="inlineStr">
        <is>
          <t>2026</t>
        </is>
      </c>
      <c r="Y132" s="5" t="inlineStr">
        <is>
          <t>2027(MW)</t>
        </is>
      </c>
      <c r="Z132" s="5" t="inlineStr">
        <is>
          <t>2028(MW)</t>
        </is>
      </c>
      <c r="AA132" s="5" t="inlineStr">
        <is>
          <t>2029(MW)</t>
        </is>
      </c>
      <c r="AB132" s="5" t="inlineStr">
        <is>
          <t>2030(MW)</t>
        </is>
      </c>
      <c r="AC132" s="5" t="inlineStr">
        <is>
          <t>2031(MW)</t>
        </is>
      </c>
    </row>
    <row r="133">
      <c r="A133" s="9" t="inlineStr">
        <is>
          <t>순이익</t>
        </is>
      </c>
      <c r="C133" s="12" t="n">
        <v>955.402</v>
      </c>
      <c r="D133" s="12" t="n">
        <v>2492.101</v>
      </c>
      <c r="E133" s="12" t="n">
        <v>6380.686</v>
      </c>
      <c r="F133" s="12" t="n">
        <v>1761.383</v>
      </c>
      <c r="G133" s="12" t="n">
        <v>-701.715</v>
      </c>
      <c r="H133" s="12" t="n">
        <v>1884.896</v>
      </c>
      <c r="I133" s="12" t="n">
        <v>3726.344</v>
      </c>
      <c r="J133" s="12" t="n">
        <v>6690.576</v>
      </c>
      <c r="K133" s="12" t="n">
        <v>-166.121</v>
      </c>
      <c r="L133" s="12" t="n">
        <v>2348.358</v>
      </c>
      <c r="M133" s="12" t="n">
        <v>-40.51</v>
      </c>
      <c r="N133" s="12" t="n">
        <v>1729.029</v>
      </c>
      <c r="T133" s="12" t="n">
        <v>3650.99</v>
      </c>
      <c r="U133" s="12" t="n">
        <v>2410.859</v>
      </c>
      <c r="V133" s="12" t="n">
        <v>6380.686</v>
      </c>
      <c r="W133" s="12" t="n">
        <v>3726.344</v>
      </c>
      <c r="X133" s="12" t="n">
        <v>-40.51</v>
      </c>
    </row>
    <row r="134">
      <c r="A134" s="18" t="inlineStr">
        <is>
          <t>기타유가증권 평가차액</t>
        </is>
      </c>
      <c r="C134" s="20" t="n">
        <v>246.445</v>
      </c>
      <c r="D134" s="20" t="n">
        <v>65.261</v>
      </c>
      <c r="E134" s="20" t="n">
        <v>567.47</v>
      </c>
      <c r="F134" s="20" t="n">
        <v>647.751</v>
      </c>
      <c r="G134" s="20" t="n">
        <v>-65.30800000000001</v>
      </c>
      <c r="H134" s="20" t="n">
        <v>-135.243</v>
      </c>
      <c r="I134" s="20" t="n">
        <v>181.141</v>
      </c>
      <c r="J134" s="20" t="n">
        <v>242.049</v>
      </c>
      <c r="K134" s="20" t="n">
        <v>689.2809999999999</v>
      </c>
      <c r="L134" s="20" t="n">
        <v>419.407</v>
      </c>
      <c r="M134" s="20" t="n">
        <v>232.498</v>
      </c>
      <c r="N134" s="20" t="n">
        <v>725.8049999999999</v>
      </c>
      <c r="T134" s="20" t="n">
        <v>44.234</v>
      </c>
      <c r="U134" s="20" t="n">
        <v>-115.788</v>
      </c>
      <c r="V134" s="20" t="n">
        <v>567.47</v>
      </c>
      <c r="W134" s="20" t="n">
        <v>181.141</v>
      </c>
      <c r="X134" s="20" t="n">
        <v>232.498</v>
      </c>
    </row>
    <row r="135">
      <c r="A135" s="18" t="inlineStr">
        <is>
          <t>이연헤지손익</t>
        </is>
      </c>
      <c r="C135" s="20" t="n">
        <v>922.894</v>
      </c>
      <c r="D135" s="20" t="n">
        <v>477.451</v>
      </c>
      <c r="E135" s="20" t="n">
        <v>-1785.916</v>
      </c>
      <c r="F135" s="20" t="n">
        <v>558.407</v>
      </c>
      <c r="G135" s="20" t="n">
        <v>71.613</v>
      </c>
      <c r="H135" s="20" t="n">
        <v>-1862.329</v>
      </c>
      <c r="I135" s="20" t="n">
        <v>979.343</v>
      </c>
      <c r="J135" s="20" t="n">
        <v>-910.3099999999999</v>
      </c>
      <c r="K135" s="20" t="n">
        <v>-441.531</v>
      </c>
      <c r="L135" s="20" t="n">
        <v>-175.165</v>
      </c>
      <c r="M135" s="20" t="n">
        <v>-66.078</v>
      </c>
      <c r="N135" s="20" t="n">
        <v>58.534</v>
      </c>
      <c r="T135" s="20" t="n">
        <v>601.812</v>
      </c>
      <c r="U135" s="20" t="n">
        <v>-634.175</v>
      </c>
      <c r="V135" s="20" t="n">
        <v>-1785.916</v>
      </c>
      <c r="W135" s="20" t="n">
        <v>979.343</v>
      </c>
      <c r="X135" s="20" t="n">
        <v>-66.078</v>
      </c>
    </row>
    <row r="136">
      <c r="A136" s="18" t="inlineStr">
        <is>
          <t>토지재평가차액금</t>
        </is>
      </c>
      <c r="D136" s="20" t="n">
        <v>0</v>
      </c>
      <c r="E136" s="20" t="n">
        <v>0</v>
      </c>
      <c r="F136" s="20" t="n">
        <v>0</v>
      </c>
      <c r="G136" s="20" t="n">
        <v>0</v>
      </c>
      <c r="H136" s="20" t="n">
        <v>0</v>
      </c>
      <c r="I136" s="20" t="n">
        <v>-20.755</v>
      </c>
      <c r="J136" s="20" t="n">
        <v>-9.298</v>
      </c>
      <c r="K136" s="20" t="n">
        <v>0</v>
      </c>
      <c r="L136" s="20" t="n">
        <v>0</v>
      </c>
      <c r="M136" s="20" t="n">
        <v>0</v>
      </c>
      <c r="N136" s="20" t="n">
        <v>0</v>
      </c>
      <c r="T136" s="20" t="n">
        <v>0</v>
      </c>
      <c r="U136" s="20" t="n">
        <v>0</v>
      </c>
      <c r="V136" s="20" t="n">
        <v>0</v>
      </c>
      <c r="W136" s="20" t="n">
        <v>-20.755</v>
      </c>
      <c r="X136" s="20" t="n">
        <v>0</v>
      </c>
    </row>
    <row r="137">
      <c r="A137" s="18" t="inlineStr">
        <is>
          <t>해외사업환산조정</t>
        </is>
      </c>
      <c r="C137" s="20" t="n">
        <v>2695.09</v>
      </c>
      <c r="D137" s="20" t="n">
        <v>1080.388</v>
      </c>
      <c r="E137" s="20" t="n">
        <v>-1760.46</v>
      </c>
      <c r="F137" s="20" t="n">
        <v>2657.805</v>
      </c>
      <c r="G137" s="20" t="n">
        <v>2966.698</v>
      </c>
      <c r="H137" s="20" t="n">
        <v>-4158.009</v>
      </c>
      <c r="I137" s="20" t="n">
        <v>2740.156</v>
      </c>
      <c r="J137" s="20" t="n">
        <v>-1945.227</v>
      </c>
      <c r="K137" s="20" t="n">
        <v>-1038.799</v>
      </c>
      <c r="L137" s="20" t="n">
        <v>858.076</v>
      </c>
      <c r="M137" s="20" t="n">
        <v>1483.229</v>
      </c>
      <c r="N137" s="20" t="n">
        <v>577.061</v>
      </c>
      <c r="T137" s="20" t="n">
        <v>480.001</v>
      </c>
      <c r="U137" s="20" t="n">
        <v>-2143.836</v>
      </c>
      <c r="V137" s="20" t="n">
        <v>-1760.46</v>
      </c>
      <c r="W137" s="20" t="n">
        <v>2740.156</v>
      </c>
      <c r="X137" s="20" t="n">
        <v>1483.229</v>
      </c>
    </row>
    <row r="138">
      <c r="A138" s="18" t="inlineStr">
        <is>
          <t>지분법 적용회사 지분 해당액</t>
        </is>
      </c>
      <c r="C138" s="20" t="n">
        <v>430.795</v>
      </c>
      <c r="D138" s="20" t="n">
        <v>-189.382</v>
      </c>
      <c r="E138" s="20" t="n">
        <v>35.08</v>
      </c>
      <c r="F138" s="20" t="n">
        <v>461.354</v>
      </c>
      <c r="G138" s="20" t="n">
        <v>-107.38</v>
      </c>
      <c r="H138" s="20" t="n">
        <v>-478.099</v>
      </c>
      <c r="I138" s="20" t="n">
        <v>586.8</v>
      </c>
      <c r="J138" s="20" t="n">
        <v>-693.566</v>
      </c>
      <c r="K138" s="20" t="n">
        <v>-195.473</v>
      </c>
      <c r="L138" s="20" t="n">
        <v>372.843</v>
      </c>
      <c r="M138" s="20" t="n">
        <v>560.024</v>
      </c>
      <c r="N138" s="20" t="n">
        <v>351.543</v>
      </c>
      <c r="T138" s="20" t="n">
        <v>301.377</v>
      </c>
      <c r="U138" s="20" t="n">
        <v>-278.497</v>
      </c>
      <c r="V138" s="20" t="n">
        <v>35.08</v>
      </c>
      <c r="W138" s="20" t="n">
        <v>586.8</v>
      </c>
      <c r="X138" s="20" t="n">
        <v>560.024</v>
      </c>
    </row>
    <row r="139">
      <c r="A139" s="18" t="inlineStr">
        <is>
          <t>기타포괄손익 합계</t>
        </is>
      </c>
      <c r="C139" s="20" t="n">
        <v>4295.223</v>
      </c>
      <c r="D139" s="20" t="n">
        <v>1433.718</v>
      </c>
      <c r="E139" s="20" t="n">
        <v>-2943.826</v>
      </c>
      <c r="F139" s="20" t="n">
        <v>4325.318</v>
      </c>
      <c r="G139" s="20" t="n">
        <v>2865.623</v>
      </c>
      <c r="H139" s="20" t="n">
        <v>-6633.681</v>
      </c>
      <c r="I139" s="20" t="n">
        <v>4466.686</v>
      </c>
      <c r="J139" s="20" t="n">
        <v>-3316.352</v>
      </c>
      <c r="K139" s="20" t="n">
        <v>-986.524</v>
      </c>
      <c r="L139" s="20" t="n">
        <v>1475.162</v>
      </c>
      <c r="M139" s="20" t="n">
        <v>2209.674</v>
      </c>
      <c r="N139" s="20" t="n">
        <v>1712.944</v>
      </c>
      <c r="T139" s="20" t="n">
        <v>1427.425</v>
      </c>
      <c r="U139" s="20" t="n">
        <v>-3172.297</v>
      </c>
      <c r="V139" s="20" t="n">
        <v>-2943.826</v>
      </c>
      <c r="W139" s="20" t="n">
        <v>4466.686</v>
      </c>
      <c r="X139" s="20" t="n">
        <v>2209.674</v>
      </c>
    </row>
    <row r="140">
      <c r="A140" s="9" t="inlineStr">
        <is>
          <t>포괄이익</t>
        </is>
      </c>
      <c r="C140" s="12" t="n">
        <v>5250.626</v>
      </c>
      <c r="D140" s="12" t="n">
        <v>3925.819</v>
      </c>
      <c r="E140" s="12" t="n">
        <v>3436.86</v>
      </c>
      <c r="F140" s="12" t="n">
        <v>6086.702</v>
      </c>
      <c r="G140" s="12" t="n">
        <v>2163.908</v>
      </c>
      <c r="H140" s="12" t="n">
        <v>-4748.786</v>
      </c>
      <c r="I140" s="12" t="n">
        <v>8193.031000000001</v>
      </c>
      <c r="J140" s="12" t="n">
        <v>3374.223</v>
      </c>
      <c r="K140" s="12" t="n">
        <v>-1152.644</v>
      </c>
      <c r="L140" s="12" t="n">
        <v>3823.519</v>
      </c>
      <c r="M140" s="12" t="n">
        <v>2169.164</v>
      </c>
      <c r="N140" s="12" t="n">
        <v>3441.974</v>
      </c>
      <c r="T140" s="12" t="n">
        <v>5078.415</v>
      </c>
      <c r="U140" s="12" t="n">
        <v>-761.438</v>
      </c>
      <c r="V140" s="12" t="n">
        <v>3436.86</v>
      </c>
      <c r="W140" s="12" t="n">
        <v>8193.031000000001</v>
      </c>
      <c r="X140" s="12" t="n">
        <v>2169.164</v>
      </c>
    </row>
    <row r="141">
      <c r="A141" s="9" t="inlineStr">
        <is>
          <t>지배주주 포괄이익</t>
        </is>
      </c>
      <c r="C141" s="12" t="n">
        <v>2879.928</v>
      </c>
      <c r="D141" s="12" t="n">
        <v>2157.762</v>
      </c>
      <c r="E141" s="12" t="n">
        <v>1048.527</v>
      </c>
      <c r="F141" s="12" t="n">
        <v>2891.357</v>
      </c>
      <c r="G141" s="12" t="n">
        <v>1217.275</v>
      </c>
      <c r="H141" s="12" t="n">
        <v>-2910.004</v>
      </c>
      <c r="I141" s="12" t="n">
        <v>3868.728</v>
      </c>
      <c r="J141" s="12" t="n">
        <v>1142.586</v>
      </c>
      <c r="K141" s="12" t="n">
        <v>458.509</v>
      </c>
      <c r="L141" s="12" t="n">
        <v>2717.348</v>
      </c>
      <c r="M141" s="12" t="n">
        <v>1341.802</v>
      </c>
      <c r="N141" s="12" t="n">
        <v>2258.605</v>
      </c>
      <c r="T141" s="12" t="n">
        <v>2824.247</v>
      </c>
      <c r="U141" s="12" t="n">
        <v>-700.881</v>
      </c>
      <c r="V141" s="12" t="n">
        <v>1048.527</v>
      </c>
      <c r="W141" s="12" t="n">
        <v>3868.728</v>
      </c>
      <c r="X141" s="12" t="n">
        <v>1341.802</v>
      </c>
    </row>
    <row r="142">
      <c r="A142" s="9" t="inlineStr">
        <is>
          <t>비지배주주 포괄이익</t>
        </is>
      </c>
      <c r="C142" s="12" t="n">
        <v>2370.699</v>
      </c>
      <c r="D142" s="12" t="n">
        <v>1768.056</v>
      </c>
      <c r="E142" s="12" t="n">
        <v>2388.333</v>
      </c>
      <c r="F142" s="12" t="n">
        <v>3195.344</v>
      </c>
      <c r="G142" s="12" t="n">
        <v>946.633</v>
      </c>
      <c r="H142" s="12" t="n">
        <v>-1838.782</v>
      </c>
      <c r="I142" s="12" t="n">
        <v>4324.303</v>
      </c>
      <c r="J142" s="12" t="n">
        <v>2231.637</v>
      </c>
      <c r="K142" s="12" t="n">
        <v>-1611.154</v>
      </c>
      <c r="L142" s="12" t="n">
        <v>1106.172</v>
      </c>
      <c r="M142" s="12" t="n">
        <v>827.362</v>
      </c>
      <c r="N142" s="12" t="n">
        <v>1183.369</v>
      </c>
      <c r="T142" s="12" t="n">
        <v>2254.167</v>
      </c>
      <c r="U142" s="12" t="n">
        <v>-60.558</v>
      </c>
      <c r="V142" s="12" t="n">
        <v>2388.333</v>
      </c>
      <c r="W142" s="12" t="n">
        <v>4324.303</v>
      </c>
      <c r="X142" s="12" t="n">
        <v>827.362</v>
      </c>
    </row>
    <row r="144">
      <c r="A144" s="16" t="inlineStr">
        <is>
          <t>부문 · 전 항목</t>
        </is>
      </c>
      <c r="B144" s="42" t="inlineStr">
        <is>
          <t>부문 · 항목</t>
        </is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</row>
    <row r="145">
      <c r="A145" s="5" t="inlineStr">
        <is>
          <t>항목</t>
        </is>
      </c>
      <c r="B145" s="5" t="inlineStr">
        <is>
          <t>참고</t>
        </is>
      </c>
      <c r="C145" s="5" t="inlineStr">
        <is>
          <t>2024.2Q</t>
        </is>
      </c>
      <c r="D145" s="5" t="inlineStr">
        <is>
          <t>2024.3Q</t>
        </is>
      </c>
      <c r="E145" s="5" t="inlineStr">
        <is>
          <t>2024.4Q</t>
        </is>
      </c>
      <c r="F145" s="5" t="inlineStr">
        <is>
          <t>2025.1Q</t>
        </is>
      </c>
      <c r="G145" s="5" t="inlineStr">
        <is>
          <t>2025.2Q</t>
        </is>
      </c>
      <c r="H145" s="5" t="inlineStr">
        <is>
          <t>2025.3Q</t>
        </is>
      </c>
      <c r="I145" s="5" t="inlineStr">
        <is>
          <t>2025.4Q</t>
        </is>
      </c>
      <c r="J145" s="5" t="inlineStr">
        <is>
          <t>2026.1Q</t>
        </is>
      </c>
      <c r="K145" s="5" t="inlineStr">
        <is>
          <t>2026.2Q</t>
        </is>
      </c>
      <c r="L145" s="5" t="inlineStr">
        <is>
          <t>2026.3Q</t>
        </is>
      </c>
      <c r="M145" s="5" t="inlineStr">
        <is>
          <t>2026.4Q</t>
        </is>
      </c>
      <c r="N145" s="5" t="inlineStr">
        <is>
          <t>2027.1Q</t>
        </is>
      </c>
      <c r="O145" s="5" t="inlineStr">
        <is>
          <t>2017</t>
        </is>
      </c>
      <c r="P145" s="5" t="inlineStr">
        <is>
          <t>2018</t>
        </is>
      </c>
      <c r="Q145" s="5" t="inlineStr">
        <is>
          <t>2019</t>
        </is>
      </c>
      <c r="R145" s="5" t="inlineStr">
        <is>
          <t>2020</t>
        </is>
      </c>
      <c r="S145" s="5" t="inlineStr">
        <is>
          <t>2021</t>
        </is>
      </c>
      <c r="T145" s="5" t="inlineStr">
        <is>
          <t>2022</t>
        </is>
      </c>
      <c r="U145" s="5" t="inlineStr">
        <is>
          <t>2023</t>
        </is>
      </c>
      <c r="V145" s="5" t="inlineStr">
        <is>
          <t>2024</t>
        </is>
      </c>
      <c r="W145" s="5" t="inlineStr">
        <is>
          <t>2025</t>
        </is>
      </c>
      <c r="X145" s="5" t="inlineStr">
        <is>
          <t>2026</t>
        </is>
      </c>
      <c r="Y145" s="5" t="inlineStr">
        <is>
          <t>2027(MW)</t>
        </is>
      </c>
      <c r="Z145" s="5" t="inlineStr">
        <is>
          <t>2028(MW)</t>
        </is>
      </c>
      <c r="AA145" s="5" t="inlineStr">
        <is>
          <t>2029(MW)</t>
        </is>
      </c>
      <c r="AB145" s="5" t="inlineStr">
        <is>
          <t>2030(MW)</t>
        </is>
      </c>
      <c r="AC145" s="5" t="inlineStr">
        <is>
          <t>2031(MW)</t>
        </is>
      </c>
    </row>
    <row r="146">
      <c r="A146" s="18" t="inlineStr">
        <is>
          <t>InternationalShippingReportableSegmentsMember · 외부 고객 매출</t>
        </is>
      </c>
      <c r="C146" s="20" t="n">
        <v>14743.592</v>
      </c>
      <c r="D146" s="20" t="n">
        <v>15157.543</v>
      </c>
      <c r="F146" s="20" t="n">
        <v>13681.75</v>
      </c>
      <c r="G146" s="20" t="n">
        <v>14817.662</v>
      </c>
      <c r="H146" s="20" t="n">
        <v>12430.196</v>
      </c>
      <c r="I146" s="20" t="n">
        <v>16626.401</v>
      </c>
      <c r="J146" s="20" t="n">
        <v>12756.905</v>
      </c>
      <c r="K146" s="20" t="n">
        <v>12115.663</v>
      </c>
      <c r="L146" s="20" t="n">
        <v>12303.825</v>
      </c>
      <c r="M146" s="20" t="n">
        <v>13313.049</v>
      </c>
      <c r="N146" s="20" t="n">
        <v>12775.7</v>
      </c>
      <c r="W146" s="20" t="n">
        <v>16626.401</v>
      </c>
      <c r="X146" s="20" t="n">
        <v>13313.049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18" t="inlineStr">
        <is>
          <t>HotelAndHotelRelatedBusinessReportableSegmentsMember · 외부 고객 매출</t>
        </is>
      </c>
      <c r="C148" s="20" t="n">
        <v>1930.617</v>
      </c>
      <c r="D148" s="20" t="n">
        <v>2799.533</v>
      </c>
      <c r="F148" s="20" t="n">
        <v>2149.948</v>
      </c>
      <c r="G148" s="20" t="n">
        <v>1971.702</v>
      </c>
      <c r="H148" s="20" t="n">
        <v>2994.394</v>
      </c>
      <c r="I148" s="20" t="n">
        <v>2301.995</v>
      </c>
      <c r="J148" s="20" t="n">
        <v>2462.798</v>
      </c>
      <c r="K148" s="20" t="n">
        <v>2224.354</v>
      </c>
      <c r="L148" s="20" t="n">
        <v>3015.235</v>
      </c>
      <c r="M148" s="20" t="n">
        <v>2427.424</v>
      </c>
      <c r="N148" s="20" t="n">
        <v>2469.79</v>
      </c>
      <c r="W148" s="20" t="n">
        <v>2301.995</v>
      </c>
      <c r="X148" s="20" t="n">
        <v>2427.424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18" t="inlineStr">
        <is>
          <t>LeasingReportableSegmentsMember · 외부 고객 매출</t>
        </is>
      </c>
      <c r="I150" s="20" t="n">
        <v>150.276</v>
      </c>
      <c r="M150" s="20" t="n">
        <v>186.886</v>
      </c>
      <c r="W150" s="20" t="n">
        <v>150.276</v>
      </c>
      <c r="X150" s="20" t="n">
        <v>186.886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I151" s="15">
        <f>IF(OR(I150="",E150=""),"",IF(E150&lt;=0,"",IFERROR(I150/E150-1,"")))</f>
        <v/>
      </c>
      <c r="M151" s="15">
        <f>IF(OR(M150="",I150=""),"",IF(I150&lt;=0,"",IFERROR(M150/I150-1,"")))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2">
      <c r="A152" s="18" t="inlineStr">
        <is>
          <t>RealEstateLeasingReportableSegmentsMember · 외부 고객 매출</t>
        </is>
      </c>
      <c r="C152" s="20" t="n">
        <v>136.732</v>
      </c>
      <c r="F152" s="20" t="n">
        <v>138.1</v>
      </c>
      <c r="G152" s="20" t="n">
        <v>140.717</v>
      </c>
      <c r="J152" s="20" t="n">
        <v>153.705</v>
      </c>
      <c r="K152" s="20" t="n">
        <v>151.011</v>
      </c>
      <c r="N152" s="20" t="n">
        <v>214.224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IF(OR(G152="",C152=""),"",IF(C152&lt;=0,"",IFERROR(G152/C152-1,"")))</f>
        <v/>
      </c>
      <c r="J153" s="15">
        <f>IF(OR(J152="",F152=""),"",IF(F152&lt;=0,"",IFERROR(J152/F152-1,"")))</f>
        <v/>
      </c>
      <c r="K153" s="15">
        <f>IF(OR(K152="",G152=""),"",IF(G152&lt;=0,"",IFERROR(K152/G152-1,"")))</f>
        <v/>
      </c>
      <c r="N153" s="15">
        <f>IF(OR(N152="",J152=""),"",IF(J152&lt;=0,"",IFERROR(N152/J152-1,"")))</f>
        <v/>
      </c>
    </row>
    <row r="154">
      <c r="A154" s="18" t="inlineStr">
        <is>
          <t>합계 · 외부 고객 매출</t>
        </is>
      </c>
      <c r="C154" s="20" t="n">
        <v>16810.941</v>
      </c>
      <c r="D154" s="20" t="n">
        <v>18095.596</v>
      </c>
      <c r="F154" s="20" t="n">
        <v>15969.799</v>
      </c>
      <c r="G154" s="20" t="n">
        <v>16930.081</v>
      </c>
      <c r="H154" s="20" t="n">
        <v>15565.653</v>
      </c>
      <c r="I154" s="20" t="n">
        <v>19078.672</v>
      </c>
      <c r="J154" s="20" t="n">
        <v>15373.409</v>
      </c>
      <c r="K154" s="20" t="n">
        <v>14491.028</v>
      </c>
      <c r="L154" s="20" t="n">
        <v>15479.851</v>
      </c>
      <c r="M154" s="20" t="n">
        <v>15927.359</v>
      </c>
      <c r="N154" s="20" t="n">
        <v>15459.715</v>
      </c>
      <c r="W154" s="20" t="n">
        <v>19078.672</v>
      </c>
      <c r="X154" s="20" t="n">
        <v>15927.359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18" t="inlineStr">
        <is>
          <t>조정액 · 외부 고객 매출</t>
        </is>
      </c>
      <c r="C156" s="20" t="n">
        <v>0</v>
      </c>
      <c r="D156" s="20" t="n">
        <v>0</v>
      </c>
      <c r="F156" s="20" t="n">
        <v>0</v>
      </c>
      <c r="G156" s="20" t="n">
        <v>0</v>
      </c>
      <c r="H156" s="20" t="n">
        <v>0</v>
      </c>
      <c r="I156" s="20" t="n">
        <v>0</v>
      </c>
      <c r="J156" s="20" t="n">
        <v>0</v>
      </c>
      <c r="K156" s="20" t="n">
        <v>0</v>
      </c>
      <c r="L156" s="20" t="n">
        <v>0</v>
      </c>
      <c r="M156" s="20" t="n">
        <v>0</v>
      </c>
      <c r="N156" s="20" t="n">
        <v>0</v>
      </c>
      <c r="W156" s="20" t="n">
        <v>0</v>
      </c>
      <c r="X156" s="20" t="n">
        <v>0</v>
      </c>
    </row>
    <row r="157">
      <c r="A157" s="9" t="inlineStr">
        <is>
          <t>외부 고객 매출</t>
        </is>
      </c>
      <c r="C157" s="12" t="n">
        <v>16810.941</v>
      </c>
      <c r="D157" s="12" t="n">
        <v>18095.596</v>
      </c>
      <c r="F157" s="12" t="n">
        <v>15969.799</v>
      </c>
      <c r="G157" s="12" t="n">
        <v>16930.081</v>
      </c>
      <c r="H157" s="12" t="n">
        <v>15565.653</v>
      </c>
      <c r="I157" s="12" t="n">
        <v>19078.672</v>
      </c>
      <c r="W157" s="12" t="n">
        <v>19078.672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W158" s="15">
        <f>IF(OR(W157="",V157=""),"",IF(V157&lt;=0,"",IFERROR(W157/V157-1,"")))</f>
        <v/>
      </c>
    </row>
    <row r="159">
      <c r="A159" s="18" t="inlineStr">
        <is>
          <t>EntityTotalMember · 외부 고객 매출</t>
        </is>
      </c>
      <c r="F159" s="20" t="n">
        <v>15969.799</v>
      </c>
      <c r="J159" s="20" t="n">
        <v>15373.409</v>
      </c>
      <c r="N159" s="20" t="n">
        <v>15459.715</v>
      </c>
    </row>
    <row r="160">
      <c r="A160" s="18" t="inlineStr">
        <is>
          <t>InternationalShippingReportableSegmentsMember · 부문 간 내부매출·대체</t>
        </is>
      </c>
      <c r="C160" s="20" t="n">
        <v>0</v>
      </c>
      <c r="D160" s="20" t="n">
        <v>0</v>
      </c>
      <c r="F160" s="20" t="n">
        <v>0</v>
      </c>
      <c r="G160" s="20" t="n">
        <v>0</v>
      </c>
      <c r="H160" s="20" t="n">
        <v>0</v>
      </c>
      <c r="I160" s="20" t="n">
        <v>0</v>
      </c>
      <c r="J160" s="20" t="n">
        <v>0</v>
      </c>
      <c r="K160" s="20" t="n">
        <v>0</v>
      </c>
      <c r="L160" s="20" t="n">
        <v>0</v>
      </c>
      <c r="M160" s="20" t="n">
        <v>0</v>
      </c>
      <c r="N160" s="20" t="n">
        <v>0</v>
      </c>
      <c r="W160" s="20" t="n">
        <v>0</v>
      </c>
      <c r="X160" s="20" t="n">
        <v>0</v>
      </c>
    </row>
    <row r="161">
      <c r="A161" s="18" t="inlineStr">
        <is>
          <t>HotelAndHotelRelatedBusinessReportableSegmentsMember · 부문 간 내부매출·대체</t>
        </is>
      </c>
      <c r="C161" s="20" t="n">
        <v>0</v>
      </c>
      <c r="D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W161" s="20" t="n">
        <v>0</v>
      </c>
      <c r="X161" s="20" t="n">
        <v>0</v>
      </c>
    </row>
    <row r="162">
      <c r="A162" s="18" t="inlineStr">
        <is>
          <t>LeasingReportableSegmentsMember · 부문 간 내부매출·대체</t>
        </is>
      </c>
      <c r="I162" s="20" t="n">
        <v>0</v>
      </c>
      <c r="M162" s="20" t="n">
        <v>0</v>
      </c>
      <c r="W162" s="20" t="n">
        <v>0</v>
      </c>
      <c r="X162" s="20" t="n">
        <v>0</v>
      </c>
    </row>
    <row r="163">
      <c r="A163" s="18" t="inlineStr">
        <is>
          <t>RealEstateLeasingReportableSegmentsMember · 부문 간 내부매출·대체</t>
        </is>
      </c>
      <c r="C163" s="20" t="n">
        <v>0</v>
      </c>
      <c r="F163" s="20" t="n">
        <v>0</v>
      </c>
      <c r="G163" s="20" t="n">
        <v>0</v>
      </c>
      <c r="J163" s="20" t="n">
        <v>0</v>
      </c>
      <c r="K163" s="20" t="n">
        <v>0</v>
      </c>
      <c r="N163" s="20" t="n">
        <v>0</v>
      </c>
    </row>
    <row r="164">
      <c r="A164" s="18" t="inlineStr">
        <is>
          <t>합계 · 부문 간 내부매출·대체</t>
        </is>
      </c>
      <c r="C164" s="20" t="n">
        <v>0</v>
      </c>
      <c r="D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0</v>
      </c>
      <c r="K164" s="20" t="n">
        <v>0</v>
      </c>
      <c r="L164" s="20" t="n">
        <v>0</v>
      </c>
      <c r="M164" s="20" t="n">
        <v>0</v>
      </c>
      <c r="N164" s="20" t="n">
        <v>0</v>
      </c>
      <c r="W164" s="20" t="n">
        <v>0</v>
      </c>
      <c r="X164" s="20" t="n">
        <v>0</v>
      </c>
    </row>
    <row r="165">
      <c r="A165" s="18" t="inlineStr">
        <is>
          <t>조정액 · 부문 간 내부매출·대체</t>
        </is>
      </c>
      <c r="C165" s="20" t="n">
        <v>0</v>
      </c>
      <c r="D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J165" s="20" t="n">
        <v>0</v>
      </c>
      <c r="K165" s="20" t="n">
        <v>0</v>
      </c>
      <c r="L165" s="20" t="n">
        <v>0</v>
      </c>
      <c r="M165" s="20" t="n">
        <v>0</v>
      </c>
      <c r="N165" s="20" t="n">
        <v>0</v>
      </c>
      <c r="W165" s="20" t="n">
        <v>0</v>
      </c>
      <c r="X165" s="20" t="n">
        <v>0</v>
      </c>
    </row>
    <row r="166">
      <c r="A166" s="18" t="inlineStr">
        <is>
          <t>부문 간 내부매출·대체</t>
        </is>
      </c>
      <c r="C166" s="20" t="n">
        <v>0</v>
      </c>
      <c r="D166" s="20" t="n">
        <v>0</v>
      </c>
      <c r="F166" s="20" t="n">
        <v>0</v>
      </c>
      <c r="G166" s="20" t="n">
        <v>0</v>
      </c>
      <c r="H166" s="20" t="n">
        <v>0</v>
      </c>
      <c r="I166" s="20" t="n">
        <v>0</v>
      </c>
      <c r="W166" s="20" t="n">
        <v>0</v>
      </c>
    </row>
    <row r="167">
      <c r="A167" s="18" t="inlineStr">
        <is>
          <t>EntityTotalMember · 부문 간 내부매출·대체</t>
        </is>
      </c>
      <c r="F167" s="20" t="n">
        <v>0</v>
      </c>
      <c r="J167" s="20" t="n">
        <v>0</v>
      </c>
      <c r="N167" s="20" t="n">
        <v>0</v>
      </c>
    </row>
    <row r="168">
      <c r="A168" s="18" t="inlineStr">
        <is>
          <t>InternationalShippingReportableSegmentsMember · 계</t>
        </is>
      </c>
      <c r="C168" s="20" t="n">
        <v>14743.592</v>
      </c>
      <c r="D168" s="20" t="n">
        <v>15157.543</v>
      </c>
      <c r="F168" s="20" t="n">
        <v>13681.75</v>
      </c>
      <c r="G168" s="20" t="n">
        <v>14817.662</v>
      </c>
      <c r="H168" s="20" t="n">
        <v>12430.196</v>
      </c>
      <c r="I168" s="20" t="n">
        <v>16626.401</v>
      </c>
      <c r="J168" s="20" t="n">
        <v>12756.905</v>
      </c>
      <c r="K168" s="20" t="n">
        <v>12115.663</v>
      </c>
      <c r="L168" s="20" t="n">
        <v>12303.825</v>
      </c>
      <c r="M168" s="20" t="n">
        <v>13313.049</v>
      </c>
      <c r="N168" s="20" t="n">
        <v>12775.7</v>
      </c>
      <c r="W168" s="20" t="n">
        <v>16626.401</v>
      </c>
      <c r="X168" s="20" t="n">
        <v>13313.049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HotelAndHotelRelatedBusinessReportableSegmentsMember · 계</t>
        </is>
      </c>
      <c r="C170" s="20" t="n">
        <v>1930.617</v>
      </c>
      <c r="D170" s="20" t="n">
        <v>2799.533</v>
      </c>
      <c r="F170" s="20" t="n">
        <v>2149.948</v>
      </c>
      <c r="G170" s="20" t="n">
        <v>1971.702</v>
      </c>
      <c r="H170" s="20" t="n">
        <v>2994.394</v>
      </c>
      <c r="I170" s="20" t="n">
        <v>2301.995</v>
      </c>
      <c r="J170" s="20" t="n">
        <v>2462.798</v>
      </c>
      <c r="K170" s="20" t="n">
        <v>2224.354</v>
      </c>
      <c r="L170" s="20" t="n">
        <v>3015.235</v>
      </c>
      <c r="M170" s="20" t="n">
        <v>2427.424</v>
      </c>
      <c r="N170" s="20" t="n">
        <v>2469.79</v>
      </c>
      <c r="W170" s="20" t="n">
        <v>2301.995</v>
      </c>
      <c r="X170" s="20" t="n">
        <v>2427.424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LeasingReportableSegmentsMember · 계</t>
        </is>
      </c>
      <c r="I172" s="20" t="n">
        <v>150.276</v>
      </c>
      <c r="M172" s="20" t="n">
        <v>186.886</v>
      </c>
      <c r="W172" s="20" t="n">
        <v>150.276</v>
      </c>
      <c r="X172" s="20" t="n">
        <v>186.886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I173" s="15">
        <f>IF(OR(I172="",E172=""),"",IF(E172&lt;=0,"",IFERROR(I172/E172-1,"")))</f>
        <v/>
      </c>
      <c r="M173" s="15">
        <f>IF(OR(M172="",I172=""),"",IF(I172&lt;=0,"",IFERROR(M172/I172-1,"")))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RealEstateLeasingReportableSegmentsMember · 계</t>
        </is>
      </c>
      <c r="C174" s="20" t="n">
        <v>136.732</v>
      </c>
      <c r="F174" s="20" t="n">
        <v>138.1</v>
      </c>
      <c r="G174" s="20" t="n">
        <v>140.717</v>
      </c>
      <c r="J174" s="20" t="n">
        <v>153.705</v>
      </c>
      <c r="K174" s="20" t="n">
        <v>151.011</v>
      </c>
      <c r="N174" s="20" t="n">
        <v>214.224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J175" s="15">
        <f>IF(OR(J174="",F174=""),"",IF(F174&lt;=0,"",IFERROR(J174/F174-1,"")))</f>
        <v/>
      </c>
      <c r="K175" s="15">
        <f>IF(OR(K174="",G174=""),"",IF(G174&lt;=0,"",IFERROR(K174/G174-1,"")))</f>
        <v/>
      </c>
      <c r="N175" s="15">
        <f>IF(OR(N174="",J174=""),"",IF(J174&lt;=0,"",IFERROR(N174/J174-1,"")))</f>
        <v/>
      </c>
    </row>
    <row r="176">
      <c r="A176" s="18" t="inlineStr">
        <is>
          <t>합계 · 계</t>
        </is>
      </c>
      <c r="C176" s="20" t="n">
        <v>16810.941</v>
      </c>
      <c r="D176" s="20" t="n">
        <v>18095.596</v>
      </c>
      <c r="F176" s="20" t="n">
        <v>15969.799</v>
      </c>
      <c r="G176" s="20" t="n">
        <v>16930.081</v>
      </c>
      <c r="H176" s="20" t="n">
        <v>15565.653</v>
      </c>
      <c r="I176" s="20" t="n">
        <v>19078.672</v>
      </c>
      <c r="J176" s="20" t="n">
        <v>15373.409</v>
      </c>
      <c r="K176" s="20" t="n">
        <v>14491.028</v>
      </c>
      <c r="L176" s="20" t="n">
        <v>15479.851</v>
      </c>
      <c r="M176" s="20" t="n">
        <v>15927.359</v>
      </c>
      <c r="N176" s="20" t="n">
        <v>15459.715</v>
      </c>
      <c r="W176" s="20" t="n">
        <v>19078.672</v>
      </c>
      <c r="X176" s="20" t="n">
        <v>15927.359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M177" s="15">
        <f>IF(OR(M176="",I176=""),"",IF(I176&lt;=0,"",IFERROR(M176/I176-1,"")))</f>
        <v/>
      </c>
      <c r="N177" s="15">
        <f>IF(OR(N176="",J176=""),"",IF(J176&lt;=0,"",IFERROR(N176/J176-1,"")))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조정액 · 계</t>
        </is>
      </c>
      <c r="C178" s="20" t="n">
        <v>0</v>
      </c>
      <c r="D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0</v>
      </c>
      <c r="K178" s="20" t="n">
        <v>0</v>
      </c>
      <c r="L178" s="20" t="n">
        <v>0</v>
      </c>
      <c r="M178" s="20" t="n">
        <v>0</v>
      </c>
      <c r="N178" s="20" t="n">
        <v>0</v>
      </c>
      <c r="W178" s="20" t="n">
        <v>0</v>
      </c>
      <c r="X178" s="20" t="n">
        <v>0</v>
      </c>
    </row>
    <row r="179">
      <c r="A179" s="9" t="inlineStr">
        <is>
          <t>계</t>
        </is>
      </c>
      <c r="C179" s="12" t="n">
        <v>16810.941</v>
      </c>
      <c r="D179" s="12" t="n">
        <v>18095.596</v>
      </c>
      <c r="F179" s="12" t="n">
        <v>15969.799</v>
      </c>
      <c r="G179" s="12" t="n">
        <v>16930.081</v>
      </c>
      <c r="H179" s="12" t="n">
        <v>15565.653</v>
      </c>
      <c r="I179" s="12" t="n">
        <v>19078.672</v>
      </c>
      <c r="W179" s="12" t="n">
        <v>19078.672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W180" s="15">
        <f>IF(OR(W179="",V179=""),"",IF(V179&lt;=0,"",IFERROR(W179/V179-1,"")))</f>
        <v/>
      </c>
    </row>
    <row r="181">
      <c r="A181" s="18" t="inlineStr">
        <is>
          <t>EntityTotalMember · 계</t>
        </is>
      </c>
      <c r="F181" s="20" t="n">
        <v>15969.799</v>
      </c>
      <c r="J181" s="20" t="n">
        <v>15373.409</v>
      </c>
      <c r="N181" s="20" t="n">
        <v>15459.715</v>
      </c>
    </row>
    <row r="182">
      <c r="A182" s="18" t="inlineStr">
        <is>
          <t>InternationalShippingReportableSegmentsMember · 부문 이익</t>
        </is>
      </c>
      <c r="C182" s="20" t="n">
        <v>3201.538</v>
      </c>
      <c r="D182" s="20" t="n">
        <v>2747.206</v>
      </c>
      <c r="F182" s="20" t="n">
        <v>2958.703</v>
      </c>
      <c r="G182" s="20" t="n">
        <v>2579.282</v>
      </c>
      <c r="H182" s="20" t="n">
        <v>2458.979</v>
      </c>
      <c r="I182" s="20" t="n">
        <v>2632.351</v>
      </c>
      <c r="J182" s="20" t="n">
        <v>1993.181</v>
      </c>
      <c r="K182" s="20" t="n">
        <v>1086.607</v>
      </c>
      <c r="L182" s="20" t="n">
        <v>1307.003</v>
      </c>
      <c r="M182" s="20" t="n">
        <v>-597.319</v>
      </c>
      <c r="N182" s="20" t="n">
        <v>1269.404</v>
      </c>
      <c r="W182" s="20" t="n">
        <v>2632.351</v>
      </c>
      <c r="X182" s="20" t="n">
        <v>-597.319</v>
      </c>
    </row>
    <row r="183">
      <c r="A183" s="43" t="inlineStr">
        <is>
          <t>OPM</t>
        </is>
      </c>
      <c r="B183" s="3" t="inlineStr">
        <is>
          <t>영업이익 ÷ 매출</t>
        </is>
      </c>
      <c r="C183" s="15">
        <f>IF(OR(C182="",C168=""),"",IF(C168&lt;=0,"",IFERROR(C182/C168,"")))</f>
        <v/>
      </c>
      <c r="D183" s="15">
        <f>IF(OR(D182="",D168=""),"",IF(D168&lt;=0,"",IFERROR(D182/D168,"")))</f>
        <v/>
      </c>
      <c r="F183" s="15">
        <f>IF(OR(F182="",F168=""),"",IF(F168&lt;=0,"",IFERROR(F182/F168,"")))</f>
        <v/>
      </c>
      <c r="G183" s="15">
        <f>IF(OR(G182="",G168=""),"",IF(G168&lt;=0,"",IFERROR(G182/G168,"")))</f>
        <v/>
      </c>
      <c r="H183" s="15">
        <f>IF(OR(H182="",H168=""),"",IF(H168&lt;=0,"",IFERROR(H182/H168,"")))</f>
        <v/>
      </c>
      <c r="I183" s="15">
        <f>IF(OR(I182="",I168=""),"",IF(I168&lt;=0,"",IFERROR(I182/I168,"")))</f>
        <v/>
      </c>
      <c r="J183" s="15">
        <f>IF(OR(J182="",J168=""),"",IF(J168&lt;=0,"",IFERROR(J182/J168,"")))</f>
        <v/>
      </c>
      <c r="K183" s="15">
        <f>IF(OR(K182="",K168=""),"",IF(K168&lt;=0,"",IFERROR(K182/K168,"")))</f>
        <v/>
      </c>
      <c r="L183" s="15">
        <f>IF(OR(L182="",L168=""),"",IF(L168&lt;=0,"",IFERROR(L182/L168,"")))</f>
        <v/>
      </c>
      <c r="M183" s="15">
        <f>IF(OR(M182="",M168=""),"",IF(M168&lt;=0,"",IFERROR(M182/M168,"")))</f>
        <v/>
      </c>
      <c r="N183" s="15">
        <f>IF(OR(N182="",N168=""),"",IF(N168&lt;=0,"",IFERROR(N182/N168,"")))</f>
        <v/>
      </c>
      <c r="W183" s="15">
        <f>IF(OR(W182="",W168=""),"",IF(W168&lt;=0,"",IFERROR(W182/W168,"")))</f>
        <v/>
      </c>
      <c r="X183" s="15">
        <f>IF(OR(X182="",X168=""),"",IF(X168&lt;=0,"",IFERROR(X182/X168,"")))</f>
        <v/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IF(OR(G182="",C182=""),"",IF(C182&lt;=0,"",IFERROR(G182/C182-1,"")))</f>
        <v/>
      </c>
      <c r="H184" s="15">
        <f>IF(OR(H182="",D182=""),"",IF(D182&lt;=0,"",IFERROR(H182/D182-1,"")))</f>
        <v/>
      </c>
      <c r="I184" s="15">
        <f>IF(OR(I182="",E182=""),"",IF(E182&lt;=0,"",IFERROR(I182/E182-1,"")))</f>
        <v/>
      </c>
      <c r="J184" s="15">
        <f>IF(OR(J182="",F182=""),"",IF(F182&lt;=0,"",IFERROR(J182/F182-1,"")))</f>
        <v/>
      </c>
      <c r="K184" s="15">
        <f>IF(OR(K182="",G182=""),"",IF(G182&lt;=0,"",IFERROR(K182/G182-1,"")))</f>
        <v/>
      </c>
      <c r="L184" s="15">
        <f>IF(OR(L182="",H182=""),"",IF(H182&lt;=0,"",IFERROR(L182/H182-1,"")))</f>
        <v/>
      </c>
      <c r="M184" s="15">
        <f>IF(OR(M182="",I182=""),"",IF(I182&lt;=0,"",IFERROR(M182/I182-1,"")))</f>
        <v/>
      </c>
      <c r="N184" s="15">
        <f>IF(OR(N182="",J182=""),"",IF(J182&lt;=0,"",IFERROR(N182/J182-1,"")))</f>
        <v/>
      </c>
      <c r="W184" s="15">
        <f>IF(OR(W182="",V182=""),"",IF(V182&lt;=0,"",IFERROR(W182/V182-1,"")))</f>
        <v/>
      </c>
      <c r="X184" s="15">
        <f>IF(OR(X182="",W182=""),"",IF(W182&lt;=0,"",IFERROR(X182/W182-1,"")))</f>
        <v/>
      </c>
    </row>
    <row r="185">
      <c r="A185" s="18" t="inlineStr">
        <is>
          <t>HotelAndHotelRelatedBusinessReportableSegmentsMember · 부문 이익</t>
        </is>
      </c>
      <c r="C185" s="20" t="n">
        <v>-36.68</v>
      </c>
      <c r="D185" s="20" t="n">
        <v>484.536</v>
      </c>
      <c r="F185" s="20" t="n">
        <v>32.327</v>
      </c>
      <c r="G185" s="20" t="n">
        <v>-210.453</v>
      </c>
      <c r="H185" s="20" t="n">
        <v>383.613</v>
      </c>
      <c r="I185" s="20" t="n">
        <v>-53.616</v>
      </c>
      <c r="J185" s="20" t="n">
        <v>93.971</v>
      </c>
      <c r="K185" s="20" t="n">
        <v>-311.166</v>
      </c>
      <c r="L185" s="20" t="n">
        <v>234.068</v>
      </c>
      <c r="M185" s="20" t="n">
        <v>-297.311</v>
      </c>
      <c r="N185" s="20" t="n">
        <v>-213.156</v>
      </c>
      <c r="W185" s="20" t="n">
        <v>-53.616</v>
      </c>
      <c r="X185" s="20" t="n">
        <v>-297.311</v>
      </c>
    </row>
    <row r="186">
      <c r="A186" s="43" t="inlineStr">
        <is>
          <t>OPM</t>
        </is>
      </c>
      <c r="B186" s="3" t="inlineStr">
        <is>
          <t>영업이익 ÷ 매출</t>
        </is>
      </c>
      <c r="C186" s="15">
        <f>IF(OR(C185="",C170=""),"",IF(C170&lt;=0,"",IFERROR(C185/C170,"")))</f>
        <v/>
      </c>
      <c r="D186" s="15">
        <f>IF(OR(D185="",D170=""),"",IF(D170&lt;=0,"",IFERROR(D185/D170,"")))</f>
        <v/>
      </c>
      <c r="F186" s="15">
        <f>IF(OR(F185="",F170=""),"",IF(F170&lt;=0,"",IFERROR(F185/F170,"")))</f>
        <v/>
      </c>
      <c r="G186" s="15">
        <f>IF(OR(G185="",G170=""),"",IF(G170&lt;=0,"",IFERROR(G185/G170,"")))</f>
        <v/>
      </c>
      <c r="H186" s="15">
        <f>IF(OR(H185="",H170=""),"",IF(H170&lt;=0,"",IFERROR(H185/H170,"")))</f>
        <v/>
      </c>
      <c r="I186" s="15">
        <f>IF(OR(I185="",I170=""),"",IF(I170&lt;=0,"",IFERROR(I185/I170,"")))</f>
        <v/>
      </c>
      <c r="J186" s="15">
        <f>IF(OR(J185="",J170=""),"",IF(J170&lt;=0,"",IFERROR(J185/J170,"")))</f>
        <v/>
      </c>
      <c r="K186" s="15">
        <f>IF(OR(K185="",K170=""),"",IF(K170&lt;=0,"",IFERROR(K185/K170,"")))</f>
        <v/>
      </c>
      <c r="L186" s="15">
        <f>IF(OR(L185="",L170=""),"",IF(L170&lt;=0,"",IFERROR(L185/L170,"")))</f>
        <v/>
      </c>
      <c r="M186" s="15">
        <f>IF(OR(M185="",M170=""),"",IF(M170&lt;=0,"",IFERROR(M185/M170,"")))</f>
        <v/>
      </c>
      <c r="N186" s="15">
        <f>IF(OR(N185="",N170=""),"",IF(N170&lt;=0,"",IFERROR(N185/N170,"")))</f>
        <v/>
      </c>
      <c r="W186" s="15">
        <f>IF(OR(W185="",W170=""),"",IF(W170&lt;=0,"",IFERROR(W185/W170,"")))</f>
        <v/>
      </c>
      <c r="X186" s="15">
        <f>IF(OR(X185="",X170=""),"",IF(X170&lt;=0,"",IFERROR(X185/X170,"")))</f>
        <v/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IF(OR(G185="",C185=""),"",IF(C185&lt;=0,"",IFERROR(G185/C185-1,"")))</f>
        <v/>
      </c>
      <c r="H187" s="15">
        <f>IF(OR(H185="",D185=""),"",IF(D185&lt;=0,"",IFERROR(H185/D185-1,"")))</f>
        <v/>
      </c>
      <c r="I187" s="15">
        <f>IF(OR(I185="",E185=""),"",IF(E185&lt;=0,"",IFERROR(I185/E185-1,"")))</f>
        <v/>
      </c>
      <c r="J187" s="15">
        <f>IF(OR(J185="",F185=""),"",IF(F185&lt;=0,"",IFERROR(J185/F185-1,"")))</f>
        <v/>
      </c>
      <c r="K187" s="15">
        <f>IF(OR(K185="",G185=""),"",IF(G185&lt;=0,"",IFERROR(K185/G185-1,"")))</f>
        <v/>
      </c>
      <c r="L187" s="15">
        <f>IF(OR(L185="",H185=""),"",IF(H185&lt;=0,"",IFERROR(L185/H185-1,"")))</f>
        <v/>
      </c>
      <c r="M187" s="15">
        <f>IF(OR(M185="",I185=""),"",IF(I185&lt;=0,"",IFERROR(M185/I185-1,"")))</f>
        <v/>
      </c>
      <c r="N187" s="15">
        <f>IF(OR(N185="",J185=""),"",IF(J185&lt;=0,"",IFERROR(N185/J185-1,"")))</f>
        <v/>
      </c>
      <c r="W187" s="15">
        <f>IF(OR(W185="",V185=""),"",IF(V185&lt;=0,"",IFERROR(W185/V185-1,"")))</f>
        <v/>
      </c>
      <c r="X187" s="15">
        <f>IF(OR(X185="",W185=""),"",IF(W185&lt;=0,"",IFERROR(X185/W185-1,"")))</f>
        <v/>
      </c>
    </row>
    <row r="188">
      <c r="A188" s="18" t="inlineStr">
        <is>
          <t>LeasingReportableSegmentsMember · 부문 이익</t>
        </is>
      </c>
      <c r="I188" s="20" t="n">
        <v>63.588</v>
      </c>
      <c r="M188" s="20" t="n">
        <v>40.321</v>
      </c>
      <c r="W188" s="20" t="n">
        <v>63.588</v>
      </c>
      <c r="X188" s="20" t="n">
        <v>40.321</v>
      </c>
    </row>
    <row r="189">
      <c r="A189" s="43" t="inlineStr">
        <is>
          <t>OPM</t>
        </is>
      </c>
      <c r="B189" s="3" t="inlineStr">
        <is>
          <t>영업이익 ÷ 매출</t>
        </is>
      </c>
      <c r="I189" s="15">
        <f>IF(OR(I188="",I172=""),"",IF(I172&lt;=0,"",IFERROR(I188/I172,"")))</f>
        <v/>
      </c>
      <c r="M189" s="15">
        <f>IF(OR(M188="",M172=""),"",IF(M172&lt;=0,"",IFERROR(M188/M172,"")))</f>
        <v/>
      </c>
      <c r="W189" s="15">
        <f>IF(OR(W188="",W172=""),"",IF(W172&lt;=0,"",IFERROR(W188/W172,"")))</f>
        <v/>
      </c>
      <c r="X189" s="15">
        <f>IF(OR(X188="",X172=""),"",IF(X172&lt;=0,"",IFERROR(X188/X172,"")))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I190" s="15">
        <f>IF(OR(I188="",E188=""),"",IF(E188&lt;=0,"",IFERROR(I188/E188-1,"")))</f>
        <v/>
      </c>
      <c r="M190" s="15">
        <f>IF(OR(M188="",I188=""),"",IF(I188&lt;=0,"",IFERROR(M188/I188-1,"")))</f>
        <v/>
      </c>
      <c r="W190" s="15">
        <f>IF(OR(W188="",V188=""),"",IF(V188&lt;=0,"",IFERROR(W188/V188-1,"")))</f>
        <v/>
      </c>
      <c r="X190" s="15">
        <f>IF(OR(X188="",W188=""),"",IF(W188&lt;=0,"",IFERROR(X188/W188-1,"")))</f>
        <v/>
      </c>
    </row>
    <row r="191">
      <c r="A191" s="18" t="inlineStr">
        <is>
          <t>RealEstateLeasingReportableSegmentsMember · 부문 이익</t>
        </is>
      </c>
      <c r="C191" s="20" t="n">
        <v>62.908</v>
      </c>
      <c r="F191" s="20" t="n">
        <v>58.987</v>
      </c>
      <c r="G191" s="20" t="n">
        <v>46.345</v>
      </c>
      <c r="J191" s="20" t="n">
        <v>62.885</v>
      </c>
      <c r="K191" s="20" t="n">
        <v>36.981</v>
      </c>
      <c r="N191" s="20" t="n">
        <v>21.08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IF(OR(C191="",C174=""),"",IF(C174&lt;=0,"",IFERROR(C191/C174,"")))</f>
        <v/>
      </c>
      <c r="F192" s="15">
        <f>IF(OR(F191="",F174=""),"",IF(F174&lt;=0,"",IFERROR(F191/F174,"")))</f>
        <v/>
      </c>
      <c r="G192" s="15">
        <f>IF(OR(G191="",G174=""),"",IF(G174&lt;=0,"",IFERROR(G191/G174,"")))</f>
        <v/>
      </c>
      <c r="J192" s="15">
        <f>IF(OR(J191="",J174=""),"",IF(J174&lt;=0,"",IFERROR(J191/J174,"")))</f>
        <v/>
      </c>
      <c r="K192" s="15">
        <f>IF(OR(K191="",K174=""),"",IF(K174&lt;=0,"",IFERROR(K191/K174,"")))</f>
        <v/>
      </c>
      <c r="N192" s="15">
        <f>IF(OR(N191="",N174=""),"",IF(N174&lt;=0,"",IFERROR(N191/N174,"")))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J193" s="15">
        <f>IF(OR(J191="",F191=""),"",IF(F191&lt;=0,"",IFERROR(J191/F191-1,"")))</f>
        <v/>
      </c>
      <c r="K193" s="15">
        <f>IF(OR(K191="",G191=""),"",IF(G191&lt;=0,"",IFERROR(K191/G191-1,"")))</f>
        <v/>
      </c>
      <c r="N193" s="15">
        <f>IF(OR(N191="",J191=""),"",IF(J191&lt;=0,"",IFERROR(N191/J191-1,"")))</f>
        <v/>
      </c>
    </row>
    <row r="194">
      <c r="A194" s="18" t="inlineStr">
        <is>
          <t>합계 · 부문 이익</t>
        </is>
      </c>
      <c r="C194" s="20" t="n">
        <v>3227.767</v>
      </c>
      <c r="D194" s="20" t="n">
        <v>3310.762</v>
      </c>
      <c r="F194" s="20" t="n">
        <v>3050.018</v>
      </c>
      <c r="G194" s="20" t="n">
        <v>2415.173</v>
      </c>
      <c r="H194" s="20" t="n">
        <v>2906.865</v>
      </c>
      <c r="I194" s="20" t="n">
        <v>2642.322</v>
      </c>
      <c r="J194" s="20" t="n">
        <v>2150.038</v>
      </c>
      <c r="K194" s="20" t="n">
        <v>812.42</v>
      </c>
      <c r="L194" s="20" t="n">
        <v>1598.862</v>
      </c>
      <c r="M194" s="20" t="n">
        <v>-854.311</v>
      </c>
      <c r="N194" s="20" t="n">
        <v>1077.328</v>
      </c>
      <c r="W194" s="20" t="n">
        <v>2642.322</v>
      </c>
      <c r="X194" s="20" t="n">
        <v>-854.311</v>
      </c>
    </row>
    <row r="195">
      <c r="A195" s="43" t="inlineStr">
        <is>
          <t>OPM</t>
        </is>
      </c>
      <c r="B195" s="3" t="inlineStr">
        <is>
          <t>영업이익 ÷ 매출</t>
        </is>
      </c>
      <c r="C195" s="15">
        <f>IF(OR(C194="",C176=""),"",IF(C176&lt;=0,"",IFERROR(C194/C176,"")))</f>
        <v/>
      </c>
      <c r="D195" s="15">
        <f>IF(OR(D194="",D176=""),"",IF(D176&lt;=0,"",IFERROR(D194/D176,"")))</f>
        <v/>
      </c>
      <c r="F195" s="15">
        <f>IF(OR(F194="",F176=""),"",IF(F176&lt;=0,"",IFERROR(F194/F176,"")))</f>
        <v/>
      </c>
      <c r="G195" s="15">
        <f>IF(OR(G194="",G176=""),"",IF(G176&lt;=0,"",IFERROR(G194/G176,"")))</f>
        <v/>
      </c>
      <c r="H195" s="15">
        <f>IF(OR(H194="",H176=""),"",IF(H176&lt;=0,"",IFERROR(H194/H176,"")))</f>
        <v/>
      </c>
      <c r="I195" s="15">
        <f>IF(OR(I194="",I176=""),"",IF(I176&lt;=0,"",IFERROR(I194/I176,"")))</f>
        <v/>
      </c>
      <c r="J195" s="15">
        <f>IF(OR(J194="",J176=""),"",IF(J176&lt;=0,"",IFERROR(J194/J176,"")))</f>
        <v/>
      </c>
      <c r="K195" s="15">
        <f>IF(OR(K194="",K176=""),"",IF(K176&lt;=0,"",IFERROR(K194/K176,"")))</f>
        <v/>
      </c>
      <c r="L195" s="15">
        <f>IF(OR(L194="",L176=""),"",IF(L176&lt;=0,"",IFERROR(L194/L176,"")))</f>
        <v/>
      </c>
      <c r="M195" s="15">
        <f>IF(OR(M194="",M176=""),"",IF(M176&lt;=0,"",IFERROR(M194/M176,"")))</f>
        <v/>
      </c>
      <c r="N195" s="15">
        <f>IF(OR(N194="",N176=""),"",IF(N176&lt;=0,"",IFERROR(N194/N176,"")))</f>
        <v/>
      </c>
      <c r="W195" s="15">
        <f>IF(OR(W194="",W176=""),"",IF(W176&lt;=0,"",IFERROR(W194/W176,"")))</f>
        <v/>
      </c>
      <c r="X195" s="15">
        <f>IF(OR(X194="",X176=""),"",IF(X176&lt;=0,"",IFERROR(X194/X176,"")))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IF(OR(G194="",C194=""),"",IF(C194&lt;=0,"",IFERROR(G194/C194-1,"")))</f>
        <v/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J196" s="15">
        <f>IF(OR(J194="",F194=""),"",IF(F194&lt;=0,"",IFERROR(J194/F194-1,"")))</f>
        <v/>
      </c>
      <c r="K196" s="15">
        <f>IF(OR(K194="",G194=""),"",IF(G194&lt;=0,"",IFERROR(K194/G194-1,"")))</f>
        <v/>
      </c>
      <c r="L196" s="15">
        <f>IF(OR(L194="",H194=""),"",IF(H194&lt;=0,"",IFERROR(L194/H194-1,"")))</f>
        <v/>
      </c>
      <c r="M196" s="15">
        <f>IF(OR(M194="",I194=""),"",IF(I194&lt;=0,"",IFERROR(M194/I194-1,"")))</f>
        <v/>
      </c>
      <c r="N196" s="15">
        <f>IF(OR(N194="",J194=""),"",IF(J194&lt;=0,"",IFERROR(N194/J194-1,"")))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7">
      <c r="A197" s="18" t="inlineStr">
        <is>
          <t>조정액 · 부문 이익</t>
        </is>
      </c>
      <c r="C197" s="20" t="n">
        <v>0</v>
      </c>
      <c r="D197" s="20" t="n">
        <v>0</v>
      </c>
      <c r="F197" s="20" t="n">
        <v>0</v>
      </c>
      <c r="G197" s="20" t="n">
        <v>0</v>
      </c>
      <c r="H197" s="20" t="n">
        <v>0</v>
      </c>
      <c r="I197" s="20" t="n">
        <v>0</v>
      </c>
      <c r="J197" s="20" t="n">
        <v>0</v>
      </c>
      <c r="K197" s="20" t="n">
        <v>0</v>
      </c>
      <c r="L197" s="20" t="n">
        <v>0</v>
      </c>
      <c r="M197" s="20" t="n">
        <v>0</v>
      </c>
      <c r="N197" s="20" t="n">
        <v>0</v>
      </c>
      <c r="W197" s="20" t="n">
        <v>0</v>
      </c>
      <c r="X197" s="20" t="n">
        <v>0</v>
      </c>
    </row>
    <row r="198">
      <c r="A198" s="9" t="inlineStr">
        <is>
          <t>부문 이익</t>
        </is>
      </c>
      <c r="C198" s="12" t="n">
        <v>3227.767</v>
      </c>
      <c r="D198" s="12" t="n">
        <v>3310.762</v>
      </c>
      <c r="F198" s="12" t="n">
        <v>3050.018</v>
      </c>
      <c r="G198" s="12" t="n">
        <v>2415.173</v>
      </c>
      <c r="H198" s="12" t="n">
        <v>2906.865</v>
      </c>
      <c r="I198" s="12" t="n">
        <v>2642.322</v>
      </c>
      <c r="W198" s="12" t="n">
        <v>2642.322</v>
      </c>
    </row>
    <row r="199">
      <c r="A199" s="43" t="inlineStr">
        <is>
          <t>OPM</t>
        </is>
      </c>
      <c r="B199" s="3" t="inlineStr">
        <is>
          <t>영업이익 ÷ 매출</t>
        </is>
      </c>
      <c r="C199" s="15">
        <f>IF(OR(C198="",C157=""),"",IF(C157&lt;=0,"",IFERROR(C198/C157,"")))</f>
        <v/>
      </c>
      <c r="D199" s="15">
        <f>IF(OR(D198="",D157=""),"",IF(D157&lt;=0,"",IFERROR(D198/D157,"")))</f>
        <v/>
      </c>
      <c r="F199" s="15">
        <f>IF(OR(F198="",F157=""),"",IF(F157&lt;=0,"",IFERROR(F198/F157,"")))</f>
        <v/>
      </c>
      <c r="G199" s="15">
        <f>IF(OR(G198="",G157=""),"",IF(G157&lt;=0,"",IFERROR(G198/G157,"")))</f>
        <v/>
      </c>
      <c r="H199" s="15">
        <f>IF(OR(H198="",H157=""),"",IF(H157&lt;=0,"",IFERROR(H198/H157,"")))</f>
        <v/>
      </c>
      <c r="I199" s="15">
        <f>IF(OR(I198="",I157=""),"",IF(I157&lt;=0,"",IFERROR(I198/I157,"")))</f>
        <v/>
      </c>
      <c r="W199" s="15">
        <f>IF(OR(W198="",W157=""),"",IF(W157&lt;=0,"",IFERROR(W198/W157,"")))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I200" s="15">
        <f>IF(OR(I198="",E198=""),"",IF(E198&lt;=0,"",IFERROR(I198/E198-1,"")))</f>
        <v/>
      </c>
      <c r="W200" s="15">
        <f>IF(OR(W198="",V198=""),"",IF(V198&lt;=0,"",IFERROR(W198/V198-1,"")))</f>
        <v/>
      </c>
    </row>
    <row r="201">
      <c r="A201" s="18" t="inlineStr">
        <is>
          <t>EntityTotalMember · 부문 이익</t>
        </is>
      </c>
      <c r="F201" s="20" t="n">
        <v>3050.018</v>
      </c>
      <c r="J201" s="20" t="n">
        <v>2150.038</v>
      </c>
      <c r="N201" s="20" t="n">
        <v>1077.328</v>
      </c>
    </row>
    <row r="203">
      <c r="A203" s="16" t="inlineStr">
        <is>
          <t>현금흐름표 · 전 항목</t>
        </is>
      </c>
      <c r="B203" s="42" t="inlineStr">
        <is>
          <t>분기 = 결산기 첫날부터 누계(공시 그대로)</t>
        </is>
      </c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</row>
    <row r="204">
      <c r="A204" s="5" t="inlineStr">
        <is>
          <t>항목</t>
        </is>
      </c>
      <c r="B204" s="5" t="inlineStr">
        <is>
          <t>참고</t>
        </is>
      </c>
      <c r="C204" s="5" t="inlineStr">
        <is>
          <t>2024.2Q</t>
        </is>
      </c>
      <c r="D204" s="5" t="inlineStr">
        <is>
          <t>2024.3Q</t>
        </is>
      </c>
      <c r="E204" s="5" t="inlineStr">
        <is>
          <t>2024.4Q</t>
        </is>
      </c>
      <c r="F204" s="5" t="inlineStr">
        <is>
          <t>2025.1Q</t>
        </is>
      </c>
      <c r="G204" s="5" t="inlineStr">
        <is>
          <t>2025.2Q</t>
        </is>
      </c>
      <c r="H204" s="5" t="inlineStr">
        <is>
          <t>2025.3Q</t>
        </is>
      </c>
      <c r="I204" s="5" t="inlineStr">
        <is>
          <t>2025.4Q</t>
        </is>
      </c>
      <c r="J204" s="5" t="inlineStr">
        <is>
          <t>2026.1Q</t>
        </is>
      </c>
      <c r="K204" s="5" t="inlineStr">
        <is>
          <t>2026.2Q</t>
        </is>
      </c>
      <c r="L204" s="5" t="inlineStr">
        <is>
          <t>2026.3Q</t>
        </is>
      </c>
      <c r="M204" s="5" t="inlineStr">
        <is>
          <t>2026.4Q</t>
        </is>
      </c>
      <c r="N204" s="5" t="inlineStr">
        <is>
          <t>2027.1Q</t>
        </is>
      </c>
      <c r="O204" s="5" t="inlineStr">
        <is>
          <t>2017</t>
        </is>
      </c>
      <c r="P204" s="5" t="inlineStr">
        <is>
          <t>2018</t>
        </is>
      </c>
      <c r="Q204" s="5" t="inlineStr">
        <is>
          <t>2019</t>
        </is>
      </c>
      <c r="R204" s="5" t="inlineStr">
        <is>
          <t>2020</t>
        </is>
      </c>
      <c r="S204" s="5" t="inlineStr">
        <is>
          <t>2021</t>
        </is>
      </c>
      <c r="T204" s="5" t="inlineStr">
        <is>
          <t>2022</t>
        </is>
      </c>
      <c r="U204" s="5" t="inlineStr">
        <is>
          <t>2023</t>
        </is>
      </c>
      <c r="V204" s="5" t="inlineStr">
        <is>
          <t>2024</t>
        </is>
      </c>
      <c r="W204" s="5" t="inlineStr">
        <is>
          <t>2025</t>
        </is>
      </c>
      <c r="X204" s="5" t="inlineStr">
        <is>
          <t>2026</t>
        </is>
      </c>
      <c r="Y204" s="5" t="inlineStr">
        <is>
          <t>2027(MW)</t>
        </is>
      </c>
      <c r="Z204" s="5" t="inlineStr">
        <is>
          <t>2028(MW)</t>
        </is>
      </c>
      <c r="AA204" s="5" t="inlineStr">
        <is>
          <t>2029(MW)</t>
        </is>
      </c>
      <c r="AB204" s="5" t="inlineStr">
        <is>
          <t>2030(MW)</t>
        </is>
      </c>
      <c r="AC204" s="5" t="inlineStr">
        <is>
          <t>2031(MW)</t>
        </is>
      </c>
    </row>
    <row r="205">
      <c r="A205" s="9" t="inlineStr">
        <is>
          <t>법인세차감전 순이익</t>
        </is>
      </c>
      <c r="C205" s="12" t="n">
        <v>3723.778</v>
      </c>
      <c r="E205" s="12" t="n">
        <v>13222.999</v>
      </c>
      <c r="G205" s="12" t="n">
        <v>2077.253</v>
      </c>
      <c r="I205" s="12" t="n">
        <v>9131.462</v>
      </c>
      <c r="K205" s="12" t="n">
        <v>9390.745999999999</v>
      </c>
      <c r="M205" s="12" t="n">
        <v>11727.006</v>
      </c>
      <c r="O205" s="12" t="n">
        <v>2986.78</v>
      </c>
      <c r="P205" s="12" t="n">
        <v>4454.296</v>
      </c>
      <c r="Q205" s="12" t="n">
        <v>4434.069</v>
      </c>
      <c r="R205" s="12" t="n">
        <v>3760.294</v>
      </c>
      <c r="S205" s="12" t="n">
        <v>2420.08</v>
      </c>
      <c r="T205" s="12" t="n">
        <v>7132.768</v>
      </c>
      <c r="U205" s="12" t="n">
        <v>13879.285</v>
      </c>
      <c r="V205" s="12" t="n">
        <v>13222.999</v>
      </c>
      <c r="W205" s="12" t="n">
        <v>9131.462</v>
      </c>
      <c r="X205" s="12" t="n">
        <v>11727.006</v>
      </c>
    </row>
    <row r="206">
      <c r="A206" s="18" t="inlineStr">
        <is>
          <t>감가상각비</t>
        </is>
      </c>
      <c r="C206" s="20" t="n">
        <v>8856.075999999999</v>
      </c>
      <c r="E206" s="20" t="n">
        <v>17284.684</v>
      </c>
      <c r="G206" s="20" t="n">
        <v>8603.487999999999</v>
      </c>
      <c r="I206" s="20" t="n">
        <v>16878.591</v>
      </c>
      <c r="K206" s="20" t="n">
        <v>7539.184</v>
      </c>
      <c r="M206" s="20" t="n">
        <v>15633.84</v>
      </c>
      <c r="O206" s="20" t="n">
        <v>9199.955</v>
      </c>
      <c r="P206" s="20" t="n">
        <v>9786.768</v>
      </c>
      <c r="Q206" s="20" t="n">
        <v>10515.36</v>
      </c>
      <c r="R206" s="20" t="n">
        <v>11165.946</v>
      </c>
      <c r="S206" s="20" t="n">
        <v>12763.733</v>
      </c>
      <c r="T206" s="20" t="n">
        <v>15066.432</v>
      </c>
      <c r="U206" s="20" t="n">
        <v>16631.189</v>
      </c>
      <c r="V206" s="20" t="n">
        <v>17284.684</v>
      </c>
      <c r="W206" s="20" t="n">
        <v>16878.591</v>
      </c>
      <c r="X206" s="20" t="n">
        <v>15633.84</v>
      </c>
    </row>
    <row r="207">
      <c r="A207" s="18" t="inlineStr">
        <is>
          <t>손상차손</t>
        </is>
      </c>
      <c r="O207" s="20" t="n">
        <v>1564.966</v>
      </c>
      <c r="P207" s="20" t="n">
        <v>37.26</v>
      </c>
      <c r="Q207" s="20" t="n">
        <v>0</v>
      </c>
      <c r="R207" s="20" t="n">
        <v>1449.012</v>
      </c>
      <c r="S207" s="20" t="n">
        <v>1528.856</v>
      </c>
      <c r="T207" s="20" t="n">
        <v>0</v>
      </c>
    </row>
    <row r="208">
      <c r="A208" s="18" t="inlineStr">
        <is>
          <t>부의 영업권 발생이익</t>
        </is>
      </c>
      <c r="R208" s="20" t="n">
        <v>0</v>
      </c>
      <c r="S208" s="20" t="n">
        <v>-582.552</v>
      </c>
      <c r="T208" s="20" t="n">
        <v>0</v>
      </c>
    </row>
    <row r="209">
      <c r="A209" s="18" t="inlineStr">
        <is>
          <t>단계적 취득 차손익</t>
        </is>
      </c>
      <c r="R209" s="20" t="n">
        <v>0</v>
      </c>
      <c r="S209" s="20" t="n">
        <v>455.097</v>
      </c>
      <c r="T209" s="20" t="n">
        <v>0</v>
      </c>
    </row>
    <row r="210">
      <c r="A210" s="18" t="inlineStr">
        <is>
          <t>투자유가증권 매각손익</t>
        </is>
      </c>
      <c r="E210" s="20" t="n">
        <v>-169.177</v>
      </c>
      <c r="O210" s="20" t="n">
        <v>-19.445</v>
      </c>
      <c r="P210" s="20" t="n">
        <v>0</v>
      </c>
      <c r="R210" s="20" t="n">
        <v>0</v>
      </c>
      <c r="S210" s="20" t="n">
        <v>62.578</v>
      </c>
      <c r="T210" s="20" t="n">
        <v>-169.829</v>
      </c>
      <c r="U210" s="20" t="n">
        <v>0</v>
      </c>
      <c r="V210" s="20" t="n">
        <v>-169.177</v>
      </c>
    </row>
    <row r="211">
      <c r="A211" s="18" t="inlineStr">
        <is>
          <t>투자유가증권 평가손익</t>
        </is>
      </c>
      <c r="O211" s="20" t="n">
        <v>5.085</v>
      </c>
      <c r="P211" s="20" t="n">
        <v>0</v>
      </c>
      <c r="Q211" s="20" t="n">
        <v>0</v>
      </c>
      <c r="R211" s="20" t="n">
        <v>92.42400000000001</v>
      </c>
      <c r="S211" s="20" t="n">
        <v>10.8</v>
      </c>
      <c r="T211" s="20" t="n">
        <v>0</v>
      </c>
    </row>
    <row r="212">
      <c r="A212" s="18" t="inlineStr">
        <is>
          <t>자회사 주식 매각손실</t>
        </is>
      </c>
      <c r="I212" s="20" t="n">
        <v>0</v>
      </c>
      <c r="M212" s="20" t="n">
        <v>152.076</v>
      </c>
      <c r="W212" s="20" t="n">
        <v>0</v>
      </c>
      <c r="X212" s="20" t="n">
        <v>152.076</v>
      </c>
    </row>
    <row r="213">
      <c r="A213" s="18" t="inlineStr">
        <is>
          <t>이자·배당금 수익</t>
        </is>
      </c>
      <c r="C213" s="20" t="n">
        <v>-353.882</v>
      </c>
      <c r="E213" s="20" t="n">
        <v>-744.41</v>
      </c>
      <c r="G213" s="20" t="n">
        <v>-626.662</v>
      </c>
      <c r="I213" s="20" t="n">
        <v>-1346.587</v>
      </c>
      <c r="K213" s="20" t="n">
        <v>-918.088</v>
      </c>
      <c r="M213" s="20" t="n">
        <v>-1759.252</v>
      </c>
      <c r="O213" s="20" t="n">
        <v>-99.316</v>
      </c>
      <c r="P213" s="20" t="n">
        <v>-120.673</v>
      </c>
      <c r="Q213" s="20" t="n">
        <v>-191.722</v>
      </c>
      <c r="R213" s="20" t="n">
        <v>-208.459</v>
      </c>
      <c r="S213" s="20" t="n">
        <v>-128.687</v>
      </c>
      <c r="T213" s="20" t="n">
        <v>-136.16</v>
      </c>
      <c r="U213" s="20" t="n">
        <v>-348.73</v>
      </c>
      <c r="V213" s="20" t="n">
        <v>-744.41</v>
      </c>
      <c r="W213" s="20" t="n">
        <v>-1346.587</v>
      </c>
      <c r="X213" s="20" t="n">
        <v>-1759.252</v>
      </c>
    </row>
    <row r="214">
      <c r="A214" s="18" t="inlineStr">
        <is>
          <t>자회사 주식 매각손익</t>
        </is>
      </c>
      <c r="G214" s="20" t="n">
        <v>0</v>
      </c>
      <c r="K214" s="20" t="n">
        <v>152.076</v>
      </c>
    </row>
    <row r="215">
      <c r="A215" s="18" t="inlineStr">
        <is>
          <t>유형자산 제각·매각손익</t>
        </is>
      </c>
      <c r="C215" s="20" t="n">
        <v>-1317.328</v>
      </c>
      <c r="E215" s="20" t="n">
        <v>-7217.062</v>
      </c>
      <c r="G215" s="20" t="n">
        <v>0</v>
      </c>
      <c r="I215" s="20" t="n">
        <v>0</v>
      </c>
      <c r="K215" s="20" t="n">
        <v>-9184.981</v>
      </c>
      <c r="M215" s="20" t="n">
        <v>-10478.7</v>
      </c>
      <c r="O215" s="20" t="n">
        <v>1.31</v>
      </c>
      <c r="P215" s="20" t="n">
        <v>109.886</v>
      </c>
      <c r="Q215" s="20" t="n">
        <v>18.135</v>
      </c>
      <c r="R215" s="20" t="n">
        <v>-1044.13</v>
      </c>
      <c r="S215" s="20" t="n">
        <v>-1058.635</v>
      </c>
      <c r="T215" s="20" t="n">
        <v>-2596.997</v>
      </c>
      <c r="U215" s="20" t="n">
        <v>-7435.68</v>
      </c>
      <c r="V215" s="20" t="n">
        <v>-7217.062</v>
      </c>
      <c r="W215" s="20" t="n">
        <v>0</v>
      </c>
      <c r="X215" s="20" t="n">
        <v>-10478.7</v>
      </c>
    </row>
    <row r="216">
      <c r="A216" s="18" t="inlineStr">
        <is>
          <t>이자비용</t>
        </is>
      </c>
      <c r="C216" s="20" t="n">
        <v>2141.862</v>
      </c>
      <c r="E216" s="20" t="n">
        <v>4443.573</v>
      </c>
      <c r="G216" s="20" t="n">
        <v>2337.165</v>
      </c>
      <c r="I216" s="20" t="n">
        <v>4617.994</v>
      </c>
      <c r="K216" s="20" t="n">
        <v>1872.403</v>
      </c>
      <c r="M216" s="20" t="n">
        <v>3846.333</v>
      </c>
      <c r="O216" s="20" t="n">
        <v>1580.078</v>
      </c>
      <c r="P216" s="20" t="n">
        <v>1713.815</v>
      </c>
      <c r="Q216" s="20" t="n">
        <v>1901.672</v>
      </c>
      <c r="R216" s="20" t="n">
        <v>2140.746</v>
      </c>
      <c r="S216" s="20" t="n">
        <v>1923.239</v>
      </c>
      <c r="T216" s="20" t="n">
        <v>2060.418</v>
      </c>
      <c r="U216" s="20" t="n">
        <v>2843.434</v>
      </c>
      <c r="V216" s="20" t="n">
        <v>4443.573</v>
      </c>
      <c r="W216" s="20" t="n">
        <v>4617.994</v>
      </c>
      <c r="X216" s="20" t="n">
        <v>3846.333</v>
      </c>
    </row>
    <row r="217">
      <c r="A217" s="18" t="inlineStr">
        <is>
          <t>외환차손익</t>
        </is>
      </c>
      <c r="C217" s="20" t="n">
        <v>1691.409</v>
      </c>
      <c r="E217" s="20" t="n">
        <v>3273.797</v>
      </c>
      <c r="G217" s="20" t="n">
        <v>1959.81</v>
      </c>
      <c r="I217" s="20" t="n">
        <v>2966.646</v>
      </c>
      <c r="K217" s="20" t="n">
        <v>1282.861</v>
      </c>
      <c r="M217" s="20" t="n">
        <v>1422.171</v>
      </c>
      <c r="O217" s="20" t="n">
        <v>25.99</v>
      </c>
      <c r="P217" s="20" t="n">
        <v>264.542</v>
      </c>
      <c r="Q217" s="20" t="n">
        <v>-390.637</v>
      </c>
      <c r="R217" s="20" t="n">
        <v>-95.809</v>
      </c>
      <c r="S217" s="20" t="n">
        <v>-427.004</v>
      </c>
      <c r="T217" s="20" t="n">
        <v>-276.878</v>
      </c>
      <c r="U217" s="20" t="n">
        <v>1845.54</v>
      </c>
      <c r="V217" s="20" t="n">
        <v>3273.797</v>
      </c>
      <c r="W217" s="20" t="n">
        <v>2966.646</v>
      </c>
      <c r="X217" s="20" t="n">
        <v>1422.171</v>
      </c>
    </row>
    <row r="218">
      <c r="A218" s="18" t="inlineStr">
        <is>
          <t>익명조합 투자손익</t>
        </is>
      </c>
      <c r="E218" s="20" t="n">
        <v>17.968</v>
      </c>
      <c r="O218" s="20" t="n">
        <v>-13.634</v>
      </c>
      <c r="P218" s="20" t="n">
        <v>-46.227</v>
      </c>
      <c r="Q218" s="20" t="n">
        <v>-40.212</v>
      </c>
      <c r="R218" s="20" t="n">
        <v>-191.973</v>
      </c>
      <c r="S218" s="20" t="n">
        <v>-101.73</v>
      </c>
      <c r="T218" s="20" t="n">
        <v>15.451</v>
      </c>
      <c r="U218" s="20" t="n">
        <v>-95.08199999999999</v>
      </c>
      <c r="V218" s="20" t="n">
        <v>17.968</v>
      </c>
    </row>
    <row r="219">
      <c r="A219" s="18" t="inlineStr">
        <is>
          <t>파생상품 평가손익</t>
        </is>
      </c>
      <c r="C219" s="20" t="n">
        <v>710.051</v>
      </c>
      <c r="E219" s="20" t="n">
        <v>122.519</v>
      </c>
      <c r="G219" s="20" t="n">
        <v>690.971</v>
      </c>
      <c r="I219" s="20" t="n">
        <v>37.761</v>
      </c>
      <c r="K219" s="20" t="n">
        <v>628.37</v>
      </c>
      <c r="M219" s="20" t="n">
        <v>789.965</v>
      </c>
      <c r="O219" s="20" t="n">
        <v>162.817</v>
      </c>
      <c r="P219" s="20" t="n">
        <v>-55.839</v>
      </c>
      <c r="Q219" s="20" t="n">
        <v>-41.134</v>
      </c>
      <c r="R219" s="20" t="n">
        <v>-20.314</v>
      </c>
      <c r="S219" s="20" t="n">
        <v>-91.129</v>
      </c>
      <c r="T219" s="20" t="n">
        <v>479.103</v>
      </c>
      <c r="U219" s="20" t="n">
        <v>541.606</v>
      </c>
      <c r="V219" s="20" t="n">
        <v>122.519</v>
      </c>
      <c r="W219" s="20" t="n">
        <v>37.761</v>
      </c>
      <c r="X219" s="20" t="n">
        <v>789.965</v>
      </c>
    </row>
    <row r="220">
      <c r="A220" s="18" t="inlineStr">
        <is>
          <t>채무면제이익</t>
        </is>
      </c>
      <c r="R220" s="20" t="n">
        <v>0</v>
      </c>
      <c r="S220" s="20" t="n">
        <v>-206.83</v>
      </c>
      <c r="T220" s="20" t="n">
        <v>0</v>
      </c>
    </row>
    <row r="221">
      <c r="A221" s="18" t="inlineStr">
        <is>
          <t>지분법손익</t>
        </is>
      </c>
      <c r="C221" s="20" t="n">
        <v>-358.289</v>
      </c>
      <c r="E221" s="20" t="n">
        <v>-1089.258</v>
      </c>
      <c r="G221" s="20" t="n">
        <v>-875.307</v>
      </c>
      <c r="I221" s="20" t="n">
        <v>-3819.86</v>
      </c>
      <c r="K221" s="20" t="n">
        <v>-438.87</v>
      </c>
      <c r="M221" s="20" t="n">
        <v>-1782.938</v>
      </c>
      <c r="O221" s="20" t="n">
        <v>-351.401</v>
      </c>
      <c r="P221" s="20" t="n">
        <v>-672.412</v>
      </c>
      <c r="Q221" s="20" t="n">
        <v>-690.3680000000001</v>
      </c>
      <c r="R221" s="20" t="n">
        <v>-344.728</v>
      </c>
      <c r="S221" s="20" t="n">
        <v>-517.241</v>
      </c>
      <c r="T221" s="20" t="n">
        <v>-939.256</v>
      </c>
      <c r="U221" s="20" t="n">
        <v>-1748.876</v>
      </c>
      <c r="V221" s="20" t="n">
        <v>-1089.258</v>
      </c>
      <c r="W221" s="20" t="n">
        <v>-3819.86</v>
      </c>
      <c r="X221" s="20" t="n">
        <v>-1782.938</v>
      </c>
    </row>
    <row r="222">
      <c r="A222" s="18" t="inlineStr">
        <is>
          <t>임원 퇴직위로 충당금 증감</t>
        </is>
      </c>
      <c r="C222" s="20" t="n">
        <v>-63.714</v>
      </c>
      <c r="E222" s="20" t="n">
        <v>-63.714</v>
      </c>
      <c r="G222" s="20" t="n">
        <v>-6.76</v>
      </c>
      <c r="I222" s="20" t="n">
        <v>-6.76</v>
      </c>
      <c r="K222" s="20" t="n">
        <v>-0.75</v>
      </c>
      <c r="M222" s="20" t="n">
        <v>-0.75</v>
      </c>
      <c r="O222" s="20" t="n">
        <v>-13.325</v>
      </c>
      <c r="P222" s="20" t="n">
        <v>-32.369</v>
      </c>
      <c r="Q222" s="20" t="n">
        <v>-3.277</v>
      </c>
      <c r="R222" s="20" t="n">
        <v>0</v>
      </c>
      <c r="S222" s="20" t="n">
        <v>-19.271</v>
      </c>
      <c r="T222" s="20" t="n">
        <v>-10.691</v>
      </c>
      <c r="U222" s="20" t="n">
        <v>0</v>
      </c>
      <c r="V222" s="20" t="n">
        <v>-63.714</v>
      </c>
      <c r="W222" s="20" t="n">
        <v>-6.76</v>
      </c>
      <c r="X222" s="20" t="n">
        <v>-0.75</v>
      </c>
    </row>
    <row r="223">
      <c r="A223" s="18" t="inlineStr">
        <is>
          <t>퇴직급여부채 증감</t>
        </is>
      </c>
      <c r="C223" s="20" t="n">
        <v>10.182</v>
      </c>
      <c r="E223" s="20" t="n">
        <v>4.582</v>
      </c>
      <c r="G223" s="20" t="n">
        <v>-9.800000000000001</v>
      </c>
      <c r="I223" s="20" t="n">
        <v>10.528</v>
      </c>
      <c r="K223" s="20" t="n">
        <v>30.72</v>
      </c>
      <c r="M223" s="20" t="n">
        <v>54.586</v>
      </c>
      <c r="O223" s="20" t="n">
        <v>37.403</v>
      </c>
      <c r="P223" s="20" t="n">
        <v>33.982</v>
      </c>
      <c r="Q223" s="20" t="n">
        <v>11.709</v>
      </c>
      <c r="R223" s="20" t="n">
        <v>-0.596</v>
      </c>
      <c r="S223" s="20" t="n">
        <v>18.804</v>
      </c>
      <c r="T223" s="20" t="n">
        <v>2.399</v>
      </c>
      <c r="U223" s="20" t="n">
        <v>-5.916</v>
      </c>
      <c r="V223" s="20" t="n">
        <v>4.582</v>
      </c>
      <c r="W223" s="20" t="n">
        <v>10.528</v>
      </c>
      <c r="X223" s="20" t="n">
        <v>54.586</v>
      </c>
    </row>
    <row r="224">
      <c r="A224" s="18" t="inlineStr">
        <is>
          <t>특별수선충당금 증감액</t>
        </is>
      </c>
      <c r="C224" s="20" t="n">
        <v>693.159</v>
      </c>
      <c r="E224" s="20" t="n">
        <v>906.056</v>
      </c>
      <c r="G224" s="20" t="n">
        <v>734.047</v>
      </c>
      <c r="I224" s="20" t="n">
        <v>1011.478</v>
      </c>
      <c r="K224" s="20" t="n">
        <v>-505.09</v>
      </c>
      <c r="M224" s="20" t="n">
        <v>-725.774</v>
      </c>
      <c r="O224" s="20" t="n">
        <v>419.999</v>
      </c>
      <c r="P224" s="20" t="n">
        <v>545.337</v>
      </c>
      <c r="Q224" s="20" t="n">
        <v>487.456</v>
      </c>
      <c r="R224" s="20" t="n">
        <v>293.88</v>
      </c>
      <c r="S224" s="20" t="n">
        <v>-431.546</v>
      </c>
      <c r="T224" s="20" t="n">
        <v>643.157</v>
      </c>
      <c r="U224" s="20" t="n">
        <v>569.506</v>
      </c>
      <c r="V224" s="20" t="n">
        <v>906.056</v>
      </c>
      <c r="W224" s="20" t="n">
        <v>1011.478</v>
      </c>
      <c r="X224" s="20" t="n">
        <v>-725.774</v>
      </c>
    </row>
    <row r="225">
      <c r="A225" s="18" t="inlineStr">
        <is>
          <t>선수금 증감</t>
        </is>
      </c>
      <c r="C225" s="20" t="n">
        <v>-212.853</v>
      </c>
      <c r="E225" s="20" t="n">
        <v>-462.151</v>
      </c>
      <c r="G225" s="20" t="n">
        <v>51.237</v>
      </c>
      <c r="I225" s="20" t="n">
        <v>552.737</v>
      </c>
      <c r="K225" s="20" t="n">
        <v>-642.021</v>
      </c>
      <c r="M225" s="20" t="n">
        <v>28.762</v>
      </c>
      <c r="O225" s="20" t="n">
        <v>-122.461</v>
      </c>
      <c r="P225" s="20" t="n">
        <v>-60.793</v>
      </c>
      <c r="Q225" s="20" t="n">
        <v>139.16</v>
      </c>
      <c r="R225" s="20" t="n">
        <v>18.569</v>
      </c>
      <c r="S225" s="20" t="n">
        <v>-216.47</v>
      </c>
      <c r="T225" s="20" t="n">
        <v>192.135</v>
      </c>
      <c r="U225" s="20" t="n">
        <v>843.0599999999999</v>
      </c>
      <c r="V225" s="20" t="n">
        <v>-462.151</v>
      </c>
      <c r="W225" s="20" t="n">
        <v>552.737</v>
      </c>
      <c r="X225" s="20" t="n">
        <v>28.762</v>
      </c>
    </row>
    <row r="226">
      <c r="A226" s="18" t="inlineStr">
        <is>
          <t>재고자산 증감</t>
        </is>
      </c>
      <c r="C226" s="20" t="n">
        <v>-73.56999999999999</v>
      </c>
      <c r="E226" s="20" t="n">
        <v>-29.233</v>
      </c>
      <c r="G226" s="20" t="n">
        <v>65.46599999999999</v>
      </c>
      <c r="I226" s="20" t="n">
        <v>8.82</v>
      </c>
      <c r="K226" s="20" t="n">
        <v>251.427</v>
      </c>
      <c r="M226" s="20" t="n">
        <v>120.449</v>
      </c>
      <c r="O226" s="20" t="n">
        <v>-36.962</v>
      </c>
      <c r="P226" s="20" t="n">
        <v>2.335</v>
      </c>
      <c r="Q226" s="20" t="n">
        <v>26.975</v>
      </c>
      <c r="R226" s="20" t="n">
        <v>56.802</v>
      </c>
      <c r="S226" s="20" t="n">
        <v>-27.239</v>
      </c>
      <c r="T226" s="20" t="n">
        <v>-206.194</v>
      </c>
      <c r="U226" s="20" t="n">
        <v>-234.727</v>
      </c>
      <c r="V226" s="20" t="n">
        <v>-29.233</v>
      </c>
      <c r="W226" s="20" t="n">
        <v>8.82</v>
      </c>
      <c r="X226" s="20" t="n">
        <v>120.449</v>
      </c>
    </row>
    <row r="227">
      <c r="A227" s="18" t="inlineStr">
        <is>
          <t>미수 소비세 증감</t>
        </is>
      </c>
      <c r="C227" s="20" t="n">
        <v>-61.126</v>
      </c>
      <c r="E227" s="20" t="n">
        <v>10.621</v>
      </c>
      <c r="G227" s="20" t="n">
        <v>-175.496</v>
      </c>
      <c r="I227" s="20" t="n">
        <v>-179.791</v>
      </c>
      <c r="K227" s="20" t="n">
        <v>-416.365</v>
      </c>
      <c r="M227" s="20" t="n">
        <v>-437.869</v>
      </c>
      <c r="O227" s="20" t="n">
        <v>-37.081</v>
      </c>
      <c r="P227" s="20" t="n">
        <v>-42.193</v>
      </c>
      <c r="Q227" s="20" t="n">
        <v>-4.459</v>
      </c>
      <c r="R227" s="20" t="n">
        <v>1.624</v>
      </c>
      <c r="S227" s="20" t="n">
        <v>-85.596</v>
      </c>
      <c r="T227" s="20" t="n">
        <v>-0.499</v>
      </c>
      <c r="U227" s="20" t="n">
        <v>190.634</v>
      </c>
      <c r="V227" s="20" t="n">
        <v>10.621</v>
      </c>
      <c r="W227" s="20" t="n">
        <v>-179.791</v>
      </c>
      <c r="X227" s="20" t="n">
        <v>-437.869</v>
      </c>
    </row>
    <row r="228">
      <c r="A228" s="18" t="inlineStr">
        <is>
          <t>해운업 미지급금 증감액</t>
        </is>
      </c>
      <c r="C228" s="20" t="n">
        <v>265.862</v>
      </c>
      <c r="E228" s="20" t="n">
        <v>635.994</v>
      </c>
      <c r="G228" s="20" t="n">
        <v>323.609</v>
      </c>
      <c r="I228" s="20" t="n">
        <v>778.409</v>
      </c>
      <c r="K228" s="20" t="n">
        <v>1161.133</v>
      </c>
      <c r="M228" s="20" t="n">
        <v>2665.863</v>
      </c>
      <c r="O228" s="20" t="n">
        <v>-47.324</v>
      </c>
      <c r="P228" s="20" t="n">
        <v>329.111</v>
      </c>
      <c r="Q228" s="20" t="n">
        <v>92.729</v>
      </c>
      <c r="R228" s="20" t="n">
        <v>181.352</v>
      </c>
      <c r="S228" s="20" t="n">
        <v>259.207</v>
      </c>
      <c r="T228" s="20" t="n">
        <v>131.79</v>
      </c>
      <c r="U228" s="20" t="n">
        <v>549.7380000000001</v>
      </c>
      <c r="V228" s="20" t="n">
        <v>635.994</v>
      </c>
      <c r="W228" s="20" t="n">
        <v>778.409</v>
      </c>
      <c r="X228" s="20" t="n">
        <v>2665.863</v>
      </c>
    </row>
    <row r="229">
      <c r="A229" s="18" t="inlineStr">
        <is>
          <t>기타 유동자산 증감</t>
        </is>
      </c>
      <c r="C229" s="20" t="n">
        <v>-640.019</v>
      </c>
      <c r="E229" s="20" t="n">
        <v>-960.248</v>
      </c>
      <c r="G229" s="20" t="n">
        <v>-643.481</v>
      </c>
      <c r="I229" s="20" t="n">
        <v>-497.756</v>
      </c>
      <c r="K229" s="20" t="n">
        <v>620.674</v>
      </c>
      <c r="M229" s="20" t="n">
        <v>-166.957</v>
      </c>
      <c r="O229" s="20" t="n">
        <v>-411.235</v>
      </c>
      <c r="P229" s="20" t="n">
        <v>-94.545</v>
      </c>
      <c r="Q229" s="20" t="n">
        <v>-391.868</v>
      </c>
      <c r="R229" s="20" t="n">
        <v>-631.155</v>
      </c>
      <c r="S229" s="20" t="n">
        <v>-88.913</v>
      </c>
      <c r="T229" s="20" t="n">
        <v>313.981</v>
      </c>
      <c r="U229" s="20" t="n">
        <v>-1881.196</v>
      </c>
      <c r="V229" s="20" t="n">
        <v>-960.248</v>
      </c>
      <c r="W229" s="20" t="n">
        <v>-497.756</v>
      </c>
      <c r="X229" s="20" t="n">
        <v>-166.957</v>
      </c>
    </row>
    <row r="230">
      <c r="A230" s="18" t="inlineStr">
        <is>
          <t>기타</t>
        </is>
      </c>
      <c r="C230" s="20" t="n">
        <v>699.158</v>
      </c>
      <c r="E230" s="20" t="n">
        <v>2475.882</v>
      </c>
      <c r="G230" s="20" t="n">
        <v>1736.439</v>
      </c>
      <c r="I230" s="20" t="n">
        <v>853.619</v>
      </c>
      <c r="K230" s="20" t="n">
        <v>684.577</v>
      </c>
      <c r="M230" s="20" t="n">
        <v>2663.294</v>
      </c>
      <c r="O230" s="20" t="n">
        <v>-679.6900000000001</v>
      </c>
      <c r="P230" s="20" t="n">
        <v>483.212</v>
      </c>
      <c r="Q230" s="20" t="n">
        <v>540.612</v>
      </c>
      <c r="R230" s="20" t="n">
        <v>264.17</v>
      </c>
      <c r="S230" s="20" t="n">
        <v>-752.771</v>
      </c>
      <c r="T230" s="20" t="n">
        <v>370.751</v>
      </c>
      <c r="U230" s="20" t="n">
        <v>2112.858</v>
      </c>
      <c r="V230" s="20" t="n">
        <v>2475.882</v>
      </c>
      <c r="W230" s="20" t="n">
        <v>853.619</v>
      </c>
      <c r="X230" s="20" t="n">
        <v>2663.294</v>
      </c>
    </row>
    <row r="231">
      <c r="A231" s="18" t="inlineStr">
        <is>
          <t>소계</t>
        </is>
      </c>
      <c r="C231" s="20" t="n">
        <v>15710.757</v>
      </c>
      <c r="E231" s="20" t="n">
        <v>31663.423</v>
      </c>
      <c r="G231" s="20" t="n">
        <v>16241.981</v>
      </c>
      <c r="I231" s="20" t="n">
        <v>30997.296</v>
      </c>
      <c r="K231" s="20" t="n">
        <v>11508.006</v>
      </c>
      <c r="M231" s="20" t="n">
        <v>23752.106</v>
      </c>
      <c r="O231" s="20" t="n">
        <v>14152.509</v>
      </c>
      <c r="P231" s="20" t="n">
        <v>16635.494</v>
      </c>
      <c r="Q231" s="20" t="n">
        <v>16414.199</v>
      </c>
      <c r="R231" s="20" t="n">
        <v>16887.656</v>
      </c>
      <c r="S231" s="20" t="n">
        <v>14706.775</v>
      </c>
      <c r="T231" s="20" t="n">
        <v>22071.881</v>
      </c>
      <c r="U231" s="20" t="n">
        <v>28256.643</v>
      </c>
      <c r="V231" s="20" t="n">
        <v>31663.423</v>
      </c>
      <c r="W231" s="20" t="n">
        <v>30997.296</v>
      </c>
      <c r="X231" s="20" t="n">
        <v>23752.106</v>
      </c>
    </row>
    <row r="232">
      <c r="A232" s="18" t="inlineStr">
        <is>
          <t>이자·배당금 수취</t>
        </is>
      </c>
      <c r="C232" s="20" t="n">
        <v>472.853</v>
      </c>
      <c r="E232" s="20" t="n">
        <v>1547.596</v>
      </c>
      <c r="G232" s="20" t="n">
        <v>623.585</v>
      </c>
      <c r="I232" s="20" t="n">
        <v>5180.487</v>
      </c>
      <c r="K232" s="20" t="n">
        <v>1250.985</v>
      </c>
      <c r="M232" s="20" t="n">
        <v>2269.327</v>
      </c>
      <c r="O232" s="20" t="n">
        <v>255.624</v>
      </c>
      <c r="P232" s="20" t="n">
        <v>207.807</v>
      </c>
      <c r="Q232" s="20" t="n">
        <v>167.583</v>
      </c>
      <c r="R232" s="20" t="n">
        <v>453.891</v>
      </c>
      <c r="S232" s="20" t="n">
        <v>932.509</v>
      </c>
      <c r="T232" s="20" t="n">
        <v>484.613</v>
      </c>
      <c r="U232" s="20" t="n">
        <v>1957.507</v>
      </c>
      <c r="V232" s="20" t="n">
        <v>1547.596</v>
      </c>
      <c r="W232" s="20" t="n">
        <v>5180.487</v>
      </c>
      <c r="X232" s="20" t="n">
        <v>2269.327</v>
      </c>
    </row>
    <row r="233">
      <c r="A233" s="18" t="inlineStr">
        <is>
          <t>이자 지급</t>
        </is>
      </c>
      <c r="C233" s="20" t="n">
        <v>-2102.15</v>
      </c>
      <c r="E233" s="20" t="n">
        <v>-4386.529</v>
      </c>
      <c r="G233" s="20" t="n">
        <v>-2319.537</v>
      </c>
      <c r="I233" s="20" t="n">
        <v>-4632.511</v>
      </c>
      <c r="K233" s="20" t="n">
        <v>-1980.802</v>
      </c>
      <c r="M233" s="20" t="n">
        <v>-3876.315</v>
      </c>
      <c r="O233" s="20" t="n">
        <v>-1677.777</v>
      </c>
      <c r="P233" s="20" t="n">
        <v>-1798.143</v>
      </c>
      <c r="Q233" s="20" t="n">
        <v>-1964.928</v>
      </c>
      <c r="R233" s="20" t="n">
        <v>-2221.544</v>
      </c>
      <c r="S233" s="20" t="n">
        <v>-1973.899</v>
      </c>
      <c r="T233" s="20" t="n">
        <v>-2059.234</v>
      </c>
      <c r="U233" s="20" t="n">
        <v>-2689.833</v>
      </c>
      <c r="V233" s="20" t="n">
        <v>-4386.529</v>
      </c>
      <c r="W233" s="20" t="n">
        <v>-4632.511</v>
      </c>
      <c r="X233" s="20" t="n">
        <v>-3876.315</v>
      </c>
    </row>
    <row r="234">
      <c r="A234" s="18" t="inlineStr">
        <is>
          <t>법인세 납부</t>
        </is>
      </c>
      <c r="C234" s="20" t="n">
        <v>-370.504</v>
      </c>
      <c r="E234" s="20" t="n">
        <v>-877.98</v>
      </c>
      <c r="G234" s="20" t="n">
        <v>-706.879</v>
      </c>
      <c r="I234" s="20" t="n">
        <v>-1344.694</v>
      </c>
      <c r="K234" s="20" t="n">
        <v>-1900.231</v>
      </c>
      <c r="M234" s="20" t="n">
        <v>-2523.385</v>
      </c>
      <c r="O234" s="20" t="n">
        <v>-632.126</v>
      </c>
      <c r="P234" s="20" t="n">
        <v>-603.938</v>
      </c>
      <c r="Q234" s="20" t="n">
        <v>-641.578</v>
      </c>
      <c r="R234" s="20" t="n">
        <v>-643.009</v>
      </c>
      <c r="S234" s="20" t="n">
        <v>-520.761</v>
      </c>
      <c r="T234" s="20" t="n">
        <v>-600.603</v>
      </c>
      <c r="U234" s="20" t="n">
        <v>-1146.11</v>
      </c>
      <c r="V234" s="20" t="n">
        <v>-877.98</v>
      </c>
      <c r="W234" s="20" t="n">
        <v>-1344.694</v>
      </c>
      <c r="X234" s="20" t="n">
        <v>-2523.385</v>
      </c>
    </row>
    <row r="235">
      <c r="A235" s="9" t="inlineStr">
        <is>
          <t>영업활동 현금흐름</t>
        </is>
      </c>
      <c r="C235" s="12" t="n">
        <v>13710.955</v>
      </c>
      <c r="E235" s="12" t="n">
        <v>27946.51</v>
      </c>
      <c r="G235" s="12" t="n">
        <v>13839.15</v>
      </c>
      <c r="I235" s="12" t="n">
        <v>30200.578</v>
      </c>
      <c r="K235" s="12" t="n">
        <v>8877.958000000001</v>
      </c>
      <c r="M235" s="12" t="n">
        <v>19621.733</v>
      </c>
      <c r="O235" s="12" t="n">
        <v>12098.229</v>
      </c>
      <c r="P235" s="12" t="n">
        <v>14441.22</v>
      </c>
      <c r="Q235" s="12" t="n">
        <v>13975.276</v>
      </c>
      <c r="R235" s="12" t="n">
        <v>14476.993</v>
      </c>
      <c r="S235" s="12" t="n">
        <v>13144.624</v>
      </c>
      <c r="T235" s="12" t="n">
        <v>19896.657</v>
      </c>
      <c r="U235" s="12" t="n">
        <v>26378.206</v>
      </c>
      <c r="V235" s="12" t="n">
        <v>27946.51</v>
      </c>
      <c r="W235" s="12" t="n">
        <v>30200.578</v>
      </c>
      <c r="X235" s="12" t="n">
        <v>19621.733</v>
      </c>
    </row>
    <row r="236">
      <c r="A236" s="18" t="inlineStr">
        <is>
          <t>유가증권 순증감액</t>
        </is>
      </c>
      <c r="O236" s="20" t="n">
        <v>5.715</v>
      </c>
      <c r="P236" s="20" t="n">
        <v>0</v>
      </c>
    </row>
    <row r="237">
      <c r="A237" s="18" t="inlineStr">
        <is>
          <t>유형자산 취득(설비투자)</t>
        </is>
      </c>
      <c r="C237" s="20" t="n">
        <v>-4738.179</v>
      </c>
      <c r="E237" s="20" t="n">
        <v>-9814.556</v>
      </c>
      <c r="G237" s="20" t="n">
        <v>-4705.772</v>
      </c>
      <c r="I237" s="20" t="n">
        <v>-9269.584999999999</v>
      </c>
      <c r="K237" s="20" t="n">
        <v>-4510.912</v>
      </c>
      <c r="M237" s="20" t="n">
        <v>-15644.156</v>
      </c>
      <c r="O237" s="20" t="n">
        <v>-1403.381</v>
      </c>
      <c r="P237" s="20" t="n">
        <v>-24020.715</v>
      </c>
      <c r="Q237" s="20" t="n">
        <v>-22802.255</v>
      </c>
      <c r="R237" s="20" t="n">
        <v>-21475.386</v>
      </c>
      <c r="S237" s="20" t="n">
        <v>-49943.396</v>
      </c>
      <c r="T237" s="20" t="n">
        <v>-37769.063</v>
      </c>
      <c r="U237" s="20" t="n">
        <v>-28393.258</v>
      </c>
      <c r="V237" s="20" t="n">
        <v>-9814.556</v>
      </c>
      <c r="W237" s="20" t="n">
        <v>-9269.584999999999</v>
      </c>
      <c r="X237" s="20" t="n">
        <v>-15644.156</v>
      </c>
    </row>
    <row r="238">
      <c r="A238" s="18" t="inlineStr">
        <is>
          <t>유형자산 매각</t>
        </is>
      </c>
      <c r="C238" s="20" t="n">
        <v>2461.176</v>
      </c>
      <c r="E238" s="20" t="n">
        <v>19399.185</v>
      </c>
      <c r="G238" s="20" t="n">
        <v>12772.018</v>
      </c>
      <c r="I238" s="20" t="n">
        <v>13802.246</v>
      </c>
      <c r="K238" s="20" t="n">
        <v>12709.119</v>
      </c>
      <c r="M238" s="20" t="n">
        <v>15032.745</v>
      </c>
      <c r="O238" s="20" t="n">
        <v>0</v>
      </c>
      <c r="P238" s="20" t="n">
        <v>7615.437</v>
      </c>
      <c r="Q238" s="20" t="n">
        <v>1.761</v>
      </c>
      <c r="R238" s="20" t="n">
        <v>3206.564</v>
      </c>
      <c r="S238" s="20" t="n">
        <v>6670.299</v>
      </c>
      <c r="T238" s="20" t="n">
        <v>6937.078</v>
      </c>
      <c r="U238" s="20" t="n">
        <v>11213.643</v>
      </c>
      <c r="V238" s="20" t="n">
        <v>19399.185</v>
      </c>
      <c r="W238" s="20" t="n">
        <v>13802.246</v>
      </c>
      <c r="X238" s="20" t="n">
        <v>15032.745</v>
      </c>
    </row>
    <row r="239">
      <c r="A239" s="18" t="inlineStr">
        <is>
          <t>정기예금 예입</t>
        </is>
      </c>
      <c r="C239" s="20" t="n">
        <v>-632.974</v>
      </c>
      <c r="E239" s="20" t="n">
        <v>-624.758</v>
      </c>
      <c r="G239" s="20" t="n">
        <v>-352.618</v>
      </c>
      <c r="I239" s="20" t="n">
        <v>-350.89</v>
      </c>
      <c r="K239" s="20" t="n">
        <v>-342.886</v>
      </c>
      <c r="M239" s="20" t="n">
        <v>-415.9</v>
      </c>
      <c r="O239" s="20" t="n">
        <v>-41</v>
      </c>
      <c r="P239" s="20" t="n">
        <v>-26</v>
      </c>
      <c r="Q239" s="20" t="n">
        <v>-248.04</v>
      </c>
      <c r="R239" s="20" t="n">
        <v>-91.724</v>
      </c>
      <c r="S239" s="20" t="n">
        <v>-88.09999999999999</v>
      </c>
      <c r="T239" s="20" t="n">
        <v>-525.026</v>
      </c>
      <c r="U239" s="20" t="n">
        <v>-601.046</v>
      </c>
      <c r="V239" s="20" t="n">
        <v>-624.758</v>
      </c>
      <c r="W239" s="20" t="n">
        <v>-350.89</v>
      </c>
      <c r="X239" s="20" t="n">
        <v>-415.9</v>
      </c>
    </row>
    <row r="240">
      <c r="A240" s="18" t="inlineStr">
        <is>
          <t>정기예금 인출</t>
        </is>
      </c>
      <c r="C240" s="20" t="n">
        <v>601.046</v>
      </c>
      <c r="E240" s="20" t="n">
        <v>601.046</v>
      </c>
      <c r="G240" s="20" t="n">
        <v>624.758</v>
      </c>
      <c r="I240" s="20" t="n">
        <v>624.758</v>
      </c>
      <c r="K240" s="20" t="n">
        <v>350.89</v>
      </c>
      <c r="M240" s="20" t="n">
        <v>350.89</v>
      </c>
      <c r="O240" s="20" t="n">
        <v>341</v>
      </c>
      <c r="P240" s="20" t="n">
        <v>41</v>
      </c>
      <c r="Q240" s="20" t="n">
        <v>26</v>
      </c>
      <c r="R240" s="20" t="n">
        <v>248.04</v>
      </c>
      <c r="S240" s="20" t="n">
        <v>91.724</v>
      </c>
      <c r="T240" s="20" t="n">
        <v>88.09999999999999</v>
      </c>
      <c r="U240" s="20" t="n">
        <v>525.026</v>
      </c>
      <c r="V240" s="20" t="n">
        <v>601.046</v>
      </c>
      <c r="W240" s="20" t="n">
        <v>624.758</v>
      </c>
      <c r="X240" s="20" t="n">
        <v>350.89</v>
      </c>
    </row>
    <row r="241">
      <c r="A241" s="18" t="inlineStr">
        <is>
          <t>투자유가증권 취득</t>
        </is>
      </c>
      <c r="C241" s="20" t="n">
        <v>-671.245</v>
      </c>
      <c r="E241" s="20" t="n">
        <v>-1373.065</v>
      </c>
      <c r="G241" s="20" t="n">
        <v>-9031.370000000001</v>
      </c>
      <c r="I241" s="20" t="n">
        <v>-10604.022</v>
      </c>
      <c r="K241" s="20" t="n">
        <v>-1897.626</v>
      </c>
      <c r="M241" s="20" t="n">
        <v>-5089.937</v>
      </c>
      <c r="O241" s="20" t="n">
        <v>-195.801</v>
      </c>
      <c r="P241" s="20" t="n">
        <v>-0.905</v>
      </c>
      <c r="Q241" s="20" t="n">
        <v>-3074.837</v>
      </c>
      <c r="R241" s="20" t="n">
        <v>-132.854</v>
      </c>
      <c r="S241" s="20" t="n">
        <v>-22.992</v>
      </c>
      <c r="T241" s="20" t="n">
        <v>-1150.779</v>
      </c>
      <c r="U241" s="20" t="n">
        <v>-1449.294</v>
      </c>
      <c r="V241" s="20" t="n">
        <v>-1373.065</v>
      </c>
      <c r="W241" s="20" t="n">
        <v>-10604.022</v>
      </c>
      <c r="X241" s="20" t="n">
        <v>-5089.937</v>
      </c>
    </row>
    <row r="242">
      <c r="A242" s="18" t="inlineStr">
        <is>
          <t>투자유가증권 매각·상환 수입</t>
        </is>
      </c>
      <c r="E242" s="20" t="n">
        <v>198.368</v>
      </c>
      <c r="G242" s="20" t="n">
        <v>0</v>
      </c>
      <c r="I242" s="20" t="n">
        <v>6.702</v>
      </c>
      <c r="K242" s="20" t="n">
        <v>199.836</v>
      </c>
      <c r="M242" s="20" t="n">
        <v>526.177</v>
      </c>
      <c r="O242" s="20" t="n">
        <v>188.942</v>
      </c>
      <c r="P242" s="20" t="n">
        <v>21.93</v>
      </c>
      <c r="Q242" s="20" t="n">
        <v>19.992</v>
      </c>
      <c r="R242" s="20" t="n">
        <v>15.721</v>
      </c>
      <c r="S242" s="20" t="n">
        <v>112.035</v>
      </c>
      <c r="T242" s="20" t="n">
        <v>666.938</v>
      </c>
      <c r="U242" s="20" t="n">
        <v>385.258</v>
      </c>
      <c r="V242" s="20" t="n">
        <v>198.368</v>
      </c>
      <c r="W242" s="20" t="n">
        <v>6.702</v>
      </c>
      <c r="X242" s="20" t="n">
        <v>526.177</v>
      </c>
    </row>
    <row r="243">
      <c r="A243" s="18" t="inlineStr">
        <is>
          <t>대여</t>
        </is>
      </c>
      <c r="C243" s="20" t="n">
        <v>-120.349</v>
      </c>
      <c r="E243" s="20" t="n">
        <v>-364.864</v>
      </c>
      <c r="G243" s="20" t="n">
        <v>-10</v>
      </c>
      <c r="I243" s="20" t="n">
        <v>-1006.782</v>
      </c>
      <c r="K243" s="20" t="n">
        <v>-283.479</v>
      </c>
      <c r="M243" s="20" t="n">
        <v>-390.559</v>
      </c>
      <c r="O243" s="20" t="n">
        <v>-560.694</v>
      </c>
      <c r="P243" s="20" t="n">
        <v>-222.838</v>
      </c>
      <c r="Q243" s="20" t="n">
        <v>-120</v>
      </c>
      <c r="R243" s="20" t="n">
        <v>-1165.743</v>
      </c>
      <c r="S243" s="20" t="n">
        <v>-0.205</v>
      </c>
      <c r="T243" s="20" t="n">
        <v>-330.73</v>
      </c>
      <c r="U243" s="20" t="n">
        <v>-672.023</v>
      </c>
      <c r="V243" s="20" t="n">
        <v>-364.864</v>
      </c>
      <c r="W243" s="20" t="n">
        <v>-1006.782</v>
      </c>
      <c r="X243" s="20" t="n">
        <v>-390.559</v>
      </c>
    </row>
    <row r="244">
      <c r="A244" s="18" t="inlineStr">
        <is>
          <t>대여금 회수</t>
        </is>
      </c>
      <c r="C244" s="20" t="n">
        <v>85.101</v>
      </c>
      <c r="E244" s="20" t="n">
        <v>76.27500000000001</v>
      </c>
      <c r="G244" s="20" t="n">
        <v>29.827</v>
      </c>
      <c r="I244" s="20" t="n">
        <v>110.196</v>
      </c>
      <c r="K244" s="20" t="n">
        <v>213.596</v>
      </c>
      <c r="M244" s="20" t="n">
        <v>271.486</v>
      </c>
      <c r="O244" s="20" t="n">
        <v>36.636</v>
      </c>
      <c r="P244" s="20" t="n">
        <v>0</v>
      </c>
      <c r="Q244" s="20" t="n">
        <v>333.06</v>
      </c>
      <c r="R244" s="20" t="n">
        <v>1105.957</v>
      </c>
      <c r="S244" s="20" t="n">
        <v>58.731</v>
      </c>
      <c r="T244" s="20" t="n">
        <v>560.457</v>
      </c>
      <c r="U244" s="20" t="n">
        <v>701.701</v>
      </c>
      <c r="V244" s="20" t="n">
        <v>76.27500000000001</v>
      </c>
      <c r="W244" s="20" t="n">
        <v>110.196</v>
      </c>
      <c r="X244" s="20" t="n">
        <v>271.486</v>
      </c>
    </row>
    <row r="245">
      <c r="A245" s="18" t="inlineStr">
        <is>
          <t>연결범위 변경 자회사 주식 취득(수입)</t>
        </is>
      </c>
      <c r="R245" s="20" t="n">
        <v>0</v>
      </c>
      <c r="S245" s="20" t="n">
        <v>2526.394</v>
      </c>
      <c r="T245" s="20" t="n">
        <v>0</v>
      </c>
    </row>
    <row r="246">
      <c r="A246" s="18" t="inlineStr">
        <is>
          <t>연결범위 변경 자회사 주식 매각(지출)</t>
        </is>
      </c>
      <c r="G246" s="20" t="n">
        <v>0</v>
      </c>
      <c r="I246" s="20" t="n">
        <v>0</v>
      </c>
      <c r="K246" s="20" t="n">
        <v>-879.397</v>
      </c>
      <c r="M246" s="20" t="n">
        <v>-879.397</v>
      </c>
      <c r="W246" s="20" t="n">
        <v>0</v>
      </c>
      <c r="X246" s="20" t="n">
        <v>-879.397</v>
      </c>
    </row>
    <row r="247">
      <c r="A247" s="18" t="inlineStr">
        <is>
          <t>기타</t>
        </is>
      </c>
      <c r="C247" s="20" t="n">
        <v>8.800000000000001</v>
      </c>
      <c r="E247" s="20" t="n">
        <v>395.829</v>
      </c>
      <c r="G247" s="20" t="n">
        <v>-30.966</v>
      </c>
      <c r="I247" s="20" t="n">
        <v>-62.23</v>
      </c>
      <c r="K247" s="20" t="n">
        <v>-58.933</v>
      </c>
      <c r="M247" s="20" t="n">
        <v>-1038.44</v>
      </c>
      <c r="O247" s="20" t="n">
        <v>-371.553</v>
      </c>
      <c r="P247" s="20" t="n">
        <v>0.623</v>
      </c>
      <c r="Q247" s="20" t="n">
        <v>-30.102</v>
      </c>
      <c r="R247" s="20" t="n">
        <v>-79.73099999999999</v>
      </c>
      <c r="S247" s="20" t="n">
        <v>25.82</v>
      </c>
      <c r="T247" s="20" t="n">
        <v>44.092</v>
      </c>
      <c r="U247" s="20" t="n">
        <v>-125.312</v>
      </c>
      <c r="V247" s="20" t="n">
        <v>395.829</v>
      </c>
      <c r="W247" s="20" t="n">
        <v>-62.23</v>
      </c>
      <c r="X247" s="20" t="n">
        <v>-1038.44</v>
      </c>
    </row>
    <row r="248">
      <c r="A248" s="9" t="inlineStr">
        <is>
          <t>투자활동 현금흐름</t>
        </is>
      </c>
      <c r="C248" s="12" t="n">
        <v>-3006.622</v>
      </c>
      <c r="E248" s="12" t="n">
        <v>8493.460999999999</v>
      </c>
      <c r="G248" s="12" t="n">
        <v>-704.123</v>
      </c>
      <c r="I248" s="12" t="n">
        <v>-6749.608</v>
      </c>
      <c r="K248" s="12" t="n">
        <v>5500.206</v>
      </c>
      <c r="M248" s="12" t="n">
        <v>-7277.091</v>
      </c>
      <c r="O248" s="12" t="n">
        <v>-2000.136</v>
      </c>
      <c r="P248" s="12" t="n">
        <v>-16591.467</v>
      </c>
      <c r="Q248" s="12" t="n">
        <v>-25894.421</v>
      </c>
      <c r="R248" s="12" t="n">
        <v>-18369.155</v>
      </c>
      <c r="S248" s="12" t="n">
        <v>-40569.686</v>
      </c>
      <c r="T248" s="12" t="n">
        <v>-31478.931</v>
      </c>
      <c r="U248" s="12" t="n">
        <v>-18415.305</v>
      </c>
      <c r="V248" s="12" t="n">
        <v>8493.460999999999</v>
      </c>
      <c r="W248" s="12" t="n">
        <v>-6749.608</v>
      </c>
      <c r="X248" s="12" t="n">
        <v>-7277.091</v>
      </c>
    </row>
    <row r="249">
      <c r="A249" s="18" t="inlineStr">
        <is>
          <t>단기차입금 순증감</t>
        </is>
      </c>
      <c r="C249" s="20" t="n">
        <v>622.905</v>
      </c>
      <c r="E249" s="20" t="n">
        <v>-1641.284</v>
      </c>
      <c r="G249" s="20" t="n">
        <v>262.505</v>
      </c>
      <c r="I249" s="20" t="n">
        <v>1874.22</v>
      </c>
      <c r="K249" s="20" t="n">
        <v>3951.945</v>
      </c>
      <c r="M249" s="20" t="n">
        <v>3987.535</v>
      </c>
      <c r="O249" s="20" t="n">
        <v>-756.49</v>
      </c>
      <c r="P249" s="20" t="n">
        <v>3261.105</v>
      </c>
      <c r="Q249" s="20" t="n">
        <v>-1844.303</v>
      </c>
      <c r="R249" s="20" t="n">
        <v>-236.195</v>
      </c>
      <c r="S249" s="20" t="n">
        <v>300.364</v>
      </c>
      <c r="T249" s="20" t="n">
        <v>1511.07</v>
      </c>
      <c r="U249" s="20" t="n">
        <v>1365.36</v>
      </c>
      <c r="V249" s="20" t="n">
        <v>-1641.284</v>
      </c>
      <c r="W249" s="20" t="n">
        <v>1874.22</v>
      </c>
      <c r="X249" s="20" t="n">
        <v>3987.535</v>
      </c>
    </row>
    <row r="250">
      <c r="A250" s="18" t="inlineStr">
        <is>
          <t>장기차입</t>
        </is>
      </c>
      <c r="C250" s="20" t="n">
        <v>6447.318</v>
      </c>
      <c r="E250" s="20" t="n">
        <v>12357.461</v>
      </c>
      <c r="G250" s="20" t="n">
        <v>4668.419</v>
      </c>
      <c r="I250" s="20" t="n">
        <v>7245.719</v>
      </c>
      <c r="K250" s="20" t="n">
        <v>6999.67</v>
      </c>
      <c r="M250" s="20" t="n">
        <v>20473.029</v>
      </c>
      <c r="O250" s="20" t="n">
        <v>6535.267</v>
      </c>
      <c r="P250" s="20" t="n">
        <v>23506.367</v>
      </c>
      <c r="Q250" s="20" t="n">
        <v>31340.389</v>
      </c>
      <c r="R250" s="20" t="n">
        <v>30794.188</v>
      </c>
      <c r="S250" s="20" t="n">
        <v>56858.89</v>
      </c>
      <c r="T250" s="20" t="n">
        <v>38490.16</v>
      </c>
      <c r="U250" s="20" t="n">
        <v>20022.263</v>
      </c>
      <c r="V250" s="20" t="n">
        <v>12357.461</v>
      </c>
      <c r="W250" s="20" t="n">
        <v>7245.719</v>
      </c>
      <c r="X250" s="20" t="n">
        <v>20473.029</v>
      </c>
    </row>
    <row r="251">
      <c r="A251" s="18" t="inlineStr">
        <is>
          <t>장기차입금 상환</t>
        </is>
      </c>
      <c r="C251" s="20" t="n">
        <v>-10885.286</v>
      </c>
      <c r="E251" s="20" t="n">
        <v>-31800.655</v>
      </c>
      <c r="G251" s="20" t="n">
        <v>-8722.583000000001</v>
      </c>
      <c r="I251" s="20" t="n">
        <v>-20834.035</v>
      </c>
      <c r="K251" s="20" t="n">
        <v>-11885.267</v>
      </c>
      <c r="M251" s="20" t="n">
        <v>-24528.155</v>
      </c>
      <c r="O251" s="20" t="n">
        <v>-13994.363</v>
      </c>
      <c r="P251" s="20" t="n">
        <v>-18219.092</v>
      </c>
      <c r="Q251" s="20" t="n">
        <v>-16566.439</v>
      </c>
      <c r="R251" s="20" t="n">
        <v>-21639.355</v>
      </c>
      <c r="S251" s="20" t="n">
        <v>-23466.077</v>
      </c>
      <c r="T251" s="20" t="n">
        <v>-26412.841</v>
      </c>
      <c r="U251" s="20" t="n">
        <v>-25681.295</v>
      </c>
      <c r="V251" s="20" t="n">
        <v>-31800.655</v>
      </c>
      <c r="W251" s="20" t="n">
        <v>-20834.035</v>
      </c>
      <c r="X251" s="20" t="n">
        <v>-24528.155</v>
      </c>
    </row>
    <row r="252">
      <c r="A252" s="18" t="inlineStr">
        <is>
          <t>사채 발행</t>
        </is>
      </c>
      <c r="O252" s="20" t="n">
        <v>1068.518</v>
      </c>
      <c r="P252" s="20" t="n">
        <v>682.448</v>
      </c>
      <c r="Q252" s="20" t="n">
        <v>488.96</v>
      </c>
      <c r="R252" s="20" t="n">
        <v>0</v>
      </c>
    </row>
    <row r="253">
      <c r="A253" s="18" t="inlineStr">
        <is>
          <t>사채 상환</t>
        </is>
      </c>
      <c r="C253" s="20" t="n">
        <v>-156</v>
      </c>
      <c r="E253" s="20" t="n">
        <v>-240</v>
      </c>
      <c r="G253" s="20" t="n">
        <v>-98</v>
      </c>
      <c r="I253" s="20" t="n">
        <v>-133</v>
      </c>
      <c r="K253" s="20" t="n">
        <v>-45</v>
      </c>
      <c r="M253" s="20" t="n">
        <v>-45</v>
      </c>
      <c r="O253" s="20" t="n">
        <v>-1226</v>
      </c>
      <c r="P253" s="20" t="n">
        <v>-1200</v>
      </c>
      <c r="Q253" s="20" t="n">
        <v>-1207</v>
      </c>
      <c r="R253" s="20" t="n">
        <v>-1095.5</v>
      </c>
      <c r="S253" s="20" t="n">
        <v>-948</v>
      </c>
      <c r="T253" s="20" t="n">
        <v>-758</v>
      </c>
      <c r="U253" s="20" t="n">
        <v>-482</v>
      </c>
      <c r="V253" s="20" t="n">
        <v>-240</v>
      </c>
      <c r="W253" s="20" t="n">
        <v>-133</v>
      </c>
      <c r="X253" s="20" t="n">
        <v>-45</v>
      </c>
    </row>
    <row r="254">
      <c r="A254" s="18" t="inlineStr">
        <is>
          <t>배당금 지급</t>
        </is>
      </c>
      <c r="C254" s="20" t="n">
        <v>-177.621</v>
      </c>
      <c r="E254" s="20" t="n">
        <v>-177.621</v>
      </c>
      <c r="G254" s="20" t="n">
        <v>-179.394</v>
      </c>
      <c r="I254" s="20" t="n">
        <v>-179.894</v>
      </c>
      <c r="K254" s="20" t="n">
        <v>-177.669</v>
      </c>
      <c r="M254" s="20" t="n">
        <v>-177.669</v>
      </c>
      <c r="O254" s="20" t="n">
        <v>-179.122</v>
      </c>
      <c r="P254" s="20" t="n">
        <v>-180.238</v>
      </c>
      <c r="Q254" s="20" t="n">
        <v>-179.304</v>
      </c>
      <c r="R254" s="20" t="n">
        <v>-179.108</v>
      </c>
      <c r="S254" s="20" t="n">
        <v>-179.376</v>
      </c>
      <c r="T254" s="20" t="n">
        <v>-251.323</v>
      </c>
      <c r="U254" s="20" t="n">
        <v>-179.745</v>
      </c>
      <c r="V254" s="20" t="n">
        <v>-177.621</v>
      </c>
      <c r="W254" s="20" t="n">
        <v>-179.894</v>
      </c>
      <c r="X254" s="20" t="n">
        <v>-177.669</v>
      </c>
    </row>
    <row r="255">
      <c r="A255" s="18" t="inlineStr">
        <is>
          <t>연결범위 변경 없는 자회사 주식 취득</t>
        </is>
      </c>
      <c r="R255" s="20" t="n">
        <v>0</v>
      </c>
      <c r="S255" s="20" t="n">
        <v>-348.192</v>
      </c>
      <c r="T255" s="20" t="n">
        <v>0</v>
      </c>
    </row>
    <row r="256">
      <c r="A256" s="18" t="inlineStr">
        <is>
          <t>비지배주주 배당금 지급</t>
        </is>
      </c>
      <c r="C256" s="20" t="n">
        <v>-5.08</v>
      </c>
      <c r="E256" s="20" t="n">
        <v>-2225.08</v>
      </c>
      <c r="G256" s="20" t="n">
        <v>-378.928</v>
      </c>
      <c r="I256" s="20" t="n">
        <v>-1238.23</v>
      </c>
      <c r="K256" s="20" t="n">
        <v>-1021</v>
      </c>
      <c r="M256" s="20" t="n">
        <v>-1573.637</v>
      </c>
      <c r="O256" s="20" t="n">
        <v>-5.08</v>
      </c>
      <c r="P256" s="20" t="n">
        <v>-749.08</v>
      </c>
      <c r="Q256" s="20" t="n">
        <v>-437.08</v>
      </c>
      <c r="R256" s="20" t="n">
        <v>-245.08</v>
      </c>
      <c r="S256" s="20" t="n">
        <v>-347.508</v>
      </c>
      <c r="T256" s="20" t="n">
        <v>-395.012</v>
      </c>
      <c r="U256" s="20" t="n">
        <v>-173.08</v>
      </c>
      <c r="V256" s="20" t="n">
        <v>-2225.08</v>
      </c>
      <c r="W256" s="20" t="n">
        <v>-1238.23</v>
      </c>
      <c r="X256" s="20" t="n">
        <v>-1573.637</v>
      </c>
    </row>
    <row r="257">
      <c r="A257" s="18" t="inlineStr">
        <is>
          <t>자기주식 취득</t>
        </is>
      </c>
      <c r="C257" s="20" t="n">
        <v>0</v>
      </c>
      <c r="E257" s="20" t="n">
        <v>0</v>
      </c>
      <c r="O257" s="20" t="n">
        <v>-0.022</v>
      </c>
      <c r="P257" s="20" t="n">
        <v>0</v>
      </c>
      <c r="R257" s="20" t="n">
        <v>0</v>
      </c>
      <c r="S257" s="20" t="n">
        <v>-0.008999999999999999</v>
      </c>
      <c r="T257" s="20" t="n">
        <v>-0.066</v>
      </c>
      <c r="U257" s="20" t="n">
        <v>-0.04</v>
      </c>
      <c r="V257" s="20" t="n">
        <v>0</v>
      </c>
    </row>
    <row r="258">
      <c r="A258" s="18" t="inlineStr">
        <is>
          <t>리스부채 상환</t>
        </is>
      </c>
      <c r="C258" s="20" t="n">
        <v>0</v>
      </c>
      <c r="E258" s="20" t="n">
        <v>0</v>
      </c>
      <c r="O258" s="20" t="n">
        <v>-79.158</v>
      </c>
      <c r="P258" s="20" t="n">
        <v>-449.282</v>
      </c>
      <c r="Q258" s="20" t="n">
        <v>-2313.066</v>
      </c>
      <c r="R258" s="20" t="n">
        <v>-210.948</v>
      </c>
      <c r="S258" s="20" t="n">
        <v>-2309.75</v>
      </c>
      <c r="T258" s="20" t="n">
        <v>-2.057</v>
      </c>
      <c r="U258" s="20" t="n">
        <v>-2.807</v>
      </c>
      <c r="V258" s="20" t="n">
        <v>0</v>
      </c>
    </row>
    <row r="259">
      <c r="A259" s="18" t="inlineStr">
        <is>
          <t>기타</t>
        </is>
      </c>
      <c r="C259" s="20" t="n">
        <v>-196.557</v>
      </c>
      <c r="E259" s="20" t="n">
        <v>-876.022</v>
      </c>
      <c r="G259" s="20" t="n">
        <v>-237.334</v>
      </c>
      <c r="I259" s="20" t="n">
        <v>-247.058</v>
      </c>
      <c r="K259" s="20" t="n">
        <v>-438.587</v>
      </c>
      <c r="M259" s="20" t="n">
        <v>-336.604</v>
      </c>
      <c r="O259" s="20" t="n">
        <v>-267.735</v>
      </c>
      <c r="P259" s="20" t="n">
        <v>25.078</v>
      </c>
      <c r="Q259" s="20" t="n">
        <v>371.613</v>
      </c>
      <c r="R259" s="20" t="n">
        <v>7.46</v>
      </c>
      <c r="S259" s="20" t="n">
        <v>-85.828</v>
      </c>
      <c r="T259" s="20" t="n">
        <v>-153.534</v>
      </c>
      <c r="U259" s="20" t="n">
        <v>-324.705</v>
      </c>
      <c r="V259" s="20" t="n">
        <v>-876.022</v>
      </c>
      <c r="W259" s="20" t="n">
        <v>-247.058</v>
      </c>
      <c r="X259" s="20" t="n">
        <v>-336.604</v>
      </c>
    </row>
    <row r="260">
      <c r="A260" s="9" t="inlineStr">
        <is>
          <t>재무활동 현금흐름</t>
        </is>
      </c>
      <c r="C260" s="12" t="n">
        <v>-4350.322</v>
      </c>
      <c r="E260" s="12" t="n">
        <v>-24603.202</v>
      </c>
      <c r="G260" s="12" t="n">
        <v>-4685.316</v>
      </c>
      <c r="I260" s="12" t="n">
        <v>-13512.277</v>
      </c>
      <c r="K260" s="12" t="n">
        <v>-2615.909</v>
      </c>
      <c r="M260" s="12" t="n">
        <v>-2200.502</v>
      </c>
      <c r="O260" s="12" t="n">
        <v>-8904.186</v>
      </c>
      <c r="P260" s="12" t="n">
        <v>6677.306</v>
      </c>
      <c r="Q260" s="12" t="n">
        <v>9653.768</v>
      </c>
      <c r="R260" s="12" t="n">
        <v>7195.459</v>
      </c>
      <c r="S260" s="12" t="n">
        <v>29474.511</v>
      </c>
      <c r="T260" s="12" t="n">
        <v>12028.396</v>
      </c>
      <c r="U260" s="12" t="n">
        <v>-5456.05</v>
      </c>
      <c r="V260" s="12" t="n">
        <v>-24603.202</v>
      </c>
      <c r="W260" s="12" t="n">
        <v>-13512.277</v>
      </c>
      <c r="X260" s="12" t="n">
        <v>-2200.502</v>
      </c>
    </row>
    <row r="261">
      <c r="A261" s="18" t="inlineStr">
        <is>
          <t>현금성자산 환산차이</t>
        </is>
      </c>
      <c r="C261" s="20" t="n">
        <v>950.728</v>
      </c>
      <c r="E261" s="20" t="n">
        <v>-1119.489</v>
      </c>
      <c r="G261" s="20" t="n">
        <v>3042.97</v>
      </c>
      <c r="I261" s="20" t="n">
        <v>242.613</v>
      </c>
      <c r="K261" s="20" t="n">
        <v>-4633.968</v>
      </c>
      <c r="M261" s="20" t="n">
        <v>-3156.516</v>
      </c>
      <c r="O261" s="20" t="n">
        <v>-38.535</v>
      </c>
      <c r="P261" s="20" t="n">
        <v>-236.4</v>
      </c>
      <c r="Q261" s="20" t="n">
        <v>-254.543</v>
      </c>
      <c r="R261" s="20" t="n">
        <v>-26.496</v>
      </c>
      <c r="S261" s="20" t="n">
        <v>-520.759</v>
      </c>
      <c r="T261" s="20" t="n">
        <v>1661.989</v>
      </c>
      <c r="U261" s="20" t="n">
        <v>1327.054</v>
      </c>
      <c r="V261" s="20" t="n">
        <v>-1119.489</v>
      </c>
      <c r="W261" s="20" t="n">
        <v>242.613</v>
      </c>
      <c r="X261" s="20" t="n">
        <v>-3156.516</v>
      </c>
    </row>
    <row r="262">
      <c r="A262" s="18" t="inlineStr">
        <is>
          <t>현금성자산 증감</t>
        </is>
      </c>
      <c r="C262" s="20" t="n">
        <v>7304.739</v>
      </c>
      <c r="E262" s="20" t="n">
        <v>10717.281</v>
      </c>
      <c r="G262" s="20" t="n">
        <v>11492.681</v>
      </c>
      <c r="I262" s="20" t="n">
        <v>10181.305</v>
      </c>
      <c r="K262" s="20" t="n">
        <v>7128.287</v>
      </c>
      <c r="M262" s="20" t="n">
        <v>6987.624</v>
      </c>
      <c r="O262" s="20" t="n">
        <v>1155.371</v>
      </c>
      <c r="P262" s="20" t="n">
        <v>4290.658</v>
      </c>
      <c r="Q262" s="20" t="n">
        <v>-2519.92</v>
      </c>
      <c r="R262" s="20" t="n">
        <v>3276.801</v>
      </c>
      <c r="S262" s="20" t="n">
        <v>1528.69</v>
      </c>
      <c r="T262" s="20" t="n">
        <v>2108.112</v>
      </c>
      <c r="U262" s="20" t="n">
        <v>3833.905</v>
      </c>
      <c r="V262" s="20" t="n">
        <v>10717.281</v>
      </c>
      <c r="W262" s="20" t="n">
        <v>10181.305</v>
      </c>
      <c r="X262" s="20" t="n">
        <v>6987.624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9115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63356.098</v>
      </c>
      <c r="D5" s="12" t="n">
        <v>62497.833</v>
      </c>
      <c r="E5" s="12" t="n">
        <v>65694.592</v>
      </c>
      <c r="F5" s="12" t="n">
        <v>63724.677</v>
      </c>
      <c r="G5" s="12" t="n">
        <v>61792.485</v>
      </c>
      <c r="H5" s="11" t="n">
        <v>28156.563</v>
      </c>
      <c r="I5" s="12" t="n">
        <v>34062.424</v>
      </c>
      <c r="J5" s="12" t="n">
        <v>45912.483</v>
      </c>
      <c r="K5" s="12" t="n">
        <v>56294.405</v>
      </c>
      <c r="L5" s="12" t="n">
        <v>63724.677</v>
      </c>
    </row>
    <row r="6">
      <c r="A6" s="18" t="inlineStr">
        <is>
          <t>현금및현금성자산</t>
        </is>
      </c>
      <c r="B6" s="10" t="n"/>
      <c r="C6" s="19" t="n">
        <v>56079.548</v>
      </c>
      <c r="D6" s="20" t="n">
        <v>55340.944</v>
      </c>
      <c r="E6" s="20" t="n">
        <v>56365.844</v>
      </c>
      <c r="F6" s="20" t="n">
        <v>55273.295</v>
      </c>
      <c r="G6" s="20" t="n">
        <v>52716.033</v>
      </c>
      <c r="H6" s="19" t="n">
        <v>23662.305</v>
      </c>
      <c r="I6" s="20" t="n">
        <v>27572.231</v>
      </c>
      <c r="J6" s="20" t="n">
        <v>38313.224</v>
      </c>
      <c r="K6" s="20" t="n">
        <v>48220.661</v>
      </c>
      <c r="L6" s="20" t="n">
        <v>55273.295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629.372</v>
      </c>
      <c r="D8" s="20" t="n">
        <v>747.308</v>
      </c>
      <c r="E8" s="20" t="n">
        <v>674.441</v>
      </c>
      <c r="F8" s="20" t="n">
        <v>829.581</v>
      </c>
      <c r="G8" s="20" t="n">
        <v>651.494</v>
      </c>
      <c r="H8" s="19" t="n">
        <v>467.657</v>
      </c>
      <c r="I8" s="20" t="n">
        <v>706.5599999999999</v>
      </c>
      <c r="J8" s="20" t="n">
        <v>731.162</v>
      </c>
      <c r="K8" s="20" t="n">
        <v>772.918</v>
      </c>
      <c r="L8" s="20" t="n">
        <v>829.581</v>
      </c>
    </row>
    <row r="9">
      <c r="A9" s="18" t="inlineStr">
        <is>
          <t>재고자산</t>
        </is>
      </c>
      <c r="B9" s="10" t="n"/>
      <c r="C9" s="19" t="n">
        <v>972.054</v>
      </c>
      <c r="D9" s="20" t="n">
        <v>927.7910000000001</v>
      </c>
      <c r="E9" s="20" t="n">
        <v>948.535</v>
      </c>
      <c r="F9" s="20" t="n">
        <v>1058.768</v>
      </c>
      <c r="G9" s="20" t="n">
        <v>1010.824</v>
      </c>
      <c r="H9" s="19" t="n">
        <v>924.077</v>
      </c>
      <c r="I9" s="20" t="n">
        <v>1158.805</v>
      </c>
      <c r="J9" s="20" t="n">
        <v>1188.038</v>
      </c>
      <c r="K9" s="20" t="n">
        <v>1179.218</v>
      </c>
      <c r="L9" s="20" t="n">
        <v>1058.768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216566.811</v>
      </c>
      <c r="D11" s="12" t="n">
        <v>212398.101</v>
      </c>
      <c r="E11" s="12" t="n">
        <v>217925.161</v>
      </c>
      <c r="F11" s="12" t="n">
        <v>229096.121</v>
      </c>
      <c r="G11" s="12" t="n">
        <v>229934.694</v>
      </c>
      <c r="H11" s="11" t="n">
        <v>209412.7</v>
      </c>
      <c r="I11" s="12" t="n">
        <v>240884.672</v>
      </c>
      <c r="J11" s="12" t="n">
        <v>230544.991</v>
      </c>
      <c r="K11" s="12" t="n">
        <v>236984.45</v>
      </c>
      <c r="L11" s="12" t="n">
        <v>229096.121</v>
      </c>
    </row>
    <row r="12">
      <c r="A12" s="18" t="inlineStr">
        <is>
          <t>유형자산</t>
        </is>
      </c>
      <c r="B12" s="10" t="n"/>
      <c r="C12" s="19" t="n">
        <v>180725.494</v>
      </c>
      <c r="D12" s="20" t="n">
        <v>175238.336</v>
      </c>
      <c r="E12" s="20" t="n">
        <v>180166.92</v>
      </c>
      <c r="F12" s="20" t="n">
        <v>185700.528</v>
      </c>
      <c r="G12" s="20" t="n">
        <v>183205.189</v>
      </c>
      <c r="H12" s="19" t="n">
        <v>196388.487</v>
      </c>
      <c r="I12" s="20" t="n">
        <v>219768.369</v>
      </c>
      <c r="J12" s="20" t="n">
        <v>207355.98</v>
      </c>
      <c r="K12" s="20" t="n">
        <v>201373.214</v>
      </c>
      <c r="L12" s="20" t="n">
        <v>185700.528</v>
      </c>
    </row>
    <row r="13">
      <c r="A13" s="18" t="inlineStr">
        <is>
          <t>무형자산</t>
        </is>
      </c>
      <c r="B13" s="10" t="n"/>
      <c r="C13" s="19" t="n">
        <v>138.812</v>
      </c>
      <c r="D13" s="20" t="n">
        <v>352.147</v>
      </c>
      <c r="E13" s="20" t="n">
        <v>184.373</v>
      </c>
      <c r="F13" s="20" t="n">
        <v>1312.629</v>
      </c>
      <c r="G13" s="20" t="n">
        <v>1342.08</v>
      </c>
      <c r="H13" s="19" t="n">
        <v>107.271</v>
      </c>
      <c r="I13" s="20" t="n">
        <v>84.03400000000001</v>
      </c>
      <c r="J13" s="20" t="n">
        <v>92.90900000000001</v>
      </c>
      <c r="K13" s="20" t="n">
        <v>117.392</v>
      </c>
      <c r="L13" s="20" t="n">
        <v>1312.629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279922.91</v>
      </c>
      <c r="D16" s="12" t="n">
        <v>274895.935</v>
      </c>
      <c r="E16" s="12" t="n">
        <v>283619.754</v>
      </c>
      <c r="F16" s="12" t="n">
        <v>292820.798</v>
      </c>
      <c r="G16" s="12" t="n">
        <v>291727.18</v>
      </c>
      <c r="H16" s="11" t="n">
        <v>237569.264</v>
      </c>
      <c r="I16" s="12" t="n">
        <v>274947.097</v>
      </c>
      <c r="J16" s="12" t="n">
        <v>276457.475</v>
      </c>
      <c r="K16" s="12" t="n">
        <v>293278.855</v>
      </c>
      <c r="L16" s="12" t="n">
        <v>292820.798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47970.339</v>
      </c>
      <c r="D18" s="12" t="n">
        <v>53516.701</v>
      </c>
      <c r="E18" s="12" t="n">
        <v>54643.441</v>
      </c>
      <c r="F18" s="12" t="n">
        <v>57637.805</v>
      </c>
      <c r="G18" s="12" t="n">
        <v>50471.012</v>
      </c>
      <c r="H18" s="11" t="n">
        <v>37493.552</v>
      </c>
      <c r="I18" s="12" t="n">
        <v>47729.536</v>
      </c>
      <c r="J18" s="12" t="n">
        <v>43643.342</v>
      </c>
      <c r="K18" s="12" t="n">
        <v>57023.6</v>
      </c>
      <c r="L18" s="12" t="n">
        <v>57637.805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>
        <v>32831.144</v>
      </c>
      <c r="D20" s="20" t="n">
        <v>38379.037</v>
      </c>
      <c r="E20" s="20" t="n">
        <v>36360.635</v>
      </c>
      <c r="F20" s="20" t="n">
        <v>37804.608</v>
      </c>
      <c r="G20" s="20" t="n">
        <v>32160.805</v>
      </c>
      <c r="H20" s="19" t="n">
        <v>28705.212</v>
      </c>
      <c r="I20" s="20" t="n">
        <v>34762.821</v>
      </c>
      <c r="J20" s="20" t="n">
        <v>30821.205</v>
      </c>
      <c r="K20" s="20" t="n">
        <v>40112.373</v>
      </c>
      <c r="L20" s="20" t="n">
        <v>37804.608</v>
      </c>
    </row>
    <row r="21">
      <c r="A21" s="18" t="inlineStr">
        <is>
          <t>유동성장기부채</t>
        </is>
      </c>
      <c r="B21" s="10" t="n"/>
      <c r="C21" s="19" t="n">
        <v>45</v>
      </c>
      <c r="D21" s="20" t="n">
        <v>0</v>
      </c>
      <c r="E21" s="20" t="n">
        <v>0</v>
      </c>
      <c r="F21" s="20" t="n">
        <v>0</v>
      </c>
      <c r="G21" s="20" t="n"/>
      <c r="H21" s="19" t="n">
        <v>482</v>
      </c>
      <c r="I21" s="20" t="n">
        <v>240</v>
      </c>
      <c r="J21" s="20" t="n">
        <v>133</v>
      </c>
      <c r="K21" s="20" t="n">
        <v>45</v>
      </c>
      <c r="L21" s="20" t="n">
        <v>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138585.538</v>
      </c>
      <c r="D23" s="12" t="n">
        <v>129651.405</v>
      </c>
      <c r="E23" s="12" t="n">
        <v>133424.965</v>
      </c>
      <c r="F23" s="12" t="n">
        <v>137462.48</v>
      </c>
      <c r="G23" s="12" t="n">
        <v>141308.268</v>
      </c>
      <c r="H23" s="11" t="n">
        <v>152693.394</v>
      </c>
      <c r="I23" s="12" t="n">
        <v>158783.768</v>
      </c>
      <c r="J23" s="12" t="n">
        <v>151400.739</v>
      </c>
      <c r="K23" s="12" t="n">
        <v>145040.67</v>
      </c>
      <c r="L23" s="12" t="n">
        <v>137462.48</v>
      </c>
    </row>
    <row r="24">
      <c r="A24" s="18" t="inlineStr">
        <is>
          <t>장기차입금</t>
        </is>
      </c>
      <c r="B24" s="10" t="n"/>
      <c r="C24" s="19" t="n">
        <v>118414.28</v>
      </c>
      <c r="D24" s="20" t="n">
        <v>110757.657</v>
      </c>
      <c r="E24" s="20" t="n">
        <v>113337.429</v>
      </c>
      <c r="F24" s="20" t="n">
        <v>118454.888</v>
      </c>
      <c r="G24" s="20" t="n">
        <v>121431.768</v>
      </c>
      <c r="H24" s="19" t="n">
        <v>144120.567</v>
      </c>
      <c r="I24" s="20" t="n">
        <v>146006.946</v>
      </c>
      <c r="J24" s="20" t="n">
        <v>136379.122</v>
      </c>
      <c r="K24" s="20" t="n">
        <v>125545.04</v>
      </c>
      <c r="L24" s="20" t="n">
        <v>118454.888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>
        <v>418</v>
      </c>
      <c r="I25" s="20" t="n">
        <v>178</v>
      </c>
      <c r="J25" s="20" t="n">
        <v>45</v>
      </c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186555.877</v>
      </c>
      <c r="D27" s="12" t="n">
        <v>183168.106</v>
      </c>
      <c r="E27" s="12" t="n">
        <v>188068.406</v>
      </c>
      <c r="F27" s="12" t="n">
        <v>195100.286</v>
      </c>
      <c r="G27" s="12" t="n">
        <v>191779.28</v>
      </c>
      <c r="H27" s="11" t="n">
        <v>190186.946</v>
      </c>
      <c r="I27" s="12" t="n">
        <v>206513.305</v>
      </c>
      <c r="J27" s="12" t="n">
        <v>195044.081</v>
      </c>
      <c r="K27" s="12" t="n">
        <v>202064.271</v>
      </c>
      <c r="L27" s="12" t="n">
        <v>195100.286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48718.661</v>
      </c>
      <c r="D31" s="12" t="n">
        <v>49242.749</v>
      </c>
      <c r="E31" s="12" t="n">
        <v>51960.096</v>
      </c>
      <c r="F31" s="12" t="n">
        <v>53301.898</v>
      </c>
      <c r="G31" s="12" t="n">
        <v>55380.563</v>
      </c>
      <c r="H31" s="11" t="n">
        <v>23972.682</v>
      </c>
      <c r="I31" s="12" t="n">
        <v>35332.624</v>
      </c>
      <c r="J31" s="12" t="n">
        <v>42774.094</v>
      </c>
      <c r="K31" s="12" t="n">
        <v>47756.016</v>
      </c>
      <c r="L31" s="12" t="n">
        <v>53301.898</v>
      </c>
    </row>
    <row r="32">
      <c r="A32" s="18" t="inlineStr">
        <is>
          <t>자본금</t>
        </is>
      </c>
      <c r="B32" s="10" t="n"/>
      <c r="C32" s="19" t="n">
        <v>1800</v>
      </c>
      <c r="D32" s="20" t="n">
        <v>1800</v>
      </c>
      <c r="E32" s="20" t="n">
        <v>1800</v>
      </c>
      <c r="F32" s="20" t="n">
        <v>1800</v>
      </c>
      <c r="G32" s="20" t="n">
        <v>1800</v>
      </c>
      <c r="H32" s="19" t="n">
        <v>1800</v>
      </c>
      <c r="I32" s="20" t="n">
        <v>1800</v>
      </c>
      <c r="J32" s="20" t="n">
        <v>1800</v>
      </c>
      <c r="K32" s="20" t="n">
        <v>1800</v>
      </c>
      <c r="L32" s="20" t="n">
        <v>1800</v>
      </c>
    </row>
    <row r="33">
      <c r="A33" s="18" t="inlineStr">
        <is>
          <t>이익잉여금</t>
        </is>
      </c>
      <c r="B33" s="10" t="n"/>
      <c r="C33" s="19" t="n">
        <v>34861.532</v>
      </c>
      <c r="D33" s="20" t="n">
        <v>34782.545</v>
      </c>
      <c r="E33" s="20" t="n">
        <v>36397.032</v>
      </c>
      <c r="F33" s="20" t="n">
        <v>36280.158</v>
      </c>
      <c r="G33" s="20" t="n">
        <v>36999.856</v>
      </c>
      <c r="H33" s="19" t="n">
        <v>18275.856</v>
      </c>
      <c r="I33" s="20" t="n">
        <v>24472.827</v>
      </c>
      <c r="J33" s="20" t="n">
        <v>29513.608</v>
      </c>
      <c r="K33" s="20" t="n">
        <v>32145.815</v>
      </c>
      <c r="L33" s="20" t="n">
        <v>36280.158</v>
      </c>
    </row>
    <row r="34">
      <c r="A34" s="18" t="inlineStr">
        <is>
          <t>비지배지분</t>
        </is>
      </c>
      <c r="B34" s="10" t="n"/>
      <c r="C34" s="19" t="n">
        <v>44648.371</v>
      </c>
      <c r="D34" s="20" t="n">
        <v>42485.079</v>
      </c>
      <c r="E34" s="20" t="n">
        <v>43591.251</v>
      </c>
      <c r="F34" s="20" t="n">
        <v>44418.613</v>
      </c>
      <c r="G34" s="20" t="n">
        <v>44567.336</v>
      </c>
      <c r="H34" s="19" t="n">
        <v>23409.636</v>
      </c>
      <c r="I34" s="20" t="n">
        <v>33101.168</v>
      </c>
      <c r="J34" s="20" t="n">
        <v>38639.3</v>
      </c>
      <c r="K34" s="20" t="n">
        <v>43458.568</v>
      </c>
      <c r="L34" s="20" t="n">
        <v>44418.613</v>
      </c>
    </row>
    <row r="35">
      <c r="A35" s="9" t="inlineStr">
        <is>
          <t>자본총계</t>
        </is>
      </c>
      <c r="B35" s="10" t="n"/>
      <c r="C35" s="11" t="n">
        <v>93367.03200000001</v>
      </c>
      <c r="D35" s="12" t="n">
        <v>91727.82799999999</v>
      </c>
      <c r="E35" s="12" t="n">
        <v>95551.34699999999</v>
      </c>
      <c r="F35" s="12" t="n">
        <v>97720.511</v>
      </c>
      <c r="G35" s="12" t="n">
        <v>99947.899</v>
      </c>
      <c r="H35" s="11" t="n">
        <v>47382.318</v>
      </c>
      <c r="I35" s="12" t="n">
        <v>68433.792</v>
      </c>
      <c r="J35" s="12" t="n">
        <v>81413.394</v>
      </c>
      <c r="K35" s="12" t="n">
        <v>91214.584</v>
      </c>
      <c r="L35" s="12" t="n">
        <v>97720.511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25239.386</v>
      </c>
      <c r="E37" s="12" t="n"/>
      <c r="F37" s="12" t="n">
        <v>19621.733</v>
      </c>
      <c r="G37" s="12" t="n"/>
      <c r="H37" s="11" t="n">
        <v>19896.657</v>
      </c>
      <c r="I37" s="12" t="n">
        <v>26378.206</v>
      </c>
      <c r="J37" s="12" t="n">
        <v>27946.51</v>
      </c>
      <c r="K37" s="12" t="n">
        <v>30200.578</v>
      </c>
      <c r="L37" s="12" t="n">
        <v>19621.733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9074.725</v>
      </c>
      <c r="E38" s="20" t="n"/>
      <c r="F38" s="20" t="n">
        <v>15644.156</v>
      </c>
      <c r="G38" s="20" t="n"/>
      <c r="H38" s="19" t="n">
        <v>37769.063</v>
      </c>
      <c r="I38" s="20" t="n">
        <v>28393.258</v>
      </c>
      <c r="J38" s="20" t="n">
        <v>9814.556</v>
      </c>
      <c r="K38" s="20" t="n">
        <v>9269.584999999999</v>
      </c>
      <c r="L38" s="20" t="n">
        <v>15644.156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178.169</v>
      </c>
      <c r="E40" s="20" t="n"/>
      <c r="F40" s="20" t="n">
        <v>177.669</v>
      </c>
      <c r="G40" s="20" t="n"/>
      <c r="H40" s="19" t="n">
        <v>251.323</v>
      </c>
      <c r="I40" s="20" t="n">
        <v>179.745</v>
      </c>
      <c r="J40" s="20" t="n">
        <v>177.621</v>
      </c>
      <c r="K40" s="20" t="n">
        <v>179.894</v>
      </c>
      <c r="L40" s="20" t="n">
        <v>177.669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IFERROR(IF((IF(COUNT('연간'!G56:J56)&lt;4,"",SUM('연간'!G56:J56)))&lt;=0,"적자",C28/(IF(COUNT('연간'!G56:J56)&lt;4,"",SUM('연간'!G56:J56)))),"")</f>
        <v/>
      </c>
      <c r="D49" s="47">
        <f>IFERROR(IF((IF(COUNT('연간'!H56:K56)&lt;4,"",SUM('연간'!H56:K56)))&lt;=0,"적자",D28/(IF(COUNT('연간'!H56:K56)&lt;4,"",SUM('연간'!H56:K56)))),"")</f>
        <v/>
      </c>
      <c r="E49" s="47">
        <f>IFERROR(IF((IF(COUNT('연간'!I56:L56)&lt;4,"",SUM('연간'!I56:L56)))&lt;=0,"적자",E28/(IF(COUNT('연간'!I56:L56)&lt;4,"",SUM('연간'!I56:L56)))),"")</f>
        <v/>
      </c>
      <c r="F49" s="47">
        <f>IFERROR(IF((IF(COUNT('연간'!J56:M56)&lt;4,"",SUM('연간'!J56:M56)))&lt;=0,"적자",F28/(IF(COUNT('연간'!J56:M56)&lt;4,"",SUM('연간'!J56:M56)))),"")</f>
        <v/>
      </c>
      <c r="G49" s="47">
        <f>IFERROR(IF((IF(COUNT('연간'!K56:N56)&lt;4,"",SUM('연간'!K56:N56)))&lt;=0,"적자",G28/(IF(COUNT('연간'!K56:N56)&lt;4,"",SUM('연간'!K56:N56)))),"")</f>
        <v/>
      </c>
      <c r="H49" s="46">
        <f>IFERROR(IF(('연간'!T56)&lt;=0,"적자",H28/('연간'!T56)),"")</f>
        <v/>
      </c>
      <c r="I49" s="47">
        <f>IFERROR(IF(('연간'!U56)&lt;=0,"적자",I28/('연간'!U56)),"")</f>
        <v/>
      </c>
      <c r="J49" s="47">
        <f>IFERROR(IF(('연간'!V56)&lt;=0,"적자",J28/('연간'!V56)),"")</f>
        <v/>
      </c>
      <c r="K49" s="47">
        <f>IFERROR(IF(('연간'!W56)&lt;=0,"적자",K28/('연간'!W56)),"")</f>
        <v/>
      </c>
      <c r="L49" s="47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56079.548</v>
      </c>
      <c r="D71" s="20" t="n">
        <v>55340.944</v>
      </c>
      <c r="E71" s="20" t="n">
        <v>56365.844</v>
      </c>
      <c r="F71" s="20" t="n">
        <v>55273.295</v>
      </c>
      <c r="G71" s="20" t="n">
        <v>52716.033</v>
      </c>
      <c r="H71" s="20" t="n">
        <v>23662.305</v>
      </c>
      <c r="I71" s="20" t="n">
        <v>27572.231</v>
      </c>
      <c r="J71" s="20" t="n">
        <v>38313.224</v>
      </c>
      <c r="K71" s="20" t="n">
        <v>48220.661</v>
      </c>
      <c r="L71" s="20" t="n">
        <v>55273.295</v>
      </c>
    </row>
    <row r="72">
      <c r="A72" s="18" t="inlineStr">
        <is>
          <t>매출채권</t>
        </is>
      </c>
      <c r="C72" s="20" t="n">
        <v>629.372</v>
      </c>
      <c r="D72" s="20" t="n">
        <v>747.308</v>
      </c>
      <c r="E72" s="20" t="n">
        <v>674.441</v>
      </c>
      <c r="F72" s="20" t="n">
        <v>829.581</v>
      </c>
      <c r="G72" s="20" t="n">
        <v>651.494</v>
      </c>
      <c r="H72" s="20" t="n">
        <v>467.657</v>
      </c>
      <c r="I72" s="20" t="n">
        <v>706.5599999999999</v>
      </c>
      <c r="J72" s="20" t="n">
        <v>731.162</v>
      </c>
      <c r="K72" s="20" t="n">
        <v>772.918</v>
      </c>
      <c r="L72" s="20" t="n">
        <v>829.581</v>
      </c>
    </row>
    <row r="73">
      <c r="A73" s="18" t="inlineStr">
        <is>
          <t>상품·제품</t>
        </is>
      </c>
      <c r="C73" s="20" t="n">
        <v>26.11</v>
      </c>
      <c r="D73" s="20" t="n">
        <v>27.782</v>
      </c>
      <c r="E73" s="20" t="n">
        <v>24.303</v>
      </c>
      <c r="F73" s="20" t="n">
        <v>26.811</v>
      </c>
      <c r="G73" s="20" t="n">
        <v>27.66</v>
      </c>
      <c r="H73" s="20" t="n">
        <v>22.378</v>
      </c>
      <c r="I73" s="20" t="n">
        <v>23.341</v>
      </c>
      <c r="J73" s="20" t="n">
        <v>26.508</v>
      </c>
      <c r="K73" s="20" t="n">
        <v>28.252</v>
      </c>
      <c r="L73" s="20" t="n">
        <v>26.811</v>
      </c>
    </row>
    <row r="74">
      <c r="A74" s="18" t="inlineStr">
        <is>
          <t>원재료·저장품</t>
        </is>
      </c>
      <c r="C74" s="20" t="n">
        <v>945.944</v>
      </c>
      <c r="D74" s="20" t="n">
        <v>900.009</v>
      </c>
      <c r="E74" s="20" t="n">
        <v>924.232</v>
      </c>
      <c r="F74" s="20" t="n">
        <v>1031.957</v>
      </c>
      <c r="G74" s="20" t="n">
        <v>983.164</v>
      </c>
      <c r="H74" s="20" t="n">
        <v>901.699</v>
      </c>
      <c r="I74" s="20" t="n">
        <v>1135.464</v>
      </c>
      <c r="J74" s="20" t="n">
        <v>1161.53</v>
      </c>
      <c r="K74" s="20" t="n">
        <v>1150.966</v>
      </c>
      <c r="L74" s="20" t="n">
        <v>1031.957</v>
      </c>
    </row>
    <row r="75">
      <c r="A75" s="18" t="inlineStr">
        <is>
          <t>기타</t>
        </is>
      </c>
      <c r="C75" s="20" t="n">
        <v>5675.122</v>
      </c>
      <c r="D75" s="20" t="n">
        <v>5481.789</v>
      </c>
      <c r="E75" s="20" t="n">
        <v>7705.77</v>
      </c>
      <c r="F75" s="20" t="n">
        <v>6563.03</v>
      </c>
      <c r="G75" s="20" t="n">
        <v>7414.132</v>
      </c>
      <c r="H75" s="20" t="n">
        <v>3102.522</v>
      </c>
      <c r="I75" s="20" t="n">
        <v>4624.826</v>
      </c>
      <c r="J75" s="20" t="n">
        <v>5680.057</v>
      </c>
      <c r="K75" s="20" t="n">
        <v>6121.606</v>
      </c>
      <c r="L75" s="20" t="n">
        <v>6563.03</v>
      </c>
    </row>
    <row r="76">
      <c r="A76" s="9" t="inlineStr">
        <is>
          <t>유동자산 합계</t>
        </is>
      </c>
      <c r="C76" s="12" t="n">
        <v>63356.098</v>
      </c>
      <c r="D76" s="12" t="n">
        <v>62497.833</v>
      </c>
      <c r="E76" s="12" t="n">
        <v>65694.592</v>
      </c>
      <c r="F76" s="12" t="n">
        <v>63724.677</v>
      </c>
      <c r="G76" s="12" t="n">
        <v>61792.485</v>
      </c>
      <c r="H76" s="12" t="n">
        <v>28156.563</v>
      </c>
      <c r="I76" s="12" t="n">
        <v>34062.424</v>
      </c>
      <c r="J76" s="12" t="n">
        <v>45912.483</v>
      </c>
      <c r="K76" s="12" t="n">
        <v>56294.405</v>
      </c>
      <c r="L76" s="12" t="n">
        <v>63724.677</v>
      </c>
    </row>
    <row r="77">
      <c r="A77" s="18" t="inlineStr">
        <is>
          <t>선박(순액)</t>
        </is>
      </c>
      <c r="C77" s="20" t="n">
        <v>152159.032</v>
      </c>
      <c r="D77" s="20" t="n">
        <v>144689.616</v>
      </c>
      <c r="E77" s="20" t="n">
        <v>143830.804</v>
      </c>
      <c r="F77" s="20" t="n">
        <v>146144.796</v>
      </c>
      <c r="G77" s="20" t="n">
        <v>142550.525</v>
      </c>
      <c r="H77" s="20" t="n">
        <v>166894.357</v>
      </c>
      <c r="I77" s="20" t="n">
        <v>183586.204</v>
      </c>
      <c r="J77" s="20" t="n">
        <v>171011.665</v>
      </c>
      <c r="K77" s="20" t="n">
        <v>174662.422</v>
      </c>
      <c r="L77" s="20" t="n">
        <v>146144.796</v>
      </c>
    </row>
    <row r="78">
      <c r="A78" s="18" t="inlineStr">
        <is>
          <t>건물·구축물(순액)</t>
        </is>
      </c>
      <c r="C78" s="20" t="n">
        <v>15891.946</v>
      </c>
      <c r="D78" s="20" t="n">
        <v>16271.321</v>
      </c>
      <c r="E78" s="20" t="n">
        <v>16930.164</v>
      </c>
      <c r="F78" s="20" t="n">
        <v>19852.681</v>
      </c>
      <c r="G78" s="20" t="n">
        <v>19872.593</v>
      </c>
      <c r="H78" s="20" t="n">
        <v>11875.01</v>
      </c>
      <c r="I78" s="20" t="n">
        <v>11625.588</v>
      </c>
      <c r="J78" s="20" t="n">
        <v>11157.554</v>
      </c>
      <c r="K78" s="20" t="n">
        <v>12193.076</v>
      </c>
      <c r="L78" s="20" t="n">
        <v>19852.681</v>
      </c>
    </row>
    <row r="79">
      <c r="A79" s="18" t="inlineStr">
        <is>
          <t>토지</t>
        </is>
      </c>
      <c r="C79" s="20" t="n">
        <v>10886.698</v>
      </c>
      <c r="D79" s="20" t="n">
        <v>10882.408</v>
      </c>
      <c r="E79" s="20" t="n">
        <v>11642.478</v>
      </c>
      <c r="F79" s="20" t="n">
        <v>11766.111</v>
      </c>
      <c r="G79" s="20" t="n">
        <v>11769.869</v>
      </c>
      <c r="H79" s="20" t="n">
        <v>8682.793</v>
      </c>
      <c r="I79" s="20" t="n">
        <v>9679.620000000001</v>
      </c>
      <c r="J79" s="20" t="n">
        <v>9956.617</v>
      </c>
      <c r="K79" s="20" t="n">
        <v>10894.532</v>
      </c>
      <c r="L79" s="20" t="n">
        <v>11766.111</v>
      </c>
    </row>
    <row r="80">
      <c r="A80" s="18" t="inlineStr">
        <is>
          <t>건설중인자산</t>
        </is>
      </c>
      <c r="C80" s="20" t="n">
        <v>922.889</v>
      </c>
      <c r="D80" s="20" t="n">
        <v>2447.836</v>
      </c>
      <c r="E80" s="20" t="n">
        <v>6677.982</v>
      </c>
      <c r="F80" s="20" t="n">
        <v>6403.099</v>
      </c>
      <c r="G80" s="20" t="n">
        <v>7405.11</v>
      </c>
      <c r="H80" s="20" t="n">
        <v>8498.538</v>
      </c>
      <c r="I80" s="20" t="n">
        <v>14526.04</v>
      </c>
      <c r="J80" s="20" t="n">
        <v>14865.014</v>
      </c>
      <c r="K80" s="20" t="n">
        <v>3080.079</v>
      </c>
      <c r="L80" s="20" t="n">
        <v>6403.099</v>
      </c>
    </row>
    <row r="81">
      <c r="A81" s="18" t="inlineStr">
        <is>
          <t>기타(순액)</t>
        </is>
      </c>
      <c r="C81" s="20" t="n">
        <v>864.928</v>
      </c>
      <c r="D81" s="20" t="n">
        <v>947.153</v>
      </c>
      <c r="E81" s="20" t="n">
        <v>1085.49</v>
      </c>
      <c r="F81" s="20" t="n">
        <v>1533.839</v>
      </c>
      <c r="G81" s="20" t="n">
        <v>1607.09</v>
      </c>
      <c r="H81" s="20" t="n">
        <v>437.785</v>
      </c>
      <c r="I81" s="20" t="n">
        <v>350.916</v>
      </c>
      <c r="J81" s="20" t="n">
        <v>365.128</v>
      </c>
      <c r="K81" s="20" t="n">
        <v>543.103</v>
      </c>
      <c r="L81" s="20" t="n">
        <v>1533.839</v>
      </c>
    </row>
    <row r="82">
      <c r="A82" s="18" t="inlineStr">
        <is>
          <t>유형자산 합계</t>
        </is>
      </c>
      <c r="C82" s="20" t="n">
        <v>180725.494</v>
      </c>
      <c r="D82" s="20" t="n">
        <v>175238.336</v>
      </c>
      <c r="E82" s="20" t="n">
        <v>180166.92</v>
      </c>
      <c r="F82" s="20" t="n">
        <v>185700.528</v>
      </c>
      <c r="G82" s="20" t="n">
        <v>183205.189</v>
      </c>
      <c r="H82" s="20" t="n">
        <v>196388.487</v>
      </c>
      <c r="I82" s="20" t="n">
        <v>219768.369</v>
      </c>
      <c r="J82" s="20" t="n">
        <v>207355.98</v>
      </c>
      <c r="K82" s="20" t="n">
        <v>201373.214</v>
      </c>
      <c r="L82" s="20" t="n">
        <v>185700.528</v>
      </c>
    </row>
    <row r="83">
      <c r="A83" s="18" t="inlineStr">
        <is>
          <t>기타</t>
        </is>
      </c>
      <c r="C83" s="20" t="n">
        <v>138.812</v>
      </c>
      <c r="D83" s="20" t="n">
        <v>352.147</v>
      </c>
      <c r="E83" s="20" t="n">
        <v>184.373</v>
      </c>
      <c r="F83" s="20" t="n">
        <v>1312.629</v>
      </c>
      <c r="G83" s="20" t="n">
        <v>1342.08</v>
      </c>
      <c r="H83" s="20" t="n">
        <v>107.271</v>
      </c>
      <c r="I83" s="20" t="n">
        <v>84.03400000000001</v>
      </c>
      <c r="J83" s="20" t="n">
        <v>92.90900000000001</v>
      </c>
      <c r="K83" s="20" t="n">
        <v>117.392</v>
      </c>
      <c r="L83" s="20" t="n">
        <v>1312.629</v>
      </c>
    </row>
    <row r="84">
      <c r="A84" s="18" t="inlineStr">
        <is>
          <t>무형자산 합계</t>
        </is>
      </c>
      <c r="C84" s="20" t="n">
        <v>138.812</v>
      </c>
      <c r="D84" s="20" t="n">
        <v>352.147</v>
      </c>
      <c r="E84" s="20" t="n">
        <v>184.373</v>
      </c>
      <c r="F84" s="20" t="n">
        <v>1312.629</v>
      </c>
      <c r="G84" s="20" t="n">
        <v>1342.08</v>
      </c>
      <c r="H84" s="20" t="n">
        <v>107.271</v>
      </c>
      <c r="I84" s="20" t="n">
        <v>84.03400000000001</v>
      </c>
      <c r="J84" s="20" t="n">
        <v>92.90900000000001</v>
      </c>
      <c r="K84" s="20" t="n">
        <v>117.392</v>
      </c>
      <c r="L84" s="20" t="n">
        <v>1312.629</v>
      </c>
    </row>
    <row r="85">
      <c r="A85" s="18" t="inlineStr">
        <is>
          <t>투자유가증권</t>
        </is>
      </c>
      <c r="C85" s="20" t="n">
        <v>27410.412</v>
      </c>
      <c r="D85" s="20" t="n">
        <v>29383.509</v>
      </c>
      <c r="E85" s="20" t="n">
        <v>30518.691</v>
      </c>
      <c r="F85" s="20" t="n">
        <v>35019.48</v>
      </c>
      <c r="G85" s="20" t="n">
        <v>38726.483</v>
      </c>
      <c r="H85" s="20" t="n">
        <v>8975.879000000001</v>
      </c>
      <c r="I85" s="20" t="n">
        <v>11472.623</v>
      </c>
      <c r="J85" s="20" t="n">
        <v>15023.011</v>
      </c>
      <c r="K85" s="20" t="n">
        <v>26692.735</v>
      </c>
      <c r="L85" s="20" t="n">
        <v>35019.48</v>
      </c>
    </row>
    <row r="86">
      <c r="A86" s="18" t="inlineStr">
        <is>
          <t>장기대여금</t>
        </is>
      </c>
      <c r="C86" s="20" t="n">
        <v>3092.626</v>
      </c>
      <c r="D86" s="20" t="n">
        <v>2989.139</v>
      </c>
      <c r="E86" s="20" t="n">
        <v>2981.551</v>
      </c>
      <c r="F86" s="20" t="n">
        <v>3073.47</v>
      </c>
      <c r="G86" s="20" t="n">
        <v>2486.256</v>
      </c>
      <c r="H86" s="20" t="n">
        <v>1058.039</v>
      </c>
      <c r="I86" s="20" t="n">
        <v>1290.401</v>
      </c>
      <c r="J86" s="20" t="n">
        <v>1617.565</v>
      </c>
      <c r="K86" s="20" t="n">
        <v>2394.961</v>
      </c>
      <c r="L86" s="20" t="n">
        <v>3073.47</v>
      </c>
    </row>
    <row r="87">
      <c r="A87" s="18" t="inlineStr">
        <is>
          <t>이연법인세자산</t>
        </is>
      </c>
      <c r="C87" s="20" t="n">
        <v>439.799</v>
      </c>
      <c r="D87" s="20" t="n">
        <v>473.433</v>
      </c>
      <c r="E87" s="20" t="n">
        <v>443.976</v>
      </c>
      <c r="F87" s="20" t="n">
        <v>410.993</v>
      </c>
      <c r="G87" s="20" t="n">
        <v>410.302</v>
      </c>
      <c r="H87" s="20" t="n">
        <v>1169.606</v>
      </c>
      <c r="I87" s="20" t="n">
        <v>991.6849999999999</v>
      </c>
      <c r="J87" s="20" t="n">
        <v>616.751</v>
      </c>
      <c r="K87" s="20" t="n">
        <v>377.064</v>
      </c>
      <c r="L87" s="20" t="n">
        <v>410.993</v>
      </c>
    </row>
    <row r="88">
      <c r="A88" s="18" t="inlineStr">
        <is>
          <t>기타</t>
        </is>
      </c>
      <c r="C88" s="20" t="n">
        <v>4759.664</v>
      </c>
      <c r="D88" s="20" t="n">
        <v>3961.535</v>
      </c>
      <c r="E88" s="20" t="n">
        <v>3629.648</v>
      </c>
      <c r="F88" s="20" t="n">
        <v>3579.018</v>
      </c>
      <c r="G88" s="20" t="n">
        <v>3764.38</v>
      </c>
      <c r="H88" s="20" t="n">
        <v>1713.416</v>
      </c>
      <c r="I88" s="20" t="n">
        <v>7277.558</v>
      </c>
      <c r="J88" s="20" t="n">
        <v>5838.773</v>
      </c>
      <c r="K88" s="20" t="n">
        <v>6029.082</v>
      </c>
      <c r="L88" s="20" t="n">
        <v>3579.018</v>
      </c>
    </row>
    <row r="89">
      <c r="A89" s="18" t="inlineStr">
        <is>
          <t>투자 및 기타자산 합계</t>
        </is>
      </c>
      <c r="C89" s="20" t="n">
        <v>35702.503</v>
      </c>
      <c r="D89" s="20" t="n">
        <v>36807.617</v>
      </c>
      <c r="E89" s="20" t="n">
        <v>37573.867</v>
      </c>
      <c r="F89" s="20" t="n">
        <v>42082.962</v>
      </c>
      <c r="G89" s="20" t="n">
        <v>45387.423</v>
      </c>
      <c r="H89" s="20" t="n">
        <v>12916.941</v>
      </c>
      <c r="I89" s="20" t="n">
        <v>21032.268</v>
      </c>
      <c r="J89" s="20" t="n">
        <v>23096.101</v>
      </c>
      <c r="K89" s="20" t="n">
        <v>35493.844</v>
      </c>
      <c r="L89" s="20" t="n">
        <v>42082.962</v>
      </c>
    </row>
    <row r="90">
      <c r="A90" s="9" t="inlineStr">
        <is>
          <t>비유동자산 합계</t>
        </is>
      </c>
      <c r="C90" s="12" t="n">
        <v>216566.811</v>
      </c>
      <c r="D90" s="12" t="n">
        <v>212398.101</v>
      </c>
      <c r="E90" s="12" t="n">
        <v>217925.161</v>
      </c>
      <c r="F90" s="12" t="n">
        <v>229096.121</v>
      </c>
      <c r="G90" s="12" t="n">
        <v>229934.694</v>
      </c>
      <c r="H90" s="12" t="n">
        <v>209412.7</v>
      </c>
      <c r="I90" s="12" t="n">
        <v>240884.672</v>
      </c>
      <c r="J90" s="12" t="n">
        <v>230544.991</v>
      </c>
      <c r="K90" s="12" t="n">
        <v>236984.45</v>
      </c>
      <c r="L90" s="12" t="n">
        <v>229096.121</v>
      </c>
    </row>
    <row r="91">
      <c r="A91" s="9" t="inlineStr">
        <is>
          <t>자산 합계</t>
        </is>
      </c>
      <c r="C91" s="12" t="n">
        <v>279922.91</v>
      </c>
      <c r="D91" s="12" t="n">
        <v>274895.935</v>
      </c>
      <c r="E91" s="12" t="n">
        <v>283619.754</v>
      </c>
      <c r="F91" s="12" t="n">
        <v>292820.798</v>
      </c>
      <c r="G91" s="12" t="n">
        <v>291727.18</v>
      </c>
      <c r="H91" s="12" t="n">
        <v>237569.264</v>
      </c>
      <c r="I91" s="12" t="n">
        <v>274947.097</v>
      </c>
      <c r="J91" s="12" t="n">
        <v>276457.475</v>
      </c>
      <c r="K91" s="12" t="n">
        <v>293278.855</v>
      </c>
      <c r="L91" s="12" t="n">
        <v>292820.798</v>
      </c>
    </row>
    <row r="92">
      <c r="A92" s="18" t="inlineStr">
        <is>
          <t>해운업 미지급금</t>
        </is>
      </c>
      <c r="C92" s="20" t="n">
        <v>3910.88</v>
      </c>
      <c r="D92" s="20" t="n">
        <v>5143.29</v>
      </c>
      <c r="E92" s="20" t="n">
        <v>5767.526</v>
      </c>
      <c r="F92" s="20" t="n">
        <v>6648.021</v>
      </c>
      <c r="G92" s="20" t="n">
        <v>5557.699</v>
      </c>
      <c r="H92" s="20" t="n">
        <v>2159.168</v>
      </c>
      <c r="I92" s="20" t="n">
        <v>2708.906</v>
      </c>
      <c r="J92" s="20" t="n">
        <v>3344.901</v>
      </c>
      <c r="K92" s="20" t="n">
        <v>4123.31</v>
      </c>
      <c r="L92" s="20" t="n">
        <v>6648.021</v>
      </c>
    </row>
    <row r="93">
      <c r="A93" s="18" t="inlineStr">
        <is>
          <t>1년 내 상환 예정 사채</t>
        </is>
      </c>
      <c r="C93" s="20" t="n">
        <v>45</v>
      </c>
      <c r="D93" s="20" t="n">
        <v>0</v>
      </c>
      <c r="E93" s="20" t="n">
        <v>0</v>
      </c>
      <c r="F93" s="20" t="n">
        <v>0</v>
      </c>
      <c r="H93" s="20" t="n">
        <v>482</v>
      </c>
      <c r="I93" s="20" t="n">
        <v>240</v>
      </c>
      <c r="J93" s="20" t="n">
        <v>133</v>
      </c>
      <c r="K93" s="20" t="n">
        <v>45</v>
      </c>
      <c r="L93" s="20" t="n">
        <v>0</v>
      </c>
    </row>
    <row r="94">
      <c r="A94" s="18" t="inlineStr">
        <is>
          <t>단기차입금</t>
        </is>
      </c>
      <c r="C94" s="20" t="n">
        <v>32831.144</v>
      </c>
      <c r="D94" s="20" t="n">
        <v>38379.037</v>
      </c>
      <c r="E94" s="20" t="n">
        <v>36360.635</v>
      </c>
      <c r="F94" s="20" t="n">
        <v>37804.608</v>
      </c>
      <c r="G94" s="20" t="n">
        <v>32160.805</v>
      </c>
      <c r="H94" s="20" t="n">
        <v>28705.212</v>
      </c>
      <c r="I94" s="20" t="n">
        <v>34762.821</v>
      </c>
      <c r="J94" s="20" t="n">
        <v>30821.205</v>
      </c>
      <c r="K94" s="20" t="n">
        <v>40112.373</v>
      </c>
      <c r="L94" s="20" t="n">
        <v>37804.608</v>
      </c>
    </row>
    <row r="95">
      <c r="A95" s="18" t="inlineStr">
        <is>
          <t>리스부채</t>
        </is>
      </c>
      <c r="H95" s="20" t="n">
        <v>2.098</v>
      </c>
      <c r="I95" s="20" t="n">
        <v>0</v>
      </c>
    </row>
    <row r="96">
      <c r="A96" s="18" t="inlineStr">
        <is>
          <t>미지급금</t>
        </is>
      </c>
      <c r="C96" s="20" t="n">
        <v>1662.383</v>
      </c>
      <c r="D96" s="20" t="n">
        <v>1202.943</v>
      </c>
      <c r="E96" s="20" t="n">
        <v>1342.875</v>
      </c>
      <c r="F96" s="20" t="n">
        <v>1200.764</v>
      </c>
      <c r="G96" s="20" t="n">
        <v>715.33</v>
      </c>
      <c r="H96" s="20" t="n">
        <v>539.145</v>
      </c>
      <c r="I96" s="20" t="n">
        <v>841.01</v>
      </c>
      <c r="J96" s="20" t="n">
        <v>1012.831</v>
      </c>
      <c r="K96" s="20" t="n">
        <v>1349.001</v>
      </c>
      <c r="L96" s="20" t="n">
        <v>1200.764</v>
      </c>
    </row>
    <row r="97">
      <c r="A97" s="18" t="inlineStr">
        <is>
          <t>미지급법인세</t>
        </is>
      </c>
      <c r="C97" s="20" t="n">
        <v>1506.064</v>
      </c>
      <c r="D97" s="20" t="n">
        <v>324.548</v>
      </c>
      <c r="E97" s="20" t="n">
        <v>309.513</v>
      </c>
      <c r="F97" s="20" t="n">
        <v>445.971</v>
      </c>
      <c r="G97" s="20" t="n">
        <v>1278.894</v>
      </c>
      <c r="H97" s="20" t="n">
        <v>714.3920000000001</v>
      </c>
      <c r="I97" s="20" t="n">
        <v>395.354</v>
      </c>
      <c r="J97" s="20" t="n">
        <v>767.434</v>
      </c>
      <c r="K97" s="20" t="n">
        <v>1607.047</v>
      </c>
      <c r="L97" s="20" t="n">
        <v>445.971</v>
      </c>
    </row>
    <row r="98">
      <c r="A98" s="18" t="inlineStr">
        <is>
          <t>상여충당금</t>
        </is>
      </c>
      <c r="C98" s="20" t="n">
        <v>154.729</v>
      </c>
      <c r="D98" s="20" t="n">
        <v>246.851</v>
      </c>
      <c r="E98" s="20" t="n">
        <v>171.505</v>
      </c>
      <c r="F98" s="20" t="n">
        <v>75.873</v>
      </c>
      <c r="G98" s="20" t="n">
        <v>175.593</v>
      </c>
      <c r="H98" s="20" t="n">
        <v>46.482</v>
      </c>
      <c r="I98" s="20" t="n">
        <v>67.566</v>
      </c>
      <c r="J98" s="20" t="n">
        <v>81.51300000000001</v>
      </c>
      <c r="K98" s="20" t="n">
        <v>72.271</v>
      </c>
      <c r="L98" s="20" t="n">
        <v>75.873</v>
      </c>
    </row>
    <row r="99">
      <c r="A99" s="18" t="inlineStr">
        <is>
          <t>기타</t>
        </is>
      </c>
      <c r="C99" s="20" t="n">
        <v>7860.136</v>
      </c>
      <c r="D99" s="20" t="n">
        <v>8220.028</v>
      </c>
      <c r="E99" s="20" t="n">
        <v>10691.383</v>
      </c>
      <c r="F99" s="20" t="n">
        <v>11462.565</v>
      </c>
      <c r="G99" s="20" t="n">
        <v>10582.689</v>
      </c>
      <c r="H99" s="20" t="n">
        <v>4845.052</v>
      </c>
      <c r="I99" s="20" t="n">
        <v>8713.877</v>
      </c>
      <c r="J99" s="20" t="n">
        <v>7482.455</v>
      </c>
      <c r="K99" s="20" t="n">
        <v>9714.597</v>
      </c>
      <c r="L99" s="20" t="n">
        <v>11462.565</v>
      </c>
    </row>
    <row r="100">
      <c r="A100" s="9" t="inlineStr">
        <is>
          <t>유동부채 합계</t>
        </is>
      </c>
      <c r="C100" s="12" t="n">
        <v>47970.339</v>
      </c>
      <c r="D100" s="12" t="n">
        <v>53516.701</v>
      </c>
      <c r="E100" s="12" t="n">
        <v>54643.441</v>
      </c>
      <c r="F100" s="12" t="n">
        <v>57637.805</v>
      </c>
      <c r="G100" s="12" t="n">
        <v>50471.012</v>
      </c>
      <c r="H100" s="12" t="n">
        <v>37493.552</v>
      </c>
      <c r="I100" s="12" t="n">
        <v>47729.536</v>
      </c>
      <c r="J100" s="12" t="n">
        <v>43643.342</v>
      </c>
      <c r="K100" s="12" t="n">
        <v>57023.6</v>
      </c>
      <c r="L100" s="12" t="n">
        <v>57637.805</v>
      </c>
    </row>
    <row r="101">
      <c r="A101" s="18" t="inlineStr">
        <is>
          <t>사채</t>
        </is>
      </c>
      <c r="H101" s="20" t="n">
        <v>418</v>
      </c>
      <c r="I101" s="20" t="n">
        <v>178</v>
      </c>
      <c r="J101" s="20" t="n">
        <v>45</v>
      </c>
    </row>
    <row r="102">
      <c r="A102" s="18" t="inlineStr">
        <is>
          <t>장기차입금</t>
        </is>
      </c>
      <c r="C102" s="20" t="n">
        <v>118414.28</v>
      </c>
      <c r="D102" s="20" t="n">
        <v>110757.657</v>
      </c>
      <c r="E102" s="20" t="n">
        <v>113337.429</v>
      </c>
      <c r="F102" s="20" t="n">
        <v>118454.888</v>
      </c>
      <c r="G102" s="20" t="n">
        <v>121431.768</v>
      </c>
      <c r="H102" s="20" t="n">
        <v>144120.567</v>
      </c>
      <c r="I102" s="20" t="n">
        <v>146006.946</v>
      </c>
      <c r="J102" s="20" t="n">
        <v>136379.122</v>
      </c>
      <c r="K102" s="20" t="n">
        <v>125545.04</v>
      </c>
      <c r="L102" s="20" t="n">
        <v>118454.888</v>
      </c>
    </row>
    <row r="103">
      <c r="A103" s="18" t="inlineStr">
        <is>
          <t>리스부채</t>
        </is>
      </c>
      <c r="H103" s="20" t="n">
        <v>0.708</v>
      </c>
      <c r="I103" s="20" t="n">
        <v>0</v>
      </c>
    </row>
    <row r="104">
      <c r="A104" s="18" t="inlineStr">
        <is>
          <t>이연법인세부채</t>
        </is>
      </c>
      <c r="C104" s="20" t="n">
        <v>4812.073</v>
      </c>
      <c r="D104" s="20" t="n">
        <v>4585.839</v>
      </c>
      <c r="E104" s="20" t="n">
        <v>4985.799</v>
      </c>
      <c r="F104" s="20" t="n">
        <v>4183.934</v>
      </c>
      <c r="G104" s="20" t="n">
        <v>4165.533</v>
      </c>
      <c r="H104" s="20" t="n">
        <v>1001.427</v>
      </c>
      <c r="I104" s="20" t="n">
        <v>2950.131</v>
      </c>
      <c r="J104" s="20" t="n">
        <v>2152.157</v>
      </c>
      <c r="K104" s="20" t="n">
        <v>2517.694</v>
      </c>
      <c r="L104" s="20" t="n">
        <v>4183.934</v>
      </c>
    </row>
    <row r="105">
      <c r="A105" s="18" t="inlineStr">
        <is>
          <t>재평가 관련 이연법인세부채</t>
        </is>
      </c>
      <c r="C105" s="20" t="n">
        <v>1110.521</v>
      </c>
      <c r="D105" s="20" t="n">
        <v>1110.521</v>
      </c>
      <c r="E105" s="20" t="n">
        <v>1110.521</v>
      </c>
      <c r="F105" s="20" t="n">
        <v>1110.521</v>
      </c>
      <c r="G105" s="20" t="n">
        <v>1110.521</v>
      </c>
      <c r="H105" s="20" t="n">
        <v>1043.086</v>
      </c>
      <c r="I105" s="20" t="n">
        <v>1083.122</v>
      </c>
      <c r="J105" s="20" t="n">
        <v>1080.467</v>
      </c>
      <c r="K105" s="20" t="n">
        <v>1101.222</v>
      </c>
      <c r="L105" s="20" t="n">
        <v>1110.521</v>
      </c>
    </row>
    <row r="106">
      <c r="A106" s="18" t="inlineStr">
        <is>
          <t>임원 퇴직위로 충당금</t>
        </is>
      </c>
      <c r="C106" s="20" t="n">
        <v>134.307</v>
      </c>
      <c r="D106" s="20" t="n">
        <v>134.307</v>
      </c>
      <c r="E106" s="20" t="n">
        <v>134.307</v>
      </c>
      <c r="F106" s="20" t="n">
        <v>134.307</v>
      </c>
      <c r="G106" s="20" t="n">
        <v>134.307</v>
      </c>
      <c r="H106" s="20" t="n">
        <v>205.531</v>
      </c>
      <c r="I106" s="20" t="n">
        <v>205.531</v>
      </c>
      <c r="J106" s="20" t="n">
        <v>141.817</v>
      </c>
      <c r="K106" s="20" t="n">
        <v>135.057</v>
      </c>
      <c r="L106" s="20" t="n">
        <v>134.307</v>
      </c>
    </row>
    <row r="107">
      <c r="A107" s="18" t="inlineStr">
        <is>
          <t>특별수선충당금</t>
        </is>
      </c>
      <c r="C107" s="20" t="n">
        <v>3872.074</v>
      </c>
      <c r="D107" s="20" t="n">
        <v>3601.086</v>
      </c>
      <c r="E107" s="20" t="n">
        <v>3821.517</v>
      </c>
      <c r="F107" s="20" t="n">
        <v>3380.402</v>
      </c>
      <c r="G107" s="20" t="n">
        <v>3440.242</v>
      </c>
      <c r="H107" s="20" t="n">
        <v>2265.696</v>
      </c>
      <c r="I107" s="20" t="n">
        <v>2835.203</v>
      </c>
      <c r="J107" s="20" t="n">
        <v>3261.04</v>
      </c>
      <c r="K107" s="20" t="n">
        <v>4272.519</v>
      </c>
      <c r="L107" s="20" t="n">
        <v>3380.402</v>
      </c>
    </row>
    <row r="108">
      <c r="A108" s="18" t="inlineStr">
        <is>
          <t>충당금 계</t>
        </is>
      </c>
      <c r="C108" s="20" t="n">
        <v>4006.381</v>
      </c>
      <c r="D108" s="20" t="n">
        <v>3735.393</v>
      </c>
      <c r="E108" s="20" t="n">
        <v>3955.824</v>
      </c>
      <c r="F108" s="20" t="n">
        <v>3514.709</v>
      </c>
      <c r="G108" s="20" t="n">
        <v>3574.549</v>
      </c>
      <c r="H108" s="20" t="n">
        <v>2471.228</v>
      </c>
      <c r="I108" s="20" t="n">
        <v>3040.735</v>
      </c>
      <c r="J108" s="20" t="n">
        <v>3402.858</v>
      </c>
      <c r="K108" s="20" t="n">
        <v>4407.576</v>
      </c>
      <c r="L108" s="20" t="n">
        <v>3514.709</v>
      </c>
    </row>
    <row r="109">
      <c r="A109" s="18" t="inlineStr">
        <is>
          <t>퇴직급여부채</t>
        </is>
      </c>
      <c r="C109" s="20" t="n">
        <v>401.845</v>
      </c>
      <c r="D109" s="20" t="n">
        <v>413.223</v>
      </c>
      <c r="E109" s="20" t="n">
        <v>427.98</v>
      </c>
      <c r="F109" s="20" t="n">
        <v>437.089</v>
      </c>
      <c r="G109" s="20" t="n">
        <v>435.669</v>
      </c>
      <c r="H109" s="20" t="n">
        <v>373.309</v>
      </c>
      <c r="I109" s="20" t="n">
        <v>367.392</v>
      </c>
      <c r="J109" s="20" t="n">
        <v>371.974</v>
      </c>
      <c r="K109" s="20" t="n">
        <v>382.503</v>
      </c>
      <c r="L109" s="20" t="n">
        <v>437.089</v>
      </c>
    </row>
    <row r="110">
      <c r="A110" s="18" t="inlineStr">
        <is>
          <t>지분법 적용 관련 부채</t>
        </is>
      </c>
      <c r="C110" s="20" t="n">
        <v>296.786</v>
      </c>
      <c r="D110" s="20" t="n">
        <v>289.609</v>
      </c>
      <c r="E110" s="20" t="n">
        <v>44.714</v>
      </c>
      <c r="F110" s="20" t="n">
        <v>9.609</v>
      </c>
      <c r="G110" s="20" t="n">
        <v>8.449999999999999</v>
      </c>
      <c r="H110" s="20" t="n">
        <v>341.466</v>
      </c>
      <c r="I110" s="20" t="n">
        <v>207.87</v>
      </c>
      <c r="J110" s="20" t="n">
        <v>265.816</v>
      </c>
      <c r="K110" s="20" t="n">
        <v>275.291</v>
      </c>
      <c r="L110" s="20" t="n">
        <v>9.609</v>
      </c>
    </row>
    <row r="111">
      <c r="A111" s="18" t="inlineStr">
        <is>
          <t>기타</t>
        </is>
      </c>
      <c r="C111" s="20" t="n">
        <v>9543.648999999999</v>
      </c>
      <c r="D111" s="20" t="n">
        <v>8759.16</v>
      </c>
      <c r="E111" s="20" t="n">
        <v>9562.695</v>
      </c>
      <c r="F111" s="20" t="n">
        <v>9751.727999999999</v>
      </c>
      <c r="G111" s="20" t="n">
        <v>10581.774</v>
      </c>
      <c r="H111" s="20" t="n">
        <v>2923.599</v>
      </c>
      <c r="I111" s="20" t="n">
        <v>4949.57</v>
      </c>
      <c r="J111" s="20" t="n">
        <v>7703.342</v>
      </c>
      <c r="K111" s="20" t="n">
        <v>10811.341</v>
      </c>
      <c r="L111" s="20" t="n">
        <v>9751.727999999999</v>
      </c>
    </row>
    <row r="112">
      <c r="A112" s="9" t="inlineStr">
        <is>
          <t>비유동부채 합계</t>
        </is>
      </c>
      <c r="C112" s="12" t="n">
        <v>138585.538</v>
      </c>
      <c r="D112" s="12" t="n">
        <v>129651.405</v>
      </c>
      <c r="E112" s="12" t="n">
        <v>133424.965</v>
      </c>
      <c r="F112" s="12" t="n">
        <v>137462.48</v>
      </c>
      <c r="G112" s="12" t="n">
        <v>141308.268</v>
      </c>
      <c r="H112" s="12" t="n">
        <v>152693.394</v>
      </c>
      <c r="I112" s="12" t="n">
        <v>158783.768</v>
      </c>
      <c r="J112" s="12" t="n">
        <v>151400.739</v>
      </c>
      <c r="K112" s="12" t="n">
        <v>145040.67</v>
      </c>
      <c r="L112" s="12" t="n">
        <v>137462.48</v>
      </c>
    </row>
    <row r="113">
      <c r="A113" s="9" t="inlineStr">
        <is>
          <t>부채 합계</t>
        </is>
      </c>
      <c r="C113" s="12" t="n">
        <v>186555.877</v>
      </c>
      <c r="D113" s="12" t="n">
        <v>183168.106</v>
      </c>
      <c r="E113" s="12" t="n">
        <v>188068.406</v>
      </c>
      <c r="F113" s="12" t="n">
        <v>195100.286</v>
      </c>
      <c r="G113" s="12" t="n">
        <v>191779.28</v>
      </c>
      <c r="H113" s="12" t="n">
        <v>190186.946</v>
      </c>
      <c r="I113" s="12" t="n">
        <v>206513.305</v>
      </c>
      <c r="J113" s="12" t="n">
        <v>195044.081</v>
      </c>
      <c r="K113" s="12" t="n">
        <v>202064.271</v>
      </c>
      <c r="L113" s="12" t="n">
        <v>195100.286</v>
      </c>
    </row>
    <row r="114">
      <c r="A114" s="18" t="inlineStr">
        <is>
          <t>자본금</t>
        </is>
      </c>
      <c r="C114" s="20" t="n">
        <v>1800</v>
      </c>
      <c r="D114" s="20" t="n">
        <v>1800</v>
      </c>
      <c r="E114" s="20" t="n">
        <v>1800</v>
      </c>
      <c r="F114" s="20" t="n">
        <v>1800</v>
      </c>
      <c r="G114" s="20" t="n">
        <v>1800</v>
      </c>
      <c r="H114" s="20" t="n">
        <v>1800</v>
      </c>
      <c r="I114" s="20" t="n">
        <v>1800</v>
      </c>
      <c r="J114" s="20" t="n">
        <v>1800</v>
      </c>
      <c r="K114" s="20" t="n">
        <v>1800</v>
      </c>
      <c r="L114" s="20" t="n">
        <v>1800</v>
      </c>
    </row>
    <row r="115">
      <c r="A115" s="18" t="inlineStr">
        <is>
          <t>자본잉여금</t>
        </is>
      </c>
      <c r="C115" s="20" t="n">
        <v>776.508</v>
      </c>
      <c r="D115" s="20" t="n">
        <v>810.513</v>
      </c>
      <c r="E115" s="20" t="n">
        <v>810.513</v>
      </c>
      <c r="F115" s="20" t="n">
        <v>810.513</v>
      </c>
      <c r="G115" s="20" t="n">
        <v>810.513</v>
      </c>
      <c r="H115" s="20" t="n">
        <v>525.49</v>
      </c>
      <c r="I115" s="20" t="n">
        <v>733.6079999999999</v>
      </c>
      <c r="J115" s="20" t="n">
        <v>733.6079999999999</v>
      </c>
      <c r="K115" s="20" t="n">
        <v>776.508</v>
      </c>
      <c r="L115" s="20" t="n">
        <v>810.513</v>
      </c>
    </row>
    <row r="116">
      <c r="A116" s="18" t="inlineStr">
        <is>
          <t>이익잉여금</t>
        </is>
      </c>
      <c r="C116" s="20" t="n">
        <v>34861.532</v>
      </c>
      <c r="D116" s="20" t="n">
        <v>34782.545</v>
      </c>
      <c r="E116" s="20" t="n">
        <v>36397.032</v>
      </c>
      <c r="F116" s="20" t="n">
        <v>36280.158</v>
      </c>
      <c r="G116" s="20" t="n">
        <v>36999.856</v>
      </c>
      <c r="H116" s="20" t="n">
        <v>18275.856</v>
      </c>
      <c r="I116" s="20" t="n">
        <v>24472.827</v>
      </c>
      <c r="J116" s="20" t="n">
        <v>29513.608</v>
      </c>
      <c r="K116" s="20" t="n">
        <v>32145.815</v>
      </c>
      <c r="L116" s="20" t="n">
        <v>36280.158</v>
      </c>
    </row>
    <row r="117">
      <c r="A117" s="18" t="inlineStr">
        <is>
          <t>자기주식</t>
        </is>
      </c>
      <c r="C117" s="20" t="n">
        <v>-507.507</v>
      </c>
      <c r="D117" s="20" t="n">
        <v>-475.934</v>
      </c>
      <c r="E117" s="20" t="n">
        <v>-475.934</v>
      </c>
      <c r="F117" s="20" t="n">
        <v>-475.934</v>
      </c>
      <c r="G117" s="20" t="n">
        <v>-475.934</v>
      </c>
      <c r="H117" s="20" t="n">
        <v>-581.058</v>
      </c>
      <c r="I117" s="20" t="n">
        <v>-420.655</v>
      </c>
      <c r="J117" s="20" t="n">
        <v>-559.112</v>
      </c>
      <c r="K117" s="20" t="n">
        <v>-507.507</v>
      </c>
      <c r="L117" s="20" t="n">
        <v>-475.934</v>
      </c>
    </row>
    <row r="118">
      <c r="A118" s="9" t="inlineStr">
        <is>
          <t>주주자본 합계</t>
        </is>
      </c>
      <c r="C118" s="12" t="n">
        <v>36930.533</v>
      </c>
      <c r="D118" s="12" t="n">
        <v>36917.124</v>
      </c>
      <c r="E118" s="12" t="n">
        <v>38531.611</v>
      </c>
      <c r="F118" s="12" t="n">
        <v>38414.736</v>
      </c>
      <c r="G118" s="12" t="n">
        <v>39134.435</v>
      </c>
      <c r="H118" s="12" t="n">
        <v>20020.289</v>
      </c>
      <c r="I118" s="12" t="n">
        <v>26585.779</v>
      </c>
      <c r="J118" s="12" t="n">
        <v>31488.103</v>
      </c>
      <c r="K118" s="12" t="n">
        <v>34214.816</v>
      </c>
      <c r="L118" s="12" t="n">
        <v>38414.736</v>
      </c>
    </row>
    <row r="119">
      <c r="A119" s="18" t="inlineStr">
        <is>
          <t>기타유가증권 평가차액</t>
        </is>
      </c>
      <c r="C119" s="20" t="n">
        <v>2602.308</v>
      </c>
      <c r="D119" s="20" t="n">
        <v>3260.753</v>
      </c>
      <c r="E119" s="20" t="n">
        <v>3659.318</v>
      </c>
      <c r="F119" s="20" t="n">
        <v>3888.007</v>
      </c>
      <c r="G119" s="20" t="n">
        <v>4592.18</v>
      </c>
      <c r="H119" s="20" t="n">
        <v>410.414</v>
      </c>
      <c r="I119" s="20" t="n">
        <v>656.702</v>
      </c>
      <c r="J119" s="20" t="n">
        <v>1750.217</v>
      </c>
      <c r="K119" s="20" t="n">
        <v>2365.995</v>
      </c>
      <c r="L119" s="20" t="n">
        <v>3888.007</v>
      </c>
    </row>
    <row r="120">
      <c r="A120" s="18" t="inlineStr">
        <is>
          <t>이연헤지손익</t>
        </is>
      </c>
      <c r="C120" s="20" t="n">
        <v>1510.871</v>
      </c>
      <c r="D120" s="20" t="n">
        <v>1255.22</v>
      </c>
      <c r="E120" s="20" t="n">
        <v>1164.175</v>
      </c>
      <c r="F120" s="20" t="n">
        <v>1202.048</v>
      </c>
      <c r="G120" s="20" t="n">
        <v>1282.206</v>
      </c>
      <c r="H120" s="20" t="n">
        <v>38.498</v>
      </c>
      <c r="I120" s="20" t="n">
        <v>2598.797</v>
      </c>
      <c r="J120" s="20" t="n">
        <v>2119.489</v>
      </c>
      <c r="K120" s="20" t="n">
        <v>2080.525</v>
      </c>
      <c r="L120" s="20" t="n">
        <v>1202.048</v>
      </c>
    </row>
    <row r="121">
      <c r="A121" s="18" t="inlineStr">
        <is>
          <t>토지재평가차액금</t>
        </is>
      </c>
      <c r="C121" s="20" t="n">
        <v>1861.388</v>
      </c>
      <c r="D121" s="20" t="n">
        <v>1861.388</v>
      </c>
      <c r="E121" s="20" t="n">
        <v>1861.388</v>
      </c>
      <c r="F121" s="20" t="n">
        <v>1861.388</v>
      </c>
      <c r="G121" s="20" t="n">
        <v>1861.388</v>
      </c>
      <c r="H121" s="20" t="n">
        <v>1906.276</v>
      </c>
      <c r="I121" s="20" t="n">
        <v>1891.582</v>
      </c>
      <c r="J121" s="20" t="n">
        <v>1885.556</v>
      </c>
      <c r="K121" s="20" t="n">
        <v>1864.801</v>
      </c>
      <c r="L121" s="20" t="n">
        <v>1861.388</v>
      </c>
    </row>
    <row r="122">
      <c r="A122" s="18" t="inlineStr">
        <is>
          <t>해외사업환산조정</t>
        </is>
      </c>
      <c r="C122" s="20" t="n">
        <v>5813.558</v>
      </c>
      <c r="D122" s="20" t="n">
        <v>5948.261</v>
      </c>
      <c r="E122" s="20" t="n">
        <v>6743.602</v>
      </c>
      <c r="F122" s="20" t="n">
        <v>7935.717</v>
      </c>
      <c r="G122" s="20" t="n">
        <v>8510.352000000001</v>
      </c>
      <c r="H122" s="20" t="n">
        <v>1597.202</v>
      </c>
      <c r="I122" s="20" t="n">
        <v>3599.761</v>
      </c>
      <c r="J122" s="20" t="n">
        <v>5530.726</v>
      </c>
      <c r="K122" s="20" t="n">
        <v>7229.876</v>
      </c>
      <c r="L122" s="20" t="n">
        <v>7935.717</v>
      </c>
    </row>
    <row r="123">
      <c r="A123" s="18" t="inlineStr">
        <is>
          <t>기타포괄손익누계액 합계</t>
        </is>
      </c>
      <c r="C123" s="20" t="n">
        <v>11788.127</v>
      </c>
      <c r="D123" s="20" t="n">
        <v>12325.624</v>
      </c>
      <c r="E123" s="20" t="n">
        <v>13428.484</v>
      </c>
      <c r="F123" s="20" t="n">
        <v>14887.161</v>
      </c>
      <c r="G123" s="20" t="n">
        <v>16246.127</v>
      </c>
      <c r="H123" s="20" t="n">
        <v>3952.392</v>
      </c>
      <c r="I123" s="20" t="n">
        <v>8746.843999999999</v>
      </c>
      <c r="J123" s="20" t="n">
        <v>11285.989</v>
      </c>
      <c r="K123" s="20" t="n">
        <v>13541.198</v>
      </c>
      <c r="L123" s="20" t="n">
        <v>14887.161</v>
      </c>
    </row>
    <row r="124">
      <c r="A124" s="18" t="inlineStr">
        <is>
          <t>비지배지분</t>
        </is>
      </c>
      <c r="C124" s="20" t="n">
        <v>44648.371</v>
      </c>
      <c r="D124" s="20" t="n">
        <v>42485.079</v>
      </c>
      <c r="E124" s="20" t="n">
        <v>43591.251</v>
      </c>
      <c r="F124" s="20" t="n">
        <v>44418.613</v>
      </c>
      <c r="G124" s="20" t="n">
        <v>44567.336</v>
      </c>
      <c r="H124" s="20" t="n">
        <v>23409.636</v>
      </c>
      <c r="I124" s="20" t="n">
        <v>33101.168</v>
      </c>
      <c r="J124" s="20" t="n">
        <v>38639.3</v>
      </c>
      <c r="K124" s="20" t="n">
        <v>43458.568</v>
      </c>
      <c r="L124" s="20" t="n">
        <v>44418.613</v>
      </c>
    </row>
    <row r="125">
      <c r="A125" s="9" t="inlineStr">
        <is>
          <t>순자산 합계</t>
        </is>
      </c>
      <c r="C125" s="12" t="n">
        <v>93367.03200000001</v>
      </c>
      <c r="D125" s="12" t="n">
        <v>91727.82799999999</v>
      </c>
      <c r="E125" s="12" t="n">
        <v>95551.34699999999</v>
      </c>
      <c r="F125" s="12" t="n">
        <v>97720.511</v>
      </c>
      <c r="G125" s="12" t="n">
        <v>99947.899</v>
      </c>
      <c r="H125" s="12" t="n">
        <v>47382.318</v>
      </c>
      <c r="I125" s="12" t="n">
        <v>68433.792</v>
      </c>
      <c r="J125" s="12" t="n">
        <v>81413.394</v>
      </c>
      <c r="K125" s="12" t="n">
        <v>91214.584</v>
      </c>
      <c r="L125" s="12" t="n">
        <v>97720.511</v>
      </c>
    </row>
    <row r="126">
      <c r="A126" s="9" t="inlineStr">
        <is>
          <t>부채·순자산 합계</t>
        </is>
      </c>
      <c r="C126" s="12" t="n">
        <v>279922.91</v>
      </c>
      <c r="D126" s="12" t="n">
        <v>274895.935</v>
      </c>
      <c r="E126" s="12" t="n">
        <v>283619.754</v>
      </c>
      <c r="F126" s="12" t="n">
        <v>292820.798</v>
      </c>
      <c r="G126" s="12" t="n">
        <v>291727.18</v>
      </c>
      <c r="H126" s="12" t="n">
        <v>237569.264</v>
      </c>
      <c r="I126" s="12" t="n">
        <v>274947.097</v>
      </c>
      <c r="J126" s="12" t="n">
        <v>276457.475</v>
      </c>
      <c r="K126" s="12" t="n">
        <v>293278.855</v>
      </c>
      <c r="L126" s="12" t="n">
        <v>292820.798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https://www2.jpx.co.jp/disc/91150/140120260729501426.pdf</t>
        </is>
      </c>
    </row>
    <row r="5">
      <c r="A5" t="inlineStr">
        <is>
          <t>2026-05-14</t>
        </is>
      </c>
      <c r="B5" t="inlineStr">
        <is>
          <t>2026년 3월 결산기 연간 결산단신</t>
        </is>
      </c>
      <c r="C5" t="inlineStr">
        <is>
          <t>https://www2.jpx.co.jp/disc/91150/140120260513530388.pdf</t>
        </is>
      </c>
    </row>
    <row r="6">
      <c r="A6" t="inlineStr">
        <is>
          <t>2026-01-29</t>
        </is>
      </c>
      <c r="B6" t="inlineStr">
        <is>
          <t>2026년 3월 결산기 ３분기 결산단신</t>
        </is>
      </c>
      <c r="C6" t="inlineStr">
        <is>
          <t>https://www2.jpx.co.jp/disc/91150/140120260128540114.pdf</t>
        </is>
      </c>
    </row>
    <row r="7">
      <c r="A7" t="inlineStr">
        <is>
          <t>2025-10-31</t>
        </is>
      </c>
      <c r="B7" t="inlineStr">
        <is>
          <t>2026년 3월 결산기 ２분기 결산단신</t>
        </is>
      </c>
      <c r="C7" t="inlineStr">
        <is>
          <t>https://www2.jpx.co.jp/disc/91150/140120251030583658.pdf</t>
        </is>
      </c>
    </row>
    <row r="8">
      <c r="A8" t="inlineStr">
        <is>
          <t>2025-07-30</t>
        </is>
      </c>
      <c r="B8" t="inlineStr">
        <is>
          <t>2026년 3월 결산기 １분기 결산단신</t>
        </is>
      </c>
      <c r="C8" t="inlineStr">
        <is>
          <t>https://www2.jpx.co.jp/disc/91150/140120250728521621.pdf</t>
        </is>
      </c>
    </row>
    <row r="9">
      <c r="A9" t="inlineStr">
        <is>
          <t>2025-01-31</t>
        </is>
      </c>
      <c r="B9" t="inlineStr">
        <is>
          <t>2025년 3월 결산기 ３분기 결산단신</t>
        </is>
      </c>
      <c r="C9" t="inlineStr">
        <is>
          <t>https://www2.jpx.co.jp/disc/91150/140120250130558172.pdf</t>
        </is>
      </c>
    </row>
    <row r="10">
      <c r="A10" t="inlineStr">
        <is>
          <t>2024-10-31</t>
        </is>
      </c>
      <c r="B10" t="inlineStr">
        <is>
          <t>2025년 3월 결산기 ２분기 결산단신</t>
        </is>
      </c>
      <c r="C10" t="inlineStr">
        <is>
          <t>https://www2.jpx.co.jp/disc/91150/140120241030505951.pdf</t>
        </is>
      </c>
    </row>
    <row r="11">
      <c r="A11" t="inlineStr">
        <is>
          <t>2024-07-31</t>
        </is>
      </c>
      <c r="B11" t="inlineStr">
        <is>
          <t>2025년 3월 결산기 １분기 결산단신</t>
        </is>
      </c>
      <c r="C11" t="inlineStr">
        <is>
          <t>https://www2.jpx.co.jp/disc/91150/140120240729556824.pdf</t>
        </is>
      </c>
    </row>
    <row r="12">
      <c r="A12" t="inlineStr">
        <is>
          <t>2024-05-15</t>
        </is>
      </c>
      <c r="B12" t="inlineStr">
        <is>
          <t>2024년 3월 결산기 연간 결산단신</t>
        </is>
      </c>
      <c r="C12" t="inlineStr">
        <is>
          <t>https://www2.jpx.co.jp/disc/91150/140120240514596365.pdf</t>
        </is>
      </c>
    </row>
    <row r="13">
      <c r="A13" t="inlineStr">
        <is>
          <t>2024-01-31</t>
        </is>
      </c>
      <c r="B13" t="inlineStr">
        <is>
          <t>2024년 3월 결산기 ３분기 결산단신</t>
        </is>
      </c>
      <c r="C13" t="inlineStr">
        <is>
          <t>https://www2.jpx.co.jp/disc/91150/140120240130521879.pdf</t>
        </is>
      </c>
    </row>
    <row r="14">
      <c r="A14" t="inlineStr">
        <is>
          <t>2023-10-27</t>
        </is>
      </c>
      <c r="B14" t="inlineStr">
        <is>
          <t>2024년 3월 결산기 ２분기 결산단신</t>
        </is>
      </c>
      <c r="C14" t="inlineStr">
        <is>
          <t>https://www2.jpx.co.jp/disc/91150/140120231026572577.pdf</t>
        </is>
      </c>
    </row>
    <row r="15">
      <c r="A15" t="inlineStr">
        <is>
          <t>2023-07-27</t>
        </is>
      </c>
      <c r="B15" t="inlineStr">
        <is>
          <t>2024년 3월 결산기 １분기 결산단신</t>
        </is>
      </c>
      <c r="C15" t="inlineStr">
        <is>
          <t>https://www2.jpx.co.jp/disc/91150/140120230726527141.pdf</t>
        </is>
      </c>
    </row>
    <row r="16">
      <c r="A16" t="inlineStr">
        <is>
          <t>2023-05-12</t>
        </is>
      </c>
      <c r="B16" t="inlineStr">
        <is>
          <t>2023년 3월 결산기 연간 결산단신</t>
        </is>
      </c>
      <c r="C16" t="inlineStr">
        <is>
          <t>https://www2.jpx.co.jp/disc/91150/140120230511567535.pdf</t>
        </is>
      </c>
    </row>
    <row r="17">
      <c r="A17" t="inlineStr">
        <is>
          <t>2023-01-27</t>
        </is>
      </c>
      <c r="B17" t="inlineStr">
        <is>
          <t>2023년 3월 결산기 ３분기 결산단신</t>
        </is>
      </c>
      <c r="C17" t="inlineStr">
        <is>
          <t>https://www2.jpx.co.jp/disc/91150/140120230126593963.pdf</t>
        </is>
      </c>
    </row>
    <row r="18">
      <c r="A18" t="inlineStr">
        <is>
          <t>2022-10-28</t>
        </is>
      </c>
      <c r="B18" t="inlineStr">
        <is>
          <t>2023년 3월 결산기 ２분기 결산단신</t>
        </is>
      </c>
      <c r="C18" t="inlineStr">
        <is>
          <t>https://www2.jpx.co.jp/disc/91150/140120221027550479.pdf</t>
        </is>
      </c>
    </row>
    <row r="19">
      <c r="A19" t="inlineStr">
        <is>
          <t>2022-07-28</t>
        </is>
      </c>
      <c r="B19" t="inlineStr">
        <is>
          <t>2023년 3월 결산기 １분기 결산단신</t>
        </is>
      </c>
      <c r="C19" t="inlineStr">
        <is>
          <t>https://www2.jpx.co.jp/disc/91150/140120220727505408.pdf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https://www2.jpx.co.jp/disc/91150/140120220512544087.pdf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https://www2.jpx.co.jp/disc/91150/140120210513416973.pdf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https://www2.jpx.co.jp/disc/91150/140120200514413718.pdf</t>
        </is>
      </c>
    </row>
    <row r="23">
      <c r="A23" t="inlineStr">
        <is>
          <t>2019-05-09</t>
        </is>
      </c>
      <c r="B23" t="inlineStr">
        <is>
          <t>2019년 3월 결산기 연간 결산단신</t>
        </is>
      </c>
      <c r="C23" t="inlineStr">
        <is>
          <t>https://www2.jpx.co.jp/disc/91150/140120190508417781.pdf</t>
        </is>
      </c>
    </row>
    <row r="24">
      <c r="A24" t="inlineStr">
        <is>
          <t>2018-05-15</t>
        </is>
      </c>
      <c r="B24" t="inlineStr">
        <is>
          <t>연간 결산단신</t>
        </is>
      </c>
      <c r="C24" t="inlineStr">
        <is>
          <t>https://www2.jpx.co.jp/disc/91150/140120180514436881.pdf</t>
        </is>
      </c>
    </row>
    <row r="25">
      <c r="A25" t="inlineStr">
        <is>
          <t>2017-05-15</t>
        </is>
      </c>
      <c r="B25" t="inlineStr">
        <is>
          <t>연간 결산단신</t>
        </is>
      </c>
      <c r="C25" t="inlineStr">
        <is>
          <t>https://www2.jpx.co.jp/disc/91150/140120170509463612.pdf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2026-10-26T10:59:29Z</dcterms:created>
  <dcterms:modified xmlns:dcterms="http://purl.org/dc/terms/" xmlns:xsi="http://www.w3.org/2001/XMLSchema-instance" xsi:type="dcterms:W3CDTF">2026-10-26T10:59:30Z</dcterms:modified>
</cp:coreProperties>
</file>