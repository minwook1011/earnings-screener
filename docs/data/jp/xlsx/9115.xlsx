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9115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18095.596</v>
      </c>
      <c r="D4" s="12" t="n">
        <v>14609.033</v>
      </c>
      <c r="E4" s="12" t="n">
        <v>15969.799</v>
      </c>
      <c r="F4" s="12" t="n">
        <v>16930.081</v>
      </c>
      <c r="G4" s="12" t="n">
        <v>15565.653</v>
      </c>
      <c r="H4" s="12" t="n">
        <v>19078.672</v>
      </c>
      <c r="I4" s="12" t="n">
        <v>15373.409</v>
      </c>
      <c r="J4" s="12" t="n">
        <v>14491.028</v>
      </c>
      <c r="K4" s="12" t="n">
        <v>15479.851</v>
      </c>
      <c r="L4" s="12" t="n">
        <v>15927.359</v>
      </c>
      <c r="M4" s="12" t="n">
        <v>15459.715</v>
      </c>
      <c r="N4" s="12" t="n">
        <v>15410.827</v>
      </c>
      <c r="O4" s="11" t="n">
        <v>37404.264</v>
      </c>
      <c r="P4" s="12" t="n">
        <v>41768.196</v>
      </c>
      <c r="Q4" s="12" t="n">
        <v>42604.106</v>
      </c>
      <c r="R4" s="12" t="n">
        <v>43881.284</v>
      </c>
      <c r="S4" s="12" t="n">
        <v>40153.086</v>
      </c>
      <c r="T4" s="12" t="n">
        <v>45815.168</v>
      </c>
      <c r="U4" s="12" t="n">
        <v>58061.579</v>
      </c>
      <c r="V4" s="12" t="n">
        <v>65018.086</v>
      </c>
      <c r="W4" s="12" t="n">
        <v>67544.205</v>
      </c>
      <c r="X4" s="12" t="n">
        <v>61271.647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InternationalShippingReportableSegmentsMember</t>
        </is>
      </c>
      <c r="B7" s="10" t="n"/>
      <c r="C7" s="19" t="n">
        <v>15157.543</v>
      </c>
      <c r="D7" s="20" t="n"/>
      <c r="E7" s="20" t="n">
        <v>13681.75</v>
      </c>
      <c r="F7" s="20" t="n">
        <v>14817.662</v>
      </c>
      <c r="G7" s="20" t="n">
        <v>12430.196</v>
      </c>
      <c r="H7" s="20" t="n">
        <v>16626.401</v>
      </c>
      <c r="I7" s="20" t="n">
        <v>12756.905</v>
      </c>
      <c r="J7" s="20" t="n">
        <v>12115.663</v>
      </c>
      <c r="K7" s="20" t="n">
        <v>12303.825</v>
      </c>
      <c r="L7" s="20" t="n">
        <v>13313.049</v>
      </c>
      <c r="M7" s="20" t="n">
        <v>12775.7</v>
      </c>
      <c r="N7" s="20" t="n">
        <v>13009.684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57556.009</v>
      </c>
      <c r="X7" s="20" t="n">
        <v>50489.442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HotelAndHotelRelatedBusinessReportableSegmentsMember</t>
        </is>
      </c>
      <c r="B10" s="10" t="n"/>
      <c r="C10" s="19" t="n">
        <v>2799.533</v>
      </c>
      <c r="D10" s="20" t="n"/>
      <c r="E10" s="20" t="n">
        <v>2149.948</v>
      </c>
      <c r="F10" s="20" t="n">
        <v>1971.702</v>
      </c>
      <c r="G10" s="20" t="n">
        <v>2994.394</v>
      </c>
      <c r="H10" s="20" t="n">
        <v>2301.995</v>
      </c>
      <c r="I10" s="20" t="n">
        <v>2462.798</v>
      </c>
      <c r="J10" s="20" t="n">
        <v>2224.354</v>
      </c>
      <c r="K10" s="20" t="n">
        <v>3015.235</v>
      </c>
      <c r="L10" s="20" t="n">
        <v>2427.424</v>
      </c>
      <c r="M10" s="20" t="n">
        <v>2469.79</v>
      </c>
      <c r="N10" s="20" t="n">
        <v>2223.042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9418.039000000001</v>
      </c>
      <c r="X10" s="20" t="n">
        <v>10129.811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LeasingReportableSegmentsMember</t>
        </is>
      </c>
      <c r="B13" s="10" t="n"/>
      <c r="C13" s="19" t="n"/>
      <c r="D13" s="20" t="n"/>
      <c r="E13" s="20" t="n"/>
      <c r="F13" s="20" t="n"/>
      <c r="G13" s="20" t="n"/>
      <c r="H13" s="20" t="n">
        <v>150.276</v>
      </c>
      <c r="I13" s="20" t="n"/>
      <c r="J13" s="20" t="n"/>
      <c r="K13" s="20" t="n"/>
      <c r="L13" s="20" t="n">
        <v>186.886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570.1559999999999</v>
      </c>
      <c r="X13" s="20" t="n">
        <v>652.393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RealEstateLeasingReportableSegmentsMember</t>
        </is>
      </c>
      <c r="B16" s="10" t="n"/>
      <c r="C16" s="19" t="n"/>
      <c r="D16" s="20" t="n"/>
      <c r="E16" s="20" t="n">
        <v>138.1</v>
      </c>
      <c r="F16" s="20" t="n">
        <v>140.717</v>
      </c>
      <c r="G16" s="20" t="n"/>
      <c r="H16" s="20" t="n"/>
      <c r="I16" s="20" t="n">
        <v>153.705</v>
      </c>
      <c r="J16" s="20" t="n">
        <v>151.011</v>
      </c>
      <c r="K16" s="20" t="n"/>
      <c r="L16" s="20" t="n"/>
      <c r="M16" s="20" t="n">
        <v>214.224</v>
      </c>
      <c r="N16" s="20" t="n">
        <v>178.101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15969.799</v>
      </c>
      <c r="F19" s="20" t="n"/>
      <c r="G19" s="20" t="n"/>
      <c r="H19" s="20" t="n"/>
      <c r="I19" s="20" t="n">
        <v>15373.409</v>
      </c>
      <c r="J19" s="20" t="n"/>
      <c r="K19" s="20" t="n"/>
      <c r="L19" s="20" t="n"/>
      <c r="M19" s="20" t="n">
        <v>15459.715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13531.079</v>
      </c>
      <c r="D23" s="20" t="n">
        <v>11242.75</v>
      </c>
      <c r="E23" s="20" t="n">
        <v>11679.84</v>
      </c>
      <c r="F23" s="20" t="n">
        <v>13195.389</v>
      </c>
      <c r="G23" s="20" t="n">
        <v>11250.812</v>
      </c>
      <c r="H23" s="20" t="n">
        <v>15015.339</v>
      </c>
      <c r="I23" s="20" t="n">
        <v>11853.792</v>
      </c>
      <c r="J23" s="20" t="n">
        <v>12250.789</v>
      </c>
      <c r="K23" s="20" t="n">
        <v>12325.112</v>
      </c>
      <c r="L23" s="20" t="n">
        <v>15254.662</v>
      </c>
      <c r="M23" s="20" t="n">
        <v>12862.571</v>
      </c>
      <c r="N23" s="20" t="n">
        <v>13405.778</v>
      </c>
      <c r="O23" s="19" t="n">
        <v>27880.069</v>
      </c>
      <c r="P23" s="20" t="n">
        <v>32396.286</v>
      </c>
      <c r="Q23" s="20" t="n">
        <v>33523.392</v>
      </c>
      <c r="R23" s="20" t="n">
        <v>34214.206</v>
      </c>
      <c r="S23" s="20" t="n">
        <v>33997.148</v>
      </c>
      <c r="T23" s="20" t="n">
        <v>37341.72</v>
      </c>
      <c r="U23" s="20" t="n">
        <v>44899.639</v>
      </c>
      <c r="V23" s="20" t="n">
        <v>48648.036</v>
      </c>
      <c r="W23" s="20" t="n">
        <v>51141.38</v>
      </c>
      <c r="X23" s="20" t="n">
        <v>51684.355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1253.755</v>
      </c>
      <c r="D29" s="20" t="n">
        <v>1320.627</v>
      </c>
      <c r="E29" s="20" t="n">
        <v>1239.94</v>
      </c>
      <c r="F29" s="20" t="n">
        <v>1319.518</v>
      </c>
      <c r="G29" s="20" t="n">
        <v>1407.977</v>
      </c>
      <c r="H29" s="20" t="n">
        <v>1421.011</v>
      </c>
      <c r="I29" s="20" t="n">
        <v>1369.579</v>
      </c>
      <c r="J29" s="20" t="n">
        <v>1427.818</v>
      </c>
      <c r="K29" s="20" t="n">
        <v>1555.876</v>
      </c>
      <c r="L29" s="20" t="n">
        <v>1527.009</v>
      </c>
      <c r="M29" s="20" t="n">
        <v>1519.815</v>
      </c>
      <c r="N29" s="20" t="n">
        <v>1587.193</v>
      </c>
      <c r="O29" s="19" t="n">
        <v>3659.182</v>
      </c>
      <c r="P29" s="20" t="n">
        <v>3780.706</v>
      </c>
      <c r="Q29" s="20" t="n">
        <v>4153.069</v>
      </c>
      <c r="R29" s="20" t="n">
        <v>4222.225</v>
      </c>
      <c r="S29" s="20" t="n">
        <v>4074.127</v>
      </c>
      <c r="T29" s="20" t="n">
        <v>4071.676</v>
      </c>
      <c r="U29" s="20" t="n">
        <v>4397.148</v>
      </c>
      <c r="V29" s="20" t="n">
        <v>4971.319</v>
      </c>
      <c r="W29" s="20" t="n">
        <v>5388.446</v>
      </c>
      <c r="X29" s="20" t="n">
        <v>5880.282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3310.762</v>
      </c>
      <c r="D31" s="12" t="n">
        <v>2045.655</v>
      </c>
      <c r="E31" s="12" t="n">
        <v>3050.018</v>
      </c>
      <c r="F31" s="12" t="n">
        <v>2415.173</v>
      </c>
      <c r="G31" s="12" t="n">
        <v>2906.865</v>
      </c>
      <c r="H31" s="12" t="n">
        <v>2642.322</v>
      </c>
      <c r="I31" s="12" t="n">
        <v>2150.038</v>
      </c>
      <c r="J31" s="12" t="n">
        <v>812.42</v>
      </c>
      <c r="K31" s="12" t="n">
        <v>1598.862</v>
      </c>
      <c r="L31" s="12" t="n">
        <v>-854.311</v>
      </c>
      <c r="M31" s="12" t="n">
        <v>1077.328</v>
      </c>
      <c r="N31" s="12" t="n">
        <v>417.856</v>
      </c>
      <c r="O31" s="11" t="n">
        <v>5865.012</v>
      </c>
      <c r="P31" s="12" t="n">
        <v>5591.203</v>
      </c>
      <c r="Q31" s="12" t="n">
        <v>4927.644</v>
      </c>
      <c r="R31" s="12" t="n">
        <v>5444.852</v>
      </c>
      <c r="S31" s="12" t="n">
        <v>2081.81</v>
      </c>
      <c r="T31" s="12" t="n">
        <v>4401.77</v>
      </c>
      <c r="U31" s="12" t="n">
        <v>8764.790999999999</v>
      </c>
      <c r="V31" s="12" t="n">
        <v>11398.729</v>
      </c>
      <c r="W31" s="12" t="n">
        <v>11014.378</v>
      </c>
      <c r="X31" s="12" t="n">
        <v>3707.009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672.377</v>
      </c>
      <c r="D47" s="20" t="n">
        <v>5396.534</v>
      </c>
      <c r="E47" s="20" t="n">
        <v>0</v>
      </c>
      <c r="F47" s="20" t="n">
        <v>0</v>
      </c>
      <c r="G47" s="20" t="n">
        <v>0</v>
      </c>
      <c r="H47" s="20" t="n">
        <v>0</v>
      </c>
      <c r="I47" s="20" t="n">
        <v>8091.83</v>
      </c>
      <c r="J47" s="20" t="n">
        <v>1093.151</v>
      </c>
      <c r="K47" s="20" t="n">
        <v>1146.219</v>
      </c>
      <c r="L47" s="20" t="n">
        <v>350.04</v>
      </c>
      <c r="M47" s="20" t="n">
        <v>913.801</v>
      </c>
      <c r="N47" s="20" t="n">
        <v>14.937</v>
      </c>
      <c r="O47" s="19" t="n">
        <v>0</v>
      </c>
      <c r="P47" s="20" t="n">
        <v>0</v>
      </c>
      <c r="Q47" s="20" t="n">
        <v>55.67</v>
      </c>
      <c r="R47" s="20" t="n">
        <v>1046.173</v>
      </c>
      <c r="S47" s="20" t="n">
        <v>1851.832</v>
      </c>
      <c r="T47" s="20" t="n">
        <v>2786.601</v>
      </c>
      <c r="U47" s="20" t="n">
        <v>7466.533</v>
      </c>
      <c r="V47" s="20" t="n">
        <v>7386.239</v>
      </c>
      <c r="W47" s="20" t="n">
        <v>0</v>
      </c>
      <c r="X47" s="20" t="n">
        <v>10681.24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0</v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152.076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19" t="n">
        <v>1564.966</v>
      </c>
      <c r="P49" s="20" t="n">
        <v>37.26</v>
      </c>
      <c r="Q49" s="20" t="n">
        <v>0</v>
      </c>
      <c r="R49" s="20" t="n">
        <v>1541.436</v>
      </c>
      <c r="S49" s="20" t="n">
        <v>2054.932</v>
      </c>
      <c r="T49" s="20" t="n">
        <v>0</v>
      </c>
      <c r="U49" s="20" t="n">
        <v>30.853</v>
      </c>
      <c r="V49" s="20" t="n">
        <v>0</v>
      </c>
      <c r="W49" s="20" t="n">
        <v>0</v>
      </c>
      <c r="X49" s="20" t="n">
        <v>152.076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1106.537</v>
      </c>
      <c r="D51" s="20" t="n">
        <v>349.86</v>
      </c>
      <c r="E51" s="20" t="n">
        <v>739.563</v>
      </c>
      <c r="F51" s="20" t="n">
        <v>1203.788</v>
      </c>
      <c r="G51" s="20" t="n">
        <v>980.11</v>
      </c>
      <c r="H51" s="20" t="n">
        <v>2974.933</v>
      </c>
      <c r="I51" s="20" t="n">
        <v>1283.074</v>
      </c>
      <c r="J51" s="20" t="n">
        <v>282.255</v>
      </c>
      <c r="K51" s="20" t="n">
        <v>1211.465</v>
      </c>
      <c r="L51" s="20" t="n">
        <v>1208.338</v>
      </c>
      <c r="M51" s="20" t="n">
        <v>1730.892</v>
      </c>
      <c r="N51" s="20" t="n">
        <v>2495.95</v>
      </c>
      <c r="O51" s="19" t="n">
        <v>728.764</v>
      </c>
      <c r="P51" s="20" t="n">
        <v>1152.368</v>
      </c>
      <c r="Q51" s="20" t="n">
        <v>1561.726</v>
      </c>
      <c r="R51" s="20" t="n">
        <v>1137.777</v>
      </c>
      <c r="S51" s="20" t="n">
        <v>2654.831</v>
      </c>
      <c r="T51" s="20" t="n">
        <v>2791.865</v>
      </c>
      <c r="U51" s="20" t="n">
        <v>3060.269</v>
      </c>
      <c r="V51" s="20" t="n">
        <v>2523.826</v>
      </c>
      <c r="W51" s="20" t="n">
        <v>5898.394</v>
      </c>
      <c r="X51" s="20" t="n">
        <v>3985.132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2672.423</v>
      </c>
      <c r="D53" s="20" t="n">
        <v>710.083</v>
      </c>
      <c r="E53" s="20" t="n">
        <v>2043.843</v>
      </c>
      <c r="F53" s="20" t="n">
        <v>3287.446</v>
      </c>
      <c r="G53" s="20" t="n">
        <v>289.555</v>
      </c>
      <c r="H53" s="20" t="n">
        <v>2160.466</v>
      </c>
      <c r="I53" s="20" t="n">
        <v>1570.587</v>
      </c>
      <c r="J53" s="20" t="n">
        <v>2599.359</v>
      </c>
      <c r="K53" s="20" t="n">
        <v>961.421</v>
      </c>
      <c r="L53" s="20" t="n">
        <v>1362.932</v>
      </c>
      <c r="M53" s="20" t="n">
        <v>1137.228</v>
      </c>
      <c r="N53" s="20" t="n">
        <v>1176.566</v>
      </c>
      <c r="O53" s="19" t="n">
        <v>2042.03</v>
      </c>
      <c r="P53" s="20" t="n">
        <v>2252.014</v>
      </c>
      <c r="Q53" s="20" t="n">
        <v>2110.971</v>
      </c>
      <c r="R53" s="20" t="n">
        <v>2327.073</v>
      </c>
      <c r="S53" s="20" t="n">
        <v>2113.461</v>
      </c>
      <c r="T53" s="20" t="n">
        <v>2847.469</v>
      </c>
      <c r="U53" s="20" t="n">
        <v>5381.455</v>
      </c>
      <c r="V53" s="20" t="n">
        <v>8085.797</v>
      </c>
      <c r="W53" s="20" t="n">
        <v>7781.31</v>
      </c>
      <c r="X53" s="20" t="n">
        <v>6494.299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2417.253</v>
      </c>
      <c r="D55" s="12" t="n">
        <v>7081.968</v>
      </c>
      <c r="E55" s="12" t="n">
        <v>1745.738</v>
      </c>
      <c r="F55" s="12" t="n">
        <v>331.515</v>
      </c>
      <c r="G55" s="12" t="n">
        <v>3597.42</v>
      </c>
      <c r="H55" s="12" t="n">
        <v>3456.789</v>
      </c>
      <c r="I55" s="12" t="n">
        <v>9802.280000000001</v>
      </c>
      <c r="J55" s="12" t="n">
        <v>-411.534</v>
      </c>
      <c r="K55" s="12" t="n">
        <v>2995.125</v>
      </c>
      <c r="L55" s="12" t="n">
        <v>-658.865</v>
      </c>
      <c r="M55" s="12" t="n">
        <v>2584.793</v>
      </c>
      <c r="N55" s="12" t="n">
        <v>1752.176</v>
      </c>
      <c r="O55" s="11" t="n">
        <v>2986.78</v>
      </c>
      <c r="P55" s="12" t="n">
        <v>4454.296</v>
      </c>
      <c r="Q55" s="12" t="n">
        <v>4434.069</v>
      </c>
      <c r="R55" s="12" t="n">
        <v>3760.294</v>
      </c>
      <c r="S55" s="12" t="n">
        <v>2420.08</v>
      </c>
      <c r="T55" s="12" t="n">
        <v>7132.768</v>
      </c>
      <c r="U55" s="12" t="n">
        <v>13879.285</v>
      </c>
      <c r="V55" s="12" t="n">
        <v>13222.999</v>
      </c>
      <c r="W55" s="12" t="n">
        <v>9131.462</v>
      </c>
      <c r="X55" s="12" t="n">
        <v>11727.006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-74.848</v>
      </c>
      <c r="D57" s="20" t="n">
        <v>701.28</v>
      </c>
      <c r="E57" s="20" t="n">
        <v>-15.644</v>
      </c>
      <c r="F57" s="20" t="n">
        <v>1033.228</v>
      </c>
      <c r="G57" s="20" t="n">
        <v>1712.525</v>
      </c>
      <c r="H57" s="20" t="n">
        <v>-269.555</v>
      </c>
      <c r="I57" s="20" t="n">
        <v>3111.703</v>
      </c>
      <c r="J57" s="20" t="n">
        <v>-245.412</v>
      </c>
      <c r="K57" s="20" t="n">
        <v>646.7670000000001</v>
      </c>
      <c r="L57" s="20" t="n">
        <v>-618.356</v>
      </c>
      <c r="M57" s="20" t="n">
        <v>855.763</v>
      </c>
      <c r="N57" s="20" t="n">
        <v>-58.129</v>
      </c>
      <c r="O57" s="19" t="n">
        <v>922.224</v>
      </c>
      <c r="P57" s="20" t="n">
        <v>275.428</v>
      </c>
      <c r="Q57" s="20" t="n">
        <v>516.874</v>
      </c>
      <c r="R57" s="20" t="n">
        <v>684.1849999999999</v>
      </c>
      <c r="S57" s="20" t="n">
        <v>91.33799999999999</v>
      </c>
      <c r="T57" s="20" t="n">
        <v>1460.753</v>
      </c>
      <c r="U57" s="20" t="n">
        <v>1992.342</v>
      </c>
      <c r="V57" s="20" t="n">
        <v>479.714</v>
      </c>
      <c r="W57" s="20" t="n">
        <v>2460.554</v>
      </c>
      <c r="X57" s="20" t="n">
        <v>2894.702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2492.101</v>
      </c>
      <c r="D59" s="12" t="n">
        <v>6380.686</v>
      </c>
      <c r="E59" s="12" t="n">
        <v>1761.383</v>
      </c>
      <c r="F59" s="12" t="n">
        <v>-701.715</v>
      </c>
      <c r="G59" s="12" t="n">
        <v>1884.896</v>
      </c>
      <c r="H59" s="12" t="n">
        <v>3726.344</v>
      </c>
      <c r="I59" s="12" t="n">
        <v>6690.576</v>
      </c>
      <c r="J59" s="12" t="n">
        <v>-166.121</v>
      </c>
      <c r="K59" s="12" t="n">
        <v>2348.358</v>
      </c>
      <c r="L59" s="12" t="n">
        <v>-40.51</v>
      </c>
      <c r="M59" s="12" t="n">
        <v>1729.029</v>
      </c>
      <c r="N59" s="12" t="n">
        <v>1810.306</v>
      </c>
      <c r="O59" s="11" t="n">
        <v>2064.556</v>
      </c>
      <c r="P59" s="12" t="n">
        <v>4178.868</v>
      </c>
      <c r="Q59" s="12" t="n">
        <v>3917.194</v>
      </c>
      <c r="R59" s="12" t="n">
        <v>3076.108</v>
      </c>
      <c r="S59" s="12" t="n">
        <v>2328.741</v>
      </c>
      <c r="T59" s="12" t="n">
        <v>5672.014</v>
      </c>
      <c r="U59" s="12" t="n">
        <v>11886.942</v>
      </c>
      <c r="V59" s="12" t="n">
        <v>12743.284</v>
      </c>
      <c r="W59" s="12" t="n">
        <v>6670.908</v>
      </c>
      <c r="X59" s="12" t="n">
        <v>8832.303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1231.431</v>
      </c>
      <c r="D61" s="12" t="n">
        <v>2069.814</v>
      </c>
      <c r="E61" s="12" t="n">
        <v>906.348</v>
      </c>
      <c r="F61" s="12" t="n">
        <v>-131.327</v>
      </c>
      <c r="G61" s="12" t="n">
        <v>554.856</v>
      </c>
      <c r="H61" s="12" t="n">
        <v>1482.27</v>
      </c>
      <c r="I61" s="12" t="n">
        <v>2895.657</v>
      </c>
      <c r="J61" s="12" t="n">
        <v>-78.98699999999999</v>
      </c>
      <c r="K61" s="12" t="n">
        <v>1614.487</v>
      </c>
      <c r="L61" s="12" t="n">
        <v>-116.875</v>
      </c>
      <c r="M61" s="12" t="n">
        <v>899.639</v>
      </c>
      <c r="N61" s="12" t="n">
        <v>451.322</v>
      </c>
      <c r="O61" s="11" t="n">
        <v>1159.16</v>
      </c>
      <c r="P61" s="12" t="n">
        <v>1810.155</v>
      </c>
      <c r="Q61" s="12" t="n">
        <v>2049.603</v>
      </c>
      <c r="R61" s="12" t="n">
        <v>1719.805</v>
      </c>
      <c r="S61" s="12" t="n">
        <v>1246.576</v>
      </c>
      <c r="T61" s="12" t="n">
        <v>3277.93</v>
      </c>
      <c r="U61" s="12" t="n">
        <v>6439.371</v>
      </c>
      <c r="V61" s="12" t="n">
        <v>5189.393</v>
      </c>
      <c r="W61" s="12" t="n">
        <v>2812.147</v>
      </c>
      <c r="X61" s="12" t="n">
        <v>4314.282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1004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36000000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18095.596</v>
      </c>
      <c r="D96" s="12" t="n">
        <v>14609.033</v>
      </c>
      <c r="E96" s="12" t="n">
        <v>15969.799</v>
      </c>
      <c r="F96" s="12" t="n">
        <v>16930.081</v>
      </c>
      <c r="G96" s="12" t="n">
        <v>15565.653</v>
      </c>
      <c r="H96" s="12" t="n">
        <v>19078.672</v>
      </c>
      <c r="I96" s="12" t="n">
        <v>15373.409</v>
      </c>
      <c r="J96" s="12" t="n">
        <v>14491.028</v>
      </c>
      <c r="K96" s="12" t="n">
        <v>15479.851</v>
      </c>
      <c r="L96" s="12" t="n">
        <v>15927.359</v>
      </c>
      <c r="M96" s="12" t="n">
        <v>15459.715</v>
      </c>
      <c r="N96" s="12" t="n">
        <v>15410.827</v>
      </c>
      <c r="T96" s="12" t="n">
        <v>13354.59</v>
      </c>
      <c r="U96" s="12" t="n">
        <v>14920.003</v>
      </c>
      <c r="V96" s="12" t="n">
        <v>14609.033</v>
      </c>
      <c r="W96" s="12" t="n">
        <v>19078.672</v>
      </c>
      <c r="X96" s="12" t="n">
        <v>15927.359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13531.079</v>
      </c>
      <c r="D98" s="20" t="n">
        <v>11242.75</v>
      </c>
      <c r="E98" s="20" t="n">
        <v>11679.84</v>
      </c>
      <c r="F98" s="20" t="n">
        <v>13195.389</v>
      </c>
      <c r="G98" s="20" t="n">
        <v>11250.812</v>
      </c>
      <c r="H98" s="20" t="n">
        <v>15015.339</v>
      </c>
      <c r="I98" s="20" t="n">
        <v>11853.792</v>
      </c>
      <c r="J98" s="20" t="n">
        <v>12250.789</v>
      </c>
      <c r="K98" s="20" t="n">
        <v>12325.112</v>
      </c>
      <c r="L98" s="20" t="n">
        <v>15254.662</v>
      </c>
      <c r="M98" s="20" t="n">
        <v>12862.571</v>
      </c>
      <c r="N98" s="20" t="n">
        <v>13405.778</v>
      </c>
      <c r="T98" s="20" t="n">
        <v>10205.097</v>
      </c>
      <c r="U98" s="20" t="n">
        <v>10734.046</v>
      </c>
      <c r="V98" s="20" t="n">
        <v>11242.75</v>
      </c>
      <c r="W98" s="20" t="n">
        <v>15015.339</v>
      </c>
      <c r="X98" s="20" t="n">
        <v>15254.662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4564.517</v>
      </c>
      <c r="D100" s="12" t="n">
        <v>3366.283</v>
      </c>
      <c r="E100" s="12" t="n">
        <v>4289.959</v>
      </c>
      <c r="F100" s="12" t="n">
        <v>3734.691</v>
      </c>
      <c r="G100" s="12" t="n">
        <v>4314.841</v>
      </c>
      <c r="H100" s="12" t="n">
        <v>4063.334</v>
      </c>
      <c r="I100" s="12" t="n">
        <v>3519.617</v>
      </c>
      <c r="J100" s="12" t="n">
        <v>2240.238</v>
      </c>
      <c r="K100" s="12" t="n">
        <v>3154.739</v>
      </c>
      <c r="L100" s="12" t="n">
        <v>672.697</v>
      </c>
      <c r="M100" s="12" t="n">
        <v>2597.143</v>
      </c>
      <c r="N100" s="12" t="n">
        <v>2005.049</v>
      </c>
      <c r="T100" s="12" t="n">
        <v>3149.492</v>
      </c>
      <c r="U100" s="12" t="n">
        <v>4185.957</v>
      </c>
      <c r="V100" s="12" t="n">
        <v>3366.283</v>
      </c>
      <c r="W100" s="12" t="n">
        <v>4063.334</v>
      </c>
      <c r="X100" s="12" t="n">
        <v>672.697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1253.755</v>
      </c>
      <c r="D102" s="20" t="n">
        <v>1320.627</v>
      </c>
      <c r="E102" s="20" t="n">
        <v>1239.94</v>
      </c>
      <c r="F102" s="20" t="n">
        <v>1319.518</v>
      </c>
      <c r="G102" s="20" t="n">
        <v>1407.977</v>
      </c>
      <c r="H102" s="20" t="n">
        <v>1421.011</v>
      </c>
      <c r="I102" s="20" t="n">
        <v>1369.579</v>
      </c>
      <c r="J102" s="20" t="n">
        <v>1427.818</v>
      </c>
      <c r="K102" s="20" t="n">
        <v>1555.876</v>
      </c>
      <c r="L102" s="20" t="n">
        <v>1527.009</v>
      </c>
      <c r="M102" s="20" t="n">
        <v>1519.815</v>
      </c>
      <c r="N102" s="20" t="n">
        <v>1587.193</v>
      </c>
      <c r="T102" s="20" t="n">
        <v>1209.75</v>
      </c>
      <c r="U102" s="20" t="n">
        <v>1183.357</v>
      </c>
      <c r="V102" s="20" t="n">
        <v>1320.627</v>
      </c>
      <c r="W102" s="20" t="n">
        <v>1421.011</v>
      </c>
      <c r="X102" s="20" t="n">
        <v>1527.009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3310.762</v>
      </c>
      <c r="D104" s="12" t="n">
        <v>2045.655</v>
      </c>
      <c r="E104" s="12" t="n">
        <v>3050.018</v>
      </c>
      <c r="F104" s="12" t="n">
        <v>2415.173</v>
      </c>
      <c r="G104" s="12" t="n">
        <v>2906.865</v>
      </c>
      <c r="H104" s="12" t="n">
        <v>2642.322</v>
      </c>
      <c r="I104" s="12" t="n">
        <v>2150.038</v>
      </c>
      <c r="J104" s="12" t="n">
        <v>812.42</v>
      </c>
      <c r="K104" s="12" t="n">
        <v>1598.862</v>
      </c>
      <c r="L104" s="12" t="n">
        <v>-854.311</v>
      </c>
      <c r="M104" s="12" t="n">
        <v>1077.328</v>
      </c>
      <c r="N104" s="12" t="n">
        <v>417.856</v>
      </c>
      <c r="T104" s="12" t="n">
        <v>1939.741</v>
      </c>
      <c r="U104" s="12" t="n">
        <v>3002.6</v>
      </c>
      <c r="V104" s="12" t="n">
        <v>2045.655</v>
      </c>
      <c r="W104" s="12" t="n">
        <v>2642.322</v>
      </c>
      <c r="X104" s="12" t="n">
        <v>-854.311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180.472</v>
      </c>
      <c r="D107" s="20" t="n">
        <v>171.88</v>
      </c>
      <c r="E107" s="20" t="n">
        <v>251.43</v>
      </c>
      <c r="F107" s="20" t="n">
        <v>317.562</v>
      </c>
      <c r="G107" s="20" t="n">
        <v>324.098</v>
      </c>
      <c r="H107" s="20" t="n">
        <v>333.477</v>
      </c>
      <c r="I107" s="20" t="n">
        <v>414.122</v>
      </c>
      <c r="J107" s="20" t="n">
        <v>412.78</v>
      </c>
      <c r="K107" s="20" t="n">
        <v>412.889</v>
      </c>
      <c r="L107" s="20" t="n">
        <v>355.53</v>
      </c>
      <c r="M107" s="20" t="n">
        <v>355.549</v>
      </c>
      <c r="N107" s="20" t="n">
        <v>310.628</v>
      </c>
      <c r="T107" s="20" t="n">
        <v>11.64</v>
      </c>
      <c r="U107" s="20" t="n">
        <v>130.828</v>
      </c>
      <c r="V107" s="20" t="n">
        <v>171.88</v>
      </c>
      <c r="W107" s="20" t="n">
        <v>333.477</v>
      </c>
      <c r="X107" s="20" t="n">
        <v>355.53</v>
      </c>
    </row>
    <row r="108">
      <c r="A108" s="18" t="inlineStr">
        <is>
          <t>배당금수익</t>
        </is>
      </c>
      <c r="C108" s="20" t="n">
        <v>34.771</v>
      </c>
      <c r="D108" s="20" t="n">
        <v>3.405</v>
      </c>
      <c r="E108" s="20" t="n">
        <v>45.759</v>
      </c>
      <c r="F108" s="20" t="n">
        <v>11.911</v>
      </c>
      <c r="G108" s="20" t="n">
        <v>49.73</v>
      </c>
      <c r="H108" s="20" t="n">
        <v>12.619</v>
      </c>
      <c r="I108" s="20" t="n">
        <v>67.88800000000001</v>
      </c>
      <c r="J108" s="20" t="n">
        <v>23.298</v>
      </c>
      <c r="K108" s="20" t="n">
        <v>58.189</v>
      </c>
      <c r="L108" s="20" t="n">
        <v>14.556</v>
      </c>
      <c r="M108" s="20" t="n">
        <v>69.223</v>
      </c>
      <c r="N108" s="20" t="n">
        <v>25.943</v>
      </c>
      <c r="T108" s="20" t="n">
        <v>0.328</v>
      </c>
      <c r="U108" s="20" t="n">
        <v>0.356</v>
      </c>
      <c r="V108" s="20" t="n">
        <v>3.405</v>
      </c>
      <c r="W108" s="20" t="n">
        <v>12.619</v>
      </c>
      <c r="X108" s="20" t="n">
        <v>14.556</v>
      </c>
    </row>
    <row r="109">
      <c r="A109" s="18" t="inlineStr">
        <is>
          <t>외환차익</t>
        </is>
      </c>
      <c r="I109" s="20" t="n">
        <v>0</v>
      </c>
      <c r="M109" s="20" t="n">
        <v>28.948</v>
      </c>
    </row>
    <row r="110">
      <c r="A110" s="18" t="inlineStr">
        <is>
          <t>지분법이익</t>
        </is>
      </c>
      <c r="C110" s="20" t="n">
        <v>724.759</v>
      </c>
      <c r="D110" s="20" t="n">
        <v>6.21</v>
      </c>
      <c r="E110" s="20" t="n">
        <v>98.205</v>
      </c>
      <c r="F110" s="20" t="n">
        <v>777.102</v>
      </c>
      <c r="G110" s="20" t="n">
        <v>283.565</v>
      </c>
      <c r="H110" s="20" t="n">
        <v>2660.988</v>
      </c>
      <c r="I110" s="20" t="n">
        <v>258.783</v>
      </c>
      <c r="J110" s="20" t="n">
        <v>180.087</v>
      </c>
      <c r="K110" s="20" t="n">
        <v>580.116</v>
      </c>
      <c r="L110" s="20" t="n">
        <v>763.952</v>
      </c>
      <c r="M110" s="20" t="n">
        <v>488.122</v>
      </c>
      <c r="N110" s="20" t="n">
        <v>1511.462</v>
      </c>
      <c r="T110" s="20" t="n">
        <v>258.847</v>
      </c>
      <c r="U110" s="20" t="n">
        <v>-67.806</v>
      </c>
      <c r="V110" s="20" t="n">
        <v>6.21</v>
      </c>
      <c r="W110" s="20" t="n">
        <v>2660.988</v>
      </c>
      <c r="X110" s="20" t="n">
        <v>763.952</v>
      </c>
    </row>
    <row r="111">
      <c r="A111" s="18" t="inlineStr">
        <is>
          <t>고용조정 보조금</t>
        </is>
      </c>
      <c r="T111" s="20" t="n">
        <v>266.212</v>
      </c>
      <c r="U111" s="20" t="n">
        <v>12.447</v>
      </c>
    </row>
    <row r="112">
      <c r="A112" s="18" t="inlineStr">
        <is>
          <t>파생상품 평가이익</t>
        </is>
      </c>
      <c r="E112" s="20" t="n">
        <v>0</v>
      </c>
      <c r="I112" s="20" t="n">
        <v>381.777</v>
      </c>
      <c r="J112" s="20" t="n">
        <v>-381.777</v>
      </c>
      <c r="M112" s="20" t="n">
        <v>492.289</v>
      </c>
      <c r="N112" s="20" t="n">
        <v>548.2140000000001</v>
      </c>
    </row>
    <row r="113">
      <c r="A113" s="18" t="inlineStr">
        <is>
          <t>기타</t>
        </is>
      </c>
      <c r="C113" s="20" t="n">
        <v>166.534</v>
      </c>
      <c r="D113" s="20" t="n">
        <v>168.366</v>
      </c>
      <c r="E113" s="20" t="n">
        <v>344.168</v>
      </c>
      <c r="F113" s="20" t="n">
        <v>97.21299999999999</v>
      </c>
      <c r="G113" s="20" t="n">
        <v>322.716</v>
      </c>
      <c r="H113" s="20" t="n">
        <v>-32.151</v>
      </c>
      <c r="I113" s="20" t="n">
        <v>160.502</v>
      </c>
      <c r="J113" s="20" t="n">
        <v>47.868</v>
      </c>
      <c r="K113" s="20" t="n">
        <v>160.269</v>
      </c>
      <c r="L113" s="20" t="n">
        <v>74.30200000000001</v>
      </c>
      <c r="M113" s="20" t="n">
        <v>296.759</v>
      </c>
      <c r="N113" s="20" t="n">
        <v>128.651</v>
      </c>
      <c r="T113" s="20" t="n">
        <v>89.33</v>
      </c>
      <c r="U113" s="20" t="n">
        <v>183.322</v>
      </c>
      <c r="V113" s="20" t="n">
        <v>168.366</v>
      </c>
      <c r="W113" s="20" t="n">
        <v>-32.151</v>
      </c>
      <c r="X113" s="20" t="n">
        <v>74.30200000000001</v>
      </c>
    </row>
    <row r="114">
      <c r="A114" s="18" t="inlineStr">
        <is>
          <t>영업외수익 합계</t>
        </is>
      </c>
      <c r="C114" s="20" t="n">
        <v>1106.537</v>
      </c>
      <c r="D114" s="20" t="n">
        <v>349.86</v>
      </c>
      <c r="E114" s="20" t="n">
        <v>739.563</v>
      </c>
      <c r="F114" s="20" t="n">
        <v>1203.788</v>
      </c>
      <c r="G114" s="20" t="n">
        <v>980.11</v>
      </c>
      <c r="H114" s="20" t="n">
        <v>2974.933</v>
      </c>
      <c r="I114" s="20" t="n">
        <v>1283.074</v>
      </c>
      <c r="J114" s="20" t="n">
        <v>282.255</v>
      </c>
      <c r="K114" s="20" t="n">
        <v>1211.465</v>
      </c>
      <c r="L114" s="20" t="n">
        <v>1208.338</v>
      </c>
      <c r="M114" s="20" t="n">
        <v>1730.892</v>
      </c>
      <c r="N114" s="20" t="n">
        <v>2495.95</v>
      </c>
      <c r="T114" s="20" t="n">
        <v>819.023</v>
      </c>
      <c r="U114" s="20" t="n">
        <v>246.702</v>
      </c>
      <c r="V114" s="20" t="n">
        <v>349.86</v>
      </c>
      <c r="W114" s="20" t="n">
        <v>2974.933</v>
      </c>
      <c r="X114" s="20" t="n">
        <v>1208.338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18" t="inlineStr">
        <is>
          <t>이자비용</t>
        </is>
      </c>
      <c r="C116" s="20" t="n">
        <v>1210.737</v>
      </c>
      <c r="D116" s="20" t="n">
        <v>1090.974</v>
      </c>
      <c r="E116" s="20" t="n">
        <v>1127.193</v>
      </c>
      <c r="F116" s="20" t="n">
        <v>1209.972</v>
      </c>
      <c r="G116" s="20" t="n">
        <v>946.809</v>
      </c>
      <c r="H116" s="20" t="n">
        <v>1334.02</v>
      </c>
      <c r="I116" s="20" t="n">
        <v>967.808</v>
      </c>
      <c r="J116" s="20" t="n">
        <v>904.595</v>
      </c>
      <c r="K116" s="20" t="n">
        <v>964.057</v>
      </c>
      <c r="L116" s="20" t="n">
        <v>1009.873</v>
      </c>
      <c r="M116" s="20" t="n">
        <v>901.561</v>
      </c>
      <c r="N116" s="20" t="n">
        <v>951.873</v>
      </c>
      <c r="T116" s="20" t="n">
        <v>558.582</v>
      </c>
      <c r="U116" s="20" t="n">
        <v>872.851</v>
      </c>
      <c r="V116" s="20" t="n">
        <v>1090.974</v>
      </c>
      <c r="W116" s="20" t="n">
        <v>1334.02</v>
      </c>
      <c r="X116" s="20" t="n">
        <v>1009.873</v>
      </c>
    </row>
    <row r="117">
      <c r="A117" s="18" t="inlineStr">
        <is>
          <t>외환차손</t>
        </is>
      </c>
      <c r="C117" s="20" t="n">
        <v>1194.124</v>
      </c>
      <c r="D117" s="20" t="n">
        <v>333.46</v>
      </c>
      <c r="E117" s="20" t="n">
        <v>512.157</v>
      </c>
      <c r="F117" s="20" t="n">
        <v>1683.103</v>
      </c>
      <c r="G117" s="20" t="n">
        <v>6.614</v>
      </c>
      <c r="H117" s="20" t="n">
        <v>659.398</v>
      </c>
      <c r="I117" s="20" t="n">
        <v>464.376</v>
      </c>
      <c r="J117" s="20" t="n">
        <v>970.093</v>
      </c>
      <c r="K117" s="20" t="n">
        <v>-55.366</v>
      </c>
      <c r="L117" s="20" t="n">
        <v>-48.98</v>
      </c>
      <c r="M117" s="20" t="n">
        <v>0</v>
      </c>
      <c r="N117" s="20" t="n">
        <v>235.709</v>
      </c>
      <c r="T117" s="20" t="n">
        <v>-138.491</v>
      </c>
      <c r="U117" s="20" t="n">
        <v>-1094.773</v>
      </c>
      <c r="V117" s="20" t="n">
        <v>333.46</v>
      </c>
      <c r="W117" s="20" t="n">
        <v>659.398</v>
      </c>
      <c r="X117" s="20" t="n">
        <v>-48.98</v>
      </c>
    </row>
    <row r="118">
      <c r="A118" s="18" t="inlineStr">
        <is>
          <t>파생상품 평가손실</t>
        </is>
      </c>
      <c r="C118" s="20" t="n">
        <v>173.949</v>
      </c>
      <c r="D118" s="20" t="n">
        <v>-761.481</v>
      </c>
      <c r="E118" s="20" t="n">
        <v>354.873</v>
      </c>
      <c r="F118" s="20" t="n">
        <v>336.098</v>
      </c>
      <c r="G118" s="20" t="n">
        <v>-690.971</v>
      </c>
      <c r="H118" s="20" t="n">
        <v>37.761</v>
      </c>
      <c r="I118" s="20" t="n">
        <v>0</v>
      </c>
      <c r="J118" s="20" t="n">
        <v>628.37</v>
      </c>
      <c r="K118" s="20" t="n">
        <v>-91.41800000000001</v>
      </c>
      <c r="L118" s="20" t="n">
        <v>253.013</v>
      </c>
      <c r="T118" s="20" t="n">
        <v>152.767</v>
      </c>
      <c r="U118" s="20" t="n">
        <v>-922.692</v>
      </c>
      <c r="V118" s="20" t="n">
        <v>-761.481</v>
      </c>
      <c r="W118" s="20" t="n">
        <v>37.761</v>
      </c>
      <c r="X118" s="20" t="n">
        <v>253.013</v>
      </c>
    </row>
    <row r="119">
      <c r="A119" s="18" t="inlineStr">
        <is>
          <t>기타</t>
        </is>
      </c>
      <c r="C119" s="20" t="n">
        <v>93.614</v>
      </c>
      <c r="D119" s="20" t="n">
        <v>47.128</v>
      </c>
      <c r="E119" s="20" t="n">
        <v>49.619</v>
      </c>
      <c r="F119" s="20" t="n">
        <v>58.273</v>
      </c>
      <c r="G119" s="20" t="n">
        <v>27.104</v>
      </c>
      <c r="H119" s="20" t="n">
        <v>129.284</v>
      </c>
      <c r="I119" s="20" t="n">
        <v>138.402</v>
      </c>
      <c r="J119" s="20" t="n">
        <v>96.30200000000001</v>
      </c>
      <c r="K119" s="20" t="n">
        <v>144.147</v>
      </c>
      <c r="L119" s="20" t="n">
        <v>149.027</v>
      </c>
      <c r="M119" s="20" t="n">
        <v>235.666</v>
      </c>
      <c r="N119" s="20" t="n">
        <v>-11.015</v>
      </c>
      <c r="T119" s="20" t="n">
        <v>126.008</v>
      </c>
      <c r="U119" s="20" t="n">
        <v>23.77</v>
      </c>
      <c r="V119" s="20" t="n">
        <v>47.128</v>
      </c>
      <c r="W119" s="20" t="n">
        <v>129.284</v>
      </c>
      <c r="X119" s="20" t="n">
        <v>149.027</v>
      </c>
    </row>
    <row r="120">
      <c r="A120" s="18" t="inlineStr">
        <is>
          <t>영업외비용 합계</t>
        </is>
      </c>
      <c r="C120" s="20" t="n">
        <v>2672.423</v>
      </c>
      <c r="D120" s="20" t="n">
        <v>710.083</v>
      </c>
      <c r="E120" s="20" t="n">
        <v>2043.843</v>
      </c>
      <c r="F120" s="20" t="n">
        <v>3287.446</v>
      </c>
      <c r="G120" s="20" t="n">
        <v>289.555</v>
      </c>
      <c r="H120" s="20" t="n">
        <v>2160.466</v>
      </c>
      <c r="I120" s="20" t="n">
        <v>1570.587</v>
      </c>
      <c r="J120" s="20" t="n">
        <v>2599.359</v>
      </c>
      <c r="K120" s="20" t="n">
        <v>961.421</v>
      </c>
      <c r="L120" s="20" t="n">
        <v>1362.932</v>
      </c>
      <c r="M120" s="20" t="n">
        <v>1137.228</v>
      </c>
      <c r="N120" s="20" t="n">
        <v>1176.566</v>
      </c>
      <c r="T120" s="20" t="n">
        <v>698.866</v>
      </c>
      <c r="U120" s="20" t="n">
        <v>-1120.844</v>
      </c>
      <c r="V120" s="20" t="n">
        <v>710.083</v>
      </c>
      <c r="W120" s="20" t="n">
        <v>2160.466</v>
      </c>
      <c r="X120" s="20" t="n">
        <v>1362.932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9" t="inlineStr">
        <is>
          <t>경상이익</t>
        </is>
      </c>
      <c r="C122" s="12" t="n">
        <v>1744.876</v>
      </c>
      <c r="D122" s="12" t="n">
        <v>1685.433</v>
      </c>
      <c r="E122" s="12" t="n">
        <v>1745.738</v>
      </c>
      <c r="F122" s="12" t="n">
        <v>331.515</v>
      </c>
      <c r="G122" s="12" t="n">
        <v>3597.42</v>
      </c>
      <c r="H122" s="12" t="n">
        <v>3456.789</v>
      </c>
      <c r="I122" s="12" t="n">
        <v>1862.525</v>
      </c>
      <c r="J122" s="12" t="n">
        <v>-1504.684</v>
      </c>
      <c r="K122" s="12" t="n">
        <v>1848.906</v>
      </c>
      <c r="L122" s="12" t="n">
        <v>-1008.906</v>
      </c>
      <c r="M122" s="12" t="n">
        <v>1670.992</v>
      </c>
      <c r="N122" s="12" t="n">
        <v>1737.239</v>
      </c>
      <c r="T122" s="12" t="n">
        <v>2059.899</v>
      </c>
      <c r="U122" s="12" t="n">
        <v>4370.145</v>
      </c>
      <c r="V122" s="12" t="n">
        <v>1685.433</v>
      </c>
      <c r="W122" s="12" t="n">
        <v>3456.789</v>
      </c>
      <c r="X122" s="12" t="n">
        <v>-1008.906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18" t="inlineStr">
        <is>
          <t>선박 매각이익</t>
        </is>
      </c>
      <c r="C124" s="20" t="n">
        <v>477.294</v>
      </c>
      <c r="D124" s="20" t="n">
        <v>5396.534</v>
      </c>
      <c r="E124" s="20" t="n">
        <v>0</v>
      </c>
      <c r="F124" s="20" t="n">
        <v>0</v>
      </c>
      <c r="G124" s="20" t="n">
        <v>0</v>
      </c>
      <c r="H124" s="20" t="n">
        <v>0</v>
      </c>
      <c r="I124" s="20" t="n">
        <v>8091.83</v>
      </c>
      <c r="J124" s="20" t="n">
        <v>1093.151</v>
      </c>
      <c r="K124" s="20" t="n">
        <v>864.875</v>
      </c>
      <c r="L124" s="20" t="n">
        <v>147.5</v>
      </c>
      <c r="M124" s="20" t="n">
        <v>913.801</v>
      </c>
      <c r="N124" s="20" t="n">
        <v>14.937</v>
      </c>
      <c r="T124" s="20" t="n">
        <v>2580.887</v>
      </c>
      <c r="U124" s="20" t="n">
        <v>-61.904</v>
      </c>
      <c r="V124" s="20" t="n">
        <v>5396.534</v>
      </c>
      <c r="W124" s="20" t="n">
        <v>0</v>
      </c>
      <c r="X124" s="20" t="n">
        <v>147.5</v>
      </c>
    </row>
    <row r="125">
      <c r="A125" s="18" t="inlineStr">
        <is>
          <t>투자유가증권 매각이익</t>
        </is>
      </c>
      <c r="T125" s="20" t="n">
        <v>0</v>
      </c>
      <c r="U125" s="20" t="n">
        <v>0</v>
      </c>
    </row>
    <row r="126">
      <c r="A126" s="18" t="inlineStr">
        <is>
          <t>기타</t>
        </is>
      </c>
      <c r="D126" s="20" t="n">
        <v>0</v>
      </c>
      <c r="H126" s="20" t="n">
        <v>0</v>
      </c>
      <c r="L126" s="20" t="n">
        <v>202.54</v>
      </c>
      <c r="U126" s="20" t="n">
        <v>0</v>
      </c>
      <c r="V126" s="20" t="n">
        <v>0</v>
      </c>
      <c r="W126" s="20" t="n">
        <v>0</v>
      </c>
      <c r="X126" s="20" t="n">
        <v>202.54</v>
      </c>
    </row>
    <row r="127">
      <c r="A127" s="18" t="inlineStr">
        <is>
          <t>특별이익 합계</t>
        </is>
      </c>
      <c r="C127" s="20" t="n">
        <v>672.377</v>
      </c>
      <c r="D127" s="20" t="n">
        <v>5396.534</v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8091.83</v>
      </c>
      <c r="J127" s="20" t="n">
        <v>1093.151</v>
      </c>
      <c r="K127" s="20" t="n">
        <v>1146.219</v>
      </c>
      <c r="L127" s="20" t="n">
        <v>350.04</v>
      </c>
      <c r="M127" s="20" t="n">
        <v>913.801</v>
      </c>
      <c r="N127" s="20" t="n">
        <v>14.937</v>
      </c>
      <c r="T127" s="20" t="n">
        <v>2580.887</v>
      </c>
      <c r="U127" s="20" t="n">
        <v>-61.904</v>
      </c>
      <c r="V127" s="20" t="n">
        <v>5396.534</v>
      </c>
      <c r="W127" s="20" t="n">
        <v>0</v>
      </c>
      <c r="X127" s="20" t="n">
        <v>350.04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유형자산 제각손실</t>
        </is>
      </c>
      <c r="C129" s="20" t="n">
        <v>0</v>
      </c>
      <c r="D129" s="20" t="n">
        <v>0</v>
      </c>
      <c r="T129" s="20" t="n">
        <v>0</v>
      </c>
      <c r="U129" s="20" t="n">
        <v>0.135</v>
      </c>
      <c r="V129" s="20" t="n">
        <v>0</v>
      </c>
    </row>
    <row r="130">
      <c r="A130" s="18" t="inlineStr">
        <is>
          <t>자회사 주식 매각손실</t>
        </is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152.076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W130" s="20" t="n">
        <v>0</v>
      </c>
      <c r="X130" s="20" t="n">
        <v>0</v>
      </c>
    </row>
    <row r="131">
      <c r="A131" s="18" t="inlineStr">
        <is>
          <t>특별손실 합계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152.076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T131" s="20" t="n">
        <v>0</v>
      </c>
      <c r="U131" s="20" t="n">
        <v>0.135</v>
      </c>
      <c r="V131" s="20" t="n">
        <v>0</v>
      </c>
      <c r="W131" s="20" t="n">
        <v>0</v>
      </c>
      <c r="X131" s="20" t="n">
        <v>0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2417.253</v>
      </c>
      <c r="D133" s="12" t="n">
        <v>7081.968</v>
      </c>
      <c r="E133" s="12" t="n">
        <v>1745.738</v>
      </c>
      <c r="F133" s="12" t="n">
        <v>331.515</v>
      </c>
      <c r="G133" s="12" t="n">
        <v>3597.42</v>
      </c>
      <c r="H133" s="12" t="n">
        <v>3456.789</v>
      </c>
      <c r="I133" s="12" t="n">
        <v>9802.280000000001</v>
      </c>
      <c r="J133" s="12" t="n">
        <v>-411.534</v>
      </c>
      <c r="K133" s="12" t="n">
        <v>2995.125</v>
      </c>
      <c r="L133" s="12" t="n">
        <v>-658.865</v>
      </c>
      <c r="M133" s="12" t="n">
        <v>2584.793</v>
      </c>
      <c r="N133" s="12" t="n">
        <v>1752.176</v>
      </c>
      <c r="T133" s="12" t="n">
        <v>4640.787</v>
      </c>
      <c r="U133" s="12" t="n">
        <v>4308.107</v>
      </c>
      <c r="V133" s="12" t="n">
        <v>7081.968</v>
      </c>
      <c r="W133" s="12" t="n">
        <v>3456.789</v>
      </c>
      <c r="X133" s="12" t="n">
        <v>-658.865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489.381</v>
      </c>
      <c r="D135" s="20" t="n">
        <v>241.514</v>
      </c>
      <c r="E135" s="20" t="n">
        <v>374.951</v>
      </c>
      <c r="F135" s="20" t="n">
        <v>9.279</v>
      </c>
      <c r="G135" s="20" t="n">
        <v>306.057</v>
      </c>
      <c r="H135" s="20" t="n">
        <v>1519.999</v>
      </c>
      <c r="I135" s="20" t="n">
        <v>347.597</v>
      </c>
      <c r="J135" s="20" t="n">
        <v>276.245</v>
      </c>
      <c r="K135" s="20" t="n">
        <v>386.883</v>
      </c>
      <c r="L135" s="20" t="n">
        <v>248.257</v>
      </c>
      <c r="M135" s="20" t="n">
        <v>1248.256</v>
      </c>
      <c r="N135" s="20" t="n">
        <v>29.538</v>
      </c>
      <c r="T135" s="20" t="n">
        <v>171.205</v>
      </c>
      <c r="U135" s="20" t="n">
        <v>134.011</v>
      </c>
      <c r="V135" s="20" t="n">
        <v>241.514</v>
      </c>
      <c r="W135" s="20" t="n">
        <v>1519.999</v>
      </c>
      <c r="X135" s="20" t="n">
        <v>248.257</v>
      </c>
    </row>
    <row r="136">
      <c r="A136" s="18" t="inlineStr">
        <is>
          <t>법인세 조정액</t>
        </is>
      </c>
      <c r="C136" s="20" t="n">
        <v>-564.229</v>
      </c>
      <c r="D136" s="20" t="n">
        <v>459.768</v>
      </c>
      <c r="E136" s="20" t="n">
        <v>-390.596</v>
      </c>
      <c r="F136" s="20" t="n">
        <v>1023.95</v>
      </c>
      <c r="G136" s="20" t="n">
        <v>1406.467</v>
      </c>
      <c r="H136" s="20" t="n">
        <v>-1789.553</v>
      </c>
      <c r="I136" s="20" t="n">
        <v>2764.105</v>
      </c>
      <c r="J136" s="20" t="n">
        <v>-521.657</v>
      </c>
      <c r="K136" s="20" t="n">
        <v>259.884</v>
      </c>
      <c r="L136" s="20" t="n">
        <v>-866.6130000000001</v>
      </c>
      <c r="M136" s="20" t="n">
        <v>-392.493</v>
      </c>
      <c r="N136" s="20" t="n">
        <v>-87.667</v>
      </c>
      <c r="T136" s="20" t="n">
        <v>818.59</v>
      </c>
      <c r="U136" s="20" t="n">
        <v>1763.236</v>
      </c>
      <c r="V136" s="20" t="n">
        <v>459.768</v>
      </c>
      <c r="W136" s="20" t="n">
        <v>-1789.553</v>
      </c>
      <c r="X136" s="20" t="n">
        <v>-866.6130000000001</v>
      </c>
    </row>
    <row r="137">
      <c r="A137" s="18" t="inlineStr">
        <is>
          <t>법인세 등 합계</t>
        </is>
      </c>
      <c r="C137" s="20" t="n">
        <v>-74.848</v>
      </c>
      <c r="D137" s="20" t="n">
        <v>701.28</v>
      </c>
      <c r="E137" s="20" t="n">
        <v>-15.644</v>
      </c>
      <c r="F137" s="20" t="n">
        <v>1033.228</v>
      </c>
      <c r="G137" s="20" t="n">
        <v>1712.525</v>
      </c>
      <c r="H137" s="20" t="n">
        <v>-269.555</v>
      </c>
      <c r="I137" s="20" t="n">
        <v>3111.703</v>
      </c>
      <c r="J137" s="20" t="n">
        <v>-245.412</v>
      </c>
      <c r="K137" s="20" t="n">
        <v>646.7670000000001</v>
      </c>
      <c r="L137" s="20" t="n">
        <v>-618.356</v>
      </c>
      <c r="M137" s="20" t="n">
        <v>855.763</v>
      </c>
      <c r="N137" s="20" t="n">
        <v>-58.129</v>
      </c>
      <c r="T137" s="20" t="n">
        <v>989.797</v>
      </c>
      <c r="U137" s="20" t="n">
        <v>1897.248</v>
      </c>
      <c r="V137" s="20" t="n">
        <v>701.28</v>
      </c>
      <c r="W137" s="20" t="n">
        <v>-269.555</v>
      </c>
      <c r="X137" s="20" t="n">
        <v>-618.356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2492.101</v>
      </c>
      <c r="D139" s="12" t="n">
        <v>6380.686</v>
      </c>
      <c r="E139" s="12" t="n">
        <v>1761.383</v>
      </c>
      <c r="F139" s="12" t="n">
        <v>-701.715</v>
      </c>
      <c r="G139" s="12" t="n">
        <v>1884.896</v>
      </c>
      <c r="H139" s="12" t="n">
        <v>3726.344</v>
      </c>
      <c r="I139" s="12" t="n">
        <v>6690.576</v>
      </c>
      <c r="J139" s="12" t="n">
        <v>-166.121</v>
      </c>
      <c r="K139" s="12" t="n">
        <v>2348.358</v>
      </c>
      <c r="L139" s="12" t="n">
        <v>-40.51</v>
      </c>
      <c r="M139" s="12" t="n">
        <v>1729.029</v>
      </c>
      <c r="N139" s="12" t="n">
        <v>1810.306</v>
      </c>
      <c r="T139" s="12" t="n">
        <v>3650.99</v>
      </c>
      <c r="U139" s="12" t="n">
        <v>2410.859</v>
      </c>
      <c r="V139" s="12" t="n">
        <v>6380.686</v>
      </c>
      <c r="W139" s="12" t="n">
        <v>3726.344</v>
      </c>
      <c r="X139" s="12" t="n">
        <v>-40.51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비지배주주 순이익</t>
        </is>
      </c>
      <c r="C141" s="12" t="n">
        <v>1260.67</v>
      </c>
      <c r="D141" s="12" t="n">
        <v>4310.872</v>
      </c>
      <c r="E141" s="12" t="n">
        <v>855.034</v>
      </c>
      <c r="F141" s="12" t="n">
        <v>-570.3869999999999</v>
      </c>
      <c r="G141" s="12" t="n">
        <v>1330.039</v>
      </c>
      <c r="H141" s="12" t="n">
        <v>2244.075</v>
      </c>
      <c r="I141" s="12" t="n">
        <v>3794.918</v>
      </c>
      <c r="J141" s="12" t="n">
        <v>-87.133</v>
      </c>
      <c r="K141" s="12" t="n">
        <v>733.87</v>
      </c>
      <c r="L141" s="12" t="n">
        <v>76.36499999999999</v>
      </c>
      <c r="M141" s="12" t="n">
        <v>829.39</v>
      </c>
      <c r="N141" s="12" t="n">
        <v>1358.984</v>
      </c>
      <c r="T141" s="12" t="n">
        <v>1670.307</v>
      </c>
      <c r="U141" s="12" t="n">
        <v>1398.785</v>
      </c>
      <c r="V141" s="12" t="n">
        <v>4310.872</v>
      </c>
      <c r="W141" s="12" t="n">
        <v>2244.075</v>
      </c>
      <c r="X141" s="12" t="n">
        <v>76.36499999999999</v>
      </c>
    </row>
    <row r="142">
      <c r="A142" s="9" t="inlineStr">
        <is>
          <t>지배주주 순이익</t>
        </is>
      </c>
      <c r="C142" s="12" t="n">
        <v>1231.431</v>
      </c>
      <c r="D142" s="12" t="n">
        <v>2069.814</v>
      </c>
      <c r="E142" s="12" t="n">
        <v>906.348</v>
      </c>
      <c r="F142" s="12" t="n">
        <v>-131.327</v>
      </c>
      <c r="G142" s="12" t="n">
        <v>554.856</v>
      </c>
      <c r="H142" s="12" t="n">
        <v>1482.27</v>
      </c>
      <c r="I142" s="12" t="n">
        <v>2895.657</v>
      </c>
      <c r="J142" s="12" t="n">
        <v>-78.98699999999999</v>
      </c>
      <c r="K142" s="12" t="n">
        <v>1614.487</v>
      </c>
      <c r="L142" s="12" t="n">
        <v>-116.875</v>
      </c>
      <c r="M142" s="12" t="n">
        <v>899.639</v>
      </c>
      <c r="N142" s="12" t="n">
        <v>451.322</v>
      </c>
      <c r="T142" s="12" t="n">
        <v>1980.682</v>
      </c>
      <c r="U142" s="12" t="n">
        <v>1012.074</v>
      </c>
      <c r="V142" s="12" t="n">
        <v>2069.814</v>
      </c>
      <c r="W142" s="12" t="n">
        <v>1482.27</v>
      </c>
      <c r="X142" s="12" t="n">
        <v>-116.875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5">
      <c r="A145" s="16" t="inlineStr">
        <is>
          <t>포괄손익 · 전 항목</t>
        </is>
      </c>
      <c r="B145" s="42" t="inlineStr">
        <is>
          <t>분기 = 3개월 단독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2024.3Q</t>
        </is>
      </c>
      <c r="D146" s="5" t="inlineStr">
        <is>
          <t>2024.4Q</t>
        </is>
      </c>
      <c r="E146" s="5" t="inlineStr">
        <is>
          <t>2025.1Q</t>
        </is>
      </c>
      <c r="F146" s="5" t="inlineStr">
        <is>
          <t>2025.2Q</t>
        </is>
      </c>
      <c r="G146" s="5" t="inlineStr">
        <is>
          <t>2025.3Q</t>
        </is>
      </c>
      <c r="H146" s="5" t="inlineStr">
        <is>
          <t>2025.4Q</t>
        </is>
      </c>
      <c r="I146" s="5" t="inlineStr">
        <is>
          <t>2026.1Q</t>
        </is>
      </c>
      <c r="J146" s="5" t="inlineStr">
        <is>
          <t>2026.2Q</t>
        </is>
      </c>
      <c r="K146" s="5" t="inlineStr">
        <is>
          <t>2026.3Q</t>
        </is>
      </c>
      <c r="L146" s="5" t="inlineStr">
        <is>
          <t>2026.4Q</t>
        </is>
      </c>
      <c r="M146" s="5" t="inlineStr">
        <is>
          <t>2027.1Q</t>
        </is>
      </c>
      <c r="N146" s="5" t="inlineStr">
        <is>
          <t>2027.2Q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순이익</t>
        </is>
      </c>
      <c r="C147" s="12" t="n">
        <v>2492.101</v>
      </c>
      <c r="D147" s="12" t="n">
        <v>6380.686</v>
      </c>
      <c r="E147" s="12" t="n">
        <v>1761.383</v>
      </c>
      <c r="F147" s="12" t="n">
        <v>-701.715</v>
      </c>
      <c r="G147" s="12" t="n">
        <v>1884.896</v>
      </c>
      <c r="H147" s="12" t="n">
        <v>3726.344</v>
      </c>
      <c r="I147" s="12" t="n">
        <v>6690.576</v>
      </c>
      <c r="J147" s="12" t="n">
        <v>-166.121</v>
      </c>
      <c r="K147" s="12" t="n">
        <v>2348.358</v>
      </c>
      <c r="L147" s="12" t="n">
        <v>-40.51</v>
      </c>
      <c r="M147" s="12" t="n">
        <v>1729.029</v>
      </c>
      <c r="N147" s="12" t="n">
        <v>1810.306</v>
      </c>
      <c r="T147" s="12" t="n">
        <v>3650.99</v>
      </c>
      <c r="U147" s="12" t="n">
        <v>2410.859</v>
      </c>
      <c r="V147" s="12" t="n">
        <v>6380.686</v>
      </c>
      <c r="W147" s="12" t="n">
        <v>3726.344</v>
      </c>
      <c r="X147" s="12" t="n">
        <v>-40.51</v>
      </c>
    </row>
    <row r="148">
      <c r="A148" s="18" t="inlineStr">
        <is>
          <t>기타유가증권 평가차액</t>
        </is>
      </c>
      <c r="C148" s="20" t="n">
        <v>65.261</v>
      </c>
      <c r="D148" s="20" t="n">
        <v>567.47</v>
      </c>
      <c r="E148" s="20" t="n">
        <v>647.751</v>
      </c>
      <c r="F148" s="20" t="n">
        <v>-65.30800000000001</v>
      </c>
      <c r="G148" s="20" t="n">
        <v>-135.243</v>
      </c>
      <c r="H148" s="20" t="n">
        <v>181.141</v>
      </c>
      <c r="I148" s="20" t="n">
        <v>242.049</v>
      </c>
      <c r="J148" s="20" t="n">
        <v>689.2809999999999</v>
      </c>
      <c r="K148" s="20" t="n">
        <v>419.407</v>
      </c>
      <c r="L148" s="20" t="n">
        <v>232.498</v>
      </c>
      <c r="M148" s="20" t="n">
        <v>725.8049999999999</v>
      </c>
      <c r="N148" s="20" t="n">
        <v>41.047</v>
      </c>
      <c r="T148" s="20" t="n">
        <v>44.234</v>
      </c>
      <c r="U148" s="20" t="n">
        <v>-115.788</v>
      </c>
      <c r="V148" s="20" t="n">
        <v>567.47</v>
      </c>
      <c r="W148" s="20" t="n">
        <v>181.141</v>
      </c>
      <c r="X148" s="20" t="n">
        <v>232.498</v>
      </c>
    </row>
    <row r="149">
      <c r="A149" s="18" t="inlineStr">
        <is>
          <t>이연헤지손익</t>
        </is>
      </c>
      <c r="C149" s="20" t="n">
        <v>477.451</v>
      </c>
      <c r="D149" s="20" t="n">
        <v>-1785.916</v>
      </c>
      <c r="E149" s="20" t="n">
        <v>558.407</v>
      </c>
      <c r="F149" s="20" t="n">
        <v>71.613</v>
      </c>
      <c r="G149" s="20" t="n">
        <v>-1862.329</v>
      </c>
      <c r="H149" s="20" t="n">
        <v>979.343</v>
      </c>
      <c r="I149" s="20" t="n">
        <v>-910.3099999999999</v>
      </c>
      <c r="J149" s="20" t="n">
        <v>-441.531</v>
      </c>
      <c r="K149" s="20" t="n">
        <v>-175.165</v>
      </c>
      <c r="L149" s="20" t="n">
        <v>-66.078</v>
      </c>
      <c r="M149" s="20" t="n">
        <v>58.534</v>
      </c>
      <c r="N149" s="20" t="n">
        <v>71.01600000000001</v>
      </c>
      <c r="T149" s="20" t="n">
        <v>601.812</v>
      </c>
      <c r="U149" s="20" t="n">
        <v>-634.175</v>
      </c>
      <c r="V149" s="20" t="n">
        <v>-1785.916</v>
      </c>
      <c r="W149" s="20" t="n">
        <v>979.343</v>
      </c>
      <c r="X149" s="20" t="n">
        <v>-66.078</v>
      </c>
    </row>
    <row r="150">
      <c r="A150" s="18" t="inlineStr">
        <is>
          <t>토지재평가차액금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-20.755</v>
      </c>
      <c r="I150" s="20" t="n">
        <v>-9.298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T150" s="20" t="n">
        <v>0</v>
      </c>
      <c r="U150" s="20" t="n">
        <v>0</v>
      </c>
      <c r="V150" s="20" t="n">
        <v>0</v>
      </c>
      <c r="W150" s="20" t="n">
        <v>-20.755</v>
      </c>
      <c r="X150" s="20" t="n">
        <v>0</v>
      </c>
    </row>
    <row r="151">
      <c r="A151" s="18" t="inlineStr">
        <is>
          <t>해외사업환산조정</t>
        </is>
      </c>
      <c r="C151" s="20" t="n">
        <v>1080.388</v>
      </c>
      <c r="D151" s="20" t="n">
        <v>-1760.46</v>
      </c>
      <c r="E151" s="20" t="n">
        <v>2657.805</v>
      </c>
      <c r="F151" s="20" t="n">
        <v>2966.698</v>
      </c>
      <c r="G151" s="20" t="n">
        <v>-4158.009</v>
      </c>
      <c r="H151" s="20" t="n">
        <v>2740.156</v>
      </c>
      <c r="I151" s="20" t="n">
        <v>-1945.227</v>
      </c>
      <c r="J151" s="20" t="n">
        <v>-1038.799</v>
      </c>
      <c r="K151" s="20" t="n">
        <v>858.076</v>
      </c>
      <c r="L151" s="20" t="n">
        <v>1483.229</v>
      </c>
      <c r="M151" s="20" t="n">
        <v>577.061</v>
      </c>
      <c r="N151" s="20" t="n">
        <v>38.327</v>
      </c>
      <c r="T151" s="20" t="n">
        <v>480.001</v>
      </c>
      <c r="U151" s="20" t="n">
        <v>-2143.836</v>
      </c>
      <c r="V151" s="20" t="n">
        <v>-1760.46</v>
      </c>
      <c r="W151" s="20" t="n">
        <v>2740.156</v>
      </c>
      <c r="X151" s="20" t="n">
        <v>1483.229</v>
      </c>
    </row>
    <row r="152">
      <c r="A152" s="18" t="inlineStr">
        <is>
          <t>지분법 적용회사 지분 해당액</t>
        </is>
      </c>
      <c r="C152" s="20" t="n">
        <v>-189.382</v>
      </c>
      <c r="D152" s="20" t="n">
        <v>35.08</v>
      </c>
      <c r="E152" s="20" t="n">
        <v>461.354</v>
      </c>
      <c r="F152" s="20" t="n">
        <v>-107.38</v>
      </c>
      <c r="G152" s="20" t="n">
        <v>-478.099</v>
      </c>
      <c r="H152" s="20" t="n">
        <v>586.8</v>
      </c>
      <c r="I152" s="20" t="n">
        <v>-693.566</v>
      </c>
      <c r="J152" s="20" t="n">
        <v>-195.473</v>
      </c>
      <c r="K152" s="20" t="n">
        <v>372.843</v>
      </c>
      <c r="L152" s="20" t="n">
        <v>560.024</v>
      </c>
      <c r="M152" s="20" t="n">
        <v>351.543</v>
      </c>
      <c r="N152" s="20" t="n">
        <v>182.627</v>
      </c>
      <c r="T152" s="20" t="n">
        <v>301.377</v>
      </c>
      <c r="U152" s="20" t="n">
        <v>-278.497</v>
      </c>
      <c r="V152" s="20" t="n">
        <v>35.08</v>
      </c>
      <c r="W152" s="20" t="n">
        <v>586.8</v>
      </c>
      <c r="X152" s="20" t="n">
        <v>560.024</v>
      </c>
    </row>
    <row r="153">
      <c r="A153" s="18" t="inlineStr">
        <is>
          <t>기타포괄손익 합계</t>
        </is>
      </c>
      <c r="C153" s="20" t="n">
        <v>1433.718</v>
      </c>
      <c r="D153" s="20" t="n">
        <v>-2943.826</v>
      </c>
      <c r="E153" s="20" t="n">
        <v>4325.318</v>
      </c>
      <c r="F153" s="20" t="n">
        <v>2865.623</v>
      </c>
      <c r="G153" s="20" t="n">
        <v>-6633.681</v>
      </c>
      <c r="H153" s="20" t="n">
        <v>4466.686</v>
      </c>
      <c r="I153" s="20" t="n">
        <v>-3316.352</v>
      </c>
      <c r="J153" s="20" t="n">
        <v>-986.524</v>
      </c>
      <c r="K153" s="20" t="n">
        <v>1475.162</v>
      </c>
      <c r="L153" s="20" t="n">
        <v>2209.674</v>
      </c>
      <c r="M153" s="20" t="n">
        <v>1712.944</v>
      </c>
      <c r="N153" s="20" t="n">
        <v>333.018</v>
      </c>
      <c r="T153" s="20" t="n">
        <v>1427.425</v>
      </c>
      <c r="U153" s="20" t="n">
        <v>-3172.297</v>
      </c>
      <c r="V153" s="20" t="n">
        <v>-2943.826</v>
      </c>
      <c r="W153" s="20" t="n">
        <v>4466.686</v>
      </c>
      <c r="X153" s="20" t="n">
        <v>2209.674</v>
      </c>
    </row>
    <row r="154">
      <c r="A154" s="9" t="inlineStr">
        <is>
          <t>포괄이익</t>
        </is>
      </c>
      <c r="C154" s="12" t="n">
        <v>3925.819</v>
      </c>
      <c r="D154" s="12" t="n">
        <v>3436.86</v>
      </c>
      <c r="E154" s="12" t="n">
        <v>6086.702</v>
      </c>
      <c r="F154" s="12" t="n">
        <v>2163.908</v>
      </c>
      <c r="G154" s="12" t="n">
        <v>-4748.786</v>
      </c>
      <c r="H154" s="12" t="n">
        <v>8193.031000000001</v>
      </c>
      <c r="I154" s="12" t="n">
        <v>3374.223</v>
      </c>
      <c r="J154" s="12" t="n">
        <v>-1152.644</v>
      </c>
      <c r="K154" s="12" t="n">
        <v>3823.519</v>
      </c>
      <c r="L154" s="12" t="n">
        <v>2169.164</v>
      </c>
      <c r="M154" s="12" t="n">
        <v>3441.974</v>
      </c>
      <c r="N154" s="12" t="n">
        <v>2143.323</v>
      </c>
      <c r="T154" s="12" t="n">
        <v>5078.415</v>
      </c>
      <c r="U154" s="12" t="n">
        <v>-761.438</v>
      </c>
      <c r="V154" s="12" t="n">
        <v>3436.86</v>
      </c>
      <c r="W154" s="12" t="n">
        <v>8193.031000000001</v>
      </c>
      <c r="X154" s="12" t="n">
        <v>2169.164</v>
      </c>
    </row>
    <row r="155">
      <c r="A155" s="9" t="inlineStr">
        <is>
          <t>지배주주 포괄이익</t>
        </is>
      </c>
      <c r="C155" s="12" t="n">
        <v>2157.762</v>
      </c>
      <c r="D155" s="12" t="n">
        <v>1048.527</v>
      </c>
      <c r="E155" s="12" t="n">
        <v>2891.357</v>
      </c>
      <c r="F155" s="12" t="n">
        <v>1217.275</v>
      </c>
      <c r="G155" s="12" t="n">
        <v>-2910.004</v>
      </c>
      <c r="H155" s="12" t="n">
        <v>3868.728</v>
      </c>
      <c r="I155" s="12" t="n">
        <v>1142.586</v>
      </c>
      <c r="J155" s="12" t="n">
        <v>458.509</v>
      </c>
      <c r="K155" s="12" t="n">
        <v>2717.348</v>
      </c>
      <c r="L155" s="12" t="n">
        <v>1341.802</v>
      </c>
      <c r="M155" s="12" t="n">
        <v>2258.605</v>
      </c>
      <c r="N155" s="12" t="n">
        <v>712.006</v>
      </c>
      <c r="T155" s="12" t="n">
        <v>2824.247</v>
      </c>
      <c r="U155" s="12" t="n">
        <v>-700.881</v>
      </c>
      <c r="V155" s="12" t="n">
        <v>1048.527</v>
      </c>
      <c r="W155" s="12" t="n">
        <v>3868.728</v>
      </c>
      <c r="X155" s="12" t="n">
        <v>1341.802</v>
      </c>
    </row>
    <row r="156">
      <c r="A156" s="9" t="inlineStr">
        <is>
          <t>비지배주주 포괄이익</t>
        </is>
      </c>
      <c r="C156" s="12" t="n">
        <v>1768.056</v>
      </c>
      <c r="D156" s="12" t="n">
        <v>2388.333</v>
      </c>
      <c r="E156" s="12" t="n">
        <v>3195.344</v>
      </c>
      <c r="F156" s="12" t="n">
        <v>946.633</v>
      </c>
      <c r="G156" s="12" t="n">
        <v>-1838.782</v>
      </c>
      <c r="H156" s="12" t="n">
        <v>4324.303</v>
      </c>
      <c r="I156" s="12" t="n">
        <v>2231.637</v>
      </c>
      <c r="J156" s="12" t="n">
        <v>-1611.154</v>
      </c>
      <c r="K156" s="12" t="n">
        <v>1106.172</v>
      </c>
      <c r="L156" s="12" t="n">
        <v>827.362</v>
      </c>
      <c r="M156" s="12" t="n">
        <v>1183.369</v>
      </c>
      <c r="N156" s="12" t="n">
        <v>1431.317</v>
      </c>
      <c r="T156" s="12" t="n">
        <v>2254.167</v>
      </c>
      <c r="U156" s="12" t="n">
        <v>-60.558</v>
      </c>
      <c r="V156" s="12" t="n">
        <v>2388.333</v>
      </c>
      <c r="W156" s="12" t="n">
        <v>4324.303</v>
      </c>
      <c r="X156" s="12" t="n">
        <v>827.362</v>
      </c>
    </row>
    <row r="158">
      <c r="A158" s="16" t="inlineStr">
        <is>
          <t>부문 · 전 항목</t>
        </is>
      </c>
      <c r="B158" s="42" t="inlineStr">
        <is>
          <t>부문 · 항목</t>
        </is>
      </c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</row>
    <row r="159">
      <c r="A159" s="5" t="inlineStr">
        <is>
          <t>항목</t>
        </is>
      </c>
      <c r="B159" s="5" t="inlineStr">
        <is>
          <t>참고</t>
        </is>
      </c>
      <c r="C159" s="5" t="inlineStr">
        <is>
          <t>2024.3Q</t>
        </is>
      </c>
      <c r="D159" s="5" t="inlineStr">
        <is>
          <t>2024.4Q</t>
        </is>
      </c>
      <c r="E159" s="5" t="inlineStr">
        <is>
          <t>2025.1Q</t>
        </is>
      </c>
      <c r="F159" s="5" t="inlineStr">
        <is>
          <t>2025.2Q</t>
        </is>
      </c>
      <c r="G159" s="5" t="inlineStr">
        <is>
          <t>2025.3Q</t>
        </is>
      </c>
      <c r="H159" s="5" t="inlineStr">
        <is>
          <t>2025.4Q</t>
        </is>
      </c>
      <c r="I159" s="5" t="inlineStr">
        <is>
          <t>2026.1Q</t>
        </is>
      </c>
      <c r="J159" s="5" t="inlineStr">
        <is>
          <t>2026.2Q</t>
        </is>
      </c>
      <c r="K159" s="5" t="inlineStr">
        <is>
          <t>2026.3Q</t>
        </is>
      </c>
      <c r="L159" s="5" t="inlineStr">
        <is>
          <t>2026.4Q</t>
        </is>
      </c>
      <c r="M159" s="5" t="inlineStr">
        <is>
          <t>2027.1Q</t>
        </is>
      </c>
      <c r="N159" s="5" t="inlineStr">
        <is>
          <t>2027.2Q</t>
        </is>
      </c>
      <c r="O159" s="5" t="inlineStr">
        <is>
          <t>2017</t>
        </is>
      </c>
      <c r="P159" s="5" t="inlineStr">
        <is>
          <t>2018</t>
        </is>
      </c>
      <c r="Q159" s="5" t="inlineStr">
        <is>
          <t>2019</t>
        </is>
      </c>
      <c r="R159" s="5" t="inlineStr">
        <is>
          <t>2020</t>
        </is>
      </c>
      <c r="S159" s="5" t="inlineStr">
        <is>
          <t>2021</t>
        </is>
      </c>
      <c r="T159" s="5" t="inlineStr">
        <is>
          <t>2022</t>
        </is>
      </c>
      <c r="U159" s="5" t="inlineStr">
        <is>
          <t>2023</t>
        </is>
      </c>
      <c r="V159" s="5" t="inlineStr">
        <is>
          <t>2024</t>
        </is>
      </c>
      <c r="W159" s="5" t="inlineStr">
        <is>
          <t>2025</t>
        </is>
      </c>
      <c r="X159" s="5" t="inlineStr">
        <is>
          <t>2026</t>
        </is>
      </c>
      <c r="Y159" s="5" t="inlineStr">
        <is>
          <t>2027(MW)</t>
        </is>
      </c>
      <c r="Z159" s="5" t="inlineStr">
        <is>
          <t>2028(MW)</t>
        </is>
      </c>
      <c r="AA159" s="5" t="inlineStr">
        <is>
          <t>2029(MW)</t>
        </is>
      </c>
      <c r="AB159" s="5" t="inlineStr">
        <is>
          <t>2030(MW)</t>
        </is>
      </c>
      <c r="AC159" s="5" t="inlineStr">
        <is>
          <t>2031(MW)</t>
        </is>
      </c>
    </row>
    <row r="160">
      <c r="A160" s="18" t="inlineStr">
        <is>
          <t>InternationalShippingReportableSegmentsMember · 외부 고객 매출</t>
        </is>
      </c>
      <c r="C160" s="20" t="n">
        <v>15157.543</v>
      </c>
      <c r="E160" s="20" t="n">
        <v>13681.75</v>
      </c>
      <c r="F160" s="20" t="n">
        <v>14817.662</v>
      </c>
      <c r="G160" s="20" t="n">
        <v>12430.196</v>
      </c>
      <c r="H160" s="20" t="n">
        <v>16626.401</v>
      </c>
      <c r="I160" s="20" t="n">
        <v>12756.905</v>
      </c>
      <c r="J160" s="20" t="n">
        <v>12115.663</v>
      </c>
      <c r="K160" s="20" t="n">
        <v>12303.825</v>
      </c>
      <c r="L160" s="20" t="n">
        <v>13313.049</v>
      </c>
      <c r="M160" s="20" t="n">
        <v>12775.7</v>
      </c>
      <c r="N160" s="20" t="n">
        <v>13009.684</v>
      </c>
      <c r="W160" s="20" t="n">
        <v>16626.401</v>
      </c>
      <c r="X160" s="20" t="n">
        <v>13313.049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HotelAndHotelRelatedBusinessReportableSegmentsMember · 외부 고객 매출</t>
        </is>
      </c>
      <c r="C162" s="20" t="n">
        <v>2799.533</v>
      </c>
      <c r="E162" s="20" t="n">
        <v>2149.948</v>
      </c>
      <c r="F162" s="20" t="n">
        <v>1971.702</v>
      </c>
      <c r="G162" s="20" t="n">
        <v>2994.394</v>
      </c>
      <c r="H162" s="20" t="n">
        <v>2301.995</v>
      </c>
      <c r="I162" s="20" t="n">
        <v>2462.798</v>
      </c>
      <c r="J162" s="20" t="n">
        <v>2224.354</v>
      </c>
      <c r="K162" s="20" t="n">
        <v>3015.235</v>
      </c>
      <c r="L162" s="20" t="n">
        <v>2427.424</v>
      </c>
      <c r="M162" s="20" t="n">
        <v>2469.79</v>
      </c>
      <c r="N162" s="20" t="n">
        <v>2223.042</v>
      </c>
      <c r="W162" s="20" t="n">
        <v>2301.995</v>
      </c>
      <c r="X162" s="20" t="n">
        <v>2427.424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LeasingReportableSegmentsMember · 외부 고객 매출</t>
        </is>
      </c>
      <c r="H164" s="20" t="n">
        <v>150.276</v>
      </c>
      <c r="L164" s="20" t="n">
        <v>186.886</v>
      </c>
      <c r="W164" s="20" t="n">
        <v>150.276</v>
      </c>
      <c r="X164" s="20" t="n">
        <v>186.886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H165" s="15">
        <f>IF(OR(H164="",D164=""),"",IF(D164&lt;=0,"",IFERROR(H164/D164-1,"")))</f>
        <v/>
      </c>
      <c r="L165" s="15">
        <f>IF(OR(L164="",H164=""),"",IF(H164&lt;=0,"",IFERROR(L164/H164-1,"")))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RealEstateLeasingReportableSegmentsMember · 외부 고객 매출</t>
        </is>
      </c>
      <c r="E166" s="20" t="n">
        <v>138.1</v>
      </c>
      <c r="F166" s="20" t="n">
        <v>140.717</v>
      </c>
      <c r="I166" s="20" t="n">
        <v>153.705</v>
      </c>
      <c r="J166" s="20" t="n">
        <v>151.011</v>
      </c>
      <c r="M166" s="20" t="n">
        <v>214.224</v>
      </c>
      <c r="N166" s="20" t="n">
        <v>178.101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</row>
    <row r="168">
      <c r="A168" s="18" t="inlineStr">
        <is>
          <t>합계 · 외부 고객 매출</t>
        </is>
      </c>
      <c r="C168" s="20" t="n">
        <v>18095.596</v>
      </c>
      <c r="E168" s="20" t="n">
        <v>15969.799</v>
      </c>
      <c r="F168" s="20" t="n">
        <v>16930.081</v>
      </c>
      <c r="G168" s="20" t="n">
        <v>15565.653</v>
      </c>
      <c r="H168" s="20" t="n">
        <v>19078.672</v>
      </c>
      <c r="I168" s="20" t="n">
        <v>15373.409</v>
      </c>
      <c r="J168" s="20" t="n">
        <v>14491.028</v>
      </c>
      <c r="K168" s="20" t="n">
        <v>15479.851</v>
      </c>
      <c r="L168" s="20" t="n">
        <v>15927.359</v>
      </c>
      <c r="M168" s="20" t="n">
        <v>15459.715</v>
      </c>
      <c r="N168" s="20" t="n">
        <v>15410.827</v>
      </c>
      <c r="W168" s="20" t="n">
        <v>19078.672</v>
      </c>
      <c r="X168" s="20" t="n">
        <v>15927.359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조정액 · 외부 고객 매출</t>
        </is>
      </c>
      <c r="C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W170" s="20" t="n">
        <v>0</v>
      </c>
      <c r="X170" s="20" t="n">
        <v>0</v>
      </c>
    </row>
    <row r="171">
      <c r="A171" s="18" t="inlineStr">
        <is>
          <t>EntityTotalMember · 외부 고객 매출</t>
        </is>
      </c>
      <c r="E171" s="20" t="n">
        <v>15969.799</v>
      </c>
      <c r="I171" s="20" t="n">
        <v>15373.409</v>
      </c>
      <c r="M171" s="20" t="n">
        <v>15459.715</v>
      </c>
    </row>
    <row r="172">
      <c r="A172" s="9" t="inlineStr">
        <is>
          <t>외부 고객 매출</t>
        </is>
      </c>
      <c r="C172" s="12" t="n">
        <v>18095.596</v>
      </c>
      <c r="E172" s="12" t="n">
        <v>15969.799</v>
      </c>
      <c r="F172" s="12" t="n">
        <v>16930.081</v>
      </c>
      <c r="G172" s="12" t="n">
        <v>15565.653</v>
      </c>
      <c r="H172" s="12" t="n">
        <v>19078.672</v>
      </c>
      <c r="W172" s="12" t="n">
        <v>19078.672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W173" s="15">
        <f>IF(OR(W172="",V172=""),"",IF(V172&lt;=0,"",IFERROR(W172/V172-1,"")))</f>
        <v/>
      </c>
    </row>
    <row r="174">
      <c r="A174" s="18" t="inlineStr">
        <is>
          <t>InternationalShippingReportableSegmentsMember · 부문 간 내부매출·대체</t>
        </is>
      </c>
      <c r="C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W174" s="20" t="n">
        <v>0</v>
      </c>
      <c r="X174" s="20" t="n">
        <v>0</v>
      </c>
    </row>
    <row r="175">
      <c r="A175" s="18" t="inlineStr">
        <is>
          <t>HotelAndHotelRelatedBusinessReportableSegmentsMember · 부문 간 내부매출·대체</t>
        </is>
      </c>
      <c r="C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W175" s="20" t="n">
        <v>0</v>
      </c>
      <c r="X175" s="20" t="n">
        <v>0</v>
      </c>
    </row>
    <row r="176">
      <c r="A176" s="18" t="inlineStr">
        <is>
          <t>LeasingReportableSegmentsMember · 부문 간 내부매출·대체</t>
        </is>
      </c>
      <c r="H176" s="20" t="n">
        <v>0</v>
      </c>
      <c r="L176" s="20" t="n">
        <v>0</v>
      </c>
      <c r="W176" s="20" t="n">
        <v>0</v>
      </c>
      <c r="X176" s="20" t="n">
        <v>0</v>
      </c>
    </row>
    <row r="177">
      <c r="A177" s="18" t="inlineStr">
        <is>
          <t>RealEstateLeasingReportableSegmentsMember · 부문 간 내부매출·대체</t>
        </is>
      </c>
      <c r="E177" s="20" t="n">
        <v>0</v>
      </c>
      <c r="F177" s="20" t="n">
        <v>0</v>
      </c>
      <c r="I177" s="20" t="n">
        <v>0</v>
      </c>
      <c r="J177" s="20" t="n">
        <v>0</v>
      </c>
      <c r="M177" s="20" t="n">
        <v>0</v>
      </c>
      <c r="N177" s="20" t="n">
        <v>0</v>
      </c>
    </row>
    <row r="178">
      <c r="A178" s="18" t="inlineStr">
        <is>
          <t>합계 · 부문 간 내부매출·대체</t>
        </is>
      </c>
      <c r="C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W178" s="20" t="n">
        <v>0</v>
      </c>
      <c r="X178" s="20" t="n">
        <v>0</v>
      </c>
    </row>
    <row r="179">
      <c r="A179" s="18" t="inlineStr">
        <is>
          <t>조정액 · 부문 간 내부매출·대체</t>
        </is>
      </c>
      <c r="C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W179" s="20" t="n">
        <v>0</v>
      </c>
      <c r="X179" s="20" t="n">
        <v>0</v>
      </c>
    </row>
    <row r="180">
      <c r="A180" s="18" t="inlineStr">
        <is>
          <t>EntityTotalMember · 부문 간 내부매출·대체</t>
        </is>
      </c>
      <c r="E180" s="20" t="n">
        <v>0</v>
      </c>
      <c r="I180" s="20" t="n">
        <v>0</v>
      </c>
      <c r="M180" s="20" t="n">
        <v>0</v>
      </c>
    </row>
    <row r="181">
      <c r="A181" s="18" t="inlineStr">
        <is>
          <t>부문 간 내부매출·대체</t>
        </is>
      </c>
      <c r="C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W181" s="20" t="n">
        <v>0</v>
      </c>
    </row>
    <row r="182">
      <c r="A182" s="18" t="inlineStr">
        <is>
          <t>InternationalShippingReportableSegmentsMember · 계</t>
        </is>
      </c>
      <c r="C182" s="20" t="n">
        <v>15157.543</v>
      </c>
      <c r="E182" s="20" t="n">
        <v>13681.75</v>
      </c>
      <c r="F182" s="20" t="n">
        <v>14817.662</v>
      </c>
      <c r="G182" s="20" t="n">
        <v>12430.196</v>
      </c>
      <c r="H182" s="20" t="n">
        <v>16626.401</v>
      </c>
      <c r="I182" s="20" t="n">
        <v>12756.905</v>
      </c>
      <c r="J182" s="20" t="n">
        <v>12115.663</v>
      </c>
      <c r="K182" s="20" t="n">
        <v>12303.825</v>
      </c>
      <c r="L182" s="20" t="n">
        <v>13313.049</v>
      </c>
      <c r="M182" s="20" t="n">
        <v>12775.7</v>
      </c>
      <c r="N182" s="20" t="n">
        <v>13009.684</v>
      </c>
      <c r="W182" s="20" t="n">
        <v>16626.401</v>
      </c>
      <c r="X182" s="20" t="n">
        <v>13313.049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HotelAndHotelRelatedBusinessReportableSegmentsMember · 계</t>
        </is>
      </c>
      <c r="C184" s="20" t="n">
        <v>2799.533</v>
      </c>
      <c r="E184" s="20" t="n">
        <v>2149.948</v>
      </c>
      <c r="F184" s="20" t="n">
        <v>1971.702</v>
      </c>
      <c r="G184" s="20" t="n">
        <v>2994.394</v>
      </c>
      <c r="H184" s="20" t="n">
        <v>2301.995</v>
      </c>
      <c r="I184" s="20" t="n">
        <v>2462.798</v>
      </c>
      <c r="J184" s="20" t="n">
        <v>2224.354</v>
      </c>
      <c r="K184" s="20" t="n">
        <v>3015.235</v>
      </c>
      <c r="L184" s="20" t="n">
        <v>2427.424</v>
      </c>
      <c r="M184" s="20" t="n">
        <v>2469.79</v>
      </c>
      <c r="N184" s="20" t="n">
        <v>2223.042</v>
      </c>
      <c r="W184" s="20" t="n">
        <v>2301.995</v>
      </c>
      <c r="X184" s="20" t="n">
        <v>2427.424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LeasingReportableSegmentsMember · 계</t>
        </is>
      </c>
      <c r="H186" s="20" t="n">
        <v>150.276</v>
      </c>
      <c r="L186" s="20" t="n">
        <v>186.886</v>
      </c>
      <c r="W186" s="20" t="n">
        <v>150.276</v>
      </c>
      <c r="X186" s="20" t="n">
        <v>186.886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H187" s="15">
        <f>IF(OR(H186="",D186=""),"",IF(D186&lt;=0,"",IFERROR(H186/D186-1,"")))</f>
        <v/>
      </c>
      <c r="L187" s="15">
        <f>IF(OR(L186="",H186=""),"",IF(H186&lt;=0,"",IFERROR(L186/H186-1,"")))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RealEstateLeasingReportableSegmentsMember · 계</t>
        </is>
      </c>
      <c r="E188" s="20" t="n">
        <v>138.1</v>
      </c>
      <c r="F188" s="20" t="n">
        <v>140.717</v>
      </c>
      <c r="I188" s="20" t="n">
        <v>153.705</v>
      </c>
      <c r="J188" s="20" t="n">
        <v>151.011</v>
      </c>
      <c r="M188" s="20" t="n">
        <v>214.224</v>
      </c>
      <c r="N188" s="20" t="n">
        <v>178.101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</row>
    <row r="190">
      <c r="A190" s="18" t="inlineStr">
        <is>
          <t>합계 · 계</t>
        </is>
      </c>
      <c r="C190" s="20" t="n">
        <v>18095.596</v>
      </c>
      <c r="E190" s="20" t="n">
        <v>15969.799</v>
      </c>
      <c r="F190" s="20" t="n">
        <v>16930.081</v>
      </c>
      <c r="G190" s="20" t="n">
        <v>15565.653</v>
      </c>
      <c r="H190" s="20" t="n">
        <v>19078.672</v>
      </c>
      <c r="I190" s="20" t="n">
        <v>15373.409</v>
      </c>
      <c r="J190" s="20" t="n">
        <v>14491.028</v>
      </c>
      <c r="K190" s="20" t="n">
        <v>15479.851</v>
      </c>
      <c r="L190" s="20" t="n">
        <v>15927.359</v>
      </c>
      <c r="M190" s="20" t="n">
        <v>15459.715</v>
      </c>
      <c r="N190" s="20" t="n">
        <v>15410.827</v>
      </c>
      <c r="W190" s="20" t="n">
        <v>19078.672</v>
      </c>
      <c r="X190" s="20" t="n">
        <v>15927.359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조정액 · 계</t>
        </is>
      </c>
      <c r="C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0</v>
      </c>
      <c r="W192" s="20" t="n">
        <v>0</v>
      </c>
      <c r="X192" s="20" t="n">
        <v>0</v>
      </c>
    </row>
    <row r="193">
      <c r="A193" s="18" t="inlineStr">
        <is>
          <t>EntityTotalMember · 계</t>
        </is>
      </c>
      <c r="E193" s="20" t="n">
        <v>15969.799</v>
      </c>
      <c r="I193" s="20" t="n">
        <v>15373.409</v>
      </c>
      <c r="M193" s="20" t="n">
        <v>15459.715</v>
      </c>
    </row>
    <row r="194">
      <c r="A194" s="9" t="inlineStr">
        <is>
          <t>계</t>
        </is>
      </c>
      <c r="C194" s="12" t="n">
        <v>18095.596</v>
      </c>
      <c r="E194" s="12" t="n">
        <v>15969.799</v>
      </c>
      <c r="F194" s="12" t="n">
        <v>16930.081</v>
      </c>
      <c r="G194" s="12" t="n">
        <v>15565.653</v>
      </c>
      <c r="H194" s="12" t="n">
        <v>19078.672</v>
      </c>
      <c r="W194" s="12" t="n">
        <v>19078.672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W195" s="15">
        <f>IF(OR(W194="",V194=""),"",IF(V194&lt;=0,"",IFERROR(W194/V194-1,"")))</f>
        <v/>
      </c>
    </row>
    <row r="196">
      <c r="A196" s="18" t="inlineStr">
        <is>
          <t>InternationalShippingReportableSegmentsMember · Operating Income</t>
        </is>
      </c>
      <c r="C196" s="20" t="n">
        <v>2747.206</v>
      </c>
      <c r="E196" s="20" t="n">
        <v>2958.703</v>
      </c>
      <c r="F196" s="20" t="n">
        <v>2579.282</v>
      </c>
      <c r="G196" s="20" t="n">
        <v>2458.979</v>
      </c>
      <c r="H196" s="20" t="n">
        <v>2632.351</v>
      </c>
      <c r="I196" s="20" t="n">
        <v>1993.181</v>
      </c>
      <c r="J196" s="20" t="n">
        <v>1086.607</v>
      </c>
      <c r="K196" s="20" t="n">
        <v>1307.003</v>
      </c>
      <c r="L196" s="20" t="n">
        <v>-597.319</v>
      </c>
      <c r="M196" s="20" t="n">
        <v>1269.404</v>
      </c>
      <c r="N196" s="20" t="n">
        <v>966.073</v>
      </c>
      <c r="W196" s="20" t="n">
        <v>2632.351</v>
      </c>
      <c r="X196" s="20" t="n">
        <v>-597.319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IF(OR(C196="",C182=""),"",IF(C182&lt;=0,"",IFERROR(C196/C182,"")))</f>
        <v/>
      </c>
      <c r="E197" s="15">
        <f>IF(OR(E196="",E182=""),"",IF(E182&lt;=0,"",IFERROR(E196/E182,"")))</f>
        <v/>
      </c>
      <c r="F197" s="15">
        <f>IF(OR(F196="",F182=""),"",IF(F182&lt;=0,"",IFERROR(F196/F182,"")))</f>
        <v/>
      </c>
      <c r="G197" s="15">
        <f>IF(OR(G196="",G182=""),"",IF(G182&lt;=0,"",IFERROR(G196/G182,"")))</f>
        <v/>
      </c>
      <c r="H197" s="15">
        <f>IF(OR(H196="",H182=""),"",IF(H182&lt;=0,"",IFERROR(H196/H182,"")))</f>
        <v/>
      </c>
      <c r="I197" s="15">
        <f>IF(OR(I196="",I182=""),"",IF(I182&lt;=0,"",IFERROR(I196/I182,"")))</f>
        <v/>
      </c>
      <c r="J197" s="15">
        <f>IF(OR(J196="",J182=""),"",IF(J182&lt;=0,"",IFERROR(J196/J182,"")))</f>
        <v/>
      </c>
      <c r="K197" s="15">
        <f>IF(OR(K196="",K182=""),"",IF(K182&lt;=0,"",IFERROR(K196/K182,"")))</f>
        <v/>
      </c>
      <c r="L197" s="15">
        <f>IF(OR(L196="",L182=""),"",IF(L182&lt;=0,"",IFERROR(L196/L182,"")))</f>
        <v/>
      </c>
      <c r="M197" s="15">
        <f>IF(OR(M196="",M182=""),"",IF(M182&lt;=0,"",IFERROR(M196/M182,"")))</f>
        <v/>
      </c>
      <c r="N197" s="15">
        <f>IF(OR(N196="",N182=""),"",IF(N182&lt;=0,"",IFERROR(N196/N182,"")))</f>
        <v/>
      </c>
      <c r="W197" s="15">
        <f>IF(OR(W196="",W182=""),"",IF(W182&lt;=0,"",IFERROR(W196/W182,"")))</f>
        <v/>
      </c>
      <c r="X197" s="15">
        <f>IF(OR(X196="",X182=""),"",IF(X182&lt;=0,"",IFERROR(X196/X182,"")))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HotelAndHotelRelatedBusinessReportableSegmentsMember · Operating Income</t>
        </is>
      </c>
      <c r="C199" s="20" t="n">
        <v>484.536</v>
      </c>
      <c r="E199" s="20" t="n">
        <v>32.327</v>
      </c>
      <c r="F199" s="20" t="n">
        <v>-210.453</v>
      </c>
      <c r="G199" s="20" t="n">
        <v>383.613</v>
      </c>
      <c r="H199" s="20" t="n">
        <v>-53.616</v>
      </c>
      <c r="I199" s="20" t="n">
        <v>93.971</v>
      </c>
      <c r="J199" s="20" t="n">
        <v>-311.166</v>
      </c>
      <c r="K199" s="20" t="n">
        <v>234.068</v>
      </c>
      <c r="L199" s="20" t="n">
        <v>-297.311</v>
      </c>
      <c r="M199" s="20" t="n">
        <v>-213.156</v>
      </c>
      <c r="N199" s="20" t="n">
        <v>-503.442</v>
      </c>
      <c r="W199" s="20" t="n">
        <v>-53.616</v>
      </c>
      <c r="X199" s="20" t="n">
        <v>-297.311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IF(OR(C199="",C184=""),"",IF(C184&lt;=0,"",IFERROR(C199/C184,"")))</f>
        <v/>
      </c>
      <c r="E200" s="15">
        <f>IF(OR(E199="",E184=""),"",IF(E184&lt;=0,"",IFERROR(E199/E184,"")))</f>
        <v/>
      </c>
      <c r="F200" s="15">
        <f>IF(OR(F199="",F184=""),"",IF(F184&lt;=0,"",IFERROR(F199/F184,"")))</f>
        <v/>
      </c>
      <c r="G200" s="15">
        <f>IF(OR(G199="",G184=""),"",IF(G184&lt;=0,"",IFERROR(G199/G184,"")))</f>
        <v/>
      </c>
      <c r="H200" s="15">
        <f>IF(OR(H199="",H184=""),"",IF(H184&lt;=0,"",IFERROR(H199/H184,"")))</f>
        <v/>
      </c>
      <c r="I200" s="15">
        <f>IF(OR(I199="",I184=""),"",IF(I184&lt;=0,"",IFERROR(I199/I184,"")))</f>
        <v/>
      </c>
      <c r="J200" s="15">
        <f>IF(OR(J199="",J184=""),"",IF(J184&lt;=0,"",IFERROR(J199/J184,"")))</f>
        <v/>
      </c>
      <c r="K200" s="15">
        <f>IF(OR(K199="",K184=""),"",IF(K184&lt;=0,"",IFERROR(K199/K184,"")))</f>
        <v/>
      </c>
      <c r="L200" s="15">
        <f>IF(OR(L199="",L184=""),"",IF(L184&lt;=0,"",IFERROR(L199/L184,"")))</f>
        <v/>
      </c>
      <c r="M200" s="15">
        <f>IF(OR(M199="",M184=""),"",IF(M184&lt;=0,"",IFERROR(M199/M184,"")))</f>
        <v/>
      </c>
      <c r="N200" s="15">
        <f>IF(OR(N199="",N184=""),"",IF(N184&lt;=0,"",IFERROR(N199/N184,"")))</f>
        <v/>
      </c>
      <c r="W200" s="15">
        <f>IF(OR(W199="",W184=""),"",IF(W184&lt;=0,"",IFERROR(W199/W184,"")))</f>
        <v/>
      </c>
      <c r="X200" s="15">
        <f>IF(OR(X199="",X184=""),"",IF(X184&lt;=0,"",IFERROR(X199/X184,"")))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LeasingReportableSegmentsMember · 부문 이익</t>
        </is>
      </c>
      <c r="H202" s="20" t="n">
        <v>63.588</v>
      </c>
      <c r="L202" s="20" t="n">
        <v>40.321</v>
      </c>
      <c r="W202" s="20" t="n">
        <v>63.588</v>
      </c>
      <c r="X202" s="20" t="n">
        <v>40.321</v>
      </c>
    </row>
    <row r="203">
      <c r="A203" s="43" t="inlineStr">
        <is>
          <t>OPM</t>
        </is>
      </c>
      <c r="B203" s="3" t="inlineStr">
        <is>
          <t>영업이익 ÷ 매출</t>
        </is>
      </c>
      <c r="H203" s="15">
        <f>IF(OR(H202="",H186=""),"",IF(H186&lt;=0,"",IFERROR(H202/H186,"")))</f>
        <v/>
      </c>
      <c r="L203" s="15">
        <f>IF(OR(L202="",L186=""),"",IF(L186&lt;=0,"",IFERROR(L202/L186,"")))</f>
        <v/>
      </c>
      <c r="W203" s="15">
        <f>IF(OR(W202="",W186=""),"",IF(W186&lt;=0,"",IFERROR(W202/W186,"")))</f>
        <v/>
      </c>
      <c r="X203" s="15">
        <f>IF(OR(X202="",X186=""),"",IF(X186&lt;=0,"",IFERROR(X202/X186,"")))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H204" s="15">
        <f>IF(OR(H202="",D202=""),"",IF(D202&lt;=0,"",IFERROR(H202/D202-1,"")))</f>
        <v/>
      </c>
      <c r="L204" s="15">
        <f>IF(OR(L202="",H202=""),"",IF(H202&lt;=0,"",IFERROR(L202/H202-1,"")))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RealEstateLeasingReportableSegmentsMember · Operating Income</t>
        </is>
      </c>
      <c r="E205" s="20" t="n">
        <v>58.987</v>
      </c>
      <c r="F205" s="20" t="n">
        <v>46.345</v>
      </c>
      <c r="I205" s="20" t="n">
        <v>62.885</v>
      </c>
      <c r="J205" s="20" t="n">
        <v>36.981</v>
      </c>
      <c r="M205" s="20" t="n">
        <v>21.08</v>
      </c>
      <c r="N205" s="20" t="n">
        <v>-44.775</v>
      </c>
    </row>
    <row r="206">
      <c r="A206" s="43" t="inlineStr">
        <is>
          <t>OPM</t>
        </is>
      </c>
      <c r="B206" s="3" t="inlineStr">
        <is>
          <t>영업이익 ÷ 매출</t>
        </is>
      </c>
      <c r="E206" s="15">
        <f>IF(OR(E205="",E188=""),"",IF(E188&lt;=0,"",IFERROR(E205/E188,"")))</f>
        <v/>
      </c>
      <c r="F206" s="15">
        <f>IF(OR(F205="",F188=""),"",IF(F188&lt;=0,"",IFERROR(F205/F188,"")))</f>
        <v/>
      </c>
      <c r="I206" s="15">
        <f>IF(OR(I205="",I188=""),"",IF(I188&lt;=0,"",IFERROR(I205/I188,"")))</f>
        <v/>
      </c>
      <c r="J206" s="15">
        <f>IF(OR(J205="",J188=""),"",IF(J188&lt;=0,"",IFERROR(J205/J188,"")))</f>
        <v/>
      </c>
      <c r="M206" s="15">
        <f>IF(OR(M205="",M188=""),"",IF(M188&lt;=0,"",IFERROR(M205/M188,"")))</f>
        <v/>
      </c>
      <c r="N206" s="15">
        <f>IF(OR(N205="",N188=""),"",IF(N188&lt;=0,"",IFERROR(N205/N188,"")))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</row>
    <row r="208">
      <c r="A208" s="18" t="inlineStr">
        <is>
          <t>합계 · Operating Income</t>
        </is>
      </c>
      <c r="C208" s="20" t="n">
        <v>3310.762</v>
      </c>
      <c r="E208" s="20" t="n">
        <v>3050.018</v>
      </c>
      <c r="F208" s="20" t="n">
        <v>2415.173</v>
      </c>
      <c r="G208" s="20" t="n">
        <v>2906.865</v>
      </c>
      <c r="H208" s="20" t="n">
        <v>2642.322</v>
      </c>
      <c r="I208" s="20" t="n">
        <v>2150.038</v>
      </c>
      <c r="J208" s="20" t="n">
        <v>812.42</v>
      </c>
      <c r="K208" s="20" t="n">
        <v>1598.862</v>
      </c>
      <c r="L208" s="20" t="n">
        <v>-854.311</v>
      </c>
      <c r="M208" s="20" t="n">
        <v>1077.328</v>
      </c>
      <c r="N208" s="20" t="n">
        <v>417.856</v>
      </c>
      <c r="W208" s="20" t="n">
        <v>2642.322</v>
      </c>
      <c r="X208" s="20" t="n">
        <v>-854.311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IF(OR(C208="",C190=""),"",IF(C190&lt;=0,"",IFERROR(C208/C190,"")))</f>
        <v/>
      </c>
      <c r="E209" s="15">
        <f>IF(OR(E208="",E190=""),"",IF(E190&lt;=0,"",IFERROR(E208/E190,"")))</f>
        <v/>
      </c>
      <c r="F209" s="15">
        <f>IF(OR(F208="",F190=""),"",IF(F190&lt;=0,"",IFERROR(F208/F190,"")))</f>
        <v/>
      </c>
      <c r="G209" s="15">
        <f>IF(OR(G208="",G190=""),"",IF(G190&lt;=0,"",IFERROR(G208/G190,"")))</f>
        <v/>
      </c>
      <c r="H209" s="15">
        <f>IF(OR(H208="",H190=""),"",IF(H190&lt;=0,"",IFERROR(H208/H190,"")))</f>
        <v/>
      </c>
      <c r="I209" s="15">
        <f>IF(OR(I208="",I190=""),"",IF(I190&lt;=0,"",IFERROR(I208/I190,"")))</f>
        <v/>
      </c>
      <c r="J209" s="15">
        <f>IF(OR(J208="",J190=""),"",IF(J190&lt;=0,"",IFERROR(J208/J190,"")))</f>
        <v/>
      </c>
      <c r="K209" s="15">
        <f>IF(OR(K208="",K190=""),"",IF(K190&lt;=0,"",IFERROR(K208/K190,"")))</f>
        <v/>
      </c>
      <c r="L209" s="15">
        <f>IF(OR(L208="",L190=""),"",IF(L190&lt;=0,"",IFERROR(L208/L190,"")))</f>
        <v/>
      </c>
      <c r="M209" s="15">
        <f>IF(OR(M208="",M190=""),"",IF(M190&lt;=0,"",IFERROR(M208/M190,"")))</f>
        <v/>
      </c>
      <c r="N209" s="15">
        <f>IF(OR(N208="",N190=""),"",IF(N190&lt;=0,"",IFERROR(N208/N190,"")))</f>
        <v/>
      </c>
      <c r="W209" s="15">
        <f>IF(OR(W208="",W190=""),"",IF(W190&lt;=0,"",IFERROR(W208/W190,"")))</f>
        <v/>
      </c>
      <c r="X209" s="15">
        <f>IF(OR(X208="",X190=""),"",IF(X190&lt;=0,"",IFERROR(X208/X190,"")))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조정액 · Operating Income</t>
        </is>
      </c>
      <c r="C211" s="20" t="n">
        <v>0</v>
      </c>
      <c r="E211" s="20" t="n">
        <v>0</v>
      </c>
      <c r="F211" s="20" t="n">
        <v>0</v>
      </c>
      <c r="G211" s="20" t="n">
        <v>0</v>
      </c>
      <c r="H211" s="20" t="n">
        <v>0</v>
      </c>
      <c r="I211" s="20" t="n">
        <v>0</v>
      </c>
      <c r="J211" s="20" t="n">
        <v>0</v>
      </c>
      <c r="K211" s="20" t="n">
        <v>0</v>
      </c>
      <c r="L211" s="20" t="n">
        <v>0</v>
      </c>
      <c r="M211" s="20" t="n">
        <v>0</v>
      </c>
      <c r="N211" s="20" t="n">
        <v>0</v>
      </c>
      <c r="W211" s="20" t="n">
        <v>0</v>
      </c>
      <c r="X211" s="20" t="n">
        <v>0</v>
      </c>
    </row>
    <row r="212">
      <c r="A212" s="18" t="inlineStr">
        <is>
          <t>EntityTotalMember · 부문 이익</t>
        </is>
      </c>
      <c r="E212" s="20" t="n">
        <v>3050.018</v>
      </c>
      <c r="I212" s="20" t="n">
        <v>2150.038</v>
      </c>
      <c r="M212" s="20" t="n">
        <v>1077.328</v>
      </c>
    </row>
    <row r="213">
      <c r="A213" s="9" t="inlineStr">
        <is>
          <t>Operating Income</t>
        </is>
      </c>
      <c r="C213" s="12" t="n">
        <v>3310.762</v>
      </c>
      <c r="E213" s="12" t="n">
        <v>3050.018</v>
      </c>
      <c r="F213" s="12" t="n">
        <v>2415.173</v>
      </c>
      <c r="G213" s="12" t="n">
        <v>2906.865</v>
      </c>
      <c r="H213" s="12" t="n">
        <v>2642.322</v>
      </c>
      <c r="W213" s="12" t="n">
        <v>2642.322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IF(OR(C213="",C172=""),"",IF(C172&lt;=0,"",IFERROR(C213/C172,"")))</f>
        <v/>
      </c>
      <c r="E214" s="15">
        <f>IF(OR(E213="",E172=""),"",IF(E172&lt;=0,"",IFERROR(E213/E172,"")))</f>
        <v/>
      </c>
      <c r="F214" s="15">
        <f>IF(OR(F213="",F172=""),"",IF(F172&lt;=0,"",IFERROR(F213/F172,"")))</f>
        <v/>
      </c>
      <c r="G214" s="15">
        <f>IF(OR(G213="",G172=""),"",IF(G172&lt;=0,"",IFERROR(G213/G172,"")))</f>
        <v/>
      </c>
      <c r="H214" s="15">
        <f>IF(OR(H213="",H172=""),"",IF(H172&lt;=0,"",IFERROR(H213/H172,"")))</f>
        <v/>
      </c>
      <c r="W214" s="15">
        <f>IF(OR(W213="",W172=""),"",IF(W172&lt;=0,"",IFERROR(W213/W172,"")))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W215" s="15">
        <f>IF(OR(W213="",V213=""),"",IF(V213&lt;=0,"",IFERROR(W213/V213-1,"")))</f>
        <v/>
      </c>
    </row>
    <row r="217">
      <c r="A217" s="16" t="inlineStr">
        <is>
          <t>현금흐름표 · 전 항목</t>
        </is>
      </c>
      <c r="B217" s="42" t="inlineStr">
        <is>
          <t>분기 = 결산기 첫날부터 누계(공시 그대로)</t>
        </is>
      </c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  <c r="AA217" s="16" t="n"/>
      <c r="AB217" s="16" t="n"/>
      <c r="AC217" s="16" t="n"/>
    </row>
    <row r="218">
      <c r="A218" s="5" t="inlineStr">
        <is>
          <t>항목</t>
        </is>
      </c>
      <c r="B218" s="5" t="inlineStr">
        <is>
          <t>참고</t>
        </is>
      </c>
      <c r="C218" s="5" t="inlineStr">
        <is>
          <t>2024.3Q</t>
        </is>
      </c>
      <c r="D218" s="5" t="inlineStr">
        <is>
          <t>2024.4Q</t>
        </is>
      </c>
      <c r="E218" s="5" t="inlineStr">
        <is>
          <t>2025.1Q</t>
        </is>
      </c>
      <c r="F218" s="5" t="inlineStr">
        <is>
          <t>2025.2Q</t>
        </is>
      </c>
      <c r="G218" s="5" t="inlineStr">
        <is>
          <t>2025.3Q</t>
        </is>
      </c>
      <c r="H218" s="5" t="inlineStr">
        <is>
          <t>2025.4Q</t>
        </is>
      </c>
      <c r="I218" s="5" t="inlineStr">
        <is>
          <t>2026.1Q</t>
        </is>
      </c>
      <c r="J218" s="5" t="inlineStr">
        <is>
          <t>2026.2Q</t>
        </is>
      </c>
      <c r="K218" s="5" t="inlineStr">
        <is>
          <t>2026.3Q</t>
        </is>
      </c>
      <c r="L218" s="5" t="inlineStr">
        <is>
          <t>2026.4Q</t>
        </is>
      </c>
      <c r="M218" s="5" t="inlineStr">
        <is>
          <t>2027.1Q</t>
        </is>
      </c>
      <c r="N218" s="5" t="inlineStr">
        <is>
          <t>2027.2Q</t>
        </is>
      </c>
      <c r="O218" s="5" t="inlineStr">
        <is>
          <t>2017</t>
        </is>
      </c>
      <c r="P218" s="5" t="inlineStr">
        <is>
          <t>2018</t>
        </is>
      </c>
      <c r="Q218" s="5" t="inlineStr">
        <is>
          <t>2019</t>
        </is>
      </c>
      <c r="R218" s="5" t="inlineStr">
        <is>
          <t>2020</t>
        </is>
      </c>
      <c r="S218" s="5" t="inlineStr">
        <is>
          <t>2021</t>
        </is>
      </c>
      <c r="T218" s="5" t="inlineStr">
        <is>
          <t>2022</t>
        </is>
      </c>
      <c r="U218" s="5" t="inlineStr">
        <is>
          <t>2023</t>
        </is>
      </c>
      <c r="V218" s="5" t="inlineStr">
        <is>
          <t>2024</t>
        </is>
      </c>
      <c r="W218" s="5" t="inlineStr">
        <is>
          <t>2025</t>
        </is>
      </c>
      <c r="X218" s="5" t="inlineStr">
        <is>
          <t>2026</t>
        </is>
      </c>
      <c r="Y218" s="5" t="inlineStr">
        <is>
          <t>2027(MW)</t>
        </is>
      </c>
      <c r="Z218" s="5" t="inlineStr">
        <is>
          <t>2028(MW)</t>
        </is>
      </c>
      <c r="AA218" s="5" t="inlineStr">
        <is>
          <t>2029(MW)</t>
        </is>
      </c>
      <c r="AB218" s="5" t="inlineStr">
        <is>
          <t>2030(MW)</t>
        </is>
      </c>
      <c r="AC218" s="5" t="inlineStr">
        <is>
          <t>2031(MW)</t>
        </is>
      </c>
    </row>
    <row r="219">
      <c r="A219" s="9" t="inlineStr">
        <is>
          <t>법인세차감전 순이익</t>
        </is>
      </c>
      <c r="D219" s="12" t="n">
        <v>13222.999</v>
      </c>
      <c r="F219" s="12" t="n">
        <v>2077.253</v>
      </c>
      <c r="H219" s="12" t="n">
        <v>9131.462</v>
      </c>
      <c r="J219" s="12" t="n">
        <v>9390.745999999999</v>
      </c>
      <c r="L219" s="12" t="n">
        <v>11727.006</v>
      </c>
      <c r="N219" s="12" t="n">
        <v>4336.969</v>
      </c>
      <c r="O219" s="12" t="n">
        <v>2986.78</v>
      </c>
      <c r="P219" s="12" t="n">
        <v>4454.296</v>
      </c>
      <c r="Q219" s="12" t="n">
        <v>4434.069</v>
      </c>
      <c r="R219" s="12" t="n">
        <v>3760.294</v>
      </c>
      <c r="S219" s="12" t="n">
        <v>2420.08</v>
      </c>
      <c r="T219" s="12" t="n">
        <v>7132.768</v>
      </c>
      <c r="U219" s="12" t="n">
        <v>13879.285</v>
      </c>
      <c r="V219" s="12" t="n">
        <v>13222.999</v>
      </c>
      <c r="W219" s="12" t="n">
        <v>9131.462</v>
      </c>
      <c r="X219" s="12" t="n">
        <v>11727.006</v>
      </c>
    </row>
    <row r="220">
      <c r="A220" s="18" t="inlineStr">
        <is>
          <t>감가상각비</t>
        </is>
      </c>
      <c r="D220" s="20" t="n">
        <v>17284.684</v>
      </c>
      <c r="F220" s="20" t="n">
        <v>8603.487999999999</v>
      </c>
      <c r="H220" s="20" t="n">
        <v>16878.591</v>
      </c>
      <c r="J220" s="20" t="n">
        <v>7539.184</v>
      </c>
      <c r="L220" s="20" t="n">
        <v>15633.84</v>
      </c>
      <c r="N220" s="20" t="n">
        <v>8152.799</v>
      </c>
      <c r="O220" s="20" t="n">
        <v>9199.955</v>
      </c>
      <c r="P220" s="20" t="n">
        <v>9786.768</v>
      </c>
      <c r="Q220" s="20" t="n">
        <v>10515.36</v>
      </c>
      <c r="R220" s="20" t="n">
        <v>11165.946</v>
      </c>
      <c r="S220" s="20" t="n">
        <v>12763.733</v>
      </c>
      <c r="T220" s="20" t="n">
        <v>15066.432</v>
      </c>
      <c r="U220" s="20" t="n">
        <v>16631.189</v>
      </c>
      <c r="V220" s="20" t="n">
        <v>17284.684</v>
      </c>
      <c r="W220" s="20" t="n">
        <v>16878.591</v>
      </c>
      <c r="X220" s="20" t="n">
        <v>15633.84</v>
      </c>
    </row>
    <row r="221">
      <c r="A221" s="18" t="inlineStr">
        <is>
          <t>손상차손</t>
        </is>
      </c>
      <c r="O221" s="20" t="n">
        <v>1564.966</v>
      </c>
      <c r="P221" s="20" t="n">
        <v>37.26</v>
      </c>
      <c r="Q221" s="20" t="n">
        <v>0</v>
      </c>
      <c r="R221" s="20" t="n">
        <v>1449.012</v>
      </c>
      <c r="S221" s="20" t="n">
        <v>1528.856</v>
      </c>
      <c r="T221" s="20" t="n">
        <v>0</v>
      </c>
    </row>
    <row r="222">
      <c r="A222" s="18" t="inlineStr">
        <is>
          <t>부의 영업권 발생이익</t>
        </is>
      </c>
      <c r="R222" s="20" t="n">
        <v>0</v>
      </c>
      <c r="S222" s="20" t="n">
        <v>-582.552</v>
      </c>
      <c r="T222" s="20" t="n">
        <v>0</v>
      </c>
    </row>
    <row r="223">
      <c r="A223" s="18" t="inlineStr">
        <is>
          <t>단계적 취득 차손익</t>
        </is>
      </c>
      <c r="R223" s="20" t="n">
        <v>0</v>
      </c>
      <c r="S223" s="20" t="n">
        <v>455.097</v>
      </c>
      <c r="T223" s="20" t="n">
        <v>0</v>
      </c>
    </row>
    <row r="224">
      <c r="A224" s="18" t="inlineStr">
        <is>
          <t>투자유가증권 매각손익</t>
        </is>
      </c>
      <c r="D224" s="20" t="n">
        <v>-169.177</v>
      </c>
      <c r="O224" s="20" t="n">
        <v>-19.445</v>
      </c>
      <c r="P224" s="20" t="n">
        <v>0</v>
      </c>
      <c r="R224" s="20" t="n">
        <v>0</v>
      </c>
      <c r="S224" s="20" t="n">
        <v>62.578</v>
      </c>
      <c r="T224" s="20" t="n">
        <v>-169.829</v>
      </c>
      <c r="U224" s="20" t="n">
        <v>0</v>
      </c>
      <c r="V224" s="20" t="n">
        <v>-169.177</v>
      </c>
    </row>
    <row r="225">
      <c r="A225" s="18" t="inlineStr">
        <is>
          <t>투자유가증권 평가손익</t>
        </is>
      </c>
      <c r="O225" s="20" t="n">
        <v>5.085</v>
      </c>
      <c r="P225" s="20" t="n">
        <v>0</v>
      </c>
      <c r="Q225" s="20" t="n">
        <v>0</v>
      </c>
      <c r="R225" s="20" t="n">
        <v>92.42400000000001</v>
      </c>
      <c r="S225" s="20" t="n">
        <v>10.8</v>
      </c>
      <c r="T225" s="20" t="n">
        <v>0</v>
      </c>
    </row>
    <row r="226">
      <c r="A226" s="18" t="inlineStr">
        <is>
          <t>자회사 주식 매각손실</t>
        </is>
      </c>
      <c r="H226" s="20" t="n">
        <v>0</v>
      </c>
      <c r="L226" s="20" t="n">
        <v>152.076</v>
      </c>
      <c r="W226" s="20" t="n">
        <v>0</v>
      </c>
      <c r="X226" s="20" t="n">
        <v>152.076</v>
      </c>
    </row>
    <row r="227">
      <c r="A227" s="18" t="inlineStr">
        <is>
          <t>이자·배당금 수익</t>
        </is>
      </c>
      <c r="D227" s="20" t="n">
        <v>-744.41</v>
      </c>
      <c r="F227" s="20" t="n">
        <v>-626.662</v>
      </c>
      <c r="H227" s="20" t="n">
        <v>-1346.587</v>
      </c>
      <c r="J227" s="20" t="n">
        <v>-918.088</v>
      </c>
      <c r="L227" s="20" t="n">
        <v>-1759.252</v>
      </c>
      <c r="N227" s="20" t="n">
        <v>-761.343</v>
      </c>
      <c r="O227" s="20" t="n">
        <v>-99.316</v>
      </c>
      <c r="P227" s="20" t="n">
        <v>-120.673</v>
      </c>
      <c r="Q227" s="20" t="n">
        <v>-191.722</v>
      </c>
      <c r="R227" s="20" t="n">
        <v>-208.459</v>
      </c>
      <c r="S227" s="20" t="n">
        <v>-128.687</v>
      </c>
      <c r="T227" s="20" t="n">
        <v>-136.16</v>
      </c>
      <c r="U227" s="20" t="n">
        <v>-348.73</v>
      </c>
      <c r="V227" s="20" t="n">
        <v>-744.41</v>
      </c>
      <c r="W227" s="20" t="n">
        <v>-1346.587</v>
      </c>
      <c r="X227" s="20" t="n">
        <v>-1759.252</v>
      </c>
    </row>
    <row r="228">
      <c r="A228" s="18" t="inlineStr">
        <is>
          <t>자회사 주식 매각손익</t>
        </is>
      </c>
      <c r="F228" s="20" t="n">
        <v>0</v>
      </c>
      <c r="J228" s="20" t="n">
        <v>152.076</v>
      </c>
      <c r="N228" s="20" t="n">
        <v>0</v>
      </c>
    </row>
    <row r="229">
      <c r="A229" s="18" t="inlineStr">
        <is>
          <t>유형자산 제각·매각손익</t>
        </is>
      </c>
      <c r="D229" s="20" t="n">
        <v>-7217.062</v>
      </c>
      <c r="F229" s="20" t="n">
        <v>0</v>
      </c>
      <c r="H229" s="20" t="n">
        <v>0</v>
      </c>
      <c r="J229" s="20" t="n">
        <v>-9184.981</v>
      </c>
      <c r="L229" s="20" t="n">
        <v>-10478.7</v>
      </c>
      <c r="N229" s="20" t="n">
        <v>-928.7380000000001</v>
      </c>
      <c r="O229" s="20" t="n">
        <v>1.31</v>
      </c>
      <c r="P229" s="20" t="n">
        <v>109.886</v>
      </c>
      <c r="Q229" s="20" t="n">
        <v>18.135</v>
      </c>
      <c r="R229" s="20" t="n">
        <v>-1044.13</v>
      </c>
      <c r="S229" s="20" t="n">
        <v>-1058.635</v>
      </c>
      <c r="T229" s="20" t="n">
        <v>-2596.997</v>
      </c>
      <c r="U229" s="20" t="n">
        <v>-7435.68</v>
      </c>
      <c r="V229" s="20" t="n">
        <v>-7217.062</v>
      </c>
      <c r="W229" s="20" t="n">
        <v>0</v>
      </c>
      <c r="X229" s="20" t="n">
        <v>-10478.7</v>
      </c>
    </row>
    <row r="230">
      <c r="A230" s="18" t="inlineStr">
        <is>
          <t>이자비용</t>
        </is>
      </c>
      <c r="D230" s="20" t="n">
        <v>4443.573</v>
      </c>
      <c r="F230" s="20" t="n">
        <v>2337.165</v>
      </c>
      <c r="H230" s="20" t="n">
        <v>4617.994</v>
      </c>
      <c r="J230" s="20" t="n">
        <v>1872.403</v>
      </c>
      <c r="L230" s="20" t="n">
        <v>3846.333</v>
      </c>
      <c r="N230" s="20" t="n">
        <v>1853.434</v>
      </c>
      <c r="O230" s="20" t="n">
        <v>1580.078</v>
      </c>
      <c r="P230" s="20" t="n">
        <v>1713.815</v>
      </c>
      <c r="Q230" s="20" t="n">
        <v>1901.672</v>
      </c>
      <c r="R230" s="20" t="n">
        <v>2140.746</v>
      </c>
      <c r="S230" s="20" t="n">
        <v>1923.239</v>
      </c>
      <c r="T230" s="20" t="n">
        <v>2060.418</v>
      </c>
      <c r="U230" s="20" t="n">
        <v>2843.434</v>
      </c>
      <c r="V230" s="20" t="n">
        <v>4443.573</v>
      </c>
      <c r="W230" s="20" t="n">
        <v>4617.994</v>
      </c>
      <c r="X230" s="20" t="n">
        <v>3846.333</v>
      </c>
    </row>
    <row r="231">
      <c r="A231" s="18" t="inlineStr">
        <is>
          <t>외환차손익</t>
        </is>
      </c>
      <c r="D231" s="20" t="n">
        <v>3273.797</v>
      </c>
      <c r="F231" s="20" t="n">
        <v>1959.81</v>
      </c>
      <c r="H231" s="20" t="n">
        <v>2966.646</v>
      </c>
      <c r="J231" s="20" t="n">
        <v>1282.861</v>
      </c>
      <c r="L231" s="20" t="n">
        <v>1422.171</v>
      </c>
      <c r="N231" s="20" t="n">
        <v>238.808</v>
      </c>
      <c r="O231" s="20" t="n">
        <v>25.99</v>
      </c>
      <c r="P231" s="20" t="n">
        <v>264.542</v>
      </c>
      <c r="Q231" s="20" t="n">
        <v>-390.637</v>
      </c>
      <c r="R231" s="20" t="n">
        <v>-95.809</v>
      </c>
      <c r="S231" s="20" t="n">
        <v>-427.004</v>
      </c>
      <c r="T231" s="20" t="n">
        <v>-276.878</v>
      </c>
      <c r="U231" s="20" t="n">
        <v>1845.54</v>
      </c>
      <c r="V231" s="20" t="n">
        <v>3273.797</v>
      </c>
      <c r="W231" s="20" t="n">
        <v>2966.646</v>
      </c>
      <c r="X231" s="20" t="n">
        <v>1422.171</v>
      </c>
    </row>
    <row r="232">
      <c r="A232" s="18" t="inlineStr">
        <is>
          <t>익명조합 투자손익</t>
        </is>
      </c>
      <c r="D232" s="20" t="n">
        <v>17.968</v>
      </c>
      <c r="O232" s="20" t="n">
        <v>-13.634</v>
      </c>
      <c r="P232" s="20" t="n">
        <v>-46.227</v>
      </c>
      <c r="Q232" s="20" t="n">
        <v>-40.212</v>
      </c>
      <c r="R232" s="20" t="n">
        <v>-191.973</v>
      </c>
      <c r="S232" s="20" t="n">
        <v>-101.73</v>
      </c>
      <c r="T232" s="20" t="n">
        <v>15.451</v>
      </c>
      <c r="U232" s="20" t="n">
        <v>-95.08199999999999</v>
      </c>
      <c r="V232" s="20" t="n">
        <v>17.968</v>
      </c>
    </row>
    <row r="233">
      <c r="A233" s="18" t="inlineStr">
        <is>
          <t>파생상품 평가손익</t>
        </is>
      </c>
      <c r="D233" s="20" t="n">
        <v>122.519</v>
      </c>
      <c r="F233" s="20" t="n">
        <v>690.971</v>
      </c>
      <c r="H233" s="20" t="n">
        <v>37.761</v>
      </c>
      <c r="J233" s="20" t="n">
        <v>628.37</v>
      </c>
      <c r="L233" s="20" t="n">
        <v>789.965</v>
      </c>
      <c r="N233" s="20" t="n">
        <v>-1040.503</v>
      </c>
      <c r="O233" s="20" t="n">
        <v>162.817</v>
      </c>
      <c r="P233" s="20" t="n">
        <v>-55.839</v>
      </c>
      <c r="Q233" s="20" t="n">
        <v>-41.134</v>
      </c>
      <c r="R233" s="20" t="n">
        <v>-20.314</v>
      </c>
      <c r="S233" s="20" t="n">
        <v>-91.129</v>
      </c>
      <c r="T233" s="20" t="n">
        <v>479.103</v>
      </c>
      <c r="U233" s="20" t="n">
        <v>541.606</v>
      </c>
      <c r="V233" s="20" t="n">
        <v>122.519</v>
      </c>
      <c r="W233" s="20" t="n">
        <v>37.761</v>
      </c>
      <c r="X233" s="20" t="n">
        <v>789.965</v>
      </c>
    </row>
    <row r="234">
      <c r="A234" s="18" t="inlineStr">
        <is>
          <t>채무면제이익</t>
        </is>
      </c>
      <c r="R234" s="20" t="n">
        <v>0</v>
      </c>
      <c r="S234" s="20" t="n">
        <v>-206.83</v>
      </c>
      <c r="T234" s="20" t="n">
        <v>0</v>
      </c>
    </row>
    <row r="235">
      <c r="A235" s="18" t="inlineStr">
        <is>
          <t>지분법손익</t>
        </is>
      </c>
      <c r="D235" s="20" t="n">
        <v>-1089.258</v>
      </c>
      <c r="F235" s="20" t="n">
        <v>-875.307</v>
      </c>
      <c r="H235" s="20" t="n">
        <v>-3819.86</v>
      </c>
      <c r="J235" s="20" t="n">
        <v>-438.87</v>
      </c>
      <c r="L235" s="20" t="n">
        <v>-1782.938</v>
      </c>
      <c r="N235" s="20" t="n">
        <v>-1999.584</v>
      </c>
      <c r="O235" s="20" t="n">
        <v>-351.401</v>
      </c>
      <c r="P235" s="20" t="n">
        <v>-672.412</v>
      </c>
      <c r="Q235" s="20" t="n">
        <v>-690.3680000000001</v>
      </c>
      <c r="R235" s="20" t="n">
        <v>-344.728</v>
      </c>
      <c r="S235" s="20" t="n">
        <v>-517.241</v>
      </c>
      <c r="T235" s="20" t="n">
        <v>-939.256</v>
      </c>
      <c r="U235" s="20" t="n">
        <v>-1748.876</v>
      </c>
      <c r="V235" s="20" t="n">
        <v>-1089.258</v>
      </c>
      <c r="W235" s="20" t="n">
        <v>-3819.86</v>
      </c>
      <c r="X235" s="20" t="n">
        <v>-1782.938</v>
      </c>
    </row>
    <row r="236">
      <c r="A236" s="18" t="inlineStr">
        <is>
          <t>임원 퇴직위로 충당금 증감</t>
        </is>
      </c>
      <c r="D236" s="20" t="n">
        <v>-63.714</v>
      </c>
      <c r="F236" s="20" t="n">
        <v>-6.76</v>
      </c>
      <c r="H236" s="20" t="n">
        <v>-6.76</v>
      </c>
      <c r="J236" s="20" t="n">
        <v>-0.75</v>
      </c>
      <c r="L236" s="20" t="n">
        <v>-0.75</v>
      </c>
      <c r="O236" s="20" t="n">
        <v>-13.325</v>
      </c>
      <c r="P236" s="20" t="n">
        <v>-32.369</v>
      </c>
      <c r="Q236" s="20" t="n">
        <v>-3.277</v>
      </c>
      <c r="R236" s="20" t="n">
        <v>0</v>
      </c>
      <c r="S236" s="20" t="n">
        <v>-19.271</v>
      </c>
      <c r="T236" s="20" t="n">
        <v>-10.691</v>
      </c>
      <c r="U236" s="20" t="n">
        <v>0</v>
      </c>
      <c r="V236" s="20" t="n">
        <v>-63.714</v>
      </c>
      <c r="W236" s="20" t="n">
        <v>-6.76</v>
      </c>
      <c r="X236" s="20" t="n">
        <v>-0.75</v>
      </c>
    </row>
    <row r="237">
      <c r="A237" s="18" t="inlineStr">
        <is>
          <t>퇴직급여부채 증감</t>
        </is>
      </c>
      <c r="D237" s="20" t="n">
        <v>4.582</v>
      </c>
      <c r="F237" s="20" t="n">
        <v>-9.800000000000001</v>
      </c>
      <c r="H237" s="20" t="n">
        <v>10.528</v>
      </c>
      <c r="J237" s="20" t="n">
        <v>30.72</v>
      </c>
      <c r="L237" s="20" t="n">
        <v>54.586</v>
      </c>
      <c r="N237" s="20" t="n">
        <v>6.297</v>
      </c>
      <c r="O237" s="20" t="n">
        <v>37.403</v>
      </c>
      <c r="P237" s="20" t="n">
        <v>33.982</v>
      </c>
      <c r="Q237" s="20" t="n">
        <v>11.709</v>
      </c>
      <c r="R237" s="20" t="n">
        <v>-0.596</v>
      </c>
      <c r="S237" s="20" t="n">
        <v>18.804</v>
      </c>
      <c r="T237" s="20" t="n">
        <v>2.399</v>
      </c>
      <c r="U237" s="20" t="n">
        <v>-5.916</v>
      </c>
      <c r="V237" s="20" t="n">
        <v>4.582</v>
      </c>
      <c r="W237" s="20" t="n">
        <v>10.528</v>
      </c>
      <c r="X237" s="20" t="n">
        <v>54.586</v>
      </c>
    </row>
    <row r="238">
      <c r="A238" s="18" t="inlineStr">
        <is>
          <t>특별수선충당금 증감액</t>
        </is>
      </c>
      <c r="D238" s="20" t="n">
        <v>906.056</v>
      </c>
      <c r="F238" s="20" t="n">
        <v>734.047</v>
      </c>
      <c r="H238" s="20" t="n">
        <v>1011.478</v>
      </c>
      <c r="J238" s="20" t="n">
        <v>-505.09</v>
      </c>
      <c r="L238" s="20" t="n">
        <v>-725.774</v>
      </c>
      <c r="N238" s="20" t="n">
        <v>185.223</v>
      </c>
      <c r="O238" s="20" t="n">
        <v>419.999</v>
      </c>
      <c r="P238" s="20" t="n">
        <v>545.337</v>
      </c>
      <c r="Q238" s="20" t="n">
        <v>487.456</v>
      </c>
      <c r="R238" s="20" t="n">
        <v>293.88</v>
      </c>
      <c r="S238" s="20" t="n">
        <v>-431.546</v>
      </c>
      <c r="T238" s="20" t="n">
        <v>643.157</v>
      </c>
      <c r="U238" s="20" t="n">
        <v>569.506</v>
      </c>
      <c r="V238" s="20" t="n">
        <v>906.056</v>
      </c>
      <c r="W238" s="20" t="n">
        <v>1011.478</v>
      </c>
      <c r="X238" s="20" t="n">
        <v>-725.774</v>
      </c>
    </row>
    <row r="239">
      <c r="A239" s="18" t="inlineStr">
        <is>
          <t>선수금 증감</t>
        </is>
      </c>
      <c r="D239" s="20" t="n">
        <v>-462.151</v>
      </c>
      <c r="F239" s="20" t="n">
        <v>51.237</v>
      </c>
      <c r="H239" s="20" t="n">
        <v>552.737</v>
      </c>
      <c r="J239" s="20" t="n">
        <v>-642.021</v>
      </c>
      <c r="L239" s="20" t="n">
        <v>28.762</v>
      </c>
      <c r="N239" s="20" t="n">
        <v>-389.578</v>
      </c>
      <c r="O239" s="20" t="n">
        <v>-122.461</v>
      </c>
      <c r="P239" s="20" t="n">
        <v>-60.793</v>
      </c>
      <c r="Q239" s="20" t="n">
        <v>139.16</v>
      </c>
      <c r="R239" s="20" t="n">
        <v>18.569</v>
      </c>
      <c r="S239" s="20" t="n">
        <v>-216.47</v>
      </c>
      <c r="T239" s="20" t="n">
        <v>192.135</v>
      </c>
      <c r="U239" s="20" t="n">
        <v>843.0599999999999</v>
      </c>
      <c r="V239" s="20" t="n">
        <v>-462.151</v>
      </c>
      <c r="W239" s="20" t="n">
        <v>552.737</v>
      </c>
      <c r="X239" s="20" t="n">
        <v>28.762</v>
      </c>
    </row>
    <row r="240">
      <c r="A240" s="18" t="inlineStr">
        <is>
          <t>재고자산 증감</t>
        </is>
      </c>
      <c r="D240" s="20" t="n">
        <v>-29.233</v>
      </c>
      <c r="F240" s="20" t="n">
        <v>65.46599999999999</v>
      </c>
      <c r="H240" s="20" t="n">
        <v>8.82</v>
      </c>
      <c r="J240" s="20" t="n">
        <v>251.427</v>
      </c>
      <c r="L240" s="20" t="n">
        <v>120.449</v>
      </c>
      <c r="N240" s="20" t="n">
        <v>-14.393</v>
      </c>
      <c r="O240" s="20" t="n">
        <v>-36.962</v>
      </c>
      <c r="P240" s="20" t="n">
        <v>2.335</v>
      </c>
      <c r="Q240" s="20" t="n">
        <v>26.975</v>
      </c>
      <c r="R240" s="20" t="n">
        <v>56.802</v>
      </c>
      <c r="S240" s="20" t="n">
        <v>-27.239</v>
      </c>
      <c r="T240" s="20" t="n">
        <v>-206.194</v>
      </c>
      <c r="U240" s="20" t="n">
        <v>-234.727</v>
      </c>
      <c r="V240" s="20" t="n">
        <v>-29.233</v>
      </c>
      <c r="W240" s="20" t="n">
        <v>8.82</v>
      </c>
      <c r="X240" s="20" t="n">
        <v>120.449</v>
      </c>
    </row>
    <row r="241">
      <c r="A241" s="18" t="inlineStr">
        <is>
          <t>미수 소비세 증감</t>
        </is>
      </c>
      <c r="D241" s="20" t="n">
        <v>10.621</v>
      </c>
      <c r="F241" s="20" t="n">
        <v>-175.496</v>
      </c>
      <c r="H241" s="20" t="n">
        <v>-179.791</v>
      </c>
      <c r="J241" s="20" t="n">
        <v>-416.365</v>
      </c>
      <c r="L241" s="20" t="n">
        <v>-437.869</v>
      </c>
      <c r="N241" s="20" t="n">
        <v>449.328</v>
      </c>
      <c r="O241" s="20" t="n">
        <v>-37.081</v>
      </c>
      <c r="P241" s="20" t="n">
        <v>-42.193</v>
      </c>
      <c r="Q241" s="20" t="n">
        <v>-4.459</v>
      </c>
      <c r="R241" s="20" t="n">
        <v>1.624</v>
      </c>
      <c r="S241" s="20" t="n">
        <v>-85.596</v>
      </c>
      <c r="T241" s="20" t="n">
        <v>-0.499</v>
      </c>
      <c r="U241" s="20" t="n">
        <v>190.634</v>
      </c>
      <c r="V241" s="20" t="n">
        <v>10.621</v>
      </c>
      <c r="W241" s="20" t="n">
        <v>-179.791</v>
      </c>
      <c r="X241" s="20" t="n">
        <v>-437.869</v>
      </c>
    </row>
    <row r="242">
      <c r="A242" s="18" t="inlineStr">
        <is>
          <t>해운업 미지급금 증감액</t>
        </is>
      </c>
      <c r="D242" s="20" t="n">
        <v>635.994</v>
      </c>
      <c r="F242" s="20" t="n">
        <v>323.609</v>
      </c>
      <c r="H242" s="20" t="n">
        <v>778.409</v>
      </c>
      <c r="J242" s="20" t="n">
        <v>1161.133</v>
      </c>
      <c r="L242" s="20" t="n">
        <v>2665.863</v>
      </c>
      <c r="N242" s="20" t="n">
        <v>350.959</v>
      </c>
      <c r="O242" s="20" t="n">
        <v>-47.324</v>
      </c>
      <c r="P242" s="20" t="n">
        <v>329.111</v>
      </c>
      <c r="Q242" s="20" t="n">
        <v>92.729</v>
      </c>
      <c r="R242" s="20" t="n">
        <v>181.352</v>
      </c>
      <c r="S242" s="20" t="n">
        <v>259.207</v>
      </c>
      <c r="T242" s="20" t="n">
        <v>131.79</v>
      </c>
      <c r="U242" s="20" t="n">
        <v>549.7380000000001</v>
      </c>
      <c r="V242" s="20" t="n">
        <v>635.994</v>
      </c>
      <c r="W242" s="20" t="n">
        <v>778.409</v>
      </c>
      <c r="X242" s="20" t="n">
        <v>2665.863</v>
      </c>
    </row>
    <row r="243">
      <c r="A243" s="18" t="inlineStr">
        <is>
          <t>기타 유동자산 증감</t>
        </is>
      </c>
      <c r="D243" s="20" t="n">
        <v>-960.248</v>
      </c>
      <c r="F243" s="20" t="n">
        <v>-643.481</v>
      </c>
      <c r="H243" s="20" t="n">
        <v>-497.756</v>
      </c>
      <c r="J243" s="20" t="n">
        <v>620.674</v>
      </c>
      <c r="L243" s="20" t="n">
        <v>-166.957</v>
      </c>
      <c r="N243" s="20" t="n">
        <v>-1646.895</v>
      </c>
      <c r="O243" s="20" t="n">
        <v>-411.235</v>
      </c>
      <c r="P243" s="20" t="n">
        <v>-94.545</v>
      </c>
      <c r="Q243" s="20" t="n">
        <v>-391.868</v>
      </c>
      <c r="R243" s="20" t="n">
        <v>-631.155</v>
      </c>
      <c r="S243" s="20" t="n">
        <v>-88.913</v>
      </c>
      <c r="T243" s="20" t="n">
        <v>313.981</v>
      </c>
      <c r="U243" s="20" t="n">
        <v>-1881.196</v>
      </c>
      <c r="V243" s="20" t="n">
        <v>-960.248</v>
      </c>
      <c r="W243" s="20" t="n">
        <v>-497.756</v>
      </c>
      <c r="X243" s="20" t="n">
        <v>-166.957</v>
      </c>
    </row>
    <row r="244">
      <c r="A244" s="18" t="inlineStr">
        <is>
          <t>기타</t>
        </is>
      </c>
      <c r="D244" s="20" t="n">
        <v>2475.882</v>
      </c>
      <c r="F244" s="20" t="n">
        <v>1736.439</v>
      </c>
      <c r="H244" s="20" t="n">
        <v>853.619</v>
      </c>
      <c r="J244" s="20" t="n">
        <v>683.827</v>
      </c>
      <c r="L244" s="20" t="n">
        <v>2663.294</v>
      </c>
      <c r="N244" s="20" t="n">
        <v>1021.34</v>
      </c>
      <c r="O244" s="20" t="n">
        <v>-679.6900000000001</v>
      </c>
      <c r="P244" s="20" t="n">
        <v>483.212</v>
      </c>
      <c r="Q244" s="20" t="n">
        <v>540.612</v>
      </c>
      <c r="R244" s="20" t="n">
        <v>264.17</v>
      </c>
      <c r="S244" s="20" t="n">
        <v>-752.771</v>
      </c>
      <c r="T244" s="20" t="n">
        <v>370.751</v>
      </c>
      <c r="U244" s="20" t="n">
        <v>2112.858</v>
      </c>
      <c r="V244" s="20" t="n">
        <v>2475.882</v>
      </c>
      <c r="W244" s="20" t="n">
        <v>853.619</v>
      </c>
      <c r="X244" s="20" t="n">
        <v>2663.294</v>
      </c>
    </row>
    <row r="245">
      <c r="A245" s="18" t="inlineStr">
        <is>
          <t>소계</t>
        </is>
      </c>
      <c r="D245" s="20" t="n">
        <v>31663.423</v>
      </c>
      <c r="F245" s="20" t="n">
        <v>16241.981</v>
      </c>
      <c r="H245" s="20" t="n">
        <v>30997.296</v>
      </c>
      <c r="J245" s="20" t="n">
        <v>11508.006</v>
      </c>
      <c r="L245" s="20" t="n">
        <v>23752.106</v>
      </c>
      <c r="N245" s="20" t="n">
        <v>9814.124</v>
      </c>
      <c r="O245" s="20" t="n">
        <v>14152.509</v>
      </c>
      <c r="P245" s="20" t="n">
        <v>16635.494</v>
      </c>
      <c r="Q245" s="20" t="n">
        <v>16414.199</v>
      </c>
      <c r="R245" s="20" t="n">
        <v>16887.656</v>
      </c>
      <c r="S245" s="20" t="n">
        <v>14706.775</v>
      </c>
      <c r="T245" s="20" t="n">
        <v>22071.881</v>
      </c>
      <c r="U245" s="20" t="n">
        <v>28256.643</v>
      </c>
      <c r="V245" s="20" t="n">
        <v>31663.423</v>
      </c>
      <c r="W245" s="20" t="n">
        <v>30997.296</v>
      </c>
      <c r="X245" s="20" t="n">
        <v>23752.106</v>
      </c>
    </row>
    <row r="246">
      <c r="A246" s="18" t="inlineStr">
        <is>
          <t>이자·배당금 수취</t>
        </is>
      </c>
      <c r="D246" s="20" t="n">
        <v>1547.596</v>
      </c>
      <c r="F246" s="20" t="n">
        <v>623.585</v>
      </c>
      <c r="H246" s="20" t="n">
        <v>5180.487</v>
      </c>
      <c r="J246" s="20" t="n">
        <v>1250.985</v>
      </c>
      <c r="L246" s="20" t="n">
        <v>2269.327</v>
      </c>
      <c r="N246" s="20" t="n">
        <v>2438.35</v>
      </c>
      <c r="O246" s="20" t="n">
        <v>255.624</v>
      </c>
      <c r="P246" s="20" t="n">
        <v>207.807</v>
      </c>
      <c r="Q246" s="20" t="n">
        <v>167.583</v>
      </c>
      <c r="R246" s="20" t="n">
        <v>453.891</v>
      </c>
      <c r="S246" s="20" t="n">
        <v>932.509</v>
      </c>
      <c r="T246" s="20" t="n">
        <v>484.613</v>
      </c>
      <c r="U246" s="20" t="n">
        <v>1957.507</v>
      </c>
      <c r="V246" s="20" t="n">
        <v>1547.596</v>
      </c>
      <c r="W246" s="20" t="n">
        <v>5180.487</v>
      </c>
      <c r="X246" s="20" t="n">
        <v>2269.327</v>
      </c>
    </row>
    <row r="247">
      <c r="A247" s="18" t="inlineStr">
        <is>
          <t>이자 지급</t>
        </is>
      </c>
      <c r="D247" s="20" t="n">
        <v>-4386.529</v>
      </c>
      <c r="F247" s="20" t="n">
        <v>-2319.537</v>
      </c>
      <c r="H247" s="20" t="n">
        <v>-4632.511</v>
      </c>
      <c r="J247" s="20" t="n">
        <v>-1980.802</v>
      </c>
      <c r="L247" s="20" t="n">
        <v>-3876.315</v>
      </c>
      <c r="N247" s="20" t="n">
        <v>-1873.254</v>
      </c>
      <c r="O247" s="20" t="n">
        <v>-1677.777</v>
      </c>
      <c r="P247" s="20" t="n">
        <v>-1798.143</v>
      </c>
      <c r="Q247" s="20" t="n">
        <v>-1964.928</v>
      </c>
      <c r="R247" s="20" t="n">
        <v>-2221.544</v>
      </c>
      <c r="S247" s="20" t="n">
        <v>-1973.899</v>
      </c>
      <c r="T247" s="20" t="n">
        <v>-2059.234</v>
      </c>
      <c r="U247" s="20" t="n">
        <v>-2689.833</v>
      </c>
      <c r="V247" s="20" t="n">
        <v>-4386.529</v>
      </c>
      <c r="W247" s="20" t="n">
        <v>-4632.511</v>
      </c>
      <c r="X247" s="20" t="n">
        <v>-3876.315</v>
      </c>
    </row>
    <row r="248">
      <c r="A248" s="18" t="inlineStr">
        <is>
          <t>법인세 납부</t>
        </is>
      </c>
      <c r="D248" s="20" t="n">
        <v>-877.98</v>
      </c>
      <c r="F248" s="20" t="n">
        <v>-706.879</v>
      </c>
      <c r="H248" s="20" t="n">
        <v>-1344.694</v>
      </c>
      <c r="J248" s="20" t="n">
        <v>-1900.231</v>
      </c>
      <c r="L248" s="20" t="n">
        <v>-2523.385</v>
      </c>
      <c r="N248" s="20" t="n">
        <v>-365.944</v>
      </c>
      <c r="O248" s="20" t="n">
        <v>-632.126</v>
      </c>
      <c r="P248" s="20" t="n">
        <v>-603.938</v>
      </c>
      <c r="Q248" s="20" t="n">
        <v>-641.578</v>
      </c>
      <c r="R248" s="20" t="n">
        <v>-643.009</v>
      </c>
      <c r="S248" s="20" t="n">
        <v>-520.761</v>
      </c>
      <c r="T248" s="20" t="n">
        <v>-600.603</v>
      </c>
      <c r="U248" s="20" t="n">
        <v>-1146.11</v>
      </c>
      <c r="V248" s="20" t="n">
        <v>-877.98</v>
      </c>
      <c r="W248" s="20" t="n">
        <v>-1344.694</v>
      </c>
      <c r="X248" s="20" t="n">
        <v>-2523.385</v>
      </c>
    </row>
    <row r="249">
      <c r="A249" s="9" t="inlineStr">
        <is>
          <t>영업활동 현금흐름</t>
        </is>
      </c>
      <c r="D249" s="12" t="n">
        <v>27946.51</v>
      </c>
      <c r="F249" s="12" t="n">
        <v>13839.15</v>
      </c>
      <c r="H249" s="12" t="n">
        <v>30200.578</v>
      </c>
      <c r="J249" s="12" t="n">
        <v>8877.958000000001</v>
      </c>
      <c r="L249" s="12" t="n">
        <v>19621.733</v>
      </c>
      <c r="N249" s="12" t="n">
        <v>10013.276</v>
      </c>
      <c r="O249" s="12" t="n">
        <v>12098.229</v>
      </c>
      <c r="P249" s="12" t="n">
        <v>14441.22</v>
      </c>
      <c r="Q249" s="12" t="n">
        <v>13975.276</v>
      </c>
      <c r="R249" s="12" t="n">
        <v>14476.993</v>
      </c>
      <c r="S249" s="12" t="n">
        <v>13144.624</v>
      </c>
      <c r="T249" s="12" t="n">
        <v>19896.657</v>
      </c>
      <c r="U249" s="12" t="n">
        <v>26378.206</v>
      </c>
      <c r="V249" s="12" t="n">
        <v>27946.51</v>
      </c>
      <c r="W249" s="12" t="n">
        <v>30200.578</v>
      </c>
      <c r="X249" s="12" t="n">
        <v>19621.733</v>
      </c>
    </row>
    <row r="250">
      <c r="A250" s="18" t="inlineStr">
        <is>
          <t>유가증권 순증감액</t>
        </is>
      </c>
      <c r="O250" s="20" t="n">
        <v>5.715</v>
      </c>
      <c r="P250" s="20" t="n">
        <v>0</v>
      </c>
    </row>
    <row r="251">
      <c r="A251" s="18" t="inlineStr">
        <is>
          <t>유형자산 취득(설비투자)</t>
        </is>
      </c>
      <c r="D251" s="20" t="n">
        <v>-9814.556</v>
      </c>
      <c r="F251" s="20" t="n">
        <v>-4705.772</v>
      </c>
      <c r="H251" s="20" t="n">
        <v>-9269.584999999999</v>
      </c>
      <c r="J251" s="20" t="n">
        <v>-4510.912</v>
      </c>
      <c r="L251" s="20" t="n">
        <v>-15644.156</v>
      </c>
      <c r="N251" s="20" t="n">
        <v>-18090.226</v>
      </c>
      <c r="O251" s="20" t="n">
        <v>-1403.381</v>
      </c>
      <c r="P251" s="20" t="n">
        <v>-24020.715</v>
      </c>
      <c r="Q251" s="20" t="n">
        <v>-22802.255</v>
      </c>
      <c r="R251" s="20" t="n">
        <v>-21475.386</v>
      </c>
      <c r="S251" s="20" t="n">
        <v>-49943.396</v>
      </c>
      <c r="T251" s="20" t="n">
        <v>-37769.063</v>
      </c>
      <c r="U251" s="20" t="n">
        <v>-28393.258</v>
      </c>
      <c r="V251" s="20" t="n">
        <v>-9814.556</v>
      </c>
      <c r="W251" s="20" t="n">
        <v>-9269.584999999999</v>
      </c>
      <c r="X251" s="20" t="n">
        <v>-15644.156</v>
      </c>
    </row>
    <row r="252">
      <c r="A252" s="18" t="inlineStr">
        <is>
          <t>유형자산 매각</t>
        </is>
      </c>
      <c r="D252" s="20" t="n">
        <v>19399.185</v>
      </c>
      <c r="F252" s="20" t="n">
        <v>12772.018</v>
      </c>
      <c r="H252" s="20" t="n">
        <v>13802.246</v>
      </c>
      <c r="J252" s="20" t="n">
        <v>12709.119</v>
      </c>
      <c r="L252" s="20" t="n">
        <v>15032.745</v>
      </c>
      <c r="N252" s="20" t="n">
        <v>3340.503</v>
      </c>
      <c r="O252" s="20" t="n">
        <v>0</v>
      </c>
      <c r="P252" s="20" t="n">
        <v>7615.437</v>
      </c>
      <c r="Q252" s="20" t="n">
        <v>1.761</v>
      </c>
      <c r="R252" s="20" t="n">
        <v>3206.564</v>
      </c>
      <c r="S252" s="20" t="n">
        <v>6670.299</v>
      </c>
      <c r="T252" s="20" t="n">
        <v>6937.078</v>
      </c>
      <c r="U252" s="20" t="n">
        <v>11213.643</v>
      </c>
      <c r="V252" s="20" t="n">
        <v>19399.185</v>
      </c>
      <c r="W252" s="20" t="n">
        <v>13802.246</v>
      </c>
      <c r="X252" s="20" t="n">
        <v>15032.745</v>
      </c>
    </row>
    <row r="253">
      <c r="A253" s="18" t="inlineStr">
        <is>
          <t>정기예금 예입</t>
        </is>
      </c>
      <c r="D253" s="20" t="n">
        <v>-624.758</v>
      </c>
      <c r="F253" s="20" t="n">
        <v>-352.618</v>
      </c>
      <c r="H253" s="20" t="n">
        <v>-350.89</v>
      </c>
      <c r="J253" s="20" t="n">
        <v>-342.886</v>
      </c>
      <c r="L253" s="20" t="n">
        <v>-415.9</v>
      </c>
      <c r="N253" s="20" t="n">
        <v>-254.744</v>
      </c>
      <c r="O253" s="20" t="n">
        <v>-41</v>
      </c>
      <c r="P253" s="20" t="n">
        <v>-26</v>
      </c>
      <c r="Q253" s="20" t="n">
        <v>-248.04</v>
      </c>
      <c r="R253" s="20" t="n">
        <v>-91.724</v>
      </c>
      <c r="S253" s="20" t="n">
        <v>-88.09999999999999</v>
      </c>
      <c r="T253" s="20" t="n">
        <v>-525.026</v>
      </c>
      <c r="U253" s="20" t="n">
        <v>-601.046</v>
      </c>
      <c r="V253" s="20" t="n">
        <v>-624.758</v>
      </c>
      <c r="W253" s="20" t="n">
        <v>-350.89</v>
      </c>
      <c r="X253" s="20" t="n">
        <v>-415.9</v>
      </c>
    </row>
    <row r="254">
      <c r="A254" s="18" t="inlineStr">
        <is>
          <t>정기예금 인출</t>
        </is>
      </c>
      <c r="D254" s="20" t="n">
        <v>601.046</v>
      </c>
      <c r="F254" s="20" t="n">
        <v>624.758</v>
      </c>
      <c r="H254" s="20" t="n">
        <v>624.758</v>
      </c>
      <c r="J254" s="20" t="n">
        <v>350.89</v>
      </c>
      <c r="L254" s="20" t="n">
        <v>350.89</v>
      </c>
      <c r="N254" s="20" t="n">
        <v>415.9</v>
      </c>
      <c r="O254" s="20" t="n">
        <v>341</v>
      </c>
      <c r="P254" s="20" t="n">
        <v>41</v>
      </c>
      <c r="Q254" s="20" t="n">
        <v>26</v>
      </c>
      <c r="R254" s="20" t="n">
        <v>248.04</v>
      </c>
      <c r="S254" s="20" t="n">
        <v>91.724</v>
      </c>
      <c r="T254" s="20" t="n">
        <v>88.09999999999999</v>
      </c>
      <c r="U254" s="20" t="n">
        <v>525.026</v>
      </c>
      <c r="V254" s="20" t="n">
        <v>601.046</v>
      </c>
      <c r="W254" s="20" t="n">
        <v>624.758</v>
      </c>
      <c r="X254" s="20" t="n">
        <v>350.89</v>
      </c>
    </row>
    <row r="255">
      <c r="A255" s="18" t="inlineStr">
        <is>
          <t>투자유가증권 취득</t>
        </is>
      </c>
      <c r="D255" s="20" t="n">
        <v>-1373.065</v>
      </c>
      <c r="F255" s="20" t="n">
        <v>-9031.370000000001</v>
      </c>
      <c r="H255" s="20" t="n">
        <v>-10604.022</v>
      </c>
      <c r="J255" s="20" t="n">
        <v>-1897.626</v>
      </c>
      <c r="L255" s="20" t="n">
        <v>-5089.937</v>
      </c>
      <c r="N255" s="20" t="n">
        <v>-2328.175</v>
      </c>
      <c r="O255" s="20" t="n">
        <v>-195.801</v>
      </c>
      <c r="P255" s="20" t="n">
        <v>-0.905</v>
      </c>
      <c r="Q255" s="20" t="n">
        <v>-3074.837</v>
      </c>
      <c r="R255" s="20" t="n">
        <v>-132.854</v>
      </c>
      <c r="S255" s="20" t="n">
        <v>-22.992</v>
      </c>
      <c r="T255" s="20" t="n">
        <v>-1150.779</v>
      </c>
      <c r="U255" s="20" t="n">
        <v>-1449.294</v>
      </c>
      <c r="V255" s="20" t="n">
        <v>-1373.065</v>
      </c>
      <c r="W255" s="20" t="n">
        <v>-10604.022</v>
      </c>
      <c r="X255" s="20" t="n">
        <v>-5089.937</v>
      </c>
    </row>
    <row r="256">
      <c r="A256" s="18" t="inlineStr">
        <is>
          <t>투자유가증권 매각·상환 수입</t>
        </is>
      </c>
      <c r="D256" s="20" t="n">
        <v>198.368</v>
      </c>
      <c r="F256" s="20" t="n">
        <v>0</v>
      </c>
      <c r="H256" s="20" t="n">
        <v>6.702</v>
      </c>
      <c r="J256" s="20" t="n">
        <v>199.836</v>
      </c>
      <c r="L256" s="20" t="n">
        <v>526.177</v>
      </c>
      <c r="N256" s="20" t="n">
        <v>0</v>
      </c>
      <c r="O256" s="20" t="n">
        <v>188.942</v>
      </c>
      <c r="P256" s="20" t="n">
        <v>21.93</v>
      </c>
      <c r="Q256" s="20" t="n">
        <v>19.992</v>
      </c>
      <c r="R256" s="20" t="n">
        <v>15.721</v>
      </c>
      <c r="S256" s="20" t="n">
        <v>112.035</v>
      </c>
      <c r="T256" s="20" t="n">
        <v>666.938</v>
      </c>
      <c r="U256" s="20" t="n">
        <v>385.258</v>
      </c>
      <c r="V256" s="20" t="n">
        <v>198.368</v>
      </c>
      <c r="W256" s="20" t="n">
        <v>6.702</v>
      </c>
      <c r="X256" s="20" t="n">
        <v>526.177</v>
      </c>
    </row>
    <row r="257">
      <c r="A257" s="18" t="inlineStr">
        <is>
          <t>대여</t>
        </is>
      </c>
      <c r="D257" s="20" t="n">
        <v>-364.864</v>
      </c>
      <c r="F257" s="20" t="n">
        <v>-10</v>
      </c>
      <c r="H257" s="20" t="n">
        <v>-1006.782</v>
      </c>
      <c r="J257" s="20" t="n">
        <v>-283.479</v>
      </c>
      <c r="L257" s="20" t="n">
        <v>-390.559</v>
      </c>
      <c r="N257" s="20" t="n">
        <v>-647.234</v>
      </c>
      <c r="O257" s="20" t="n">
        <v>-560.694</v>
      </c>
      <c r="P257" s="20" t="n">
        <v>-222.838</v>
      </c>
      <c r="Q257" s="20" t="n">
        <v>-120</v>
      </c>
      <c r="R257" s="20" t="n">
        <v>-1165.743</v>
      </c>
      <c r="S257" s="20" t="n">
        <v>-0.205</v>
      </c>
      <c r="T257" s="20" t="n">
        <v>-330.73</v>
      </c>
      <c r="U257" s="20" t="n">
        <v>-672.023</v>
      </c>
      <c r="V257" s="20" t="n">
        <v>-364.864</v>
      </c>
      <c r="W257" s="20" t="n">
        <v>-1006.782</v>
      </c>
      <c r="X257" s="20" t="n">
        <v>-390.559</v>
      </c>
    </row>
    <row r="258">
      <c r="A258" s="18" t="inlineStr">
        <is>
          <t>대여금 회수</t>
        </is>
      </c>
      <c r="D258" s="20" t="n">
        <v>76.27500000000001</v>
      </c>
      <c r="F258" s="20" t="n">
        <v>29.827</v>
      </c>
      <c r="H258" s="20" t="n">
        <v>110.196</v>
      </c>
      <c r="J258" s="20" t="n">
        <v>213.596</v>
      </c>
      <c r="L258" s="20" t="n">
        <v>271.486</v>
      </c>
      <c r="N258" s="20" t="n">
        <v>755.196</v>
      </c>
      <c r="O258" s="20" t="n">
        <v>36.636</v>
      </c>
      <c r="P258" s="20" t="n">
        <v>0</v>
      </c>
      <c r="Q258" s="20" t="n">
        <v>333.06</v>
      </c>
      <c r="R258" s="20" t="n">
        <v>1105.957</v>
      </c>
      <c r="S258" s="20" t="n">
        <v>58.731</v>
      </c>
      <c r="T258" s="20" t="n">
        <v>560.457</v>
      </c>
      <c r="U258" s="20" t="n">
        <v>701.701</v>
      </c>
      <c r="V258" s="20" t="n">
        <v>76.27500000000001</v>
      </c>
      <c r="W258" s="20" t="n">
        <v>110.196</v>
      </c>
      <c r="X258" s="20" t="n">
        <v>271.486</v>
      </c>
    </row>
    <row r="259">
      <c r="A259" s="18" t="inlineStr">
        <is>
          <t>연결범위 변경 자회사 주식 취득(수입)</t>
        </is>
      </c>
      <c r="R259" s="20" t="n">
        <v>0</v>
      </c>
      <c r="S259" s="20" t="n">
        <v>2526.394</v>
      </c>
      <c r="T259" s="20" t="n">
        <v>0</v>
      </c>
    </row>
    <row r="260">
      <c r="A260" s="18" t="inlineStr">
        <is>
          <t>연결범위 변경 자회사 주식 매각(지출)</t>
        </is>
      </c>
      <c r="F260" s="20" t="n">
        <v>0</v>
      </c>
      <c r="H260" s="20" t="n">
        <v>0</v>
      </c>
      <c r="J260" s="20" t="n">
        <v>-879.397</v>
      </c>
      <c r="L260" s="20" t="n">
        <v>-879.397</v>
      </c>
      <c r="N260" s="20" t="n">
        <v>0</v>
      </c>
      <c r="W260" s="20" t="n">
        <v>0</v>
      </c>
      <c r="X260" s="20" t="n">
        <v>-879.397</v>
      </c>
    </row>
    <row r="261">
      <c r="A261" s="18" t="inlineStr">
        <is>
          <t>기타</t>
        </is>
      </c>
      <c r="D261" s="20" t="n">
        <v>395.829</v>
      </c>
      <c r="F261" s="20" t="n">
        <v>-30.966</v>
      </c>
      <c r="H261" s="20" t="n">
        <v>-62.23</v>
      </c>
      <c r="J261" s="20" t="n">
        <v>-58.933</v>
      </c>
      <c r="L261" s="20" t="n">
        <v>-1038.44</v>
      </c>
      <c r="N261" s="20" t="n">
        <v>-103.78</v>
      </c>
      <c r="O261" s="20" t="n">
        <v>-371.553</v>
      </c>
      <c r="P261" s="20" t="n">
        <v>0.623</v>
      </c>
      <c r="Q261" s="20" t="n">
        <v>-30.102</v>
      </c>
      <c r="R261" s="20" t="n">
        <v>-79.73099999999999</v>
      </c>
      <c r="S261" s="20" t="n">
        <v>25.82</v>
      </c>
      <c r="T261" s="20" t="n">
        <v>44.092</v>
      </c>
      <c r="U261" s="20" t="n">
        <v>-125.312</v>
      </c>
      <c r="V261" s="20" t="n">
        <v>395.829</v>
      </c>
      <c r="W261" s="20" t="n">
        <v>-62.23</v>
      </c>
      <c r="X261" s="20" t="n">
        <v>-1038.44</v>
      </c>
    </row>
    <row r="262">
      <c r="A262" s="9" t="inlineStr">
        <is>
          <t>투자활동 현금흐름</t>
        </is>
      </c>
      <c r="D262" s="12" t="n">
        <v>8493.460999999999</v>
      </c>
      <c r="F262" s="12" t="n">
        <v>-704.123</v>
      </c>
      <c r="H262" s="12" t="n">
        <v>-6749.608</v>
      </c>
      <c r="J262" s="12" t="n">
        <v>5500.206</v>
      </c>
      <c r="L262" s="12" t="n">
        <v>-7277.091</v>
      </c>
      <c r="N262" s="12" t="n">
        <v>-16912.561</v>
      </c>
      <c r="O262" s="12" t="n">
        <v>-2000.136</v>
      </c>
      <c r="P262" s="12" t="n">
        <v>-16591.467</v>
      </c>
      <c r="Q262" s="12" t="n">
        <v>-25894.421</v>
      </c>
      <c r="R262" s="12" t="n">
        <v>-18369.155</v>
      </c>
      <c r="S262" s="12" t="n">
        <v>-40569.686</v>
      </c>
      <c r="T262" s="12" t="n">
        <v>-31478.931</v>
      </c>
      <c r="U262" s="12" t="n">
        <v>-18415.305</v>
      </c>
      <c r="V262" s="12" t="n">
        <v>8493.460999999999</v>
      </c>
      <c r="W262" s="12" t="n">
        <v>-6749.608</v>
      </c>
      <c r="X262" s="12" t="n">
        <v>-7277.091</v>
      </c>
    </row>
    <row r="263">
      <c r="A263" s="18" t="inlineStr">
        <is>
          <t>단기차입금 순증감</t>
        </is>
      </c>
      <c r="D263" s="20" t="n">
        <v>-1641.284</v>
      </c>
      <c r="F263" s="20" t="n">
        <v>262.505</v>
      </c>
      <c r="H263" s="20" t="n">
        <v>1874.22</v>
      </c>
      <c r="J263" s="20" t="n">
        <v>3951.945</v>
      </c>
      <c r="L263" s="20" t="n">
        <v>3987.535</v>
      </c>
      <c r="N263" s="20" t="n">
        <v>907.3200000000001</v>
      </c>
      <c r="O263" s="20" t="n">
        <v>-756.49</v>
      </c>
      <c r="P263" s="20" t="n">
        <v>3261.105</v>
      </c>
      <c r="Q263" s="20" t="n">
        <v>-1844.303</v>
      </c>
      <c r="R263" s="20" t="n">
        <v>-236.195</v>
      </c>
      <c r="S263" s="20" t="n">
        <v>300.364</v>
      </c>
      <c r="T263" s="20" t="n">
        <v>1511.07</v>
      </c>
      <c r="U263" s="20" t="n">
        <v>1365.36</v>
      </c>
      <c r="V263" s="20" t="n">
        <v>-1641.284</v>
      </c>
      <c r="W263" s="20" t="n">
        <v>1874.22</v>
      </c>
      <c r="X263" s="20" t="n">
        <v>3987.535</v>
      </c>
    </row>
    <row r="264">
      <c r="A264" s="18" t="inlineStr">
        <is>
          <t>장기차입</t>
        </is>
      </c>
      <c r="D264" s="20" t="n">
        <v>12357.461</v>
      </c>
      <c r="F264" s="20" t="n">
        <v>4668.419</v>
      </c>
      <c r="H264" s="20" t="n">
        <v>7245.719</v>
      </c>
      <c r="J264" s="20" t="n">
        <v>6999.67</v>
      </c>
      <c r="L264" s="20" t="n">
        <v>20473.029</v>
      </c>
      <c r="N264" s="20" t="n">
        <v>17318.299</v>
      </c>
      <c r="O264" s="20" t="n">
        <v>6535.267</v>
      </c>
      <c r="P264" s="20" t="n">
        <v>23506.367</v>
      </c>
      <c r="Q264" s="20" t="n">
        <v>31340.389</v>
      </c>
      <c r="R264" s="20" t="n">
        <v>30794.188</v>
      </c>
      <c r="S264" s="20" t="n">
        <v>56858.89</v>
      </c>
      <c r="T264" s="20" t="n">
        <v>38490.16</v>
      </c>
      <c r="U264" s="20" t="n">
        <v>20022.263</v>
      </c>
      <c r="V264" s="20" t="n">
        <v>12357.461</v>
      </c>
      <c r="W264" s="20" t="n">
        <v>7245.719</v>
      </c>
      <c r="X264" s="20" t="n">
        <v>20473.029</v>
      </c>
    </row>
    <row r="265">
      <c r="A265" s="18" t="inlineStr">
        <is>
          <t>장기차입금 상환</t>
        </is>
      </c>
      <c r="D265" s="20" t="n">
        <v>-31800.655</v>
      </c>
      <c r="F265" s="20" t="n">
        <v>-8722.583000000001</v>
      </c>
      <c r="H265" s="20" t="n">
        <v>-20834.035</v>
      </c>
      <c r="J265" s="20" t="n">
        <v>-11885.267</v>
      </c>
      <c r="L265" s="20" t="n">
        <v>-24528.155</v>
      </c>
      <c r="N265" s="20" t="n">
        <v>-14721.437</v>
      </c>
      <c r="O265" s="20" t="n">
        <v>-13994.363</v>
      </c>
      <c r="P265" s="20" t="n">
        <v>-18219.092</v>
      </c>
      <c r="Q265" s="20" t="n">
        <v>-16566.439</v>
      </c>
      <c r="R265" s="20" t="n">
        <v>-21639.355</v>
      </c>
      <c r="S265" s="20" t="n">
        <v>-23466.077</v>
      </c>
      <c r="T265" s="20" t="n">
        <v>-26412.841</v>
      </c>
      <c r="U265" s="20" t="n">
        <v>-25681.295</v>
      </c>
      <c r="V265" s="20" t="n">
        <v>-31800.655</v>
      </c>
      <c r="W265" s="20" t="n">
        <v>-20834.035</v>
      </c>
      <c r="X265" s="20" t="n">
        <v>-24528.155</v>
      </c>
    </row>
    <row r="266">
      <c r="A266" s="18" t="inlineStr">
        <is>
          <t>사채 발행</t>
        </is>
      </c>
      <c r="O266" s="20" t="n">
        <v>1068.518</v>
      </c>
      <c r="P266" s="20" t="n">
        <v>682.448</v>
      </c>
      <c r="Q266" s="20" t="n">
        <v>488.96</v>
      </c>
      <c r="R266" s="20" t="n">
        <v>0</v>
      </c>
    </row>
    <row r="267">
      <c r="A267" s="18" t="inlineStr">
        <is>
          <t>사채 상환</t>
        </is>
      </c>
      <c r="D267" s="20" t="n">
        <v>-240</v>
      </c>
      <c r="F267" s="20" t="n">
        <v>-98</v>
      </c>
      <c r="H267" s="20" t="n">
        <v>-133</v>
      </c>
      <c r="J267" s="20" t="n">
        <v>-45</v>
      </c>
      <c r="L267" s="20" t="n">
        <v>-45</v>
      </c>
      <c r="N267" s="20" t="n">
        <v>0</v>
      </c>
      <c r="O267" s="20" t="n">
        <v>-1226</v>
      </c>
      <c r="P267" s="20" t="n">
        <v>-1200</v>
      </c>
      <c r="Q267" s="20" t="n">
        <v>-1207</v>
      </c>
      <c r="R267" s="20" t="n">
        <v>-1095.5</v>
      </c>
      <c r="S267" s="20" t="n">
        <v>-948</v>
      </c>
      <c r="T267" s="20" t="n">
        <v>-758</v>
      </c>
      <c r="U267" s="20" t="n">
        <v>-482</v>
      </c>
      <c r="V267" s="20" t="n">
        <v>-240</v>
      </c>
      <c r="W267" s="20" t="n">
        <v>-133</v>
      </c>
      <c r="X267" s="20" t="n">
        <v>-45</v>
      </c>
    </row>
    <row r="268">
      <c r="A268" s="18" t="inlineStr">
        <is>
          <t>배당금 지급</t>
        </is>
      </c>
      <c r="D268" s="20" t="n">
        <v>-177.621</v>
      </c>
      <c r="F268" s="20" t="n">
        <v>-179.394</v>
      </c>
      <c r="H268" s="20" t="n">
        <v>-179.894</v>
      </c>
      <c r="J268" s="20" t="n">
        <v>-177.669</v>
      </c>
      <c r="L268" s="20" t="n">
        <v>-177.669</v>
      </c>
      <c r="N268" s="20" t="n">
        <v>-179.545</v>
      </c>
      <c r="O268" s="20" t="n">
        <v>-179.122</v>
      </c>
      <c r="P268" s="20" t="n">
        <v>-180.238</v>
      </c>
      <c r="Q268" s="20" t="n">
        <v>-179.304</v>
      </c>
      <c r="R268" s="20" t="n">
        <v>-179.108</v>
      </c>
      <c r="S268" s="20" t="n">
        <v>-179.376</v>
      </c>
      <c r="T268" s="20" t="n">
        <v>-251.323</v>
      </c>
      <c r="U268" s="20" t="n">
        <v>-179.745</v>
      </c>
      <c r="V268" s="20" t="n">
        <v>-177.621</v>
      </c>
      <c r="W268" s="20" t="n">
        <v>-179.894</v>
      </c>
      <c r="X268" s="20" t="n">
        <v>-177.669</v>
      </c>
    </row>
    <row r="269">
      <c r="A269" s="18" t="inlineStr">
        <is>
          <t>연결범위 변경 없는 자회사 주식 취득</t>
        </is>
      </c>
      <c r="R269" s="20" t="n">
        <v>0</v>
      </c>
      <c r="S269" s="20" t="n">
        <v>-348.192</v>
      </c>
      <c r="T269" s="20" t="n">
        <v>0</v>
      </c>
    </row>
    <row r="270">
      <c r="A270" s="18" t="inlineStr">
        <is>
          <t>비지배주주 배당금 지급</t>
        </is>
      </c>
      <c r="D270" s="20" t="n">
        <v>-2225.08</v>
      </c>
      <c r="F270" s="20" t="n">
        <v>-378.928</v>
      </c>
      <c r="H270" s="20" t="n">
        <v>-1238.23</v>
      </c>
      <c r="J270" s="20" t="n">
        <v>-1021</v>
      </c>
      <c r="L270" s="20" t="n">
        <v>-1573.637</v>
      </c>
      <c r="N270" s="20" t="n">
        <v>-1034.646</v>
      </c>
      <c r="O270" s="20" t="n">
        <v>-5.08</v>
      </c>
      <c r="P270" s="20" t="n">
        <v>-749.08</v>
      </c>
      <c r="Q270" s="20" t="n">
        <v>-437.08</v>
      </c>
      <c r="R270" s="20" t="n">
        <v>-245.08</v>
      </c>
      <c r="S270" s="20" t="n">
        <v>-347.508</v>
      </c>
      <c r="T270" s="20" t="n">
        <v>-395.012</v>
      </c>
      <c r="U270" s="20" t="n">
        <v>-173.08</v>
      </c>
      <c r="V270" s="20" t="n">
        <v>-2225.08</v>
      </c>
      <c r="W270" s="20" t="n">
        <v>-1238.23</v>
      </c>
      <c r="X270" s="20" t="n">
        <v>-1573.637</v>
      </c>
    </row>
    <row r="271">
      <c r="A271" s="18" t="inlineStr">
        <is>
          <t>자기주식 취득</t>
        </is>
      </c>
      <c r="D271" s="20" t="n">
        <v>0</v>
      </c>
      <c r="J271" s="20" t="n">
        <v>0</v>
      </c>
      <c r="N271" s="20" t="n">
        <v>-0.008</v>
      </c>
      <c r="O271" s="20" t="n">
        <v>-0.022</v>
      </c>
      <c r="P271" s="20" t="n">
        <v>0</v>
      </c>
      <c r="R271" s="20" t="n">
        <v>0</v>
      </c>
      <c r="S271" s="20" t="n">
        <v>-0.008999999999999999</v>
      </c>
      <c r="T271" s="20" t="n">
        <v>-0.066</v>
      </c>
      <c r="U271" s="20" t="n">
        <v>-0.04</v>
      </c>
      <c r="V271" s="20" t="n">
        <v>0</v>
      </c>
    </row>
    <row r="272">
      <c r="A272" s="18" t="inlineStr">
        <is>
          <t>리스부채 상환</t>
        </is>
      </c>
      <c r="D272" s="20" t="n">
        <v>0</v>
      </c>
      <c r="O272" s="20" t="n">
        <v>-79.158</v>
      </c>
      <c r="P272" s="20" t="n">
        <v>-449.282</v>
      </c>
      <c r="Q272" s="20" t="n">
        <v>-2313.066</v>
      </c>
      <c r="R272" s="20" t="n">
        <v>-210.948</v>
      </c>
      <c r="S272" s="20" t="n">
        <v>-2309.75</v>
      </c>
      <c r="T272" s="20" t="n">
        <v>-2.057</v>
      </c>
      <c r="U272" s="20" t="n">
        <v>-2.807</v>
      </c>
      <c r="V272" s="20" t="n">
        <v>0</v>
      </c>
    </row>
    <row r="273">
      <c r="A273" s="18" t="inlineStr">
        <is>
          <t>기타</t>
        </is>
      </c>
      <c r="D273" s="20" t="n">
        <v>-876.022</v>
      </c>
      <c r="F273" s="20" t="n">
        <v>-237.334</v>
      </c>
      <c r="H273" s="20" t="n">
        <v>-247.058</v>
      </c>
      <c r="J273" s="20" t="n">
        <v>-438.587</v>
      </c>
      <c r="L273" s="20" t="n">
        <v>-336.604</v>
      </c>
      <c r="N273" s="20" t="n">
        <v>-234.807</v>
      </c>
      <c r="O273" s="20" t="n">
        <v>-267.735</v>
      </c>
      <c r="P273" s="20" t="n">
        <v>25.078</v>
      </c>
      <c r="Q273" s="20" t="n">
        <v>371.613</v>
      </c>
      <c r="R273" s="20" t="n">
        <v>7.46</v>
      </c>
      <c r="S273" s="20" t="n">
        <v>-85.828</v>
      </c>
      <c r="T273" s="20" t="n">
        <v>-153.534</v>
      </c>
      <c r="U273" s="20" t="n">
        <v>-324.705</v>
      </c>
      <c r="V273" s="20" t="n">
        <v>-876.022</v>
      </c>
      <c r="W273" s="20" t="n">
        <v>-247.058</v>
      </c>
      <c r="X273" s="20" t="n">
        <v>-336.604</v>
      </c>
    </row>
    <row r="274">
      <c r="A274" s="9" t="inlineStr">
        <is>
          <t>재무활동 현금흐름</t>
        </is>
      </c>
      <c r="D274" s="12" t="n">
        <v>-24603.202</v>
      </c>
      <c r="F274" s="12" t="n">
        <v>-4685.316</v>
      </c>
      <c r="H274" s="12" t="n">
        <v>-13512.277</v>
      </c>
      <c r="J274" s="12" t="n">
        <v>-2615.909</v>
      </c>
      <c r="L274" s="12" t="n">
        <v>-2200.502</v>
      </c>
      <c r="N274" s="12" t="n">
        <v>2055.175</v>
      </c>
      <c r="O274" s="12" t="n">
        <v>-8904.186</v>
      </c>
      <c r="P274" s="12" t="n">
        <v>6677.306</v>
      </c>
      <c r="Q274" s="12" t="n">
        <v>9653.768</v>
      </c>
      <c r="R274" s="12" t="n">
        <v>7195.459</v>
      </c>
      <c r="S274" s="12" t="n">
        <v>29474.511</v>
      </c>
      <c r="T274" s="12" t="n">
        <v>12028.396</v>
      </c>
      <c r="U274" s="12" t="n">
        <v>-5456.05</v>
      </c>
      <c r="V274" s="12" t="n">
        <v>-24603.202</v>
      </c>
      <c r="W274" s="12" t="n">
        <v>-13512.277</v>
      </c>
      <c r="X274" s="12" t="n">
        <v>-2200.502</v>
      </c>
    </row>
    <row r="275">
      <c r="A275" s="18" t="inlineStr">
        <is>
          <t>현금성자산 환산차이</t>
        </is>
      </c>
      <c r="D275" s="20" t="n">
        <v>-1119.489</v>
      </c>
      <c r="F275" s="20" t="n">
        <v>3042.97</v>
      </c>
      <c r="H275" s="20" t="n">
        <v>242.613</v>
      </c>
      <c r="J275" s="20" t="n">
        <v>-4633.968</v>
      </c>
      <c r="L275" s="20" t="n">
        <v>-3156.516</v>
      </c>
      <c r="N275" s="20" t="n">
        <v>-2292.868</v>
      </c>
      <c r="O275" s="20" t="n">
        <v>-38.535</v>
      </c>
      <c r="P275" s="20" t="n">
        <v>-236.4</v>
      </c>
      <c r="Q275" s="20" t="n">
        <v>-254.543</v>
      </c>
      <c r="R275" s="20" t="n">
        <v>-26.496</v>
      </c>
      <c r="S275" s="20" t="n">
        <v>-520.759</v>
      </c>
      <c r="T275" s="20" t="n">
        <v>1661.989</v>
      </c>
      <c r="U275" s="20" t="n">
        <v>1327.054</v>
      </c>
      <c r="V275" s="20" t="n">
        <v>-1119.489</v>
      </c>
      <c r="W275" s="20" t="n">
        <v>242.613</v>
      </c>
      <c r="X275" s="20" t="n">
        <v>-3156.516</v>
      </c>
    </row>
    <row r="276">
      <c r="A276" s="18" t="inlineStr">
        <is>
          <t>현금성자산 증감</t>
        </is>
      </c>
      <c r="D276" s="20" t="n">
        <v>10717.281</v>
      </c>
      <c r="F276" s="20" t="n">
        <v>11492.681</v>
      </c>
      <c r="H276" s="20" t="n">
        <v>10181.305</v>
      </c>
      <c r="J276" s="20" t="n">
        <v>7128.287</v>
      </c>
      <c r="L276" s="20" t="n">
        <v>6987.624</v>
      </c>
      <c r="N276" s="20" t="n">
        <v>-7136.978</v>
      </c>
      <c r="O276" s="20" t="n">
        <v>1155.371</v>
      </c>
      <c r="P276" s="20" t="n">
        <v>4290.658</v>
      </c>
      <c r="Q276" s="20" t="n">
        <v>-2519.92</v>
      </c>
      <c r="R276" s="20" t="n">
        <v>3276.801</v>
      </c>
      <c r="S276" s="20" t="n">
        <v>1528.69</v>
      </c>
      <c r="T276" s="20" t="n">
        <v>2108.112</v>
      </c>
      <c r="U276" s="20" t="n">
        <v>3833.905</v>
      </c>
      <c r="V276" s="20" t="n">
        <v>10717.281</v>
      </c>
      <c r="W276" s="20" t="n">
        <v>10181.305</v>
      </c>
      <c r="X276" s="20" t="n">
        <v>6987.624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9115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62497.833</v>
      </c>
      <c r="D5" s="12" t="n">
        <v>65694.592</v>
      </c>
      <c r="E5" s="12" t="n">
        <v>63724.677</v>
      </c>
      <c r="F5" s="12" t="n">
        <v>61792.485</v>
      </c>
      <c r="G5" s="12" t="n">
        <v>58060.416</v>
      </c>
      <c r="H5" s="11" t="n">
        <v>28156.563</v>
      </c>
      <c r="I5" s="12" t="n">
        <v>34062.424</v>
      </c>
      <c r="J5" s="12" t="n">
        <v>45912.483</v>
      </c>
      <c r="K5" s="12" t="n">
        <v>56294.405</v>
      </c>
      <c r="L5" s="12" t="n">
        <v>63724.677</v>
      </c>
    </row>
    <row r="6">
      <c r="A6" s="18" t="inlineStr">
        <is>
          <t>현금및현금성자산</t>
        </is>
      </c>
      <c r="B6" s="10" t="n"/>
      <c r="C6" s="19" t="n">
        <v>55340.944</v>
      </c>
      <c r="D6" s="20" t="n">
        <v>56365.844</v>
      </c>
      <c r="E6" s="20" t="n">
        <v>55273.295</v>
      </c>
      <c r="F6" s="20" t="n">
        <v>52716.033</v>
      </c>
      <c r="G6" s="20" t="n">
        <v>47975.161</v>
      </c>
      <c r="H6" s="19" t="n">
        <v>23662.305</v>
      </c>
      <c r="I6" s="20" t="n">
        <v>27572.231</v>
      </c>
      <c r="J6" s="20" t="n">
        <v>38313.224</v>
      </c>
      <c r="K6" s="20" t="n">
        <v>48220.661</v>
      </c>
      <c r="L6" s="20" t="n">
        <v>55273.295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747.308</v>
      </c>
      <c r="D8" s="20" t="n">
        <v>674.441</v>
      </c>
      <c r="E8" s="20" t="n">
        <v>829.581</v>
      </c>
      <c r="F8" s="20" t="n">
        <v>651.494</v>
      </c>
      <c r="G8" s="20" t="n">
        <v>703.585</v>
      </c>
      <c r="H8" s="19" t="n">
        <v>467.657</v>
      </c>
      <c r="I8" s="20" t="n">
        <v>706.5599999999999</v>
      </c>
      <c r="J8" s="20" t="n">
        <v>731.162</v>
      </c>
      <c r="K8" s="20" t="n">
        <v>772.918</v>
      </c>
      <c r="L8" s="20" t="n">
        <v>829.581</v>
      </c>
    </row>
    <row r="9">
      <c r="A9" s="18" t="inlineStr">
        <is>
          <t>재고자산</t>
        </is>
      </c>
      <c r="B9" s="10" t="n"/>
      <c r="C9" s="19" t="n">
        <v>927.7910000000001</v>
      </c>
      <c r="D9" s="20" t="n">
        <v>948.535</v>
      </c>
      <c r="E9" s="20" t="n">
        <v>1058.768</v>
      </c>
      <c r="F9" s="20" t="n">
        <v>1010.824</v>
      </c>
      <c r="G9" s="20" t="n">
        <v>1073.162</v>
      </c>
      <c r="H9" s="19" t="n">
        <v>924.077</v>
      </c>
      <c r="I9" s="20" t="n">
        <v>1158.805</v>
      </c>
      <c r="J9" s="20" t="n">
        <v>1188.038</v>
      </c>
      <c r="K9" s="20" t="n">
        <v>1179.218</v>
      </c>
      <c r="L9" s="20" t="n">
        <v>1058.768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212398.101</v>
      </c>
      <c r="D11" s="12" t="n">
        <v>217925.161</v>
      </c>
      <c r="E11" s="12" t="n">
        <v>229096.121</v>
      </c>
      <c r="F11" s="12" t="n">
        <v>229934.694</v>
      </c>
      <c r="G11" s="12" t="n">
        <v>243718.461</v>
      </c>
      <c r="H11" s="11" t="n">
        <v>209412.7</v>
      </c>
      <c r="I11" s="12" t="n">
        <v>240884.672</v>
      </c>
      <c r="J11" s="12" t="n">
        <v>230544.991</v>
      </c>
      <c r="K11" s="12" t="n">
        <v>236984.45</v>
      </c>
      <c r="L11" s="12" t="n">
        <v>229096.121</v>
      </c>
    </row>
    <row r="12">
      <c r="A12" s="18" t="inlineStr">
        <is>
          <t>유형자산</t>
        </is>
      </c>
      <c r="B12" s="10" t="n"/>
      <c r="C12" s="19" t="n">
        <v>175238.336</v>
      </c>
      <c r="D12" s="20" t="n">
        <v>180166.92</v>
      </c>
      <c r="E12" s="20" t="n">
        <v>185700.528</v>
      </c>
      <c r="F12" s="20" t="n">
        <v>183205.189</v>
      </c>
      <c r="G12" s="20" t="n">
        <v>196146.281</v>
      </c>
      <c r="H12" s="19" t="n">
        <v>196388.487</v>
      </c>
      <c r="I12" s="20" t="n">
        <v>219768.369</v>
      </c>
      <c r="J12" s="20" t="n">
        <v>207355.98</v>
      </c>
      <c r="K12" s="20" t="n">
        <v>201373.214</v>
      </c>
      <c r="L12" s="20" t="n">
        <v>185700.528</v>
      </c>
    </row>
    <row r="13">
      <c r="A13" s="18" t="inlineStr">
        <is>
          <t>무형자산</t>
        </is>
      </c>
      <c r="B13" s="10" t="n"/>
      <c r="C13" s="19" t="n">
        <v>352.147</v>
      </c>
      <c r="D13" s="20" t="n">
        <v>184.373</v>
      </c>
      <c r="E13" s="20" t="n">
        <v>1312.629</v>
      </c>
      <c r="F13" s="20" t="n">
        <v>1342.08</v>
      </c>
      <c r="G13" s="20" t="n">
        <v>1606.931</v>
      </c>
      <c r="H13" s="19" t="n">
        <v>107.271</v>
      </c>
      <c r="I13" s="20" t="n">
        <v>84.03400000000001</v>
      </c>
      <c r="J13" s="20" t="n">
        <v>92.90900000000001</v>
      </c>
      <c r="K13" s="20" t="n">
        <v>117.392</v>
      </c>
      <c r="L13" s="20" t="n">
        <v>1312.629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274895.935</v>
      </c>
      <c r="D16" s="12" t="n">
        <v>283619.754</v>
      </c>
      <c r="E16" s="12" t="n">
        <v>292820.798</v>
      </c>
      <c r="F16" s="12" t="n">
        <v>291727.18</v>
      </c>
      <c r="G16" s="12" t="n">
        <v>301778.877</v>
      </c>
      <c r="H16" s="11" t="n">
        <v>237569.264</v>
      </c>
      <c r="I16" s="12" t="n">
        <v>274947.097</v>
      </c>
      <c r="J16" s="12" t="n">
        <v>276457.475</v>
      </c>
      <c r="K16" s="12" t="n">
        <v>293278.855</v>
      </c>
      <c r="L16" s="12" t="n">
        <v>292820.798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53516.701</v>
      </c>
      <c r="D18" s="12" t="n">
        <v>54643.441</v>
      </c>
      <c r="E18" s="12" t="n">
        <v>57637.805</v>
      </c>
      <c r="F18" s="12" t="n">
        <v>50471.012</v>
      </c>
      <c r="G18" s="12" t="n">
        <v>54247.084</v>
      </c>
      <c r="H18" s="11" t="n">
        <v>37493.552</v>
      </c>
      <c r="I18" s="12" t="n">
        <v>47729.536</v>
      </c>
      <c r="J18" s="12" t="n">
        <v>43643.342</v>
      </c>
      <c r="K18" s="12" t="n">
        <v>57023.6</v>
      </c>
      <c r="L18" s="12" t="n">
        <v>57637.805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38379.037</v>
      </c>
      <c r="D20" s="20" t="n">
        <v>36360.635</v>
      </c>
      <c r="E20" s="20" t="n">
        <v>37804.608</v>
      </c>
      <c r="F20" s="20" t="n">
        <v>32160.805</v>
      </c>
      <c r="G20" s="20" t="n">
        <v>37493.08</v>
      </c>
      <c r="H20" s="19" t="n">
        <v>28705.212</v>
      </c>
      <c r="I20" s="20" t="n">
        <v>34762.821</v>
      </c>
      <c r="J20" s="20" t="n">
        <v>30821.205</v>
      </c>
      <c r="K20" s="20" t="n">
        <v>40112.373</v>
      </c>
      <c r="L20" s="20" t="n">
        <v>37804.608</v>
      </c>
    </row>
    <row r="21">
      <c r="A21" s="18" t="inlineStr">
        <is>
          <t>유동성장기부채</t>
        </is>
      </c>
      <c r="B21" s="10" t="n"/>
      <c r="C21" s="19" t="n">
        <v>0</v>
      </c>
      <c r="D21" s="20" t="n">
        <v>0</v>
      </c>
      <c r="E21" s="20" t="n">
        <v>0</v>
      </c>
      <c r="F21" s="20" t="n"/>
      <c r="G21" s="20" t="n"/>
      <c r="H21" s="19" t="n">
        <v>482</v>
      </c>
      <c r="I21" s="20" t="n">
        <v>240</v>
      </c>
      <c r="J21" s="20" t="n">
        <v>133</v>
      </c>
      <c r="K21" s="20" t="n">
        <v>45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129651.405</v>
      </c>
      <c r="D23" s="12" t="n">
        <v>133424.965</v>
      </c>
      <c r="E23" s="12" t="n">
        <v>137462.48</v>
      </c>
      <c r="F23" s="12" t="n">
        <v>141308.268</v>
      </c>
      <c r="G23" s="12" t="n">
        <v>145440.578</v>
      </c>
      <c r="H23" s="11" t="n">
        <v>152693.394</v>
      </c>
      <c r="I23" s="12" t="n">
        <v>158783.768</v>
      </c>
      <c r="J23" s="12" t="n">
        <v>151400.739</v>
      </c>
      <c r="K23" s="12" t="n">
        <v>145040.67</v>
      </c>
      <c r="L23" s="12" t="n">
        <v>137462.48</v>
      </c>
    </row>
    <row r="24">
      <c r="A24" s="18" t="inlineStr">
        <is>
          <t>장기차입금</t>
        </is>
      </c>
      <c r="B24" s="10" t="n"/>
      <c r="C24" s="19" t="n">
        <v>110757.657</v>
      </c>
      <c r="D24" s="20" t="n">
        <v>113337.429</v>
      </c>
      <c r="E24" s="20" t="n">
        <v>118454.888</v>
      </c>
      <c r="F24" s="20" t="n">
        <v>121431.768</v>
      </c>
      <c r="G24" s="20" t="n">
        <v>124835.256</v>
      </c>
      <c r="H24" s="19" t="n">
        <v>144120.567</v>
      </c>
      <c r="I24" s="20" t="n">
        <v>146006.946</v>
      </c>
      <c r="J24" s="20" t="n">
        <v>136379.122</v>
      </c>
      <c r="K24" s="20" t="n">
        <v>125545.04</v>
      </c>
      <c r="L24" s="20" t="n">
        <v>118454.888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418</v>
      </c>
      <c r="I25" s="20" t="n">
        <v>178</v>
      </c>
      <c r="J25" s="20" t="n">
        <v>45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183168.106</v>
      </c>
      <c r="D27" s="12" t="n">
        <v>188068.406</v>
      </c>
      <c r="E27" s="12" t="n">
        <v>195100.286</v>
      </c>
      <c r="F27" s="12" t="n">
        <v>191779.28</v>
      </c>
      <c r="G27" s="12" t="n">
        <v>199687.662</v>
      </c>
      <c r="H27" s="11" t="n">
        <v>190186.946</v>
      </c>
      <c r="I27" s="12" t="n">
        <v>206513.305</v>
      </c>
      <c r="J27" s="12" t="n">
        <v>195044.081</v>
      </c>
      <c r="K27" s="12" t="n">
        <v>202064.271</v>
      </c>
      <c r="L27" s="12" t="n">
        <v>195100.286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49242.749</v>
      </c>
      <c r="D31" s="12" t="n">
        <v>51960.096</v>
      </c>
      <c r="E31" s="12" t="n">
        <v>53301.898</v>
      </c>
      <c r="F31" s="12" t="n">
        <v>55380.563</v>
      </c>
      <c r="G31" s="12" t="n">
        <v>56092.561</v>
      </c>
      <c r="H31" s="11" t="n">
        <v>23972.682</v>
      </c>
      <c r="I31" s="12" t="n">
        <v>35332.624</v>
      </c>
      <c r="J31" s="12" t="n">
        <v>42774.094</v>
      </c>
      <c r="K31" s="12" t="n">
        <v>47756.016</v>
      </c>
      <c r="L31" s="12" t="n">
        <v>53301.898</v>
      </c>
    </row>
    <row r="32">
      <c r="A32" s="18" t="inlineStr">
        <is>
          <t>자본금</t>
        </is>
      </c>
      <c r="B32" s="10" t="n"/>
      <c r="C32" s="19" t="n">
        <v>1800</v>
      </c>
      <c r="D32" s="20" t="n">
        <v>1800</v>
      </c>
      <c r="E32" s="20" t="n">
        <v>1800</v>
      </c>
      <c r="F32" s="20" t="n">
        <v>1800</v>
      </c>
      <c r="G32" s="20" t="n">
        <v>1800</v>
      </c>
      <c r="H32" s="19" t="n">
        <v>1800</v>
      </c>
      <c r="I32" s="20" t="n">
        <v>1800</v>
      </c>
      <c r="J32" s="20" t="n">
        <v>1800</v>
      </c>
      <c r="K32" s="20" t="n">
        <v>1800</v>
      </c>
      <c r="L32" s="20" t="n">
        <v>1800</v>
      </c>
    </row>
    <row r="33">
      <c r="A33" s="18" t="inlineStr">
        <is>
          <t>이익잉여금</t>
        </is>
      </c>
      <c r="B33" s="10" t="n"/>
      <c r="C33" s="19" t="n">
        <v>34782.545</v>
      </c>
      <c r="D33" s="20" t="n">
        <v>36397.032</v>
      </c>
      <c r="E33" s="20" t="n">
        <v>36280.158</v>
      </c>
      <c r="F33" s="20" t="n">
        <v>36999.856</v>
      </c>
      <c r="G33" s="20" t="n">
        <v>37451.178</v>
      </c>
      <c r="H33" s="19" t="n">
        <v>18275.856</v>
      </c>
      <c r="I33" s="20" t="n">
        <v>24472.827</v>
      </c>
      <c r="J33" s="20" t="n">
        <v>29513.608</v>
      </c>
      <c r="K33" s="20" t="n">
        <v>32145.815</v>
      </c>
      <c r="L33" s="20" t="n">
        <v>36280.158</v>
      </c>
    </row>
    <row r="34">
      <c r="A34" s="18" t="inlineStr">
        <is>
          <t>비지배지분</t>
        </is>
      </c>
      <c r="B34" s="10" t="n"/>
      <c r="C34" s="19" t="n">
        <v>42485.079</v>
      </c>
      <c r="D34" s="20" t="n">
        <v>43591.251</v>
      </c>
      <c r="E34" s="20" t="n">
        <v>44418.613</v>
      </c>
      <c r="F34" s="20" t="n">
        <v>44567.336</v>
      </c>
      <c r="G34" s="20" t="n">
        <v>45998.653</v>
      </c>
      <c r="H34" s="19" t="n">
        <v>23409.636</v>
      </c>
      <c r="I34" s="20" t="n">
        <v>33101.168</v>
      </c>
      <c r="J34" s="20" t="n">
        <v>38639.3</v>
      </c>
      <c r="K34" s="20" t="n">
        <v>43458.568</v>
      </c>
      <c r="L34" s="20" t="n">
        <v>44418.613</v>
      </c>
    </row>
    <row r="35">
      <c r="A35" s="9" t="inlineStr">
        <is>
          <t>자본총계</t>
        </is>
      </c>
      <c r="B35" s="10" t="n"/>
      <c r="C35" s="11" t="n">
        <v>91727.82799999999</v>
      </c>
      <c r="D35" s="12" t="n">
        <v>95551.34699999999</v>
      </c>
      <c r="E35" s="12" t="n">
        <v>97720.511</v>
      </c>
      <c r="F35" s="12" t="n">
        <v>99947.899</v>
      </c>
      <c r="G35" s="12" t="n">
        <v>102091.214</v>
      </c>
      <c r="H35" s="11" t="n">
        <v>47382.318</v>
      </c>
      <c r="I35" s="12" t="n">
        <v>68433.792</v>
      </c>
      <c r="J35" s="12" t="n">
        <v>81413.394</v>
      </c>
      <c r="K35" s="12" t="n">
        <v>91214.584</v>
      </c>
      <c r="L35" s="12" t="n">
        <v>97720.511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25239.386</v>
      </c>
      <c r="D37" s="12" t="n"/>
      <c r="E37" s="12" t="n">
        <v>19621.733</v>
      </c>
      <c r="F37" s="12" t="n"/>
      <c r="G37" s="12" t="n">
        <v>20757.051</v>
      </c>
      <c r="H37" s="11" t="n">
        <v>19896.657</v>
      </c>
      <c r="I37" s="12" t="n">
        <v>26378.206</v>
      </c>
      <c r="J37" s="12" t="n">
        <v>27946.51</v>
      </c>
      <c r="K37" s="12" t="n">
        <v>30200.578</v>
      </c>
      <c r="L37" s="12" t="n">
        <v>19621.733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9074.725</v>
      </c>
      <c r="D38" s="20" t="n"/>
      <c r="E38" s="20" t="n">
        <v>15644.156</v>
      </c>
      <c r="F38" s="20" t="n"/>
      <c r="G38" s="20" t="n">
        <v>29223.47</v>
      </c>
      <c r="H38" s="19" t="n">
        <v>37769.063</v>
      </c>
      <c r="I38" s="20" t="n">
        <v>28393.258</v>
      </c>
      <c r="J38" s="20" t="n">
        <v>9814.556</v>
      </c>
      <c r="K38" s="20" t="n">
        <v>9269.584999999999</v>
      </c>
      <c r="L38" s="20" t="n">
        <v>15644.156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178.169</v>
      </c>
      <c r="D40" s="20" t="n"/>
      <c r="E40" s="20" t="n">
        <v>177.669</v>
      </c>
      <c r="F40" s="20" t="n"/>
      <c r="G40" s="20" t="n">
        <v>179.545</v>
      </c>
      <c r="H40" s="19" t="n">
        <v>251.323</v>
      </c>
      <c r="I40" s="20" t="n">
        <v>179.745</v>
      </c>
      <c r="J40" s="20" t="n">
        <v>177.621</v>
      </c>
      <c r="K40" s="20" t="n">
        <v>179.894</v>
      </c>
      <c r="L40" s="20" t="n">
        <v>177.669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55340.944</v>
      </c>
      <c r="D71" s="20" t="n">
        <v>56365.844</v>
      </c>
      <c r="E71" s="20" t="n">
        <v>55273.295</v>
      </c>
      <c r="F71" s="20" t="n">
        <v>52716.033</v>
      </c>
      <c r="G71" s="20" t="n">
        <v>47975.161</v>
      </c>
      <c r="H71" s="20" t="n">
        <v>23662.305</v>
      </c>
      <c r="I71" s="20" t="n">
        <v>27572.231</v>
      </c>
      <c r="J71" s="20" t="n">
        <v>38313.224</v>
      </c>
      <c r="K71" s="20" t="n">
        <v>48220.661</v>
      </c>
      <c r="L71" s="20" t="n">
        <v>55273.295</v>
      </c>
    </row>
    <row r="72">
      <c r="A72" s="18" t="inlineStr">
        <is>
          <t>매출채권</t>
        </is>
      </c>
      <c r="C72" s="20" t="n">
        <v>747.308</v>
      </c>
      <c r="D72" s="20" t="n">
        <v>674.441</v>
      </c>
      <c r="E72" s="20" t="n">
        <v>829.581</v>
      </c>
      <c r="F72" s="20" t="n">
        <v>651.494</v>
      </c>
      <c r="G72" s="20" t="n">
        <v>703.585</v>
      </c>
      <c r="H72" s="20" t="n">
        <v>467.657</v>
      </c>
      <c r="I72" s="20" t="n">
        <v>706.5599999999999</v>
      </c>
      <c r="J72" s="20" t="n">
        <v>731.162</v>
      </c>
      <c r="K72" s="20" t="n">
        <v>772.918</v>
      </c>
      <c r="L72" s="20" t="n">
        <v>829.581</v>
      </c>
    </row>
    <row r="73">
      <c r="A73" s="18" t="inlineStr">
        <is>
          <t>상품·제품</t>
        </is>
      </c>
      <c r="C73" s="20" t="n">
        <v>27.782</v>
      </c>
      <c r="D73" s="20" t="n">
        <v>24.303</v>
      </c>
      <c r="E73" s="20" t="n">
        <v>26.811</v>
      </c>
      <c r="F73" s="20" t="n">
        <v>27.66</v>
      </c>
      <c r="G73" s="20" t="n">
        <v>32.135</v>
      </c>
      <c r="H73" s="20" t="n">
        <v>22.378</v>
      </c>
      <c r="I73" s="20" t="n">
        <v>23.341</v>
      </c>
      <c r="J73" s="20" t="n">
        <v>26.508</v>
      </c>
      <c r="K73" s="20" t="n">
        <v>28.252</v>
      </c>
      <c r="L73" s="20" t="n">
        <v>26.811</v>
      </c>
    </row>
    <row r="74">
      <c r="A74" s="18" t="inlineStr">
        <is>
          <t>원재료·저장품</t>
        </is>
      </c>
      <c r="C74" s="20" t="n">
        <v>900.009</v>
      </c>
      <c r="D74" s="20" t="n">
        <v>924.232</v>
      </c>
      <c r="E74" s="20" t="n">
        <v>1031.957</v>
      </c>
      <c r="F74" s="20" t="n">
        <v>983.164</v>
      </c>
      <c r="G74" s="20" t="n">
        <v>1041.027</v>
      </c>
      <c r="H74" s="20" t="n">
        <v>901.699</v>
      </c>
      <c r="I74" s="20" t="n">
        <v>1135.464</v>
      </c>
      <c r="J74" s="20" t="n">
        <v>1161.53</v>
      </c>
      <c r="K74" s="20" t="n">
        <v>1150.966</v>
      </c>
      <c r="L74" s="20" t="n">
        <v>1031.957</v>
      </c>
    </row>
    <row r="75">
      <c r="A75" s="18" t="inlineStr">
        <is>
          <t>기타</t>
        </is>
      </c>
      <c r="C75" s="20" t="n">
        <v>5481.789</v>
      </c>
      <c r="D75" s="20" t="n">
        <v>7705.77</v>
      </c>
      <c r="E75" s="20" t="n">
        <v>6563.03</v>
      </c>
      <c r="F75" s="20" t="n">
        <v>7414.132</v>
      </c>
      <c r="G75" s="20" t="n">
        <v>8308.505999999999</v>
      </c>
      <c r="H75" s="20" t="n">
        <v>3102.522</v>
      </c>
      <c r="I75" s="20" t="n">
        <v>4624.826</v>
      </c>
      <c r="J75" s="20" t="n">
        <v>5680.057</v>
      </c>
      <c r="K75" s="20" t="n">
        <v>6121.606</v>
      </c>
      <c r="L75" s="20" t="n">
        <v>6563.03</v>
      </c>
    </row>
    <row r="76">
      <c r="A76" s="9" t="inlineStr">
        <is>
          <t>유동자산 합계</t>
        </is>
      </c>
      <c r="C76" s="12" t="n">
        <v>62497.833</v>
      </c>
      <c r="D76" s="12" t="n">
        <v>65694.592</v>
      </c>
      <c r="E76" s="12" t="n">
        <v>63724.677</v>
      </c>
      <c r="F76" s="12" t="n">
        <v>61792.485</v>
      </c>
      <c r="G76" s="12" t="n">
        <v>58060.416</v>
      </c>
      <c r="H76" s="12" t="n">
        <v>28156.563</v>
      </c>
      <c r="I76" s="12" t="n">
        <v>34062.424</v>
      </c>
      <c r="J76" s="12" t="n">
        <v>45912.483</v>
      </c>
      <c r="K76" s="12" t="n">
        <v>56294.405</v>
      </c>
      <c r="L76" s="12" t="n">
        <v>63724.677</v>
      </c>
    </row>
    <row r="77">
      <c r="A77" s="18" t="inlineStr">
        <is>
          <t>선박(순액)</t>
        </is>
      </c>
      <c r="C77" s="20" t="n">
        <v>144689.616</v>
      </c>
      <c r="D77" s="20" t="n">
        <v>143830.804</v>
      </c>
      <c r="E77" s="20" t="n">
        <v>146144.796</v>
      </c>
      <c r="F77" s="20" t="n">
        <v>142550.525</v>
      </c>
      <c r="G77" s="20" t="n">
        <v>145496.713</v>
      </c>
      <c r="H77" s="20" t="n">
        <v>166894.357</v>
      </c>
      <c r="I77" s="20" t="n">
        <v>183586.204</v>
      </c>
      <c r="J77" s="20" t="n">
        <v>171011.665</v>
      </c>
      <c r="K77" s="20" t="n">
        <v>174662.422</v>
      </c>
      <c r="L77" s="20" t="n">
        <v>146144.796</v>
      </c>
    </row>
    <row r="78">
      <c r="A78" s="18" t="inlineStr">
        <is>
          <t>건물·구축물(순액)</t>
        </is>
      </c>
      <c r="C78" s="20" t="n">
        <v>16271.321</v>
      </c>
      <c r="D78" s="20" t="n">
        <v>16930.164</v>
      </c>
      <c r="E78" s="20" t="n">
        <v>19852.681</v>
      </c>
      <c r="F78" s="20" t="n">
        <v>19872.593</v>
      </c>
      <c r="G78" s="20" t="n">
        <v>20248.416</v>
      </c>
      <c r="H78" s="20" t="n">
        <v>11875.01</v>
      </c>
      <c r="I78" s="20" t="n">
        <v>11625.588</v>
      </c>
      <c r="J78" s="20" t="n">
        <v>11157.554</v>
      </c>
      <c r="K78" s="20" t="n">
        <v>12193.076</v>
      </c>
      <c r="L78" s="20" t="n">
        <v>19852.681</v>
      </c>
    </row>
    <row r="79">
      <c r="A79" s="18" t="inlineStr">
        <is>
          <t>토지</t>
        </is>
      </c>
      <c r="C79" s="20" t="n">
        <v>10882.408</v>
      </c>
      <c r="D79" s="20" t="n">
        <v>11642.478</v>
      </c>
      <c r="E79" s="20" t="n">
        <v>11766.111</v>
      </c>
      <c r="F79" s="20" t="n">
        <v>11769.869</v>
      </c>
      <c r="G79" s="20" t="n">
        <v>11772.132</v>
      </c>
      <c r="H79" s="20" t="n">
        <v>8682.793</v>
      </c>
      <c r="I79" s="20" t="n">
        <v>9679.620000000001</v>
      </c>
      <c r="J79" s="20" t="n">
        <v>9956.617</v>
      </c>
      <c r="K79" s="20" t="n">
        <v>10894.532</v>
      </c>
      <c r="L79" s="20" t="n">
        <v>11766.111</v>
      </c>
    </row>
    <row r="80">
      <c r="A80" s="18" t="inlineStr">
        <is>
          <t>건설중인자산</t>
        </is>
      </c>
      <c r="C80" s="20" t="n">
        <v>2447.836</v>
      </c>
      <c r="D80" s="20" t="n">
        <v>6677.982</v>
      </c>
      <c r="E80" s="20" t="n">
        <v>6403.099</v>
      </c>
      <c r="F80" s="20" t="n">
        <v>7405.11</v>
      </c>
      <c r="G80" s="20" t="n">
        <v>16927.325</v>
      </c>
      <c r="H80" s="20" t="n">
        <v>8498.538</v>
      </c>
      <c r="I80" s="20" t="n">
        <v>14526.04</v>
      </c>
      <c r="J80" s="20" t="n">
        <v>14865.014</v>
      </c>
      <c r="K80" s="20" t="n">
        <v>3080.079</v>
      </c>
      <c r="L80" s="20" t="n">
        <v>6403.099</v>
      </c>
    </row>
    <row r="81">
      <c r="A81" s="18" t="inlineStr">
        <is>
          <t>기타(순액)</t>
        </is>
      </c>
      <c r="C81" s="20" t="n">
        <v>947.153</v>
      </c>
      <c r="D81" s="20" t="n">
        <v>1085.49</v>
      </c>
      <c r="E81" s="20" t="n">
        <v>1533.839</v>
      </c>
      <c r="F81" s="20" t="n">
        <v>1607.09</v>
      </c>
      <c r="G81" s="20" t="n">
        <v>1701.693</v>
      </c>
      <c r="H81" s="20" t="n">
        <v>437.785</v>
      </c>
      <c r="I81" s="20" t="n">
        <v>350.916</v>
      </c>
      <c r="J81" s="20" t="n">
        <v>365.128</v>
      </c>
      <c r="K81" s="20" t="n">
        <v>543.103</v>
      </c>
      <c r="L81" s="20" t="n">
        <v>1533.839</v>
      </c>
    </row>
    <row r="82">
      <c r="A82" s="18" t="inlineStr">
        <is>
          <t>유형자산 합계</t>
        </is>
      </c>
      <c r="C82" s="20" t="n">
        <v>175238.336</v>
      </c>
      <c r="D82" s="20" t="n">
        <v>180166.92</v>
      </c>
      <c r="E82" s="20" t="n">
        <v>185700.528</v>
      </c>
      <c r="F82" s="20" t="n">
        <v>183205.189</v>
      </c>
      <c r="G82" s="20" t="n">
        <v>196146.281</v>
      </c>
      <c r="H82" s="20" t="n">
        <v>196388.487</v>
      </c>
      <c r="I82" s="20" t="n">
        <v>219768.369</v>
      </c>
      <c r="J82" s="20" t="n">
        <v>207355.98</v>
      </c>
      <c r="K82" s="20" t="n">
        <v>201373.214</v>
      </c>
      <c r="L82" s="20" t="n">
        <v>185700.528</v>
      </c>
    </row>
    <row r="83">
      <c r="A83" s="18" t="inlineStr">
        <is>
          <t>기타</t>
        </is>
      </c>
      <c r="C83" s="20" t="n">
        <v>352.147</v>
      </c>
      <c r="D83" s="20" t="n">
        <v>184.373</v>
      </c>
      <c r="E83" s="20" t="n">
        <v>1312.629</v>
      </c>
      <c r="F83" s="20" t="n">
        <v>1342.08</v>
      </c>
      <c r="G83" s="20" t="n">
        <v>1606.931</v>
      </c>
      <c r="H83" s="20" t="n">
        <v>107.271</v>
      </c>
      <c r="I83" s="20" t="n">
        <v>84.03400000000001</v>
      </c>
      <c r="J83" s="20" t="n">
        <v>92.90900000000001</v>
      </c>
      <c r="K83" s="20" t="n">
        <v>117.392</v>
      </c>
      <c r="L83" s="20" t="n">
        <v>1312.629</v>
      </c>
    </row>
    <row r="84">
      <c r="A84" s="18" t="inlineStr">
        <is>
          <t>무형자산 합계</t>
        </is>
      </c>
      <c r="C84" s="20" t="n">
        <v>352.147</v>
      </c>
      <c r="D84" s="20" t="n">
        <v>184.373</v>
      </c>
      <c r="E84" s="20" t="n">
        <v>1312.629</v>
      </c>
      <c r="F84" s="20" t="n">
        <v>1342.08</v>
      </c>
      <c r="G84" s="20" t="n">
        <v>1606.931</v>
      </c>
      <c r="H84" s="20" t="n">
        <v>107.271</v>
      </c>
      <c r="I84" s="20" t="n">
        <v>84.03400000000001</v>
      </c>
      <c r="J84" s="20" t="n">
        <v>92.90900000000001</v>
      </c>
      <c r="K84" s="20" t="n">
        <v>117.392</v>
      </c>
      <c r="L84" s="20" t="n">
        <v>1312.629</v>
      </c>
    </row>
    <row r="85">
      <c r="A85" s="18" t="inlineStr">
        <is>
          <t>투자유가증권</t>
        </is>
      </c>
      <c r="C85" s="20" t="n">
        <v>29383.509</v>
      </c>
      <c r="D85" s="20" t="n">
        <v>30518.691</v>
      </c>
      <c r="E85" s="20" t="n">
        <v>35019.48</v>
      </c>
      <c r="F85" s="20" t="n">
        <v>38726.483</v>
      </c>
      <c r="G85" s="20" t="n">
        <v>39217.076</v>
      </c>
      <c r="H85" s="20" t="n">
        <v>8975.879000000001</v>
      </c>
      <c r="I85" s="20" t="n">
        <v>11472.623</v>
      </c>
      <c r="J85" s="20" t="n">
        <v>15023.011</v>
      </c>
      <c r="K85" s="20" t="n">
        <v>26692.735</v>
      </c>
      <c r="L85" s="20" t="n">
        <v>35019.48</v>
      </c>
    </row>
    <row r="86">
      <c r="A86" s="18" t="inlineStr">
        <is>
          <t>장기대여금</t>
        </is>
      </c>
      <c r="C86" s="20" t="n">
        <v>2989.139</v>
      </c>
      <c r="D86" s="20" t="n">
        <v>2981.551</v>
      </c>
      <c r="E86" s="20" t="n">
        <v>3073.47</v>
      </c>
      <c r="F86" s="20" t="n">
        <v>2486.256</v>
      </c>
      <c r="G86" s="20" t="n">
        <v>2409.225</v>
      </c>
      <c r="H86" s="20" t="n">
        <v>1058.039</v>
      </c>
      <c r="I86" s="20" t="n">
        <v>1290.401</v>
      </c>
      <c r="J86" s="20" t="n">
        <v>1617.565</v>
      </c>
      <c r="K86" s="20" t="n">
        <v>2394.961</v>
      </c>
      <c r="L86" s="20" t="n">
        <v>3073.47</v>
      </c>
    </row>
    <row r="87">
      <c r="A87" s="18" t="inlineStr">
        <is>
          <t>이연법인세자산</t>
        </is>
      </c>
      <c r="C87" s="20" t="n">
        <v>473.433</v>
      </c>
      <c r="D87" s="20" t="n">
        <v>443.976</v>
      </c>
      <c r="E87" s="20" t="n">
        <v>410.993</v>
      </c>
      <c r="F87" s="20" t="n">
        <v>410.302</v>
      </c>
      <c r="G87" s="20" t="n">
        <v>459.278</v>
      </c>
      <c r="H87" s="20" t="n">
        <v>1169.606</v>
      </c>
      <c r="I87" s="20" t="n">
        <v>991.6849999999999</v>
      </c>
      <c r="J87" s="20" t="n">
        <v>616.751</v>
      </c>
      <c r="K87" s="20" t="n">
        <v>377.064</v>
      </c>
      <c r="L87" s="20" t="n">
        <v>410.993</v>
      </c>
    </row>
    <row r="88">
      <c r="A88" s="18" t="inlineStr">
        <is>
          <t>기타</t>
        </is>
      </c>
      <c r="C88" s="20" t="n">
        <v>3961.535</v>
      </c>
      <c r="D88" s="20" t="n">
        <v>3629.648</v>
      </c>
      <c r="E88" s="20" t="n">
        <v>3579.018</v>
      </c>
      <c r="F88" s="20" t="n">
        <v>3764.38</v>
      </c>
      <c r="G88" s="20" t="n">
        <v>3879.667</v>
      </c>
      <c r="H88" s="20" t="n">
        <v>1713.416</v>
      </c>
      <c r="I88" s="20" t="n">
        <v>7277.558</v>
      </c>
      <c r="J88" s="20" t="n">
        <v>5838.773</v>
      </c>
      <c r="K88" s="20" t="n">
        <v>6029.082</v>
      </c>
      <c r="L88" s="20" t="n">
        <v>3579.018</v>
      </c>
    </row>
    <row r="89">
      <c r="A89" s="18" t="inlineStr">
        <is>
          <t>투자 및 기타자산 합계</t>
        </is>
      </c>
      <c r="C89" s="20" t="n">
        <v>36807.617</v>
      </c>
      <c r="D89" s="20" t="n">
        <v>37573.867</v>
      </c>
      <c r="E89" s="20" t="n">
        <v>42082.962</v>
      </c>
      <c r="F89" s="20" t="n">
        <v>45387.423</v>
      </c>
      <c r="G89" s="20" t="n">
        <v>45965.247</v>
      </c>
      <c r="H89" s="20" t="n">
        <v>12916.941</v>
      </c>
      <c r="I89" s="20" t="n">
        <v>21032.268</v>
      </c>
      <c r="J89" s="20" t="n">
        <v>23096.101</v>
      </c>
      <c r="K89" s="20" t="n">
        <v>35493.844</v>
      </c>
      <c r="L89" s="20" t="n">
        <v>42082.962</v>
      </c>
    </row>
    <row r="90">
      <c r="A90" s="9" t="inlineStr">
        <is>
          <t>비유동자산 합계</t>
        </is>
      </c>
      <c r="C90" s="12" t="n">
        <v>212398.101</v>
      </c>
      <c r="D90" s="12" t="n">
        <v>217925.161</v>
      </c>
      <c r="E90" s="12" t="n">
        <v>229096.121</v>
      </c>
      <c r="F90" s="12" t="n">
        <v>229934.694</v>
      </c>
      <c r="G90" s="12" t="n">
        <v>243718.461</v>
      </c>
      <c r="H90" s="12" t="n">
        <v>209412.7</v>
      </c>
      <c r="I90" s="12" t="n">
        <v>240884.672</v>
      </c>
      <c r="J90" s="12" t="n">
        <v>230544.991</v>
      </c>
      <c r="K90" s="12" t="n">
        <v>236984.45</v>
      </c>
      <c r="L90" s="12" t="n">
        <v>229096.121</v>
      </c>
    </row>
    <row r="91">
      <c r="A91" s="9" t="inlineStr">
        <is>
          <t>자산 합계</t>
        </is>
      </c>
      <c r="C91" s="12" t="n">
        <v>274895.935</v>
      </c>
      <c r="D91" s="12" t="n">
        <v>283619.754</v>
      </c>
      <c r="E91" s="12" t="n">
        <v>292820.798</v>
      </c>
      <c r="F91" s="12" t="n">
        <v>291727.18</v>
      </c>
      <c r="G91" s="12" t="n">
        <v>301778.877</v>
      </c>
      <c r="H91" s="12" t="n">
        <v>237569.264</v>
      </c>
      <c r="I91" s="12" t="n">
        <v>274947.097</v>
      </c>
      <c r="J91" s="12" t="n">
        <v>276457.475</v>
      </c>
      <c r="K91" s="12" t="n">
        <v>293278.855</v>
      </c>
      <c r="L91" s="12" t="n">
        <v>292820.798</v>
      </c>
    </row>
    <row r="92">
      <c r="A92" s="18" t="inlineStr">
        <is>
          <t>해운업 미지급금</t>
        </is>
      </c>
      <c r="C92" s="20" t="n">
        <v>5143.29</v>
      </c>
      <c r="D92" s="20" t="n">
        <v>5767.526</v>
      </c>
      <c r="E92" s="20" t="n">
        <v>6648.021</v>
      </c>
      <c r="F92" s="20" t="n">
        <v>5557.699</v>
      </c>
      <c r="G92" s="20" t="n">
        <v>6998.98</v>
      </c>
      <c r="H92" s="20" t="n">
        <v>2159.168</v>
      </c>
      <c r="I92" s="20" t="n">
        <v>2708.906</v>
      </c>
      <c r="J92" s="20" t="n">
        <v>3344.901</v>
      </c>
      <c r="K92" s="20" t="n">
        <v>4123.31</v>
      </c>
      <c r="L92" s="20" t="n">
        <v>6648.021</v>
      </c>
    </row>
    <row r="93">
      <c r="A93" s="18" t="inlineStr">
        <is>
          <t>1년 내 상환 예정 사채</t>
        </is>
      </c>
      <c r="C93" s="20" t="n">
        <v>0</v>
      </c>
      <c r="D93" s="20" t="n">
        <v>0</v>
      </c>
      <c r="E93" s="20" t="n">
        <v>0</v>
      </c>
      <c r="H93" s="20" t="n">
        <v>482</v>
      </c>
      <c r="I93" s="20" t="n">
        <v>240</v>
      </c>
      <c r="J93" s="20" t="n">
        <v>133</v>
      </c>
      <c r="K93" s="20" t="n">
        <v>45</v>
      </c>
      <c r="L93" s="20" t="n">
        <v>0</v>
      </c>
    </row>
    <row r="94">
      <c r="A94" s="18" t="inlineStr">
        <is>
          <t>단기차입금</t>
        </is>
      </c>
      <c r="C94" s="20" t="n">
        <v>38379.037</v>
      </c>
      <c r="D94" s="20" t="n">
        <v>36360.635</v>
      </c>
      <c r="E94" s="20" t="n">
        <v>37804.608</v>
      </c>
      <c r="F94" s="20" t="n">
        <v>32160.805</v>
      </c>
      <c r="G94" s="20" t="n">
        <v>37493.08</v>
      </c>
      <c r="H94" s="20" t="n">
        <v>28705.212</v>
      </c>
      <c r="I94" s="20" t="n">
        <v>34762.821</v>
      </c>
      <c r="J94" s="20" t="n">
        <v>30821.205</v>
      </c>
      <c r="K94" s="20" t="n">
        <v>40112.373</v>
      </c>
      <c r="L94" s="20" t="n">
        <v>37804.608</v>
      </c>
    </row>
    <row r="95">
      <c r="A95" s="18" t="inlineStr">
        <is>
          <t>리스부채</t>
        </is>
      </c>
      <c r="H95" s="20" t="n">
        <v>2.098</v>
      </c>
      <c r="I95" s="20" t="n">
        <v>0</v>
      </c>
    </row>
    <row r="96">
      <c r="A96" s="18" t="inlineStr">
        <is>
          <t>미지급금</t>
        </is>
      </c>
      <c r="C96" s="20" t="n">
        <v>1202.943</v>
      </c>
      <c r="D96" s="20" t="n">
        <v>1342.875</v>
      </c>
      <c r="E96" s="20" t="n">
        <v>1200.764</v>
      </c>
      <c r="F96" s="20" t="n">
        <v>715.33</v>
      </c>
      <c r="G96" s="20" t="n">
        <v>617.633</v>
      </c>
      <c r="H96" s="20" t="n">
        <v>539.145</v>
      </c>
      <c r="I96" s="20" t="n">
        <v>841.01</v>
      </c>
      <c r="J96" s="20" t="n">
        <v>1012.831</v>
      </c>
      <c r="K96" s="20" t="n">
        <v>1349.001</v>
      </c>
      <c r="L96" s="20" t="n">
        <v>1200.764</v>
      </c>
    </row>
    <row r="97">
      <c r="A97" s="18" t="inlineStr">
        <is>
          <t>미지급법인세</t>
        </is>
      </c>
      <c r="C97" s="20" t="n">
        <v>324.548</v>
      </c>
      <c r="D97" s="20" t="n">
        <v>309.513</v>
      </c>
      <c r="E97" s="20" t="n">
        <v>445.971</v>
      </c>
      <c r="F97" s="20" t="n">
        <v>1278.894</v>
      </c>
      <c r="G97" s="20" t="n">
        <v>1263.002</v>
      </c>
      <c r="H97" s="20" t="n">
        <v>714.3920000000001</v>
      </c>
      <c r="I97" s="20" t="n">
        <v>395.354</v>
      </c>
      <c r="J97" s="20" t="n">
        <v>767.434</v>
      </c>
      <c r="K97" s="20" t="n">
        <v>1607.047</v>
      </c>
      <c r="L97" s="20" t="n">
        <v>445.971</v>
      </c>
    </row>
    <row r="98">
      <c r="A98" s="18" t="inlineStr">
        <is>
          <t>상여충당금</t>
        </is>
      </c>
      <c r="C98" s="20" t="n">
        <v>246.851</v>
      </c>
      <c r="D98" s="20" t="n">
        <v>171.505</v>
      </c>
      <c r="E98" s="20" t="n">
        <v>75.873</v>
      </c>
      <c r="F98" s="20" t="n">
        <v>175.593</v>
      </c>
      <c r="G98" s="20" t="n">
        <v>252.278</v>
      </c>
      <c r="H98" s="20" t="n">
        <v>46.482</v>
      </c>
      <c r="I98" s="20" t="n">
        <v>67.566</v>
      </c>
      <c r="J98" s="20" t="n">
        <v>81.51300000000001</v>
      </c>
      <c r="K98" s="20" t="n">
        <v>72.271</v>
      </c>
      <c r="L98" s="20" t="n">
        <v>75.873</v>
      </c>
    </row>
    <row r="99">
      <c r="A99" s="18" t="inlineStr">
        <is>
          <t>기타</t>
        </is>
      </c>
      <c r="C99" s="20" t="n">
        <v>8220.028</v>
      </c>
      <c r="D99" s="20" t="n">
        <v>10691.383</v>
      </c>
      <c r="E99" s="20" t="n">
        <v>11462.565</v>
      </c>
      <c r="F99" s="20" t="n">
        <v>10582.689</v>
      </c>
      <c r="G99" s="20" t="n">
        <v>7622.108</v>
      </c>
      <c r="H99" s="20" t="n">
        <v>4845.052</v>
      </c>
      <c r="I99" s="20" t="n">
        <v>8713.877</v>
      </c>
      <c r="J99" s="20" t="n">
        <v>7482.455</v>
      </c>
      <c r="K99" s="20" t="n">
        <v>9714.597</v>
      </c>
      <c r="L99" s="20" t="n">
        <v>11462.565</v>
      </c>
    </row>
    <row r="100">
      <c r="A100" s="9" t="inlineStr">
        <is>
          <t>유동부채 합계</t>
        </is>
      </c>
      <c r="C100" s="12" t="n">
        <v>53516.701</v>
      </c>
      <c r="D100" s="12" t="n">
        <v>54643.441</v>
      </c>
      <c r="E100" s="12" t="n">
        <v>57637.805</v>
      </c>
      <c r="F100" s="12" t="n">
        <v>50471.012</v>
      </c>
      <c r="G100" s="12" t="n">
        <v>54247.084</v>
      </c>
      <c r="H100" s="12" t="n">
        <v>37493.552</v>
      </c>
      <c r="I100" s="12" t="n">
        <v>47729.536</v>
      </c>
      <c r="J100" s="12" t="n">
        <v>43643.342</v>
      </c>
      <c r="K100" s="12" t="n">
        <v>57023.6</v>
      </c>
      <c r="L100" s="12" t="n">
        <v>57637.805</v>
      </c>
    </row>
    <row r="101">
      <c r="A101" s="18" t="inlineStr">
        <is>
          <t>사채</t>
        </is>
      </c>
      <c r="H101" s="20" t="n">
        <v>418</v>
      </c>
      <c r="I101" s="20" t="n">
        <v>178</v>
      </c>
      <c r="J101" s="20" t="n">
        <v>45</v>
      </c>
    </row>
    <row r="102">
      <c r="A102" s="18" t="inlineStr">
        <is>
          <t>장기차입금</t>
        </is>
      </c>
      <c r="C102" s="20" t="n">
        <v>110757.657</v>
      </c>
      <c r="D102" s="20" t="n">
        <v>113337.429</v>
      </c>
      <c r="E102" s="20" t="n">
        <v>118454.888</v>
      </c>
      <c r="F102" s="20" t="n">
        <v>121431.768</v>
      </c>
      <c r="G102" s="20" t="n">
        <v>124835.256</v>
      </c>
      <c r="H102" s="20" t="n">
        <v>144120.567</v>
      </c>
      <c r="I102" s="20" t="n">
        <v>146006.946</v>
      </c>
      <c r="J102" s="20" t="n">
        <v>136379.122</v>
      </c>
      <c r="K102" s="20" t="n">
        <v>125545.04</v>
      </c>
      <c r="L102" s="20" t="n">
        <v>118454.888</v>
      </c>
    </row>
    <row r="103">
      <c r="A103" s="18" t="inlineStr">
        <is>
          <t>리스부채</t>
        </is>
      </c>
      <c r="H103" s="20" t="n">
        <v>0.708</v>
      </c>
      <c r="I103" s="20" t="n">
        <v>0</v>
      </c>
    </row>
    <row r="104">
      <c r="A104" s="18" t="inlineStr">
        <is>
          <t>이연법인세부채</t>
        </is>
      </c>
      <c r="C104" s="20" t="n">
        <v>4585.839</v>
      </c>
      <c r="D104" s="20" t="n">
        <v>4985.799</v>
      </c>
      <c r="E104" s="20" t="n">
        <v>4183.934</v>
      </c>
      <c r="F104" s="20" t="n">
        <v>4165.533</v>
      </c>
      <c r="G104" s="20" t="n">
        <v>4163.211</v>
      </c>
      <c r="H104" s="20" t="n">
        <v>1001.427</v>
      </c>
      <c r="I104" s="20" t="n">
        <v>2950.131</v>
      </c>
      <c r="J104" s="20" t="n">
        <v>2152.157</v>
      </c>
      <c r="K104" s="20" t="n">
        <v>2517.694</v>
      </c>
      <c r="L104" s="20" t="n">
        <v>4183.934</v>
      </c>
    </row>
    <row r="105">
      <c r="A105" s="18" t="inlineStr">
        <is>
          <t>재평가 관련 이연법인세부채</t>
        </is>
      </c>
      <c r="C105" s="20" t="n">
        <v>1110.521</v>
      </c>
      <c r="D105" s="20" t="n">
        <v>1110.521</v>
      </c>
      <c r="E105" s="20" t="n">
        <v>1110.521</v>
      </c>
      <c r="F105" s="20" t="n">
        <v>1110.521</v>
      </c>
      <c r="G105" s="20" t="n">
        <v>1110.521</v>
      </c>
      <c r="H105" s="20" t="n">
        <v>1043.086</v>
      </c>
      <c r="I105" s="20" t="n">
        <v>1083.122</v>
      </c>
      <c r="J105" s="20" t="n">
        <v>1080.467</v>
      </c>
      <c r="K105" s="20" t="n">
        <v>1101.222</v>
      </c>
      <c r="L105" s="20" t="n">
        <v>1110.521</v>
      </c>
    </row>
    <row r="106">
      <c r="A106" s="18" t="inlineStr">
        <is>
          <t>임원 퇴직위로 충당금</t>
        </is>
      </c>
      <c r="C106" s="20" t="n">
        <v>134.307</v>
      </c>
      <c r="D106" s="20" t="n">
        <v>134.307</v>
      </c>
      <c r="E106" s="20" t="n">
        <v>134.307</v>
      </c>
      <c r="F106" s="20" t="n">
        <v>134.307</v>
      </c>
      <c r="G106" s="20" t="n">
        <v>134.307</v>
      </c>
      <c r="H106" s="20" t="n">
        <v>205.531</v>
      </c>
      <c r="I106" s="20" t="n">
        <v>205.531</v>
      </c>
      <c r="J106" s="20" t="n">
        <v>141.817</v>
      </c>
      <c r="K106" s="20" t="n">
        <v>135.057</v>
      </c>
      <c r="L106" s="20" t="n">
        <v>134.307</v>
      </c>
    </row>
    <row r="107">
      <c r="A107" s="18" t="inlineStr">
        <is>
          <t>특별수선충당금</t>
        </is>
      </c>
      <c r="C107" s="20" t="n">
        <v>3601.086</v>
      </c>
      <c r="D107" s="20" t="n">
        <v>3821.517</v>
      </c>
      <c r="E107" s="20" t="n">
        <v>3380.402</v>
      </c>
      <c r="F107" s="20" t="n">
        <v>3440.242</v>
      </c>
      <c r="G107" s="20" t="n">
        <v>3565.625</v>
      </c>
      <c r="H107" s="20" t="n">
        <v>2265.696</v>
      </c>
      <c r="I107" s="20" t="n">
        <v>2835.203</v>
      </c>
      <c r="J107" s="20" t="n">
        <v>3261.04</v>
      </c>
      <c r="K107" s="20" t="n">
        <v>4272.519</v>
      </c>
      <c r="L107" s="20" t="n">
        <v>3380.402</v>
      </c>
    </row>
    <row r="108">
      <c r="A108" s="18" t="inlineStr">
        <is>
          <t>충당금 계</t>
        </is>
      </c>
      <c r="C108" s="20" t="n">
        <v>3735.393</v>
      </c>
      <c r="D108" s="20" t="n">
        <v>3955.824</v>
      </c>
      <c r="E108" s="20" t="n">
        <v>3514.709</v>
      </c>
      <c r="F108" s="20" t="n">
        <v>3574.549</v>
      </c>
      <c r="G108" s="20" t="n">
        <v>3699.932</v>
      </c>
      <c r="H108" s="20" t="n">
        <v>2471.228</v>
      </c>
      <c r="I108" s="20" t="n">
        <v>3040.735</v>
      </c>
      <c r="J108" s="20" t="n">
        <v>3402.858</v>
      </c>
      <c r="K108" s="20" t="n">
        <v>4407.576</v>
      </c>
      <c r="L108" s="20" t="n">
        <v>3514.709</v>
      </c>
    </row>
    <row r="109">
      <c r="A109" s="18" t="inlineStr">
        <is>
          <t>퇴직급여부채</t>
        </is>
      </c>
      <c r="C109" s="20" t="n">
        <v>413.223</v>
      </c>
      <c r="D109" s="20" t="n">
        <v>427.98</v>
      </c>
      <c r="E109" s="20" t="n">
        <v>437.089</v>
      </c>
      <c r="F109" s="20" t="n">
        <v>435.669</v>
      </c>
      <c r="G109" s="20" t="n">
        <v>443.387</v>
      </c>
      <c r="H109" s="20" t="n">
        <v>373.309</v>
      </c>
      <c r="I109" s="20" t="n">
        <v>367.392</v>
      </c>
      <c r="J109" s="20" t="n">
        <v>371.974</v>
      </c>
      <c r="K109" s="20" t="n">
        <v>382.503</v>
      </c>
      <c r="L109" s="20" t="n">
        <v>437.089</v>
      </c>
    </row>
    <row r="110">
      <c r="A110" s="18" t="inlineStr">
        <is>
          <t>지분법 적용 관련 부채</t>
        </is>
      </c>
      <c r="C110" s="20" t="n">
        <v>289.609</v>
      </c>
      <c r="D110" s="20" t="n">
        <v>44.714</v>
      </c>
      <c r="E110" s="20" t="n">
        <v>9.609</v>
      </c>
      <c r="F110" s="20" t="n">
        <v>8.449999999999999</v>
      </c>
      <c r="G110" s="20" t="n">
        <v>369.331</v>
      </c>
      <c r="H110" s="20" t="n">
        <v>341.466</v>
      </c>
      <c r="I110" s="20" t="n">
        <v>207.87</v>
      </c>
      <c r="J110" s="20" t="n">
        <v>265.816</v>
      </c>
      <c r="K110" s="20" t="n">
        <v>275.291</v>
      </c>
      <c r="L110" s="20" t="n">
        <v>9.609</v>
      </c>
    </row>
    <row r="111">
      <c r="A111" s="18" t="inlineStr">
        <is>
          <t>기타</t>
        </is>
      </c>
      <c r="C111" s="20" t="n">
        <v>8759.16</v>
      </c>
      <c r="D111" s="20" t="n">
        <v>9562.695</v>
      </c>
      <c r="E111" s="20" t="n">
        <v>9751.727999999999</v>
      </c>
      <c r="F111" s="20" t="n">
        <v>10581.774</v>
      </c>
      <c r="G111" s="20" t="n">
        <v>10818.937</v>
      </c>
      <c r="H111" s="20" t="n">
        <v>2923.599</v>
      </c>
      <c r="I111" s="20" t="n">
        <v>4949.57</v>
      </c>
      <c r="J111" s="20" t="n">
        <v>7703.342</v>
      </c>
      <c r="K111" s="20" t="n">
        <v>10811.341</v>
      </c>
      <c r="L111" s="20" t="n">
        <v>9751.727999999999</v>
      </c>
    </row>
    <row r="112">
      <c r="A112" s="9" t="inlineStr">
        <is>
          <t>비유동부채 합계</t>
        </is>
      </c>
      <c r="C112" s="12" t="n">
        <v>129651.405</v>
      </c>
      <c r="D112" s="12" t="n">
        <v>133424.965</v>
      </c>
      <c r="E112" s="12" t="n">
        <v>137462.48</v>
      </c>
      <c r="F112" s="12" t="n">
        <v>141308.268</v>
      </c>
      <c r="G112" s="12" t="n">
        <v>145440.578</v>
      </c>
      <c r="H112" s="12" t="n">
        <v>152693.394</v>
      </c>
      <c r="I112" s="12" t="n">
        <v>158783.768</v>
      </c>
      <c r="J112" s="12" t="n">
        <v>151400.739</v>
      </c>
      <c r="K112" s="12" t="n">
        <v>145040.67</v>
      </c>
      <c r="L112" s="12" t="n">
        <v>137462.48</v>
      </c>
    </row>
    <row r="113">
      <c r="A113" s="9" t="inlineStr">
        <is>
          <t>부채 합계</t>
        </is>
      </c>
      <c r="C113" s="12" t="n">
        <v>183168.106</v>
      </c>
      <c r="D113" s="12" t="n">
        <v>188068.406</v>
      </c>
      <c r="E113" s="12" t="n">
        <v>195100.286</v>
      </c>
      <c r="F113" s="12" t="n">
        <v>191779.28</v>
      </c>
      <c r="G113" s="12" t="n">
        <v>199687.662</v>
      </c>
      <c r="H113" s="12" t="n">
        <v>190186.946</v>
      </c>
      <c r="I113" s="12" t="n">
        <v>206513.305</v>
      </c>
      <c r="J113" s="12" t="n">
        <v>195044.081</v>
      </c>
      <c r="K113" s="12" t="n">
        <v>202064.271</v>
      </c>
      <c r="L113" s="12" t="n">
        <v>195100.286</v>
      </c>
    </row>
    <row r="114">
      <c r="A114" s="18" t="inlineStr">
        <is>
          <t>자본금</t>
        </is>
      </c>
      <c r="C114" s="20" t="n">
        <v>1800</v>
      </c>
      <c r="D114" s="20" t="n">
        <v>1800</v>
      </c>
      <c r="E114" s="20" t="n">
        <v>1800</v>
      </c>
      <c r="F114" s="20" t="n">
        <v>1800</v>
      </c>
      <c r="G114" s="20" t="n">
        <v>1800</v>
      </c>
      <c r="H114" s="20" t="n">
        <v>1800</v>
      </c>
      <c r="I114" s="20" t="n">
        <v>1800</v>
      </c>
      <c r="J114" s="20" t="n">
        <v>1800</v>
      </c>
      <c r="K114" s="20" t="n">
        <v>1800</v>
      </c>
      <c r="L114" s="20" t="n">
        <v>1800</v>
      </c>
    </row>
    <row r="115">
      <c r="A115" s="18" t="inlineStr">
        <is>
          <t>자본잉여금</t>
        </is>
      </c>
      <c r="C115" s="20" t="n">
        <v>810.513</v>
      </c>
      <c r="D115" s="20" t="n">
        <v>810.513</v>
      </c>
      <c r="E115" s="20" t="n">
        <v>810.513</v>
      </c>
      <c r="F115" s="20" t="n">
        <v>810.513</v>
      </c>
      <c r="G115" s="20" t="n">
        <v>810.513</v>
      </c>
      <c r="H115" s="20" t="n">
        <v>525.49</v>
      </c>
      <c r="I115" s="20" t="n">
        <v>733.6079999999999</v>
      </c>
      <c r="J115" s="20" t="n">
        <v>733.6079999999999</v>
      </c>
      <c r="K115" s="20" t="n">
        <v>776.508</v>
      </c>
      <c r="L115" s="20" t="n">
        <v>810.513</v>
      </c>
    </row>
    <row r="116">
      <c r="A116" s="18" t="inlineStr">
        <is>
          <t>이익잉여금</t>
        </is>
      </c>
      <c r="C116" s="20" t="n">
        <v>34782.545</v>
      </c>
      <c r="D116" s="20" t="n">
        <v>36397.032</v>
      </c>
      <c r="E116" s="20" t="n">
        <v>36280.158</v>
      </c>
      <c r="F116" s="20" t="n">
        <v>36999.856</v>
      </c>
      <c r="G116" s="20" t="n">
        <v>37451.178</v>
      </c>
      <c r="H116" s="20" t="n">
        <v>18275.856</v>
      </c>
      <c r="I116" s="20" t="n">
        <v>24472.827</v>
      </c>
      <c r="J116" s="20" t="n">
        <v>29513.608</v>
      </c>
      <c r="K116" s="20" t="n">
        <v>32145.815</v>
      </c>
      <c r="L116" s="20" t="n">
        <v>36280.158</v>
      </c>
    </row>
    <row r="117">
      <c r="A117" s="18" t="inlineStr">
        <is>
          <t>자기주식</t>
        </is>
      </c>
      <c r="C117" s="20" t="n">
        <v>-475.934</v>
      </c>
      <c r="D117" s="20" t="n">
        <v>-475.934</v>
      </c>
      <c r="E117" s="20" t="n">
        <v>-475.934</v>
      </c>
      <c r="F117" s="20" t="n">
        <v>-475.934</v>
      </c>
      <c r="G117" s="20" t="n">
        <v>-475.942</v>
      </c>
      <c r="H117" s="20" t="n">
        <v>-581.058</v>
      </c>
      <c r="I117" s="20" t="n">
        <v>-420.655</v>
      </c>
      <c r="J117" s="20" t="n">
        <v>-559.112</v>
      </c>
      <c r="K117" s="20" t="n">
        <v>-507.507</v>
      </c>
      <c r="L117" s="20" t="n">
        <v>-475.934</v>
      </c>
    </row>
    <row r="118">
      <c r="A118" s="9" t="inlineStr">
        <is>
          <t>주주자본 합계</t>
        </is>
      </c>
      <c r="C118" s="12" t="n">
        <v>36917.124</v>
      </c>
      <c r="D118" s="12" t="n">
        <v>38531.611</v>
      </c>
      <c r="E118" s="12" t="n">
        <v>38414.736</v>
      </c>
      <c r="F118" s="12" t="n">
        <v>39134.435</v>
      </c>
      <c r="G118" s="12" t="n">
        <v>39585.749</v>
      </c>
      <c r="H118" s="12" t="n">
        <v>20020.289</v>
      </c>
      <c r="I118" s="12" t="n">
        <v>26585.779</v>
      </c>
      <c r="J118" s="12" t="n">
        <v>31488.103</v>
      </c>
      <c r="K118" s="12" t="n">
        <v>34214.816</v>
      </c>
      <c r="L118" s="12" t="n">
        <v>38414.736</v>
      </c>
    </row>
    <row r="119">
      <c r="A119" s="18" t="inlineStr">
        <is>
          <t>기타유가증권 평가차액</t>
        </is>
      </c>
      <c r="C119" s="20" t="n">
        <v>3260.753</v>
      </c>
      <c r="D119" s="20" t="n">
        <v>3659.318</v>
      </c>
      <c r="E119" s="20" t="n">
        <v>3888.007</v>
      </c>
      <c r="F119" s="20" t="n">
        <v>4592.18</v>
      </c>
      <c r="G119" s="20" t="n">
        <v>4644.648</v>
      </c>
      <c r="H119" s="20" t="n">
        <v>410.414</v>
      </c>
      <c r="I119" s="20" t="n">
        <v>656.702</v>
      </c>
      <c r="J119" s="20" t="n">
        <v>1750.217</v>
      </c>
      <c r="K119" s="20" t="n">
        <v>2365.995</v>
      </c>
      <c r="L119" s="20" t="n">
        <v>3888.007</v>
      </c>
    </row>
    <row r="120">
      <c r="A120" s="18" t="inlineStr">
        <is>
          <t>이연헤지손익</t>
        </is>
      </c>
      <c r="C120" s="20" t="n">
        <v>1255.22</v>
      </c>
      <c r="D120" s="20" t="n">
        <v>1164.175</v>
      </c>
      <c r="E120" s="20" t="n">
        <v>1202.048</v>
      </c>
      <c r="F120" s="20" t="n">
        <v>1282.206</v>
      </c>
      <c r="G120" s="20" t="n">
        <v>1457.118</v>
      </c>
      <c r="H120" s="20" t="n">
        <v>38.498</v>
      </c>
      <c r="I120" s="20" t="n">
        <v>2598.797</v>
      </c>
      <c r="J120" s="20" t="n">
        <v>2119.489</v>
      </c>
      <c r="K120" s="20" t="n">
        <v>2080.525</v>
      </c>
      <c r="L120" s="20" t="n">
        <v>1202.048</v>
      </c>
    </row>
    <row r="121">
      <c r="A121" s="18" t="inlineStr">
        <is>
          <t>토지재평가차액금</t>
        </is>
      </c>
      <c r="C121" s="20" t="n">
        <v>1861.388</v>
      </c>
      <c r="D121" s="20" t="n">
        <v>1861.388</v>
      </c>
      <c r="E121" s="20" t="n">
        <v>1861.388</v>
      </c>
      <c r="F121" s="20" t="n">
        <v>1861.388</v>
      </c>
      <c r="G121" s="20" t="n">
        <v>1861.388</v>
      </c>
      <c r="H121" s="20" t="n">
        <v>1906.276</v>
      </c>
      <c r="I121" s="20" t="n">
        <v>1891.582</v>
      </c>
      <c r="J121" s="20" t="n">
        <v>1885.556</v>
      </c>
      <c r="K121" s="20" t="n">
        <v>1864.801</v>
      </c>
      <c r="L121" s="20" t="n">
        <v>1861.388</v>
      </c>
    </row>
    <row r="122">
      <c r="A122" s="18" t="inlineStr">
        <is>
          <t>해외사업환산조정</t>
        </is>
      </c>
      <c r="C122" s="20" t="n">
        <v>5948.261</v>
      </c>
      <c r="D122" s="20" t="n">
        <v>6743.602</v>
      </c>
      <c r="E122" s="20" t="n">
        <v>7935.717</v>
      </c>
      <c r="F122" s="20" t="n">
        <v>8510.352000000001</v>
      </c>
      <c r="G122" s="20" t="n">
        <v>8543.656000000001</v>
      </c>
      <c r="H122" s="20" t="n">
        <v>1597.202</v>
      </c>
      <c r="I122" s="20" t="n">
        <v>3599.761</v>
      </c>
      <c r="J122" s="20" t="n">
        <v>5530.726</v>
      </c>
      <c r="K122" s="20" t="n">
        <v>7229.876</v>
      </c>
      <c r="L122" s="20" t="n">
        <v>7935.717</v>
      </c>
    </row>
    <row r="123">
      <c r="A123" s="18" t="inlineStr">
        <is>
          <t>기타포괄손익누계액 합계</t>
        </is>
      </c>
      <c r="C123" s="20" t="n">
        <v>12325.624</v>
      </c>
      <c r="D123" s="20" t="n">
        <v>13428.484</v>
      </c>
      <c r="E123" s="20" t="n">
        <v>14887.161</v>
      </c>
      <c r="F123" s="20" t="n">
        <v>16246.127</v>
      </c>
      <c r="G123" s="20" t="n">
        <v>16506.811</v>
      </c>
      <c r="H123" s="20" t="n">
        <v>3952.392</v>
      </c>
      <c r="I123" s="20" t="n">
        <v>8746.843999999999</v>
      </c>
      <c r="J123" s="20" t="n">
        <v>11285.989</v>
      </c>
      <c r="K123" s="20" t="n">
        <v>13541.198</v>
      </c>
      <c r="L123" s="20" t="n">
        <v>14887.161</v>
      </c>
    </row>
    <row r="124">
      <c r="A124" s="18" t="inlineStr">
        <is>
          <t>비지배지분</t>
        </is>
      </c>
      <c r="C124" s="20" t="n">
        <v>42485.079</v>
      </c>
      <c r="D124" s="20" t="n">
        <v>43591.251</v>
      </c>
      <c r="E124" s="20" t="n">
        <v>44418.613</v>
      </c>
      <c r="F124" s="20" t="n">
        <v>44567.336</v>
      </c>
      <c r="G124" s="20" t="n">
        <v>45998.653</v>
      </c>
      <c r="H124" s="20" t="n">
        <v>23409.636</v>
      </c>
      <c r="I124" s="20" t="n">
        <v>33101.168</v>
      </c>
      <c r="J124" s="20" t="n">
        <v>38639.3</v>
      </c>
      <c r="K124" s="20" t="n">
        <v>43458.568</v>
      </c>
      <c r="L124" s="20" t="n">
        <v>44418.613</v>
      </c>
    </row>
    <row r="125">
      <c r="A125" s="9" t="inlineStr">
        <is>
          <t>순자산 합계</t>
        </is>
      </c>
      <c r="C125" s="12" t="n">
        <v>91727.82799999999</v>
      </c>
      <c r="D125" s="12" t="n">
        <v>95551.34699999999</v>
      </c>
      <c r="E125" s="12" t="n">
        <v>97720.511</v>
      </c>
      <c r="F125" s="12" t="n">
        <v>99947.899</v>
      </c>
      <c r="G125" s="12" t="n">
        <v>102091.214</v>
      </c>
      <c r="H125" s="12" t="n">
        <v>47382.318</v>
      </c>
      <c r="I125" s="12" t="n">
        <v>68433.792</v>
      </c>
      <c r="J125" s="12" t="n">
        <v>81413.394</v>
      </c>
      <c r="K125" s="12" t="n">
        <v>91214.584</v>
      </c>
      <c r="L125" s="12" t="n">
        <v>97720.511</v>
      </c>
    </row>
    <row r="126">
      <c r="A126" s="9" t="inlineStr">
        <is>
          <t>부채·순자산 합계</t>
        </is>
      </c>
      <c r="C126" s="12" t="n">
        <v>274895.935</v>
      </c>
      <c r="D126" s="12" t="n">
        <v>283619.754</v>
      </c>
      <c r="E126" s="12" t="n">
        <v>292820.798</v>
      </c>
      <c r="F126" s="12" t="n">
        <v>291727.18</v>
      </c>
      <c r="G126" s="12" t="n">
        <v>301778.877</v>
      </c>
      <c r="H126" s="12" t="n">
        <v>237569.264</v>
      </c>
      <c r="I126" s="12" t="n">
        <v>274947.097</v>
      </c>
      <c r="J126" s="12" t="n">
        <v>276457.475</v>
      </c>
      <c r="K126" s="12" t="n">
        <v>293278.855</v>
      </c>
      <c r="L126" s="12" t="n">
        <v>292820.798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https://www2.jpx.co.jp/disc/91150/140120261027557240.pdf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https://www2.jpx.co.jp/disc/91150/140120260729501426.pdf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https://www2.jpx.co.jp/disc/91150/140120260513530388.pdf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https://www2.jpx.co.jp/disc/91150/140120260128540114.pdf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https://www2.jpx.co.jp/disc/91150/140120251030583658.pdf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https://www2.jpx.co.jp/disc/91150/140120250728521621.pdf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https://www2.jpx.co.jp/disc/91150/140120250130558172.pdf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https://www2.jpx.co.jp/disc/91150/140120241030505951.pdf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https://www2.jpx.co.jp/disc/91150/140120240729556824.pdf</t>
        </is>
      </c>
    </row>
    <row r="13">
      <c r="A13" t="inlineStr">
        <is>
          <t>2024-05-15</t>
        </is>
      </c>
      <c r="B13" t="inlineStr">
        <is>
          <t>2024년 3월 결산기 연간 결산단신</t>
        </is>
      </c>
      <c r="C13" t="inlineStr">
        <is>
          <t>https://www2.jpx.co.jp/disc/91150/140120240514596365.pdf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https://www2.jpx.co.jp/disc/91150/140120240130521879.pdf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https://www2.jpx.co.jp/disc/91150/140120231026572577.pdf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https://www2.jpx.co.jp/disc/91150/140120230726527141.pdf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https://www2.jpx.co.jp/disc/91150/140120230511567535.pdf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https://www2.jpx.co.jp/disc/91150/140120230126593963.pdf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https://www2.jpx.co.jp/disc/91150/140120221027550479.pdf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https://www2.jpx.co.jp/disc/91150/140120220512544087.pdf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https://www2.jpx.co.jp/disc/91150/140120210513416973.pdf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https://www2.jpx.co.jp/disc/91150/140120200514413718.pdf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https://www2.jpx.co.jp/disc/91150/140120190508417781.pdf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https://www2.jpx.co.jp/disc/91150/140120180514436881.pdf</t>
        </is>
      </c>
    </row>
    <row r="25">
      <c r="A25" t="inlineStr">
        <is>
          <t>2017-05-15</t>
        </is>
      </c>
      <c r="B25" t="inlineStr">
        <is>
          <t>연간 결산단신</t>
        </is>
      </c>
      <c r="C25" t="inlineStr">
        <is>
          <t>https://www2.jpx.co.jp/disc/91150/140120170509463612.pdf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2026-10-28T07:00:51Z</dcterms:created>
  <dcterms:modified xmlns:dcterms="http://purl.org/dc/terms/" xmlns:xsi="http://www.w3.org/2001/XMLSchema-instance" xsi:type="dcterms:W3CDTF">2026-10-28T07:00:51Z</dcterms:modified>
</cp:coreProperties>
</file>