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섹터 데이터" sheetId="3" state="visible" r:id="rId3"/>
    <sheet xmlns:r="http://schemas.openxmlformats.org/officeDocument/2006/relationships" name="출처" sheetId="4" state="visible" r:id="rId4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  <numFmt numFmtId="169" formatCode="#,##0.0;\(#,##0.0\);&quot;-&quot;"/>
  </numFmts>
  <fonts count="22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0000FF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color rgb="FFFF0000"/>
      <sz val="9"/>
    </font>
    <font>
      <name val="맑은 고딕"/>
      <b val="1"/>
      <color rgb="FFFFFFFF"/>
      <sz val="11"/>
    </font>
    <font>
      <name val="맑은 고딕"/>
      <b val="1"/>
      <sz val="10"/>
    </font>
    <font>
      <name val="맑은 고딕"/>
      <sz val="11"/>
    </font>
    <font>
      <name val="맑은 고딕"/>
      <color rgb="FF808080"/>
      <sz val="9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808080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165" fontId="11" fillId="0" borderId="3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2" fillId="0" borderId="3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5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4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6" fillId="0" borderId="0" pivotButton="0" quotePrefix="0" xfId="0"/>
    <xf numFmtId="0" fontId="17" fillId="0" borderId="0" pivotButton="0" quotePrefix="0" xfId="0"/>
    <xf numFmtId="0" fontId="18" fillId="6" borderId="0" applyAlignment="1" pivotButton="0" quotePrefix="0" xfId="0">
      <alignment horizontal="center" vertical="center"/>
    </xf>
    <xf numFmtId="0" fontId="19" fillId="7" borderId="0" applyAlignment="1" pivotButton="0" quotePrefix="0" xfId="0">
      <alignment horizontal="center" vertical="center"/>
    </xf>
    <xf numFmtId="0" fontId="20" fillId="0" borderId="0" pivotButton="0" quotePrefix="0" xfId="0"/>
    <xf numFmtId="169" fontId="20" fillId="0" borderId="0" applyAlignment="1" pivotButton="0" quotePrefix="0" xfId="0">
      <alignment horizontal="center" vertical="center"/>
    </xf>
    <xf numFmtId="0" fontId="21" fillId="0" borderId="0" pivotButton="0" quotePrefix="0" xfId="0"/>
    <xf numFmtId="3" fontId="20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7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11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기타노타츠진코퍼레이션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2월 결산 · 일본 기준 · 2027.2Q = 2027년 2월 결산기 2분기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2024.3Q</t>
        </is>
      </c>
      <c r="D3" s="5" t="inlineStr">
        <is>
          <t>2024.4Q</t>
        </is>
      </c>
      <c r="E3" s="5" t="inlineStr">
        <is>
          <t>2025.1Q</t>
        </is>
      </c>
      <c r="F3" s="5" t="inlineStr">
        <is>
          <t>2025.2Q</t>
        </is>
      </c>
      <c r="G3" s="5" t="inlineStr">
        <is>
          <t>2025.3Q</t>
        </is>
      </c>
      <c r="H3" s="5" t="inlineStr">
        <is>
          <t>2025.4Q</t>
        </is>
      </c>
      <c r="I3" s="5" t="inlineStr">
        <is>
          <t>2026.1Q</t>
        </is>
      </c>
      <c r="J3" s="5" t="inlineStr">
        <is>
          <t>2026.2Q</t>
        </is>
      </c>
      <c r="K3" s="5" t="inlineStr">
        <is>
          <t>2026.3Q</t>
        </is>
      </c>
      <c r="L3" s="5" t="inlineStr">
        <is>
          <t>2026.4Q</t>
        </is>
      </c>
      <c r="M3" s="5" t="inlineStr">
        <is>
          <t>2027.1Q</t>
        </is>
      </c>
      <c r="N3" s="5" t="inlineStr">
        <is>
          <t>2027.2Q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직접 입력</t>
        </is>
      </c>
      <c r="C4" s="11" t="n">
        <v>3466.47</v>
      </c>
      <c r="D4" s="12" t="n">
        <v>3366.015</v>
      </c>
      <c r="E4" s="12" t="n">
        <v>3269.762</v>
      </c>
      <c r="F4" s="12" t="n">
        <v>3212.801</v>
      </c>
      <c r="G4" s="12" t="n">
        <v>2753.309</v>
      </c>
      <c r="H4" s="12" t="n">
        <v>2590.529</v>
      </c>
      <c r="I4" s="12" t="n">
        <v>2596.292</v>
      </c>
      <c r="J4" s="12" t="n">
        <v>2649.556</v>
      </c>
      <c r="K4" s="12" t="n">
        <v>2768.454</v>
      </c>
      <c r="L4" s="12" t="n">
        <v>3195.957</v>
      </c>
      <c r="M4" s="12" t="n">
        <v>3209.825</v>
      </c>
      <c r="N4" s="12" t="n">
        <v>3876.706</v>
      </c>
      <c r="O4" s="11" t="n">
        <v>2696.859</v>
      </c>
      <c r="P4" s="12" t="n">
        <v>5292.463</v>
      </c>
      <c r="Q4" s="12" t="n">
        <v>8312.465</v>
      </c>
      <c r="R4" s="12" t="n">
        <v>10093.343</v>
      </c>
      <c r="S4" s="12" t="n">
        <v>9270.603999999999</v>
      </c>
      <c r="T4" s="12" t="n">
        <v>9510.793</v>
      </c>
      <c r="U4" s="12" t="n">
        <v>9831.486000000001</v>
      </c>
      <c r="V4" s="12" t="n">
        <v>14665.867</v>
      </c>
      <c r="W4" s="12" t="n">
        <v>11826.401</v>
      </c>
      <c r="X4" s="12" t="n">
        <v>11210.259</v>
      </c>
      <c r="Y4" s="13">
        <f>IF(COUNT(Y7)=0,"",SUM(Y7))</f>
        <v/>
      </c>
      <c r="Z4" s="14">
        <f>IF(COUNT(Z7)=0,"",SUM(Z7))</f>
        <v/>
      </c>
      <c r="AA4" s="14">
        <f>IF(COUNT(AA7)=0,"",SUM(AA7))</f>
        <v/>
      </c>
      <c r="AB4" s="14">
        <f>IF(COUNT(AB7)=0,"",SUM(AB7))</f>
        <v/>
      </c>
      <c r="AC4" s="14">
        <f>IF(COUNT(AC7)=0,"",SUM(AC7))</f>
        <v/>
      </c>
    </row>
    <row r="5">
      <c r="A5" s="15" t="inlineStr">
        <is>
          <t>YoY</t>
        </is>
      </c>
      <c r="B5" s="10" t="n"/>
      <c r="C5" s="16" t="n"/>
      <c r="D5" s="17" t="n"/>
      <c r="E5" s="17" t="n"/>
      <c r="F5" s="17" t="n"/>
      <c r="G5" s="17">
        <f>IF(OR(G4="",C4=""),"",IFERROR(G4/C4-1,""))</f>
        <v/>
      </c>
      <c r="H5" s="17">
        <f>IF(OR(H4="",D4=""),"",IFERROR(H4/D4-1,""))</f>
        <v/>
      </c>
      <c r="I5" s="17">
        <f>IF(OR(I4="",E4=""),"",IFERROR(I4/E4-1,""))</f>
        <v/>
      </c>
      <c r="J5" s="17">
        <f>IF(OR(J4="",F4=""),"",IFERROR(J4/F4-1,""))</f>
        <v/>
      </c>
      <c r="K5" s="17">
        <f>IF(OR(K4="",G4=""),"",IFERROR(K4/G4-1,""))</f>
        <v/>
      </c>
      <c r="L5" s="17">
        <f>IF(OR(L4="",H4=""),"",IFERROR(L4/H4-1,""))</f>
        <v/>
      </c>
      <c r="M5" s="17">
        <f>IF(OR(M4="",I4=""),"",IFERROR(M4/I4-1,""))</f>
        <v/>
      </c>
      <c r="N5" s="17">
        <f>IF(OR(N4="",J4=""),"",IFERROR(N4/J4-1,""))</f>
        <v/>
      </c>
      <c r="O5" s="16" t="n"/>
      <c r="P5" s="17">
        <f>IF(OR(P4="",O4=""),"",IFERROR(P4/O4-1,""))</f>
        <v/>
      </c>
      <c r="Q5" s="17">
        <f>IF(OR(Q4="",P4=""),"",IFERROR(Q4/P4-1,""))</f>
        <v/>
      </c>
      <c r="R5" s="17">
        <f>IF(OR(R4="",Q4=""),"",IFERROR(R4/Q4-1,""))</f>
        <v/>
      </c>
      <c r="S5" s="17">
        <f>IF(OR(S4="",R4=""),"",IFERROR(S4/R4-1,""))</f>
        <v/>
      </c>
      <c r="T5" s="17">
        <f>IF(OR(T4="",S4=""),"",IFERROR(T4/S4-1,""))</f>
        <v/>
      </c>
      <c r="U5" s="17">
        <f>IF(OR(U4="",T4=""),"",IFERROR(U4/T4-1,""))</f>
        <v/>
      </c>
      <c r="V5" s="17">
        <f>IF(OR(V4="",U4=""),"",IFERROR(V4/U4-1,""))</f>
        <v/>
      </c>
      <c r="W5" s="17">
        <f>IF(OR(W4="",V4=""),"",IFERROR(W4/V4-1,""))</f>
        <v/>
      </c>
      <c r="X5" s="17">
        <f>IF(OR(X4="",W4=""),"",IFERROR(X4/W4-1,""))</f>
        <v/>
      </c>
      <c r="Y5" s="16">
        <f>IF(OR(Y4="",X4=""),"",IFERROR(Y4/X4-1,""))</f>
        <v/>
      </c>
      <c r="Z5" s="17">
        <f>IF(OR(Z4="",Y4=""),"",IFERROR(Z4/Y4-1,""))</f>
        <v/>
      </c>
      <c r="AA5" s="17">
        <f>IF(OR(AA4="",Z4=""),"",IFERROR(AA4/Z4-1,""))</f>
        <v/>
      </c>
      <c r="AB5" s="17">
        <f>IF(OR(AB4="",AA4=""),"",IFERROR(AB4/AA4-1,""))</f>
        <v/>
      </c>
      <c r="AC5" s="17">
        <f>IF(OR(AC4="",AB4=""),"",IFERROR(AC4/AB4-1,""))</f>
        <v/>
      </c>
    </row>
    <row r="6">
      <c r="A6" s="18" t="inlineStr">
        <is>
          <t>제품별 매출 분류</t>
        </is>
      </c>
      <c r="B6" s="18" t="inlineStr">
        <is>
          <t>사업보고서 매출실적</t>
        </is>
      </c>
      <c r="C6" s="19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9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9" t="n"/>
      <c r="Z6" s="18" t="n"/>
      <c r="AA6" s="18" t="n"/>
      <c r="AB6" s="18" t="n"/>
      <c r="AC6" s="18" t="n"/>
    </row>
    <row r="7">
      <c r="A7" s="20" t="inlineStr">
        <is>
          <t>(제품별 매출 미공시 — 직접 입력)</t>
        </is>
      </c>
      <c r="B7" s="10" t="n"/>
      <c r="C7" s="21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1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3" t="n"/>
      <c r="Z7" s="24" t="n"/>
      <c r="AA7" s="24" t="n"/>
      <c r="AB7" s="24" t="n"/>
      <c r="AC7" s="24" t="n"/>
    </row>
    <row r="8">
      <c r="A8" s="15" t="inlineStr">
        <is>
          <t>비중</t>
        </is>
      </c>
      <c r="B8" s="10" t="n"/>
      <c r="C8" s="16">
        <f>IF(OR(C7="",C4=""),"",IFERROR(C7/C4,""))</f>
        <v/>
      </c>
      <c r="D8" s="17">
        <f>IF(OR(D7="",D4=""),"",IFERROR(D7/D4,""))</f>
        <v/>
      </c>
      <c r="E8" s="17">
        <f>IF(OR(E7="",E4=""),"",IFERROR(E7/E4,""))</f>
        <v/>
      </c>
      <c r="F8" s="17">
        <f>IF(OR(F7="",F4=""),"",IFERROR(F7/F4,""))</f>
        <v/>
      </c>
      <c r="G8" s="17">
        <f>IF(OR(G7="",G4=""),"",IFERROR(G7/G4,""))</f>
        <v/>
      </c>
      <c r="H8" s="17">
        <f>IF(OR(H7="",H4=""),"",IFERROR(H7/H4,""))</f>
        <v/>
      </c>
      <c r="I8" s="17">
        <f>IF(OR(I7="",I4=""),"",IFERROR(I7/I4,""))</f>
        <v/>
      </c>
      <c r="J8" s="17">
        <f>IF(OR(J7="",J4=""),"",IFERROR(J7/J4,""))</f>
        <v/>
      </c>
      <c r="K8" s="17">
        <f>IF(OR(K7="",K4=""),"",IFERROR(K7/K4,""))</f>
        <v/>
      </c>
      <c r="L8" s="17">
        <f>IF(OR(L7="",L4=""),"",IFERROR(L7/L4,""))</f>
        <v/>
      </c>
      <c r="M8" s="17">
        <f>IF(OR(M7="",M4=""),"",IFERROR(M7/M4,""))</f>
        <v/>
      </c>
      <c r="N8" s="17">
        <f>IF(OR(N7="",N4=""),"",IFERROR(N7/N4,""))</f>
        <v/>
      </c>
      <c r="O8" s="16">
        <f>IF(OR(O7="",O4=""),"",IFERROR(O7/O4,""))</f>
        <v/>
      </c>
      <c r="P8" s="17">
        <f>IF(OR(P7="",P4=""),"",IFERROR(P7/P4,""))</f>
        <v/>
      </c>
      <c r="Q8" s="17">
        <f>IF(OR(Q7="",Q4=""),"",IFERROR(Q7/Q4,""))</f>
        <v/>
      </c>
      <c r="R8" s="17">
        <f>IF(OR(R7="",R4=""),"",IFERROR(R7/R4,""))</f>
        <v/>
      </c>
      <c r="S8" s="17">
        <f>IF(OR(S7="",S4=""),"",IFERROR(S7/S4,""))</f>
        <v/>
      </c>
      <c r="T8" s="17">
        <f>IF(OR(T7="",T4=""),"",IFERROR(T7/T4,""))</f>
        <v/>
      </c>
      <c r="U8" s="17">
        <f>IF(OR(U7="",U4=""),"",IFERROR(U7/U4,""))</f>
        <v/>
      </c>
      <c r="V8" s="17">
        <f>IF(OR(V7="",V4=""),"",IFERROR(V7/V4,""))</f>
        <v/>
      </c>
      <c r="W8" s="17">
        <f>IF(OR(W7="",W4=""),"",IFERROR(W7/W4,""))</f>
        <v/>
      </c>
      <c r="X8" s="17">
        <f>IF(OR(X7="",X4=""),"",IFERROR(X7/X4,""))</f>
        <v/>
      </c>
      <c r="Y8" s="16">
        <f>IF(OR(Y7="",Y4=""),"",IFERROR(Y7/Y4,""))</f>
        <v/>
      </c>
      <c r="Z8" s="17">
        <f>IF(OR(Z7="",Z4=""),"",IFERROR(Z7/Z4,""))</f>
        <v/>
      </c>
      <c r="AA8" s="17">
        <f>IF(OR(AA7="",AA4=""),"",IFERROR(AA7/AA4,""))</f>
        <v/>
      </c>
      <c r="AB8" s="17">
        <f>IF(OR(AB7="",AB4=""),"",IFERROR(AB7/AB4,""))</f>
        <v/>
      </c>
      <c r="AC8" s="17">
        <f>IF(OR(AC7="",AC4=""),"",IFERROR(AC7/AC4,""))</f>
        <v/>
      </c>
    </row>
    <row r="9">
      <c r="A9" s="15" t="inlineStr">
        <is>
          <t>YoY</t>
        </is>
      </c>
      <c r="B9" s="10" t="n"/>
      <c r="C9" s="16" t="n"/>
      <c r="D9" s="17" t="n"/>
      <c r="E9" s="17" t="n"/>
      <c r="F9" s="17" t="n"/>
      <c r="G9" s="17">
        <f>IF(OR(G7="",C7=""),"",IFERROR(G7/C7-1,""))</f>
        <v/>
      </c>
      <c r="H9" s="17">
        <f>IF(OR(H7="",D7=""),"",IFERROR(H7/D7-1,""))</f>
        <v/>
      </c>
      <c r="I9" s="17">
        <f>IF(OR(I7="",E7=""),"",IFERROR(I7/E7-1,""))</f>
        <v/>
      </c>
      <c r="J9" s="17">
        <f>IF(OR(J7="",F7=""),"",IFERROR(J7/F7-1,""))</f>
        <v/>
      </c>
      <c r="K9" s="17">
        <f>IF(OR(K7="",G7=""),"",IFERROR(K7/G7-1,""))</f>
        <v/>
      </c>
      <c r="L9" s="17">
        <f>IF(OR(L7="",H7=""),"",IFERROR(L7/H7-1,""))</f>
        <v/>
      </c>
      <c r="M9" s="17">
        <f>IF(OR(M7="",I7=""),"",IFERROR(M7/I7-1,""))</f>
        <v/>
      </c>
      <c r="N9" s="17">
        <f>IF(OR(N7="",J7=""),"",IFERROR(N7/J7-1,""))</f>
        <v/>
      </c>
      <c r="O9" s="16" t="n"/>
      <c r="P9" s="17">
        <f>IF(OR(P7="",O7=""),"",IFERROR(P7/O7-1,""))</f>
        <v/>
      </c>
      <c r="Q9" s="17">
        <f>IF(OR(Q7="",P7=""),"",IFERROR(Q7/P7-1,""))</f>
        <v/>
      </c>
      <c r="R9" s="17">
        <f>IF(OR(R7="",Q7=""),"",IFERROR(R7/Q7-1,""))</f>
        <v/>
      </c>
      <c r="S9" s="17">
        <f>IF(OR(S7="",R7=""),"",IFERROR(S7/R7-1,""))</f>
        <v/>
      </c>
      <c r="T9" s="17">
        <f>IF(OR(T7="",S7=""),"",IFERROR(T7/S7-1,""))</f>
        <v/>
      </c>
      <c r="U9" s="17">
        <f>IF(OR(U7="",T7=""),"",IFERROR(U7/T7-1,""))</f>
        <v/>
      </c>
      <c r="V9" s="17">
        <f>IF(OR(V7="",U7=""),"",IFERROR(V7/U7-1,""))</f>
        <v/>
      </c>
      <c r="W9" s="17">
        <f>IF(OR(W7="",V7=""),"",IFERROR(W7/V7-1,""))</f>
        <v/>
      </c>
      <c r="X9" s="17">
        <f>IF(OR(X7="",W7=""),"",IFERROR(X7/W7-1,""))</f>
        <v/>
      </c>
      <c r="Y9" s="16">
        <f>IF(OR(Y7="",X7=""),"",IFERROR(Y7/X7-1,""))</f>
        <v/>
      </c>
      <c r="Z9" s="17">
        <f>IF(OR(Z7="",Y7=""),"",IFERROR(Z7/Y7-1,""))</f>
        <v/>
      </c>
      <c r="AA9" s="17">
        <f>IF(OR(AA7="",Z7=""),"",IFERROR(AA7/Z7-1,""))</f>
        <v/>
      </c>
      <c r="AB9" s="17">
        <f>IF(OR(AB7="",AA7=""),"",IFERROR(AB7/AA7-1,""))</f>
        <v/>
      </c>
      <c r="AC9" s="17">
        <f>IF(OR(AC7="",AB7=""),"",IFERROR(AC7/AB7-1,""))</f>
        <v/>
      </c>
    </row>
    <row r="10">
      <c r="A10" s="18" t="inlineStr">
        <is>
          <t>매출원가</t>
        </is>
      </c>
      <c r="B10" s="18" t="n"/>
      <c r="C10" s="19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9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9" t="n"/>
      <c r="Z10" s="18" t="n"/>
      <c r="AA10" s="18" t="n"/>
      <c r="AB10" s="18" t="n"/>
      <c r="AC10" s="18" t="n"/>
    </row>
    <row r="11">
      <c r="A11" s="20" t="inlineStr">
        <is>
          <t>전체 매출원가</t>
        </is>
      </c>
      <c r="B11" s="10" t="n"/>
      <c r="C11" s="21" t="n">
        <v>901.453</v>
      </c>
      <c r="D11" s="22" t="n">
        <v>867.3440000000001</v>
      </c>
      <c r="E11" s="22" t="n">
        <v>811.135</v>
      </c>
      <c r="F11" s="22" t="n">
        <v>745.8920000000001</v>
      </c>
      <c r="G11" s="22" t="n">
        <v>631.082</v>
      </c>
      <c r="H11" s="22" t="n">
        <v>671.792</v>
      </c>
      <c r="I11" s="22" t="n">
        <v>601.694</v>
      </c>
      <c r="J11" s="22" t="n">
        <v>619.768</v>
      </c>
      <c r="K11" s="22" t="n">
        <v>651.66</v>
      </c>
      <c r="L11" s="22" t="n">
        <v>853.0309999999999</v>
      </c>
      <c r="M11" s="22" t="n">
        <v>883.753</v>
      </c>
      <c r="N11" s="22" t="n">
        <v>1168.463</v>
      </c>
      <c r="O11" s="21" t="n"/>
      <c r="P11" s="22" t="n"/>
      <c r="Q11" s="22" t="n"/>
      <c r="R11" s="22" t="n"/>
      <c r="S11" s="22" t="n"/>
      <c r="T11" s="22" t="n">
        <v>2343.089</v>
      </c>
      <c r="U11" s="22" t="n">
        <v>2528.157</v>
      </c>
      <c r="V11" s="22" t="n">
        <v>3833.609</v>
      </c>
      <c r="W11" s="22" t="n">
        <v>2859.901</v>
      </c>
      <c r="X11" s="22" t="n">
        <v>2726.153</v>
      </c>
      <c r="Y11" s="21" t="n"/>
      <c r="Z11" s="22" t="n"/>
      <c r="AA11" s="22" t="n"/>
      <c r="AB11" s="22" t="n"/>
      <c r="AC11" s="22" t="n"/>
    </row>
    <row r="12">
      <c r="A12" s="15" t="inlineStr">
        <is>
          <t>YoY</t>
        </is>
      </c>
      <c r="B12" s="10" t="n"/>
      <c r="C12" s="16" t="n"/>
      <c r="D12" s="17" t="n"/>
      <c r="E12" s="17" t="n"/>
      <c r="F12" s="17" t="n"/>
      <c r="G12" s="17">
        <f>IF(OR(G11="",C11=""),"",IF(C11&lt;=0,"",IFERROR(G11/C11-1,"")))</f>
        <v/>
      </c>
      <c r="H12" s="17">
        <f>IF(OR(H11="",D11=""),"",IF(D11&lt;=0,"",IFERROR(H11/D11-1,"")))</f>
        <v/>
      </c>
      <c r="I12" s="17">
        <f>IF(OR(I11="",E11=""),"",IF(E11&lt;=0,"",IFERROR(I11/E11-1,"")))</f>
        <v/>
      </c>
      <c r="J12" s="17">
        <f>IF(OR(J11="",F11=""),"",IF(F11&lt;=0,"",IFERROR(J11/F11-1,"")))</f>
        <v/>
      </c>
      <c r="K12" s="17">
        <f>IF(OR(K11="",G11=""),"",IF(G11&lt;=0,"",IFERROR(K11/G11-1,"")))</f>
        <v/>
      </c>
      <c r="L12" s="17">
        <f>IF(OR(L11="",H11=""),"",IF(H11&lt;=0,"",IFERROR(L11/H11-1,"")))</f>
        <v/>
      </c>
      <c r="M12" s="17">
        <f>IF(OR(M11="",I11=""),"",IF(I11&lt;=0,"",IFERROR(M11/I11-1,"")))</f>
        <v/>
      </c>
      <c r="N12" s="17">
        <f>IF(OR(N11="",J11=""),"",IF(J11&lt;=0,"",IFERROR(N11/J11-1,"")))</f>
        <v/>
      </c>
      <c r="O12" s="16" t="n"/>
      <c r="P12" s="17">
        <f>IF(OR(P11="",O11=""),"",IF(O11&lt;=0,"",IFERROR(P11/O11-1,"")))</f>
        <v/>
      </c>
      <c r="Q12" s="17">
        <f>IF(OR(Q11="",P11=""),"",IF(P11&lt;=0,"",IFERROR(Q11/P11-1,"")))</f>
        <v/>
      </c>
      <c r="R12" s="17">
        <f>IF(OR(R11="",Q11=""),"",IF(Q11&lt;=0,"",IFERROR(R11/Q11-1,"")))</f>
        <v/>
      </c>
      <c r="S12" s="17">
        <f>IF(OR(S11="",R11=""),"",IF(R11&lt;=0,"",IFERROR(S11/R11-1,"")))</f>
        <v/>
      </c>
      <c r="T12" s="17">
        <f>IF(OR(T11="",S11=""),"",IF(S11&lt;=0,"",IFERROR(T11/S11-1,"")))</f>
        <v/>
      </c>
      <c r="U12" s="17">
        <f>IF(OR(U11="",T11=""),"",IF(T11&lt;=0,"",IFERROR(U11/T11-1,"")))</f>
        <v/>
      </c>
      <c r="V12" s="17">
        <f>IF(OR(V11="",U11=""),"",IF(U11&lt;=0,"",IFERROR(V11/U11-1,"")))</f>
        <v/>
      </c>
      <c r="W12" s="17">
        <f>IF(OR(W11="",V11=""),"",IF(V11&lt;=0,"",IFERROR(W11/V11-1,"")))</f>
        <v/>
      </c>
      <c r="X12" s="17">
        <f>IF(OR(X11="",W11=""),"",IF(W11&lt;=0,"",IFERROR(X11/W11-1,"")))</f>
        <v/>
      </c>
      <c r="Y12" s="16">
        <f>IF(OR(Y11="",X11=""),"",IF(X11&lt;=0,"",IFERROR(Y11/X11-1,"")))</f>
        <v/>
      </c>
      <c r="Z12" s="17">
        <f>IF(OR(Z11="",Y11=""),"",IF(Y11&lt;=0,"",IFERROR(Z11/Y11-1,"")))</f>
        <v/>
      </c>
      <c r="AA12" s="17">
        <f>IF(OR(AA11="",Z11=""),"",IF(Z11&lt;=0,"",IFERROR(AA11/Z11-1,"")))</f>
        <v/>
      </c>
      <c r="AB12" s="17">
        <f>IF(OR(AB11="",AA11=""),"",IF(AA11&lt;=0,"",IFERROR(AB11/AA11-1,"")))</f>
        <v/>
      </c>
      <c r="AC12" s="17">
        <f>IF(OR(AC11="",AB11=""),"",IF(AB11&lt;=0,"",IFERROR(AC11/AB11-1,"")))</f>
        <v/>
      </c>
    </row>
    <row r="13">
      <c r="A13" s="20" t="inlineStr">
        <is>
          <t>매출총이익</t>
        </is>
      </c>
      <c r="B13" s="10" t="n"/>
      <c r="C13" s="21">
        <f>IF(OR(C4="",C11=""),"",IFERROR(C4-C11,""))</f>
        <v/>
      </c>
      <c r="D13" s="22">
        <f>IF(OR(D4="",D11=""),"",IFERROR(D4-D11,""))</f>
        <v/>
      </c>
      <c r="E13" s="22">
        <f>IF(OR(E4="",E11=""),"",IFERROR(E4-E11,""))</f>
        <v/>
      </c>
      <c r="F13" s="22">
        <f>IF(OR(F4="",F11=""),"",IFERROR(F4-F11,""))</f>
        <v/>
      </c>
      <c r="G13" s="22">
        <f>IF(OR(G4="",G11=""),"",IFERROR(G4-G11,""))</f>
        <v/>
      </c>
      <c r="H13" s="22">
        <f>IF(OR(H4="",H11=""),"",IFERROR(H4-H11,""))</f>
        <v/>
      </c>
      <c r="I13" s="22">
        <f>IF(OR(I4="",I11=""),"",IFERROR(I4-I11,""))</f>
        <v/>
      </c>
      <c r="J13" s="22">
        <f>IF(OR(J4="",J11=""),"",IFERROR(J4-J11,""))</f>
        <v/>
      </c>
      <c r="K13" s="22">
        <f>IF(OR(K4="",K11=""),"",IFERROR(K4-K11,""))</f>
        <v/>
      </c>
      <c r="L13" s="22">
        <f>IF(OR(L4="",L11=""),"",IFERROR(L4-L11,""))</f>
        <v/>
      </c>
      <c r="M13" s="22">
        <f>IF(OR(M4="",M11=""),"",IFERROR(M4-M11,""))</f>
        <v/>
      </c>
      <c r="N13" s="22">
        <f>IF(OR(N4="",N11=""),"",IFERROR(N4-N11,""))</f>
        <v/>
      </c>
      <c r="O13" s="21">
        <f>IF(OR(O4="",O11=""),"",IFERROR(O4-O11,""))</f>
        <v/>
      </c>
      <c r="P13" s="22">
        <f>IF(OR(P4="",P11=""),"",IFERROR(P4-P11,""))</f>
        <v/>
      </c>
      <c r="Q13" s="22">
        <f>IF(OR(Q4="",Q11=""),"",IFERROR(Q4-Q11,""))</f>
        <v/>
      </c>
      <c r="R13" s="22">
        <f>IF(OR(R4="",R11=""),"",IFERROR(R4-R11,""))</f>
        <v/>
      </c>
      <c r="S13" s="22">
        <f>IF(OR(S4="",S11=""),"",IFERROR(S4-S11,""))</f>
        <v/>
      </c>
      <c r="T13" s="22">
        <f>IF(OR(T4="",T11=""),"",IFERROR(T4-T11,""))</f>
        <v/>
      </c>
      <c r="U13" s="22">
        <f>IF(OR(U4="",U11=""),"",IFERROR(U4-U11,""))</f>
        <v/>
      </c>
      <c r="V13" s="22">
        <f>IF(OR(V4="",V11=""),"",IFERROR(V4-V11,""))</f>
        <v/>
      </c>
      <c r="W13" s="22">
        <f>IF(OR(W4="",W11=""),"",IFERROR(W4-W11,""))</f>
        <v/>
      </c>
      <c r="X13" s="22">
        <f>IF(OR(X4="",X11=""),"",IFERROR(X4-X11,""))</f>
        <v/>
      </c>
      <c r="Y13" s="21" t="n"/>
      <c r="Z13" s="22" t="n"/>
      <c r="AA13" s="22" t="n"/>
      <c r="AB13" s="22" t="n"/>
      <c r="AC13" s="22" t="n"/>
    </row>
    <row r="14">
      <c r="A14" s="15" t="inlineStr">
        <is>
          <t>GPM</t>
        </is>
      </c>
      <c r="B14" s="10" t="n"/>
      <c r="C14" s="16">
        <f>IF(OR(C13="",C4=""),"",IFERROR(C13/C4,""))</f>
        <v/>
      </c>
      <c r="D14" s="17">
        <f>IF(OR(D13="",D4=""),"",IFERROR(D13/D4,""))</f>
        <v/>
      </c>
      <c r="E14" s="17">
        <f>IF(OR(E13="",E4=""),"",IFERROR(E13/E4,""))</f>
        <v/>
      </c>
      <c r="F14" s="17">
        <f>IF(OR(F13="",F4=""),"",IFERROR(F13/F4,""))</f>
        <v/>
      </c>
      <c r="G14" s="17">
        <f>IF(OR(G13="",G4=""),"",IFERROR(G13/G4,""))</f>
        <v/>
      </c>
      <c r="H14" s="17">
        <f>IF(OR(H13="",H4=""),"",IFERROR(H13/H4,""))</f>
        <v/>
      </c>
      <c r="I14" s="17">
        <f>IF(OR(I13="",I4=""),"",IFERROR(I13/I4,""))</f>
        <v/>
      </c>
      <c r="J14" s="17">
        <f>IF(OR(J13="",J4=""),"",IFERROR(J13/J4,""))</f>
        <v/>
      </c>
      <c r="K14" s="17">
        <f>IF(OR(K13="",K4=""),"",IFERROR(K13/K4,""))</f>
        <v/>
      </c>
      <c r="L14" s="17">
        <f>IF(OR(L13="",L4=""),"",IFERROR(L13/L4,""))</f>
        <v/>
      </c>
      <c r="M14" s="17">
        <f>IF(OR(M13="",M4=""),"",IFERROR(M13/M4,""))</f>
        <v/>
      </c>
      <c r="N14" s="17">
        <f>IF(OR(N13="",N4=""),"",IFERROR(N13/N4,""))</f>
        <v/>
      </c>
      <c r="O14" s="16">
        <f>IF(OR(O13="",O4=""),"",IFERROR(O13/O4,""))</f>
        <v/>
      </c>
      <c r="P14" s="17">
        <f>IF(OR(P13="",P4=""),"",IFERROR(P13/P4,""))</f>
        <v/>
      </c>
      <c r="Q14" s="17">
        <f>IF(OR(Q13="",Q4=""),"",IFERROR(Q13/Q4,""))</f>
        <v/>
      </c>
      <c r="R14" s="17">
        <f>IF(OR(R13="",R4=""),"",IFERROR(R13/R4,""))</f>
        <v/>
      </c>
      <c r="S14" s="17">
        <f>IF(OR(S13="",S4=""),"",IFERROR(S13/S4,""))</f>
        <v/>
      </c>
      <c r="T14" s="17">
        <f>IF(OR(T13="",T4=""),"",IFERROR(T13/T4,""))</f>
        <v/>
      </c>
      <c r="U14" s="17">
        <f>IF(OR(U13="",U4=""),"",IFERROR(U13/U4,""))</f>
        <v/>
      </c>
      <c r="V14" s="17">
        <f>IF(OR(V13="",V4=""),"",IFERROR(V13/V4,""))</f>
        <v/>
      </c>
      <c r="W14" s="17">
        <f>IF(OR(W13="",W4=""),"",IFERROR(W13/W4,""))</f>
        <v/>
      </c>
      <c r="X14" s="17">
        <f>IF(OR(X13="",X4=""),"",IFERROR(X13/X4,""))</f>
        <v/>
      </c>
      <c r="Y14" s="16">
        <f>IF(OR(Y13="",Y4=""),"",IFERROR(Y13/Y4,""))</f>
        <v/>
      </c>
      <c r="Z14" s="17">
        <f>IF(OR(Z13="",Z4=""),"",IFERROR(Z13/Z4,""))</f>
        <v/>
      </c>
      <c r="AA14" s="17">
        <f>IF(OR(AA13="",AA4=""),"",IFERROR(AA13/AA4,""))</f>
        <v/>
      </c>
      <c r="AB14" s="17">
        <f>IF(OR(AB13="",AB4=""),"",IFERROR(AB13/AB4,""))</f>
        <v/>
      </c>
      <c r="AC14" s="17">
        <f>IF(OR(AC13="",AC4=""),"",IFERROR(AC13/AC4,""))</f>
        <v/>
      </c>
    </row>
    <row r="15">
      <c r="A15" s="15" t="inlineStr">
        <is>
          <t>YoY</t>
        </is>
      </c>
      <c r="B15" s="10" t="n"/>
      <c r="C15" s="16" t="n"/>
      <c r="D15" s="17" t="n"/>
      <c r="E15" s="17" t="n"/>
      <c r="F15" s="17" t="n"/>
      <c r="G15" s="17">
        <f>IF(OR(G13="",C13=""),"",IF(C13&lt;=0,"",IFERROR(G13/C13-1,"")))</f>
        <v/>
      </c>
      <c r="H15" s="17">
        <f>IF(OR(H13="",D13=""),"",IF(D13&lt;=0,"",IFERROR(H13/D13-1,"")))</f>
        <v/>
      </c>
      <c r="I15" s="17">
        <f>IF(OR(I13="",E13=""),"",IF(E13&lt;=0,"",IFERROR(I13/E13-1,"")))</f>
        <v/>
      </c>
      <c r="J15" s="17">
        <f>IF(OR(J13="",F13=""),"",IF(F13&lt;=0,"",IFERROR(J13/F13-1,"")))</f>
        <v/>
      </c>
      <c r="K15" s="17">
        <f>IF(OR(K13="",G13=""),"",IF(G13&lt;=0,"",IFERROR(K13/G13-1,"")))</f>
        <v/>
      </c>
      <c r="L15" s="17">
        <f>IF(OR(L13="",H13=""),"",IF(H13&lt;=0,"",IFERROR(L13/H13-1,"")))</f>
        <v/>
      </c>
      <c r="M15" s="17">
        <f>IF(OR(M13="",I13=""),"",IF(I13&lt;=0,"",IFERROR(M13/I13-1,"")))</f>
        <v/>
      </c>
      <c r="N15" s="17">
        <f>IF(OR(N13="",J13=""),"",IF(J13&lt;=0,"",IFERROR(N13/J13-1,"")))</f>
        <v/>
      </c>
      <c r="O15" s="16" t="n"/>
      <c r="P15" s="17">
        <f>IF(OR(P13="",O13=""),"",IF(O13&lt;=0,"",IFERROR(P13/O13-1,"")))</f>
        <v/>
      </c>
      <c r="Q15" s="17">
        <f>IF(OR(Q13="",P13=""),"",IF(P13&lt;=0,"",IFERROR(Q13/P13-1,"")))</f>
        <v/>
      </c>
      <c r="R15" s="17">
        <f>IF(OR(R13="",Q13=""),"",IF(Q13&lt;=0,"",IFERROR(R13/Q13-1,"")))</f>
        <v/>
      </c>
      <c r="S15" s="17">
        <f>IF(OR(S13="",R13=""),"",IF(R13&lt;=0,"",IFERROR(S13/R13-1,"")))</f>
        <v/>
      </c>
      <c r="T15" s="17">
        <f>IF(OR(T13="",S13=""),"",IF(S13&lt;=0,"",IFERROR(T13/S13-1,"")))</f>
        <v/>
      </c>
      <c r="U15" s="17">
        <f>IF(OR(U13="",T13=""),"",IF(T13&lt;=0,"",IFERROR(U13/T13-1,"")))</f>
        <v/>
      </c>
      <c r="V15" s="17">
        <f>IF(OR(V13="",U13=""),"",IF(U13&lt;=0,"",IFERROR(V13/U13-1,"")))</f>
        <v/>
      </c>
      <c r="W15" s="17">
        <f>IF(OR(W13="",V13=""),"",IF(V13&lt;=0,"",IFERROR(W13/V13-1,"")))</f>
        <v/>
      </c>
      <c r="X15" s="17">
        <f>IF(OR(X13="",W13=""),"",IF(W13&lt;=0,"",IFERROR(X13/W13-1,"")))</f>
        <v/>
      </c>
      <c r="Y15" s="16">
        <f>IF(OR(Y13="",X13=""),"",IF(X13&lt;=0,"",IFERROR(Y13/X13-1,"")))</f>
        <v/>
      </c>
      <c r="Z15" s="17">
        <f>IF(OR(Z13="",Y13=""),"",IF(Y13&lt;=0,"",IFERROR(Z13/Y13-1,"")))</f>
        <v/>
      </c>
      <c r="AA15" s="17">
        <f>IF(OR(AA13="",Z13=""),"",IF(Z13&lt;=0,"",IFERROR(AA13/Z13-1,"")))</f>
        <v/>
      </c>
      <c r="AB15" s="17">
        <f>IF(OR(AB13="",AA13=""),"",IF(AA13&lt;=0,"",IFERROR(AB13/AA13-1,"")))</f>
        <v/>
      </c>
      <c r="AC15" s="17">
        <f>IF(OR(AC13="",AB13=""),"",IF(AB13&lt;=0,"",IFERROR(AC13/AB13-1,"")))</f>
        <v/>
      </c>
    </row>
    <row r="16">
      <c r="A16" s="25" t="inlineStr">
        <is>
          <t>판매관리비</t>
        </is>
      </c>
      <c r="B16" s="25" t="n"/>
      <c r="C16" s="26" t="n"/>
      <c r="D16" s="25" t="n"/>
      <c r="E16" s="25" t="n"/>
      <c r="F16" s="25" t="n"/>
      <c r="G16" s="25" t="n"/>
      <c r="H16" s="25" t="n"/>
      <c r="I16" s="25" t="n"/>
      <c r="J16" s="25" t="n"/>
      <c r="K16" s="25" t="n"/>
      <c r="L16" s="25" t="n"/>
      <c r="M16" s="25" t="n"/>
      <c r="N16" s="25" t="n"/>
      <c r="O16" s="26" t="n"/>
      <c r="P16" s="25" t="n"/>
      <c r="Q16" s="25" t="n"/>
      <c r="R16" s="25" t="n"/>
      <c r="S16" s="25" t="n"/>
      <c r="T16" s="25" t="n"/>
      <c r="U16" s="25" t="n"/>
      <c r="V16" s="25" t="n"/>
      <c r="W16" s="25" t="n"/>
      <c r="X16" s="25" t="n"/>
      <c r="Y16" s="26" t="n"/>
      <c r="Z16" s="25" t="n"/>
      <c r="AA16" s="25" t="n"/>
      <c r="AB16" s="25" t="n"/>
      <c r="AC16" s="25" t="n"/>
    </row>
    <row r="17">
      <c r="A17" s="20" t="inlineStr">
        <is>
          <t>전체 판관비</t>
        </is>
      </c>
      <c r="B17" s="10" t="n"/>
      <c r="C17" s="21" t="n">
        <v>1932.037</v>
      </c>
      <c r="D17" s="22" t="n">
        <v>2125.481</v>
      </c>
      <c r="E17" s="22" t="n">
        <v>2069.238</v>
      </c>
      <c r="F17" s="22" t="n">
        <v>1954.286</v>
      </c>
      <c r="G17" s="22" t="n">
        <v>1550.895</v>
      </c>
      <c r="H17" s="22" t="n">
        <v>1716.745</v>
      </c>
      <c r="I17" s="22" t="n">
        <v>1754.168</v>
      </c>
      <c r="J17" s="22" t="n">
        <v>1764.983</v>
      </c>
      <c r="K17" s="22" t="n">
        <v>1864.054</v>
      </c>
      <c r="L17" s="22" t="n">
        <v>2099.906</v>
      </c>
      <c r="M17" s="22" t="n">
        <v>2428.592</v>
      </c>
      <c r="N17" s="22" t="n">
        <v>2255.718</v>
      </c>
      <c r="O17" s="21" t="n">
        <v>1533.933</v>
      </c>
      <c r="P17" s="22" t="n">
        <v>2823.197</v>
      </c>
      <c r="Q17" s="22" t="n">
        <v>4590.238</v>
      </c>
      <c r="R17" s="22" t="n">
        <v>4730.173</v>
      </c>
      <c r="S17" s="22" t="n">
        <v>4992.061</v>
      </c>
      <c r="T17" s="22" t="n">
        <v>5086.256</v>
      </c>
      <c r="U17" s="22" t="n">
        <v>6793.18</v>
      </c>
      <c r="V17" s="22" t="n">
        <v>9383.111000000001</v>
      </c>
      <c r="W17" s="22" t="n">
        <v>7291.164</v>
      </c>
      <c r="X17" s="22" t="n">
        <v>7483.111</v>
      </c>
      <c r="Y17" s="21" t="n"/>
      <c r="Z17" s="22" t="n"/>
      <c r="AA17" s="22" t="n"/>
      <c r="AB17" s="22" t="n"/>
      <c r="AC17" s="22" t="n"/>
    </row>
    <row r="18">
      <c r="A18" s="15" t="inlineStr">
        <is>
          <t>YoY</t>
        </is>
      </c>
      <c r="B18" s="10" t="n"/>
      <c r="C18" s="16" t="n"/>
      <c r="D18" s="17" t="n"/>
      <c r="E18" s="17" t="n"/>
      <c r="F18" s="17" t="n"/>
      <c r="G18" s="17">
        <f>IF(OR(G17="",C17=""),"",IF(C17&lt;=0,"",IFERROR(G17/C17-1,"")))</f>
        <v/>
      </c>
      <c r="H18" s="17">
        <f>IF(OR(H17="",D17=""),"",IF(D17&lt;=0,"",IFERROR(H17/D17-1,"")))</f>
        <v/>
      </c>
      <c r="I18" s="17">
        <f>IF(OR(I17="",E17=""),"",IF(E17&lt;=0,"",IFERROR(I17/E17-1,"")))</f>
        <v/>
      </c>
      <c r="J18" s="17">
        <f>IF(OR(J17="",F17=""),"",IF(F17&lt;=0,"",IFERROR(J17/F17-1,"")))</f>
        <v/>
      </c>
      <c r="K18" s="17">
        <f>IF(OR(K17="",G17=""),"",IF(G17&lt;=0,"",IFERROR(K17/G17-1,"")))</f>
        <v/>
      </c>
      <c r="L18" s="17">
        <f>IF(OR(L17="",H17=""),"",IF(H17&lt;=0,"",IFERROR(L17/H17-1,"")))</f>
        <v/>
      </c>
      <c r="M18" s="17">
        <f>IF(OR(M17="",I17=""),"",IF(I17&lt;=0,"",IFERROR(M17/I17-1,"")))</f>
        <v/>
      </c>
      <c r="N18" s="17">
        <f>IF(OR(N17="",J17=""),"",IF(J17&lt;=0,"",IFERROR(N17/J17-1,"")))</f>
        <v/>
      </c>
      <c r="O18" s="16" t="n"/>
      <c r="P18" s="17">
        <f>IF(OR(P17="",O17=""),"",IF(O17&lt;=0,"",IFERROR(P17/O17-1,"")))</f>
        <v/>
      </c>
      <c r="Q18" s="17">
        <f>IF(OR(Q17="",P17=""),"",IF(P17&lt;=0,"",IFERROR(Q17/P17-1,"")))</f>
        <v/>
      </c>
      <c r="R18" s="17">
        <f>IF(OR(R17="",Q17=""),"",IF(Q17&lt;=0,"",IFERROR(R17/Q17-1,"")))</f>
        <v/>
      </c>
      <c r="S18" s="17">
        <f>IF(OR(S17="",R17=""),"",IF(R17&lt;=0,"",IFERROR(S17/R17-1,"")))</f>
        <v/>
      </c>
      <c r="T18" s="17">
        <f>IF(OR(T17="",S17=""),"",IF(S17&lt;=0,"",IFERROR(T17/S17-1,"")))</f>
        <v/>
      </c>
      <c r="U18" s="17">
        <f>IF(OR(U17="",T17=""),"",IF(T17&lt;=0,"",IFERROR(U17/T17-1,"")))</f>
        <v/>
      </c>
      <c r="V18" s="17">
        <f>IF(OR(V17="",U17=""),"",IF(U17&lt;=0,"",IFERROR(V17/U17-1,"")))</f>
        <v/>
      </c>
      <c r="W18" s="17">
        <f>IF(OR(W17="",V17=""),"",IF(V17&lt;=0,"",IFERROR(W17/V17-1,"")))</f>
        <v/>
      </c>
      <c r="X18" s="17">
        <f>IF(OR(X17="",W17=""),"",IF(W17&lt;=0,"",IFERROR(X17/W17-1,"")))</f>
        <v/>
      </c>
      <c r="Y18" s="16">
        <f>IF(OR(Y17="",X17=""),"",IF(X17&lt;=0,"",IFERROR(Y17/X17-1,"")))</f>
        <v/>
      </c>
      <c r="Z18" s="17">
        <f>IF(OR(Z17="",Y17=""),"",IF(Y17&lt;=0,"",IFERROR(Z17/Y17-1,"")))</f>
        <v/>
      </c>
      <c r="AA18" s="17">
        <f>IF(OR(AA17="",Z17=""),"",IF(Z17&lt;=0,"",IFERROR(AA17/Z17-1,"")))</f>
        <v/>
      </c>
      <c r="AB18" s="17">
        <f>IF(OR(AB17="",AA17=""),"",IF(AA17&lt;=0,"",IFERROR(AB17/AA17-1,"")))</f>
        <v/>
      </c>
      <c r="AC18" s="17">
        <f>IF(OR(AC17="",AB17=""),"",IF(AB17&lt;=0,"",IFERROR(AC17/AB17-1,"")))</f>
        <v/>
      </c>
    </row>
    <row r="19">
      <c r="A19" s="9" t="inlineStr">
        <is>
          <t>영업이익</t>
        </is>
      </c>
      <c r="B19" s="10" t="inlineStr">
        <is>
          <t>MW = 매출 × OPM</t>
        </is>
      </c>
      <c r="C19" s="11" t="n">
        <v>632.98</v>
      </c>
      <c r="D19" s="12" t="n">
        <v>373.189</v>
      </c>
      <c r="E19" s="12" t="n">
        <v>389.388</v>
      </c>
      <c r="F19" s="12" t="n">
        <v>512.623</v>
      </c>
      <c r="G19" s="12" t="n">
        <v>571.332</v>
      </c>
      <c r="H19" s="12" t="n">
        <v>201.992</v>
      </c>
      <c r="I19" s="12" t="n">
        <v>240.429</v>
      </c>
      <c r="J19" s="12" t="n">
        <v>264.805</v>
      </c>
      <c r="K19" s="12" t="n">
        <v>252.74</v>
      </c>
      <c r="L19" s="12" t="n">
        <v>243.021</v>
      </c>
      <c r="M19" s="12" t="n">
        <v>-102.521</v>
      </c>
      <c r="N19" s="12" t="n">
        <v>452.526</v>
      </c>
      <c r="O19" s="11" t="n">
        <v>542.054</v>
      </c>
      <c r="P19" s="12" t="n">
        <v>1403.881</v>
      </c>
      <c r="Q19" s="12" t="n">
        <v>1861.76</v>
      </c>
      <c r="R19" s="12" t="n">
        <v>2915.329</v>
      </c>
      <c r="S19" s="12" t="n">
        <v>2031.091</v>
      </c>
      <c r="T19" s="12" t="n">
        <v>2082.238</v>
      </c>
      <c r="U19" s="12" t="n">
        <v>510.148</v>
      </c>
      <c r="V19" s="12" t="n">
        <v>1449.145</v>
      </c>
      <c r="W19" s="12" t="n">
        <v>1675.335</v>
      </c>
      <c r="X19" s="12" t="n">
        <v>1000.995</v>
      </c>
      <c r="Y19" s="11">
        <f>IF(OR(Y4="",Y20=""),"",IFERROR(Y4*Y20,""))</f>
        <v/>
      </c>
      <c r="Z19" s="12">
        <f>IF(OR(Z4="",Z20=""),"",IFERROR(Z4*Z20,""))</f>
        <v/>
      </c>
      <c r="AA19" s="12">
        <f>IF(OR(AA4="",AA20=""),"",IFERROR(AA4*AA20,""))</f>
        <v/>
      </c>
      <c r="AB19" s="12">
        <f>IF(OR(AB4="",AB20=""),"",IFERROR(AB4*AB20,""))</f>
        <v/>
      </c>
      <c r="AC19" s="12">
        <f>IF(OR(AC4="",AC20=""),"",IFERROR(AC4*AC20,""))</f>
        <v/>
      </c>
    </row>
    <row r="20">
      <c r="A20" s="15" t="inlineStr">
        <is>
          <t>OPM</t>
        </is>
      </c>
      <c r="B20" s="10" t="inlineStr">
        <is>
          <t>MW 입력</t>
        </is>
      </c>
      <c r="C20" s="16">
        <f>IF(OR(C19="",C4=""),"",IFERROR(C19/C4,""))</f>
        <v/>
      </c>
      <c r="D20" s="17">
        <f>IF(OR(D19="",D4=""),"",IFERROR(D19/D4,""))</f>
        <v/>
      </c>
      <c r="E20" s="17">
        <f>IF(OR(E19="",E4=""),"",IFERROR(E19/E4,""))</f>
        <v/>
      </c>
      <c r="F20" s="17">
        <f>IF(OR(F19="",F4=""),"",IFERROR(F19/F4,""))</f>
        <v/>
      </c>
      <c r="G20" s="17">
        <f>IF(OR(G19="",G4=""),"",IFERROR(G19/G4,""))</f>
        <v/>
      </c>
      <c r="H20" s="17">
        <f>IF(OR(H19="",H4=""),"",IFERROR(H19/H4,""))</f>
        <v/>
      </c>
      <c r="I20" s="17">
        <f>IF(OR(I19="",I4=""),"",IFERROR(I19/I4,""))</f>
        <v/>
      </c>
      <c r="J20" s="17">
        <f>IF(OR(J19="",J4=""),"",IFERROR(J19/J4,""))</f>
        <v/>
      </c>
      <c r="K20" s="17">
        <f>IF(OR(K19="",K4=""),"",IFERROR(K19/K4,""))</f>
        <v/>
      </c>
      <c r="L20" s="17">
        <f>IF(OR(L19="",L4=""),"",IFERROR(L19/L4,""))</f>
        <v/>
      </c>
      <c r="M20" s="17">
        <f>IF(OR(M19="",M4=""),"",IFERROR(M19/M4,""))</f>
        <v/>
      </c>
      <c r="N20" s="17">
        <f>IF(OR(N19="",N4=""),"",IFERROR(N19/N4,""))</f>
        <v/>
      </c>
      <c r="O20" s="16">
        <f>IF(OR(O19="",O4=""),"",IFERROR(O19/O4,""))</f>
        <v/>
      </c>
      <c r="P20" s="17">
        <f>IF(OR(P19="",P4=""),"",IFERROR(P19/P4,""))</f>
        <v/>
      </c>
      <c r="Q20" s="17">
        <f>IF(OR(Q19="",Q4=""),"",IFERROR(Q19/Q4,""))</f>
        <v/>
      </c>
      <c r="R20" s="17">
        <f>IF(OR(R19="",R4=""),"",IFERROR(R19/R4,""))</f>
        <v/>
      </c>
      <c r="S20" s="17">
        <f>IF(OR(S19="",S4=""),"",IFERROR(S19/S4,""))</f>
        <v/>
      </c>
      <c r="T20" s="17">
        <f>IF(OR(T19="",T4=""),"",IFERROR(T19/T4,""))</f>
        <v/>
      </c>
      <c r="U20" s="17">
        <f>IF(OR(U19="",U4=""),"",IFERROR(U19/U4,""))</f>
        <v/>
      </c>
      <c r="V20" s="17">
        <f>IF(OR(V19="",V4=""),"",IFERROR(V19/V4,""))</f>
        <v/>
      </c>
      <c r="W20" s="17">
        <f>IF(OR(W19="",W4=""),"",IFERROR(W19/W4,""))</f>
        <v/>
      </c>
      <c r="X20" s="17">
        <f>IF(OR(X19="",X4=""),"",IFERROR(X19/X4,""))</f>
        <v/>
      </c>
      <c r="Y20" s="27" t="n"/>
      <c r="Z20" s="28" t="n"/>
      <c r="AA20" s="28" t="n"/>
      <c r="AB20" s="28" t="n"/>
      <c r="AC20" s="28" t="n"/>
    </row>
    <row r="21">
      <c r="A21" s="15" t="inlineStr">
        <is>
          <t>증가율</t>
        </is>
      </c>
      <c r="B21" s="10" t="n"/>
      <c r="C21" s="16" t="n"/>
      <c r="D21" s="17" t="n"/>
      <c r="E21" s="17" t="n"/>
      <c r="F21" s="17" t="n"/>
      <c r="G21" s="17">
        <f>IF(OR(G19="",C19=""),"",IFERROR(G19/C19-1,""))</f>
        <v/>
      </c>
      <c r="H21" s="17">
        <f>IF(OR(H19="",D19=""),"",IFERROR(H19/D19-1,""))</f>
        <v/>
      </c>
      <c r="I21" s="17">
        <f>IF(OR(I19="",E19=""),"",IFERROR(I19/E19-1,""))</f>
        <v/>
      </c>
      <c r="J21" s="17">
        <f>IF(OR(J19="",F19=""),"",IFERROR(J19/F19-1,""))</f>
        <v/>
      </c>
      <c r="K21" s="17">
        <f>IF(OR(K19="",G19=""),"",IFERROR(K19/G19-1,""))</f>
        <v/>
      </c>
      <c r="L21" s="17">
        <f>IF(OR(L19="",H19=""),"",IFERROR(L19/H19-1,""))</f>
        <v/>
      </c>
      <c r="M21" s="17">
        <f>IF(OR(M19="",I19=""),"",IFERROR(M19/I19-1,""))</f>
        <v/>
      </c>
      <c r="N21" s="17">
        <f>IF(OR(N19="",J19=""),"",IFERROR(N19/J19-1,""))</f>
        <v/>
      </c>
      <c r="O21" s="16" t="n"/>
      <c r="P21" s="17">
        <f>IF(OR(P19="",O19=""),"",IFERROR(P19/O19-1,""))</f>
        <v/>
      </c>
      <c r="Q21" s="17">
        <f>IF(OR(Q19="",P19=""),"",IFERROR(Q19/P19-1,""))</f>
        <v/>
      </c>
      <c r="R21" s="17">
        <f>IF(OR(R19="",Q19=""),"",IFERROR(R19/Q19-1,""))</f>
        <v/>
      </c>
      <c r="S21" s="17">
        <f>IF(OR(S19="",R19=""),"",IFERROR(S19/R19-1,""))</f>
        <v/>
      </c>
      <c r="T21" s="17">
        <f>IF(OR(T19="",S19=""),"",IFERROR(T19/S19-1,""))</f>
        <v/>
      </c>
      <c r="U21" s="17">
        <f>IF(OR(U19="",T19=""),"",IFERROR(U19/T19-1,""))</f>
        <v/>
      </c>
      <c r="V21" s="17">
        <f>IF(OR(V19="",U19=""),"",IFERROR(V19/U19-1,""))</f>
        <v/>
      </c>
      <c r="W21" s="17">
        <f>IF(OR(W19="",V19=""),"",IFERROR(W19/V19-1,""))</f>
        <v/>
      </c>
      <c r="X21" s="17">
        <f>IF(OR(X19="",W19=""),"",IFERROR(X19/W19-1,""))</f>
        <v/>
      </c>
      <c r="Y21" s="16">
        <f>IF(OR(Y19="",X19=""),"",IFERROR(Y19/X19-1,""))</f>
        <v/>
      </c>
      <c r="Z21" s="17">
        <f>IF(OR(Z19="",Y19=""),"",IFERROR(Z19/Y19-1,""))</f>
        <v/>
      </c>
      <c r="AA21" s="17">
        <f>IF(OR(AA19="",Z19=""),"",IFERROR(AA19/Z19-1,""))</f>
        <v/>
      </c>
      <c r="AB21" s="17">
        <f>IF(OR(AB19="",AA19=""),"",IFERROR(AB19/AA19-1,""))</f>
        <v/>
      </c>
      <c r="AC21" s="17">
        <f>IF(OR(AC19="",AB19=""),"",IFERROR(AC19/AB19-1,""))</f>
        <v/>
      </c>
    </row>
    <row r="22">
      <c r="A22" s="18" t="inlineStr">
        <is>
          <t>비용의 성격별 분류</t>
        </is>
      </c>
      <c r="B22" s="18" t="inlineStr">
        <is>
          <t>참고 데이터</t>
        </is>
      </c>
      <c r="C22" s="19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9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9" t="n"/>
      <c r="Z22" s="18" t="n"/>
      <c r="AA22" s="18" t="n"/>
      <c r="AB22" s="18" t="n"/>
      <c r="AC22" s="18" t="n"/>
    </row>
    <row r="23">
      <c r="A23" s="9" t="inlineStr">
        <is>
          <t>총 판관비</t>
        </is>
      </c>
      <c r="B23" s="10" t="n"/>
      <c r="C23" s="11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1">
        <f>IF(O17="","",O17)</f>
        <v/>
      </c>
      <c r="P23" s="12">
        <f>IF(P17="","",P17)</f>
        <v/>
      </c>
      <c r="Q23" s="12">
        <f>IF(Q17="","",Q17)</f>
        <v/>
      </c>
      <c r="R23" s="12">
        <f>IF(R17="","",R17)</f>
        <v/>
      </c>
      <c r="S23" s="12">
        <f>IF(S17="","",S17)</f>
        <v/>
      </c>
      <c r="T23" s="12">
        <f>IF(T17="","",T17)</f>
        <v/>
      </c>
      <c r="U23" s="12">
        <f>IF(U17="","",U17)</f>
        <v/>
      </c>
      <c r="V23" s="12">
        <f>IF(V17="","",V17)</f>
        <v/>
      </c>
      <c r="W23" s="12">
        <f>IF(W17="","",W17)</f>
        <v/>
      </c>
      <c r="X23" s="12">
        <f>IF(X17="","",X17)</f>
        <v/>
      </c>
      <c r="Y23" s="11" t="n"/>
      <c r="Z23" s="12" t="n"/>
      <c r="AA23" s="12" t="n"/>
      <c r="AB23" s="12" t="n"/>
      <c r="AC23" s="12" t="n"/>
    </row>
    <row r="24">
      <c r="A24" s="20" t="inlineStr">
        <is>
          <t>급여</t>
        </is>
      </c>
      <c r="B24" s="10" t="inlineStr">
        <is>
          <t>고정비</t>
        </is>
      </c>
      <c r="C24" s="21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1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1" t="n"/>
      <c r="Z24" s="22" t="n"/>
      <c r="AA24" s="22" t="n"/>
      <c r="AB24" s="22" t="n"/>
      <c r="AC24" s="22" t="n"/>
    </row>
    <row r="25">
      <c r="A25" s="15" t="inlineStr">
        <is>
          <t>% of Sales</t>
        </is>
      </c>
      <c r="B25" s="10" t="n"/>
      <c r="C25" s="16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6">
        <f>IF(OR(O24="",O4=""),"",IFERROR(O24/O4,""))</f>
        <v/>
      </c>
      <c r="P25" s="17">
        <f>IF(OR(P24="",P4=""),"",IFERROR(P24/P4,""))</f>
        <v/>
      </c>
      <c r="Q25" s="17">
        <f>IF(OR(Q24="",Q4=""),"",IFERROR(Q24/Q4,""))</f>
        <v/>
      </c>
      <c r="R25" s="17">
        <f>IF(OR(R24="",R4=""),"",IFERROR(R24/R4,""))</f>
        <v/>
      </c>
      <c r="S25" s="17">
        <f>IF(OR(S24="",S4=""),"",IFERROR(S24/S4,""))</f>
        <v/>
      </c>
      <c r="T25" s="17">
        <f>IF(OR(T24="",T4=""),"",IFERROR(T24/T4,""))</f>
        <v/>
      </c>
      <c r="U25" s="17">
        <f>IF(OR(U24="",U4=""),"",IFERROR(U24/U4,""))</f>
        <v/>
      </c>
      <c r="V25" s="17">
        <f>IF(OR(V24="",V4=""),"",IFERROR(V24/V4,""))</f>
        <v/>
      </c>
      <c r="W25" s="17">
        <f>IF(OR(W24="",W4=""),"",IFERROR(W24/W4,""))</f>
        <v/>
      </c>
      <c r="X25" s="17">
        <f>IF(OR(X24="",X4=""),"",IFERROR(X24/X4,""))</f>
        <v/>
      </c>
      <c r="Y25" s="16" t="n"/>
      <c r="Z25" s="17" t="n"/>
      <c r="AA25" s="17" t="n"/>
      <c r="AB25" s="17" t="n"/>
      <c r="AC25" s="17" t="n"/>
    </row>
    <row r="26">
      <c r="A26" s="20" t="inlineStr">
        <is>
          <t>감가상각비</t>
        </is>
      </c>
      <c r="B26" s="10" t="inlineStr">
        <is>
          <t>고정비</t>
        </is>
      </c>
      <c r="C26" s="21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1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1" t="n"/>
      <c r="Z26" s="22" t="n"/>
      <c r="AA26" s="22" t="n"/>
      <c r="AB26" s="22" t="n"/>
      <c r="AC26" s="22" t="n"/>
    </row>
    <row r="27">
      <c r="A27" s="15" t="inlineStr">
        <is>
          <t>% of Sales</t>
        </is>
      </c>
      <c r="B27" s="10" t="n"/>
      <c r="C27" s="16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6">
        <f>IF(OR(O26="",O4=""),"",IFERROR(O26/O4,""))</f>
        <v/>
      </c>
      <c r="P27" s="17">
        <f>IF(OR(P26="",P4=""),"",IFERROR(P26/P4,""))</f>
        <v/>
      </c>
      <c r="Q27" s="17">
        <f>IF(OR(Q26="",Q4=""),"",IFERROR(Q26/Q4,""))</f>
        <v/>
      </c>
      <c r="R27" s="17">
        <f>IF(OR(R26="",R4=""),"",IFERROR(R26/R4,""))</f>
        <v/>
      </c>
      <c r="S27" s="17">
        <f>IF(OR(S26="",S4=""),"",IFERROR(S26/S4,""))</f>
        <v/>
      </c>
      <c r="T27" s="17">
        <f>IF(OR(T26="",T4=""),"",IFERROR(T26/T4,""))</f>
        <v/>
      </c>
      <c r="U27" s="17">
        <f>IF(OR(U26="",U4=""),"",IFERROR(U26/U4,""))</f>
        <v/>
      </c>
      <c r="V27" s="17">
        <f>IF(OR(V26="",V4=""),"",IFERROR(V26/V4,""))</f>
        <v/>
      </c>
      <c r="W27" s="17">
        <f>IF(OR(W26="",W4=""),"",IFERROR(W26/W4,""))</f>
        <v/>
      </c>
      <c r="X27" s="17">
        <f>IF(OR(X26="",X4=""),"",IFERROR(X26/X4,""))</f>
        <v/>
      </c>
      <c r="Y27" s="16" t="n"/>
      <c r="Z27" s="17" t="n"/>
      <c r="AA27" s="17" t="n"/>
      <c r="AB27" s="17" t="n"/>
      <c r="AC27" s="17" t="n"/>
    </row>
    <row r="28">
      <c r="A28" s="20" t="inlineStr">
        <is>
          <t>지급수수료</t>
        </is>
      </c>
      <c r="B28" s="10" t="inlineStr">
        <is>
          <t>고정비</t>
        </is>
      </c>
      <c r="C28" s="21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1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1" t="n"/>
      <c r="Z28" s="22" t="n"/>
      <c r="AA28" s="22" t="n"/>
      <c r="AB28" s="22" t="n"/>
      <c r="AC28" s="22" t="n"/>
    </row>
    <row r="29">
      <c r="A29" s="15" t="inlineStr">
        <is>
          <t>% of Sales</t>
        </is>
      </c>
      <c r="B29" s="10" t="n"/>
      <c r="C29" s="16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6">
        <f>IF(OR(O28="",O4=""),"",IFERROR(O28/O4,""))</f>
        <v/>
      </c>
      <c r="P29" s="17">
        <f>IF(OR(P28="",P4=""),"",IFERROR(P28/P4,""))</f>
        <v/>
      </c>
      <c r="Q29" s="17">
        <f>IF(OR(Q28="",Q4=""),"",IFERROR(Q28/Q4,""))</f>
        <v/>
      </c>
      <c r="R29" s="17">
        <f>IF(OR(R28="",R4=""),"",IFERROR(R28/R4,""))</f>
        <v/>
      </c>
      <c r="S29" s="17">
        <f>IF(OR(S28="",S4=""),"",IFERROR(S28/S4,""))</f>
        <v/>
      </c>
      <c r="T29" s="17">
        <f>IF(OR(T28="",T4=""),"",IFERROR(T28/T4,""))</f>
        <v/>
      </c>
      <c r="U29" s="17">
        <f>IF(OR(U28="",U4=""),"",IFERROR(U28/U4,""))</f>
        <v/>
      </c>
      <c r="V29" s="17">
        <f>IF(OR(V28="",V4=""),"",IFERROR(V28/V4,""))</f>
        <v/>
      </c>
      <c r="W29" s="17">
        <f>IF(OR(W28="",W4=""),"",IFERROR(W28/W4,""))</f>
        <v/>
      </c>
      <c r="X29" s="17">
        <f>IF(OR(X28="",X4=""),"",IFERROR(X28/X4,""))</f>
        <v/>
      </c>
      <c r="Y29" s="16" t="n"/>
      <c r="Z29" s="17" t="n"/>
      <c r="AA29" s="17" t="n"/>
      <c r="AB29" s="17" t="n"/>
      <c r="AC29" s="17" t="n"/>
    </row>
    <row r="30">
      <c r="A30" s="20" t="inlineStr">
        <is>
          <t>연구개발비</t>
        </is>
      </c>
      <c r="B30" s="10" t="inlineStr">
        <is>
          <t>변동비</t>
        </is>
      </c>
      <c r="C30" s="21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1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1" t="n"/>
      <c r="Z30" s="22" t="n"/>
      <c r="AA30" s="22" t="n"/>
      <c r="AB30" s="22" t="n"/>
      <c r="AC30" s="22" t="n"/>
    </row>
    <row r="31">
      <c r="A31" s="15" t="inlineStr">
        <is>
          <t>% of Sales</t>
        </is>
      </c>
      <c r="B31" s="10" t="n"/>
      <c r="C31" s="16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6">
        <f>IF(OR(O30="",O4=""),"",IFERROR(O30/O4,""))</f>
        <v/>
      </c>
      <c r="P31" s="17">
        <f>IF(OR(P30="",P4=""),"",IFERROR(P30/P4,""))</f>
        <v/>
      </c>
      <c r="Q31" s="17">
        <f>IF(OR(Q30="",Q4=""),"",IFERROR(Q30/Q4,""))</f>
        <v/>
      </c>
      <c r="R31" s="17">
        <f>IF(OR(R30="",R4=""),"",IFERROR(R30/R4,""))</f>
        <v/>
      </c>
      <c r="S31" s="17">
        <f>IF(OR(S30="",S4=""),"",IFERROR(S30/S4,""))</f>
        <v/>
      </c>
      <c r="T31" s="17">
        <f>IF(OR(T30="",T4=""),"",IFERROR(T30/T4,""))</f>
        <v/>
      </c>
      <c r="U31" s="17">
        <f>IF(OR(U30="",U4=""),"",IFERROR(U30/U4,""))</f>
        <v/>
      </c>
      <c r="V31" s="17">
        <f>IF(OR(V30="",V4=""),"",IFERROR(V30/V4,""))</f>
        <v/>
      </c>
      <c r="W31" s="17">
        <f>IF(OR(W30="",W4=""),"",IFERROR(W30/W4,""))</f>
        <v/>
      </c>
      <c r="X31" s="17">
        <f>IF(OR(X30="",X4=""),"",IFERROR(X30/X4,""))</f>
        <v/>
      </c>
      <c r="Y31" s="16" t="n"/>
      <c r="Z31" s="17" t="n"/>
      <c r="AA31" s="17" t="n"/>
      <c r="AB31" s="17" t="n"/>
      <c r="AC31" s="17" t="n"/>
    </row>
    <row r="32">
      <c r="A32" s="20" t="inlineStr">
        <is>
          <t>기타비용</t>
        </is>
      </c>
      <c r="B32" s="10" t="inlineStr">
        <is>
          <t>변동비</t>
        </is>
      </c>
      <c r="C32" s="21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1">
        <f>IF(OR(O23="",O24="",O26="",O28="",O30=""),"",IFERROR(O23-O24-O26-O28-O30,""))</f>
        <v/>
      </c>
      <c r="P32" s="22">
        <f>IF(OR(P23="",P24="",P26="",P28="",P30=""),"",IFERROR(P23-P24-P26-P28-P30,""))</f>
        <v/>
      </c>
      <c r="Q32" s="22">
        <f>IF(OR(Q23="",Q24="",Q26="",Q28="",Q30=""),"",IFERROR(Q23-Q24-Q26-Q28-Q30,""))</f>
        <v/>
      </c>
      <c r="R32" s="22">
        <f>IF(OR(R23="",R24="",R26="",R28="",R30=""),"",IFERROR(R23-R24-R26-R28-R30,""))</f>
        <v/>
      </c>
      <c r="S32" s="22">
        <f>IF(OR(S23="",S24="",S26="",S28="",S30=""),"",IFERROR(S23-S24-S26-S28-S30,""))</f>
        <v/>
      </c>
      <c r="T32" s="22">
        <f>IF(OR(T23="",T24="",T26="",T28="",T30=""),"",IFERROR(T23-T24-T26-T28-T30,""))</f>
        <v/>
      </c>
      <c r="U32" s="22">
        <f>IF(OR(U23="",U24="",U26="",U28="",U30=""),"",IFERROR(U23-U24-U26-U28-U30,""))</f>
        <v/>
      </c>
      <c r="V32" s="22">
        <f>IF(OR(V23="",V24="",V26="",V28="",V30=""),"",IFERROR(V23-V24-V26-V28-V30,""))</f>
        <v/>
      </c>
      <c r="W32" s="22">
        <f>IF(OR(W23="",W24="",W26="",W28="",W30=""),"",IFERROR(W23-W24-W26-W28-W30,""))</f>
        <v/>
      </c>
      <c r="X32" s="22">
        <f>IF(OR(X23="",X24="",X26="",X28="",X30=""),"",IFERROR(X23-X24-X26-X28-X30,""))</f>
        <v/>
      </c>
      <c r="Y32" s="21" t="n"/>
      <c r="Z32" s="22" t="n"/>
      <c r="AA32" s="22" t="n"/>
      <c r="AB32" s="22" t="n"/>
      <c r="AC32" s="22" t="n"/>
    </row>
    <row r="33">
      <c r="A33" s="15" t="inlineStr">
        <is>
          <t>% of Sales</t>
        </is>
      </c>
      <c r="B33" s="10" t="n"/>
      <c r="C33" s="16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6">
        <f>IF(OR(O32="",O4=""),"",IFERROR(O32/O4,""))</f>
        <v/>
      </c>
      <c r="P33" s="17">
        <f>IF(OR(P32="",P4=""),"",IFERROR(P32/P4,""))</f>
        <v/>
      </c>
      <c r="Q33" s="17">
        <f>IF(OR(Q32="",Q4=""),"",IFERROR(Q32/Q4,""))</f>
        <v/>
      </c>
      <c r="R33" s="17">
        <f>IF(OR(R32="",R4=""),"",IFERROR(R32/R4,""))</f>
        <v/>
      </c>
      <c r="S33" s="17">
        <f>IF(OR(S32="",S4=""),"",IFERROR(S32/S4,""))</f>
        <v/>
      </c>
      <c r="T33" s="17">
        <f>IF(OR(T32="",T4=""),"",IFERROR(T32/T4,""))</f>
        <v/>
      </c>
      <c r="U33" s="17">
        <f>IF(OR(U32="",U4=""),"",IFERROR(U32/U4,""))</f>
        <v/>
      </c>
      <c r="V33" s="17">
        <f>IF(OR(V32="",V4=""),"",IFERROR(V32/V4,""))</f>
        <v/>
      </c>
      <c r="W33" s="17">
        <f>IF(OR(W32="",W4=""),"",IFERROR(W32/W4,""))</f>
        <v/>
      </c>
      <c r="X33" s="17">
        <f>IF(OR(X32="",X4=""),"",IFERROR(X32/X4,""))</f>
        <v/>
      </c>
      <c r="Y33" s="16" t="n"/>
      <c r="Z33" s="17" t="n"/>
      <c r="AA33" s="17" t="n"/>
      <c r="AB33" s="17" t="n"/>
      <c r="AC33" s="17" t="n"/>
    </row>
    <row r="34">
      <c r="A34" s="18" t="inlineStr">
        <is>
          <t>당기순이익 추정</t>
        </is>
      </c>
      <c r="B34" s="18" t="n"/>
      <c r="C34" s="19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9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Y34" s="19" t="n"/>
      <c r="Z34" s="18" t="n"/>
      <c r="AA34" s="18" t="n"/>
      <c r="AB34" s="18" t="n"/>
      <c r="AC34" s="18" t="n"/>
    </row>
    <row r="35">
      <c r="A35" s="20" t="inlineStr">
        <is>
          <t>특별이익</t>
        </is>
      </c>
      <c r="B35" s="10" t="n"/>
      <c r="C35" s="21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1" t="n"/>
      <c r="P35" s="22" t="n"/>
      <c r="Q35" s="22" t="n"/>
      <c r="R35" s="22" t="n"/>
      <c r="S35" s="22" t="n"/>
      <c r="T35" s="22" t="n">
        <v>90.63800000000001</v>
      </c>
      <c r="U35" s="22" t="n">
        <v>0</v>
      </c>
      <c r="V35" s="22" t="n">
        <v>18.891</v>
      </c>
      <c r="W35" s="22" t="n">
        <v>0</v>
      </c>
      <c r="X35" s="22" t="n"/>
      <c r="Y35" s="21">
        <f>IF(OR(Y4="",Y36=""),"",IFERROR(Y4*Y36,""))</f>
        <v/>
      </c>
      <c r="Z35" s="22">
        <f>IF(OR(Z4="",Z36=""),"",IFERROR(Z4*Z36,""))</f>
        <v/>
      </c>
      <c r="AA35" s="22">
        <f>IF(OR(AA4="",AA36=""),"",IFERROR(AA4*AA36,""))</f>
        <v/>
      </c>
      <c r="AB35" s="22">
        <f>IF(OR(AB4="",AB36=""),"",IFERROR(AB4*AB36,""))</f>
        <v/>
      </c>
      <c r="AC35" s="22">
        <f>IF(OR(AC4="",AC36=""),"",IFERROR(AC4*AC36,""))</f>
        <v/>
      </c>
    </row>
    <row r="36">
      <c r="A36" s="15" t="inlineStr">
        <is>
          <t>% of Sales</t>
        </is>
      </c>
      <c r="B36" s="10" t="inlineStr">
        <is>
          <t>MW = 최근 3년 평균</t>
        </is>
      </c>
      <c r="C36" s="16">
        <f>IF(OR(C35="",C4=""),"",IFERROR(C35/C4,""))</f>
        <v/>
      </c>
      <c r="D36" s="17">
        <f>IF(OR(D35="",D4=""),"",IFERROR(D35/D4,""))</f>
        <v/>
      </c>
      <c r="E36" s="17">
        <f>IF(OR(E35="",E4=""),"",IFERROR(E35/E4,""))</f>
        <v/>
      </c>
      <c r="F36" s="17">
        <f>IF(OR(F35="",F4=""),"",IFERROR(F35/F4,""))</f>
        <v/>
      </c>
      <c r="G36" s="17">
        <f>IF(OR(G35="",G4=""),"",IFERROR(G35/G4,""))</f>
        <v/>
      </c>
      <c r="H36" s="17">
        <f>IF(OR(H35="",H4=""),"",IFERROR(H35/H4,""))</f>
        <v/>
      </c>
      <c r="I36" s="17">
        <f>IF(OR(I35="",I4=""),"",IFERROR(I35/I4,""))</f>
        <v/>
      </c>
      <c r="J36" s="17">
        <f>IF(OR(J35="",J4=""),"",IFERROR(J35/J4,""))</f>
        <v/>
      </c>
      <c r="K36" s="17">
        <f>IF(OR(K35="",K4=""),"",IFERROR(K35/K4,""))</f>
        <v/>
      </c>
      <c r="L36" s="17">
        <f>IF(OR(L35="",L4=""),"",IFERROR(L35/L4,""))</f>
        <v/>
      </c>
      <c r="M36" s="17">
        <f>IF(OR(M35="",M4=""),"",IFERROR(M35/M4,""))</f>
        <v/>
      </c>
      <c r="N36" s="17">
        <f>IF(OR(N35="",N4=""),"",IFERROR(N35/N4,""))</f>
        <v/>
      </c>
      <c r="O36" s="16">
        <f>IF(OR(O35="",O4=""),"",IFERROR(O35/O4,""))</f>
        <v/>
      </c>
      <c r="P36" s="17">
        <f>IF(OR(P35="",P4=""),"",IFERROR(P35/P4,""))</f>
        <v/>
      </c>
      <c r="Q36" s="17">
        <f>IF(OR(Q35="",Q4=""),"",IFERROR(Q35/Q4,""))</f>
        <v/>
      </c>
      <c r="R36" s="17">
        <f>IF(OR(R35="",R4=""),"",IFERROR(R35/R4,""))</f>
        <v/>
      </c>
      <c r="S36" s="17">
        <f>IF(OR(S35="",S4=""),"",IFERROR(S35/S4,""))</f>
        <v/>
      </c>
      <c r="T36" s="17">
        <f>IF(OR(T35="",T4=""),"",IFERROR(T35/T4,""))</f>
        <v/>
      </c>
      <c r="U36" s="17">
        <f>IF(OR(U35="",U4=""),"",IFERROR(U35/U4,""))</f>
        <v/>
      </c>
      <c r="V36" s="17">
        <f>IF(OR(V35="",V4=""),"",IFERROR(V35/V4,""))</f>
        <v/>
      </c>
      <c r="W36" s="17">
        <f>IF(OR(W35="",W4=""),"",IFERROR(W35/W4,""))</f>
        <v/>
      </c>
      <c r="X36" s="17">
        <f>IF(OR(X35="",X4=""),"",IFERROR(X35/X4,""))</f>
        <v/>
      </c>
      <c r="Y36" s="27">
        <f>IFERROR(AVERAGE(V36,W36,X36),"")</f>
        <v/>
      </c>
      <c r="Z36" s="28">
        <f>Y36</f>
        <v/>
      </c>
      <c r="AA36" s="28">
        <f>Z36</f>
        <v/>
      </c>
      <c r="AB36" s="28">
        <f>AA36</f>
        <v/>
      </c>
      <c r="AC36" s="28">
        <f>AB36</f>
        <v/>
      </c>
    </row>
    <row r="37">
      <c r="A37" s="20" t="inlineStr">
        <is>
          <t>특별손실</t>
        </is>
      </c>
      <c r="B37" s="10" t="n"/>
      <c r="C37" s="21" t="n">
        <v>0.293</v>
      </c>
      <c r="D37" s="22" t="n">
        <v>0</v>
      </c>
      <c r="E37" s="22" t="n">
        <v>0.269</v>
      </c>
      <c r="F37" s="22" t="n">
        <v>6.537</v>
      </c>
      <c r="G37" s="22" t="n">
        <v>1.562</v>
      </c>
      <c r="H37" s="22" t="n">
        <v>0.326</v>
      </c>
      <c r="I37" s="22" t="n">
        <v>0.899</v>
      </c>
      <c r="J37" s="22" t="n">
        <v>0.038</v>
      </c>
      <c r="K37" s="22" t="n">
        <v>0.225</v>
      </c>
      <c r="L37" s="22" t="n">
        <v>0</v>
      </c>
      <c r="M37" s="22" t="n">
        <v>0.173</v>
      </c>
      <c r="N37" s="22" t="n">
        <v>19.555</v>
      </c>
      <c r="O37" s="21" t="n">
        <v>0</v>
      </c>
      <c r="P37" s="22" t="n">
        <v>1.527</v>
      </c>
      <c r="Q37" s="22" t="n">
        <v>12.141</v>
      </c>
      <c r="R37" s="22" t="n">
        <v>4.795</v>
      </c>
      <c r="S37" s="22" t="n">
        <v>4.626</v>
      </c>
      <c r="T37" s="22" t="n">
        <v>122.292</v>
      </c>
      <c r="U37" s="22" t="n">
        <v>10.371</v>
      </c>
      <c r="V37" s="22" t="n">
        <v>0.651</v>
      </c>
      <c r="W37" s="22" t="n">
        <v>8.694000000000001</v>
      </c>
      <c r="X37" s="22" t="n">
        <v>1.162</v>
      </c>
      <c r="Y37" s="21">
        <f>IF(OR(Y4="",Y38=""),"",IFERROR(Y4*Y38,""))</f>
        <v/>
      </c>
      <c r="Z37" s="22">
        <f>IF(OR(Z4="",Z38=""),"",IFERROR(Z4*Z38,""))</f>
        <v/>
      </c>
      <c r="AA37" s="22">
        <f>IF(OR(AA4="",AA38=""),"",IFERROR(AA4*AA38,""))</f>
        <v/>
      </c>
      <c r="AB37" s="22">
        <f>IF(OR(AB4="",AB38=""),"",IFERROR(AB4*AB38,""))</f>
        <v/>
      </c>
      <c r="AC37" s="22">
        <f>IF(OR(AC4="",AC38=""),"",IFERROR(AC4*AC38,""))</f>
        <v/>
      </c>
    </row>
    <row r="38">
      <c r="A38" s="15" t="inlineStr">
        <is>
          <t>% of Sales</t>
        </is>
      </c>
      <c r="B38" s="10" t="n"/>
      <c r="C38" s="16">
        <f>IF(OR(C37="",C4=""),"",IFERROR(C37/C4,""))</f>
        <v/>
      </c>
      <c r="D38" s="17">
        <f>IF(OR(D37="",D4=""),"",IFERROR(D37/D4,""))</f>
        <v/>
      </c>
      <c r="E38" s="17">
        <f>IF(OR(E37="",E4=""),"",IFERROR(E37/E4,""))</f>
        <v/>
      </c>
      <c r="F38" s="17">
        <f>IF(OR(F37="",F4=""),"",IFERROR(F37/F4,""))</f>
        <v/>
      </c>
      <c r="G38" s="17">
        <f>IF(OR(G37="",G4=""),"",IFERROR(G37/G4,""))</f>
        <v/>
      </c>
      <c r="H38" s="17">
        <f>IF(OR(H37="",H4=""),"",IFERROR(H37/H4,""))</f>
        <v/>
      </c>
      <c r="I38" s="17">
        <f>IF(OR(I37="",I4=""),"",IFERROR(I37/I4,""))</f>
        <v/>
      </c>
      <c r="J38" s="17">
        <f>IF(OR(J37="",J4=""),"",IFERROR(J37/J4,""))</f>
        <v/>
      </c>
      <c r="K38" s="17">
        <f>IF(OR(K37="",K4=""),"",IFERROR(K37/K4,""))</f>
        <v/>
      </c>
      <c r="L38" s="17">
        <f>IF(OR(L37="",L4=""),"",IFERROR(L37/L4,""))</f>
        <v/>
      </c>
      <c r="M38" s="17">
        <f>IF(OR(M37="",M4=""),"",IFERROR(M37/M4,""))</f>
        <v/>
      </c>
      <c r="N38" s="17">
        <f>IF(OR(N37="",N4=""),"",IFERROR(N37/N4,""))</f>
        <v/>
      </c>
      <c r="O38" s="16">
        <f>IF(OR(O37="",O4=""),"",IFERROR(O37/O4,""))</f>
        <v/>
      </c>
      <c r="P38" s="17">
        <f>IF(OR(P37="",P4=""),"",IFERROR(P37/P4,""))</f>
        <v/>
      </c>
      <c r="Q38" s="17">
        <f>IF(OR(Q37="",Q4=""),"",IFERROR(Q37/Q4,""))</f>
        <v/>
      </c>
      <c r="R38" s="17">
        <f>IF(OR(R37="",R4=""),"",IFERROR(R37/R4,""))</f>
        <v/>
      </c>
      <c r="S38" s="17">
        <f>IF(OR(S37="",S4=""),"",IFERROR(S37/S4,""))</f>
        <v/>
      </c>
      <c r="T38" s="17">
        <f>IF(OR(T37="",T4=""),"",IFERROR(T37/T4,""))</f>
        <v/>
      </c>
      <c r="U38" s="17">
        <f>IF(OR(U37="",U4=""),"",IFERROR(U37/U4,""))</f>
        <v/>
      </c>
      <c r="V38" s="17">
        <f>IF(OR(V37="",V4=""),"",IFERROR(V37/V4,""))</f>
        <v/>
      </c>
      <c r="W38" s="17">
        <f>IF(OR(W37="",W4=""),"",IFERROR(W37/W4,""))</f>
        <v/>
      </c>
      <c r="X38" s="17">
        <f>IF(OR(X37="",X4=""),"",IFERROR(X37/X4,""))</f>
        <v/>
      </c>
      <c r="Y38" s="27">
        <f>IFERROR(AVERAGE(V38,W38,X38),"")</f>
        <v/>
      </c>
      <c r="Z38" s="28">
        <f>Y38</f>
        <v/>
      </c>
      <c r="AA38" s="28">
        <f>Z38</f>
        <v/>
      </c>
      <c r="AB38" s="28">
        <f>AA38</f>
        <v/>
      </c>
      <c r="AC38" s="28">
        <f>AB38</f>
        <v/>
      </c>
    </row>
    <row r="39">
      <c r="A39" s="20" t="inlineStr">
        <is>
          <t>영업외수익</t>
        </is>
      </c>
      <c r="B39" s="10" t="n"/>
      <c r="C39" s="21" t="n">
        <v>11.451</v>
      </c>
      <c r="D39" s="22" t="n">
        <v>8.659000000000001</v>
      </c>
      <c r="E39" s="22" t="n">
        <v>5.76</v>
      </c>
      <c r="F39" s="22" t="n">
        <v>3.289</v>
      </c>
      <c r="G39" s="22" t="n">
        <v>14.105</v>
      </c>
      <c r="H39" s="22" t="n">
        <v>7.803</v>
      </c>
      <c r="I39" s="22" t="n">
        <v>6.233</v>
      </c>
      <c r="J39" s="22" t="n">
        <v>7.654</v>
      </c>
      <c r="K39" s="22" t="n">
        <v>5.039</v>
      </c>
      <c r="L39" s="22" t="n">
        <v>18.367</v>
      </c>
      <c r="M39" s="22" t="n">
        <v>6.543</v>
      </c>
      <c r="N39" s="22" t="n">
        <v>13.956</v>
      </c>
      <c r="O39" s="21" t="n">
        <v>5.726</v>
      </c>
      <c r="P39" s="22" t="n">
        <v>1.523</v>
      </c>
      <c r="Q39" s="22" t="n">
        <v>2.963</v>
      </c>
      <c r="R39" s="22" t="n">
        <v>8.714</v>
      </c>
      <c r="S39" s="22" t="n">
        <v>17.701</v>
      </c>
      <c r="T39" s="22" t="n">
        <v>23.072</v>
      </c>
      <c r="U39" s="22" t="n">
        <v>32.92</v>
      </c>
      <c r="V39" s="22" t="n">
        <v>32.658</v>
      </c>
      <c r="W39" s="22" t="n">
        <v>30.957</v>
      </c>
      <c r="X39" s="22" t="n">
        <v>37.293</v>
      </c>
      <c r="Y39" s="21">
        <f>IF(OR(Y4="",Y40=""),"",IFERROR(Y4*Y40,""))</f>
        <v/>
      </c>
      <c r="Z39" s="22">
        <f>IF(OR(Z4="",Z40=""),"",IFERROR(Z4*Z40,""))</f>
        <v/>
      </c>
      <c r="AA39" s="22">
        <f>IF(OR(AA4="",AA40=""),"",IFERROR(AA4*AA40,""))</f>
        <v/>
      </c>
      <c r="AB39" s="22">
        <f>IF(OR(AB4="",AB40=""),"",IFERROR(AB4*AB40,""))</f>
        <v/>
      </c>
      <c r="AC39" s="22">
        <f>IF(OR(AC4="",AC40=""),"",IFERROR(AC4*AC40,""))</f>
        <v/>
      </c>
    </row>
    <row r="40">
      <c r="A40" s="15" t="inlineStr">
        <is>
          <t>% of Sales</t>
        </is>
      </c>
      <c r="B40" s="10" t="n"/>
      <c r="C40" s="16">
        <f>IF(OR(C39="",C4=""),"",IFERROR(C39/C4,""))</f>
        <v/>
      </c>
      <c r="D40" s="17">
        <f>IF(OR(D39="",D4=""),"",IFERROR(D39/D4,""))</f>
        <v/>
      </c>
      <c r="E40" s="17">
        <f>IF(OR(E39="",E4=""),"",IFERROR(E39/E4,""))</f>
        <v/>
      </c>
      <c r="F40" s="17">
        <f>IF(OR(F39="",F4=""),"",IFERROR(F39/F4,""))</f>
        <v/>
      </c>
      <c r="G40" s="17">
        <f>IF(OR(G39="",G4=""),"",IFERROR(G39/G4,""))</f>
        <v/>
      </c>
      <c r="H40" s="17">
        <f>IF(OR(H39="",H4=""),"",IFERROR(H39/H4,""))</f>
        <v/>
      </c>
      <c r="I40" s="17">
        <f>IF(OR(I39="",I4=""),"",IFERROR(I39/I4,""))</f>
        <v/>
      </c>
      <c r="J40" s="17">
        <f>IF(OR(J39="",J4=""),"",IFERROR(J39/J4,""))</f>
        <v/>
      </c>
      <c r="K40" s="17">
        <f>IF(OR(K39="",K4=""),"",IFERROR(K39/K4,""))</f>
        <v/>
      </c>
      <c r="L40" s="17">
        <f>IF(OR(L39="",L4=""),"",IFERROR(L39/L4,""))</f>
        <v/>
      </c>
      <c r="M40" s="17">
        <f>IF(OR(M39="",M4=""),"",IFERROR(M39/M4,""))</f>
        <v/>
      </c>
      <c r="N40" s="17">
        <f>IF(OR(N39="",N4=""),"",IFERROR(N39/N4,""))</f>
        <v/>
      </c>
      <c r="O40" s="16">
        <f>IF(OR(O39="",O4=""),"",IFERROR(O39/O4,""))</f>
        <v/>
      </c>
      <c r="P40" s="17">
        <f>IF(OR(P39="",P4=""),"",IFERROR(P39/P4,""))</f>
        <v/>
      </c>
      <c r="Q40" s="17">
        <f>IF(OR(Q39="",Q4=""),"",IFERROR(Q39/Q4,""))</f>
        <v/>
      </c>
      <c r="R40" s="17">
        <f>IF(OR(R39="",R4=""),"",IFERROR(R39/R4,""))</f>
        <v/>
      </c>
      <c r="S40" s="17">
        <f>IF(OR(S39="",S4=""),"",IFERROR(S39/S4,""))</f>
        <v/>
      </c>
      <c r="T40" s="17">
        <f>IF(OR(T39="",T4=""),"",IFERROR(T39/T4,""))</f>
        <v/>
      </c>
      <c r="U40" s="17">
        <f>IF(OR(U39="",U4=""),"",IFERROR(U39/U4,""))</f>
        <v/>
      </c>
      <c r="V40" s="17">
        <f>IF(OR(V39="",V4=""),"",IFERROR(V39/V4,""))</f>
        <v/>
      </c>
      <c r="W40" s="17">
        <f>IF(OR(W39="",W4=""),"",IFERROR(W39/W4,""))</f>
        <v/>
      </c>
      <c r="X40" s="17">
        <f>IF(OR(X39="",X4=""),"",IFERROR(X39/X4,""))</f>
        <v/>
      </c>
      <c r="Y40" s="27">
        <f>IFERROR(AVERAGE(V40,W40,X40),"")</f>
        <v/>
      </c>
      <c r="Z40" s="28">
        <f>Y40</f>
        <v/>
      </c>
      <c r="AA40" s="28">
        <f>Z40</f>
        <v/>
      </c>
      <c r="AB40" s="28">
        <f>AA40</f>
        <v/>
      </c>
      <c r="AC40" s="28">
        <f>AB40</f>
        <v/>
      </c>
    </row>
    <row r="41">
      <c r="A41" s="20" t="inlineStr">
        <is>
          <t>영업외비용</t>
        </is>
      </c>
      <c r="B41" s="10" t="n"/>
      <c r="C41" s="21" t="n">
        <v>0.298</v>
      </c>
      <c r="D41" s="22" t="n">
        <v>0.307</v>
      </c>
      <c r="E41" s="22" t="n">
        <v>0.23</v>
      </c>
      <c r="F41" s="22" t="n">
        <v>0.681</v>
      </c>
      <c r="G41" s="22" t="n">
        <v>-0.274</v>
      </c>
      <c r="H41" s="22" t="n">
        <v>1.187</v>
      </c>
      <c r="I41" s="22" t="n">
        <v>0.202</v>
      </c>
      <c r="J41" s="22" t="n">
        <v>0</v>
      </c>
      <c r="K41" s="22" t="n">
        <v>0.002</v>
      </c>
      <c r="L41" s="22" t="n">
        <v>0.54</v>
      </c>
      <c r="M41" s="22" t="n">
        <v>0.001</v>
      </c>
      <c r="N41" s="22" t="n">
        <v>0</v>
      </c>
      <c r="O41" s="21" t="n">
        <v>9.282999999999999</v>
      </c>
      <c r="P41" s="22" t="n">
        <v>1.42</v>
      </c>
      <c r="Q41" s="22" t="n">
        <v>3.211</v>
      </c>
      <c r="R41" s="22" t="n">
        <v>0.047</v>
      </c>
      <c r="S41" s="22" t="n">
        <v>0</v>
      </c>
      <c r="T41" s="22" t="n">
        <v>2.478</v>
      </c>
      <c r="U41" s="22" t="n">
        <v>2.003</v>
      </c>
      <c r="V41" s="22" t="n">
        <v>1.328</v>
      </c>
      <c r="W41" s="22" t="n">
        <v>1.824</v>
      </c>
      <c r="X41" s="22" t="n">
        <v>0.744</v>
      </c>
      <c r="Y41" s="21">
        <f>IF(OR(Y4="",Y42=""),"",IFERROR(Y4*Y42,""))</f>
        <v/>
      </c>
      <c r="Z41" s="22">
        <f>IF(OR(Z4="",Z42=""),"",IFERROR(Z4*Z42,""))</f>
        <v/>
      </c>
      <c r="AA41" s="22">
        <f>IF(OR(AA4="",AA42=""),"",IFERROR(AA4*AA42,""))</f>
        <v/>
      </c>
      <c r="AB41" s="22">
        <f>IF(OR(AB4="",AB42=""),"",IFERROR(AB4*AB42,""))</f>
        <v/>
      </c>
      <c r="AC41" s="22">
        <f>IF(OR(AC4="",AC42=""),"",IFERROR(AC4*AC42,""))</f>
        <v/>
      </c>
    </row>
    <row r="42">
      <c r="A42" s="15" t="inlineStr">
        <is>
          <t>% of Sales</t>
        </is>
      </c>
      <c r="B42" s="10" t="n"/>
      <c r="C42" s="16">
        <f>IF(OR(C41="",C4=""),"",IFERROR(C41/C4,""))</f>
        <v/>
      </c>
      <c r="D42" s="17">
        <f>IF(OR(D41="",D4=""),"",IFERROR(D41/D4,""))</f>
        <v/>
      </c>
      <c r="E42" s="17">
        <f>IF(OR(E41="",E4=""),"",IFERROR(E41/E4,""))</f>
        <v/>
      </c>
      <c r="F42" s="17">
        <f>IF(OR(F41="",F4=""),"",IFERROR(F41/F4,""))</f>
        <v/>
      </c>
      <c r="G42" s="17">
        <f>IF(OR(G41="",G4=""),"",IFERROR(G41/G4,""))</f>
        <v/>
      </c>
      <c r="H42" s="17">
        <f>IF(OR(H41="",H4=""),"",IFERROR(H41/H4,""))</f>
        <v/>
      </c>
      <c r="I42" s="17">
        <f>IF(OR(I41="",I4=""),"",IFERROR(I41/I4,""))</f>
        <v/>
      </c>
      <c r="J42" s="17">
        <f>IF(OR(J41="",J4=""),"",IFERROR(J41/J4,""))</f>
        <v/>
      </c>
      <c r="K42" s="17">
        <f>IF(OR(K41="",K4=""),"",IFERROR(K41/K4,""))</f>
        <v/>
      </c>
      <c r="L42" s="17">
        <f>IF(OR(L41="",L4=""),"",IFERROR(L41/L4,""))</f>
        <v/>
      </c>
      <c r="M42" s="17">
        <f>IF(OR(M41="",M4=""),"",IFERROR(M41/M4,""))</f>
        <v/>
      </c>
      <c r="N42" s="17">
        <f>IF(OR(N41="",N4=""),"",IFERROR(N41/N4,""))</f>
        <v/>
      </c>
      <c r="O42" s="16">
        <f>IF(OR(O41="",O4=""),"",IFERROR(O41/O4,""))</f>
        <v/>
      </c>
      <c r="P42" s="17">
        <f>IF(OR(P41="",P4=""),"",IFERROR(P41/P4,""))</f>
        <v/>
      </c>
      <c r="Q42" s="17">
        <f>IF(OR(Q41="",Q4=""),"",IFERROR(Q41/Q4,""))</f>
        <v/>
      </c>
      <c r="R42" s="17">
        <f>IF(OR(R41="",R4=""),"",IFERROR(R41/R4,""))</f>
        <v/>
      </c>
      <c r="S42" s="17">
        <f>IF(OR(S41="",S4=""),"",IFERROR(S41/S4,""))</f>
        <v/>
      </c>
      <c r="T42" s="17">
        <f>IF(OR(T41="",T4=""),"",IFERROR(T41/T4,""))</f>
        <v/>
      </c>
      <c r="U42" s="17">
        <f>IF(OR(U41="",U4=""),"",IFERROR(U41/U4,""))</f>
        <v/>
      </c>
      <c r="V42" s="17">
        <f>IF(OR(V41="",V4=""),"",IFERROR(V41/V4,""))</f>
        <v/>
      </c>
      <c r="W42" s="17">
        <f>IF(OR(W41="",W4=""),"",IFERROR(W41/W4,""))</f>
        <v/>
      </c>
      <c r="X42" s="17">
        <f>IF(OR(X41="",X4=""),"",IFERROR(X41/X4,""))</f>
        <v/>
      </c>
      <c r="Y42" s="27">
        <f>IFERROR(AVERAGE(V42,W42,X42),"")</f>
        <v/>
      </c>
      <c r="Z42" s="28">
        <f>Y42</f>
        <v/>
      </c>
      <c r="AA42" s="28">
        <f>Z42</f>
        <v/>
      </c>
      <c r="AB42" s="28">
        <f>AA42</f>
        <v/>
      </c>
      <c r="AC42" s="28">
        <f>AB42</f>
        <v/>
      </c>
    </row>
    <row r="43">
      <c r="A43" s="9" t="inlineStr">
        <is>
          <t>법인세비용차감전순이익(손실)</t>
        </is>
      </c>
      <c r="B43" s="10" t="n"/>
      <c r="C43" s="11" t="n">
        <v>643.842</v>
      </c>
      <c r="D43" s="12" t="n">
        <v>400.432</v>
      </c>
      <c r="E43" s="12" t="n">
        <v>394.65</v>
      </c>
      <c r="F43" s="12" t="n">
        <v>508.693</v>
      </c>
      <c r="G43" s="12" t="n">
        <v>584.148</v>
      </c>
      <c r="H43" s="12" t="n">
        <v>208.283</v>
      </c>
      <c r="I43" s="12" t="n">
        <v>245.561</v>
      </c>
      <c r="J43" s="12" t="n">
        <v>272.42</v>
      </c>
      <c r="K43" s="12" t="n">
        <v>257.553</v>
      </c>
      <c r="L43" s="12" t="n">
        <v>260.847</v>
      </c>
      <c r="M43" s="12" t="n">
        <v>-96.152</v>
      </c>
      <c r="N43" s="12" t="n">
        <v>446.926</v>
      </c>
      <c r="O43" s="11" t="n">
        <v>538.497</v>
      </c>
      <c r="P43" s="12" t="n">
        <v>1402.457</v>
      </c>
      <c r="Q43" s="12" t="n">
        <v>1849.37</v>
      </c>
      <c r="R43" s="12" t="n">
        <v>2919.201</v>
      </c>
      <c r="S43" s="12" t="n">
        <v>2044.166</v>
      </c>
      <c r="T43" s="12" t="n">
        <v>2071.178</v>
      </c>
      <c r="U43" s="12" t="n">
        <v>530.693</v>
      </c>
      <c r="V43" s="12" t="n">
        <v>1498.715</v>
      </c>
      <c r="W43" s="12" t="n">
        <v>1695.774</v>
      </c>
      <c r="X43" s="12" t="n">
        <v>1036.381</v>
      </c>
      <c r="Y43" s="11">
        <f>IF(OR(Y19=""),"",IFERROR(Y19+N(Y35)-N(Y37)+N(Y39)-N(Y41),""))</f>
        <v/>
      </c>
      <c r="Z43" s="12">
        <f>IF(OR(Z19=""),"",IFERROR(Z19+N(Z35)-N(Z37)+N(Z39)-N(Z41),""))</f>
        <v/>
      </c>
      <c r="AA43" s="12">
        <f>IF(OR(AA19=""),"",IFERROR(AA19+N(AA35)-N(AA37)+N(AA39)-N(AA41),""))</f>
        <v/>
      </c>
      <c r="AB43" s="12">
        <f>IF(OR(AB19=""),"",IFERROR(AB19+N(AB35)-N(AB37)+N(AB39)-N(AB41),""))</f>
        <v/>
      </c>
      <c r="AC43" s="12">
        <f>IF(OR(AC19=""),"",IFERROR(AC19+N(AC35)-N(AC37)+N(AC39)-N(AC41),""))</f>
        <v/>
      </c>
    </row>
    <row r="44">
      <c r="A44" s="15" t="inlineStr">
        <is>
          <t>YoY</t>
        </is>
      </c>
      <c r="B44" s="10" t="n"/>
      <c r="C44" s="16" t="n"/>
      <c r="D44" s="17" t="n"/>
      <c r="E44" s="17" t="n"/>
      <c r="F44" s="17" t="n"/>
      <c r="G44" s="17">
        <f>IF(OR(G43="",C43=""),"",IF(C43&lt;=0,"",IFERROR(G43/C43-1,"")))</f>
        <v/>
      </c>
      <c r="H44" s="17">
        <f>IF(OR(H43="",D43=""),"",IF(D43&lt;=0,"",IFERROR(H43/D43-1,"")))</f>
        <v/>
      </c>
      <c r="I44" s="17">
        <f>IF(OR(I43="",E43=""),"",IF(E43&lt;=0,"",IFERROR(I43/E43-1,"")))</f>
        <v/>
      </c>
      <c r="J44" s="17">
        <f>IF(OR(J43="",F43=""),"",IF(F43&lt;=0,"",IFERROR(J43/F43-1,"")))</f>
        <v/>
      </c>
      <c r="K44" s="17">
        <f>IF(OR(K43="",G43=""),"",IF(G43&lt;=0,"",IFERROR(K43/G43-1,"")))</f>
        <v/>
      </c>
      <c r="L44" s="17">
        <f>IF(OR(L43="",H43=""),"",IF(H43&lt;=0,"",IFERROR(L43/H43-1,"")))</f>
        <v/>
      </c>
      <c r="M44" s="17">
        <f>IF(OR(M43="",I43=""),"",IF(I43&lt;=0,"",IFERROR(M43/I43-1,"")))</f>
        <v/>
      </c>
      <c r="N44" s="17">
        <f>IF(OR(N43="",J43=""),"",IF(J43&lt;=0,"",IFERROR(N43/J43-1,"")))</f>
        <v/>
      </c>
      <c r="O44" s="16" t="n"/>
      <c r="P44" s="17">
        <f>IF(OR(P43="",O43=""),"",IF(O43&lt;=0,"",IFERROR(P43/O43-1,"")))</f>
        <v/>
      </c>
      <c r="Q44" s="17">
        <f>IF(OR(Q43="",P43=""),"",IF(P43&lt;=0,"",IFERROR(Q43/P43-1,"")))</f>
        <v/>
      </c>
      <c r="R44" s="17">
        <f>IF(OR(R43="",Q43=""),"",IF(Q43&lt;=0,"",IFERROR(R43/Q43-1,"")))</f>
        <v/>
      </c>
      <c r="S44" s="17">
        <f>IF(OR(S43="",R43=""),"",IF(R43&lt;=0,"",IFERROR(S43/R43-1,"")))</f>
        <v/>
      </c>
      <c r="T44" s="17">
        <f>IF(OR(T43="",S43=""),"",IF(S43&lt;=0,"",IFERROR(T43/S43-1,"")))</f>
        <v/>
      </c>
      <c r="U44" s="17">
        <f>IF(OR(U43="",T43=""),"",IF(T43&lt;=0,"",IFERROR(U43/T43-1,"")))</f>
        <v/>
      </c>
      <c r="V44" s="17">
        <f>IF(OR(V43="",U43=""),"",IF(U43&lt;=0,"",IFERROR(V43/U43-1,"")))</f>
        <v/>
      </c>
      <c r="W44" s="17">
        <f>IF(OR(W43="",V43=""),"",IF(V43&lt;=0,"",IFERROR(W43/V43-1,"")))</f>
        <v/>
      </c>
      <c r="X44" s="17">
        <f>IF(OR(X43="",W43=""),"",IF(W43&lt;=0,"",IFERROR(X43/W43-1,"")))</f>
        <v/>
      </c>
      <c r="Y44" s="16">
        <f>IF(OR(Y43="",X43=""),"",IF(X43&lt;=0,"",IFERROR(Y43/X43-1,"")))</f>
        <v/>
      </c>
      <c r="Z44" s="17">
        <f>IF(OR(Z43="",Y43=""),"",IF(Y43&lt;=0,"",IFERROR(Z43/Y43-1,"")))</f>
        <v/>
      </c>
      <c r="AA44" s="17">
        <f>IF(OR(AA43="",Z43=""),"",IF(Z43&lt;=0,"",IFERROR(AA43/Z43-1,"")))</f>
        <v/>
      </c>
      <c r="AB44" s="17">
        <f>IF(OR(AB43="",AA43=""),"",IF(AA43&lt;=0,"",IFERROR(AB43/AA43-1,"")))</f>
        <v/>
      </c>
      <c r="AC44" s="17">
        <f>IF(OR(AC43="",AB43=""),"",IF(AB43&lt;=0,"",IFERROR(AC43/AB43-1,"")))</f>
        <v/>
      </c>
    </row>
    <row r="45">
      <c r="A45" s="20" t="inlineStr">
        <is>
          <t>법인세비용(수익)</t>
        </is>
      </c>
      <c r="B45" s="10" t="n"/>
      <c r="C45" s="21" t="n">
        <v>193.455</v>
      </c>
      <c r="D45" s="22" t="n">
        <v>158.988</v>
      </c>
      <c r="E45" s="22" t="n">
        <v>128.565</v>
      </c>
      <c r="F45" s="22" t="n">
        <v>163.6</v>
      </c>
      <c r="G45" s="22" t="n">
        <v>183.081</v>
      </c>
      <c r="H45" s="22" t="n">
        <v>12.252</v>
      </c>
      <c r="I45" s="22" t="n">
        <v>76.68300000000001</v>
      </c>
      <c r="J45" s="22" t="n">
        <v>87.036</v>
      </c>
      <c r="K45" s="22" t="n">
        <v>89.95</v>
      </c>
      <c r="L45" s="22" t="n">
        <v>86.773</v>
      </c>
      <c r="M45" s="22" t="n">
        <v>-19.162</v>
      </c>
      <c r="N45" s="22" t="n">
        <v>139.473</v>
      </c>
      <c r="O45" s="21" t="n">
        <v>181.769</v>
      </c>
      <c r="P45" s="22" t="n">
        <v>454.086</v>
      </c>
      <c r="Q45" s="22" t="n">
        <v>556.125</v>
      </c>
      <c r="R45" s="22" t="n">
        <v>944.377</v>
      </c>
      <c r="S45" s="22" t="n">
        <v>656.331</v>
      </c>
      <c r="T45" s="22" t="n">
        <v>731.822</v>
      </c>
      <c r="U45" s="22" t="n">
        <v>187.02</v>
      </c>
      <c r="V45" s="22" t="n">
        <v>504.055</v>
      </c>
      <c r="W45" s="22" t="n">
        <v>487.498</v>
      </c>
      <c r="X45" s="22" t="n">
        <v>340.442</v>
      </c>
      <c r="Y45" s="21">
        <f>IF(OR(Y43="",Y46=""),"",IFERROR(MAX(Y43,0)*Y46,""))</f>
        <v/>
      </c>
      <c r="Z45" s="22">
        <f>IF(OR(Z43="",Z46=""),"",IFERROR(MAX(Z43,0)*Z46,""))</f>
        <v/>
      </c>
      <c r="AA45" s="22">
        <f>IF(OR(AA43="",AA46=""),"",IFERROR(MAX(AA43,0)*AA46,""))</f>
        <v/>
      </c>
      <c r="AB45" s="22">
        <f>IF(OR(AB43="",AB46=""),"",IFERROR(MAX(AB43,0)*AB46,""))</f>
        <v/>
      </c>
      <c r="AC45" s="22">
        <f>IF(OR(AC43="",AC46=""),"",IFERROR(MAX(AC43,0)*AC46,""))</f>
        <v/>
      </c>
    </row>
    <row r="46">
      <c r="A46" s="15" t="inlineStr">
        <is>
          <t>법인세율</t>
        </is>
      </c>
      <c r="B46" s="10" t="inlineStr">
        <is>
          <t>MW 기본 30%</t>
        </is>
      </c>
      <c r="C46" s="16">
        <f>IF(OR(C45="",C43=""),"",IFERROR(C45/C43,""))</f>
        <v/>
      </c>
      <c r="D46" s="17">
        <f>IF(OR(D45="",D43=""),"",IFERROR(D45/D43,""))</f>
        <v/>
      </c>
      <c r="E46" s="17">
        <f>IF(OR(E45="",E43=""),"",IFERROR(E45/E43,""))</f>
        <v/>
      </c>
      <c r="F46" s="17">
        <f>IF(OR(F45="",F43=""),"",IFERROR(F45/F43,""))</f>
        <v/>
      </c>
      <c r="G46" s="17">
        <f>IF(OR(G45="",G43=""),"",IFERROR(G45/G43,""))</f>
        <v/>
      </c>
      <c r="H46" s="17">
        <f>IF(OR(H45="",H43=""),"",IFERROR(H45/H43,""))</f>
        <v/>
      </c>
      <c r="I46" s="17">
        <f>IF(OR(I45="",I43=""),"",IFERROR(I45/I43,""))</f>
        <v/>
      </c>
      <c r="J46" s="17">
        <f>IF(OR(J45="",J43=""),"",IFERROR(J45/J43,""))</f>
        <v/>
      </c>
      <c r="K46" s="17">
        <f>IF(OR(K45="",K43=""),"",IFERROR(K45/K43,""))</f>
        <v/>
      </c>
      <c r="L46" s="17">
        <f>IF(OR(L45="",L43=""),"",IFERROR(L45/L43,""))</f>
        <v/>
      </c>
      <c r="M46" s="17">
        <f>IF(OR(M45="",M43=""),"",IFERROR(M45/M43,""))</f>
        <v/>
      </c>
      <c r="N46" s="17">
        <f>IF(OR(N45="",N43=""),"",IFERROR(N45/N43,""))</f>
        <v/>
      </c>
      <c r="O46" s="16">
        <f>IF(OR(O45="",O43=""),"",IFERROR(O45/O43,""))</f>
        <v/>
      </c>
      <c r="P46" s="17">
        <f>IF(OR(P45="",P43=""),"",IFERROR(P45/P43,""))</f>
        <v/>
      </c>
      <c r="Q46" s="17">
        <f>IF(OR(Q45="",Q43=""),"",IFERROR(Q45/Q43,""))</f>
        <v/>
      </c>
      <c r="R46" s="17">
        <f>IF(OR(R45="",R43=""),"",IFERROR(R45/R43,""))</f>
        <v/>
      </c>
      <c r="S46" s="17">
        <f>IF(OR(S45="",S43=""),"",IFERROR(S45/S43,""))</f>
        <v/>
      </c>
      <c r="T46" s="17">
        <f>IF(OR(T45="",T43=""),"",IFERROR(T45/T43,""))</f>
        <v/>
      </c>
      <c r="U46" s="17">
        <f>IF(OR(U45="",U43=""),"",IFERROR(U45/U43,""))</f>
        <v/>
      </c>
      <c r="V46" s="17">
        <f>IF(OR(V45="",V43=""),"",IFERROR(V45/V43,""))</f>
        <v/>
      </c>
      <c r="W46" s="17">
        <f>IF(OR(W45="",W43=""),"",IFERROR(W45/W43,""))</f>
        <v/>
      </c>
      <c r="X46" s="17">
        <f>IF(OR(X45="",X43=""),"",IFERROR(X45/X43,""))</f>
        <v/>
      </c>
      <c r="Y46" s="27" t="n">
        <v>0.3</v>
      </c>
      <c r="Z46" s="28" t="n">
        <v>0.3</v>
      </c>
      <c r="AA46" s="28" t="n">
        <v>0.3</v>
      </c>
      <c r="AB46" s="28" t="n">
        <v>0.3</v>
      </c>
      <c r="AC46" s="28" t="n">
        <v>0.3</v>
      </c>
    </row>
    <row r="47">
      <c r="A47" s="9" t="inlineStr">
        <is>
          <t>당기순이익(손실)</t>
        </is>
      </c>
      <c r="B47" s="10" t="n"/>
      <c r="C47" s="11" t="n">
        <v>450.387</v>
      </c>
      <c r="D47" s="12" t="n">
        <v>241.444</v>
      </c>
      <c r="E47" s="12" t="n">
        <v>266.084</v>
      </c>
      <c r="F47" s="12" t="n">
        <v>345.093</v>
      </c>
      <c r="G47" s="12" t="n">
        <v>401.068</v>
      </c>
      <c r="H47" s="12" t="n">
        <v>196.031</v>
      </c>
      <c r="I47" s="12" t="n">
        <v>168.877</v>
      </c>
      <c r="J47" s="12" t="n">
        <v>185.385</v>
      </c>
      <c r="K47" s="12" t="n">
        <v>167.602</v>
      </c>
      <c r="L47" s="12" t="n">
        <v>174.075</v>
      </c>
      <c r="M47" s="12" t="n">
        <v>-76.98999999999999</v>
      </c>
      <c r="N47" s="12" t="n">
        <v>307.453</v>
      </c>
      <c r="O47" s="11" t="n">
        <v>356.728</v>
      </c>
      <c r="P47" s="12" t="n">
        <v>948.37</v>
      </c>
      <c r="Q47" s="12" t="n">
        <v>1293.245</v>
      </c>
      <c r="R47" s="12" t="n">
        <v>1974.824</v>
      </c>
      <c r="S47" s="12" t="n">
        <v>1387.835</v>
      </c>
      <c r="T47" s="12" t="n">
        <v>1339.356</v>
      </c>
      <c r="U47" s="12" t="n">
        <v>343.672</v>
      </c>
      <c r="V47" s="12" t="n">
        <v>994.66</v>
      </c>
      <c r="W47" s="12" t="n">
        <v>1208.276</v>
      </c>
      <c r="X47" s="12" t="n">
        <v>695.939</v>
      </c>
      <c r="Y47" s="11">
        <f>IF(OR(Y43=""),"",IFERROR(Y43-Y45,""))</f>
        <v/>
      </c>
      <c r="Z47" s="12">
        <f>IF(OR(Z43=""),"",IFERROR(Z43-Z45,""))</f>
        <v/>
      </c>
      <c r="AA47" s="12">
        <f>IF(OR(AA43=""),"",IFERROR(AA43-AA45,""))</f>
        <v/>
      </c>
      <c r="AB47" s="12">
        <f>IF(OR(AB43=""),"",IFERROR(AB43-AB45,""))</f>
        <v/>
      </c>
      <c r="AC47" s="12">
        <f>IF(OR(AC43=""),"",IFERROR(AC43-AC45,""))</f>
        <v/>
      </c>
    </row>
    <row r="48">
      <c r="A48" s="15" t="inlineStr">
        <is>
          <t>YoY</t>
        </is>
      </c>
      <c r="B48" s="10" t="n"/>
      <c r="C48" s="16" t="n"/>
      <c r="D48" s="17" t="n"/>
      <c r="E48" s="17" t="n"/>
      <c r="F48" s="17" t="n"/>
      <c r="G48" s="17">
        <f>IF(OR(G47="",C47=""),"",IF(C47&lt;=0,"",IFERROR(G47/C47-1,"")))</f>
        <v/>
      </c>
      <c r="H48" s="17">
        <f>IF(OR(H47="",D47=""),"",IF(D47&lt;=0,"",IFERROR(H47/D47-1,"")))</f>
        <v/>
      </c>
      <c r="I48" s="17">
        <f>IF(OR(I47="",E47=""),"",IF(E47&lt;=0,"",IFERROR(I47/E47-1,"")))</f>
        <v/>
      </c>
      <c r="J48" s="17">
        <f>IF(OR(J47="",F47=""),"",IF(F47&lt;=0,"",IFERROR(J47/F47-1,"")))</f>
        <v/>
      </c>
      <c r="K48" s="17">
        <f>IF(OR(K47="",G47=""),"",IF(G47&lt;=0,"",IFERROR(K47/G47-1,"")))</f>
        <v/>
      </c>
      <c r="L48" s="17">
        <f>IF(OR(L47="",H47=""),"",IF(H47&lt;=0,"",IFERROR(L47/H47-1,"")))</f>
        <v/>
      </c>
      <c r="M48" s="17">
        <f>IF(OR(M47="",I47=""),"",IF(I47&lt;=0,"",IFERROR(M47/I47-1,"")))</f>
        <v/>
      </c>
      <c r="N48" s="17">
        <f>IF(OR(N47="",J47=""),"",IF(J47&lt;=0,"",IFERROR(N47/J47-1,"")))</f>
        <v/>
      </c>
      <c r="O48" s="16" t="n"/>
      <c r="P48" s="17">
        <f>IF(OR(P47="",O47=""),"",IF(O47&lt;=0,"",IFERROR(P47/O47-1,"")))</f>
        <v/>
      </c>
      <c r="Q48" s="17">
        <f>IF(OR(Q47="",P47=""),"",IF(P47&lt;=0,"",IFERROR(Q47/P47-1,"")))</f>
        <v/>
      </c>
      <c r="R48" s="17">
        <f>IF(OR(R47="",Q47=""),"",IF(Q47&lt;=0,"",IFERROR(R47/Q47-1,"")))</f>
        <v/>
      </c>
      <c r="S48" s="17">
        <f>IF(OR(S47="",R47=""),"",IF(R47&lt;=0,"",IFERROR(S47/R47-1,"")))</f>
        <v/>
      </c>
      <c r="T48" s="17">
        <f>IF(OR(T47="",S47=""),"",IF(S47&lt;=0,"",IFERROR(T47/S47-1,"")))</f>
        <v/>
      </c>
      <c r="U48" s="17">
        <f>IF(OR(U47="",T47=""),"",IF(T47&lt;=0,"",IFERROR(U47/T47-1,"")))</f>
        <v/>
      </c>
      <c r="V48" s="17">
        <f>IF(OR(V47="",U47=""),"",IF(U47&lt;=0,"",IFERROR(V47/U47-1,"")))</f>
        <v/>
      </c>
      <c r="W48" s="17">
        <f>IF(OR(W47="",V47=""),"",IF(V47&lt;=0,"",IFERROR(W47/V47-1,"")))</f>
        <v/>
      </c>
      <c r="X48" s="17">
        <f>IF(OR(X47="",W47=""),"",IF(W47&lt;=0,"",IFERROR(X47/W47-1,"")))</f>
        <v/>
      </c>
      <c r="Y48" s="16">
        <f>IF(OR(Y47="",X47=""),"",IF(X47&lt;=0,"",IFERROR(Y47/X47-1,"")))</f>
        <v/>
      </c>
      <c r="Z48" s="17">
        <f>IF(OR(Z47="",Y47=""),"",IF(Y47&lt;=0,"",IFERROR(Z47/Y47-1,"")))</f>
        <v/>
      </c>
      <c r="AA48" s="17">
        <f>IF(OR(AA47="",Z47=""),"",IF(Z47&lt;=0,"",IFERROR(AA47/Z47-1,"")))</f>
        <v/>
      </c>
      <c r="AB48" s="17">
        <f>IF(OR(AB47="",AA47=""),"",IF(AA47&lt;=0,"",IFERROR(AB47/AA47-1,"")))</f>
        <v/>
      </c>
      <c r="AC48" s="17">
        <f>IF(OR(AC47="",AB47=""),"",IF(AB47&lt;=0,"",IFERROR(AC47/AB47-1,"")))</f>
        <v/>
      </c>
    </row>
    <row r="49">
      <c r="A49" s="9" t="inlineStr">
        <is>
          <t>지배주주 순이익</t>
        </is>
      </c>
      <c r="B49" s="10" t="n"/>
      <c r="C49" s="11" t="n">
        <v>450.387</v>
      </c>
      <c r="D49" s="12" t="n">
        <v>241.444</v>
      </c>
      <c r="E49" s="12" t="n">
        <v>266.084</v>
      </c>
      <c r="F49" s="12" t="n">
        <v>342.699</v>
      </c>
      <c r="G49" s="12" t="n">
        <v>401.068</v>
      </c>
      <c r="H49" s="12" t="n">
        <v>196.031</v>
      </c>
      <c r="I49" s="12" t="n">
        <v>168.877</v>
      </c>
      <c r="J49" s="12" t="n">
        <v>185.385</v>
      </c>
      <c r="K49" s="12" t="n">
        <v>167.602</v>
      </c>
      <c r="L49" s="12" t="n">
        <v>174.075</v>
      </c>
      <c r="M49" s="12" t="n">
        <v>-76.98999999999999</v>
      </c>
      <c r="N49" s="12" t="n">
        <v>307.453</v>
      </c>
      <c r="O49" s="11" t="n"/>
      <c r="P49" s="12" t="n"/>
      <c r="Q49" s="12" t="n"/>
      <c r="R49" s="12" t="n"/>
      <c r="S49" s="12" t="n"/>
      <c r="T49" s="12" t="n">
        <v>1342.485</v>
      </c>
      <c r="U49" s="12" t="n">
        <v>343.672</v>
      </c>
      <c r="V49" s="12" t="n">
        <v>994.66</v>
      </c>
      <c r="W49" s="12" t="n">
        <v>1205.882</v>
      </c>
      <c r="X49" s="12" t="n">
        <v>695.939</v>
      </c>
      <c r="Y49" s="11">
        <f>IF(OR(Y47="",Y50=""),"",IFERROR(Y47*Y50,""))</f>
        <v/>
      </c>
      <c r="Z49" s="12">
        <f>IF(OR(Z47="",Z50=""),"",IFERROR(Z47*Z50,""))</f>
        <v/>
      </c>
      <c r="AA49" s="12">
        <f>IF(OR(AA47="",AA50=""),"",IFERROR(AA47*AA50,""))</f>
        <v/>
      </c>
      <c r="AB49" s="12">
        <f>IF(OR(AB47="",AB50=""),"",IFERROR(AB47*AB50,""))</f>
        <v/>
      </c>
      <c r="AC49" s="12">
        <f>IF(OR(AC47="",AC50=""),"",IFERROR(AC47*AC50,""))</f>
        <v/>
      </c>
    </row>
    <row r="50">
      <c r="A50" s="15" t="inlineStr">
        <is>
          <t>지배주주 순이익률</t>
        </is>
      </c>
      <c r="B50" s="10" t="inlineStr">
        <is>
          <t>MW 기본 100%</t>
        </is>
      </c>
      <c r="C50" s="16">
        <f>IF(OR(C49="",C47=""),"",IFERROR(C49/C47,""))</f>
        <v/>
      </c>
      <c r="D50" s="17">
        <f>IF(OR(D49="",D47=""),"",IFERROR(D49/D47,""))</f>
        <v/>
      </c>
      <c r="E50" s="17">
        <f>IF(OR(E49="",E47=""),"",IFERROR(E49/E47,""))</f>
        <v/>
      </c>
      <c r="F50" s="17">
        <f>IF(OR(F49="",F47=""),"",IFERROR(F49/F47,""))</f>
        <v/>
      </c>
      <c r="G50" s="17">
        <f>IF(OR(G49="",G47=""),"",IFERROR(G49/G47,""))</f>
        <v/>
      </c>
      <c r="H50" s="17">
        <f>IF(OR(H49="",H47=""),"",IFERROR(H49/H47,""))</f>
        <v/>
      </c>
      <c r="I50" s="17">
        <f>IF(OR(I49="",I47=""),"",IFERROR(I49/I47,""))</f>
        <v/>
      </c>
      <c r="J50" s="17">
        <f>IF(OR(J49="",J47=""),"",IFERROR(J49/J47,""))</f>
        <v/>
      </c>
      <c r="K50" s="17">
        <f>IF(OR(K49="",K47=""),"",IFERROR(K49/K47,""))</f>
        <v/>
      </c>
      <c r="L50" s="17">
        <f>IF(OR(L49="",L47=""),"",IFERROR(L49/L47,""))</f>
        <v/>
      </c>
      <c r="M50" s="17">
        <f>IF(OR(M49="",M47=""),"",IFERROR(M49/M47,""))</f>
        <v/>
      </c>
      <c r="N50" s="17">
        <f>IF(OR(N49="",N47=""),"",IFERROR(N49/N47,""))</f>
        <v/>
      </c>
      <c r="O50" s="16">
        <f>IF(OR(O49="",O47=""),"",IFERROR(O49/O47,""))</f>
        <v/>
      </c>
      <c r="P50" s="17">
        <f>IF(OR(P49="",P47=""),"",IFERROR(P49/P47,""))</f>
        <v/>
      </c>
      <c r="Q50" s="17">
        <f>IF(OR(Q49="",Q47=""),"",IFERROR(Q49/Q47,""))</f>
        <v/>
      </c>
      <c r="R50" s="17">
        <f>IF(OR(R49="",R47=""),"",IFERROR(R49/R47,""))</f>
        <v/>
      </c>
      <c r="S50" s="17">
        <f>IF(OR(S49="",S47=""),"",IFERROR(S49/S47,""))</f>
        <v/>
      </c>
      <c r="T50" s="17">
        <f>IF(OR(T49="",T47=""),"",IFERROR(T49/T47,""))</f>
        <v/>
      </c>
      <c r="U50" s="17">
        <f>IF(OR(U49="",U47=""),"",IFERROR(U49/U47,""))</f>
        <v/>
      </c>
      <c r="V50" s="17">
        <f>IF(OR(V49="",V47=""),"",IFERROR(V49/V47,""))</f>
        <v/>
      </c>
      <c r="W50" s="17">
        <f>IF(OR(W49="",W47=""),"",IFERROR(W49/W47,""))</f>
        <v/>
      </c>
      <c r="X50" s="17">
        <f>IF(OR(X49="",X47=""),"",IFERROR(X49/X47,""))</f>
        <v/>
      </c>
      <c r="Y50" s="27" t="n">
        <v>1</v>
      </c>
      <c r="Z50" s="28" t="n">
        <v>1</v>
      </c>
      <c r="AA50" s="28" t="n">
        <v>1</v>
      </c>
      <c r="AB50" s="28" t="n">
        <v>1</v>
      </c>
      <c r="AC50" s="28" t="n">
        <v>1</v>
      </c>
    </row>
    <row r="51">
      <c r="A51" s="15" t="inlineStr">
        <is>
          <t>지배주주 순이익 YoY</t>
        </is>
      </c>
      <c r="B51" s="10" t="n"/>
      <c r="C51" s="16" t="n"/>
      <c r="D51" s="17" t="n"/>
      <c r="E51" s="17" t="n"/>
      <c r="F51" s="17" t="n"/>
      <c r="G51" s="17">
        <f>IF(OR(G49="",C49=""),"",IF(C49&lt;=0,"",IFERROR(G49/C49-1,"")))</f>
        <v/>
      </c>
      <c r="H51" s="17">
        <f>IF(OR(H49="",D49=""),"",IF(D49&lt;=0,"",IFERROR(H49/D49-1,"")))</f>
        <v/>
      </c>
      <c r="I51" s="17">
        <f>IF(OR(I49="",E49=""),"",IF(E49&lt;=0,"",IFERROR(I49/E49-1,"")))</f>
        <v/>
      </c>
      <c r="J51" s="17">
        <f>IF(OR(J49="",F49=""),"",IF(F49&lt;=0,"",IFERROR(J49/F49-1,"")))</f>
        <v/>
      </c>
      <c r="K51" s="17">
        <f>IF(OR(K49="",G49=""),"",IF(G49&lt;=0,"",IFERROR(K49/G49-1,"")))</f>
        <v/>
      </c>
      <c r="L51" s="17">
        <f>IF(OR(L49="",H49=""),"",IF(H49&lt;=0,"",IFERROR(L49/H49-1,"")))</f>
        <v/>
      </c>
      <c r="M51" s="17">
        <f>IF(OR(M49="",I49=""),"",IF(I49&lt;=0,"",IFERROR(M49/I49-1,"")))</f>
        <v/>
      </c>
      <c r="N51" s="17">
        <f>IF(OR(N49="",J49=""),"",IF(J49&lt;=0,"",IFERROR(N49/J49-1,"")))</f>
        <v/>
      </c>
      <c r="O51" s="16" t="n"/>
      <c r="P51" s="17">
        <f>IF(OR(P49="",O49=""),"",IF(O49&lt;=0,"",IFERROR(P49/O49-1,"")))</f>
        <v/>
      </c>
      <c r="Q51" s="17">
        <f>IF(OR(Q49="",P49=""),"",IF(P49&lt;=0,"",IFERROR(Q49/P49-1,"")))</f>
        <v/>
      </c>
      <c r="R51" s="17">
        <f>IF(OR(R49="",Q49=""),"",IF(Q49&lt;=0,"",IFERROR(R49/Q49-1,"")))</f>
        <v/>
      </c>
      <c r="S51" s="17">
        <f>IF(OR(S49="",R49=""),"",IF(R49&lt;=0,"",IFERROR(S49/R49-1,"")))</f>
        <v/>
      </c>
      <c r="T51" s="17">
        <f>IF(OR(T49="",S49=""),"",IF(S49&lt;=0,"",IFERROR(T49/S49-1,"")))</f>
        <v/>
      </c>
      <c r="U51" s="17">
        <f>IF(OR(U49="",T49=""),"",IF(T49&lt;=0,"",IFERROR(U49/T49-1,"")))</f>
        <v/>
      </c>
      <c r="V51" s="17">
        <f>IF(OR(V49="",U49=""),"",IF(U49&lt;=0,"",IFERROR(V49/U49-1,"")))</f>
        <v/>
      </c>
      <c r="W51" s="17">
        <f>IF(OR(W49="",V49=""),"",IF(V49&lt;=0,"",IFERROR(W49/V49-1,"")))</f>
        <v/>
      </c>
      <c r="X51" s="17">
        <f>IF(OR(X49="",W49=""),"",IF(W49&lt;=0,"",IFERROR(X49/W49-1,"")))</f>
        <v/>
      </c>
      <c r="Y51" s="16">
        <f>IF(OR(Y49="",X49=""),"",IF(X49&lt;=0,"",IFERROR(Y49/X49-1,"")))</f>
        <v/>
      </c>
      <c r="Z51" s="17">
        <f>IF(OR(Z49="",Y49=""),"",IF(Y49&lt;=0,"",IFERROR(Z49/Y49-1,"")))</f>
        <v/>
      </c>
      <c r="AA51" s="17">
        <f>IF(OR(AA49="",Z49=""),"",IF(Z49&lt;=0,"",IFERROR(AA49/Z49-1,"")))</f>
        <v/>
      </c>
      <c r="AB51" s="17">
        <f>IF(OR(AB49="",AA49=""),"",IF(AA49&lt;=0,"",IFERROR(AB49/AA49-1,"")))</f>
        <v/>
      </c>
      <c r="AC51" s="17">
        <f>IF(OR(AC49="",AB49=""),"",IF(AB49&lt;=0,"",IFERROR(AC49/AB49-1,"")))</f>
        <v/>
      </c>
    </row>
    <row r="52">
      <c r="A52" s="18" t="inlineStr">
        <is>
          <t>목표주가 산출</t>
        </is>
      </c>
      <c r="B52" s="18" t="n"/>
      <c r="C52" s="19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9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  <c r="Y52" s="19" t="n"/>
      <c r="Z52" s="18" t="n"/>
      <c r="AA52" s="18" t="n"/>
      <c r="AB52" s="18" t="n"/>
      <c r="AC52" s="18" t="n"/>
    </row>
    <row r="53">
      <c r="A53" s="20" t="inlineStr">
        <is>
          <t>현재 주가 ()</t>
        </is>
      </c>
      <c r="B53" s="29" t="n"/>
      <c r="C53" s="30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0" t="n"/>
      <c r="P53" s="31" t="n"/>
      <c r="Q53" s="31" t="n"/>
      <c r="R53" s="31" t="n"/>
      <c r="S53" s="31" t="n"/>
      <c r="T53" s="31" t="n"/>
      <c r="U53" s="31" t="n"/>
      <c r="V53" s="31" t="n"/>
      <c r="W53" s="31" t="n"/>
      <c r="X53" s="31" t="n"/>
      <c r="Y53" s="30" t="n"/>
      <c r="Z53" s="31" t="n"/>
      <c r="AA53" s="31" t="n"/>
      <c r="AB53" s="31" t="n"/>
      <c r="AC53" s="31" t="n"/>
    </row>
    <row r="54">
      <c r="A54" s="20" t="inlineStr">
        <is>
          <t>발행주식수 (보통주)</t>
        </is>
      </c>
      <c r="B54" s="29" t="n"/>
      <c r="C54" s="30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0" t="n"/>
      <c r="P54" s="31" t="n"/>
      <c r="Q54" s="31" t="n"/>
      <c r="R54" s="31" t="n"/>
      <c r="S54" s="31" t="n"/>
      <c r="T54" s="31" t="n"/>
      <c r="U54" s="31" t="n"/>
      <c r="V54" s="31" t="n"/>
      <c r="W54" s="31" t="n"/>
      <c r="X54" s="31" t="n"/>
      <c r="Y54" s="30" t="n"/>
      <c r="Z54" s="31" t="n"/>
      <c r="AA54" s="31" t="n"/>
      <c r="AB54" s="31" t="n"/>
      <c r="AC54" s="31" t="n"/>
    </row>
    <row r="55">
      <c r="A55" s="20" t="inlineStr">
        <is>
          <t>시가총액 (백만엔)</t>
        </is>
      </c>
      <c r="B55" s="12">
        <f>IF(OR(B53="",B54=""),"",B53*B54/1000000.0)</f>
        <v/>
      </c>
      <c r="C55" s="21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1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1" t="n"/>
      <c r="Z55" s="22" t="n"/>
      <c r="AA55" s="22" t="n"/>
      <c r="AB55" s="22" t="n"/>
      <c r="AC55" s="22" t="n"/>
    </row>
    <row r="56">
      <c r="A56" s="15" t="inlineStr">
        <is>
          <t>OPM</t>
        </is>
      </c>
      <c r="B56" s="10" t="n"/>
      <c r="C56" s="16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6">
        <f>IF(O20="","",O20)</f>
        <v/>
      </c>
      <c r="P56" s="17">
        <f>IF(P20="","",P20)</f>
        <v/>
      </c>
      <c r="Q56" s="17">
        <f>IF(Q20="","",Q20)</f>
        <v/>
      </c>
      <c r="R56" s="17">
        <f>IF(R20="","",R20)</f>
        <v/>
      </c>
      <c r="S56" s="17">
        <f>IF(S20="","",S20)</f>
        <v/>
      </c>
      <c r="T56" s="17">
        <f>IF(T20="","",T20)</f>
        <v/>
      </c>
      <c r="U56" s="17">
        <f>IF(U20="","",U20)</f>
        <v/>
      </c>
      <c r="V56" s="17">
        <f>IF(V20="","",V20)</f>
        <v/>
      </c>
      <c r="W56" s="17">
        <f>IF(W20="","",W20)</f>
        <v/>
      </c>
      <c r="X56" s="17">
        <f>IF(X20="","",X20)</f>
        <v/>
      </c>
      <c r="Y56" s="16">
        <f>IF(Y20="","",Y20)</f>
        <v/>
      </c>
      <c r="Z56" s="17">
        <f>IF(Z20="","",Z20)</f>
        <v/>
      </c>
      <c r="AA56" s="17">
        <f>IF(AA20="","",AA20)</f>
        <v/>
      </c>
      <c r="AB56" s="17">
        <f>IF(AB20="","",AB20)</f>
        <v/>
      </c>
      <c r="AC56" s="17">
        <f>IF(AC20="","",AC20)</f>
        <v/>
      </c>
    </row>
    <row r="57">
      <c r="A57" s="15" t="inlineStr">
        <is>
          <t>지배주주 순이익 증가율</t>
        </is>
      </c>
      <c r="B57" s="10" t="n"/>
      <c r="C57" s="16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6" t="n"/>
      <c r="P57" s="17">
        <f>IF(OR(P49="",O49=""),"",IFERROR(P49/O49-1,""))</f>
        <v/>
      </c>
      <c r="Q57" s="17">
        <f>IF(OR(Q49="",P49=""),"",IFERROR(Q49/P49-1,""))</f>
        <v/>
      </c>
      <c r="R57" s="17">
        <f>IF(OR(R49="",Q49=""),"",IFERROR(R49/Q49-1,""))</f>
        <v/>
      </c>
      <c r="S57" s="17">
        <f>IF(OR(S49="",R49=""),"",IFERROR(S49/R49-1,""))</f>
        <v/>
      </c>
      <c r="T57" s="17">
        <f>IF(OR(T49="",S49=""),"",IFERROR(T49/S49-1,""))</f>
        <v/>
      </c>
      <c r="U57" s="17">
        <f>IF(OR(U49="",T49=""),"",IFERROR(U49/T49-1,""))</f>
        <v/>
      </c>
      <c r="V57" s="17">
        <f>IF(OR(V49="",U49=""),"",IFERROR(V49/U49-1,""))</f>
        <v/>
      </c>
      <c r="W57" s="17">
        <f>IF(OR(W49="",V49=""),"",IFERROR(W49/V49-1,""))</f>
        <v/>
      </c>
      <c r="X57" s="17">
        <f>IF(OR(X49="",W49=""),"",IFERROR(X49/W49-1,""))</f>
        <v/>
      </c>
      <c r="Y57" s="16">
        <f>IF(OR(Y49="",X49=""),"",IFERROR(Y49/X49-1,""))</f>
        <v/>
      </c>
      <c r="Z57" s="17">
        <f>IF(OR(Z49="",Y49=""),"",IFERROR(Z49/Y49-1,""))</f>
        <v/>
      </c>
      <c r="AA57" s="17">
        <f>IF(OR(AA49="",Z49=""),"",IFERROR(AA49/Z49-1,""))</f>
        <v/>
      </c>
      <c r="AB57" s="17">
        <f>IF(OR(AB49="",AA49=""),"",IFERROR(AB49/AA49-1,""))</f>
        <v/>
      </c>
      <c r="AC57" s="17">
        <f>IF(OR(AC49="",AB49=""),"",IFERROR(AC49/AB49-1,""))</f>
        <v/>
      </c>
    </row>
    <row r="58">
      <c r="A58" s="20" t="inlineStr">
        <is>
          <t>P/E (현재 주가)</t>
        </is>
      </c>
      <c r="B58" s="10" t="inlineStr">
        <is>
          <t>시총 ÷ 지배순이익</t>
        </is>
      </c>
      <c r="C58" s="32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2" t="n"/>
      <c r="P58" s="33" t="n"/>
      <c r="Q58" s="33" t="n"/>
      <c r="R58" s="33" t="n"/>
      <c r="S58" s="33" t="n"/>
      <c r="T58" s="33" t="n"/>
      <c r="U58" s="33" t="n"/>
      <c r="V58" s="33" t="n"/>
      <c r="W58" s="33" t="n"/>
      <c r="X58" s="33">
        <f>IF(OR($B$55="",X49=""),"",IFERROR($B$55/X49,""))</f>
        <v/>
      </c>
      <c r="Y58" s="32">
        <f>IF(OR($B$55="",Y49=""),"",IFERROR($B$55/Y49,""))</f>
        <v/>
      </c>
      <c r="Z58" s="33">
        <f>IF(OR($B$55="",Z49=""),"",IFERROR($B$55/Z49,""))</f>
        <v/>
      </c>
      <c r="AA58" s="33">
        <f>IF(OR($B$55="",AA49=""),"",IFERROR($B$55/AA49,""))</f>
        <v/>
      </c>
      <c r="AB58" s="33">
        <f>IF(OR($B$55="",AB49=""),"",IFERROR($B$55/AB49,""))</f>
        <v/>
      </c>
      <c r="AC58" s="33">
        <f>IF(OR($B$55="",AC49=""),"",IFERROR($B$55/AC49,""))</f>
        <v/>
      </c>
    </row>
    <row r="59">
      <c r="A59" s="20" t="inlineStr">
        <is>
          <t>Target P/E</t>
        </is>
      </c>
      <c r="B59" s="10" t="inlineStr">
        <is>
          <t>직접 입력</t>
        </is>
      </c>
      <c r="C59" s="32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2" t="n"/>
      <c r="P59" s="33" t="n"/>
      <c r="Q59" s="33" t="n"/>
      <c r="R59" s="33" t="n"/>
      <c r="S59" s="33" t="n"/>
      <c r="T59" s="33" t="n"/>
      <c r="U59" s="33" t="n"/>
      <c r="V59" s="33" t="n"/>
      <c r="W59" s="33" t="n"/>
      <c r="X59" s="33" t="n"/>
      <c r="Y59" s="34" t="n"/>
      <c r="Z59" s="35" t="n"/>
      <c r="AA59" s="35" t="n"/>
      <c r="AB59" s="35" t="n"/>
      <c r="AC59" s="35" t="n"/>
    </row>
    <row r="60">
      <c r="A60" s="20" t="inlineStr">
        <is>
          <t>EPS</t>
        </is>
      </c>
      <c r="B60" s="10" t="inlineStr">
        <is>
          <t>지배순이익 ÷ 주식수</t>
        </is>
      </c>
      <c r="C60" s="30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0">
        <f>IF(OR(O49="",$B$54=""),"",IFERROR(O49*1000000.0/$B$54,""))</f>
        <v/>
      </c>
      <c r="P60" s="31">
        <f>IF(OR(P49="",$B$54=""),"",IFERROR(P49*1000000.0/$B$54,""))</f>
        <v/>
      </c>
      <c r="Q60" s="31">
        <f>IF(OR(Q49="",$B$54=""),"",IFERROR(Q49*1000000.0/$B$54,""))</f>
        <v/>
      </c>
      <c r="R60" s="31">
        <f>IF(OR(R49="",$B$54=""),"",IFERROR(R49*1000000.0/$B$54,""))</f>
        <v/>
      </c>
      <c r="S60" s="31">
        <f>IF(OR(S49="",$B$54=""),"",IFERROR(S49*1000000.0/$B$54,""))</f>
        <v/>
      </c>
      <c r="T60" s="31">
        <f>IF(OR(T49="",$B$54=""),"",IFERROR(T49*1000000.0/$B$54,""))</f>
        <v/>
      </c>
      <c r="U60" s="31">
        <f>IF(OR(U49="",$B$54=""),"",IFERROR(U49*1000000.0/$B$54,""))</f>
        <v/>
      </c>
      <c r="V60" s="31">
        <f>IF(OR(V49="",$B$54=""),"",IFERROR(V49*1000000.0/$B$54,""))</f>
        <v/>
      </c>
      <c r="W60" s="31">
        <f>IF(OR(W49="",$B$54=""),"",IFERROR(W49*1000000.0/$B$54,""))</f>
        <v/>
      </c>
      <c r="X60" s="31">
        <f>IF(OR(X49="",$B$54=""),"",IFERROR(X49*1000000.0/$B$54,""))</f>
        <v/>
      </c>
      <c r="Y60" s="30">
        <f>IF(OR(Y49="",$B$54=""),"",IFERROR(Y49*1000000.0/$B$54,""))</f>
        <v/>
      </c>
      <c r="Z60" s="31">
        <f>IF(OR(Z49="",$B$54=""),"",IFERROR(Z49*1000000.0/$B$54,""))</f>
        <v/>
      </c>
      <c r="AA60" s="31">
        <f>IF(OR(AA49="",$B$54=""),"",IFERROR(AA49*1000000.0/$B$54,""))</f>
        <v/>
      </c>
      <c r="AB60" s="31">
        <f>IF(OR(AB49="",$B$54=""),"",IFERROR(AB49*1000000.0/$B$54,""))</f>
        <v/>
      </c>
      <c r="AC60" s="31">
        <f>IF(OR(AC49="",$B$54=""),"",IFERROR(AC49*1000000.0/$B$54,""))</f>
        <v/>
      </c>
    </row>
    <row r="61">
      <c r="A61" s="9" t="inlineStr">
        <is>
          <t>목표주가</t>
        </is>
      </c>
      <c r="B61" s="10" t="n"/>
      <c r="C61" s="36" t="n"/>
      <c r="D61" s="29" t="n"/>
      <c r="E61" s="29" t="n"/>
      <c r="F61" s="29" t="n"/>
      <c r="G61" s="29" t="n"/>
      <c r="H61" s="29" t="n"/>
      <c r="I61" s="29" t="n"/>
      <c r="J61" s="29" t="n"/>
      <c r="K61" s="29" t="n"/>
      <c r="L61" s="29" t="n"/>
      <c r="M61" s="29" t="n"/>
      <c r="N61" s="29" t="n"/>
      <c r="O61" s="36" t="n"/>
      <c r="P61" s="29" t="n"/>
      <c r="Q61" s="29" t="n"/>
      <c r="R61" s="29" t="n"/>
      <c r="S61" s="29" t="n"/>
      <c r="T61" s="29" t="n"/>
      <c r="U61" s="29" t="n"/>
      <c r="V61" s="29" t="n"/>
      <c r="W61" s="29" t="n"/>
      <c r="X61" s="29" t="n"/>
      <c r="Y61" s="36">
        <f>IF(OR(Y60="",Y59=""),"",IFERROR(Y60*Y59,""))</f>
        <v/>
      </c>
      <c r="Z61" s="29">
        <f>IF(OR(Z60="",Z59=""),"",IFERROR(Z60*Z59,""))</f>
        <v/>
      </c>
      <c r="AA61" s="29">
        <f>IF(OR(AA60="",AA59=""),"",IFERROR(AA60*AA59,""))</f>
        <v/>
      </c>
      <c r="AB61" s="29">
        <f>IF(OR(AB60="",AB59=""),"",IFERROR(AB60*AB59,""))</f>
        <v/>
      </c>
      <c r="AC61" s="29">
        <f>IF(OR(AC60="",AC59=""),"",IFERROR(AC60*AC59,""))</f>
        <v/>
      </c>
    </row>
    <row r="62">
      <c r="A62" s="20" t="inlineStr">
        <is>
          <t>상승여력</t>
        </is>
      </c>
      <c r="B62" s="10" t="n"/>
      <c r="C62" s="37" t="n"/>
      <c r="D62" s="38" t="n"/>
      <c r="E62" s="38" t="n"/>
      <c r="F62" s="38" t="n"/>
      <c r="G62" s="38" t="n"/>
      <c r="H62" s="38" t="n"/>
      <c r="I62" s="38" t="n"/>
      <c r="J62" s="38" t="n"/>
      <c r="K62" s="38" t="n"/>
      <c r="L62" s="38" t="n"/>
      <c r="M62" s="38" t="n"/>
      <c r="N62" s="38" t="n"/>
      <c r="O62" s="37" t="n"/>
      <c r="P62" s="38" t="n"/>
      <c r="Q62" s="38" t="n"/>
      <c r="R62" s="38" t="n"/>
      <c r="S62" s="38" t="n"/>
      <c r="T62" s="38" t="n"/>
      <c r="U62" s="38" t="n"/>
      <c r="V62" s="38" t="n"/>
      <c r="W62" s="38" t="n"/>
      <c r="X62" s="38" t="n"/>
      <c r="Y62" s="39">
        <f>IF(OR(Y61="",$B$53=""),"",IFERROR(Y61/$B$53-1,""))</f>
        <v/>
      </c>
      <c r="Z62" s="40">
        <f>IF(OR(Z61="",$B$53=""),"",IFERROR(Z61/$B$53-1,""))</f>
        <v/>
      </c>
      <c r="AA62" s="40">
        <f>IF(OR(AA61="",$B$53=""),"",IFERROR(AA61/$B$53-1,""))</f>
        <v/>
      </c>
      <c r="AB62" s="40">
        <f>IF(OR(AB61="",$B$53=""),"",IFERROR(AB61/$B$53-1,""))</f>
        <v/>
      </c>
      <c r="AC62" s="40">
        <f>IF(OR(AC61="",$B$53=""),"",IFERROR(AC61/$B$53-1,""))</f>
        <v/>
      </c>
    </row>
    <row r="63">
      <c r="A63" s="18" t="inlineStr">
        <is>
          <t>자산가치 산출</t>
        </is>
      </c>
      <c r="B63" s="18" t="inlineStr">
        <is>
          <t>최신 분기 BS</t>
        </is>
      </c>
      <c r="C63" s="19" t="n"/>
      <c r="D63" s="18" t="n"/>
      <c r="E63" s="18" t="n"/>
      <c r="F63" s="18" t="n"/>
      <c r="G63" s="18" t="n"/>
      <c r="H63" s="18" t="n"/>
      <c r="I63" s="18" t="n"/>
      <c r="J63" s="18" t="n"/>
      <c r="K63" s="18" t="n"/>
      <c r="L63" s="18" t="n"/>
      <c r="M63" s="18" t="n"/>
      <c r="N63" s="18" t="n"/>
      <c r="O63" s="19" t="n"/>
      <c r="P63" s="18" t="n"/>
      <c r="Q63" s="18" t="n"/>
      <c r="R63" s="18" t="n"/>
      <c r="S63" s="18" t="n"/>
      <c r="T63" s="18" t="n"/>
      <c r="U63" s="18" t="n"/>
      <c r="V63" s="18" t="n"/>
      <c r="W63" s="18" t="n"/>
      <c r="X63" s="18" t="n"/>
      <c r="Y63" s="19" t="n"/>
      <c r="Z63" s="18" t="n"/>
      <c r="AA63" s="18" t="n"/>
      <c r="AB63" s="18" t="n"/>
      <c r="AC63" s="18" t="n"/>
    </row>
    <row r="64">
      <c r="A64" s="20" t="inlineStr">
        <is>
          <t>현금및현금성자산</t>
        </is>
      </c>
      <c r="B64" s="10" t="n"/>
      <c r="C64" s="21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1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>
        <f>'재무상태표'!G6</f>
        <v/>
      </c>
      <c r="Y64" s="21">
        <f>'재무상태표'!G6</f>
        <v/>
      </c>
      <c r="Z64" s="22">
        <f>'재무상태표'!G6</f>
        <v/>
      </c>
      <c r="AA64" s="22">
        <f>'재무상태표'!G6</f>
        <v/>
      </c>
      <c r="AB64" s="22">
        <f>'재무상태표'!G6</f>
        <v/>
      </c>
      <c r="AC64" s="22">
        <f>'재무상태표'!G6</f>
        <v/>
      </c>
    </row>
    <row r="65">
      <c r="A65" s="20" t="inlineStr">
        <is>
          <t>단기금융상품</t>
        </is>
      </c>
      <c r="B65" s="10" t="n"/>
      <c r="C65" s="21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1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>
        <f>'재무상태표'!G7</f>
        <v/>
      </c>
      <c r="Y65" s="21">
        <f>'재무상태표'!G7</f>
        <v/>
      </c>
      <c r="Z65" s="22">
        <f>'재무상태표'!G7</f>
        <v/>
      </c>
      <c r="AA65" s="22">
        <f>'재무상태표'!G7</f>
        <v/>
      </c>
      <c r="AB65" s="22">
        <f>'재무상태표'!G7</f>
        <v/>
      </c>
      <c r="AC65" s="22">
        <f>'재무상태표'!G7</f>
        <v/>
      </c>
    </row>
    <row r="66">
      <c r="A66" s="20" t="inlineStr">
        <is>
          <t>투자부동산</t>
        </is>
      </c>
      <c r="B66" s="10" t="n"/>
      <c r="C66" s="21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1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>
        <f>'재무상태표'!G14</f>
        <v/>
      </c>
      <c r="Y66" s="21">
        <f>'재무상태표'!G14</f>
        <v/>
      </c>
      <c r="Z66" s="22">
        <f>'재무상태표'!G14</f>
        <v/>
      </c>
      <c r="AA66" s="22">
        <f>'재무상태표'!G14</f>
        <v/>
      </c>
      <c r="AB66" s="22">
        <f>'재무상태표'!G14</f>
        <v/>
      </c>
      <c r="AC66" s="22">
        <f>'재무상태표'!G14</f>
        <v/>
      </c>
    </row>
    <row r="67">
      <c r="A67" s="20" t="inlineStr">
        <is>
          <t>지배자본</t>
        </is>
      </c>
      <c r="B67" s="10" t="n"/>
      <c r="C67" s="21" t="n"/>
      <c r="D67" s="22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1" t="n"/>
      <c r="P67" s="22" t="n"/>
      <c r="Q67" s="22" t="n"/>
      <c r="R67" s="22" t="n"/>
      <c r="S67" s="22" t="n"/>
      <c r="T67" s="22" t="n"/>
      <c r="U67" s="22" t="n"/>
      <c r="V67" s="22" t="n"/>
      <c r="W67" s="22" t="n"/>
      <c r="X67" s="22">
        <f>'재무상태표'!G31</f>
        <v/>
      </c>
      <c r="Y67" s="21">
        <f>'재무상태표'!G31</f>
        <v/>
      </c>
      <c r="Z67" s="22">
        <f>'재무상태표'!G31</f>
        <v/>
      </c>
      <c r="AA67" s="22">
        <f>'재무상태표'!G31</f>
        <v/>
      </c>
      <c r="AB67" s="22">
        <f>'재무상태표'!G31</f>
        <v/>
      </c>
      <c r="AC67" s="22">
        <f>'재무상태표'!G31</f>
        <v/>
      </c>
    </row>
    <row r="68">
      <c r="A68" s="20" t="inlineStr">
        <is>
          <t>부채</t>
        </is>
      </c>
      <c r="B68" s="10" t="n"/>
      <c r="C68" s="21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1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>
        <f>'재무상태표'!G27</f>
        <v/>
      </c>
      <c r="Y68" s="21">
        <f>'재무상태표'!G27</f>
        <v/>
      </c>
      <c r="Z68" s="22">
        <f>'재무상태표'!G27</f>
        <v/>
      </c>
      <c r="AA68" s="22">
        <f>'재무상태표'!G27</f>
        <v/>
      </c>
      <c r="AB68" s="22">
        <f>'재무상태표'!G27</f>
        <v/>
      </c>
      <c r="AC68" s="22">
        <f>'재무상태표'!G27</f>
        <v/>
      </c>
    </row>
    <row r="69">
      <c r="A69" s="15" t="inlineStr">
        <is>
          <t>부채비율</t>
        </is>
      </c>
      <c r="B69" s="10" t="n"/>
      <c r="C69" s="16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6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>
        <f>IF(OR(X68="",X67=""),"",IFERROR(X68/X67,""))</f>
        <v/>
      </c>
      <c r="Y69" s="16">
        <f>IF(OR(Y68="",Y67=""),"",IFERROR(Y68/Y67,""))</f>
        <v/>
      </c>
      <c r="Z69" s="17">
        <f>IF(OR(Z68="",Z67=""),"",IFERROR(Z68/Z67,""))</f>
        <v/>
      </c>
      <c r="AA69" s="17">
        <f>IF(OR(AA68="",AA67=""),"",IFERROR(AA68/AA67,""))</f>
        <v/>
      </c>
      <c r="AB69" s="17">
        <f>IF(OR(AB68="",AB67=""),"",IFERROR(AB68/AB67,""))</f>
        <v/>
      </c>
      <c r="AC69" s="17">
        <f>IF(OR(AC68="",AC67=""),"",IFERROR(AC68/AC67,""))</f>
        <v/>
      </c>
    </row>
    <row r="70">
      <c r="A70" s="9" t="inlineStr">
        <is>
          <t>자산가치</t>
        </is>
      </c>
      <c r="B70" s="10" t="inlineStr">
        <is>
          <t>현금+단기금융+투자부동산</t>
        </is>
      </c>
      <c r="C70" s="11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1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>
        <f>SUM(X64,X65,X66)</f>
        <v/>
      </c>
      <c r="Y70" s="11">
        <f>SUM(Y64,Y65,Y66)</f>
        <v/>
      </c>
      <c r="Z70" s="12">
        <f>SUM(Z64,Z65,Z66)</f>
        <v/>
      </c>
      <c r="AA70" s="12">
        <f>SUM(AA64,AA65,AA66)</f>
        <v/>
      </c>
      <c r="AB70" s="12">
        <f>SUM(AB64,AB65,AB66)</f>
        <v/>
      </c>
      <c r="AC70" s="12">
        <f>SUM(AC64,AC65,AC66)</f>
        <v/>
      </c>
    </row>
    <row r="71">
      <c r="A71" s="18" t="inlineStr">
        <is>
          <t>기업가치 산출</t>
        </is>
      </c>
      <c r="B71" s="18" t="n"/>
      <c r="C71" s="19" t="n"/>
      <c r="D71" s="18" t="n"/>
      <c r="E71" s="18" t="n"/>
      <c r="F71" s="18" t="n"/>
      <c r="G71" s="18" t="n"/>
      <c r="H71" s="18" t="n"/>
      <c r="I71" s="18" t="n"/>
      <c r="J71" s="18" t="n"/>
      <c r="K71" s="18" t="n"/>
      <c r="L71" s="18" t="n"/>
      <c r="M71" s="18" t="n"/>
      <c r="N71" s="18" t="n"/>
      <c r="O71" s="19" t="n"/>
      <c r="P71" s="18" t="n"/>
      <c r="Q71" s="18" t="n"/>
      <c r="R71" s="18" t="n"/>
      <c r="S71" s="18" t="n"/>
      <c r="T71" s="18" t="n"/>
      <c r="U71" s="18" t="n"/>
      <c r="V71" s="18" t="n"/>
      <c r="W71" s="18" t="n"/>
      <c r="X71" s="18" t="n"/>
      <c r="Y71" s="19" t="n"/>
      <c r="Z71" s="18" t="n"/>
      <c r="AA71" s="18" t="n"/>
      <c r="AB71" s="18" t="n"/>
      <c r="AC71" s="18" t="n"/>
    </row>
    <row r="72">
      <c r="A72" s="20" t="inlineStr">
        <is>
          <t>목표 시가총액 (P/E)</t>
        </is>
      </c>
      <c r="B72" s="10" t="inlineStr">
        <is>
          <t>지배순이익 × Target P/E</t>
        </is>
      </c>
      <c r="C72" s="21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1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1">
        <f>IF(OR(Y49="",Y59=""),"",IFERROR(Y49*Y59,""))</f>
        <v/>
      </c>
      <c r="Z72" s="22">
        <f>IF(OR(Z49="",Z59=""),"",IFERROR(Z49*Z59,""))</f>
        <v/>
      </c>
      <c r="AA72" s="22">
        <f>IF(OR(AA49="",AA59=""),"",IFERROR(AA49*AA59,""))</f>
        <v/>
      </c>
      <c r="AB72" s="22">
        <f>IF(OR(AB49="",AB59=""),"",IFERROR(AB49*AB59,""))</f>
        <v/>
      </c>
      <c r="AC72" s="22">
        <f>IF(OR(AC49="",AC59=""),"",IFERROR(AC49*AC59,""))</f>
        <v/>
      </c>
    </row>
    <row r="73">
      <c r="A73" s="9" t="inlineStr">
        <is>
          <t>기업가치</t>
        </is>
      </c>
      <c r="B73" s="10" t="inlineStr">
        <is>
          <t>목표시총 + 자산가치</t>
        </is>
      </c>
      <c r="C73" s="11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1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1">
        <f>IF(OR(Y72=""),"",IFERROR(Y72+Y70,""))</f>
        <v/>
      </c>
      <c r="Z73" s="12">
        <f>IF(OR(Z72=""),"",IFERROR(Z72+Z70,""))</f>
        <v/>
      </c>
      <c r="AA73" s="12">
        <f>IF(OR(AA72=""),"",IFERROR(AA72+AA70,""))</f>
        <v/>
      </c>
      <c r="AB73" s="12">
        <f>IF(OR(AB72=""),"",IFERROR(AB72+AB70,""))</f>
        <v/>
      </c>
      <c r="AC73" s="12">
        <f>IF(OR(AC72=""),"",IFERROR(AC72+AC70,""))</f>
        <v/>
      </c>
    </row>
    <row r="74">
      <c r="A74" s="20" t="inlineStr">
        <is>
          <t>현재 시가총액</t>
        </is>
      </c>
      <c r="B74" s="10" t="n"/>
      <c r="C74" s="21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1" t="n"/>
      <c r="P74" s="22" t="n"/>
      <c r="Q74" s="22" t="n"/>
      <c r="R74" s="22" t="n"/>
      <c r="S74" s="22" t="n"/>
      <c r="T74" s="22" t="n"/>
      <c r="U74" s="22" t="n"/>
      <c r="V74" s="22" t="n"/>
      <c r="W74" s="22" t="n"/>
      <c r="X74" s="22" t="n"/>
      <c r="Y74" s="21">
        <f>$B$55</f>
        <v/>
      </c>
      <c r="Z74" s="22">
        <f>$B$55</f>
        <v/>
      </c>
      <c r="AA74" s="22">
        <f>$B$55</f>
        <v/>
      </c>
      <c r="AB74" s="22">
        <f>$B$55</f>
        <v/>
      </c>
      <c r="AC74" s="22">
        <f>$B$55</f>
        <v/>
      </c>
    </row>
    <row r="75">
      <c r="A75" s="20" t="inlineStr">
        <is>
          <t>상승여력</t>
        </is>
      </c>
      <c r="B75" s="10" t="n"/>
      <c r="C75" s="37" t="n"/>
      <c r="D75" s="38" t="n"/>
      <c r="E75" s="38" t="n"/>
      <c r="F75" s="38" t="n"/>
      <c r="G75" s="38" t="n"/>
      <c r="H75" s="38" t="n"/>
      <c r="I75" s="38" t="n"/>
      <c r="J75" s="38" t="n"/>
      <c r="K75" s="38" t="n"/>
      <c r="L75" s="38" t="n"/>
      <c r="M75" s="38" t="n"/>
      <c r="N75" s="38" t="n"/>
      <c r="O75" s="37" t="n"/>
      <c r="P75" s="38" t="n"/>
      <c r="Q75" s="38" t="n"/>
      <c r="R75" s="38" t="n"/>
      <c r="S75" s="38" t="n"/>
      <c r="T75" s="38" t="n"/>
      <c r="U75" s="38" t="n"/>
      <c r="V75" s="38" t="n"/>
      <c r="W75" s="38" t="n"/>
      <c r="X75" s="38" t="n"/>
      <c r="Y75" s="39">
        <f>IF(OR(Y73="",Y74=""),"",IFERROR(Y73/Y74-1,""))</f>
        <v/>
      </c>
      <c r="Z75" s="40">
        <f>IF(OR(Z73="",Z74=""),"",IFERROR(Z73/Z74-1,""))</f>
        <v/>
      </c>
      <c r="AA75" s="40">
        <f>IF(OR(AA73="",AA74=""),"",IFERROR(AA73/AA74-1,""))</f>
        <v/>
      </c>
      <c r="AB75" s="40">
        <f>IF(OR(AB73="",AB74=""),"",IFERROR(AB73/AB74-1,""))</f>
        <v/>
      </c>
      <c r="AC75" s="40">
        <f>IF(OR(AC73="",AC74=""),"",IFERROR(AC73/AC74-1,""))</f>
        <v/>
      </c>
    </row>
    <row r="76">
      <c r="C76" s="41" t="n"/>
      <c r="O76" s="41" t="n"/>
      <c r="Y76" s="41" t="n"/>
    </row>
    <row r="77">
      <c r="A77" s="42" t="inlineStr">
        <is>
          <t>출처</t>
        </is>
      </c>
      <c r="C77" s="41" t="n"/>
      <c r="O77" s="41" t="n"/>
      <c r="Y77" s="41" t="n"/>
    </row>
    <row r="78">
      <c r="A78" s="43" t="inlineStr">
        <is>
          <t>결산단신 XBRL(TDnet·JPX 보관소) — 쓴 문서는 '출처' 시트</t>
        </is>
      </c>
      <c r="C78" s="41" t="n"/>
      <c r="O78" s="41" t="n"/>
      <c r="Y78" s="41" t="n"/>
    </row>
    <row r="79">
      <c r="A79" s="43" t="inlineStr">
        <is>
          <t>분기 = 누계에서 앞 분기를 뺀 3개월 값</t>
        </is>
      </c>
      <c r="C79" s="41" t="n"/>
      <c r="O79" s="41" t="n"/>
      <c r="Y79" s="41" t="n"/>
    </row>
    <row r="80">
      <c r="A80" s="43" t="inlineStr">
        <is>
          <t>주가: 야후 파이낸스 일봉</t>
        </is>
      </c>
      <c r="C80" s="41" t="n"/>
      <c r="O80" s="41" t="n"/>
      <c r="Y80" s="41" t="n"/>
    </row>
    <row r="82">
      <c r="A82" s="18" t="inlineStr">
        <is>
          <t>손익계산서 · 전 항목</t>
        </is>
      </c>
      <c r="B82" s="44" t="inlineStr">
        <is>
          <t>분기 = 3개월 단독</t>
        </is>
      </c>
      <c r="C82" s="18" t="n"/>
      <c r="D82" s="18" t="n"/>
      <c r="E82" s="18" t="n"/>
      <c r="F82" s="18" t="n"/>
      <c r="G82" s="18" t="n"/>
      <c r="H82" s="18" t="n"/>
      <c r="I82" s="18" t="n"/>
      <c r="J82" s="18" t="n"/>
      <c r="K82" s="18" t="n"/>
      <c r="L82" s="18" t="n"/>
      <c r="M82" s="18" t="n"/>
      <c r="N82" s="18" t="n"/>
      <c r="O82" s="18" t="n"/>
      <c r="P82" s="18" t="n"/>
      <c r="Q82" s="18" t="n"/>
      <c r="R82" s="18" t="n"/>
      <c r="S82" s="18" t="n"/>
      <c r="T82" s="18" t="n"/>
      <c r="U82" s="18" t="n"/>
      <c r="V82" s="18" t="n"/>
      <c r="W82" s="18" t="n"/>
      <c r="X82" s="18" t="n"/>
      <c r="Y82" s="18" t="n"/>
      <c r="Z82" s="18" t="n"/>
      <c r="AA82" s="18" t="n"/>
      <c r="AB82" s="18" t="n"/>
      <c r="AC82" s="18" t="n"/>
    </row>
    <row r="83">
      <c r="A83" s="5" t="inlineStr">
        <is>
          <t>항목</t>
        </is>
      </c>
      <c r="B83" s="5" t="inlineStr">
        <is>
          <t>참고</t>
        </is>
      </c>
      <c r="C83" s="5" t="inlineStr">
        <is>
          <t>2024.3Q</t>
        </is>
      </c>
      <c r="D83" s="5" t="inlineStr">
        <is>
          <t>2024.4Q</t>
        </is>
      </c>
      <c r="E83" s="5" t="inlineStr">
        <is>
          <t>2025.1Q</t>
        </is>
      </c>
      <c r="F83" s="5" t="inlineStr">
        <is>
          <t>2025.2Q</t>
        </is>
      </c>
      <c r="G83" s="5" t="inlineStr">
        <is>
          <t>2025.3Q</t>
        </is>
      </c>
      <c r="H83" s="5" t="inlineStr">
        <is>
          <t>2025.4Q</t>
        </is>
      </c>
      <c r="I83" s="5" t="inlineStr">
        <is>
          <t>2026.1Q</t>
        </is>
      </c>
      <c r="J83" s="5" t="inlineStr">
        <is>
          <t>2026.2Q</t>
        </is>
      </c>
      <c r="K83" s="5" t="inlineStr">
        <is>
          <t>2026.3Q</t>
        </is>
      </c>
      <c r="L83" s="5" t="inlineStr">
        <is>
          <t>2026.4Q</t>
        </is>
      </c>
      <c r="M83" s="5" t="inlineStr">
        <is>
          <t>2027.1Q</t>
        </is>
      </c>
      <c r="N83" s="5" t="inlineStr">
        <is>
          <t>2027.2Q</t>
        </is>
      </c>
      <c r="O83" s="5" t="inlineStr">
        <is>
          <t>2017</t>
        </is>
      </c>
      <c r="P83" s="5" t="inlineStr">
        <is>
          <t>2018</t>
        </is>
      </c>
      <c r="Q83" s="5" t="inlineStr">
        <is>
          <t>2019</t>
        </is>
      </c>
      <c r="R83" s="5" t="inlineStr">
        <is>
          <t>2020</t>
        </is>
      </c>
      <c r="S83" s="5" t="inlineStr">
        <is>
          <t>2021</t>
        </is>
      </c>
      <c r="T83" s="5" t="inlineStr">
        <is>
          <t>2022</t>
        </is>
      </c>
      <c r="U83" s="5" t="inlineStr">
        <is>
          <t>2023</t>
        </is>
      </c>
      <c r="V83" s="5" t="inlineStr">
        <is>
          <t>2024</t>
        </is>
      </c>
      <c r="W83" s="5" t="inlineStr">
        <is>
          <t>2025</t>
        </is>
      </c>
      <c r="X83" s="5" t="inlineStr">
        <is>
          <t>2026</t>
        </is>
      </c>
      <c r="Y83" s="5" t="inlineStr">
        <is>
          <t>2027(MW)</t>
        </is>
      </c>
      <c r="Z83" s="5" t="inlineStr">
        <is>
          <t>2028(MW)</t>
        </is>
      </c>
      <c r="AA83" s="5" t="inlineStr">
        <is>
          <t>2029(MW)</t>
        </is>
      </c>
      <c r="AB83" s="5" t="inlineStr">
        <is>
          <t>2030(MW)</t>
        </is>
      </c>
      <c r="AC83" s="5" t="inlineStr">
        <is>
          <t>2031(MW)</t>
        </is>
      </c>
    </row>
    <row r="84">
      <c r="A84" s="9" t="inlineStr">
        <is>
          <t>매출액</t>
        </is>
      </c>
      <c r="C84" s="12" t="n">
        <v>3466.47</v>
      </c>
      <c r="D84" s="12" t="n">
        <v>3366.015</v>
      </c>
      <c r="E84" s="12" t="n">
        <v>3269.762</v>
      </c>
      <c r="F84" s="12" t="n">
        <v>3212.801</v>
      </c>
      <c r="G84" s="12" t="n">
        <v>2753.309</v>
      </c>
      <c r="H84" s="12" t="n">
        <v>2590.529</v>
      </c>
      <c r="I84" s="12" t="n">
        <v>2596.292</v>
      </c>
      <c r="J84" s="12" t="n">
        <v>2649.556</v>
      </c>
      <c r="K84" s="12" t="n">
        <v>2768.454</v>
      </c>
      <c r="L84" s="12" t="n">
        <v>3195.957</v>
      </c>
      <c r="M84" s="12" t="n">
        <v>3209.825</v>
      </c>
      <c r="N84" s="12" t="n">
        <v>3876.706</v>
      </c>
      <c r="T84" s="12" t="n">
        <v>2214.003</v>
      </c>
      <c r="U84" s="12" t="n">
        <v>2921.832</v>
      </c>
      <c r="V84" s="12" t="n">
        <v>3366.015</v>
      </c>
      <c r="W84" s="12" t="n">
        <v>2590.529</v>
      </c>
      <c r="X84" s="12" t="n">
        <v>3195.957</v>
      </c>
    </row>
    <row r="85">
      <c r="A85" s="45" t="inlineStr">
        <is>
          <t>YoY</t>
        </is>
      </c>
      <c r="B85" s="3" t="inlineStr">
        <is>
          <t>전년 같은 분기·전년 대비</t>
        </is>
      </c>
      <c r="G85" s="17">
        <f>IF(OR(G84="",C84=""),"",IF(C84&lt;=0,"",IFERROR(G84/C84-1,"")))</f>
        <v/>
      </c>
      <c r="H85" s="17">
        <f>IF(OR(H84="",D84=""),"",IF(D84&lt;=0,"",IFERROR(H84/D84-1,"")))</f>
        <v/>
      </c>
      <c r="I85" s="17">
        <f>IF(OR(I84="",E84=""),"",IF(E84&lt;=0,"",IFERROR(I84/E84-1,"")))</f>
        <v/>
      </c>
      <c r="J85" s="17">
        <f>IF(OR(J84="",F84=""),"",IF(F84&lt;=0,"",IFERROR(J84/F84-1,"")))</f>
        <v/>
      </c>
      <c r="K85" s="17">
        <f>IF(OR(K84="",G84=""),"",IF(G84&lt;=0,"",IFERROR(K84/G84-1,"")))</f>
        <v/>
      </c>
      <c r="L85" s="17">
        <f>IF(OR(L84="",H84=""),"",IF(H84&lt;=0,"",IFERROR(L84/H84-1,"")))</f>
        <v/>
      </c>
      <c r="M85" s="17">
        <f>IF(OR(M84="",I84=""),"",IF(I84&lt;=0,"",IFERROR(M84/I84-1,"")))</f>
        <v/>
      </c>
      <c r="N85" s="17">
        <f>IF(OR(N84="",J84=""),"",IF(J84&lt;=0,"",IFERROR(N84/J84-1,"")))</f>
        <v/>
      </c>
      <c r="T85" s="17">
        <f>IF(OR(T84="",S84=""),"",IF(S84&lt;=0,"",IFERROR(T84/S84-1,"")))</f>
        <v/>
      </c>
      <c r="U85" s="17">
        <f>IF(OR(U84="",T84=""),"",IF(T84&lt;=0,"",IFERROR(U84/T84-1,"")))</f>
        <v/>
      </c>
      <c r="V85" s="17">
        <f>IF(OR(V84="",U84=""),"",IF(U84&lt;=0,"",IFERROR(V84/U84-1,"")))</f>
        <v/>
      </c>
      <c r="W85" s="17">
        <f>IF(OR(W84="",V84=""),"",IF(V84&lt;=0,"",IFERROR(W84/V84-1,"")))</f>
        <v/>
      </c>
      <c r="X85" s="17">
        <f>IF(OR(X84="",W84=""),"",IF(W84&lt;=0,"",IFERROR(X84/W84-1,"")))</f>
        <v/>
      </c>
    </row>
    <row r="86">
      <c r="A86" s="20" t="inlineStr">
        <is>
          <t>매출원가</t>
        </is>
      </c>
      <c r="C86" s="22" t="n">
        <v>901.453</v>
      </c>
      <c r="D86" s="22" t="n">
        <v>867.3440000000001</v>
      </c>
      <c r="E86" s="22" t="n">
        <v>811.135</v>
      </c>
      <c r="F86" s="22" t="n">
        <v>745.8920000000001</v>
      </c>
      <c r="G86" s="22" t="n">
        <v>631.082</v>
      </c>
      <c r="H86" s="22" t="n">
        <v>671.792</v>
      </c>
      <c r="I86" s="22" t="n">
        <v>601.694</v>
      </c>
      <c r="J86" s="22" t="n">
        <v>619.768</v>
      </c>
      <c r="K86" s="22" t="n">
        <v>651.66</v>
      </c>
      <c r="L86" s="22" t="n">
        <v>853.0309999999999</v>
      </c>
      <c r="M86" s="22" t="n">
        <v>883.753</v>
      </c>
      <c r="N86" s="22" t="n">
        <v>1168.463</v>
      </c>
      <c r="T86" s="22" t="n">
        <v>559.424</v>
      </c>
      <c r="U86" s="22" t="n">
        <v>763.018</v>
      </c>
      <c r="V86" s="22" t="n">
        <v>867.3440000000001</v>
      </c>
      <c r="W86" s="22" t="n">
        <v>671.792</v>
      </c>
      <c r="X86" s="22" t="n">
        <v>853.0309999999999</v>
      </c>
    </row>
    <row r="87">
      <c r="A87" s="45" t="inlineStr">
        <is>
          <t>YoY</t>
        </is>
      </c>
      <c r="B87" s="3" t="inlineStr">
        <is>
          <t>전년 같은 분기·전년 대비</t>
        </is>
      </c>
      <c r="G87" s="17">
        <f>IF(OR(G86="",C86=""),"",IF(G86*C86&lt;=0,"",IFERROR(G86/C86-1,"")))</f>
        <v/>
      </c>
      <c r="H87" s="17">
        <f>IF(OR(H86="",D86=""),"",IF(H86*D86&lt;=0,"",IFERROR(H86/D86-1,"")))</f>
        <v/>
      </c>
      <c r="I87" s="17">
        <f>IF(OR(I86="",E86=""),"",IF(I86*E86&lt;=0,"",IFERROR(I86/E86-1,"")))</f>
        <v/>
      </c>
      <c r="J87" s="17">
        <f>IF(OR(J86="",F86=""),"",IF(J86*F86&lt;=0,"",IFERROR(J86/F86-1,"")))</f>
        <v/>
      </c>
      <c r="K87" s="17">
        <f>IF(OR(K86="",G86=""),"",IF(K86*G86&lt;=0,"",IFERROR(K86/G86-1,"")))</f>
        <v/>
      </c>
      <c r="L87" s="17">
        <f>IF(OR(L86="",H86=""),"",IF(L86*H86&lt;=0,"",IFERROR(L86/H86-1,"")))</f>
        <v/>
      </c>
      <c r="M87" s="17">
        <f>IF(OR(M86="",I86=""),"",IF(M86*I86&lt;=0,"",IFERROR(M86/I86-1,"")))</f>
        <v/>
      </c>
      <c r="N87" s="17">
        <f>IF(OR(N86="",J86=""),"",IF(N86*J86&lt;=0,"",IFERROR(N86/J86-1,"")))</f>
        <v/>
      </c>
      <c r="T87" s="17">
        <f>IF(OR(T86="",S86=""),"",IF(T86*S86&lt;=0,"",IFERROR(T86/S86-1,"")))</f>
        <v/>
      </c>
      <c r="U87" s="17">
        <f>IF(OR(U86="",T86=""),"",IF(U86*T86&lt;=0,"",IFERROR(U86/T86-1,"")))</f>
        <v/>
      </c>
      <c r="V87" s="17">
        <f>IF(OR(V86="",U86=""),"",IF(V86*U86&lt;=0,"",IFERROR(V86/U86-1,"")))</f>
        <v/>
      </c>
      <c r="W87" s="17">
        <f>IF(OR(W86="",V86=""),"",IF(W86*V86&lt;=0,"",IFERROR(W86/V86-1,"")))</f>
        <v/>
      </c>
      <c r="X87" s="17">
        <f>IF(OR(X86="",W86=""),"",IF(X86*W86&lt;=0,"",IFERROR(X86/W86-1,"")))</f>
        <v/>
      </c>
    </row>
    <row r="88">
      <c r="A88" s="9" t="inlineStr">
        <is>
          <t>매출총이익</t>
        </is>
      </c>
      <c r="C88" s="12" t="n">
        <v>2565.018</v>
      </c>
      <c r="D88" s="12" t="n">
        <v>2498.67</v>
      </c>
      <c r="E88" s="12" t="n">
        <v>2458.627</v>
      </c>
      <c r="F88" s="12" t="n">
        <v>2466.908</v>
      </c>
      <c r="G88" s="12" t="n">
        <v>2122.228</v>
      </c>
      <c r="H88" s="12" t="n">
        <v>1918.737</v>
      </c>
      <c r="I88" s="12" t="n">
        <v>1994.598</v>
      </c>
      <c r="J88" s="12" t="n">
        <v>2029.787</v>
      </c>
      <c r="K88" s="12" t="n">
        <v>2116.795</v>
      </c>
      <c r="L88" s="12" t="n">
        <v>2342.926</v>
      </c>
      <c r="M88" s="12" t="n">
        <v>2326.071</v>
      </c>
      <c r="N88" s="12" t="n">
        <v>2708.244</v>
      </c>
      <c r="T88" s="12" t="n">
        <v>1654.578</v>
      </c>
      <c r="U88" s="12" t="n">
        <v>2158.815</v>
      </c>
      <c r="V88" s="12" t="n">
        <v>2498.67</v>
      </c>
      <c r="W88" s="12" t="n">
        <v>1918.737</v>
      </c>
      <c r="X88" s="12" t="n">
        <v>2342.926</v>
      </c>
    </row>
    <row r="89">
      <c r="A89" s="45" t="inlineStr">
        <is>
          <t>YoY</t>
        </is>
      </c>
      <c r="B89" s="3" t="inlineStr">
        <is>
          <t>전년 같은 분기·전년 대비</t>
        </is>
      </c>
      <c r="G89" s="17">
        <f>IF(OR(G88="",C88=""),"",IF(C88&lt;=0,"",IFERROR(G88/C88-1,"")))</f>
        <v/>
      </c>
      <c r="H89" s="17">
        <f>IF(OR(H88="",D88=""),"",IF(D88&lt;=0,"",IFERROR(H88/D88-1,"")))</f>
        <v/>
      </c>
      <c r="I89" s="17">
        <f>IF(OR(I88="",E88=""),"",IF(E88&lt;=0,"",IFERROR(I88/E88-1,"")))</f>
        <v/>
      </c>
      <c r="J89" s="17">
        <f>IF(OR(J88="",F88=""),"",IF(F88&lt;=0,"",IFERROR(J88/F88-1,"")))</f>
        <v/>
      </c>
      <c r="K89" s="17">
        <f>IF(OR(K88="",G88=""),"",IF(G88&lt;=0,"",IFERROR(K88/G88-1,"")))</f>
        <v/>
      </c>
      <c r="L89" s="17">
        <f>IF(OR(L88="",H88=""),"",IF(H88&lt;=0,"",IFERROR(L88/H88-1,"")))</f>
        <v/>
      </c>
      <c r="M89" s="17">
        <f>IF(OR(M88="",I88=""),"",IF(I88&lt;=0,"",IFERROR(M88/I88-1,"")))</f>
        <v/>
      </c>
      <c r="N89" s="17">
        <f>IF(OR(N88="",J88=""),"",IF(J88&lt;=0,"",IFERROR(N88/J88-1,"")))</f>
        <v/>
      </c>
      <c r="T89" s="17">
        <f>IF(OR(T88="",S88=""),"",IF(S88&lt;=0,"",IFERROR(T88/S88-1,"")))</f>
        <v/>
      </c>
      <c r="U89" s="17">
        <f>IF(OR(U88="",T88=""),"",IF(T88&lt;=0,"",IFERROR(U88/T88-1,"")))</f>
        <v/>
      </c>
      <c r="V89" s="17">
        <f>IF(OR(V88="",U88=""),"",IF(U88&lt;=0,"",IFERROR(V88/U88-1,"")))</f>
        <v/>
      </c>
      <c r="W89" s="17">
        <f>IF(OR(W88="",V88=""),"",IF(V88&lt;=0,"",IFERROR(W88/V88-1,"")))</f>
        <v/>
      </c>
      <c r="X89" s="17">
        <f>IF(OR(X88="",W88=""),"",IF(W88&lt;=0,"",IFERROR(X88/W88-1,"")))</f>
        <v/>
      </c>
    </row>
    <row r="90">
      <c r="A90" s="20" t="inlineStr">
        <is>
          <t>반품조정충당금 환입액</t>
        </is>
      </c>
      <c r="T90" s="22" t="n">
        <v>0</v>
      </c>
      <c r="U90" s="22" t="n">
        <v>0</v>
      </c>
    </row>
    <row r="91">
      <c r="A91" s="20" t="inlineStr">
        <is>
          <t>반품조정충당금 전입액</t>
        </is>
      </c>
      <c r="T91" s="22" t="n">
        <v>-1.721</v>
      </c>
      <c r="U91" s="22" t="n">
        <v>0</v>
      </c>
    </row>
    <row r="92">
      <c r="A92" s="9" t="inlineStr">
        <is>
          <t>차감 매출총이익</t>
        </is>
      </c>
      <c r="T92" s="12" t="n">
        <v>1656.299</v>
      </c>
      <c r="U92" s="12" t="n">
        <v>2158.815</v>
      </c>
    </row>
    <row r="93">
      <c r="A93" s="45" t="inlineStr">
        <is>
          <t>YoY</t>
        </is>
      </c>
      <c r="B93" s="3" t="inlineStr">
        <is>
          <t>전년 같은 분기·전년 대비</t>
        </is>
      </c>
      <c r="T93" s="17">
        <f>IF(OR(T92="",S92=""),"",IF(S92&lt;=0,"",IFERROR(T92/S92-1,"")))</f>
        <v/>
      </c>
      <c r="U93" s="17">
        <f>IF(OR(U92="",T92=""),"",IF(T92&lt;=0,"",IFERROR(U92/T92-1,"")))</f>
        <v/>
      </c>
    </row>
    <row r="94">
      <c r="A94" s="20" t="inlineStr">
        <is>
          <t>판매비와 관리비</t>
        </is>
      </c>
      <c r="C94" s="22" t="n">
        <v>1932.037</v>
      </c>
      <c r="D94" s="22" t="n">
        <v>2125.481</v>
      </c>
      <c r="E94" s="22" t="n">
        <v>2069.238</v>
      </c>
      <c r="F94" s="22" t="n">
        <v>1954.286</v>
      </c>
      <c r="G94" s="22" t="n">
        <v>1550.895</v>
      </c>
      <c r="H94" s="22" t="n">
        <v>1716.745</v>
      </c>
      <c r="I94" s="22" t="n">
        <v>1754.168</v>
      </c>
      <c r="J94" s="22" t="n">
        <v>1764.983</v>
      </c>
      <c r="K94" s="22" t="n">
        <v>1864.054</v>
      </c>
      <c r="L94" s="22" t="n">
        <v>2099.906</v>
      </c>
      <c r="M94" s="22" t="n">
        <v>2428.592</v>
      </c>
      <c r="N94" s="22" t="n">
        <v>2255.718</v>
      </c>
      <c r="T94" s="22" t="n">
        <v>1174.49</v>
      </c>
      <c r="U94" s="22" t="n">
        <v>2367.59</v>
      </c>
      <c r="V94" s="22" t="n">
        <v>2125.481</v>
      </c>
      <c r="W94" s="22" t="n">
        <v>1716.745</v>
      </c>
      <c r="X94" s="22" t="n">
        <v>2099.906</v>
      </c>
    </row>
    <row r="95">
      <c r="A95" s="45" t="inlineStr">
        <is>
          <t>YoY</t>
        </is>
      </c>
      <c r="B95" s="3" t="inlineStr">
        <is>
          <t>전년 같은 분기·전년 대비</t>
        </is>
      </c>
      <c r="G95" s="17">
        <f>IF(OR(G94="",C94=""),"",IF(G94*C94&lt;=0,"",IFERROR(G94/C94-1,"")))</f>
        <v/>
      </c>
      <c r="H95" s="17">
        <f>IF(OR(H94="",D94=""),"",IF(H94*D94&lt;=0,"",IFERROR(H94/D94-1,"")))</f>
        <v/>
      </c>
      <c r="I95" s="17">
        <f>IF(OR(I94="",E94=""),"",IF(I94*E94&lt;=0,"",IFERROR(I94/E94-1,"")))</f>
        <v/>
      </c>
      <c r="J95" s="17">
        <f>IF(OR(J94="",F94=""),"",IF(J94*F94&lt;=0,"",IFERROR(J94/F94-1,"")))</f>
        <v/>
      </c>
      <c r="K95" s="17">
        <f>IF(OR(K94="",G94=""),"",IF(K94*G94&lt;=0,"",IFERROR(K94/G94-1,"")))</f>
        <v/>
      </c>
      <c r="L95" s="17">
        <f>IF(OR(L94="",H94=""),"",IF(L94*H94&lt;=0,"",IFERROR(L94/H94-1,"")))</f>
        <v/>
      </c>
      <c r="M95" s="17">
        <f>IF(OR(M94="",I94=""),"",IF(M94*I94&lt;=0,"",IFERROR(M94/I94-1,"")))</f>
        <v/>
      </c>
      <c r="N95" s="17">
        <f>IF(OR(N94="",J94=""),"",IF(N94*J94&lt;=0,"",IFERROR(N94/J94-1,"")))</f>
        <v/>
      </c>
      <c r="T95" s="17">
        <f>IF(OR(T94="",S94=""),"",IF(T94*S94&lt;=0,"",IFERROR(T94/S94-1,"")))</f>
        <v/>
      </c>
      <c r="U95" s="17">
        <f>IF(OR(U94="",T94=""),"",IF(U94*T94&lt;=0,"",IFERROR(U94/T94-1,"")))</f>
        <v/>
      </c>
      <c r="V95" s="17">
        <f>IF(OR(V94="",U94=""),"",IF(V94*U94&lt;=0,"",IFERROR(V94/U94-1,"")))</f>
        <v/>
      </c>
      <c r="W95" s="17">
        <f>IF(OR(W94="",V94=""),"",IF(W94*V94&lt;=0,"",IFERROR(W94/V94-1,"")))</f>
        <v/>
      </c>
      <c r="X95" s="17">
        <f>IF(OR(X94="",W94=""),"",IF(X94*W94&lt;=0,"",IFERROR(X94/W94-1,"")))</f>
        <v/>
      </c>
    </row>
    <row r="96">
      <c r="A96" s="9" t="inlineStr">
        <is>
          <t>영업이익</t>
        </is>
      </c>
      <c r="C96" s="12" t="n">
        <v>632.98</v>
      </c>
      <c r="D96" s="12" t="n">
        <v>373.189</v>
      </c>
      <c r="E96" s="12" t="n">
        <v>389.388</v>
      </c>
      <c r="F96" s="12" t="n">
        <v>512.623</v>
      </c>
      <c r="G96" s="12" t="n">
        <v>571.332</v>
      </c>
      <c r="H96" s="12" t="n">
        <v>201.992</v>
      </c>
      <c r="I96" s="12" t="n">
        <v>240.429</v>
      </c>
      <c r="J96" s="12" t="n">
        <v>264.805</v>
      </c>
      <c r="K96" s="12" t="n">
        <v>252.74</v>
      </c>
      <c r="L96" s="12" t="n">
        <v>243.021</v>
      </c>
      <c r="M96" s="12" t="n">
        <v>-102.521</v>
      </c>
      <c r="N96" s="12" t="n">
        <v>452.526</v>
      </c>
      <c r="T96" s="12" t="n">
        <v>481.81</v>
      </c>
      <c r="U96" s="12" t="n">
        <v>-208.775</v>
      </c>
      <c r="V96" s="12" t="n">
        <v>373.189</v>
      </c>
      <c r="W96" s="12" t="n">
        <v>201.992</v>
      </c>
      <c r="X96" s="12" t="n">
        <v>243.021</v>
      </c>
    </row>
    <row r="97">
      <c r="A97" s="45" t="inlineStr">
        <is>
          <t>OPM</t>
        </is>
      </c>
      <c r="B97" s="3" t="inlineStr">
        <is>
          <t>영업이익 ÷ 매출</t>
        </is>
      </c>
      <c r="C97" s="17">
        <f>IF(OR(C96="",C84=""),"",IF(C84&lt;=0,"",IFERROR(C96/C84,"")))</f>
        <v/>
      </c>
      <c r="D97" s="17">
        <f>IF(OR(D96="",D84=""),"",IF(D84&lt;=0,"",IFERROR(D96/D84,"")))</f>
        <v/>
      </c>
      <c r="E97" s="17">
        <f>IF(OR(E96="",E84=""),"",IF(E84&lt;=0,"",IFERROR(E96/E84,"")))</f>
        <v/>
      </c>
      <c r="F97" s="17">
        <f>IF(OR(F96="",F84=""),"",IF(F84&lt;=0,"",IFERROR(F96/F84,"")))</f>
        <v/>
      </c>
      <c r="G97" s="17">
        <f>IF(OR(G96="",G84=""),"",IF(G84&lt;=0,"",IFERROR(G96/G84,"")))</f>
        <v/>
      </c>
      <c r="H97" s="17">
        <f>IF(OR(H96="",H84=""),"",IF(H84&lt;=0,"",IFERROR(H96/H84,"")))</f>
        <v/>
      </c>
      <c r="I97" s="17">
        <f>IF(OR(I96="",I84=""),"",IF(I84&lt;=0,"",IFERROR(I96/I84,"")))</f>
        <v/>
      </c>
      <c r="J97" s="17">
        <f>IF(OR(J96="",J84=""),"",IF(J84&lt;=0,"",IFERROR(J96/J84,"")))</f>
        <v/>
      </c>
      <c r="K97" s="17">
        <f>IF(OR(K96="",K84=""),"",IF(K84&lt;=0,"",IFERROR(K96/K84,"")))</f>
        <v/>
      </c>
      <c r="L97" s="17">
        <f>IF(OR(L96="",L84=""),"",IF(L84&lt;=0,"",IFERROR(L96/L84,"")))</f>
        <v/>
      </c>
      <c r="M97" s="17">
        <f>IF(OR(M96="",M84=""),"",IF(M84&lt;=0,"",IFERROR(M96/M84,"")))</f>
        <v/>
      </c>
      <c r="N97" s="17">
        <f>IF(OR(N96="",N84=""),"",IF(N84&lt;=0,"",IFERROR(N96/N84,"")))</f>
        <v/>
      </c>
      <c r="T97" s="17">
        <f>IF(OR(T96="",T84=""),"",IF(T84&lt;=0,"",IFERROR(T96/T84,"")))</f>
        <v/>
      </c>
      <c r="U97" s="17">
        <f>IF(OR(U96="",U84=""),"",IF(U84&lt;=0,"",IFERROR(U96/U84,"")))</f>
        <v/>
      </c>
      <c r="V97" s="17">
        <f>IF(OR(V96="",V84=""),"",IF(V84&lt;=0,"",IFERROR(V96/V84,"")))</f>
        <v/>
      </c>
      <c r="W97" s="17">
        <f>IF(OR(W96="",W84=""),"",IF(W84&lt;=0,"",IFERROR(W96/W84,"")))</f>
        <v/>
      </c>
      <c r="X97" s="17">
        <f>IF(OR(X96="",X84=""),"",IF(X84&lt;=0,"",IFERROR(X96/X84,"")))</f>
        <v/>
      </c>
    </row>
    <row r="98">
      <c r="A98" s="45" t="inlineStr">
        <is>
          <t>YoY</t>
        </is>
      </c>
      <c r="B98" s="3" t="inlineStr">
        <is>
          <t>전년 같은 분기·전년 대비</t>
        </is>
      </c>
      <c r="G98" s="17">
        <f>IF(OR(G96="",C96=""),"",IF(C96&lt;=0,"",IFERROR(G96/C96-1,"")))</f>
        <v/>
      </c>
      <c r="H98" s="17">
        <f>IF(OR(H96="",D96=""),"",IF(D96&lt;=0,"",IFERROR(H96/D96-1,"")))</f>
        <v/>
      </c>
      <c r="I98" s="17">
        <f>IF(OR(I96="",E96=""),"",IF(E96&lt;=0,"",IFERROR(I96/E96-1,"")))</f>
        <v/>
      </c>
      <c r="J98" s="17">
        <f>IF(OR(J96="",F96=""),"",IF(F96&lt;=0,"",IFERROR(J96/F96-1,"")))</f>
        <v/>
      </c>
      <c r="K98" s="17">
        <f>IF(OR(K96="",G96=""),"",IF(G96&lt;=0,"",IFERROR(K96/G96-1,"")))</f>
        <v/>
      </c>
      <c r="L98" s="17">
        <f>IF(OR(L96="",H96=""),"",IF(H96&lt;=0,"",IFERROR(L96/H96-1,"")))</f>
        <v/>
      </c>
      <c r="M98" s="17">
        <f>IF(OR(M96="",I96=""),"",IF(I96&lt;=0,"",IFERROR(M96/I96-1,"")))</f>
        <v/>
      </c>
      <c r="N98" s="17">
        <f>IF(OR(N96="",J96=""),"",IF(J96&lt;=0,"",IFERROR(N96/J96-1,"")))</f>
        <v/>
      </c>
      <c r="T98" s="17">
        <f>IF(OR(T96="",S96=""),"",IF(S96&lt;=0,"",IFERROR(T96/S96-1,"")))</f>
        <v/>
      </c>
      <c r="U98" s="17">
        <f>IF(OR(U96="",T96=""),"",IF(T96&lt;=0,"",IFERROR(U96/T96-1,"")))</f>
        <v/>
      </c>
      <c r="V98" s="17">
        <f>IF(OR(V96="",U96=""),"",IF(U96&lt;=0,"",IFERROR(V96/U96-1,"")))</f>
        <v/>
      </c>
      <c r="W98" s="17">
        <f>IF(OR(W96="",V96=""),"",IF(V96&lt;=0,"",IFERROR(W96/V96-1,"")))</f>
        <v/>
      </c>
      <c r="X98" s="17">
        <f>IF(OR(X96="",W96=""),"",IF(W96&lt;=0,"",IFERROR(X96/W96-1,"")))</f>
        <v/>
      </c>
    </row>
    <row r="99">
      <c r="A99" s="20" t="inlineStr">
        <is>
          <t>이자수익</t>
        </is>
      </c>
      <c r="C99" s="22" t="n">
        <v>0.02</v>
      </c>
      <c r="D99" s="22" t="n">
        <v>0.044</v>
      </c>
      <c r="E99" s="22" t="n">
        <v>0.017</v>
      </c>
      <c r="F99" s="22" t="n">
        <v>0.396</v>
      </c>
      <c r="G99" s="22" t="n">
        <v>0.005</v>
      </c>
      <c r="H99" s="22" t="n">
        <v>1.988</v>
      </c>
      <c r="I99" s="22" t="n">
        <v>0.01</v>
      </c>
      <c r="J99" s="22" t="n">
        <v>3.751</v>
      </c>
      <c r="K99" s="22" t="n">
        <v>0.017</v>
      </c>
      <c r="L99" s="22" t="n">
        <v>4.296</v>
      </c>
      <c r="M99" s="22" t="n">
        <v>0.028</v>
      </c>
      <c r="N99" s="22" t="n">
        <v>5.657</v>
      </c>
      <c r="T99" s="22" t="n">
        <v>0.036</v>
      </c>
      <c r="U99" s="22" t="n">
        <v>0.039</v>
      </c>
      <c r="V99" s="22" t="n">
        <v>0.044</v>
      </c>
      <c r="W99" s="22" t="n">
        <v>1.988</v>
      </c>
      <c r="X99" s="22" t="n">
        <v>4.296</v>
      </c>
    </row>
    <row r="100">
      <c r="A100" s="20" t="inlineStr">
        <is>
          <t>외환차익</t>
        </is>
      </c>
      <c r="C100" s="22" t="n">
        <v>-0.096</v>
      </c>
      <c r="D100" s="22" t="n">
        <v>0</v>
      </c>
      <c r="E100" s="22" t="n">
        <v>0.21</v>
      </c>
      <c r="F100" s="22" t="n">
        <v>-0.21</v>
      </c>
      <c r="G100" s="22" t="n">
        <v>0</v>
      </c>
      <c r="H100" s="22" t="n">
        <v>0</v>
      </c>
      <c r="I100" s="22" t="n">
        <v>0.6860000000000001</v>
      </c>
      <c r="J100" s="22" t="n">
        <v>0.253</v>
      </c>
      <c r="K100" s="22" t="n">
        <v>0.053</v>
      </c>
      <c r="L100" s="22" t="n">
        <v>0.026</v>
      </c>
      <c r="M100" s="22" t="n">
        <v>0</v>
      </c>
      <c r="N100" s="22" t="n">
        <v>0</v>
      </c>
      <c r="T100" s="22" t="n">
        <v>-0.135</v>
      </c>
      <c r="U100" s="22" t="n">
        <v>-0.607</v>
      </c>
      <c r="V100" s="22" t="n">
        <v>0</v>
      </c>
      <c r="W100" s="22" t="n">
        <v>0</v>
      </c>
      <c r="X100" s="22" t="n">
        <v>0.026</v>
      </c>
    </row>
    <row r="101">
      <c r="A101" s="20" t="inlineStr">
        <is>
          <t>수취 변제금</t>
        </is>
      </c>
      <c r="C101" s="22" t="n">
        <v>3.298</v>
      </c>
      <c r="D101" s="22" t="n">
        <v>1.267</v>
      </c>
      <c r="E101" s="22" t="n">
        <v>1.17</v>
      </c>
      <c r="F101" s="22" t="n">
        <v>1.099</v>
      </c>
      <c r="G101" s="22" t="n">
        <v>1.22</v>
      </c>
      <c r="H101" s="22" t="n">
        <v>1.686</v>
      </c>
      <c r="I101" s="22" t="n">
        <v>1.251</v>
      </c>
      <c r="J101" s="22" t="n">
        <v>1.726</v>
      </c>
      <c r="K101" s="22" t="n">
        <v>1.066</v>
      </c>
      <c r="L101" s="22" t="n">
        <v>1.325</v>
      </c>
      <c r="M101" s="22" t="n">
        <v>4.15</v>
      </c>
      <c r="N101" s="22" t="n">
        <v>1.051</v>
      </c>
      <c r="T101" s="22" t="n">
        <v>0.495</v>
      </c>
      <c r="U101" s="22" t="n">
        <v>0.5610000000000001</v>
      </c>
      <c r="V101" s="22" t="n">
        <v>1.267</v>
      </c>
      <c r="W101" s="22" t="n">
        <v>1.686</v>
      </c>
      <c r="X101" s="22" t="n">
        <v>1.325</v>
      </c>
    </row>
    <row r="102">
      <c r="A102" s="20" t="inlineStr">
        <is>
          <t>샘플 매각 수입</t>
        </is>
      </c>
      <c r="C102" s="22" t="n">
        <v>0.266</v>
      </c>
      <c r="D102" s="22" t="n">
        <v>0.285</v>
      </c>
      <c r="E102" s="22" t="n">
        <v>1.684</v>
      </c>
      <c r="F102" s="22" t="n">
        <v>0.247</v>
      </c>
      <c r="G102" s="22" t="n">
        <v>0.159</v>
      </c>
      <c r="H102" s="22" t="n">
        <v>0.149</v>
      </c>
      <c r="I102" s="22" t="n">
        <v>0.179</v>
      </c>
      <c r="J102" s="22" t="n">
        <v>0.146</v>
      </c>
      <c r="K102" s="22" t="n">
        <v>0.2</v>
      </c>
      <c r="L102" s="22" t="n">
        <v>0.157</v>
      </c>
      <c r="M102" s="22" t="n">
        <v>0.218</v>
      </c>
      <c r="N102" s="22" t="n">
        <v>0.206</v>
      </c>
      <c r="T102" s="22" t="n">
        <v>1.237</v>
      </c>
      <c r="U102" s="22" t="n">
        <v>0.23</v>
      </c>
      <c r="V102" s="22" t="n">
        <v>0.285</v>
      </c>
      <c r="W102" s="22" t="n">
        <v>0.149</v>
      </c>
      <c r="X102" s="22" t="n">
        <v>0.157</v>
      </c>
    </row>
    <row r="103">
      <c r="A103" s="20" t="inlineStr">
        <is>
          <t>인세 수입</t>
        </is>
      </c>
      <c r="C103" s="22" t="n">
        <v>2.811</v>
      </c>
      <c r="D103" s="22" t="n">
        <v>5.045</v>
      </c>
      <c r="E103" s="22" t="n">
        <v>2.537</v>
      </c>
      <c r="F103" s="22" t="n">
        <v>1.661</v>
      </c>
      <c r="G103" s="22" t="n">
        <v>6.89</v>
      </c>
      <c r="H103" s="22" t="n">
        <v>2.057</v>
      </c>
      <c r="I103" s="22" t="n">
        <v>3.072</v>
      </c>
      <c r="J103" s="22" t="n">
        <v>1.227</v>
      </c>
      <c r="K103" s="22" t="n">
        <v>0.571</v>
      </c>
      <c r="L103" s="22" t="n">
        <v>1.508</v>
      </c>
      <c r="M103" s="22" t="n">
        <v>1.363</v>
      </c>
      <c r="N103" s="22" t="n">
        <v>2.959</v>
      </c>
      <c r="T103" s="22" t="n">
        <v>0.752</v>
      </c>
      <c r="U103" s="22" t="n">
        <v>7.263</v>
      </c>
      <c r="V103" s="22" t="n">
        <v>5.045</v>
      </c>
      <c r="W103" s="22" t="n">
        <v>2.057</v>
      </c>
      <c r="X103" s="22" t="n">
        <v>1.508</v>
      </c>
    </row>
    <row r="104">
      <c r="A104" s="20" t="inlineStr">
        <is>
          <t>고정자산 수증이익</t>
        </is>
      </c>
      <c r="C104" s="22" t="n">
        <v>4.8</v>
      </c>
      <c r="D104" s="22" t="n">
        <v>0</v>
      </c>
      <c r="H104" s="22" t="n">
        <v>0</v>
      </c>
      <c r="L104" s="22" t="n">
        <v>0</v>
      </c>
      <c r="T104" s="22" t="n">
        <v>0</v>
      </c>
      <c r="U104" s="22" t="n">
        <v>0</v>
      </c>
      <c r="V104" s="22" t="n">
        <v>0</v>
      </c>
      <c r="W104" s="22" t="n">
        <v>0</v>
      </c>
      <c r="X104" s="22" t="n">
        <v>0</v>
      </c>
    </row>
    <row r="105">
      <c r="A105" s="20" t="inlineStr">
        <is>
          <t>기타</t>
        </is>
      </c>
      <c r="C105" s="22" t="n">
        <v>0.351</v>
      </c>
      <c r="D105" s="22" t="n">
        <v>2.018</v>
      </c>
      <c r="E105" s="22" t="n">
        <v>0.14</v>
      </c>
      <c r="F105" s="22" t="n">
        <v>0.096</v>
      </c>
      <c r="G105" s="22" t="n">
        <v>0.431</v>
      </c>
      <c r="H105" s="22" t="n">
        <v>1.923</v>
      </c>
      <c r="I105" s="22" t="n">
        <v>1.033</v>
      </c>
      <c r="J105" s="22" t="n">
        <v>0.549</v>
      </c>
      <c r="K105" s="22" t="n">
        <v>2.034</v>
      </c>
      <c r="L105" s="22" t="n">
        <v>2.903</v>
      </c>
      <c r="M105" s="22" t="n">
        <v>0.782</v>
      </c>
      <c r="N105" s="22" t="n">
        <v>4.082</v>
      </c>
      <c r="T105" s="22" t="n">
        <v>0.226</v>
      </c>
      <c r="U105" s="22" t="n">
        <v>1.677</v>
      </c>
      <c r="V105" s="22" t="n">
        <v>2.018</v>
      </c>
      <c r="W105" s="22" t="n">
        <v>1.923</v>
      </c>
      <c r="X105" s="22" t="n">
        <v>2.903</v>
      </c>
    </row>
    <row r="106">
      <c r="A106" s="20" t="inlineStr">
        <is>
          <t>영업외수익 합계</t>
        </is>
      </c>
      <c r="C106" s="22" t="n">
        <v>11.451</v>
      </c>
      <c r="D106" s="22" t="n">
        <v>8.659000000000001</v>
      </c>
      <c r="E106" s="22" t="n">
        <v>5.76</v>
      </c>
      <c r="F106" s="22" t="n">
        <v>3.289</v>
      </c>
      <c r="G106" s="22" t="n">
        <v>14.105</v>
      </c>
      <c r="H106" s="22" t="n">
        <v>7.803</v>
      </c>
      <c r="I106" s="22" t="n">
        <v>6.233</v>
      </c>
      <c r="J106" s="22" t="n">
        <v>7.654</v>
      </c>
      <c r="K106" s="22" t="n">
        <v>5.039</v>
      </c>
      <c r="L106" s="22" t="n">
        <v>18.367</v>
      </c>
      <c r="M106" s="22" t="n">
        <v>6.543</v>
      </c>
      <c r="N106" s="22" t="n">
        <v>13.956</v>
      </c>
      <c r="T106" s="22" t="n">
        <v>2.611</v>
      </c>
      <c r="U106" s="22" t="n">
        <v>9.164</v>
      </c>
      <c r="V106" s="22" t="n">
        <v>8.659000000000001</v>
      </c>
      <c r="W106" s="22" t="n">
        <v>7.803</v>
      </c>
      <c r="X106" s="22" t="n">
        <v>18.367</v>
      </c>
    </row>
    <row r="107">
      <c r="A107" s="45" t="inlineStr">
        <is>
          <t>YoY</t>
        </is>
      </c>
      <c r="B107" s="3" t="inlineStr">
        <is>
          <t>전년 같은 분기·전년 대비</t>
        </is>
      </c>
      <c r="G107" s="17">
        <f>IF(OR(G106="",C106=""),"",IF(G106*C106&lt;=0,"",IFERROR(G106/C106-1,"")))</f>
        <v/>
      </c>
      <c r="H107" s="17">
        <f>IF(OR(H106="",D106=""),"",IF(H106*D106&lt;=0,"",IFERROR(H106/D106-1,"")))</f>
        <v/>
      </c>
      <c r="I107" s="17">
        <f>IF(OR(I106="",E106=""),"",IF(I106*E106&lt;=0,"",IFERROR(I106/E106-1,"")))</f>
        <v/>
      </c>
      <c r="J107" s="17">
        <f>IF(OR(J106="",F106=""),"",IF(J106*F106&lt;=0,"",IFERROR(J106/F106-1,"")))</f>
        <v/>
      </c>
      <c r="K107" s="17">
        <f>IF(OR(K106="",G106=""),"",IF(K106*G106&lt;=0,"",IFERROR(K106/G106-1,"")))</f>
        <v/>
      </c>
      <c r="L107" s="17">
        <f>IF(OR(L106="",H106=""),"",IF(L106*H106&lt;=0,"",IFERROR(L106/H106-1,"")))</f>
        <v/>
      </c>
      <c r="M107" s="17">
        <f>IF(OR(M106="",I106=""),"",IF(M106*I106&lt;=0,"",IFERROR(M106/I106-1,"")))</f>
        <v/>
      </c>
      <c r="N107" s="17">
        <f>IF(OR(N106="",J106=""),"",IF(N106*J106&lt;=0,"",IFERROR(N106/J106-1,"")))</f>
        <v/>
      </c>
      <c r="T107" s="17">
        <f>IF(OR(T106="",S106=""),"",IF(T106*S106&lt;=0,"",IFERROR(T106/S106-1,"")))</f>
        <v/>
      </c>
      <c r="U107" s="17">
        <f>IF(OR(U106="",T106=""),"",IF(U106*T106&lt;=0,"",IFERROR(U106/T106-1,"")))</f>
        <v/>
      </c>
      <c r="V107" s="17">
        <f>IF(OR(V106="",U106=""),"",IF(V106*U106&lt;=0,"",IFERROR(V106/U106-1,"")))</f>
        <v/>
      </c>
      <c r="W107" s="17">
        <f>IF(OR(W106="",V106=""),"",IF(W106*V106&lt;=0,"",IFERROR(W106/V106-1,"")))</f>
        <v/>
      </c>
      <c r="X107" s="17">
        <f>IF(OR(X106="",W106=""),"",IF(X106*W106&lt;=0,"",IFERROR(X106/W106-1,"")))</f>
        <v/>
      </c>
    </row>
    <row r="108">
      <c r="A108" s="20" t="inlineStr">
        <is>
          <t>이자비용</t>
        </is>
      </c>
      <c r="C108" s="22" t="n">
        <v>0.297</v>
      </c>
      <c r="D108" s="22" t="n">
        <v>0.264</v>
      </c>
      <c r="E108" s="22" t="n">
        <v>0.229</v>
      </c>
      <c r="F108" s="22" t="n">
        <v>0.133</v>
      </c>
      <c r="G108" s="22" t="n">
        <v>0</v>
      </c>
      <c r="H108" s="22" t="n">
        <v>0</v>
      </c>
      <c r="I108" s="22" t="n">
        <v>0</v>
      </c>
      <c r="J108" s="22" t="n">
        <v>0</v>
      </c>
      <c r="K108" s="22" t="n">
        <v>0</v>
      </c>
      <c r="L108" s="22" t="n">
        <v>0</v>
      </c>
      <c r="T108" s="22" t="n">
        <v>0.606</v>
      </c>
      <c r="U108" s="22" t="n">
        <v>0.428</v>
      </c>
      <c r="V108" s="22" t="n">
        <v>0.264</v>
      </c>
      <c r="W108" s="22" t="n">
        <v>0</v>
      </c>
      <c r="X108" s="22" t="n">
        <v>0</v>
      </c>
    </row>
    <row r="109">
      <c r="A109" s="20" t="inlineStr">
        <is>
          <t>외환차손</t>
        </is>
      </c>
      <c r="C109" s="22" t="n">
        <v>0</v>
      </c>
      <c r="D109" s="22" t="n">
        <v>0</v>
      </c>
      <c r="G109" s="22" t="n">
        <v>-0.35</v>
      </c>
      <c r="H109" s="22" t="n">
        <v>1.004</v>
      </c>
      <c r="K109" s="22" t="n">
        <v>0</v>
      </c>
      <c r="L109" s="22" t="n">
        <v>0</v>
      </c>
      <c r="V109" s="22" t="n">
        <v>0</v>
      </c>
      <c r="W109" s="22" t="n">
        <v>1.004</v>
      </c>
      <c r="X109" s="22" t="n">
        <v>0</v>
      </c>
    </row>
    <row r="110">
      <c r="A110" s="20" t="inlineStr">
        <is>
          <t>기타</t>
        </is>
      </c>
      <c r="C110" s="22" t="n">
        <v>0.001</v>
      </c>
      <c r="D110" s="22" t="n">
        <v>0.043</v>
      </c>
      <c r="E110" s="22" t="n">
        <v>0.001</v>
      </c>
      <c r="F110" s="22" t="n">
        <v>0</v>
      </c>
      <c r="G110" s="22" t="n">
        <v>0.076</v>
      </c>
      <c r="H110" s="22" t="n">
        <v>0.182</v>
      </c>
      <c r="I110" s="22" t="n">
        <v>0.202</v>
      </c>
      <c r="J110" s="22" t="n">
        <v>0</v>
      </c>
      <c r="K110" s="22" t="n">
        <v>0.002</v>
      </c>
      <c r="L110" s="22" t="n">
        <v>0.54</v>
      </c>
      <c r="M110" s="22" t="n">
        <v>0.001</v>
      </c>
      <c r="N110" s="22" t="n">
        <v>0</v>
      </c>
      <c r="T110" s="22" t="n">
        <v>0.012</v>
      </c>
      <c r="U110" s="22" t="n">
        <v>-0.247</v>
      </c>
      <c r="V110" s="22" t="n">
        <v>0.043</v>
      </c>
      <c r="W110" s="22" t="n">
        <v>0.182</v>
      </c>
      <c r="X110" s="22" t="n">
        <v>0.54</v>
      </c>
    </row>
    <row r="111">
      <c r="A111" s="20" t="inlineStr">
        <is>
          <t>영업외비용 합계</t>
        </is>
      </c>
      <c r="C111" s="22" t="n">
        <v>0.298</v>
      </c>
      <c r="D111" s="22" t="n">
        <v>0.307</v>
      </c>
      <c r="E111" s="22" t="n">
        <v>0.23</v>
      </c>
      <c r="F111" s="22" t="n">
        <v>0.681</v>
      </c>
      <c r="G111" s="22" t="n">
        <v>-0.274</v>
      </c>
      <c r="H111" s="22" t="n">
        <v>1.187</v>
      </c>
      <c r="I111" s="22" t="n">
        <v>0.202</v>
      </c>
      <c r="J111" s="22" t="n">
        <v>0</v>
      </c>
      <c r="K111" s="22" t="n">
        <v>0.002</v>
      </c>
      <c r="L111" s="22" t="n">
        <v>0.54</v>
      </c>
      <c r="M111" s="22" t="n">
        <v>0.001</v>
      </c>
      <c r="N111" s="22" t="n">
        <v>0</v>
      </c>
      <c r="T111" s="22" t="n">
        <v>0.619</v>
      </c>
      <c r="U111" s="22" t="n">
        <v>0.182</v>
      </c>
      <c r="V111" s="22" t="n">
        <v>0.307</v>
      </c>
      <c r="W111" s="22" t="n">
        <v>1.187</v>
      </c>
      <c r="X111" s="22" t="n">
        <v>0.54</v>
      </c>
    </row>
    <row r="112">
      <c r="A112" s="45" t="inlineStr">
        <is>
          <t>YoY</t>
        </is>
      </c>
      <c r="B112" s="3" t="inlineStr">
        <is>
          <t>전년 같은 분기·전년 대비</t>
        </is>
      </c>
      <c r="G112" s="17">
        <f>IF(OR(G111="",C111=""),"",IF(G111*C111&lt;=0,"",IFERROR(G111/C111-1,"")))</f>
        <v/>
      </c>
      <c r="H112" s="17">
        <f>IF(OR(H111="",D111=""),"",IF(H111*D111&lt;=0,"",IFERROR(H111/D111-1,"")))</f>
        <v/>
      </c>
      <c r="I112" s="17">
        <f>IF(OR(I111="",E111=""),"",IF(I111*E111&lt;=0,"",IFERROR(I111/E111-1,"")))</f>
        <v/>
      </c>
      <c r="J112" s="17">
        <f>IF(OR(J111="",F111=""),"",IF(J111*F111&lt;=0,"",IFERROR(J111/F111-1,"")))</f>
        <v/>
      </c>
      <c r="K112" s="17">
        <f>IF(OR(K111="",G111=""),"",IF(K111*G111&lt;=0,"",IFERROR(K111/G111-1,"")))</f>
        <v/>
      </c>
      <c r="L112" s="17">
        <f>IF(OR(L111="",H111=""),"",IF(L111*H111&lt;=0,"",IFERROR(L111/H111-1,"")))</f>
        <v/>
      </c>
      <c r="M112" s="17">
        <f>IF(OR(M111="",I111=""),"",IF(M111*I111&lt;=0,"",IFERROR(M111/I111-1,"")))</f>
        <v/>
      </c>
      <c r="N112" s="17">
        <f>IF(OR(N111="",J111=""),"",IF(N111*J111&lt;=0,"",IFERROR(N111/J111-1,"")))</f>
        <v/>
      </c>
      <c r="T112" s="17">
        <f>IF(OR(T111="",S111=""),"",IF(T111*S111&lt;=0,"",IFERROR(T111/S111-1,"")))</f>
        <v/>
      </c>
      <c r="U112" s="17">
        <f>IF(OR(U111="",T111=""),"",IF(U111*T111&lt;=0,"",IFERROR(U111/T111-1,"")))</f>
        <v/>
      </c>
      <c r="V112" s="17">
        <f>IF(OR(V111="",U111=""),"",IF(V111*U111&lt;=0,"",IFERROR(V111/U111-1,"")))</f>
        <v/>
      </c>
      <c r="W112" s="17">
        <f>IF(OR(W111="",V111=""),"",IF(W111*V111&lt;=0,"",IFERROR(W111/V111-1,"")))</f>
        <v/>
      </c>
      <c r="X112" s="17">
        <f>IF(OR(X111="",W111=""),"",IF(X111*W111&lt;=0,"",IFERROR(X111/W111-1,"")))</f>
        <v/>
      </c>
    </row>
    <row r="113">
      <c r="A113" s="9" t="inlineStr">
        <is>
          <t>경상이익</t>
        </is>
      </c>
      <c r="C113" s="12" t="n">
        <v>644.134</v>
      </c>
      <c r="D113" s="12" t="n">
        <v>381.541</v>
      </c>
      <c r="E113" s="12" t="n">
        <v>394.919</v>
      </c>
      <c r="F113" s="12" t="n">
        <v>515.23</v>
      </c>
      <c r="G113" s="12" t="n">
        <v>585.711</v>
      </c>
      <c r="H113" s="12" t="n">
        <v>208.609</v>
      </c>
      <c r="I113" s="12" t="n">
        <v>246.461</v>
      </c>
      <c r="J113" s="12" t="n">
        <v>272.458</v>
      </c>
      <c r="K113" s="12" t="n">
        <v>257.777</v>
      </c>
      <c r="L113" s="12" t="n">
        <v>260.848</v>
      </c>
      <c r="M113" s="12" t="n">
        <v>-95.979</v>
      </c>
      <c r="N113" s="12" t="n">
        <v>466.482</v>
      </c>
      <c r="T113" s="12" t="n">
        <v>483.802</v>
      </c>
      <c r="U113" s="12" t="n">
        <v>-199.794</v>
      </c>
      <c r="V113" s="12" t="n">
        <v>381.541</v>
      </c>
      <c r="W113" s="12" t="n">
        <v>208.609</v>
      </c>
      <c r="X113" s="12" t="n">
        <v>260.848</v>
      </c>
    </row>
    <row r="114">
      <c r="A114" s="45" t="inlineStr">
        <is>
          <t>YoY</t>
        </is>
      </c>
      <c r="B114" s="3" t="inlineStr">
        <is>
          <t>전년 같은 분기·전년 대비</t>
        </is>
      </c>
      <c r="G114" s="17">
        <f>IF(OR(G113="",C113=""),"",IF(C113&lt;=0,"",IFERROR(G113/C113-1,"")))</f>
        <v/>
      </c>
      <c r="H114" s="17">
        <f>IF(OR(H113="",D113=""),"",IF(D113&lt;=0,"",IFERROR(H113/D113-1,"")))</f>
        <v/>
      </c>
      <c r="I114" s="17">
        <f>IF(OR(I113="",E113=""),"",IF(E113&lt;=0,"",IFERROR(I113/E113-1,"")))</f>
        <v/>
      </c>
      <c r="J114" s="17">
        <f>IF(OR(J113="",F113=""),"",IF(F113&lt;=0,"",IFERROR(J113/F113-1,"")))</f>
        <v/>
      </c>
      <c r="K114" s="17">
        <f>IF(OR(K113="",G113=""),"",IF(G113&lt;=0,"",IFERROR(K113/G113-1,"")))</f>
        <v/>
      </c>
      <c r="L114" s="17">
        <f>IF(OR(L113="",H113=""),"",IF(H113&lt;=0,"",IFERROR(L113/H113-1,"")))</f>
        <v/>
      </c>
      <c r="M114" s="17">
        <f>IF(OR(M113="",I113=""),"",IF(I113&lt;=0,"",IFERROR(M113/I113-1,"")))</f>
        <v/>
      </c>
      <c r="N114" s="17">
        <f>IF(OR(N113="",J113=""),"",IF(J113&lt;=0,"",IFERROR(N113/J113-1,"")))</f>
        <v/>
      </c>
      <c r="T114" s="17">
        <f>IF(OR(T113="",S113=""),"",IF(S113&lt;=0,"",IFERROR(T113/S113-1,"")))</f>
        <v/>
      </c>
      <c r="U114" s="17">
        <f>IF(OR(U113="",T113=""),"",IF(T113&lt;=0,"",IFERROR(U113/T113-1,"")))</f>
        <v/>
      </c>
      <c r="V114" s="17">
        <f>IF(OR(V113="",U113=""),"",IF(U113&lt;=0,"",IFERROR(V113/U113-1,"")))</f>
        <v/>
      </c>
      <c r="W114" s="17">
        <f>IF(OR(W113="",V113=""),"",IF(V113&lt;=0,"",IFERROR(W113/V113-1,"")))</f>
        <v/>
      </c>
      <c r="X114" s="17">
        <f>IF(OR(X113="",W113=""),"",IF(W113&lt;=0,"",IFERROR(X113/W113-1,"")))</f>
        <v/>
      </c>
    </row>
    <row r="115">
      <c r="A115" s="20" t="inlineStr">
        <is>
          <t>부의 영업권 발생이익</t>
        </is>
      </c>
      <c r="T115" s="22" t="n">
        <v>0</v>
      </c>
      <c r="U115" s="22" t="n">
        <v>0</v>
      </c>
    </row>
    <row r="116">
      <c r="A116" s="20" t="inlineStr">
        <is>
          <t>특별이익 합계</t>
        </is>
      </c>
      <c r="T116" s="22" t="n">
        <v>82.262</v>
      </c>
      <c r="U116" s="22" t="n">
        <v>0</v>
      </c>
    </row>
    <row r="117">
      <c r="A117" s="45" t="inlineStr">
        <is>
          <t>YoY</t>
        </is>
      </c>
      <c r="B117" s="3" t="inlineStr">
        <is>
          <t>전년 같은 분기·전년 대비</t>
        </is>
      </c>
      <c r="T117" s="17">
        <f>IF(OR(T116="",S116=""),"",IF(T116*S116&lt;=0,"",IFERROR(T116/S116-1,"")))</f>
        <v/>
      </c>
      <c r="U117" s="17">
        <f>IF(OR(U116="",T116=""),"",IF(U116*T116&lt;=0,"",IFERROR(U116/T116-1,"")))</f>
        <v/>
      </c>
    </row>
    <row r="118">
      <c r="A118" s="20" t="inlineStr">
        <is>
          <t>고정자산 매각손실</t>
        </is>
      </c>
      <c r="C118" s="22" t="n">
        <v>0.293</v>
      </c>
      <c r="D118" s="22" t="n">
        <v>0</v>
      </c>
      <c r="E118" s="22" t="n">
        <v>0.231</v>
      </c>
      <c r="F118" s="22" t="n">
        <v>0</v>
      </c>
      <c r="G118" s="22" t="n">
        <v>0</v>
      </c>
      <c r="H118" s="22" t="n">
        <v>0</v>
      </c>
      <c r="I118" s="22" t="n">
        <v>0.899</v>
      </c>
      <c r="J118" s="22" t="n">
        <v>0</v>
      </c>
      <c r="K118" s="22" t="n">
        <v>0</v>
      </c>
      <c r="L118" s="22" t="n">
        <v>0</v>
      </c>
      <c r="M118" s="22" t="n">
        <v>0.173</v>
      </c>
      <c r="N118" s="22" t="n">
        <v>0</v>
      </c>
      <c r="U118" s="22" t="n">
        <v>0</v>
      </c>
      <c r="V118" s="22" t="n">
        <v>0</v>
      </c>
      <c r="W118" s="22" t="n">
        <v>0</v>
      </c>
      <c r="X118" s="22" t="n">
        <v>0</v>
      </c>
    </row>
    <row r="119">
      <c r="A119" s="20" t="inlineStr">
        <is>
          <t>고정자산 제각손실</t>
        </is>
      </c>
      <c r="C119" s="22" t="n">
        <v>0</v>
      </c>
      <c r="D119" s="22" t="n">
        <v>0</v>
      </c>
      <c r="E119" s="22" t="n">
        <v>0.037</v>
      </c>
      <c r="F119" s="22" t="n">
        <v>0.129</v>
      </c>
      <c r="G119" s="22" t="n">
        <v>1.562</v>
      </c>
      <c r="H119" s="22" t="n">
        <v>0.326</v>
      </c>
      <c r="I119" s="22" t="n">
        <v>0</v>
      </c>
      <c r="J119" s="22" t="n">
        <v>0.037</v>
      </c>
      <c r="K119" s="22" t="n">
        <v>0.226</v>
      </c>
      <c r="L119" s="22" t="n">
        <v>0</v>
      </c>
      <c r="T119" s="22" t="n">
        <v>0</v>
      </c>
      <c r="U119" s="22" t="n">
        <v>0</v>
      </c>
      <c r="V119" s="22" t="n">
        <v>0</v>
      </c>
      <c r="W119" s="22" t="n">
        <v>0.326</v>
      </c>
      <c r="X119" s="22" t="n">
        <v>0</v>
      </c>
    </row>
    <row r="120">
      <c r="A120" s="20" t="inlineStr">
        <is>
          <t>해체·철거 비용</t>
        </is>
      </c>
      <c r="T120" s="22" t="n">
        <v>0</v>
      </c>
      <c r="U120" s="22" t="n">
        <v>0</v>
      </c>
    </row>
    <row r="121">
      <c r="A121" s="20" t="inlineStr">
        <is>
          <t>관계회사 주식 매각손실</t>
        </is>
      </c>
      <c r="C121" s="22" t="n">
        <v>0</v>
      </c>
      <c r="D121" s="22" t="n">
        <v>0</v>
      </c>
      <c r="G121" s="22" t="n">
        <v>0</v>
      </c>
      <c r="H121" s="22" t="n">
        <v>0</v>
      </c>
      <c r="K121" s="22" t="n">
        <v>0</v>
      </c>
      <c r="L121" s="22" t="n">
        <v>0</v>
      </c>
      <c r="V121" s="22" t="n">
        <v>0</v>
      </c>
      <c r="W121" s="22" t="n">
        <v>0</v>
      </c>
      <c r="X121" s="22" t="n">
        <v>0</v>
      </c>
    </row>
    <row r="122">
      <c r="A122" s="20" t="inlineStr">
        <is>
          <t>특별손실 합계</t>
        </is>
      </c>
      <c r="C122" s="22" t="n">
        <v>0.293</v>
      </c>
      <c r="D122" s="22" t="n">
        <v>0</v>
      </c>
      <c r="E122" s="22" t="n">
        <v>0.269</v>
      </c>
      <c r="F122" s="22" t="n">
        <v>6.537</v>
      </c>
      <c r="G122" s="22" t="n">
        <v>1.562</v>
      </c>
      <c r="H122" s="22" t="n">
        <v>0.326</v>
      </c>
      <c r="I122" s="22" t="n">
        <v>0.899</v>
      </c>
      <c r="J122" s="22" t="n">
        <v>0.038</v>
      </c>
      <c r="K122" s="22" t="n">
        <v>0.225</v>
      </c>
      <c r="L122" s="22" t="n">
        <v>0</v>
      </c>
      <c r="M122" s="22" t="n">
        <v>0.173</v>
      </c>
      <c r="N122" s="22" t="n">
        <v>19.555</v>
      </c>
      <c r="T122" s="22" t="n">
        <v>120.824</v>
      </c>
      <c r="U122" s="22" t="n">
        <v>10</v>
      </c>
      <c r="V122" s="22" t="n">
        <v>0</v>
      </c>
      <c r="W122" s="22" t="n">
        <v>0.326</v>
      </c>
      <c r="X122" s="22" t="n">
        <v>0</v>
      </c>
    </row>
    <row r="123">
      <c r="A123" s="45" t="inlineStr">
        <is>
          <t>YoY</t>
        </is>
      </c>
      <c r="B123" s="3" t="inlineStr">
        <is>
          <t>전년 같은 분기·전년 대비</t>
        </is>
      </c>
      <c r="G123" s="17">
        <f>IF(OR(G122="",C122=""),"",IF(G122*C122&lt;=0,"",IFERROR(G122/C122-1,"")))</f>
        <v/>
      </c>
      <c r="H123" s="17">
        <f>IF(OR(H122="",D122=""),"",IF(H122*D122&lt;=0,"",IFERROR(H122/D122-1,"")))</f>
        <v/>
      </c>
      <c r="I123" s="17">
        <f>IF(OR(I122="",E122=""),"",IF(I122*E122&lt;=0,"",IFERROR(I122/E122-1,"")))</f>
        <v/>
      </c>
      <c r="J123" s="17">
        <f>IF(OR(J122="",F122=""),"",IF(J122*F122&lt;=0,"",IFERROR(J122/F122-1,"")))</f>
        <v/>
      </c>
      <c r="K123" s="17">
        <f>IF(OR(K122="",G122=""),"",IF(K122*G122&lt;=0,"",IFERROR(K122/G122-1,"")))</f>
        <v/>
      </c>
      <c r="L123" s="17">
        <f>IF(OR(L122="",H122=""),"",IF(L122*H122&lt;=0,"",IFERROR(L122/H122-1,"")))</f>
        <v/>
      </c>
      <c r="M123" s="17">
        <f>IF(OR(M122="",I122=""),"",IF(M122*I122&lt;=0,"",IFERROR(M122/I122-1,"")))</f>
        <v/>
      </c>
      <c r="N123" s="17">
        <f>IF(OR(N122="",J122=""),"",IF(N122*J122&lt;=0,"",IFERROR(N122/J122-1,"")))</f>
        <v/>
      </c>
      <c r="T123" s="17">
        <f>IF(OR(T122="",S122=""),"",IF(T122*S122&lt;=0,"",IFERROR(T122/S122-1,"")))</f>
        <v/>
      </c>
      <c r="U123" s="17">
        <f>IF(OR(U122="",T122=""),"",IF(U122*T122&lt;=0,"",IFERROR(U122/T122-1,"")))</f>
        <v/>
      </c>
      <c r="V123" s="17">
        <f>IF(OR(V122="",U122=""),"",IF(V122*U122&lt;=0,"",IFERROR(V122/U122-1,"")))</f>
        <v/>
      </c>
      <c r="W123" s="17">
        <f>IF(OR(W122="",V122=""),"",IF(W122*V122&lt;=0,"",IFERROR(W122/V122-1,"")))</f>
        <v/>
      </c>
      <c r="X123" s="17">
        <f>IF(OR(X122="",W122=""),"",IF(X122*W122&lt;=0,"",IFERROR(X122/W122-1,"")))</f>
        <v/>
      </c>
    </row>
    <row r="124">
      <c r="A124" s="9" t="inlineStr">
        <is>
          <t>법인세차감전 순이익</t>
        </is>
      </c>
      <c r="C124" s="12" t="n">
        <v>643.842</v>
      </c>
      <c r="D124" s="12" t="n">
        <v>400.432</v>
      </c>
      <c r="E124" s="12" t="n">
        <v>394.65</v>
      </c>
      <c r="F124" s="12" t="n">
        <v>508.693</v>
      </c>
      <c r="G124" s="12" t="n">
        <v>584.148</v>
      </c>
      <c r="H124" s="12" t="n">
        <v>208.283</v>
      </c>
      <c r="I124" s="12" t="n">
        <v>245.561</v>
      </c>
      <c r="J124" s="12" t="n">
        <v>272.42</v>
      </c>
      <c r="K124" s="12" t="n">
        <v>257.553</v>
      </c>
      <c r="L124" s="12" t="n">
        <v>260.847</v>
      </c>
      <c r="M124" s="12" t="n">
        <v>-96.152</v>
      </c>
      <c r="N124" s="12" t="n">
        <v>446.926</v>
      </c>
      <c r="T124" s="12" t="n">
        <v>445.24</v>
      </c>
      <c r="U124" s="12" t="n">
        <v>-209.794</v>
      </c>
      <c r="V124" s="12" t="n">
        <v>400.432</v>
      </c>
      <c r="W124" s="12" t="n">
        <v>208.283</v>
      </c>
      <c r="X124" s="12" t="n">
        <v>260.847</v>
      </c>
    </row>
    <row r="125">
      <c r="A125" s="45" t="inlineStr">
        <is>
          <t>YoY</t>
        </is>
      </c>
      <c r="B125" s="3" t="inlineStr">
        <is>
          <t>전년 같은 분기·전년 대비</t>
        </is>
      </c>
      <c r="G125" s="17">
        <f>IF(OR(G124="",C124=""),"",IF(C124&lt;=0,"",IFERROR(G124/C124-1,"")))</f>
        <v/>
      </c>
      <c r="H125" s="17">
        <f>IF(OR(H124="",D124=""),"",IF(D124&lt;=0,"",IFERROR(H124/D124-1,"")))</f>
        <v/>
      </c>
      <c r="I125" s="17">
        <f>IF(OR(I124="",E124=""),"",IF(E124&lt;=0,"",IFERROR(I124/E124-1,"")))</f>
        <v/>
      </c>
      <c r="J125" s="17">
        <f>IF(OR(J124="",F124=""),"",IF(F124&lt;=0,"",IFERROR(J124/F124-1,"")))</f>
        <v/>
      </c>
      <c r="K125" s="17">
        <f>IF(OR(K124="",G124=""),"",IF(G124&lt;=0,"",IFERROR(K124/G124-1,"")))</f>
        <v/>
      </c>
      <c r="L125" s="17">
        <f>IF(OR(L124="",H124=""),"",IF(H124&lt;=0,"",IFERROR(L124/H124-1,"")))</f>
        <v/>
      </c>
      <c r="M125" s="17">
        <f>IF(OR(M124="",I124=""),"",IF(I124&lt;=0,"",IFERROR(M124/I124-1,"")))</f>
        <v/>
      </c>
      <c r="N125" s="17">
        <f>IF(OR(N124="",J124=""),"",IF(J124&lt;=0,"",IFERROR(N124/J124-1,"")))</f>
        <v/>
      </c>
      <c r="T125" s="17">
        <f>IF(OR(T124="",S124=""),"",IF(S124&lt;=0,"",IFERROR(T124/S124-1,"")))</f>
        <v/>
      </c>
      <c r="U125" s="17">
        <f>IF(OR(U124="",T124=""),"",IF(T124&lt;=0,"",IFERROR(U124/T124-1,"")))</f>
        <v/>
      </c>
      <c r="V125" s="17">
        <f>IF(OR(V124="",U124=""),"",IF(U124&lt;=0,"",IFERROR(V124/U124-1,"")))</f>
        <v/>
      </c>
      <c r="W125" s="17">
        <f>IF(OR(W124="",V124=""),"",IF(V124&lt;=0,"",IFERROR(W124/V124-1,"")))</f>
        <v/>
      </c>
      <c r="X125" s="17">
        <f>IF(OR(X124="",W124=""),"",IF(W124&lt;=0,"",IFERROR(X124/W124-1,"")))</f>
        <v/>
      </c>
    </row>
    <row r="126">
      <c r="A126" s="20" t="inlineStr">
        <is>
          <t>법인세 등</t>
        </is>
      </c>
      <c r="C126" s="22" t="n">
        <v>193.455</v>
      </c>
      <c r="D126" s="22" t="n">
        <v>158.988</v>
      </c>
      <c r="E126" s="22" t="n">
        <v>128.565</v>
      </c>
      <c r="F126" s="22" t="n">
        <v>163.6</v>
      </c>
      <c r="G126" s="22" t="n">
        <v>183.081</v>
      </c>
      <c r="H126" s="22" t="n">
        <v>12.252</v>
      </c>
      <c r="I126" s="22" t="n">
        <v>76.68300000000001</v>
      </c>
      <c r="J126" s="22" t="n">
        <v>87.036</v>
      </c>
      <c r="K126" s="22" t="n">
        <v>89.95</v>
      </c>
      <c r="L126" s="22" t="n">
        <v>86.773</v>
      </c>
      <c r="M126" s="22" t="n">
        <v>-19.162</v>
      </c>
      <c r="N126" s="22" t="n">
        <v>139.473</v>
      </c>
      <c r="T126" s="22" t="n">
        <v>205.313</v>
      </c>
      <c r="U126" s="22" t="n">
        <v>-68.923</v>
      </c>
      <c r="V126" s="22" t="n">
        <v>158.988</v>
      </c>
      <c r="W126" s="22" t="n">
        <v>12.252</v>
      </c>
      <c r="X126" s="22" t="n">
        <v>86.773</v>
      </c>
    </row>
    <row r="127">
      <c r="A127" s="45" t="inlineStr">
        <is>
          <t>YoY</t>
        </is>
      </c>
      <c r="B127" s="3" t="inlineStr">
        <is>
          <t>전년 같은 분기·전년 대비</t>
        </is>
      </c>
      <c r="G127" s="17">
        <f>IF(OR(G126="",C126=""),"",IF(G126*C126&lt;=0,"",IFERROR(G126/C126-1,"")))</f>
        <v/>
      </c>
      <c r="H127" s="17">
        <f>IF(OR(H126="",D126=""),"",IF(H126*D126&lt;=0,"",IFERROR(H126/D126-1,"")))</f>
        <v/>
      </c>
      <c r="I127" s="17">
        <f>IF(OR(I126="",E126=""),"",IF(I126*E126&lt;=0,"",IFERROR(I126/E126-1,"")))</f>
        <v/>
      </c>
      <c r="J127" s="17">
        <f>IF(OR(J126="",F126=""),"",IF(J126*F126&lt;=0,"",IFERROR(J126/F126-1,"")))</f>
        <v/>
      </c>
      <c r="K127" s="17">
        <f>IF(OR(K126="",G126=""),"",IF(K126*G126&lt;=0,"",IFERROR(K126/G126-1,"")))</f>
        <v/>
      </c>
      <c r="L127" s="17">
        <f>IF(OR(L126="",H126=""),"",IF(L126*H126&lt;=0,"",IFERROR(L126/H126-1,"")))</f>
        <v/>
      </c>
      <c r="M127" s="17">
        <f>IF(OR(M126="",I126=""),"",IF(M126*I126&lt;=0,"",IFERROR(M126/I126-1,"")))</f>
        <v/>
      </c>
      <c r="N127" s="17">
        <f>IF(OR(N126="",J126=""),"",IF(N126*J126&lt;=0,"",IFERROR(N126/J126-1,"")))</f>
        <v/>
      </c>
      <c r="T127" s="17">
        <f>IF(OR(T126="",S126=""),"",IF(T126*S126&lt;=0,"",IFERROR(T126/S126-1,"")))</f>
        <v/>
      </c>
      <c r="U127" s="17">
        <f>IF(OR(U126="",T126=""),"",IF(U126*T126&lt;=0,"",IFERROR(U126/T126-1,"")))</f>
        <v/>
      </c>
      <c r="V127" s="17">
        <f>IF(OR(V126="",U126=""),"",IF(V126*U126&lt;=0,"",IFERROR(V126/U126-1,"")))</f>
        <v/>
      </c>
      <c r="W127" s="17">
        <f>IF(OR(W126="",V126=""),"",IF(W126*V126&lt;=0,"",IFERROR(W126/V126-1,"")))</f>
        <v/>
      </c>
      <c r="X127" s="17">
        <f>IF(OR(X126="",W126=""),"",IF(X126*W126&lt;=0,"",IFERROR(X126/W126-1,"")))</f>
        <v/>
      </c>
    </row>
    <row r="128">
      <c r="A128" s="9" t="inlineStr">
        <is>
          <t>순이익</t>
        </is>
      </c>
      <c r="C128" s="12" t="n">
        <v>450.387</v>
      </c>
      <c r="D128" s="12" t="n">
        <v>241.444</v>
      </c>
      <c r="E128" s="12" t="n">
        <v>266.084</v>
      </c>
      <c r="F128" s="12" t="n">
        <v>345.093</v>
      </c>
      <c r="G128" s="12" t="n">
        <v>401.068</v>
      </c>
      <c r="H128" s="12" t="n">
        <v>196.031</v>
      </c>
      <c r="I128" s="12" t="n">
        <v>168.877</v>
      </c>
      <c r="J128" s="12" t="n">
        <v>185.385</v>
      </c>
      <c r="K128" s="12" t="n">
        <v>167.602</v>
      </c>
      <c r="L128" s="12" t="n">
        <v>174.075</v>
      </c>
      <c r="M128" s="12" t="n">
        <v>-76.98999999999999</v>
      </c>
      <c r="N128" s="12" t="n">
        <v>307.453</v>
      </c>
      <c r="T128" s="12" t="n">
        <v>239.927</v>
      </c>
      <c r="U128" s="12" t="n">
        <v>-140.871</v>
      </c>
      <c r="V128" s="12" t="n">
        <v>241.444</v>
      </c>
      <c r="W128" s="12" t="n">
        <v>196.031</v>
      </c>
      <c r="X128" s="12" t="n">
        <v>174.075</v>
      </c>
    </row>
    <row r="129">
      <c r="A129" s="45" t="inlineStr">
        <is>
          <t>YoY</t>
        </is>
      </c>
      <c r="B129" s="3" t="inlineStr">
        <is>
          <t>전년 같은 분기·전년 대비</t>
        </is>
      </c>
      <c r="G129" s="17">
        <f>IF(OR(G128="",C128=""),"",IF(C128&lt;=0,"",IFERROR(G128/C128-1,"")))</f>
        <v/>
      </c>
      <c r="H129" s="17">
        <f>IF(OR(H128="",D128=""),"",IF(D128&lt;=0,"",IFERROR(H128/D128-1,"")))</f>
        <v/>
      </c>
      <c r="I129" s="17">
        <f>IF(OR(I128="",E128=""),"",IF(E128&lt;=0,"",IFERROR(I128/E128-1,"")))</f>
        <v/>
      </c>
      <c r="J129" s="17">
        <f>IF(OR(J128="",F128=""),"",IF(F128&lt;=0,"",IFERROR(J128/F128-1,"")))</f>
        <v/>
      </c>
      <c r="K129" s="17">
        <f>IF(OR(K128="",G128=""),"",IF(G128&lt;=0,"",IFERROR(K128/G128-1,"")))</f>
        <v/>
      </c>
      <c r="L129" s="17">
        <f>IF(OR(L128="",H128=""),"",IF(H128&lt;=0,"",IFERROR(L128/H128-1,"")))</f>
        <v/>
      </c>
      <c r="M129" s="17">
        <f>IF(OR(M128="",I128=""),"",IF(I128&lt;=0,"",IFERROR(M128/I128-1,"")))</f>
        <v/>
      </c>
      <c r="N129" s="17">
        <f>IF(OR(N128="",J128=""),"",IF(J128&lt;=0,"",IFERROR(N128/J128-1,"")))</f>
        <v/>
      </c>
      <c r="T129" s="17">
        <f>IF(OR(T128="",S128=""),"",IF(S128&lt;=0,"",IFERROR(T128/S128-1,"")))</f>
        <v/>
      </c>
      <c r="U129" s="17">
        <f>IF(OR(U128="",T128=""),"",IF(T128&lt;=0,"",IFERROR(U128/T128-1,"")))</f>
        <v/>
      </c>
      <c r="V129" s="17">
        <f>IF(OR(V128="",U128=""),"",IF(U128&lt;=0,"",IFERROR(V128/U128-1,"")))</f>
        <v/>
      </c>
      <c r="W129" s="17">
        <f>IF(OR(W128="",V128=""),"",IF(V128&lt;=0,"",IFERROR(W128/V128-1,"")))</f>
        <v/>
      </c>
      <c r="X129" s="17">
        <f>IF(OR(X128="",W128=""),"",IF(W128&lt;=0,"",IFERROR(X128/W128-1,"")))</f>
        <v/>
      </c>
    </row>
    <row r="130">
      <c r="A130" s="9" t="inlineStr">
        <is>
          <t>비지배주주 순이익</t>
        </is>
      </c>
      <c r="C130" s="12" t="n">
        <v>0</v>
      </c>
      <c r="D130" s="12" t="n">
        <v>0</v>
      </c>
      <c r="E130" s="12" t="n">
        <v>0</v>
      </c>
      <c r="F130" s="12" t="n">
        <v>2.394</v>
      </c>
      <c r="G130" s="12" t="n">
        <v>0</v>
      </c>
      <c r="H130" s="12" t="n">
        <v>0</v>
      </c>
      <c r="I130" s="12" t="n">
        <v>0</v>
      </c>
      <c r="J130" s="12" t="n">
        <v>0</v>
      </c>
      <c r="K130" s="12" t="n">
        <v>0</v>
      </c>
      <c r="L130" s="12" t="n">
        <v>0</v>
      </c>
      <c r="T130" s="12" t="n">
        <v>0</v>
      </c>
      <c r="U130" s="12" t="n">
        <v>0</v>
      </c>
      <c r="V130" s="12" t="n">
        <v>0</v>
      </c>
      <c r="W130" s="12" t="n">
        <v>0</v>
      </c>
      <c r="X130" s="12" t="n">
        <v>0</v>
      </c>
    </row>
    <row r="131">
      <c r="A131" s="9" t="inlineStr">
        <is>
          <t>지배주주 순이익</t>
        </is>
      </c>
      <c r="C131" s="12" t="n">
        <v>450.387</v>
      </c>
      <c r="D131" s="12" t="n">
        <v>241.444</v>
      </c>
      <c r="E131" s="12" t="n">
        <v>266.084</v>
      </c>
      <c r="F131" s="12" t="n">
        <v>342.699</v>
      </c>
      <c r="G131" s="12" t="n">
        <v>401.068</v>
      </c>
      <c r="H131" s="12" t="n">
        <v>196.031</v>
      </c>
      <c r="I131" s="12" t="n">
        <v>168.877</v>
      </c>
      <c r="J131" s="12" t="n">
        <v>185.385</v>
      </c>
      <c r="K131" s="12" t="n">
        <v>167.602</v>
      </c>
      <c r="L131" s="12" t="n">
        <v>174.075</v>
      </c>
      <c r="M131" s="12" t="n">
        <v>-76.98999999999999</v>
      </c>
      <c r="N131" s="12" t="n">
        <v>307.453</v>
      </c>
      <c r="T131" s="12" t="n">
        <v>239.927</v>
      </c>
      <c r="U131" s="12" t="n">
        <v>-140.871</v>
      </c>
      <c r="V131" s="12" t="n">
        <v>241.444</v>
      </c>
      <c r="W131" s="12" t="n">
        <v>196.031</v>
      </c>
      <c r="X131" s="12" t="n">
        <v>174.075</v>
      </c>
    </row>
    <row r="132">
      <c r="A132" s="45" t="inlineStr">
        <is>
          <t>YoY</t>
        </is>
      </c>
      <c r="B132" s="3" t="inlineStr">
        <is>
          <t>전년 같은 분기·전년 대비</t>
        </is>
      </c>
      <c r="G132" s="17">
        <f>IF(OR(G131="",C131=""),"",IF(C131&lt;=0,"",IFERROR(G131/C131-1,"")))</f>
        <v/>
      </c>
      <c r="H132" s="17">
        <f>IF(OR(H131="",D131=""),"",IF(D131&lt;=0,"",IFERROR(H131/D131-1,"")))</f>
        <v/>
      </c>
      <c r="I132" s="17">
        <f>IF(OR(I131="",E131=""),"",IF(E131&lt;=0,"",IFERROR(I131/E131-1,"")))</f>
        <v/>
      </c>
      <c r="J132" s="17">
        <f>IF(OR(J131="",F131=""),"",IF(F131&lt;=0,"",IFERROR(J131/F131-1,"")))</f>
        <v/>
      </c>
      <c r="K132" s="17">
        <f>IF(OR(K131="",G131=""),"",IF(G131&lt;=0,"",IFERROR(K131/G131-1,"")))</f>
        <v/>
      </c>
      <c r="L132" s="17">
        <f>IF(OR(L131="",H131=""),"",IF(H131&lt;=0,"",IFERROR(L131/H131-1,"")))</f>
        <v/>
      </c>
      <c r="M132" s="17">
        <f>IF(OR(M131="",I131=""),"",IF(I131&lt;=0,"",IFERROR(M131/I131-1,"")))</f>
        <v/>
      </c>
      <c r="N132" s="17">
        <f>IF(OR(N131="",J131=""),"",IF(J131&lt;=0,"",IFERROR(N131/J131-1,"")))</f>
        <v/>
      </c>
      <c r="T132" s="17">
        <f>IF(OR(T131="",S131=""),"",IF(S131&lt;=0,"",IFERROR(T131/S131-1,"")))</f>
        <v/>
      </c>
      <c r="U132" s="17">
        <f>IF(OR(U131="",T131=""),"",IF(T131&lt;=0,"",IFERROR(U131/T131-1,"")))</f>
        <v/>
      </c>
      <c r="V132" s="17">
        <f>IF(OR(V131="",U131=""),"",IF(U131&lt;=0,"",IFERROR(V131/U131-1,"")))</f>
        <v/>
      </c>
      <c r="W132" s="17">
        <f>IF(OR(W131="",V131=""),"",IF(V131&lt;=0,"",IFERROR(W131/V131-1,"")))</f>
        <v/>
      </c>
      <c r="X132" s="17">
        <f>IF(OR(X131="",W131=""),"",IF(W131&lt;=0,"",IFERROR(X131/W131-1,"")))</f>
        <v/>
      </c>
    </row>
    <row r="134">
      <c r="A134" s="18" t="inlineStr">
        <is>
          <t>포괄손익 · 전 항목</t>
        </is>
      </c>
      <c r="B134" s="44" t="inlineStr">
        <is>
          <t>분기 = 3개월 단독</t>
        </is>
      </c>
      <c r="C134" s="18" t="n"/>
      <c r="D134" s="18" t="n"/>
      <c r="E134" s="18" t="n"/>
      <c r="F134" s="18" t="n"/>
      <c r="G134" s="18" t="n"/>
      <c r="H134" s="18" t="n"/>
      <c r="I134" s="18" t="n"/>
      <c r="J134" s="18" t="n"/>
      <c r="K134" s="18" t="n"/>
      <c r="L134" s="18" t="n"/>
      <c r="M134" s="18" t="n"/>
      <c r="N134" s="18" t="n"/>
      <c r="O134" s="18" t="n"/>
      <c r="P134" s="18" t="n"/>
      <c r="Q134" s="18" t="n"/>
      <c r="R134" s="18" t="n"/>
      <c r="S134" s="18" t="n"/>
      <c r="T134" s="18" t="n"/>
      <c r="U134" s="18" t="n"/>
      <c r="V134" s="18" t="n"/>
      <c r="W134" s="18" t="n"/>
      <c r="X134" s="18" t="n"/>
      <c r="Y134" s="18" t="n"/>
      <c r="Z134" s="18" t="n"/>
      <c r="AA134" s="18" t="n"/>
      <c r="AB134" s="18" t="n"/>
      <c r="AC134" s="18" t="n"/>
    </row>
    <row r="135">
      <c r="A135" s="5" t="inlineStr">
        <is>
          <t>항목</t>
        </is>
      </c>
      <c r="B135" s="5" t="inlineStr">
        <is>
          <t>참고</t>
        </is>
      </c>
      <c r="C135" s="5" t="inlineStr">
        <is>
          <t>2024.3Q</t>
        </is>
      </c>
      <c r="D135" s="5" t="inlineStr">
        <is>
          <t>2024.4Q</t>
        </is>
      </c>
      <c r="E135" s="5" t="inlineStr">
        <is>
          <t>2025.1Q</t>
        </is>
      </c>
      <c r="F135" s="5" t="inlineStr">
        <is>
          <t>2025.2Q</t>
        </is>
      </c>
      <c r="G135" s="5" t="inlineStr">
        <is>
          <t>2025.3Q</t>
        </is>
      </c>
      <c r="H135" s="5" t="inlineStr">
        <is>
          <t>2025.4Q</t>
        </is>
      </c>
      <c r="I135" s="5" t="inlineStr">
        <is>
          <t>2026.1Q</t>
        </is>
      </c>
      <c r="J135" s="5" t="inlineStr">
        <is>
          <t>2026.2Q</t>
        </is>
      </c>
      <c r="K135" s="5" t="inlineStr">
        <is>
          <t>2026.3Q</t>
        </is>
      </c>
      <c r="L135" s="5" t="inlineStr">
        <is>
          <t>2026.4Q</t>
        </is>
      </c>
      <c r="M135" s="5" t="inlineStr">
        <is>
          <t>2027.1Q</t>
        </is>
      </c>
      <c r="N135" s="5" t="inlineStr">
        <is>
          <t>2027.2Q</t>
        </is>
      </c>
      <c r="O135" s="5" t="inlineStr">
        <is>
          <t>2017</t>
        </is>
      </c>
      <c r="P135" s="5" t="inlineStr">
        <is>
          <t>2018</t>
        </is>
      </c>
      <c r="Q135" s="5" t="inlineStr">
        <is>
          <t>2019</t>
        </is>
      </c>
      <c r="R135" s="5" t="inlineStr">
        <is>
          <t>2020</t>
        </is>
      </c>
      <c r="S135" s="5" t="inlineStr">
        <is>
          <t>2021</t>
        </is>
      </c>
      <c r="T135" s="5" t="inlineStr">
        <is>
          <t>2022</t>
        </is>
      </c>
      <c r="U135" s="5" t="inlineStr">
        <is>
          <t>2023</t>
        </is>
      </c>
      <c r="V135" s="5" t="inlineStr">
        <is>
          <t>2024</t>
        </is>
      </c>
      <c r="W135" s="5" t="inlineStr">
        <is>
          <t>2025</t>
        </is>
      </c>
      <c r="X135" s="5" t="inlineStr">
        <is>
          <t>2026</t>
        </is>
      </c>
      <c r="Y135" s="5" t="inlineStr">
        <is>
          <t>2027(MW)</t>
        </is>
      </c>
      <c r="Z135" s="5" t="inlineStr">
        <is>
          <t>2028(MW)</t>
        </is>
      </c>
      <c r="AA135" s="5" t="inlineStr">
        <is>
          <t>2029(MW)</t>
        </is>
      </c>
      <c r="AB135" s="5" t="inlineStr">
        <is>
          <t>2030(MW)</t>
        </is>
      </c>
      <c r="AC135" s="5" t="inlineStr">
        <is>
          <t>2031(MW)</t>
        </is>
      </c>
    </row>
    <row r="136">
      <c r="A136" s="9" t="inlineStr">
        <is>
          <t>순이익</t>
        </is>
      </c>
      <c r="C136" s="12" t="n">
        <v>450.387</v>
      </c>
      <c r="D136" s="12" t="n">
        <v>241.444</v>
      </c>
      <c r="E136" s="12" t="n">
        <v>266.084</v>
      </c>
      <c r="F136" s="12" t="n">
        <v>345.093</v>
      </c>
      <c r="G136" s="12" t="n">
        <v>401.068</v>
      </c>
      <c r="H136" s="12" t="n">
        <v>196.031</v>
      </c>
      <c r="I136" s="12" t="n">
        <v>168.877</v>
      </c>
      <c r="J136" s="12" t="n">
        <v>185.385</v>
      </c>
      <c r="K136" s="12" t="n">
        <v>167.602</v>
      </c>
      <c r="L136" s="12" t="n">
        <v>174.075</v>
      </c>
      <c r="M136" s="12" t="n">
        <v>-76.98999999999999</v>
      </c>
      <c r="N136" s="12" t="n">
        <v>307.453</v>
      </c>
      <c r="T136" s="12" t="n">
        <v>239.927</v>
      </c>
      <c r="U136" s="12" t="n">
        <v>-140.871</v>
      </c>
      <c r="V136" s="12" t="n">
        <v>241.444</v>
      </c>
      <c r="W136" s="12" t="n">
        <v>196.031</v>
      </c>
      <c r="X136" s="12" t="n">
        <v>174.075</v>
      </c>
    </row>
    <row r="137">
      <c r="A137" s="9" t="inlineStr">
        <is>
          <t>포괄이익</t>
        </is>
      </c>
      <c r="C137" s="12" t="n">
        <v>450.387</v>
      </c>
      <c r="D137" s="12" t="n">
        <v>241.444</v>
      </c>
      <c r="E137" s="12" t="n">
        <v>266.084</v>
      </c>
      <c r="F137" s="12" t="n">
        <v>345.093</v>
      </c>
      <c r="G137" s="12" t="n">
        <v>401.068</v>
      </c>
      <c r="H137" s="12" t="n">
        <v>196.031</v>
      </c>
      <c r="I137" s="12" t="n">
        <v>168.877</v>
      </c>
      <c r="J137" s="12" t="n">
        <v>185.385</v>
      </c>
      <c r="K137" s="12" t="n">
        <v>167.602</v>
      </c>
      <c r="L137" s="12" t="n">
        <v>174.075</v>
      </c>
      <c r="M137" s="12" t="n">
        <v>-76.98999999999999</v>
      </c>
      <c r="N137" s="12" t="n">
        <v>307.453</v>
      </c>
      <c r="T137" s="12" t="n">
        <v>239.927</v>
      </c>
      <c r="U137" s="12" t="n">
        <v>-140.871</v>
      </c>
      <c r="V137" s="12" t="n">
        <v>241.444</v>
      </c>
      <c r="W137" s="12" t="n">
        <v>196.031</v>
      </c>
      <c r="X137" s="12" t="n">
        <v>174.075</v>
      </c>
    </row>
    <row r="138">
      <c r="A138" s="9" t="inlineStr">
        <is>
          <t>지배주주 포괄이익</t>
        </is>
      </c>
      <c r="C138" s="12" t="n">
        <v>450.387</v>
      </c>
      <c r="D138" s="12" t="n">
        <v>241.444</v>
      </c>
      <c r="E138" s="12" t="n">
        <v>266.084</v>
      </c>
      <c r="F138" s="12" t="n">
        <v>342.699</v>
      </c>
      <c r="G138" s="12" t="n">
        <v>401.068</v>
      </c>
      <c r="H138" s="12" t="n">
        <v>196.031</v>
      </c>
      <c r="I138" s="12" t="n">
        <v>168.877</v>
      </c>
      <c r="J138" s="12" t="n">
        <v>185.385</v>
      </c>
      <c r="K138" s="12" t="n">
        <v>167.602</v>
      </c>
      <c r="L138" s="12" t="n">
        <v>174.075</v>
      </c>
      <c r="M138" s="12" t="n">
        <v>-76.98999999999999</v>
      </c>
      <c r="N138" s="12" t="n">
        <v>307.453</v>
      </c>
      <c r="T138" s="12" t="n">
        <v>239.927</v>
      </c>
      <c r="U138" s="12" t="n">
        <v>-140.871</v>
      </c>
      <c r="V138" s="12" t="n">
        <v>241.444</v>
      </c>
      <c r="W138" s="12" t="n">
        <v>196.031</v>
      </c>
      <c r="X138" s="12" t="n">
        <v>174.075</v>
      </c>
    </row>
    <row r="139">
      <c r="A139" s="9" t="inlineStr">
        <is>
          <t>비지배주주 포괄이익</t>
        </is>
      </c>
      <c r="C139" s="12" t="n">
        <v>0</v>
      </c>
      <c r="D139" s="12" t="n">
        <v>0</v>
      </c>
      <c r="E139" s="12" t="n">
        <v>0</v>
      </c>
      <c r="F139" s="12" t="n">
        <v>2.394</v>
      </c>
      <c r="G139" s="12" t="n">
        <v>0</v>
      </c>
      <c r="H139" s="12" t="n">
        <v>0</v>
      </c>
      <c r="I139" s="12" t="n">
        <v>0</v>
      </c>
      <c r="J139" s="12" t="n">
        <v>0</v>
      </c>
      <c r="K139" s="12" t="n">
        <v>0</v>
      </c>
      <c r="L139" s="12" t="n">
        <v>0</v>
      </c>
      <c r="T139" s="12" t="n">
        <v>0</v>
      </c>
      <c r="U139" s="12" t="n">
        <v>0</v>
      </c>
      <c r="V139" s="12" t="n">
        <v>0</v>
      </c>
      <c r="W139" s="12" t="n">
        <v>0</v>
      </c>
      <c r="X139" s="12" t="n">
        <v>0</v>
      </c>
    </row>
    <row r="141">
      <c r="A141" s="18" t="inlineStr">
        <is>
          <t>현금흐름표 · 전 항목</t>
        </is>
      </c>
      <c r="B141" s="44" t="inlineStr">
        <is>
          <t>분기 = 결산기 첫날부터 누계(공시 그대로)</t>
        </is>
      </c>
      <c r="C141" s="18" t="n"/>
      <c r="D141" s="18" t="n"/>
      <c r="E141" s="18" t="n"/>
      <c r="F141" s="18" t="n"/>
      <c r="G141" s="18" t="n"/>
      <c r="H141" s="18" t="n"/>
      <c r="I141" s="18" t="n"/>
      <c r="J141" s="18" t="n"/>
      <c r="K141" s="18" t="n"/>
      <c r="L141" s="18" t="n"/>
      <c r="M141" s="18" t="n"/>
      <c r="N141" s="18" t="n"/>
      <c r="O141" s="18" t="n"/>
      <c r="P141" s="18" t="n"/>
      <c r="Q141" s="18" t="n"/>
      <c r="R141" s="18" t="n"/>
      <c r="S141" s="18" t="n"/>
      <c r="T141" s="18" t="n"/>
      <c r="U141" s="18" t="n"/>
      <c r="V141" s="18" t="n"/>
      <c r="W141" s="18" t="n"/>
      <c r="X141" s="18" t="n"/>
      <c r="Y141" s="18" t="n"/>
      <c r="Z141" s="18" t="n"/>
      <c r="AA141" s="18" t="n"/>
      <c r="AB141" s="18" t="n"/>
      <c r="AC141" s="18" t="n"/>
    </row>
    <row r="142">
      <c r="A142" s="5" t="inlineStr">
        <is>
          <t>항목</t>
        </is>
      </c>
      <c r="B142" s="5" t="inlineStr">
        <is>
          <t>참고</t>
        </is>
      </c>
      <c r="C142" s="5" t="inlineStr">
        <is>
          <t>2024.3Q</t>
        </is>
      </c>
      <c r="D142" s="5" t="inlineStr">
        <is>
          <t>2024.4Q</t>
        </is>
      </c>
      <c r="E142" s="5" t="inlineStr">
        <is>
          <t>2025.1Q</t>
        </is>
      </c>
      <c r="F142" s="5" t="inlineStr">
        <is>
          <t>2025.2Q</t>
        </is>
      </c>
      <c r="G142" s="5" t="inlineStr">
        <is>
          <t>2025.3Q</t>
        </is>
      </c>
      <c r="H142" s="5" t="inlineStr">
        <is>
          <t>2025.4Q</t>
        </is>
      </c>
      <c r="I142" s="5" t="inlineStr">
        <is>
          <t>2026.1Q</t>
        </is>
      </c>
      <c r="J142" s="5" t="inlineStr">
        <is>
          <t>2026.2Q</t>
        </is>
      </c>
      <c r="K142" s="5" t="inlineStr">
        <is>
          <t>2026.3Q</t>
        </is>
      </c>
      <c r="L142" s="5" t="inlineStr">
        <is>
          <t>2026.4Q</t>
        </is>
      </c>
      <c r="M142" s="5" t="inlineStr">
        <is>
          <t>2027.1Q</t>
        </is>
      </c>
      <c r="N142" s="5" t="inlineStr">
        <is>
          <t>2027.2Q</t>
        </is>
      </c>
      <c r="O142" s="5" t="inlineStr">
        <is>
          <t>2017</t>
        </is>
      </c>
      <c r="P142" s="5" t="inlineStr">
        <is>
          <t>2018</t>
        </is>
      </c>
      <c r="Q142" s="5" t="inlineStr">
        <is>
          <t>2019</t>
        </is>
      </c>
      <c r="R142" s="5" t="inlineStr">
        <is>
          <t>2020</t>
        </is>
      </c>
      <c r="S142" s="5" t="inlineStr">
        <is>
          <t>2021</t>
        </is>
      </c>
      <c r="T142" s="5" t="inlineStr">
        <is>
          <t>2022</t>
        </is>
      </c>
      <c r="U142" s="5" t="inlineStr">
        <is>
          <t>2023</t>
        </is>
      </c>
      <c r="V142" s="5" t="inlineStr">
        <is>
          <t>2024</t>
        </is>
      </c>
      <c r="W142" s="5" t="inlineStr">
        <is>
          <t>2025</t>
        </is>
      </c>
      <c r="X142" s="5" t="inlineStr">
        <is>
          <t>2026</t>
        </is>
      </c>
      <c r="Y142" s="5" t="inlineStr">
        <is>
          <t>2027(MW)</t>
        </is>
      </c>
      <c r="Z142" s="5" t="inlineStr">
        <is>
          <t>2028(MW)</t>
        </is>
      </c>
      <c r="AA142" s="5" t="inlineStr">
        <is>
          <t>2029(MW)</t>
        </is>
      </c>
      <c r="AB142" s="5" t="inlineStr">
        <is>
          <t>2030(MW)</t>
        </is>
      </c>
      <c r="AC142" s="5" t="inlineStr">
        <is>
          <t>2031(MW)</t>
        </is>
      </c>
    </row>
    <row r="143">
      <c r="A143" s="9" t="inlineStr">
        <is>
          <t>법인세차감전 순이익</t>
        </is>
      </c>
      <c r="C143" s="12" t="n">
        <v>1098.283</v>
      </c>
      <c r="D143" s="12" t="n">
        <v>1498.715</v>
      </c>
      <c r="H143" s="12" t="n">
        <v>1695.774</v>
      </c>
      <c r="L143" s="12" t="n">
        <v>1036.381</v>
      </c>
      <c r="O143" s="12" t="n">
        <v>538.497</v>
      </c>
      <c r="P143" s="12" t="n">
        <v>1402.457</v>
      </c>
      <c r="Q143" s="12" t="n">
        <v>1849.37</v>
      </c>
      <c r="R143" s="12" t="n">
        <v>2919.201</v>
      </c>
      <c r="S143" s="12" t="n">
        <v>2044.166</v>
      </c>
      <c r="T143" s="12" t="n">
        <v>2071.178</v>
      </c>
      <c r="U143" s="12" t="n">
        <v>530.693</v>
      </c>
      <c r="V143" s="12" t="n">
        <v>1498.715</v>
      </c>
      <c r="W143" s="12" t="n">
        <v>1695.774</v>
      </c>
      <c r="X143" s="12" t="n">
        <v>1036.381</v>
      </c>
    </row>
    <row r="144">
      <c r="A144" s="20" t="inlineStr">
        <is>
          <t>감가상각비</t>
        </is>
      </c>
      <c r="C144" s="22" t="n">
        <v>35.766</v>
      </c>
      <c r="D144" s="22" t="n">
        <v>72.824</v>
      </c>
      <c r="H144" s="22" t="n">
        <v>100.877</v>
      </c>
      <c r="L144" s="22" t="n">
        <v>52.226</v>
      </c>
      <c r="O144" s="22" t="n">
        <v>12.487</v>
      </c>
      <c r="P144" s="22" t="n">
        <v>12.342</v>
      </c>
      <c r="Q144" s="22" t="n">
        <v>13.019</v>
      </c>
      <c r="R144" s="22" t="n">
        <v>23.738</v>
      </c>
      <c r="S144" s="22" t="n">
        <v>21.435</v>
      </c>
      <c r="T144" s="22" t="n">
        <v>40.402</v>
      </c>
      <c r="U144" s="22" t="n">
        <v>62.809</v>
      </c>
      <c r="V144" s="22" t="n">
        <v>72.824</v>
      </c>
      <c r="W144" s="22" t="n">
        <v>100.877</v>
      </c>
      <c r="X144" s="22" t="n">
        <v>52.226</v>
      </c>
    </row>
    <row r="145">
      <c r="A145" s="20" t="inlineStr">
        <is>
          <t>영업권 상각</t>
        </is>
      </c>
      <c r="C145" s="22" t="n">
        <v>49.452</v>
      </c>
      <c r="D145" s="22" t="n">
        <v>65.93600000000001</v>
      </c>
      <c r="H145" s="22" t="n">
        <v>65.93600000000001</v>
      </c>
      <c r="L145" s="22" t="n">
        <v>75.91500000000001</v>
      </c>
      <c r="T145" s="22" t="n">
        <v>49.452</v>
      </c>
      <c r="U145" s="22" t="n">
        <v>65.93600000000001</v>
      </c>
      <c r="V145" s="22" t="n">
        <v>65.93600000000001</v>
      </c>
      <c r="W145" s="22" t="n">
        <v>65.93600000000001</v>
      </c>
      <c r="X145" s="22" t="n">
        <v>75.91500000000001</v>
      </c>
    </row>
    <row r="146">
      <c r="A146" s="20" t="inlineStr">
        <is>
          <t>손상차손</t>
        </is>
      </c>
      <c r="P146" s="22" t="n">
        <v>0</v>
      </c>
      <c r="Q146" s="22" t="n">
        <v>12.141</v>
      </c>
      <c r="R146" s="22" t="n">
        <v>0</v>
      </c>
      <c r="T146" s="22" t="n">
        <v>115.844</v>
      </c>
      <c r="U146" s="22" t="n">
        <v>0</v>
      </c>
    </row>
    <row r="147">
      <c r="A147" s="20" t="inlineStr">
        <is>
          <t>수취 손해배상금</t>
        </is>
      </c>
      <c r="T147" s="22" t="n">
        <v>-82.262</v>
      </c>
      <c r="U147" s="22" t="n">
        <v>0</v>
      </c>
    </row>
    <row r="148">
      <c r="A148" s="20" t="inlineStr">
        <is>
          <t>부의 영업권 발생이익</t>
        </is>
      </c>
      <c r="T148" s="22" t="n">
        <v>-8.375999999999999</v>
      </c>
      <c r="U148" s="22" t="n">
        <v>0</v>
      </c>
    </row>
    <row r="149">
      <c r="A149" s="20" t="inlineStr">
        <is>
          <t>고정자산 제각손실</t>
        </is>
      </c>
      <c r="O149" s="22" t="n">
        <v>0</v>
      </c>
      <c r="P149" s="22" t="n">
        <v>0.77</v>
      </c>
      <c r="Q149" s="22" t="n">
        <v>0</v>
      </c>
      <c r="R149" s="22" t="n">
        <v>2.145</v>
      </c>
      <c r="S149" s="22" t="n">
        <v>4.593</v>
      </c>
      <c r="T149" s="22" t="n">
        <v>0.913</v>
      </c>
      <c r="U149" s="22" t="n">
        <v>0.371</v>
      </c>
    </row>
    <row r="150">
      <c r="A150" s="20" t="inlineStr">
        <is>
          <t>임대차계약 해약손실</t>
        </is>
      </c>
      <c r="O150" s="22" t="n">
        <v>0</v>
      </c>
      <c r="P150" s="22" t="n">
        <v>0.608</v>
      </c>
      <c r="Q150" s="22" t="n">
        <v>0</v>
      </c>
    </row>
    <row r="151">
      <c r="A151" s="20" t="inlineStr">
        <is>
          <t>주식교부비</t>
        </is>
      </c>
      <c r="P151" s="22" t="n">
        <v>0</v>
      </c>
      <c r="Q151" s="22" t="n">
        <v>0.428</v>
      </c>
      <c r="R151" s="22" t="n">
        <v>0</v>
      </c>
    </row>
    <row r="152">
      <c r="A152" s="20" t="inlineStr">
        <is>
          <t>자기주식 취득비용</t>
        </is>
      </c>
      <c r="P152" s="22" t="n">
        <v>0</v>
      </c>
      <c r="Q152" s="22" t="n">
        <v>0.768</v>
      </c>
      <c r="R152" s="22" t="n">
        <v>0</v>
      </c>
    </row>
    <row r="153">
      <c r="A153" s="20" t="inlineStr">
        <is>
          <t>대손손실</t>
        </is>
      </c>
      <c r="P153" s="22" t="n">
        <v>0</v>
      </c>
      <c r="Q153" s="22" t="n">
        <v>1.176</v>
      </c>
      <c r="R153" s="22" t="n">
        <v>0</v>
      </c>
    </row>
    <row r="154">
      <c r="A154" s="20" t="inlineStr">
        <is>
          <t>본사 이전 비용</t>
        </is>
      </c>
      <c r="Q154" s="22" t="n">
        <v>0</v>
      </c>
      <c r="R154" s="22" t="n">
        <v>2.65</v>
      </c>
      <c r="S154" s="22" t="n">
        <v>0</v>
      </c>
    </row>
    <row r="155">
      <c r="A155" s="20" t="inlineStr">
        <is>
          <t>고정자산 제각·매각손익</t>
        </is>
      </c>
      <c r="C155" s="22" t="n">
        <v>0.651</v>
      </c>
      <c r="D155" s="22" t="n">
        <v>0.651</v>
      </c>
      <c r="H155" s="22" t="n">
        <v>2.286</v>
      </c>
      <c r="L155" s="22" t="n">
        <v>1.162</v>
      </c>
      <c r="U155" s="22" t="n">
        <v>0.371</v>
      </c>
      <c r="V155" s="22" t="n">
        <v>0.651</v>
      </c>
      <c r="W155" s="22" t="n">
        <v>2.286</v>
      </c>
      <c r="X155" s="22" t="n">
        <v>1.162</v>
      </c>
    </row>
    <row r="156">
      <c r="A156" s="20" t="inlineStr">
        <is>
          <t>관계회사 주식 평가손실</t>
        </is>
      </c>
      <c r="D156" s="22" t="n">
        <v>0</v>
      </c>
      <c r="T156" s="22" t="n">
        <v>0</v>
      </c>
      <c r="U156" s="22" t="n">
        <v>9.999000000000001</v>
      </c>
      <c r="V156" s="22" t="n">
        <v>0</v>
      </c>
    </row>
    <row r="157">
      <c r="A157" s="20" t="inlineStr">
        <is>
          <t>관계회사 주식 매각손익</t>
        </is>
      </c>
      <c r="D157" s="22" t="n">
        <v>0</v>
      </c>
      <c r="H157" s="22" t="n">
        <v>6.407</v>
      </c>
      <c r="L157" s="22" t="n">
        <v>0</v>
      </c>
      <c r="V157" s="22" t="n">
        <v>0</v>
      </c>
      <c r="W157" s="22" t="n">
        <v>6.407</v>
      </c>
      <c r="X157" s="22" t="n">
        <v>0</v>
      </c>
    </row>
    <row r="158">
      <c r="A158" s="20" t="inlineStr">
        <is>
          <t>대손충당금 증감</t>
        </is>
      </c>
      <c r="C158" s="22" t="n">
        <v>0</v>
      </c>
      <c r="D158" s="22" t="n">
        <v>0.006</v>
      </c>
      <c r="H158" s="22" t="n">
        <v>-0.007</v>
      </c>
      <c r="L158" s="22" t="n">
        <v>-0.001</v>
      </c>
      <c r="O158" s="22" t="n">
        <v>6.76</v>
      </c>
      <c r="P158" s="22" t="n">
        <v>3.858</v>
      </c>
      <c r="Q158" s="22" t="n">
        <v>0.905</v>
      </c>
      <c r="R158" s="22" t="n">
        <v>-3.919</v>
      </c>
      <c r="S158" s="22" t="n">
        <v>-0.256</v>
      </c>
      <c r="T158" s="22" t="n">
        <v>-1.167</v>
      </c>
      <c r="U158" s="22" t="n">
        <v>5.448</v>
      </c>
      <c r="V158" s="22" t="n">
        <v>0.006</v>
      </c>
      <c r="W158" s="22" t="n">
        <v>-0.007</v>
      </c>
      <c r="X158" s="22" t="n">
        <v>-0.001</v>
      </c>
    </row>
    <row r="159">
      <c r="A159" s="20" t="inlineStr">
        <is>
          <t>판매촉진 충당금 증감</t>
        </is>
      </c>
      <c r="O159" s="22" t="n">
        <v>4.564</v>
      </c>
      <c r="P159" s="22" t="n">
        <v>37.532</v>
      </c>
      <c r="Q159" s="22" t="n">
        <v>9.500999999999999</v>
      </c>
      <c r="R159" s="22" t="n">
        <v>2.142</v>
      </c>
      <c r="S159" s="22" t="n">
        <v>-14.26</v>
      </c>
      <c r="T159" s="22" t="n">
        <v>-14.209</v>
      </c>
      <c r="U159" s="22" t="n">
        <v>0</v>
      </c>
    </row>
    <row r="160">
      <c r="A160" s="20" t="inlineStr">
        <is>
          <t>주주우대 충당금 증감</t>
        </is>
      </c>
      <c r="C160" s="22" t="n">
        <v>-51.492</v>
      </c>
      <c r="D160" s="22" t="n">
        <v>20.633</v>
      </c>
      <c r="H160" s="22" t="n">
        <v>20.432</v>
      </c>
      <c r="L160" s="22" t="n">
        <v>26.135</v>
      </c>
      <c r="O160" s="22" t="n">
        <v>3.693</v>
      </c>
      <c r="P160" s="22" t="n">
        <v>14.441</v>
      </c>
      <c r="Q160" s="22" t="n">
        <v>14.787</v>
      </c>
      <c r="R160" s="22" t="n">
        <v>8.523</v>
      </c>
      <c r="S160" s="22" t="n">
        <v>-9.131</v>
      </c>
      <c r="T160" s="22" t="n">
        <v>20.471</v>
      </c>
      <c r="U160" s="22" t="n">
        <v>-6.421</v>
      </c>
      <c r="V160" s="22" t="n">
        <v>20.633</v>
      </c>
      <c r="W160" s="22" t="n">
        <v>20.432</v>
      </c>
      <c r="X160" s="22" t="n">
        <v>26.135</v>
      </c>
    </row>
    <row r="161">
      <c r="A161" s="20" t="inlineStr">
        <is>
          <t>반품조정 충당금 증감</t>
        </is>
      </c>
      <c r="O161" s="22" t="n">
        <v>0</v>
      </c>
      <c r="P161" s="22" t="n">
        <v>6.728</v>
      </c>
      <c r="Q161" s="22" t="n">
        <v>7.616</v>
      </c>
      <c r="R161" s="22" t="n">
        <v>-1.233</v>
      </c>
      <c r="S161" s="22" t="n">
        <v>-1.654</v>
      </c>
      <c r="T161" s="22" t="n">
        <v>-0.79</v>
      </c>
      <c r="U161" s="22" t="n">
        <v>0</v>
      </c>
    </row>
    <row r="162">
      <c r="A162" s="20" t="inlineStr">
        <is>
          <t>임원 퇴직위로 충당금 증감</t>
        </is>
      </c>
      <c r="C162" s="22" t="n">
        <v>1.052</v>
      </c>
      <c r="D162" s="22" t="n">
        <v>1.21</v>
      </c>
      <c r="H162" s="22" t="n">
        <v>-1.366</v>
      </c>
      <c r="L162" s="22" t="n">
        <v>0</v>
      </c>
      <c r="T162" s="22" t="n">
        <v>1.452</v>
      </c>
      <c r="U162" s="22" t="n">
        <v>-4.422</v>
      </c>
      <c r="V162" s="22" t="n">
        <v>1.21</v>
      </c>
      <c r="W162" s="22" t="n">
        <v>-1.366</v>
      </c>
      <c r="X162" s="22" t="n">
        <v>0</v>
      </c>
    </row>
    <row r="163">
      <c r="A163" s="20" t="inlineStr">
        <is>
          <t>퇴직급여부채 증감</t>
        </is>
      </c>
      <c r="C163" s="22" t="n">
        <v>1.068</v>
      </c>
      <c r="D163" s="22" t="n">
        <v>1.156</v>
      </c>
      <c r="H163" s="22" t="n">
        <v>0.667</v>
      </c>
      <c r="L163" s="22" t="n">
        <v>0</v>
      </c>
      <c r="T163" s="22" t="n">
        <v>1.237</v>
      </c>
      <c r="U163" s="22" t="n">
        <v>3.27</v>
      </c>
      <c r="V163" s="22" t="n">
        <v>1.156</v>
      </c>
      <c r="W163" s="22" t="n">
        <v>0.667</v>
      </c>
      <c r="X163" s="22" t="n">
        <v>0</v>
      </c>
    </row>
    <row r="164">
      <c r="A164" s="20" t="inlineStr">
        <is>
          <t>이전손실충당금 증감액(△는 감소)</t>
        </is>
      </c>
      <c r="C164" s="22" t="n">
        <v>0</v>
      </c>
      <c r="D164" s="22" t="n">
        <v>0</v>
      </c>
      <c r="T164" s="22" t="n">
        <v>4.979</v>
      </c>
      <c r="U164" s="22" t="n">
        <v>-4.979</v>
      </c>
      <c r="V164" s="22" t="n">
        <v>0</v>
      </c>
    </row>
    <row r="165">
      <c r="A165" s="20" t="inlineStr">
        <is>
          <t>외환차손익</t>
        </is>
      </c>
      <c r="C165" s="22" t="n">
        <v>-2.685</v>
      </c>
      <c r="D165" s="22" t="n">
        <v>-2.638</v>
      </c>
      <c r="H165" s="22" t="n">
        <v>0.462</v>
      </c>
      <c r="L165" s="22" t="n">
        <v>-1.198</v>
      </c>
      <c r="O165" s="22" t="n">
        <v>-0.724</v>
      </c>
      <c r="P165" s="22" t="n">
        <v>0.064</v>
      </c>
      <c r="Q165" s="22" t="n">
        <v>-0.319</v>
      </c>
      <c r="R165" s="22" t="n">
        <v>-1.535</v>
      </c>
      <c r="S165" s="22" t="n">
        <v>-7.154</v>
      </c>
      <c r="T165" s="22" t="n">
        <v>-9.163</v>
      </c>
      <c r="U165" s="22" t="n">
        <v>-7.616</v>
      </c>
      <c r="V165" s="22" t="n">
        <v>-2.638</v>
      </c>
      <c r="W165" s="22" t="n">
        <v>0.462</v>
      </c>
      <c r="X165" s="22" t="n">
        <v>-1.198</v>
      </c>
    </row>
    <row r="166">
      <c r="A166" s="20" t="inlineStr">
        <is>
          <t>이자·배당금 수익</t>
        </is>
      </c>
      <c r="C166" s="22" t="n">
        <v>-0.082</v>
      </c>
      <c r="D166" s="22" t="n">
        <v>-0.126</v>
      </c>
      <c r="H166" s="22" t="n">
        <v>-2.406</v>
      </c>
      <c r="L166" s="22" t="n">
        <v>-8.074</v>
      </c>
      <c r="O166" s="22" t="n">
        <v>-0.129</v>
      </c>
      <c r="P166" s="22" t="n">
        <v>-0.018</v>
      </c>
      <c r="Q166" s="22" t="n">
        <v>-0.026</v>
      </c>
      <c r="R166" s="22" t="n">
        <v>-0.024</v>
      </c>
      <c r="S166" s="22" t="n">
        <v>-0.083</v>
      </c>
      <c r="T166" s="22" t="n">
        <v>-0.074</v>
      </c>
      <c r="U166" s="22" t="n">
        <v>-0.121</v>
      </c>
      <c r="V166" s="22" t="n">
        <v>-0.126</v>
      </c>
      <c r="W166" s="22" t="n">
        <v>-2.406</v>
      </c>
      <c r="X166" s="22" t="n">
        <v>-8.074</v>
      </c>
    </row>
    <row r="167">
      <c r="A167" s="20" t="inlineStr">
        <is>
          <t>이자비용</t>
        </is>
      </c>
      <c r="C167" s="22" t="n">
        <v>1.02</v>
      </c>
      <c r="D167" s="22" t="n">
        <v>1.284</v>
      </c>
      <c r="H167" s="22" t="n">
        <v>0.362</v>
      </c>
      <c r="L167" s="22" t="n">
        <v>0</v>
      </c>
      <c r="O167" s="22" t="n">
        <v>0.477</v>
      </c>
      <c r="P167" s="22" t="n">
        <v>0.672</v>
      </c>
      <c r="Q167" s="22" t="n">
        <v>0.348</v>
      </c>
      <c r="R167" s="22" t="n">
        <v>0.047</v>
      </c>
      <c r="S167" s="22" t="n">
        <v>0</v>
      </c>
      <c r="T167" s="22" t="n">
        <v>2.454</v>
      </c>
      <c r="U167" s="22" t="n">
        <v>1.974</v>
      </c>
      <c r="V167" s="22" t="n">
        <v>1.284</v>
      </c>
      <c r="W167" s="22" t="n">
        <v>0.362</v>
      </c>
      <c r="X167" s="22" t="n">
        <v>0</v>
      </c>
    </row>
    <row r="168">
      <c r="A168" s="20" t="inlineStr">
        <is>
          <t>고정자산 매각손익</t>
        </is>
      </c>
      <c r="O168" s="22" t="n">
        <v>0</v>
      </c>
      <c r="P168" s="22" t="n">
        <v>0.148</v>
      </c>
      <c r="Q168" s="22" t="n">
        <v>0</v>
      </c>
    </row>
    <row r="169">
      <c r="A169" s="20" t="inlineStr">
        <is>
          <t>고정자산 매각손실</t>
        </is>
      </c>
      <c r="R169" s="22" t="n">
        <v>0</v>
      </c>
      <c r="S169" s="22" t="n">
        <v>0.033</v>
      </c>
    </row>
    <row r="170">
      <c r="A170" s="20" t="inlineStr">
        <is>
          <t>매출채권 증감</t>
        </is>
      </c>
      <c r="C170" s="22" t="n">
        <v>-121.237</v>
      </c>
      <c r="D170" s="22" t="n">
        <v>-108.784</v>
      </c>
      <c r="H170" s="22" t="n">
        <v>221.412</v>
      </c>
      <c r="L170" s="22" t="n">
        <v>-81.072</v>
      </c>
      <c r="O170" s="22" t="n">
        <v>-13.036</v>
      </c>
      <c r="P170" s="22" t="n">
        <v>-170.543</v>
      </c>
      <c r="Q170" s="22" t="n">
        <v>-215.023</v>
      </c>
      <c r="R170" s="22" t="n">
        <v>-42.508</v>
      </c>
      <c r="S170" s="22" t="n">
        <v>-22.476</v>
      </c>
      <c r="T170" s="22" t="n">
        <v>203.542</v>
      </c>
      <c r="U170" s="22" t="n">
        <v>-180.964</v>
      </c>
      <c r="V170" s="22" t="n">
        <v>-108.784</v>
      </c>
      <c r="W170" s="22" t="n">
        <v>221.412</v>
      </c>
      <c r="X170" s="22" t="n">
        <v>-81.072</v>
      </c>
    </row>
    <row r="171">
      <c r="A171" s="20" t="inlineStr">
        <is>
          <t>재고자산 증감</t>
        </is>
      </c>
      <c r="C171" s="22" t="n">
        <v>-1234.15</v>
      </c>
      <c r="D171" s="22" t="n">
        <v>-853.947</v>
      </c>
      <c r="H171" s="22" t="n">
        <v>323.634</v>
      </c>
      <c r="L171" s="22" t="n">
        <v>127.061</v>
      </c>
      <c r="O171" s="22" t="n">
        <v>66.453</v>
      </c>
      <c r="P171" s="22" t="n">
        <v>-223.114</v>
      </c>
      <c r="Q171" s="22" t="n">
        <v>-204.374</v>
      </c>
      <c r="R171" s="22" t="n">
        <v>-115.886</v>
      </c>
      <c r="S171" s="22" t="n">
        <v>-140.829</v>
      </c>
      <c r="T171" s="22" t="n">
        <v>156.24</v>
      </c>
      <c r="U171" s="22" t="n">
        <v>-106.519</v>
      </c>
      <c r="V171" s="22" t="n">
        <v>-853.947</v>
      </c>
      <c r="W171" s="22" t="n">
        <v>323.634</v>
      </c>
      <c r="X171" s="22" t="n">
        <v>127.061</v>
      </c>
    </row>
    <row r="172">
      <c r="A172" s="20" t="inlineStr">
        <is>
          <t>기타 자산 증감</t>
        </is>
      </c>
      <c r="O172" s="22" t="n">
        <v>15.523</v>
      </c>
      <c r="P172" s="22" t="n">
        <v>-31.484</v>
      </c>
      <c r="Q172" s="22" t="n">
        <v>-3.572</v>
      </c>
      <c r="R172" s="22" t="n">
        <v>0.71</v>
      </c>
      <c r="S172" s="22" t="n">
        <v>-66.447</v>
      </c>
    </row>
    <row r="173">
      <c r="A173" s="20" t="inlineStr">
        <is>
          <t>매입채무 증감</t>
        </is>
      </c>
      <c r="C173" s="22" t="n">
        <v>-306.565</v>
      </c>
      <c r="D173" s="22" t="n">
        <v>-328.322</v>
      </c>
      <c r="H173" s="22" t="n">
        <v>115.777</v>
      </c>
      <c r="L173" s="22" t="n">
        <v>59.324</v>
      </c>
      <c r="O173" s="22" t="n">
        <v>53.086</v>
      </c>
      <c r="P173" s="22" t="n">
        <v>24.943</v>
      </c>
      <c r="Q173" s="22" t="n">
        <v>81.97799999999999</v>
      </c>
      <c r="R173" s="22" t="n">
        <v>61.307</v>
      </c>
      <c r="S173" s="22" t="n">
        <v>10.739</v>
      </c>
      <c r="T173" s="22" t="n">
        <v>-75.794</v>
      </c>
      <c r="U173" s="22" t="n">
        <v>234.554</v>
      </c>
      <c r="V173" s="22" t="n">
        <v>-328.322</v>
      </c>
      <c r="W173" s="22" t="n">
        <v>115.777</v>
      </c>
      <c r="X173" s="22" t="n">
        <v>59.324</v>
      </c>
    </row>
    <row r="174">
      <c r="A174" s="20" t="inlineStr">
        <is>
          <t>미지급금 증감</t>
        </is>
      </c>
      <c r="C174" s="22" t="n">
        <v>-257.509</v>
      </c>
      <c r="D174" s="22" t="n">
        <v>-148.702</v>
      </c>
      <c r="H174" s="22" t="n">
        <v>-172.707</v>
      </c>
      <c r="L174" s="22" t="n">
        <v>154.117</v>
      </c>
      <c r="O174" s="22" t="n">
        <v>45.823</v>
      </c>
      <c r="P174" s="22" t="n">
        <v>114.32</v>
      </c>
      <c r="Q174" s="22" t="n">
        <v>196.016</v>
      </c>
      <c r="R174" s="22" t="n">
        <v>-71.53700000000001</v>
      </c>
      <c r="S174" s="22" t="n">
        <v>77.026</v>
      </c>
      <c r="T174" s="22" t="n">
        <v>-173.998</v>
      </c>
      <c r="U174" s="22" t="n">
        <v>492.886</v>
      </c>
      <c r="V174" s="22" t="n">
        <v>-148.702</v>
      </c>
      <c r="W174" s="22" t="n">
        <v>-172.707</v>
      </c>
      <c r="X174" s="22" t="n">
        <v>154.117</v>
      </c>
    </row>
    <row r="175">
      <c r="A175" s="20" t="inlineStr">
        <is>
          <t>선수금 증감</t>
        </is>
      </c>
      <c r="O175" s="22" t="n">
        <v>-2.424</v>
      </c>
      <c r="P175" s="22" t="n">
        <v>-4.652</v>
      </c>
      <c r="Q175" s="22" t="n">
        <v>0.864</v>
      </c>
      <c r="R175" s="22" t="n">
        <v>0.548</v>
      </c>
      <c r="S175" s="22" t="n">
        <v>-0.681</v>
      </c>
    </row>
    <row r="176">
      <c r="A176" s="20" t="inlineStr">
        <is>
          <t>기타 부채 증감</t>
        </is>
      </c>
      <c r="O176" s="22" t="n">
        <v>43.501</v>
      </c>
      <c r="P176" s="22" t="n">
        <v>53.378</v>
      </c>
      <c r="Q176" s="22" t="n">
        <v>62.673</v>
      </c>
      <c r="R176" s="22" t="n">
        <v>-41.933</v>
      </c>
      <c r="S176" s="22" t="n">
        <v>-98.566</v>
      </c>
    </row>
    <row r="177">
      <c r="A177" s="20" t="inlineStr">
        <is>
          <t>기타</t>
        </is>
      </c>
      <c r="C177" s="22" t="n">
        <v>93.58199999999999</v>
      </c>
      <c r="D177" s="22" t="n">
        <v>114.693</v>
      </c>
      <c r="H177" s="22" t="n">
        <v>159.802</v>
      </c>
      <c r="L177" s="22" t="n">
        <v>-139.025</v>
      </c>
      <c r="T177" s="22" t="n">
        <v>64.238</v>
      </c>
      <c r="U177" s="22" t="n">
        <v>-295.366</v>
      </c>
      <c r="V177" s="22" t="n">
        <v>114.693</v>
      </c>
      <c r="W177" s="22" t="n">
        <v>159.802</v>
      </c>
      <c r="X177" s="22" t="n">
        <v>-139.025</v>
      </c>
    </row>
    <row r="178">
      <c r="A178" s="20" t="inlineStr">
        <is>
          <t>소계</t>
        </is>
      </c>
      <c r="C178" s="22" t="n">
        <v>-692.846</v>
      </c>
      <c r="D178" s="22" t="n">
        <v>334.591</v>
      </c>
      <c r="H178" s="22" t="n">
        <v>2537.349</v>
      </c>
      <c r="L178" s="22" t="n">
        <v>1302.952</v>
      </c>
      <c r="O178" s="22" t="n">
        <v>774.554</v>
      </c>
      <c r="P178" s="22" t="n">
        <v>1242.452</v>
      </c>
      <c r="Q178" s="22" t="n">
        <v>1828.281</v>
      </c>
      <c r="R178" s="22" t="n">
        <v>2742.435</v>
      </c>
      <c r="S178" s="22" t="n">
        <v>1796.452</v>
      </c>
      <c r="T178" s="22" t="n">
        <v>2366.573</v>
      </c>
      <c r="U178" s="22" t="n">
        <v>801.533</v>
      </c>
      <c r="V178" s="22" t="n">
        <v>334.591</v>
      </c>
      <c r="W178" s="22" t="n">
        <v>2537.349</v>
      </c>
      <c r="X178" s="22" t="n">
        <v>1302.952</v>
      </c>
    </row>
    <row r="179">
      <c r="A179" s="20" t="inlineStr">
        <is>
          <t>이자·배당금 수취</t>
        </is>
      </c>
      <c r="C179" s="22" t="n">
        <v>0.082</v>
      </c>
      <c r="D179" s="22" t="n">
        <v>0.126</v>
      </c>
      <c r="H179" s="22" t="n">
        <v>2.406</v>
      </c>
      <c r="L179" s="22" t="n">
        <v>8.074</v>
      </c>
      <c r="O179" s="22" t="n">
        <v>0.129</v>
      </c>
      <c r="P179" s="22" t="n">
        <v>0.018</v>
      </c>
      <c r="Q179" s="22" t="n">
        <v>0.026</v>
      </c>
      <c r="R179" s="22" t="n">
        <v>0.024</v>
      </c>
      <c r="S179" s="22" t="n">
        <v>0.083</v>
      </c>
      <c r="T179" s="22" t="n">
        <v>0.074</v>
      </c>
      <c r="U179" s="22" t="n">
        <v>0.121</v>
      </c>
      <c r="V179" s="22" t="n">
        <v>0.126</v>
      </c>
      <c r="W179" s="22" t="n">
        <v>2.406</v>
      </c>
      <c r="X179" s="22" t="n">
        <v>8.074</v>
      </c>
    </row>
    <row r="180">
      <c r="A180" s="20" t="inlineStr">
        <is>
          <t>이자 지급</t>
        </is>
      </c>
      <c r="C180" s="22" t="n">
        <v>-1.02</v>
      </c>
      <c r="D180" s="22" t="n">
        <v>-1.284</v>
      </c>
      <c r="H180" s="22" t="n">
        <v>-0.362</v>
      </c>
      <c r="L180" s="22" t="n">
        <v>0</v>
      </c>
      <c r="O180" s="22" t="n">
        <v>-0.477</v>
      </c>
      <c r="P180" s="22" t="n">
        <v>-0.672</v>
      </c>
      <c r="Q180" s="22" t="n">
        <v>-0.348</v>
      </c>
      <c r="R180" s="22" t="n">
        <v>-0.047</v>
      </c>
      <c r="S180" s="22" t="n">
        <v>0</v>
      </c>
      <c r="T180" s="22" t="n">
        <v>-2.454</v>
      </c>
      <c r="U180" s="22" t="n">
        <v>-1.974</v>
      </c>
      <c r="V180" s="22" t="n">
        <v>-1.284</v>
      </c>
      <c r="W180" s="22" t="n">
        <v>-0.362</v>
      </c>
      <c r="X180" s="22" t="n">
        <v>0</v>
      </c>
    </row>
    <row r="181">
      <c r="A181" s="20" t="inlineStr">
        <is>
          <t>손해배상금 수취액</t>
        </is>
      </c>
      <c r="C181" s="22" t="n">
        <v>0</v>
      </c>
      <c r="D181" s="22" t="n">
        <v>0</v>
      </c>
      <c r="T181" s="22" t="n">
        <v>0</v>
      </c>
      <c r="U181" s="22" t="n">
        <v>82.262</v>
      </c>
      <c r="V181" s="22" t="n">
        <v>0</v>
      </c>
    </row>
    <row r="182">
      <c r="A182" s="20" t="inlineStr">
        <is>
          <t>법인세 납부</t>
        </is>
      </c>
      <c r="O182" s="22" t="n">
        <v>-136.664</v>
      </c>
      <c r="P182" s="22" t="n">
        <v>-206.027</v>
      </c>
      <c r="Q182" s="22" t="n">
        <v>-634.359</v>
      </c>
      <c r="R182" s="22" t="n">
        <v>-596.825</v>
      </c>
      <c r="S182" s="22" t="n">
        <v>-1114.188</v>
      </c>
      <c r="T182" s="22" t="n">
        <v>-610.283</v>
      </c>
      <c r="U182" s="22" t="n">
        <v>-768.304</v>
      </c>
    </row>
    <row r="183">
      <c r="A183" s="20" t="inlineStr">
        <is>
          <t>본사 이전비용 지급액</t>
        </is>
      </c>
      <c r="Q183" s="22" t="n">
        <v>0</v>
      </c>
      <c r="R183" s="22" t="n">
        <v>-2.65</v>
      </c>
      <c r="S183" s="22" t="n">
        <v>0</v>
      </c>
    </row>
    <row r="184">
      <c r="A184" s="20" t="inlineStr">
        <is>
          <t>법인세 납부·환급</t>
        </is>
      </c>
      <c r="C184" s="22" t="n">
        <v>120.281</v>
      </c>
      <c r="D184" s="22" t="n">
        <v>120.258</v>
      </c>
      <c r="H184" s="22" t="n">
        <v>-725.342</v>
      </c>
      <c r="L184" s="22" t="n">
        <v>-464.674</v>
      </c>
      <c r="U184" s="22" t="n">
        <v>-768.304</v>
      </c>
      <c r="V184" s="22" t="n">
        <v>120.258</v>
      </c>
      <c r="W184" s="22" t="n">
        <v>-725.342</v>
      </c>
      <c r="X184" s="22" t="n">
        <v>-464.674</v>
      </c>
    </row>
    <row r="185">
      <c r="A185" s="9" t="inlineStr">
        <is>
          <t>영업활동 현금흐름</t>
        </is>
      </c>
      <c r="C185" s="12" t="n">
        <v>-573.501</v>
      </c>
      <c r="D185" s="12" t="n">
        <v>453.692</v>
      </c>
      <c r="H185" s="12" t="n">
        <v>1814.051</v>
      </c>
      <c r="L185" s="12" t="n">
        <v>846.352</v>
      </c>
      <c r="O185" s="12" t="n">
        <v>637.542</v>
      </c>
      <c r="P185" s="12" t="n">
        <v>1035.771</v>
      </c>
      <c r="Q185" s="12" t="n">
        <v>1193.6</v>
      </c>
      <c r="R185" s="12" t="n">
        <v>2142.937</v>
      </c>
      <c r="S185" s="12" t="n">
        <v>682.347</v>
      </c>
      <c r="T185" s="12" t="n">
        <v>1753.909</v>
      </c>
      <c r="U185" s="12" t="n">
        <v>113.637</v>
      </c>
      <c r="V185" s="12" t="n">
        <v>453.692</v>
      </c>
      <c r="W185" s="12" t="n">
        <v>1814.051</v>
      </c>
      <c r="X185" s="12" t="n">
        <v>846.352</v>
      </c>
    </row>
    <row r="186">
      <c r="A186" s="20" t="inlineStr">
        <is>
          <t>관계회사 주식 취득용 예탁금 예입 지출</t>
        </is>
      </c>
      <c r="R186" s="22" t="n">
        <v>0</v>
      </c>
      <c r="S186" s="22" t="n">
        <v>-582</v>
      </c>
    </row>
    <row r="187">
      <c r="A187" s="20" t="inlineStr">
        <is>
          <t>유형자산 취득(설비투자)</t>
        </is>
      </c>
      <c r="C187" s="22" t="n">
        <v>-64.657</v>
      </c>
      <c r="D187" s="22" t="n">
        <v>-80.297</v>
      </c>
      <c r="H187" s="22" t="n">
        <v>-161.216</v>
      </c>
      <c r="L187" s="22" t="n">
        <v>-1.688</v>
      </c>
      <c r="O187" s="22" t="n">
        <v>-2.223</v>
      </c>
      <c r="P187" s="22" t="n">
        <v>-1.216</v>
      </c>
      <c r="Q187" s="22" t="n">
        <v>-31.398</v>
      </c>
      <c r="R187" s="22" t="n">
        <v>-86.004</v>
      </c>
      <c r="S187" s="22" t="n">
        <v>-11.564</v>
      </c>
      <c r="T187" s="22" t="n">
        <v>-26.643</v>
      </c>
      <c r="U187" s="22" t="n">
        <v>-97.748</v>
      </c>
      <c r="V187" s="22" t="n">
        <v>-80.297</v>
      </c>
      <c r="W187" s="22" t="n">
        <v>-161.216</v>
      </c>
      <c r="X187" s="22" t="n">
        <v>-1.688</v>
      </c>
    </row>
    <row r="188">
      <c r="A188" s="20" t="inlineStr">
        <is>
          <t>유형자산 매각</t>
        </is>
      </c>
      <c r="H188" s="22" t="n">
        <v>0</v>
      </c>
      <c r="L188" s="22" t="n">
        <v>1.548</v>
      </c>
      <c r="O188" s="22" t="n">
        <v>0</v>
      </c>
      <c r="P188" s="22" t="n">
        <v>0.055</v>
      </c>
      <c r="Q188" s="22" t="n">
        <v>0</v>
      </c>
      <c r="W188" s="22" t="n">
        <v>0</v>
      </c>
      <c r="X188" s="22" t="n">
        <v>1.548</v>
      </c>
    </row>
    <row r="189">
      <c r="A189" s="20" t="inlineStr">
        <is>
          <t>유형자산 제각 지출</t>
        </is>
      </c>
      <c r="D189" s="22" t="n">
        <v>0</v>
      </c>
      <c r="H189" s="22" t="n">
        <v>-0.588</v>
      </c>
      <c r="L189" s="22" t="n">
        <v>0</v>
      </c>
      <c r="R189" s="22" t="n">
        <v>0</v>
      </c>
      <c r="S189" s="22" t="n">
        <v>-1.251</v>
      </c>
      <c r="V189" s="22" t="n">
        <v>0</v>
      </c>
      <c r="W189" s="22" t="n">
        <v>-0.588</v>
      </c>
      <c r="X189" s="22" t="n">
        <v>0</v>
      </c>
    </row>
    <row r="190">
      <c r="A190" s="20" t="inlineStr">
        <is>
          <t>무형자산 취득</t>
        </is>
      </c>
      <c r="C190" s="22" t="n">
        <v>-53.46</v>
      </c>
      <c r="D190" s="22" t="n">
        <v>-71.45</v>
      </c>
      <c r="H190" s="22" t="n">
        <v>-13.623</v>
      </c>
      <c r="L190" s="22" t="n">
        <v>-6.749</v>
      </c>
      <c r="O190" s="22" t="n">
        <v>-8.643000000000001</v>
      </c>
      <c r="P190" s="22" t="n">
        <v>-1.38</v>
      </c>
      <c r="Q190" s="22" t="n">
        <v>-14.153</v>
      </c>
      <c r="R190" s="22" t="n">
        <v>-4.161</v>
      </c>
      <c r="S190" s="22" t="n">
        <v>-15.002</v>
      </c>
      <c r="T190" s="22" t="n">
        <v>-9.859999999999999</v>
      </c>
      <c r="U190" s="22" t="n">
        <v>-7.412</v>
      </c>
      <c r="V190" s="22" t="n">
        <v>-71.45</v>
      </c>
      <c r="W190" s="22" t="n">
        <v>-13.623</v>
      </c>
      <c r="X190" s="22" t="n">
        <v>-6.749</v>
      </c>
    </row>
    <row r="191">
      <c r="A191" s="20" t="inlineStr">
        <is>
          <t>투자유가증권 취득</t>
        </is>
      </c>
      <c r="H191" s="22" t="n">
        <v>0</v>
      </c>
      <c r="L191" s="22" t="n">
        <v>-26.68</v>
      </c>
      <c r="W191" s="22" t="n">
        <v>0</v>
      </c>
      <c r="X191" s="22" t="n">
        <v>-26.68</v>
      </c>
    </row>
    <row r="192">
      <c r="A192" s="20" t="inlineStr">
        <is>
          <t>단기대여금 회수 수입</t>
        </is>
      </c>
      <c r="H192" s="22" t="n">
        <v>0</v>
      </c>
      <c r="L192" s="22" t="n">
        <v>3</v>
      </c>
      <c r="W192" s="22" t="n">
        <v>0</v>
      </c>
      <c r="X192" s="22" t="n">
        <v>3</v>
      </c>
    </row>
    <row r="193">
      <c r="A193" s="20" t="inlineStr">
        <is>
          <t>보증금 납입</t>
        </is>
      </c>
      <c r="C193" s="22" t="n">
        <v>-0.31</v>
      </c>
      <c r="D193" s="22" t="n">
        <v>-129.353</v>
      </c>
      <c r="H193" s="22" t="n">
        <v>-400</v>
      </c>
      <c r="L193" s="22" t="n">
        <v>0</v>
      </c>
      <c r="O193" s="22" t="n">
        <v>-1.481</v>
      </c>
      <c r="P193" s="22" t="n">
        <v>-0.187</v>
      </c>
      <c r="Q193" s="22" t="n">
        <v>-140.631</v>
      </c>
      <c r="R193" s="22" t="n">
        <v>-22.18</v>
      </c>
      <c r="S193" s="22" t="n">
        <v>0</v>
      </c>
      <c r="T193" s="22" t="n">
        <v>-15.417</v>
      </c>
      <c r="U193" s="22" t="n">
        <v>-76.98999999999999</v>
      </c>
      <c r="V193" s="22" t="n">
        <v>-129.353</v>
      </c>
      <c r="W193" s="22" t="n">
        <v>-400</v>
      </c>
      <c r="X193" s="22" t="n">
        <v>0</v>
      </c>
    </row>
    <row r="194">
      <c r="A194" s="20" t="inlineStr">
        <is>
          <t>보증금 회수</t>
        </is>
      </c>
      <c r="C194" s="22" t="n">
        <v>5.172</v>
      </c>
      <c r="D194" s="22" t="n">
        <v>5.172</v>
      </c>
      <c r="H194" s="22" t="n">
        <v>76.702</v>
      </c>
      <c r="L194" s="22" t="n">
        <v>0.1</v>
      </c>
      <c r="Q194" s="22" t="n">
        <v>0</v>
      </c>
      <c r="R194" s="22" t="n">
        <v>12.572</v>
      </c>
      <c r="S194" s="22" t="n">
        <v>0</v>
      </c>
      <c r="T194" s="22" t="n">
        <v>0.448</v>
      </c>
      <c r="U194" s="22" t="n">
        <v>55.451</v>
      </c>
      <c r="V194" s="22" t="n">
        <v>5.172</v>
      </c>
      <c r="W194" s="22" t="n">
        <v>76.702</v>
      </c>
      <c r="X194" s="22" t="n">
        <v>0.1</v>
      </c>
    </row>
    <row r="195">
      <c r="A195" s="20" t="inlineStr">
        <is>
          <t>관계회사 대여금 회수 수입</t>
        </is>
      </c>
      <c r="P195" s="22" t="n">
        <v>0</v>
      </c>
      <c r="Q195" s="22" t="n">
        <v>1.362</v>
      </c>
      <c r="R195" s="22" t="n">
        <v>0</v>
      </c>
    </row>
    <row r="196">
      <c r="A196" s="20" t="inlineStr">
        <is>
          <t>자산복구부채 이행 지출</t>
        </is>
      </c>
      <c r="C196" s="22" t="n">
        <v>-2.048</v>
      </c>
      <c r="D196" s="22" t="n">
        <v>-2.048</v>
      </c>
      <c r="H196" s="22" t="n">
        <v>0</v>
      </c>
      <c r="Q196" s="22" t="n">
        <v>0</v>
      </c>
      <c r="R196" s="22" t="n">
        <v>-0.5</v>
      </c>
      <c r="S196" s="22" t="n">
        <v>0</v>
      </c>
      <c r="T196" s="22" t="n">
        <v>0</v>
      </c>
      <c r="U196" s="22" t="n">
        <v>-14.31</v>
      </c>
      <c r="V196" s="22" t="n">
        <v>-2.048</v>
      </c>
      <c r="W196" s="22" t="n">
        <v>0</v>
      </c>
    </row>
    <row r="197">
      <c r="A197" s="20" t="inlineStr">
        <is>
          <t>관계회사 주식 취득</t>
        </is>
      </c>
      <c r="T197" s="22" t="n">
        <v>-13</v>
      </c>
      <c r="U197" s="22" t="n">
        <v>0</v>
      </c>
    </row>
    <row r="198">
      <c r="A198" s="20" t="inlineStr">
        <is>
          <t>연결범위 변경 자회사 주식 취득(수입)</t>
        </is>
      </c>
      <c r="T198" s="22" t="n">
        <v>262.409</v>
      </c>
      <c r="U198" s="22" t="n">
        <v>0</v>
      </c>
    </row>
    <row r="199">
      <c r="A199" s="20" t="inlineStr">
        <is>
          <t>연결범위 변경 자회사 주식 취득</t>
        </is>
      </c>
      <c r="H199" s="22" t="n">
        <v>0</v>
      </c>
      <c r="L199" s="22" t="n">
        <v>-271.363</v>
      </c>
      <c r="W199" s="22" t="n">
        <v>0</v>
      </c>
      <c r="X199" s="22" t="n">
        <v>-271.363</v>
      </c>
    </row>
    <row r="200">
      <c r="A200" s="20" t="inlineStr">
        <is>
          <t>연결범위 변경 자회사 주식 매각(지출)</t>
        </is>
      </c>
      <c r="D200" s="22" t="n">
        <v>0</v>
      </c>
      <c r="H200" s="22" t="n">
        <v>-32.713</v>
      </c>
      <c r="L200" s="22" t="n">
        <v>0</v>
      </c>
      <c r="V200" s="22" t="n">
        <v>0</v>
      </c>
      <c r="W200" s="22" t="n">
        <v>-32.713</v>
      </c>
      <c r="X200" s="22" t="n">
        <v>0</v>
      </c>
    </row>
    <row r="201">
      <c r="A201" s="20" t="inlineStr">
        <is>
          <t>기타</t>
        </is>
      </c>
      <c r="D201" s="22" t="n">
        <v>0.201</v>
      </c>
      <c r="H201" s="22" t="n">
        <v>0.507</v>
      </c>
      <c r="L201" s="22" t="n">
        <v>0</v>
      </c>
      <c r="U201" s="22" t="n">
        <v>0</v>
      </c>
      <c r="V201" s="22" t="n">
        <v>0.201</v>
      </c>
      <c r="W201" s="22" t="n">
        <v>0.507</v>
      </c>
      <c r="X201" s="22" t="n">
        <v>0</v>
      </c>
    </row>
    <row r="202">
      <c r="A202" s="9" t="inlineStr">
        <is>
          <t>투자활동 현금흐름</t>
        </is>
      </c>
      <c r="C202" s="12" t="n">
        <v>-115.304</v>
      </c>
      <c r="D202" s="12" t="n">
        <v>-277.774</v>
      </c>
      <c r="H202" s="12" t="n">
        <v>-530.931</v>
      </c>
      <c r="L202" s="12" t="n">
        <v>-301.833</v>
      </c>
      <c r="O202" s="12" t="n">
        <v>-12.348</v>
      </c>
      <c r="P202" s="12" t="n">
        <v>-2.73</v>
      </c>
      <c r="Q202" s="12" t="n">
        <v>-184.82</v>
      </c>
      <c r="R202" s="12" t="n">
        <v>-100.273</v>
      </c>
      <c r="S202" s="12" t="n">
        <v>-609.819</v>
      </c>
      <c r="T202" s="12" t="n">
        <v>197.936</v>
      </c>
      <c r="U202" s="12" t="n">
        <v>-141.009</v>
      </c>
      <c r="V202" s="12" t="n">
        <v>-277.774</v>
      </c>
      <c r="W202" s="12" t="n">
        <v>-530.931</v>
      </c>
      <c r="X202" s="12" t="n">
        <v>-301.833</v>
      </c>
    </row>
    <row r="203">
      <c r="A203" s="20" t="inlineStr">
        <is>
          <t>장기차입</t>
        </is>
      </c>
      <c r="O203" s="22" t="n">
        <v>400</v>
      </c>
      <c r="P203" s="22" t="n">
        <v>0</v>
      </c>
    </row>
    <row r="204">
      <c r="A204" s="20" t="inlineStr">
        <is>
          <t>장기차입금 상환</t>
        </is>
      </c>
      <c r="O204" s="22" t="n">
        <v>-58.345</v>
      </c>
      <c r="P204" s="22" t="n">
        <v>-133.356</v>
      </c>
      <c r="Q204" s="22" t="n">
        <v>-133.356</v>
      </c>
      <c r="R204" s="22" t="n">
        <v>-74.943</v>
      </c>
      <c r="S204" s="22" t="n">
        <v>0</v>
      </c>
    </row>
    <row r="205">
      <c r="A205" s="20" t="inlineStr">
        <is>
          <t>리스부채 상환</t>
        </is>
      </c>
      <c r="C205" s="22" t="n">
        <v>-11.737</v>
      </c>
      <c r="D205" s="22" t="n">
        <v>-15.237</v>
      </c>
      <c r="H205" s="22" t="n">
        <v>-5.904</v>
      </c>
      <c r="L205" s="22" t="n">
        <v>0</v>
      </c>
      <c r="T205" s="22" t="n">
        <v>-15.669</v>
      </c>
      <c r="U205" s="22" t="n">
        <v>-16.039</v>
      </c>
      <c r="V205" s="22" t="n">
        <v>-15.237</v>
      </c>
      <c r="W205" s="22" t="n">
        <v>-5.904</v>
      </c>
      <c r="X205" s="22" t="n">
        <v>0</v>
      </c>
    </row>
    <row r="206">
      <c r="A206" s="20" t="inlineStr">
        <is>
          <t>배당금 지급</t>
        </is>
      </c>
      <c r="C206" s="22" t="n">
        <v>-205.379</v>
      </c>
      <c r="D206" s="22" t="n">
        <v>-208.295</v>
      </c>
      <c r="H206" s="22" t="n">
        <v>-361.046</v>
      </c>
      <c r="L206" s="22" t="n">
        <v>-542.633</v>
      </c>
      <c r="O206" s="22" t="n">
        <v>-93.789</v>
      </c>
      <c r="P206" s="22" t="n">
        <v>-148.067</v>
      </c>
      <c r="Q206" s="22" t="n">
        <v>-431.57</v>
      </c>
      <c r="R206" s="22" t="n">
        <v>-568.5549999999999</v>
      </c>
      <c r="S206" s="22" t="n">
        <v>-555.0650000000001</v>
      </c>
      <c r="T206" s="22" t="n">
        <v>-347.348</v>
      </c>
      <c r="U206" s="22" t="n">
        <v>-347.087</v>
      </c>
      <c r="V206" s="22" t="n">
        <v>-208.295</v>
      </c>
      <c r="W206" s="22" t="n">
        <v>-361.046</v>
      </c>
      <c r="X206" s="22" t="n">
        <v>-542.633</v>
      </c>
    </row>
    <row r="207">
      <c r="A207" s="20" t="inlineStr">
        <is>
          <t>신주예약권 행사에 따른 주식 발행</t>
        </is>
      </c>
      <c r="O207" s="22" t="n">
        <v>2.704</v>
      </c>
      <c r="P207" s="22" t="n">
        <v>0</v>
      </c>
      <c r="Q207" s="22" t="n">
        <v>120.531</v>
      </c>
      <c r="R207" s="22" t="n">
        <v>0</v>
      </c>
    </row>
    <row r="208">
      <c r="A208" s="20" t="inlineStr">
        <is>
          <t>자기주식 취득</t>
        </is>
      </c>
      <c r="D208" s="22" t="n">
        <v>0</v>
      </c>
      <c r="H208" s="22" t="n">
        <v>-0.014</v>
      </c>
      <c r="L208" s="22" t="n">
        <v>0</v>
      </c>
      <c r="O208" s="22" t="n">
        <v>-51.064</v>
      </c>
      <c r="P208" s="22" t="n">
        <v>0</v>
      </c>
      <c r="Q208" s="22" t="n">
        <v>-385.201</v>
      </c>
      <c r="R208" s="22" t="n">
        <v>0</v>
      </c>
      <c r="V208" s="22" t="n">
        <v>0</v>
      </c>
      <c r="W208" s="22" t="n">
        <v>-0.014</v>
      </c>
      <c r="X208" s="22" t="n">
        <v>0</v>
      </c>
    </row>
    <row r="209">
      <c r="A209" s="9" t="inlineStr">
        <is>
          <t>재무활동 현금흐름</t>
        </is>
      </c>
      <c r="C209" s="12" t="n">
        <v>-217.116</v>
      </c>
      <c r="D209" s="12" t="n">
        <v>-223.533</v>
      </c>
      <c r="H209" s="12" t="n">
        <v>-366.965</v>
      </c>
      <c r="L209" s="12" t="n">
        <v>-542.633</v>
      </c>
      <c r="O209" s="12" t="n">
        <v>199.504</v>
      </c>
      <c r="P209" s="12" t="n">
        <v>-281.423</v>
      </c>
      <c r="Q209" s="12" t="n">
        <v>-829.596</v>
      </c>
      <c r="R209" s="12" t="n">
        <v>-643.498</v>
      </c>
      <c r="S209" s="12" t="n">
        <v>-555.0650000000001</v>
      </c>
      <c r="T209" s="12" t="n">
        <v>-363.018</v>
      </c>
      <c r="U209" s="12" t="n">
        <v>-363.127</v>
      </c>
      <c r="V209" s="12" t="n">
        <v>-223.533</v>
      </c>
      <c r="W209" s="12" t="n">
        <v>-366.965</v>
      </c>
      <c r="X209" s="12" t="n">
        <v>-542.633</v>
      </c>
    </row>
    <row r="210">
      <c r="A210" s="20" t="inlineStr">
        <is>
          <t>현금성자산 환산차이</t>
        </is>
      </c>
      <c r="C210" s="22" t="n">
        <v>2.675</v>
      </c>
      <c r="D210" s="22" t="n">
        <v>2.628</v>
      </c>
      <c r="H210" s="22" t="n">
        <v>-0.462</v>
      </c>
      <c r="L210" s="22" t="n">
        <v>1.198</v>
      </c>
      <c r="O210" s="22" t="n">
        <v>0.724</v>
      </c>
      <c r="P210" s="22" t="n">
        <v>-0.064</v>
      </c>
      <c r="Q210" s="22" t="n">
        <v>0.319</v>
      </c>
      <c r="R210" s="22" t="n">
        <v>1.573</v>
      </c>
      <c r="S210" s="22" t="n">
        <v>7.127</v>
      </c>
      <c r="T210" s="22" t="n">
        <v>9.151</v>
      </c>
      <c r="U210" s="22" t="n">
        <v>7.587</v>
      </c>
      <c r="V210" s="22" t="n">
        <v>2.628</v>
      </c>
      <c r="W210" s="22" t="n">
        <v>-0.462</v>
      </c>
      <c r="X210" s="22" t="n">
        <v>1.198</v>
      </c>
    </row>
    <row r="211">
      <c r="A211" s="20" t="inlineStr">
        <is>
          <t>현금성자산 증감</t>
        </is>
      </c>
      <c r="C211" s="22" t="n">
        <v>-903.247</v>
      </c>
      <c r="D211" s="22" t="n">
        <v>-44.987</v>
      </c>
      <c r="H211" s="22" t="n">
        <v>915.6900000000001</v>
      </c>
      <c r="L211" s="22" t="n">
        <v>3.083</v>
      </c>
      <c r="O211" s="22" t="n">
        <v>825.422</v>
      </c>
      <c r="P211" s="22" t="n">
        <v>751.553</v>
      </c>
      <c r="Q211" s="22" t="n">
        <v>179.503</v>
      </c>
      <c r="R211" s="22" t="n">
        <v>1400.738</v>
      </c>
      <c r="S211" s="22" t="n">
        <v>-475.41</v>
      </c>
      <c r="T211" s="22" t="n">
        <v>1597.978</v>
      </c>
      <c r="U211" s="22" t="n">
        <v>-382.911</v>
      </c>
      <c r="V211" s="22" t="n">
        <v>-44.987</v>
      </c>
      <c r="W211" s="22" t="n">
        <v>915.6900000000001</v>
      </c>
      <c r="X211" s="22" t="n">
        <v>3.083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31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기타노타츠진코퍼레이션 재무상태표</t>
        </is>
      </c>
    </row>
    <row r="2">
      <c r="A2" s="46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2026.2Q</t>
        </is>
      </c>
      <c r="D3" s="5" t="inlineStr">
        <is>
          <t>2026.3Q</t>
        </is>
      </c>
      <c r="E3" s="5" t="inlineStr">
        <is>
          <t>2026.4Q</t>
        </is>
      </c>
      <c r="F3" s="5" t="inlineStr">
        <is>
          <t>2027.1Q</t>
        </is>
      </c>
      <c r="G3" s="5" t="inlineStr">
        <is>
          <t>2027.2Q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8" t="inlineStr">
        <is>
          <t>자산</t>
        </is>
      </c>
      <c r="B4" s="18" t="n"/>
      <c r="C4" s="19" t="n"/>
      <c r="D4" s="18" t="n"/>
      <c r="E4" s="18" t="n"/>
      <c r="F4" s="18" t="n"/>
      <c r="G4" s="18" t="n"/>
      <c r="H4" s="19" t="n"/>
      <c r="I4" s="18" t="n"/>
      <c r="J4" s="18" t="n"/>
      <c r="K4" s="18" t="n"/>
      <c r="L4" s="18" t="n"/>
    </row>
    <row r="5">
      <c r="A5" s="9" t="inlineStr">
        <is>
          <t>유동자산</t>
        </is>
      </c>
      <c r="B5" s="10" t="n"/>
      <c r="C5" s="11" t="n">
        <v>7840.198</v>
      </c>
      <c r="D5" s="12" t="n">
        <v>7826.548</v>
      </c>
      <c r="E5" s="12" t="n">
        <v>8109.147</v>
      </c>
      <c r="F5" s="12" t="n">
        <v>7650.064</v>
      </c>
      <c r="G5" s="12" t="n">
        <v>7979.225</v>
      </c>
      <c r="H5" s="11" t="n">
        <v>6808.227</v>
      </c>
      <c r="I5" s="12" t="n">
        <v>6991.865</v>
      </c>
      <c r="J5" s="12" t="n">
        <v>7709.308</v>
      </c>
      <c r="K5" s="12" t="n">
        <v>7960.161</v>
      </c>
      <c r="L5" s="12" t="n">
        <v>8109.147</v>
      </c>
    </row>
    <row r="6">
      <c r="A6" s="20" t="inlineStr">
        <is>
          <t>현금및현금성자산</t>
        </is>
      </c>
      <c r="B6" s="10" t="n"/>
      <c r="C6" s="21" t="n">
        <v>5598.42</v>
      </c>
      <c r="D6" s="22" t="n">
        <v>5636.257</v>
      </c>
      <c r="E6" s="22" t="n">
        <v>5701.828</v>
      </c>
      <c r="F6" s="22" t="n">
        <v>4245.32</v>
      </c>
      <c r="G6" s="22" t="n">
        <v>4454.424</v>
      </c>
      <c r="H6" s="21" t="n">
        <v>5210.952</v>
      </c>
      <c r="I6" s="22" t="n">
        <v>4828.041</v>
      </c>
      <c r="J6" s="22" t="n">
        <v>4783.053</v>
      </c>
      <c r="K6" s="22" t="n">
        <v>5698.744</v>
      </c>
      <c r="L6" s="22" t="n">
        <v>5701.828</v>
      </c>
    </row>
    <row r="7">
      <c r="A7" s="20" t="inlineStr">
        <is>
          <t>단기금융상품</t>
        </is>
      </c>
      <c r="B7" s="10" t="n"/>
      <c r="C7" s="21" t="n"/>
      <c r="D7" s="22" t="n"/>
      <c r="E7" s="22" t="n"/>
      <c r="F7" s="22" t="n"/>
      <c r="G7" s="22" t="n"/>
      <c r="H7" s="21" t="n"/>
      <c r="I7" s="22" t="n"/>
      <c r="J7" s="22" t="n"/>
      <c r="K7" s="22" t="n"/>
      <c r="L7" s="22" t="n"/>
    </row>
    <row r="8">
      <c r="A8" s="20" t="inlineStr">
        <is>
          <t>매출채권</t>
        </is>
      </c>
      <c r="B8" s="10" t="n"/>
      <c r="C8" s="21" t="n">
        <v>547.773</v>
      </c>
      <c r="D8" s="22" t="n">
        <v>657.73</v>
      </c>
      <c r="E8" s="22" t="n">
        <v>692.835</v>
      </c>
      <c r="F8" s="22" t="n">
        <v>658.601</v>
      </c>
      <c r="G8" s="22" t="n">
        <v>864.474</v>
      </c>
      <c r="H8" s="21" t="n">
        <v>0</v>
      </c>
      <c r="I8" s="22" t="n">
        <v>680.96</v>
      </c>
      <c r="J8" s="22" t="n">
        <v>0</v>
      </c>
      <c r="K8" s="22" t="n">
        <v>505.171</v>
      </c>
      <c r="L8" s="22" t="n">
        <v>692.835</v>
      </c>
    </row>
    <row r="9">
      <c r="A9" s="20" t="inlineStr">
        <is>
          <t>재고자산</t>
        </is>
      </c>
      <c r="B9" s="10" t="n"/>
      <c r="C9" s="21" t="n">
        <v>1393.759</v>
      </c>
      <c r="D9" s="22" t="n">
        <v>1304.486</v>
      </c>
      <c r="E9" s="22" t="n">
        <v>1374.046</v>
      </c>
      <c r="F9" s="22" t="n">
        <v>1607.867</v>
      </c>
      <c r="G9" s="22" t="n">
        <v>1781.428</v>
      </c>
      <c r="H9" s="21" t="n">
        <v>839.433</v>
      </c>
      <c r="I9" s="22" t="n">
        <v>958.851</v>
      </c>
      <c r="J9" s="22" t="n">
        <v>1812.798</v>
      </c>
      <c r="K9" s="22" t="n">
        <v>1488.278</v>
      </c>
      <c r="L9" s="22" t="n">
        <v>1374.046</v>
      </c>
    </row>
    <row r="10">
      <c r="A10" s="20" t="inlineStr">
        <is>
          <t>기타유동자산</t>
        </is>
      </c>
      <c r="B10" s="10" t="inlineStr">
        <is>
          <t>총계 − 위 항목</t>
        </is>
      </c>
      <c r="C10" s="21">
        <f>IF(OR(C5=""),"",IFERROR(C5-SUM(C6,C7,C8,C9),""))</f>
        <v/>
      </c>
      <c r="D10" s="22">
        <f>IF(OR(D5=""),"",IFERROR(D5-SUM(D6,D7,D8,D9),""))</f>
        <v/>
      </c>
      <c r="E10" s="22">
        <f>IF(OR(E5=""),"",IFERROR(E5-SUM(E6,E7,E8,E9),""))</f>
        <v/>
      </c>
      <c r="F10" s="22">
        <f>IF(OR(F5=""),"",IFERROR(F5-SUM(F6,F7,F8,F9),""))</f>
        <v/>
      </c>
      <c r="G10" s="22">
        <f>IF(OR(G5=""),"",IFERROR(G5-SUM(G6,G7,G8,G9),""))</f>
        <v/>
      </c>
      <c r="H10" s="21">
        <f>IF(OR(H5=""),"",IFERROR(H5-SUM(H6,H7,H8,H9),""))</f>
        <v/>
      </c>
      <c r="I10" s="22">
        <f>IF(OR(I5=""),"",IFERROR(I5-SUM(I6,I7,I8,I9),""))</f>
        <v/>
      </c>
      <c r="J10" s="22">
        <f>IF(OR(J5=""),"",IFERROR(J5-SUM(J6,J7,J8,J9),""))</f>
        <v/>
      </c>
      <c r="K10" s="22">
        <f>IF(OR(K5=""),"",IFERROR(K5-SUM(K6,K7,K8,K9),""))</f>
        <v/>
      </c>
      <c r="L10" s="22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1137.04</v>
      </c>
      <c r="D11" s="12" t="n">
        <v>1111.926</v>
      </c>
      <c r="E11" s="12" t="n">
        <v>1381.184</v>
      </c>
      <c r="F11" s="12" t="n">
        <v>1372.434</v>
      </c>
      <c r="G11" s="12" t="n">
        <v>1327.329</v>
      </c>
      <c r="H11" s="11" t="n">
        <v>747.633</v>
      </c>
      <c r="I11" s="12" t="n">
        <v>787.609</v>
      </c>
      <c r="J11" s="12" t="n">
        <v>940.146</v>
      </c>
      <c r="K11" s="12" t="n">
        <v>1197.553</v>
      </c>
      <c r="L11" s="12" t="n">
        <v>1381.184</v>
      </c>
    </row>
    <row r="12">
      <c r="A12" s="20" t="inlineStr">
        <is>
          <t>유형자산</t>
        </is>
      </c>
      <c r="B12" s="10" t="n"/>
      <c r="C12" s="21" t="n">
        <v>254.26</v>
      </c>
      <c r="D12" s="22" t="n">
        <v>246.136</v>
      </c>
      <c r="E12" s="22" t="n">
        <v>239.088</v>
      </c>
      <c r="F12" s="22" t="n">
        <v>231.739</v>
      </c>
      <c r="G12" s="22" t="n">
        <v>237.671</v>
      </c>
      <c r="H12" s="21" t="n">
        <v>122.862</v>
      </c>
      <c r="I12" s="22" t="n">
        <v>232.495</v>
      </c>
      <c r="J12" s="22" t="n">
        <v>216.464</v>
      </c>
      <c r="K12" s="22" t="n">
        <v>271.769</v>
      </c>
      <c r="L12" s="22" t="n">
        <v>239.088</v>
      </c>
    </row>
    <row r="13">
      <c r="A13" s="20" t="inlineStr">
        <is>
          <t>무형자산</t>
        </is>
      </c>
      <c r="B13" s="10" t="n"/>
      <c r="C13" s="21" t="n">
        <v>133.813</v>
      </c>
      <c r="D13" s="22" t="n">
        <v>116.979</v>
      </c>
      <c r="E13" s="22" t="n">
        <v>367.263</v>
      </c>
      <c r="F13" s="22" t="n">
        <v>336.17</v>
      </c>
      <c r="G13" s="22" t="n">
        <v>328.078</v>
      </c>
      <c r="H13" s="21" t="n">
        <v>313.006</v>
      </c>
      <c r="I13" s="22" t="n">
        <v>252.36</v>
      </c>
      <c r="J13" s="22" t="n">
        <v>257.861</v>
      </c>
      <c r="K13" s="22" t="n">
        <v>175.503</v>
      </c>
      <c r="L13" s="22" t="n">
        <v>367.263</v>
      </c>
    </row>
    <row r="14">
      <c r="A14" s="20" t="inlineStr">
        <is>
          <t>투자부동산</t>
        </is>
      </c>
      <c r="B14" s="10" t="n"/>
      <c r="C14" s="21" t="n"/>
      <c r="D14" s="22" t="n"/>
      <c r="E14" s="22" t="n"/>
      <c r="F14" s="22" t="n"/>
      <c r="G14" s="22" t="n"/>
      <c r="H14" s="21" t="n"/>
      <c r="I14" s="22" t="n"/>
      <c r="J14" s="22" t="n"/>
      <c r="K14" s="22" t="n"/>
      <c r="L14" s="22" t="n"/>
    </row>
    <row r="15">
      <c r="A15" s="20" t="inlineStr">
        <is>
          <t>기타비유동자산</t>
        </is>
      </c>
      <c r="B15" s="10" t="inlineStr">
        <is>
          <t>총계 − 위 항목</t>
        </is>
      </c>
      <c r="C15" s="21">
        <f>IF(OR(C11=""),"",IFERROR(C11-SUM(C12,C13,C14),""))</f>
        <v/>
      </c>
      <c r="D15" s="22">
        <f>IF(OR(D11=""),"",IFERROR(D11-SUM(D12,D13,D14),""))</f>
        <v/>
      </c>
      <c r="E15" s="22">
        <f>IF(OR(E11=""),"",IFERROR(E11-SUM(E12,E13,E14),""))</f>
        <v/>
      </c>
      <c r="F15" s="22">
        <f>IF(OR(F11=""),"",IFERROR(F11-SUM(F12,F13,F14),""))</f>
        <v/>
      </c>
      <c r="G15" s="22">
        <f>IF(OR(G11=""),"",IFERROR(G11-SUM(G12,G13,G14),""))</f>
        <v/>
      </c>
      <c r="H15" s="21">
        <f>IF(OR(H11=""),"",IFERROR(H11-SUM(H12,H13,H14),""))</f>
        <v/>
      </c>
      <c r="I15" s="22">
        <f>IF(OR(I11=""),"",IFERROR(I11-SUM(I12,I13,I14),""))</f>
        <v/>
      </c>
      <c r="J15" s="22">
        <f>IF(OR(J11=""),"",IFERROR(J11-SUM(J12,J13,J14),""))</f>
        <v/>
      </c>
      <c r="K15" s="22">
        <f>IF(OR(K11=""),"",IFERROR(K11-SUM(K12,K13,K14),""))</f>
        <v/>
      </c>
      <c r="L15" s="22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8977.237999999999</v>
      </c>
      <c r="D16" s="12" t="n">
        <v>8938.474</v>
      </c>
      <c r="E16" s="12" t="n">
        <v>9490.331</v>
      </c>
      <c r="F16" s="12" t="n">
        <v>9022.499</v>
      </c>
      <c r="G16" s="12" t="n">
        <v>9306.555</v>
      </c>
      <c r="H16" s="11" t="n">
        <v>7555.86</v>
      </c>
      <c r="I16" s="12" t="n">
        <v>7779.475</v>
      </c>
      <c r="J16" s="12" t="n">
        <v>8649.454</v>
      </c>
      <c r="K16" s="12" t="n">
        <v>9157.714</v>
      </c>
      <c r="L16" s="12" t="n">
        <v>9490.331</v>
      </c>
    </row>
    <row r="17">
      <c r="A17" s="18" t="inlineStr">
        <is>
          <t>부채</t>
        </is>
      </c>
      <c r="B17" s="18" t="n"/>
      <c r="C17" s="19" t="n"/>
      <c r="D17" s="18" t="n"/>
      <c r="E17" s="18" t="n"/>
      <c r="F17" s="18" t="n"/>
      <c r="G17" s="18" t="n"/>
      <c r="H17" s="19" t="n"/>
      <c r="I17" s="18" t="n"/>
      <c r="J17" s="18" t="n"/>
      <c r="K17" s="18" t="n"/>
      <c r="L17" s="18" t="n"/>
    </row>
    <row r="18">
      <c r="A18" s="9" t="inlineStr">
        <is>
          <t>유동부채</t>
        </is>
      </c>
      <c r="B18" s="10" t="n"/>
      <c r="C18" s="11" t="n">
        <v>984.4349999999999</v>
      </c>
      <c r="D18" s="12" t="n">
        <v>1011.375</v>
      </c>
      <c r="E18" s="12" t="n">
        <v>1385.41</v>
      </c>
      <c r="F18" s="12" t="n">
        <v>1241.818</v>
      </c>
      <c r="G18" s="12" t="n">
        <v>1196.57</v>
      </c>
      <c r="H18" s="11" t="n">
        <v>1235.723</v>
      </c>
      <c r="I18" s="12" t="n">
        <v>1375.693</v>
      </c>
      <c r="J18" s="12" t="n">
        <v>1515.998</v>
      </c>
      <c r="K18" s="12" t="n">
        <v>1234.707</v>
      </c>
      <c r="L18" s="12" t="n">
        <v>1385.41</v>
      </c>
    </row>
    <row r="19">
      <c r="A19" s="20" t="inlineStr">
        <is>
          <t>매입채무</t>
        </is>
      </c>
      <c r="B19" s="10" t="n"/>
      <c r="C19" s="21" t="n">
        <v>140.674</v>
      </c>
      <c r="D19" s="22" t="n">
        <v>228.172</v>
      </c>
      <c r="E19" s="22" t="n">
        <v>367.895</v>
      </c>
      <c r="F19" s="22" t="n">
        <v>188.821</v>
      </c>
      <c r="G19" s="22" t="n">
        <v>233.603</v>
      </c>
      <c r="H19" s="21" t="n">
        <v>160.308</v>
      </c>
      <c r="I19" s="22" t="n">
        <v>394.863</v>
      </c>
      <c r="J19" s="22" t="n">
        <v>66.54000000000001</v>
      </c>
      <c r="K19" s="22" t="n">
        <v>182.318</v>
      </c>
      <c r="L19" s="22" t="n">
        <v>367.895</v>
      </c>
    </row>
    <row r="20">
      <c r="A20" s="20" t="inlineStr">
        <is>
          <t>단기차입금</t>
        </is>
      </c>
      <c r="B20" s="10" t="n"/>
      <c r="C20" s="21" t="n"/>
      <c r="D20" s="22" t="n"/>
      <c r="E20" s="22" t="n"/>
      <c r="F20" s="22" t="n"/>
      <c r="G20" s="22" t="n"/>
      <c r="H20" s="21" t="n"/>
      <c r="I20" s="22" t="n"/>
      <c r="J20" s="22" t="n"/>
      <c r="K20" s="22" t="n"/>
      <c r="L20" s="22" t="n"/>
    </row>
    <row r="21">
      <c r="A21" s="20" t="inlineStr">
        <is>
          <t>유동성장기부채</t>
        </is>
      </c>
      <c r="B21" s="10" t="n"/>
      <c r="C21" s="21" t="n"/>
      <c r="D21" s="22" t="n"/>
      <c r="E21" s="22" t="n"/>
      <c r="F21" s="22" t="n"/>
      <c r="G21" s="22" t="n"/>
      <c r="H21" s="21" t="n"/>
      <c r="I21" s="22" t="n"/>
      <c r="J21" s="22" t="n"/>
      <c r="K21" s="22" t="n"/>
      <c r="L21" s="22" t="n"/>
    </row>
    <row r="22">
      <c r="A22" s="20" t="inlineStr">
        <is>
          <t>기타유동부채</t>
        </is>
      </c>
      <c r="B22" s="10" t="inlineStr">
        <is>
          <t>총계 − 위 항목</t>
        </is>
      </c>
      <c r="C22" s="21">
        <f>IF(OR(C18=""),"",IFERROR(C18-SUM(C19,C20,C21),""))</f>
        <v/>
      </c>
      <c r="D22" s="22">
        <f>IF(OR(D18=""),"",IFERROR(D18-SUM(D19,D20,D21),""))</f>
        <v/>
      </c>
      <c r="E22" s="22">
        <f>IF(OR(E18=""),"",IFERROR(E18-SUM(E19,E20,E21),""))</f>
        <v/>
      </c>
      <c r="F22" s="22">
        <f>IF(OR(F18=""),"",IFERROR(F18-SUM(F19,F20,F21),""))</f>
        <v/>
      </c>
      <c r="G22" s="22">
        <f>IF(OR(G18=""),"",IFERROR(G18-SUM(G19,G20,G21),""))</f>
        <v/>
      </c>
      <c r="H22" s="21">
        <f>IF(OR(H18=""),"",IFERROR(H18-SUM(H19,H20,H21),""))</f>
        <v/>
      </c>
      <c r="I22" s="22">
        <f>IF(OR(I18=""),"",IFERROR(I18-SUM(I19,I20,I21),""))</f>
        <v/>
      </c>
      <c r="J22" s="22">
        <f>IF(OR(J18=""),"",IFERROR(J18-SUM(J19,J20,J21),""))</f>
        <v/>
      </c>
      <c r="K22" s="22">
        <f>IF(OR(K18=""),"",IFERROR(K18-SUM(K19,K20,K21),""))</f>
        <v/>
      </c>
      <c r="L22" s="22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56.763</v>
      </c>
      <c r="D23" s="12" t="n">
        <v>56.943</v>
      </c>
      <c r="E23" s="12" t="n">
        <v>57.122</v>
      </c>
      <c r="F23" s="12" t="n">
        <v>57.303</v>
      </c>
      <c r="G23" s="12" t="n">
        <v>57.483</v>
      </c>
      <c r="H23" s="11" t="n">
        <v>174.018</v>
      </c>
      <c r="I23" s="12" t="n">
        <v>216.489</v>
      </c>
      <c r="J23" s="12" t="n">
        <v>136.714</v>
      </c>
      <c r="K23" s="12" t="n">
        <v>56.407</v>
      </c>
      <c r="L23" s="12" t="n">
        <v>57.122</v>
      </c>
    </row>
    <row r="24">
      <c r="A24" s="20" t="inlineStr">
        <is>
          <t>장기차입금</t>
        </is>
      </c>
      <c r="B24" s="10" t="n"/>
      <c r="C24" s="21" t="n"/>
      <c r="D24" s="22" t="n"/>
      <c r="E24" s="22" t="n"/>
      <c r="F24" s="22" t="n"/>
      <c r="G24" s="22" t="n"/>
      <c r="H24" s="21" t="n"/>
      <c r="I24" s="22" t="n"/>
      <c r="J24" s="22" t="n"/>
      <c r="K24" s="22" t="n"/>
      <c r="L24" s="22" t="n"/>
    </row>
    <row r="25">
      <c r="A25" s="20" t="inlineStr">
        <is>
          <t>사채</t>
        </is>
      </c>
      <c r="B25" s="10" t="n"/>
      <c r="C25" s="21" t="n"/>
      <c r="D25" s="22" t="n"/>
      <c r="E25" s="22" t="n"/>
      <c r="F25" s="22" t="n"/>
      <c r="G25" s="22" t="n"/>
      <c r="H25" s="21" t="n"/>
      <c r="I25" s="22" t="n"/>
      <c r="J25" s="22" t="n"/>
      <c r="K25" s="22" t="n"/>
      <c r="L25" s="22" t="n"/>
    </row>
    <row r="26">
      <c r="A26" s="20" t="inlineStr">
        <is>
          <t>기타비유동부채</t>
        </is>
      </c>
      <c r="B26" s="10" t="inlineStr">
        <is>
          <t>총계 − 위 항목</t>
        </is>
      </c>
      <c r="C26" s="21">
        <f>IF(OR(C23=""),"",IFERROR(C23-SUM(C24,C25),""))</f>
        <v/>
      </c>
      <c r="D26" s="22">
        <f>IF(OR(D23=""),"",IFERROR(D23-SUM(D24,D25),""))</f>
        <v/>
      </c>
      <c r="E26" s="22">
        <f>IF(OR(E23=""),"",IFERROR(E23-SUM(E24,E25),""))</f>
        <v/>
      </c>
      <c r="F26" s="22">
        <f>IF(OR(F23=""),"",IFERROR(F23-SUM(F24,F25),""))</f>
        <v/>
      </c>
      <c r="G26" s="22">
        <f>IF(OR(G23=""),"",IFERROR(G23-SUM(G24,G25),""))</f>
        <v/>
      </c>
      <c r="H26" s="21">
        <f>IF(OR(H23=""),"",IFERROR(H23-SUM(H24,H25),""))</f>
        <v/>
      </c>
      <c r="I26" s="22">
        <f>IF(OR(I23=""),"",IFERROR(I23-SUM(I24,I25),""))</f>
        <v/>
      </c>
      <c r="J26" s="22">
        <f>IF(OR(J23=""),"",IFERROR(J23-SUM(J24,J25),""))</f>
        <v/>
      </c>
      <c r="K26" s="22">
        <f>IF(OR(K23=""),"",IFERROR(K23-SUM(K24,K25),""))</f>
        <v/>
      </c>
      <c r="L26" s="22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1041.199</v>
      </c>
      <c r="D27" s="12" t="n">
        <v>1068.319</v>
      </c>
      <c r="E27" s="12" t="n">
        <v>1442.533</v>
      </c>
      <c r="F27" s="12" t="n">
        <v>1299.121</v>
      </c>
      <c r="G27" s="12" t="n">
        <v>1254.054</v>
      </c>
      <c r="H27" s="11" t="n">
        <v>1409.742</v>
      </c>
      <c r="I27" s="12" t="n">
        <v>1592.183</v>
      </c>
      <c r="J27" s="12" t="n">
        <v>1652.713</v>
      </c>
      <c r="K27" s="12" t="n">
        <v>1291.115</v>
      </c>
      <c r="L27" s="12" t="n">
        <v>1442.533</v>
      </c>
    </row>
    <row r="28">
      <c r="A28" s="20" t="inlineStr">
        <is>
          <t>총차입금</t>
        </is>
      </c>
      <c r="B28" s="10" t="inlineStr">
        <is>
          <t>단기+유동성장기+장기+사채</t>
        </is>
      </c>
      <c r="C28" s="21">
        <f>SUM(C20,C21,C24,C25)</f>
        <v/>
      </c>
      <c r="D28" s="22">
        <f>SUM(D20,D21,D24,D25)</f>
        <v/>
      </c>
      <c r="E28" s="22">
        <f>SUM(E20,E21,E24,E25)</f>
        <v/>
      </c>
      <c r="F28" s="22">
        <f>SUM(F20,F21,F24,F25)</f>
        <v/>
      </c>
      <c r="G28" s="22">
        <f>SUM(G20,G21,G24,G25)</f>
        <v/>
      </c>
      <c r="H28" s="21">
        <f>SUM(H20,H21,H24,H25)</f>
        <v/>
      </c>
      <c r="I28" s="22">
        <f>SUM(I20,I21,I24,I25)</f>
        <v/>
      </c>
      <c r="J28" s="22">
        <f>SUM(J20,J21,J24,J25)</f>
        <v/>
      </c>
      <c r="K28" s="22">
        <f>SUM(K20,K21,K24,K25)</f>
        <v/>
      </c>
      <c r="L28" s="22">
        <f>SUM(L20,L21,L24,L25)</f>
        <v/>
      </c>
    </row>
    <row r="29">
      <c r="A29" s="20" t="inlineStr">
        <is>
          <t>순차입금</t>
        </is>
      </c>
      <c r="B29" s="10" t="inlineStr">
        <is>
          <t>음수 = 순현금</t>
        </is>
      </c>
      <c r="C29" s="21">
        <f>C28-C6-N(C7)</f>
        <v/>
      </c>
      <c r="D29" s="22">
        <f>D28-D6-N(D7)</f>
        <v/>
      </c>
      <c r="E29" s="22">
        <f>E28-E6-N(E7)</f>
        <v/>
      </c>
      <c r="F29" s="22">
        <f>F28-F6-N(F7)</f>
        <v/>
      </c>
      <c r="G29" s="22">
        <f>G28-G6-N(G7)</f>
        <v/>
      </c>
      <c r="H29" s="21">
        <f>H28-H6-N(H7)</f>
        <v/>
      </c>
      <c r="I29" s="22">
        <f>I28-I6-N(I7)</f>
        <v/>
      </c>
      <c r="J29" s="22">
        <f>J28-J6-N(J7)</f>
        <v/>
      </c>
      <c r="K29" s="22">
        <f>K28-K6-N(K7)</f>
        <v/>
      </c>
      <c r="L29" s="22">
        <f>L28-L6-N(L7)</f>
        <v/>
      </c>
    </row>
    <row r="30">
      <c r="A30" s="18" t="inlineStr">
        <is>
          <t>자본</t>
        </is>
      </c>
      <c r="B30" s="18" t="n"/>
      <c r="C30" s="19" t="n"/>
      <c r="D30" s="18" t="n"/>
      <c r="E30" s="18" t="n"/>
      <c r="F30" s="18" t="n"/>
      <c r="G30" s="18" t="n"/>
      <c r="H30" s="19" t="n"/>
      <c r="I30" s="18" t="n"/>
      <c r="J30" s="18" t="n"/>
      <c r="K30" s="18" t="n"/>
      <c r="L30" s="18" t="n"/>
    </row>
    <row r="31">
      <c r="A31" s="9" t="inlineStr">
        <is>
          <t>지배주주지분</t>
        </is>
      </c>
      <c r="B31" s="10" t="n"/>
      <c r="C31" s="11" t="n">
        <v>7936.039</v>
      </c>
      <c r="D31" s="12" t="n">
        <v>7870.155</v>
      </c>
      <c r="E31" s="12" t="n">
        <v>8047.798</v>
      </c>
      <c r="F31" s="12" t="n">
        <v>7723.378</v>
      </c>
      <c r="G31" s="12" t="n">
        <v>8052.501</v>
      </c>
      <c r="H31" s="11" t="n">
        <v>6146.118</v>
      </c>
      <c r="I31" s="12" t="n">
        <v>6187.291</v>
      </c>
      <c r="J31" s="12" t="n">
        <v>6996.741</v>
      </c>
      <c r="K31" s="12" t="n">
        <v>7866.599</v>
      </c>
      <c r="L31" s="12" t="n">
        <v>8047.798</v>
      </c>
    </row>
    <row r="32">
      <c r="A32" s="20" t="inlineStr">
        <is>
          <t>자본금</t>
        </is>
      </c>
      <c r="B32" s="10" t="n"/>
      <c r="C32" s="21" t="n">
        <v>273.992</v>
      </c>
      <c r="D32" s="22" t="n">
        <v>273.992</v>
      </c>
      <c r="E32" s="22" t="n">
        <v>273.992</v>
      </c>
      <c r="F32" s="22" t="n">
        <v>273.992</v>
      </c>
      <c r="G32" s="22" t="n">
        <v>273.992</v>
      </c>
      <c r="H32" s="21" t="n">
        <v>273.992</v>
      </c>
      <c r="I32" s="22" t="n">
        <v>273.992</v>
      </c>
      <c r="J32" s="22" t="n">
        <v>273.992</v>
      </c>
      <c r="K32" s="22" t="n">
        <v>273.992</v>
      </c>
      <c r="L32" s="22" t="n">
        <v>273.992</v>
      </c>
    </row>
    <row r="33">
      <c r="A33" s="20" t="inlineStr">
        <is>
          <t>이익잉여금</t>
        </is>
      </c>
      <c r="B33" s="10" t="n"/>
      <c r="C33" s="21" t="n">
        <v>7739.575</v>
      </c>
      <c r="D33" s="22" t="n">
        <v>7673.692</v>
      </c>
      <c r="E33" s="22" t="n">
        <v>7851.334</v>
      </c>
      <c r="F33" s="22" t="n">
        <v>7523.347</v>
      </c>
      <c r="G33" s="22" t="n">
        <v>7805.618</v>
      </c>
      <c r="H33" s="21" t="n">
        <v>6045.466</v>
      </c>
      <c r="I33" s="22" t="n">
        <v>6074.934</v>
      </c>
      <c r="J33" s="22" t="n">
        <v>6860.943</v>
      </c>
      <c r="K33" s="22" t="n">
        <v>7704.912</v>
      </c>
      <c r="L33" s="22" t="n">
        <v>7851.334</v>
      </c>
    </row>
    <row r="34">
      <c r="A34" s="20" t="inlineStr">
        <is>
          <t>비지배지분</t>
        </is>
      </c>
      <c r="B34" s="10" t="n"/>
      <c r="C34" s="21" t="n">
        <v>0</v>
      </c>
      <c r="D34" s="22" t="n">
        <v>0</v>
      </c>
      <c r="E34" s="22" t="n">
        <v>0</v>
      </c>
      <c r="F34" s="22" t="n"/>
      <c r="G34" s="22" t="n"/>
      <c r="H34" s="21" t="n">
        <v>0</v>
      </c>
      <c r="I34" s="22" t="n">
        <v>0</v>
      </c>
      <c r="J34" s="22" t="n">
        <v>0</v>
      </c>
      <c r="K34" s="22" t="n">
        <v>0</v>
      </c>
      <c r="L34" s="22" t="n">
        <v>0</v>
      </c>
    </row>
    <row r="35">
      <c r="A35" s="9" t="inlineStr">
        <is>
          <t>자본총계</t>
        </is>
      </c>
      <c r="B35" s="10" t="n"/>
      <c r="C35" s="11" t="n">
        <v>7936.039</v>
      </c>
      <c r="D35" s="12" t="n">
        <v>7870.155</v>
      </c>
      <c r="E35" s="12" t="n">
        <v>8047.798</v>
      </c>
      <c r="F35" s="12" t="n">
        <v>7723.378</v>
      </c>
      <c r="G35" s="12" t="n">
        <v>8052.501</v>
      </c>
      <c r="H35" s="11" t="n">
        <v>6146.118</v>
      </c>
      <c r="I35" s="12" t="n">
        <v>6187.291</v>
      </c>
      <c r="J35" s="12" t="n">
        <v>6996.741</v>
      </c>
      <c r="K35" s="12" t="n">
        <v>7866.599</v>
      </c>
      <c r="L35" s="12" t="n">
        <v>8047.798</v>
      </c>
    </row>
    <row r="36">
      <c r="A36" s="18" t="inlineStr">
        <is>
          <t>현금흐름 요약</t>
        </is>
      </c>
      <c r="B36" s="18" t="inlineStr">
        <is>
          <t>분기 = TTM (있을 때만)</t>
        </is>
      </c>
      <c r="C36" s="19" t="n"/>
      <c r="D36" s="18" t="n"/>
      <c r="E36" s="18" t="n"/>
      <c r="F36" s="18" t="n"/>
      <c r="G36" s="18" t="n"/>
      <c r="H36" s="19" t="n"/>
      <c r="I36" s="18" t="n"/>
      <c r="J36" s="18" t="n"/>
      <c r="K36" s="18" t="n"/>
      <c r="L36" s="18" t="n"/>
    </row>
    <row r="37">
      <c r="A37" s="9" t="inlineStr">
        <is>
          <t>영업활동현금흐름</t>
        </is>
      </c>
      <c r="B37" s="10" t="n"/>
      <c r="C37" s="11" t="n"/>
      <c r="D37" s="12" t="n"/>
      <c r="E37" s="12" t="n">
        <v>846.352</v>
      </c>
      <c r="F37" s="12" t="n"/>
      <c r="G37" s="12" t="n"/>
      <c r="H37" s="11" t="n">
        <v>1753.909</v>
      </c>
      <c r="I37" s="12" t="n">
        <v>113.637</v>
      </c>
      <c r="J37" s="12" t="n">
        <v>453.692</v>
      </c>
      <c r="K37" s="12" t="n">
        <v>1814.051</v>
      </c>
      <c r="L37" s="12" t="n">
        <v>846.352</v>
      </c>
    </row>
    <row r="38">
      <c r="A38" s="20" t="inlineStr">
        <is>
          <t>CAPEX (유·무형 취득)</t>
        </is>
      </c>
      <c r="B38" s="10" t="inlineStr">
        <is>
          <t>양수로 입력</t>
        </is>
      </c>
      <c r="C38" s="21" t="n"/>
      <c r="D38" s="22" t="n"/>
      <c r="E38" s="22" t="n">
        <v>8.436999999999999</v>
      </c>
      <c r="F38" s="22" t="n"/>
      <c r="G38" s="22" t="n"/>
      <c r="H38" s="21" t="n">
        <v>36.503</v>
      </c>
      <c r="I38" s="22" t="n">
        <v>105.16</v>
      </c>
      <c r="J38" s="22" t="n">
        <v>151.747</v>
      </c>
      <c r="K38" s="22" t="n">
        <v>174.839</v>
      </c>
      <c r="L38" s="22" t="n">
        <v>8.436999999999999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20" t="inlineStr">
        <is>
          <t>배당금 지급</t>
        </is>
      </c>
      <c r="B40" s="10" t="inlineStr">
        <is>
          <t>양수로 입력</t>
        </is>
      </c>
      <c r="C40" s="21" t="n"/>
      <c r="D40" s="22" t="n"/>
      <c r="E40" s="22" t="n">
        <v>542.633</v>
      </c>
      <c r="F40" s="22" t="n"/>
      <c r="G40" s="22" t="n"/>
      <c r="H40" s="21" t="n">
        <v>347.348</v>
      </c>
      <c r="I40" s="22" t="n">
        <v>347.087</v>
      </c>
      <c r="J40" s="22" t="n">
        <v>208.295</v>
      </c>
      <c r="K40" s="22" t="n">
        <v>361.046</v>
      </c>
      <c r="L40" s="22" t="n">
        <v>542.633</v>
      </c>
    </row>
    <row r="41">
      <c r="A41" s="18" t="inlineStr">
        <is>
          <t>주요 재무 비율</t>
        </is>
      </c>
      <c r="B41" s="18" t="inlineStr">
        <is>
          <t>기준 (빨간 글씨 = 미달)</t>
        </is>
      </c>
      <c r="C41" s="19" t="n"/>
      <c r="D41" s="18" t="n"/>
      <c r="E41" s="18" t="n"/>
      <c r="F41" s="18" t="n"/>
      <c r="G41" s="18" t="n"/>
      <c r="H41" s="19" t="n"/>
      <c r="I41" s="18" t="n"/>
      <c r="J41" s="18" t="n"/>
      <c r="K41" s="18" t="n"/>
      <c r="L41" s="18" t="n"/>
    </row>
    <row r="42">
      <c r="A42" s="25" t="inlineStr">
        <is>
          <t>안정성</t>
        </is>
      </c>
      <c r="B42" s="25" t="n"/>
      <c r="C42" s="26" t="n"/>
      <c r="D42" s="25" t="n"/>
      <c r="E42" s="25" t="n"/>
      <c r="F42" s="25" t="n"/>
      <c r="G42" s="25" t="n"/>
      <c r="H42" s="26" t="n"/>
      <c r="I42" s="25" t="n"/>
      <c r="J42" s="25" t="n"/>
      <c r="K42" s="25" t="n"/>
      <c r="L42" s="25" t="n"/>
    </row>
    <row r="43">
      <c r="A43" s="47" t="inlineStr">
        <is>
          <t>부채비율</t>
        </is>
      </c>
      <c r="B43" s="10" t="inlineStr">
        <is>
          <t>100%↓</t>
        </is>
      </c>
      <c r="C43" s="37">
        <f>IF(OR(C27="",C35=""),"",IFERROR(C27/C35,""))</f>
        <v/>
      </c>
      <c r="D43" s="38">
        <f>IF(OR(D27="",D35=""),"",IFERROR(D27/D35,""))</f>
        <v/>
      </c>
      <c r="E43" s="38">
        <f>IF(OR(E27="",E35=""),"",IFERROR(E27/E35,""))</f>
        <v/>
      </c>
      <c r="F43" s="38">
        <f>IF(OR(F27="",F35=""),"",IFERROR(F27/F35,""))</f>
        <v/>
      </c>
      <c r="G43" s="38">
        <f>IF(OR(G27="",G35=""),"",IFERROR(G27/G35,""))</f>
        <v/>
      </c>
      <c r="H43" s="37">
        <f>IF(OR(H27="",H35=""),"",IFERROR(H27/H35,""))</f>
        <v/>
      </c>
      <c r="I43" s="38">
        <f>IF(OR(I27="",I35=""),"",IFERROR(I27/I35,""))</f>
        <v/>
      </c>
      <c r="J43" s="38">
        <f>IF(OR(J27="",J35=""),"",IFERROR(J27/J35,""))</f>
        <v/>
      </c>
      <c r="K43" s="38">
        <f>IF(OR(K27="",K35=""),"",IFERROR(K27/K35,""))</f>
        <v/>
      </c>
      <c r="L43" s="38">
        <f>IF(OR(L27="",L35=""),"",IFERROR(L27/L35,""))</f>
        <v/>
      </c>
    </row>
    <row r="44">
      <c r="A44" s="47" t="inlineStr">
        <is>
          <t>순차입금비율</t>
        </is>
      </c>
      <c r="B44" s="10" t="inlineStr">
        <is>
          <t>0%↓ 순현금</t>
        </is>
      </c>
      <c r="C44" s="37">
        <f>IF(OR(C29="",C35=""),"",IFERROR(C29/C35,""))</f>
        <v/>
      </c>
      <c r="D44" s="38">
        <f>IF(OR(D29="",D35=""),"",IFERROR(D29/D35,""))</f>
        <v/>
      </c>
      <c r="E44" s="38">
        <f>IF(OR(E29="",E35=""),"",IFERROR(E29/E35,""))</f>
        <v/>
      </c>
      <c r="F44" s="38">
        <f>IF(OR(F29="",F35=""),"",IFERROR(F29/F35,""))</f>
        <v/>
      </c>
      <c r="G44" s="38">
        <f>IF(OR(G29="",G35=""),"",IFERROR(G29/G35,""))</f>
        <v/>
      </c>
      <c r="H44" s="37">
        <f>IF(OR(H29="",H35=""),"",IFERROR(H29/H35,""))</f>
        <v/>
      </c>
      <c r="I44" s="38">
        <f>IF(OR(I29="",I35=""),"",IFERROR(I29/I35,""))</f>
        <v/>
      </c>
      <c r="J44" s="38">
        <f>IF(OR(J29="",J35=""),"",IFERROR(J29/J35,""))</f>
        <v/>
      </c>
      <c r="K44" s="38">
        <f>IF(OR(K29="",K35=""),"",IFERROR(K29/K35,""))</f>
        <v/>
      </c>
      <c r="L44" s="38">
        <f>IF(OR(L29="",L35=""),"",IFERROR(L29/L35,""))</f>
        <v/>
      </c>
    </row>
    <row r="45">
      <c r="A45" s="47" t="inlineStr">
        <is>
          <t>자기자본비율</t>
        </is>
      </c>
      <c r="B45" s="10" t="inlineStr">
        <is>
          <t>50%↑</t>
        </is>
      </c>
      <c r="C45" s="37">
        <f>IF(OR(C35="",C16=""),"",IFERROR(C35/C16,""))</f>
        <v/>
      </c>
      <c r="D45" s="38">
        <f>IF(OR(D35="",D16=""),"",IFERROR(D35/D16,""))</f>
        <v/>
      </c>
      <c r="E45" s="38">
        <f>IF(OR(E35="",E16=""),"",IFERROR(E35/E16,""))</f>
        <v/>
      </c>
      <c r="F45" s="38">
        <f>IF(OR(F35="",F16=""),"",IFERROR(F35/F16,""))</f>
        <v/>
      </c>
      <c r="G45" s="38">
        <f>IF(OR(G35="",G16=""),"",IFERROR(G35/G16,""))</f>
        <v/>
      </c>
      <c r="H45" s="37">
        <f>IF(OR(H35="",H16=""),"",IFERROR(H35/H16,""))</f>
        <v/>
      </c>
      <c r="I45" s="38">
        <f>IF(OR(I35="",I16=""),"",IFERROR(I35/I16,""))</f>
        <v/>
      </c>
      <c r="J45" s="38">
        <f>IF(OR(J35="",J16=""),"",IFERROR(J35/J16,""))</f>
        <v/>
      </c>
      <c r="K45" s="38">
        <f>IF(OR(K35="",K16=""),"",IFERROR(K35/K16,""))</f>
        <v/>
      </c>
      <c r="L45" s="38">
        <f>IF(OR(L35="",L16=""),"",IFERROR(L35/L16,""))</f>
        <v/>
      </c>
    </row>
    <row r="46">
      <c r="A46" s="47" t="inlineStr">
        <is>
          <t>유동비율</t>
        </is>
      </c>
      <c r="B46" s="10" t="inlineStr">
        <is>
          <t>150%↑</t>
        </is>
      </c>
      <c r="C46" s="37">
        <f>IF(OR(C5="",C18=""),"",IFERROR(C5/C18,""))</f>
        <v/>
      </c>
      <c r="D46" s="38">
        <f>IF(OR(D5="",D18=""),"",IFERROR(D5/D18,""))</f>
        <v/>
      </c>
      <c r="E46" s="38">
        <f>IF(OR(E5="",E18=""),"",IFERROR(E5/E18,""))</f>
        <v/>
      </c>
      <c r="F46" s="38">
        <f>IF(OR(F5="",F18=""),"",IFERROR(F5/F18,""))</f>
        <v/>
      </c>
      <c r="G46" s="38">
        <f>IF(OR(G5="",G18=""),"",IFERROR(G5/G18,""))</f>
        <v/>
      </c>
      <c r="H46" s="37">
        <f>IF(OR(H5="",H18=""),"",IFERROR(H5/H18,""))</f>
        <v/>
      </c>
      <c r="I46" s="38">
        <f>IF(OR(I5="",I18=""),"",IFERROR(I5/I18,""))</f>
        <v/>
      </c>
      <c r="J46" s="38">
        <f>IF(OR(J5="",J18=""),"",IFERROR(J5/J18,""))</f>
        <v/>
      </c>
      <c r="K46" s="38">
        <f>IF(OR(K5="",K18=""),"",IFERROR(K5/K18,""))</f>
        <v/>
      </c>
      <c r="L46" s="38">
        <f>IF(OR(L5="",L18=""),"",IFERROR(L5/L18,""))</f>
        <v/>
      </c>
    </row>
    <row r="47">
      <c r="A47" s="47" t="inlineStr">
        <is>
          <t>당좌비율</t>
        </is>
      </c>
      <c r="B47" s="10" t="inlineStr">
        <is>
          <t>100%↑</t>
        </is>
      </c>
      <c r="C47" s="37">
        <f>IF(OR(C5="",C18=""),"",IFERROR((C5-N(C9))/C18,""))</f>
        <v/>
      </c>
      <c r="D47" s="38">
        <f>IF(OR(D5="",D18=""),"",IFERROR((D5-N(D9))/D18,""))</f>
        <v/>
      </c>
      <c r="E47" s="38">
        <f>IF(OR(E5="",E18=""),"",IFERROR((E5-N(E9))/E18,""))</f>
        <v/>
      </c>
      <c r="F47" s="38">
        <f>IF(OR(F5="",F18=""),"",IFERROR((F5-N(F9))/F18,""))</f>
        <v/>
      </c>
      <c r="G47" s="38">
        <f>IF(OR(G5="",G18=""),"",IFERROR((G5-N(G9))/G18,""))</f>
        <v/>
      </c>
      <c r="H47" s="37">
        <f>IF(OR(H5="",H18=""),"",IFERROR((H5-N(H9))/H18,""))</f>
        <v/>
      </c>
      <c r="I47" s="38">
        <f>IF(OR(I5="",I18=""),"",IFERROR((I5-N(I9))/I18,""))</f>
        <v/>
      </c>
      <c r="J47" s="38">
        <f>IF(OR(J5="",J18=""),"",IFERROR((J5-N(J9))/J18,""))</f>
        <v/>
      </c>
      <c r="K47" s="38">
        <f>IF(OR(K5="",K18=""),"",IFERROR((K5-N(K9))/K18,""))</f>
        <v/>
      </c>
      <c r="L47" s="38">
        <f>IF(OR(L5="",L18=""),"",IFERROR((L5-N(L9))/L18,""))</f>
        <v/>
      </c>
    </row>
    <row r="48">
      <c r="A48" s="47" t="inlineStr">
        <is>
          <t>이자보상배율</t>
        </is>
      </c>
      <c r="B48" s="10" t="inlineStr">
        <is>
          <t>5x↑ (금융원가 기준)</t>
        </is>
      </c>
      <c r="C48" s="32">
        <f>IFERROR((IF(COUNT('연간'!G19:J19)&lt;4,"",SUM('연간'!G19:J19)))/(IF(COUNT('연간'!G41:J41)&lt;4,"",SUM('연간'!G41:J41))),"")</f>
        <v/>
      </c>
      <c r="D48" s="33">
        <f>IFERROR((IF(COUNT('연간'!H19:K19)&lt;4,"",SUM('연간'!H19:K19)))/(IF(COUNT('연간'!H41:K41)&lt;4,"",SUM('연간'!H41:K41))),"")</f>
        <v/>
      </c>
      <c r="E48" s="33">
        <f>IFERROR((IF(COUNT('연간'!I19:L19)&lt;4,"",SUM('연간'!I19:L19)))/(IF(COUNT('연간'!I41:L41)&lt;4,"",SUM('연간'!I41:L41))),"")</f>
        <v/>
      </c>
      <c r="F48" s="33">
        <f>IFERROR((IF(COUNT('연간'!J19:M19)&lt;4,"",SUM('연간'!J19:M19)))/(IF(COUNT('연간'!J41:M41)&lt;4,"",SUM('연간'!J41:M41))),"")</f>
        <v/>
      </c>
      <c r="G48" s="33">
        <f>IFERROR((IF(COUNT('연간'!K19:N19)&lt;4,"",SUM('연간'!K19:N19)))/(IF(COUNT('연간'!K41:N41)&lt;4,"",SUM('연간'!K41:N41))),"")</f>
        <v/>
      </c>
      <c r="H48" s="32">
        <f>IFERROR(('연간'!T19)/('연간'!T41),"")</f>
        <v/>
      </c>
      <c r="I48" s="33">
        <f>IFERROR(('연간'!U19)/('연간'!U41),"")</f>
        <v/>
      </c>
      <c r="J48" s="33">
        <f>IFERROR(('연간'!V19)/('연간'!V41),"")</f>
        <v/>
      </c>
      <c r="K48" s="33">
        <f>IFERROR(('연간'!W19)/('연간'!W41),"")</f>
        <v/>
      </c>
      <c r="L48" s="33">
        <f>IFERROR(('연간'!X19)/('연간'!X41),"")</f>
        <v/>
      </c>
    </row>
    <row r="49">
      <c r="A49" s="47" t="inlineStr">
        <is>
          <t>차입금 상환연수</t>
        </is>
      </c>
      <c r="B49" s="10" t="inlineStr">
        <is>
          <t>4년↓ (버핏)</t>
        </is>
      </c>
      <c r="C49" s="48">
        <f>IFERROR(IF((IF(COUNT('연간'!G49:J49)&lt;4,"",SUM('연간'!G49:J49)))&lt;=0,"적자",C28/(IF(COUNT('연간'!G49:J49)&lt;4,"",SUM('연간'!G49:J49)))),"")</f>
        <v/>
      </c>
      <c r="D49" s="49">
        <f>IFERROR(IF((IF(COUNT('연간'!H49:K49)&lt;4,"",SUM('연간'!H49:K49)))&lt;=0,"적자",D28/(IF(COUNT('연간'!H49:K49)&lt;4,"",SUM('연간'!H49:K49)))),"")</f>
        <v/>
      </c>
      <c r="E49" s="49">
        <f>IFERROR(IF((IF(COUNT('연간'!I49:L49)&lt;4,"",SUM('연간'!I49:L49)))&lt;=0,"적자",E28/(IF(COUNT('연간'!I49:L49)&lt;4,"",SUM('연간'!I49:L49)))),"")</f>
        <v/>
      </c>
      <c r="F49" s="49">
        <f>IFERROR(IF((IF(COUNT('연간'!J49:M49)&lt;4,"",SUM('연간'!J49:M49)))&lt;=0,"적자",F28/(IF(COUNT('연간'!J49:M49)&lt;4,"",SUM('연간'!J49:M49)))),"")</f>
        <v/>
      </c>
      <c r="G49" s="49">
        <f>IFERROR(IF((IF(COUNT('연간'!K49:N49)&lt;4,"",SUM('연간'!K49:N49)))&lt;=0,"적자",G28/(IF(COUNT('연간'!K49:N49)&lt;4,"",SUM('연간'!K49:N49)))),"")</f>
        <v/>
      </c>
      <c r="H49" s="48">
        <f>IFERROR(IF(('연간'!T49)&lt;=0,"적자",H28/('연간'!T49)),"")</f>
        <v/>
      </c>
      <c r="I49" s="49">
        <f>IFERROR(IF(('연간'!U49)&lt;=0,"적자",I28/('연간'!U49)),"")</f>
        <v/>
      </c>
      <c r="J49" s="49">
        <f>IFERROR(IF(('연간'!V49)&lt;=0,"적자",J28/('연간'!V49)),"")</f>
        <v/>
      </c>
      <c r="K49" s="49">
        <f>IFERROR(IF(('연간'!W49)&lt;=0,"적자",K28/('연간'!W49)),"")</f>
        <v/>
      </c>
      <c r="L49" s="49">
        <f>IFERROR(IF(('연간'!X49)&lt;=0,"적자",L28/('연간'!X49)),"")</f>
        <v/>
      </c>
    </row>
    <row r="50">
      <c r="A50" s="25" t="inlineStr">
        <is>
          <t>수익성</t>
        </is>
      </c>
      <c r="B50" s="25" t="n"/>
      <c r="C50" s="26" t="n"/>
      <c r="D50" s="25" t="n"/>
      <c r="E50" s="25" t="n"/>
      <c r="F50" s="25" t="n"/>
      <c r="G50" s="25" t="n"/>
      <c r="H50" s="26" t="n"/>
      <c r="I50" s="25" t="n"/>
      <c r="J50" s="25" t="n"/>
      <c r="K50" s="25" t="n"/>
      <c r="L50" s="25" t="n"/>
    </row>
    <row r="51">
      <c r="A51" s="47" t="inlineStr">
        <is>
          <t>ROE</t>
        </is>
      </c>
      <c r="B51" s="10" t="inlineStr">
        <is>
          <t>15%↑ (버핏)</t>
        </is>
      </c>
      <c r="C51" s="37">
        <f>IFERROR((IF(COUNT('연간'!G49:J49)&lt;4,"",SUM('연간'!G49:J49)))/C31,"")</f>
        <v/>
      </c>
      <c r="D51" s="38">
        <f>IFERROR((IF(COUNT('연간'!H49:K49)&lt;4,"",SUM('연간'!H49:K49)))/D31,"")</f>
        <v/>
      </c>
      <c r="E51" s="38">
        <f>IFERROR((IF(COUNT('연간'!I49:L49)&lt;4,"",SUM('연간'!I49:L49)))/E31,"")</f>
        <v/>
      </c>
      <c r="F51" s="38">
        <f>IFERROR((IF(COUNT('연간'!J49:M49)&lt;4,"",SUM('연간'!J49:M49)))/F31,"")</f>
        <v/>
      </c>
      <c r="G51" s="38">
        <f>IFERROR((IF(COUNT('연간'!K49:N49)&lt;4,"",SUM('연간'!K49:N49)))/G31,"")</f>
        <v/>
      </c>
      <c r="H51" s="37">
        <f>IFERROR(('연간'!T49)/H31,"")</f>
        <v/>
      </c>
      <c r="I51" s="38">
        <f>IFERROR(('연간'!U49)/I31,"")</f>
        <v/>
      </c>
      <c r="J51" s="38">
        <f>IFERROR(('연간'!V49)/J31,"")</f>
        <v/>
      </c>
      <c r="K51" s="38">
        <f>IFERROR(('연간'!W49)/K31,"")</f>
        <v/>
      </c>
      <c r="L51" s="38">
        <f>IFERROR(('연간'!X49)/L31,"")</f>
        <v/>
      </c>
    </row>
    <row r="52">
      <c r="A52" s="47" t="inlineStr">
        <is>
          <t>ROA</t>
        </is>
      </c>
      <c r="B52" s="10" t="inlineStr">
        <is>
          <t>5%↑</t>
        </is>
      </c>
      <c r="C52" s="37">
        <f>IFERROR((IF(COUNT('연간'!G47:J47)&lt;4,"",SUM('연간'!G47:J47)))/C16,"")</f>
        <v/>
      </c>
      <c r="D52" s="38">
        <f>IFERROR((IF(COUNT('연간'!H47:K47)&lt;4,"",SUM('연간'!H47:K47)))/D16,"")</f>
        <v/>
      </c>
      <c r="E52" s="38">
        <f>IFERROR((IF(COUNT('연간'!I47:L47)&lt;4,"",SUM('연간'!I47:L47)))/E16,"")</f>
        <v/>
      </c>
      <c r="F52" s="38">
        <f>IFERROR((IF(COUNT('연간'!J47:M47)&lt;4,"",SUM('연간'!J47:M47)))/F16,"")</f>
        <v/>
      </c>
      <c r="G52" s="38">
        <f>IFERROR((IF(COUNT('연간'!K47:N47)&lt;4,"",SUM('연간'!K47:N47)))/G16,"")</f>
        <v/>
      </c>
      <c r="H52" s="37">
        <f>IFERROR(('연간'!T47)/H16,"")</f>
        <v/>
      </c>
      <c r="I52" s="38">
        <f>IFERROR(('연간'!U47)/I16,"")</f>
        <v/>
      </c>
      <c r="J52" s="38">
        <f>IFERROR(('연간'!V47)/J16,"")</f>
        <v/>
      </c>
      <c r="K52" s="38">
        <f>IFERROR(('연간'!W47)/K16,"")</f>
        <v/>
      </c>
      <c r="L52" s="38">
        <f>IFERROR(('연간'!X47)/L16,"")</f>
        <v/>
      </c>
    </row>
    <row r="53">
      <c r="A53" s="47" t="inlineStr">
        <is>
          <t>ROIC</t>
        </is>
      </c>
      <c r="B53" s="10" t="inlineStr">
        <is>
          <t>10%↑ (세후영업이익 기준)</t>
        </is>
      </c>
      <c r="C53" s="37">
        <f>IFERROR((IF(COUNT('연간'!G19:J19)&lt;4,"",SUM('연간'!G19:J19)))*(1-0.3)/(C35+C29),"")</f>
        <v/>
      </c>
      <c r="D53" s="38">
        <f>IFERROR((IF(COUNT('연간'!H19:K19)&lt;4,"",SUM('연간'!H19:K19)))*(1-0.3)/(D35+D29),"")</f>
        <v/>
      </c>
      <c r="E53" s="38">
        <f>IFERROR((IF(COUNT('연간'!I19:L19)&lt;4,"",SUM('연간'!I19:L19)))*(1-0.3)/(E35+E29),"")</f>
        <v/>
      </c>
      <c r="F53" s="38">
        <f>IFERROR((IF(COUNT('연간'!J19:M19)&lt;4,"",SUM('연간'!J19:M19)))*(1-0.3)/(F35+F29),"")</f>
        <v/>
      </c>
      <c r="G53" s="38">
        <f>IFERROR((IF(COUNT('연간'!K19:N19)&lt;4,"",SUM('연간'!K19:N19)))*(1-0.3)/(G35+G29),"")</f>
        <v/>
      </c>
      <c r="H53" s="37">
        <f>IFERROR(('연간'!T19)*(1-0.3)/(H35+H29),"")</f>
        <v/>
      </c>
      <c r="I53" s="38">
        <f>IFERROR(('연간'!U19)*(1-0.3)/(I35+I29),"")</f>
        <v/>
      </c>
      <c r="J53" s="38">
        <f>IFERROR(('연간'!V19)*(1-0.3)/(J35+J29),"")</f>
        <v/>
      </c>
      <c r="K53" s="38">
        <f>IFERROR(('연간'!W19)*(1-0.3)/(K35+K29),"")</f>
        <v/>
      </c>
      <c r="L53" s="38">
        <f>IFERROR(('연간'!X19)*(1-0.3)/(L35+L29),"")</f>
        <v/>
      </c>
    </row>
    <row r="54">
      <c r="A54" s="47" t="inlineStr">
        <is>
          <t>매출총이익률 (GPM)</t>
        </is>
      </c>
      <c r="B54" s="10" t="inlineStr">
        <is>
          <t>40%↑ (해자 신호)</t>
        </is>
      </c>
      <c r="C54" s="37">
        <f>IFERROR((IF(COUNT('연간'!G13:J13)&lt;4,"",SUM('연간'!G13:J13)))/(IF(COUNT('연간'!G4:J4)&lt;4,"",SUM('연간'!G4:J4))),"")</f>
        <v/>
      </c>
      <c r="D54" s="38">
        <f>IFERROR((IF(COUNT('연간'!H13:K13)&lt;4,"",SUM('연간'!H13:K13)))/(IF(COUNT('연간'!H4:K4)&lt;4,"",SUM('연간'!H4:K4))),"")</f>
        <v/>
      </c>
      <c r="E54" s="38">
        <f>IFERROR((IF(COUNT('연간'!I13:L13)&lt;4,"",SUM('연간'!I13:L13)))/(IF(COUNT('연간'!I4:L4)&lt;4,"",SUM('연간'!I4:L4))),"")</f>
        <v/>
      </c>
      <c r="F54" s="38">
        <f>IFERROR((IF(COUNT('연간'!J13:M13)&lt;4,"",SUM('연간'!J13:M13)))/(IF(COUNT('연간'!J4:M4)&lt;4,"",SUM('연간'!J4:M4))),"")</f>
        <v/>
      </c>
      <c r="G54" s="38">
        <f>IFERROR((IF(COUNT('연간'!K13:N13)&lt;4,"",SUM('연간'!K13:N13)))/(IF(COUNT('연간'!K4:N4)&lt;4,"",SUM('연간'!K4:N4))),"")</f>
        <v/>
      </c>
      <c r="H54" s="37">
        <f>IFERROR(('연간'!T13)/('연간'!T4),"")</f>
        <v/>
      </c>
      <c r="I54" s="38">
        <f>IFERROR(('연간'!U13)/('연간'!U4),"")</f>
        <v/>
      </c>
      <c r="J54" s="38">
        <f>IFERROR(('연간'!V13)/('연간'!V4),"")</f>
        <v/>
      </c>
      <c r="K54" s="38">
        <f>IFERROR(('연간'!W13)/('연간'!W4),"")</f>
        <v/>
      </c>
      <c r="L54" s="38">
        <f>IFERROR(('연간'!X13)/('연간'!X4),"")</f>
        <v/>
      </c>
    </row>
    <row r="55">
      <c r="A55" s="47" t="inlineStr">
        <is>
          <t>영업이익률 (OPM)</t>
        </is>
      </c>
      <c r="B55" s="10" t="inlineStr">
        <is>
          <t>15%↑</t>
        </is>
      </c>
      <c r="C55" s="37">
        <f>IFERROR((IF(COUNT('연간'!G19:J19)&lt;4,"",SUM('연간'!G19:J19)))/(IF(COUNT('연간'!G4:J4)&lt;4,"",SUM('연간'!G4:J4))),"")</f>
        <v/>
      </c>
      <c r="D55" s="38">
        <f>IFERROR((IF(COUNT('연간'!H19:K19)&lt;4,"",SUM('연간'!H19:K19)))/(IF(COUNT('연간'!H4:K4)&lt;4,"",SUM('연간'!H4:K4))),"")</f>
        <v/>
      </c>
      <c r="E55" s="38">
        <f>IFERROR((IF(COUNT('연간'!I19:L19)&lt;4,"",SUM('연간'!I19:L19)))/(IF(COUNT('연간'!I4:L4)&lt;4,"",SUM('연간'!I4:L4))),"")</f>
        <v/>
      </c>
      <c r="F55" s="38">
        <f>IFERROR((IF(COUNT('연간'!J19:M19)&lt;4,"",SUM('연간'!J19:M19)))/(IF(COUNT('연간'!J4:M4)&lt;4,"",SUM('연간'!J4:M4))),"")</f>
        <v/>
      </c>
      <c r="G55" s="38">
        <f>IFERROR((IF(COUNT('연간'!K19:N19)&lt;4,"",SUM('연간'!K19:N19)))/(IF(COUNT('연간'!K4:N4)&lt;4,"",SUM('연간'!K4:N4))),"")</f>
        <v/>
      </c>
      <c r="H55" s="37">
        <f>IFERROR(('연간'!T19)/('연간'!T4),"")</f>
        <v/>
      </c>
      <c r="I55" s="38">
        <f>IFERROR(('연간'!U19)/('연간'!U4),"")</f>
        <v/>
      </c>
      <c r="J55" s="38">
        <f>IFERROR(('연간'!V19)/('연간'!V4),"")</f>
        <v/>
      </c>
      <c r="K55" s="38">
        <f>IFERROR(('연간'!W19)/('연간'!W4),"")</f>
        <v/>
      </c>
      <c r="L55" s="38">
        <f>IFERROR(('연간'!X19)/('연간'!X4),"")</f>
        <v/>
      </c>
    </row>
    <row r="56">
      <c r="A56" s="47" t="inlineStr">
        <is>
          <t>순이익률</t>
        </is>
      </c>
      <c r="B56" s="10" t="inlineStr">
        <is>
          <t>10%↑</t>
        </is>
      </c>
      <c r="C56" s="37">
        <f>IFERROR((IF(COUNT('연간'!G47:J47)&lt;4,"",SUM('연간'!G47:J47)))/(IF(COUNT('연간'!G4:J4)&lt;4,"",SUM('연간'!G4:J4))),"")</f>
        <v/>
      </c>
      <c r="D56" s="38">
        <f>IFERROR((IF(COUNT('연간'!H47:K47)&lt;4,"",SUM('연간'!H47:K47)))/(IF(COUNT('연간'!H4:K4)&lt;4,"",SUM('연간'!H4:K4))),"")</f>
        <v/>
      </c>
      <c r="E56" s="38">
        <f>IFERROR((IF(COUNT('연간'!I47:L47)&lt;4,"",SUM('연간'!I47:L47)))/(IF(COUNT('연간'!I4:L4)&lt;4,"",SUM('연간'!I4:L4))),"")</f>
        <v/>
      </c>
      <c r="F56" s="38">
        <f>IFERROR((IF(COUNT('연간'!J47:M47)&lt;4,"",SUM('연간'!J47:M47)))/(IF(COUNT('연간'!J4:M4)&lt;4,"",SUM('연간'!J4:M4))),"")</f>
        <v/>
      </c>
      <c r="G56" s="38">
        <f>IFERROR((IF(COUNT('연간'!K47:N47)&lt;4,"",SUM('연간'!K47:N47)))/(IF(COUNT('연간'!K4:N4)&lt;4,"",SUM('연간'!K4:N4))),"")</f>
        <v/>
      </c>
      <c r="H56" s="37">
        <f>IFERROR(('연간'!T47)/('연간'!T4),"")</f>
        <v/>
      </c>
      <c r="I56" s="38">
        <f>IFERROR(('연간'!U47)/('연간'!U4),"")</f>
        <v/>
      </c>
      <c r="J56" s="38">
        <f>IFERROR(('연간'!V47)/('연간'!V4),"")</f>
        <v/>
      </c>
      <c r="K56" s="38">
        <f>IFERROR(('연간'!W47)/('연간'!W4),"")</f>
        <v/>
      </c>
      <c r="L56" s="38">
        <f>IFERROR(('연간'!X47)/('연간'!X4),"")</f>
        <v/>
      </c>
    </row>
    <row r="57">
      <c r="A57" s="25" t="inlineStr">
        <is>
          <t>효율성 (회전율)</t>
        </is>
      </c>
      <c r="B57" s="25" t="n"/>
      <c r="C57" s="26" t="n"/>
      <c r="D57" s="25" t="n"/>
      <c r="E57" s="25" t="n"/>
      <c r="F57" s="25" t="n"/>
      <c r="G57" s="25" t="n"/>
      <c r="H57" s="26" t="n"/>
      <c r="I57" s="25" t="n"/>
      <c r="J57" s="25" t="n"/>
      <c r="K57" s="25" t="n"/>
      <c r="L57" s="25" t="n"/>
    </row>
    <row r="58">
      <c r="A58" s="47" t="inlineStr">
        <is>
          <t>총자산회전율</t>
        </is>
      </c>
      <c r="B58" s="10" t="inlineStr">
        <is>
          <t>높을수록↑</t>
        </is>
      </c>
      <c r="C58" s="32">
        <f>IFERROR((IF(COUNT('연간'!G4:J4)&lt;4,"",SUM('연간'!G4:J4)))/C16,"")</f>
        <v/>
      </c>
      <c r="D58" s="33">
        <f>IFERROR((IF(COUNT('연간'!H4:K4)&lt;4,"",SUM('연간'!H4:K4)))/D16,"")</f>
        <v/>
      </c>
      <c r="E58" s="33">
        <f>IFERROR((IF(COUNT('연간'!I4:L4)&lt;4,"",SUM('연간'!I4:L4)))/E16,"")</f>
        <v/>
      </c>
      <c r="F58" s="33">
        <f>IFERROR((IF(COUNT('연간'!J4:M4)&lt;4,"",SUM('연간'!J4:M4)))/F16,"")</f>
        <v/>
      </c>
      <c r="G58" s="33">
        <f>IFERROR((IF(COUNT('연간'!K4:N4)&lt;4,"",SUM('연간'!K4:N4)))/G16,"")</f>
        <v/>
      </c>
      <c r="H58" s="32">
        <f>IFERROR(('연간'!T4)/H16,"")</f>
        <v/>
      </c>
      <c r="I58" s="33">
        <f>IFERROR(('연간'!U4)/I16,"")</f>
        <v/>
      </c>
      <c r="J58" s="33">
        <f>IFERROR(('연간'!V4)/J16,"")</f>
        <v/>
      </c>
      <c r="K58" s="33">
        <f>IFERROR(('연간'!W4)/K16,"")</f>
        <v/>
      </c>
      <c r="L58" s="33">
        <f>IFERROR(('연간'!X4)/L16,"")</f>
        <v/>
      </c>
    </row>
    <row r="59">
      <c r="A59" s="47" t="inlineStr">
        <is>
          <t>매출채권회전일수</t>
        </is>
      </c>
      <c r="B59" s="10" t="inlineStr">
        <is>
          <t>짧을수록↑</t>
        </is>
      </c>
      <c r="C59" s="50">
        <f>IFERROR(C8/(IF(COUNT('연간'!G4:J4)&lt;4,"",SUM('연간'!G4:J4)))*365,"")</f>
        <v/>
      </c>
      <c r="D59" s="51">
        <f>IFERROR(D8/(IF(COUNT('연간'!H4:K4)&lt;4,"",SUM('연간'!H4:K4)))*365,"")</f>
        <v/>
      </c>
      <c r="E59" s="51">
        <f>IFERROR(E8/(IF(COUNT('연간'!I4:L4)&lt;4,"",SUM('연간'!I4:L4)))*365,"")</f>
        <v/>
      </c>
      <c r="F59" s="51">
        <f>IFERROR(F8/(IF(COUNT('연간'!J4:M4)&lt;4,"",SUM('연간'!J4:M4)))*365,"")</f>
        <v/>
      </c>
      <c r="G59" s="51">
        <f>IFERROR(G8/(IF(COUNT('연간'!K4:N4)&lt;4,"",SUM('연간'!K4:N4)))*365,"")</f>
        <v/>
      </c>
      <c r="H59" s="50">
        <f>IFERROR(H8/('연간'!T4)*365,"")</f>
        <v/>
      </c>
      <c r="I59" s="51">
        <f>IFERROR(I8/('연간'!U4)*365,"")</f>
        <v/>
      </c>
      <c r="J59" s="51">
        <f>IFERROR(J8/('연간'!V4)*365,"")</f>
        <v/>
      </c>
      <c r="K59" s="51">
        <f>IFERROR(K8/('연간'!W4)*365,"")</f>
        <v/>
      </c>
      <c r="L59" s="51">
        <f>IFERROR(L8/('연간'!X4)*365,"")</f>
        <v/>
      </c>
    </row>
    <row r="60">
      <c r="A60" s="47" t="inlineStr">
        <is>
          <t>재고자산회전일수</t>
        </is>
      </c>
      <c r="B60" s="10" t="inlineStr">
        <is>
          <t>짧을수록↑</t>
        </is>
      </c>
      <c r="C60" s="50">
        <f>IFERROR(C9/(IF(COUNT('연간'!G11:J11)&lt;4,"",SUM('연간'!G11:J11)))*365,"")</f>
        <v/>
      </c>
      <c r="D60" s="51">
        <f>IFERROR(D9/(IF(COUNT('연간'!H11:K11)&lt;4,"",SUM('연간'!H11:K11)))*365,"")</f>
        <v/>
      </c>
      <c r="E60" s="51">
        <f>IFERROR(E9/(IF(COUNT('연간'!I11:L11)&lt;4,"",SUM('연간'!I11:L11)))*365,"")</f>
        <v/>
      </c>
      <c r="F60" s="51">
        <f>IFERROR(F9/(IF(COUNT('연간'!J11:M11)&lt;4,"",SUM('연간'!J11:M11)))*365,"")</f>
        <v/>
      </c>
      <c r="G60" s="51">
        <f>IFERROR(G9/(IF(COUNT('연간'!K11:N11)&lt;4,"",SUM('연간'!K11:N11)))*365,"")</f>
        <v/>
      </c>
      <c r="H60" s="50">
        <f>IFERROR(H9/('연간'!T11)*365,"")</f>
        <v/>
      </c>
      <c r="I60" s="51">
        <f>IFERROR(I9/('연간'!U11)*365,"")</f>
        <v/>
      </c>
      <c r="J60" s="51">
        <f>IFERROR(J9/('연간'!V11)*365,"")</f>
        <v/>
      </c>
      <c r="K60" s="51">
        <f>IFERROR(K9/('연간'!W11)*365,"")</f>
        <v/>
      </c>
      <c r="L60" s="51">
        <f>IFERROR(L9/('연간'!X11)*365,"")</f>
        <v/>
      </c>
    </row>
    <row r="61">
      <c r="A61" s="47" t="inlineStr">
        <is>
          <t>매입채무회전일수</t>
        </is>
      </c>
      <c r="B61" s="10" t="inlineStr">
        <is>
          <t>길수록 유리</t>
        </is>
      </c>
      <c r="C61" s="50">
        <f>IFERROR(C19/(IF(COUNT('연간'!G11:J11)&lt;4,"",SUM('연간'!G11:J11)))*365,"")</f>
        <v/>
      </c>
      <c r="D61" s="51">
        <f>IFERROR(D19/(IF(COUNT('연간'!H11:K11)&lt;4,"",SUM('연간'!H11:K11)))*365,"")</f>
        <v/>
      </c>
      <c r="E61" s="51">
        <f>IFERROR(E19/(IF(COUNT('연간'!I11:L11)&lt;4,"",SUM('연간'!I11:L11)))*365,"")</f>
        <v/>
      </c>
      <c r="F61" s="51">
        <f>IFERROR(F19/(IF(COUNT('연간'!J11:M11)&lt;4,"",SUM('연간'!J11:M11)))*365,"")</f>
        <v/>
      </c>
      <c r="G61" s="51">
        <f>IFERROR(G19/(IF(COUNT('연간'!K11:N11)&lt;4,"",SUM('연간'!K11:N11)))*365,"")</f>
        <v/>
      </c>
      <c r="H61" s="50">
        <f>IFERROR(H19/('연간'!T11)*365,"")</f>
        <v/>
      </c>
      <c r="I61" s="51">
        <f>IFERROR(I19/('연간'!U11)*365,"")</f>
        <v/>
      </c>
      <c r="J61" s="51">
        <f>IFERROR(J19/('연간'!V11)*365,"")</f>
        <v/>
      </c>
      <c r="K61" s="51">
        <f>IFERROR(K19/('연간'!W11)*365,"")</f>
        <v/>
      </c>
      <c r="L61" s="51">
        <f>IFERROR(L19/('연간'!X11)*365,"")</f>
        <v/>
      </c>
    </row>
    <row r="62">
      <c r="A62" s="47" t="inlineStr">
        <is>
          <t>현금전환주기 (CCC)</t>
        </is>
      </c>
      <c r="B62" s="10" t="inlineStr">
        <is>
          <t>짧을수록↑</t>
        </is>
      </c>
      <c r="C62" s="50">
        <f>IF(OR(C59="",C60="",C61=""),"",IFERROR(C59+C60-C61,""))</f>
        <v/>
      </c>
      <c r="D62" s="51">
        <f>IF(OR(D59="",D60="",D61=""),"",IFERROR(D59+D60-D61,""))</f>
        <v/>
      </c>
      <c r="E62" s="51">
        <f>IF(OR(E59="",E60="",E61=""),"",IFERROR(E59+E60-E61,""))</f>
        <v/>
      </c>
      <c r="F62" s="51">
        <f>IF(OR(F59="",F60="",F61=""),"",IFERROR(F59+F60-F61,""))</f>
        <v/>
      </c>
      <c r="G62" s="51">
        <f>IF(OR(G59="",G60="",G61=""),"",IFERROR(G59+G60-G61,""))</f>
        <v/>
      </c>
      <c r="H62" s="50">
        <f>IF(OR(H59="",H60="",H61=""),"",IFERROR(H59+H60-H61,""))</f>
        <v/>
      </c>
      <c r="I62" s="51">
        <f>IF(OR(I59="",I60="",I61=""),"",IFERROR(I59+I60-I61,""))</f>
        <v/>
      </c>
      <c r="J62" s="51">
        <f>IF(OR(J59="",J60="",J61=""),"",IFERROR(J59+J60-J61,""))</f>
        <v/>
      </c>
      <c r="K62" s="51">
        <f>IF(OR(K59="",K60="",K61=""),"",IFERROR(K59+K60-K61,""))</f>
        <v/>
      </c>
      <c r="L62" s="51">
        <f>IF(OR(L59="",L60="",L61=""),"",IFERROR(L59+L60-L61,""))</f>
        <v/>
      </c>
    </row>
    <row r="63">
      <c r="A63" s="25" t="inlineStr">
        <is>
          <t>현금흐름</t>
        </is>
      </c>
      <c r="B63" s="25" t="n"/>
      <c r="C63" s="26" t="n"/>
      <c r="D63" s="25" t="n"/>
      <c r="E63" s="25" t="n"/>
      <c r="F63" s="25" t="n"/>
      <c r="G63" s="25" t="n"/>
      <c r="H63" s="26" t="n"/>
      <c r="I63" s="25" t="n"/>
      <c r="J63" s="25" t="n"/>
      <c r="K63" s="25" t="n"/>
      <c r="L63" s="25" t="n"/>
    </row>
    <row r="64">
      <c r="A64" s="47" t="inlineStr">
        <is>
          <t>영업현금흐름 / 순이익</t>
        </is>
      </c>
      <c r="B64" s="10" t="inlineStr">
        <is>
          <t>1x↑ (이익의 질)</t>
        </is>
      </c>
      <c r="C64" s="32">
        <f>IF(C37="","",IFERROR(C37/(IF(COUNT('연간'!G47:J47)&lt;4,"",SUM('연간'!G47:J47))),""))</f>
        <v/>
      </c>
      <c r="D64" s="33">
        <f>IF(D37="","",IFERROR(D37/(IF(COUNT('연간'!H47:K47)&lt;4,"",SUM('연간'!H47:K47))),""))</f>
        <v/>
      </c>
      <c r="E64" s="33">
        <f>IF(E37="","",IFERROR(E37/(IF(COUNT('연간'!I47:L47)&lt;4,"",SUM('연간'!I47:L47))),""))</f>
        <v/>
      </c>
      <c r="F64" s="33">
        <f>IF(F37="","",IFERROR(F37/(IF(COUNT('연간'!J47:M47)&lt;4,"",SUM('연간'!J47:M47))),""))</f>
        <v/>
      </c>
      <c r="G64" s="33">
        <f>IF(G37="","",IFERROR(G37/(IF(COUNT('연간'!K47:N47)&lt;4,"",SUM('연간'!K47:N47))),""))</f>
        <v/>
      </c>
      <c r="H64" s="32">
        <f>IF(H37="","",IFERROR(H37/('연간'!T47),""))</f>
        <v/>
      </c>
      <c r="I64" s="33">
        <f>IF(I37="","",IFERROR(I37/('연간'!U47),""))</f>
        <v/>
      </c>
      <c r="J64" s="33">
        <f>IF(J37="","",IFERROR(J37/('연간'!V47),""))</f>
        <v/>
      </c>
      <c r="K64" s="33">
        <f>IF(K37="","",IFERROR(K37/('연간'!W47),""))</f>
        <v/>
      </c>
      <c r="L64" s="33">
        <f>IF(L37="","",IFERROR(L37/('연간'!X47),""))</f>
        <v/>
      </c>
    </row>
    <row r="65">
      <c r="A65" s="47" t="inlineStr">
        <is>
          <t>FCF 마진</t>
        </is>
      </c>
      <c r="B65" s="10" t="inlineStr">
        <is>
          <t>5%↑</t>
        </is>
      </c>
      <c r="C65" s="37">
        <f>IF(C39="","",IFERROR(C39/(IF(COUNT('연간'!G4:J4)&lt;4,"",SUM('연간'!G4:J4))),""))</f>
        <v/>
      </c>
      <c r="D65" s="38">
        <f>IF(D39="","",IFERROR(D39/(IF(COUNT('연간'!H4:K4)&lt;4,"",SUM('연간'!H4:K4))),""))</f>
        <v/>
      </c>
      <c r="E65" s="38">
        <f>IF(E39="","",IFERROR(E39/(IF(COUNT('연간'!I4:L4)&lt;4,"",SUM('연간'!I4:L4))),""))</f>
        <v/>
      </c>
      <c r="F65" s="38">
        <f>IF(F39="","",IFERROR(F39/(IF(COUNT('연간'!J4:M4)&lt;4,"",SUM('연간'!J4:M4))),""))</f>
        <v/>
      </c>
      <c r="G65" s="38">
        <f>IF(G39="","",IFERROR(G39/(IF(COUNT('연간'!K4:N4)&lt;4,"",SUM('연간'!K4:N4))),""))</f>
        <v/>
      </c>
      <c r="H65" s="37">
        <f>IF(H39="","",IFERROR(H39/('연간'!T4),""))</f>
        <v/>
      </c>
      <c r="I65" s="38">
        <f>IF(I39="","",IFERROR(I39/('연간'!U4),""))</f>
        <v/>
      </c>
      <c r="J65" s="38">
        <f>IF(J39="","",IFERROR(J39/('연간'!V4),""))</f>
        <v/>
      </c>
      <c r="K65" s="38">
        <f>IF(K39="","",IFERROR(K39/('연간'!W4),""))</f>
        <v/>
      </c>
      <c r="L65" s="38">
        <f>IF(L39="","",IFERROR(L39/('연간'!X4),""))</f>
        <v/>
      </c>
    </row>
    <row r="66">
      <c r="A66" s="47" t="inlineStr">
        <is>
          <t>CAPEX / 매출</t>
        </is>
      </c>
      <c r="B66" s="10" t="inlineStr">
        <is>
          <t>낮을수록↑ (자본 가벼움)</t>
        </is>
      </c>
      <c r="C66" s="37">
        <f>IF(C38="","",IFERROR(C38/(IF(COUNT('연간'!G4:J4)&lt;4,"",SUM('연간'!G4:J4))),""))</f>
        <v/>
      </c>
      <c r="D66" s="38">
        <f>IF(D38="","",IFERROR(D38/(IF(COUNT('연간'!H4:K4)&lt;4,"",SUM('연간'!H4:K4))),""))</f>
        <v/>
      </c>
      <c r="E66" s="38">
        <f>IF(E38="","",IFERROR(E38/(IF(COUNT('연간'!I4:L4)&lt;4,"",SUM('연간'!I4:L4))),""))</f>
        <v/>
      </c>
      <c r="F66" s="38">
        <f>IF(F38="","",IFERROR(F38/(IF(COUNT('연간'!J4:M4)&lt;4,"",SUM('연간'!J4:M4))),""))</f>
        <v/>
      </c>
      <c r="G66" s="38">
        <f>IF(G38="","",IFERROR(G38/(IF(COUNT('연간'!K4:N4)&lt;4,"",SUM('연간'!K4:N4))),""))</f>
        <v/>
      </c>
      <c r="H66" s="37">
        <f>IF(H38="","",IFERROR(H38/('연간'!T4),""))</f>
        <v/>
      </c>
      <c r="I66" s="38">
        <f>IF(I38="","",IFERROR(I38/('연간'!U4),""))</f>
        <v/>
      </c>
      <c r="J66" s="38">
        <f>IF(J38="","",IFERROR(J38/('연간'!V4),""))</f>
        <v/>
      </c>
      <c r="K66" s="38">
        <f>IF(K38="","",IFERROR(K38/('연간'!W4),""))</f>
        <v/>
      </c>
      <c r="L66" s="38">
        <f>IF(L38="","",IFERROR(L38/('연간'!X4),""))</f>
        <v/>
      </c>
    </row>
    <row r="67">
      <c r="A67" s="47" t="inlineStr">
        <is>
          <t>배당성향</t>
        </is>
      </c>
      <c r="B67" s="10" t="inlineStr">
        <is>
          <t>참고</t>
        </is>
      </c>
      <c r="C67" s="37">
        <f>IF(C40="","",IFERROR(C40/(IF(COUNT('연간'!G49:J49)&lt;4,"",SUM('연간'!G49:J49))),""))</f>
        <v/>
      </c>
      <c r="D67" s="38">
        <f>IF(D40="","",IFERROR(D40/(IF(COUNT('연간'!H49:K49)&lt;4,"",SUM('연간'!H49:K49))),""))</f>
        <v/>
      </c>
      <c r="E67" s="38">
        <f>IF(E40="","",IFERROR(E40/(IF(COUNT('연간'!I49:L49)&lt;4,"",SUM('연간'!I49:L49))),""))</f>
        <v/>
      </c>
      <c r="F67" s="38">
        <f>IF(F40="","",IFERROR(F40/(IF(COUNT('연간'!J49:M49)&lt;4,"",SUM('연간'!J49:M49))),""))</f>
        <v/>
      </c>
      <c r="G67" s="38">
        <f>IF(G40="","",IFERROR(G40/(IF(COUNT('연간'!K49:N49)&lt;4,"",SUM('연간'!K49:N49))),""))</f>
        <v/>
      </c>
      <c r="H67" s="37">
        <f>IF(H40="","",IFERROR(H40/('연간'!T49),""))</f>
        <v/>
      </c>
      <c r="I67" s="38">
        <f>IF(I40="","",IFERROR(I40/('연간'!U49),""))</f>
        <v/>
      </c>
      <c r="J67" s="38">
        <f>IF(J40="","",IFERROR(J40/('연간'!V49),""))</f>
        <v/>
      </c>
      <c r="K67" s="38">
        <f>IF(K40="","",IFERROR(K40/('연간'!W49),""))</f>
        <v/>
      </c>
      <c r="L67" s="38">
        <f>IF(L40="","",IFERROR(L40/('연간'!X49),""))</f>
        <v/>
      </c>
    </row>
    <row r="69">
      <c r="A69" s="18" t="inlineStr">
        <is>
          <t>재무상태표 · 전 항목</t>
        </is>
      </c>
      <c r="B69" s="44" t="inlineStr">
        <is>
          <t>분기 말 잔액</t>
        </is>
      </c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2026.2Q</t>
        </is>
      </c>
      <c r="D70" s="5" t="inlineStr">
        <is>
          <t>2026.3Q</t>
        </is>
      </c>
      <c r="E70" s="5" t="inlineStr">
        <is>
          <t>2026.4Q</t>
        </is>
      </c>
      <c r="F70" s="5" t="inlineStr">
        <is>
          <t>2027.1Q</t>
        </is>
      </c>
      <c r="G70" s="5" t="inlineStr">
        <is>
          <t>2027.2Q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20" t="inlineStr">
        <is>
          <t>현금 및 예금</t>
        </is>
      </c>
      <c r="C71" s="22" t="n">
        <v>5598.42</v>
      </c>
      <c r="D71" s="22" t="n">
        <v>5636.257</v>
      </c>
      <c r="E71" s="22" t="n">
        <v>5701.828</v>
      </c>
      <c r="F71" s="22" t="n">
        <v>4245.32</v>
      </c>
      <c r="G71" s="22" t="n">
        <v>4454.424</v>
      </c>
      <c r="H71" s="22" t="n">
        <v>5210.952</v>
      </c>
      <c r="I71" s="22" t="n">
        <v>4828.041</v>
      </c>
      <c r="J71" s="22" t="n">
        <v>4783.053</v>
      </c>
      <c r="K71" s="22" t="n">
        <v>5698.744</v>
      </c>
      <c r="L71" s="22" t="n">
        <v>5701.828</v>
      </c>
    </row>
    <row r="72">
      <c r="A72" s="20" t="inlineStr">
        <is>
          <t>받을어음·매출채권</t>
        </is>
      </c>
      <c r="H72" s="22" t="n">
        <v>476.559</v>
      </c>
      <c r="I72" s="22" t="n">
        <v>0</v>
      </c>
    </row>
    <row r="73">
      <c r="A73" s="20" t="inlineStr">
        <is>
          <t>받을어음·매출채권·계약자산</t>
        </is>
      </c>
      <c r="H73" s="22" t="n">
        <v>0</v>
      </c>
      <c r="I73" s="22" t="n">
        <v>680.96</v>
      </c>
      <c r="J73" s="22" t="n">
        <v>789.744</v>
      </c>
      <c r="K73" s="22" t="n">
        <v>0</v>
      </c>
    </row>
    <row r="74">
      <c r="A74" s="20" t="inlineStr">
        <is>
          <t>매출채권·계약자산</t>
        </is>
      </c>
      <c r="J74" s="22" t="n">
        <v>0</v>
      </c>
    </row>
    <row r="75">
      <c r="A75" s="20" t="inlineStr">
        <is>
          <t>매출채권·계약자산</t>
        </is>
      </c>
      <c r="C75" s="22" t="n">
        <v>547.773</v>
      </c>
      <c r="D75" s="22" t="n">
        <v>657.73</v>
      </c>
      <c r="E75" s="22" t="n">
        <v>692.835</v>
      </c>
      <c r="F75" s="22" t="n">
        <v>658.601</v>
      </c>
      <c r="G75" s="22" t="n">
        <v>864.474</v>
      </c>
      <c r="J75" s="22" t="n">
        <v>0</v>
      </c>
      <c r="K75" s="22" t="n">
        <v>505.171</v>
      </c>
      <c r="L75" s="22" t="n">
        <v>692.835</v>
      </c>
    </row>
    <row r="76">
      <c r="A76" s="20" t="inlineStr">
        <is>
          <t>상품·제품</t>
        </is>
      </c>
      <c r="C76" s="22" t="n">
        <v>1026.469</v>
      </c>
      <c r="D76" s="22" t="n">
        <v>947.994</v>
      </c>
      <c r="E76" s="22" t="n">
        <v>1071.797</v>
      </c>
      <c r="F76" s="22" t="n">
        <v>1377.551</v>
      </c>
      <c r="G76" s="22" t="n">
        <v>1568.769</v>
      </c>
      <c r="H76" s="22" t="n">
        <v>769.939</v>
      </c>
      <c r="I76" s="22" t="n">
        <v>846.138</v>
      </c>
      <c r="J76" s="22" t="n">
        <v>1658.074</v>
      </c>
      <c r="K76" s="22" t="n">
        <v>1125.305</v>
      </c>
      <c r="L76" s="22" t="n">
        <v>1071.797</v>
      </c>
    </row>
    <row r="77">
      <c r="A77" s="20" t="inlineStr">
        <is>
          <t>재공품</t>
        </is>
      </c>
      <c r="C77" s="22" t="n">
        <v>6.297</v>
      </c>
      <c r="D77" s="22" t="n">
        <v>9.005000000000001</v>
      </c>
      <c r="E77" s="22" t="n">
        <v>0.473</v>
      </c>
      <c r="F77" s="22" t="n">
        <v>0</v>
      </c>
      <c r="G77" s="22" t="n">
        <v>0</v>
      </c>
      <c r="H77" s="22" t="n">
        <v>0.594</v>
      </c>
      <c r="I77" s="22" t="n">
        <v>17.556</v>
      </c>
      <c r="J77" s="22" t="n">
        <v>4.389</v>
      </c>
      <c r="K77" s="22" t="n">
        <v>0</v>
      </c>
      <c r="L77" s="22" t="n">
        <v>0.473</v>
      </c>
    </row>
    <row r="78">
      <c r="A78" s="20" t="inlineStr">
        <is>
          <t>원재료·저장품</t>
        </is>
      </c>
      <c r="C78" s="22" t="n">
        <v>360.993</v>
      </c>
      <c r="D78" s="22" t="n">
        <v>347.487</v>
      </c>
      <c r="E78" s="22" t="n">
        <v>301.776</v>
      </c>
      <c r="F78" s="22" t="n">
        <v>230.316</v>
      </c>
      <c r="G78" s="22" t="n">
        <v>212.659</v>
      </c>
      <c r="H78" s="22" t="n">
        <v>68.90000000000001</v>
      </c>
      <c r="I78" s="22" t="n">
        <v>95.157</v>
      </c>
      <c r="J78" s="22" t="n">
        <v>150.335</v>
      </c>
      <c r="K78" s="22" t="n">
        <v>362.973</v>
      </c>
      <c r="L78" s="22" t="n">
        <v>301.776</v>
      </c>
    </row>
    <row r="79">
      <c r="A79" s="20" t="inlineStr">
        <is>
          <t>기타</t>
        </is>
      </c>
      <c r="C79" s="22" t="n">
        <v>300.249</v>
      </c>
      <c r="D79" s="22" t="n">
        <v>228.078</v>
      </c>
      <c r="E79" s="22" t="n">
        <v>340.439</v>
      </c>
      <c r="F79" s="22" t="n">
        <v>1138.277</v>
      </c>
      <c r="G79" s="22" t="n">
        <v>878.9</v>
      </c>
      <c r="H79" s="22" t="n">
        <v>283.633</v>
      </c>
      <c r="I79" s="22" t="n">
        <v>524.0170000000001</v>
      </c>
      <c r="J79" s="22" t="n">
        <v>323.723</v>
      </c>
      <c r="K79" s="22" t="n">
        <v>267.972</v>
      </c>
      <c r="L79" s="22" t="n">
        <v>340.439</v>
      </c>
    </row>
    <row r="80">
      <c r="A80" s="20" t="inlineStr">
        <is>
          <t>대손충당금</t>
        </is>
      </c>
      <c r="C80" s="22" t="n">
        <v>-0.005</v>
      </c>
      <c r="D80" s="22" t="n">
        <v>-0.006</v>
      </c>
      <c r="E80" s="22" t="n">
        <v>-0.003</v>
      </c>
      <c r="F80" s="22" t="n">
        <v>-0.003</v>
      </c>
      <c r="G80" s="22" t="n">
        <v>-0.003</v>
      </c>
      <c r="H80" s="22" t="n">
        <v>-2.351</v>
      </c>
      <c r="I80" s="22" t="n">
        <v>-0.006</v>
      </c>
      <c r="J80" s="22" t="n">
        <v>-0.012</v>
      </c>
      <c r="K80" s="22" t="n">
        <v>-0.005</v>
      </c>
      <c r="L80" s="22" t="n">
        <v>-0.003</v>
      </c>
    </row>
    <row r="81">
      <c r="A81" s="9" t="inlineStr">
        <is>
          <t>유동자산 합계</t>
        </is>
      </c>
      <c r="C81" s="12" t="n">
        <v>7840.198</v>
      </c>
      <c r="D81" s="12" t="n">
        <v>7826.548</v>
      </c>
      <c r="E81" s="12" t="n">
        <v>8109.147</v>
      </c>
      <c r="F81" s="12" t="n">
        <v>7650.064</v>
      </c>
      <c r="G81" s="12" t="n">
        <v>7979.225</v>
      </c>
      <c r="H81" s="12" t="n">
        <v>6808.227</v>
      </c>
      <c r="I81" s="12" t="n">
        <v>6991.865</v>
      </c>
      <c r="J81" s="12" t="n">
        <v>7709.308</v>
      </c>
      <c r="K81" s="12" t="n">
        <v>7960.161</v>
      </c>
      <c r="L81" s="12" t="n">
        <v>8109.147</v>
      </c>
    </row>
    <row r="82">
      <c r="A82" s="20" t="inlineStr">
        <is>
          <t>건물·구축물</t>
        </is>
      </c>
      <c r="E82" s="22" t="n">
        <v>221.96</v>
      </c>
      <c r="H82" s="22" t="n">
        <v>472.034</v>
      </c>
      <c r="I82" s="22" t="n">
        <v>565.516</v>
      </c>
      <c r="J82" s="22" t="n">
        <v>500.185</v>
      </c>
      <c r="K82" s="22" t="n">
        <v>221.037</v>
      </c>
      <c r="L82" s="22" t="n">
        <v>221.96</v>
      </c>
    </row>
    <row r="83">
      <c r="A83" s="20" t="inlineStr">
        <is>
          <t>감가상각누계액</t>
        </is>
      </c>
      <c r="E83" s="22" t="n">
        <v>-42.875</v>
      </c>
      <c r="H83" s="22" t="n">
        <v>-382.686</v>
      </c>
      <c r="I83" s="22" t="n">
        <v>-390.352</v>
      </c>
      <c r="J83" s="22" t="n">
        <v>-406.938</v>
      </c>
      <c r="K83" s="22" t="n">
        <v>-27.502</v>
      </c>
      <c r="L83" s="22" t="n">
        <v>-42.875</v>
      </c>
    </row>
    <row r="84">
      <c r="A84" s="20" t="inlineStr">
        <is>
          <t>건물·구축물(순액)</t>
        </is>
      </c>
      <c r="E84" s="22" t="n">
        <v>179.085</v>
      </c>
      <c r="H84" s="22" t="n">
        <v>89.348</v>
      </c>
      <c r="I84" s="22" t="n">
        <v>175.164</v>
      </c>
      <c r="J84" s="22" t="n">
        <v>93.247</v>
      </c>
      <c r="K84" s="22" t="n">
        <v>193.535</v>
      </c>
      <c r="L84" s="22" t="n">
        <v>179.085</v>
      </c>
    </row>
    <row r="85">
      <c r="A85" s="20" t="inlineStr">
        <is>
          <t>기계장치·운반구</t>
        </is>
      </c>
      <c r="H85" s="22" t="n">
        <v>168.514</v>
      </c>
      <c r="I85" s="22" t="n">
        <v>175.188</v>
      </c>
      <c r="J85" s="22" t="n">
        <v>211.037</v>
      </c>
      <c r="K85" s="22" t="n">
        <v>0</v>
      </c>
    </row>
    <row r="86">
      <c r="A86" s="20" t="inlineStr">
        <is>
          <t>감가상각누계액</t>
        </is>
      </c>
      <c r="H86" s="22" t="n">
        <v>-168.514</v>
      </c>
      <c r="I86" s="22" t="n">
        <v>-168.845</v>
      </c>
      <c r="J86" s="22" t="n">
        <v>-149.25</v>
      </c>
      <c r="K86" s="22" t="n">
        <v>0</v>
      </c>
    </row>
    <row r="87">
      <c r="A87" s="20" t="inlineStr">
        <is>
          <t>기계장치·운반구(순액)</t>
        </is>
      </c>
      <c r="H87" s="22" t="n">
        <v>0</v>
      </c>
      <c r="I87" s="22" t="n">
        <v>6.342</v>
      </c>
      <c r="J87" s="22" t="n">
        <v>61.787</v>
      </c>
      <c r="K87" s="22" t="n">
        <v>0</v>
      </c>
    </row>
    <row r="88">
      <c r="A88" s="20" t="inlineStr">
        <is>
          <t>리스자산</t>
        </is>
      </c>
      <c r="H88" s="22" t="n">
        <v>90.372</v>
      </c>
      <c r="I88" s="22" t="n">
        <v>90.372</v>
      </c>
      <c r="J88" s="22" t="n">
        <v>90.372</v>
      </c>
      <c r="K88" s="22" t="n">
        <v>0</v>
      </c>
    </row>
    <row r="89">
      <c r="A89" s="20" t="inlineStr">
        <is>
          <t>감가상각누계액</t>
        </is>
      </c>
      <c r="H89" s="22" t="n">
        <v>-90.372</v>
      </c>
      <c r="I89" s="22" t="n">
        <v>-90.372</v>
      </c>
      <c r="J89" s="22" t="n">
        <v>-90.372</v>
      </c>
      <c r="K89" s="22" t="n">
        <v>0</v>
      </c>
    </row>
    <row r="90">
      <c r="A90" s="20" t="inlineStr">
        <is>
          <t>리스자산(순액)</t>
        </is>
      </c>
      <c r="H90" s="22" t="n">
        <v>0</v>
      </c>
      <c r="I90" s="22" t="n">
        <v>0</v>
      </c>
      <c r="J90" s="22" t="n">
        <v>0</v>
      </c>
      <c r="K90" s="22" t="n">
        <v>0</v>
      </c>
    </row>
    <row r="91">
      <c r="A91" s="20" t="inlineStr">
        <is>
          <t>기타</t>
        </is>
      </c>
      <c r="E91" s="22" t="n">
        <v>146.515</v>
      </c>
      <c r="H91" s="22" t="n">
        <v>76.227</v>
      </c>
      <c r="I91" s="22" t="n">
        <v>105.893</v>
      </c>
      <c r="J91" s="22" t="n">
        <v>133.723</v>
      </c>
      <c r="K91" s="22" t="n">
        <v>152.141</v>
      </c>
      <c r="L91" s="22" t="n">
        <v>146.515</v>
      </c>
    </row>
    <row r="92">
      <c r="A92" s="20" t="inlineStr">
        <is>
          <t>감가상각누계액</t>
        </is>
      </c>
      <c r="E92" s="22" t="n">
        <v>-86.511</v>
      </c>
      <c r="H92" s="22" t="n">
        <v>-42.713</v>
      </c>
      <c r="I92" s="22" t="n">
        <v>-54.904</v>
      </c>
      <c r="J92" s="22" t="n">
        <v>-72.29300000000001</v>
      </c>
      <c r="K92" s="22" t="n">
        <v>-73.90600000000001</v>
      </c>
      <c r="L92" s="22" t="n">
        <v>-86.511</v>
      </c>
    </row>
    <row r="93">
      <c r="A93" s="20" t="inlineStr">
        <is>
          <t>기타(순액)</t>
        </is>
      </c>
      <c r="E93" s="22" t="n">
        <v>60.003</v>
      </c>
      <c r="H93" s="22" t="n">
        <v>33.514</v>
      </c>
      <c r="I93" s="22" t="n">
        <v>50.988</v>
      </c>
      <c r="J93" s="22" t="n">
        <v>61.429</v>
      </c>
      <c r="K93" s="22" t="n">
        <v>78.23399999999999</v>
      </c>
      <c r="L93" s="22" t="n">
        <v>60.003</v>
      </c>
    </row>
    <row r="94">
      <c r="A94" s="20" t="inlineStr">
        <is>
          <t>유형자산</t>
        </is>
      </c>
      <c r="C94" s="22" t="n">
        <v>254.26</v>
      </c>
      <c r="D94" s="22" t="n">
        <v>246.136</v>
      </c>
      <c r="E94" s="22" t="n">
        <v>239.088</v>
      </c>
      <c r="F94" s="22" t="n">
        <v>231.739</v>
      </c>
      <c r="G94" s="22" t="n">
        <v>237.671</v>
      </c>
      <c r="H94" s="22" t="n">
        <v>122.862</v>
      </c>
      <c r="I94" s="22" t="n">
        <v>232.495</v>
      </c>
      <c r="J94" s="22" t="n">
        <v>216.464</v>
      </c>
      <c r="K94" s="22" t="n">
        <v>271.769</v>
      </c>
      <c r="L94" s="22" t="n">
        <v>239.088</v>
      </c>
    </row>
    <row r="95">
      <c r="A95" s="20" t="inlineStr">
        <is>
          <t>영업권</t>
        </is>
      </c>
      <c r="C95" s="22" t="n">
        <v>49.452</v>
      </c>
      <c r="D95" s="22" t="n">
        <v>32.968</v>
      </c>
      <c r="E95" s="22" t="n">
        <v>285.903</v>
      </c>
      <c r="F95" s="22" t="n">
        <v>259.44</v>
      </c>
      <c r="G95" s="22" t="n">
        <v>249.462</v>
      </c>
      <c r="H95" s="22" t="n">
        <v>280.23</v>
      </c>
      <c r="I95" s="22" t="n">
        <v>214.293</v>
      </c>
      <c r="J95" s="22" t="n">
        <v>148.357</v>
      </c>
      <c r="K95" s="22" t="n">
        <v>82.42</v>
      </c>
      <c r="L95" s="22" t="n">
        <v>285.903</v>
      </c>
    </row>
    <row r="96">
      <c r="A96" s="20" t="inlineStr">
        <is>
          <t>기타</t>
        </is>
      </c>
      <c r="C96" s="22" t="n">
        <v>84.36</v>
      </c>
      <c r="D96" s="22" t="n">
        <v>84.011</v>
      </c>
      <c r="E96" s="22" t="n">
        <v>81.36</v>
      </c>
      <c r="F96" s="22" t="n">
        <v>76.729</v>
      </c>
      <c r="G96" s="22" t="n">
        <v>78.616</v>
      </c>
      <c r="H96" s="22" t="n">
        <v>32.776</v>
      </c>
      <c r="I96" s="22" t="n">
        <v>38.066</v>
      </c>
      <c r="J96" s="22" t="n">
        <v>109.504</v>
      </c>
      <c r="K96" s="22" t="n">
        <v>93.08199999999999</v>
      </c>
      <c r="L96" s="22" t="n">
        <v>81.36</v>
      </c>
    </row>
    <row r="97">
      <c r="A97" s="20" t="inlineStr">
        <is>
          <t>무형자산 합계</t>
        </is>
      </c>
      <c r="C97" s="22" t="n">
        <v>133.813</v>
      </c>
      <c r="D97" s="22" t="n">
        <v>116.979</v>
      </c>
      <c r="E97" s="22" t="n">
        <v>367.263</v>
      </c>
      <c r="F97" s="22" t="n">
        <v>336.17</v>
      </c>
      <c r="G97" s="22" t="n">
        <v>328.078</v>
      </c>
      <c r="H97" s="22" t="n">
        <v>313.006</v>
      </c>
      <c r="I97" s="22" t="n">
        <v>252.36</v>
      </c>
      <c r="J97" s="22" t="n">
        <v>257.861</v>
      </c>
      <c r="K97" s="22" t="n">
        <v>175.503</v>
      </c>
      <c r="L97" s="22" t="n">
        <v>367.263</v>
      </c>
    </row>
    <row r="98">
      <c r="A98" s="20" t="inlineStr">
        <is>
          <t>보증금</t>
        </is>
      </c>
      <c r="E98" s="22" t="n">
        <v>646.4400000000001</v>
      </c>
      <c r="H98" s="22" t="n">
        <v>220.063</v>
      </c>
      <c r="I98" s="22" t="n">
        <v>241.632</v>
      </c>
      <c r="J98" s="22" t="n">
        <v>365.822</v>
      </c>
      <c r="K98" s="22" t="n">
        <v>645.97</v>
      </c>
      <c r="L98" s="22" t="n">
        <v>646.4400000000001</v>
      </c>
    </row>
    <row r="99">
      <c r="A99" s="20" t="inlineStr">
        <is>
          <t>이연법인세자산</t>
        </is>
      </c>
      <c r="E99" s="22" t="n">
        <v>92.14100000000001</v>
      </c>
      <c r="H99" s="22" t="n">
        <v>75.357</v>
      </c>
      <c r="I99" s="22" t="n">
        <v>46.975</v>
      </c>
      <c r="J99" s="22" t="n">
        <v>84.333</v>
      </c>
      <c r="K99" s="22" t="n">
        <v>93.964</v>
      </c>
      <c r="L99" s="22" t="n">
        <v>92.14100000000001</v>
      </c>
    </row>
    <row r="100">
      <c r="A100" s="20" t="inlineStr">
        <is>
          <t>기타</t>
        </is>
      </c>
      <c r="E100" s="22" t="n">
        <v>44.184</v>
      </c>
      <c r="H100" s="22" t="n">
        <v>16.342</v>
      </c>
      <c r="I100" s="22" t="n">
        <v>22.08</v>
      </c>
      <c r="J100" s="22" t="n">
        <v>23.598</v>
      </c>
      <c r="K100" s="22" t="n">
        <v>18.279</v>
      </c>
      <c r="L100" s="22" t="n">
        <v>44.184</v>
      </c>
    </row>
    <row r="101">
      <c r="A101" s="20" t="inlineStr">
        <is>
          <t>대손충당금</t>
        </is>
      </c>
      <c r="E101" s="22" t="n">
        <v>-7.934</v>
      </c>
      <c r="H101" s="22" t="n">
        <v>0</v>
      </c>
      <c r="I101" s="22" t="n">
        <v>-7.934</v>
      </c>
      <c r="J101" s="22" t="n">
        <v>-7.934</v>
      </c>
      <c r="K101" s="22" t="n">
        <v>-7.934</v>
      </c>
      <c r="L101" s="22" t="n">
        <v>-7.934</v>
      </c>
    </row>
    <row r="102">
      <c r="A102" s="20" t="inlineStr">
        <is>
          <t>투자 및 기타자산</t>
        </is>
      </c>
      <c r="C102" s="22" t="n">
        <v>748.966</v>
      </c>
      <c r="D102" s="22" t="n">
        <v>748.809</v>
      </c>
      <c r="E102" s="22" t="n">
        <v>774.831</v>
      </c>
      <c r="F102" s="22" t="n">
        <v>804.525</v>
      </c>
      <c r="G102" s="22" t="n">
        <v>761.58</v>
      </c>
      <c r="H102" s="22" t="n">
        <v>311.763</v>
      </c>
      <c r="I102" s="22" t="n">
        <v>302.753</v>
      </c>
      <c r="J102" s="22" t="n">
        <v>465.819</v>
      </c>
      <c r="K102" s="22" t="n">
        <v>750.279</v>
      </c>
      <c r="L102" s="22" t="n">
        <v>774.831</v>
      </c>
    </row>
    <row r="103">
      <c r="A103" s="9" t="inlineStr">
        <is>
          <t>비유동자산 합계</t>
        </is>
      </c>
      <c r="C103" s="12" t="n">
        <v>1137.04</v>
      </c>
      <c r="D103" s="12" t="n">
        <v>1111.926</v>
      </c>
      <c r="E103" s="12" t="n">
        <v>1381.184</v>
      </c>
      <c r="F103" s="12" t="n">
        <v>1372.434</v>
      </c>
      <c r="G103" s="12" t="n">
        <v>1327.329</v>
      </c>
      <c r="H103" s="12" t="n">
        <v>747.633</v>
      </c>
      <c r="I103" s="12" t="n">
        <v>787.609</v>
      </c>
      <c r="J103" s="12" t="n">
        <v>940.146</v>
      </c>
      <c r="K103" s="12" t="n">
        <v>1197.553</v>
      </c>
      <c r="L103" s="12" t="n">
        <v>1381.184</v>
      </c>
    </row>
    <row r="104">
      <c r="A104" s="9" t="inlineStr">
        <is>
          <t>자산 합계</t>
        </is>
      </c>
      <c r="C104" s="12" t="n">
        <v>8977.237999999999</v>
      </c>
      <c r="D104" s="12" t="n">
        <v>8938.474</v>
      </c>
      <c r="E104" s="12" t="n">
        <v>9490.331</v>
      </c>
      <c r="F104" s="12" t="n">
        <v>9022.499</v>
      </c>
      <c r="G104" s="12" t="n">
        <v>9306.555</v>
      </c>
      <c r="H104" s="12" t="n">
        <v>7555.86</v>
      </c>
      <c r="I104" s="12" t="n">
        <v>7779.475</v>
      </c>
      <c r="J104" s="12" t="n">
        <v>8649.454</v>
      </c>
      <c r="K104" s="12" t="n">
        <v>9157.714</v>
      </c>
      <c r="L104" s="12" t="n">
        <v>9490.331</v>
      </c>
    </row>
    <row r="105">
      <c r="A105" s="20" t="inlineStr">
        <is>
          <t>매입채무</t>
        </is>
      </c>
      <c r="C105" s="22" t="n">
        <v>140.674</v>
      </c>
      <c r="D105" s="22" t="n">
        <v>228.172</v>
      </c>
      <c r="E105" s="22" t="n">
        <v>367.895</v>
      </c>
      <c r="F105" s="22" t="n">
        <v>188.821</v>
      </c>
      <c r="G105" s="22" t="n">
        <v>233.603</v>
      </c>
      <c r="H105" s="22" t="n">
        <v>160.308</v>
      </c>
      <c r="I105" s="22" t="n">
        <v>394.863</v>
      </c>
      <c r="J105" s="22" t="n">
        <v>66.54000000000001</v>
      </c>
      <c r="K105" s="22" t="n">
        <v>182.318</v>
      </c>
      <c r="L105" s="22" t="n">
        <v>367.895</v>
      </c>
    </row>
    <row r="106">
      <c r="A106" s="20" t="inlineStr">
        <is>
          <t>미지급금</t>
        </is>
      </c>
      <c r="C106" s="22" t="n">
        <v>522.129</v>
      </c>
      <c r="D106" s="22" t="n">
        <v>625.769</v>
      </c>
      <c r="E106" s="22" t="n">
        <v>631.9640000000001</v>
      </c>
      <c r="F106" s="22" t="n">
        <v>740.97</v>
      </c>
      <c r="G106" s="22" t="n">
        <v>648.902</v>
      </c>
      <c r="H106" s="22" t="n">
        <v>328.504</v>
      </c>
      <c r="I106" s="22" t="n">
        <v>821.954</v>
      </c>
      <c r="J106" s="22" t="n">
        <v>693.05</v>
      </c>
      <c r="K106" s="22" t="n">
        <v>460.111</v>
      </c>
      <c r="L106" s="22" t="n">
        <v>631.9640000000001</v>
      </c>
    </row>
    <row r="107">
      <c r="A107" s="20" t="inlineStr">
        <is>
          <t>리스부채</t>
        </is>
      </c>
      <c r="H107" s="22" t="n">
        <v>16.039</v>
      </c>
      <c r="I107" s="22" t="n">
        <v>15.237</v>
      </c>
      <c r="J107" s="22" t="n">
        <v>14.071</v>
      </c>
      <c r="K107" s="22" t="n">
        <v>0</v>
      </c>
    </row>
    <row r="108">
      <c r="A108" s="20" t="inlineStr">
        <is>
          <t>미지급법인세</t>
        </is>
      </c>
      <c r="C108" s="22" t="n">
        <v>178.881</v>
      </c>
      <c r="D108" s="22" t="n">
        <v>16.334</v>
      </c>
      <c r="E108" s="22" t="n">
        <v>109.822</v>
      </c>
      <c r="F108" s="22" t="n">
        <v>14.46</v>
      </c>
      <c r="G108" s="22" t="n">
        <v>133.15</v>
      </c>
      <c r="H108" s="22" t="n">
        <v>453.491</v>
      </c>
      <c r="I108" s="22" t="n">
        <v>3.39</v>
      </c>
      <c r="J108" s="22" t="n">
        <v>480.107</v>
      </c>
      <c r="K108" s="22" t="n">
        <v>233.55</v>
      </c>
      <c r="L108" s="22" t="n">
        <v>109.822</v>
      </c>
    </row>
    <row r="109">
      <c r="A109" s="20" t="inlineStr">
        <is>
          <t>판매촉진 충당금</t>
        </is>
      </c>
      <c r="H109" s="22" t="n">
        <v>34.699</v>
      </c>
      <c r="I109" s="22" t="n">
        <v>0</v>
      </c>
    </row>
    <row r="110">
      <c r="A110" s="20" t="inlineStr">
        <is>
          <t>주주우대 충당금</t>
        </is>
      </c>
      <c r="C110" s="22" t="n">
        <v>5.705</v>
      </c>
      <c r="D110" s="22" t="n">
        <v>4.261</v>
      </c>
      <c r="E110" s="22" t="n">
        <v>118.693</v>
      </c>
      <c r="F110" s="22" t="n">
        <v>118.693</v>
      </c>
      <c r="G110" s="22" t="n">
        <v>8.471</v>
      </c>
      <c r="H110" s="22" t="n">
        <v>57.913</v>
      </c>
      <c r="I110" s="22" t="n">
        <v>51.492</v>
      </c>
      <c r="J110" s="22" t="n">
        <v>72.125</v>
      </c>
      <c r="K110" s="22" t="n">
        <v>92.55800000000001</v>
      </c>
      <c r="L110" s="22" t="n">
        <v>118.693</v>
      </c>
    </row>
    <row r="111">
      <c r="A111" s="20" t="inlineStr">
        <is>
          <t>반품조정 충당금</t>
        </is>
      </c>
      <c r="H111" s="22" t="n">
        <v>10.666</v>
      </c>
      <c r="I111" s="22" t="n">
        <v>0</v>
      </c>
    </row>
    <row r="112">
      <c r="A112" s="20" t="inlineStr">
        <is>
          <t>이전손실충당금</t>
        </is>
      </c>
      <c r="H112" s="22" t="n">
        <v>4.979</v>
      </c>
      <c r="I112" s="22" t="n">
        <v>0</v>
      </c>
    </row>
    <row r="113">
      <c r="A113" s="20" t="inlineStr">
        <is>
          <t>자산복구부채</t>
        </is>
      </c>
      <c r="H113" s="22" t="n">
        <v>15</v>
      </c>
      <c r="I113" s="22" t="n">
        <v>2</v>
      </c>
      <c r="J113" s="22" t="n">
        <v>0</v>
      </c>
    </row>
    <row r="114">
      <c r="A114" s="20" t="inlineStr">
        <is>
          <t>기타</t>
        </is>
      </c>
      <c r="C114" s="22" t="n">
        <v>137.043</v>
      </c>
      <c r="D114" s="22" t="n">
        <v>136.837</v>
      </c>
      <c r="E114" s="22" t="n">
        <v>157.034</v>
      </c>
      <c r="F114" s="22" t="n">
        <v>178.872</v>
      </c>
      <c r="G114" s="22" t="n">
        <v>172.442</v>
      </c>
      <c r="H114" s="22" t="n">
        <v>154.12</v>
      </c>
      <c r="I114" s="22" t="n">
        <v>86.755</v>
      </c>
      <c r="J114" s="22" t="n">
        <v>190.102</v>
      </c>
      <c r="K114" s="22" t="n">
        <v>266.169</v>
      </c>
      <c r="L114" s="22" t="n">
        <v>157.034</v>
      </c>
    </row>
    <row r="115">
      <c r="A115" s="9" t="inlineStr">
        <is>
          <t>유동부채 합계</t>
        </is>
      </c>
      <c r="C115" s="12" t="n">
        <v>984.4349999999999</v>
      </c>
      <c r="D115" s="12" t="n">
        <v>1011.375</v>
      </c>
      <c r="E115" s="12" t="n">
        <v>1385.41</v>
      </c>
      <c r="F115" s="12" t="n">
        <v>1241.818</v>
      </c>
      <c r="G115" s="12" t="n">
        <v>1196.57</v>
      </c>
      <c r="H115" s="12" t="n">
        <v>1235.723</v>
      </c>
      <c r="I115" s="12" t="n">
        <v>1375.693</v>
      </c>
      <c r="J115" s="12" t="n">
        <v>1515.998</v>
      </c>
      <c r="K115" s="12" t="n">
        <v>1234.707</v>
      </c>
      <c r="L115" s="12" t="n">
        <v>1385.41</v>
      </c>
    </row>
    <row r="116">
      <c r="A116" s="20" t="inlineStr">
        <is>
          <t>리스부채</t>
        </is>
      </c>
      <c r="H116" s="22" t="n">
        <v>37.765</v>
      </c>
      <c r="I116" s="22" t="n">
        <v>22.527</v>
      </c>
      <c r="J116" s="22" t="n">
        <v>8.455</v>
      </c>
      <c r="K116" s="22" t="n">
        <v>0</v>
      </c>
    </row>
    <row r="117">
      <c r="A117" s="20" t="inlineStr">
        <is>
          <t>이연법인세부채</t>
        </is>
      </c>
      <c r="H117" s="22" t="n">
        <v>2.231</v>
      </c>
      <c r="I117" s="22" t="n">
        <v>0.773</v>
      </c>
      <c r="J117" s="22" t="n">
        <v>0</v>
      </c>
      <c r="K117" s="22" t="n">
        <v>0</v>
      </c>
    </row>
    <row r="118">
      <c r="A118" s="20" t="inlineStr">
        <is>
          <t>임원 퇴직위로 충당금</t>
        </is>
      </c>
      <c r="H118" s="22" t="n">
        <v>8.135</v>
      </c>
      <c r="I118" s="22" t="n">
        <v>3.712</v>
      </c>
      <c r="J118" s="22" t="n">
        <v>4.922</v>
      </c>
      <c r="K118" s="22" t="n">
        <v>0</v>
      </c>
    </row>
    <row r="119">
      <c r="A119" s="20" t="inlineStr">
        <is>
          <t>퇴직급여부채</t>
        </is>
      </c>
      <c r="H119" s="22" t="n">
        <v>11.765</v>
      </c>
      <c r="I119" s="22" t="n">
        <v>15.035</v>
      </c>
      <c r="J119" s="22" t="n">
        <v>16.192</v>
      </c>
      <c r="K119" s="22" t="n">
        <v>0</v>
      </c>
    </row>
    <row r="120">
      <c r="A120" s="20" t="inlineStr">
        <is>
          <t>자산복구부채</t>
        </is>
      </c>
      <c r="C120" s="22" t="n">
        <v>56.763</v>
      </c>
      <c r="D120" s="22" t="n">
        <v>56.943</v>
      </c>
      <c r="E120" s="22" t="n">
        <v>57.122</v>
      </c>
      <c r="F120" s="22" t="n">
        <v>57.303</v>
      </c>
      <c r="G120" s="22" t="n">
        <v>57.483</v>
      </c>
      <c r="H120" s="22" t="n">
        <v>86.765</v>
      </c>
      <c r="I120" s="22" t="n">
        <v>152.603</v>
      </c>
      <c r="J120" s="22" t="n">
        <v>86.765</v>
      </c>
      <c r="K120" s="22" t="n">
        <v>56.407</v>
      </c>
      <c r="L120" s="22" t="n">
        <v>57.122</v>
      </c>
    </row>
    <row r="121">
      <c r="A121" s="20" t="inlineStr">
        <is>
          <t>기타</t>
        </is>
      </c>
      <c r="H121" s="22" t="n">
        <v>27.356</v>
      </c>
      <c r="I121" s="22" t="n">
        <v>21.837</v>
      </c>
      <c r="J121" s="22" t="n">
        <v>20.378</v>
      </c>
      <c r="K121" s="22" t="n">
        <v>0</v>
      </c>
    </row>
    <row r="122">
      <c r="A122" s="9" t="inlineStr">
        <is>
          <t>비유동부채 합계</t>
        </is>
      </c>
      <c r="C122" s="12" t="n">
        <v>56.763</v>
      </c>
      <c r="D122" s="12" t="n">
        <v>56.943</v>
      </c>
      <c r="E122" s="12" t="n">
        <v>57.122</v>
      </c>
      <c r="F122" s="12" t="n">
        <v>57.303</v>
      </c>
      <c r="G122" s="12" t="n">
        <v>57.483</v>
      </c>
      <c r="H122" s="12" t="n">
        <v>174.018</v>
      </c>
      <c r="I122" s="12" t="n">
        <v>216.489</v>
      </c>
      <c r="J122" s="12" t="n">
        <v>136.714</v>
      </c>
      <c r="K122" s="12" t="n">
        <v>56.407</v>
      </c>
      <c r="L122" s="12" t="n">
        <v>57.122</v>
      </c>
    </row>
    <row r="123">
      <c r="A123" s="9" t="inlineStr">
        <is>
          <t>부채 합계</t>
        </is>
      </c>
      <c r="C123" s="12" t="n">
        <v>1041.199</v>
      </c>
      <c r="D123" s="12" t="n">
        <v>1068.319</v>
      </c>
      <c r="E123" s="12" t="n">
        <v>1442.533</v>
      </c>
      <c r="F123" s="12" t="n">
        <v>1299.121</v>
      </c>
      <c r="G123" s="12" t="n">
        <v>1254.054</v>
      </c>
      <c r="H123" s="12" t="n">
        <v>1409.742</v>
      </c>
      <c r="I123" s="12" t="n">
        <v>1592.183</v>
      </c>
      <c r="J123" s="12" t="n">
        <v>1652.713</v>
      </c>
      <c r="K123" s="12" t="n">
        <v>1291.115</v>
      </c>
      <c r="L123" s="12" t="n">
        <v>1442.533</v>
      </c>
    </row>
    <row r="124">
      <c r="A124" s="20" t="inlineStr">
        <is>
          <t>자본금</t>
        </is>
      </c>
      <c r="C124" s="22" t="n">
        <v>273.992</v>
      </c>
      <c r="D124" s="22" t="n">
        <v>273.992</v>
      </c>
      <c r="E124" s="22" t="n">
        <v>273.992</v>
      </c>
      <c r="F124" s="22" t="n">
        <v>273.992</v>
      </c>
      <c r="G124" s="22" t="n">
        <v>273.992</v>
      </c>
      <c r="H124" s="22" t="n">
        <v>273.992</v>
      </c>
      <c r="I124" s="22" t="n">
        <v>273.992</v>
      </c>
      <c r="J124" s="22" t="n">
        <v>273.992</v>
      </c>
      <c r="K124" s="22" t="n">
        <v>273.992</v>
      </c>
      <c r="L124" s="22" t="n">
        <v>273.992</v>
      </c>
    </row>
    <row r="125">
      <c r="A125" s="20" t="inlineStr">
        <is>
          <t>자본잉여금</t>
        </is>
      </c>
      <c r="C125" s="22" t="n">
        <v>253.992</v>
      </c>
      <c r="D125" s="22" t="n">
        <v>253.992</v>
      </c>
      <c r="E125" s="22" t="n">
        <v>253.992</v>
      </c>
      <c r="F125" s="22" t="n">
        <v>257.56</v>
      </c>
      <c r="G125" s="22" t="n">
        <v>253.992</v>
      </c>
      <c r="H125" s="22" t="n">
        <v>257.638</v>
      </c>
      <c r="I125" s="22" t="n">
        <v>255.901</v>
      </c>
      <c r="J125" s="22" t="n">
        <v>263.154</v>
      </c>
      <c r="K125" s="22" t="n">
        <v>261.196</v>
      </c>
      <c r="L125" s="22" t="n">
        <v>253.992</v>
      </c>
    </row>
    <row r="126">
      <c r="A126" s="20" t="inlineStr">
        <is>
          <t>이익잉여금</t>
        </is>
      </c>
      <c r="C126" s="22" t="n">
        <v>7739.575</v>
      </c>
      <c r="D126" s="22" t="n">
        <v>7673.692</v>
      </c>
      <c r="E126" s="22" t="n">
        <v>7851.334</v>
      </c>
      <c r="F126" s="22" t="n">
        <v>7523.347</v>
      </c>
      <c r="G126" s="22" t="n">
        <v>7805.618</v>
      </c>
      <c r="H126" s="22" t="n">
        <v>6045.466</v>
      </c>
      <c r="I126" s="22" t="n">
        <v>6074.934</v>
      </c>
      <c r="J126" s="22" t="n">
        <v>6860.943</v>
      </c>
      <c r="K126" s="22" t="n">
        <v>7704.912</v>
      </c>
      <c r="L126" s="22" t="n">
        <v>7851.334</v>
      </c>
    </row>
    <row r="127">
      <c r="A127" s="20" t="inlineStr">
        <is>
          <t>자기주식</t>
        </is>
      </c>
      <c r="C127" s="22" t="n">
        <v>-331.521</v>
      </c>
      <c r="D127" s="22" t="n">
        <v>-331.521</v>
      </c>
      <c r="E127" s="22" t="n">
        <v>-331.521</v>
      </c>
      <c r="F127" s="22" t="n">
        <v>-331.521</v>
      </c>
      <c r="G127" s="22" t="n">
        <v>-281.102</v>
      </c>
      <c r="H127" s="22" t="n">
        <v>-430.978</v>
      </c>
      <c r="I127" s="22" t="n">
        <v>-417.536</v>
      </c>
      <c r="J127" s="22" t="n">
        <v>-401.349</v>
      </c>
      <c r="K127" s="22" t="n">
        <v>-373.502</v>
      </c>
      <c r="L127" s="22" t="n">
        <v>-331.521</v>
      </c>
    </row>
    <row r="128">
      <c r="A128" s="9" t="inlineStr">
        <is>
          <t>주주자본 합계</t>
        </is>
      </c>
      <c r="C128" s="12" t="n">
        <v>7936.039</v>
      </c>
      <c r="D128" s="12" t="n">
        <v>7870.155</v>
      </c>
      <c r="E128" s="12" t="n">
        <v>8047.798</v>
      </c>
      <c r="F128" s="12" t="n">
        <v>7723.378</v>
      </c>
      <c r="G128" s="12" t="n">
        <v>8052.501</v>
      </c>
      <c r="H128" s="12" t="n">
        <v>6146.118</v>
      </c>
      <c r="I128" s="12" t="n">
        <v>6187.291</v>
      </c>
      <c r="J128" s="12" t="n">
        <v>6996.741</v>
      </c>
      <c r="K128" s="12" t="n">
        <v>7866.599</v>
      </c>
      <c r="L128" s="12" t="n">
        <v>8047.798</v>
      </c>
    </row>
    <row r="129">
      <c r="A129" s="20" t="inlineStr">
        <is>
          <t>비지배지분</t>
        </is>
      </c>
      <c r="C129" s="22" t="n">
        <v>0</v>
      </c>
      <c r="D129" s="22" t="n">
        <v>0</v>
      </c>
      <c r="E129" s="22" t="n">
        <v>0</v>
      </c>
      <c r="H129" s="22" t="n">
        <v>0</v>
      </c>
      <c r="I129" s="22" t="n">
        <v>0</v>
      </c>
      <c r="J129" s="22" t="n">
        <v>0</v>
      </c>
      <c r="K129" s="22" t="n">
        <v>0</v>
      </c>
      <c r="L129" s="22" t="n">
        <v>0</v>
      </c>
    </row>
    <row r="130">
      <c r="A130" s="9" t="inlineStr">
        <is>
          <t>순자산 합계</t>
        </is>
      </c>
      <c r="C130" s="12" t="n">
        <v>7936.039</v>
      </c>
      <c r="D130" s="12" t="n">
        <v>7870.155</v>
      </c>
      <c r="E130" s="12" t="n">
        <v>8047.798</v>
      </c>
      <c r="F130" s="12" t="n">
        <v>7723.378</v>
      </c>
      <c r="G130" s="12" t="n">
        <v>8052.501</v>
      </c>
      <c r="H130" s="12" t="n">
        <v>6146.118</v>
      </c>
      <c r="I130" s="12" t="n">
        <v>6187.291</v>
      </c>
      <c r="J130" s="12" t="n">
        <v>6996.741</v>
      </c>
      <c r="K130" s="12" t="n">
        <v>7866.599</v>
      </c>
      <c r="L130" s="12" t="n">
        <v>8047.798</v>
      </c>
    </row>
    <row r="131">
      <c r="A131" s="9" t="inlineStr">
        <is>
          <t>부채·순자산 합계</t>
        </is>
      </c>
      <c r="C131" s="12" t="n">
        <v>8977.237999999999</v>
      </c>
      <c r="D131" s="12" t="n">
        <v>8938.474</v>
      </c>
      <c r="E131" s="12" t="n">
        <v>9490.331</v>
      </c>
      <c r="F131" s="12" t="n">
        <v>9022.499</v>
      </c>
      <c r="G131" s="12" t="n">
        <v>9306.555</v>
      </c>
      <c r="H131" s="12" t="n">
        <v>7555.86</v>
      </c>
      <c r="I131" s="12" t="n">
        <v>7779.475</v>
      </c>
      <c r="J131" s="12" t="n">
        <v>8649.454</v>
      </c>
      <c r="K131" s="12" t="n">
        <v>9157.714</v>
      </c>
      <c r="L131" s="12" t="n">
        <v>9490.331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44" customWidth="1" min="7" max="7"/>
  </cols>
  <sheetData>
    <row r="1">
      <c r="A1" s="52" t="inlineStr">
        <is>
          <t>기타노타츠진코퍼레이션 섹터·사업 데이터</t>
        </is>
      </c>
    </row>
    <row r="2">
      <c r="A2" s="53" t="inlineStr">
        <is>
          <t>2단계 보고서를 만들 때 모은 자료 · 월차 · 출처는 맨 오른쪽</t>
        </is>
      </c>
    </row>
    <row r="4">
      <c r="A4" s="54" t="inlineStr">
        <is>
          <t>this results · 2Q alone</t>
        </is>
      </c>
      <c r="B4" s="54" t="n"/>
      <c r="C4" s="54" t="n"/>
      <c r="D4" s="54" t="n"/>
      <c r="E4" s="54" t="n"/>
      <c r="F4" s="54" t="n"/>
      <c r="G4" s="54" t="n"/>
    </row>
    <row r="5">
      <c r="A5" s="55" t="inlineStr">
        <is>
          <t>항목</t>
        </is>
      </c>
      <c r="B5" s="55" t="inlineStr">
        <is>
          <t>값</t>
        </is>
      </c>
      <c r="G5" s="55" t="inlineStr">
        <is>
          <t>출처</t>
        </is>
      </c>
    </row>
    <row r="6">
      <c r="A6" s="56" t="inlineStr">
        <is>
          <t>매출</t>
        </is>
      </c>
      <c r="B6" s="57" t="n">
        <v>38.8</v>
      </c>
      <c r="G6" s="58" t="inlineStr">
        <is>
          <t>2단계 보고서 자료(회사 설명회 자료·공시)</t>
        </is>
      </c>
    </row>
    <row r="7">
      <c r="A7" s="56" t="inlineStr">
        <is>
          <t>gp</t>
        </is>
      </c>
      <c r="B7" s="57" t="n">
        <v>27.1</v>
      </c>
    </row>
    <row r="8">
      <c r="A8" s="56" t="inlineStr">
        <is>
          <t>sga</t>
        </is>
      </c>
      <c r="B8" s="57" t="n">
        <v>22.6</v>
      </c>
    </row>
    <row r="9">
      <c r="A9" s="56" t="inlineStr">
        <is>
          <t>영업이익</t>
        </is>
      </c>
      <c r="B9" s="57" t="n">
        <v>4.5</v>
      </c>
    </row>
    <row r="10">
      <c r="A10" s="56" t="inlineStr">
        <is>
          <t>pbt</t>
        </is>
      </c>
      <c r="B10" s="57" t="n">
        <v>4.5</v>
      </c>
    </row>
    <row r="11">
      <c r="A11" s="56" t="inlineStr">
        <is>
          <t>순이익</t>
        </is>
      </c>
      <c r="B11" s="57" t="n">
        <v>3.1</v>
      </c>
    </row>
    <row r="12">
      <c r="A12" s="56" t="inlineStr">
        <is>
          <t>YoY 매출 %</t>
        </is>
      </c>
      <c r="B12" s="57" t="n">
        <v>46.3</v>
      </c>
    </row>
    <row r="13">
      <c r="A13" s="56" t="inlineStr">
        <is>
          <t>YoY 영업이익 %</t>
        </is>
      </c>
      <c r="B13" s="57" t="n">
        <v>70.59999999999999</v>
      </c>
    </row>
    <row r="15">
      <c r="A15" s="54" t="inlineStr">
        <is>
          <t>this results · 상반기</t>
        </is>
      </c>
      <c r="B15" s="54" t="n"/>
      <c r="C15" s="54" t="n"/>
      <c r="D15" s="54" t="n"/>
      <c r="E15" s="54" t="n"/>
      <c r="F15" s="54" t="n"/>
      <c r="G15" s="54" t="n"/>
    </row>
    <row r="16">
      <c r="A16" s="55" t="inlineStr">
        <is>
          <t>항목</t>
        </is>
      </c>
      <c r="B16" s="55" t="inlineStr">
        <is>
          <t>값</t>
        </is>
      </c>
      <c r="G16" s="55" t="inlineStr">
        <is>
          <t>출처</t>
        </is>
      </c>
    </row>
    <row r="17">
      <c r="A17" s="56" t="inlineStr">
        <is>
          <t>매출</t>
        </is>
      </c>
      <c r="B17" s="57" t="n">
        <v>70.87</v>
      </c>
      <c r="G17" s="58" t="inlineStr">
        <is>
          <t>2단계 보고서 자료(회사 설명회 자료·공시)</t>
        </is>
      </c>
    </row>
    <row r="18">
      <c r="A18" s="56" t="inlineStr">
        <is>
          <t>매출 YoY</t>
        </is>
      </c>
      <c r="B18" s="57" t="n">
        <v>35.1</v>
      </c>
    </row>
    <row r="19">
      <c r="A19" s="56" t="inlineStr">
        <is>
          <t>영업이익</t>
        </is>
      </c>
      <c r="B19" s="57" t="n">
        <v>3.5</v>
      </c>
    </row>
    <row r="20">
      <c r="A20" s="56" t="inlineStr">
        <is>
          <t>영업이익 YoY</t>
        </is>
      </c>
      <c r="B20" s="57" t="n">
        <v>-30.7</v>
      </c>
    </row>
    <row r="21">
      <c r="A21" s="56" t="inlineStr">
        <is>
          <t>ord</t>
        </is>
      </c>
      <c r="B21" s="57" t="n">
        <v>3.71</v>
      </c>
    </row>
    <row r="22">
      <c r="A22" s="56" t="inlineStr">
        <is>
          <t>ord YoY</t>
        </is>
      </c>
      <c r="B22" s="57" t="n">
        <v>-28.6</v>
      </c>
    </row>
    <row r="23">
      <c r="A23" s="56" t="inlineStr">
        <is>
          <t>순이익</t>
        </is>
      </c>
      <c r="B23" s="57" t="n">
        <v>2.3</v>
      </c>
    </row>
    <row r="24">
      <c r="A24" s="56" t="inlineStr">
        <is>
          <t>순이익 YoY</t>
        </is>
      </c>
      <c r="B24" s="57" t="n">
        <v>-34.9</v>
      </c>
    </row>
    <row r="25">
      <c r="A25" s="56" t="inlineStr">
        <is>
          <t>EPS</t>
        </is>
      </c>
      <c r="B25" s="57" t="n">
        <v>1.65</v>
      </c>
    </row>
    <row r="27">
      <c r="A27" s="54" t="inlineStr">
        <is>
          <t>this results · 가이던스 FY2027</t>
        </is>
      </c>
      <c r="B27" s="54" t="n"/>
      <c r="C27" s="54" t="n"/>
      <c r="D27" s="54" t="n"/>
      <c r="E27" s="54" t="n"/>
      <c r="F27" s="54" t="n"/>
      <c r="G27" s="54" t="n"/>
    </row>
    <row r="28">
      <c r="A28" s="55" t="inlineStr">
        <is>
          <t>항목</t>
        </is>
      </c>
      <c r="B28" s="55" t="inlineStr">
        <is>
          <t>값</t>
        </is>
      </c>
      <c r="G28" s="55" t="inlineStr">
        <is>
          <t>출처</t>
        </is>
      </c>
    </row>
    <row r="29">
      <c r="A29" s="56" t="inlineStr">
        <is>
          <t>매출</t>
        </is>
      </c>
      <c r="B29" s="57" t="n">
        <v>159.62</v>
      </c>
      <c r="G29" s="58" t="inlineStr">
        <is>
          <t>2단계 보고서 자료(회사 설명회 자료·공시)</t>
        </is>
      </c>
    </row>
    <row r="30">
      <c r="A30" s="56" t="inlineStr">
        <is>
          <t>매출 YoY</t>
        </is>
      </c>
      <c r="B30" s="57" t="n">
        <v>42.4</v>
      </c>
    </row>
    <row r="31">
      <c r="A31" s="56" t="inlineStr">
        <is>
          <t>영업이익</t>
        </is>
      </c>
      <c r="B31" s="57" t="n">
        <v>10.59</v>
      </c>
    </row>
    <row r="32">
      <c r="A32" s="56" t="inlineStr">
        <is>
          <t>영업이익 YoY</t>
        </is>
      </c>
      <c r="B32" s="57" t="n">
        <v>5.9</v>
      </c>
    </row>
    <row r="33">
      <c r="A33" s="56" t="inlineStr">
        <is>
          <t>ord</t>
        </is>
      </c>
      <c r="B33" s="57" t="n">
        <v>10.8</v>
      </c>
    </row>
    <row r="34">
      <c r="A34" s="56" t="inlineStr">
        <is>
          <t>순이익</t>
        </is>
      </c>
      <c r="B34" s="57" t="n">
        <v>7.34</v>
      </c>
    </row>
    <row r="35">
      <c r="A35" s="56" t="inlineStr">
        <is>
          <t>EPS</t>
        </is>
      </c>
      <c r="B35" s="57" t="n">
        <v>5.26</v>
      </c>
    </row>
    <row r="36">
      <c r="A36" s="56" t="inlineStr">
        <is>
          <t>dps</t>
        </is>
      </c>
      <c r="B36" s="57" t="n">
        <v>3.5</v>
      </c>
    </row>
    <row r="38">
      <c r="A38" s="54" t="inlineStr">
        <is>
          <t>this results · 하반기 implied</t>
        </is>
      </c>
      <c r="B38" s="54" t="n"/>
      <c r="C38" s="54" t="n"/>
      <c r="D38" s="54" t="n"/>
      <c r="E38" s="54" t="n"/>
      <c r="F38" s="54" t="n"/>
      <c r="G38" s="54" t="n"/>
    </row>
    <row r="39">
      <c r="A39" s="55" t="inlineStr">
        <is>
          <t>항목</t>
        </is>
      </c>
      <c r="B39" s="55" t="inlineStr">
        <is>
          <t>값</t>
        </is>
      </c>
      <c r="G39" s="55" t="inlineStr">
        <is>
          <t>출처</t>
        </is>
      </c>
    </row>
    <row r="40">
      <c r="A40" s="56" t="inlineStr">
        <is>
          <t>매출</t>
        </is>
      </c>
      <c r="B40" s="57" t="n">
        <v>88.75</v>
      </c>
      <c r="G40" s="58" t="inlineStr">
        <is>
          <t>2단계 보고서 자료(회사 설명회 자료·공시)</t>
        </is>
      </c>
    </row>
    <row r="41">
      <c r="A41" s="56" t="inlineStr">
        <is>
          <t>영업이익</t>
        </is>
      </c>
      <c r="B41" s="57" t="n">
        <v>7.09</v>
      </c>
    </row>
    <row r="42">
      <c r="A42" s="56" t="inlineStr">
        <is>
          <t>ord</t>
        </is>
      </c>
      <c r="B42" s="57" t="n">
        <v>7.09</v>
      </c>
    </row>
    <row r="43">
      <c r="A43" s="56" t="inlineStr">
        <is>
          <t>순이익</t>
        </is>
      </c>
      <c r="B43" s="57" t="n">
        <v>5.04</v>
      </c>
    </row>
    <row r="45">
      <c r="A45" s="54" t="inlineStr">
        <is>
          <t>this results · standalone vs 계획</t>
        </is>
      </c>
      <c r="B45" s="54" t="n"/>
      <c r="C45" s="54" t="n"/>
      <c r="D45" s="54" t="n"/>
      <c r="E45" s="54" t="n"/>
      <c r="F45" s="54" t="n"/>
      <c r="G45" s="54" t="n"/>
    </row>
    <row r="46">
      <c r="A46" s="55" t="inlineStr">
        <is>
          <t>항목</t>
        </is>
      </c>
      <c r="B46" s="55" t="inlineStr">
        <is>
          <t>값</t>
        </is>
      </c>
      <c r="G46" s="55" t="inlineStr">
        <is>
          <t>출처</t>
        </is>
      </c>
    </row>
    <row r="47">
      <c r="A47" s="56" t="inlineStr">
        <is>
          <t>매출 계획</t>
        </is>
      </c>
      <c r="B47" s="57" t="n">
        <v>6212.5</v>
      </c>
      <c r="G47" s="58" t="inlineStr">
        <is>
          <t>2단계 보고서 자료(회사 설명회 자료·공시)</t>
        </is>
      </c>
    </row>
    <row r="48">
      <c r="A48" s="56" t="inlineStr">
        <is>
          <t>매출 act</t>
        </is>
      </c>
      <c r="B48" s="57" t="n">
        <v>6102.3</v>
      </c>
    </row>
    <row r="49">
      <c r="A49" s="56" t="inlineStr">
        <is>
          <t>gp 계획</t>
        </is>
      </c>
      <c r="B49" s="57" t="n">
        <v>4730.4</v>
      </c>
    </row>
    <row r="50">
      <c r="A50" s="56" t="inlineStr">
        <is>
          <t>gp act</t>
        </is>
      </c>
      <c r="B50" s="57" t="n">
        <v>4684.9</v>
      </c>
    </row>
    <row r="51">
      <c r="A51" s="56" t="inlineStr">
        <is>
          <t>promo 계획</t>
        </is>
      </c>
      <c r="B51" s="57" t="n">
        <v>2888.9</v>
      </c>
    </row>
    <row r="52">
      <c r="A52" s="56" t="inlineStr">
        <is>
          <t>promo act</t>
        </is>
      </c>
      <c r="B52" s="57" t="n">
        <v>2802.9</v>
      </c>
    </row>
    <row r="53">
      <c r="A53" s="56" t="inlineStr">
        <is>
          <t>영업이익 계획</t>
        </is>
      </c>
      <c r="B53" s="57" t="n">
        <v>297.4</v>
      </c>
    </row>
    <row r="54">
      <c r="A54" s="56" t="inlineStr">
        <is>
          <t>영업이익 act</t>
        </is>
      </c>
      <c r="B54" s="57" t="n">
        <v>321</v>
      </c>
    </row>
    <row r="56">
      <c r="A56" s="54" t="inlineStr">
        <is>
          <t>this results · standalone YoY</t>
        </is>
      </c>
      <c r="B56" s="54" t="n"/>
      <c r="C56" s="54" t="n"/>
      <c r="D56" s="54" t="n"/>
      <c r="E56" s="54" t="n"/>
      <c r="F56" s="54" t="n"/>
      <c r="G56" s="54" t="n"/>
    </row>
    <row r="57">
      <c r="A57" s="55" t="inlineStr">
        <is>
          <t>항목</t>
        </is>
      </c>
      <c r="B57" s="55" t="inlineStr">
        <is>
          <t>값</t>
        </is>
      </c>
      <c r="G57" s="55" t="inlineStr">
        <is>
          <t>출처</t>
        </is>
      </c>
    </row>
    <row r="58">
      <c r="A58" s="56" t="inlineStr">
        <is>
          <t>매출 직전</t>
        </is>
      </c>
      <c r="B58" s="57" t="n">
        <v>4825.5</v>
      </c>
      <c r="G58" s="58" t="inlineStr">
        <is>
          <t>2단계 보고서 자료(회사 설명회 자료·공시)</t>
        </is>
      </c>
    </row>
    <row r="59">
      <c r="A59" s="56" t="inlineStr">
        <is>
          <t>매출</t>
        </is>
      </c>
      <c r="B59" s="57" t="n">
        <v>6102.3</v>
      </c>
    </row>
    <row r="60">
      <c r="A60" s="56" t="inlineStr">
        <is>
          <t>promo 직전</t>
        </is>
      </c>
      <c r="B60" s="57" t="n">
        <v>1892.4</v>
      </c>
    </row>
    <row r="61">
      <c r="A61" s="56" t="inlineStr">
        <is>
          <t>promo</t>
        </is>
      </c>
      <c r="B61" s="57" t="n">
        <v>2802.9</v>
      </c>
    </row>
    <row r="62">
      <c r="A62" s="56" t="inlineStr">
        <is>
          <t>promo YoY %</t>
        </is>
      </c>
      <c r="B62" s="57" t="n">
        <v>48.1</v>
      </c>
    </row>
    <row r="63">
      <c r="A63" s="56" t="inlineStr">
        <is>
          <t>영업이익 직전</t>
        </is>
      </c>
      <c r="B63" s="57" t="n">
        <v>503.9</v>
      </c>
    </row>
    <row r="64">
      <c r="A64" s="56" t="inlineStr">
        <is>
          <t>영업이익</t>
        </is>
      </c>
      <c r="B64" s="57" t="n">
        <v>321</v>
      </c>
    </row>
    <row r="65">
      <c r="A65" s="56" t="inlineStr">
        <is>
          <t>영업이익 YoY %</t>
        </is>
      </c>
      <c r="B65" s="57" t="n">
        <v>-36.3</v>
      </c>
    </row>
    <row r="67">
      <c r="A67" s="54" t="inlineStr">
        <is>
          <t>this results · bs 상반기 end mil</t>
        </is>
      </c>
      <c r="B67" s="54" t="n"/>
      <c r="C67" s="54" t="n"/>
      <c r="D67" s="54" t="n"/>
      <c r="E67" s="54" t="n"/>
      <c r="F67" s="54" t="n"/>
      <c r="G67" s="54" t="n"/>
    </row>
    <row r="68">
      <c r="A68" s="55" t="inlineStr">
        <is>
          <t>항목</t>
        </is>
      </c>
      <c r="B68" s="55" t="inlineStr">
        <is>
          <t>값</t>
        </is>
      </c>
      <c r="G68" s="55" t="inlineStr">
        <is>
          <t>출처</t>
        </is>
      </c>
    </row>
    <row r="69">
      <c r="A69" s="56" t="inlineStr">
        <is>
          <t>cash</t>
        </is>
      </c>
      <c r="B69" s="59" t="n">
        <v>4454</v>
      </c>
      <c r="G69" s="58" t="inlineStr">
        <is>
          <t>2단계 보고서 자료(회사 설명회 자료·공시)</t>
        </is>
      </c>
    </row>
    <row r="70">
      <c r="A70" s="56" t="inlineStr">
        <is>
          <t>cash 직전 FY end</t>
        </is>
      </c>
      <c r="B70" s="59" t="n">
        <v>5702</v>
      </c>
    </row>
    <row r="71">
      <c r="A71" s="56" t="inlineStr">
        <is>
          <t>inventory goods</t>
        </is>
      </c>
      <c r="B71" s="59" t="n">
        <v>1569</v>
      </c>
    </row>
    <row r="72">
      <c r="A72" s="56" t="inlineStr">
        <is>
          <t>inventory goods 직전</t>
        </is>
      </c>
      <c r="B72" s="59" t="n">
        <v>1072</v>
      </c>
    </row>
    <row r="73">
      <c r="A73" s="56" t="inlineStr">
        <is>
          <t>raw mat</t>
        </is>
      </c>
      <c r="B73" s="59" t="n">
        <v>213</v>
      </c>
    </row>
    <row r="74">
      <c r="A74" s="56" t="inlineStr">
        <is>
          <t>raw mat 직전</t>
        </is>
      </c>
      <c r="B74" s="59" t="n">
        <v>302</v>
      </c>
    </row>
    <row r="75">
      <c r="A75" s="56" t="inlineStr">
        <is>
          <t>goodwill</t>
        </is>
      </c>
      <c r="B75" s="59" t="n">
        <v>249</v>
      </c>
    </row>
    <row r="76">
      <c r="A76" s="56" t="inlineStr">
        <is>
          <t>goodwill 직전</t>
        </is>
      </c>
      <c r="B76" s="59" t="n">
        <v>286</v>
      </c>
    </row>
    <row r="77">
      <c r="A77" s="56" t="inlineStr">
        <is>
          <t>합계 assets</t>
        </is>
      </c>
      <c r="B77" s="59" t="n">
        <v>9307</v>
      </c>
    </row>
    <row r="78">
      <c r="A78" s="56" t="inlineStr">
        <is>
          <t>equity</t>
        </is>
      </c>
      <c r="B78" s="59" t="n">
        <v>8053</v>
      </c>
    </row>
    <row r="79">
      <c r="A79" s="56" t="inlineStr">
        <is>
          <t>equity ratio %</t>
        </is>
      </c>
      <c r="B79" s="57" t="n">
        <v>86.5</v>
      </c>
    </row>
    <row r="80">
      <c r="A80" s="56" t="inlineStr">
        <is>
          <t>debt</t>
        </is>
      </c>
      <c r="B80" s="59" t="n">
        <v>0</v>
      </c>
    </row>
    <row r="82">
      <c r="A82" s="54" t="inlineStr">
        <is>
          <t>this results · shares</t>
        </is>
      </c>
      <c r="B82" s="54" t="n"/>
      <c r="C82" s="54" t="n"/>
      <c r="D82" s="54" t="n"/>
      <c r="E82" s="54" t="n"/>
      <c r="F82" s="54" t="n"/>
      <c r="G82" s="54" t="n"/>
    </row>
    <row r="83">
      <c r="A83" s="55" t="inlineStr">
        <is>
          <t>항목</t>
        </is>
      </c>
      <c r="B83" s="55" t="inlineStr">
        <is>
          <t>값</t>
        </is>
      </c>
      <c r="G83" s="55" t="inlineStr">
        <is>
          <t>출처</t>
        </is>
      </c>
    </row>
    <row r="84">
      <c r="A84" s="56" t="inlineStr">
        <is>
          <t>issued</t>
        </is>
      </c>
      <c r="B84" s="59" t="n">
        <v>141072000</v>
      </c>
      <c r="G84" s="58" t="inlineStr">
        <is>
          <t>2단계 보고서 자료(회사 설명회 자료·공시)</t>
        </is>
      </c>
    </row>
    <row r="85">
      <c r="A85" s="56" t="inlineStr">
        <is>
          <t>treasury</t>
        </is>
      </c>
      <c r="B85" s="59" t="n">
        <v>1390333</v>
      </c>
    </row>
    <row r="86">
      <c r="A86" s="56" t="inlineStr">
        <is>
          <t>outstanding</t>
        </is>
      </c>
      <c r="B86" s="59" t="n">
        <v>139681667</v>
      </c>
    </row>
    <row r="88">
      <c r="A88" s="54" t="inlineStr">
        <is>
          <t>bs annual</t>
        </is>
      </c>
      <c r="B88" s="54" t="n"/>
      <c r="C88" s="54" t="n"/>
      <c r="D88" s="54" t="n"/>
      <c r="E88" s="54" t="n"/>
      <c r="F88" s="54" t="n"/>
      <c r="G88" s="54" t="n"/>
    </row>
    <row r="89">
      <c r="A89" s="55" t="inlineStr">
        <is>
          <t>항목</t>
        </is>
      </c>
      <c r="B89" s="55" t="inlineStr">
        <is>
          <t>2022</t>
        </is>
      </c>
      <c r="C89" s="55" t="inlineStr">
        <is>
          <t>2023</t>
        </is>
      </c>
      <c r="D89" s="55" t="inlineStr">
        <is>
          <t>2024</t>
        </is>
      </c>
      <c r="E89" s="55" t="inlineStr">
        <is>
          <t>2025</t>
        </is>
      </c>
      <c r="F89" s="55" t="inlineStr">
        <is>
          <t>2026</t>
        </is>
      </c>
      <c r="G89" s="55" t="inlineStr">
        <is>
          <t>출처</t>
        </is>
      </c>
    </row>
    <row r="90">
      <c r="A90" s="56" t="inlineStr">
        <is>
          <t>labels</t>
        </is>
      </c>
      <c r="B90" s="59" t="n">
        <v>2022</v>
      </c>
      <c r="C90" s="59" t="n">
        <v>2023</v>
      </c>
      <c r="D90" s="59" t="n">
        <v>2024</v>
      </c>
      <c r="E90" s="59" t="n">
        <v>2025</v>
      </c>
      <c r="F90" s="59" t="n">
        <v>2026</v>
      </c>
      <c r="G90" s="58" t="inlineStr">
        <is>
          <t>2단계 보고서 자료(회사 설명회 자료·공시)</t>
        </is>
      </c>
    </row>
    <row r="91">
      <c r="A91" s="56" t="inlineStr">
        <is>
          <t>current assets</t>
        </is>
      </c>
      <c r="B91" s="57" t="n">
        <v>68.09999999999999</v>
      </c>
      <c r="C91" s="57" t="n">
        <v>69.90000000000001</v>
      </c>
      <c r="D91" s="57" t="n">
        <v>77.09999999999999</v>
      </c>
      <c r="E91" s="57" t="n">
        <v>79.59999999999999</v>
      </c>
      <c r="F91" s="57" t="n">
        <v>81.09999999999999</v>
      </c>
    </row>
    <row r="92">
      <c r="A92" s="56" t="inlineStr">
        <is>
          <t>cash</t>
        </is>
      </c>
      <c r="B92" s="57" t="n">
        <v>52.1</v>
      </c>
      <c r="C92" s="57" t="n">
        <v>48.3</v>
      </c>
      <c r="D92" s="57" t="n">
        <v>47.8</v>
      </c>
      <c r="E92" s="57" t="n">
        <v>57</v>
      </c>
      <c r="F92" s="57" t="n">
        <v>57</v>
      </c>
    </row>
    <row r="93">
      <c r="A93" s="56" t="inlineStr">
        <is>
          <t>st fin</t>
        </is>
      </c>
      <c r="B93" s="60" t="n"/>
      <c r="C93" s="60" t="n"/>
      <c r="D93" s="60" t="n"/>
      <c r="E93" s="60" t="n"/>
      <c r="F93" s="60" t="n"/>
    </row>
    <row r="94">
      <c r="A94" s="56" t="inlineStr">
        <is>
          <t>receivables</t>
        </is>
      </c>
      <c r="B94" s="57" t="n">
        <v>0</v>
      </c>
      <c r="C94" s="57" t="n">
        <v>6.8</v>
      </c>
      <c r="D94" s="57" t="n">
        <v>0</v>
      </c>
      <c r="E94" s="57" t="n">
        <v>5.1</v>
      </c>
      <c r="F94" s="57" t="n">
        <v>6.9</v>
      </c>
    </row>
    <row r="95">
      <c r="A95" s="56" t="inlineStr">
        <is>
          <t>inventory</t>
        </is>
      </c>
      <c r="B95" s="57" t="n">
        <v>8.4</v>
      </c>
      <c r="C95" s="57" t="n">
        <v>9.6</v>
      </c>
      <c r="D95" s="57" t="n">
        <v>18.1</v>
      </c>
      <c r="E95" s="57" t="n">
        <v>14.9</v>
      </c>
      <c r="F95" s="57" t="n">
        <v>13.7</v>
      </c>
    </row>
    <row r="96">
      <c r="A96" s="56" t="inlineStr">
        <is>
          <t>noncurrent assets</t>
        </is>
      </c>
      <c r="B96" s="57" t="n">
        <v>7.5</v>
      </c>
      <c r="C96" s="57" t="n">
        <v>7.9</v>
      </c>
      <c r="D96" s="57" t="n">
        <v>9.4</v>
      </c>
      <c r="E96" s="57" t="n">
        <v>12</v>
      </c>
      <c r="F96" s="57" t="n">
        <v>13.8</v>
      </c>
    </row>
    <row r="97">
      <c r="A97" s="56" t="inlineStr">
        <is>
          <t>ppe</t>
        </is>
      </c>
      <c r="B97" s="57" t="n">
        <v>1.2</v>
      </c>
      <c r="C97" s="57" t="n">
        <v>2.3</v>
      </c>
      <c r="D97" s="57" t="n">
        <v>2.2</v>
      </c>
      <c r="E97" s="57" t="n">
        <v>2.7</v>
      </c>
      <c r="F97" s="57" t="n">
        <v>2.4</v>
      </c>
    </row>
    <row r="98">
      <c r="A98" s="56" t="inlineStr">
        <is>
          <t>intangibles</t>
        </is>
      </c>
      <c r="B98" s="57" t="n">
        <v>3.1</v>
      </c>
      <c r="C98" s="57" t="n">
        <v>2.5</v>
      </c>
      <c r="D98" s="57" t="n">
        <v>2.6</v>
      </c>
      <c r="E98" s="57" t="n">
        <v>1.8</v>
      </c>
      <c r="F98" s="57" t="n">
        <v>3.7</v>
      </c>
    </row>
    <row r="99">
      <c r="A99" s="56" t="inlineStr">
        <is>
          <t>inv property</t>
        </is>
      </c>
      <c r="B99" s="60" t="n"/>
      <c r="C99" s="60" t="n"/>
      <c r="D99" s="60" t="n"/>
      <c r="E99" s="60" t="n"/>
      <c r="F99" s="60" t="n"/>
    </row>
    <row r="100">
      <c r="A100" s="56" t="inlineStr">
        <is>
          <t>합계 assets</t>
        </is>
      </c>
      <c r="B100" s="57" t="n">
        <v>75.59999999999999</v>
      </c>
      <c r="C100" s="57" t="n">
        <v>77.8</v>
      </c>
      <c r="D100" s="57" t="n">
        <v>86.5</v>
      </c>
      <c r="E100" s="57" t="n">
        <v>91.59999999999999</v>
      </c>
      <c r="F100" s="57" t="n">
        <v>94.90000000000001</v>
      </c>
    </row>
    <row r="101">
      <c r="A101" s="56" t="inlineStr">
        <is>
          <t>current liab</t>
        </is>
      </c>
      <c r="B101" s="57" t="n">
        <v>12.4</v>
      </c>
      <c r="C101" s="57" t="n">
        <v>13.8</v>
      </c>
      <c r="D101" s="57" t="n">
        <v>15.2</v>
      </c>
      <c r="E101" s="57" t="n">
        <v>12.3</v>
      </c>
      <c r="F101" s="57" t="n">
        <v>13.9</v>
      </c>
    </row>
    <row r="102">
      <c r="A102" s="56" t="inlineStr">
        <is>
          <t>payables</t>
        </is>
      </c>
      <c r="B102" s="57" t="n">
        <v>1.6</v>
      </c>
      <c r="C102" s="57" t="n">
        <v>3.9</v>
      </c>
      <c r="D102" s="57" t="n">
        <v>0.7</v>
      </c>
      <c r="E102" s="57" t="n">
        <v>1.8</v>
      </c>
      <c r="F102" s="57" t="n">
        <v>3.7</v>
      </c>
    </row>
    <row r="103">
      <c r="A103" s="56" t="inlineStr">
        <is>
          <t>st debt</t>
        </is>
      </c>
      <c r="B103" s="60" t="n"/>
      <c r="C103" s="60" t="n"/>
      <c r="D103" s="60" t="n"/>
      <c r="E103" s="60" t="n"/>
      <c r="F103" s="60" t="n"/>
    </row>
    <row r="104">
      <c r="A104" s="56" t="inlineStr">
        <is>
          <t>noncurrent liab</t>
        </is>
      </c>
      <c r="B104" s="57" t="n">
        <v>1.7</v>
      </c>
      <c r="C104" s="57" t="n">
        <v>2.2</v>
      </c>
      <c r="D104" s="57" t="n">
        <v>1.4</v>
      </c>
      <c r="E104" s="57" t="n">
        <v>0.6</v>
      </c>
      <c r="F104" s="57" t="n">
        <v>0.6</v>
      </c>
    </row>
    <row r="105">
      <c r="A105" s="56" t="inlineStr">
        <is>
          <t>lt debt</t>
        </is>
      </c>
      <c r="B105" s="60" t="n"/>
      <c r="C105" s="60" t="n"/>
      <c r="D105" s="60" t="n"/>
      <c r="E105" s="60" t="n"/>
      <c r="F105" s="60" t="n"/>
    </row>
    <row r="106">
      <c r="A106" s="56" t="inlineStr">
        <is>
          <t>bonds</t>
        </is>
      </c>
      <c r="B106" s="60" t="n"/>
      <c r="C106" s="60" t="n"/>
      <c r="D106" s="60" t="n"/>
      <c r="E106" s="60" t="n"/>
      <c r="F106" s="60" t="n"/>
    </row>
    <row r="107">
      <c r="A107" s="56" t="inlineStr">
        <is>
          <t>합계 liab</t>
        </is>
      </c>
      <c r="B107" s="57" t="n">
        <v>14.1</v>
      </c>
      <c r="C107" s="57" t="n">
        <v>15.9</v>
      </c>
      <c r="D107" s="57" t="n">
        <v>16.5</v>
      </c>
      <c r="E107" s="57" t="n">
        <v>12.9</v>
      </c>
      <c r="F107" s="57" t="n">
        <v>14.4</v>
      </c>
    </row>
    <row r="108">
      <c r="A108" s="56" t="inlineStr">
        <is>
          <t>capital stock</t>
        </is>
      </c>
      <c r="B108" s="57" t="n">
        <v>2.7</v>
      </c>
      <c r="C108" s="57" t="n">
        <v>2.7</v>
      </c>
      <c r="D108" s="57" t="n">
        <v>2.7</v>
      </c>
      <c r="E108" s="57" t="n">
        <v>2.7</v>
      </c>
      <c r="F108" s="57" t="n">
        <v>2.7</v>
      </c>
    </row>
    <row r="109">
      <c r="A109" s="56" t="inlineStr">
        <is>
          <t>retained</t>
        </is>
      </c>
      <c r="B109" s="57" t="n">
        <v>60.5</v>
      </c>
      <c r="C109" s="57" t="n">
        <v>60.7</v>
      </c>
      <c r="D109" s="57" t="n">
        <v>68.59999999999999</v>
      </c>
      <c r="E109" s="57" t="n">
        <v>77</v>
      </c>
      <c r="F109" s="57" t="n">
        <v>78.5</v>
      </c>
    </row>
    <row r="110">
      <c r="A110" s="56" t="inlineStr">
        <is>
          <t>nci</t>
        </is>
      </c>
      <c r="B110" s="57" t="n">
        <v>0</v>
      </c>
      <c r="C110" s="57" t="n">
        <v>0</v>
      </c>
      <c r="D110" s="57" t="n">
        <v>0</v>
      </c>
      <c r="E110" s="57" t="n">
        <v>0</v>
      </c>
      <c r="F110" s="57" t="n">
        <v>0</v>
      </c>
    </row>
    <row r="111">
      <c r="A111" s="56" t="inlineStr">
        <is>
          <t>합계 equity</t>
        </is>
      </c>
      <c r="B111" s="57" t="n">
        <v>61.5</v>
      </c>
      <c r="C111" s="57" t="n">
        <v>61.9</v>
      </c>
      <c r="D111" s="57" t="n">
        <v>70</v>
      </c>
      <c r="E111" s="57" t="n">
        <v>78.7</v>
      </c>
      <c r="F111" s="57" t="n">
        <v>80.5</v>
      </c>
    </row>
    <row r="112">
      <c r="A112" s="56" t="inlineStr">
        <is>
          <t>current ltd</t>
        </is>
      </c>
      <c r="B112" s="60" t="n"/>
      <c r="C112" s="60" t="n"/>
      <c r="D112" s="60" t="n"/>
      <c r="E112" s="60" t="n"/>
      <c r="F112" s="60" t="n"/>
    </row>
    <row r="113">
      <c r="A113" s="56" t="inlineStr">
        <is>
          <t>equity owner</t>
        </is>
      </c>
      <c r="B113" s="57" t="n">
        <v>61.5</v>
      </c>
      <c r="C113" s="57" t="n">
        <v>61.9</v>
      </c>
      <c r="D113" s="57" t="n">
        <v>70</v>
      </c>
      <c r="E113" s="57" t="n">
        <v>78.7</v>
      </c>
      <c r="F113" s="57" t="n">
        <v>80.5</v>
      </c>
    </row>
    <row r="115">
      <c r="A115" s="54" t="inlineStr">
        <is>
          <t>cf annual</t>
        </is>
      </c>
      <c r="B115" s="54" t="n"/>
      <c r="C115" s="54" t="n"/>
      <c r="D115" s="54" t="n"/>
      <c r="E115" s="54" t="n"/>
      <c r="F115" s="54" t="n"/>
      <c r="G115" s="54" t="n"/>
    </row>
    <row r="116">
      <c r="A116" s="55" t="inlineStr">
        <is>
          <t>항목</t>
        </is>
      </c>
      <c r="B116" s="55" t="inlineStr">
        <is>
          <t>2022</t>
        </is>
      </c>
      <c r="C116" s="55" t="inlineStr">
        <is>
          <t>2023</t>
        </is>
      </c>
      <c r="D116" s="55" t="inlineStr">
        <is>
          <t>2024</t>
        </is>
      </c>
      <c r="E116" s="55" t="inlineStr">
        <is>
          <t>2025</t>
        </is>
      </c>
      <c r="F116" s="55" t="inlineStr">
        <is>
          <t>2026</t>
        </is>
      </c>
      <c r="G116" s="55" t="inlineStr">
        <is>
          <t>출처</t>
        </is>
      </c>
    </row>
    <row r="117">
      <c r="A117" s="56" t="inlineStr">
        <is>
          <t>labels</t>
        </is>
      </c>
      <c r="B117" s="59" t="n">
        <v>2022</v>
      </c>
      <c r="C117" s="59" t="n">
        <v>2023</v>
      </c>
      <c r="D117" s="59" t="n">
        <v>2024</v>
      </c>
      <c r="E117" s="59" t="n">
        <v>2025</v>
      </c>
      <c r="F117" s="59" t="n">
        <v>2026</v>
      </c>
      <c r="G117" s="58" t="inlineStr">
        <is>
          <t>2단계 보고서 자료(회사 설명회 자료·공시)</t>
        </is>
      </c>
    </row>
    <row r="118">
      <c r="A118" s="56" t="inlineStr">
        <is>
          <t>ocf</t>
        </is>
      </c>
      <c r="B118" s="57" t="n">
        <v>17.5</v>
      </c>
      <c r="C118" s="57" t="n">
        <v>1.1</v>
      </c>
      <c r="D118" s="57" t="n">
        <v>4.5</v>
      </c>
      <c r="E118" s="57" t="n">
        <v>18.1</v>
      </c>
      <c r="F118" s="57" t="n">
        <v>8.5</v>
      </c>
    </row>
    <row r="119">
      <c r="A119" s="56" t="inlineStr">
        <is>
          <t>설비투자</t>
        </is>
      </c>
      <c r="B119" s="57" t="n">
        <v>0.4</v>
      </c>
      <c r="C119" s="57" t="n">
        <v>1.1</v>
      </c>
      <c r="D119" s="57" t="n">
        <v>1.5</v>
      </c>
      <c r="E119" s="57" t="n">
        <v>1.7</v>
      </c>
      <c r="F119" s="57" t="n">
        <v>0.1</v>
      </c>
    </row>
    <row r="120">
      <c r="A120" s="56" t="inlineStr">
        <is>
          <t>dividends</t>
        </is>
      </c>
      <c r="B120" s="57" t="n">
        <v>3.5</v>
      </c>
      <c r="C120" s="57" t="n">
        <v>3.5</v>
      </c>
      <c r="D120" s="57" t="n">
        <v>2.1</v>
      </c>
      <c r="E120" s="57" t="n">
        <v>3.6</v>
      </c>
      <c r="F120" s="57" t="n">
        <v>5.4</v>
      </c>
    </row>
    <row r="122">
      <c r="A122" s="54" t="inlineStr">
        <is>
          <t>컨센서스 · FY2027</t>
        </is>
      </c>
      <c r="B122" s="54" t="n"/>
      <c r="C122" s="54" t="n"/>
      <c r="D122" s="54" t="n"/>
      <c r="E122" s="54" t="n"/>
      <c r="F122" s="54" t="n"/>
      <c r="G122" s="54" t="n"/>
    </row>
    <row r="123">
      <c r="A123" s="55" t="inlineStr">
        <is>
          <t>항목</t>
        </is>
      </c>
      <c r="B123" s="55" t="inlineStr">
        <is>
          <t>값</t>
        </is>
      </c>
      <c r="G123" s="55" t="inlineStr">
        <is>
          <t>출처</t>
        </is>
      </c>
    </row>
    <row r="124">
      <c r="A124" s="56" t="inlineStr">
        <is>
          <t>매출</t>
        </is>
      </c>
      <c r="B124" s="57" t="n">
        <v>160</v>
      </c>
      <c r="G124" s="58" t="inlineStr">
        <is>
          <t>jp_consensus(야후), 2026-10-28</t>
        </is>
      </c>
    </row>
    <row r="125">
      <c r="A125" s="56" t="inlineStr">
        <is>
          <t>EPS</t>
        </is>
      </c>
      <c r="B125" s="57" t="n">
        <v>5.4</v>
      </c>
    </row>
    <row r="127">
      <c r="A127" s="54" t="inlineStr">
        <is>
          <t>컨센서스 · FY2028</t>
        </is>
      </c>
      <c r="B127" s="54" t="n"/>
      <c r="C127" s="54" t="n"/>
      <c r="D127" s="54" t="n"/>
      <c r="E127" s="54" t="n"/>
      <c r="F127" s="54" t="n"/>
      <c r="G127" s="54" t="n"/>
    </row>
    <row r="128">
      <c r="A128" s="55" t="inlineStr">
        <is>
          <t>항목</t>
        </is>
      </c>
      <c r="B128" s="55" t="inlineStr">
        <is>
          <t>값</t>
        </is>
      </c>
      <c r="G128" s="55" t="inlineStr">
        <is>
          <t>출처</t>
        </is>
      </c>
    </row>
    <row r="129">
      <c r="A129" s="56" t="inlineStr">
        <is>
          <t>매출</t>
        </is>
      </c>
      <c r="B129" s="57" t="n">
        <v>203</v>
      </c>
      <c r="G129" s="58" t="inlineStr">
        <is>
          <t>jp_consensus(야후), 2026-10-28</t>
        </is>
      </c>
    </row>
    <row r="130">
      <c r="A130" s="56" t="inlineStr">
        <is>
          <t>EPS</t>
        </is>
      </c>
      <c r="B130" s="57" t="n">
        <v>11.1</v>
      </c>
    </row>
    <row r="131">
      <c r="A131" s="56" t="inlineStr">
        <is>
          <t>EPS 30d ago</t>
        </is>
      </c>
      <c r="B131" s="57" t="n">
        <v>11.7</v>
      </c>
    </row>
    <row r="133">
      <c r="A133" s="54" t="inlineStr">
        <is>
          <t>밸류에이션 now</t>
        </is>
      </c>
      <c r="B133" s="54" t="n"/>
      <c r="C133" s="54" t="n"/>
      <c r="D133" s="54" t="n"/>
      <c r="E133" s="54" t="n"/>
      <c r="F133" s="54" t="n"/>
      <c r="G133" s="54" t="n"/>
    </row>
    <row r="134">
      <c r="A134" s="55" t="inlineStr">
        <is>
          <t>항목</t>
        </is>
      </c>
      <c r="B134" s="55" t="inlineStr">
        <is>
          <t>값</t>
        </is>
      </c>
      <c r="G134" s="55" t="inlineStr">
        <is>
          <t>출처</t>
        </is>
      </c>
    </row>
    <row r="135">
      <c r="A135" s="56" t="inlineStr">
        <is>
          <t>가격</t>
        </is>
      </c>
      <c r="B135" s="59" t="n">
        <v>145</v>
      </c>
      <c r="G135" s="58" t="inlineStr">
        <is>
          <t>2단계 보고서 자료(회사 설명회 자료·공시)</t>
        </is>
      </c>
    </row>
    <row r="136">
      <c r="A136" s="56" t="inlineStr">
        <is>
          <t>mcap oku</t>
        </is>
      </c>
      <c r="B136" s="57" t="n">
        <v>202.5</v>
      </c>
    </row>
    <row r="137">
      <c r="A137" s="56" t="inlineStr">
        <is>
          <t>mcap krw oku</t>
        </is>
      </c>
      <c r="B137" s="59" t="n">
        <v>1701</v>
      </c>
    </row>
    <row r="138">
      <c r="A138" s="56" t="inlineStr">
        <is>
          <t>PER 가이던스</t>
        </is>
      </c>
      <c r="B138" s="57" t="n">
        <v>27.6</v>
      </c>
    </row>
    <row r="139">
      <c r="A139" s="56" t="inlineStr">
        <is>
          <t>dps</t>
        </is>
      </c>
      <c r="B139" s="57" t="n">
        <v>3.5</v>
      </c>
    </row>
    <row r="140">
      <c r="A140" s="56" t="inlineStr">
        <is>
          <t>div yield %</t>
        </is>
      </c>
      <c r="B140" s="57" t="n">
        <v>2.4</v>
      </c>
    </row>
    <row r="141">
      <c r="A141" s="56" t="inlineStr">
        <is>
          <t>PBR</t>
        </is>
      </c>
      <c r="B141" s="57" t="n">
        <v>2.5</v>
      </c>
    </row>
    <row r="142">
      <c r="A142" s="56" t="inlineStr">
        <is>
          <t>bps</t>
        </is>
      </c>
      <c r="B142" s="57" t="n">
        <v>57.65</v>
      </c>
    </row>
    <row r="143">
      <c r="A143" s="56" t="inlineStr">
        <is>
          <t>trailing pe yahoo</t>
        </is>
      </c>
      <c r="B143" s="57" t="n">
        <v>35.4</v>
      </c>
    </row>
    <row r="145">
      <c r="A145" s="54" t="inlineStr">
        <is>
          <t>reactions</t>
        </is>
      </c>
      <c r="B145" s="54" t="n"/>
      <c r="C145" s="54" t="n"/>
      <c r="D145" s="54" t="n"/>
      <c r="E145" s="54" t="n"/>
      <c r="F145" s="54" t="n"/>
      <c r="G145" s="54" t="n"/>
    </row>
    <row r="146">
      <c r="A146" s="55" t="inlineStr">
        <is>
          <t>항목</t>
        </is>
      </c>
      <c r="B146" s="55" t="inlineStr">
        <is>
          <t>기준일</t>
        </is>
      </c>
      <c r="C146" s="55" t="inlineStr">
        <is>
          <t>다음날</t>
        </is>
      </c>
      <c r="D146" s="55" t="inlineStr">
        <is>
          <t>등락%</t>
        </is>
      </c>
      <c r="G146" s="55" t="inlineStr">
        <is>
          <t>출처</t>
        </is>
      </c>
    </row>
    <row r="147">
      <c r="A147" s="56" t="inlineStr">
        <is>
          <t>2025-01-14</t>
        </is>
      </c>
      <c r="B147" s="60" t="inlineStr">
        <is>
          <t>2025-01-14</t>
        </is>
      </c>
      <c r="C147" s="60" t="inlineStr">
        <is>
          <t>2025-01-15</t>
        </is>
      </c>
      <c r="D147" s="57" t="n">
        <v>16.9</v>
      </c>
      <c r="G147" s="58" t="inlineStr">
        <is>
          <t>2단계 보고서 자료(회사 설명회 자료·공시)</t>
        </is>
      </c>
    </row>
    <row r="148">
      <c r="A148" s="56" t="inlineStr">
        <is>
          <t>2025-04-14</t>
        </is>
      </c>
      <c r="B148" s="60" t="inlineStr">
        <is>
          <t>2025-04-14</t>
        </is>
      </c>
      <c r="C148" s="60" t="inlineStr">
        <is>
          <t>2025-04-15</t>
        </is>
      </c>
      <c r="D148" s="57" t="n">
        <v>-9.699999999999999</v>
      </c>
    </row>
    <row r="149">
      <c r="A149" s="56" t="inlineStr">
        <is>
          <t>2025-07-15</t>
        </is>
      </c>
      <c r="B149" s="60" t="inlineStr">
        <is>
          <t>2025-07-15</t>
        </is>
      </c>
      <c r="C149" s="60" t="inlineStr">
        <is>
          <t>2025-07-16</t>
        </is>
      </c>
      <c r="D149" s="57" t="n">
        <v>-5.3</v>
      </c>
    </row>
    <row r="150">
      <c r="A150" s="56" t="inlineStr">
        <is>
          <t>2025-10-15</t>
        </is>
      </c>
      <c r="B150" s="60" t="inlineStr">
        <is>
          <t>2025-10-15</t>
        </is>
      </c>
      <c r="C150" s="60" t="inlineStr">
        <is>
          <t>2025-10-16</t>
        </is>
      </c>
      <c r="D150" s="57" t="n">
        <v>2.9</v>
      </c>
    </row>
    <row r="151">
      <c r="A151" s="56" t="inlineStr">
        <is>
          <t>2026-01-14</t>
        </is>
      </c>
      <c r="B151" s="60" t="inlineStr">
        <is>
          <t>2026-01-14</t>
        </is>
      </c>
      <c r="C151" s="60" t="inlineStr">
        <is>
          <t>2026-01-15</t>
        </is>
      </c>
      <c r="D151" s="57" t="n">
        <v>1.4</v>
      </c>
    </row>
    <row r="152">
      <c r="A152" s="56" t="inlineStr">
        <is>
          <t>2026-04-14</t>
        </is>
      </c>
      <c r="B152" s="60" t="inlineStr">
        <is>
          <t>2026-04-14</t>
        </is>
      </c>
      <c r="C152" s="60" t="inlineStr">
        <is>
          <t>2026-04-15</t>
        </is>
      </c>
      <c r="D152" s="57" t="n">
        <v>1.6</v>
      </c>
    </row>
    <row r="153">
      <c r="A153" s="56" t="inlineStr">
        <is>
          <t>2026-07-15</t>
        </is>
      </c>
      <c r="B153" s="60" t="inlineStr">
        <is>
          <t>2026-07-15</t>
        </is>
      </c>
      <c r="C153" s="60" t="inlineStr">
        <is>
          <t>2026-07-16</t>
        </is>
      </c>
      <c r="D153" s="57" t="n">
        <v>-4.7</v>
      </c>
    </row>
    <row r="154">
      <c r="A154" s="56" t="inlineStr">
        <is>
          <t>2026-10-15</t>
        </is>
      </c>
      <c r="B154" s="60" t="inlineStr">
        <is>
          <t>2026-10-15</t>
        </is>
      </c>
      <c r="C154" s="60" t="inlineStr">
        <is>
          <t>2026-10-16</t>
        </is>
      </c>
      <c r="D154" s="57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2" t="inlineStr">
        <is>
          <t>출처 · 쓴 결산단신</t>
        </is>
      </c>
    </row>
    <row r="3">
      <c r="A3" s="61" t="inlineStr">
        <is>
          <t>공시일</t>
        </is>
      </c>
      <c r="B3" s="61" t="inlineStr">
        <is>
          <t>문서</t>
        </is>
      </c>
      <c r="C3" s="61" t="inlineStr">
        <is>
          <t>PDF</t>
        </is>
      </c>
    </row>
    <row r="4">
      <c r="A4" t="inlineStr">
        <is>
          <t>2026-10-15</t>
        </is>
      </c>
      <c r="B4" t="inlineStr">
        <is>
          <t>2027년 2월 결산기 ２분기 결산단신</t>
        </is>
      </c>
      <c r="C4" t="inlineStr">
        <is>
          <t>https://www2.jpx.co.jp/disc/29300/140120261015551527.pdf</t>
        </is>
      </c>
    </row>
    <row r="5">
      <c r="A5" t="inlineStr">
        <is>
          <t>2026-07-15</t>
        </is>
      </c>
      <c r="B5" t="inlineStr">
        <is>
          <t>2027년 2월 결산기 １분기 결산단신</t>
        </is>
      </c>
      <c r="C5" t="inlineStr">
        <is>
          <t>https://www2.jpx.co.jp/disc/29300/140120260714593431.pdf</t>
        </is>
      </c>
    </row>
    <row r="6">
      <c r="A6" t="inlineStr">
        <is>
          <t>2026-04-14</t>
        </is>
      </c>
      <c r="B6" t="inlineStr">
        <is>
          <t>2026년 2월 결산기 연간 결산단신</t>
        </is>
      </c>
      <c r="C6" t="inlineStr">
        <is>
          <t>https://www2.jpx.co.jp/disc/29300/140120260413503024.pdf</t>
        </is>
      </c>
    </row>
    <row r="7">
      <c r="A7" t="inlineStr">
        <is>
          <t>2026-01-14</t>
        </is>
      </c>
      <c r="B7" t="inlineStr">
        <is>
          <t>2026년 2월 결산기 ３분기 결산단신</t>
        </is>
      </c>
      <c r="C7" t="inlineStr">
        <is>
          <t>https://www2.jpx.co.jp/disc/29300/140120260109531460.pdf</t>
        </is>
      </c>
    </row>
    <row r="8">
      <c r="A8" t="inlineStr">
        <is>
          <t>2025-10-15</t>
        </is>
      </c>
      <c r="B8" t="inlineStr">
        <is>
          <t>2026년 2월 결산기 ２분기 결산단신</t>
        </is>
      </c>
      <c r="C8" t="inlineStr">
        <is>
          <t>https://www2.jpx.co.jp/disc/29300/140120251014573375.pdf</t>
        </is>
      </c>
    </row>
    <row r="9">
      <c r="A9" t="inlineStr">
        <is>
          <t>2025-07-15</t>
        </is>
      </c>
      <c r="B9" t="inlineStr">
        <is>
          <t>2026년 2월 결산기 １분기 결산단신</t>
        </is>
      </c>
      <c r="C9" t="inlineStr">
        <is>
          <t>https://www2.jpx.co.jp/disc/29300/140120250714514276.pdf</t>
        </is>
      </c>
    </row>
    <row r="10">
      <c r="A10" t="inlineStr">
        <is>
          <t>2025-04-14</t>
        </is>
      </c>
      <c r="B10" t="inlineStr">
        <is>
          <t>2025년 2월 결산기 연간 결산단신</t>
        </is>
      </c>
      <c r="C10" t="inlineStr">
        <is>
          <t>https://www2.jpx.co.jp/disc/29300/140120250411514047.pdf</t>
        </is>
      </c>
    </row>
    <row r="11">
      <c r="A11" t="inlineStr">
        <is>
          <t>2025-01-14</t>
        </is>
      </c>
      <c r="B11" t="inlineStr">
        <is>
          <t>2025년 2월 결산기 ３분기 결산단신</t>
        </is>
      </c>
      <c r="C11" t="inlineStr">
        <is>
          <t>https://www2.jpx.co.jp/disc/29300/140120250110548911.pdf</t>
        </is>
      </c>
    </row>
    <row r="12">
      <c r="A12" t="inlineStr">
        <is>
          <t>2024-10-15</t>
        </is>
      </c>
      <c r="B12" t="inlineStr">
        <is>
          <t>2025년 2월 결산기 ２분기 결산단신</t>
        </is>
      </c>
      <c r="C12" t="inlineStr">
        <is>
          <t>https://www2.jpx.co.jp/disc/29300/140120241003593259.pdf</t>
        </is>
      </c>
    </row>
    <row r="13">
      <c r="A13" t="inlineStr">
        <is>
          <t>2024-07-12</t>
        </is>
      </c>
      <c r="B13" t="inlineStr">
        <is>
          <t>2025년 2월 결산기 １분기 결산단신</t>
        </is>
      </c>
      <c r="C13" t="inlineStr">
        <is>
          <t>https://www2.jpx.co.jp/disc/29300/140120240709546116.pdf</t>
        </is>
      </c>
    </row>
    <row r="14">
      <c r="A14" t="inlineStr">
        <is>
          <t>2024-04-12</t>
        </is>
      </c>
      <c r="B14" t="inlineStr">
        <is>
          <t>2024년 2월 결산기 연간 결산단신</t>
        </is>
      </c>
      <c r="C14" t="inlineStr">
        <is>
          <t>https://www2.jpx.co.jp/disc/29300/140120240411569295.pdf</t>
        </is>
      </c>
    </row>
    <row r="15">
      <c r="A15" t="inlineStr">
        <is>
          <t>2024-01-12</t>
        </is>
      </c>
      <c r="B15" t="inlineStr">
        <is>
          <t>2024년 2월 결산기 ３분기 결산단신</t>
        </is>
      </c>
      <c r="C15" t="inlineStr">
        <is>
          <t>https://www2.jpx.co.jp/disc/29300/140120240111513618.pdf</t>
        </is>
      </c>
    </row>
    <row r="16">
      <c r="A16" t="inlineStr">
        <is>
          <t>2023-10-13</t>
        </is>
      </c>
      <c r="B16" t="inlineStr">
        <is>
          <t>2024년 2월 결산기 ２분기 결산단신</t>
        </is>
      </c>
      <c r="C16" t="inlineStr">
        <is>
          <t>https://www2.jpx.co.jp/disc/29300/140120231011565389.pdf</t>
        </is>
      </c>
    </row>
    <row r="17">
      <c r="A17" t="inlineStr">
        <is>
          <t>2023-07-14</t>
        </is>
      </c>
      <c r="B17" t="inlineStr">
        <is>
          <t>2024년 2월 결산기 １분기 결산단신</t>
        </is>
      </c>
      <c r="C17" t="inlineStr">
        <is>
          <t>https://www2.jpx.co.jp/disc/29300/140120230713521742.pdf</t>
        </is>
      </c>
    </row>
    <row r="18">
      <c r="A18" t="inlineStr">
        <is>
          <t>2023-04-14</t>
        </is>
      </c>
      <c r="B18" t="inlineStr">
        <is>
          <t>2023년 2월 결산기 연간 결산단신</t>
        </is>
      </c>
      <c r="C18" t="inlineStr">
        <is>
          <t>https://www2.jpx.co.jp/disc/29300/140120230412546174.pdf</t>
        </is>
      </c>
    </row>
    <row r="19">
      <c r="A19" t="inlineStr">
        <is>
          <t>2023-01-13</t>
        </is>
      </c>
      <c r="B19" t="inlineStr">
        <is>
          <t>2023년 2월 결산기 ３분기 결산단신</t>
        </is>
      </c>
      <c r="C19" t="inlineStr">
        <is>
          <t>https://www2.jpx.co.jp/disc/29300/140120230111587616.pdf</t>
        </is>
      </c>
    </row>
    <row r="20">
      <c r="A20" t="inlineStr">
        <is>
          <t>2022-04-14</t>
        </is>
      </c>
      <c r="B20" t="inlineStr">
        <is>
          <t>2022년 2월 결산기 연간 결산단신</t>
        </is>
      </c>
      <c r="C20" t="inlineStr">
        <is>
          <t>https://www2.jpx.co.jp/disc/29300/140120220413521205.pdf</t>
        </is>
      </c>
    </row>
    <row r="21">
      <c r="A21" t="inlineStr">
        <is>
          <t>2021-04-14</t>
        </is>
      </c>
      <c r="B21" t="inlineStr">
        <is>
          <t>2021년 2월 결산기 연간 결산단신</t>
        </is>
      </c>
      <c r="C21" t="inlineStr">
        <is>
          <t>https://www2.jpx.co.jp/disc/29300/140120210414494435.pdf</t>
        </is>
      </c>
    </row>
    <row r="22">
      <c r="A22" t="inlineStr">
        <is>
          <t>2020-04-14</t>
        </is>
      </c>
      <c r="B22" t="inlineStr">
        <is>
          <t>2020년 2월 결산기 연간 결산단신</t>
        </is>
      </c>
      <c r="C22" t="inlineStr">
        <is>
          <t>https://www2.jpx.co.jp/disc/29300/140120200324483604.pdf</t>
        </is>
      </c>
    </row>
    <row r="23">
      <c r="A23" t="inlineStr">
        <is>
          <t>2019-04-12</t>
        </is>
      </c>
      <c r="B23" t="inlineStr">
        <is>
          <t>2019년 2월 결산기 연간 결산단신</t>
        </is>
      </c>
      <c r="C23" t="inlineStr">
        <is>
          <t>https://www2.jpx.co.jp/disc/29300/140120190401499354.pdf</t>
        </is>
      </c>
    </row>
    <row r="24">
      <c r="A24" t="inlineStr">
        <is>
          <t>2018-04-13</t>
        </is>
      </c>
      <c r="B24" t="inlineStr">
        <is>
          <t>연간 결산단신</t>
        </is>
      </c>
      <c r="C24" t="inlineStr">
        <is>
          <t>https://www2.jpx.co.jp/disc/29300/140120180411409111.pdf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2026-10-28T08:29:13Z</dcterms:created>
  <dcterms:modified xmlns:dcterms="http://purl.org/dc/terms/" xmlns:xsi="http://www.w3.org/2001/XMLSchema-instance" xsi:type="dcterms:W3CDTF">2026-10-28T08:29:14Z</dcterms:modified>
</cp:coreProperties>
</file>