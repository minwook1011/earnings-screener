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연간" sheetId="1" state="visible" r:id="rId1"/>
    <sheet xmlns:r="http://schemas.openxmlformats.org/officeDocument/2006/relationships" name="재무상태표" sheetId="2" state="visible" r:id="rId2"/>
    <sheet xmlns:r="http://schemas.openxmlformats.org/officeDocument/2006/relationships" name="출처" sheetId="3" state="visible" r:id="rId3"/>
  </sheets>
  <definedNames>
    <definedName name="_xlnm.Print_Titles" localSheetId="0">'연간'!$3:$3</definedName>
    <definedName name="_xlnm.Print_Titles" localSheetId="1">'재무상태표'!$3:$3</definedName>
  </definedNames>
  <calcPr calcId="124519" fullCalcOnLoad="1"/>
</workbook>
</file>

<file path=xl/styles.xml><?xml version="1.0" encoding="utf-8"?>
<styleSheet xmlns="http://schemas.openxmlformats.org/spreadsheetml/2006/main">
  <numFmts count="5">
    <numFmt numFmtId="164" formatCode="0.0%;-0.0%;&quot;-&quot;"/>
    <numFmt numFmtId="165" formatCode="#,##0;(#,##0);&quot;-&quot;"/>
    <numFmt numFmtId="166" formatCode="0.0&quot;x&quot;;-0.0&quot;x&quot;;&quot;-&quot;"/>
    <numFmt numFmtId="167" formatCode="0.0&quot;년&quot;;-0.0&quot;년&quot;;&quot;-&quot;"/>
    <numFmt numFmtId="168" formatCode="0&quot;일&quot;;-0&quot;일&quot;;&quot;-&quot;"/>
  </numFmts>
  <fonts count="17">
    <font>
      <name val="Calibri"/>
      <family val="2"/>
      <color theme="1"/>
      <sz val="11"/>
      <scheme val="minor"/>
    </font>
    <font>
      <name val="맑은 고딕"/>
      <b val="1"/>
      <color rgb="00000000"/>
      <sz val="20"/>
    </font>
    <font>
      <name val="맑은 고딕"/>
      <color rgb="00FF0000"/>
      <sz val="11"/>
    </font>
    <font>
      <name val="맑은 고딕"/>
      <color rgb="00808080"/>
      <sz val="9"/>
    </font>
    <font>
      <name val="맑은 고딕"/>
      <color rgb="000000FF"/>
      <sz val="9"/>
    </font>
    <font>
      <name val="맑은 고딕"/>
      <b val="1"/>
      <color rgb="00000000"/>
      <sz val="10"/>
    </font>
    <font>
      <name val="맑은 고딕"/>
      <color rgb="00808080"/>
      <sz val="11"/>
    </font>
    <font>
      <name val="맑은 고딕"/>
      <b val="1"/>
      <color rgb="00FFFFFF"/>
      <sz val="11"/>
    </font>
    <font>
      <name val="맑은 고딕"/>
      <color rgb="00000000"/>
      <sz val="11"/>
    </font>
    <font>
      <name val="맑은 고딕"/>
      <color rgb="000000FF"/>
      <sz val="11"/>
    </font>
    <font>
      <name val="맑은 고딕"/>
      <b val="1"/>
      <color rgb="00000000"/>
      <sz val="11"/>
    </font>
    <font>
      <name val="맑은 고딕"/>
      <b val="1"/>
      <color rgb="00FF0000"/>
      <sz val="11"/>
    </font>
    <font>
      <name val="맑은 고딕"/>
      <b val="1"/>
      <color rgb="00808080"/>
      <sz val="9"/>
    </font>
    <font>
      <name val="맑은 고딕"/>
      <color rgb="00FF0000"/>
      <sz val="9"/>
    </font>
    <font>
      <name val="맑은 고딕"/>
      <b val="1"/>
      <color rgb="00FFFFFF"/>
      <sz val="9"/>
    </font>
    <font>
      <name val="맑은 고딕"/>
      <b val="1"/>
      <sz val="20"/>
    </font>
    <font>
      <name val="맑은 고딕"/>
      <b val="1"/>
      <sz val="10"/>
    </font>
  </fonts>
  <fills count="7">
    <fill>
      <patternFill/>
    </fill>
    <fill>
      <patternFill patternType="gray125"/>
    </fill>
    <fill>
      <patternFill patternType="solid">
        <fgColor rgb="00D9D9D9"/>
      </patternFill>
    </fill>
    <fill>
      <patternFill patternType="solid">
        <fgColor rgb="00808080"/>
      </patternFill>
    </fill>
    <fill>
      <patternFill patternType="solid">
        <fgColor rgb="00A6A6A6"/>
      </patternFill>
    </fill>
    <fill>
      <patternFill patternType="solid">
        <fgColor rgb="00DDEBF7"/>
      </patternFill>
    </fill>
    <fill>
      <patternFill patternType="solid">
        <fgColor rgb="FFD9D9D9"/>
      </patternFill>
    </fill>
  </fills>
  <borders count="4">
    <border>
      <left/>
      <right/>
      <top/>
      <bottom/>
      <diagonal/>
    </border>
    <border>
      <top style="thin">
        <color rgb="007F7F7F"/>
      </top>
      <bottom style="thin">
        <color rgb="007F7F7F"/>
      </bottom>
    </border>
    <border>
      <left style="thin">
        <color rgb="007F7F7F"/>
      </left>
      <top style="thin">
        <color rgb="007F7F7F"/>
      </top>
      <bottom style="thin">
        <color rgb="007F7F7F"/>
      </bottom>
    </border>
    <border>
      <left style="thin">
        <color rgb="007F7F7F"/>
      </left>
      <top/>
      <bottom/>
    </border>
  </borders>
  <cellStyleXfs count="1">
    <xf numFmtId="0" fontId="0" fillId="0" borderId="0"/>
  </cellStyleXfs>
  <cellXfs count="52">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applyAlignment="1" pivotButton="0" quotePrefix="0" xfId="0">
      <alignment horizontal="center" vertical="center"/>
    </xf>
    <xf numFmtId="0" fontId="5" fillId="2" borderId="2" applyAlignment="1" pivotButton="0" quotePrefix="0" xfId="0">
      <alignment horizontal="center" vertical="center"/>
    </xf>
    <xf numFmtId="0" fontId="5" fillId="5" borderId="2" applyAlignment="1" pivotButton="0" quotePrefix="0" xfId="0">
      <alignment horizontal="center" vertical="center"/>
    </xf>
    <xf numFmtId="0" fontId="5" fillId="5" borderId="1" applyAlignment="1" pivotButton="0" quotePrefix="0" xfId="0">
      <alignment horizontal="center" vertical="center"/>
    </xf>
    <xf numFmtId="0" fontId="10" fillId="0" borderId="0" applyAlignment="1" pivotButton="0" quotePrefix="0" xfId="0">
      <alignment horizontal="center" vertical="center"/>
    </xf>
    <xf numFmtId="0" fontId="3" fillId="0" borderId="0" applyAlignment="1" pivotButton="0" quotePrefix="0" xfId="0">
      <alignment horizontal="center" vertical="center"/>
    </xf>
    <xf numFmtId="165" fontId="10" fillId="0" borderId="3" applyAlignment="1" pivotButton="0" quotePrefix="0" xfId="0">
      <alignment horizontal="center" vertical="center"/>
    </xf>
    <xf numFmtId="165" fontId="10" fillId="0" borderId="0" applyAlignment="1" pivotButton="0" quotePrefix="0" xfId="0">
      <alignment horizontal="center" vertical="center"/>
    </xf>
    <xf numFmtId="0" fontId="6" fillId="0" borderId="0" applyAlignment="1" pivotButton="0" quotePrefix="0" xfId="0">
      <alignment horizontal="left" vertical="center" indent="1"/>
    </xf>
    <xf numFmtId="164" fontId="6" fillId="0" borderId="3" applyAlignment="1" pivotButton="0" quotePrefix="0" xfId="0">
      <alignment horizontal="center" vertical="center"/>
    </xf>
    <xf numFmtId="164" fontId="6" fillId="0" borderId="0" applyAlignment="1" pivotButton="0" quotePrefix="0" xfId="0">
      <alignment horizontal="center" vertical="center"/>
    </xf>
    <xf numFmtId="0" fontId="7" fillId="3" borderId="0" applyAlignment="1" pivotButton="0" quotePrefix="0" xfId="0">
      <alignment horizontal="center" vertical="center"/>
    </xf>
    <xf numFmtId="0" fontId="7" fillId="3" borderId="3" applyAlignment="1" pivotButton="0" quotePrefix="0" xfId="0">
      <alignment horizontal="center" vertical="center"/>
    </xf>
    <xf numFmtId="0" fontId="8" fillId="0" borderId="0" applyAlignment="1" pivotButton="0" quotePrefix="0" xfId="0">
      <alignment horizontal="center" vertical="center"/>
    </xf>
    <xf numFmtId="165" fontId="8" fillId="0" borderId="3" applyAlignment="1" pivotButton="0" quotePrefix="0" xfId="0">
      <alignment horizontal="center" vertical="center"/>
    </xf>
    <xf numFmtId="165" fontId="8" fillId="0" borderId="0" applyAlignment="1" pivotButton="0" quotePrefix="0" xfId="0">
      <alignment horizontal="center" vertical="center"/>
    </xf>
    <xf numFmtId="165" fontId="9" fillId="0" borderId="3" applyAlignment="1" pivotButton="0" quotePrefix="0" xfId="0">
      <alignment horizontal="center" vertical="center"/>
    </xf>
    <xf numFmtId="165" fontId="9" fillId="0" borderId="0" applyAlignment="1" pivotButton="0" quotePrefix="0" xfId="0">
      <alignment horizontal="center" vertical="center"/>
    </xf>
    <xf numFmtId="0" fontId="7" fillId="4" borderId="0" applyAlignment="1" pivotButton="0" quotePrefix="0" xfId="0">
      <alignment horizontal="center" vertical="center"/>
    </xf>
    <xf numFmtId="0" fontId="7" fillId="4" borderId="3" applyAlignment="1" pivotButton="0" quotePrefix="0" xfId="0">
      <alignment horizontal="center" vertical="center"/>
    </xf>
    <xf numFmtId="164" fontId="9" fillId="0" borderId="3" applyAlignment="1" pivotButton="0" quotePrefix="0" xfId="0">
      <alignment horizontal="center" vertical="center"/>
    </xf>
    <xf numFmtId="164" fontId="9" fillId="0" borderId="0" applyAlignment="1" pivotButton="0" quotePrefix="0" xfId="0">
      <alignment horizontal="center" vertical="center"/>
    </xf>
    <xf numFmtId="3" fontId="10" fillId="0" borderId="0" applyAlignment="1" pivotButton="0" quotePrefix="0" xfId="0">
      <alignment horizontal="center" vertical="center"/>
    </xf>
    <xf numFmtId="3" fontId="8" fillId="0" borderId="3" applyAlignment="1" pivotButton="0" quotePrefix="0" xfId="0">
      <alignment horizontal="center" vertical="center"/>
    </xf>
    <xf numFmtId="3" fontId="8" fillId="0" borderId="0" applyAlignment="1" pivotButton="0" quotePrefix="0" xfId="0">
      <alignment horizontal="center" vertical="center"/>
    </xf>
    <xf numFmtId="166" fontId="8" fillId="0" borderId="3" applyAlignment="1" pivotButton="0" quotePrefix="0" xfId="0">
      <alignment horizontal="center" vertical="center"/>
    </xf>
    <xf numFmtId="166" fontId="8" fillId="0" borderId="0" applyAlignment="1" pivotButton="0" quotePrefix="0" xfId="0">
      <alignment horizontal="center" vertical="center"/>
    </xf>
    <xf numFmtId="166" fontId="9" fillId="0" borderId="3" applyAlignment="1" pivotButton="0" quotePrefix="0" xfId="0">
      <alignment horizontal="center" vertical="center"/>
    </xf>
    <xf numFmtId="166" fontId="9" fillId="0" borderId="0" applyAlignment="1" pivotButton="0" quotePrefix="0" xfId="0">
      <alignment horizontal="center" vertical="center"/>
    </xf>
    <xf numFmtId="3" fontId="10" fillId="0" borderId="3" applyAlignment="1" pivotButton="0" quotePrefix="0" xfId="0">
      <alignment horizontal="center" vertical="center"/>
    </xf>
    <xf numFmtId="164" fontId="8" fillId="0" borderId="3" applyAlignment="1" pivotButton="0" quotePrefix="0" xfId="0">
      <alignment horizontal="center" vertical="center"/>
    </xf>
    <xf numFmtId="164" fontId="8" fillId="0" borderId="0" applyAlignment="1" pivotButton="0" quotePrefix="0" xfId="0">
      <alignment horizontal="center" vertical="center"/>
    </xf>
    <xf numFmtId="164" fontId="11" fillId="0" borderId="3" applyAlignment="1" pivotButton="0" quotePrefix="0" xfId="0">
      <alignment horizontal="center" vertical="center"/>
    </xf>
    <xf numFmtId="164" fontId="11" fillId="0" borderId="0" applyAlignment="1" pivotButton="0" quotePrefix="0" xfId="0">
      <alignment horizontal="center" vertical="center"/>
    </xf>
    <xf numFmtId="0" fontId="0" fillId="0" borderId="3" pivotButton="0" quotePrefix="0" xfId="0"/>
    <xf numFmtId="0" fontId="12" fillId="0" borderId="0" applyAlignment="1" pivotButton="0" quotePrefix="0" xfId="0">
      <alignment horizontal="left"/>
    </xf>
    <xf numFmtId="0" fontId="3" fillId="0" borderId="0" applyAlignment="1" pivotButton="0" quotePrefix="0" xfId="0">
      <alignment horizontal="left"/>
    </xf>
    <xf numFmtId="0" fontId="14" fillId="3" borderId="0" applyAlignment="1" pivotButton="0" quotePrefix="0" xfId="0">
      <alignment horizontal="center" vertical="center"/>
    </xf>
    <xf numFmtId="0" fontId="6" fillId="0" borderId="0" applyAlignment="1" pivotButton="0" quotePrefix="0" xfId="0">
      <alignment horizontal="center" vertical="center"/>
    </xf>
    <xf numFmtId="0" fontId="13" fillId="0" borderId="0" pivotButton="0" quotePrefix="0" xfId="0"/>
    <xf numFmtId="0" fontId="8" fillId="0" borderId="0" applyAlignment="1" pivotButton="0" quotePrefix="0" xfId="0">
      <alignment horizontal="left" vertical="center" indent="1"/>
    </xf>
    <xf numFmtId="167" fontId="8" fillId="0" borderId="3" applyAlignment="1" pivotButton="0" quotePrefix="0" xfId="0">
      <alignment horizontal="center" vertical="center"/>
    </xf>
    <xf numFmtId="167" fontId="8" fillId="0" borderId="0" applyAlignment="1" pivotButton="0" quotePrefix="0" xfId="0">
      <alignment horizontal="center" vertical="center"/>
    </xf>
    <xf numFmtId="168" fontId="8" fillId="0" borderId="3" applyAlignment="1" pivotButton="0" quotePrefix="0" xfId="0">
      <alignment horizontal="center" vertical="center"/>
    </xf>
    <xf numFmtId="168" fontId="8" fillId="0" borderId="0" applyAlignment="1" pivotButton="0" quotePrefix="0" xfId="0">
      <alignment horizontal="center" vertical="center"/>
    </xf>
    <xf numFmtId="0" fontId="15" fillId="0" borderId="0" pivotButton="0" quotePrefix="0" xfId="0"/>
    <xf numFmtId="0" fontId="16" fillId="6" borderId="0" pivotButton="0" quotePrefix="0" xfId="0"/>
  </cellXfs>
  <cellStyles count="1">
    <cellStyle name="Normal" xfId="0" builtinId="0" hidden="0"/>
  </cellStyles>
  <dxfs count="1">
    <dxf>
      <font>
        <name val="맑은 고딕"/>
        <b val="1"/>
        <color rgb="00FF0000"/>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AC296"/>
  <sheetViews>
    <sheetView showGridLines="0" zoomScale="85" workbookViewId="0">
      <pane xSplit="2" ySplit="3" topLeftCell="C4" activePane="bottomRight" state="frozen"/>
      <selection pane="topRight"/>
      <selection pane="bottomLeft"/>
      <selection pane="bottomRight" activeCell="A1" sqref="A1"/>
    </sheetView>
  </sheetViews>
  <sheetFormatPr baseColWidth="8" defaultRowHeight="15"/>
  <cols>
    <col width="26" customWidth="1" min="1" max="1"/>
    <col width="14" customWidth="1" min="2" max="2"/>
    <col outlineLevel="1" width="11" customWidth="1" min="3" max="3"/>
    <col outlineLevel="1" width="11" customWidth="1" min="4" max="4"/>
    <col outlineLevel="1" width="11" customWidth="1" min="5" max="5"/>
    <col outlineLevel="1" width="11" customWidth="1" min="6" max="6"/>
    <col outlineLevel="1" width="11" customWidth="1" min="7" max="7"/>
    <col outlineLevel="1" width="11" customWidth="1" min="8" max="8"/>
    <col outlineLevel="1" width="11" customWidth="1" min="9" max="9"/>
    <col outlineLevel="1" width="11" customWidth="1" min="10" max="10"/>
    <col outlineLevel="1" width="11" customWidth="1" min="11" max="11"/>
    <col outlineLevel="1" width="11" customWidth="1" min="12" max="12"/>
    <col outlineLevel="1" width="11" customWidth="1" min="13" max="13"/>
    <col outlineLevel="1"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s>
  <sheetData>
    <row r="1" ht="30" customHeight="1">
      <c r="A1" s="1" t="inlineStr">
        <is>
          <t>6857 Model</t>
        </is>
      </c>
    </row>
    <row r="2">
      <c r="A2" s="2" t="inlineStr">
        <is>
          <t>모를 땐 보수적으로</t>
        </is>
      </c>
      <c r="B2" s="3" t="inlineStr">
        <is>
          <t>(단위: 백만엔)</t>
        </is>
      </c>
      <c r="C2" s="3" t="inlineStr">
        <is>
          <t>3월 결산 · IFRS · 2027.1Q = 2027년 3월 결산기 1분기</t>
        </is>
      </c>
      <c r="Y2" s="4" t="inlineStr">
        <is>
          <t>(추정: 파란 글씨 = 직접 입력)</t>
        </is>
      </c>
    </row>
    <row r="3">
      <c r="A3" s="5" t="inlineStr">
        <is>
          <t>항목</t>
        </is>
      </c>
      <c r="B3" s="5" t="inlineStr">
        <is>
          <t>참고</t>
        </is>
      </c>
      <c r="C3" s="6" t="inlineStr">
        <is>
          <t>2024.2Q</t>
        </is>
      </c>
      <c r="D3" s="5" t="inlineStr">
        <is>
          <t>2024.3Q</t>
        </is>
      </c>
      <c r="E3" s="5" t="inlineStr">
        <is>
          <t>2024.4Q</t>
        </is>
      </c>
      <c r="F3" s="5" t="inlineStr">
        <is>
          <t>2025.1Q</t>
        </is>
      </c>
      <c r="G3" s="5" t="inlineStr">
        <is>
          <t>2025.2Q</t>
        </is>
      </c>
      <c r="H3" s="5" t="inlineStr">
        <is>
          <t>2025.3Q</t>
        </is>
      </c>
      <c r="I3" s="5" t="inlineStr">
        <is>
          <t>2025.4Q</t>
        </is>
      </c>
      <c r="J3" s="5" t="inlineStr">
        <is>
          <t>2026.1Q</t>
        </is>
      </c>
      <c r="K3" s="5" t="inlineStr">
        <is>
          <t>2026.2Q</t>
        </is>
      </c>
      <c r="L3" s="5" t="inlineStr">
        <is>
          <t>2026.3Q</t>
        </is>
      </c>
      <c r="M3" s="5" t="inlineStr">
        <is>
          <t>2026.4Q</t>
        </is>
      </c>
      <c r="N3" s="5" t="inlineStr">
        <is>
          <t>2027.1Q</t>
        </is>
      </c>
      <c r="O3" s="6" t="inlineStr">
        <is>
          <t>2017</t>
        </is>
      </c>
      <c r="P3" s="5" t="inlineStr">
        <is>
          <t>2018</t>
        </is>
      </c>
      <c r="Q3" s="5" t="inlineStr">
        <is>
          <t>2019</t>
        </is>
      </c>
      <c r="R3" s="5" t="inlineStr">
        <is>
          <t>2020</t>
        </is>
      </c>
      <c r="S3" s="5" t="inlineStr">
        <is>
          <t>2021</t>
        </is>
      </c>
      <c r="T3" s="5" t="inlineStr">
        <is>
          <t>2022</t>
        </is>
      </c>
      <c r="U3" s="5" t="inlineStr">
        <is>
          <t>2023</t>
        </is>
      </c>
      <c r="V3" s="5" t="inlineStr">
        <is>
          <t>2024</t>
        </is>
      </c>
      <c r="W3" s="5" t="inlineStr">
        <is>
          <t>2025</t>
        </is>
      </c>
      <c r="X3" s="5" t="inlineStr">
        <is>
          <t>2026</t>
        </is>
      </c>
      <c r="Y3" s="7" t="inlineStr">
        <is>
          <t>2027(MW)</t>
        </is>
      </c>
      <c r="Z3" s="8" t="inlineStr">
        <is>
          <t>2028(MW)</t>
        </is>
      </c>
      <c r="AA3" s="8" t="inlineStr">
        <is>
          <t>2029(MW)</t>
        </is>
      </c>
      <c r="AB3" s="8" t="inlineStr">
        <is>
          <t>2030(MW)</t>
        </is>
      </c>
      <c r="AC3" s="8" t="inlineStr">
        <is>
          <t>2031(MW)</t>
        </is>
      </c>
    </row>
    <row r="4">
      <c r="A4" s="9" t="inlineStr">
        <is>
          <t>매출액</t>
        </is>
      </c>
      <c r="B4" s="10" t="inlineStr">
        <is>
          <t>MW = 제품 합계</t>
        </is>
      </c>
      <c r="C4" s="11" t="n">
        <v>116260</v>
      </c>
      <c r="D4" s="12" t="n">
        <v>133233</v>
      </c>
      <c r="E4" s="12" t="n">
        <v>135763</v>
      </c>
      <c r="F4" s="12" t="n">
        <v>138725</v>
      </c>
      <c r="G4" s="12" t="n">
        <v>190481</v>
      </c>
      <c r="H4" s="12" t="n">
        <v>218152</v>
      </c>
      <c r="I4" s="12" t="n">
        <v>232349</v>
      </c>
      <c r="J4" s="12" t="n">
        <v>263776</v>
      </c>
      <c r="K4" s="12" t="n">
        <v>262957</v>
      </c>
      <c r="L4" s="12" t="n">
        <v>273804</v>
      </c>
      <c r="M4" s="12" t="n">
        <v>328073</v>
      </c>
      <c r="N4" s="12" t="n">
        <v>367473</v>
      </c>
      <c r="O4" s="11" t="n"/>
      <c r="P4" s="12" t="n">
        <v>207223</v>
      </c>
      <c r="Q4" s="12" t="n">
        <v>282456</v>
      </c>
      <c r="R4" s="12" t="n">
        <v>275894</v>
      </c>
      <c r="S4" s="12" t="n">
        <v>312789</v>
      </c>
      <c r="T4" s="12" t="n">
        <v>416901</v>
      </c>
      <c r="U4" s="12" t="n">
        <v>560191</v>
      </c>
      <c r="V4" s="12" t="n">
        <v>486507</v>
      </c>
      <c r="W4" s="12" t="n">
        <v>779707</v>
      </c>
      <c r="X4" s="12" t="n">
        <v>1128610</v>
      </c>
      <c r="Y4" s="11">
        <f>IF(COUNT(Y7,Y10,Y13,Y16,Y19,Y22)=0,"",SUM(Y7,Y10,Y13,Y16,Y19,Y22))</f>
        <v/>
      </c>
      <c r="Z4" s="12">
        <f>IF(COUNT(Z7,Z10,Z13,Z16,Z19,Z22)=0,"",SUM(Z7,Z10,Z13,Z16,Z19,Z22))</f>
        <v/>
      </c>
      <c r="AA4" s="12">
        <f>IF(COUNT(AA7,AA10,AA13,AA16,AA19,AA22)=0,"",SUM(AA7,AA10,AA13,AA16,AA19,AA22))</f>
        <v/>
      </c>
      <c r="AB4" s="12">
        <f>IF(COUNT(AB7,AB10,AB13,AB16,AB19,AB22)=0,"",SUM(AB7,AB10,AB13,AB16,AB19,AB22))</f>
        <v/>
      </c>
      <c r="AC4" s="12">
        <f>IF(COUNT(AC7,AC10,AC13,AC16,AC19,AC22)=0,"",SUM(AC7,AC10,AC13,AC16,AC19,AC22))</f>
        <v/>
      </c>
    </row>
    <row r="5">
      <c r="A5" s="13" t="inlineStr">
        <is>
          <t>YoY</t>
        </is>
      </c>
      <c r="B5" s="10" t="n"/>
      <c r="C5" s="14" t="n"/>
      <c r="D5" s="15" t="n"/>
      <c r="E5" s="15" t="n"/>
      <c r="F5" s="15" t="n"/>
      <c r="G5" s="15">
        <f>IF(OR(G4="",C4=""),"",IFERROR(G4/C4-1,""))</f>
        <v/>
      </c>
      <c r="H5" s="15">
        <f>IF(OR(H4="",D4=""),"",IFERROR(H4/D4-1,""))</f>
        <v/>
      </c>
      <c r="I5" s="15">
        <f>IF(OR(I4="",E4=""),"",IFERROR(I4/E4-1,""))</f>
        <v/>
      </c>
      <c r="J5" s="15">
        <f>IF(OR(J4="",F4=""),"",IFERROR(J4/F4-1,""))</f>
        <v/>
      </c>
      <c r="K5" s="15">
        <f>IF(OR(K4="",G4=""),"",IFERROR(K4/G4-1,""))</f>
        <v/>
      </c>
      <c r="L5" s="15">
        <f>IF(OR(L4="",H4=""),"",IFERROR(L4/H4-1,""))</f>
        <v/>
      </c>
      <c r="M5" s="15">
        <f>IF(OR(M4="",I4=""),"",IFERROR(M4/I4-1,""))</f>
        <v/>
      </c>
      <c r="N5" s="15">
        <f>IF(OR(N4="",J4=""),"",IFERROR(N4/J4-1,""))</f>
        <v/>
      </c>
      <c r="O5" s="14" t="n"/>
      <c r="P5" s="15">
        <f>IF(OR(P4="",O4=""),"",IFERROR(P4/O4-1,""))</f>
        <v/>
      </c>
      <c r="Q5" s="15">
        <f>IF(OR(Q4="",P4=""),"",IFERROR(Q4/P4-1,""))</f>
        <v/>
      </c>
      <c r="R5" s="15">
        <f>IF(OR(R4="",Q4=""),"",IFERROR(R4/Q4-1,""))</f>
        <v/>
      </c>
      <c r="S5" s="15">
        <f>IF(OR(S4="",R4=""),"",IFERROR(S4/R4-1,""))</f>
        <v/>
      </c>
      <c r="T5" s="15">
        <f>IF(OR(T4="",S4=""),"",IFERROR(T4/S4-1,""))</f>
        <v/>
      </c>
      <c r="U5" s="15">
        <f>IF(OR(U4="",T4=""),"",IFERROR(U4/T4-1,""))</f>
        <v/>
      </c>
      <c r="V5" s="15">
        <f>IF(OR(V4="",U4=""),"",IFERROR(V4/U4-1,""))</f>
        <v/>
      </c>
      <c r="W5" s="15">
        <f>IF(OR(W4="",V4=""),"",IFERROR(W4/V4-1,""))</f>
        <v/>
      </c>
      <c r="X5" s="15">
        <f>IF(OR(X4="",W4=""),"",IFERROR(X4/W4-1,""))</f>
        <v/>
      </c>
      <c r="Y5" s="14">
        <f>IF(OR(Y4="",X4=""),"",IFERROR(Y4/X4-1,""))</f>
        <v/>
      </c>
      <c r="Z5" s="15">
        <f>IF(OR(Z4="",Y4=""),"",IFERROR(Z4/Y4-1,""))</f>
        <v/>
      </c>
      <c r="AA5" s="15">
        <f>IF(OR(AA4="",Z4=""),"",IFERROR(AA4/Z4-1,""))</f>
        <v/>
      </c>
      <c r="AB5" s="15">
        <f>IF(OR(AB4="",AA4=""),"",IFERROR(AB4/AA4-1,""))</f>
        <v/>
      </c>
      <c r="AC5" s="15">
        <f>IF(OR(AC4="",AB4=""),"",IFERROR(AC4/AB4-1,""))</f>
        <v/>
      </c>
    </row>
    <row r="6">
      <c r="A6" s="16" t="inlineStr">
        <is>
          <t>제품별 매출 분류</t>
        </is>
      </c>
      <c r="B6" s="16" t="inlineStr">
        <is>
          <t>사업보고서 매출실적</t>
        </is>
      </c>
      <c r="C6" s="17" t="n"/>
      <c r="D6" s="16" t="n"/>
      <c r="E6" s="16" t="n"/>
      <c r="F6" s="16" t="n"/>
      <c r="G6" s="16" t="n"/>
      <c r="H6" s="16" t="n"/>
      <c r="I6" s="16" t="n"/>
      <c r="J6" s="16" t="n"/>
      <c r="K6" s="16" t="n"/>
      <c r="L6" s="16" t="n"/>
      <c r="M6" s="16" t="n"/>
      <c r="N6" s="16" t="n"/>
      <c r="O6" s="17" t="n"/>
      <c r="P6" s="16" t="n"/>
      <c r="Q6" s="16" t="n"/>
      <c r="R6" s="16" t="n"/>
      <c r="S6" s="16" t="n"/>
      <c r="T6" s="16" t="n"/>
      <c r="U6" s="16" t="n"/>
      <c r="V6" s="16" t="n"/>
      <c r="W6" s="16" t="n"/>
      <c r="X6" s="16" t="n"/>
      <c r="Y6" s="17" t="n"/>
      <c r="Z6" s="16" t="n"/>
      <c r="AA6" s="16" t="n"/>
      <c r="AB6" s="16" t="n"/>
      <c r="AC6" s="16" t="n"/>
    </row>
    <row r="7">
      <c r="A7" s="18" t="inlineStr">
        <is>
          <t>테스트시스템 사업</t>
        </is>
      </c>
      <c r="B7" s="10" t="n"/>
      <c r="C7" s="19" t="n"/>
      <c r="D7" s="20" t="n"/>
      <c r="E7" s="20" t="n"/>
      <c r="F7" s="20" t="n">
        <v>117286</v>
      </c>
      <c r="G7" s="20" t="n"/>
      <c r="H7" s="20" t="n"/>
      <c r="I7" s="20" t="n"/>
      <c r="J7" s="20" t="n">
        <v>240554</v>
      </c>
      <c r="K7" s="20" t="n"/>
      <c r="L7" s="20" t="n"/>
      <c r="M7" s="20" t="n"/>
      <c r="N7" s="20" t="n">
        <v>333562</v>
      </c>
      <c r="O7" s="19" t="n"/>
      <c r="P7" s="20" t="n"/>
      <c r="Q7" s="20" t="n"/>
      <c r="R7" s="20" t="n"/>
      <c r="S7" s="20" t="n"/>
      <c r="T7" s="20" t="n"/>
      <c r="U7" s="20" t="n"/>
      <c r="V7" s="20" t="n"/>
      <c r="W7" s="20" t="n"/>
      <c r="X7" s="20" t="n"/>
      <c r="Y7" s="21" t="n"/>
      <c r="Z7" s="22" t="n"/>
      <c r="AA7" s="22" t="n"/>
      <c r="AB7" s="22" t="n"/>
      <c r="AC7" s="22" t="n"/>
    </row>
    <row r="8">
      <c r="A8" s="13" t="inlineStr">
        <is>
          <t>비중</t>
        </is>
      </c>
      <c r="B8" s="10" t="n"/>
      <c r="C8" s="14">
        <f>IF(OR(C7="",C4=""),"",IFERROR(C7/C4,""))</f>
        <v/>
      </c>
      <c r="D8" s="15">
        <f>IF(OR(D7="",D4=""),"",IFERROR(D7/D4,""))</f>
        <v/>
      </c>
      <c r="E8" s="15">
        <f>IF(OR(E7="",E4=""),"",IFERROR(E7/E4,""))</f>
        <v/>
      </c>
      <c r="F8" s="15">
        <f>IF(OR(F7="",F4=""),"",IFERROR(F7/F4,""))</f>
        <v/>
      </c>
      <c r="G8" s="15">
        <f>IF(OR(G7="",G4=""),"",IFERROR(G7/G4,""))</f>
        <v/>
      </c>
      <c r="H8" s="15">
        <f>IF(OR(H7="",H4=""),"",IFERROR(H7/H4,""))</f>
        <v/>
      </c>
      <c r="I8" s="15">
        <f>IF(OR(I7="",I4=""),"",IFERROR(I7/I4,""))</f>
        <v/>
      </c>
      <c r="J8" s="15">
        <f>IF(OR(J7="",J4=""),"",IFERROR(J7/J4,""))</f>
        <v/>
      </c>
      <c r="K8" s="15">
        <f>IF(OR(K7="",K4=""),"",IFERROR(K7/K4,""))</f>
        <v/>
      </c>
      <c r="L8" s="15">
        <f>IF(OR(L7="",L4=""),"",IFERROR(L7/L4,""))</f>
        <v/>
      </c>
      <c r="M8" s="15">
        <f>IF(OR(M7="",M4=""),"",IFERROR(M7/M4,""))</f>
        <v/>
      </c>
      <c r="N8" s="15">
        <f>IF(OR(N7="",N4=""),"",IFERROR(N7/N4,""))</f>
        <v/>
      </c>
      <c r="O8" s="14">
        <f>IF(OR(O7="",O4=""),"",IFERROR(O7/O4,""))</f>
        <v/>
      </c>
      <c r="P8" s="15">
        <f>IF(OR(P7="",P4=""),"",IFERROR(P7/P4,""))</f>
        <v/>
      </c>
      <c r="Q8" s="15">
        <f>IF(OR(Q7="",Q4=""),"",IFERROR(Q7/Q4,""))</f>
        <v/>
      </c>
      <c r="R8" s="15">
        <f>IF(OR(R7="",R4=""),"",IFERROR(R7/R4,""))</f>
        <v/>
      </c>
      <c r="S8" s="15">
        <f>IF(OR(S7="",S4=""),"",IFERROR(S7/S4,""))</f>
        <v/>
      </c>
      <c r="T8" s="15">
        <f>IF(OR(T7="",T4=""),"",IFERROR(T7/T4,""))</f>
        <v/>
      </c>
      <c r="U8" s="15">
        <f>IF(OR(U7="",U4=""),"",IFERROR(U7/U4,""))</f>
        <v/>
      </c>
      <c r="V8" s="15">
        <f>IF(OR(V7="",V4=""),"",IFERROR(V7/V4,""))</f>
        <v/>
      </c>
      <c r="W8" s="15">
        <f>IF(OR(W7="",W4=""),"",IFERROR(W7/W4,""))</f>
        <v/>
      </c>
      <c r="X8" s="15">
        <f>IF(OR(X7="",X4=""),"",IFERROR(X7/X4,""))</f>
        <v/>
      </c>
      <c r="Y8" s="14">
        <f>IF(OR(Y7="",Y4=""),"",IFERROR(Y7/Y4,""))</f>
        <v/>
      </c>
      <c r="Z8" s="15">
        <f>IF(OR(Z7="",Z4=""),"",IFERROR(Z7/Z4,""))</f>
        <v/>
      </c>
      <c r="AA8" s="15">
        <f>IF(OR(AA7="",AA4=""),"",IFERROR(AA7/AA4,""))</f>
        <v/>
      </c>
      <c r="AB8" s="15">
        <f>IF(OR(AB7="",AB4=""),"",IFERROR(AB7/AB4,""))</f>
        <v/>
      </c>
      <c r="AC8" s="15">
        <f>IF(OR(AC7="",AC4=""),"",IFERROR(AC7/AC4,""))</f>
        <v/>
      </c>
    </row>
    <row r="9">
      <c r="A9" s="13" t="inlineStr">
        <is>
          <t>YoY</t>
        </is>
      </c>
      <c r="B9" s="10" t="n"/>
      <c r="C9" s="14" t="n"/>
      <c r="D9" s="15" t="n"/>
      <c r="E9" s="15" t="n"/>
      <c r="F9" s="15" t="n"/>
      <c r="G9" s="15">
        <f>IF(OR(G7="",C7=""),"",IFERROR(G7/C7-1,""))</f>
        <v/>
      </c>
      <c r="H9" s="15">
        <f>IF(OR(H7="",D7=""),"",IFERROR(H7/D7-1,""))</f>
        <v/>
      </c>
      <c r="I9" s="15">
        <f>IF(OR(I7="",E7=""),"",IFERROR(I7/E7-1,""))</f>
        <v/>
      </c>
      <c r="J9" s="15">
        <f>IF(OR(J7="",F7=""),"",IFERROR(J7/F7-1,""))</f>
        <v/>
      </c>
      <c r="K9" s="15">
        <f>IF(OR(K7="",G7=""),"",IFERROR(K7/G7-1,""))</f>
        <v/>
      </c>
      <c r="L9" s="15">
        <f>IF(OR(L7="",H7=""),"",IFERROR(L7/H7-1,""))</f>
        <v/>
      </c>
      <c r="M9" s="15">
        <f>IF(OR(M7="",I7=""),"",IFERROR(M7/I7-1,""))</f>
        <v/>
      </c>
      <c r="N9" s="15">
        <f>IF(OR(N7="",J7=""),"",IFERROR(N7/J7-1,""))</f>
        <v/>
      </c>
      <c r="O9" s="14" t="n"/>
      <c r="P9" s="15">
        <f>IF(OR(P7="",O7=""),"",IFERROR(P7/O7-1,""))</f>
        <v/>
      </c>
      <c r="Q9" s="15">
        <f>IF(OR(Q7="",P7=""),"",IFERROR(Q7/P7-1,""))</f>
        <v/>
      </c>
      <c r="R9" s="15">
        <f>IF(OR(R7="",Q7=""),"",IFERROR(R7/Q7-1,""))</f>
        <v/>
      </c>
      <c r="S9" s="15">
        <f>IF(OR(S7="",R7=""),"",IFERROR(S7/R7-1,""))</f>
        <v/>
      </c>
      <c r="T9" s="15">
        <f>IF(OR(T7="",S7=""),"",IFERROR(T7/S7-1,""))</f>
        <v/>
      </c>
      <c r="U9" s="15">
        <f>IF(OR(U7="",T7=""),"",IFERROR(U7/T7-1,""))</f>
        <v/>
      </c>
      <c r="V9" s="15">
        <f>IF(OR(V7="",U7=""),"",IFERROR(V7/U7-1,""))</f>
        <v/>
      </c>
      <c r="W9" s="15">
        <f>IF(OR(W7="",V7=""),"",IFERROR(W7/V7-1,""))</f>
        <v/>
      </c>
      <c r="X9" s="15">
        <f>IF(OR(X7="",W7=""),"",IFERROR(X7/W7-1,""))</f>
        <v/>
      </c>
      <c r="Y9" s="14">
        <f>IF(OR(Y7="",X7=""),"",IFERROR(Y7/X7-1,""))</f>
        <v/>
      </c>
      <c r="Z9" s="15">
        <f>IF(OR(Z7="",Y7=""),"",IFERROR(Z7/Y7-1,""))</f>
        <v/>
      </c>
      <c r="AA9" s="15">
        <f>IF(OR(AA7="",Z7=""),"",IFERROR(AA7/Z7-1,""))</f>
        <v/>
      </c>
      <c r="AB9" s="15">
        <f>IF(OR(AB7="",AA7=""),"",IFERROR(AB7/AA7-1,""))</f>
        <v/>
      </c>
      <c r="AC9" s="15">
        <f>IF(OR(AC7="",AB7=""),"",IFERROR(AC7/AB7-1,""))</f>
        <v/>
      </c>
    </row>
    <row r="10">
      <c r="A10" s="18" t="inlineStr">
        <is>
          <t>Services And Others</t>
        </is>
      </c>
      <c r="B10" s="10" t="n"/>
      <c r="C10" s="19" t="n"/>
      <c r="D10" s="20" t="n"/>
      <c r="E10" s="20" t="n"/>
      <c r="F10" s="20" t="n">
        <v>21439</v>
      </c>
      <c r="G10" s="20" t="n"/>
      <c r="H10" s="20" t="n"/>
      <c r="I10" s="20" t="n"/>
      <c r="J10" s="20" t="n">
        <v>23222</v>
      </c>
      <c r="K10" s="20" t="n"/>
      <c r="L10" s="20" t="n"/>
      <c r="M10" s="20" t="n"/>
      <c r="N10" s="20" t="n">
        <v>33911</v>
      </c>
      <c r="O10" s="19" t="n"/>
      <c r="P10" s="20" t="n"/>
      <c r="Q10" s="20" t="n"/>
      <c r="R10" s="20" t="n"/>
      <c r="S10" s="20" t="n"/>
      <c r="T10" s="20" t="n"/>
      <c r="U10" s="20" t="n"/>
      <c r="V10" s="20" t="n"/>
      <c r="W10" s="20" t="n"/>
      <c r="X10" s="20" t="n"/>
      <c r="Y10" s="21" t="n"/>
      <c r="Z10" s="22" t="n"/>
      <c r="AA10" s="22" t="n"/>
      <c r="AB10" s="22" t="n"/>
      <c r="AC10" s="22" t="n"/>
    </row>
    <row r="11">
      <c r="A11" s="13" t="inlineStr">
        <is>
          <t>비중</t>
        </is>
      </c>
      <c r="B11" s="10" t="n"/>
      <c r="C11" s="14">
        <f>IF(OR(C10="",C4=""),"",IFERROR(C10/C4,""))</f>
        <v/>
      </c>
      <c r="D11" s="15">
        <f>IF(OR(D10="",D4=""),"",IFERROR(D10/D4,""))</f>
        <v/>
      </c>
      <c r="E11" s="15">
        <f>IF(OR(E10="",E4=""),"",IFERROR(E10/E4,""))</f>
        <v/>
      </c>
      <c r="F11" s="15">
        <f>IF(OR(F10="",F4=""),"",IFERROR(F10/F4,""))</f>
        <v/>
      </c>
      <c r="G11" s="15">
        <f>IF(OR(G10="",G4=""),"",IFERROR(G10/G4,""))</f>
        <v/>
      </c>
      <c r="H11" s="15">
        <f>IF(OR(H10="",H4=""),"",IFERROR(H10/H4,""))</f>
        <v/>
      </c>
      <c r="I11" s="15">
        <f>IF(OR(I10="",I4=""),"",IFERROR(I10/I4,""))</f>
        <v/>
      </c>
      <c r="J11" s="15">
        <f>IF(OR(J10="",J4=""),"",IFERROR(J10/J4,""))</f>
        <v/>
      </c>
      <c r="K11" s="15">
        <f>IF(OR(K10="",K4=""),"",IFERROR(K10/K4,""))</f>
        <v/>
      </c>
      <c r="L11" s="15">
        <f>IF(OR(L10="",L4=""),"",IFERROR(L10/L4,""))</f>
        <v/>
      </c>
      <c r="M11" s="15">
        <f>IF(OR(M10="",M4=""),"",IFERROR(M10/M4,""))</f>
        <v/>
      </c>
      <c r="N11" s="15">
        <f>IF(OR(N10="",N4=""),"",IFERROR(N10/N4,""))</f>
        <v/>
      </c>
      <c r="O11" s="14">
        <f>IF(OR(O10="",O4=""),"",IFERROR(O10/O4,""))</f>
        <v/>
      </c>
      <c r="P11" s="15">
        <f>IF(OR(P10="",P4=""),"",IFERROR(P10/P4,""))</f>
        <v/>
      </c>
      <c r="Q11" s="15">
        <f>IF(OR(Q10="",Q4=""),"",IFERROR(Q10/Q4,""))</f>
        <v/>
      </c>
      <c r="R11" s="15">
        <f>IF(OR(R10="",R4=""),"",IFERROR(R10/R4,""))</f>
        <v/>
      </c>
      <c r="S11" s="15">
        <f>IF(OR(S10="",S4=""),"",IFERROR(S10/S4,""))</f>
        <v/>
      </c>
      <c r="T11" s="15">
        <f>IF(OR(T10="",T4=""),"",IFERROR(T10/T4,""))</f>
        <v/>
      </c>
      <c r="U11" s="15">
        <f>IF(OR(U10="",U4=""),"",IFERROR(U10/U4,""))</f>
        <v/>
      </c>
      <c r="V11" s="15">
        <f>IF(OR(V10="",V4=""),"",IFERROR(V10/V4,""))</f>
        <v/>
      </c>
      <c r="W11" s="15">
        <f>IF(OR(W10="",W4=""),"",IFERROR(W10/W4,""))</f>
        <v/>
      </c>
      <c r="X11" s="15">
        <f>IF(OR(X10="",X4=""),"",IFERROR(X10/X4,""))</f>
        <v/>
      </c>
      <c r="Y11" s="14">
        <f>IF(OR(Y10="",Y4=""),"",IFERROR(Y10/Y4,""))</f>
        <v/>
      </c>
      <c r="Z11" s="15">
        <f>IF(OR(Z10="",Z4=""),"",IFERROR(Z10/Z4,""))</f>
        <v/>
      </c>
      <c r="AA11" s="15">
        <f>IF(OR(AA10="",AA4=""),"",IFERROR(AA10/AA4,""))</f>
        <v/>
      </c>
      <c r="AB11" s="15">
        <f>IF(OR(AB10="",AB4=""),"",IFERROR(AB10/AB4,""))</f>
        <v/>
      </c>
      <c r="AC11" s="15">
        <f>IF(OR(AC10="",AC4=""),"",IFERROR(AC10/AC4,""))</f>
        <v/>
      </c>
    </row>
    <row r="12">
      <c r="A12" s="13" t="inlineStr">
        <is>
          <t>YoY</t>
        </is>
      </c>
      <c r="B12" s="10" t="n"/>
      <c r="C12" s="14" t="n"/>
      <c r="D12" s="15" t="n"/>
      <c r="E12" s="15" t="n"/>
      <c r="F12" s="15" t="n"/>
      <c r="G12" s="15">
        <f>IF(OR(G10="",C10=""),"",IFERROR(G10/C10-1,""))</f>
        <v/>
      </c>
      <c r="H12" s="15">
        <f>IF(OR(H10="",D10=""),"",IFERROR(H10/D10-1,""))</f>
        <v/>
      </c>
      <c r="I12" s="15">
        <f>IF(OR(I10="",E10=""),"",IFERROR(I10/E10-1,""))</f>
        <v/>
      </c>
      <c r="J12" s="15">
        <f>IF(OR(J10="",F10=""),"",IFERROR(J10/F10-1,""))</f>
        <v/>
      </c>
      <c r="K12" s="15">
        <f>IF(OR(K10="",G10=""),"",IFERROR(K10/G10-1,""))</f>
        <v/>
      </c>
      <c r="L12" s="15">
        <f>IF(OR(L10="",H10=""),"",IFERROR(L10/H10-1,""))</f>
        <v/>
      </c>
      <c r="M12" s="15">
        <f>IF(OR(M10="",I10=""),"",IFERROR(M10/I10-1,""))</f>
        <v/>
      </c>
      <c r="N12" s="15">
        <f>IF(OR(N10="",J10=""),"",IFERROR(N10/J10-1,""))</f>
        <v/>
      </c>
      <c r="O12" s="14" t="n"/>
      <c r="P12" s="15">
        <f>IF(OR(P10="",O10=""),"",IFERROR(P10/O10-1,""))</f>
        <v/>
      </c>
      <c r="Q12" s="15">
        <f>IF(OR(Q10="",P10=""),"",IFERROR(Q10/P10-1,""))</f>
        <v/>
      </c>
      <c r="R12" s="15">
        <f>IF(OR(R10="",Q10=""),"",IFERROR(R10/Q10-1,""))</f>
        <v/>
      </c>
      <c r="S12" s="15">
        <f>IF(OR(S10="",R10=""),"",IFERROR(S10/R10-1,""))</f>
        <v/>
      </c>
      <c r="T12" s="15">
        <f>IF(OR(T10="",S10=""),"",IFERROR(T10/S10-1,""))</f>
        <v/>
      </c>
      <c r="U12" s="15">
        <f>IF(OR(U10="",T10=""),"",IFERROR(U10/T10-1,""))</f>
        <v/>
      </c>
      <c r="V12" s="15">
        <f>IF(OR(V10="",U10=""),"",IFERROR(V10/U10-1,""))</f>
        <v/>
      </c>
      <c r="W12" s="15">
        <f>IF(OR(W10="",V10=""),"",IFERROR(W10/V10-1,""))</f>
        <v/>
      </c>
      <c r="X12" s="15">
        <f>IF(OR(X10="",W10=""),"",IFERROR(X10/W10-1,""))</f>
        <v/>
      </c>
      <c r="Y12" s="14">
        <f>IF(OR(Y10="",X10=""),"",IFERROR(Y10/X10-1,""))</f>
        <v/>
      </c>
      <c r="Z12" s="15">
        <f>IF(OR(Z10="",Y10=""),"",IFERROR(Z10/Y10-1,""))</f>
        <v/>
      </c>
      <c r="AA12" s="15">
        <f>IF(OR(AA10="",Z10=""),"",IFERROR(AA10/Z10-1,""))</f>
        <v/>
      </c>
      <c r="AB12" s="15">
        <f>IF(OR(AB10="",AA10=""),"",IFERROR(AB10/AA10-1,""))</f>
        <v/>
      </c>
      <c r="AC12" s="15">
        <f>IF(OR(AC10="",AB10=""),"",IFERROR(AC10/AB10-1,""))</f>
        <v/>
      </c>
    </row>
    <row r="13">
      <c r="A13" s="18" t="inlineStr">
        <is>
          <t>테스트시스템 사업</t>
        </is>
      </c>
      <c r="B13" s="10" t="n"/>
      <c r="C13" s="19" t="n"/>
      <c r="D13" s="20" t="n"/>
      <c r="E13" s="20" t="n"/>
      <c r="F13" s="20" t="n"/>
      <c r="G13" s="20" t="n"/>
      <c r="H13" s="20" t="n">
        <v>194084</v>
      </c>
      <c r="I13" s="20" t="n">
        <v>204160</v>
      </c>
      <c r="J13" s="20" t="n"/>
      <c r="K13" s="20" t="n"/>
      <c r="L13" s="20" t="n">
        <v>245098</v>
      </c>
      <c r="M13" s="20" t="n">
        <v>296325</v>
      </c>
      <c r="N13" s="20" t="n"/>
      <c r="O13" s="19" t="n"/>
      <c r="P13" s="20" t="n"/>
      <c r="Q13" s="20" t="n"/>
      <c r="R13" s="20" t="n"/>
      <c r="S13" s="20" t="n"/>
      <c r="T13" s="20" t="n"/>
      <c r="U13" s="20" t="n"/>
      <c r="V13" s="20" t="n"/>
      <c r="W13" s="20" t="n">
        <v>682819</v>
      </c>
      <c r="X13" s="20" t="n">
        <v>1019380</v>
      </c>
      <c r="Y13" s="21" t="n"/>
      <c r="Z13" s="22" t="n"/>
      <c r="AA13" s="22" t="n"/>
      <c r="AB13" s="22" t="n"/>
      <c r="AC13" s="22" t="n"/>
    </row>
    <row r="14">
      <c r="A14" s="13" t="inlineStr">
        <is>
          <t>비중</t>
        </is>
      </c>
      <c r="B14" s="10" t="n"/>
      <c r="C14" s="14">
        <f>IF(OR(C13="",C4=""),"",IFERROR(C13/C4,""))</f>
        <v/>
      </c>
      <c r="D14" s="15">
        <f>IF(OR(D13="",D4=""),"",IFERROR(D13/D4,""))</f>
        <v/>
      </c>
      <c r="E14" s="15">
        <f>IF(OR(E13="",E4=""),"",IFERROR(E13/E4,""))</f>
        <v/>
      </c>
      <c r="F14" s="15">
        <f>IF(OR(F13="",F4=""),"",IFERROR(F13/F4,""))</f>
        <v/>
      </c>
      <c r="G14" s="15">
        <f>IF(OR(G13="",G4=""),"",IFERROR(G13/G4,""))</f>
        <v/>
      </c>
      <c r="H14" s="15">
        <f>IF(OR(H13="",H4=""),"",IFERROR(H13/H4,""))</f>
        <v/>
      </c>
      <c r="I14" s="15">
        <f>IF(OR(I13="",I4=""),"",IFERROR(I13/I4,""))</f>
        <v/>
      </c>
      <c r="J14" s="15">
        <f>IF(OR(J13="",J4=""),"",IFERROR(J13/J4,""))</f>
        <v/>
      </c>
      <c r="K14" s="15">
        <f>IF(OR(K13="",K4=""),"",IFERROR(K13/K4,""))</f>
        <v/>
      </c>
      <c r="L14" s="15">
        <f>IF(OR(L13="",L4=""),"",IFERROR(L13/L4,""))</f>
        <v/>
      </c>
      <c r="M14" s="15">
        <f>IF(OR(M13="",M4=""),"",IFERROR(M13/M4,""))</f>
        <v/>
      </c>
      <c r="N14" s="15">
        <f>IF(OR(N13="",N4=""),"",IFERROR(N13/N4,""))</f>
        <v/>
      </c>
      <c r="O14" s="14">
        <f>IF(OR(O13="",O4=""),"",IFERROR(O13/O4,""))</f>
        <v/>
      </c>
      <c r="P14" s="15">
        <f>IF(OR(P13="",P4=""),"",IFERROR(P13/P4,""))</f>
        <v/>
      </c>
      <c r="Q14" s="15">
        <f>IF(OR(Q13="",Q4=""),"",IFERROR(Q13/Q4,""))</f>
        <v/>
      </c>
      <c r="R14" s="15">
        <f>IF(OR(R13="",R4=""),"",IFERROR(R13/R4,""))</f>
        <v/>
      </c>
      <c r="S14" s="15">
        <f>IF(OR(S13="",S4=""),"",IFERROR(S13/S4,""))</f>
        <v/>
      </c>
      <c r="T14" s="15">
        <f>IF(OR(T13="",T4=""),"",IFERROR(T13/T4,""))</f>
        <v/>
      </c>
      <c r="U14" s="15">
        <f>IF(OR(U13="",U4=""),"",IFERROR(U13/U4,""))</f>
        <v/>
      </c>
      <c r="V14" s="15">
        <f>IF(OR(V13="",V4=""),"",IFERROR(V13/V4,""))</f>
        <v/>
      </c>
      <c r="W14" s="15">
        <f>IF(OR(W13="",W4=""),"",IFERROR(W13/W4,""))</f>
        <v/>
      </c>
      <c r="X14" s="15">
        <f>IF(OR(X13="",X4=""),"",IFERROR(X13/X4,""))</f>
        <v/>
      </c>
      <c r="Y14" s="14">
        <f>IF(OR(Y13="",Y4=""),"",IFERROR(Y13/Y4,""))</f>
        <v/>
      </c>
      <c r="Z14" s="15">
        <f>IF(OR(Z13="",Z4=""),"",IFERROR(Z13/Z4,""))</f>
        <v/>
      </c>
      <c r="AA14" s="15">
        <f>IF(OR(AA13="",AA4=""),"",IFERROR(AA13/AA4,""))</f>
        <v/>
      </c>
      <c r="AB14" s="15">
        <f>IF(OR(AB13="",AB4=""),"",IFERROR(AB13/AB4,""))</f>
        <v/>
      </c>
      <c r="AC14" s="15">
        <f>IF(OR(AC13="",AC4=""),"",IFERROR(AC13/AC4,""))</f>
        <v/>
      </c>
    </row>
    <row r="15">
      <c r="A15" s="13" t="inlineStr">
        <is>
          <t>YoY</t>
        </is>
      </c>
      <c r="B15" s="10" t="n"/>
      <c r="C15" s="14" t="n"/>
      <c r="D15" s="15" t="n"/>
      <c r="E15" s="15" t="n"/>
      <c r="F15" s="15" t="n"/>
      <c r="G15" s="15">
        <f>IF(OR(G13="",C13=""),"",IFERROR(G13/C13-1,""))</f>
        <v/>
      </c>
      <c r="H15" s="15">
        <f>IF(OR(H13="",D13=""),"",IFERROR(H13/D13-1,""))</f>
        <v/>
      </c>
      <c r="I15" s="15">
        <f>IF(OR(I13="",E13=""),"",IFERROR(I13/E13-1,""))</f>
        <v/>
      </c>
      <c r="J15" s="15">
        <f>IF(OR(J13="",F13=""),"",IFERROR(J13/F13-1,""))</f>
        <v/>
      </c>
      <c r="K15" s="15">
        <f>IF(OR(K13="",G13=""),"",IFERROR(K13/G13-1,""))</f>
        <v/>
      </c>
      <c r="L15" s="15">
        <f>IF(OR(L13="",H13=""),"",IFERROR(L13/H13-1,""))</f>
        <v/>
      </c>
      <c r="M15" s="15">
        <f>IF(OR(M13="",I13=""),"",IFERROR(M13/I13-1,""))</f>
        <v/>
      </c>
      <c r="N15" s="15">
        <f>IF(OR(N13="",J13=""),"",IFERROR(N13/J13-1,""))</f>
        <v/>
      </c>
      <c r="O15" s="14" t="n"/>
      <c r="P15" s="15">
        <f>IF(OR(P13="",O13=""),"",IFERROR(P13/O13-1,""))</f>
        <v/>
      </c>
      <c r="Q15" s="15">
        <f>IF(OR(Q13="",P13=""),"",IFERROR(Q13/P13-1,""))</f>
        <v/>
      </c>
      <c r="R15" s="15">
        <f>IF(OR(R13="",Q13=""),"",IFERROR(R13/Q13-1,""))</f>
        <v/>
      </c>
      <c r="S15" s="15">
        <f>IF(OR(S13="",R13=""),"",IFERROR(S13/R13-1,""))</f>
        <v/>
      </c>
      <c r="T15" s="15">
        <f>IF(OR(T13="",S13=""),"",IFERROR(T13/S13-1,""))</f>
        <v/>
      </c>
      <c r="U15" s="15">
        <f>IF(OR(U13="",T13=""),"",IFERROR(U13/T13-1,""))</f>
        <v/>
      </c>
      <c r="V15" s="15">
        <f>IF(OR(V13="",U13=""),"",IFERROR(V13/U13-1,""))</f>
        <v/>
      </c>
      <c r="W15" s="15">
        <f>IF(OR(W13="",V13=""),"",IFERROR(W13/V13-1,""))</f>
        <v/>
      </c>
      <c r="X15" s="15">
        <f>IF(OR(X13="",W13=""),"",IFERROR(X13/W13-1,""))</f>
        <v/>
      </c>
      <c r="Y15" s="14">
        <f>IF(OR(Y13="",X13=""),"",IFERROR(Y13/X13-1,""))</f>
        <v/>
      </c>
      <c r="Z15" s="15">
        <f>IF(OR(Z13="",Y13=""),"",IFERROR(Z13/Y13-1,""))</f>
        <v/>
      </c>
      <c r="AA15" s="15">
        <f>IF(OR(AA13="",Z13=""),"",IFERROR(AA13/Z13-1,""))</f>
        <v/>
      </c>
      <c r="AB15" s="15">
        <f>IF(OR(AB13="",AA13=""),"",IFERROR(AB13/AA13-1,""))</f>
        <v/>
      </c>
      <c r="AC15" s="15">
        <f>IF(OR(AC13="",AB13=""),"",IFERROR(AC13/AB13-1,""))</f>
        <v/>
      </c>
    </row>
    <row r="16">
      <c r="A16" s="18" t="inlineStr">
        <is>
          <t>Services Support And Others</t>
        </is>
      </c>
      <c r="B16" s="10" t="n"/>
      <c r="C16" s="19" t="n">
        <v>22658</v>
      </c>
      <c r="D16" s="20" t="n">
        <v>30008</v>
      </c>
      <c r="E16" s="20" t="n"/>
      <c r="F16" s="20" t="n">
        <v>23356</v>
      </c>
      <c r="G16" s="20" t="n">
        <v>21275</v>
      </c>
      <c r="H16" s="20" t="n">
        <v>24068</v>
      </c>
      <c r="I16" s="20" t="n">
        <v>28189</v>
      </c>
      <c r="J16" s="20" t="n"/>
      <c r="K16" s="20" t="n"/>
      <c r="L16" s="20" t="n">
        <v>28706</v>
      </c>
      <c r="M16" s="20" t="n">
        <v>31748</v>
      </c>
      <c r="N16" s="20" t="n"/>
      <c r="O16" s="19" t="n"/>
      <c r="P16" s="20" t="n"/>
      <c r="Q16" s="20" t="n"/>
      <c r="R16" s="20" t="n"/>
      <c r="S16" s="20" t="n"/>
      <c r="T16" s="20" t="n"/>
      <c r="U16" s="20" t="n"/>
      <c r="V16" s="20" t="n"/>
      <c r="W16" s="20" t="n">
        <v>96888</v>
      </c>
      <c r="X16" s="20" t="n">
        <v>109230</v>
      </c>
      <c r="Y16" s="21" t="n"/>
      <c r="Z16" s="22" t="n"/>
      <c r="AA16" s="22" t="n"/>
      <c r="AB16" s="22" t="n"/>
      <c r="AC16" s="22" t="n"/>
    </row>
    <row r="17">
      <c r="A17" s="13" t="inlineStr">
        <is>
          <t>비중</t>
        </is>
      </c>
      <c r="B17" s="10" t="n"/>
      <c r="C17" s="14">
        <f>IF(OR(C16="",C4=""),"",IFERROR(C16/C4,""))</f>
        <v/>
      </c>
      <c r="D17" s="15">
        <f>IF(OR(D16="",D4=""),"",IFERROR(D16/D4,""))</f>
        <v/>
      </c>
      <c r="E17" s="15">
        <f>IF(OR(E16="",E4=""),"",IFERROR(E16/E4,""))</f>
        <v/>
      </c>
      <c r="F17" s="15">
        <f>IF(OR(F16="",F4=""),"",IFERROR(F16/F4,""))</f>
        <v/>
      </c>
      <c r="G17" s="15">
        <f>IF(OR(G16="",G4=""),"",IFERROR(G16/G4,""))</f>
        <v/>
      </c>
      <c r="H17" s="15">
        <f>IF(OR(H16="",H4=""),"",IFERROR(H16/H4,""))</f>
        <v/>
      </c>
      <c r="I17" s="15">
        <f>IF(OR(I16="",I4=""),"",IFERROR(I16/I4,""))</f>
        <v/>
      </c>
      <c r="J17" s="15">
        <f>IF(OR(J16="",J4=""),"",IFERROR(J16/J4,""))</f>
        <v/>
      </c>
      <c r="K17" s="15">
        <f>IF(OR(K16="",K4=""),"",IFERROR(K16/K4,""))</f>
        <v/>
      </c>
      <c r="L17" s="15">
        <f>IF(OR(L16="",L4=""),"",IFERROR(L16/L4,""))</f>
        <v/>
      </c>
      <c r="M17" s="15">
        <f>IF(OR(M16="",M4=""),"",IFERROR(M16/M4,""))</f>
        <v/>
      </c>
      <c r="N17" s="15">
        <f>IF(OR(N16="",N4=""),"",IFERROR(N16/N4,""))</f>
        <v/>
      </c>
      <c r="O17" s="14">
        <f>IF(OR(O16="",O4=""),"",IFERROR(O16/O4,""))</f>
        <v/>
      </c>
      <c r="P17" s="15">
        <f>IF(OR(P16="",P4=""),"",IFERROR(P16/P4,""))</f>
        <v/>
      </c>
      <c r="Q17" s="15">
        <f>IF(OR(Q16="",Q4=""),"",IFERROR(Q16/Q4,""))</f>
        <v/>
      </c>
      <c r="R17" s="15">
        <f>IF(OR(R16="",R4=""),"",IFERROR(R16/R4,""))</f>
        <v/>
      </c>
      <c r="S17" s="15">
        <f>IF(OR(S16="",S4=""),"",IFERROR(S16/S4,""))</f>
        <v/>
      </c>
      <c r="T17" s="15">
        <f>IF(OR(T16="",T4=""),"",IFERROR(T16/T4,""))</f>
        <v/>
      </c>
      <c r="U17" s="15">
        <f>IF(OR(U16="",U4=""),"",IFERROR(U16/U4,""))</f>
        <v/>
      </c>
      <c r="V17" s="15">
        <f>IF(OR(V16="",V4=""),"",IFERROR(V16/V4,""))</f>
        <v/>
      </c>
      <c r="W17" s="15">
        <f>IF(OR(W16="",W4=""),"",IFERROR(W16/W4,""))</f>
        <v/>
      </c>
      <c r="X17" s="15">
        <f>IF(OR(X16="",X4=""),"",IFERROR(X16/X4,""))</f>
        <v/>
      </c>
      <c r="Y17" s="14">
        <f>IF(OR(Y16="",Y4=""),"",IFERROR(Y16/Y4,""))</f>
        <v/>
      </c>
      <c r="Z17" s="15">
        <f>IF(OR(Z16="",Z4=""),"",IFERROR(Z16/Z4,""))</f>
        <v/>
      </c>
      <c r="AA17" s="15">
        <f>IF(OR(AA16="",AA4=""),"",IFERROR(AA16/AA4,""))</f>
        <v/>
      </c>
      <c r="AB17" s="15">
        <f>IF(OR(AB16="",AB4=""),"",IFERROR(AB16/AB4,""))</f>
        <v/>
      </c>
      <c r="AC17" s="15">
        <f>IF(OR(AC16="",AC4=""),"",IFERROR(AC16/AC4,""))</f>
        <v/>
      </c>
    </row>
    <row r="18">
      <c r="A18" s="13" t="inlineStr">
        <is>
          <t>YoY</t>
        </is>
      </c>
      <c r="B18" s="10" t="n"/>
      <c r="C18" s="14" t="n"/>
      <c r="D18" s="15" t="n"/>
      <c r="E18" s="15" t="n"/>
      <c r="F18" s="15" t="n"/>
      <c r="G18" s="15">
        <f>IF(OR(G16="",C16=""),"",IFERROR(G16/C16-1,""))</f>
        <v/>
      </c>
      <c r="H18" s="15">
        <f>IF(OR(H16="",D16=""),"",IFERROR(H16/D16-1,""))</f>
        <v/>
      </c>
      <c r="I18" s="15">
        <f>IF(OR(I16="",E16=""),"",IFERROR(I16/E16-1,""))</f>
        <v/>
      </c>
      <c r="J18" s="15">
        <f>IF(OR(J16="",F16=""),"",IFERROR(J16/F16-1,""))</f>
        <v/>
      </c>
      <c r="K18" s="15">
        <f>IF(OR(K16="",G16=""),"",IFERROR(K16/G16-1,""))</f>
        <v/>
      </c>
      <c r="L18" s="15">
        <f>IF(OR(L16="",H16=""),"",IFERROR(L16/H16-1,""))</f>
        <v/>
      </c>
      <c r="M18" s="15">
        <f>IF(OR(M16="",I16=""),"",IFERROR(M16/I16-1,""))</f>
        <v/>
      </c>
      <c r="N18" s="15">
        <f>IF(OR(N16="",J16=""),"",IFERROR(N16/J16-1,""))</f>
        <v/>
      </c>
      <c r="O18" s="14" t="n"/>
      <c r="P18" s="15">
        <f>IF(OR(P16="",O16=""),"",IFERROR(P16/O16-1,""))</f>
        <v/>
      </c>
      <c r="Q18" s="15">
        <f>IF(OR(Q16="",P16=""),"",IFERROR(Q16/P16-1,""))</f>
        <v/>
      </c>
      <c r="R18" s="15">
        <f>IF(OR(R16="",Q16=""),"",IFERROR(R16/Q16-1,""))</f>
        <v/>
      </c>
      <c r="S18" s="15">
        <f>IF(OR(S16="",R16=""),"",IFERROR(S16/R16-1,""))</f>
        <v/>
      </c>
      <c r="T18" s="15">
        <f>IF(OR(T16="",S16=""),"",IFERROR(T16/S16-1,""))</f>
        <v/>
      </c>
      <c r="U18" s="15">
        <f>IF(OR(U16="",T16=""),"",IFERROR(U16/T16-1,""))</f>
        <v/>
      </c>
      <c r="V18" s="15">
        <f>IF(OR(V16="",U16=""),"",IFERROR(V16/U16-1,""))</f>
        <v/>
      </c>
      <c r="W18" s="15">
        <f>IF(OR(W16="",V16=""),"",IFERROR(W16/V16-1,""))</f>
        <v/>
      </c>
      <c r="X18" s="15">
        <f>IF(OR(X16="",W16=""),"",IFERROR(X16/W16-1,""))</f>
        <v/>
      </c>
      <c r="Y18" s="14">
        <f>IF(OR(Y16="",X16=""),"",IFERROR(Y16/X16-1,""))</f>
        <v/>
      </c>
      <c r="Z18" s="15">
        <f>IF(OR(Z16="",Y16=""),"",IFERROR(Z16/Y16-1,""))</f>
        <v/>
      </c>
      <c r="AA18" s="15">
        <f>IF(OR(AA16="",Z16=""),"",IFERROR(AA16/Z16-1,""))</f>
        <v/>
      </c>
      <c r="AB18" s="15">
        <f>IF(OR(AB16="",AA16=""),"",IFERROR(AB16/AA16-1,""))</f>
        <v/>
      </c>
      <c r="AC18" s="15">
        <f>IF(OR(AC16="",AB16=""),"",IFERROR(AC16/AB16-1,""))</f>
        <v/>
      </c>
    </row>
    <row r="19">
      <c r="A19" s="18" t="inlineStr">
        <is>
          <t>Semiconductor And Component Test System Business</t>
        </is>
      </c>
      <c r="B19" s="10" t="n"/>
      <c r="C19" s="19" t="n">
        <v>81170</v>
      </c>
      <c r="D19" s="20" t="n">
        <v>88320</v>
      </c>
      <c r="E19" s="20" t="n"/>
      <c r="F19" s="20" t="n">
        <v>101108</v>
      </c>
      <c r="G19" s="20" t="n">
        <v>145470</v>
      </c>
      <c r="H19" s="20" t="n">
        <v>167607</v>
      </c>
      <c r="I19" s="20" t="n"/>
      <c r="J19" s="20" t="n"/>
      <c r="K19" s="20" t="n"/>
      <c r="L19" s="20" t="n"/>
      <c r="M19" s="20" t="n"/>
      <c r="N19" s="20" t="n"/>
      <c r="O19" s="19" t="n"/>
      <c r="P19" s="20" t="n"/>
      <c r="Q19" s="20" t="n"/>
      <c r="R19" s="20" t="n"/>
      <c r="S19" s="20" t="n"/>
      <c r="T19" s="20" t="n"/>
      <c r="U19" s="20" t="n"/>
      <c r="V19" s="20" t="n"/>
      <c r="W19" s="20" t="n"/>
      <c r="X19" s="20" t="n"/>
      <c r="Y19" s="21" t="n"/>
      <c r="Z19" s="22" t="n"/>
      <c r="AA19" s="22" t="n"/>
      <c r="AB19" s="22" t="n"/>
      <c r="AC19" s="22" t="n"/>
    </row>
    <row r="20">
      <c r="A20" s="13" t="inlineStr">
        <is>
          <t>비중</t>
        </is>
      </c>
      <c r="B20" s="10" t="n"/>
      <c r="C20" s="14">
        <f>IF(OR(C19="",C4=""),"",IFERROR(C19/C4,""))</f>
        <v/>
      </c>
      <c r="D20" s="15">
        <f>IF(OR(D19="",D4=""),"",IFERROR(D19/D4,""))</f>
        <v/>
      </c>
      <c r="E20" s="15">
        <f>IF(OR(E19="",E4=""),"",IFERROR(E19/E4,""))</f>
        <v/>
      </c>
      <c r="F20" s="15">
        <f>IF(OR(F19="",F4=""),"",IFERROR(F19/F4,""))</f>
        <v/>
      </c>
      <c r="G20" s="15">
        <f>IF(OR(G19="",G4=""),"",IFERROR(G19/G4,""))</f>
        <v/>
      </c>
      <c r="H20" s="15">
        <f>IF(OR(H19="",H4=""),"",IFERROR(H19/H4,""))</f>
        <v/>
      </c>
      <c r="I20" s="15">
        <f>IF(OR(I19="",I4=""),"",IFERROR(I19/I4,""))</f>
        <v/>
      </c>
      <c r="J20" s="15">
        <f>IF(OR(J19="",J4=""),"",IFERROR(J19/J4,""))</f>
        <v/>
      </c>
      <c r="K20" s="15">
        <f>IF(OR(K19="",K4=""),"",IFERROR(K19/K4,""))</f>
        <v/>
      </c>
      <c r="L20" s="15">
        <f>IF(OR(L19="",L4=""),"",IFERROR(L19/L4,""))</f>
        <v/>
      </c>
      <c r="M20" s="15">
        <f>IF(OR(M19="",M4=""),"",IFERROR(M19/M4,""))</f>
        <v/>
      </c>
      <c r="N20" s="15">
        <f>IF(OR(N19="",N4=""),"",IFERROR(N19/N4,""))</f>
        <v/>
      </c>
      <c r="O20" s="14">
        <f>IF(OR(O19="",O4=""),"",IFERROR(O19/O4,""))</f>
        <v/>
      </c>
      <c r="P20" s="15">
        <f>IF(OR(P19="",P4=""),"",IFERROR(P19/P4,""))</f>
        <v/>
      </c>
      <c r="Q20" s="15">
        <f>IF(OR(Q19="",Q4=""),"",IFERROR(Q19/Q4,""))</f>
        <v/>
      </c>
      <c r="R20" s="15">
        <f>IF(OR(R19="",R4=""),"",IFERROR(R19/R4,""))</f>
        <v/>
      </c>
      <c r="S20" s="15">
        <f>IF(OR(S19="",S4=""),"",IFERROR(S19/S4,""))</f>
        <v/>
      </c>
      <c r="T20" s="15">
        <f>IF(OR(T19="",T4=""),"",IFERROR(T19/T4,""))</f>
        <v/>
      </c>
      <c r="U20" s="15">
        <f>IF(OR(U19="",U4=""),"",IFERROR(U19/U4,""))</f>
        <v/>
      </c>
      <c r="V20" s="15">
        <f>IF(OR(V19="",V4=""),"",IFERROR(V19/V4,""))</f>
        <v/>
      </c>
      <c r="W20" s="15">
        <f>IF(OR(W19="",W4=""),"",IFERROR(W19/W4,""))</f>
        <v/>
      </c>
      <c r="X20" s="15">
        <f>IF(OR(X19="",X4=""),"",IFERROR(X19/X4,""))</f>
        <v/>
      </c>
      <c r="Y20" s="14">
        <f>IF(OR(Y19="",Y4=""),"",IFERROR(Y19/Y4,""))</f>
        <v/>
      </c>
      <c r="Z20" s="15">
        <f>IF(OR(Z19="",Z4=""),"",IFERROR(Z19/Z4,""))</f>
        <v/>
      </c>
      <c r="AA20" s="15">
        <f>IF(OR(AA19="",AA4=""),"",IFERROR(AA19/AA4,""))</f>
        <v/>
      </c>
      <c r="AB20" s="15">
        <f>IF(OR(AB19="",AB4=""),"",IFERROR(AB19/AB4,""))</f>
        <v/>
      </c>
      <c r="AC20" s="15">
        <f>IF(OR(AC19="",AC4=""),"",IFERROR(AC19/AC4,""))</f>
        <v/>
      </c>
    </row>
    <row r="21">
      <c r="A21" s="13" t="inlineStr">
        <is>
          <t>YoY</t>
        </is>
      </c>
      <c r="B21" s="10" t="n"/>
      <c r="C21" s="14" t="n"/>
      <c r="D21" s="15" t="n"/>
      <c r="E21" s="15" t="n"/>
      <c r="F21" s="15" t="n"/>
      <c r="G21" s="15">
        <f>IF(OR(G19="",C19=""),"",IFERROR(G19/C19-1,""))</f>
        <v/>
      </c>
      <c r="H21" s="15">
        <f>IF(OR(H19="",D19=""),"",IFERROR(H19/D19-1,""))</f>
        <v/>
      </c>
      <c r="I21" s="15">
        <f>IF(OR(I19="",E19=""),"",IFERROR(I19/E19-1,""))</f>
        <v/>
      </c>
      <c r="J21" s="15">
        <f>IF(OR(J19="",F19=""),"",IFERROR(J19/F19-1,""))</f>
        <v/>
      </c>
      <c r="K21" s="15">
        <f>IF(OR(K19="",G19=""),"",IFERROR(K19/G19-1,""))</f>
        <v/>
      </c>
      <c r="L21" s="15">
        <f>IF(OR(L19="",H19=""),"",IFERROR(L19/H19-1,""))</f>
        <v/>
      </c>
      <c r="M21" s="15">
        <f>IF(OR(M19="",I19=""),"",IFERROR(M19/I19-1,""))</f>
        <v/>
      </c>
      <c r="N21" s="15">
        <f>IF(OR(N19="",J19=""),"",IFERROR(N19/J19-1,""))</f>
        <v/>
      </c>
      <c r="O21" s="14" t="n"/>
      <c r="P21" s="15">
        <f>IF(OR(P19="",O19=""),"",IFERROR(P19/O19-1,""))</f>
        <v/>
      </c>
      <c r="Q21" s="15">
        <f>IF(OR(Q19="",P19=""),"",IFERROR(Q19/P19-1,""))</f>
        <v/>
      </c>
      <c r="R21" s="15">
        <f>IF(OR(R19="",Q19=""),"",IFERROR(R19/Q19-1,""))</f>
        <v/>
      </c>
      <c r="S21" s="15">
        <f>IF(OR(S19="",R19=""),"",IFERROR(S19/R19-1,""))</f>
        <v/>
      </c>
      <c r="T21" s="15">
        <f>IF(OR(T19="",S19=""),"",IFERROR(T19/S19-1,""))</f>
        <v/>
      </c>
      <c r="U21" s="15">
        <f>IF(OR(U19="",T19=""),"",IFERROR(U19/T19-1,""))</f>
        <v/>
      </c>
      <c r="V21" s="15">
        <f>IF(OR(V19="",U19=""),"",IFERROR(V19/U19-1,""))</f>
        <v/>
      </c>
      <c r="W21" s="15">
        <f>IF(OR(W19="",V19=""),"",IFERROR(W19/V19-1,""))</f>
        <v/>
      </c>
      <c r="X21" s="15">
        <f>IF(OR(X19="",W19=""),"",IFERROR(X19/W19-1,""))</f>
        <v/>
      </c>
      <c r="Y21" s="14">
        <f>IF(OR(Y19="",X19=""),"",IFERROR(Y19/X19-1,""))</f>
        <v/>
      </c>
      <c r="Z21" s="15">
        <f>IF(OR(Z19="",Y19=""),"",IFERROR(Z19/Y19-1,""))</f>
        <v/>
      </c>
      <c r="AA21" s="15">
        <f>IF(OR(AA19="",Z19=""),"",IFERROR(AA19/Z19-1,""))</f>
        <v/>
      </c>
      <c r="AB21" s="15">
        <f>IF(OR(AB19="",AA19=""),"",IFERROR(AB19/AA19-1,""))</f>
        <v/>
      </c>
      <c r="AC21" s="15">
        <f>IF(OR(AC19="",AB19=""),"",IFERROR(AC19/AB19-1,""))</f>
        <v/>
      </c>
    </row>
    <row r="22">
      <c r="A22" s="18" t="inlineStr">
        <is>
          <t>Mechatronics System Business</t>
        </is>
      </c>
      <c r="B22" s="10" t="n"/>
      <c r="C22" s="19" t="n">
        <v>12432</v>
      </c>
      <c r="D22" s="20" t="n">
        <v>14905</v>
      </c>
      <c r="E22" s="20" t="n"/>
      <c r="F22" s="20" t="n">
        <v>14261</v>
      </c>
      <c r="G22" s="20" t="n">
        <v>17245</v>
      </c>
      <c r="H22" s="20" t="n">
        <v>23563</v>
      </c>
      <c r="I22" s="20" t="n"/>
      <c r="J22" s="20" t="n"/>
      <c r="K22" s="20" t="n"/>
      <c r="L22" s="20" t="n"/>
      <c r="M22" s="20" t="n"/>
      <c r="N22" s="20" t="n"/>
      <c r="O22" s="19" t="n"/>
      <c r="P22" s="20" t="n"/>
      <c r="Q22" s="20" t="n"/>
      <c r="R22" s="20" t="n"/>
      <c r="S22" s="20" t="n"/>
      <c r="T22" s="20" t="n"/>
      <c r="U22" s="20" t="n"/>
      <c r="V22" s="20" t="n"/>
      <c r="W22" s="20" t="n"/>
      <c r="X22" s="20" t="n"/>
      <c r="Y22" s="21" t="n"/>
      <c r="Z22" s="22" t="n"/>
      <c r="AA22" s="22" t="n"/>
      <c r="AB22" s="22" t="n"/>
      <c r="AC22" s="22" t="n"/>
    </row>
    <row r="23">
      <c r="A23" s="13" t="inlineStr">
        <is>
          <t>비중</t>
        </is>
      </c>
      <c r="B23" s="10" t="n"/>
      <c r="C23" s="14">
        <f>IF(OR(C22="",C4=""),"",IFERROR(C22/C4,""))</f>
        <v/>
      </c>
      <c r="D23" s="15">
        <f>IF(OR(D22="",D4=""),"",IFERROR(D22/D4,""))</f>
        <v/>
      </c>
      <c r="E23" s="15">
        <f>IF(OR(E22="",E4=""),"",IFERROR(E22/E4,""))</f>
        <v/>
      </c>
      <c r="F23" s="15">
        <f>IF(OR(F22="",F4=""),"",IFERROR(F22/F4,""))</f>
        <v/>
      </c>
      <c r="G23" s="15">
        <f>IF(OR(G22="",G4=""),"",IFERROR(G22/G4,""))</f>
        <v/>
      </c>
      <c r="H23" s="15">
        <f>IF(OR(H22="",H4=""),"",IFERROR(H22/H4,""))</f>
        <v/>
      </c>
      <c r="I23" s="15">
        <f>IF(OR(I22="",I4=""),"",IFERROR(I22/I4,""))</f>
        <v/>
      </c>
      <c r="J23" s="15">
        <f>IF(OR(J22="",J4=""),"",IFERROR(J22/J4,""))</f>
        <v/>
      </c>
      <c r="K23" s="15">
        <f>IF(OR(K22="",K4=""),"",IFERROR(K22/K4,""))</f>
        <v/>
      </c>
      <c r="L23" s="15">
        <f>IF(OR(L22="",L4=""),"",IFERROR(L22/L4,""))</f>
        <v/>
      </c>
      <c r="M23" s="15">
        <f>IF(OR(M22="",M4=""),"",IFERROR(M22/M4,""))</f>
        <v/>
      </c>
      <c r="N23" s="15">
        <f>IF(OR(N22="",N4=""),"",IFERROR(N22/N4,""))</f>
        <v/>
      </c>
      <c r="O23" s="14">
        <f>IF(OR(O22="",O4=""),"",IFERROR(O22/O4,""))</f>
        <v/>
      </c>
      <c r="P23" s="15">
        <f>IF(OR(P22="",P4=""),"",IFERROR(P22/P4,""))</f>
        <v/>
      </c>
      <c r="Q23" s="15">
        <f>IF(OR(Q22="",Q4=""),"",IFERROR(Q22/Q4,""))</f>
        <v/>
      </c>
      <c r="R23" s="15">
        <f>IF(OR(R22="",R4=""),"",IFERROR(R22/R4,""))</f>
        <v/>
      </c>
      <c r="S23" s="15">
        <f>IF(OR(S22="",S4=""),"",IFERROR(S22/S4,""))</f>
        <v/>
      </c>
      <c r="T23" s="15">
        <f>IF(OR(T22="",T4=""),"",IFERROR(T22/T4,""))</f>
        <v/>
      </c>
      <c r="U23" s="15">
        <f>IF(OR(U22="",U4=""),"",IFERROR(U22/U4,""))</f>
        <v/>
      </c>
      <c r="V23" s="15">
        <f>IF(OR(V22="",V4=""),"",IFERROR(V22/V4,""))</f>
        <v/>
      </c>
      <c r="W23" s="15">
        <f>IF(OR(W22="",W4=""),"",IFERROR(W22/W4,""))</f>
        <v/>
      </c>
      <c r="X23" s="15">
        <f>IF(OR(X22="",X4=""),"",IFERROR(X22/X4,""))</f>
        <v/>
      </c>
      <c r="Y23" s="14">
        <f>IF(OR(Y22="",Y4=""),"",IFERROR(Y22/Y4,""))</f>
        <v/>
      </c>
      <c r="Z23" s="15">
        <f>IF(OR(Z22="",Z4=""),"",IFERROR(Z22/Z4,""))</f>
        <v/>
      </c>
      <c r="AA23" s="15">
        <f>IF(OR(AA22="",AA4=""),"",IFERROR(AA22/AA4,""))</f>
        <v/>
      </c>
      <c r="AB23" s="15">
        <f>IF(OR(AB22="",AB4=""),"",IFERROR(AB22/AB4,""))</f>
        <v/>
      </c>
      <c r="AC23" s="15">
        <f>IF(OR(AC22="",AC4=""),"",IFERROR(AC22/AC4,""))</f>
        <v/>
      </c>
    </row>
    <row r="24">
      <c r="A24" s="13" t="inlineStr">
        <is>
          <t>YoY</t>
        </is>
      </c>
      <c r="B24" s="10" t="n"/>
      <c r="C24" s="14" t="n"/>
      <c r="D24" s="15" t="n"/>
      <c r="E24" s="15" t="n"/>
      <c r="F24" s="15" t="n"/>
      <c r="G24" s="15">
        <f>IF(OR(G22="",C22=""),"",IFERROR(G22/C22-1,""))</f>
        <v/>
      </c>
      <c r="H24" s="15">
        <f>IF(OR(H22="",D22=""),"",IFERROR(H22/D22-1,""))</f>
        <v/>
      </c>
      <c r="I24" s="15">
        <f>IF(OR(I22="",E22=""),"",IFERROR(I22/E22-1,""))</f>
        <v/>
      </c>
      <c r="J24" s="15">
        <f>IF(OR(J22="",F22=""),"",IFERROR(J22/F22-1,""))</f>
        <v/>
      </c>
      <c r="K24" s="15">
        <f>IF(OR(K22="",G22=""),"",IFERROR(K22/G22-1,""))</f>
        <v/>
      </c>
      <c r="L24" s="15">
        <f>IF(OR(L22="",H22=""),"",IFERROR(L22/H22-1,""))</f>
        <v/>
      </c>
      <c r="M24" s="15">
        <f>IF(OR(M22="",I22=""),"",IFERROR(M22/I22-1,""))</f>
        <v/>
      </c>
      <c r="N24" s="15">
        <f>IF(OR(N22="",J22=""),"",IFERROR(N22/J22-1,""))</f>
        <v/>
      </c>
      <c r="O24" s="14" t="n"/>
      <c r="P24" s="15">
        <f>IF(OR(P22="",O22=""),"",IFERROR(P22/O22-1,""))</f>
        <v/>
      </c>
      <c r="Q24" s="15">
        <f>IF(OR(Q22="",P22=""),"",IFERROR(Q22/P22-1,""))</f>
        <v/>
      </c>
      <c r="R24" s="15">
        <f>IF(OR(R22="",Q22=""),"",IFERROR(R22/Q22-1,""))</f>
        <v/>
      </c>
      <c r="S24" s="15">
        <f>IF(OR(S22="",R22=""),"",IFERROR(S22/R22-1,""))</f>
        <v/>
      </c>
      <c r="T24" s="15">
        <f>IF(OR(T22="",S22=""),"",IFERROR(T22/S22-1,""))</f>
        <v/>
      </c>
      <c r="U24" s="15">
        <f>IF(OR(U22="",T22=""),"",IFERROR(U22/T22-1,""))</f>
        <v/>
      </c>
      <c r="V24" s="15">
        <f>IF(OR(V22="",U22=""),"",IFERROR(V22/U22-1,""))</f>
        <v/>
      </c>
      <c r="W24" s="15">
        <f>IF(OR(W22="",V22=""),"",IFERROR(W22/V22-1,""))</f>
        <v/>
      </c>
      <c r="X24" s="15">
        <f>IF(OR(X22="",W22=""),"",IFERROR(X22/W22-1,""))</f>
        <v/>
      </c>
      <c r="Y24" s="14">
        <f>IF(OR(Y22="",X22=""),"",IFERROR(Y22/X22-1,""))</f>
        <v/>
      </c>
      <c r="Z24" s="15">
        <f>IF(OR(Z22="",Y22=""),"",IFERROR(Z22/Y22-1,""))</f>
        <v/>
      </c>
      <c r="AA24" s="15">
        <f>IF(OR(AA22="",Z22=""),"",IFERROR(AA22/Z22-1,""))</f>
        <v/>
      </c>
      <c r="AB24" s="15">
        <f>IF(OR(AB22="",AA22=""),"",IFERROR(AB22/AA22-1,""))</f>
        <v/>
      </c>
      <c r="AC24" s="15">
        <f>IF(OR(AC22="",AB22=""),"",IFERROR(AC22/AB22-1,""))</f>
        <v/>
      </c>
    </row>
    <row r="25">
      <c r="A25" s="16" t="inlineStr">
        <is>
          <t>매출원가</t>
        </is>
      </c>
      <c r="B25" s="16" t="n"/>
      <c r="C25" s="17" t="n"/>
      <c r="D25" s="16" t="n"/>
      <c r="E25" s="16" t="n"/>
      <c r="F25" s="16" t="n"/>
      <c r="G25" s="16" t="n"/>
      <c r="H25" s="16" t="n"/>
      <c r="I25" s="16" t="n"/>
      <c r="J25" s="16" t="n"/>
      <c r="K25" s="16" t="n"/>
      <c r="L25" s="16" t="n"/>
      <c r="M25" s="16" t="n"/>
      <c r="N25" s="16" t="n"/>
      <c r="O25" s="17" t="n"/>
      <c r="P25" s="16" t="n"/>
      <c r="Q25" s="16" t="n"/>
      <c r="R25" s="16" t="n"/>
      <c r="S25" s="16" t="n"/>
      <c r="T25" s="16" t="n"/>
      <c r="U25" s="16" t="n"/>
      <c r="V25" s="16" t="n"/>
      <c r="W25" s="16" t="n"/>
      <c r="X25" s="16" t="n"/>
      <c r="Y25" s="17" t="n"/>
      <c r="Z25" s="16" t="n"/>
      <c r="AA25" s="16" t="n"/>
      <c r="AB25" s="16" t="n"/>
      <c r="AC25" s="16" t="n"/>
    </row>
    <row r="26">
      <c r="A26" s="18" t="inlineStr">
        <is>
          <t>전체 매출원가</t>
        </is>
      </c>
      <c r="B26" s="10" t="n"/>
      <c r="C26" s="19" t="n">
        <v>58202</v>
      </c>
      <c r="D26" s="20" t="n">
        <v>65846</v>
      </c>
      <c r="E26" s="20" t="n">
        <v>66129</v>
      </c>
      <c r="F26" s="20" t="n">
        <v>61819</v>
      </c>
      <c r="G26" s="20" t="n">
        <v>80390</v>
      </c>
      <c r="H26" s="20" t="n">
        <v>99298</v>
      </c>
      <c r="I26" s="20" t="n">
        <v>93115</v>
      </c>
      <c r="J26" s="20" t="n">
        <v>92138</v>
      </c>
      <c r="K26" s="20" t="n">
        <v>99316</v>
      </c>
      <c r="L26" s="20" t="n">
        <v>104096</v>
      </c>
      <c r="M26" s="20" t="n">
        <v>106953</v>
      </c>
      <c r="N26" s="20" t="n">
        <v>111920</v>
      </c>
      <c r="O26" s="19" t="n"/>
      <c r="P26" s="20" t="n">
        <v>100635</v>
      </c>
      <c r="Q26" s="20" t="n">
        <v>128417</v>
      </c>
      <c r="R26" s="20" t="n">
        <v>119397</v>
      </c>
      <c r="S26" s="20" t="n">
        <v>144498</v>
      </c>
      <c r="T26" s="20" t="n">
        <v>180994</v>
      </c>
      <c r="U26" s="20" t="n">
        <v>241130</v>
      </c>
      <c r="V26" s="20" t="n">
        <v>240477</v>
      </c>
      <c r="W26" s="20" t="n">
        <v>334622</v>
      </c>
      <c r="X26" s="20" t="n">
        <v>402503</v>
      </c>
      <c r="Y26" s="19" t="n"/>
      <c r="Z26" s="20" t="n"/>
      <c r="AA26" s="20" t="n"/>
      <c r="AB26" s="20" t="n"/>
      <c r="AC26" s="20" t="n"/>
    </row>
    <row r="27">
      <c r="A27" s="18" t="inlineStr">
        <is>
          <t>매출총이익</t>
        </is>
      </c>
      <c r="B27" s="10" t="n"/>
      <c r="C27" s="19">
        <f>IF(OR(C4="",C26=""),"",IFERROR(C4-C26,""))</f>
        <v/>
      </c>
      <c r="D27" s="20">
        <f>IF(OR(D4="",D26=""),"",IFERROR(D4-D26,""))</f>
        <v/>
      </c>
      <c r="E27" s="20">
        <f>IF(OR(E4="",E26=""),"",IFERROR(E4-E26,""))</f>
        <v/>
      </c>
      <c r="F27" s="20">
        <f>IF(OR(F4="",F26=""),"",IFERROR(F4-F26,""))</f>
        <v/>
      </c>
      <c r="G27" s="20">
        <f>IF(OR(G4="",G26=""),"",IFERROR(G4-G26,""))</f>
        <v/>
      </c>
      <c r="H27" s="20">
        <f>IF(OR(H4="",H26=""),"",IFERROR(H4-H26,""))</f>
        <v/>
      </c>
      <c r="I27" s="20">
        <f>IF(OR(I4="",I26=""),"",IFERROR(I4-I26,""))</f>
        <v/>
      </c>
      <c r="J27" s="20">
        <f>IF(OR(J4="",J26=""),"",IFERROR(J4-J26,""))</f>
        <v/>
      </c>
      <c r="K27" s="20">
        <f>IF(OR(K4="",K26=""),"",IFERROR(K4-K26,""))</f>
        <v/>
      </c>
      <c r="L27" s="20">
        <f>IF(OR(L4="",L26=""),"",IFERROR(L4-L26,""))</f>
        <v/>
      </c>
      <c r="M27" s="20">
        <f>IF(OR(M4="",M26=""),"",IFERROR(M4-M26,""))</f>
        <v/>
      </c>
      <c r="N27" s="20">
        <f>IF(OR(N4="",N26=""),"",IFERROR(N4-N26,""))</f>
        <v/>
      </c>
      <c r="O27" s="19">
        <f>IF(OR(O4="",O26=""),"",IFERROR(O4-O26,""))</f>
        <v/>
      </c>
      <c r="P27" s="20">
        <f>IF(OR(P4="",P26=""),"",IFERROR(P4-P26,""))</f>
        <v/>
      </c>
      <c r="Q27" s="20">
        <f>IF(OR(Q4="",Q26=""),"",IFERROR(Q4-Q26,""))</f>
        <v/>
      </c>
      <c r="R27" s="20">
        <f>IF(OR(R4="",R26=""),"",IFERROR(R4-R26,""))</f>
        <v/>
      </c>
      <c r="S27" s="20">
        <f>IF(OR(S4="",S26=""),"",IFERROR(S4-S26,""))</f>
        <v/>
      </c>
      <c r="T27" s="20">
        <f>IF(OR(T4="",T26=""),"",IFERROR(T4-T26,""))</f>
        <v/>
      </c>
      <c r="U27" s="20">
        <f>IF(OR(U4="",U26=""),"",IFERROR(U4-U26,""))</f>
        <v/>
      </c>
      <c r="V27" s="20">
        <f>IF(OR(V4="",V26=""),"",IFERROR(V4-V26,""))</f>
        <v/>
      </c>
      <c r="W27" s="20">
        <f>IF(OR(W4="",W26=""),"",IFERROR(W4-W26,""))</f>
        <v/>
      </c>
      <c r="X27" s="20">
        <f>IF(OR(X4="",X26=""),"",IFERROR(X4-X26,""))</f>
        <v/>
      </c>
      <c r="Y27" s="19" t="n"/>
      <c r="Z27" s="20" t="n"/>
      <c r="AA27" s="20" t="n"/>
      <c r="AB27" s="20" t="n"/>
      <c r="AC27" s="20" t="n"/>
    </row>
    <row r="28">
      <c r="A28" s="13" t="inlineStr">
        <is>
          <t>GPM</t>
        </is>
      </c>
      <c r="B28" s="10" t="n"/>
      <c r="C28" s="14">
        <f>IF(OR(C27="",C4=""),"",IFERROR(C27/C4,""))</f>
        <v/>
      </c>
      <c r="D28" s="15">
        <f>IF(OR(D27="",D4=""),"",IFERROR(D27/D4,""))</f>
        <v/>
      </c>
      <c r="E28" s="15">
        <f>IF(OR(E27="",E4=""),"",IFERROR(E27/E4,""))</f>
        <v/>
      </c>
      <c r="F28" s="15">
        <f>IF(OR(F27="",F4=""),"",IFERROR(F27/F4,""))</f>
        <v/>
      </c>
      <c r="G28" s="15">
        <f>IF(OR(G27="",G4=""),"",IFERROR(G27/G4,""))</f>
        <v/>
      </c>
      <c r="H28" s="15">
        <f>IF(OR(H27="",H4=""),"",IFERROR(H27/H4,""))</f>
        <v/>
      </c>
      <c r="I28" s="15">
        <f>IF(OR(I27="",I4=""),"",IFERROR(I27/I4,""))</f>
        <v/>
      </c>
      <c r="J28" s="15">
        <f>IF(OR(J27="",J4=""),"",IFERROR(J27/J4,""))</f>
        <v/>
      </c>
      <c r="K28" s="15">
        <f>IF(OR(K27="",K4=""),"",IFERROR(K27/K4,""))</f>
        <v/>
      </c>
      <c r="L28" s="15">
        <f>IF(OR(L27="",L4=""),"",IFERROR(L27/L4,""))</f>
        <v/>
      </c>
      <c r="M28" s="15">
        <f>IF(OR(M27="",M4=""),"",IFERROR(M27/M4,""))</f>
        <v/>
      </c>
      <c r="N28" s="15">
        <f>IF(OR(N27="",N4=""),"",IFERROR(N27/N4,""))</f>
        <v/>
      </c>
      <c r="O28" s="14">
        <f>IF(OR(O27="",O4=""),"",IFERROR(O27/O4,""))</f>
        <v/>
      </c>
      <c r="P28" s="15">
        <f>IF(OR(P27="",P4=""),"",IFERROR(P27/P4,""))</f>
        <v/>
      </c>
      <c r="Q28" s="15">
        <f>IF(OR(Q27="",Q4=""),"",IFERROR(Q27/Q4,""))</f>
        <v/>
      </c>
      <c r="R28" s="15">
        <f>IF(OR(R27="",R4=""),"",IFERROR(R27/R4,""))</f>
        <v/>
      </c>
      <c r="S28" s="15">
        <f>IF(OR(S27="",S4=""),"",IFERROR(S27/S4,""))</f>
        <v/>
      </c>
      <c r="T28" s="15">
        <f>IF(OR(T27="",T4=""),"",IFERROR(T27/T4,""))</f>
        <v/>
      </c>
      <c r="U28" s="15">
        <f>IF(OR(U27="",U4=""),"",IFERROR(U27/U4,""))</f>
        <v/>
      </c>
      <c r="V28" s="15">
        <f>IF(OR(V27="",V4=""),"",IFERROR(V27/V4,""))</f>
        <v/>
      </c>
      <c r="W28" s="15">
        <f>IF(OR(W27="",W4=""),"",IFERROR(W27/W4,""))</f>
        <v/>
      </c>
      <c r="X28" s="15">
        <f>IF(OR(X27="",X4=""),"",IFERROR(X27/X4,""))</f>
        <v/>
      </c>
      <c r="Y28" s="14">
        <f>IF(OR(Y27="",Y4=""),"",IFERROR(Y27/Y4,""))</f>
        <v/>
      </c>
      <c r="Z28" s="15">
        <f>IF(OR(Z27="",Z4=""),"",IFERROR(Z27/Z4,""))</f>
        <v/>
      </c>
      <c r="AA28" s="15">
        <f>IF(OR(AA27="",AA4=""),"",IFERROR(AA27/AA4,""))</f>
        <v/>
      </c>
      <c r="AB28" s="15">
        <f>IF(OR(AB27="",AB4=""),"",IFERROR(AB27/AB4,""))</f>
        <v/>
      </c>
      <c r="AC28" s="15">
        <f>IF(OR(AC27="",AC4=""),"",IFERROR(AC27/AC4,""))</f>
        <v/>
      </c>
    </row>
    <row r="29">
      <c r="A29" s="23" t="inlineStr">
        <is>
          <t>판매관리비</t>
        </is>
      </c>
      <c r="B29" s="23" t="n"/>
      <c r="C29" s="24" t="n"/>
      <c r="D29" s="23" t="n"/>
      <c r="E29" s="23" t="n"/>
      <c r="F29" s="23" t="n"/>
      <c r="G29" s="23" t="n"/>
      <c r="H29" s="23" t="n"/>
      <c r="I29" s="23" t="n"/>
      <c r="J29" s="23" t="n"/>
      <c r="K29" s="23" t="n"/>
      <c r="L29" s="23" t="n"/>
      <c r="M29" s="23" t="n"/>
      <c r="N29" s="23" t="n"/>
      <c r="O29" s="24" t="n"/>
      <c r="P29" s="23" t="n"/>
      <c r="Q29" s="23" t="n"/>
      <c r="R29" s="23" t="n"/>
      <c r="S29" s="23" t="n"/>
      <c r="T29" s="23" t="n"/>
      <c r="U29" s="23" t="n"/>
      <c r="V29" s="23" t="n"/>
      <c r="W29" s="23" t="n"/>
      <c r="X29" s="23" t="n"/>
      <c r="Y29" s="24" t="n"/>
      <c r="Z29" s="23" t="n"/>
      <c r="AA29" s="23" t="n"/>
      <c r="AB29" s="23" t="n"/>
      <c r="AC29" s="23" t="n"/>
    </row>
    <row r="30">
      <c r="A30" s="18" t="inlineStr">
        <is>
          <t>전체 판관비</t>
        </is>
      </c>
      <c r="B30" s="10" t="n"/>
      <c r="C30" s="19" t="n">
        <v>40261</v>
      </c>
      <c r="D30" s="20" t="n">
        <v>40611</v>
      </c>
      <c r="E30" s="20" t="n">
        <v>41188</v>
      </c>
      <c r="F30" s="20" t="n">
        <v>45542</v>
      </c>
      <c r="G30" s="20" t="n">
        <v>46832</v>
      </c>
      <c r="H30" s="20" t="n">
        <v>49316</v>
      </c>
      <c r="I30" s="20" t="n">
        <v>53702</v>
      </c>
      <c r="J30" s="20" t="n">
        <v>50514</v>
      </c>
      <c r="K30" s="20" t="n">
        <v>55354</v>
      </c>
      <c r="L30" s="20" t="n">
        <v>56196</v>
      </c>
      <c r="M30" s="20" t="n">
        <v>67564</v>
      </c>
      <c r="N30" s="20" t="n">
        <v>66247</v>
      </c>
      <c r="O30" s="19" t="n"/>
      <c r="P30" s="20" t="n">
        <v>82645</v>
      </c>
      <c r="Q30" s="20" t="n">
        <v>93100</v>
      </c>
      <c r="R30" s="20" t="n">
        <v>97751</v>
      </c>
      <c r="S30" s="20" t="n">
        <v>105870</v>
      </c>
      <c r="T30" s="20" t="n">
        <v>121132</v>
      </c>
      <c r="U30" s="20" t="n">
        <v>152042</v>
      </c>
      <c r="V30" s="20" t="n">
        <v>158963</v>
      </c>
      <c r="W30" s="20" t="n">
        <v>195392</v>
      </c>
      <c r="X30" s="20" t="n">
        <v>229628</v>
      </c>
      <c r="Y30" s="19" t="n"/>
      <c r="Z30" s="20" t="n"/>
      <c r="AA30" s="20" t="n"/>
      <c r="AB30" s="20" t="n"/>
      <c r="AC30" s="20" t="n"/>
    </row>
    <row r="31">
      <c r="A31" s="9" t="inlineStr">
        <is>
          <t>영업이익</t>
        </is>
      </c>
      <c r="B31" s="10" t="inlineStr">
        <is>
          <t>MW = 매출 × OPM</t>
        </is>
      </c>
      <c r="C31" s="11" t="n">
        <v>21000</v>
      </c>
      <c r="D31" s="12" t="n">
        <v>26830</v>
      </c>
      <c r="E31" s="12" t="n">
        <v>19529</v>
      </c>
      <c r="F31" s="12" t="n">
        <v>31325</v>
      </c>
      <c r="G31" s="12" t="n">
        <v>63534</v>
      </c>
      <c r="H31" s="12" t="n">
        <v>69267</v>
      </c>
      <c r="I31" s="12" t="n">
        <v>64035</v>
      </c>
      <c r="J31" s="12" t="n">
        <v>123952</v>
      </c>
      <c r="K31" s="12" t="n">
        <v>108483</v>
      </c>
      <c r="L31" s="12" t="n">
        <v>113571</v>
      </c>
      <c r="M31" s="12" t="n">
        <v>153114</v>
      </c>
      <c r="N31" s="12" t="n">
        <v>189990</v>
      </c>
      <c r="O31" s="11" t="n"/>
      <c r="P31" s="12" t="n">
        <v>24487</v>
      </c>
      <c r="Q31" s="12" t="n">
        <v>64662</v>
      </c>
      <c r="R31" s="12" t="n">
        <v>58708</v>
      </c>
      <c r="S31" s="12" t="n">
        <v>70726</v>
      </c>
      <c r="T31" s="12" t="n">
        <v>114734</v>
      </c>
      <c r="U31" s="12" t="n">
        <v>167687</v>
      </c>
      <c r="V31" s="12" t="n">
        <v>81628</v>
      </c>
      <c r="W31" s="12" t="n">
        <v>228161</v>
      </c>
      <c r="X31" s="12" t="n">
        <v>499120</v>
      </c>
      <c r="Y31" s="11">
        <f>IF(OR(Y4="",Y32=""),"",IFERROR(Y4*Y32,""))</f>
        <v/>
      </c>
      <c r="Z31" s="12">
        <f>IF(OR(Z4="",Z32=""),"",IFERROR(Z4*Z32,""))</f>
        <v/>
      </c>
      <c r="AA31" s="12">
        <f>IF(OR(AA4="",AA32=""),"",IFERROR(AA4*AA32,""))</f>
        <v/>
      </c>
      <c r="AB31" s="12">
        <f>IF(OR(AB4="",AB32=""),"",IFERROR(AB4*AB32,""))</f>
        <v/>
      </c>
      <c r="AC31" s="12">
        <f>IF(OR(AC4="",AC32=""),"",IFERROR(AC4*AC32,""))</f>
        <v/>
      </c>
    </row>
    <row r="32">
      <c r="A32" s="13" t="inlineStr">
        <is>
          <t>OPM</t>
        </is>
      </c>
      <c r="B32" s="10" t="inlineStr">
        <is>
          <t>MW 입력</t>
        </is>
      </c>
      <c r="C32" s="14">
        <f>IF(OR(C31="",C4=""),"",IFERROR(C31/C4,""))</f>
        <v/>
      </c>
      <c r="D32" s="15">
        <f>IF(OR(D31="",D4=""),"",IFERROR(D31/D4,""))</f>
        <v/>
      </c>
      <c r="E32" s="15">
        <f>IF(OR(E31="",E4=""),"",IFERROR(E31/E4,""))</f>
        <v/>
      </c>
      <c r="F32" s="15">
        <f>IF(OR(F31="",F4=""),"",IFERROR(F31/F4,""))</f>
        <v/>
      </c>
      <c r="G32" s="15">
        <f>IF(OR(G31="",G4=""),"",IFERROR(G31/G4,""))</f>
        <v/>
      </c>
      <c r="H32" s="15">
        <f>IF(OR(H31="",H4=""),"",IFERROR(H31/H4,""))</f>
        <v/>
      </c>
      <c r="I32" s="15">
        <f>IF(OR(I31="",I4=""),"",IFERROR(I31/I4,""))</f>
        <v/>
      </c>
      <c r="J32" s="15">
        <f>IF(OR(J31="",J4=""),"",IFERROR(J31/J4,""))</f>
        <v/>
      </c>
      <c r="K32" s="15">
        <f>IF(OR(K31="",K4=""),"",IFERROR(K31/K4,""))</f>
        <v/>
      </c>
      <c r="L32" s="15">
        <f>IF(OR(L31="",L4=""),"",IFERROR(L31/L4,""))</f>
        <v/>
      </c>
      <c r="M32" s="15">
        <f>IF(OR(M31="",M4=""),"",IFERROR(M31/M4,""))</f>
        <v/>
      </c>
      <c r="N32" s="15">
        <f>IF(OR(N31="",N4=""),"",IFERROR(N31/N4,""))</f>
        <v/>
      </c>
      <c r="O32" s="14">
        <f>IF(OR(O31="",O4=""),"",IFERROR(O31/O4,""))</f>
        <v/>
      </c>
      <c r="P32" s="15">
        <f>IF(OR(P31="",P4=""),"",IFERROR(P31/P4,""))</f>
        <v/>
      </c>
      <c r="Q32" s="15">
        <f>IF(OR(Q31="",Q4=""),"",IFERROR(Q31/Q4,""))</f>
        <v/>
      </c>
      <c r="R32" s="15">
        <f>IF(OR(R31="",R4=""),"",IFERROR(R31/R4,""))</f>
        <v/>
      </c>
      <c r="S32" s="15">
        <f>IF(OR(S31="",S4=""),"",IFERROR(S31/S4,""))</f>
        <v/>
      </c>
      <c r="T32" s="15">
        <f>IF(OR(T31="",T4=""),"",IFERROR(T31/T4,""))</f>
        <v/>
      </c>
      <c r="U32" s="15">
        <f>IF(OR(U31="",U4=""),"",IFERROR(U31/U4,""))</f>
        <v/>
      </c>
      <c r="V32" s="15">
        <f>IF(OR(V31="",V4=""),"",IFERROR(V31/V4,""))</f>
        <v/>
      </c>
      <c r="W32" s="15">
        <f>IF(OR(W31="",W4=""),"",IFERROR(W31/W4,""))</f>
        <v/>
      </c>
      <c r="X32" s="15">
        <f>IF(OR(X31="",X4=""),"",IFERROR(X31/X4,""))</f>
        <v/>
      </c>
      <c r="Y32" s="25" t="n"/>
      <c r="Z32" s="26" t="n"/>
      <c r="AA32" s="26" t="n"/>
      <c r="AB32" s="26" t="n"/>
      <c r="AC32" s="26" t="n"/>
    </row>
    <row r="33">
      <c r="A33" s="13" t="inlineStr">
        <is>
          <t>증가율</t>
        </is>
      </c>
      <c r="B33" s="10" t="n"/>
      <c r="C33" s="14" t="n"/>
      <c r="D33" s="15" t="n"/>
      <c r="E33" s="15" t="n"/>
      <c r="F33" s="15" t="n"/>
      <c r="G33" s="15">
        <f>IF(OR(G31="",C31=""),"",IFERROR(G31/C31-1,""))</f>
        <v/>
      </c>
      <c r="H33" s="15">
        <f>IF(OR(H31="",D31=""),"",IFERROR(H31/D31-1,""))</f>
        <v/>
      </c>
      <c r="I33" s="15">
        <f>IF(OR(I31="",E31=""),"",IFERROR(I31/E31-1,""))</f>
        <v/>
      </c>
      <c r="J33" s="15">
        <f>IF(OR(J31="",F31=""),"",IFERROR(J31/F31-1,""))</f>
        <v/>
      </c>
      <c r="K33" s="15">
        <f>IF(OR(K31="",G31=""),"",IFERROR(K31/G31-1,""))</f>
        <v/>
      </c>
      <c r="L33" s="15">
        <f>IF(OR(L31="",H31=""),"",IFERROR(L31/H31-1,""))</f>
        <v/>
      </c>
      <c r="M33" s="15">
        <f>IF(OR(M31="",I31=""),"",IFERROR(M31/I31-1,""))</f>
        <v/>
      </c>
      <c r="N33" s="15">
        <f>IF(OR(N31="",J31=""),"",IFERROR(N31/J31-1,""))</f>
        <v/>
      </c>
      <c r="O33" s="14" t="n"/>
      <c r="P33" s="15">
        <f>IF(OR(P31="",O31=""),"",IFERROR(P31/O31-1,""))</f>
        <v/>
      </c>
      <c r="Q33" s="15">
        <f>IF(OR(Q31="",P31=""),"",IFERROR(Q31/P31-1,""))</f>
        <v/>
      </c>
      <c r="R33" s="15">
        <f>IF(OR(R31="",Q31=""),"",IFERROR(R31/Q31-1,""))</f>
        <v/>
      </c>
      <c r="S33" s="15">
        <f>IF(OR(S31="",R31=""),"",IFERROR(S31/R31-1,""))</f>
        <v/>
      </c>
      <c r="T33" s="15">
        <f>IF(OR(T31="",S31=""),"",IFERROR(T31/S31-1,""))</f>
        <v/>
      </c>
      <c r="U33" s="15">
        <f>IF(OR(U31="",T31=""),"",IFERROR(U31/T31-1,""))</f>
        <v/>
      </c>
      <c r="V33" s="15">
        <f>IF(OR(V31="",U31=""),"",IFERROR(V31/U31-1,""))</f>
        <v/>
      </c>
      <c r="W33" s="15">
        <f>IF(OR(W31="",V31=""),"",IFERROR(W31/V31-1,""))</f>
        <v/>
      </c>
      <c r="X33" s="15">
        <f>IF(OR(X31="",W31=""),"",IFERROR(X31/W31-1,""))</f>
        <v/>
      </c>
      <c r="Y33" s="14">
        <f>IF(OR(Y31="",X31=""),"",IFERROR(Y31/X31-1,""))</f>
        <v/>
      </c>
      <c r="Z33" s="15">
        <f>IF(OR(Z31="",Y31=""),"",IFERROR(Z31/Y31-1,""))</f>
        <v/>
      </c>
      <c r="AA33" s="15">
        <f>IF(OR(AA31="",Z31=""),"",IFERROR(AA31/Z31-1,""))</f>
        <v/>
      </c>
      <c r="AB33" s="15">
        <f>IF(OR(AB31="",AA31=""),"",IFERROR(AB31/AA31-1,""))</f>
        <v/>
      </c>
      <c r="AC33" s="15">
        <f>IF(OR(AC31="",AB31=""),"",IFERROR(AC31/AB31-1,""))</f>
        <v/>
      </c>
    </row>
    <row r="34">
      <c r="A34" s="16" t="inlineStr">
        <is>
          <t>비용의 성격별 분류</t>
        </is>
      </c>
      <c r="B34" s="16" t="inlineStr">
        <is>
          <t>참고 데이터</t>
        </is>
      </c>
      <c r="C34" s="17" t="n"/>
      <c r="D34" s="16" t="n"/>
      <c r="E34" s="16" t="n"/>
      <c r="F34" s="16" t="n"/>
      <c r="G34" s="16" t="n"/>
      <c r="H34" s="16" t="n"/>
      <c r="I34" s="16" t="n"/>
      <c r="J34" s="16" t="n"/>
      <c r="K34" s="16" t="n"/>
      <c r="L34" s="16" t="n"/>
      <c r="M34" s="16" t="n"/>
      <c r="N34" s="16" t="n"/>
      <c r="O34" s="17" t="n"/>
      <c r="P34" s="16" t="n"/>
      <c r="Q34" s="16" t="n"/>
      <c r="R34" s="16" t="n"/>
      <c r="S34" s="16" t="n"/>
      <c r="T34" s="16" t="n"/>
      <c r="U34" s="16" t="n"/>
      <c r="V34" s="16" t="n"/>
      <c r="W34" s="16" t="n"/>
      <c r="X34" s="16" t="n"/>
      <c r="Y34" s="17" t="n"/>
      <c r="Z34" s="16" t="n"/>
      <c r="AA34" s="16" t="n"/>
      <c r="AB34" s="16" t="n"/>
      <c r="AC34" s="16" t="n"/>
    </row>
    <row r="35">
      <c r="A35" s="9" t="inlineStr">
        <is>
          <t>총 판관비</t>
        </is>
      </c>
      <c r="B35" s="10" t="n"/>
      <c r="C35" s="11" t="n"/>
      <c r="D35" s="12" t="n"/>
      <c r="E35" s="12" t="n"/>
      <c r="F35" s="12" t="n"/>
      <c r="G35" s="12" t="n"/>
      <c r="H35" s="12" t="n"/>
      <c r="I35" s="12" t="n"/>
      <c r="J35" s="12" t="n"/>
      <c r="K35" s="12" t="n"/>
      <c r="L35" s="12" t="n"/>
      <c r="M35" s="12" t="n"/>
      <c r="N35" s="12" t="n"/>
      <c r="O35" s="11">
        <f>IF(O30="","",O30)</f>
        <v/>
      </c>
      <c r="P35" s="12">
        <f>IF(P30="","",P30)</f>
        <v/>
      </c>
      <c r="Q35" s="12">
        <f>IF(Q30="","",Q30)</f>
        <v/>
      </c>
      <c r="R35" s="12">
        <f>IF(R30="","",R30)</f>
        <v/>
      </c>
      <c r="S35" s="12">
        <f>IF(S30="","",S30)</f>
        <v/>
      </c>
      <c r="T35" s="12">
        <f>IF(T30="","",T30)</f>
        <v/>
      </c>
      <c r="U35" s="12">
        <f>IF(U30="","",U30)</f>
        <v/>
      </c>
      <c r="V35" s="12">
        <f>IF(V30="","",V30)</f>
        <v/>
      </c>
      <c r="W35" s="12">
        <f>IF(W30="","",W30)</f>
        <v/>
      </c>
      <c r="X35" s="12">
        <f>IF(X30="","",X30)</f>
        <v/>
      </c>
      <c r="Y35" s="11" t="n"/>
      <c r="Z35" s="12" t="n"/>
      <c r="AA35" s="12" t="n"/>
      <c r="AB35" s="12" t="n"/>
      <c r="AC35" s="12" t="n"/>
    </row>
    <row r="36">
      <c r="A36" s="18" t="inlineStr">
        <is>
          <t>급여</t>
        </is>
      </c>
      <c r="B36" s="10" t="inlineStr">
        <is>
          <t>고정비</t>
        </is>
      </c>
      <c r="C36" s="19" t="n"/>
      <c r="D36" s="20" t="n"/>
      <c r="E36" s="20" t="n"/>
      <c r="F36" s="20" t="n"/>
      <c r="G36" s="20" t="n"/>
      <c r="H36" s="20" t="n"/>
      <c r="I36" s="20" t="n"/>
      <c r="J36" s="20" t="n"/>
      <c r="K36" s="20" t="n"/>
      <c r="L36" s="20" t="n"/>
      <c r="M36" s="20" t="n"/>
      <c r="N36" s="20" t="n"/>
      <c r="O36" s="19" t="n"/>
      <c r="P36" s="20" t="n"/>
      <c r="Q36" s="20" t="n"/>
      <c r="R36" s="20" t="n"/>
      <c r="S36" s="20" t="n"/>
      <c r="T36" s="20" t="n"/>
      <c r="U36" s="20" t="n"/>
      <c r="V36" s="20" t="n"/>
      <c r="W36" s="20" t="n"/>
      <c r="X36" s="20" t="n"/>
      <c r="Y36" s="19" t="n"/>
      <c r="Z36" s="20" t="n"/>
      <c r="AA36" s="20" t="n"/>
      <c r="AB36" s="20" t="n"/>
      <c r="AC36" s="20" t="n"/>
    </row>
    <row r="37">
      <c r="A37" s="13" t="inlineStr">
        <is>
          <t>% of Sales</t>
        </is>
      </c>
      <c r="B37" s="10" t="n"/>
      <c r="C37" s="14" t="n"/>
      <c r="D37" s="15" t="n"/>
      <c r="E37" s="15" t="n"/>
      <c r="F37" s="15" t="n"/>
      <c r="G37" s="15" t="n"/>
      <c r="H37" s="15" t="n"/>
      <c r="I37" s="15" t="n"/>
      <c r="J37" s="15" t="n"/>
      <c r="K37" s="15" t="n"/>
      <c r="L37" s="15" t="n"/>
      <c r="M37" s="15" t="n"/>
      <c r="N37" s="15" t="n"/>
      <c r="O37" s="14">
        <f>IF(OR(O36="",O4=""),"",IFERROR(O36/O4,""))</f>
        <v/>
      </c>
      <c r="P37" s="15">
        <f>IF(OR(P36="",P4=""),"",IFERROR(P36/P4,""))</f>
        <v/>
      </c>
      <c r="Q37" s="15">
        <f>IF(OR(Q36="",Q4=""),"",IFERROR(Q36/Q4,""))</f>
        <v/>
      </c>
      <c r="R37" s="15">
        <f>IF(OR(R36="",R4=""),"",IFERROR(R36/R4,""))</f>
        <v/>
      </c>
      <c r="S37" s="15">
        <f>IF(OR(S36="",S4=""),"",IFERROR(S36/S4,""))</f>
        <v/>
      </c>
      <c r="T37" s="15">
        <f>IF(OR(T36="",T4=""),"",IFERROR(T36/T4,""))</f>
        <v/>
      </c>
      <c r="U37" s="15">
        <f>IF(OR(U36="",U4=""),"",IFERROR(U36/U4,""))</f>
        <v/>
      </c>
      <c r="V37" s="15">
        <f>IF(OR(V36="",V4=""),"",IFERROR(V36/V4,""))</f>
        <v/>
      </c>
      <c r="W37" s="15">
        <f>IF(OR(W36="",W4=""),"",IFERROR(W36/W4,""))</f>
        <v/>
      </c>
      <c r="X37" s="15">
        <f>IF(OR(X36="",X4=""),"",IFERROR(X36/X4,""))</f>
        <v/>
      </c>
      <c r="Y37" s="14" t="n"/>
      <c r="Z37" s="15" t="n"/>
      <c r="AA37" s="15" t="n"/>
      <c r="AB37" s="15" t="n"/>
      <c r="AC37" s="15" t="n"/>
    </row>
    <row r="38">
      <c r="A38" s="18" t="inlineStr">
        <is>
          <t>감가상각비</t>
        </is>
      </c>
      <c r="B38" s="10" t="inlineStr">
        <is>
          <t>고정비</t>
        </is>
      </c>
      <c r="C38" s="19" t="n"/>
      <c r="D38" s="20" t="n"/>
      <c r="E38" s="20" t="n"/>
      <c r="F38" s="20" t="n"/>
      <c r="G38" s="20" t="n"/>
      <c r="H38" s="20" t="n"/>
      <c r="I38" s="20" t="n"/>
      <c r="J38" s="20" t="n"/>
      <c r="K38" s="20" t="n"/>
      <c r="L38" s="20" t="n"/>
      <c r="M38" s="20" t="n"/>
      <c r="N38" s="20" t="n"/>
      <c r="O38" s="19" t="n"/>
      <c r="P38" s="20" t="n"/>
      <c r="Q38" s="20" t="n"/>
      <c r="R38" s="20" t="n"/>
      <c r="S38" s="20" t="n"/>
      <c r="T38" s="20" t="n"/>
      <c r="U38" s="20" t="n"/>
      <c r="V38" s="20" t="n"/>
      <c r="W38" s="20" t="n"/>
      <c r="X38" s="20" t="n"/>
      <c r="Y38" s="19" t="n"/>
      <c r="Z38" s="20" t="n"/>
      <c r="AA38" s="20" t="n"/>
      <c r="AB38" s="20" t="n"/>
      <c r="AC38" s="20" t="n"/>
    </row>
    <row r="39">
      <c r="A39" s="13" t="inlineStr">
        <is>
          <t>% of Sales</t>
        </is>
      </c>
      <c r="B39" s="10" t="n"/>
      <c r="C39" s="14" t="n"/>
      <c r="D39" s="15" t="n"/>
      <c r="E39" s="15" t="n"/>
      <c r="F39" s="15" t="n"/>
      <c r="G39" s="15" t="n"/>
      <c r="H39" s="15" t="n"/>
      <c r="I39" s="15" t="n"/>
      <c r="J39" s="15" t="n"/>
      <c r="K39" s="15" t="n"/>
      <c r="L39" s="15" t="n"/>
      <c r="M39" s="15" t="n"/>
      <c r="N39" s="15" t="n"/>
      <c r="O39" s="14">
        <f>IF(OR(O38="",O4=""),"",IFERROR(O38/O4,""))</f>
        <v/>
      </c>
      <c r="P39" s="15">
        <f>IF(OR(P38="",P4=""),"",IFERROR(P38/P4,""))</f>
        <v/>
      </c>
      <c r="Q39" s="15">
        <f>IF(OR(Q38="",Q4=""),"",IFERROR(Q38/Q4,""))</f>
        <v/>
      </c>
      <c r="R39" s="15">
        <f>IF(OR(R38="",R4=""),"",IFERROR(R38/R4,""))</f>
        <v/>
      </c>
      <c r="S39" s="15">
        <f>IF(OR(S38="",S4=""),"",IFERROR(S38/S4,""))</f>
        <v/>
      </c>
      <c r="T39" s="15">
        <f>IF(OR(T38="",T4=""),"",IFERROR(T38/T4,""))</f>
        <v/>
      </c>
      <c r="U39" s="15">
        <f>IF(OR(U38="",U4=""),"",IFERROR(U38/U4,""))</f>
        <v/>
      </c>
      <c r="V39" s="15">
        <f>IF(OR(V38="",V4=""),"",IFERROR(V38/V4,""))</f>
        <v/>
      </c>
      <c r="W39" s="15">
        <f>IF(OR(W38="",W4=""),"",IFERROR(W38/W4,""))</f>
        <v/>
      </c>
      <c r="X39" s="15">
        <f>IF(OR(X38="",X4=""),"",IFERROR(X38/X4,""))</f>
        <v/>
      </c>
      <c r="Y39" s="14" t="n"/>
      <c r="Z39" s="15" t="n"/>
      <c r="AA39" s="15" t="n"/>
      <c r="AB39" s="15" t="n"/>
      <c r="AC39" s="15" t="n"/>
    </row>
    <row r="40">
      <c r="A40" s="18" t="inlineStr">
        <is>
          <t>지급수수료</t>
        </is>
      </c>
      <c r="B40" s="10" t="inlineStr">
        <is>
          <t>고정비</t>
        </is>
      </c>
      <c r="C40" s="19" t="n"/>
      <c r="D40" s="20" t="n"/>
      <c r="E40" s="20" t="n"/>
      <c r="F40" s="20" t="n"/>
      <c r="G40" s="20" t="n"/>
      <c r="H40" s="20" t="n"/>
      <c r="I40" s="20" t="n"/>
      <c r="J40" s="20" t="n"/>
      <c r="K40" s="20" t="n"/>
      <c r="L40" s="20" t="n"/>
      <c r="M40" s="20" t="n"/>
      <c r="N40" s="20" t="n"/>
      <c r="O40" s="19" t="n"/>
      <c r="P40" s="20" t="n"/>
      <c r="Q40" s="20" t="n"/>
      <c r="R40" s="20" t="n"/>
      <c r="S40" s="20" t="n"/>
      <c r="T40" s="20" t="n"/>
      <c r="U40" s="20" t="n"/>
      <c r="V40" s="20" t="n"/>
      <c r="W40" s="20" t="n"/>
      <c r="X40" s="20" t="n"/>
      <c r="Y40" s="19" t="n"/>
      <c r="Z40" s="20" t="n"/>
      <c r="AA40" s="20" t="n"/>
      <c r="AB40" s="20" t="n"/>
      <c r="AC40" s="20" t="n"/>
    </row>
    <row r="41">
      <c r="A41" s="13" t="inlineStr">
        <is>
          <t>% of Sales</t>
        </is>
      </c>
      <c r="B41" s="10" t="n"/>
      <c r="C41" s="14" t="n"/>
      <c r="D41" s="15" t="n"/>
      <c r="E41" s="15" t="n"/>
      <c r="F41" s="15" t="n"/>
      <c r="G41" s="15" t="n"/>
      <c r="H41" s="15" t="n"/>
      <c r="I41" s="15" t="n"/>
      <c r="J41" s="15" t="n"/>
      <c r="K41" s="15" t="n"/>
      <c r="L41" s="15" t="n"/>
      <c r="M41" s="15" t="n"/>
      <c r="N41" s="15" t="n"/>
      <c r="O41" s="14">
        <f>IF(OR(O40="",O4=""),"",IFERROR(O40/O4,""))</f>
        <v/>
      </c>
      <c r="P41" s="15">
        <f>IF(OR(P40="",P4=""),"",IFERROR(P40/P4,""))</f>
        <v/>
      </c>
      <c r="Q41" s="15">
        <f>IF(OR(Q40="",Q4=""),"",IFERROR(Q40/Q4,""))</f>
        <v/>
      </c>
      <c r="R41" s="15">
        <f>IF(OR(R40="",R4=""),"",IFERROR(R40/R4,""))</f>
        <v/>
      </c>
      <c r="S41" s="15">
        <f>IF(OR(S40="",S4=""),"",IFERROR(S40/S4,""))</f>
        <v/>
      </c>
      <c r="T41" s="15">
        <f>IF(OR(T40="",T4=""),"",IFERROR(T40/T4,""))</f>
        <v/>
      </c>
      <c r="U41" s="15">
        <f>IF(OR(U40="",U4=""),"",IFERROR(U40/U4,""))</f>
        <v/>
      </c>
      <c r="V41" s="15">
        <f>IF(OR(V40="",V4=""),"",IFERROR(V40/V4,""))</f>
        <v/>
      </c>
      <c r="W41" s="15">
        <f>IF(OR(W40="",W4=""),"",IFERROR(W40/W4,""))</f>
        <v/>
      </c>
      <c r="X41" s="15">
        <f>IF(OR(X40="",X4=""),"",IFERROR(X40/X4,""))</f>
        <v/>
      </c>
      <c r="Y41" s="14" t="n"/>
      <c r="Z41" s="15" t="n"/>
      <c r="AA41" s="15" t="n"/>
      <c r="AB41" s="15" t="n"/>
      <c r="AC41" s="15" t="n"/>
    </row>
    <row r="42">
      <c r="A42" s="18" t="inlineStr">
        <is>
          <t>연구개발비</t>
        </is>
      </c>
      <c r="B42" s="10" t="inlineStr">
        <is>
          <t>변동비</t>
        </is>
      </c>
      <c r="C42" s="19" t="n"/>
      <c r="D42" s="20" t="n"/>
      <c r="E42" s="20" t="n"/>
      <c r="F42" s="20" t="n"/>
      <c r="G42" s="20" t="n"/>
      <c r="H42" s="20" t="n"/>
      <c r="I42" s="20" t="n"/>
      <c r="J42" s="20" t="n"/>
      <c r="K42" s="20" t="n"/>
      <c r="L42" s="20" t="n"/>
      <c r="M42" s="20" t="n"/>
      <c r="N42" s="20" t="n"/>
      <c r="O42" s="19" t="n"/>
      <c r="P42" s="20" t="n"/>
      <c r="Q42" s="20" t="n"/>
      <c r="R42" s="20" t="n"/>
      <c r="S42" s="20" t="n"/>
      <c r="T42" s="20" t="n"/>
      <c r="U42" s="20" t="n"/>
      <c r="V42" s="20" t="n"/>
      <c r="W42" s="20" t="n"/>
      <c r="X42" s="20" t="n"/>
      <c r="Y42" s="19" t="n"/>
      <c r="Z42" s="20" t="n"/>
      <c r="AA42" s="20" t="n"/>
      <c r="AB42" s="20" t="n"/>
      <c r="AC42" s="20" t="n"/>
    </row>
    <row r="43">
      <c r="A43" s="13" t="inlineStr">
        <is>
          <t>% of Sales</t>
        </is>
      </c>
      <c r="B43" s="10" t="n"/>
      <c r="C43" s="14" t="n"/>
      <c r="D43" s="15" t="n"/>
      <c r="E43" s="15" t="n"/>
      <c r="F43" s="15" t="n"/>
      <c r="G43" s="15" t="n"/>
      <c r="H43" s="15" t="n"/>
      <c r="I43" s="15" t="n"/>
      <c r="J43" s="15" t="n"/>
      <c r="K43" s="15" t="n"/>
      <c r="L43" s="15" t="n"/>
      <c r="M43" s="15" t="n"/>
      <c r="N43" s="15" t="n"/>
      <c r="O43" s="14">
        <f>IF(OR(O42="",O4=""),"",IFERROR(O42/O4,""))</f>
        <v/>
      </c>
      <c r="P43" s="15">
        <f>IF(OR(P42="",P4=""),"",IFERROR(P42/P4,""))</f>
        <v/>
      </c>
      <c r="Q43" s="15">
        <f>IF(OR(Q42="",Q4=""),"",IFERROR(Q42/Q4,""))</f>
        <v/>
      </c>
      <c r="R43" s="15">
        <f>IF(OR(R42="",R4=""),"",IFERROR(R42/R4,""))</f>
        <v/>
      </c>
      <c r="S43" s="15">
        <f>IF(OR(S42="",S4=""),"",IFERROR(S42/S4,""))</f>
        <v/>
      </c>
      <c r="T43" s="15">
        <f>IF(OR(T42="",T4=""),"",IFERROR(T42/T4,""))</f>
        <v/>
      </c>
      <c r="U43" s="15">
        <f>IF(OR(U42="",U4=""),"",IFERROR(U42/U4,""))</f>
        <v/>
      </c>
      <c r="V43" s="15">
        <f>IF(OR(V42="",V4=""),"",IFERROR(V42/V4,""))</f>
        <v/>
      </c>
      <c r="W43" s="15">
        <f>IF(OR(W42="",W4=""),"",IFERROR(W42/W4,""))</f>
        <v/>
      </c>
      <c r="X43" s="15">
        <f>IF(OR(X42="",X4=""),"",IFERROR(X42/X4,""))</f>
        <v/>
      </c>
      <c r="Y43" s="14" t="n"/>
      <c r="Z43" s="15" t="n"/>
      <c r="AA43" s="15" t="n"/>
      <c r="AB43" s="15" t="n"/>
      <c r="AC43" s="15" t="n"/>
    </row>
    <row r="44">
      <c r="A44" s="18" t="inlineStr">
        <is>
          <t>기타비용</t>
        </is>
      </c>
      <c r="B44" s="10" t="inlineStr">
        <is>
          <t>변동비</t>
        </is>
      </c>
      <c r="C44" s="19" t="n"/>
      <c r="D44" s="20" t="n"/>
      <c r="E44" s="20" t="n"/>
      <c r="F44" s="20" t="n"/>
      <c r="G44" s="20" t="n"/>
      <c r="H44" s="20" t="n"/>
      <c r="I44" s="20" t="n"/>
      <c r="J44" s="20" t="n"/>
      <c r="K44" s="20" t="n"/>
      <c r="L44" s="20" t="n"/>
      <c r="M44" s="20" t="n"/>
      <c r="N44" s="20" t="n"/>
      <c r="O44" s="19">
        <f>IF(OR(O35="",O36="",O38="",O40="",O42=""),"",IFERROR(O35-O36-O38-O40-O42,""))</f>
        <v/>
      </c>
      <c r="P44" s="20">
        <f>IF(OR(P35="",P36="",P38="",P40="",P42=""),"",IFERROR(P35-P36-P38-P40-P42,""))</f>
        <v/>
      </c>
      <c r="Q44" s="20">
        <f>IF(OR(Q35="",Q36="",Q38="",Q40="",Q42=""),"",IFERROR(Q35-Q36-Q38-Q40-Q42,""))</f>
        <v/>
      </c>
      <c r="R44" s="20">
        <f>IF(OR(R35="",R36="",R38="",R40="",R42=""),"",IFERROR(R35-R36-R38-R40-R42,""))</f>
        <v/>
      </c>
      <c r="S44" s="20">
        <f>IF(OR(S35="",S36="",S38="",S40="",S42=""),"",IFERROR(S35-S36-S38-S40-S42,""))</f>
        <v/>
      </c>
      <c r="T44" s="20">
        <f>IF(OR(T35="",T36="",T38="",T40="",T42=""),"",IFERROR(T35-T36-T38-T40-T42,""))</f>
        <v/>
      </c>
      <c r="U44" s="20">
        <f>IF(OR(U35="",U36="",U38="",U40="",U42=""),"",IFERROR(U35-U36-U38-U40-U42,""))</f>
        <v/>
      </c>
      <c r="V44" s="20">
        <f>IF(OR(V35="",V36="",V38="",V40="",V42=""),"",IFERROR(V35-V36-V38-V40-V42,""))</f>
        <v/>
      </c>
      <c r="W44" s="20">
        <f>IF(OR(W35="",W36="",W38="",W40="",W42=""),"",IFERROR(W35-W36-W38-W40-W42,""))</f>
        <v/>
      </c>
      <c r="X44" s="20">
        <f>IF(OR(X35="",X36="",X38="",X40="",X42=""),"",IFERROR(X35-X36-X38-X40-X42,""))</f>
        <v/>
      </c>
      <c r="Y44" s="19" t="n"/>
      <c r="Z44" s="20" t="n"/>
      <c r="AA44" s="20" t="n"/>
      <c r="AB44" s="20" t="n"/>
      <c r="AC44" s="20" t="n"/>
    </row>
    <row r="45">
      <c r="A45" s="13" t="inlineStr">
        <is>
          <t>% of Sales</t>
        </is>
      </c>
      <c r="B45" s="10" t="n"/>
      <c r="C45" s="14" t="n"/>
      <c r="D45" s="15" t="n"/>
      <c r="E45" s="15" t="n"/>
      <c r="F45" s="15" t="n"/>
      <c r="G45" s="15" t="n"/>
      <c r="H45" s="15" t="n"/>
      <c r="I45" s="15" t="n"/>
      <c r="J45" s="15" t="n"/>
      <c r="K45" s="15" t="n"/>
      <c r="L45" s="15" t="n"/>
      <c r="M45" s="15" t="n"/>
      <c r="N45" s="15" t="n"/>
      <c r="O45" s="14">
        <f>IF(OR(O44="",O4=""),"",IFERROR(O44/O4,""))</f>
        <v/>
      </c>
      <c r="P45" s="15">
        <f>IF(OR(P44="",P4=""),"",IFERROR(P44/P4,""))</f>
        <v/>
      </c>
      <c r="Q45" s="15">
        <f>IF(OR(Q44="",Q4=""),"",IFERROR(Q44/Q4,""))</f>
        <v/>
      </c>
      <c r="R45" s="15">
        <f>IF(OR(R44="",R4=""),"",IFERROR(R44/R4,""))</f>
        <v/>
      </c>
      <c r="S45" s="15">
        <f>IF(OR(S44="",S4=""),"",IFERROR(S44/S4,""))</f>
        <v/>
      </c>
      <c r="T45" s="15">
        <f>IF(OR(T44="",T4=""),"",IFERROR(T44/T4,""))</f>
        <v/>
      </c>
      <c r="U45" s="15">
        <f>IF(OR(U44="",U4=""),"",IFERROR(U44/U4,""))</f>
        <v/>
      </c>
      <c r="V45" s="15">
        <f>IF(OR(V44="",V4=""),"",IFERROR(V44/V4,""))</f>
        <v/>
      </c>
      <c r="W45" s="15">
        <f>IF(OR(W44="",W4=""),"",IFERROR(W44/W4,""))</f>
        <v/>
      </c>
      <c r="X45" s="15">
        <f>IF(OR(X44="",X4=""),"",IFERROR(X44/X4,""))</f>
        <v/>
      </c>
      <c r="Y45" s="14" t="n"/>
      <c r="Z45" s="15" t="n"/>
      <c r="AA45" s="15" t="n"/>
      <c r="AB45" s="15" t="n"/>
      <c r="AC45" s="15" t="n"/>
    </row>
    <row r="46">
      <c r="A46" s="16" t="inlineStr">
        <is>
          <t>당기순이익 추정</t>
        </is>
      </c>
      <c r="B46" s="16" t="n"/>
      <c r="C46" s="17" t="n"/>
      <c r="D46" s="16" t="n"/>
      <c r="E46" s="16" t="n"/>
      <c r="F46" s="16" t="n"/>
      <c r="G46" s="16" t="n"/>
      <c r="H46" s="16" t="n"/>
      <c r="I46" s="16" t="n"/>
      <c r="J46" s="16" t="n"/>
      <c r="K46" s="16" t="n"/>
      <c r="L46" s="16" t="n"/>
      <c r="M46" s="16" t="n"/>
      <c r="N46" s="16" t="n"/>
      <c r="O46" s="17" t="n"/>
      <c r="P46" s="16" t="n"/>
      <c r="Q46" s="16" t="n"/>
      <c r="R46" s="16" t="n"/>
      <c r="S46" s="16" t="n"/>
      <c r="T46" s="16" t="n"/>
      <c r="U46" s="16" t="n"/>
      <c r="V46" s="16" t="n"/>
      <c r="W46" s="16" t="n"/>
      <c r="X46" s="16" t="n"/>
      <c r="Y46" s="17" t="n"/>
      <c r="Z46" s="16" t="n"/>
      <c r="AA46" s="16" t="n"/>
      <c r="AB46" s="16" t="n"/>
      <c r="AC46" s="16" t="n"/>
    </row>
    <row r="47">
      <c r="A47" s="18" t="inlineStr">
        <is>
          <t>기타이익</t>
        </is>
      </c>
      <c r="B47" s="10" t="n"/>
      <c r="C47" s="19" t="n">
        <v>3289</v>
      </c>
      <c r="D47" s="20" t="n">
        <v>114</v>
      </c>
      <c r="E47" s="20" t="n">
        <v>196</v>
      </c>
      <c r="F47" s="20" t="n">
        <v>152</v>
      </c>
      <c r="G47" s="20" t="n">
        <v>519</v>
      </c>
      <c r="H47" s="20" t="n">
        <v>379</v>
      </c>
      <c r="I47" s="20" t="n">
        <v>316</v>
      </c>
      <c r="J47" s="20" t="n">
        <v>2971</v>
      </c>
      <c r="K47" s="20" t="n">
        <v>319</v>
      </c>
      <c r="L47" s="20" t="n">
        <v>179</v>
      </c>
      <c r="M47" s="20" t="n">
        <v>83</v>
      </c>
      <c r="N47" s="20" t="n">
        <v>796</v>
      </c>
      <c r="O47" s="19" t="n"/>
      <c r="P47" s="20" t="n">
        <v>621</v>
      </c>
      <c r="Q47" s="20" t="n">
        <v>3818</v>
      </c>
      <c r="R47" s="20" t="n">
        <v>335</v>
      </c>
      <c r="S47" s="20" t="n">
        <v>8499</v>
      </c>
      <c r="T47" s="20" t="n">
        <v>606</v>
      </c>
      <c r="U47" s="20" t="n">
        <v>1003</v>
      </c>
      <c r="V47" s="20" t="n">
        <v>3926</v>
      </c>
      <c r="W47" s="20" t="n">
        <v>1366</v>
      </c>
      <c r="X47" s="20" t="n">
        <v>3552</v>
      </c>
      <c r="Y47" s="19">
        <f>IF(OR(Y4="",Y48=""),"",IFERROR(Y4*Y48,""))</f>
        <v/>
      </c>
      <c r="Z47" s="20">
        <f>IF(OR(Z4="",Z48=""),"",IFERROR(Z4*Z48,""))</f>
        <v/>
      </c>
      <c r="AA47" s="20">
        <f>IF(OR(AA4="",AA48=""),"",IFERROR(AA4*AA48,""))</f>
        <v/>
      </c>
      <c r="AB47" s="20">
        <f>IF(OR(AB4="",AB48=""),"",IFERROR(AB4*AB48,""))</f>
        <v/>
      </c>
      <c r="AC47" s="20">
        <f>IF(OR(AC4="",AC48=""),"",IFERROR(AC4*AC48,""))</f>
        <v/>
      </c>
    </row>
    <row r="48">
      <c r="A48" s="13" t="inlineStr">
        <is>
          <t>% of Sales</t>
        </is>
      </c>
      <c r="B48" s="10" t="inlineStr">
        <is>
          <t>MW = 최근 3년 평균</t>
        </is>
      </c>
      <c r="C48" s="14">
        <f>IF(OR(C47="",C4=""),"",IFERROR(C47/C4,""))</f>
        <v/>
      </c>
      <c r="D48" s="15">
        <f>IF(OR(D47="",D4=""),"",IFERROR(D47/D4,""))</f>
        <v/>
      </c>
      <c r="E48" s="15">
        <f>IF(OR(E47="",E4=""),"",IFERROR(E47/E4,""))</f>
        <v/>
      </c>
      <c r="F48" s="15">
        <f>IF(OR(F47="",F4=""),"",IFERROR(F47/F4,""))</f>
        <v/>
      </c>
      <c r="G48" s="15">
        <f>IF(OR(G47="",G4=""),"",IFERROR(G47/G4,""))</f>
        <v/>
      </c>
      <c r="H48" s="15">
        <f>IF(OR(H47="",H4=""),"",IFERROR(H47/H4,""))</f>
        <v/>
      </c>
      <c r="I48" s="15">
        <f>IF(OR(I47="",I4=""),"",IFERROR(I47/I4,""))</f>
        <v/>
      </c>
      <c r="J48" s="15">
        <f>IF(OR(J47="",J4=""),"",IFERROR(J47/J4,""))</f>
        <v/>
      </c>
      <c r="K48" s="15">
        <f>IF(OR(K47="",K4=""),"",IFERROR(K47/K4,""))</f>
        <v/>
      </c>
      <c r="L48" s="15">
        <f>IF(OR(L47="",L4=""),"",IFERROR(L47/L4,""))</f>
        <v/>
      </c>
      <c r="M48" s="15">
        <f>IF(OR(M47="",M4=""),"",IFERROR(M47/M4,""))</f>
        <v/>
      </c>
      <c r="N48" s="15">
        <f>IF(OR(N47="",N4=""),"",IFERROR(N47/N4,""))</f>
        <v/>
      </c>
      <c r="O48" s="14">
        <f>IF(OR(O47="",O4=""),"",IFERROR(O47/O4,""))</f>
        <v/>
      </c>
      <c r="P48" s="15">
        <f>IF(OR(P47="",P4=""),"",IFERROR(P47/P4,""))</f>
        <v/>
      </c>
      <c r="Q48" s="15">
        <f>IF(OR(Q47="",Q4=""),"",IFERROR(Q47/Q4,""))</f>
        <v/>
      </c>
      <c r="R48" s="15">
        <f>IF(OR(R47="",R4=""),"",IFERROR(R47/R4,""))</f>
        <v/>
      </c>
      <c r="S48" s="15">
        <f>IF(OR(S47="",S4=""),"",IFERROR(S47/S4,""))</f>
        <v/>
      </c>
      <c r="T48" s="15">
        <f>IF(OR(T47="",T4=""),"",IFERROR(T47/T4,""))</f>
        <v/>
      </c>
      <c r="U48" s="15">
        <f>IF(OR(U47="",U4=""),"",IFERROR(U47/U4,""))</f>
        <v/>
      </c>
      <c r="V48" s="15">
        <f>IF(OR(V47="",V4=""),"",IFERROR(V47/V4,""))</f>
        <v/>
      </c>
      <c r="W48" s="15">
        <f>IF(OR(W47="",W4=""),"",IFERROR(W47/W4,""))</f>
        <v/>
      </c>
      <c r="X48" s="15">
        <f>IF(OR(X47="",X4=""),"",IFERROR(X47/X4,""))</f>
        <v/>
      </c>
      <c r="Y48" s="25">
        <f>IFERROR(AVERAGE(V48,W48,X48),"")</f>
        <v/>
      </c>
      <c r="Z48" s="26">
        <f>Y48</f>
        <v/>
      </c>
      <c r="AA48" s="26">
        <f>Z48</f>
        <v/>
      </c>
      <c r="AB48" s="26">
        <f>AA48</f>
        <v/>
      </c>
      <c r="AC48" s="26">
        <f>AB48</f>
        <v/>
      </c>
    </row>
    <row r="49">
      <c r="A49" s="18" t="inlineStr">
        <is>
          <t>기타손실</t>
        </is>
      </c>
      <c r="B49" s="10" t="n"/>
      <c r="C49" s="19" t="n">
        <v>86</v>
      </c>
      <c r="D49" s="20" t="n">
        <v>60</v>
      </c>
      <c r="E49" s="20" t="n">
        <v>9113</v>
      </c>
      <c r="F49" s="20" t="n">
        <v>191</v>
      </c>
      <c r="G49" s="20" t="n">
        <v>244</v>
      </c>
      <c r="H49" s="20" t="n">
        <v>650</v>
      </c>
      <c r="I49" s="20" t="n">
        <v>21813</v>
      </c>
      <c r="J49" s="20" t="n">
        <v>143</v>
      </c>
      <c r="K49" s="20" t="n">
        <v>123</v>
      </c>
      <c r="L49" s="20" t="n">
        <v>120</v>
      </c>
      <c r="M49" s="20" t="n">
        <v>525</v>
      </c>
      <c r="N49" s="20" t="n">
        <v>112</v>
      </c>
      <c r="O49" s="19" t="n"/>
      <c r="P49" s="20" t="n">
        <v>77</v>
      </c>
      <c r="Q49" s="20" t="n">
        <v>95</v>
      </c>
      <c r="R49" s="20" t="n">
        <v>373</v>
      </c>
      <c r="S49" s="20" t="n">
        <v>194</v>
      </c>
      <c r="T49" s="20" t="n">
        <v>647</v>
      </c>
      <c r="U49" s="20" t="n">
        <v>335</v>
      </c>
      <c r="V49" s="20" t="n">
        <v>9365</v>
      </c>
      <c r="W49" s="20" t="n">
        <v>22898</v>
      </c>
      <c r="X49" s="20" t="n">
        <v>911</v>
      </c>
      <c r="Y49" s="19">
        <f>IF(OR(Y4="",Y50=""),"",IFERROR(Y4*Y50,""))</f>
        <v/>
      </c>
      <c r="Z49" s="20">
        <f>IF(OR(Z4="",Z50=""),"",IFERROR(Z4*Z50,""))</f>
        <v/>
      </c>
      <c r="AA49" s="20">
        <f>IF(OR(AA4="",AA50=""),"",IFERROR(AA4*AA50,""))</f>
        <v/>
      </c>
      <c r="AB49" s="20">
        <f>IF(OR(AB4="",AB50=""),"",IFERROR(AB4*AB50,""))</f>
        <v/>
      </c>
      <c r="AC49" s="20">
        <f>IF(OR(AC4="",AC50=""),"",IFERROR(AC4*AC50,""))</f>
        <v/>
      </c>
    </row>
    <row r="50">
      <c r="A50" s="13" t="inlineStr">
        <is>
          <t>% of Sales</t>
        </is>
      </c>
      <c r="B50" s="10" t="n"/>
      <c r="C50" s="14">
        <f>IF(OR(C49="",C4=""),"",IFERROR(C49/C4,""))</f>
        <v/>
      </c>
      <c r="D50" s="15">
        <f>IF(OR(D49="",D4=""),"",IFERROR(D49/D4,""))</f>
        <v/>
      </c>
      <c r="E50" s="15">
        <f>IF(OR(E49="",E4=""),"",IFERROR(E49/E4,""))</f>
        <v/>
      </c>
      <c r="F50" s="15">
        <f>IF(OR(F49="",F4=""),"",IFERROR(F49/F4,""))</f>
        <v/>
      </c>
      <c r="G50" s="15">
        <f>IF(OR(G49="",G4=""),"",IFERROR(G49/G4,""))</f>
        <v/>
      </c>
      <c r="H50" s="15">
        <f>IF(OR(H49="",H4=""),"",IFERROR(H49/H4,""))</f>
        <v/>
      </c>
      <c r="I50" s="15">
        <f>IF(OR(I49="",I4=""),"",IFERROR(I49/I4,""))</f>
        <v/>
      </c>
      <c r="J50" s="15">
        <f>IF(OR(J49="",J4=""),"",IFERROR(J49/J4,""))</f>
        <v/>
      </c>
      <c r="K50" s="15">
        <f>IF(OR(K49="",K4=""),"",IFERROR(K49/K4,""))</f>
        <v/>
      </c>
      <c r="L50" s="15">
        <f>IF(OR(L49="",L4=""),"",IFERROR(L49/L4,""))</f>
        <v/>
      </c>
      <c r="M50" s="15">
        <f>IF(OR(M49="",M4=""),"",IFERROR(M49/M4,""))</f>
        <v/>
      </c>
      <c r="N50" s="15">
        <f>IF(OR(N49="",N4=""),"",IFERROR(N49/N4,""))</f>
        <v/>
      </c>
      <c r="O50" s="14">
        <f>IF(OR(O49="",O4=""),"",IFERROR(O49/O4,""))</f>
        <v/>
      </c>
      <c r="P50" s="15">
        <f>IF(OR(P49="",P4=""),"",IFERROR(P49/P4,""))</f>
        <v/>
      </c>
      <c r="Q50" s="15">
        <f>IF(OR(Q49="",Q4=""),"",IFERROR(Q49/Q4,""))</f>
        <v/>
      </c>
      <c r="R50" s="15">
        <f>IF(OR(R49="",R4=""),"",IFERROR(R49/R4,""))</f>
        <v/>
      </c>
      <c r="S50" s="15">
        <f>IF(OR(S49="",S4=""),"",IFERROR(S49/S4,""))</f>
        <v/>
      </c>
      <c r="T50" s="15">
        <f>IF(OR(T49="",T4=""),"",IFERROR(T49/T4,""))</f>
        <v/>
      </c>
      <c r="U50" s="15">
        <f>IF(OR(U49="",U4=""),"",IFERROR(U49/U4,""))</f>
        <v/>
      </c>
      <c r="V50" s="15">
        <f>IF(OR(V49="",V4=""),"",IFERROR(V49/V4,""))</f>
        <v/>
      </c>
      <c r="W50" s="15">
        <f>IF(OR(W49="",W4=""),"",IFERROR(W49/W4,""))</f>
        <v/>
      </c>
      <c r="X50" s="15">
        <f>IF(OR(X49="",X4=""),"",IFERROR(X49/X4,""))</f>
        <v/>
      </c>
      <c r="Y50" s="25">
        <f>IFERROR(AVERAGE(V50,W50,X50),"")</f>
        <v/>
      </c>
      <c r="Z50" s="26">
        <f>Y50</f>
        <v/>
      </c>
      <c r="AA50" s="26">
        <f>Z50</f>
        <v/>
      </c>
      <c r="AB50" s="26">
        <f>AA50</f>
        <v/>
      </c>
      <c r="AC50" s="26">
        <f>AB50</f>
        <v/>
      </c>
    </row>
    <row r="51">
      <c r="A51" s="18" t="inlineStr">
        <is>
          <t>금융수익</t>
        </is>
      </c>
      <c r="B51" s="10" t="n"/>
      <c r="C51" s="19" t="n">
        <v>252</v>
      </c>
      <c r="D51" s="20" t="n">
        <v>320</v>
      </c>
      <c r="E51" s="20" t="n">
        <v>378</v>
      </c>
      <c r="F51" s="20" t="n">
        <v>1281</v>
      </c>
      <c r="G51" s="20" t="n">
        <v>-322</v>
      </c>
      <c r="H51" s="20" t="n">
        <v>410</v>
      </c>
      <c r="I51" s="20" t="n">
        <v>526</v>
      </c>
      <c r="J51" s="20" t="n">
        <v>693</v>
      </c>
      <c r="K51" s="20" t="n">
        <v>623</v>
      </c>
      <c r="L51" s="20" t="n">
        <v>705</v>
      </c>
      <c r="M51" s="20" t="n">
        <v>18333</v>
      </c>
      <c r="N51" s="20" t="n">
        <v>44680</v>
      </c>
      <c r="O51" s="19" t="n"/>
      <c r="P51" s="20" t="n">
        <v>975</v>
      </c>
      <c r="Q51" s="20" t="n">
        <v>1626</v>
      </c>
      <c r="R51" s="20" t="n">
        <v>1045</v>
      </c>
      <c r="S51" s="20" t="n">
        <v>767</v>
      </c>
      <c r="T51" s="20" t="n">
        <v>1912</v>
      </c>
      <c r="U51" s="20" t="n">
        <v>4458</v>
      </c>
      <c r="V51" s="20" t="n">
        <v>1244</v>
      </c>
      <c r="W51" s="20" t="n">
        <v>1895</v>
      </c>
      <c r="X51" s="20" t="n">
        <v>20354</v>
      </c>
      <c r="Y51" s="19">
        <f>IF(OR(Y4="",Y52=""),"",IFERROR(Y4*Y52,""))</f>
        <v/>
      </c>
      <c r="Z51" s="20">
        <f>IF(OR(Z4="",Z52=""),"",IFERROR(Z4*Z52,""))</f>
        <v/>
      </c>
      <c r="AA51" s="20">
        <f>IF(OR(AA4="",AA52=""),"",IFERROR(AA4*AA52,""))</f>
        <v/>
      </c>
      <c r="AB51" s="20">
        <f>IF(OR(AB4="",AB52=""),"",IFERROR(AB4*AB52,""))</f>
        <v/>
      </c>
      <c r="AC51" s="20">
        <f>IF(OR(AC4="",AC52=""),"",IFERROR(AC4*AC52,""))</f>
        <v/>
      </c>
    </row>
    <row r="52">
      <c r="A52" s="13" t="inlineStr">
        <is>
          <t>% of Sales</t>
        </is>
      </c>
      <c r="B52" s="10" t="n"/>
      <c r="C52" s="14">
        <f>IF(OR(C51="",C4=""),"",IFERROR(C51/C4,""))</f>
        <v/>
      </c>
      <c r="D52" s="15">
        <f>IF(OR(D51="",D4=""),"",IFERROR(D51/D4,""))</f>
        <v/>
      </c>
      <c r="E52" s="15">
        <f>IF(OR(E51="",E4=""),"",IFERROR(E51/E4,""))</f>
        <v/>
      </c>
      <c r="F52" s="15">
        <f>IF(OR(F51="",F4=""),"",IFERROR(F51/F4,""))</f>
        <v/>
      </c>
      <c r="G52" s="15">
        <f>IF(OR(G51="",G4=""),"",IFERROR(G51/G4,""))</f>
        <v/>
      </c>
      <c r="H52" s="15">
        <f>IF(OR(H51="",H4=""),"",IFERROR(H51/H4,""))</f>
        <v/>
      </c>
      <c r="I52" s="15">
        <f>IF(OR(I51="",I4=""),"",IFERROR(I51/I4,""))</f>
        <v/>
      </c>
      <c r="J52" s="15">
        <f>IF(OR(J51="",J4=""),"",IFERROR(J51/J4,""))</f>
        <v/>
      </c>
      <c r="K52" s="15">
        <f>IF(OR(K51="",K4=""),"",IFERROR(K51/K4,""))</f>
        <v/>
      </c>
      <c r="L52" s="15">
        <f>IF(OR(L51="",L4=""),"",IFERROR(L51/L4,""))</f>
        <v/>
      </c>
      <c r="M52" s="15">
        <f>IF(OR(M51="",M4=""),"",IFERROR(M51/M4,""))</f>
        <v/>
      </c>
      <c r="N52" s="15">
        <f>IF(OR(N51="",N4=""),"",IFERROR(N51/N4,""))</f>
        <v/>
      </c>
      <c r="O52" s="14">
        <f>IF(OR(O51="",O4=""),"",IFERROR(O51/O4,""))</f>
        <v/>
      </c>
      <c r="P52" s="15">
        <f>IF(OR(P51="",P4=""),"",IFERROR(P51/P4,""))</f>
        <v/>
      </c>
      <c r="Q52" s="15">
        <f>IF(OR(Q51="",Q4=""),"",IFERROR(Q51/Q4,""))</f>
        <v/>
      </c>
      <c r="R52" s="15">
        <f>IF(OR(R51="",R4=""),"",IFERROR(R51/R4,""))</f>
        <v/>
      </c>
      <c r="S52" s="15">
        <f>IF(OR(S51="",S4=""),"",IFERROR(S51/S4,""))</f>
        <v/>
      </c>
      <c r="T52" s="15">
        <f>IF(OR(T51="",T4=""),"",IFERROR(T51/T4,""))</f>
        <v/>
      </c>
      <c r="U52" s="15">
        <f>IF(OR(U51="",U4=""),"",IFERROR(U51/U4,""))</f>
        <v/>
      </c>
      <c r="V52" s="15">
        <f>IF(OR(V51="",V4=""),"",IFERROR(V51/V4,""))</f>
        <v/>
      </c>
      <c r="W52" s="15">
        <f>IF(OR(W51="",W4=""),"",IFERROR(W51/W4,""))</f>
        <v/>
      </c>
      <c r="X52" s="15">
        <f>IF(OR(X51="",X4=""),"",IFERROR(X51/X4,""))</f>
        <v/>
      </c>
      <c r="Y52" s="25">
        <f>IFERROR(AVERAGE(V52,W52,X52),"")</f>
        <v/>
      </c>
      <c r="Z52" s="26">
        <f>Y52</f>
        <v/>
      </c>
      <c r="AA52" s="26">
        <f>Z52</f>
        <v/>
      </c>
      <c r="AB52" s="26">
        <f>AA52</f>
        <v/>
      </c>
      <c r="AC52" s="26">
        <f>AB52</f>
        <v/>
      </c>
    </row>
    <row r="53">
      <c r="A53" s="18" t="inlineStr">
        <is>
          <t>금융원가</t>
        </is>
      </c>
      <c r="B53" s="10" t="n"/>
      <c r="C53" s="19" t="n">
        <v>896</v>
      </c>
      <c r="D53" s="20" t="n">
        <v>900</v>
      </c>
      <c r="E53" s="20" t="n">
        <v>1304</v>
      </c>
      <c r="F53" s="20" t="n">
        <v>676</v>
      </c>
      <c r="G53" s="20" t="n">
        <v>2497</v>
      </c>
      <c r="H53" s="20" t="n">
        <v>-870</v>
      </c>
      <c r="I53" s="20" t="n">
        <v>2979</v>
      </c>
      <c r="J53" s="20" t="n">
        <v>3288</v>
      </c>
      <c r="K53" s="20" t="n">
        <v>-54</v>
      </c>
      <c r="L53" s="20" t="n">
        <v>444</v>
      </c>
      <c r="M53" s="20" t="n">
        <v>-924</v>
      </c>
      <c r="N53" s="20" t="n">
        <v>588</v>
      </c>
      <c r="O53" s="19" t="n"/>
      <c r="P53" s="20" t="n">
        <v>1180</v>
      </c>
      <c r="Q53" s="20" t="n">
        <v>77</v>
      </c>
      <c r="R53" s="20" t="n">
        <v>1179</v>
      </c>
      <c r="S53" s="20" t="n">
        <v>1875</v>
      </c>
      <c r="T53" s="20" t="n">
        <v>303</v>
      </c>
      <c r="U53" s="20" t="n">
        <v>875</v>
      </c>
      <c r="V53" s="20" t="n">
        <v>4702</v>
      </c>
      <c r="W53" s="20" t="n">
        <v>5282</v>
      </c>
      <c r="X53" s="20" t="n">
        <v>2754</v>
      </c>
      <c r="Y53" s="19">
        <f>IF(OR(Y4="",Y54=""),"",IFERROR(Y4*Y54,""))</f>
        <v/>
      </c>
      <c r="Z53" s="20">
        <f>IF(OR(Z4="",Z54=""),"",IFERROR(Z4*Z54,""))</f>
        <v/>
      </c>
      <c r="AA53" s="20">
        <f>IF(OR(AA4="",AA54=""),"",IFERROR(AA4*AA54,""))</f>
        <v/>
      </c>
      <c r="AB53" s="20">
        <f>IF(OR(AB4="",AB54=""),"",IFERROR(AB4*AB54,""))</f>
        <v/>
      </c>
      <c r="AC53" s="20">
        <f>IF(OR(AC4="",AC54=""),"",IFERROR(AC4*AC54,""))</f>
        <v/>
      </c>
    </row>
    <row r="54">
      <c r="A54" s="13" t="inlineStr">
        <is>
          <t>% of Sales</t>
        </is>
      </c>
      <c r="B54" s="10" t="n"/>
      <c r="C54" s="14">
        <f>IF(OR(C53="",C4=""),"",IFERROR(C53/C4,""))</f>
        <v/>
      </c>
      <c r="D54" s="15">
        <f>IF(OR(D53="",D4=""),"",IFERROR(D53/D4,""))</f>
        <v/>
      </c>
      <c r="E54" s="15">
        <f>IF(OR(E53="",E4=""),"",IFERROR(E53/E4,""))</f>
        <v/>
      </c>
      <c r="F54" s="15">
        <f>IF(OR(F53="",F4=""),"",IFERROR(F53/F4,""))</f>
        <v/>
      </c>
      <c r="G54" s="15">
        <f>IF(OR(G53="",G4=""),"",IFERROR(G53/G4,""))</f>
        <v/>
      </c>
      <c r="H54" s="15">
        <f>IF(OR(H53="",H4=""),"",IFERROR(H53/H4,""))</f>
        <v/>
      </c>
      <c r="I54" s="15">
        <f>IF(OR(I53="",I4=""),"",IFERROR(I53/I4,""))</f>
        <v/>
      </c>
      <c r="J54" s="15">
        <f>IF(OR(J53="",J4=""),"",IFERROR(J53/J4,""))</f>
        <v/>
      </c>
      <c r="K54" s="15">
        <f>IF(OR(K53="",K4=""),"",IFERROR(K53/K4,""))</f>
        <v/>
      </c>
      <c r="L54" s="15">
        <f>IF(OR(L53="",L4=""),"",IFERROR(L53/L4,""))</f>
        <v/>
      </c>
      <c r="M54" s="15">
        <f>IF(OR(M53="",M4=""),"",IFERROR(M53/M4,""))</f>
        <v/>
      </c>
      <c r="N54" s="15">
        <f>IF(OR(N53="",N4=""),"",IFERROR(N53/N4,""))</f>
        <v/>
      </c>
      <c r="O54" s="14">
        <f>IF(OR(O53="",O4=""),"",IFERROR(O53/O4,""))</f>
        <v/>
      </c>
      <c r="P54" s="15">
        <f>IF(OR(P53="",P4=""),"",IFERROR(P53/P4,""))</f>
        <v/>
      </c>
      <c r="Q54" s="15">
        <f>IF(OR(Q53="",Q4=""),"",IFERROR(Q53/Q4,""))</f>
        <v/>
      </c>
      <c r="R54" s="15">
        <f>IF(OR(R53="",R4=""),"",IFERROR(R53/R4,""))</f>
        <v/>
      </c>
      <c r="S54" s="15">
        <f>IF(OR(S53="",S4=""),"",IFERROR(S53/S4,""))</f>
        <v/>
      </c>
      <c r="T54" s="15">
        <f>IF(OR(T53="",T4=""),"",IFERROR(T53/T4,""))</f>
        <v/>
      </c>
      <c r="U54" s="15">
        <f>IF(OR(U53="",U4=""),"",IFERROR(U53/U4,""))</f>
        <v/>
      </c>
      <c r="V54" s="15">
        <f>IF(OR(V53="",V4=""),"",IFERROR(V53/V4,""))</f>
        <v/>
      </c>
      <c r="W54" s="15">
        <f>IF(OR(W53="",W4=""),"",IFERROR(W53/W4,""))</f>
        <v/>
      </c>
      <c r="X54" s="15">
        <f>IF(OR(X53="",X4=""),"",IFERROR(X53/X4,""))</f>
        <v/>
      </c>
      <c r="Y54" s="25">
        <f>IFERROR(AVERAGE(V54,W54,X54),"")</f>
        <v/>
      </c>
      <c r="Z54" s="26">
        <f>Y54</f>
        <v/>
      </c>
      <c r="AA54" s="26">
        <f>Z54</f>
        <v/>
      </c>
      <c r="AB54" s="26">
        <f>AA54</f>
        <v/>
      </c>
      <c r="AC54" s="26">
        <f>AB54</f>
        <v/>
      </c>
    </row>
    <row r="55">
      <c r="A55" s="9" t="inlineStr">
        <is>
          <t>법인세비용차감전순이익(손실)</t>
        </is>
      </c>
      <c r="B55" s="10" t="n"/>
      <c r="C55" s="11" t="n">
        <v>20356</v>
      </c>
      <c r="D55" s="12" t="n">
        <v>26250</v>
      </c>
      <c r="E55" s="12" t="n">
        <v>18603</v>
      </c>
      <c r="F55" s="12" t="n">
        <v>31930</v>
      </c>
      <c r="G55" s="12" t="n">
        <v>60715</v>
      </c>
      <c r="H55" s="12" t="n">
        <v>70547</v>
      </c>
      <c r="I55" s="12" t="n">
        <v>61582</v>
      </c>
      <c r="J55" s="12" t="n">
        <v>121357</v>
      </c>
      <c r="K55" s="12" t="n">
        <v>109160</v>
      </c>
      <c r="L55" s="12" t="n">
        <v>113832</v>
      </c>
      <c r="M55" s="12" t="n">
        <v>172371</v>
      </c>
      <c r="N55" s="12" t="n">
        <v>234082</v>
      </c>
      <c r="O55" s="11" t="n"/>
      <c r="P55" s="12" t="n">
        <v>24282</v>
      </c>
      <c r="Q55" s="12" t="n">
        <v>66211</v>
      </c>
      <c r="R55" s="12" t="n">
        <v>58574</v>
      </c>
      <c r="S55" s="12" t="n">
        <v>69618</v>
      </c>
      <c r="T55" s="12" t="n">
        <v>116343</v>
      </c>
      <c r="U55" s="12" t="n">
        <v>171270</v>
      </c>
      <c r="V55" s="12" t="n">
        <v>78170</v>
      </c>
      <c r="W55" s="12" t="n">
        <v>224774</v>
      </c>
      <c r="X55" s="12" t="n">
        <v>516720</v>
      </c>
      <c r="Y55" s="11">
        <f>IF(OR(Y31=""),"",IFERROR(Y31+N(Y47)-N(Y49)+N(Y51)-N(Y53),""))</f>
        <v/>
      </c>
      <c r="Z55" s="12">
        <f>IF(OR(Z31=""),"",IFERROR(Z31+N(Z47)-N(Z49)+N(Z51)-N(Z53),""))</f>
        <v/>
      </c>
      <c r="AA55" s="12">
        <f>IF(OR(AA31=""),"",IFERROR(AA31+N(AA47)-N(AA49)+N(AA51)-N(AA53),""))</f>
        <v/>
      </c>
      <c r="AB55" s="12">
        <f>IF(OR(AB31=""),"",IFERROR(AB31+N(AB47)-N(AB49)+N(AB51)-N(AB53),""))</f>
        <v/>
      </c>
      <c r="AC55" s="12">
        <f>IF(OR(AC31=""),"",IFERROR(AC31+N(AC47)-N(AC49)+N(AC51)-N(AC53),""))</f>
        <v/>
      </c>
    </row>
    <row r="56">
      <c r="A56" s="18" t="inlineStr">
        <is>
          <t>법인세비용(수익)</t>
        </is>
      </c>
      <c r="B56" s="10" t="n"/>
      <c r="C56" s="19" t="n">
        <v>3620</v>
      </c>
      <c r="D56" s="20" t="n">
        <v>5045</v>
      </c>
      <c r="E56" s="20" t="n">
        <v>3456</v>
      </c>
      <c r="F56" s="20" t="n">
        <v>8057</v>
      </c>
      <c r="G56" s="20" t="n">
        <v>15245</v>
      </c>
      <c r="H56" s="20" t="n">
        <v>18680</v>
      </c>
      <c r="I56" s="20" t="n">
        <v>21615</v>
      </c>
      <c r="J56" s="20" t="n">
        <v>31177</v>
      </c>
      <c r="K56" s="20" t="n">
        <v>29527</v>
      </c>
      <c r="L56" s="20" t="n">
        <v>35119</v>
      </c>
      <c r="M56" s="20" t="n">
        <v>45544</v>
      </c>
      <c r="N56" s="20" t="n">
        <v>59302</v>
      </c>
      <c r="O56" s="19" t="n"/>
      <c r="P56" s="20" t="n">
        <v>6179</v>
      </c>
      <c r="Q56" s="20" t="n">
        <v>9218</v>
      </c>
      <c r="R56" s="20" t="n">
        <v>5042</v>
      </c>
      <c r="S56" s="20" t="n">
        <v>-169</v>
      </c>
      <c r="T56" s="20" t="n">
        <v>29042</v>
      </c>
      <c r="U56" s="20" t="n">
        <v>40870</v>
      </c>
      <c r="V56" s="20" t="n">
        <v>15880</v>
      </c>
      <c r="W56" s="20" t="n">
        <v>63597</v>
      </c>
      <c r="X56" s="20" t="n">
        <v>141367</v>
      </c>
      <c r="Y56" s="19">
        <f>IF(OR(Y55="",Y57=""),"",IFERROR(MAX(Y55,0)*Y57,""))</f>
        <v/>
      </c>
      <c r="Z56" s="20">
        <f>IF(OR(Z55="",Z57=""),"",IFERROR(MAX(Z55,0)*Z57,""))</f>
        <v/>
      </c>
      <c r="AA56" s="20">
        <f>IF(OR(AA55="",AA57=""),"",IFERROR(MAX(AA55,0)*AA57,""))</f>
        <v/>
      </c>
      <c r="AB56" s="20">
        <f>IF(OR(AB55="",AB57=""),"",IFERROR(MAX(AB55,0)*AB57,""))</f>
        <v/>
      </c>
      <c r="AC56" s="20">
        <f>IF(OR(AC55="",AC57=""),"",IFERROR(MAX(AC55,0)*AC57,""))</f>
        <v/>
      </c>
    </row>
    <row r="57">
      <c r="A57" s="13" t="inlineStr">
        <is>
          <t>법인세율</t>
        </is>
      </c>
      <c r="B57" s="10" t="inlineStr">
        <is>
          <t>MW 기본 30%</t>
        </is>
      </c>
      <c r="C57" s="14">
        <f>IF(OR(C56="",C55=""),"",IFERROR(C56/C55,""))</f>
        <v/>
      </c>
      <c r="D57" s="15">
        <f>IF(OR(D56="",D55=""),"",IFERROR(D56/D55,""))</f>
        <v/>
      </c>
      <c r="E57" s="15">
        <f>IF(OR(E56="",E55=""),"",IFERROR(E56/E55,""))</f>
        <v/>
      </c>
      <c r="F57" s="15">
        <f>IF(OR(F56="",F55=""),"",IFERROR(F56/F55,""))</f>
        <v/>
      </c>
      <c r="G57" s="15">
        <f>IF(OR(G56="",G55=""),"",IFERROR(G56/G55,""))</f>
        <v/>
      </c>
      <c r="H57" s="15">
        <f>IF(OR(H56="",H55=""),"",IFERROR(H56/H55,""))</f>
        <v/>
      </c>
      <c r="I57" s="15">
        <f>IF(OR(I56="",I55=""),"",IFERROR(I56/I55,""))</f>
        <v/>
      </c>
      <c r="J57" s="15">
        <f>IF(OR(J56="",J55=""),"",IFERROR(J56/J55,""))</f>
        <v/>
      </c>
      <c r="K57" s="15">
        <f>IF(OR(K56="",K55=""),"",IFERROR(K56/K55,""))</f>
        <v/>
      </c>
      <c r="L57" s="15">
        <f>IF(OR(L56="",L55=""),"",IFERROR(L56/L55,""))</f>
        <v/>
      </c>
      <c r="M57" s="15">
        <f>IF(OR(M56="",M55=""),"",IFERROR(M56/M55,""))</f>
        <v/>
      </c>
      <c r="N57" s="15">
        <f>IF(OR(N56="",N55=""),"",IFERROR(N56/N55,""))</f>
        <v/>
      </c>
      <c r="O57" s="14">
        <f>IF(OR(O56="",O55=""),"",IFERROR(O56/O55,""))</f>
        <v/>
      </c>
      <c r="P57" s="15">
        <f>IF(OR(P56="",P55=""),"",IFERROR(P56/P55,""))</f>
        <v/>
      </c>
      <c r="Q57" s="15">
        <f>IF(OR(Q56="",Q55=""),"",IFERROR(Q56/Q55,""))</f>
        <v/>
      </c>
      <c r="R57" s="15">
        <f>IF(OR(R56="",R55=""),"",IFERROR(R56/R55,""))</f>
        <v/>
      </c>
      <c r="S57" s="15">
        <f>IF(OR(S56="",S55=""),"",IFERROR(S56/S55,""))</f>
        <v/>
      </c>
      <c r="T57" s="15">
        <f>IF(OR(T56="",T55=""),"",IFERROR(T56/T55,""))</f>
        <v/>
      </c>
      <c r="U57" s="15">
        <f>IF(OR(U56="",U55=""),"",IFERROR(U56/U55,""))</f>
        <v/>
      </c>
      <c r="V57" s="15">
        <f>IF(OR(V56="",V55=""),"",IFERROR(V56/V55,""))</f>
        <v/>
      </c>
      <c r="W57" s="15">
        <f>IF(OR(W56="",W55=""),"",IFERROR(W56/W55,""))</f>
        <v/>
      </c>
      <c r="X57" s="15">
        <f>IF(OR(X56="",X55=""),"",IFERROR(X56/X55,""))</f>
        <v/>
      </c>
      <c r="Y57" s="25" t="n">
        <v>0.3</v>
      </c>
      <c r="Z57" s="26" t="n">
        <v>0.3</v>
      </c>
      <c r="AA57" s="26" t="n">
        <v>0.3</v>
      </c>
      <c r="AB57" s="26" t="n">
        <v>0.3</v>
      </c>
      <c r="AC57" s="26" t="n">
        <v>0.3</v>
      </c>
    </row>
    <row r="58">
      <c r="A58" s="9" t="inlineStr">
        <is>
          <t>당기순이익(손실)</t>
        </is>
      </c>
      <c r="B58" s="10" t="n"/>
      <c r="C58" s="11" t="n">
        <v>16736</v>
      </c>
      <c r="D58" s="12" t="n">
        <v>21205</v>
      </c>
      <c r="E58" s="12" t="n">
        <v>15147</v>
      </c>
      <c r="F58" s="12" t="n">
        <v>23873</v>
      </c>
      <c r="G58" s="12" t="n">
        <v>45470</v>
      </c>
      <c r="H58" s="12" t="n">
        <v>51867</v>
      </c>
      <c r="I58" s="12" t="n">
        <v>39967</v>
      </c>
      <c r="J58" s="12" t="n">
        <v>90180</v>
      </c>
      <c r="K58" s="12" t="n">
        <v>79633</v>
      </c>
      <c r="L58" s="12" t="n">
        <v>78713</v>
      </c>
      <c r="M58" s="12" t="n">
        <v>126827</v>
      </c>
      <c r="N58" s="12" t="n">
        <v>174780</v>
      </c>
      <c r="O58" s="11" t="n"/>
      <c r="P58" s="12" t="n">
        <v>18103</v>
      </c>
      <c r="Q58" s="12" t="n">
        <v>56993</v>
      </c>
      <c r="R58" s="12" t="n">
        <v>53532</v>
      </c>
      <c r="S58" s="12" t="n">
        <v>69787</v>
      </c>
      <c r="T58" s="12" t="n">
        <v>87301</v>
      </c>
      <c r="U58" s="12" t="n">
        <v>130400</v>
      </c>
      <c r="V58" s="12" t="n">
        <v>62290</v>
      </c>
      <c r="W58" s="12" t="n">
        <v>161177</v>
      </c>
      <c r="X58" s="12" t="n">
        <v>375353</v>
      </c>
      <c r="Y58" s="11">
        <f>IF(OR(Y55=""),"",IFERROR(Y55-Y56,""))</f>
        <v/>
      </c>
      <c r="Z58" s="12">
        <f>IF(OR(Z55=""),"",IFERROR(Z55-Z56,""))</f>
        <v/>
      </c>
      <c r="AA58" s="12">
        <f>IF(OR(AA55=""),"",IFERROR(AA55-AA56,""))</f>
        <v/>
      </c>
      <c r="AB58" s="12">
        <f>IF(OR(AB55=""),"",IFERROR(AB55-AB56,""))</f>
        <v/>
      </c>
      <c r="AC58" s="12">
        <f>IF(OR(AC55=""),"",IFERROR(AC55-AC56,""))</f>
        <v/>
      </c>
    </row>
    <row r="59">
      <c r="A59" s="9" t="inlineStr">
        <is>
          <t>지배주주 순이익</t>
        </is>
      </c>
      <c r="B59" s="10" t="n"/>
      <c r="C59" s="11" t="n">
        <v>16736</v>
      </c>
      <c r="D59" s="12" t="n">
        <v>21205</v>
      </c>
      <c r="E59" s="12" t="n">
        <v>15147</v>
      </c>
      <c r="F59" s="12" t="n">
        <v>23873</v>
      </c>
      <c r="G59" s="12" t="n">
        <v>45470</v>
      </c>
      <c r="H59" s="12" t="n">
        <v>51867</v>
      </c>
      <c r="I59" s="12" t="n">
        <v>39967</v>
      </c>
      <c r="J59" s="12" t="n">
        <v>90180</v>
      </c>
      <c r="K59" s="12" t="n">
        <v>79633</v>
      </c>
      <c r="L59" s="12" t="n">
        <v>78713</v>
      </c>
      <c r="M59" s="12" t="n">
        <v>126827</v>
      </c>
      <c r="N59" s="12" t="n">
        <v>174780</v>
      </c>
      <c r="O59" s="11" t="n"/>
      <c r="P59" s="12" t="n">
        <v>18103</v>
      </c>
      <c r="Q59" s="12" t="n">
        <v>56993</v>
      </c>
      <c r="R59" s="12" t="n">
        <v>53532</v>
      </c>
      <c r="S59" s="12" t="n">
        <v>69787</v>
      </c>
      <c r="T59" s="12" t="n">
        <v>87301</v>
      </c>
      <c r="U59" s="12" t="n">
        <v>130400</v>
      </c>
      <c r="V59" s="12" t="n">
        <v>62290</v>
      </c>
      <c r="W59" s="12" t="n">
        <v>161177</v>
      </c>
      <c r="X59" s="12" t="n">
        <v>375353</v>
      </c>
      <c r="Y59" s="11">
        <f>IF(OR(Y58="",Y60=""),"",IFERROR(Y58*Y60,""))</f>
        <v/>
      </c>
      <c r="Z59" s="12">
        <f>IF(OR(Z58="",Z60=""),"",IFERROR(Z58*Z60,""))</f>
        <v/>
      </c>
      <c r="AA59" s="12">
        <f>IF(OR(AA58="",AA60=""),"",IFERROR(AA58*AA60,""))</f>
        <v/>
      </c>
      <c r="AB59" s="12">
        <f>IF(OR(AB58="",AB60=""),"",IFERROR(AB58*AB60,""))</f>
        <v/>
      </c>
      <c r="AC59" s="12">
        <f>IF(OR(AC58="",AC60=""),"",IFERROR(AC58*AC60,""))</f>
        <v/>
      </c>
    </row>
    <row r="60">
      <c r="A60" s="13" t="inlineStr">
        <is>
          <t>지배주주 순이익률</t>
        </is>
      </c>
      <c r="B60" s="10" t="inlineStr">
        <is>
          <t>MW 기본 100%</t>
        </is>
      </c>
      <c r="C60" s="14">
        <f>IF(OR(C59="",C58=""),"",IFERROR(C59/C58,""))</f>
        <v/>
      </c>
      <c r="D60" s="15">
        <f>IF(OR(D59="",D58=""),"",IFERROR(D59/D58,""))</f>
        <v/>
      </c>
      <c r="E60" s="15">
        <f>IF(OR(E59="",E58=""),"",IFERROR(E59/E58,""))</f>
        <v/>
      </c>
      <c r="F60" s="15">
        <f>IF(OR(F59="",F58=""),"",IFERROR(F59/F58,""))</f>
        <v/>
      </c>
      <c r="G60" s="15">
        <f>IF(OR(G59="",G58=""),"",IFERROR(G59/G58,""))</f>
        <v/>
      </c>
      <c r="H60" s="15">
        <f>IF(OR(H59="",H58=""),"",IFERROR(H59/H58,""))</f>
        <v/>
      </c>
      <c r="I60" s="15">
        <f>IF(OR(I59="",I58=""),"",IFERROR(I59/I58,""))</f>
        <v/>
      </c>
      <c r="J60" s="15">
        <f>IF(OR(J59="",J58=""),"",IFERROR(J59/J58,""))</f>
        <v/>
      </c>
      <c r="K60" s="15">
        <f>IF(OR(K59="",K58=""),"",IFERROR(K59/K58,""))</f>
        <v/>
      </c>
      <c r="L60" s="15">
        <f>IF(OR(L59="",L58=""),"",IFERROR(L59/L58,""))</f>
        <v/>
      </c>
      <c r="M60" s="15">
        <f>IF(OR(M59="",M58=""),"",IFERROR(M59/M58,""))</f>
        <v/>
      </c>
      <c r="N60" s="15">
        <f>IF(OR(N59="",N58=""),"",IFERROR(N59/N58,""))</f>
        <v/>
      </c>
      <c r="O60" s="14">
        <f>IF(OR(O59="",O58=""),"",IFERROR(O59/O58,""))</f>
        <v/>
      </c>
      <c r="P60" s="15">
        <f>IF(OR(P59="",P58=""),"",IFERROR(P59/P58,""))</f>
        <v/>
      </c>
      <c r="Q60" s="15">
        <f>IF(OR(Q59="",Q58=""),"",IFERROR(Q59/Q58,""))</f>
        <v/>
      </c>
      <c r="R60" s="15">
        <f>IF(OR(R59="",R58=""),"",IFERROR(R59/R58,""))</f>
        <v/>
      </c>
      <c r="S60" s="15">
        <f>IF(OR(S59="",S58=""),"",IFERROR(S59/S58,""))</f>
        <v/>
      </c>
      <c r="T60" s="15">
        <f>IF(OR(T59="",T58=""),"",IFERROR(T59/T58,""))</f>
        <v/>
      </c>
      <c r="U60" s="15">
        <f>IF(OR(U59="",U58=""),"",IFERROR(U59/U58,""))</f>
        <v/>
      </c>
      <c r="V60" s="15">
        <f>IF(OR(V59="",V58=""),"",IFERROR(V59/V58,""))</f>
        <v/>
      </c>
      <c r="W60" s="15">
        <f>IF(OR(W59="",W58=""),"",IFERROR(W59/W58,""))</f>
        <v/>
      </c>
      <c r="X60" s="15">
        <f>IF(OR(X59="",X58=""),"",IFERROR(X59/X58,""))</f>
        <v/>
      </c>
      <c r="Y60" s="25" t="n">
        <v>1</v>
      </c>
      <c r="Z60" s="26" t="n">
        <v>1</v>
      </c>
      <c r="AA60" s="26" t="n">
        <v>1</v>
      </c>
      <c r="AB60" s="26" t="n">
        <v>1</v>
      </c>
      <c r="AC60" s="26" t="n">
        <v>1</v>
      </c>
    </row>
    <row r="61">
      <c r="A61" s="16" t="inlineStr">
        <is>
          <t>목표주가 산출</t>
        </is>
      </c>
      <c r="B61" s="16" t="n"/>
      <c r="C61" s="17" t="n"/>
      <c r="D61" s="16" t="n"/>
      <c r="E61" s="16" t="n"/>
      <c r="F61" s="16" t="n"/>
      <c r="G61" s="16" t="n"/>
      <c r="H61" s="16" t="n"/>
      <c r="I61" s="16" t="n"/>
      <c r="J61" s="16" t="n"/>
      <c r="K61" s="16" t="n"/>
      <c r="L61" s="16" t="n"/>
      <c r="M61" s="16" t="n"/>
      <c r="N61" s="16" t="n"/>
      <c r="O61" s="17" t="n"/>
      <c r="P61" s="16" t="n"/>
      <c r="Q61" s="16" t="n"/>
      <c r="R61" s="16" t="n"/>
      <c r="S61" s="16" t="n"/>
      <c r="T61" s="16" t="n"/>
      <c r="U61" s="16" t="n"/>
      <c r="V61" s="16" t="n"/>
      <c r="W61" s="16" t="n"/>
      <c r="X61" s="16" t="n"/>
      <c r="Y61" s="17" t="n"/>
      <c r="Z61" s="16" t="n"/>
      <c r="AA61" s="16" t="n"/>
      <c r="AB61" s="16" t="n"/>
      <c r="AC61" s="16" t="n"/>
    </row>
    <row r="62">
      <c r="A62" s="18" t="inlineStr">
        <is>
          <t>현재 주가 (2026.10.26)</t>
        </is>
      </c>
      <c r="B62" s="27" t="n">
        <v>31070</v>
      </c>
      <c r="C62" s="28" t="n"/>
      <c r="D62" s="29" t="n"/>
      <c r="E62" s="29" t="n"/>
      <c r="F62" s="29" t="n"/>
      <c r="G62" s="29" t="n"/>
      <c r="H62" s="29" t="n"/>
      <c r="I62" s="29" t="n"/>
      <c r="J62" s="29" t="n"/>
      <c r="K62" s="29" t="n"/>
      <c r="L62" s="29" t="n"/>
      <c r="M62" s="29" t="n"/>
      <c r="N62" s="29" t="n"/>
      <c r="O62" s="28" t="n"/>
      <c r="P62" s="29" t="n"/>
      <c r="Q62" s="29" t="n"/>
      <c r="R62" s="29" t="n"/>
      <c r="S62" s="29" t="n"/>
      <c r="T62" s="29" t="n"/>
      <c r="U62" s="29" t="n"/>
      <c r="V62" s="29" t="n"/>
      <c r="W62" s="29" t="n"/>
      <c r="X62" s="29" t="n"/>
      <c r="Y62" s="28" t="n"/>
      <c r="Z62" s="29" t="n"/>
      <c r="AA62" s="29" t="n"/>
      <c r="AB62" s="29" t="n"/>
      <c r="AC62" s="29" t="n"/>
    </row>
    <row r="63">
      <c r="A63" s="18" t="inlineStr">
        <is>
          <t>발행주식수 (보통주)</t>
        </is>
      </c>
      <c r="B63" s="27" t="n">
        <v>732000000</v>
      </c>
      <c r="C63" s="28" t="n"/>
      <c r="D63" s="29" t="n"/>
      <c r="E63" s="29" t="n"/>
      <c r="F63" s="29" t="n"/>
      <c r="G63" s="29" t="n"/>
      <c r="H63" s="29" t="n"/>
      <c r="I63" s="29" t="n"/>
      <c r="J63" s="29" t="n"/>
      <c r="K63" s="29" t="n"/>
      <c r="L63" s="29" t="n"/>
      <c r="M63" s="29" t="n"/>
      <c r="N63" s="29" t="n"/>
      <c r="O63" s="28" t="n"/>
      <c r="P63" s="29" t="n"/>
      <c r="Q63" s="29" t="n"/>
      <c r="R63" s="29" t="n"/>
      <c r="S63" s="29" t="n"/>
      <c r="T63" s="29" t="n"/>
      <c r="U63" s="29" t="n"/>
      <c r="V63" s="29" t="n"/>
      <c r="W63" s="29" t="n"/>
      <c r="X63" s="29" t="n"/>
      <c r="Y63" s="28" t="n"/>
      <c r="Z63" s="29" t="n"/>
      <c r="AA63" s="29" t="n"/>
      <c r="AB63" s="29" t="n"/>
      <c r="AC63" s="29" t="n"/>
    </row>
    <row r="64">
      <c r="A64" s="18" t="inlineStr">
        <is>
          <t>시가총액 (백만엔)</t>
        </is>
      </c>
      <c r="B64" s="12">
        <f>IF(OR(B62="",B63=""),"",B62*B63/1000000.0)</f>
        <v/>
      </c>
      <c r="C64" s="19" t="n"/>
      <c r="D64" s="20" t="n"/>
      <c r="E64" s="20" t="n"/>
      <c r="F64" s="20" t="n"/>
      <c r="G64" s="20" t="n"/>
      <c r="H64" s="20" t="n"/>
      <c r="I64" s="20" t="n"/>
      <c r="J64" s="20" t="n"/>
      <c r="K64" s="20" t="n"/>
      <c r="L64" s="20" t="n"/>
      <c r="M64" s="20" t="n"/>
      <c r="N64" s="20" t="n"/>
      <c r="O64" s="19" t="n"/>
      <c r="P64" s="20" t="n"/>
      <c r="Q64" s="20" t="n"/>
      <c r="R64" s="20" t="n"/>
      <c r="S64" s="20" t="n"/>
      <c r="T64" s="20" t="n"/>
      <c r="U64" s="20" t="n"/>
      <c r="V64" s="20" t="n"/>
      <c r="W64" s="20" t="n"/>
      <c r="X64" s="20" t="n"/>
      <c r="Y64" s="19" t="n"/>
      <c r="Z64" s="20" t="n"/>
      <c r="AA64" s="20" t="n"/>
      <c r="AB64" s="20" t="n"/>
      <c r="AC64" s="20" t="n"/>
    </row>
    <row r="65">
      <c r="A65" s="13" t="inlineStr">
        <is>
          <t>OPM</t>
        </is>
      </c>
      <c r="B65" s="10" t="n"/>
      <c r="C65" s="14" t="n"/>
      <c r="D65" s="15" t="n"/>
      <c r="E65" s="15" t="n"/>
      <c r="F65" s="15" t="n"/>
      <c r="G65" s="15" t="n"/>
      <c r="H65" s="15" t="n"/>
      <c r="I65" s="15" t="n"/>
      <c r="J65" s="15" t="n"/>
      <c r="K65" s="15" t="n"/>
      <c r="L65" s="15" t="n"/>
      <c r="M65" s="15" t="n"/>
      <c r="N65" s="15" t="n"/>
      <c r="O65" s="14">
        <f>IF(O32="","",O32)</f>
        <v/>
      </c>
      <c r="P65" s="15">
        <f>IF(P32="","",P32)</f>
        <v/>
      </c>
      <c r="Q65" s="15">
        <f>IF(Q32="","",Q32)</f>
        <v/>
      </c>
      <c r="R65" s="15">
        <f>IF(R32="","",R32)</f>
        <v/>
      </c>
      <c r="S65" s="15">
        <f>IF(S32="","",S32)</f>
        <v/>
      </c>
      <c r="T65" s="15">
        <f>IF(T32="","",T32)</f>
        <v/>
      </c>
      <c r="U65" s="15">
        <f>IF(U32="","",U32)</f>
        <v/>
      </c>
      <c r="V65" s="15">
        <f>IF(V32="","",V32)</f>
        <v/>
      </c>
      <c r="W65" s="15">
        <f>IF(W32="","",W32)</f>
        <v/>
      </c>
      <c r="X65" s="15">
        <f>IF(X32="","",X32)</f>
        <v/>
      </c>
      <c r="Y65" s="14">
        <f>IF(Y32="","",Y32)</f>
        <v/>
      </c>
      <c r="Z65" s="15">
        <f>IF(Z32="","",Z32)</f>
        <v/>
      </c>
      <c r="AA65" s="15">
        <f>IF(AA32="","",AA32)</f>
        <v/>
      </c>
      <c r="AB65" s="15">
        <f>IF(AB32="","",AB32)</f>
        <v/>
      </c>
      <c r="AC65" s="15">
        <f>IF(AC32="","",AC32)</f>
        <v/>
      </c>
    </row>
    <row r="66">
      <c r="A66" s="13" t="inlineStr">
        <is>
          <t>지배주주 순이익 증가율</t>
        </is>
      </c>
      <c r="B66" s="10" t="n"/>
      <c r="C66" s="14" t="n"/>
      <c r="D66" s="15" t="n"/>
      <c r="E66" s="15" t="n"/>
      <c r="F66" s="15" t="n"/>
      <c r="G66" s="15" t="n"/>
      <c r="H66" s="15" t="n"/>
      <c r="I66" s="15" t="n"/>
      <c r="J66" s="15" t="n"/>
      <c r="K66" s="15" t="n"/>
      <c r="L66" s="15" t="n"/>
      <c r="M66" s="15" t="n"/>
      <c r="N66" s="15" t="n"/>
      <c r="O66" s="14" t="n"/>
      <c r="P66" s="15">
        <f>IF(OR(P59="",O59=""),"",IFERROR(P59/O59-1,""))</f>
        <v/>
      </c>
      <c r="Q66" s="15">
        <f>IF(OR(Q59="",P59=""),"",IFERROR(Q59/P59-1,""))</f>
        <v/>
      </c>
      <c r="R66" s="15">
        <f>IF(OR(R59="",Q59=""),"",IFERROR(R59/Q59-1,""))</f>
        <v/>
      </c>
      <c r="S66" s="15">
        <f>IF(OR(S59="",R59=""),"",IFERROR(S59/R59-1,""))</f>
        <v/>
      </c>
      <c r="T66" s="15">
        <f>IF(OR(T59="",S59=""),"",IFERROR(T59/S59-1,""))</f>
        <v/>
      </c>
      <c r="U66" s="15">
        <f>IF(OR(U59="",T59=""),"",IFERROR(U59/T59-1,""))</f>
        <v/>
      </c>
      <c r="V66" s="15">
        <f>IF(OR(V59="",U59=""),"",IFERROR(V59/U59-1,""))</f>
        <v/>
      </c>
      <c r="W66" s="15">
        <f>IF(OR(W59="",V59=""),"",IFERROR(W59/V59-1,""))</f>
        <v/>
      </c>
      <c r="X66" s="15">
        <f>IF(OR(X59="",W59=""),"",IFERROR(X59/W59-1,""))</f>
        <v/>
      </c>
      <c r="Y66" s="14">
        <f>IF(OR(Y59="",X59=""),"",IFERROR(Y59/X59-1,""))</f>
        <v/>
      </c>
      <c r="Z66" s="15">
        <f>IF(OR(Z59="",Y59=""),"",IFERROR(Z59/Y59-1,""))</f>
        <v/>
      </c>
      <c r="AA66" s="15">
        <f>IF(OR(AA59="",Z59=""),"",IFERROR(AA59/Z59-1,""))</f>
        <v/>
      </c>
      <c r="AB66" s="15">
        <f>IF(OR(AB59="",AA59=""),"",IFERROR(AB59/AA59-1,""))</f>
        <v/>
      </c>
      <c r="AC66" s="15">
        <f>IF(OR(AC59="",AB59=""),"",IFERROR(AC59/AB59-1,""))</f>
        <v/>
      </c>
    </row>
    <row r="67">
      <c r="A67" s="18" t="inlineStr">
        <is>
          <t>P/E (현재 주가)</t>
        </is>
      </c>
      <c r="B67" s="10" t="inlineStr">
        <is>
          <t>시총 ÷ 지배순이익</t>
        </is>
      </c>
      <c r="C67" s="30" t="n"/>
      <c r="D67" s="31" t="n"/>
      <c r="E67" s="31" t="n"/>
      <c r="F67" s="31" t="n"/>
      <c r="G67" s="31" t="n"/>
      <c r="H67" s="31" t="n"/>
      <c r="I67" s="31" t="n"/>
      <c r="J67" s="31" t="n"/>
      <c r="K67" s="31" t="n"/>
      <c r="L67" s="31" t="n"/>
      <c r="M67" s="31" t="n"/>
      <c r="N67" s="31" t="n"/>
      <c r="O67" s="30" t="n"/>
      <c r="P67" s="31" t="n"/>
      <c r="Q67" s="31" t="n"/>
      <c r="R67" s="31" t="n"/>
      <c r="S67" s="31" t="n"/>
      <c r="T67" s="31" t="n"/>
      <c r="U67" s="31" t="n"/>
      <c r="V67" s="31" t="n"/>
      <c r="W67" s="31" t="n"/>
      <c r="X67" s="31">
        <f>IF(OR($B$64="",X59=""),"",IFERROR($B$64/X59,""))</f>
        <v/>
      </c>
      <c r="Y67" s="30">
        <f>IF(OR($B$64="",Y59=""),"",IFERROR($B$64/Y59,""))</f>
        <v/>
      </c>
      <c r="Z67" s="31">
        <f>IF(OR($B$64="",Z59=""),"",IFERROR($B$64/Z59,""))</f>
        <v/>
      </c>
      <c r="AA67" s="31">
        <f>IF(OR($B$64="",AA59=""),"",IFERROR($B$64/AA59,""))</f>
        <v/>
      </c>
      <c r="AB67" s="31">
        <f>IF(OR($B$64="",AB59=""),"",IFERROR($B$64/AB59,""))</f>
        <v/>
      </c>
      <c r="AC67" s="31">
        <f>IF(OR($B$64="",AC59=""),"",IFERROR($B$64/AC59,""))</f>
        <v/>
      </c>
    </row>
    <row r="68">
      <c r="A68" s="18" t="inlineStr">
        <is>
          <t>Target P/E</t>
        </is>
      </c>
      <c r="B68" s="10" t="inlineStr">
        <is>
          <t>직접 입력</t>
        </is>
      </c>
      <c r="C68" s="30" t="n"/>
      <c r="D68" s="31" t="n"/>
      <c r="E68" s="31" t="n"/>
      <c r="F68" s="31" t="n"/>
      <c r="G68" s="31" t="n"/>
      <c r="H68" s="31" t="n"/>
      <c r="I68" s="31" t="n"/>
      <c r="J68" s="31" t="n"/>
      <c r="K68" s="31" t="n"/>
      <c r="L68" s="31" t="n"/>
      <c r="M68" s="31" t="n"/>
      <c r="N68" s="31" t="n"/>
      <c r="O68" s="30" t="n"/>
      <c r="P68" s="31" t="n"/>
      <c r="Q68" s="31" t="n"/>
      <c r="R68" s="31" t="n"/>
      <c r="S68" s="31" t="n"/>
      <c r="T68" s="31" t="n"/>
      <c r="U68" s="31" t="n"/>
      <c r="V68" s="31" t="n"/>
      <c r="W68" s="31" t="n"/>
      <c r="X68" s="31" t="n"/>
      <c r="Y68" s="32" t="n"/>
      <c r="Z68" s="33" t="n"/>
      <c r="AA68" s="33" t="n"/>
      <c r="AB68" s="33" t="n"/>
      <c r="AC68" s="33" t="n"/>
    </row>
    <row r="69">
      <c r="A69" s="18" t="inlineStr">
        <is>
          <t>EPS</t>
        </is>
      </c>
      <c r="B69" s="10" t="inlineStr">
        <is>
          <t>지배순이익 ÷ 주식수</t>
        </is>
      </c>
      <c r="C69" s="28" t="n"/>
      <c r="D69" s="29" t="n"/>
      <c r="E69" s="29" t="n"/>
      <c r="F69" s="29" t="n"/>
      <c r="G69" s="29" t="n"/>
      <c r="H69" s="29" t="n"/>
      <c r="I69" s="29" t="n"/>
      <c r="J69" s="29" t="n"/>
      <c r="K69" s="29" t="n"/>
      <c r="L69" s="29" t="n"/>
      <c r="M69" s="29" t="n"/>
      <c r="N69" s="29" t="n"/>
      <c r="O69" s="28">
        <f>IF(OR(O59="",$B$63=""),"",IFERROR(O59*1000000.0/$B$63,""))</f>
        <v/>
      </c>
      <c r="P69" s="29">
        <f>IF(OR(P59="",$B$63=""),"",IFERROR(P59*1000000.0/$B$63,""))</f>
        <v/>
      </c>
      <c r="Q69" s="29">
        <f>IF(OR(Q59="",$B$63=""),"",IFERROR(Q59*1000000.0/$B$63,""))</f>
        <v/>
      </c>
      <c r="R69" s="29">
        <f>IF(OR(R59="",$B$63=""),"",IFERROR(R59*1000000.0/$B$63,""))</f>
        <v/>
      </c>
      <c r="S69" s="29">
        <f>IF(OR(S59="",$B$63=""),"",IFERROR(S59*1000000.0/$B$63,""))</f>
        <v/>
      </c>
      <c r="T69" s="29">
        <f>IF(OR(T59="",$B$63=""),"",IFERROR(T59*1000000.0/$B$63,""))</f>
        <v/>
      </c>
      <c r="U69" s="29">
        <f>IF(OR(U59="",$B$63=""),"",IFERROR(U59*1000000.0/$B$63,""))</f>
        <v/>
      </c>
      <c r="V69" s="29">
        <f>IF(OR(V59="",$B$63=""),"",IFERROR(V59*1000000.0/$B$63,""))</f>
        <v/>
      </c>
      <c r="W69" s="29">
        <f>IF(OR(W59="",$B$63=""),"",IFERROR(W59*1000000.0/$B$63,""))</f>
        <v/>
      </c>
      <c r="X69" s="29">
        <f>IF(OR(X59="",$B$63=""),"",IFERROR(X59*1000000.0/$B$63,""))</f>
        <v/>
      </c>
      <c r="Y69" s="28">
        <f>IF(OR(Y59="",$B$63=""),"",IFERROR(Y59*1000000.0/$B$63,""))</f>
        <v/>
      </c>
      <c r="Z69" s="29">
        <f>IF(OR(Z59="",$B$63=""),"",IFERROR(Z59*1000000.0/$B$63,""))</f>
        <v/>
      </c>
      <c r="AA69" s="29">
        <f>IF(OR(AA59="",$B$63=""),"",IFERROR(AA59*1000000.0/$B$63,""))</f>
        <v/>
      </c>
      <c r="AB69" s="29">
        <f>IF(OR(AB59="",$B$63=""),"",IFERROR(AB59*1000000.0/$B$63,""))</f>
        <v/>
      </c>
      <c r="AC69" s="29">
        <f>IF(OR(AC59="",$B$63=""),"",IFERROR(AC59*1000000.0/$B$63,""))</f>
        <v/>
      </c>
    </row>
    <row r="70">
      <c r="A70" s="9" t="inlineStr">
        <is>
          <t>목표주가</t>
        </is>
      </c>
      <c r="B70" s="10" t="n"/>
      <c r="C70" s="34" t="n"/>
      <c r="D70" s="27" t="n"/>
      <c r="E70" s="27" t="n"/>
      <c r="F70" s="27" t="n"/>
      <c r="G70" s="27" t="n"/>
      <c r="H70" s="27" t="n"/>
      <c r="I70" s="27" t="n"/>
      <c r="J70" s="27" t="n"/>
      <c r="K70" s="27" t="n"/>
      <c r="L70" s="27" t="n"/>
      <c r="M70" s="27" t="n"/>
      <c r="N70" s="27" t="n"/>
      <c r="O70" s="34" t="n"/>
      <c r="P70" s="27" t="n"/>
      <c r="Q70" s="27" t="n"/>
      <c r="R70" s="27" t="n"/>
      <c r="S70" s="27" t="n"/>
      <c r="T70" s="27" t="n"/>
      <c r="U70" s="27" t="n"/>
      <c r="V70" s="27" t="n"/>
      <c r="W70" s="27" t="n"/>
      <c r="X70" s="27" t="n"/>
      <c r="Y70" s="34">
        <f>IF(OR(Y69="",Y68=""),"",IFERROR(Y69*Y68,""))</f>
        <v/>
      </c>
      <c r="Z70" s="27">
        <f>IF(OR(Z69="",Z68=""),"",IFERROR(Z69*Z68,""))</f>
        <v/>
      </c>
      <c r="AA70" s="27">
        <f>IF(OR(AA69="",AA68=""),"",IFERROR(AA69*AA68,""))</f>
        <v/>
      </c>
      <c r="AB70" s="27">
        <f>IF(OR(AB69="",AB68=""),"",IFERROR(AB69*AB68,""))</f>
        <v/>
      </c>
      <c r="AC70" s="27">
        <f>IF(OR(AC69="",AC68=""),"",IFERROR(AC69*AC68,""))</f>
        <v/>
      </c>
    </row>
    <row r="71">
      <c r="A71" s="18" t="inlineStr">
        <is>
          <t>상승여력</t>
        </is>
      </c>
      <c r="B71" s="10" t="n"/>
      <c r="C71" s="35" t="n"/>
      <c r="D71" s="36" t="n"/>
      <c r="E71" s="36" t="n"/>
      <c r="F71" s="36" t="n"/>
      <c r="G71" s="36" t="n"/>
      <c r="H71" s="36" t="n"/>
      <c r="I71" s="36" t="n"/>
      <c r="J71" s="36" t="n"/>
      <c r="K71" s="36" t="n"/>
      <c r="L71" s="36" t="n"/>
      <c r="M71" s="36" t="n"/>
      <c r="N71" s="36" t="n"/>
      <c r="O71" s="35" t="n"/>
      <c r="P71" s="36" t="n"/>
      <c r="Q71" s="36" t="n"/>
      <c r="R71" s="36" t="n"/>
      <c r="S71" s="36" t="n"/>
      <c r="T71" s="36" t="n"/>
      <c r="U71" s="36" t="n"/>
      <c r="V71" s="36" t="n"/>
      <c r="W71" s="36" t="n"/>
      <c r="X71" s="36" t="n"/>
      <c r="Y71" s="37">
        <f>IF(OR(Y70="",$B$62=""),"",IFERROR(Y70/$B$62-1,""))</f>
        <v/>
      </c>
      <c r="Z71" s="38">
        <f>IF(OR(Z70="",$B$62=""),"",IFERROR(Z70/$B$62-1,""))</f>
        <v/>
      </c>
      <c r="AA71" s="38">
        <f>IF(OR(AA70="",$B$62=""),"",IFERROR(AA70/$B$62-1,""))</f>
        <v/>
      </c>
      <c r="AB71" s="38">
        <f>IF(OR(AB70="",$B$62=""),"",IFERROR(AB70/$B$62-1,""))</f>
        <v/>
      </c>
      <c r="AC71" s="38">
        <f>IF(OR(AC70="",$B$62=""),"",IFERROR(AC70/$B$62-1,""))</f>
        <v/>
      </c>
    </row>
    <row r="72">
      <c r="A72" s="16" t="inlineStr">
        <is>
          <t>자산가치 산출</t>
        </is>
      </c>
      <c r="B72" s="16" t="inlineStr">
        <is>
          <t>최신 분기 BS</t>
        </is>
      </c>
      <c r="C72" s="17" t="n"/>
      <c r="D72" s="16" t="n"/>
      <c r="E72" s="16" t="n"/>
      <c r="F72" s="16" t="n"/>
      <c r="G72" s="16" t="n"/>
      <c r="H72" s="16" t="n"/>
      <c r="I72" s="16" t="n"/>
      <c r="J72" s="16" t="n"/>
      <c r="K72" s="16" t="n"/>
      <c r="L72" s="16" t="n"/>
      <c r="M72" s="16" t="n"/>
      <c r="N72" s="16" t="n"/>
      <c r="O72" s="17" t="n"/>
      <c r="P72" s="16" t="n"/>
      <c r="Q72" s="16" t="n"/>
      <c r="R72" s="16" t="n"/>
      <c r="S72" s="16" t="n"/>
      <c r="T72" s="16" t="n"/>
      <c r="U72" s="16" t="n"/>
      <c r="V72" s="16" t="n"/>
      <c r="W72" s="16" t="n"/>
      <c r="X72" s="16" t="n"/>
      <c r="Y72" s="17" t="n"/>
      <c r="Z72" s="16" t="n"/>
      <c r="AA72" s="16" t="n"/>
      <c r="AB72" s="16" t="n"/>
      <c r="AC72" s="16" t="n"/>
    </row>
    <row r="73">
      <c r="A73" s="18" t="inlineStr">
        <is>
          <t>현금및현금성자산</t>
        </is>
      </c>
      <c r="B73" s="10" t="n"/>
      <c r="C73" s="19" t="n"/>
      <c r="D73" s="20" t="n"/>
      <c r="E73" s="20" t="n"/>
      <c r="F73" s="20" t="n"/>
      <c r="G73" s="20" t="n"/>
      <c r="H73" s="20" t="n"/>
      <c r="I73" s="20" t="n"/>
      <c r="J73" s="20" t="n"/>
      <c r="K73" s="20" t="n"/>
      <c r="L73" s="20" t="n"/>
      <c r="M73" s="20" t="n"/>
      <c r="N73" s="20" t="n"/>
      <c r="O73" s="19" t="n"/>
      <c r="P73" s="20" t="n"/>
      <c r="Q73" s="20" t="n"/>
      <c r="R73" s="20" t="n"/>
      <c r="S73" s="20" t="n"/>
      <c r="T73" s="20" t="n"/>
      <c r="U73" s="20" t="n"/>
      <c r="V73" s="20" t="n"/>
      <c r="W73" s="20" t="n"/>
      <c r="X73" s="20">
        <f>'재무상태표'!G6</f>
        <v/>
      </c>
      <c r="Y73" s="19">
        <f>'재무상태표'!G6</f>
        <v/>
      </c>
      <c r="Z73" s="20">
        <f>'재무상태표'!G6</f>
        <v/>
      </c>
      <c r="AA73" s="20">
        <f>'재무상태표'!G6</f>
        <v/>
      </c>
      <c r="AB73" s="20">
        <f>'재무상태표'!G6</f>
        <v/>
      </c>
      <c r="AC73" s="20">
        <f>'재무상태표'!G6</f>
        <v/>
      </c>
    </row>
    <row r="74">
      <c r="A74" s="18" t="inlineStr">
        <is>
          <t>단기금융상품</t>
        </is>
      </c>
      <c r="B74" s="10" t="n"/>
      <c r="C74" s="19" t="n"/>
      <c r="D74" s="20" t="n"/>
      <c r="E74" s="20" t="n"/>
      <c r="F74" s="20" t="n"/>
      <c r="G74" s="20" t="n"/>
      <c r="H74" s="20" t="n"/>
      <c r="I74" s="20" t="n"/>
      <c r="J74" s="20" t="n"/>
      <c r="K74" s="20" t="n"/>
      <c r="L74" s="20" t="n"/>
      <c r="M74" s="20" t="n"/>
      <c r="N74" s="20" t="n"/>
      <c r="O74" s="19" t="n"/>
      <c r="P74" s="20" t="n"/>
      <c r="Q74" s="20" t="n"/>
      <c r="R74" s="20" t="n"/>
      <c r="S74" s="20" t="n"/>
      <c r="T74" s="20" t="n"/>
      <c r="U74" s="20" t="n"/>
      <c r="V74" s="20" t="n"/>
      <c r="W74" s="20" t="n"/>
      <c r="X74" s="20">
        <f>'재무상태표'!G7</f>
        <v/>
      </c>
      <c r="Y74" s="19">
        <f>'재무상태표'!G7</f>
        <v/>
      </c>
      <c r="Z74" s="20">
        <f>'재무상태표'!G7</f>
        <v/>
      </c>
      <c r="AA74" s="20">
        <f>'재무상태표'!G7</f>
        <v/>
      </c>
      <c r="AB74" s="20">
        <f>'재무상태표'!G7</f>
        <v/>
      </c>
      <c r="AC74" s="20">
        <f>'재무상태표'!G7</f>
        <v/>
      </c>
    </row>
    <row r="75">
      <c r="A75" s="18" t="inlineStr">
        <is>
          <t>투자부동산</t>
        </is>
      </c>
      <c r="B75" s="10" t="n"/>
      <c r="C75" s="19" t="n"/>
      <c r="D75" s="20" t="n"/>
      <c r="E75" s="20" t="n"/>
      <c r="F75" s="20" t="n"/>
      <c r="G75" s="20" t="n"/>
      <c r="H75" s="20" t="n"/>
      <c r="I75" s="20" t="n"/>
      <c r="J75" s="20" t="n"/>
      <c r="K75" s="20" t="n"/>
      <c r="L75" s="20" t="n"/>
      <c r="M75" s="20" t="n"/>
      <c r="N75" s="20" t="n"/>
      <c r="O75" s="19" t="n"/>
      <c r="P75" s="20" t="n"/>
      <c r="Q75" s="20" t="n"/>
      <c r="R75" s="20" t="n"/>
      <c r="S75" s="20" t="n"/>
      <c r="T75" s="20" t="n"/>
      <c r="U75" s="20" t="n"/>
      <c r="V75" s="20" t="n"/>
      <c r="W75" s="20" t="n"/>
      <c r="X75" s="20">
        <f>'재무상태표'!G14</f>
        <v/>
      </c>
      <c r="Y75" s="19">
        <f>'재무상태표'!G14</f>
        <v/>
      </c>
      <c r="Z75" s="20">
        <f>'재무상태표'!G14</f>
        <v/>
      </c>
      <c r="AA75" s="20">
        <f>'재무상태표'!G14</f>
        <v/>
      </c>
      <c r="AB75" s="20">
        <f>'재무상태표'!G14</f>
        <v/>
      </c>
      <c r="AC75" s="20">
        <f>'재무상태표'!G14</f>
        <v/>
      </c>
    </row>
    <row r="76">
      <c r="A76" s="18" t="inlineStr">
        <is>
          <t>지배자본</t>
        </is>
      </c>
      <c r="B76" s="10" t="n"/>
      <c r="C76" s="19" t="n"/>
      <c r="D76" s="20" t="n"/>
      <c r="E76" s="20" t="n"/>
      <c r="F76" s="20" t="n"/>
      <c r="G76" s="20" t="n"/>
      <c r="H76" s="20" t="n"/>
      <c r="I76" s="20" t="n"/>
      <c r="J76" s="20" t="n"/>
      <c r="K76" s="20" t="n"/>
      <c r="L76" s="20" t="n"/>
      <c r="M76" s="20" t="n"/>
      <c r="N76" s="20" t="n"/>
      <c r="O76" s="19" t="n"/>
      <c r="P76" s="20" t="n"/>
      <c r="Q76" s="20" t="n"/>
      <c r="R76" s="20" t="n"/>
      <c r="S76" s="20" t="n"/>
      <c r="T76" s="20" t="n"/>
      <c r="U76" s="20" t="n"/>
      <c r="V76" s="20" t="n"/>
      <c r="W76" s="20" t="n"/>
      <c r="X76" s="20">
        <f>'재무상태표'!G31</f>
        <v/>
      </c>
      <c r="Y76" s="19">
        <f>'재무상태표'!G31</f>
        <v/>
      </c>
      <c r="Z76" s="20">
        <f>'재무상태표'!G31</f>
        <v/>
      </c>
      <c r="AA76" s="20">
        <f>'재무상태표'!G31</f>
        <v/>
      </c>
      <c r="AB76" s="20">
        <f>'재무상태표'!G31</f>
        <v/>
      </c>
      <c r="AC76" s="20">
        <f>'재무상태표'!G31</f>
        <v/>
      </c>
    </row>
    <row r="77">
      <c r="A77" s="18" t="inlineStr">
        <is>
          <t>부채</t>
        </is>
      </c>
      <c r="B77" s="10" t="n"/>
      <c r="C77" s="19" t="n"/>
      <c r="D77" s="20" t="n"/>
      <c r="E77" s="20" t="n"/>
      <c r="F77" s="20" t="n"/>
      <c r="G77" s="20" t="n"/>
      <c r="H77" s="20" t="n"/>
      <c r="I77" s="20" t="n"/>
      <c r="J77" s="20" t="n"/>
      <c r="K77" s="20" t="n"/>
      <c r="L77" s="20" t="n"/>
      <c r="M77" s="20" t="n"/>
      <c r="N77" s="20" t="n"/>
      <c r="O77" s="19" t="n"/>
      <c r="P77" s="20" t="n"/>
      <c r="Q77" s="20" t="n"/>
      <c r="R77" s="20" t="n"/>
      <c r="S77" s="20" t="n"/>
      <c r="T77" s="20" t="n"/>
      <c r="U77" s="20" t="n"/>
      <c r="V77" s="20" t="n"/>
      <c r="W77" s="20" t="n"/>
      <c r="X77" s="20">
        <f>'재무상태표'!G27</f>
        <v/>
      </c>
      <c r="Y77" s="19">
        <f>'재무상태표'!G27</f>
        <v/>
      </c>
      <c r="Z77" s="20">
        <f>'재무상태표'!G27</f>
        <v/>
      </c>
      <c r="AA77" s="20">
        <f>'재무상태표'!G27</f>
        <v/>
      </c>
      <c r="AB77" s="20">
        <f>'재무상태표'!G27</f>
        <v/>
      </c>
      <c r="AC77" s="20">
        <f>'재무상태표'!G27</f>
        <v/>
      </c>
    </row>
    <row r="78">
      <c r="A78" s="13" t="inlineStr">
        <is>
          <t>부채비율</t>
        </is>
      </c>
      <c r="B78" s="10" t="n"/>
      <c r="C78" s="14" t="n"/>
      <c r="D78" s="15" t="n"/>
      <c r="E78" s="15" t="n"/>
      <c r="F78" s="15" t="n"/>
      <c r="G78" s="15" t="n"/>
      <c r="H78" s="15" t="n"/>
      <c r="I78" s="15" t="n"/>
      <c r="J78" s="15" t="n"/>
      <c r="K78" s="15" t="n"/>
      <c r="L78" s="15" t="n"/>
      <c r="M78" s="15" t="n"/>
      <c r="N78" s="15" t="n"/>
      <c r="O78" s="14" t="n"/>
      <c r="P78" s="15" t="n"/>
      <c r="Q78" s="15" t="n"/>
      <c r="R78" s="15" t="n"/>
      <c r="S78" s="15" t="n"/>
      <c r="T78" s="15" t="n"/>
      <c r="U78" s="15" t="n"/>
      <c r="V78" s="15" t="n"/>
      <c r="W78" s="15" t="n"/>
      <c r="X78" s="15">
        <f>IF(OR(X77="",X76=""),"",IFERROR(X77/X76,""))</f>
        <v/>
      </c>
      <c r="Y78" s="14">
        <f>IF(OR(Y77="",Y76=""),"",IFERROR(Y77/Y76,""))</f>
        <v/>
      </c>
      <c r="Z78" s="15">
        <f>IF(OR(Z77="",Z76=""),"",IFERROR(Z77/Z76,""))</f>
        <v/>
      </c>
      <c r="AA78" s="15">
        <f>IF(OR(AA77="",AA76=""),"",IFERROR(AA77/AA76,""))</f>
        <v/>
      </c>
      <c r="AB78" s="15">
        <f>IF(OR(AB77="",AB76=""),"",IFERROR(AB77/AB76,""))</f>
        <v/>
      </c>
      <c r="AC78" s="15">
        <f>IF(OR(AC77="",AC76=""),"",IFERROR(AC77/AC76,""))</f>
        <v/>
      </c>
    </row>
    <row r="79">
      <c r="A79" s="9" t="inlineStr">
        <is>
          <t>자산가치</t>
        </is>
      </c>
      <c r="B79" s="10" t="inlineStr">
        <is>
          <t>현금+단기금융+투자부동산</t>
        </is>
      </c>
      <c r="C79" s="11" t="n"/>
      <c r="D79" s="12" t="n"/>
      <c r="E79" s="12" t="n"/>
      <c r="F79" s="12" t="n"/>
      <c r="G79" s="12" t="n"/>
      <c r="H79" s="12" t="n"/>
      <c r="I79" s="12" t="n"/>
      <c r="J79" s="12" t="n"/>
      <c r="K79" s="12" t="n"/>
      <c r="L79" s="12" t="n"/>
      <c r="M79" s="12" t="n"/>
      <c r="N79" s="12" t="n"/>
      <c r="O79" s="11" t="n"/>
      <c r="P79" s="12" t="n"/>
      <c r="Q79" s="12" t="n"/>
      <c r="R79" s="12" t="n"/>
      <c r="S79" s="12" t="n"/>
      <c r="T79" s="12" t="n"/>
      <c r="U79" s="12" t="n"/>
      <c r="V79" s="12" t="n"/>
      <c r="W79" s="12" t="n"/>
      <c r="X79" s="12">
        <f>SUM(X73,X74,X75)</f>
        <v/>
      </c>
      <c r="Y79" s="11">
        <f>SUM(Y73,Y74,Y75)</f>
        <v/>
      </c>
      <c r="Z79" s="12">
        <f>SUM(Z73,Z74,Z75)</f>
        <v/>
      </c>
      <c r="AA79" s="12">
        <f>SUM(AA73,AA74,AA75)</f>
        <v/>
      </c>
      <c r="AB79" s="12">
        <f>SUM(AB73,AB74,AB75)</f>
        <v/>
      </c>
      <c r="AC79" s="12">
        <f>SUM(AC73,AC74,AC75)</f>
        <v/>
      </c>
    </row>
    <row r="80">
      <c r="A80" s="16" t="inlineStr">
        <is>
          <t>기업가치 산출</t>
        </is>
      </c>
      <c r="B80" s="16" t="n"/>
      <c r="C80" s="17" t="n"/>
      <c r="D80" s="16" t="n"/>
      <c r="E80" s="16" t="n"/>
      <c r="F80" s="16" t="n"/>
      <c r="G80" s="16" t="n"/>
      <c r="H80" s="16" t="n"/>
      <c r="I80" s="16" t="n"/>
      <c r="J80" s="16" t="n"/>
      <c r="K80" s="16" t="n"/>
      <c r="L80" s="16" t="n"/>
      <c r="M80" s="16" t="n"/>
      <c r="N80" s="16" t="n"/>
      <c r="O80" s="17" t="n"/>
      <c r="P80" s="16" t="n"/>
      <c r="Q80" s="16" t="n"/>
      <c r="R80" s="16" t="n"/>
      <c r="S80" s="16" t="n"/>
      <c r="T80" s="16" t="n"/>
      <c r="U80" s="16" t="n"/>
      <c r="V80" s="16" t="n"/>
      <c r="W80" s="16" t="n"/>
      <c r="X80" s="16" t="n"/>
      <c r="Y80" s="17" t="n"/>
      <c r="Z80" s="16" t="n"/>
      <c r="AA80" s="16" t="n"/>
      <c r="AB80" s="16" t="n"/>
      <c r="AC80" s="16" t="n"/>
    </row>
    <row r="81">
      <c r="A81" s="18" t="inlineStr">
        <is>
          <t>목표 시가총액 (P/E)</t>
        </is>
      </c>
      <c r="B81" s="10" t="inlineStr">
        <is>
          <t>지배순이익 × Target P/E</t>
        </is>
      </c>
      <c r="C81" s="19" t="n"/>
      <c r="D81" s="20" t="n"/>
      <c r="E81" s="20" t="n"/>
      <c r="F81" s="20" t="n"/>
      <c r="G81" s="20" t="n"/>
      <c r="H81" s="20" t="n"/>
      <c r="I81" s="20" t="n"/>
      <c r="J81" s="20" t="n"/>
      <c r="K81" s="20" t="n"/>
      <c r="L81" s="20" t="n"/>
      <c r="M81" s="20" t="n"/>
      <c r="N81" s="20" t="n"/>
      <c r="O81" s="19" t="n"/>
      <c r="P81" s="20" t="n"/>
      <c r="Q81" s="20" t="n"/>
      <c r="R81" s="20" t="n"/>
      <c r="S81" s="20" t="n"/>
      <c r="T81" s="20" t="n"/>
      <c r="U81" s="20" t="n"/>
      <c r="V81" s="20" t="n"/>
      <c r="W81" s="20" t="n"/>
      <c r="X81" s="20" t="n"/>
      <c r="Y81" s="19">
        <f>IF(OR(Y59="",Y68=""),"",IFERROR(Y59*Y68,""))</f>
        <v/>
      </c>
      <c r="Z81" s="20">
        <f>IF(OR(Z59="",Z68=""),"",IFERROR(Z59*Z68,""))</f>
        <v/>
      </c>
      <c r="AA81" s="20">
        <f>IF(OR(AA59="",AA68=""),"",IFERROR(AA59*AA68,""))</f>
        <v/>
      </c>
      <c r="AB81" s="20">
        <f>IF(OR(AB59="",AB68=""),"",IFERROR(AB59*AB68,""))</f>
        <v/>
      </c>
      <c r="AC81" s="20">
        <f>IF(OR(AC59="",AC68=""),"",IFERROR(AC59*AC68,""))</f>
        <v/>
      </c>
    </row>
    <row r="82">
      <c r="A82" s="9" t="inlineStr">
        <is>
          <t>기업가치</t>
        </is>
      </c>
      <c r="B82" s="10" t="inlineStr">
        <is>
          <t>목표시총 + 자산가치</t>
        </is>
      </c>
      <c r="C82" s="11" t="n"/>
      <c r="D82" s="12" t="n"/>
      <c r="E82" s="12" t="n"/>
      <c r="F82" s="12" t="n"/>
      <c r="G82" s="12" t="n"/>
      <c r="H82" s="12" t="n"/>
      <c r="I82" s="12" t="n"/>
      <c r="J82" s="12" t="n"/>
      <c r="K82" s="12" t="n"/>
      <c r="L82" s="12" t="n"/>
      <c r="M82" s="12" t="n"/>
      <c r="N82" s="12" t="n"/>
      <c r="O82" s="11" t="n"/>
      <c r="P82" s="12" t="n"/>
      <c r="Q82" s="12" t="n"/>
      <c r="R82" s="12" t="n"/>
      <c r="S82" s="12" t="n"/>
      <c r="T82" s="12" t="n"/>
      <c r="U82" s="12" t="n"/>
      <c r="V82" s="12" t="n"/>
      <c r="W82" s="12" t="n"/>
      <c r="X82" s="12" t="n"/>
      <c r="Y82" s="11">
        <f>IF(OR(Y81=""),"",IFERROR(Y81+Y79,""))</f>
        <v/>
      </c>
      <c r="Z82" s="12">
        <f>IF(OR(Z81=""),"",IFERROR(Z81+Z79,""))</f>
        <v/>
      </c>
      <c r="AA82" s="12">
        <f>IF(OR(AA81=""),"",IFERROR(AA81+AA79,""))</f>
        <v/>
      </c>
      <c r="AB82" s="12">
        <f>IF(OR(AB81=""),"",IFERROR(AB81+AB79,""))</f>
        <v/>
      </c>
      <c r="AC82" s="12">
        <f>IF(OR(AC81=""),"",IFERROR(AC81+AC79,""))</f>
        <v/>
      </c>
    </row>
    <row r="83">
      <c r="A83" s="18" t="inlineStr">
        <is>
          <t>현재 시가총액</t>
        </is>
      </c>
      <c r="B83" s="10" t="n"/>
      <c r="C83" s="19" t="n"/>
      <c r="D83" s="20" t="n"/>
      <c r="E83" s="20" t="n"/>
      <c r="F83" s="20" t="n"/>
      <c r="G83" s="20" t="n"/>
      <c r="H83" s="20" t="n"/>
      <c r="I83" s="20" t="n"/>
      <c r="J83" s="20" t="n"/>
      <c r="K83" s="20" t="n"/>
      <c r="L83" s="20" t="n"/>
      <c r="M83" s="20" t="n"/>
      <c r="N83" s="20" t="n"/>
      <c r="O83" s="19" t="n"/>
      <c r="P83" s="20" t="n"/>
      <c r="Q83" s="20" t="n"/>
      <c r="R83" s="20" t="n"/>
      <c r="S83" s="20" t="n"/>
      <c r="T83" s="20" t="n"/>
      <c r="U83" s="20" t="n"/>
      <c r="V83" s="20" t="n"/>
      <c r="W83" s="20" t="n"/>
      <c r="X83" s="20" t="n"/>
      <c r="Y83" s="19">
        <f>$B$64</f>
        <v/>
      </c>
      <c r="Z83" s="20">
        <f>$B$64</f>
        <v/>
      </c>
      <c r="AA83" s="20">
        <f>$B$64</f>
        <v/>
      </c>
      <c r="AB83" s="20">
        <f>$B$64</f>
        <v/>
      </c>
      <c r="AC83" s="20">
        <f>$B$64</f>
        <v/>
      </c>
    </row>
    <row r="84">
      <c r="A84" s="18" t="inlineStr">
        <is>
          <t>상승여력</t>
        </is>
      </c>
      <c r="B84" s="10" t="n"/>
      <c r="C84" s="35" t="n"/>
      <c r="D84" s="36" t="n"/>
      <c r="E84" s="36" t="n"/>
      <c r="F84" s="36" t="n"/>
      <c r="G84" s="36" t="n"/>
      <c r="H84" s="36" t="n"/>
      <c r="I84" s="36" t="n"/>
      <c r="J84" s="36" t="n"/>
      <c r="K84" s="36" t="n"/>
      <c r="L84" s="36" t="n"/>
      <c r="M84" s="36" t="n"/>
      <c r="N84" s="36" t="n"/>
      <c r="O84" s="35" t="n"/>
      <c r="P84" s="36" t="n"/>
      <c r="Q84" s="36" t="n"/>
      <c r="R84" s="36" t="n"/>
      <c r="S84" s="36" t="n"/>
      <c r="T84" s="36" t="n"/>
      <c r="U84" s="36" t="n"/>
      <c r="V84" s="36" t="n"/>
      <c r="W84" s="36" t="n"/>
      <c r="X84" s="36" t="n"/>
      <c r="Y84" s="37">
        <f>IF(OR(Y82="",Y83=""),"",IFERROR(Y82/Y83-1,""))</f>
        <v/>
      </c>
      <c r="Z84" s="38">
        <f>IF(OR(Z82="",Z83=""),"",IFERROR(Z82/Z83-1,""))</f>
        <v/>
      </c>
      <c r="AA84" s="38">
        <f>IF(OR(AA82="",AA83=""),"",IFERROR(AA82/AA83-1,""))</f>
        <v/>
      </c>
      <c r="AB84" s="38">
        <f>IF(OR(AB82="",AB83=""),"",IFERROR(AB82/AB83-1,""))</f>
        <v/>
      </c>
      <c r="AC84" s="38">
        <f>IF(OR(AC82="",AC83=""),"",IFERROR(AC82/AC83-1,""))</f>
        <v/>
      </c>
    </row>
    <row r="85">
      <c r="C85" s="39" t="n"/>
      <c r="O85" s="39" t="n"/>
      <c r="Y85" s="39" t="n"/>
    </row>
    <row r="86">
      <c r="A86" s="40" t="inlineStr">
        <is>
          <t>출처</t>
        </is>
      </c>
      <c r="C86" s="39" t="n"/>
      <c r="O86" s="39" t="n"/>
      <c r="Y86" s="39" t="n"/>
    </row>
    <row r="87">
      <c r="A87" s="41" t="inlineStr">
        <is>
          <t>결산단신 XBRL(TDnet·JPX 보관소) — 쓴 문서는 '출처' 시트</t>
        </is>
      </c>
      <c r="C87" s="39" t="n"/>
      <c r="O87" s="39" t="n"/>
      <c r="Y87" s="39" t="n"/>
    </row>
    <row r="88">
      <c r="A88" s="41" t="inlineStr">
        <is>
          <t>분기 = 누계에서 앞 분기를 뺀 3개월 값</t>
        </is>
      </c>
      <c r="C88" s="39" t="n"/>
      <c r="O88" s="39" t="n"/>
      <c r="Y88" s="39" t="n"/>
    </row>
    <row r="89">
      <c r="A89" s="41" t="inlineStr">
        <is>
          <t>주가: 야후 파이낸스 일봉 2026.10.26</t>
        </is>
      </c>
      <c r="C89" s="39" t="n"/>
      <c r="O89" s="39" t="n"/>
      <c r="Y89" s="39" t="n"/>
    </row>
    <row r="91">
      <c r="A91" s="16" t="inlineStr">
        <is>
          <t>손익계산서 · 전 항목</t>
        </is>
      </c>
      <c r="B91" s="42" t="inlineStr">
        <is>
          <t>분기 = 3개월 단독</t>
        </is>
      </c>
      <c r="C91" s="16" t="n"/>
      <c r="D91" s="16" t="n"/>
      <c r="E91" s="16" t="n"/>
      <c r="F91" s="16" t="n"/>
      <c r="G91" s="16" t="n"/>
      <c r="H91" s="16" t="n"/>
      <c r="I91" s="16" t="n"/>
      <c r="J91" s="16" t="n"/>
      <c r="K91" s="16" t="n"/>
      <c r="L91" s="16" t="n"/>
      <c r="M91" s="16" t="n"/>
      <c r="N91" s="16" t="n"/>
      <c r="O91" s="16" t="n"/>
      <c r="P91" s="16" t="n"/>
      <c r="Q91" s="16" t="n"/>
      <c r="R91" s="16" t="n"/>
      <c r="S91" s="16" t="n"/>
      <c r="T91" s="16" t="n"/>
      <c r="U91" s="16" t="n"/>
      <c r="V91" s="16" t="n"/>
      <c r="W91" s="16" t="n"/>
      <c r="X91" s="16" t="n"/>
      <c r="Y91" s="16" t="n"/>
      <c r="Z91" s="16" t="n"/>
      <c r="AA91" s="16" t="n"/>
      <c r="AB91" s="16" t="n"/>
      <c r="AC91" s="16" t="n"/>
    </row>
    <row r="92">
      <c r="A92" s="5" t="inlineStr">
        <is>
          <t>항목</t>
        </is>
      </c>
      <c r="B92" s="5" t="inlineStr">
        <is>
          <t>참고</t>
        </is>
      </c>
      <c r="C92" s="5" t="inlineStr">
        <is>
          <t>2024.2Q</t>
        </is>
      </c>
      <c r="D92" s="5" t="inlineStr">
        <is>
          <t>2024.3Q</t>
        </is>
      </c>
      <c r="E92" s="5" t="inlineStr">
        <is>
          <t>2024.4Q</t>
        </is>
      </c>
      <c r="F92" s="5" t="inlineStr">
        <is>
          <t>2025.1Q</t>
        </is>
      </c>
      <c r="G92" s="5" t="inlineStr">
        <is>
          <t>2025.2Q</t>
        </is>
      </c>
      <c r="H92" s="5" t="inlineStr">
        <is>
          <t>2025.3Q</t>
        </is>
      </c>
      <c r="I92" s="5" t="inlineStr">
        <is>
          <t>2025.4Q</t>
        </is>
      </c>
      <c r="J92" s="5" t="inlineStr">
        <is>
          <t>2026.1Q</t>
        </is>
      </c>
      <c r="K92" s="5" t="inlineStr">
        <is>
          <t>2026.2Q</t>
        </is>
      </c>
      <c r="L92" s="5" t="inlineStr">
        <is>
          <t>2026.3Q</t>
        </is>
      </c>
      <c r="M92" s="5" t="inlineStr">
        <is>
          <t>2026.4Q</t>
        </is>
      </c>
      <c r="N92" s="5" t="inlineStr">
        <is>
          <t>2027.1Q</t>
        </is>
      </c>
      <c r="O92" s="5" t="inlineStr">
        <is>
          <t>2017</t>
        </is>
      </c>
      <c r="P92" s="5" t="inlineStr">
        <is>
          <t>2018</t>
        </is>
      </c>
      <c r="Q92" s="5" t="inlineStr">
        <is>
          <t>2019</t>
        </is>
      </c>
      <c r="R92" s="5" t="inlineStr">
        <is>
          <t>2020</t>
        </is>
      </c>
      <c r="S92" s="5" t="inlineStr">
        <is>
          <t>2021</t>
        </is>
      </c>
      <c r="T92" s="5" t="inlineStr">
        <is>
          <t>2022</t>
        </is>
      </c>
      <c r="U92" s="5" t="inlineStr">
        <is>
          <t>2023</t>
        </is>
      </c>
      <c r="V92" s="5" t="inlineStr">
        <is>
          <t>2024</t>
        </is>
      </c>
      <c r="W92" s="5" t="inlineStr">
        <is>
          <t>2025</t>
        </is>
      </c>
      <c r="X92" s="5" t="inlineStr">
        <is>
          <t>2026</t>
        </is>
      </c>
      <c r="Y92" s="5" t="inlineStr">
        <is>
          <t>2027(MW)</t>
        </is>
      </c>
      <c r="Z92" s="5" t="inlineStr">
        <is>
          <t>2028(MW)</t>
        </is>
      </c>
      <c r="AA92" s="5" t="inlineStr">
        <is>
          <t>2029(MW)</t>
        </is>
      </c>
      <c r="AB92" s="5" t="inlineStr">
        <is>
          <t>2030(MW)</t>
        </is>
      </c>
      <c r="AC92" s="5" t="inlineStr">
        <is>
          <t>2031(MW)</t>
        </is>
      </c>
    </row>
    <row r="93">
      <c r="A93" s="9" t="inlineStr">
        <is>
          <t>매출액</t>
        </is>
      </c>
      <c r="C93" s="12" t="n">
        <v>116260</v>
      </c>
      <c r="D93" s="12" t="n">
        <v>133233</v>
      </c>
      <c r="E93" s="12" t="n">
        <v>135763</v>
      </c>
      <c r="F93" s="12" t="n">
        <v>138725</v>
      </c>
      <c r="G93" s="12" t="n">
        <v>190481</v>
      </c>
      <c r="H93" s="12" t="n">
        <v>218152</v>
      </c>
      <c r="I93" s="12" t="n">
        <v>232349</v>
      </c>
      <c r="J93" s="12" t="n">
        <v>263776</v>
      </c>
      <c r="K93" s="12" t="n">
        <v>262957</v>
      </c>
      <c r="L93" s="12" t="n">
        <v>273804</v>
      </c>
      <c r="M93" s="12" t="n">
        <v>328073</v>
      </c>
      <c r="N93" s="12" t="n">
        <v>367473</v>
      </c>
      <c r="T93" s="12" t="n">
        <v>116834</v>
      </c>
      <c r="U93" s="12" t="n">
        <v>147392</v>
      </c>
      <c r="V93" s="12" t="n">
        <v>135763</v>
      </c>
      <c r="W93" s="12" t="n">
        <v>232349</v>
      </c>
      <c r="X93" s="12" t="n">
        <v>328073</v>
      </c>
    </row>
    <row r="94">
      <c r="A94" s="43" t="inlineStr">
        <is>
          <t>YoY</t>
        </is>
      </c>
      <c r="B94" s="3" t="inlineStr">
        <is>
          <t>전년 같은 분기·전년 대비</t>
        </is>
      </c>
      <c r="G94" s="15">
        <f>IF(OR(G93="",C93=""),"",IF(C93&lt;=0,"",IFERROR(G93/C93-1,"")))</f>
        <v/>
      </c>
      <c r="H94" s="15">
        <f>IF(OR(H93="",D93=""),"",IF(D93&lt;=0,"",IFERROR(H93/D93-1,"")))</f>
        <v/>
      </c>
      <c r="I94" s="15">
        <f>IF(OR(I93="",E93=""),"",IF(E93&lt;=0,"",IFERROR(I93/E93-1,"")))</f>
        <v/>
      </c>
      <c r="J94" s="15">
        <f>IF(OR(J93="",F93=""),"",IF(F93&lt;=0,"",IFERROR(J93/F93-1,"")))</f>
        <v/>
      </c>
      <c r="K94" s="15">
        <f>IF(OR(K93="",G93=""),"",IF(G93&lt;=0,"",IFERROR(K93/G93-1,"")))</f>
        <v/>
      </c>
      <c r="L94" s="15">
        <f>IF(OR(L93="",H93=""),"",IF(H93&lt;=0,"",IFERROR(L93/H93-1,"")))</f>
        <v/>
      </c>
      <c r="M94" s="15">
        <f>IF(OR(M93="",I93=""),"",IF(I93&lt;=0,"",IFERROR(M93/I93-1,"")))</f>
        <v/>
      </c>
      <c r="N94" s="15">
        <f>IF(OR(N93="",J93=""),"",IF(J93&lt;=0,"",IFERROR(N93/J93-1,"")))</f>
        <v/>
      </c>
      <c r="T94" s="15">
        <f>IF(OR(T93="",S93=""),"",IF(S93&lt;=0,"",IFERROR(T93/S93-1,"")))</f>
        <v/>
      </c>
      <c r="U94" s="15">
        <f>IF(OR(U93="",T93=""),"",IF(T93&lt;=0,"",IFERROR(U93/T93-1,"")))</f>
        <v/>
      </c>
      <c r="V94" s="15">
        <f>IF(OR(V93="",U93=""),"",IF(U93&lt;=0,"",IFERROR(V93/U93-1,"")))</f>
        <v/>
      </c>
      <c r="W94" s="15">
        <f>IF(OR(W93="",V93=""),"",IF(V93&lt;=0,"",IFERROR(W93/V93-1,"")))</f>
        <v/>
      </c>
      <c r="X94" s="15">
        <f>IF(OR(X93="",W93=""),"",IF(W93&lt;=0,"",IFERROR(X93/W93-1,"")))</f>
        <v/>
      </c>
    </row>
    <row r="95">
      <c r="A95" s="18" t="inlineStr">
        <is>
          <t>매출원가</t>
        </is>
      </c>
      <c r="C95" s="20" t="n">
        <v>58202</v>
      </c>
      <c r="D95" s="20" t="n">
        <v>65846</v>
      </c>
      <c r="E95" s="20" t="n">
        <v>66129</v>
      </c>
      <c r="F95" s="20" t="n">
        <v>61819</v>
      </c>
      <c r="G95" s="20" t="n">
        <v>80390</v>
      </c>
      <c r="H95" s="20" t="n">
        <v>99298</v>
      </c>
      <c r="I95" s="20" t="n">
        <v>93115</v>
      </c>
      <c r="J95" s="20" t="n">
        <v>92138</v>
      </c>
      <c r="K95" s="20" t="n">
        <v>99316</v>
      </c>
      <c r="L95" s="20" t="n">
        <v>104096</v>
      </c>
      <c r="M95" s="20" t="n">
        <v>106953</v>
      </c>
      <c r="N95" s="20" t="n">
        <v>111920</v>
      </c>
      <c r="T95" s="20" t="n">
        <v>50531</v>
      </c>
      <c r="U95" s="20" t="n">
        <v>68694</v>
      </c>
      <c r="V95" s="20" t="n">
        <v>66129</v>
      </c>
      <c r="W95" s="20" t="n">
        <v>93115</v>
      </c>
      <c r="X95" s="20" t="n">
        <v>106953</v>
      </c>
    </row>
    <row r="96">
      <c r="A96" s="9" t="inlineStr">
        <is>
          <t>매출총이익</t>
        </is>
      </c>
      <c r="C96" s="12" t="n">
        <v>58058</v>
      </c>
      <c r="D96" s="12" t="n">
        <v>67387</v>
      </c>
      <c r="E96" s="12" t="n">
        <v>69634</v>
      </c>
      <c r="F96" s="12" t="n">
        <v>76906</v>
      </c>
      <c r="G96" s="12" t="n">
        <v>110091</v>
      </c>
      <c r="H96" s="12" t="n">
        <v>118854</v>
      </c>
      <c r="I96" s="12" t="n">
        <v>139234</v>
      </c>
      <c r="J96" s="12" t="n">
        <v>171638</v>
      </c>
      <c r="K96" s="12" t="n">
        <v>163641</v>
      </c>
      <c r="L96" s="12" t="n">
        <v>169708</v>
      </c>
      <c r="M96" s="12" t="n">
        <v>221120</v>
      </c>
      <c r="N96" s="12" t="n">
        <v>255553</v>
      </c>
      <c r="T96" s="12" t="n">
        <v>66303</v>
      </c>
      <c r="U96" s="12" t="n">
        <v>78698</v>
      </c>
      <c r="V96" s="12" t="n">
        <v>69634</v>
      </c>
      <c r="W96" s="12" t="n">
        <v>139234</v>
      </c>
      <c r="X96" s="12" t="n">
        <v>221120</v>
      </c>
    </row>
    <row r="97">
      <c r="A97" s="43" t="inlineStr">
        <is>
          <t>YoY</t>
        </is>
      </c>
      <c r="B97" s="3" t="inlineStr">
        <is>
          <t>전년 같은 분기·전년 대비</t>
        </is>
      </c>
      <c r="G97" s="15">
        <f>IF(OR(G96="",C96=""),"",IF(C96&lt;=0,"",IFERROR(G96/C96-1,"")))</f>
        <v/>
      </c>
      <c r="H97" s="15">
        <f>IF(OR(H96="",D96=""),"",IF(D96&lt;=0,"",IFERROR(H96/D96-1,"")))</f>
        <v/>
      </c>
      <c r="I97" s="15">
        <f>IF(OR(I96="",E96=""),"",IF(E96&lt;=0,"",IFERROR(I96/E96-1,"")))</f>
        <v/>
      </c>
      <c r="J97" s="15">
        <f>IF(OR(J96="",F96=""),"",IF(F96&lt;=0,"",IFERROR(J96/F96-1,"")))</f>
        <v/>
      </c>
      <c r="K97" s="15">
        <f>IF(OR(K96="",G96=""),"",IF(G96&lt;=0,"",IFERROR(K96/G96-1,"")))</f>
        <v/>
      </c>
      <c r="L97" s="15">
        <f>IF(OR(L96="",H96=""),"",IF(H96&lt;=0,"",IFERROR(L96/H96-1,"")))</f>
        <v/>
      </c>
      <c r="M97" s="15">
        <f>IF(OR(M96="",I96=""),"",IF(I96&lt;=0,"",IFERROR(M96/I96-1,"")))</f>
        <v/>
      </c>
      <c r="N97" s="15">
        <f>IF(OR(N96="",J96=""),"",IF(J96&lt;=0,"",IFERROR(N96/J96-1,"")))</f>
        <v/>
      </c>
      <c r="T97" s="15">
        <f>IF(OR(T96="",S96=""),"",IF(S96&lt;=0,"",IFERROR(T96/S96-1,"")))</f>
        <v/>
      </c>
      <c r="U97" s="15">
        <f>IF(OR(U96="",T96=""),"",IF(T96&lt;=0,"",IFERROR(U96/T96-1,"")))</f>
        <v/>
      </c>
      <c r="V97" s="15">
        <f>IF(OR(V96="",U96=""),"",IF(U96&lt;=0,"",IFERROR(V96/U96-1,"")))</f>
        <v/>
      </c>
      <c r="W97" s="15">
        <f>IF(OR(W96="",V96=""),"",IF(V96&lt;=0,"",IFERROR(W96/V96-1,"")))</f>
        <v/>
      </c>
      <c r="X97" s="15">
        <f>IF(OR(X96="",W96=""),"",IF(W96&lt;=0,"",IFERROR(X96/W96-1,"")))</f>
        <v/>
      </c>
    </row>
    <row r="98">
      <c r="A98" s="18" t="inlineStr">
        <is>
          <t>판매비와 관리비</t>
        </is>
      </c>
      <c r="C98" s="20" t="n">
        <v>40261</v>
      </c>
      <c r="D98" s="20" t="n">
        <v>40611</v>
      </c>
      <c r="E98" s="20" t="n">
        <v>41188</v>
      </c>
      <c r="F98" s="20" t="n">
        <v>45542</v>
      </c>
      <c r="G98" s="20" t="n">
        <v>46832</v>
      </c>
      <c r="H98" s="20" t="n">
        <v>49316</v>
      </c>
      <c r="I98" s="20" t="n">
        <v>53702</v>
      </c>
      <c r="J98" s="20" t="n">
        <v>50514</v>
      </c>
      <c r="K98" s="20" t="n">
        <v>55354</v>
      </c>
      <c r="L98" s="20" t="n">
        <v>56196</v>
      </c>
      <c r="M98" s="20" t="n">
        <v>67564</v>
      </c>
      <c r="N98" s="20" t="n">
        <v>66247</v>
      </c>
      <c r="T98" s="20" t="n">
        <v>32661</v>
      </c>
      <c r="U98" s="20" t="n">
        <v>40492</v>
      </c>
      <c r="V98" s="20" t="n">
        <v>41188</v>
      </c>
      <c r="W98" s="20" t="n">
        <v>53702</v>
      </c>
      <c r="X98" s="20" t="n">
        <v>67564</v>
      </c>
    </row>
    <row r="99">
      <c r="A99" s="18" t="inlineStr">
        <is>
          <t>Other Income</t>
        </is>
      </c>
      <c r="C99" s="20" t="n">
        <v>3289</v>
      </c>
      <c r="D99" s="20" t="n">
        <v>114</v>
      </c>
      <c r="E99" s="20" t="n">
        <v>196</v>
      </c>
      <c r="F99" s="20" t="n">
        <v>152</v>
      </c>
      <c r="G99" s="20" t="n">
        <v>519</v>
      </c>
      <c r="H99" s="20" t="n">
        <v>379</v>
      </c>
      <c r="I99" s="20" t="n">
        <v>316</v>
      </c>
      <c r="J99" s="20" t="n">
        <v>2971</v>
      </c>
      <c r="K99" s="20" t="n">
        <v>319</v>
      </c>
      <c r="L99" s="20" t="n">
        <v>179</v>
      </c>
      <c r="M99" s="20" t="n">
        <v>83</v>
      </c>
      <c r="N99" s="20" t="n">
        <v>796</v>
      </c>
      <c r="T99" s="20" t="n">
        <v>90</v>
      </c>
      <c r="U99" s="20" t="n">
        <v>414</v>
      </c>
      <c r="V99" s="20" t="n">
        <v>196</v>
      </c>
      <c r="W99" s="20" t="n">
        <v>316</v>
      </c>
      <c r="X99" s="20" t="n">
        <v>83</v>
      </c>
    </row>
    <row r="100">
      <c r="A100" s="18" t="inlineStr">
        <is>
          <t>기타비용</t>
        </is>
      </c>
      <c r="C100" s="20" t="n">
        <v>86</v>
      </c>
      <c r="D100" s="20" t="n">
        <v>60</v>
      </c>
      <c r="E100" s="20" t="n">
        <v>9113</v>
      </c>
      <c r="F100" s="20" t="n">
        <v>191</v>
      </c>
      <c r="G100" s="20" t="n">
        <v>244</v>
      </c>
      <c r="H100" s="20" t="n">
        <v>650</v>
      </c>
      <c r="I100" s="20" t="n">
        <v>21813</v>
      </c>
      <c r="J100" s="20" t="n">
        <v>143</v>
      </c>
      <c r="K100" s="20" t="n">
        <v>123</v>
      </c>
      <c r="L100" s="20" t="n">
        <v>120</v>
      </c>
      <c r="M100" s="20" t="n">
        <v>525</v>
      </c>
      <c r="N100" s="20" t="n">
        <v>112</v>
      </c>
      <c r="T100" s="20" t="n">
        <v>40</v>
      </c>
      <c r="U100" s="20" t="n">
        <v>73</v>
      </c>
      <c r="V100" s="20" t="n">
        <v>9113</v>
      </c>
      <c r="W100" s="20" t="n">
        <v>21813</v>
      </c>
      <c r="X100" s="20" t="n">
        <v>525</v>
      </c>
    </row>
    <row r="101">
      <c r="A101" s="18" t="inlineStr">
        <is>
          <t>영업이익</t>
        </is>
      </c>
      <c r="C101" s="20" t="n">
        <v>21000</v>
      </c>
      <c r="D101" s="20" t="n">
        <v>26830</v>
      </c>
      <c r="E101" s="20" t="n">
        <v>19529</v>
      </c>
      <c r="F101" s="20" t="n">
        <v>31325</v>
      </c>
      <c r="G101" s="20" t="n">
        <v>63534</v>
      </c>
      <c r="H101" s="20" t="n">
        <v>69267</v>
      </c>
      <c r="I101" s="20" t="n">
        <v>64035</v>
      </c>
      <c r="J101" s="20" t="n">
        <v>123952</v>
      </c>
      <c r="K101" s="20" t="n">
        <v>108483</v>
      </c>
      <c r="L101" s="20" t="n">
        <v>113571</v>
      </c>
      <c r="M101" s="20" t="n">
        <v>153114</v>
      </c>
      <c r="N101" s="20" t="n">
        <v>189990</v>
      </c>
      <c r="T101" s="20" t="n">
        <v>33692</v>
      </c>
      <c r="U101" s="20" t="n">
        <v>38547</v>
      </c>
      <c r="V101" s="20" t="n">
        <v>19529</v>
      </c>
      <c r="W101" s="20" t="n">
        <v>64035</v>
      </c>
      <c r="X101" s="20" t="n">
        <v>153114</v>
      </c>
    </row>
    <row r="102">
      <c r="A102" s="43" t="inlineStr">
        <is>
          <t>OPM</t>
        </is>
      </c>
      <c r="B102" s="3" t="inlineStr">
        <is>
          <t>영업이익 ÷ 매출</t>
        </is>
      </c>
      <c r="C102" s="15">
        <f>IF(OR(C101="",C93=""),"",IF(C93&lt;=0,"",IFERROR(C101/C93,"")))</f>
        <v/>
      </c>
      <c r="D102" s="15">
        <f>IF(OR(D101="",D93=""),"",IF(D93&lt;=0,"",IFERROR(D101/D93,"")))</f>
        <v/>
      </c>
      <c r="E102" s="15">
        <f>IF(OR(E101="",E93=""),"",IF(E93&lt;=0,"",IFERROR(E101/E93,"")))</f>
        <v/>
      </c>
      <c r="F102" s="15">
        <f>IF(OR(F101="",F93=""),"",IF(F93&lt;=0,"",IFERROR(F101/F93,"")))</f>
        <v/>
      </c>
      <c r="G102" s="15">
        <f>IF(OR(G101="",G93=""),"",IF(G93&lt;=0,"",IFERROR(G101/G93,"")))</f>
        <v/>
      </c>
      <c r="H102" s="15">
        <f>IF(OR(H101="",H93=""),"",IF(H93&lt;=0,"",IFERROR(H101/H93,"")))</f>
        <v/>
      </c>
      <c r="I102" s="15">
        <f>IF(OR(I101="",I93=""),"",IF(I93&lt;=0,"",IFERROR(I101/I93,"")))</f>
        <v/>
      </c>
      <c r="J102" s="15">
        <f>IF(OR(J101="",J93=""),"",IF(J93&lt;=0,"",IFERROR(J101/J93,"")))</f>
        <v/>
      </c>
      <c r="K102" s="15">
        <f>IF(OR(K101="",K93=""),"",IF(K93&lt;=0,"",IFERROR(K101/K93,"")))</f>
        <v/>
      </c>
      <c r="L102" s="15">
        <f>IF(OR(L101="",L93=""),"",IF(L93&lt;=0,"",IFERROR(L101/L93,"")))</f>
        <v/>
      </c>
      <c r="M102" s="15">
        <f>IF(OR(M101="",M93=""),"",IF(M93&lt;=0,"",IFERROR(M101/M93,"")))</f>
        <v/>
      </c>
      <c r="N102" s="15">
        <f>IF(OR(N101="",N93=""),"",IF(N93&lt;=0,"",IFERROR(N101/N93,"")))</f>
        <v/>
      </c>
      <c r="T102" s="15">
        <f>IF(OR(T101="",T93=""),"",IF(T93&lt;=0,"",IFERROR(T101/T93,"")))</f>
        <v/>
      </c>
      <c r="U102" s="15">
        <f>IF(OR(U101="",U93=""),"",IF(U93&lt;=0,"",IFERROR(U101/U93,"")))</f>
        <v/>
      </c>
      <c r="V102" s="15">
        <f>IF(OR(V101="",V93=""),"",IF(V93&lt;=0,"",IFERROR(V101/V93,"")))</f>
        <v/>
      </c>
      <c r="W102" s="15">
        <f>IF(OR(W101="",W93=""),"",IF(W93&lt;=0,"",IFERROR(W101/W93,"")))</f>
        <v/>
      </c>
      <c r="X102" s="15">
        <f>IF(OR(X101="",X93=""),"",IF(X93&lt;=0,"",IFERROR(X101/X93,"")))</f>
        <v/>
      </c>
    </row>
    <row r="103">
      <c r="A103" s="43" t="inlineStr">
        <is>
          <t>YoY</t>
        </is>
      </c>
      <c r="B103" s="3" t="inlineStr">
        <is>
          <t>전년 같은 분기·전년 대비</t>
        </is>
      </c>
      <c r="G103" s="15">
        <f>IF(OR(G101="",C101=""),"",IF(C101&lt;=0,"",IFERROR(G101/C101-1,"")))</f>
        <v/>
      </c>
      <c r="H103" s="15">
        <f>IF(OR(H101="",D101=""),"",IF(D101&lt;=0,"",IFERROR(H101/D101-1,"")))</f>
        <v/>
      </c>
      <c r="I103" s="15">
        <f>IF(OR(I101="",E101=""),"",IF(E101&lt;=0,"",IFERROR(I101/E101-1,"")))</f>
        <v/>
      </c>
      <c r="J103" s="15">
        <f>IF(OR(J101="",F101=""),"",IF(F101&lt;=0,"",IFERROR(J101/F101-1,"")))</f>
        <v/>
      </c>
      <c r="K103" s="15">
        <f>IF(OR(K101="",G101=""),"",IF(G101&lt;=0,"",IFERROR(K101/G101-1,"")))</f>
        <v/>
      </c>
      <c r="L103" s="15">
        <f>IF(OR(L101="",H101=""),"",IF(H101&lt;=0,"",IFERROR(L101/H101-1,"")))</f>
        <v/>
      </c>
      <c r="M103" s="15">
        <f>IF(OR(M101="",I101=""),"",IF(I101&lt;=0,"",IFERROR(M101/I101-1,"")))</f>
        <v/>
      </c>
      <c r="N103" s="15">
        <f>IF(OR(N101="",J101=""),"",IF(J101&lt;=0,"",IFERROR(N101/J101-1,"")))</f>
        <v/>
      </c>
      <c r="T103" s="15">
        <f>IF(OR(T101="",S101=""),"",IF(S101&lt;=0,"",IFERROR(T101/S101-1,"")))</f>
        <v/>
      </c>
      <c r="U103" s="15">
        <f>IF(OR(U101="",T101=""),"",IF(T101&lt;=0,"",IFERROR(U101/T101-1,"")))</f>
        <v/>
      </c>
      <c r="V103" s="15">
        <f>IF(OR(V101="",U101=""),"",IF(U101&lt;=0,"",IFERROR(V101/U101-1,"")))</f>
        <v/>
      </c>
      <c r="W103" s="15">
        <f>IF(OR(W101="",V101=""),"",IF(V101&lt;=0,"",IFERROR(W101/V101-1,"")))</f>
        <v/>
      </c>
      <c r="X103" s="15">
        <f>IF(OR(X101="",W101=""),"",IF(W101&lt;=0,"",IFERROR(X101/W101-1,"")))</f>
        <v/>
      </c>
    </row>
    <row r="104">
      <c r="A104" s="18" t="inlineStr">
        <is>
          <t>금융수익</t>
        </is>
      </c>
      <c r="C104" s="20" t="n">
        <v>252</v>
      </c>
      <c r="D104" s="20" t="n">
        <v>320</v>
      </c>
      <c r="E104" s="20" t="n">
        <v>378</v>
      </c>
      <c r="F104" s="20" t="n">
        <v>1281</v>
      </c>
      <c r="G104" s="20" t="n">
        <v>-322</v>
      </c>
      <c r="H104" s="20" t="n">
        <v>410</v>
      </c>
      <c r="I104" s="20" t="n">
        <v>526</v>
      </c>
      <c r="J104" s="20" t="n">
        <v>693</v>
      </c>
      <c r="K104" s="20" t="n">
        <v>623</v>
      </c>
      <c r="L104" s="20" t="n">
        <v>705</v>
      </c>
      <c r="M104" s="20" t="n">
        <v>18333</v>
      </c>
      <c r="N104" s="20" t="n">
        <v>44680</v>
      </c>
      <c r="T104" s="20" t="n">
        <v>1490</v>
      </c>
      <c r="U104" s="20" t="n">
        <v>82</v>
      </c>
      <c r="V104" s="20" t="n">
        <v>378</v>
      </c>
      <c r="W104" s="20" t="n">
        <v>526</v>
      </c>
      <c r="X104" s="20" t="n">
        <v>18333</v>
      </c>
    </row>
    <row r="105">
      <c r="A105" s="18" t="inlineStr">
        <is>
          <t>금융비용</t>
        </is>
      </c>
      <c r="C105" s="20" t="n">
        <v>896</v>
      </c>
      <c r="D105" s="20" t="n">
        <v>900</v>
      </c>
      <c r="E105" s="20" t="n">
        <v>1304</v>
      </c>
      <c r="F105" s="20" t="n">
        <v>676</v>
      </c>
      <c r="G105" s="20" t="n">
        <v>2497</v>
      </c>
      <c r="H105" s="20" t="n">
        <v>-870</v>
      </c>
      <c r="I105" s="20" t="n">
        <v>2979</v>
      </c>
      <c r="J105" s="20" t="n">
        <v>3288</v>
      </c>
      <c r="K105" s="20" t="n">
        <v>-54</v>
      </c>
      <c r="L105" s="20" t="n">
        <v>444</v>
      </c>
      <c r="M105" s="20" t="n">
        <v>-924</v>
      </c>
      <c r="N105" s="20" t="n">
        <v>588</v>
      </c>
      <c r="T105" s="20" t="n">
        <v>174</v>
      </c>
      <c r="U105" s="20" t="n">
        <v>217</v>
      </c>
      <c r="V105" s="20" t="n">
        <v>1304</v>
      </c>
      <c r="W105" s="20" t="n">
        <v>2979</v>
      </c>
      <c r="X105" s="20" t="n">
        <v>-924</v>
      </c>
    </row>
    <row r="106">
      <c r="A106" s="9" t="inlineStr">
        <is>
          <t>법인세비용차감전 중간이익</t>
        </is>
      </c>
      <c r="C106" s="12" t="n">
        <v>20356</v>
      </c>
      <c r="D106" s="12" t="n">
        <v>26250</v>
      </c>
      <c r="E106" s="12" t="n">
        <v>18603</v>
      </c>
      <c r="F106" s="12" t="n">
        <v>31930</v>
      </c>
      <c r="G106" s="12" t="n">
        <v>60715</v>
      </c>
      <c r="H106" s="12" t="n">
        <v>70547</v>
      </c>
      <c r="I106" s="12" t="n">
        <v>61582</v>
      </c>
      <c r="J106" s="12" t="n">
        <v>121357</v>
      </c>
      <c r="K106" s="12" t="n">
        <v>109160</v>
      </c>
      <c r="L106" s="12" t="n">
        <v>113832</v>
      </c>
      <c r="M106" s="12" t="n">
        <v>172371</v>
      </c>
      <c r="N106" s="12" t="n">
        <v>234082</v>
      </c>
      <c r="T106" s="12" t="n">
        <v>35008</v>
      </c>
      <c r="U106" s="12" t="n">
        <v>38412</v>
      </c>
      <c r="V106" s="12" t="n">
        <v>18603</v>
      </c>
      <c r="W106" s="12" t="n">
        <v>61582</v>
      </c>
      <c r="X106" s="12" t="n">
        <v>172371</v>
      </c>
    </row>
    <row r="107">
      <c r="A107" s="18" t="inlineStr">
        <is>
          <t>Income Tax Expense</t>
        </is>
      </c>
      <c r="C107" s="20" t="n">
        <v>3620</v>
      </c>
      <c r="D107" s="20" t="n">
        <v>5045</v>
      </c>
      <c r="E107" s="20" t="n">
        <v>3456</v>
      </c>
      <c r="F107" s="20" t="n">
        <v>8057</v>
      </c>
      <c r="G107" s="20" t="n">
        <v>15245</v>
      </c>
      <c r="H107" s="20" t="n">
        <v>18680</v>
      </c>
      <c r="I107" s="20" t="n">
        <v>21615</v>
      </c>
      <c r="J107" s="20" t="n">
        <v>31177</v>
      </c>
      <c r="K107" s="20" t="n">
        <v>29527</v>
      </c>
      <c r="L107" s="20" t="n">
        <v>35119</v>
      </c>
      <c r="M107" s="20" t="n">
        <v>45544</v>
      </c>
      <c r="N107" s="20" t="n">
        <v>59302</v>
      </c>
      <c r="T107" s="20" t="n">
        <v>8600</v>
      </c>
      <c r="U107" s="20" t="n">
        <v>7818</v>
      </c>
      <c r="V107" s="20" t="n">
        <v>3456</v>
      </c>
      <c r="W107" s="20" t="n">
        <v>21615</v>
      </c>
      <c r="X107" s="20" t="n">
        <v>45544</v>
      </c>
    </row>
    <row r="108">
      <c r="A108" s="9" t="inlineStr">
        <is>
          <t>중간이익</t>
        </is>
      </c>
      <c r="C108" s="12" t="n">
        <v>16736</v>
      </c>
      <c r="D108" s="12" t="n">
        <v>21205</v>
      </c>
      <c r="E108" s="12" t="n">
        <v>15147</v>
      </c>
      <c r="F108" s="12" t="n">
        <v>23873</v>
      </c>
      <c r="G108" s="12" t="n">
        <v>45470</v>
      </c>
      <c r="H108" s="12" t="n">
        <v>51867</v>
      </c>
      <c r="I108" s="12" t="n">
        <v>39967</v>
      </c>
      <c r="J108" s="12" t="n">
        <v>90180</v>
      </c>
      <c r="K108" s="12" t="n">
        <v>79633</v>
      </c>
      <c r="L108" s="12" t="n">
        <v>78713</v>
      </c>
      <c r="M108" s="12" t="n">
        <v>126827</v>
      </c>
      <c r="N108" s="12" t="n">
        <v>174780</v>
      </c>
      <c r="T108" s="12" t="n">
        <v>26408</v>
      </c>
      <c r="U108" s="12" t="n">
        <v>30594</v>
      </c>
      <c r="V108" s="12" t="n">
        <v>15147</v>
      </c>
      <c r="W108" s="12" t="n">
        <v>39967</v>
      </c>
      <c r="X108" s="12" t="n">
        <v>126827</v>
      </c>
    </row>
    <row r="109">
      <c r="A109" s="9" t="inlineStr">
        <is>
          <t>Profit Loss Attributable To Owners Of Parent</t>
        </is>
      </c>
      <c r="C109" s="12" t="n">
        <v>16736</v>
      </c>
      <c r="D109" s="12" t="n">
        <v>21205</v>
      </c>
      <c r="E109" s="12" t="n">
        <v>15147</v>
      </c>
      <c r="F109" s="12" t="n">
        <v>23873</v>
      </c>
      <c r="G109" s="12" t="n">
        <v>45470</v>
      </c>
      <c r="H109" s="12" t="n">
        <v>51867</v>
      </c>
      <c r="I109" s="12" t="n">
        <v>39967</v>
      </c>
      <c r="J109" s="12" t="n">
        <v>90180</v>
      </c>
      <c r="K109" s="12" t="n">
        <v>79633</v>
      </c>
      <c r="L109" s="12" t="n">
        <v>78713</v>
      </c>
      <c r="M109" s="12" t="n">
        <v>126827</v>
      </c>
      <c r="N109" s="12" t="n">
        <v>174780</v>
      </c>
      <c r="T109" s="12" t="n">
        <v>26408</v>
      </c>
      <c r="U109" s="12" t="n">
        <v>30594</v>
      </c>
      <c r="V109" s="12" t="n">
        <v>15147</v>
      </c>
      <c r="W109" s="12" t="n">
        <v>39967</v>
      </c>
      <c r="X109" s="12" t="n">
        <v>126827</v>
      </c>
    </row>
    <row r="110">
      <c r="A110" s="43" t="inlineStr">
        <is>
          <t>YoY</t>
        </is>
      </c>
      <c r="B110" s="3" t="inlineStr">
        <is>
          <t>전년 같은 분기·전년 대비</t>
        </is>
      </c>
      <c r="G110" s="15">
        <f>IF(OR(G109="",C109=""),"",IF(C109&lt;=0,"",IFERROR(G109/C109-1,"")))</f>
        <v/>
      </c>
      <c r="H110" s="15">
        <f>IF(OR(H109="",D109=""),"",IF(D109&lt;=0,"",IFERROR(H109/D109-1,"")))</f>
        <v/>
      </c>
      <c r="I110" s="15">
        <f>IF(OR(I109="",E109=""),"",IF(E109&lt;=0,"",IFERROR(I109/E109-1,"")))</f>
        <v/>
      </c>
      <c r="J110" s="15">
        <f>IF(OR(J109="",F109=""),"",IF(F109&lt;=0,"",IFERROR(J109/F109-1,"")))</f>
        <v/>
      </c>
      <c r="K110" s="15">
        <f>IF(OR(K109="",G109=""),"",IF(G109&lt;=0,"",IFERROR(K109/G109-1,"")))</f>
        <v/>
      </c>
      <c r="L110" s="15">
        <f>IF(OR(L109="",H109=""),"",IF(H109&lt;=0,"",IFERROR(L109/H109-1,"")))</f>
        <v/>
      </c>
      <c r="M110" s="15">
        <f>IF(OR(M109="",I109=""),"",IF(I109&lt;=0,"",IFERROR(M109/I109-1,"")))</f>
        <v/>
      </c>
      <c r="N110" s="15">
        <f>IF(OR(N109="",J109=""),"",IF(J109&lt;=0,"",IFERROR(N109/J109-1,"")))</f>
        <v/>
      </c>
      <c r="T110" s="15">
        <f>IF(OR(T109="",S109=""),"",IF(S109&lt;=0,"",IFERROR(T109/S109-1,"")))</f>
        <v/>
      </c>
      <c r="U110" s="15">
        <f>IF(OR(U109="",T109=""),"",IF(T109&lt;=0,"",IFERROR(U109/T109-1,"")))</f>
        <v/>
      </c>
      <c r="V110" s="15">
        <f>IF(OR(V109="",U109=""),"",IF(U109&lt;=0,"",IFERROR(V109/U109-1,"")))</f>
        <v/>
      </c>
      <c r="W110" s="15">
        <f>IF(OR(W109="",V109=""),"",IF(V109&lt;=0,"",IFERROR(W109/V109-1,"")))</f>
        <v/>
      </c>
      <c r="X110" s="15">
        <f>IF(OR(X109="",W109=""),"",IF(W109&lt;=0,"",IFERROR(X109/W109-1,"")))</f>
        <v/>
      </c>
    </row>
    <row r="111">
      <c r="A111" s="18" t="inlineStr">
        <is>
          <t>Basic Earnings Loss Per Share</t>
        </is>
      </c>
      <c r="C111" s="20" t="n">
        <v>2.269e-05</v>
      </c>
      <c r="D111" s="20" t="n">
        <v>2.875e-05</v>
      </c>
      <c r="E111" s="20" t="n">
        <v>2.052e-05</v>
      </c>
      <c r="F111" s="20" t="n">
        <v>3.235e-05</v>
      </c>
      <c r="G111" s="20" t="n">
        <v>6.156999999999999e-05</v>
      </c>
      <c r="H111" s="20" t="n">
        <v>7.029000000000001e-05</v>
      </c>
      <c r="I111" s="20" t="n">
        <v>5.445999999999998e-05</v>
      </c>
      <c r="J111" s="20" t="n">
        <v>0.00012314</v>
      </c>
      <c r="K111" s="20" t="n">
        <v>0.00010905</v>
      </c>
      <c r="L111" s="20" t="n">
        <v>0.00010841</v>
      </c>
      <c r="M111" s="20" t="n">
        <v>0.00017455</v>
      </c>
      <c r="N111" s="20" t="n">
        <v>0.00024127</v>
      </c>
      <c r="T111" s="20" t="n">
        <v>0.00013794</v>
      </c>
      <c r="U111" s="20" t="n">
        <v>4.159999999999999e-05</v>
      </c>
      <c r="V111" s="20" t="n">
        <v>2.052e-05</v>
      </c>
      <c r="W111" s="20" t="n">
        <v>5.445999999999998e-05</v>
      </c>
      <c r="X111" s="20" t="n">
        <v>0.00017455</v>
      </c>
    </row>
    <row r="112">
      <c r="A112" s="18" t="inlineStr">
        <is>
          <t>Diluted Earnings Loss Per Share</t>
        </is>
      </c>
      <c r="C112" s="20" t="n">
        <v>2.262e-05</v>
      </c>
      <c r="D112" s="20" t="n">
        <v>2.865e-05</v>
      </c>
      <c r="E112" s="20" t="n">
        <v>2.045e-05</v>
      </c>
      <c r="F112" s="20" t="n">
        <v>3.225e-05</v>
      </c>
      <c r="G112" s="20" t="n">
        <v>6.139000000000001e-05</v>
      </c>
      <c r="H112" s="20" t="n">
        <v>7.007999999999999e-05</v>
      </c>
      <c r="I112" s="20" t="n">
        <v>5.428999999999999e-05</v>
      </c>
      <c r="J112" s="20" t="n">
        <v>0.0001228</v>
      </c>
      <c r="K112" s="20" t="n">
        <v>0.00010869</v>
      </c>
      <c r="L112" s="20" t="n">
        <v>0.00010796</v>
      </c>
      <c r="M112" s="20" t="n">
        <v>0.00017385</v>
      </c>
      <c r="N112" s="20" t="n">
        <v>0.00023989</v>
      </c>
      <c r="T112" s="20" t="n">
        <v>0.00013723</v>
      </c>
      <c r="U112" s="20" t="n">
        <v>4.143000000000001e-05</v>
      </c>
      <c r="V112" s="20" t="n">
        <v>2.045e-05</v>
      </c>
      <c r="W112" s="20" t="n">
        <v>5.428999999999999e-05</v>
      </c>
      <c r="X112" s="20" t="n">
        <v>0.00017385</v>
      </c>
    </row>
    <row r="114">
      <c r="A114" s="16" t="inlineStr">
        <is>
          <t>포괄손익 · 전 항목</t>
        </is>
      </c>
      <c r="B114" s="42" t="inlineStr">
        <is>
          <t>분기 = 3개월 단독</t>
        </is>
      </c>
      <c r="C114" s="16" t="n"/>
      <c r="D114" s="16" t="n"/>
      <c r="E114" s="16" t="n"/>
      <c r="F114" s="16" t="n"/>
      <c r="G114" s="16" t="n"/>
      <c r="H114" s="16" t="n"/>
      <c r="I114" s="16" t="n"/>
      <c r="J114" s="16" t="n"/>
      <c r="K114" s="16" t="n"/>
      <c r="L114" s="16" t="n"/>
      <c r="M114" s="16" t="n"/>
      <c r="N114" s="16" t="n"/>
      <c r="O114" s="16" t="n"/>
      <c r="P114" s="16" t="n"/>
      <c r="Q114" s="16" t="n"/>
      <c r="R114" s="16" t="n"/>
      <c r="S114" s="16" t="n"/>
      <c r="T114" s="16" t="n"/>
      <c r="U114" s="16" t="n"/>
      <c r="V114" s="16" t="n"/>
      <c r="W114" s="16" t="n"/>
      <c r="X114" s="16" t="n"/>
      <c r="Y114" s="16" t="n"/>
      <c r="Z114" s="16" t="n"/>
      <c r="AA114" s="16" t="n"/>
      <c r="AB114" s="16" t="n"/>
      <c r="AC114" s="16" t="n"/>
    </row>
    <row r="115">
      <c r="A115" s="5" t="inlineStr">
        <is>
          <t>항목</t>
        </is>
      </c>
      <c r="B115" s="5" t="inlineStr">
        <is>
          <t>참고</t>
        </is>
      </c>
      <c r="C115" s="5" t="inlineStr">
        <is>
          <t>2024.2Q</t>
        </is>
      </c>
      <c r="D115" s="5" t="inlineStr">
        <is>
          <t>2024.3Q</t>
        </is>
      </c>
      <c r="E115" s="5" t="inlineStr">
        <is>
          <t>2024.4Q</t>
        </is>
      </c>
      <c r="F115" s="5" t="inlineStr">
        <is>
          <t>2025.1Q</t>
        </is>
      </c>
      <c r="G115" s="5" t="inlineStr">
        <is>
          <t>2025.2Q</t>
        </is>
      </c>
      <c r="H115" s="5" t="inlineStr">
        <is>
          <t>2025.3Q</t>
        </is>
      </c>
      <c r="I115" s="5" t="inlineStr">
        <is>
          <t>2025.4Q</t>
        </is>
      </c>
      <c r="J115" s="5" t="inlineStr">
        <is>
          <t>2026.1Q</t>
        </is>
      </c>
      <c r="K115" s="5" t="inlineStr">
        <is>
          <t>2026.2Q</t>
        </is>
      </c>
      <c r="L115" s="5" t="inlineStr">
        <is>
          <t>2026.3Q</t>
        </is>
      </c>
      <c r="M115" s="5" t="inlineStr">
        <is>
          <t>2026.4Q</t>
        </is>
      </c>
      <c r="N115" s="5" t="inlineStr">
        <is>
          <t>2027.1Q</t>
        </is>
      </c>
      <c r="O115" s="5" t="inlineStr">
        <is>
          <t>2017</t>
        </is>
      </c>
      <c r="P115" s="5" t="inlineStr">
        <is>
          <t>2018</t>
        </is>
      </c>
      <c r="Q115" s="5" t="inlineStr">
        <is>
          <t>2019</t>
        </is>
      </c>
      <c r="R115" s="5" t="inlineStr">
        <is>
          <t>2020</t>
        </is>
      </c>
      <c r="S115" s="5" t="inlineStr">
        <is>
          <t>2021</t>
        </is>
      </c>
      <c r="T115" s="5" t="inlineStr">
        <is>
          <t>2022</t>
        </is>
      </c>
      <c r="U115" s="5" t="inlineStr">
        <is>
          <t>2023</t>
        </is>
      </c>
      <c r="V115" s="5" t="inlineStr">
        <is>
          <t>2024</t>
        </is>
      </c>
      <c r="W115" s="5" t="inlineStr">
        <is>
          <t>2025</t>
        </is>
      </c>
      <c r="X115" s="5" t="inlineStr">
        <is>
          <t>2026</t>
        </is>
      </c>
      <c r="Y115" s="5" t="inlineStr">
        <is>
          <t>2027(MW)</t>
        </is>
      </c>
      <c r="Z115" s="5" t="inlineStr">
        <is>
          <t>2028(MW)</t>
        </is>
      </c>
      <c r="AA115" s="5" t="inlineStr">
        <is>
          <t>2029(MW)</t>
        </is>
      </c>
      <c r="AB115" s="5" t="inlineStr">
        <is>
          <t>2030(MW)</t>
        </is>
      </c>
      <c r="AC115" s="5" t="inlineStr">
        <is>
          <t>2031(MW)</t>
        </is>
      </c>
    </row>
    <row r="116">
      <c r="A116" s="9" t="inlineStr">
        <is>
          <t>중간이익</t>
        </is>
      </c>
      <c r="C116" s="12" t="n">
        <v>16736</v>
      </c>
      <c r="D116" s="12" t="n">
        <v>21205</v>
      </c>
      <c r="E116" s="12" t="n">
        <v>15147</v>
      </c>
      <c r="F116" s="12" t="n">
        <v>23873</v>
      </c>
      <c r="G116" s="12" t="n">
        <v>45470</v>
      </c>
      <c r="H116" s="12" t="n">
        <v>51867</v>
      </c>
      <c r="I116" s="12" t="n">
        <v>39967</v>
      </c>
      <c r="J116" s="12" t="n">
        <v>90180</v>
      </c>
      <c r="K116" s="12" t="n">
        <v>79633</v>
      </c>
      <c r="L116" s="12" t="n">
        <v>78713</v>
      </c>
      <c r="M116" s="12" t="n">
        <v>126827</v>
      </c>
      <c r="N116" s="12" t="n">
        <v>174780</v>
      </c>
      <c r="T116" s="12" t="n">
        <v>26408</v>
      </c>
      <c r="U116" s="12" t="n">
        <v>30594</v>
      </c>
      <c r="V116" s="12" t="n">
        <v>15147</v>
      </c>
      <c r="W116" s="12" t="n">
        <v>39967</v>
      </c>
      <c r="X116" s="12" t="n">
        <v>126827</v>
      </c>
    </row>
    <row r="117">
      <c r="A117" s="18" t="inlineStr">
        <is>
          <t>확정급여제도 재측정</t>
        </is>
      </c>
      <c r="C117" s="20" t="n">
        <v>0</v>
      </c>
      <c r="D117" s="20" t="n">
        <v>0</v>
      </c>
      <c r="E117" s="20" t="n">
        <v>-640</v>
      </c>
      <c r="F117" s="20" t="n">
        <v>-197</v>
      </c>
      <c r="G117" s="20" t="n">
        <v>-30</v>
      </c>
      <c r="H117" s="20" t="n">
        <v>-81</v>
      </c>
      <c r="I117" s="20" t="n">
        <v>1133</v>
      </c>
      <c r="J117" s="20" t="n">
        <v>-111</v>
      </c>
      <c r="K117" s="20" t="n">
        <v>-131</v>
      </c>
      <c r="L117" s="20" t="n">
        <v>-128</v>
      </c>
      <c r="M117" s="20" t="n">
        <v>-606</v>
      </c>
      <c r="N117" s="20" t="n">
        <v>-131</v>
      </c>
      <c r="V117" s="20" t="n">
        <v>-640</v>
      </c>
      <c r="W117" s="20" t="n">
        <v>1133</v>
      </c>
      <c r="X117" s="20" t="n">
        <v>-606</v>
      </c>
    </row>
    <row r="118">
      <c r="A118" s="18" t="inlineStr">
        <is>
          <t>Net Change In Fair Value Of Equity Instruments Designated As Measured At Fair Value Through Other Comprehensive Income Net Of Tax Items That Will Not Be Reclassified To Profit Or Loss OCI</t>
        </is>
      </c>
      <c r="C118" s="20" t="n">
        <v>-4665</v>
      </c>
      <c r="D118" s="20" t="n">
        <v>-69</v>
      </c>
      <c r="E118" s="20" t="n">
        <v>514</v>
      </c>
      <c r="F118" s="20" t="n">
        <v>1103</v>
      </c>
      <c r="G118" s="20" t="n">
        <v>-1765</v>
      </c>
      <c r="H118" s="20" t="n">
        <v>-1826</v>
      </c>
      <c r="I118" s="20" t="n">
        <v>-4252</v>
      </c>
      <c r="J118" s="20" t="n">
        <v>5836</v>
      </c>
      <c r="K118" s="20" t="n">
        <v>4536</v>
      </c>
      <c r="L118" s="20" t="n">
        <v>14334</v>
      </c>
      <c r="M118" s="20" t="n">
        <v>8451</v>
      </c>
      <c r="N118" s="20" t="n">
        <v>120229</v>
      </c>
      <c r="T118" s="20" t="n">
        <v>-2051</v>
      </c>
      <c r="U118" s="20" t="n">
        <v>3995</v>
      </c>
      <c r="V118" s="20" t="n">
        <v>514</v>
      </c>
      <c r="W118" s="20" t="n">
        <v>-4252</v>
      </c>
      <c r="X118" s="20" t="n">
        <v>8451</v>
      </c>
    </row>
    <row r="119">
      <c r="A119" s="18" t="inlineStr">
        <is>
          <t>Exchange Differences On Translation Of Foreign Operations Net Of Tax Items That May Be Reclassified To Profit Or Loss OCI</t>
        </is>
      </c>
      <c r="C119" s="20" t="n">
        <v>5729</v>
      </c>
      <c r="D119" s="20" t="n">
        <v>-9246</v>
      </c>
      <c r="E119" s="20" t="n">
        <v>12902</v>
      </c>
      <c r="F119" s="20" t="n">
        <v>13762</v>
      </c>
      <c r="G119" s="20" t="n">
        <v>-25738</v>
      </c>
      <c r="H119" s="20" t="n">
        <v>18485</v>
      </c>
      <c r="I119" s="20" t="n">
        <v>-12343</v>
      </c>
      <c r="J119" s="20" t="n">
        <v>476</v>
      </c>
      <c r="K119" s="20" t="n">
        <v>5550</v>
      </c>
      <c r="L119" s="20" t="n">
        <v>14443</v>
      </c>
      <c r="M119" s="20" t="n">
        <v>4227</v>
      </c>
      <c r="N119" s="20" t="n">
        <v>6944</v>
      </c>
      <c r="T119" s="20" t="n">
        <v>7866</v>
      </c>
      <c r="U119" s="20" t="n">
        <v>-877</v>
      </c>
      <c r="V119" s="20" t="n">
        <v>12902</v>
      </c>
      <c r="W119" s="20" t="n">
        <v>-12343</v>
      </c>
      <c r="X119" s="20" t="n">
        <v>4227</v>
      </c>
    </row>
    <row r="120">
      <c r="A120" s="18" t="inlineStr">
        <is>
          <t>Other Comprehensive Income</t>
        </is>
      </c>
      <c r="C120" s="20" t="n">
        <v>1064</v>
      </c>
      <c r="D120" s="20" t="n">
        <v>-9315</v>
      </c>
      <c r="E120" s="20" t="n">
        <v>12776</v>
      </c>
      <c r="F120" s="20" t="n">
        <v>14668</v>
      </c>
      <c r="G120" s="20" t="n">
        <v>-27533</v>
      </c>
      <c r="H120" s="20" t="n">
        <v>16578</v>
      </c>
      <c r="I120" s="20" t="n">
        <v>-15462</v>
      </c>
      <c r="J120" s="20" t="n">
        <v>6201</v>
      </c>
      <c r="K120" s="20" t="n">
        <v>9955</v>
      </c>
      <c r="L120" s="20" t="n">
        <v>28649</v>
      </c>
      <c r="M120" s="20" t="n">
        <v>12072</v>
      </c>
      <c r="N120" s="20" t="n">
        <v>127042</v>
      </c>
      <c r="T120" s="20" t="n">
        <v>10324</v>
      </c>
      <c r="U120" s="20" t="n">
        <v>6445</v>
      </c>
      <c r="V120" s="20" t="n">
        <v>12776</v>
      </c>
      <c r="W120" s="20" t="n">
        <v>-15462</v>
      </c>
      <c r="X120" s="20" t="n">
        <v>12072</v>
      </c>
    </row>
    <row r="121">
      <c r="A121" s="9" t="inlineStr">
        <is>
          <t>포괄이익</t>
        </is>
      </c>
      <c r="C121" s="12" t="n">
        <v>17800</v>
      </c>
      <c r="D121" s="12" t="n">
        <v>11890</v>
      </c>
      <c r="E121" s="12" t="n">
        <v>27923</v>
      </c>
      <c r="F121" s="12" t="n">
        <v>38541</v>
      </c>
      <c r="G121" s="12" t="n">
        <v>17937</v>
      </c>
      <c r="H121" s="12" t="n">
        <v>68445</v>
      </c>
      <c r="I121" s="12" t="n">
        <v>24505</v>
      </c>
      <c r="J121" s="12" t="n">
        <v>96381</v>
      </c>
      <c r="K121" s="12" t="n">
        <v>89588</v>
      </c>
      <c r="L121" s="12" t="n">
        <v>107362</v>
      </c>
      <c r="M121" s="12" t="n">
        <v>138899</v>
      </c>
      <c r="N121" s="12" t="n">
        <v>301822</v>
      </c>
      <c r="T121" s="12" t="n">
        <v>36732</v>
      </c>
      <c r="U121" s="12" t="n">
        <v>37039</v>
      </c>
      <c r="V121" s="12" t="n">
        <v>27923</v>
      </c>
      <c r="W121" s="12" t="n">
        <v>24505</v>
      </c>
      <c r="X121" s="12" t="n">
        <v>138899</v>
      </c>
    </row>
    <row r="122">
      <c r="A122" s="9" t="inlineStr">
        <is>
          <t>Comprehensive Income Attributable To Owners Of Parent</t>
        </is>
      </c>
      <c r="C122" s="12" t="n">
        <v>17800</v>
      </c>
      <c r="D122" s="12" t="n">
        <v>11890</v>
      </c>
      <c r="E122" s="12" t="n">
        <v>27923</v>
      </c>
      <c r="F122" s="12" t="n">
        <v>38541</v>
      </c>
      <c r="G122" s="12" t="n">
        <v>17937</v>
      </c>
      <c r="H122" s="12" t="n">
        <v>68445</v>
      </c>
      <c r="I122" s="12" t="n">
        <v>24505</v>
      </c>
      <c r="J122" s="12" t="n">
        <v>96381</v>
      </c>
      <c r="K122" s="12" t="n">
        <v>89588</v>
      </c>
      <c r="L122" s="12" t="n">
        <v>107362</v>
      </c>
      <c r="M122" s="12" t="n">
        <v>138899</v>
      </c>
      <c r="N122" s="12" t="n">
        <v>301822</v>
      </c>
      <c r="T122" s="12" t="n">
        <v>36732</v>
      </c>
      <c r="U122" s="12" t="n">
        <v>37039</v>
      </c>
      <c r="V122" s="12" t="n">
        <v>27923</v>
      </c>
      <c r="W122" s="12" t="n">
        <v>24505</v>
      </c>
      <c r="X122" s="12" t="n">
        <v>138899</v>
      </c>
    </row>
    <row r="124">
      <c r="A124" s="16" t="inlineStr">
        <is>
          <t>부문 · 전 항목</t>
        </is>
      </c>
      <c r="B124" s="42" t="inlineStr">
        <is>
          <t>부문 · 항목</t>
        </is>
      </c>
      <c r="C124" s="16" t="n"/>
      <c r="D124" s="16" t="n"/>
      <c r="E124" s="16" t="n"/>
      <c r="F124" s="16" t="n"/>
      <c r="G124" s="16" t="n"/>
      <c r="H124" s="16" t="n"/>
      <c r="I124" s="16" t="n"/>
      <c r="J124" s="16" t="n"/>
      <c r="K124" s="16" t="n"/>
      <c r="L124" s="16" t="n"/>
      <c r="M124" s="16" t="n"/>
      <c r="N124" s="16" t="n"/>
      <c r="O124" s="16" t="n"/>
      <c r="P124" s="16" t="n"/>
      <c r="Q124" s="16" t="n"/>
      <c r="R124" s="16" t="n"/>
      <c r="S124" s="16" t="n"/>
      <c r="T124" s="16" t="n"/>
      <c r="U124" s="16" t="n"/>
      <c r="V124" s="16" t="n"/>
      <c r="W124" s="16" t="n"/>
      <c r="X124" s="16" t="n"/>
      <c r="Y124" s="16" t="n"/>
      <c r="Z124" s="16" t="n"/>
      <c r="AA124" s="16" t="n"/>
      <c r="AB124" s="16" t="n"/>
      <c r="AC124" s="16" t="n"/>
    </row>
    <row r="125">
      <c r="A125" s="5" t="inlineStr">
        <is>
          <t>항목</t>
        </is>
      </c>
      <c r="B125" s="5" t="inlineStr">
        <is>
          <t>참고</t>
        </is>
      </c>
      <c r="C125" s="5" t="inlineStr">
        <is>
          <t>2024.2Q</t>
        </is>
      </c>
      <c r="D125" s="5" t="inlineStr">
        <is>
          <t>2024.3Q</t>
        </is>
      </c>
      <c r="E125" s="5" t="inlineStr">
        <is>
          <t>2024.4Q</t>
        </is>
      </c>
      <c r="F125" s="5" t="inlineStr">
        <is>
          <t>2025.1Q</t>
        </is>
      </c>
      <c r="G125" s="5" t="inlineStr">
        <is>
          <t>2025.2Q</t>
        </is>
      </c>
      <c r="H125" s="5" t="inlineStr">
        <is>
          <t>2025.3Q</t>
        </is>
      </c>
      <c r="I125" s="5" t="inlineStr">
        <is>
          <t>2025.4Q</t>
        </is>
      </c>
      <c r="J125" s="5" t="inlineStr">
        <is>
          <t>2026.1Q</t>
        </is>
      </c>
      <c r="K125" s="5" t="inlineStr">
        <is>
          <t>2026.2Q</t>
        </is>
      </c>
      <c r="L125" s="5" t="inlineStr">
        <is>
          <t>2026.3Q</t>
        </is>
      </c>
      <c r="M125" s="5" t="inlineStr">
        <is>
          <t>2026.4Q</t>
        </is>
      </c>
      <c r="N125" s="5" t="inlineStr">
        <is>
          <t>2027.1Q</t>
        </is>
      </c>
      <c r="O125" s="5" t="inlineStr">
        <is>
          <t>2017</t>
        </is>
      </c>
      <c r="P125" s="5" t="inlineStr">
        <is>
          <t>2018</t>
        </is>
      </c>
      <c r="Q125" s="5" t="inlineStr">
        <is>
          <t>2019</t>
        </is>
      </c>
      <c r="R125" s="5" t="inlineStr">
        <is>
          <t>2020</t>
        </is>
      </c>
      <c r="S125" s="5" t="inlineStr">
        <is>
          <t>2021</t>
        </is>
      </c>
      <c r="T125" s="5" t="inlineStr">
        <is>
          <t>2022</t>
        </is>
      </c>
      <c r="U125" s="5" t="inlineStr">
        <is>
          <t>2023</t>
        </is>
      </c>
      <c r="V125" s="5" t="inlineStr">
        <is>
          <t>2024</t>
        </is>
      </c>
      <c r="W125" s="5" t="inlineStr">
        <is>
          <t>2025</t>
        </is>
      </c>
      <c r="X125" s="5" t="inlineStr">
        <is>
          <t>2026</t>
        </is>
      </c>
      <c r="Y125" s="5" t="inlineStr">
        <is>
          <t>2027(MW)</t>
        </is>
      </c>
      <c r="Z125" s="5" t="inlineStr">
        <is>
          <t>2028(MW)</t>
        </is>
      </c>
      <c r="AA125" s="5" t="inlineStr">
        <is>
          <t>2029(MW)</t>
        </is>
      </c>
      <c r="AB125" s="5" t="inlineStr">
        <is>
          <t>2030(MW)</t>
        </is>
      </c>
      <c r="AC125" s="5" t="inlineStr">
        <is>
          <t>2031(MW)</t>
        </is>
      </c>
    </row>
    <row r="126">
      <c r="A126" s="18" t="inlineStr">
        <is>
          <t>테스트시스템 사업 · 외부 고객 매출</t>
        </is>
      </c>
      <c r="F126" s="20" t="n">
        <v>117286</v>
      </c>
      <c r="J126" s="20" t="n">
        <v>240554</v>
      </c>
      <c r="N126" s="20" t="n">
        <v>333562</v>
      </c>
    </row>
    <row r="127">
      <c r="A127" s="18" t="inlineStr">
        <is>
          <t>부문 · 외부 고객 매출</t>
        </is>
      </c>
      <c r="F127" s="20" t="n">
        <v>21439</v>
      </c>
      <c r="J127" s="20" t="n">
        <v>23222</v>
      </c>
      <c r="N127" s="20" t="n">
        <v>33911</v>
      </c>
    </row>
    <row r="128">
      <c r="A128" s="18" t="inlineStr">
        <is>
          <t>조정액 · 외부 고객 매출</t>
        </is>
      </c>
      <c r="C128" s="20" t="n">
        <v>0</v>
      </c>
      <c r="D128" s="20" t="n">
        <v>0</v>
      </c>
      <c r="F128" s="20" t="n">
        <v>0</v>
      </c>
      <c r="G128" s="20" t="n">
        <v>0</v>
      </c>
      <c r="H128" s="20" t="n">
        <v>0</v>
      </c>
      <c r="I128" s="20" t="n">
        <v>0</v>
      </c>
      <c r="J128" s="20" t="n">
        <v>0</v>
      </c>
      <c r="K128" s="20" t="n">
        <v>0</v>
      </c>
      <c r="L128" s="20" t="n">
        <v>0</v>
      </c>
      <c r="M128" s="20" t="n">
        <v>0</v>
      </c>
      <c r="N128" s="20" t="n">
        <v>0</v>
      </c>
      <c r="W128" s="20" t="n">
        <v>0</v>
      </c>
      <c r="X128" s="20" t="n">
        <v>0</v>
      </c>
    </row>
    <row r="129">
      <c r="A129" s="18" t="inlineStr">
        <is>
          <t>외부 고객 매출</t>
        </is>
      </c>
      <c r="C129" s="20" t="n">
        <v>116260</v>
      </c>
      <c r="D129" s="20" t="n">
        <v>133233</v>
      </c>
      <c r="F129" s="20" t="n">
        <v>138725</v>
      </c>
      <c r="G129" s="20" t="n">
        <v>190481</v>
      </c>
      <c r="H129" s="20" t="n">
        <v>218152</v>
      </c>
      <c r="I129" s="20" t="n">
        <v>232349</v>
      </c>
      <c r="J129" s="20" t="n">
        <v>263776</v>
      </c>
      <c r="K129" s="20" t="n">
        <v>262957</v>
      </c>
      <c r="L129" s="20" t="n">
        <v>273804</v>
      </c>
      <c r="M129" s="20" t="n">
        <v>328073</v>
      </c>
      <c r="N129" s="20" t="n">
        <v>367473</v>
      </c>
      <c r="W129" s="20" t="n">
        <v>232349</v>
      </c>
      <c r="X129" s="20" t="n">
        <v>328073</v>
      </c>
    </row>
    <row r="130">
      <c r="A130" s="18" t="inlineStr">
        <is>
          <t>부문 · Intersegment Sales</t>
        </is>
      </c>
      <c r="C130" s="20" t="n">
        <v>0</v>
      </c>
      <c r="D130" s="20" t="n">
        <v>0</v>
      </c>
      <c r="F130" s="20" t="n">
        <v>0</v>
      </c>
      <c r="G130" s="20" t="n">
        <v>0</v>
      </c>
      <c r="H130" s="20" t="n">
        <v>0</v>
      </c>
    </row>
    <row r="131">
      <c r="A131" s="18" t="inlineStr">
        <is>
          <t>부문 · Intersegment Sales</t>
        </is>
      </c>
      <c r="C131" s="20" t="n">
        <v>0</v>
      </c>
      <c r="D131" s="20" t="n">
        <v>0</v>
      </c>
      <c r="F131" s="20" t="n">
        <v>0</v>
      </c>
      <c r="G131" s="20" t="n">
        <v>0</v>
      </c>
      <c r="H131" s="20" t="n">
        <v>0</v>
      </c>
    </row>
    <row r="132">
      <c r="A132" s="18" t="inlineStr">
        <is>
          <t>테스트시스템 사업 · Intersegment Sales</t>
        </is>
      </c>
      <c r="H132" s="20" t="n">
        <v>0</v>
      </c>
      <c r="I132" s="20" t="n">
        <v>0</v>
      </c>
      <c r="L132" s="20" t="n">
        <v>10</v>
      </c>
      <c r="M132" s="20" t="n">
        <v>0</v>
      </c>
      <c r="W132" s="20" t="n">
        <v>0</v>
      </c>
      <c r="X132" s="20" t="n">
        <v>0</v>
      </c>
    </row>
    <row r="133">
      <c r="A133" s="18" t="inlineStr">
        <is>
          <t>부문 · Intersegment Sales</t>
        </is>
      </c>
      <c r="C133" s="20" t="n">
        <v>0</v>
      </c>
      <c r="D133" s="20" t="n">
        <v>0</v>
      </c>
      <c r="F133" s="20" t="n">
        <v>0</v>
      </c>
      <c r="G133" s="20" t="n">
        <v>0</v>
      </c>
      <c r="H133" s="20" t="n">
        <v>0</v>
      </c>
      <c r="I133" s="20" t="n">
        <v>0</v>
      </c>
      <c r="L133" s="20" t="n">
        <v>0</v>
      </c>
      <c r="M133" s="20" t="n">
        <v>0</v>
      </c>
      <c r="W133" s="20" t="n">
        <v>0</v>
      </c>
      <c r="X133" s="20" t="n">
        <v>0</v>
      </c>
    </row>
    <row r="134">
      <c r="A134" s="18" t="inlineStr">
        <is>
          <t>테스트시스템 사업 · Intersegment Sales</t>
        </is>
      </c>
      <c r="F134" s="20" t="n">
        <v>0</v>
      </c>
      <c r="J134" s="20" t="n">
        <v>0</v>
      </c>
      <c r="N134" s="20" t="n">
        <v>0</v>
      </c>
    </row>
    <row r="135">
      <c r="A135" s="18" t="inlineStr">
        <is>
          <t>부문 · Intersegment Sales</t>
        </is>
      </c>
      <c r="F135" s="20" t="n">
        <v>0</v>
      </c>
      <c r="J135" s="20" t="n">
        <v>0</v>
      </c>
      <c r="N135" s="20" t="n">
        <v>0</v>
      </c>
    </row>
    <row r="136">
      <c r="A136" s="18" t="inlineStr">
        <is>
          <t>조정액 · Intersegment Sales</t>
        </is>
      </c>
      <c r="C136" s="20" t="n">
        <v>0</v>
      </c>
      <c r="D136" s="20" t="n">
        <v>0</v>
      </c>
      <c r="F136" s="20" t="n">
        <v>0</v>
      </c>
      <c r="G136" s="20" t="n">
        <v>0</v>
      </c>
      <c r="H136" s="20" t="n">
        <v>0</v>
      </c>
      <c r="I136" s="20" t="n">
        <v>0</v>
      </c>
      <c r="J136" s="20" t="n">
        <v>0</v>
      </c>
      <c r="K136" s="20" t="n">
        <v>0</v>
      </c>
      <c r="L136" s="20" t="n">
        <v>-10</v>
      </c>
      <c r="M136" s="20" t="n">
        <v>0</v>
      </c>
      <c r="N136" s="20" t="n">
        <v>0</v>
      </c>
      <c r="W136" s="20" t="n">
        <v>0</v>
      </c>
      <c r="X136" s="20" t="n">
        <v>0</v>
      </c>
    </row>
    <row r="137">
      <c r="A137" s="18" t="inlineStr">
        <is>
          <t>Intersegment Sales</t>
        </is>
      </c>
      <c r="C137" s="20" t="n">
        <v>0</v>
      </c>
      <c r="D137" s="20" t="n">
        <v>0</v>
      </c>
      <c r="F137" s="20" t="n">
        <v>0</v>
      </c>
      <c r="G137" s="20" t="n">
        <v>0</v>
      </c>
      <c r="H137" s="20" t="n">
        <v>0</v>
      </c>
      <c r="I137" s="20" t="n">
        <v>0</v>
      </c>
      <c r="J137" s="20" t="n">
        <v>0</v>
      </c>
      <c r="K137" s="20" t="n">
        <v>0</v>
      </c>
      <c r="L137" s="20" t="n">
        <v>0</v>
      </c>
      <c r="M137" s="20" t="n">
        <v>0</v>
      </c>
      <c r="N137" s="20" t="n">
        <v>0</v>
      </c>
      <c r="W137" s="20" t="n">
        <v>0</v>
      </c>
      <c r="X137" s="20" t="n">
        <v>0</v>
      </c>
    </row>
    <row r="138">
      <c r="A138" s="18" t="inlineStr">
        <is>
          <t>부문 · 합계</t>
        </is>
      </c>
      <c r="C138" s="20" t="n">
        <v>81170</v>
      </c>
      <c r="D138" s="20" t="n">
        <v>88320</v>
      </c>
      <c r="F138" s="20" t="n">
        <v>101108</v>
      </c>
      <c r="G138" s="20" t="n">
        <v>145470</v>
      </c>
      <c r="H138" s="20" t="n">
        <v>167607</v>
      </c>
    </row>
    <row r="139">
      <c r="A139" s="43" t="inlineStr">
        <is>
          <t>YoY</t>
        </is>
      </c>
      <c r="B139" s="3" t="inlineStr">
        <is>
          <t>전년 같은 분기·전년 대비</t>
        </is>
      </c>
      <c r="G139" s="15">
        <f>IF(OR(G138="",C138=""),"",IF(C138&lt;=0,"",IFERROR(G138/C138-1,"")))</f>
        <v/>
      </c>
      <c r="H139" s="15">
        <f>IF(OR(H138="",D138=""),"",IF(D138&lt;=0,"",IFERROR(H138/D138-1,"")))</f>
        <v/>
      </c>
    </row>
    <row r="140">
      <c r="A140" s="18" t="inlineStr">
        <is>
          <t>부문 · 합계</t>
        </is>
      </c>
      <c r="C140" s="20" t="n">
        <v>12432</v>
      </c>
      <c r="D140" s="20" t="n">
        <v>14905</v>
      </c>
      <c r="F140" s="20" t="n">
        <v>14261</v>
      </c>
      <c r="G140" s="20" t="n">
        <v>17245</v>
      </c>
      <c r="H140" s="20" t="n">
        <v>23563</v>
      </c>
    </row>
    <row r="141">
      <c r="A141" s="43" t="inlineStr">
        <is>
          <t>YoY</t>
        </is>
      </c>
      <c r="B141" s="3" t="inlineStr">
        <is>
          <t>전년 같은 분기·전년 대비</t>
        </is>
      </c>
      <c r="G141" s="15">
        <f>IF(OR(G140="",C140=""),"",IF(C140&lt;=0,"",IFERROR(G140/C140-1,"")))</f>
        <v/>
      </c>
      <c r="H141" s="15">
        <f>IF(OR(H140="",D140=""),"",IF(D140&lt;=0,"",IFERROR(H140/D140-1,"")))</f>
        <v/>
      </c>
    </row>
    <row r="142">
      <c r="A142" s="18" t="inlineStr">
        <is>
          <t>테스트시스템 사업 · 합계</t>
        </is>
      </c>
      <c r="H142" s="20" t="n">
        <v>194084</v>
      </c>
      <c r="I142" s="20" t="n">
        <v>204160</v>
      </c>
      <c r="L142" s="20" t="n">
        <v>245108</v>
      </c>
      <c r="M142" s="20" t="n">
        <v>296325</v>
      </c>
      <c r="W142" s="20" t="n">
        <v>204160</v>
      </c>
      <c r="X142" s="20" t="n">
        <v>296325</v>
      </c>
    </row>
    <row r="143">
      <c r="A143" s="43" t="inlineStr">
        <is>
          <t>YoY</t>
        </is>
      </c>
      <c r="B143" s="3" t="inlineStr">
        <is>
          <t>전년 같은 분기·전년 대비</t>
        </is>
      </c>
      <c r="H143" s="15">
        <f>IF(OR(H142="",D142=""),"",IF(D142&lt;=0,"",IFERROR(H142/D142-1,"")))</f>
        <v/>
      </c>
      <c r="I143" s="15">
        <f>IF(OR(I142="",E142=""),"",IF(E142&lt;=0,"",IFERROR(I142/E142-1,"")))</f>
        <v/>
      </c>
      <c r="L143" s="15">
        <f>IF(OR(L142="",H142=""),"",IF(H142&lt;=0,"",IFERROR(L142/H142-1,"")))</f>
        <v/>
      </c>
      <c r="M143" s="15">
        <f>IF(OR(M142="",I142=""),"",IF(I142&lt;=0,"",IFERROR(M142/I142-1,"")))</f>
        <v/>
      </c>
      <c r="W143" s="15">
        <f>IF(OR(W142="",V142=""),"",IF(V142&lt;=0,"",IFERROR(W142/V142-1,"")))</f>
        <v/>
      </c>
      <c r="X143" s="15">
        <f>IF(OR(X142="",W142=""),"",IF(W142&lt;=0,"",IFERROR(X142/W142-1,"")))</f>
        <v/>
      </c>
    </row>
    <row r="144">
      <c r="A144" s="18" t="inlineStr">
        <is>
          <t>부문 · 합계</t>
        </is>
      </c>
      <c r="C144" s="20" t="n">
        <v>22658</v>
      </c>
      <c r="D144" s="20" t="n">
        <v>30008</v>
      </c>
      <c r="F144" s="20" t="n">
        <v>23356</v>
      </c>
      <c r="G144" s="20" t="n">
        <v>21275</v>
      </c>
      <c r="H144" s="20" t="n">
        <v>24068</v>
      </c>
      <c r="I144" s="20" t="n">
        <v>28189</v>
      </c>
      <c r="L144" s="20" t="n">
        <v>28706</v>
      </c>
      <c r="M144" s="20" t="n">
        <v>31748</v>
      </c>
      <c r="W144" s="20" t="n">
        <v>28189</v>
      </c>
      <c r="X144" s="20" t="n">
        <v>31748</v>
      </c>
    </row>
    <row r="145">
      <c r="A145" s="43" t="inlineStr">
        <is>
          <t>YoY</t>
        </is>
      </c>
      <c r="B145" s="3" t="inlineStr">
        <is>
          <t>전년 같은 분기·전년 대비</t>
        </is>
      </c>
      <c r="G145" s="15">
        <f>IF(OR(G144="",C144=""),"",IF(C144&lt;=0,"",IFERROR(G144/C144-1,"")))</f>
        <v/>
      </c>
      <c r="H145" s="15">
        <f>IF(OR(H144="",D144=""),"",IF(D144&lt;=0,"",IFERROR(H144/D144-1,"")))</f>
        <v/>
      </c>
      <c r="I145" s="15">
        <f>IF(OR(I144="",E144=""),"",IF(E144&lt;=0,"",IFERROR(I144/E144-1,"")))</f>
        <v/>
      </c>
      <c r="L145" s="15">
        <f>IF(OR(L144="",H144=""),"",IF(H144&lt;=0,"",IFERROR(L144/H144-1,"")))</f>
        <v/>
      </c>
      <c r="M145" s="15">
        <f>IF(OR(M144="",I144=""),"",IF(I144&lt;=0,"",IFERROR(M144/I144-1,"")))</f>
        <v/>
      </c>
      <c r="W145" s="15">
        <f>IF(OR(W144="",V144=""),"",IF(V144&lt;=0,"",IFERROR(W144/V144-1,"")))</f>
        <v/>
      </c>
      <c r="X145" s="15">
        <f>IF(OR(X144="",W144=""),"",IF(W144&lt;=0,"",IFERROR(X144/W144-1,"")))</f>
        <v/>
      </c>
    </row>
    <row r="146">
      <c r="A146" s="18" t="inlineStr">
        <is>
          <t>테스트시스템 사업 · 합계</t>
        </is>
      </c>
      <c r="F146" s="20" t="n">
        <v>117286</v>
      </c>
      <c r="J146" s="20" t="n">
        <v>240554</v>
      </c>
      <c r="N146" s="20" t="n">
        <v>333562</v>
      </c>
    </row>
    <row r="147">
      <c r="A147" s="43" t="inlineStr">
        <is>
          <t>YoY</t>
        </is>
      </c>
      <c r="B147" s="3" t="inlineStr">
        <is>
          <t>전년 같은 분기·전년 대비</t>
        </is>
      </c>
      <c r="J147" s="15">
        <f>IF(OR(J146="",F146=""),"",IF(F146&lt;=0,"",IFERROR(J146/F146-1,"")))</f>
        <v/>
      </c>
      <c r="N147" s="15">
        <f>IF(OR(N146="",J146=""),"",IF(J146&lt;=0,"",IFERROR(N146/J146-1,"")))</f>
        <v/>
      </c>
    </row>
    <row r="148">
      <c r="A148" s="18" t="inlineStr">
        <is>
          <t>부문 · 합계</t>
        </is>
      </c>
      <c r="F148" s="20" t="n">
        <v>21439</v>
      </c>
      <c r="J148" s="20" t="n">
        <v>23222</v>
      </c>
      <c r="N148" s="20" t="n">
        <v>33911</v>
      </c>
    </row>
    <row r="149">
      <c r="A149" s="43" t="inlineStr">
        <is>
          <t>YoY</t>
        </is>
      </c>
      <c r="B149" s="3" t="inlineStr">
        <is>
          <t>전년 같은 분기·전년 대비</t>
        </is>
      </c>
      <c r="J149" s="15">
        <f>IF(OR(J148="",F148=""),"",IF(F148&lt;=0,"",IFERROR(J148/F148-1,"")))</f>
        <v/>
      </c>
      <c r="N149" s="15">
        <f>IF(OR(N148="",J148=""),"",IF(J148&lt;=0,"",IFERROR(N148/J148-1,"")))</f>
        <v/>
      </c>
    </row>
    <row r="150">
      <c r="A150" s="18" t="inlineStr">
        <is>
          <t>조정액 · 합계</t>
        </is>
      </c>
      <c r="C150" s="20" t="n">
        <v>0</v>
      </c>
      <c r="D150" s="20" t="n">
        <v>0</v>
      </c>
      <c r="F150" s="20" t="n">
        <v>0</v>
      </c>
      <c r="G150" s="20" t="n">
        <v>0</v>
      </c>
      <c r="H150" s="20" t="n">
        <v>0</v>
      </c>
      <c r="I150" s="20" t="n">
        <v>0</v>
      </c>
      <c r="J150" s="20" t="n">
        <v>0</v>
      </c>
      <c r="K150" s="20" t="n">
        <v>0</v>
      </c>
      <c r="L150" s="20" t="n">
        <v>-10</v>
      </c>
      <c r="M150" s="20" t="n">
        <v>0</v>
      </c>
      <c r="N150" s="20" t="n">
        <v>0</v>
      </c>
      <c r="W150" s="20" t="n">
        <v>0</v>
      </c>
      <c r="X150" s="20" t="n">
        <v>0</v>
      </c>
    </row>
    <row r="151">
      <c r="A151" s="9" t="inlineStr">
        <is>
          <t>합계</t>
        </is>
      </c>
      <c r="C151" s="12" t="n">
        <v>116260</v>
      </c>
      <c r="D151" s="12" t="n">
        <v>133233</v>
      </c>
      <c r="F151" s="12" t="n">
        <v>138725</v>
      </c>
      <c r="G151" s="12" t="n">
        <v>190481</v>
      </c>
      <c r="H151" s="12" t="n">
        <v>218152</v>
      </c>
      <c r="I151" s="12" t="n">
        <v>232349</v>
      </c>
      <c r="J151" s="12" t="n">
        <v>263776</v>
      </c>
      <c r="K151" s="12" t="n">
        <v>262957</v>
      </c>
      <c r="L151" s="12" t="n">
        <v>273804</v>
      </c>
      <c r="M151" s="12" t="n">
        <v>328073</v>
      </c>
      <c r="N151" s="12" t="n">
        <v>367473</v>
      </c>
      <c r="W151" s="12" t="n">
        <v>232349</v>
      </c>
      <c r="X151" s="12" t="n">
        <v>328073</v>
      </c>
    </row>
    <row r="152">
      <c r="A152" s="43" t="inlineStr">
        <is>
          <t>YoY</t>
        </is>
      </c>
      <c r="B152" s="3" t="inlineStr">
        <is>
          <t>전년 같은 분기·전년 대비</t>
        </is>
      </c>
      <c r="G152" s="15">
        <f>IF(OR(G151="",C151=""),"",IF(C151&lt;=0,"",IFERROR(G151/C151-1,"")))</f>
        <v/>
      </c>
      <c r="H152" s="15">
        <f>IF(OR(H151="",D151=""),"",IF(D151&lt;=0,"",IFERROR(H151/D151-1,"")))</f>
        <v/>
      </c>
      <c r="I152" s="15">
        <f>IF(OR(I151="",E151=""),"",IF(E151&lt;=0,"",IFERROR(I151/E151-1,"")))</f>
        <v/>
      </c>
      <c r="J152" s="15">
        <f>IF(OR(J151="",F151=""),"",IF(F151&lt;=0,"",IFERROR(J151/F151-1,"")))</f>
        <v/>
      </c>
      <c r="K152" s="15">
        <f>IF(OR(K151="",G151=""),"",IF(G151&lt;=0,"",IFERROR(K151/G151-1,"")))</f>
        <v/>
      </c>
      <c r="L152" s="15">
        <f>IF(OR(L151="",H151=""),"",IF(H151&lt;=0,"",IFERROR(L151/H151-1,"")))</f>
        <v/>
      </c>
      <c r="M152" s="15">
        <f>IF(OR(M151="",I151=""),"",IF(I151&lt;=0,"",IFERROR(M151/I151-1,"")))</f>
        <v/>
      </c>
      <c r="N152" s="15">
        <f>IF(OR(N151="",J151=""),"",IF(J151&lt;=0,"",IFERROR(N151/J151-1,"")))</f>
        <v/>
      </c>
      <c r="W152" s="15">
        <f>IF(OR(W151="",V151=""),"",IF(V151&lt;=0,"",IFERROR(W151/V151-1,"")))</f>
        <v/>
      </c>
      <c r="X152" s="15">
        <f>IF(OR(X151="",W151=""),"",IF(W151&lt;=0,"",IFERROR(X151/W151-1,"")))</f>
        <v/>
      </c>
    </row>
    <row r="153">
      <c r="A153" s="18" t="inlineStr">
        <is>
          <t>부문 · Segment Profit Loss</t>
        </is>
      </c>
      <c r="C153" s="20" t="n">
        <v>21236</v>
      </c>
      <c r="D153" s="20" t="n">
        <v>25682</v>
      </c>
      <c r="F153" s="20" t="n">
        <v>32511</v>
      </c>
      <c r="G153" s="20" t="n">
        <v>62212</v>
      </c>
      <c r="H153" s="20" t="n">
        <v>66025</v>
      </c>
    </row>
    <row r="154">
      <c r="A154" s="43" t="inlineStr">
        <is>
          <t>OPM</t>
        </is>
      </c>
      <c r="B154" s="3" t="inlineStr">
        <is>
          <t>영업이익 ÷ 매출</t>
        </is>
      </c>
      <c r="C154" s="15">
        <f>IF(OR(C153="",C138=""),"",IF(C138&lt;=0,"",IFERROR(C153/C138,"")))</f>
        <v/>
      </c>
      <c r="D154" s="15">
        <f>IF(OR(D153="",D138=""),"",IF(D138&lt;=0,"",IFERROR(D153/D138,"")))</f>
        <v/>
      </c>
      <c r="F154" s="15">
        <f>IF(OR(F153="",F138=""),"",IF(F138&lt;=0,"",IFERROR(F153/F138,"")))</f>
        <v/>
      </c>
      <c r="G154" s="15">
        <f>IF(OR(G153="",G138=""),"",IF(G138&lt;=0,"",IFERROR(G153/G138,"")))</f>
        <v/>
      </c>
      <c r="H154" s="15">
        <f>IF(OR(H153="",H138=""),"",IF(H138&lt;=0,"",IFERROR(H153/H138,"")))</f>
        <v/>
      </c>
    </row>
    <row r="155">
      <c r="A155" s="43" t="inlineStr">
        <is>
          <t>YoY</t>
        </is>
      </c>
      <c r="B155" s="3" t="inlineStr">
        <is>
          <t>전년 같은 분기·전년 대비</t>
        </is>
      </c>
      <c r="G155" s="15">
        <f>IF(OR(G153="",C153=""),"",IF(C153&lt;=0,"",IFERROR(G153/C153-1,"")))</f>
        <v/>
      </c>
      <c r="H155" s="15">
        <f>IF(OR(H153="",D153=""),"",IF(D153&lt;=0,"",IFERROR(H153/D153-1,"")))</f>
        <v/>
      </c>
    </row>
    <row r="156">
      <c r="A156" s="18" t="inlineStr">
        <is>
          <t>부문 · Segment Profit Loss</t>
        </is>
      </c>
      <c r="C156" s="20" t="n">
        <v>1716</v>
      </c>
      <c r="D156" s="20" t="n">
        <v>3159</v>
      </c>
      <c r="F156" s="20" t="n">
        <v>2467</v>
      </c>
      <c r="G156" s="20" t="n">
        <v>3798</v>
      </c>
      <c r="H156" s="20" t="n">
        <v>7045</v>
      </c>
    </row>
    <row r="157">
      <c r="A157" s="43" t="inlineStr">
        <is>
          <t>OPM</t>
        </is>
      </c>
      <c r="B157" s="3" t="inlineStr">
        <is>
          <t>영업이익 ÷ 매출</t>
        </is>
      </c>
      <c r="C157" s="15">
        <f>IF(OR(C156="",C140=""),"",IF(C140&lt;=0,"",IFERROR(C156/C140,"")))</f>
        <v/>
      </c>
      <c r="D157" s="15">
        <f>IF(OR(D156="",D140=""),"",IF(D140&lt;=0,"",IFERROR(D156/D140,"")))</f>
        <v/>
      </c>
      <c r="F157" s="15">
        <f>IF(OR(F156="",F140=""),"",IF(F140&lt;=0,"",IFERROR(F156/F140,"")))</f>
        <v/>
      </c>
      <c r="G157" s="15">
        <f>IF(OR(G156="",G140=""),"",IF(G140&lt;=0,"",IFERROR(G156/G140,"")))</f>
        <v/>
      </c>
      <c r="H157" s="15">
        <f>IF(OR(H156="",H140=""),"",IF(H140&lt;=0,"",IFERROR(H156/H140,"")))</f>
        <v/>
      </c>
    </row>
    <row r="158">
      <c r="A158" s="43" t="inlineStr">
        <is>
          <t>YoY</t>
        </is>
      </c>
      <c r="B158" s="3" t="inlineStr">
        <is>
          <t>전년 같은 분기·전년 대비</t>
        </is>
      </c>
      <c r="G158" s="15">
        <f>IF(OR(G156="",C156=""),"",IF(C156&lt;=0,"",IFERROR(G156/C156-1,"")))</f>
        <v/>
      </c>
      <c r="H158" s="15">
        <f>IF(OR(H156="",D156=""),"",IF(D156&lt;=0,"",IFERROR(H156/D156-1,"")))</f>
        <v/>
      </c>
    </row>
    <row r="159">
      <c r="A159" s="18" t="inlineStr">
        <is>
          <t>테스트시스템 사업 · Segment Profit Loss</t>
        </is>
      </c>
      <c r="H159" s="20" t="n">
        <v>73704</v>
      </c>
      <c r="I159" s="20" t="n">
        <v>86108</v>
      </c>
      <c r="L159" s="20" t="n">
        <v>117144</v>
      </c>
      <c r="M159" s="20" t="n">
        <v>161060</v>
      </c>
      <c r="W159" s="20" t="n">
        <v>86108</v>
      </c>
      <c r="X159" s="20" t="n">
        <v>161060</v>
      </c>
    </row>
    <row r="160">
      <c r="A160" s="43" t="inlineStr">
        <is>
          <t>OPM</t>
        </is>
      </c>
      <c r="B160" s="3" t="inlineStr">
        <is>
          <t>영업이익 ÷ 매출</t>
        </is>
      </c>
      <c r="H160" s="15">
        <f>IF(OR(H159="",H142=""),"",IF(H142&lt;=0,"",IFERROR(H159/H142,"")))</f>
        <v/>
      </c>
      <c r="I160" s="15">
        <f>IF(OR(I159="",I142=""),"",IF(I142&lt;=0,"",IFERROR(I159/I142,"")))</f>
        <v/>
      </c>
      <c r="L160" s="15">
        <f>IF(OR(L159="",L142=""),"",IF(L142&lt;=0,"",IFERROR(L159/L142,"")))</f>
        <v/>
      </c>
      <c r="M160" s="15">
        <f>IF(OR(M159="",M142=""),"",IF(M142&lt;=0,"",IFERROR(M159/M142,"")))</f>
        <v/>
      </c>
      <c r="W160" s="15">
        <f>IF(OR(W159="",W142=""),"",IF(W142&lt;=0,"",IFERROR(W159/W142,"")))</f>
        <v/>
      </c>
      <c r="X160" s="15">
        <f>IF(OR(X159="",X142=""),"",IF(X142&lt;=0,"",IFERROR(X159/X142,"")))</f>
        <v/>
      </c>
    </row>
    <row r="161">
      <c r="A161" s="43" t="inlineStr">
        <is>
          <t>YoY</t>
        </is>
      </c>
      <c r="B161" s="3" t="inlineStr">
        <is>
          <t>전년 같은 분기·전년 대비</t>
        </is>
      </c>
      <c r="H161" s="15">
        <f>IF(OR(H159="",D159=""),"",IF(D159&lt;=0,"",IFERROR(H159/D159-1,"")))</f>
        <v/>
      </c>
      <c r="I161" s="15">
        <f>IF(OR(I159="",E159=""),"",IF(E159&lt;=0,"",IFERROR(I159/E159-1,"")))</f>
        <v/>
      </c>
      <c r="L161" s="15">
        <f>IF(OR(L159="",H159=""),"",IF(H159&lt;=0,"",IFERROR(L159/H159-1,"")))</f>
        <v/>
      </c>
      <c r="M161" s="15">
        <f>IF(OR(M159="",I159=""),"",IF(I159&lt;=0,"",IFERROR(M159/I159-1,"")))</f>
        <v/>
      </c>
      <c r="W161" s="15">
        <f>IF(OR(W159="",V159=""),"",IF(V159&lt;=0,"",IFERROR(W159/V159-1,"")))</f>
        <v/>
      </c>
      <c r="X161" s="15">
        <f>IF(OR(X159="",W159=""),"",IF(W159&lt;=0,"",IFERROR(X159/W159-1,"")))</f>
        <v/>
      </c>
    </row>
    <row r="162">
      <c r="A162" s="18" t="inlineStr">
        <is>
          <t>부문 · Segment Profit Loss</t>
        </is>
      </c>
      <c r="C162" s="20" t="n">
        <v>2488</v>
      </c>
      <c r="D162" s="20" t="n">
        <v>2442</v>
      </c>
      <c r="F162" s="20" t="n">
        <v>1367</v>
      </c>
      <c r="G162" s="20" t="n">
        <v>-763</v>
      </c>
      <c r="H162" s="20" t="n">
        <v>-139</v>
      </c>
      <c r="I162" s="20" t="n">
        <v>-16590</v>
      </c>
      <c r="L162" s="20" t="n">
        <v>1703</v>
      </c>
      <c r="M162" s="20" t="n">
        <v>4007</v>
      </c>
      <c r="W162" s="20" t="n">
        <v>-16590</v>
      </c>
      <c r="X162" s="20" t="n">
        <v>4007</v>
      </c>
    </row>
    <row r="163">
      <c r="A163" s="43" t="inlineStr">
        <is>
          <t>OPM</t>
        </is>
      </c>
      <c r="B163" s="3" t="inlineStr">
        <is>
          <t>영업이익 ÷ 매출</t>
        </is>
      </c>
      <c r="C163" s="15">
        <f>IF(OR(C162="",C144=""),"",IF(C144&lt;=0,"",IFERROR(C162/C144,"")))</f>
        <v/>
      </c>
      <c r="D163" s="15">
        <f>IF(OR(D162="",D144=""),"",IF(D144&lt;=0,"",IFERROR(D162/D144,"")))</f>
        <v/>
      </c>
      <c r="F163" s="15">
        <f>IF(OR(F162="",F144=""),"",IF(F144&lt;=0,"",IFERROR(F162/F144,"")))</f>
        <v/>
      </c>
      <c r="G163" s="15">
        <f>IF(OR(G162="",G144=""),"",IF(G144&lt;=0,"",IFERROR(G162/G144,"")))</f>
        <v/>
      </c>
      <c r="H163" s="15">
        <f>IF(OR(H162="",H144=""),"",IF(H144&lt;=0,"",IFERROR(H162/H144,"")))</f>
        <v/>
      </c>
      <c r="I163" s="15">
        <f>IF(OR(I162="",I144=""),"",IF(I144&lt;=0,"",IFERROR(I162/I144,"")))</f>
        <v/>
      </c>
      <c r="L163" s="15">
        <f>IF(OR(L162="",L144=""),"",IF(L144&lt;=0,"",IFERROR(L162/L144,"")))</f>
        <v/>
      </c>
      <c r="M163" s="15">
        <f>IF(OR(M162="",M144=""),"",IF(M144&lt;=0,"",IFERROR(M162/M144,"")))</f>
        <v/>
      </c>
      <c r="W163" s="15">
        <f>IF(OR(W162="",W144=""),"",IF(W144&lt;=0,"",IFERROR(W162/W144,"")))</f>
        <v/>
      </c>
      <c r="X163" s="15">
        <f>IF(OR(X162="",X144=""),"",IF(X144&lt;=0,"",IFERROR(X162/X144,"")))</f>
        <v/>
      </c>
    </row>
    <row r="164">
      <c r="A164" s="43" t="inlineStr">
        <is>
          <t>YoY</t>
        </is>
      </c>
      <c r="B164" s="3" t="inlineStr">
        <is>
          <t>전년 같은 분기·전년 대비</t>
        </is>
      </c>
      <c r="G164" s="15">
        <f>IF(OR(G162="",C162=""),"",IF(C162&lt;=0,"",IFERROR(G162/C162-1,"")))</f>
        <v/>
      </c>
      <c r="H164" s="15">
        <f>IF(OR(H162="",D162=""),"",IF(D162&lt;=0,"",IFERROR(H162/D162-1,"")))</f>
        <v/>
      </c>
      <c r="I164" s="15">
        <f>IF(OR(I162="",E162=""),"",IF(E162&lt;=0,"",IFERROR(I162/E162-1,"")))</f>
        <v/>
      </c>
      <c r="L164" s="15">
        <f>IF(OR(L162="",H162=""),"",IF(H162&lt;=0,"",IFERROR(L162/H162-1,"")))</f>
        <v/>
      </c>
      <c r="M164" s="15">
        <f>IF(OR(M162="",I162=""),"",IF(I162&lt;=0,"",IFERROR(M162/I162-1,"")))</f>
        <v/>
      </c>
      <c r="W164" s="15">
        <f>IF(OR(W162="",V162=""),"",IF(V162&lt;=0,"",IFERROR(W162/V162-1,"")))</f>
        <v/>
      </c>
      <c r="X164" s="15">
        <f>IF(OR(X162="",W162=""),"",IF(W162&lt;=0,"",IFERROR(X162/W162-1,"")))</f>
        <v/>
      </c>
    </row>
    <row r="165">
      <c r="A165" s="18" t="inlineStr">
        <is>
          <t>테스트시스템 사업 · Segment Profit Loss</t>
        </is>
      </c>
      <c r="F165" s="20" t="n">
        <v>35231</v>
      </c>
      <c r="J165" s="20" t="n">
        <v>126925</v>
      </c>
      <c r="N165" s="20" t="n">
        <v>190722</v>
      </c>
    </row>
    <row r="166">
      <c r="A166" s="43" t="inlineStr">
        <is>
          <t>OPM</t>
        </is>
      </c>
      <c r="B166" s="3" t="inlineStr">
        <is>
          <t>영업이익 ÷ 매출</t>
        </is>
      </c>
      <c r="F166" s="15">
        <f>IF(OR(F165="",F146=""),"",IF(F146&lt;=0,"",IFERROR(F165/F146,"")))</f>
        <v/>
      </c>
      <c r="J166" s="15">
        <f>IF(OR(J165="",J146=""),"",IF(J146&lt;=0,"",IFERROR(J165/J146,"")))</f>
        <v/>
      </c>
      <c r="N166" s="15">
        <f>IF(OR(N165="",N146=""),"",IF(N146&lt;=0,"",IFERROR(N165/N146,"")))</f>
        <v/>
      </c>
    </row>
    <row r="167">
      <c r="A167" s="43" t="inlineStr">
        <is>
          <t>YoY</t>
        </is>
      </c>
      <c r="B167" s="3" t="inlineStr">
        <is>
          <t>전년 같은 분기·전년 대비</t>
        </is>
      </c>
      <c r="J167" s="15">
        <f>IF(OR(J165="",F165=""),"",IF(F165&lt;=0,"",IFERROR(J165/F165-1,"")))</f>
        <v/>
      </c>
      <c r="N167" s="15">
        <f>IF(OR(N165="",J165=""),"",IF(J165&lt;=0,"",IFERROR(N165/J165-1,"")))</f>
        <v/>
      </c>
    </row>
    <row r="168">
      <c r="A168" s="18" t="inlineStr">
        <is>
          <t>부문 · Segment Profit Loss</t>
        </is>
      </c>
      <c r="F168" s="20" t="n">
        <v>307</v>
      </c>
      <c r="J168" s="20" t="n">
        <v>2706</v>
      </c>
      <c r="N168" s="20" t="n">
        <v>8563</v>
      </c>
    </row>
    <row r="169">
      <c r="A169" s="43" t="inlineStr">
        <is>
          <t>OPM</t>
        </is>
      </c>
      <c r="B169" s="3" t="inlineStr">
        <is>
          <t>영업이익 ÷ 매출</t>
        </is>
      </c>
      <c r="F169" s="15">
        <f>IF(OR(F168="",F148=""),"",IF(F148&lt;=0,"",IFERROR(F168/F148,"")))</f>
        <v/>
      </c>
      <c r="J169" s="15">
        <f>IF(OR(J168="",J148=""),"",IF(J148&lt;=0,"",IFERROR(J168/J148,"")))</f>
        <v/>
      </c>
      <c r="N169" s="15">
        <f>IF(OR(N168="",N148=""),"",IF(N148&lt;=0,"",IFERROR(N168/N148,"")))</f>
        <v/>
      </c>
    </row>
    <row r="170">
      <c r="A170" s="43" t="inlineStr">
        <is>
          <t>YoY</t>
        </is>
      </c>
      <c r="B170" s="3" t="inlineStr">
        <is>
          <t>전년 같은 분기·전년 대비</t>
        </is>
      </c>
      <c r="J170" s="15">
        <f>IF(OR(J168="",F168=""),"",IF(F168&lt;=0,"",IFERROR(J168/F168-1,"")))</f>
        <v/>
      </c>
      <c r="N170" s="15">
        <f>IF(OR(N168="",J168=""),"",IF(J168&lt;=0,"",IFERROR(N168/J168-1,"")))</f>
        <v/>
      </c>
    </row>
    <row r="171">
      <c r="A171" s="18" t="inlineStr">
        <is>
          <t>조정액 · Segment Profit Loss</t>
        </is>
      </c>
      <c r="C171" s="20" t="n">
        <v>-4046</v>
      </c>
      <c r="D171" s="20" t="n">
        <v>-4061</v>
      </c>
      <c r="F171" s="20" t="n">
        <v>-3707</v>
      </c>
      <c r="G171" s="20" t="n">
        <v>-3087</v>
      </c>
      <c r="H171" s="20" t="n">
        <v>-3555</v>
      </c>
      <c r="I171" s="20" t="n">
        <v>-4592</v>
      </c>
      <c r="J171" s="20" t="n">
        <v>-4616</v>
      </c>
      <c r="K171" s="20" t="n">
        <v>-4436</v>
      </c>
      <c r="L171" s="20" t="n">
        <v>-4112</v>
      </c>
      <c r="M171" s="20" t="n">
        <v>-10784</v>
      </c>
      <c r="N171" s="20" t="n">
        <v>-7944</v>
      </c>
      <c r="W171" s="20" t="n">
        <v>-4592</v>
      </c>
      <c r="X171" s="20" t="n">
        <v>-10784</v>
      </c>
    </row>
    <row r="172">
      <c r="A172" s="18" t="inlineStr">
        <is>
          <t>Segment Profit Loss</t>
        </is>
      </c>
      <c r="C172" s="20" t="n">
        <v>21394</v>
      </c>
      <c r="D172" s="20" t="n">
        <v>27222</v>
      </c>
      <c r="F172" s="20" t="n">
        <v>31831</v>
      </c>
      <c r="G172" s="20" t="n">
        <v>64287</v>
      </c>
      <c r="H172" s="20" t="n">
        <v>70010</v>
      </c>
      <c r="I172" s="20" t="n">
        <v>64926</v>
      </c>
      <c r="J172" s="20" t="n">
        <v>125015</v>
      </c>
      <c r="K172" s="20" t="n">
        <v>109537</v>
      </c>
      <c r="L172" s="20" t="n">
        <v>114735</v>
      </c>
      <c r="M172" s="20" t="n">
        <v>154283</v>
      </c>
      <c r="N172" s="20" t="n">
        <v>191341</v>
      </c>
      <c r="W172" s="20" t="n">
        <v>64926</v>
      </c>
      <c r="X172" s="20" t="n">
        <v>154283</v>
      </c>
    </row>
    <row r="173">
      <c r="A173" s="18" t="inlineStr">
        <is>
          <t>부문 · Adjustment Share Based Compensation Expense</t>
        </is>
      </c>
      <c r="C173" s="20" t="n">
        <v>0</v>
      </c>
      <c r="D173" s="20" t="n">
        <v>0</v>
      </c>
      <c r="F173" s="20" t="n">
        <v>0</v>
      </c>
      <c r="G173" s="20" t="n">
        <v>0</v>
      </c>
      <c r="H173" s="20" t="n">
        <v>0</v>
      </c>
    </row>
    <row r="174">
      <c r="A174" s="18" t="inlineStr">
        <is>
          <t>부문 · Adjustment Share Based Compensation Expense</t>
        </is>
      </c>
      <c r="C174" s="20" t="n">
        <v>0</v>
      </c>
      <c r="D174" s="20" t="n">
        <v>0</v>
      </c>
      <c r="F174" s="20" t="n">
        <v>0</v>
      </c>
      <c r="G174" s="20" t="n">
        <v>0</v>
      </c>
      <c r="H174" s="20" t="n">
        <v>0</v>
      </c>
    </row>
    <row r="175">
      <c r="A175" s="18" t="inlineStr">
        <is>
          <t>테스트시스템 사업 · Adjustment Share Based Compensation Expense</t>
        </is>
      </c>
      <c r="H175" s="20" t="n">
        <v>0</v>
      </c>
      <c r="I175" s="20" t="n">
        <v>0</v>
      </c>
      <c r="L175" s="20" t="n">
        <v>0</v>
      </c>
      <c r="M175" s="20" t="n">
        <v>0</v>
      </c>
      <c r="W175" s="20" t="n">
        <v>0</v>
      </c>
      <c r="X175" s="20" t="n">
        <v>0</v>
      </c>
    </row>
    <row r="176">
      <c r="A176" s="18" t="inlineStr">
        <is>
          <t>부문 · Adjustment Share Based Compensation Expense</t>
        </is>
      </c>
      <c r="C176" s="20" t="n">
        <v>0</v>
      </c>
      <c r="D176" s="20" t="n">
        <v>0</v>
      </c>
      <c r="F176" s="20" t="n">
        <v>0</v>
      </c>
      <c r="G176" s="20" t="n">
        <v>0</v>
      </c>
      <c r="H176" s="20" t="n">
        <v>0</v>
      </c>
      <c r="I176" s="20" t="n">
        <v>0</v>
      </c>
      <c r="L176" s="20" t="n">
        <v>0</v>
      </c>
      <c r="M176" s="20" t="n">
        <v>0</v>
      </c>
      <c r="W176" s="20" t="n">
        <v>0</v>
      </c>
      <c r="X176" s="20" t="n">
        <v>0</v>
      </c>
    </row>
    <row r="177">
      <c r="A177" s="18" t="inlineStr">
        <is>
          <t>테스트시스템 사업 · Adjustment Share Based Compensation Expense</t>
        </is>
      </c>
      <c r="F177" s="20" t="n">
        <v>0</v>
      </c>
      <c r="J177" s="20" t="n">
        <v>0</v>
      </c>
      <c r="N177" s="20" t="n">
        <v>0</v>
      </c>
    </row>
    <row r="178">
      <c r="A178" s="18" t="inlineStr">
        <is>
          <t>부문 · Adjustment Share Based Compensation Expense</t>
        </is>
      </c>
      <c r="F178" s="20" t="n">
        <v>0</v>
      </c>
      <c r="J178" s="20" t="n">
        <v>0</v>
      </c>
      <c r="N178" s="20" t="n">
        <v>0</v>
      </c>
    </row>
    <row r="179">
      <c r="A179" s="18" t="inlineStr">
        <is>
          <t>조정액 · Adjustment Share Based Compensation Expense</t>
        </is>
      </c>
      <c r="C179" s="20" t="n">
        <v>0</v>
      </c>
      <c r="D179" s="20" t="n">
        <v>0</v>
      </c>
      <c r="F179" s="20" t="n">
        <v>0</v>
      </c>
      <c r="G179" s="20" t="n">
        <v>0</v>
      </c>
      <c r="H179" s="20" t="n">
        <v>0</v>
      </c>
      <c r="I179" s="20" t="n">
        <v>0</v>
      </c>
      <c r="J179" s="20" t="n">
        <v>0</v>
      </c>
      <c r="K179" s="20" t="n">
        <v>0</v>
      </c>
      <c r="L179" s="20" t="n">
        <v>0</v>
      </c>
      <c r="M179" s="20" t="n">
        <v>0</v>
      </c>
      <c r="N179" s="20" t="n">
        <v>0</v>
      </c>
      <c r="W179" s="20" t="n">
        <v>0</v>
      </c>
      <c r="X179" s="20" t="n">
        <v>0</v>
      </c>
    </row>
    <row r="180">
      <c r="A180" s="18" t="inlineStr">
        <is>
          <t>Adjustment Share Based Compensation Expense</t>
        </is>
      </c>
      <c r="C180" s="20" t="n">
        <v>394</v>
      </c>
      <c r="D180" s="20" t="n">
        <v>392</v>
      </c>
      <c r="F180" s="20" t="n">
        <v>506</v>
      </c>
      <c r="G180" s="20" t="n">
        <v>753</v>
      </c>
      <c r="H180" s="20" t="n">
        <v>743</v>
      </c>
      <c r="I180" s="20" t="n">
        <v>891</v>
      </c>
      <c r="J180" s="20" t="n">
        <v>1063</v>
      </c>
      <c r="K180" s="20" t="n">
        <v>1054</v>
      </c>
      <c r="L180" s="20" t="n">
        <v>1164</v>
      </c>
      <c r="M180" s="20" t="n">
        <v>1169</v>
      </c>
      <c r="N180" s="20" t="n">
        <v>1351</v>
      </c>
      <c r="W180" s="20" t="n">
        <v>891</v>
      </c>
      <c r="X180" s="20" t="n">
        <v>1169</v>
      </c>
    </row>
    <row r="181">
      <c r="A181" s="18" t="inlineStr">
        <is>
          <t>부문 · 영업이익</t>
        </is>
      </c>
      <c r="C181" s="20" t="n">
        <v>0</v>
      </c>
      <c r="D181" s="20" t="n">
        <v>0</v>
      </c>
      <c r="F181" s="20" t="n">
        <v>0</v>
      </c>
      <c r="G181" s="20" t="n">
        <v>0</v>
      </c>
      <c r="H181" s="20" t="n">
        <v>0</v>
      </c>
    </row>
    <row r="182">
      <c r="A182" s="43" t="inlineStr">
        <is>
          <t>OPM</t>
        </is>
      </c>
      <c r="B182" s="3" t="inlineStr">
        <is>
          <t>영업이익 ÷ 매출</t>
        </is>
      </c>
      <c r="C182" s="15">
        <f>IF(OR(C181="",C138=""),"",IF(C138&lt;=0,"",IFERROR(C181/C138,"")))</f>
        <v/>
      </c>
      <c r="D182" s="15">
        <f>IF(OR(D181="",D138=""),"",IF(D138&lt;=0,"",IFERROR(D181/D138,"")))</f>
        <v/>
      </c>
      <c r="F182" s="15">
        <f>IF(OR(F181="",F138=""),"",IF(F138&lt;=0,"",IFERROR(F181/F138,"")))</f>
        <v/>
      </c>
      <c r="G182" s="15">
        <f>IF(OR(G181="",G138=""),"",IF(G138&lt;=0,"",IFERROR(G181/G138,"")))</f>
        <v/>
      </c>
      <c r="H182" s="15">
        <f>IF(OR(H181="",H138=""),"",IF(H138&lt;=0,"",IFERROR(H181/H138,"")))</f>
        <v/>
      </c>
    </row>
    <row r="183">
      <c r="A183" s="43" t="inlineStr">
        <is>
          <t>YoY</t>
        </is>
      </c>
      <c r="B183" s="3" t="inlineStr">
        <is>
          <t>전년 같은 분기·전년 대비</t>
        </is>
      </c>
      <c r="G183" s="15">
        <f>IF(OR(G181="",C181=""),"",IF(C181&lt;=0,"",IFERROR(G181/C181-1,"")))</f>
        <v/>
      </c>
      <c r="H183" s="15">
        <f>IF(OR(H181="",D181=""),"",IF(D181&lt;=0,"",IFERROR(H181/D181-1,"")))</f>
        <v/>
      </c>
    </row>
    <row r="184">
      <c r="A184" s="18" t="inlineStr">
        <is>
          <t>부문 · 영업이익</t>
        </is>
      </c>
      <c r="C184" s="20" t="n">
        <v>0</v>
      </c>
      <c r="D184" s="20" t="n">
        <v>0</v>
      </c>
      <c r="F184" s="20" t="n">
        <v>0</v>
      </c>
      <c r="G184" s="20" t="n">
        <v>0</v>
      </c>
      <c r="H184" s="20" t="n">
        <v>0</v>
      </c>
    </row>
    <row r="185">
      <c r="A185" s="43" t="inlineStr">
        <is>
          <t>OPM</t>
        </is>
      </c>
      <c r="B185" s="3" t="inlineStr">
        <is>
          <t>영업이익 ÷ 매출</t>
        </is>
      </c>
      <c r="C185" s="15">
        <f>IF(OR(C184="",C140=""),"",IF(C140&lt;=0,"",IFERROR(C184/C140,"")))</f>
        <v/>
      </c>
      <c r="D185" s="15">
        <f>IF(OR(D184="",D140=""),"",IF(D140&lt;=0,"",IFERROR(D184/D140,"")))</f>
        <v/>
      </c>
      <c r="F185" s="15">
        <f>IF(OR(F184="",F140=""),"",IF(F140&lt;=0,"",IFERROR(F184/F140,"")))</f>
        <v/>
      </c>
      <c r="G185" s="15">
        <f>IF(OR(G184="",G140=""),"",IF(G140&lt;=0,"",IFERROR(G184/G140,"")))</f>
        <v/>
      </c>
      <c r="H185" s="15">
        <f>IF(OR(H184="",H140=""),"",IF(H140&lt;=0,"",IFERROR(H184/H140,"")))</f>
        <v/>
      </c>
    </row>
    <row r="186">
      <c r="A186" s="43" t="inlineStr">
        <is>
          <t>YoY</t>
        </is>
      </c>
      <c r="B186" s="3" t="inlineStr">
        <is>
          <t>전년 같은 분기·전년 대비</t>
        </is>
      </c>
      <c r="G186" s="15">
        <f>IF(OR(G184="",C184=""),"",IF(C184&lt;=0,"",IFERROR(G184/C184-1,"")))</f>
        <v/>
      </c>
      <c r="H186" s="15">
        <f>IF(OR(H184="",D184=""),"",IF(D184&lt;=0,"",IFERROR(H184/D184-1,"")))</f>
        <v/>
      </c>
    </row>
    <row r="187">
      <c r="A187" s="18" t="inlineStr">
        <is>
          <t>테스트시스템 사업 · 영업이익</t>
        </is>
      </c>
      <c r="H187" s="20" t="n">
        <v>0</v>
      </c>
      <c r="I187" s="20" t="n">
        <v>0</v>
      </c>
      <c r="L187" s="20" t="n">
        <v>0</v>
      </c>
      <c r="M187" s="20" t="n">
        <v>0</v>
      </c>
      <c r="W187" s="20" t="n">
        <v>0</v>
      </c>
      <c r="X187" s="20" t="n">
        <v>0</v>
      </c>
    </row>
    <row r="188">
      <c r="A188" s="43" t="inlineStr">
        <is>
          <t>OPM</t>
        </is>
      </c>
      <c r="B188" s="3" t="inlineStr">
        <is>
          <t>영업이익 ÷ 매출</t>
        </is>
      </c>
      <c r="H188" s="15">
        <f>IF(OR(H187="",H142=""),"",IF(H142&lt;=0,"",IFERROR(H187/H142,"")))</f>
        <v/>
      </c>
      <c r="I188" s="15">
        <f>IF(OR(I187="",I142=""),"",IF(I142&lt;=0,"",IFERROR(I187/I142,"")))</f>
        <v/>
      </c>
      <c r="L188" s="15">
        <f>IF(OR(L187="",L142=""),"",IF(L142&lt;=0,"",IFERROR(L187/L142,"")))</f>
        <v/>
      </c>
      <c r="M188" s="15">
        <f>IF(OR(M187="",M142=""),"",IF(M142&lt;=0,"",IFERROR(M187/M142,"")))</f>
        <v/>
      </c>
      <c r="W188" s="15">
        <f>IF(OR(W187="",W142=""),"",IF(W142&lt;=0,"",IFERROR(W187/W142,"")))</f>
        <v/>
      </c>
      <c r="X188" s="15">
        <f>IF(OR(X187="",X142=""),"",IF(X142&lt;=0,"",IFERROR(X187/X142,"")))</f>
        <v/>
      </c>
    </row>
    <row r="189">
      <c r="A189" s="43" t="inlineStr">
        <is>
          <t>YoY</t>
        </is>
      </c>
      <c r="B189" s="3" t="inlineStr">
        <is>
          <t>전년 같은 분기·전년 대비</t>
        </is>
      </c>
      <c r="H189" s="15">
        <f>IF(OR(H187="",D187=""),"",IF(D187&lt;=0,"",IFERROR(H187/D187-1,"")))</f>
        <v/>
      </c>
      <c r="I189" s="15">
        <f>IF(OR(I187="",E187=""),"",IF(E187&lt;=0,"",IFERROR(I187/E187-1,"")))</f>
        <v/>
      </c>
      <c r="L189" s="15">
        <f>IF(OR(L187="",H187=""),"",IF(H187&lt;=0,"",IFERROR(L187/H187-1,"")))</f>
        <v/>
      </c>
      <c r="M189" s="15">
        <f>IF(OR(M187="",I187=""),"",IF(I187&lt;=0,"",IFERROR(M187/I187-1,"")))</f>
        <v/>
      </c>
      <c r="W189" s="15">
        <f>IF(OR(W187="",V187=""),"",IF(V187&lt;=0,"",IFERROR(W187/V187-1,"")))</f>
        <v/>
      </c>
      <c r="X189" s="15">
        <f>IF(OR(X187="",W187=""),"",IF(W187&lt;=0,"",IFERROR(X187/W187-1,"")))</f>
        <v/>
      </c>
    </row>
    <row r="190">
      <c r="A190" s="18" t="inlineStr">
        <is>
          <t>부문 · 영업이익</t>
        </is>
      </c>
      <c r="C190" s="20" t="n">
        <v>0</v>
      </c>
      <c r="D190" s="20" t="n">
        <v>0</v>
      </c>
      <c r="F190" s="20" t="n">
        <v>0</v>
      </c>
      <c r="G190" s="20" t="n">
        <v>0</v>
      </c>
      <c r="H190" s="20" t="n">
        <v>0</v>
      </c>
      <c r="I190" s="20" t="n">
        <v>0</v>
      </c>
      <c r="L190" s="20" t="n">
        <v>0</v>
      </c>
      <c r="M190" s="20" t="n">
        <v>0</v>
      </c>
      <c r="W190" s="20" t="n">
        <v>0</v>
      </c>
      <c r="X190" s="20" t="n">
        <v>0</v>
      </c>
    </row>
    <row r="191">
      <c r="A191" s="43" t="inlineStr">
        <is>
          <t>OPM</t>
        </is>
      </c>
      <c r="B191" s="3" t="inlineStr">
        <is>
          <t>영업이익 ÷ 매출</t>
        </is>
      </c>
      <c r="C191" s="15">
        <f>IF(OR(C190="",C144=""),"",IF(C144&lt;=0,"",IFERROR(C190/C144,"")))</f>
        <v/>
      </c>
      <c r="D191" s="15">
        <f>IF(OR(D190="",D144=""),"",IF(D144&lt;=0,"",IFERROR(D190/D144,"")))</f>
        <v/>
      </c>
      <c r="F191" s="15">
        <f>IF(OR(F190="",F144=""),"",IF(F144&lt;=0,"",IFERROR(F190/F144,"")))</f>
        <v/>
      </c>
      <c r="G191" s="15">
        <f>IF(OR(G190="",G144=""),"",IF(G144&lt;=0,"",IFERROR(G190/G144,"")))</f>
        <v/>
      </c>
      <c r="H191" s="15">
        <f>IF(OR(H190="",H144=""),"",IF(H144&lt;=0,"",IFERROR(H190/H144,"")))</f>
        <v/>
      </c>
      <c r="I191" s="15">
        <f>IF(OR(I190="",I144=""),"",IF(I144&lt;=0,"",IFERROR(I190/I144,"")))</f>
        <v/>
      </c>
      <c r="L191" s="15">
        <f>IF(OR(L190="",L144=""),"",IF(L144&lt;=0,"",IFERROR(L190/L144,"")))</f>
        <v/>
      </c>
      <c r="M191" s="15">
        <f>IF(OR(M190="",M144=""),"",IF(M144&lt;=0,"",IFERROR(M190/M144,"")))</f>
        <v/>
      </c>
      <c r="W191" s="15">
        <f>IF(OR(W190="",W144=""),"",IF(W144&lt;=0,"",IFERROR(W190/W144,"")))</f>
        <v/>
      </c>
      <c r="X191" s="15">
        <f>IF(OR(X190="",X144=""),"",IF(X144&lt;=0,"",IFERROR(X190/X144,"")))</f>
        <v/>
      </c>
    </row>
    <row r="192">
      <c r="A192" s="43" t="inlineStr">
        <is>
          <t>YoY</t>
        </is>
      </c>
      <c r="B192" s="3" t="inlineStr">
        <is>
          <t>전년 같은 분기·전년 대비</t>
        </is>
      </c>
      <c r="G192" s="15">
        <f>IF(OR(G190="",C190=""),"",IF(C190&lt;=0,"",IFERROR(G190/C190-1,"")))</f>
        <v/>
      </c>
      <c r="H192" s="15">
        <f>IF(OR(H190="",D190=""),"",IF(D190&lt;=0,"",IFERROR(H190/D190-1,"")))</f>
        <v/>
      </c>
      <c r="I192" s="15">
        <f>IF(OR(I190="",E190=""),"",IF(E190&lt;=0,"",IFERROR(I190/E190-1,"")))</f>
        <v/>
      </c>
      <c r="L192" s="15">
        <f>IF(OR(L190="",H190=""),"",IF(H190&lt;=0,"",IFERROR(L190/H190-1,"")))</f>
        <v/>
      </c>
      <c r="M192" s="15">
        <f>IF(OR(M190="",I190=""),"",IF(I190&lt;=0,"",IFERROR(M190/I190-1,"")))</f>
        <v/>
      </c>
      <c r="W192" s="15">
        <f>IF(OR(W190="",V190=""),"",IF(V190&lt;=0,"",IFERROR(W190/V190-1,"")))</f>
        <v/>
      </c>
      <c r="X192" s="15">
        <f>IF(OR(X190="",W190=""),"",IF(W190&lt;=0,"",IFERROR(X190/W190-1,"")))</f>
        <v/>
      </c>
    </row>
    <row r="193">
      <c r="A193" s="18" t="inlineStr">
        <is>
          <t>테스트시스템 사업 · 영업이익</t>
        </is>
      </c>
      <c r="F193" s="20" t="n">
        <v>0</v>
      </c>
      <c r="J193" s="20" t="n">
        <v>0</v>
      </c>
      <c r="N193" s="20" t="n">
        <v>0</v>
      </c>
    </row>
    <row r="194">
      <c r="A194" s="43" t="inlineStr">
        <is>
          <t>OPM</t>
        </is>
      </c>
      <c r="B194" s="3" t="inlineStr">
        <is>
          <t>영업이익 ÷ 매출</t>
        </is>
      </c>
      <c r="F194" s="15">
        <f>IF(OR(F193="",F146=""),"",IF(F146&lt;=0,"",IFERROR(F193/F146,"")))</f>
        <v/>
      </c>
      <c r="J194" s="15">
        <f>IF(OR(J193="",J146=""),"",IF(J146&lt;=0,"",IFERROR(J193/J146,"")))</f>
        <v/>
      </c>
      <c r="N194" s="15">
        <f>IF(OR(N193="",N146=""),"",IF(N146&lt;=0,"",IFERROR(N193/N146,"")))</f>
        <v/>
      </c>
    </row>
    <row r="195">
      <c r="A195" s="43" t="inlineStr">
        <is>
          <t>YoY</t>
        </is>
      </c>
      <c r="B195" s="3" t="inlineStr">
        <is>
          <t>전년 같은 분기·전년 대비</t>
        </is>
      </c>
      <c r="J195" s="15">
        <f>IF(OR(J193="",F193=""),"",IF(F193&lt;=0,"",IFERROR(J193/F193-1,"")))</f>
        <v/>
      </c>
      <c r="N195" s="15">
        <f>IF(OR(N193="",J193=""),"",IF(J193&lt;=0,"",IFERROR(N193/J193-1,"")))</f>
        <v/>
      </c>
    </row>
    <row r="196">
      <c r="A196" s="18" t="inlineStr">
        <is>
          <t>부문 · 영업이익</t>
        </is>
      </c>
      <c r="F196" s="20" t="n">
        <v>0</v>
      </c>
      <c r="J196" s="20" t="n">
        <v>0</v>
      </c>
      <c r="N196" s="20" t="n">
        <v>0</v>
      </c>
    </row>
    <row r="197">
      <c r="A197" s="43" t="inlineStr">
        <is>
          <t>OPM</t>
        </is>
      </c>
      <c r="B197" s="3" t="inlineStr">
        <is>
          <t>영업이익 ÷ 매출</t>
        </is>
      </c>
      <c r="F197" s="15">
        <f>IF(OR(F196="",F148=""),"",IF(F148&lt;=0,"",IFERROR(F196/F148,"")))</f>
        <v/>
      </c>
      <c r="J197" s="15">
        <f>IF(OR(J196="",J148=""),"",IF(J148&lt;=0,"",IFERROR(J196/J148,"")))</f>
        <v/>
      </c>
      <c r="N197" s="15">
        <f>IF(OR(N196="",N148=""),"",IF(N148&lt;=0,"",IFERROR(N196/N148,"")))</f>
        <v/>
      </c>
    </row>
    <row r="198">
      <c r="A198" s="43" t="inlineStr">
        <is>
          <t>YoY</t>
        </is>
      </c>
      <c r="B198" s="3" t="inlineStr">
        <is>
          <t>전년 같은 분기·전년 대비</t>
        </is>
      </c>
      <c r="J198" s="15">
        <f>IF(OR(J196="",F196=""),"",IF(F196&lt;=0,"",IFERROR(J196/F196-1,"")))</f>
        <v/>
      </c>
      <c r="N198" s="15">
        <f>IF(OR(N196="",J196=""),"",IF(J196&lt;=0,"",IFERROR(N196/J196-1,"")))</f>
        <v/>
      </c>
    </row>
    <row r="199">
      <c r="A199" s="18" t="inlineStr">
        <is>
          <t>조정액 · 영업이익</t>
        </is>
      </c>
      <c r="C199" s="20" t="n">
        <v>0</v>
      </c>
      <c r="D199" s="20" t="n">
        <v>0</v>
      </c>
      <c r="F199" s="20" t="n">
        <v>0</v>
      </c>
      <c r="G199" s="20" t="n">
        <v>0</v>
      </c>
      <c r="H199" s="20" t="n">
        <v>0</v>
      </c>
      <c r="I199" s="20" t="n">
        <v>0</v>
      </c>
      <c r="J199" s="20" t="n">
        <v>0</v>
      </c>
      <c r="K199" s="20" t="n">
        <v>0</v>
      </c>
      <c r="L199" s="20" t="n">
        <v>0</v>
      </c>
      <c r="M199" s="20" t="n">
        <v>0</v>
      </c>
      <c r="N199" s="20" t="n">
        <v>0</v>
      </c>
      <c r="W199" s="20" t="n">
        <v>0</v>
      </c>
      <c r="X199" s="20" t="n">
        <v>0</v>
      </c>
    </row>
    <row r="200">
      <c r="A200" s="18" t="inlineStr">
        <is>
          <t>영업이익</t>
        </is>
      </c>
      <c r="C200" s="20" t="n">
        <v>21000</v>
      </c>
      <c r="D200" s="20" t="n">
        <v>26830</v>
      </c>
      <c r="F200" s="20" t="n">
        <v>31325</v>
      </c>
      <c r="G200" s="20" t="n">
        <v>63534</v>
      </c>
      <c r="H200" s="20" t="n">
        <v>69267</v>
      </c>
      <c r="I200" s="20" t="n">
        <v>64035</v>
      </c>
      <c r="J200" s="20" t="n">
        <v>123952</v>
      </c>
      <c r="K200" s="20" t="n">
        <v>108483</v>
      </c>
      <c r="L200" s="20" t="n">
        <v>113571</v>
      </c>
      <c r="M200" s="20" t="n">
        <v>153114</v>
      </c>
      <c r="N200" s="20" t="n">
        <v>189990</v>
      </c>
      <c r="W200" s="20" t="n">
        <v>64035</v>
      </c>
      <c r="X200" s="20" t="n">
        <v>153114</v>
      </c>
    </row>
    <row r="201">
      <c r="A201" s="43" t="inlineStr">
        <is>
          <t>OPM</t>
        </is>
      </c>
      <c r="B201" s="3" t="inlineStr">
        <is>
          <t>영업이익 ÷ 매출</t>
        </is>
      </c>
      <c r="C201" s="15">
        <f>IF(OR(C200="",C151=""),"",IF(C151&lt;=0,"",IFERROR(C200/C151,"")))</f>
        <v/>
      </c>
      <c r="D201" s="15">
        <f>IF(OR(D200="",D151=""),"",IF(D151&lt;=0,"",IFERROR(D200/D151,"")))</f>
        <v/>
      </c>
      <c r="F201" s="15">
        <f>IF(OR(F200="",F151=""),"",IF(F151&lt;=0,"",IFERROR(F200/F151,"")))</f>
        <v/>
      </c>
      <c r="G201" s="15">
        <f>IF(OR(G200="",G151=""),"",IF(G151&lt;=0,"",IFERROR(G200/G151,"")))</f>
        <v/>
      </c>
      <c r="H201" s="15">
        <f>IF(OR(H200="",H151=""),"",IF(H151&lt;=0,"",IFERROR(H200/H151,"")))</f>
        <v/>
      </c>
      <c r="I201" s="15">
        <f>IF(OR(I200="",I151=""),"",IF(I151&lt;=0,"",IFERROR(I200/I151,"")))</f>
        <v/>
      </c>
      <c r="J201" s="15">
        <f>IF(OR(J200="",J151=""),"",IF(J151&lt;=0,"",IFERROR(J200/J151,"")))</f>
        <v/>
      </c>
      <c r="K201" s="15">
        <f>IF(OR(K200="",K151=""),"",IF(K151&lt;=0,"",IFERROR(K200/K151,"")))</f>
        <v/>
      </c>
      <c r="L201" s="15">
        <f>IF(OR(L200="",L151=""),"",IF(L151&lt;=0,"",IFERROR(L200/L151,"")))</f>
        <v/>
      </c>
      <c r="M201" s="15">
        <f>IF(OR(M200="",M151=""),"",IF(M151&lt;=0,"",IFERROR(M200/M151,"")))</f>
        <v/>
      </c>
      <c r="N201" s="15">
        <f>IF(OR(N200="",N151=""),"",IF(N151&lt;=0,"",IFERROR(N200/N151,"")))</f>
        <v/>
      </c>
      <c r="W201" s="15">
        <f>IF(OR(W200="",W151=""),"",IF(W151&lt;=0,"",IFERROR(W200/W151,"")))</f>
        <v/>
      </c>
      <c r="X201" s="15">
        <f>IF(OR(X200="",X151=""),"",IF(X151&lt;=0,"",IFERROR(X200/X151,"")))</f>
        <v/>
      </c>
    </row>
    <row r="202">
      <c r="A202" s="43" t="inlineStr">
        <is>
          <t>YoY</t>
        </is>
      </c>
      <c r="B202" s="3" t="inlineStr">
        <is>
          <t>전년 같은 분기·전년 대비</t>
        </is>
      </c>
      <c r="G202" s="15">
        <f>IF(OR(G200="",C200=""),"",IF(C200&lt;=0,"",IFERROR(G200/C200-1,"")))</f>
        <v/>
      </c>
      <c r="H202" s="15">
        <f>IF(OR(H200="",D200=""),"",IF(D200&lt;=0,"",IFERROR(H200/D200-1,"")))</f>
        <v/>
      </c>
      <c r="I202" s="15">
        <f>IF(OR(I200="",E200=""),"",IF(E200&lt;=0,"",IFERROR(I200/E200-1,"")))</f>
        <v/>
      </c>
      <c r="J202" s="15">
        <f>IF(OR(J200="",F200=""),"",IF(F200&lt;=0,"",IFERROR(J200/F200-1,"")))</f>
        <v/>
      </c>
      <c r="K202" s="15">
        <f>IF(OR(K200="",G200=""),"",IF(G200&lt;=0,"",IFERROR(K200/G200-1,"")))</f>
        <v/>
      </c>
      <c r="L202" s="15">
        <f>IF(OR(L200="",H200=""),"",IF(H200&lt;=0,"",IFERROR(L200/H200-1,"")))</f>
        <v/>
      </c>
      <c r="M202" s="15">
        <f>IF(OR(M200="",I200=""),"",IF(I200&lt;=0,"",IFERROR(M200/I200-1,"")))</f>
        <v/>
      </c>
      <c r="N202" s="15">
        <f>IF(OR(N200="",J200=""),"",IF(J200&lt;=0,"",IFERROR(N200/J200-1,"")))</f>
        <v/>
      </c>
      <c r="W202" s="15">
        <f>IF(OR(W200="",V200=""),"",IF(V200&lt;=0,"",IFERROR(W200/V200-1,"")))</f>
        <v/>
      </c>
      <c r="X202" s="15">
        <f>IF(OR(X200="",W200=""),"",IF(W200&lt;=0,"",IFERROR(X200/W200-1,"")))</f>
        <v/>
      </c>
    </row>
    <row r="203">
      <c r="A203" s="18" t="inlineStr">
        <is>
          <t>부문 · 금융수익</t>
        </is>
      </c>
      <c r="C203" s="20" t="n">
        <v>0</v>
      </c>
      <c r="D203" s="20" t="n">
        <v>0</v>
      </c>
      <c r="F203" s="20" t="n">
        <v>0</v>
      </c>
      <c r="G203" s="20" t="n">
        <v>0</v>
      </c>
      <c r="H203" s="20" t="n">
        <v>0</v>
      </c>
    </row>
    <row r="204">
      <c r="A204" s="18" t="inlineStr">
        <is>
          <t>부문 · 금융수익</t>
        </is>
      </c>
      <c r="C204" s="20" t="n">
        <v>0</v>
      </c>
      <c r="D204" s="20" t="n">
        <v>0</v>
      </c>
      <c r="F204" s="20" t="n">
        <v>0</v>
      </c>
      <c r="G204" s="20" t="n">
        <v>0</v>
      </c>
      <c r="H204" s="20" t="n">
        <v>0</v>
      </c>
    </row>
    <row r="205">
      <c r="A205" s="18" t="inlineStr">
        <is>
          <t>테스트시스템 사업 · 금융수익</t>
        </is>
      </c>
      <c r="H205" s="20" t="n">
        <v>0</v>
      </c>
      <c r="I205" s="20" t="n">
        <v>0</v>
      </c>
      <c r="L205" s="20" t="n">
        <v>0</v>
      </c>
      <c r="M205" s="20" t="n">
        <v>0</v>
      </c>
      <c r="W205" s="20" t="n">
        <v>0</v>
      </c>
      <c r="X205" s="20" t="n">
        <v>0</v>
      </c>
    </row>
    <row r="206">
      <c r="A206" s="18" t="inlineStr">
        <is>
          <t>부문 · 금융수익</t>
        </is>
      </c>
      <c r="C206" s="20" t="n">
        <v>0</v>
      </c>
      <c r="D206" s="20" t="n">
        <v>0</v>
      </c>
      <c r="F206" s="20" t="n">
        <v>0</v>
      </c>
      <c r="G206" s="20" t="n">
        <v>0</v>
      </c>
      <c r="H206" s="20" t="n">
        <v>0</v>
      </c>
      <c r="I206" s="20" t="n">
        <v>0</v>
      </c>
      <c r="L206" s="20" t="n">
        <v>0</v>
      </c>
      <c r="M206" s="20" t="n">
        <v>0</v>
      </c>
      <c r="W206" s="20" t="n">
        <v>0</v>
      </c>
      <c r="X206" s="20" t="n">
        <v>0</v>
      </c>
    </row>
    <row r="207">
      <c r="A207" s="18" t="inlineStr">
        <is>
          <t>테스트시스템 사업 · 금융수익</t>
        </is>
      </c>
      <c r="F207" s="20" t="n">
        <v>0</v>
      </c>
      <c r="J207" s="20" t="n">
        <v>0</v>
      </c>
      <c r="N207" s="20" t="n">
        <v>0</v>
      </c>
    </row>
    <row r="208">
      <c r="A208" s="18" t="inlineStr">
        <is>
          <t>부문 · 금융수익</t>
        </is>
      </c>
      <c r="F208" s="20" t="n">
        <v>0</v>
      </c>
      <c r="J208" s="20" t="n">
        <v>0</v>
      </c>
      <c r="N208" s="20" t="n">
        <v>0</v>
      </c>
    </row>
    <row r="209">
      <c r="A209" s="18" t="inlineStr">
        <is>
          <t>조정액 · 금융수익</t>
        </is>
      </c>
      <c r="C209" s="20" t="n">
        <v>0</v>
      </c>
      <c r="D209" s="20" t="n">
        <v>0</v>
      </c>
      <c r="F209" s="20" t="n">
        <v>0</v>
      </c>
      <c r="G209" s="20" t="n">
        <v>0</v>
      </c>
      <c r="H209" s="20" t="n">
        <v>0</v>
      </c>
      <c r="I209" s="20" t="n">
        <v>0</v>
      </c>
      <c r="J209" s="20" t="n">
        <v>0</v>
      </c>
      <c r="K209" s="20" t="n">
        <v>0</v>
      </c>
      <c r="L209" s="20" t="n">
        <v>0</v>
      </c>
      <c r="M209" s="20" t="n">
        <v>0</v>
      </c>
      <c r="N209" s="20" t="n">
        <v>0</v>
      </c>
      <c r="W209" s="20" t="n">
        <v>0</v>
      </c>
      <c r="X209" s="20" t="n">
        <v>0</v>
      </c>
    </row>
    <row r="210">
      <c r="A210" s="18" t="inlineStr">
        <is>
          <t>금융수익</t>
        </is>
      </c>
      <c r="C210" s="20" t="n">
        <v>252</v>
      </c>
      <c r="D210" s="20" t="n">
        <v>320</v>
      </c>
      <c r="F210" s="20" t="n">
        <v>1281</v>
      </c>
      <c r="G210" s="20" t="n">
        <v>-322</v>
      </c>
      <c r="H210" s="20" t="n">
        <v>410</v>
      </c>
      <c r="I210" s="20" t="n">
        <v>526</v>
      </c>
      <c r="J210" s="20" t="n">
        <v>693</v>
      </c>
      <c r="K210" s="20" t="n">
        <v>623</v>
      </c>
      <c r="L210" s="20" t="n">
        <v>705</v>
      </c>
      <c r="M210" s="20" t="n">
        <v>18333</v>
      </c>
      <c r="N210" s="20" t="n">
        <v>44680</v>
      </c>
      <c r="W210" s="20" t="n">
        <v>526</v>
      </c>
      <c r="X210" s="20" t="n">
        <v>18333</v>
      </c>
    </row>
    <row r="211">
      <c r="A211" s="18" t="inlineStr">
        <is>
          <t>부문 · 금융비용</t>
        </is>
      </c>
      <c r="C211" s="20" t="n">
        <v>0</v>
      </c>
      <c r="D211" s="20" t="n">
        <v>0</v>
      </c>
      <c r="F211" s="20" t="n">
        <v>0</v>
      </c>
      <c r="G211" s="20" t="n">
        <v>0</v>
      </c>
      <c r="H211" s="20" t="n">
        <v>0</v>
      </c>
    </row>
    <row r="212">
      <c r="A212" s="18" t="inlineStr">
        <is>
          <t>부문 · 금융비용</t>
        </is>
      </c>
      <c r="C212" s="20" t="n">
        <v>0</v>
      </c>
      <c r="D212" s="20" t="n">
        <v>0</v>
      </c>
      <c r="F212" s="20" t="n">
        <v>0</v>
      </c>
      <c r="G212" s="20" t="n">
        <v>0</v>
      </c>
      <c r="H212" s="20" t="n">
        <v>0</v>
      </c>
    </row>
    <row r="213">
      <c r="A213" s="18" t="inlineStr">
        <is>
          <t>테스트시스템 사업 · 금융비용</t>
        </is>
      </c>
      <c r="H213" s="20" t="n">
        <v>0</v>
      </c>
      <c r="I213" s="20" t="n">
        <v>0</v>
      </c>
      <c r="L213" s="20" t="n">
        <v>0</v>
      </c>
      <c r="M213" s="20" t="n">
        <v>0</v>
      </c>
      <c r="W213" s="20" t="n">
        <v>0</v>
      </c>
      <c r="X213" s="20" t="n">
        <v>0</v>
      </c>
    </row>
    <row r="214">
      <c r="A214" s="18" t="inlineStr">
        <is>
          <t>부문 · 금융비용</t>
        </is>
      </c>
      <c r="C214" s="20" t="n">
        <v>0</v>
      </c>
      <c r="D214" s="20" t="n">
        <v>0</v>
      </c>
      <c r="F214" s="20" t="n">
        <v>0</v>
      </c>
      <c r="G214" s="20" t="n">
        <v>0</v>
      </c>
      <c r="H214" s="20" t="n">
        <v>0</v>
      </c>
      <c r="I214" s="20" t="n">
        <v>0</v>
      </c>
      <c r="L214" s="20" t="n">
        <v>0</v>
      </c>
      <c r="M214" s="20" t="n">
        <v>0</v>
      </c>
      <c r="W214" s="20" t="n">
        <v>0</v>
      </c>
      <c r="X214" s="20" t="n">
        <v>0</v>
      </c>
    </row>
    <row r="215">
      <c r="A215" s="18" t="inlineStr">
        <is>
          <t>테스트시스템 사업 · 금융비용</t>
        </is>
      </c>
      <c r="F215" s="20" t="n">
        <v>0</v>
      </c>
      <c r="J215" s="20" t="n">
        <v>0</v>
      </c>
      <c r="N215" s="20" t="n">
        <v>0</v>
      </c>
    </row>
    <row r="216">
      <c r="A216" s="18" t="inlineStr">
        <is>
          <t>부문 · 금융비용</t>
        </is>
      </c>
      <c r="F216" s="20" t="n">
        <v>0</v>
      </c>
      <c r="J216" s="20" t="n">
        <v>0</v>
      </c>
      <c r="N216" s="20" t="n">
        <v>0</v>
      </c>
    </row>
    <row r="217">
      <c r="A217" s="18" t="inlineStr">
        <is>
          <t>조정액 · 금융비용</t>
        </is>
      </c>
      <c r="C217" s="20" t="n">
        <v>0</v>
      </c>
      <c r="D217" s="20" t="n">
        <v>0</v>
      </c>
      <c r="F217" s="20" t="n">
        <v>0</v>
      </c>
      <c r="G217" s="20" t="n">
        <v>0</v>
      </c>
      <c r="H217" s="20" t="n">
        <v>0</v>
      </c>
      <c r="I217" s="20" t="n">
        <v>0</v>
      </c>
      <c r="J217" s="20" t="n">
        <v>0</v>
      </c>
      <c r="K217" s="20" t="n">
        <v>0</v>
      </c>
      <c r="L217" s="20" t="n">
        <v>0</v>
      </c>
      <c r="M217" s="20" t="n">
        <v>0</v>
      </c>
      <c r="N217" s="20" t="n">
        <v>0</v>
      </c>
      <c r="W217" s="20" t="n">
        <v>0</v>
      </c>
      <c r="X217" s="20" t="n">
        <v>0</v>
      </c>
    </row>
    <row r="218">
      <c r="A218" s="18" t="inlineStr">
        <is>
          <t>금융비용</t>
        </is>
      </c>
      <c r="C218" s="20" t="n">
        <v>896</v>
      </c>
      <c r="D218" s="20" t="n">
        <v>900</v>
      </c>
      <c r="F218" s="20" t="n">
        <v>676</v>
      </c>
      <c r="G218" s="20" t="n">
        <v>2497</v>
      </c>
      <c r="H218" s="20" t="n">
        <v>-870</v>
      </c>
      <c r="I218" s="20" t="n">
        <v>2979</v>
      </c>
      <c r="J218" s="20" t="n">
        <v>3288</v>
      </c>
      <c r="K218" s="20" t="n">
        <v>-54</v>
      </c>
      <c r="L218" s="20" t="n">
        <v>444</v>
      </c>
      <c r="M218" s="20" t="n">
        <v>-924</v>
      </c>
      <c r="N218" s="20" t="n">
        <v>588</v>
      </c>
      <c r="W218" s="20" t="n">
        <v>2979</v>
      </c>
      <c r="X218" s="20" t="n">
        <v>-924</v>
      </c>
    </row>
    <row r="219">
      <c r="A219" s="18" t="inlineStr">
        <is>
          <t>부문 · 법인세비용차감전 중간이익</t>
        </is>
      </c>
      <c r="C219" s="20" t="n">
        <v>0</v>
      </c>
      <c r="D219" s="20" t="n">
        <v>0</v>
      </c>
      <c r="F219" s="20" t="n">
        <v>0</v>
      </c>
      <c r="G219" s="20" t="n">
        <v>0</v>
      </c>
      <c r="H219" s="20" t="n">
        <v>0</v>
      </c>
    </row>
    <row r="220">
      <c r="A220" s="43" t="inlineStr">
        <is>
          <t>OPM</t>
        </is>
      </c>
      <c r="B220" s="3" t="inlineStr">
        <is>
          <t>영업이익 ÷ 매출</t>
        </is>
      </c>
      <c r="C220" s="15">
        <f>IF(OR(C219="",C138=""),"",IF(C138&lt;=0,"",IFERROR(C219/C138,"")))</f>
        <v/>
      </c>
      <c r="D220" s="15">
        <f>IF(OR(D219="",D138=""),"",IF(D138&lt;=0,"",IFERROR(D219/D138,"")))</f>
        <v/>
      </c>
      <c r="F220" s="15">
        <f>IF(OR(F219="",F138=""),"",IF(F138&lt;=0,"",IFERROR(F219/F138,"")))</f>
        <v/>
      </c>
      <c r="G220" s="15">
        <f>IF(OR(G219="",G138=""),"",IF(G138&lt;=0,"",IFERROR(G219/G138,"")))</f>
        <v/>
      </c>
      <c r="H220" s="15">
        <f>IF(OR(H219="",H138=""),"",IF(H138&lt;=0,"",IFERROR(H219/H138,"")))</f>
        <v/>
      </c>
    </row>
    <row r="221">
      <c r="A221" s="43" t="inlineStr">
        <is>
          <t>YoY</t>
        </is>
      </c>
      <c r="B221" s="3" t="inlineStr">
        <is>
          <t>전년 같은 분기·전년 대비</t>
        </is>
      </c>
      <c r="G221" s="15">
        <f>IF(OR(G219="",C219=""),"",IF(C219&lt;=0,"",IFERROR(G219/C219-1,"")))</f>
        <v/>
      </c>
      <c r="H221" s="15">
        <f>IF(OR(H219="",D219=""),"",IF(D219&lt;=0,"",IFERROR(H219/D219-1,"")))</f>
        <v/>
      </c>
    </row>
    <row r="222">
      <c r="A222" s="18" t="inlineStr">
        <is>
          <t>부문 · 법인세비용차감전 중간이익</t>
        </is>
      </c>
      <c r="C222" s="20" t="n">
        <v>0</v>
      </c>
      <c r="D222" s="20" t="n">
        <v>0</v>
      </c>
      <c r="F222" s="20" t="n">
        <v>0</v>
      </c>
      <c r="G222" s="20" t="n">
        <v>0</v>
      </c>
      <c r="H222" s="20" t="n">
        <v>0</v>
      </c>
    </row>
    <row r="223">
      <c r="A223" s="43" t="inlineStr">
        <is>
          <t>OPM</t>
        </is>
      </c>
      <c r="B223" s="3" t="inlineStr">
        <is>
          <t>영업이익 ÷ 매출</t>
        </is>
      </c>
      <c r="C223" s="15">
        <f>IF(OR(C222="",C140=""),"",IF(C140&lt;=0,"",IFERROR(C222/C140,"")))</f>
        <v/>
      </c>
      <c r="D223" s="15">
        <f>IF(OR(D222="",D140=""),"",IF(D140&lt;=0,"",IFERROR(D222/D140,"")))</f>
        <v/>
      </c>
      <c r="F223" s="15">
        <f>IF(OR(F222="",F140=""),"",IF(F140&lt;=0,"",IFERROR(F222/F140,"")))</f>
        <v/>
      </c>
      <c r="G223" s="15">
        <f>IF(OR(G222="",G140=""),"",IF(G140&lt;=0,"",IFERROR(G222/G140,"")))</f>
        <v/>
      </c>
      <c r="H223" s="15">
        <f>IF(OR(H222="",H140=""),"",IF(H140&lt;=0,"",IFERROR(H222/H140,"")))</f>
        <v/>
      </c>
    </row>
    <row r="224">
      <c r="A224" s="43" t="inlineStr">
        <is>
          <t>YoY</t>
        </is>
      </c>
      <c r="B224" s="3" t="inlineStr">
        <is>
          <t>전년 같은 분기·전년 대비</t>
        </is>
      </c>
      <c r="G224" s="15">
        <f>IF(OR(G222="",C222=""),"",IF(C222&lt;=0,"",IFERROR(G222/C222-1,"")))</f>
        <v/>
      </c>
      <c r="H224" s="15">
        <f>IF(OR(H222="",D222=""),"",IF(D222&lt;=0,"",IFERROR(H222/D222-1,"")))</f>
        <v/>
      </c>
    </row>
    <row r="225">
      <c r="A225" s="18" t="inlineStr">
        <is>
          <t>테스트시스템 사업 · 법인세차감전 이익</t>
        </is>
      </c>
      <c r="H225" s="20" t="n">
        <v>0</v>
      </c>
      <c r="I225" s="20" t="n">
        <v>0</v>
      </c>
      <c r="L225" s="20" t="n">
        <v>0</v>
      </c>
      <c r="M225" s="20" t="n">
        <v>0</v>
      </c>
      <c r="W225" s="20" t="n">
        <v>0</v>
      </c>
      <c r="X225" s="20" t="n">
        <v>0</v>
      </c>
    </row>
    <row r="226">
      <c r="A226" s="43" t="inlineStr">
        <is>
          <t>OPM</t>
        </is>
      </c>
      <c r="B226" s="3" t="inlineStr">
        <is>
          <t>영업이익 ÷ 매출</t>
        </is>
      </c>
      <c r="H226" s="15">
        <f>IF(OR(H225="",H142=""),"",IF(H142&lt;=0,"",IFERROR(H225/H142,"")))</f>
        <v/>
      </c>
      <c r="I226" s="15">
        <f>IF(OR(I225="",I142=""),"",IF(I142&lt;=0,"",IFERROR(I225/I142,"")))</f>
        <v/>
      </c>
      <c r="L226" s="15">
        <f>IF(OR(L225="",L142=""),"",IF(L142&lt;=0,"",IFERROR(L225/L142,"")))</f>
        <v/>
      </c>
      <c r="M226" s="15">
        <f>IF(OR(M225="",M142=""),"",IF(M142&lt;=0,"",IFERROR(M225/M142,"")))</f>
        <v/>
      </c>
      <c r="W226" s="15">
        <f>IF(OR(W225="",W142=""),"",IF(W142&lt;=0,"",IFERROR(W225/W142,"")))</f>
        <v/>
      </c>
      <c r="X226" s="15">
        <f>IF(OR(X225="",X142=""),"",IF(X142&lt;=0,"",IFERROR(X225/X142,"")))</f>
        <v/>
      </c>
    </row>
    <row r="227">
      <c r="A227" s="43" t="inlineStr">
        <is>
          <t>YoY</t>
        </is>
      </c>
      <c r="B227" s="3" t="inlineStr">
        <is>
          <t>전년 같은 분기·전년 대비</t>
        </is>
      </c>
      <c r="H227" s="15">
        <f>IF(OR(H225="",D225=""),"",IF(D225&lt;=0,"",IFERROR(H225/D225-1,"")))</f>
        <v/>
      </c>
      <c r="I227" s="15">
        <f>IF(OR(I225="",E225=""),"",IF(E225&lt;=0,"",IFERROR(I225/E225-1,"")))</f>
        <v/>
      </c>
      <c r="L227" s="15">
        <f>IF(OR(L225="",H225=""),"",IF(H225&lt;=0,"",IFERROR(L225/H225-1,"")))</f>
        <v/>
      </c>
      <c r="M227" s="15">
        <f>IF(OR(M225="",I225=""),"",IF(I225&lt;=0,"",IFERROR(M225/I225-1,"")))</f>
        <v/>
      </c>
      <c r="W227" s="15">
        <f>IF(OR(W225="",V225=""),"",IF(V225&lt;=0,"",IFERROR(W225/V225-1,"")))</f>
        <v/>
      </c>
      <c r="X227" s="15">
        <f>IF(OR(X225="",W225=""),"",IF(W225&lt;=0,"",IFERROR(X225/W225-1,"")))</f>
        <v/>
      </c>
    </row>
    <row r="228">
      <c r="A228" s="18" t="inlineStr">
        <is>
          <t>부문 · 법인세차감전 이익</t>
        </is>
      </c>
      <c r="C228" s="20" t="n">
        <v>0</v>
      </c>
      <c r="D228" s="20" t="n">
        <v>0</v>
      </c>
      <c r="F228" s="20" t="n">
        <v>0</v>
      </c>
      <c r="G228" s="20" t="n">
        <v>0</v>
      </c>
      <c r="H228" s="20" t="n">
        <v>0</v>
      </c>
      <c r="I228" s="20" t="n">
        <v>0</v>
      </c>
      <c r="L228" s="20" t="n">
        <v>0</v>
      </c>
      <c r="M228" s="20" t="n">
        <v>0</v>
      </c>
      <c r="W228" s="20" t="n">
        <v>0</v>
      </c>
      <c r="X228" s="20" t="n">
        <v>0</v>
      </c>
    </row>
    <row r="229">
      <c r="A229" s="43" t="inlineStr">
        <is>
          <t>OPM</t>
        </is>
      </c>
      <c r="B229" s="3" t="inlineStr">
        <is>
          <t>영업이익 ÷ 매출</t>
        </is>
      </c>
      <c r="C229" s="15">
        <f>IF(OR(C228="",C144=""),"",IF(C144&lt;=0,"",IFERROR(C228/C144,"")))</f>
        <v/>
      </c>
      <c r="D229" s="15">
        <f>IF(OR(D228="",D144=""),"",IF(D144&lt;=0,"",IFERROR(D228/D144,"")))</f>
        <v/>
      </c>
      <c r="F229" s="15">
        <f>IF(OR(F228="",F144=""),"",IF(F144&lt;=0,"",IFERROR(F228/F144,"")))</f>
        <v/>
      </c>
      <c r="G229" s="15">
        <f>IF(OR(G228="",G144=""),"",IF(G144&lt;=0,"",IFERROR(G228/G144,"")))</f>
        <v/>
      </c>
      <c r="H229" s="15">
        <f>IF(OR(H228="",H144=""),"",IF(H144&lt;=0,"",IFERROR(H228/H144,"")))</f>
        <v/>
      </c>
      <c r="I229" s="15">
        <f>IF(OR(I228="",I144=""),"",IF(I144&lt;=0,"",IFERROR(I228/I144,"")))</f>
        <v/>
      </c>
      <c r="L229" s="15">
        <f>IF(OR(L228="",L144=""),"",IF(L144&lt;=0,"",IFERROR(L228/L144,"")))</f>
        <v/>
      </c>
      <c r="M229" s="15">
        <f>IF(OR(M228="",M144=""),"",IF(M144&lt;=0,"",IFERROR(M228/M144,"")))</f>
        <v/>
      </c>
      <c r="W229" s="15">
        <f>IF(OR(W228="",W144=""),"",IF(W144&lt;=0,"",IFERROR(W228/W144,"")))</f>
        <v/>
      </c>
      <c r="X229" s="15">
        <f>IF(OR(X228="",X144=""),"",IF(X144&lt;=0,"",IFERROR(X228/X144,"")))</f>
        <v/>
      </c>
    </row>
    <row r="230">
      <c r="A230" s="43" t="inlineStr">
        <is>
          <t>YoY</t>
        </is>
      </c>
      <c r="B230" s="3" t="inlineStr">
        <is>
          <t>전년 같은 분기·전년 대비</t>
        </is>
      </c>
      <c r="G230" s="15">
        <f>IF(OR(G228="",C228=""),"",IF(C228&lt;=0,"",IFERROR(G228/C228-1,"")))</f>
        <v/>
      </c>
      <c r="H230" s="15">
        <f>IF(OR(H228="",D228=""),"",IF(D228&lt;=0,"",IFERROR(H228/D228-1,"")))</f>
        <v/>
      </c>
      <c r="I230" s="15">
        <f>IF(OR(I228="",E228=""),"",IF(E228&lt;=0,"",IFERROR(I228/E228-1,"")))</f>
        <v/>
      </c>
      <c r="L230" s="15">
        <f>IF(OR(L228="",H228=""),"",IF(H228&lt;=0,"",IFERROR(L228/H228-1,"")))</f>
        <v/>
      </c>
      <c r="M230" s="15">
        <f>IF(OR(M228="",I228=""),"",IF(I228&lt;=0,"",IFERROR(M228/I228-1,"")))</f>
        <v/>
      </c>
      <c r="W230" s="15">
        <f>IF(OR(W228="",V228=""),"",IF(V228&lt;=0,"",IFERROR(W228/V228-1,"")))</f>
        <v/>
      </c>
      <c r="X230" s="15">
        <f>IF(OR(X228="",W228=""),"",IF(W228&lt;=0,"",IFERROR(X228/W228-1,"")))</f>
        <v/>
      </c>
    </row>
    <row r="231">
      <c r="A231" s="18" t="inlineStr">
        <is>
          <t>테스트시스템 사업 · 법인세비용차감전 중간이익</t>
        </is>
      </c>
      <c r="F231" s="20" t="n">
        <v>0</v>
      </c>
      <c r="J231" s="20" t="n">
        <v>0</v>
      </c>
      <c r="N231" s="20" t="n">
        <v>0</v>
      </c>
    </row>
    <row r="232">
      <c r="A232" s="43" t="inlineStr">
        <is>
          <t>OPM</t>
        </is>
      </c>
      <c r="B232" s="3" t="inlineStr">
        <is>
          <t>영업이익 ÷ 매출</t>
        </is>
      </c>
      <c r="F232" s="15">
        <f>IF(OR(F231="",F146=""),"",IF(F146&lt;=0,"",IFERROR(F231/F146,"")))</f>
        <v/>
      </c>
      <c r="J232" s="15">
        <f>IF(OR(J231="",J146=""),"",IF(J146&lt;=0,"",IFERROR(J231/J146,"")))</f>
        <v/>
      </c>
      <c r="N232" s="15">
        <f>IF(OR(N231="",N146=""),"",IF(N146&lt;=0,"",IFERROR(N231/N146,"")))</f>
        <v/>
      </c>
    </row>
    <row r="233">
      <c r="A233" s="43" t="inlineStr">
        <is>
          <t>YoY</t>
        </is>
      </c>
      <c r="B233" s="3" t="inlineStr">
        <is>
          <t>전년 같은 분기·전년 대비</t>
        </is>
      </c>
      <c r="J233" s="15">
        <f>IF(OR(J231="",F231=""),"",IF(F231&lt;=0,"",IFERROR(J231/F231-1,"")))</f>
        <v/>
      </c>
      <c r="N233" s="15">
        <f>IF(OR(N231="",J231=""),"",IF(J231&lt;=0,"",IFERROR(N231/J231-1,"")))</f>
        <v/>
      </c>
    </row>
    <row r="234">
      <c r="A234" s="18" t="inlineStr">
        <is>
          <t>부문 · 법인세비용차감전 중간이익</t>
        </is>
      </c>
      <c r="F234" s="20" t="n">
        <v>0</v>
      </c>
      <c r="J234" s="20" t="n">
        <v>0</v>
      </c>
      <c r="N234" s="20" t="n">
        <v>0</v>
      </c>
    </row>
    <row r="235">
      <c r="A235" s="43" t="inlineStr">
        <is>
          <t>OPM</t>
        </is>
      </c>
      <c r="B235" s="3" t="inlineStr">
        <is>
          <t>영업이익 ÷ 매출</t>
        </is>
      </c>
      <c r="F235" s="15">
        <f>IF(OR(F234="",F148=""),"",IF(F148&lt;=0,"",IFERROR(F234/F148,"")))</f>
        <v/>
      </c>
      <c r="J235" s="15">
        <f>IF(OR(J234="",J148=""),"",IF(J148&lt;=0,"",IFERROR(J234/J148,"")))</f>
        <v/>
      </c>
      <c r="N235" s="15">
        <f>IF(OR(N234="",N148=""),"",IF(N148&lt;=0,"",IFERROR(N234/N148,"")))</f>
        <v/>
      </c>
    </row>
    <row r="236">
      <c r="A236" s="43" t="inlineStr">
        <is>
          <t>YoY</t>
        </is>
      </c>
      <c r="B236" s="3" t="inlineStr">
        <is>
          <t>전년 같은 분기·전년 대비</t>
        </is>
      </c>
      <c r="J236" s="15">
        <f>IF(OR(J234="",F234=""),"",IF(F234&lt;=0,"",IFERROR(J234/F234-1,"")))</f>
        <v/>
      </c>
      <c r="N236" s="15">
        <f>IF(OR(N234="",J234=""),"",IF(J234&lt;=0,"",IFERROR(N234/J234-1,"")))</f>
        <v/>
      </c>
    </row>
    <row r="237">
      <c r="A237" s="18" t="inlineStr">
        <is>
          <t>조정액 · 법인세비용차감전 중간이익</t>
        </is>
      </c>
      <c r="C237" s="20" t="n">
        <v>0</v>
      </c>
      <c r="D237" s="20" t="n">
        <v>0</v>
      </c>
      <c r="F237" s="20" t="n">
        <v>0</v>
      </c>
      <c r="G237" s="20" t="n">
        <v>0</v>
      </c>
      <c r="H237" s="20" t="n">
        <v>0</v>
      </c>
      <c r="I237" s="20" t="n">
        <v>0</v>
      </c>
      <c r="J237" s="20" t="n">
        <v>0</v>
      </c>
      <c r="K237" s="20" t="n">
        <v>0</v>
      </c>
      <c r="L237" s="20" t="n">
        <v>0</v>
      </c>
      <c r="M237" s="20" t="n">
        <v>0</v>
      </c>
      <c r="N237" s="20" t="n">
        <v>0</v>
      </c>
      <c r="W237" s="20" t="n">
        <v>0</v>
      </c>
      <c r="X237" s="20" t="n">
        <v>0</v>
      </c>
    </row>
    <row r="238">
      <c r="A238" s="9" t="inlineStr">
        <is>
          <t>법인세비용차감전 중간이익</t>
        </is>
      </c>
      <c r="C238" s="12" t="n">
        <v>20356</v>
      </c>
      <c r="D238" s="12" t="n">
        <v>26250</v>
      </c>
      <c r="F238" s="12" t="n">
        <v>31930</v>
      </c>
      <c r="G238" s="12" t="n">
        <v>60715</v>
      </c>
      <c r="H238" s="12" t="n">
        <v>70547</v>
      </c>
      <c r="I238" s="12" t="n">
        <v>61582</v>
      </c>
      <c r="J238" s="12" t="n">
        <v>121357</v>
      </c>
      <c r="K238" s="12" t="n">
        <v>109160</v>
      </c>
      <c r="L238" s="12" t="n">
        <v>113832</v>
      </c>
      <c r="M238" s="12" t="n">
        <v>172371</v>
      </c>
      <c r="N238" s="12" t="n">
        <v>234082</v>
      </c>
      <c r="W238" s="12" t="n">
        <v>61582</v>
      </c>
      <c r="X238" s="12" t="n">
        <v>172371</v>
      </c>
    </row>
    <row r="239">
      <c r="A239" s="18" t="inlineStr">
        <is>
          <t>테스트시스템 사업 · 외부 고객 매출</t>
        </is>
      </c>
      <c r="H239" s="20" t="n">
        <v>194084</v>
      </c>
      <c r="I239" s="20" t="n">
        <v>204160</v>
      </c>
      <c r="L239" s="20" t="n">
        <v>245098</v>
      </c>
      <c r="M239" s="20" t="n">
        <v>296325</v>
      </c>
      <c r="W239" s="20" t="n">
        <v>204160</v>
      </c>
      <c r="X239" s="20" t="n">
        <v>296325</v>
      </c>
    </row>
    <row r="240">
      <c r="A240" s="18" t="inlineStr">
        <is>
          <t>부문 · 외부 고객 매출</t>
        </is>
      </c>
      <c r="C240" s="20" t="n">
        <v>22658</v>
      </c>
      <c r="D240" s="20" t="n">
        <v>30008</v>
      </c>
      <c r="F240" s="20" t="n">
        <v>23356</v>
      </c>
      <c r="G240" s="20" t="n">
        <v>21275</v>
      </c>
      <c r="H240" s="20" t="n">
        <v>24068</v>
      </c>
      <c r="I240" s="20" t="n">
        <v>28189</v>
      </c>
      <c r="L240" s="20" t="n">
        <v>28706</v>
      </c>
      <c r="M240" s="20" t="n">
        <v>31748</v>
      </c>
      <c r="W240" s="20" t="n">
        <v>28189</v>
      </c>
      <c r="X240" s="20" t="n">
        <v>31748</v>
      </c>
    </row>
    <row r="241">
      <c r="A241" s="18" t="inlineStr">
        <is>
          <t>부문 · 외부 고객 매출</t>
        </is>
      </c>
      <c r="C241" s="20" t="n">
        <v>81170</v>
      </c>
      <c r="D241" s="20" t="n">
        <v>88320</v>
      </c>
      <c r="F241" s="20" t="n">
        <v>101108</v>
      </c>
      <c r="G241" s="20" t="n">
        <v>145470</v>
      </c>
      <c r="H241" s="20" t="n">
        <v>167607</v>
      </c>
    </row>
    <row r="242">
      <c r="A242" s="18" t="inlineStr">
        <is>
          <t>부문 · 외부 고객 매출</t>
        </is>
      </c>
      <c r="C242" s="20" t="n">
        <v>12432</v>
      </c>
      <c r="D242" s="20" t="n">
        <v>14905</v>
      </c>
      <c r="F242" s="20" t="n">
        <v>14261</v>
      </c>
      <c r="G242" s="20" t="n">
        <v>17245</v>
      </c>
      <c r="H242" s="20" t="n">
        <v>23563</v>
      </c>
    </row>
    <row r="244">
      <c r="A244" s="16" t="inlineStr">
        <is>
          <t>현금흐름표 · 전 항목</t>
        </is>
      </c>
      <c r="B244" s="42" t="inlineStr">
        <is>
          <t>분기 = 결산기 첫날부터 누계(공시 그대로)</t>
        </is>
      </c>
      <c r="C244" s="16" t="n"/>
      <c r="D244" s="16" t="n"/>
      <c r="E244" s="16" t="n"/>
      <c r="F244" s="16" t="n"/>
      <c r="G244" s="16" t="n"/>
      <c r="H244" s="16" t="n"/>
      <c r="I244" s="16" t="n"/>
      <c r="J244" s="16" t="n"/>
      <c r="K244" s="16" t="n"/>
      <c r="L244" s="16" t="n"/>
      <c r="M244" s="16" t="n"/>
      <c r="N244" s="16" t="n"/>
      <c r="O244" s="16" t="n"/>
      <c r="P244" s="16" t="n"/>
      <c r="Q244" s="16" t="n"/>
      <c r="R244" s="16" t="n"/>
      <c r="S244" s="16" t="n"/>
      <c r="T244" s="16" t="n"/>
      <c r="U244" s="16" t="n"/>
      <c r="V244" s="16" t="n"/>
      <c r="W244" s="16" t="n"/>
      <c r="X244" s="16" t="n"/>
      <c r="Y244" s="16" t="n"/>
      <c r="Z244" s="16" t="n"/>
      <c r="AA244" s="16" t="n"/>
      <c r="AB244" s="16" t="n"/>
      <c r="AC244" s="16" t="n"/>
    </row>
    <row r="245">
      <c r="A245" s="5" t="inlineStr">
        <is>
          <t>항목</t>
        </is>
      </c>
      <c r="B245" s="5" t="inlineStr">
        <is>
          <t>참고</t>
        </is>
      </c>
      <c r="C245" s="5" t="inlineStr">
        <is>
          <t>2024.2Q</t>
        </is>
      </c>
      <c r="D245" s="5" t="inlineStr">
        <is>
          <t>2024.3Q</t>
        </is>
      </c>
      <c r="E245" s="5" t="inlineStr">
        <is>
          <t>2024.4Q</t>
        </is>
      </c>
      <c r="F245" s="5" t="inlineStr">
        <is>
          <t>2025.1Q</t>
        </is>
      </c>
      <c r="G245" s="5" t="inlineStr">
        <is>
          <t>2025.2Q</t>
        </is>
      </c>
      <c r="H245" s="5" t="inlineStr">
        <is>
          <t>2025.3Q</t>
        </is>
      </c>
      <c r="I245" s="5" t="inlineStr">
        <is>
          <t>2025.4Q</t>
        </is>
      </c>
      <c r="J245" s="5" t="inlineStr">
        <is>
          <t>2026.1Q</t>
        </is>
      </c>
      <c r="K245" s="5" t="inlineStr">
        <is>
          <t>2026.2Q</t>
        </is>
      </c>
      <c r="L245" s="5" t="inlineStr">
        <is>
          <t>2026.3Q</t>
        </is>
      </c>
      <c r="M245" s="5" t="inlineStr">
        <is>
          <t>2026.4Q</t>
        </is>
      </c>
      <c r="N245" s="5" t="inlineStr">
        <is>
          <t>2027.1Q</t>
        </is>
      </c>
      <c r="O245" s="5" t="inlineStr">
        <is>
          <t>2017</t>
        </is>
      </c>
      <c r="P245" s="5" t="inlineStr">
        <is>
          <t>2018</t>
        </is>
      </c>
      <c r="Q245" s="5" t="inlineStr">
        <is>
          <t>2019</t>
        </is>
      </c>
      <c r="R245" s="5" t="inlineStr">
        <is>
          <t>2020</t>
        </is>
      </c>
      <c r="S245" s="5" t="inlineStr">
        <is>
          <t>2021</t>
        </is>
      </c>
      <c r="T245" s="5" t="inlineStr">
        <is>
          <t>2022</t>
        </is>
      </c>
      <c r="U245" s="5" t="inlineStr">
        <is>
          <t>2023</t>
        </is>
      </c>
      <c r="V245" s="5" t="inlineStr">
        <is>
          <t>2024</t>
        </is>
      </c>
      <c r="W245" s="5" t="inlineStr">
        <is>
          <t>2025</t>
        </is>
      </c>
      <c r="X245" s="5" t="inlineStr">
        <is>
          <t>2026</t>
        </is>
      </c>
      <c r="Y245" s="5" t="inlineStr">
        <is>
          <t>2027(MW)</t>
        </is>
      </c>
      <c r="Z245" s="5" t="inlineStr">
        <is>
          <t>2028(MW)</t>
        </is>
      </c>
      <c r="AA245" s="5" t="inlineStr">
        <is>
          <t>2029(MW)</t>
        </is>
      </c>
      <c r="AB245" s="5" t="inlineStr">
        <is>
          <t>2030(MW)</t>
        </is>
      </c>
      <c r="AC245" s="5" t="inlineStr">
        <is>
          <t>2031(MW)</t>
        </is>
      </c>
    </row>
    <row r="246">
      <c r="A246" s="9" t="inlineStr">
        <is>
          <t>법인세비용차감전 중간이익</t>
        </is>
      </c>
      <c r="C246" s="12" t="n">
        <v>33317</v>
      </c>
      <c r="D246" s="12" t="n">
        <v>59567</v>
      </c>
      <c r="E246" s="12" t="n">
        <v>78170</v>
      </c>
      <c r="F246" s="12" t="n">
        <v>31930</v>
      </c>
      <c r="G246" s="12" t="n">
        <v>92645</v>
      </c>
      <c r="H246" s="12" t="n">
        <v>163192</v>
      </c>
      <c r="I246" s="12" t="n">
        <v>224774</v>
      </c>
      <c r="J246" s="12" t="n">
        <v>121357</v>
      </c>
      <c r="K246" s="12" t="n">
        <v>230517</v>
      </c>
      <c r="L246" s="12" t="n">
        <v>344349</v>
      </c>
      <c r="M246" s="12" t="n">
        <v>516720</v>
      </c>
      <c r="N246" s="12" t="n">
        <v>234082</v>
      </c>
      <c r="P246" s="12" t="n">
        <v>24282</v>
      </c>
      <c r="Q246" s="12" t="n">
        <v>66211</v>
      </c>
      <c r="R246" s="12" t="n">
        <v>58574</v>
      </c>
      <c r="S246" s="12" t="n">
        <v>69618</v>
      </c>
      <c r="T246" s="12" t="n">
        <v>116343</v>
      </c>
      <c r="U246" s="12" t="n">
        <v>171270</v>
      </c>
      <c r="V246" s="12" t="n">
        <v>78170</v>
      </c>
      <c r="W246" s="12" t="n">
        <v>224774</v>
      </c>
      <c r="X246" s="12" t="n">
        <v>516720</v>
      </c>
    </row>
    <row r="247">
      <c r="A247" s="18" t="inlineStr">
        <is>
          <t>감가상각비 및 상각비</t>
        </is>
      </c>
      <c r="C247" s="20" t="n">
        <v>12492</v>
      </c>
      <c r="D247" s="20" t="n">
        <v>19132</v>
      </c>
      <c r="E247" s="20" t="n">
        <v>26104</v>
      </c>
      <c r="F247" s="20" t="n">
        <v>7102</v>
      </c>
      <c r="G247" s="20" t="n">
        <v>14258</v>
      </c>
      <c r="H247" s="20" t="n">
        <v>20979</v>
      </c>
      <c r="I247" s="20" t="n">
        <v>27075</v>
      </c>
      <c r="J247" s="20" t="n">
        <v>6112</v>
      </c>
      <c r="K247" s="20" t="n">
        <v>12362</v>
      </c>
      <c r="L247" s="20" t="n">
        <v>18797</v>
      </c>
      <c r="M247" s="20" t="n">
        <v>25612</v>
      </c>
      <c r="N247" s="20" t="n">
        <v>7151</v>
      </c>
      <c r="P247" s="20" t="n">
        <v>5024</v>
      </c>
      <c r="Q247" s="20" t="n">
        <v>4967</v>
      </c>
      <c r="R247" s="20" t="n">
        <v>10892</v>
      </c>
      <c r="S247" s="20" t="n">
        <v>11756</v>
      </c>
      <c r="T247" s="20" t="n">
        <v>14968</v>
      </c>
      <c r="U247" s="20" t="n">
        <v>21396</v>
      </c>
      <c r="V247" s="20" t="n">
        <v>26104</v>
      </c>
      <c r="W247" s="20" t="n">
        <v>27075</v>
      </c>
      <c r="X247" s="20" t="n">
        <v>25612</v>
      </c>
    </row>
    <row r="248">
      <c r="A248" s="18" t="inlineStr">
        <is>
          <t>손상차손</t>
        </is>
      </c>
      <c r="E248" s="20" t="n">
        <v>8998</v>
      </c>
      <c r="I248" s="20" t="n">
        <v>21393</v>
      </c>
      <c r="M248" s="20" t="n">
        <v>0</v>
      </c>
      <c r="U248" s="20" t="n">
        <v>0</v>
      </c>
      <c r="V248" s="20" t="n">
        <v>8998</v>
      </c>
      <c r="W248" s="20" t="n">
        <v>21393</v>
      </c>
      <c r="X248" s="20" t="n">
        <v>0</v>
      </c>
    </row>
    <row r="249">
      <c r="A249" s="18" t="inlineStr">
        <is>
          <t>주식보상비용</t>
        </is>
      </c>
      <c r="E249" s="20" t="n">
        <v>1769</v>
      </c>
      <c r="I249" s="20" t="n">
        <v>2893</v>
      </c>
      <c r="M249" s="20" t="n">
        <v>4450</v>
      </c>
      <c r="P249" s="20" t="n">
        <v>85</v>
      </c>
      <c r="Q249" s="20" t="n">
        <v>481</v>
      </c>
      <c r="R249" s="20" t="n">
        <v>882</v>
      </c>
      <c r="S249" s="20" t="n">
        <v>1624</v>
      </c>
      <c r="T249" s="20" t="n">
        <v>1782</v>
      </c>
      <c r="U249" s="20" t="n">
        <v>1520</v>
      </c>
      <c r="V249" s="20" t="n">
        <v>1769</v>
      </c>
      <c r="W249" s="20" t="n">
        <v>2893</v>
      </c>
      <c r="X249" s="20" t="n">
        <v>4450</v>
      </c>
    </row>
    <row r="250">
      <c r="A250" s="18" t="inlineStr">
        <is>
          <t>매도가능금융자산 매각이익</t>
        </is>
      </c>
      <c r="P250" s="20" t="n">
        <v>-519</v>
      </c>
      <c r="Q250" s="20" t="n">
        <v>0</v>
      </c>
    </row>
    <row r="251">
      <c r="A251" s="18" t="inlineStr">
        <is>
          <t>Loss Gain On Valuation Of Financial Instruments Ope CF</t>
        </is>
      </c>
      <c r="J251" s="20" t="n">
        <v>0</v>
      </c>
      <c r="N251" s="20" t="n">
        <v>-41075</v>
      </c>
    </row>
    <row r="252">
      <c r="A252" s="18" t="inlineStr">
        <is>
          <t>영업채권 및 기타채권 증감액</t>
        </is>
      </c>
      <c r="C252" s="20" t="n">
        <v>27098</v>
      </c>
      <c r="D252" s="20" t="n">
        <v>19157</v>
      </c>
      <c r="E252" s="20" t="n">
        <v>17400</v>
      </c>
      <c r="F252" s="20" t="n">
        <v>-7647</v>
      </c>
      <c r="G252" s="20" t="n">
        <v>-29231</v>
      </c>
      <c r="H252" s="20" t="n">
        <v>-22288</v>
      </c>
      <c r="I252" s="20" t="n">
        <v>-28090</v>
      </c>
      <c r="J252" s="20" t="n">
        <v>-11649</v>
      </c>
      <c r="K252" s="20" t="n">
        <v>-46128</v>
      </c>
      <c r="L252" s="20" t="n">
        <v>-23040</v>
      </c>
      <c r="M252" s="20" t="n">
        <v>-105858</v>
      </c>
      <c r="N252" s="20" t="n">
        <v>52128</v>
      </c>
      <c r="P252" s="20" t="n">
        <v>-5937</v>
      </c>
      <c r="Q252" s="20" t="n">
        <v>-14130</v>
      </c>
      <c r="R252" s="20" t="n">
        <v>6125</v>
      </c>
      <c r="S252" s="20" t="n">
        <v>-9365</v>
      </c>
      <c r="T252" s="20" t="n">
        <v>-19368</v>
      </c>
      <c r="U252" s="20" t="n">
        <v>-15582</v>
      </c>
      <c r="V252" s="20" t="n">
        <v>17400</v>
      </c>
      <c r="W252" s="20" t="n">
        <v>-28090</v>
      </c>
      <c r="X252" s="20" t="n">
        <v>-105858</v>
      </c>
    </row>
    <row r="253">
      <c r="A253" s="18" t="inlineStr">
        <is>
          <t>재고자산 증감액</t>
        </is>
      </c>
      <c r="C253" s="20" t="n">
        <v>-24835</v>
      </c>
      <c r="D253" s="20" t="n">
        <v>-36178</v>
      </c>
      <c r="E253" s="20" t="n">
        <v>-30923</v>
      </c>
      <c r="F253" s="20" t="n">
        <v>-11511</v>
      </c>
      <c r="G253" s="20" t="n">
        <v>-13245</v>
      </c>
      <c r="H253" s="20" t="n">
        <v>-5176</v>
      </c>
      <c r="I253" s="20" t="n">
        <v>-4682</v>
      </c>
      <c r="J253" s="20" t="n">
        <v>1348</v>
      </c>
      <c r="K253" s="20" t="n">
        <v>1346</v>
      </c>
      <c r="L253" s="20" t="n">
        <v>-9239</v>
      </c>
      <c r="M253" s="20" t="n">
        <v>-18471</v>
      </c>
      <c r="N253" s="20" t="n">
        <v>-41346</v>
      </c>
      <c r="P253" s="20" t="n">
        <v>-10479</v>
      </c>
      <c r="Q253" s="20" t="n">
        <v>-6901</v>
      </c>
      <c r="R253" s="20" t="n">
        <v>-1907</v>
      </c>
      <c r="S253" s="20" t="n">
        <v>-4457</v>
      </c>
      <c r="T253" s="20" t="n">
        <v>-28004</v>
      </c>
      <c r="U253" s="20" t="n">
        <v>-71638</v>
      </c>
      <c r="V253" s="20" t="n">
        <v>-30923</v>
      </c>
      <c r="W253" s="20" t="n">
        <v>-4682</v>
      </c>
      <c r="X253" s="20" t="n">
        <v>-18471</v>
      </c>
    </row>
    <row r="254">
      <c r="A254" s="18" t="inlineStr">
        <is>
          <t>영업채무 및 기타채무 증감액</t>
        </is>
      </c>
      <c r="C254" s="20" t="n">
        <v>-18254</v>
      </c>
      <c r="D254" s="20" t="n">
        <v>-20933</v>
      </c>
      <c r="E254" s="20" t="n">
        <v>-16857</v>
      </c>
      <c r="F254" s="20" t="n">
        <v>6738</v>
      </c>
      <c r="G254" s="20" t="n">
        <v>19928</v>
      </c>
      <c r="H254" s="20" t="n">
        <v>10527</v>
      </c>
      <c r="I254" s="20" t="n">
        <v>30124</v>
      </c>
      <c r="J254" s="20" t="n">
        <v>-8752</v>
      </c>
      <c r="K254" s="20" t="n">
        <v>9068</v>
      </c>
      <c r="L254" s="20" t="n">
        <v>-3410</v>
      </c>
      <c r="M254" s="20" t="n">
        <v>31888</v>
      </c>
      <c r="N254" s="20" t="n">
        <v>-407</v>
      </c>
      <c r="P254" s="20" t="n">
        <v>14486</v>
      </c>
      <c r="Q254" s="20" t="n">
        <v>632</v>
      </c>
      <c r="R254" s="20" t="n">
        <v>1444</v>
      </c>
      <c r="S254" s="20" t="n">
        <v>11048</v>
      </c>
      <c r="T254" s="20" t="n">
        <v>9823</v>
      </c>
      <c r="U254" s="20" t="n">
        <v>16484</v>
      </c>
      <c r="V254" s="20" t="n">
        <v>-16857</v>
      </c>
      <c r="W254" s="20" t="n">
        <v>30124</v>
      </c>
      <c r="X254" s="20" t="n">
        <v>31888</v>
      </c>
    </row>
    <row r="255">
      <c r="A255" s="18" t="inlineStr">
        <is>
          <t>제품보증 충당금 증감액</t>
        </is>
      </c>
      <c r="E255" s="20" t="n">
        <v>-478</v>
      </c>
      <c r="I255" s="20" t="n">
        <v>3817</v>
      </c>
      <c r="M255" s="20" t="n">
        <v>3064</v>
      </c>
      <c r="P255" s="20" t="n">
        <v>1400</v>
      </c>
      <c r="Q255" s="20" t="n">
        <v>-155</v>
      </c>
      <c r="R255" s="20" t="n">
        <v>460</v>
      </c>
      <c r="S255" s="20" t="n">
        <v>707</v>
      </c>
      <c r="T255" s="20" t="n">
        <v>2437</v>
      </c>
      <c r="U255" s="20" t="n">
        <v>2536</v>
      </c>
      <c r="V255" s="20" t="n">
        <v>-478</v>
      </c>
      <c r="W255" s="20" t="n">
        <v>3817</v>
      </c>
      <c r="X255" s="20" t="n">
        <v>3064</v>
      </c>
    </row>
    <row r="256">
      <c r="A256" s="18" t="inlineStr">
        <is>
          <t>선수금 증감액</t>
        </is>
      </c>
      <c r="E256" s="20" t="n">
        <v>-3168</v>
      </c>
      <c r="I256" s="20" t="n">
        <v>11099</v>
      </c>
      <c r="M256" s="20" t="n">
        <v>9748</v>
      </c>
      <c r="S256" s="20" t="n">
        <v>3351</v>
      </c>
      <c r="T256" s="20" t="n">
        <v>8937</v>
      </c>
      <c r="U256" s="20" t="n">
        <v>-2328</v>
      </c>
      <c r="V256" s="20" t="n">
        <v>-3168</v>
      </c>
      <c r="W256" s="20" t="n">
        <v>11099</v>
      </c>
      <c r="X256" s="20" t="n">
        <v>9748</v>
      </c>
    </row>
    <row r="257">
      <c r="A257" s="18" t="inlineStr">
        <is>
          <t>제품보증 충당금 증감액</t>
        </is>
      </c>
      <c r="C257" s="20" t="n">
        <v>-199</v>
      </c>
      <c r="D257" s="20" t="n">
        <v>223</v>
      </c>
      <c r="F257" s="20" t="n">
        <v>-35</v>
      </c>
      <c r="G257" s="20" t="n">
        <v>577</v>
      </c>
      <c r="H257" s="20" t="n">
        <v>3168</v>
      </c>
      <c r="J257" s="20" t="n">
        <v>1038</v>
      </c>
      <c r="K257" s="20" t="n">
        <v>1845</v>
      </c>
      <c r="L257" s="20" t="n">
        <v>2143</v>
      </c>
      <c r="N257" s="20" t="n">
        <v>444</v>
      </c>
    </row>
    <row r="258">
      <c r="A258" s="18" t="inlineStr">
        <is>
          <t>선수금 증감</t>
        </is>
      </c>
      <c r="C258" s="20" t="n">
        <v>7729</v>
      </c>
      <c r="G258" s="20" t="n">
        <v>8159</v>
      </c>
      <c r="K258" s="20" t="n">
        <v>9571</v>
      </c>
    </row>
    <row r="259">
      <c r="A259" s="18" t="inlineStr">
        <is>
          <t>Deposits Received Ope CF</t>
        </is>
      </c>
      <c r="D259" s="20" t="n">
        <v>166</v>
      </c>
      <c r="F259" s="20" t="n">
        <v>2055</v>
      </c>
      <c r="H259" s="20" t="n">
        <v>2657</v>
      </c>
      <c r="J259" s="20" t="n">
        <v>3526</v>
      </c>
      <c r="L259" s="20" t="n">
        <v>3041</v>
      </c>
      <c r="N259" s="20" t="n">
        <v>4219</v>
      </c>
    </row>
    <row r="260">
      <c r="A260" s="18" t="inlineStr">
        <is>
          <t>선수금 증감액</t>
        </is>
      </c>
      <c r="D260" s="20" t="n">
        <v>2285</v>
      </c>
      <c r="F260" s="20" t="n">
        <v>617</v>
      </c>
      <c r="H260" s="20" t="n">
        <v>4566</v>
      </c>
      <c r="J260" s="20" t="n">
        <v>1377</v>
      </c>
      <c r="L260" s="20" t="n">
        <v>2169</v>
      </c>
      <c r="N260" s="20" t="n">
        <v>36984</v>
      </c>
    </row>
    <row r="261">
      <c r="A261" s="18" t="inlineStr">
        <is>
          <t>퇴직급여부채 증감액</t>
        </is>
      </c>
      <c r="C261" s="20" t="n">
        <v>-381</v>
      </c>
      <c r="D261" s="20" t="n">
        <v>-632</v>
      </c>
      <c r="E261" s="20" t="n">
        <v>-1011</v>
      </c>
      <c r="F261" s="20" t="n">
        <v>258</v>
      </c>
      <c r="G261" s="20" t="n">
        <v>47</v>
      </c>
      <c r="H261" s="20" t="n">
        <v>-86</v>
      </c>
      <c r="I261" s="20" t="n">
        <v>-408</v>
      </c>
      <c r="J261" s="20" t="n">
        <v>-273</v>
      </c>
      <c r="K261" s="20" t="n">
        <v>-149</v>
      </c>
      <c r="L261" s="20" t="n">
        <v>-304</v>
      </c>
      <c r="M261" s="20" t="n">
        <v>152</v>
      </c>
      <c r="N261" s="20" t="n">
        <v>-275</v>
      </c>
      <c r="P261" s="20" t="n">
        <v>1553</v>
      </c>
      <c r="Q261" s="20" t="n">
        <v>-4828</v>
      </c>
      <c r="R261" s="20" t="n">
        <v>1665</v>
      </c>
      <c r="S261" s="20" t="n">
        <v>-3176</v>
      </c>
      <c r="T261" s="20" t="n">
        <v>-10808</v>
      </c>
      <c r="U261" s="20" t="n">
        <v>-2832</v>
      </c>
      <c r="V261" s="20" t="n">
        <v>-1011</v>
      </c>
      <c r="W261" s="20" t="n">
        <v>-408</v>
      </c>
      <c r="X261" s="20" t="n">
        <v>152</v>
      </c>
    </row>
    <row r="262">
      <c r="A262" s="18" t="inlineStr">
        <is>
          <t>기타</t>
        </is>
      </c>
      <c r="C262" s="20" t="n">
        <v>-10672</v>
      </c>
      <c r="D262" s="20" t="n">
        <v>-228</v>
      </c>
      <c r="E262" s="20" t="n">
        <v>-249</v>
      </c>
      <c r="F262" s="20" t="n">
        <v>-428</v>
      </c>
      <c r="G262" s="20" t="n">
        <v>1266</v>
      </c>
      <c r="H262" s="20" t="n">
        <v>4602</v>
      </c>
      <c r="I262" s="20" t="n">
        <v>11833</v>
      </c>
      <c r="J262" s="20" t="n">
        <v>-7430</v>
      </c>
      <c r="K262" s="20" t="n">
        <v>-9245</v>
      </c>
      <c r="L262" s="20" t="n">
        <v>-6756</v>
      </c>
      <c r="M262" s="20" t="n">
        <v>-21921</v>
      </c>
      <c r="N262" s="20" t="n">
        <v>-14206</v>
      </c>
      <c r="P262" s="20" t="n">
        <v>1233</v>
      </c>
      <c r="Q262" s="20" t="n">
        <v>2255</v>
      </c>
      <c r="R262" s="20" t="n">
        <v>-831</v>
      </c>
      <c r="S262" s="20" t="n">
        <v>-4086</v>
      </c>
      <c r="T262" s="20" t="n">
        <v>-2658</v>
      </c>
      <c r="U262" s="20" t="n">
        <v>-10302</v>
      </c>
      <c r="V262" s="20" t="n">
        <v>-249</v>
      </c>
      <c r="W262" s="20" t="n">
        <v>11833</v>
      </c>
      <c r="X262" s="20" t="n">
        <v>-21921</v>
      </c>
    </row>
    <row r="263">
      <c r="A263" s="18" t="inlineStr">
        <is>
          <t>소계</t>
        </is>
      </c>
      <c r="C263" s="20" t="n">
        <v>26295</v>
      </c>
      <c r="D263" s="20" t="n">
        <v>42559</v>
      </c>
      <c r="E263" s="20" t="n">
        <v>79755</v>
      </c>
      <c r="F263" s="20" t="n">
        <v>29079</v>
      </c>
      <c r="G263" s="20" t="n">
        <v>94404</v>
      </c>
      <c r="H263" s="20" t="n">
        <v>182141</v>
      </c>
      <c r="I263" s="20" t="n">
        <v>299828</v>
      </c>
      <c r="J263" s="20" t="n">
        <v>106654</v>
      </c>
      <c r="K263" s="20" t="n">
        <v>209187</v>
      </c>
      <c r="L263" s="20" t="n">
        <v>327750</v>
      </c>
      <c r="M263" s="20" t="n">
        <v>445384</v>
      </c>
      <c r="N263" s="20" t="n">
        <v>237699</v>
      </c>
      <c r="P263" s="20" t="n">
        <v>31128</v>
      </c>
      <c r="Q263" s="20" t="n">
        <v>48532</v>
      </c>
      <c r="R263" s="20" t="n">
        <v>77304</v>
      </c>
      <c r="S263" s="20" t="n">
        <v>77020</v>
      </c>
      <c r="T263" s="20" t="n">
        <v>93452</v>
      </c>
      <c r="U263" s="20" t="n">
        <v>110524</v>
      </c>
      <c r="V263" s="20" t="n">
        <v>79755</v>
      </c>
      <c r="W263" s="20" t="n">
        <v>299828</v>
      </c>
      <c r="X263" s="20" t="n">
        <v>445384</v>
      </c>
    </row>
    <row r="264">
      <c r="A264" s="18" t="inlineStr">
        <is>
          <t>이자·배당금 수취</t>
        </is>
      </c>
      <c r="C264" s="20" t="n">
        <v>500</v>
      </c>
      <c r="D264" s="20" t="n">
        <v>826</v>
      </c>
      <c r="E264" s="20" t="n">
        <v>1202</v>
      </c>
      <c r="F264" s="20" t="n">
        <v>471</v>
      </c>
      <c r="G264" s="20" t="n">
        <v>940</v>
      </c>
      <c r="H264" s="20" t="n">
        <v>1338</v>
      </c>
      <c r="I264" s="20" t="n">
        <v>1808</v>
      </c>
      <c r="J264" s="20" t="n">
        <v>683</v>
      </c>
      <c r="K264" s="20" t="n">
        <v>1273</v>
      </c>
      <c r="L264" s="20" t="n">
        <v>1948</v>
      </c>
      <c r="M264" s="20" t="n">
        <v>2968</v>
      </c>
      <c r="N264" s="20" t="n">
        <v>1171</v>
      </c>
      <c r="P264" s="20" t="n">
        <v>497</v>
      </c>
      <c r="Q264" s="20" t="n">
        <v>1007</v>
      </c>
      <c r="R264" s="20" t="n">
        <v>836</v>
      </c>
      <c r="S264" s="20" t="n">
        <v>152</v>
      </c>
      <c r="T264" s="20" t="n">
        <v>143</v>
      </c>
      <c r="U264" s="20" t="n">
        <v>459</v>
      </c>
      <c r="V264" s="20" t="n">
        <v>1202</v>
      </c>
      <c r="W264" s="20" t="n">
        <v>1808</v>
      </c>
      <c r="X264" s="20" t="n">
        <v>2968</v>
      </c>
    </row>
    <row r="265">
      <c r="A265" s="18" t="inlineStr">
        <is>
          <t>이자 지급</t>
        </is>
      </c>
      <c r="C265" s="20" t="n">
        <v>-720</v>
      </c>
      <c r="D265" s="20" t="n">
        <v>-1101</v>
      </c>
      <c r="E265" s="20" t="n">
        <v>-2305</v>
      </c>
      <c r="F265" s="20" t="n">
        <v>-464</v>
      </c>
      <c r="G265" s="20" t="n">
        <v>-911</v>
      </c>
      <c r="H265" s="20" t="n">
        <v>-1308</v>
      </c>
      <c r="I265" s="20" t="n">
        <v>-2522</v>
      </c>
      <c r="J265" s="20" t="n">
        <v>-456</v>
      </c>
      <c r="K265" s="20" t="n">
        <v>-870</v>
      </c>
      <c r="L265" s="20" t="n">
        <v>-1253</v>
      </c>
      <c r="M265" s="20" t="n">
        <v>-2400</v>
      </c>
      <c r="N265" s="20" t="n">
        <v>-600</v>
      </c>
      <c r="P265" s="20" t="n">
        <v>-48</v>
      </c>
      <c r="Q265" s="20" t="n">
        <v>-3</v>
      </c>
      <c r="R265" s="20" t="n">
        <v>-155</v>
      </c>
      <c r="S265" s="20" t="n">
        <v>-183</v>
      </c>
      <c r="T265" s="20" t="n">
        <v>-220</v>
      </c>
      <c r="U265" s="20" t="n">
        <v>-593</v>
      </c>
      <c r="V265" s="20" t="n">
        <v>-2305</v>
      </c>
      <c r="W265" s="20" t="n">
        <v>-2522</v>
      </c>
      <c r="X265" s="20" t="n">
        <v>-2400</v>
      </c>
    </row>
    <row r="266">
      <c r="A266" s="18" t="inlineStr">
        <is>
          <t>법인소득세 지급액</t>
        </is>
      </c>
      <c r="C266" s="20" t="n">
        <v>-25978</v>
      </c>
      <c r="D266" s="20" t="n">
        <v>-45076</v>
      </c>
      <c r="E266" s="20" t="n">
        <v>-45984</v>
      </c>
      <c r="F266" s="20" t="n">
        <v>-1406</v>
      </c>
      <c r="G266" s="20" t="n">
        <v>-1565</v>
      </c>
      <c r="H266" s="20" t="n">
        <v>-11806</v>
      </c>
      <c r="I266" s="20" t="n">
        <v>-13143</v>
      </c>
      <c r="J266" s="20" t="n">
        <v>-60030</v>
      </c>
      <c r="K266" s="20" t="n">
        <v>-69667</v>
      </c>
      <c r="L266" s="20" t="n">
        <v>-109891</v>
      </c>
      <c r="M266" s="20" t="n">
        <v>-110770</v>
      </c>
      <c r="N266" s="20" t="n">
        <v>-101115</v>
      </c>
      <c r="P266" s="20" t="n">
        <v>-3323</v>
      </c>
      <c r="Q266" s="20" t="n">
        <v>-4744</v>
      </c>
      <c r="R266" s="20" t="n">
        <v>-11510</v>
      </c>
      <c r="S266" s="20" t="n">
        <v>-9159</v>
      </c>
      <c r="T266" s="20" t="n">
        <v>-14486</v>
      </c>
      <c r="U266" s="20" t="n">
        <v>-40166</v>
      </c>
      <c r="V266" s="20" t="n">
        <v>-45984</v>
      </c>
      <c r="W266" s="20" t="n">
        <v>-13143</v>
      </c>
      <c r="X266" s="20" t="n">
        <v>-110770</v>
      </c>
    </row>
    <row r="267">
      <c r="A267" s="9" t="inlineStr">
        <is>
          <t>영업활동 현금흐름 계</t>
        </is>
      </c>
      <c r="C267" s="12" t="n">
        <v>97</v>
      </c>
      <c r="D267" s="12" t="n">
        <v>-2792</v>
      </c>
      <c r="E267" s="12" t="n">
        <v>32668</v>
      </c>
      <c r="F267" s="12" t="n">
        <v>27680</v>
      </c>
      <c r="G267" s="12" t="n">
        <v>92868</v>
      </c>
      <c r="H267" s="12" t="n">
        <v>170365</v>
      </c>
      <c r="I267" s="12" t="n">
        <v>285971</v>
      </c>
      <c r="J267" s="12" t="n">
        <v>46851</v>
      </c>
      <c r="K267" s="12" t="n">
        <v>139923</v>
      </c>
      <c r="L267" s="12" t="n">
        <v>218554</v>
      </c>
      <c r="M267" s="12" t="n">
        <v>335182</v>
      </c>
      <c r="N267" s="12" t="n">
        <v>137155</v>
      </c>
      <c r="P267" s="12" t="n">
        <v>28254</v>
      </c>
      <c r="Q267" s="12" t="n">
        <v>44792</v>
      </c>
      <c r="R267" s="12" t="n">
        <v>66475</v>
      </c>
      <c r="S267" s="12" t="n">
        <v>67830</v>
      </c>
      <c r="T267" s="12" t="n">
        <v>78889</v>
      </c>
      <c r="U267" s="12" t="n">
        <v>70224</v>
      </c>
      <c r="V267" s="12" t="n">
        <v>32668</v>
      </c>
      <c r="W267" s="12" t="n">
        <v>285971</v>
      </c>
      <c r="X267" s="12" t="n">
        <v>335182</v>
      </c>
    </row>
    <row r="268">
      <c r="A268" s="18" t="inlineStr">
        <is>
          <t>매도가능금융자산 매각</t>
        </is>
      </c>
      <c r="P268" s="20" t="n">
        <v>883</v>
      </c>
      <c r="Q268" s="20" t="n">
        <v>0</v>
      </c>
    </row>
    <row r="269">
      <c r="A269" s="18" t="inlineStr">
        <is>
          <t>매도가능금융자산 취득</t>
        </is>
      </c>
      <c r="P269" s="20" t="n">
        <v>-216</v>
      </c>
      <c r="Q269" s="20" t="n">
        <v>0</v>
      </c>
    </row>
    <row r="270">
      <c r="A270" s="18" t="inlineStr">
        <is>
          <t>자본성 금융상품 취득</t>
        </is>
      </c>
      <c r="E270" s="20" t="n">
        <v>0</v>
      </c>
      <c r="I270" s="20" t="n">
        <v>-18529</v>
      </c>
      <c r="J270" s="20" t="n">
        <v>0</v>
      </c>
      <c r="M270" s="20" t="n">
        <v>0</v>
      </c>
      <c r="N270" s="20" t="n">
        <v>-26053</v>
      </c>
      <c r="P270" s="20" t="n">
        <v>0</v>
      </c>
      <c r="Q270" s="20" t="n">
        <v>-384</v>
      </c>
      <c r="R270" s="20" t="n">
        <v>0</v>
      </c>
      <c r="S270" s="20" t="n">
        <v>-6817</v>
      </c>
      <c r="T270" s="20" t="n">
        <v>-881</v>
      </c>
      <c r="U270" s="20" t="n">
        <v>0</v>
      </c>
      <c r="V270" s="20" t="n">
        <v>0</v>
      </c>
      <c r="W270" s="20" t="n">
        <v>-18529</v>
      </c>
      <c r="X270" s="20" t="n">
        <v>0</v>
      </c>
    </row>
    <row r="271">
      <c r="A271" s="18" t="inlineStr">
        <is>
          <t>부채성 금융상품 취득</t>
        </is>
      </c>
      <c r="Q271" s="20" t="n">
        <v>0</v>
      </c>
      <c r="R271" s="20" t="n">
        <v>-548</v>
      </c>
    </row>
    <row r="272">
      <c r="A272" s="18" t="inlineStr">
        <is>
          <t>부채성 금융상품 취득</t>
        </is>
      </c>
      <c r="R272" s="20" t="n">
        <v>-548</v>
      </c>
      <c r="S272" s="20" t="n">
        <v>0</v>
      </c>
    </row>
    <row r="273">
      <c r="A273" s="18" t="inlineStr">
        <is>
          <t>부채성 금융상품 매각</t>
        </is>
      </c>
      <c r="S273" s="20" t="n">
        <v>0</v>
      </c>
      <c r="T273" s="20" t="n">
        <v>404</v>
      </c>
      <c r="U273" s="20" t="n">
        <v>0</v>
      </c>
    </row>
    <row r="274">
      <c r="A274" s="18" t="inlineStr">
        <is>
          <t>유형자산 매각</t>
        </is>
      </c>
      <c r="E274" s="20" t="n">
        <v>49</v>
      </c>
      <c r="I274" s="20" t="n">
        <v>25</v>
      </c>
      <c r="M274" s="20" t="n">
        <v>8</v>
      </c>
      <c r="P274" s="20" t="n">
        <v>1882</v>
      </c>
      <c r="Q274" s="20" t="n">
        <v>1927</v>
      </c>
      <c r="R274" s="20" t="n">
        <v>234</v>
      </c>
      <c r="S274" s="20" t="n">
        <v>109</v>
      </c>
      <c r="T274" s="20" t="n">
        <v>45</v>
      </c>
      <c r="U274" s="20" t="n">
        <v>356</v>
      </c>
      <c r="V274" s="20" t="n">
        <v>49</v>
      </c>
      <c r="W274" s="20" t="n">
        <v>25</v>
      </c>
      <c r="X274" s="20" t="n">
        <v>8</v>
      </c>
    </row>
    <row r="275">
      <c r="A275" s="18" t="inlineStr">
        <is>
          <t>자본성 금융상품 매각</t>
        </is>
      </c>
      <c r="C275" s="20" t="n">
        <v>1150</v>
      </c>
      <c r="D275" s="20" t="n">
        <v>1150</v>
      </c>
      <c r="E275" s="20" t="n">
        <v>1150</v>
      </c>
      <c r="F275" s="20" t="n">
        <v>0</v>
      </c>
      <c r="G275" s="20" t="n">
        <v>0</v>
      </c>
      <c r="H275" s="20" t="n">
        <v>0</v>
      </c>
      <c r="I275" s="20" t="n">
        <v>0</v>
      </c>
      <c r="J275" s="20" t="n">
        <v>0</v>
      </c>
      <c r="N275" s="20" t="n">
        <v>22133</v>
      </c>
      <c r="Q275" s="20" t="n">
        <v>0</v>
      </c>
      <c r="R275" s="20" t="n">
        <v>111</v>
      </c>
      <c r="S275" s="20" t="n">
        <v>0</v>
      </c>
      <c r="T275" s="20" t="n">
        <v>920</v>
      </c>
      <c r="U275" s="20" t="n">
        <v>0</v>
      </c>
      <c r="V275" s="20" t="n">
        <v>1150</v>
      </c>
      <c r="W275" s="20" t="n">
        <v>0</v>
      </c>
    </row>
    <row r="276">
      <c r="A276" s="18" t="inlineStr">
        <is>
          <t>부채성 금융상품 취득</t>
        </is>
      </c>
      <c r="J276" s="20" t="n">
        <v>0</v>
      </c>
      <c r="N276" s="20" t="n">
        <v>-87817</v>
      </c>
    </row>
    <row r="277">
      <c r="A277" s="18" t="inlineStr">
        <is>
          <t>유형자산 취득(설비투자)</t>
        </is>
      </c>
      <c r="C277" s="20" t="n">
        <v>-9957</v>
      </c>
      <c r="D277" s="20" t="n">
        <v>-14079</v>
      </c>
      <c r="E277" s="20" t="n">
        <v>-19592</v>
      </c>
      <c r="F277" s="20" t="n">
        <v>-3778</v>
      </c>
      <c r="G277" s="20" t="n">
        <v>-7142</v>
      </c>
      <c r="H277" s="20" t="n">
        <v>-11991</v>
      </c>
      <c r="I277" s="20" t="n">
        <v>-17414</v>
      </c>
      <c r="J277" s="20" t="n">
        <v>-5649</v>
      </c>
      <c r="K277" s="20" t="n">
        <v>-18303</v>
      </c>
      <c r="L277" s="20" t="n">
        <v>-24734</v>
      </c>
      <c r="M277" s="20" t="n">
        <v>-33012</v>
      </c>
      <c r="N277" s="20" t="n">
        <v>-9852</v>
      </c>
      <c r="P277" s="20" t="n">
        <v>-4121</v>
      </c>
      <c r="Q277" s="20" t="n">
        <v>-5891</v>
      </c>
      <c r="R277" s="20" t="n">
        <v>-8141</v>
      </c>
      <c r="S277" s="20" t="n">
        <v>-12415</v>
      </c>
      <c r="T277" s="20" t="n">
        <v>-17158</v>
      </c>
      <c r="U277" s="20" t="n">
        <v>-22535</v>
      </c>
      <c r="V277" s="20" t="n">
        <v>-19592</v>
      </c>
      <c r="W277" s="20" t="n">
        <v>-17414</v>
      </c>
      <c r="X277" s="20" t="n">
        <v>-33012</v>
      </c>
    </row>
    <row r="278">
      <c r="A278" s="18" t="inlineStr">
        <is>
          <t>무형자산 취득 지출</t>
        </is>
      </c>
      <c r="C278" s="20" t="n">
        <v>-382</v>
      </c>
      <c r="D278" s="20" t="n">
        <v>-564</v>
      </c>
      <c r="E278" s="20" t="n">
        <v>-951</v>
      </c>
      <c r="F278" s="20" t="n">
        <v>-475</v>
      </c>
      <c r="G278" s="20" t="n">
        <v>-1028</v>
      </c>
      <c r="H278" s="20" t="n">
        <v>-1407</v>
      </c>
      <c r="I278" s="20" t="n">
        <v>-2017</v>
      </c>
      <c r="J278" s="20" t="n">
        <v>-406</v>
      </c>
      <c r="K278" s="20" t="n">
        <v>-1295</v>
      </c>
      <c r="L278" s="20" t="n">
        <v>-2002</v>
      </c>
      <c r="M278" s="20" t="n">
        <v>-3018</v>
      </c>
      <c r="N278" s="20" t="n">
        <v>-1032</v>
      </c>
      <c r="P278" s="20" t="n">
        <v>-607</v>
      </c>
      <c r="Q278" s="20" t="n">
        <v>-512</v>
      </c>
      <c r="R278" s="20" t="n">
        <v>-741</v>
      </c>
      <c r="S278" s="20" t="n">
        <v>-862</v>
      </c>
      <c r="T278" s="20" t="n">
        <v>-1061</v>
      </c>
      <c r="U278" s="20" t="n">
        <v>-1053</v>
      </c>
      <c r="V278" s="20" t="n">
        <v>-951</v>
      </c>
      <c r="W278" s="20" t="n">
        <v>-2017</v>
      </c>
      <c r="X278" s="20" t="n">
        <v>-3018</v>
      </c>
    </row>
    <row r="279">
      <c r="A279" s="18" t="inlineStr">
        <is>
          <t>사업양수 지출</t>
        </is>
      </c>
      <c r="P279" s="20" t="n">
        <v>0</v>
      </c>
      <c r="Q279" s="20" t="n">
        <v>-11098</v>
      </c>
      <c r="R279" s="20" t="n">
        <v>0</v>
      </c>
    </row>
    <row r="280">
      <c r="A280" s="18" t="inlineStr">
        <is>
          <t>사업양도 수입</t>
        </is>
      </c>
      <c r="F280" s="20" t="n">
        <v>0</v>
      </c>
      <c r="G280" s="20" t="n">
        <v>0</v>
      </c>
      <c r="H280" s="20" t="n">
        <v>0</v>
      </c>
      <c r="I280" s="20" t="n">
        <v>0</v>
      </c>
      <c r="J280" s="20" t="n">
        <v>2902</v>
      </c>
      <c r="K280" s="20" t="n">
        <v>2902</v>
      </c>
      <c r="L280" s="20" t="n">
        <v>2902</v>
      </c>
      <c r="M280" s="20" t="n">
        <v>2902</v>
      </c>
      <c r="N280" s="20" t="n">
        <v>0</v>
      </c>
      <c r="R280" s="20" t="n">
        <v>0</v>
      </c>
      <c r="S280" s="20" t="n">
        <v>3295</v>
      </c>
      <c r="T280" s="20" t="n">
        <v>0</v>
      </c>
      <c r="W280" s="20" t="n">
        <v>0</v>
      </c>
      <c r="X280" s="20" t="n">
        <v>2902</v>
      </c>
    </row>
    <row r="281">
      <c r="A281" s="18" t="inlineStr">
        <is>
          <t>자회사 취득 지출</t>
        </is>
      </c>
      <c r="C281" s="20" t="n">
        <v>-8260</v>
      </c>
      <c r="D281" s="20" t="n">
        <v>-8260</v>
      </c>
      <c r="E281" s="20" t="n">
        <v>-8260</v>
      </c>
      <c r="F281" s="20" t="n">
        <v>-3860</v>
      </c>
      <c r="G281" s="20" t="n">
        <v>-3815</v>
      </c>
      <c r="H281" s="20" t="n">
        <v>-3815</v>
      </c>
      <c r="I281" s="20" t="n">
        <v>-3815</v>
      </c>
      <c r="J281" s="20" t="n">
        <v>0</v>
      </c>
      <c r="K281" s="20" t="n">
        <v>0</v>
      </c>
      <c r="L281" s="20" t="n">
        <v>0</v>
      </c>
      <c r="M281" s="20" t="n">
        <v>0</v>
      </c>
      <c r="Q281" s="20" t="n">
        <v>0</v>
      </c>
      <c r="R281" s="20" t="n">
        <v>-29665</v>
      </c>
      <c r="S281" s="20" t="n">
        <v>-156</v>
      </c>
      <c r="T281" s="20" t="n">
        <v>-28976</v>
      </c>
      <c r="U281" s="20" t="n">
        <v>-3505</v>
      </c>
      <c r="V281" s="20" t="n">
        <v>-8260</v>
      </c>
      <c r="W281" s="20" t="n">
        <v>-3815</v>
      </c>
      <c r="X281" s="20" t="n">
        <v>0</v>
      </c>
    </row>
    <row r="282">
      <c r="A282" s="18" t="inlineStr">
        <is>
          <t>기타</t>
        </is>
      </c>
      <c r="C282" s="20" t="n">
        <v>-276</v>
      </c>
      <c r="D282" s="20" t="n">
        <v>-184</v>
      </c>
      <c r="E282" s="20" t="n">
        <v>-336</v>
      </c>
      <c r="F282" s="20" t="n">
        <v>-239</v>
      </c>
      <c r="G282" s="20" t="n">
        <v>137</v>
      </c>
      <c r="H282" s="20" t="n">
        <v>770</v>
      </c>
      <c r="I282" s="20" t="n">
        <v>-439</v>
      </c>
      <c r="J282" s="20" t="n">
        <v>-291</v>
      </c>
      <c r="K282" s="20" t="n">
        <v>-445</v>
      </c>
      <c r="L282" s="20" t="n">
        <v>-508</v>
      </c>
      <c r="M282" s="20" t="n">
        <v>-1432</v>
      </c>
      <c r="N282" s="20" t="n">
        <v>73</v>
      </c>
      <c r="P282" s="20" t="n">
        <v>-150</v>
      </c>
      <c r="Q282" s="20" t="n">
        <v>43</v>
      </c>
      <c r="R282" s="20" t="n">
        <v>-69</v>
      </c>
      <c r="S282" s="20" t="n">
        <v>15</v>
      </c>
      <c r="T282" s="20" t="n">
        <v>-200</v>
      </c>
      <c r="U282" s="20" t="n">
        <v>31</v>
      </c>
      <c r="V282" s="20" t="n">
        <v>-336</v>
      </c>
      <c r="W282" s="20" t="n">
        <v>-439</v>
      </c>
      <c r="X282" s="20" t="n">
        <v>-1432</v>
      </c>
    </row>
    <row r="283">
      <c r="A283" s="9" t="inlineStr">
        <is>
          <t>투자활동 현금흐름 계</t>
        </is>
      </c>
      <c r="C283" s="12" t="n">
        <v>-17725</v>
      </c>
      <c r="D283" s="12" t="n">
        <v>-21937</v>
      </c>
      <c r="E283" s="12" t="n">
        <v>-27940</v>
      </c>
      <c r="F283" s="12" t="n">
        <v>-8352</v>
      </c>
      <c r="G283" s="12" t="n">
        <v>-11848</v>
      </c>
      <c r="H283" s="12" t="n">
        <v>-16443</v>
      </c>
      <c r="I283" s="12" t="n">
        <v>-42189</v>
      </c>
      <c r="J283" s="12" t="n">
        <v>-3444</v>
      </c>
      <c r="K283" s="12" t="n">
        <v>-17141</v>
      </c>
      <c r="L283" s="12" t="n">
        <v>-24342</v>
      </c>
      <c r="M283" s="12" t="n">
        <v>-34552</v>
      </c>
      <c r="N283" s="12" t="n">
        <v>-102548</v>
      </c>
      <c r="P283" s="12" t="n">
        <v>-2329</v>
      </c>
      <c r="Q283" s="12" t="n">
        <v>-15915</v>
      </c>
      <c r="R283" s="12" t="n">
        <v>-38819</v>
      </c>
      <c r="S283" s="12" t="n">
        <v>-16831</v>
      </c>
      <c r="T283" s="12" t="n">
        <v>-46907</v>
      </c>
      <c r="U283" s="12" t="n">
        <v>-26706</v>
      </c>
      <c r="V283" s="12" t="n">
        <v>-27940</v>
      </c>
      <c r="W283" s="12" t="n">
        <v>-42189</v>
      </c>
      <c r="X283" s="12" t="n">
        <v>-34552</v>
      </c>
    </row>
    <row r="284">
      <c r="A284" s="18" t="inlineStr">
        <is>
          <t>장기차입</t>
        </is>
      </c>
      <c r="E284" s="20" t="n">
        <v>54665</v>
      </c>
      <c r="I284" s="20" t="n">
        <v>0</v>
      </c>
      <c r="S284" s="20" t="n">
        <v>0</v>
      </c>
      <c r="T284" s="20" t="n">
        <v>11501</v>
      </c>
      <c r="U284" s="20" t="n">
        <v>20000</v>
      </c>
      <c r="V284" s="20" t="n">
        <v>54665</v>
      </c>
      <c r="W284" s="20" t="n">
        <v>0</v>
      </c>
    </row>
    <row r="285">
      <c r="A285" s="18" t="inlineStr">
        <is>
          <t>장기차입금 상환</t>
        </is>
      </c>
      <c r="E285" s="20" t="n">
        <v>-14667</v>
      </c>
      <c r="I285" s="20" t="n">
        <v>0</v>
      </c>
      <c r="U285" s="20" t="n">
        <v>0</v>
      </c>
      <c r="V285" s="20" t="n">
        <v>-14667</v>
      </c>
      <c r="W285" s="20" t="n">
        <v>0</v>
      </c>
    </row>
    <row r="286">
      <c r="A286" s="18" t="inlineStr">
        <is>
          <t>단기차입금 순증감액</t>
        </is>
      </c>
      <c r="C286" s="20" t="n">
        <v>20000</v>
      </c>
      <c r="D286" s="20" t="n">
        <v>40000</v>
      </c>
      <c r="E286" s="20" t="n">
        <v>0</v>
      </c>
      <c r="F286" s="20" t="n">
        <v>0</v>
      </c>
      <c r="G286" s="20" t="n">
        <v>0</v>
      </c>
      <c r="H286" s="20" t="n">
        <v>0</v>
      </c>
      <c r="I286" s="20" t="n">
        <v>0</v>
      </c>
      <c r="M286" s="20" t="n">
        <v>-75352</v>
      </c>
      <c r="S286" s="20" t="n">
        <v>0</v>
      </c>
      <c r="T286" s="20" t="n">
        <v>16967</v>
      </c>
      <c r="U286" s="20" t="n">
        <v>-19968</v>
      </c>
      <c r="V286" s="20" t="n">
        <v>0</v>
      </c>
      <c r="W286" s="20" t="n">
        <v>0</v>
      </c>
      <c r="X286" s="20" t="n">
        <v>-75352</v>
      </c>
    </row>
    <row r="287">
      <c r="A287" s="18" t="inlineStr">
        <is>
          <t>전환사채형 신주예약권부 사채 발행 수입</t>
        </is>
      </c>
      <c r="J287" s="20" t="n">
        <v>0</v>
      </c>
      <c r="N287" s="20" t="n">
        <v>100000</v>
      </c>
    </row>
    <row r="288">
      <c r="A288" s="18" t="inlineStr">
        <is>
          <t>자기주식 처분</t>
        </is>
      </c>
      <c r="C288" s="20" t="n">
        <v>542</v>
      </c>
      <c r="D288" s="20" t="n">
        <v>627</v>
      </c>
      <c r="E288" s="20" t="n">
        <v>867</v>
      </c>
      <c r="F288" s="20" t="n">
        <v>3</v>
      </c>
      <c r="G288" s="20" t="n">
        <v>191</v>
      </c>
      <c r="H288" s="20" t="n">
        <v>219</v>
      </c>
      <c r="I288" s="20" t="n">
        <v>352</v>
      </c>
      <c r="J288" s="20" t="n">
        <v>356</v>
      </c>
      <c r="K288" s="20" t="n">
        <v>411</v>
      </c>
      <c r="L288" s="20" t="n">
        <v>411</v>
      </c>
      <c r="M288" s="20" t="n">
        <v>411</v>
      </c>
      <c r="N288" s="20" t="n">
        <v>0</v>
      </c>
      <c r="P288" s="20" t="n">
        <v>3493</v>
      </c>
      <c r="Q288" s="20" t="n">
        <v>805</v>
      </c>
      <c r="R288" s="20" t="n">
        <v>1708</v>
      </c>
      <c r="S288" s="20" t="n">
        <v>1415</v>
      </c>
      <c r="T288" s="20" t="n">
        <v>955</v>
      </c>
      <c r="U288" s="20" t="n">
        <v>1134</v>
      </c>
      <c r="V288" s="20" t="n">
        <v>867</v>
      </c>
      <c r="W288" s="20" t="n">
        <v>352</v>
      </c>
      <c r="X288" s="20" t="n">
        <v>411</v>
      </c>
    </row>
    <row r="289">
      <c r="A289" s="18" t="inlineStr">
        <is>
          <t>자기주식 취득</t>
        </is>
      </c>
      <c r="C289" s="20" t="n">
        <v>-12</v>
      </c>
      <c r="D289" s="20" t="n">
        <v>-16</v>
      </c>
      <c r="E289" s="20" t="n">
        <v>-17</v>
      </c>
      <c r="F289" s="20" t="n">
        <v>-3</v>
      </c>
      <c r="G289" s="20" t="n">
        <v>-3</v>
      </c>
      <c r="H289" s="20" t="n">
        <v>-34044</v>
      </c>
      <c r="I289" s="20" t="n">
        <v>-50080</v>
      </c>
      <c r="J289" s="20" t="n">
        <v>-15447</v>
      </c>
      <c r="K289" s="20" t="n">
        <v>-70031</v>
      </c>
      <c r="L289" s="20" t="n">
        <v>-93517</v>
      </c>
      <c r="M289" s="20" t="n">
        <v>-114328</v>
      </c>
      <c r="N289" s="20" t="n">
        <v>-42211</v>
      </c>
      <c r="P289" s="20" t="n">
        <v>-2</v>
      </c>
      <c r="Q289" s="20" t="n">
        <v>-738</v>
      </c>
      <c r="R289" s="20" t="n">
        <v>-1124</v>
      </c>
      <c r="S289" s="20" t="n">
        <v>-14028</v>
      </c>
      <c r="T289" s="20" t="n">
        <v>-70148</v>
      </c>
      <c r="U289" s="20" t="n">
        <v>-50042</v>
      </c>
      <c r="V289" s="20" t="n">
        <v>-17</v>
      </c>
      <c r="W289" s="20" t="n">
        <v>-50080</v>
      </c>
      <c r="X289" s="20" t="n">
        <v>-114328</v>
      </c>
    </row>
    <row r="290">
      <c r="A290" s="18" t="inlineStr">
        <is>
          <t>사채 상환</t>
        </is>
      </c>
      <c r="P290" s="20" t="n">
        <v>-15000</v>
      </c>
      <c r="Q290" s="20" t="n">
        <v>0</v>
      </c>
    </row>
    <row r="291">
      <c r="A291" s="18" t="inlineStr">
        <is>
          <t>배당금 지급</t>
        </is>
      </c>
      <c r="C291" s="20" t="n">
        <v>-12893</v>
      </c>
      <c r="D291" s="20" t="n">
        <v>-24625</v>
      </c>
      <c r="E291" s="20" t="n">
        <v>-24881</v>
      </c>
      <c r="F291" s="20" t="n">
        <v>-12975</v>
      </c>
      <c r="G291" s="20" t="n">
        <v>-13278</v>
      </c>
      <c r="H291" s="20" t="n">
        <v>-27080</v>
      </c>
      <c r="I291" s="20" t="n">
        <v>-27320</v>
      </c>
      <c r="J291" s="20" t="n">
        <v>-14371</v>
      </c>
      <c r="K291" s="20" t="n">
        <v>-14667</v>
      </c>
      <c r="L291" s="20" t="n">
        <v>-35471</v>
      </c>
      <c r="M291" s="20" t="n">
        <v>-35754</v>
      </c>
      <c r="N291" s="20" t="n">
        <v>-21426</v>
      </c>
      <c r="P291" s="20" t="n">
        <v>-3718</v>
      </c>
      <c r="Q291" s="20" t="n">
        <v>-13786</v>
      </c>
      <c r="R291" s="20" t="n">
        <v>-16427</v>
      </c>
      <c r="S291" s="20" t="n">
        <v>-15594</v>
      </c>
      <c r="T291" s="20" t="n">
        <v>-25456</v>
      </c>
      <c r="U291" s="20" t="n">
        <v>-25418</v>
      </c>
      <c r="V291" s="20" t="n">
        <v>-24881</v>
      </c>
      <c r="W291" s="20" t="n">
        <v>-27320</v>
      </c>
      <c r="X291" s="20" t="n">
        <v>-35754</v>
      </c>
    </row>
    <row r="292">
      <c r="A292" s="18" t="inlineStr">
        <is>
          <t>리스부채 상환 지출</t>
        </is>
      </c>
      <c r="C292" s="20" t="n">
        <v>-2387</v>
      </c>
      <c r="D292" s="20" t="n">
        <v>-3602</v>
      </c>
      <c r="E292" s="20" t="n">
        <v>-5207</v>
      </c>
      <c r="F292" s="20" t="n">
        <v>-1363</v>
      </c>
      <c r="G292" s="20" t="n">
        <v>-2684</v>
      </c>
      <c r="H292" s="20" t="n">
        <v>-4004</v>
      </c>
      <c r="I292" s="20" t="n">
        <v>-5323</v>
      </c>
      <c r="J292" s="20" t="n">
        <v>-1327</v>
      </c>
      <c r="K292" s="20" t="n">
        <v>-2644</v>
      </c>
      <c r="L292" s="20" t="n">
        <v>-3847</v>
      </c>
      <c r="M292" s="20" t="n">
        <v>-4982</v>
      </c>
      <c r="N292" s="20" t="n">
        <v>-1196</v>
      </c>
      <c r="Q292" s="20" t="n">
        <v>0</v>
      </c>
      <c r="R292" s="20" t="n">
        <v>-2073</v>
      </c>
      <c r="S292" s="20" t="n">
        <v>-2208</v>
      </c>
      <c r="T292" s="20" t="n">
        <v>-2555</v>
      </c>
      <c r="U292" s="20" t="n">
        <v>-3140</v>
      </c>
      <c r="V292" s="20" t="n">
        <v>-5207</v>
      </c>
      <c r="W292" s="20" t="n">
        <v>-5323</v>
      </c>
      <c r="X292" s="20" t="n">
        <v>-4982</v>
      </c>
    </row>
    <row r="293">
      <c r="A293" s="18" t="inlineStr">
        <is>
          <t>기타</t>
        </is>
      </c>
      <c r="C293" s="20" t="n">
        <v>-1</v>
      </c>
      <c r="D293" s="20" t="n">
        <v>-2</v>
      </c>
      <c r="E293" s="20" t="n">
        <v>0</v>
      </c>
      <c r="F293" s="20" t="n">
        <v>-250</v>
      </c>
      <c r="G293" s="20" t="n">
        <v>-326</v>
      </c>
      <c r="H293" s="20" t="n">
        <v>-387</v>
      </c>
      <c r="I293" s="20" t="n">
        <v>-447</v>
      </c>
      <c r="J293" s="20" t="n">
        <v>-167</v>
      </c>
      <c r="K293" s="20" t="n">
        <v>-318</v>
      </c>
      <c r="L293" s="20" t="n">
        <v>-445</v>
      </c>
      <c r="M293" s="20" t="n">
        <v>-545</v>
      </c>
      <c r="N293" s="20" t="n">
        <v>-201</v>
      </c>
      <c r="P293" s="20" t="n">
        <v>-10</v>
      </c>
      <c r="Q293" s="20" t="n">
        <v>-5</v>
      </c>
      <c r="R293" s="20" t="n">
        <v>0</v>
      </c>
      <c r="S293" s="20" t="n">
        <v>0</v>
      </c>
      <c r="T293" s="20" t="n">
        <v>0</v>
      </c>
      <c r="U293" s="20" t="n">
        <v>0</v>
      </c>
      <c r="V293" s="20" t="n">
        <v>0</v>
      </c>
      <c r="W293" s="20" t="n">
        <v>-447</v>
      </c>
      <c r="X293" s="20" t="n">
        <v>-545</v>
      </c>
    </row>
    <row r="294">
      <c r="A294" s="9" t="inlineStr">
        <is>
          <t>재무활동 현금흐름 계</t>
        </is>
      </c>
      <c r="C294" s="12" t="n">
        <v>5249</v>
      </c>
      <c r="D294" s="12" t="n">
        <v>12382</v>
      </c>
      <c r="E294" s="12" t="n">
        <v>10760</v>
      </c>
      <c r="F294" s="12" t="n">
        <v>-14588</v>
      </c>
      <c r="G294" s="12" t="n">
        <v>-16100</v>
      </c>
      <c r="H294" s="12" t="n">
        <v>-65296</v>
      </c>
      <c r="I294" s="12" t="n">
        <v>-82818</v>
      </c>
      <c r="J294" s="12" t="n">
        <v>-30956</v>
      </c>
      <c r="K294" s="12" t="n">
        <v>-87249</v>
      </c>
      <c r="L294" s="12" t="n">
        <v>-132869</v>
      </c>
      <c r="M294" s="12" t="n">
        <v>-230550</v>
      </c>
      <c r="N294" s="12" t="n">
        <v>34966</v>
      </c>
      <c r="P294" s="12" t="n">
        <v>-15237</v>
      </c>
      <c r="Q294" s="12" t="n">
        <v>-13724</v>
      </c>
      <c r="R294" s="12" t="n">
        <v>-17916</v>
      </c>
      <c r="S294" s="12" t="n">
        <v>-30415</v>
      </c>
      <c r="T294" s="12" t="n">
        <v>-68736</v>
      </c>
      <c r="U294" s="12" t="n">
        <v>-77434</v>
      </c>
      <c r="V294" s="12" t="n">
        <v>10760</v>
      </c>
      <c r="W294" s="12" t="n">
        <v>-82818</v>
      </c>
      <c r="X294" s="12" t="n">
        <v>-230550</v>
      </c>
    </row>
    <row r="295">
      <c r="A295" s="18" t="inlineStr">
        <is>
          <t>현금성자산 환산차이</t>
        </is>
      </c>
      <c r="C295" s="20" t="n">
        <v>4567</v>
      </c>
      <c r="D295" s="20" t="n">
        <v>2527</v>
      </c>
      <c r="E295" s="20" t="n">
        <v>5677</v>
      </c>
      <c r="F295" s="20" t="n">
        <v>3960</v>
      </c>
      <c r="G295" s="20" t="n">
        <v>-4458</v>
      </c>
      <c r="H295" s="20" t="n">
        <v>717</v>
      </c>
      <c r="I295" s="20" t="n">
        <v>-5122</v>
      </c>
      <c r="J295" s="20" t="n">
        <v>-1581</v>
      </c>
      <c r="K295" s="20" t="n">
        <v>119</v>
      </c>
      <c r="L295" s="20" t="n">
        <v>5435</v>
      </c>
      <c r="M295" s="20" t="n">
        <v>7342</v>
      </c>
      <c r="N295" s="20" t="n">
        <v>3585</v>
      </c>
      <c r="P295" s="20" t="n">
        <v>-2039</v>
      </c>
      <c r="Q295" s="20" t="n">
        <v>817</v>
      </c>
      <c r="R295" s="20" t="n">
        <v>-1980</v>
      </c>
      <c r="S295" s="20" t="n">
        <v>877</v>
      </c>
      <c r="T295" s="20" t="n">
        <v>4172</v>
      </c>
      <c r="U295" s="20" t="n">
        <v>2871</v>
      </c>
      <c r="V295" s="20" t="n">
        <v>5677</v>
      </c>
      <c r="W295" s="20" t="n">
        <v>-5122</v>
      </c>
      <c r="X295" s="20" t="n">
        <v>7342</v>
      </c>
    </row>
    <row r="296">
      <c r="A296" s="18" t="inlineStr">
        <is>
          <t>현금및현금성자산 순증감액</t>
        </is>
      </c>
      <c r="C296" s="20" t="n">
        <v>-7812</v>
      </c>
      <c r="D296" s="20" t="n">
        <v>-9820</v>
      </c>
      <c r="E296" s="20" t="n">
        <v>21165</v>
      </c>
      <c r="F296" s="20" t="n">
        <v>8700</v>
      </c>
      <c r="G296" s="20" t="n">
        <v>60462</v>
      </c>
      <c r="H296" s="20" t="n">
        <v>89343</v>
      </c>
      <c r="I296" s="20" t="n">
        <v>155842</v>
      </c>
      <c r="J296" s="20" t="n">
        <v>10870</v>
      </c>
      <c r="K296" s="20" t="n">
        <v>35652</v>
      </c>
      <c r="L296" s="20" t="n">
        <v>66778</v>
      </c>
      <c r="M296" s="20" t="n">
        <v>77422</v>
      </c>
      <c r="N296" s="20" t="n">
        <v>73158</v>
      </c>
      <c r="P296" s="20" t="n">
        <v>8649</v>
      </c>
      <c r="Q296" s="20" t="n">
        <v>15970</v>
      </c>
      <c r="R296" s="20" t="n">
        <v>7760</v>
      </c>
      <c r="S296" s="20" t="n">
        <v>21461</v>
      </c>
      <c r="T296" s="20" t="n">
        <v>-32582</v>
      </c>
      <c r="U296" s="20" t="n">
        <v>-31045</v>
      </c>
      <c r="V296" s="20" t="n">
        <v>21165</v>
      </c>
      <c r="W296" s="20" t="n">
        <v>155842</v>
      </c>
      <c r="X296" s="20" t="n">
        <v>77422</v>
      </c>
    </row>
  </sheetData>
  <pageMargins left="0.75" right="0.75" top="1" bottom="1" header="0.5" footer="0.5"/>
  <pageSetup orientation="landscape" paperSize="8" fitToHeight="0" fitToWidth="1"/>
</worksheet>
</file>

<file path=xl/worksheets/sheet2.xml><?xml version="1.0" encoding="utf-8"?>
<worksheet xmlns="http://schemas.openxmlformats.org/spreadsheetml/2006/main">
  <sheetPr>
    <outlinePr summaryBelow="1" summaryRight="1"/>
    <pageSetUpPr fitToPage="1"/>
  </sheetPr>
  <dimension ref="A1:L110"/>
  <sheetViews>
    <sheetView showGridLines="0" zoomScale="85" workbookViewId="0">
      <pane xSplit="2" ySplit="3" topLeftCell="C4" activePane="bottomRight" state="frozen"/>
      <selection pane="topRight"/>
      <selection pane="bottomLeft"/>
      <selection pane="bottomRight" activeCell="A1" sqref="A1"/>
    </sheetView>
  </sheetViews>
  <sheetFormatPr baseColWidth="8" defaultRowHeight="15"/>
  <cols>
    <col width="24" customWidth="1" min="1" max="1"/>
    <col width="20" customWidth="1" min="2" max="2"/>
    <col outlineLevel="1" width="11" customWidth="1" min="3" max="3"/>
    <col outlineLevel="1" width="11" customWidth="1" min="4" max="4"/>
    <col outlineLevel="1" width="11" customWidth="1" min="5" max="5"/>
    <col outlineLevel="1" width="11" customWidth="1" min="6" max="6"/>
    <col outlineLevel="1" width="11" customWidth="1" min="7" max="7"/>
    <col width="11" customWidth="1" min="8" max="8"/>
    <col width="11" customWidth="1" min="9" max="9"/>
    <col width="11" customWidth="1" min="10" max="10"/>
    <col width="11" customWidth="1" min="11" max="11"/>
    <col width="11" customWidth="1" min="12" max="12"/>
  </cols>
  <sheetData>
    <row r="1" ht="30" customHeight="1">
      <c r="A1" s="1" t="inlineStr">
        <is>
          <t>6857 재무상태표</t>
        </is>
      </c>
    </row>
    <row r="2">
      <c r="A2" s="44" t="inlineStr">
        <is>
          <t>재무비율은 기말 잔액 기준 · 분기 손익은 최근 4분기 합산(TTM)</t>
        </is>
      </c>
      <c r="B2" s="3" t="inlineStr">
        <is>
          <t>(단위: 백만엔)</t>
        </is>
      </c>
    </row>
    <row r="3">
      <c r="A3" s="5" t="inlineStr">
        <is>
          <t>항목</t>
        </is>
      </c>
      <c r="B3" s="5" t="inlineStr">
        <is>
          <t>참고</t>
        </is>
      </c>
      <c r="C3" s="6" t="inlineStr">
        <is>
          <t>2026.1Q</t>
        </is>
      </c>
      <c r="D3" s="5" t="inlineStr">
        <is>
          <t>2026.2Q</t>
        </is>
      </c>
      <c r="E3" s="5" t="inlineStr">
        <is>
          <t>2026.3Q</t>
        </is>
      </c>
      <c r="F3" s="5" t="inlineStr">
        <is>
          <t>2026.4Q</t>
        </is>
      </c>
      <c r="G3" s="5" t="inlineStr">
        <is>
          <t>2027.1Q</t>
        </is>
      </c>
      <c r="H3" s="6" t="inlineStr">
        <is>
          <t>2022</t>
        </is>
      </c>
      <c r="I3" s="5" t="inlineStr">
        <is>
          <t>2023</t>
        </is>
      </c>
      <c r="J3" s="5" t="inlineStr">
        <is>
          <t>2024</t>
        </is>
      </c>
      <c r="K3" s="5" t="inlineStr">
        <is>
          <t>2025</t>
        </is>
      </c>
      <c r="L3" s="5" t="inlineStr">
        <is>
          <t>2026</t>
        </is>
      </c>
    </row>
    <row r="4">
      <c r="A4" s="16" t="inlineStr">
        <is>
          <t>자산</t>
        </is>
      </c>
      <c r="B4" s="16" t="n"/>
      <c r="C4" s="17" t="n"/>
      <c r="D4" s="16" t="n"/>
      <c r="E4" s="16" t="n"/>
      <c r="F4" s="16" t="n"/>
      <c r="G4" s="16" t="n"/>
      <c r="H4" s="17" t="n"/>
      <c r="I4" s="16" t="n"/>
      <c r="J4" s="16" t="n"/>
      <c r="K4" s="16" t="n"/>
      <c r="L4" s="16" t="n"/>
    </row>
    <row r="5">
      <c r="A5" s="9" t="inlineStr">
        <is>
          <t>유동자산</t>
        </is>
      </c>
      <c r="B5" s="10" t="n"/>
      <c r="C5" s="11" t="n">
        <v>627915</v>
      </c>
      <c r="D5" s="12" t="n">
        <v>694111</v>
      </c>
      <c r="E5" s="12" t="n">
        <v>718101</v>
      </c>
      <c r="F5" s="12" t="n">
        <v>836407</v>
      </c>
      <c r="G5" s="12" t="n">
        <v>890814</v>
      </c>
      <c r="H5" s="11" t="n">
        <v>304945</v>
      </c>
      <c r="I5" s="12" t="n">
        <v>374695</v>
      </c>
      <c r="J5" s="12" t="n">
        <v>420261</v>
      </c>
      <c r="K5" s="12" t="n">
        <v>599753</v>
      </c>
      <c r="L5" s="12" t="n">
        <v>836407</v>
      </c>
    </row>
    <row r="6">
      <c r="A6" s="18" t="inlineStr">
        <is>
          <t>현금및현금성자산</t>
        </is>
      </c>
      <c r="B6" s="10" t="n"/>
      <c r="C6" s="19" t="n">
        <v>273414</v>
      </c>
      <c r="D6" s="20" t="n">
        <v>298196</v>
      </c>
      <c r="E6" s="20" t="n">
        <v>329322</v>
      </c>
      <c r="F6" s="20" t="n">
        <v>339966</v>
      </c>
      <c r="G6" s="20" t="n">
        <v>413124</v>
      </c>
      <c r="H6" s="19" t="n">
        <v>116582</v>
      </c>
      <c r="I6" s="20" t="n">
        <v>85537</v>
      </c>
      <c r="J6" s="20" t="n">
        <v>106702</v>
      </c>
      <c r="K6" s="20" t="n">
        <v>262544</v>
      </c>
      <c r="L6" s="20" t="n">
        <v>339966</v>
      </c>
    </row>
    <row r="7">
      <c r="A7" s="18" t="inlineStr">
        <is>
          <t>단기금융상품</t>
        </is>
      </c>
      <c r="B7" s="10" t="n"/>
      <c r="C7" s="19" t="n"/>
      <c r="D7" s="20" t="n"/>
      <c r="E7" s="20" t="n"/>
      <c r="F7" s="20" t="n"/>
      <c r="G7" s="20" t="n"/>
      <c r="H7" s="19" t="n"/>
      <c r="I7" s="20" t="n"/>
      <c r="J7" s="20" t="n"/>
      <c r="K7" s="20" t="n"/>
      <c r="L7" s="20" t="n"/>
    </row>
    <row r="8">
      <c r="A8" s="18" t="inlineStr">
        <is>
          <t>매출채권</t>
        </is>
      </c>
      <c r="B8" s="10" t="n"/>
      <c r="C8" s="19" t="n">
        <v>127959</v>
      </c>
      <c r="D8" s="20" t="n">
        <v>163652</v>
      </c>
      <c r="E8" s="20" t="n">
        <v>143318</v>
      </c>
      <c r="F8" s="20" t="n">
        <v>228731</v>
      </c>
      <c r="G8" s="20" t="n">
        <v>178497</v>
      </c>
      <c r="H8" s="19" t="n">
        <v>82155</v>
      </c>
      <c r="I8" s="20" t="n">
        <v>102152</v>
      </c>
      <c r="J8" s="20" t="n">
        <v>88855</v>
      </c>
      <c r="K8" s="20" t="n">
        <v>113031</v>
      </c>
      <c r="L8" s="20" t="n">
        <v>228731</v>
      </c>
    </row>
    <row r="9">
      <c r="A9" s="18" t="inlineStr">
        <is>
          <t>재고자산</t>
        </is>
      </c>
      <c r="B9" s="10" t="n"/>
      <c r="C9" s="19" t="n">
        <v>209274</v>
      </c>
      <c r="D9" s="20" t="n">
        <v>210038</v>
      </c>
      <c r="E9" s="20" t="n">
        <v>222464</v>
      </c>
      <c r="F9" s="20" t="n">
        <v>231718</v>
      </c>
      <c r="G9" s="20" t="n">
        <v>273654</v>
      </c>
      <c r="H9" s="19" t="n">
        <v>95013</v>
      </c>
      <c r="I9" s="20" t="n">
        <v>169082</v>
      </c>
      <c r="J9" s="20" t="n">
        <v>204389</v>
      </c>
      <c r="K9" s="20" t="n">
        <v>209707</v>
      </c>
      <c r="L9" s="20" t="n">
        <v>231718</v>
      </c>
    </row>
    <row r="10">
      <c r="A10" s="18" t="inlineStr">
        <is>
          <t>기타유동자산</t>
        </is>
      </c>
      <c r="B10" s="10" t="inlineStr">
        <is>
          <t>총계 − 위 항목</t>
        </is>
      </c>
      <c r="C10" s="19">
        <f>IF(OR(C5=""),"",IFERROR(C5-SUM(C6,C7,C8,C9),""))</f>
        <v/>
      </c>
      <c r="D10" s="20">
        <f>IF(OR(D5=""),"",IFERROR(D5-SUM(D6,D7,D8,D9),""))</f>
        <v/>
      </c>
      <c r="E10" s="20">
        <f>IF(OR(E5=""),"",IFERROR(E5-SUM(E6,E7,E8,E9),""))</f>
        <v/>
      </c>
      <c r="F10" s="20">
        <f>IF(OR(F5=""),"",IFERROR(F5-SUM(F6,F7,F8,F9),""))</f>
        <v/>
      </c>
      <c r="G10" s="20">
        <f>IF(OR(G5=""),"",IFERROR(G5-SUM(G6,G7,G8,G9),""))</f>
        <v/>
      </c>
      <c r="H10" s="19">
        <f>IF(OR(H5=""),"",IFERROR(H5-SUM(H6,H7,H8,H9),""))</f>
        <v/>
      </c>
      <c r="I10" s="20">
        <f>IF(OR(I5=""),"",IFERROR(I5-SUM(I6,I7,I8,I9),""))</f>
        <v/>
      </c>
      <c r="J10" s="20">
        <f>IF(OR(J5=""),"",IFERROR(J5-SUM(J6,J7,J8,J9),""))</f>
        <v/>
      </c>
      <c r="K10" s="20">
        <f>IF(OR(K5=""),"",IFERROR(K5-SUM(K6,K7,K8,K9),""))</f>
        <v/>
      </c>
      <c r="L10" s="20">
        <f>IF(OR(L5=""),"",IFERROR(L5-SUM(L6,L7,L8,L9),""))</f>
        <v/>
      </c>
    </row>
    <row r="11">
      <c r="A11" s="9" t="inlineStr">
        <is>
          <t>비유동자산</t>
        </is>
      </c>
      <c r="B11" s="10" t="n"/>
      <c r="C11" s="11" t="n">
        <v>261954</v>
      </c>
      <c r="D11" s="12" t="n">
        <v>277430</v>
      </c>
      <c r="E11" s="12" t="n">
        <v>302414</v>
      </c>
      <c r="F11" s="12" t="n">
        <v>335409</v>
      </c>
      <c r="G11" s="12" t="n">
        <v>623838</v>
      </c>
      <c r="H11" s="11" t="n">
        <v>189751</v>
      </c>
      <c r="I11" s="12" t="n">
        <v>225529</v>
      </c>
      <c r="J11" s="12" t="n">
        <v>250968</v>
      </c>
      <c r="K11" s="12" t="n">
        <v>254457</v>
      </c>
      <c r="L11" s="12" t="n">
        <v>335409</v>
      </c>
    </row>
    <row r="12">
      <c r="A12" s="18" t="inlineStr">
        <is>
          <t>유형자산</t>
        </is>
      </c>
      <c r="B12" s="10" t="n"/>
      <c r="C12" s="19" t="n">
        <v>80363</v>
      </c>
      <c r="D12" s="20" t="n">
        <v>89993</v>
      </c>
      <c r="E12" s="20" t="n">
        <v>95719</v>
      </c>
      <c r="F12" s="20" t="n">
        <v>101628</v>
      </c>
      <c r="G12" s="20" t="n">
        <v>107707</v>
      </c>
      <c r="H12" s="19" t="n">
        <v>51392</v>
      </c>
      <c r="I12" s="20" t="n">
        <v>64046</v>
      </c>
      <c r="J12" s="20" t="n">
        <v>78884</v>
      </c>
      <c r="K12" s="20" t="n">
        <v>78602</v>
      </c>
      <c r="L12" s="20" t="n">
        <v>101628</v>
      </c>
    </row>
    <row r="13">
      <c r="A13" s="18" t="inlineStr">
        <is>
          <t>무형자산</t>
        </is>
      </c>
      <c r="B13" s="10" t="n"/>
      <c r="C13" s="19" t="n"/>
      <c r="D13" s="20" t="n"/>
      <c r="E13" s="20" t="n"/>
      <c r="F13" s="20" t="n"/>
      <c r="G13" s="20" t="n"/>
      <c r="H13" s="19" t="n"/>
      <c r="I13" s="20" t="n"/>
      <c r="J13" s="20" t="n"/>
      <c r="K13" s="20" t="n"/>
      <c r="L13" s="20" t="n"/>
    </row>
    <row r="14">
      <c r="A14" s="18" t="inlineStr">
        <is>
          <t>투자부동산</t>
        </is>
      </c>
      <c r="B14" s="10" t="n"/>
      <c r="C14" s="19" t="n"/>
      <c r="D14" s="20" t="n"/>
      <c r="E14" s="20" t="n"/>
      <c r="F14" s="20" t="n"/>
      <c r="G14" s="20" t="n"/>
      <c r="H14" s="19" t="n"/>
      <c r="I14" s="20" t="n"/>
      <c r="J14" s="20" t="n"/>
      <c r="K14" s="20" t="n"/>
      <c r="L14" s="20" t="n"/>
    </row>
    <row r="15">
      <c r="A15" s="18" t="inlineStr">
        <is>
          <t>기타비유동자산</t>
        </is>
      </c>
      <c r="B15" s="10" t="inlineStr">
        <is>
          <t>총계 − 위 항목</t>
        </is>
      </c>
      <c r="C15" s="19">
        <f>IF(OR(C11=""),"",IFERROR(C11-SUM(C12,C13,C14),""))</f>
        <v/>
      </c>
      <c r="D15" s="20">
        <f>IF(OR(D11=""),"",IFERROR(D11-SUM(D12,D13,D14),""))</f>
        <v/>
      </c>
      <c r="E15" s="20">
        <f>IF(OR(E11=""),"",IFERROR(E11-SUM(E12,E13,E14),""))</f>
        <v/>
      </c>
      <c r="F15" s="20">
        <f>IF(OR(F11=""),"",IFERROR(F11-SUM(F12,F13,F14),""))</f>
        <v/>
      </c>
      <c r="G15" s="20">
        <f>IF(OR(G11=""),"",IFERROR(G11-SUM(G12,G13,G14),""))</f>
        <v/>
      </c>
      <c r="H15" s="19">
        <f>IF(OR(H11=""),"",IFERROR(H11-SUM(H12,H13,H14),""))</f>
        <v/>
      </c>
      <c r="I15" s="20">
        <f>IF(OR(I11=""),"",IFERROR(I11-SUM(I12,I13,I14),""))</f>
        <v/>
      </c>
      <c r="J15" s="20">
        <f>IF(OR(J11=""),"",IFERROR(J11-SUM(J12,J13,J14),""))</f>
        <v/>
      </c>
      <c r="K15" s="20">
        <f>IF(OR(K11=""),"",IFERROR(K11-SUM(K12,K13,K14),""))</f>
        <v/>
      </c>
      <c r="L15" s="20">
        <f>IF(OR(L11=""),"",IFERROR(L11-SUM(L12,L13,L14),""))</f>
        <v/>
      </c>
    </row>
    <row r="16">
      <c r="A16" s="9" t="inlineStr">
        <is>
          <t>자산총계</t>
        </is>
      </c>
      <c r="B16" s="10" t="n"/>
      <c r="C16" s="11" t="n">
        <v>889869</v>
      </c>
      <c r="D16" s="12" t="n">
        <v>971541</v>
      </c>
      <c r="E16" s="12" t="n">
        <v>1020515</v>
      </c>
      <c r="F16" s="12" t="n">
        <v>1171816</v>
      </c>
      <c r="G16" s="12" t="n">
        <v>1514652</v>
      </c>
      <c r="H16" s="11" t="n">
        <v>494696</v>
      </c>
      <c r="I16" s="12" t="n">
        <v>600224</v>
      </c>
      <c r="J16" s="12" t="n">
        <v>671229</v>
      </c>
      <c r="K16" s="12" t="n">
        <v>854210</v>
      </c>
      <c r="L16" s="12" t="n">
        <v>1171816</v>
      </c>
    </row>
    <row r="17">
      <c r="A17" s="16" t="inlineStr">
        <is>
          <t>부채</t>
        </is>
      </c>
      <c r="B17" s="16" t="n"/>
      <c r="C17" s="17" t="n"/>
      <c r="D17" s="16" t="n"/>
      <c r="E17" s="16" t="n"/>
      <c r="F17" s="16" t="n"/>
      <c r="G17" s="16" t="n"/>
      <c r="H17" s="17" t="n"/>
      <c r="I17" s="16" t="n"/>
      <c r="J17" s="16" t="n"/>
      <c r="K17" s="16" t="n"/>
      <c r="L17" s="16" t="n"/>
    </row>
    <row r="18">
      <c r="A18" s="9" t="inlineStr">
        <is>
          <t>유동부채</t>
        </is>
      </c>
      <c r="B18" s="10" t="n"/>
      <c r="C18" s="11" t="n">
        <v>277536</v>
      </c>
      <c r="D18" s="12" t="n">
        <v>323564</v>
      </c>
      <c r="E18" s="12" t="n">
        <v>307376</v>
      </c>
      <c r="F18" s="12" t="n">
        <v>330284</v>
      </c>
      <c r="G18" s="12" t="n">
        <v>334182</v>
      </c>
      <c r="H18" s="11" t="n">
        <v>150882</v>
      </c>
      <c r="I18" s="12" t="n">
        <v>174689</v>
      </c>
      <c r="J18" s="12" t="n">
        <v>126277</v>
      </c>
      <c r="K18" s="12" t="n">
        <v>309424</v>
      </c>
      <c r="L18" s="12" t="n">
        <v>330284</v>
      </c>
    </row>
    <row r="19">
      <c r="A19" s="18" t="inlineStr">
        <is>
          <t>매입채무</t>
        </is>
      </c>
      <c r="B19" s="10" t="n"/>
      <c r="C19" s="19" t="n">
        <v>98675</v>
      </c>
      <c r="D19" s="20" t="n">
        <v>117179</v>
      </c>
      <c r="E19" s="20" t="n">
        <v>106381</v>
      </c>
      <c r="F19" s="20" t="n">
        <v>142061</v>
      </c>
      <c r="G19" s="20" t="n">
        <v>154357</v>
      </c>
      <c r="H19" s="19" t="n">
        <v>70352</v>
      </c>
      <c r="I19" s="20" t="n">
        <v>89262</v>
      </c>
      <c r="J19" s="20" t="n">
        <v>76863</v>
      </c>
      <c r="K19" s="20" t="n">
        <v>107093</v>
      </c>
      <c r="L19" s="20" t="n">
        <v>142061</v>
      </c>
    </row>
    <row r="20">
      <c r="A20" s="18" t="inlineStr">
        <is>
          <t>단기차입금</t>
        </is>
      </c>
      <c r="B20" s="10" t="n"/>
      <c r="C20" s="19" t="n">
        <v>74481</v>
      </c>
      <c r="D20" s="20" t="n">
        <v>74888</v>
      </c>
      <c r="E20" s="20" t="n">
        <v>75651</v>
      </c>
      <c r="F20" s="20" t="n">
        <v>0</v>
      </c>
      <c r="G20" s="20" t="n"/>
      <c r="H20" s="19" t="n">
        <v>18359</v>
      </c>
      <c r="I20" s="20" t="n">
        <v>13357</v>
      </c>
      <c r="J20" s="20" t="n">
        <v>0</v>
      </c>
      <c r="K20" s="20" t="n">
        <v>74952</v>
      </c>
      <c r="L20" s="20" t="n">
        <v>0</v>
      </c>
    </row>
    <row r="21">
      <c r="A21" s="18" t="inlineStr">
        <is>
          <t>유동성장기부채</t>
        </is>
      </c>
      <c r="B21" s="10" t="n"/>
      <c r="C21" s="19" t="n"/>
      <c r="D21" s="20" t="n"/>
      <c r="E21" s="20" t="n"/>
      <c r="F21" s="20" t="n"/>
      <c r="G21" s="20" t="n"/>
      <c r="H21" s="19" t="n"/>
      <c r="I21" s="20" t="n"/>
      <c r="J21" s="20" t="n"/>
      <c r="K21" s="20" t="n"/>
      <c r="L21" s="20" t="n"/>
    </row>
    <row r="22">
      <c r="A22" s="18" t="inlineStr">
        <is>
          <t>기타유동부채</t>
        </is>
      </c>
      <c r="B22" s="10" t="inlineStr">
        <is>
          <t>총계 − 위 항목</t>
        </is>
      </c>
      <c r="C22" s="19">
        <f>IF(OR(C18=""),"",IFERROR(C18-SUM(C19,C20,C21),""))</f>
        <v/>
      </c>
      <c r="D22" s="20">
        <f>IF(OR(D18=""),"",IFERROR(D18-SUM(D19,D20,D21),""))</f>
        <v/>
      </c>
      <c r="E22" s="20">
        <f>IF(OR(E18=""),"",IFERROR(E18-SUM(E19,E20,E21),""))</f>
        <v/>
      </c>
      <c r="F22" s="20">
        <f>IF(OR(F18=""),"",IFERROR(F18-SUM(F19,F20,F21),""))</f>
        <v/>
      </c>
      <c r="G22" s="20">
        <f>IF(OR(G18=""),"",IFERROR(G18-SUM(G19,G20,G21),""))</f>
        <v/>
      </c>
      <c r="H22" s="19">
        <f>IF(OR(H18=""),"",IFERROR(H18-SUM(H19,H20,H21),""))</f>
        <v/>
      </c>
      <c r="I22" s="20">
        <f>IF(OR(I18=""),"",IFERROR(I18-SUM(I19,I20,I21),""))</f>
        <v/>
      </c>
      <c r="J22" s="20">
        <f>IF(OR(J18=""),"",IFERROR(J18-SUM(J19,J20,J21),""))</f>
        <v/>
      </c>
      <c r="K22" s="20">
        <f>IF(OR(K18=""),"",IFERROR(K18-SUM(K19,K20,K21),""))</f>
        <v/>
      </c>
      <c r="L22" s="20">
        <f>IF(OR(L18=""),"",IFERROR(L18-SUM(L19,L20,L21),""))</f>
        <v/>
      </c>
    </row>
    <row r="23">
      <c r="A23" s="9" t="inlineStr">
        <is>
          <t>비유동부채</t>
        </is>
      </c>
      <c r="B23" s="10" t="n"/>
      <c r="C23" s="11" t="n">
        <v>38116</v>
      </c>
      <c r="D23" s="12" t="n">
        <v>37637</v>
      </c>
      <c r="E23" s="12" t="n">
        <v>38840</v>
      </c>
      <c r="F23" s="12" t="n">
        <v>45806</v>
      </c>
      <c r="G23" s="12" t="n">
        <v>137828</v>
      </c>
      <c r="H23" s="11" t="n">
        <v>49193</v>
      </c>
      <c r="I23" s="12" t="n">
        <v>56841</v>
      </c>
      <c r="J23" s="12" t="n">
        <v>113774</v>
      </c>
      <c r="K23" s="12" t="n">
        <v>38247</v>
      </c>
      <c r="L23" s="12" t="n">
        <v>45806</v>
      </c>
    </row>
    <row r="24">
      <c r="A24" s="18" t="inlineStr">
        <is>
          <t>장기차입금</t>
        </is>
      </c>
      <c r="B24" s="10" t="n"/>
      <c r="C24" s="19" t="n">
        <v>3</v>
      </c>
      <c r="D24" s="20" t="n">
        <v>0</v>
      </c>
      <c r="E24" s="20" t="n">
        <v>0</v>
      </c>
      <c r="F24" s="20" t="n">
        <v>0</v>
      </c>
      <c r="G24" s="20" t="n"/>
      <c r="H24" s="19" t="n">
        <v>12239</v>
      </c>
      <c r="I24" s="20" t="n">
        <v>20000</v>
      </c>
      <c r="J24" s="20" t="n">
        <v>75143</v>
      </c>
      <c r="K24" s="20" t="n">
        <v>3</v>
      </c>
      <c r="L24" s="20" t="n">
        <v>0</v>
      </c>
    </row>
    <row r="25">
      <c r="A25" s="18" t="inlineStr">
        <is>
          <t>사채</t>
        </is>
      </c>
      <c r="B25" s="10" t="n"/>
      <c r="C25" s="19" t="n"/>
      <c r="D25" s="20" t="n"/>
      <c r="E25" s="20" t="n"/>
      <c r="F25" s="20" t="n"/>
      <c r="G25" s="20" t="n"/>
      <c r="H25" s="19" t="n"/>
      <c r="I25" s="20" t="n"/>
      <c r="J25" s="20" t="n"/>
      <c r="K25" s="20" t="n"/>
      <c r="L25" s="20" t="n"/>
    </row>
    <row r="26">
      <c r="A26" s="18" t="inlineStr">
        <is>
          <t>기타비유동부채</t>
        </is>
      </c>
      <c r="B26" s="10" t="inlineStr">
        <is>
          <t>총계 − 위 항목</t>
        </is>
      </c>
      <c r="C26" s="19">
        <f>IF(OR(C23=""),"",IFERROR(C23-SUM(C24,C25),""))</f>
        <v/>
      </c>
      <c r="D26" s="20">
        <f>IF(OR(D23=""),"",IFERROR(D23-SUM(D24,D25),""))</f>
        <v/>
      </c>
      <c r="E26" s="20">
        <f>IF(OR(E23=""),"",IFERROR(E23-SUM(E24,E25),""))</f>
        <v/>
      </c>
      <c r="F26" s="20">
        <f>IF(OR(F23=""),"",IFERROR(F23-SUM(F24,F25),""))</f>
        <v/>
      </c>
      <c r="G26" s="20">
        <f>IF(OR(G23=""),"",IFERROR(G23-SUM(G24,G25),""))</f>
        <v/>
      </c>
      <c r="H26" s="19">
        <f>IF(OR(H23=""),"",IFERROR(H23-SUM(H24,H25),""))</f>
        <v/>
      </c>
      <c r="I26" s="20">
        <f>IF(OR(I23=""),"",IFERROR(I23-SUM(I24,I25),""))</f>
        <v/>
      </c>
      <c r="J26" s="20">
        <f>IF(OR(J23=""),"",IFERROR(J23-SUM(J24,J25),""))</f>
        <v/>
      </c>
      <c r="K26" s="20">
        <f>IF(OR(K23=""),"",IFERROR(K23-SUM(K24,K25),""))</f>
        <v/>
      </c>
      <c r="L26" s="20">
        <f>IF(OR(L23=""),"",IFERROR(L23-SUM(L24,L25),""))</f>
        <v/>
      </c>
    </row>
    <row r="27">
      <c r="A27" s="9" t="inlineStr">
        <is>
          <t>부채총계</t>
        </is>
      </c>
      <c r="B27" s="10" t="n"/>
      <c r="C27" s="11" t="n">
        <v>315652</v>
      </c>
      <c r="D27" s="12" t="n">
        <v>361201</v>
      </c>
      <c r="E27" s="12" t="n">
        <v>346216</v>
      </c>
      <c r="F27" s="12" t="n">
        <v>376090</v>
      </c>
      <c r="G27" s="12" t="n">
        <v>472010</v>
      </c>
      <c r="H27" s="11" t="n">
        <v>200075</v>
      </c>
      <c r="I27" s="12" t="n">
        <v>231530</v>
      </c>
      <c r="J27" s="12" t="n">
        <v>240051</v>
      </c>
      <c r="K27" s="12" t="n">
        <v>347671</v>
      </c>
      <c r="L27" s="12" t="n">
        <v>376090</v>
      </c>
    </row>
    <row r="28">
      <c r="A28" s="18" t="inlineStr">
        <is>
          <t>총차입금</t>
        </is>
      </c>
      <c r="B28" s="10" t="inlineStr">
        <is>
          <t>단기+유동성장기+장기+사채</t>
        </is>
      </c>
      <c r="C28" s="19">
        <f>SUM(C20,C21,C24,C25)</f>
        <v/>
      </c>
      <c r="D28" s="20">
        <f>SUM(D20,D21,D24,D25)</f>
        <v/>
      </c>
      <c r="E28" s="20">
        <f>SUM(E20,E21,E24,E25)</f>
        <v/>
      </c>
      <c r="F28" s="20">
        <f>SUM(F20,F21,F24,F25)</f>
        <v/>
      </c>
      <c r="G28" s="20">
        <f>SUM(G20,G21,G24,G25)</f>
        <v/>
      </c>
      <c r="H28" s="19">
        <f>SUM(H20,H21,H24,H25)</f>
        <v/>
      </c>
      <c r="I28" s="20">
        <f>SUM(I20,I21,I24,I25)</f>
        <v/>
      </c>
      <c r="J28" s="20">
        <f>SUM(J20,J21,J24,J25)</f>
        <v/>
      </c>
      <c r="K28" s="20">
        <f>SUM(K20,K21,K24,K25)</f>
        <v/>
      </c>
      <c r="L28" s="20">
        <f>SUM(L20,L21,L24,L25)</f>
        <v/>
      </c>
    </row>
    <row r="29">
      <c r="A29" s="18" t="inlineStr">
        <is>
          <t>순차입금</t>
        </is>
      </c>
      <c r="B29" s="10" t="inlineStr">
        <is>
          <t>음수 = 순현금</t>
        </is>
      </c>
      <c r="C29" s="19">
        <f>C28-C6-N(C7)</f>
        <v/>
      </c>
      <c r="D29" s="20">
        <f>D28-D6-N(D7)</f>
        <v/>
      </c>
      <c r="E29" s="20">
        <f>E28-E6-N(E7)</f>
        <v/>
      </c>
      <c r="F29" s="20">
        <f>F28-F6-N(F7)</f>
        <v/>
      </c>
      <c r="G29" s="20">
        <f>G28-G6-N(G7)</f>
        <v/>
      </c>
      <c r="H29" s="19">
        <f>H28-H6-N(H7)</f>
        <v/>
      </c>
      <c r="I29" s="20">
        <f>I28-I6-N(I7)</f>
        <v/>
      </c>
      <c r="J29" s="20">
        <f>J28-J6-N(J7)</f>
        <v/>
      </c>
      <c r="K29" s="20">
        <f>K28-K6-N(K7)</f>
        <v/>
      </c>
      <c r="L29" s="20">
        <f>L28-L6-N(L7)</f>
        <v/>
      </c>
    </row>
    <row r="30">
      <c r="A30" s="16" t="inlineStr">
        <is>
          <t>자본</t>
        </is>
      </c>
      <c r="B30" s="16" t="n"/>
      <c r="C30" s="17" t="n"/>
      <c r="D30" s="16" t="n"/>
      <c r="E30" s="16" t="n"/>
      <c r="F30" s="16" t="n"/>
      <c r="G30" s="16" t="n"/>
      <c r="H30" s="17" t="n"/>
      <c r="I30" s="16" t="n"/>
      <c r="J30" s="16" t="n"/>
      <c r="K30" s="16" t="n"/>
      <c r="L30" s="16" t="n"/>
    </row>
    <row r="31">
      <c r="A31" s="9" t="inlineStr">
        <is>
          <t>지배주주지분</t>
        </is>
      </c>
      <c r="B31" s="10" t="n"/>
      <c r="C31" s="11" t="n">
        <v>574217</v>
      </c>
      <c r="D31" s="12" t="n">
        <v>610340</v>
      </c>
      <c r="E31" s="12" t="n">
        <v>674299</v>
      </c>
      <c r="F31" s="12" t="n">
        <v>795726</v>
      </c>
      <c r="G31" s="12" t="n">
        <v>1042642</v>
      </c>
      <c r="H31" s="11" t="n">
        <v>294621</v>
      </c>
      <c r="I31" s="12" t="n">
        <v>368694</v>
      </c>
      <c r="J31" s="12" t="n">
        <v>431178</v>
      </c>
      <c r="K31" s="12" t="n">
        <v>506539</v>
      </c>
      <c r="L31" s="12" t="n">
        <v>795726</v>
      </c>
    </row>
    <row r="32">
      <c r="A32" s="18" t="inlineStr">
        <is>
          <t>자본금</t>
        </is>
      </c>
      <c r="B32" s="10" t="n"/>
      <c r="C32" s="19" t="n">
        <v>32363</v>
      </c>
      <c r="D32" s="20" t="n">
        <v>32363</v>
      </c>
      <c r="E32" s="20" t="n">
        <v>32363</v>
      </c>
      <c r="F32" s="20" t="n">
        <v>32363</v>
      </c>
      <c r="G32" s="20" t="n">
        <v>32363</v>
      </c>
      <c r="H32" s="19" t="n">
        <v>32363</v>
      </c>
      <c r="I32" s="20" t="n">
        <v>32363</v>
      </c>
      <c r="J32" s="20" t="n">
        <v>32363</v>
      </c>
      <c r="K32" s="20" t="n">
        <v>32363</v>
      </c>
      <c r="L32" s="20" t="n">
        <v>32363</v>
      </c>
    </row>
    <row r="33">
      <c r="A33" s="18" t="inlineStr">
        <is>
          <t>이익잉여금</t>
        </is>
      </c>
      <c r="B33" s="10" t="n"/>
      <c r="C33" s="19" t="n">
        <v>565010</v>
      </c>
      <c r="D33" s="20" t="n">
        <v>644478</v>
      </c>
      <c r="E33" s="20" t="n">
        <v>701965</v>
      </c>
      <c r="F33" s="20" t="n">
        <v>655566</v>
      </c>
      <c r="G33" s="20" t="n">
        <v>816018</v>
      </c>
      <c r="H33" s="19" t="n">
        <v>279828</v>
      </c>
      <c r="I33" s="20" t="n">
        <v>319171</v>
      </c>
      <c r="J33" s="20" t="n">
        <v>355299</v>
      </c>
      <c r="K33" s="20" t="n">
        <v>489850</v>
      </c>
      <c r="L33" s="20" t="n">
        <v>655566</v>
      </c>
    </row>
    <row r="34">
      <c r="A34" s="18" t="inlineStr">
        <is>
          <t>비지배지분</t>
        </is>
      </c>
      <c r="B34" s="10" t="n"/>
      <c r="C34" s="19" t="n"/>
      <c r="D34" s="20" t="n"/>
      <c r="E34" s="20" t="n"/>
      <c r="F34" s="20" t="n"/>
      <c r="G34" s="20" t="n"/>
      <c r="H34" s="19" t="n"/>
      <c r="I34" s="20" t="n"/>
      <c r="J34" s="20" t="n"/>
      <c r="K34" s="20" t="n"/>
      <c r="L34" s="20" t="n"/>
    </row>
    <row r="35">
      <c r="A35" s="9" t="inlineStr">
        <is>
          <t>자본총계</t>
        </is>
      </c>
      <c r="B35" s="10" t="n"/>
      <c r="C35" s="11" t="n">
        <v>574217</v>
      </c>
      <c r="D35" s="12" t="n">
        <v>610340</v>
      </c>
      <c r="E35" s="12" t="n">
        <v>674299</v>
      </c>
      <c r="F35" s="12" t="n">
        <v>795726</v>
      </c>
      <c r="G35" s="12" t="n">
        <v>1042642</v>
      </c>
      <c r="H35" s="11" t="n">
        <v>294621</v>
      </c>
      <c r="I35" s="12" t="n">
        <v>368694</v>
      </c>
      <c r="J35" s="12" t="n">
        <v>431178</v>
      </c>
      <c r="K35" s="12" t="n">
        <v>506539</v>
      </c>
      <c r="L35" s="12" t="n">
        <v>795726</v>
      </c>
    </row>
    <row r="36">
      <c r="A36" s="16" t="inlineStr">
        <is>
          <t>현금흐름 요약</t>
        </is>
      </c>
      <c r="B36" s="16" t="inlineStr">
        <is>
          <t>분기 = TTM (있을 때만)</t>
        </is>
      </c>
      <c r="C36" s="17" t="n"/>
      <c r="D36" s="16" t="n"/>
      <c r="E36" s="16" t="n"/>
      <c r="F36" s="16" t="n"/>
      <c r="G36" s="16" t="n"/>
      <c r="H36" s="17" t="n"/>
      <c r="I36" s="16" t="n"/>
      <c r="J36" s="16" t="n"/>
      <c r="K36" s="16" t="n"/>
      <c r="L36" s="16" t="n"/>
    </row>
    <row r="37">
      <c r="A37" s="9" t="inlineStr">
        <is>
          <t>영업활동현금흐름</t>
        </is>
      </c>
      <c r="B37" s="10" t="n"/>
      <c r="C37" s="11" t="n">
        <v>305142</v>
      </c>
      <c r="D37" s="12" t="n">
        <v>333026</v>
      </c>
      <c r="E37" s="12" t="n">
        <v>334160</v>
      </c>
      <c r="F37" s="12" t="n">
        <v>335182</v>
      </c>
      <c r="G37" s="12" t="n">
        <v>425486</v>
      </c>
      <c r="H37" s="11" t="n">
        <v>78889</v>
      </c>
      <c r="I37" s="12" t="n">
        <v>70224</v>
      </c>
      <c r="J37" s="12" t="n">
        <v>32668</v>
      </c>
      <c r="K37" s="12" t="n">
        <v>285971</v>
      </c>
      <c r="L37" s="12" t="n">
        <v>335182</v>
      </c>
    </row>
    <row r="38">
      <c r="A38" s="18" t="inlineStr">
        <is>
          <t>CAPEX (유·무형 취득)</t>
        </is>
      </c>
      <c r="B38" s="10" t="inlineStr">
        <is>
          <t>양수로 입력</t>
        </is>
      </c>
      <c r="C38" s="19" t="n">
        <v>21233</v>
      </c>
      <c r="D38" s="20" t="n">
        <v>30859</v>
      </c>
      <c r="E38" s="20" t="n">
        <v>32769</v>
      </c>
      <c r="F38" s="20" t="n">
        <v>36030</v>
      </c>
      <c r="G38" s="20" t="n">
        <v>40859</v>
      </c>
      <c r="H38" s="19" t="n">
        <v>18219</v>
      </c>
      <c r="I38" s="20" t="n">
        <v>23588</v>
      </c>
      <c r="J38" s="20" t="n">
        <v>20543</v>
      </c>
      <c r="K38" s="20" t="n">
        <v>19431</v>
      </c>
      <c r="L38" s="20" t="n">
        <v>36030</v>
      </c>
    </row>
    <row r="39">
      <c r="A39" s="9" t="inlineStr">
        <is>
          <t>FCF</t>
        </is>
      </c>
      <c r="B39" s="10" t="n"/>
      <c r="C39" s="11">
        <f>IF(OR(C37="",C38=""),"",IFERROR(C37-C38,""))</f>
        <v/>
      </c>
      <c r="D39" s="12">
        <f>IF(OR(D37="",D38=""),"",IFERROR(D37-D38,""))</f>
        <v/>
      </c>
      <c r="E39" s="12">
        <f>IF(OR(E37="",E38=""),"",IFERROR(E37-E38,""))</f>
        <v/>
      </c>
      <c r="F39" s="12">
        <f>IF(OR(F37="",F38=""),"",IFERROR(F37-F38,""))</f>
        <v/>
      </c>
      <c r="G39" s="12">
        <f>IF(OR(G37="",G38=""),"",IFERROR(G37-G38,""))</f>
        <v/>
      </c>
      <c r="H39" s="11">
        <f>IF(OR(H37="",H38=""),"",IFERROR(H37-H38,""))</f>
        <v/>
      </c>
      <c r="I39" s="12">
        <f>IF(OR(I37="",I38=""),"",IFERROR(I37-I38,""))</f>
        <v/>
      </c>
      <c r="J39" s="12">
        <f>IF(OR(J37="",J38=""),"",IFERROR(J37-J38,""))</f>
        <v/>
      </c>
      <c r="K39" s="12">
        <f>IF(OR(K37="",K38=""),"",IFERROR(K37-K38,""))</f>
        <v/>
      </c>
      <c r="L39" s="12">
        <f>IF(OR(L37="",L38=""),"",IFERROR(L37-L38,""))</f>
        <v/>
      </c>
    </row>
    <row r="40">
      <c r="A40" s="18" t="inlineStr">
        <is>
          <t>배당금 지급</t>
        </is>
      </c>
      <c r="B40" s="10" t="inlineStr">
        <is>
          <t>양수로 입력</t>
        </is>
      </c>
      <c r="C40" s="19" t="n">
        <v>28716</v>
      </c>
      <c r="D40" s="20" t="n">
        <v>28709</v>
      </c>
      <c r="E40" s="20" t="n">
        <v>35711</v>
      </c>
      <c r="F40" s="20" t="n">
        <v>35754</v>
      </c>
      <c r="G40" s="20" t="n">
        <v>42809</v>
      </c>
      <c r="H40" s="19" t="n">
        <v>25456</v>
      </c>
      <c r="I40" s="20" t="n">
        <v>25418</v>
      </c>
      <c r="J40" s="20" t="n">
        <v>24881</v>
      </c>
      <c r="K40" s="20" t="n">
        <v>27320</v>
      </c>
      <c r="L40" s="20" t="n">
        <v>35754</v>
      </c>
    </row>
    <row r="41">
      <c r="A41" s="16" t="inlineStr">
        <is>
          <t>주요 재무 비율</t>
        </is>
      </c>
      <c r="B41" s="16" t="inlineStr">
        <is>
          <t>기준 (빨간 글씨 = 미달)</t>
        </is>
      </c>
      <c r="C41" s="17" t="n"/>
      <c r="D41" s="16" t="n"/>
      <c r="E41" s="16" t="n"/>
      <c r="F41" s="16" t="n"/>
      <c r="G41" s="16" t="n"/>
      <c r="H41" s="17" t="n"/>
      <c r="I41" s="16" t="n"/>
      <c r="J41" s="16" t="n"/>
      <c r="K41" s="16" t="n"/>
      <c r="L41" s="16" t="n"/>
    </row>
    <row r="42">
      <c r="A42" s="23" t="inlineStr">
        <is>
          <t>안정성</t>
        </is>
      </c>
      <c r="B42" s="23" t="n"/>
      <c r="C42" s="24" t="n"/>
      <c r="D42" s="23" t="n"/>
      <c r="E42" s="23" t="n"/>
      <c r="F42" s="23" t="n"/>
      <c r="G42" s="23" t="n"/>
      <c r="H42" s="24" t="n"/>
      <c r="I42" s="23" t="n"/>
      <c r="J42" s="23" t="n"/>
      <c r="K42" s="23" t="n"/>
      <c r="L42" s="23" t="n"/>
    </row>
    <row r="43">
      <c r="A43" s="45" t="inlineStr">
        <is>
          <t>부채비율</t>
        </is>
      </c>
      <c r="B43" s="10" t="inlineStr">
        <is>
          <t>100%↓</t>
        </is>
      </c>
      <c r="C43" s="35">
        <f>IF(OR(C27="",C35=""),"",IFERROR(C27/C35,""))</f>
        <v/>
      </c>
      <c r="D43" s="36">
        <f>IF(OR(D27="",D35=""),"",IFERROR(D27/D35,""))</f>
        <v/>
      </c>
      <c r="E43" s="36">
        <f>IF(OR(E27="",E35=""),"",IFERROR(E27/E35,""))</f>
        <v/>
      </c>
      <c r="F43" s="36">
        <f>IF(OR(F27="",F35=""),"",IFERROR(F27/F35,""))</f>
        <v/>
      </c>
      <c r="G43" s="36">
        <f>IF(OR(G27="",G35=""),"",IFERROR(G27/G35,""))</f>
        <v/>
      </c>
      <c r="H43" s="35">
        <f>IF(OR(H27="",H35=""),"",IFERROR(H27/H35,""))</f>
        <v/>
      </c>
      <c r="I43" s="36">
        <f>IF(OR(I27="",I35=""),"",IFERROR(I27/I35,""))</f>
        <v/>
      </c>
      <c r="J43" s="36">
        <f>IF(OR(J27="",J35=""),"",IFERROR(J27/J35,""))</f>
        <v/>
      </c>
      <c r="K43" s="36">
        <f>IF(OR(K27="",K35=""),"",IFERROR(K27/K35,""))</f>
        <v/>
      </c>
      <c r="L43" s="36">
        <f>IF(OR(L27="",L35=""),"",IFERROR(L27/L35,""))</f>
        <v/>
      </c>
    </row>
    <row r="44">
      <c r="A44" s="45" t="inlineStr">
        <is>
          <t>순차입금비율</t>
        </is>
      </c>
      <c r="B44" s="10" t="inlineStr">
        <is>
          <t>0%↓ 순현금</t>
        </is>
      </c>
      <c r="C44" s="35">
        <f>IF(OR(C29="",C35=""),"",IFERROR(C29/C35,""))</f>
        <v/>
      </c>
      <c r="D44" s="36">
        <f>IF(OR(D29="",D35=""),"",IFERROR(D29/D35,""))</f>
        <v/>
      </c>
      <c r="E44" s="36">
        <f>IF(OR(E29="",E35=""),"",IFERROR(E29/E35,""))</f>
        <v/>
      </c>
      <c r="F44" s="36">
        <f>IF(OR(F29="",F35=""),"",IFERROR(F29/F35,""))</f>
        <v/>
      </c>
      <c r="G44" s="36">
        <f>IF(OR(G29="",G35=""),"",IFERROR(G29/G35,""))</f>
        <v/>
      </c>
      <c r="H44" s="35">
        <f>IF(OR(H29="",H35=""),"",IFERROR(H29/H35,""))</f>
        <v/>
      </c>
      <c r="I44" s="36">
        <f>IF(OR(I29="",I35=""),"",IFERROR(I29/I35,""))</f>
        <v/>
      </c>
      <c r="J44" s="36">
        <f>IF(OR(J29="",J35=""),"",IFERROR(J29/J35,""))</f>
        <v/>
      </c>
      <c r="K44" s="36">
        <f>IF(OR(K29="",K35=""),"",IFERROR(K29/K35,""))</f>
        <v/>
      </c>
      <c r="L44" s="36">
        <f>IF(OR(L29="",L35=""),"",IFERROR(L29/L35,""))</f>
        <v/>
      </c>
    </row>
    <row r="45">
      <c r="A45" s="45" t="inlineStr">
        <is>
          <t>자기자본비율</t>
        </is>
      </c>
      <c r="B45" s="10" t="inlineStr">
        <is>
          <t>50%↑</t>
        </is>
      </c>
      <c r="C45" s="35">
        <f>IF(OR(C35="",C16=""),"",IFERROR(C35/C16,""))</f>
        <v/>
      </c>
      <c r="D45" s="36">
        <f>IF(OR(D35="",D16=""),"",IFERROR(D35/D16,""))</f>
        <v/>
      </c>
      <c r="E45" s="36">
        <f>IF(OR(E35="",E16=""),"",IFERROR(E35/E16,""))</f>
        <v/>
      </c>
      <c r="F45" s="36">
        <f>IF(OR(F35="",F16=""),"",IFERROR(F35/F16,""))</f>
        <v/>
      </c>
      <c r="G45" s="36">
        <f>IF(OR(G35="",G16=""),"",IFERROR(G35/G16,""))</f>
        <v/>
      </c>
      <c r="H45" s="35">
        <f>IF(OR(H35="",H16=""),"",IFERROR(H35/H16,""))</f>
        <v/>
      </c>
      <c r="I45" s="36">
        <f>IF(OR(I35="",I16=""),"",IFERROR(I35/I16,""))</f>
        <v/>
      </c>
      <c r="J45" s="36">
        <f>IF(OR(J35="",J16=""),"",IFERROR(J35/J16,""))</f>
        <v/>
      </c>
      <c r="K45" s="36">
        <f>IF(OR(K35="",K16=""),"",IFERROR(K35/K16,""))</f>
        <v/>
      </c>
      <c r="L45" s="36">
        <f>IF(OR(L35="",L16=""),"",IFERROR(L35/L16,""))</f>
        <v/>
      </c>
    </row>
    <row r="46">
      <c r="A46" s="45" t="inlineStr">
        <is>
          <t>유동비율</t>
        </is>
      </c>
      <c r="B46" s="10" t="inlineStr">
        <is>
          <t>150%↑</t>
        </is>
      </c>
      <c r="C46" s="35">
        <f>IF(OR(C5="",C18=""),"",IFERROR(C5/C18,""))</f>
        <v/>
      </c>
      <c r="D46" s="36">
        <f>IF(OR(D5="",D18=""),"",IFERROR(D5/D18,""))</f>
        <v/>
      </c>
      <c r="E46" s="36">
        <f>IF(OR(E5="",E18=""),"",IFERROR(E5/E18,""))</f>
        <v/>
      </c>
      <c r="F46" s="36">
        <f>IF(OR(F5="",F18=""),"",IFERROR(F5/F18,""))</f>
        <v/>
      </c>
      <c r="G46" s="36">
        <f>IF(OR(G5="",G18=""),"",IFERROR(G5/G18,""))</f>
        <v/>
      </c>
      <c r="H46" s="35">
        <f>IF(OR(H5="",H18=""),"",IFERROR(H5/H18,""))</f>
        <v/>
      </c>
      <c r="I46" s="36">
        <f>IF(OR(I5="",I18=""),"",IFERROR(I5/I18,""))</f>
        <v/>
      </c>
      <c r="J46" s="36">
        <f>IF(OR(J5="",J18=""),"",IFERROR(J5/J18,""))</f>
        <v/>
      </c>
      <c r="K46" s="36">
        <f>IF(OR(K5="",K18=""),"",IFERROR(K5/K18,""))</f>
        <v/>
      </c>
      <c r="L46" s="36">
        <f>IF(OR(L5="",L18=""),"",IFERROR(L5/L18,""))</f>
        <v/>
      </c>
    </row>
    <row r="47">
      <c r="A47" s="45" t="inlineStr">
        <is>
          <t>당좌비율</t>
        </is>
      </c>
      <c r="B47" s="10" t="inlineStr">
        <is>
          <t>100%↑</t>
        </is>
      </c>
      <c r="C47" s="35">
        <f>IF(OR(C5="",C18=""),"",IFERROR((C5-N(C9))/C18,""))</f>
        <v/>
      </c>
      <c r="D47" s="36">
        <f>IF(OR(D5="",D18=""),"",IFERROR((D5-N(D9))/D18,""))</f>
        <v/>
      </c>
      <c r="E47" s="36">
        <f>IF(OR(E5="",E18=""),"",IFERROR((E5-N(E9))/E18,""))</f>
        <v/>
      </c>
      <c r="F47" s="36">
        <f>IF(OR(F5="",F18=""),"",IFERROR((F5-N(F9))/F18,""))</f>
        <v/>
      </c>
      <c r="G47" s="36">
        <f>IF(OR(G5="",G18=""),"",IFERROR((G5-N(G9))/G18,""))</f>
        <v/>
      </c>
      <c r="H47" s="35">
        <f>IF(OR(H5="",H18=""),"",IFERROR((H5-N(H9))/H18,""))</f>
        <v/>
      </c>
      <c r="I47" s="36">
        <f>IF(OR(I5="",I18=""),"",IFERROR((I5-N(I9))/I18,""))</f>
        <v/>
      </c>
      <c r="J47" s="36">
        <f>IF(OR(J5="",J18=""),"",IFERROR((J5-N(J9))/J18,""))</f>
        <v/>
      </c>
      <c r="K47" s="36">
        <f>IF(OR(K5="",K18=""),"",IFERROR((K5-N(K9))/K18,""))</f>
        <v/>
      </c>
      <c r="L47" s="36">
        <f>IF(OR(L5="",L18=""),"",IFERROR((L5-N(L9))/L18,""))</f>
        <v/>
      </c>
    </row>
    <row r="48">
      <c r="A48" s="45" t="inlineStr">
        <is>
          <t>이자보상배율</t>
        </is>
      </c>
      <c r="B48" s="10" t="inlineStr">
        <is>
          <t>5x↑ (금융원가 기준)</t>
        </is>
      </c>
      <c r="C48" s="30">
        <f>IFERROR((IF(COUNT('연간'!G31:J31)&lt;4,"",SUM('연간'!G31:J31)))/(IF(COUNT('연간'!G53:J53)&lt;4,"",SUM('연간'!G53:J53))),"")</f>
        <v/>
      </c>
      <c r="D48" s="31">
        <f>IFERROR((IF(COUNT('연간'!H31:K31)&lt;4,"",SUM('연간'!H31:K31)))/(IF(COUNT('연간'!H53:K53)&lt;4,"",SUM('연간'!H53:K53))),"")</f>
        <v/>
      </c>
      <c r="E48" s="31">
        <f>IFERROR((IF(COUNT('연간'!I31:L31)&lt;4,"",SUM('연간'!I31:L31)))/(IF(COUNT('연간'!I53:L53)&lt;4,"",SUM('연간'!I53:L53))),"")</f>
        <v/>
      </c>
      <c r="F48" s="31">
        <f>IFERROR((IF(COUNT('연간'!J31:M31)&lt;4,"",SUM('연간'!J31:M31)))/(IF(COUNT('연간'!J53:M53)&lt;4,"",SUM('연간'!J53:M53))),"")</f>
        <v/>
      </c>
      <c r="G48" s="31">
        <f>IFERROR((IF(COUNT('연간'!K31:N31)&lt;4,"",SUM('연간'!K31:N31)))/(IF(COUNT('연간'!K53:N53)&lt;4,"",SUM('연간'!K53:N53))),"")</f>
        <v/>
      </c>
      <c r="H48" s="30">
        <f>IFERROR(('연간'!T31)/('연간'!T53),"")</f>
        <v/>
      </c>
      <c r="I48" s="31">
        <f>IFERROR(('연간'!U31)/('연간'!U53),"")</f>
        <v/>
      </c>
      <c r="J48" s="31">
        <f>IFERROR(('연간'!V31)/('연간'!V53),"")</f>
        <v/>
      </c>
      <c r="K48" s="31">
        <f>IFERROR(('연간'!W31)/('연간'!W53),"")</f>
        <v/>
      </c>
      <c r="L48" s="31">
        <f>IFERROR(('연간'!X31)/('연간'!X53),"")</f>
        <v/>
      </c>
    </row>
    <row r="49">
      <c r="A49" s="45" t="inlineStr">
        <is>
          <t>차입금 상환연수</t>
        </is>
      </c>
      <c r="B49" s="10" t="inlineStr">
        <is>
          <t>4년↓ (버핏)</t>
        </is>
      </c>
      <c r="C49" s="46">
        <f>IFERROR(IF((IF(COUNT('연간'!G59:J59)&lt;4,"",SUM('연간'!G59:J59)))&lt;=0,"적자",C28/(IF(COUNT('연간'!G59:J59)&lt;4,"",SUM('연간'!G59:J59)))),"")</f>
        <v/>
      </c>
      <c r="D49" s="47">
        <f>IFERROR(IF((IF(COUNT('연간'!H59:K59)&lt;4,"",SUM('연간'!H59:K59)))&lt;=0,"적자",D28/(IF(COUNT('연간'!H59:K59)&lt;4,"",SUM('연간'!H59:K59)))),"")</f>
        <v/>
      </c>
      <c r="E49" s="47">
        <f>IFERROR(IF((IF(COUNT('연간'!I59:L59)&lt;4,"",SUM('연간'!I59:L59)))&lt;=0,"적자",E28/(IF(COUNT('연간'!I59:L59)&lt;4,"",SUM('연간'!I59:L59)))),"")</f>
        <v/>
      </c>
      <c r="F49" s="47">
        <f>IFERROR(IF((IF(COUNT('연간'!J59:M59)&lt;4,"",SUM('연간'!J59:M59)))&lt;=0,"적자",F28/(IF(COUNT('연간'!J59:M59)&lt;4,"",SUM('연간'!J59:M59)))),"")</f>
        <v/>
      </c>
      <c r="G49" s="47">
        <f>IFERROR(IF((IF(COUNT('연간'!K59:N59)&lt;4,"",SUM('연간'!K59:N59)))&lt;=0,"적자",G28/(IF(COUNT('연간'!K59:N59)&lt;4,"",SUM('연간'!K59:N59)))),"")</f>
        <v/>
      </c>
      <c r="H49" s="46">
        <f>IFERROR(IF(('연간'!T59)&lt;=0,"적자",H28/('연간'!T59)),"")</f>
        <v/>
      </c>
      <c r="I49" s="47">
        <f>IFERROR(IF(('연간'!U59)&lt;=0,"적자",I28/('연간'!U59)),"")</f>
        <v/>
      </c>
      <c r="J49" s="47">
        <f>IFERROR(IF(('연간'!V59)&lt;=0,"적자",J28/('연간'!V59)),"")</f>
        <v/>
      </c>
      <c r="K49" s="47">
        <f>IFERROR(IF(('연간'!W59)&lt;=0,"적자",K28/('연간'!W59)),"")</f>
        <v/>
      </c>
      <c r="L49" s="47">
        <f>IFERROR(IF(('연간'!X59)&lt;=0,"적자",L28/('연간'!X59)),"")</f>
        <v/>
      </c>
    </row>
    <row r="50">
      <c r="A50" s="23" t="inlineStr">
        <is>
          <t>수익성</t>
        </is>
      </c>
      <c r="B50" s="23" t="n"/>
      <c r="C50" s="24" t="n"/>
      <c r="D50" s="23" t="n"/>
      <c r="E50" s="23" t="n"/>
      <c r="F50" s="23" t="n"/>
      <c r="G50" s="23" t="n"/>
      <c r="H50" s="24" t="n"/>
      <c r="I50" s="23" t="n"/>
      <c r="J50" s="23" t="n"/>
      <c r="K50" s="23" t="n"/>
      <c r="L50" s="23" t="n"/>
    </row>
    <row r="51">
      <c r="A51" s="45" t="inlineStr">
        <is>
          <t>ROE</t>
        </is>
      </c>
      <c r="B51" s="10" t="inlineStr">
        <is>
          <t>15%↑ (버핏)</t>
        </is>
      </c>
      <c r="C51" s="35">
        <f>IFERROR((IF(COUNT('연간'!G59:J59)&lt;4,"",SUM('연간'!G59:J59)))/C31,"")</f>
        <v/>
      </c>
      <c r="D51" s="36">
        <f>IFERROR((IF(COUNT('연간'!H59:K59)&lt;4,"",SUM('연간'!H59:K59)))/D31,"")</f>
        <v/>
      </c>
      <c r="E51" s="36">
        <f>IFERROR((IF(COUNT('연간'!I59:L59)&lt;4,"",SUM('연간'!I59:L59)))/E31,"")</f>
        <v/>
      </c>
      <c r="F51" s="36">
        <f>IFERROR((IF(COUNT('연간'!J59:M59)&lt;4,"",SUM('연간'!J59:M59)))/F31,"")</f>
        <v/>
      </c>
      <c r="G51" s="36">
        <f>IFERROR((IF(COUNT('연간'!K59:N59)&lt;4,"",SUM('연간'!K59:N59)))/G31,"")</f>
        <v/>
      </c>
      <c r="H51" s="35">
        <f>IFERROR(('연간'!T59)/H31,"")</f>
        <v/>
      </c>
      <c r="I51" s="36">
        <f>IFERROR(('연간'!U59)/I31,"")</f>
        <v/>
      </c>
      <c r="J51" s="36">
        <f>IFERROR(('연간'!V59)/J31,"")</f>
        <v/>
      </c>
      <c r="K51" s="36">
        <f>IFERROR(('연간'!W59)/K31,"")</f>
        <v/>
      </c>
      <c r="L51" s="36">
        <f>IFERROR(('연간'!X59)/L31,"")</f>
        <v/>
      </c>
    </row>
    <row r="52">
      <c r="A52" s="45" t="inlineStr">
        <is>
          <t>ROA</t>
        </is>
      </c>
      <c r="B52" s="10" t="inlineStr">
        <is>
          <t>5%↑</t>
        </is>
      </c>
      <c r="C52" s="35">
        <f>IFERROR((IF(COUNT('연간'!G58:J58)&lt;4,"",SUM('연간'!G58:J58)))/C16,"")</f>
        <v/>
      </c>
      <c r="D52" s="36">
        <f>IFERROR((IF(COUNT('연간'!H58:K58)&lt;4,"",SUM('연간'!H58:K58)))/D16,"")</f>
        <v/>
      </c>
      <c r="E52" s="36">
        <f>IFERROR((IF(COUNT('연간'!I58:L58)&lt;4,"",SUM('연간'!I58:L58)))/E16,"")</f>
        <v/>
      </c>
      <c r="F52" s="36">
        <f>IFERROR((IF(COUNT('연간'!J58:M58)&lt;4,"",SUM('연간'!J58:M58)))/F16,"")</f>
        <v/>
      </c>
      <c r="G52" s="36">
        <f>IFERROR((IF(COUNT('연간'!K58:N58)&lt;4,"",SUM('연간'!K58:N58)))/G16,"")</f>
        <v/>
      </c>
      <c r="H52" s="35">
        <f>IFERROR(('연간'!T58)/H16,"")</f>
        <v/>
      </c>
      <c r="I52" s="36">
        <f>IFERROR(('연간'!U58)/I16,"")</f>
        <v/>
      </c>
      <c r="J52" s="36">
        <f>IFERROR(('연간'!V58)/J16,"")</f>
        <v/>
      </c>
      <c r="K52" s="36">
        <f>IFERROR(('연간'!W58)/K16,"")</f>
        <v/>
      </c>
      <c r="L52" s="36">
        <f>IFERROR(('연간'!X58)/L16,"")</f>
        <v/>
      </c>
    </row>
    <row r="53">
      <c r="A53" s="45" t="inlineStr">
        <is>
          <t>ROIC</t>
        </is>
      </c>
      <c r="B53" s="10" t="inlineStr">
        <is>
          <t>10%↑ (세후영업이익 기준)</t>
        </is>
      </c>
      <c r="C53" s="35">
        <f>IFERROR((IF(COUNT('연간'!G31:J31)&lt;4,"",SUM('연간'!G31:J31)))*(1-0.3)/(C35+C29),"")</f>
        <v/>
      </c>
      <c r="D53" s="36">
        <f>IFERROR((IF(COUNT('연간'!H31:K31)&lt;4,"",SUM('연간'!H31:K31)))*(1-0.3)/(D35+D29),"")</f>
        <v/>
      </c>
      <c r="E53" s="36">
        <f>IFERROR((IF(COUNT('연간'!I31:L31)&lt;4,"",SUM('연간'!I31:L31)))*(1-0.3)/(E35+E29),"")</f>
        <v/>
      </c>
      <c r="F53" s="36">
        <f>IFERROR((IF(COUNT('연간'!J31:M31)&lt;4,"",SUM('연간'!J31:M31)))*(1-0.3)/(F35+F29),"")</f>
        <v/>
      </c>
      <c r="G53" s="36">
        <f>IFERROR((IF(COUNT('연간'!K31:N31)&lt;4,"",SUM('연간'!K31:N31)))*(1-0.3)/(G35+G29),"")</f>
        <v/>
      </c>
      <c r="H53" s="35">
        <f>IFERROR(('연간'!T31)*(1-0.3)/(H35+H29),"")</f>
        <v/>
      </c>
      <c r="I53" s="36">
        <f>IFERROR(('연간'!U31)*(1-0.3)/(I35+I29),"")</f>
        <v/>
      </c>
      <c r="J53" s="36">
        <f>IFERROR(('연간'!V31)*(1-0.3)/(J35+J29),"")</f>
        <v/>
      </c>
      <c r="K53" s="36">
        <f>IFERROR(('연간'!W31)*(1-0.3)/(K35+K29),"")</f>
        <v/>
      </c>
      <c r="L53" s="36">
        <f>IFERROR(('연간'!X31)*(1-0.3)/(L35+L29),"")</f>
        <v/>
      </c>
    </row>
    <row r="54">
      <c r="A54" s="45" t="inlineStr">
        <is>
          <t>매출총이익률 (GPM)</t>
        </is>
      </c>
      <c r="B54" s="10" t="inlineStr">
        <is>
          <t>40%↑ (해자 신호)</t>
        </is>
      </c>
      <c r="C54" s="35">
        <f>IFERROR((IF(COUNT('연간'!G27:J27)&lt;4,"",SUM('연간'!G27:J27)))/(IF(COUNT('연간'!G4:J4)&lt;4,"",SUM('연간'!G4:J4))),"")</f>
        <v/>
      </c>
      <c r="D54" s="36">
        <f>IFERROR((IF(COUNT('연간'!H27:K27)&lt;4,"",SUM('연간'!H27:K27)))/(IF(COUNT('연간'!H4:K4)&lt;4,"",SUM('연간'!H4:K4))),"")</f>
        <v/>
      </c>
      <c r="E54" s="36">
        <f>IFERROR((IF(COUNT('연간'!I27:L27)&lt;4,"",SUM('연간'!I27:L27)))/(IF(COUNT('연간'!I4:L4)&lt;4,"",SUM('연간'!I4:L4))),"")</f>
        <v/>
      </c>
      <c r="F54" s="36">
        <f>IFERROR((IF(COUNT('연간'!J27:M27)&lt;4,"",SUM('연간'!J27:M27)))/(IF(COUNT('연간'!J4:M4)&lt;4,"",SUM('연간'!J4:M4))),"")</f>
        <v/>
      </c>
      <c r="G54" s="36">
        <f>IFERROR((IF(COUNT('연간'!K27:N27)&lt;4,"",SUM('연간'!K27:N27)))/(IF(COUNT('연간'!K4:N4)&lt;4,"",SUM('연간'!K4:N4))),"")</f>
        <v/>
      </c>
      <c r="H54" s="35">
        <f>IFERROR(('연간'!T27)/('연간'!T4),"")</f>
        <v/>
      </c>
      <c r="I54" s="36">
        <f>IFERROR(('연간'!U27)/('연간'!U4),"")</f>
        <v/>
      </c>
      <c r="J54" s="36">
        <f>IFERROR(('연간'!V27)/('연간'!V4),"")</f>
        <v/>
      </c>
      <c r="K54" s="36">
        <f>IFERROR(('연간'!W27)/('연간'!W4),"")</f>
        <v/>
      </c>
      <c r="L54" s="36">
        <f>IFERROR(('연간'!X27)/('연간'!X4),"")</f>
        <v/>
      </c>
    </row>
    <row r="55">
      <c r="A55" s="45" t="inlineStr">
        <is>
          <t>영업이익률 (OPM)</t>
        </is>
      </c>
      <c r="B55" s="10" t="inlineStr">
        <is>
          <t>15%↑</t>
        </is>
      </c>
      <c r="C55" s="35">
        <f>IFERROR((IF(COUNT('연간'!G31:J31)&lt;4,"",SUM('연간'!G31:J31)))/(IF(COUNT('연간'!G4:J4)&lt;4,"",SUM('연간'!G4:J4))),"")</f>
        <v/>
      </c>
      <c r="D55" s="36">
        <f>IFERROR((IF(COUNT('연간'!H31:K31)&lt;4,"",SUM('연간'!H31:K31)))/(IF(COUNT('연간'!H4:K4)&lt;4,"",SUM('연간'!H4:K4))),"")</f>
        <v/>
      </c>
      <c r="E55" s="36">
        <f>IFERROR((IF(COUNT('연간'!I31:L31)&lt;4,"",SUM('연간'!I31:L31)))/(IF(COUNT('연간'!I4:L4)&lt;4,"",SUM('연간'!I4:L4))),"")</f>
        <v/>
      </c>
      <c r="F55" s="36">
        <f>IFERROR((IF(COUNT('연간'!J31:M31)&lt;4,"",SUM('연간'!J31:M31)))/(IF(COUNT('연간'!J4:M4)&lt;4,"",SUM('연간'!J4:M4))),"")</f>
        <v/>
      </c>
      <c r="G55" s="36">
        <f>IFERROR((IF(COUNT('연간'!K31:N31)&lt;4,"",SUM('연간'!K31:N31)))/(IF(COUNT('연간'!K4:N4)&lt;4,"",SUM('연간'!K4:N4))),"")</f>
        <v/>
      </c>
      <c r="H55" s="35">
        <f>IFERROR(('연간'!T31)/('연간'!T4),"")</f>
        <v/>
      </c>
      <c r="I55" s="36">
        <f>IFERROR(('연간'!U31)/('연간'!U4),"")</f>
        <v/>
      </c>
      <c r="J55" s="36">
        <f>IFERROR(('연간'!V31)/('연간'!V4),"")</f>
        <v/>
      </c>
      <c r="K55" s="36">
        <f>IFERROR(('연간'!W31)/('연간'!W4),"")</f>
        <v/>
      </c>
      <c r="L55" s="36">
        <f>IFERROR(('연간'!X31)/('연간'!X4),"")</f>
        <v/>
      </c>
    </row>
    <row r="56">
      <c r="A56" s="45" t="inlineStr">
        <is>
          <t>순이익률</t>
        </is>
      </c>
      <c r="B56" s="10" t="inlineStr">
        <is>
          <t>10%↑</t>
        </is>
      </c>
      <c r="C56" s="35">
        <f>IFERROR((IF(COUNT('연간'!G58:J58)&lt;4,"",SUM('연간'!G58:J58)))/(IF(COUNT('연간'!G4:J4)&lt;4,"",SUM('연간'!G4:J4))),"")</f>
        <v/>
      </c>
      <c r="D56" s="36">
        <f>IFERROR((IF(COUNT('연간'!H58:K58)&lt;4,"",SUM('연간'!H58:K58)))/(IF(COUNT('연간'!H4:K4)&lt;4,"",SUM('연간'!H4:K4))),"")</f>
        <v/>
      </c>
      <c r="E56" s="36">
        <f>IFERROR((IF(COUNT('연간'!I58:L58)&lt;4,"",SUM('연간'!I58:L58)))/(IF(COUNT('연간'!I4:L4)&lt;4,"",SUM('연간'!I4:L4))),"")</f>
        <v/>
      </c>
      <c r="F56" s="36">
        <f>IFERROR((IF(COUNT('연간'!J58:M58)&lt;4,"",SUM('연간'!J58:M58)))/(IF(COUNT('연간'!J4:M4)&lt;4,"",SUM('연간'!J4:M4))),"")</f>
        <v/>
      </c>
      <c r="G56" s="36">
        <f>IFERROR((IF(COUNT('연간'!K58:N58)&lt;4,"",SUM('연간'!K58:N58)))/(IF(COUNT('연간'!K4:N4)&lt;4,"",SUM('연간'!K4:N4))),"")</f>
        <v/>
      </c>
      <c r="H56" s="35">
        <f>IFERROR(('연간'!T58)/('연간'!T4),"")</f>
        <v/>
      </c>
      <c r="I56" s="36">
        <f>IFERROR(('연간'!U58)/('연간'!U4),"")</f>
        <v/>
      </c>
      <c r="J56" s="36">
        <f>IFERROR(('연간'!V58)/('연간'!V4),"")</f>
        <v/>
      </c>
      <c r="K56" s="36">
        <f>IFERROR(('연간'!W58)/('연간'!W4),"")</f>
        <v/>
      </c>
      <c r="L56" s="36">
        <f>IFERROR(('연간'!X58)/('연간'!X4),"")</f>
        <v/>
      </c>
    </row>
    <row r="57">
      <c r="A57" s="23" t="inlineStr">
        <is>
          <t>효율성 (회전율)</t>
        </is>
      </c>
      <c r="B57" s="23" t="n"/>
      <c r="C57" s="24" t="n"/>
      <c r="D57" s="23" t="n"/>
      <c r="E57" s="23" t="n"/>
      <c r="F57" s="23" t="n"/>
      <c r="G57" s="23" t="n"/>
      <c r="H57" s="24" t="n"/>
      <c r="I57" s="23" t="n"/>
      <c r="J57" s="23" t="n"/>
      <c r="K57" s="23" t="n"/>
      <c r="L57" s="23" t="n"/>
    </row>
    <row r="58">
      <c r="A58" s="45" t="inlineStr">
        <is>
          <t>총자산회전율</t>
        </is>
      </c>
      <c r="B58" s="10" t="inlineStr">
        <is>
          <t>높을수록↑</t>
        </is>
      </c>
      <c r="C58" s="30">
        <f>IFERROR((IF(COUNT('연간'!G4:J4)&lt;4,"",SUM('연간'!G4:J4)))/C16,"")</f>
        <v/>
      </c>
      <c r="D58" s="31">
        <f>IFERROR((IF(COUNT('연간'!H4:K4)&lt;4,"",SUM('연간'!H4:K4)))/D16,"")</f>
        <v/>
      </c>
      <c r="E58" s="31">
        <f>IFERROR((IF(COUNT('연간'!I4:L4)&lt;4,"",SUM('연간'!I4:L4)))/E16,"")</f>
        <v/>
      </c>
      <c r="F58" s="31">
        <f>IFERROR((IF(COUNT('연간'!J4:M4)&lt;4,"",SUM('연간'!J4:M4)))/F16,"")</f>
        <v/>
      </c>
      <c r="G58" s="31">
        <f>IFERROR((IF(COUNT('연간'!K4:N4)&lt;4,"",SUM('연간'!K4:N4)))/G16,"")</f>
        <v/>
      </c>
      <c r="H58" s="30">
        <f>IFERROR(('연간'!T4)/H16,"")</f>
        <v/>
      </c>
      <c r="I58" s="31">
        <f>IFERROR(('연간'!U4)/I16,"")</f>
        <v/>
      </c>
      <c r="J58" s="31">
        <f>IFERROR(('연간'!V4)/J16,"")</f>
        <v/>
      </c>
      <c r="K58" s="31">
        <f>IFERROR(('연간'!W4)/K16,"")</f>
        <v/>
      </c>
      <c r="L58" s="31">
        <f>IFERROR(('연간'!X4)/L16,"")</f>
        <v/>
      </c>
    </row>
    <row r="59">
      <c r="A59" s="45" t="inlineStr">
        <is>
          <t>매출채권회전일수</t>
        </is>
      </c>
      <c r="B59" s="10" t="inlineStr">
        <is>
          <t>짧을수록↑</t>
        </is>
      </c>
      <c r="C59" s="48">
        <f>IFERROR(C8/(IF(COUNT('연간'!G4:J4)&lt;4,"",SUM('연간'!G4:J4)))*365,"")</f>
        <v/>
      </c>
      <c r="D59" s="49">
        <f>IFERROR(D8/(IF(COUNT('연간'!H4:K4)&lt;4,"",SUM('연간'!H4:K4)))*365,"")</f>
        <v/>
      </c>
      <c r="E59" s="49">
        <f>IFERROR(E8/(IF(COUNT('연간'!I4:L4)&lt;4,"",SUM('연간'!I4:L4)))*365,"")</f>
        <v/>
      </c>
      <c r="F59" s="49">
        <f>IFERROR(F8/(IF(COUNT('연간'!J4:M4)&lt;4,"",SUM('연간'!J4:M4)))*365,"")</f>
        <v/>
      </c>
      <c r="G59" s="49">
        <f>IFERROR(G8/(IF(COUNT('연간'!K4:N4)&lt;4,"",SUM('연간'!K4:N4)))*365,"")</f>
        <v/>
      </c>
      <c r="H59" s="48">
        <f>IFERROR(H8/('연간'!T4)*365,"")</f>
        <v/>
      </c>
      <c r="I59" s="49">
        <f>IFERROR(I8/('연간'!U4)*365,"")</f>
        <v/>
      </c>
      <c r="J59" s="49">
        <f>IFERROR(J8/('연간'!V4)*365,"")</f>
        <v/>
      </c>
      <c r="K59" s="49">
        <f>IFERROR(K8/('연간'!W4)*365,"")</f>
        <v/>
      </c>
      <c r="L59" s="49">
        <f>IFERROR(L8/('연간'!X4)*365,"")</f>
        <v/>
      </c>
    </row>
    <row r="60">
      <c r="A60" s="45" t="inlineStr">
        <is>
          <t>재고자산회전일수</t>
        </is>
      </c>
      <c r="B60" s="10" t="inlineStr">
        <is>
          <t>짧을수록↑</t>
        </is>
      </c>
      <c r="C60" s="48">
        <f>IFERROR(C9/(IF(COUNT('연간'!G26:J26)&lt;4,"",SUM('연간'!G26:J26)))*365,"")</f>
        <v/>
      </c>
      <c r="D60" s="49">
        <f>IFERROR(D9/(IF(COUNT('연간'!H26:K26)&lt;4,"",SUM('연간'!H26:K26)))*365,"")</f>
        <v/>
      </c>
      <c r="E60" s="49">
        <f>IFERROR(E9/(IF(COUNT('연간'!I26:L26)&lt;4,"",SUM('연간'!I26:L26)))*365,"")</f>
        <v/>
      </c>
      <c r="F60" s="49">
        <f>IFERROR(F9/(IF(COUNT('연간'!J26:M26)&lt;4,"",SUM('연간'!J26:M26)))*365,"")</f>
        <v/>
      </c>
      <c r="G60" s="49">
        <f>IFERROR(G9/(IF(COUNT('연간'!K26:N26)&lt;4,"",SUM('연간'!K26:N26)))*365,"")</f>
        <v/>
      </c>
      <c r="H60" s="48">
        <f>IFERROR(H9/('연간'!T26)*365,"")</f>
        <v/>
      </c>
      <c r="I60" s="49">
        <f>IFERROR(I9/('연간'!U26)*365,"")</f>
        <v/>
      </c>
      <c r="J60" s="49">
        <f>IFERROR(J9/('연간'!V26)*365,"")</f>
        <v/>
      </c>
      <c r="K60" s="49">
        <f>IFERROR(K9/('연간'!W26)*365,"")</f>
        <v/>
      </c>
      <c r="L60" s="49">
        <f>IFERROR(L9/('연간'!X26)*365,"")</f>
        <v/>
      </c>
    </row>
    <row r="61">
      <c r="A61" s="45" t="inlineStr">
        <is>
          <t>매입채무회전일수</t>
        </is>
      </c>
      <c r="B61" s="10" t="inlineStr">
        <is>
          <t>길수록 유리</t>
        </is>
      </c>
      <c r="C61" s="48">
        <f>IFERROR(C19/(IF(COUNT('연간'!G26:J26)&lt;4,"",SUM('연간'!G26:J26)))*365,"")</f>
        <v/>
      </c>
      <c r="D61" s="49">
        <f>IFERROR(D19/(IF(COUNT('연간'!H26:K26)&lt;4,"",SUM('연간'!H26:K26)))*365,"")</f>
        <v/>
      </c>
      <c r="E61" s="49">
        <f>IFERROR(E19/(IF(COUNT('연간'!I26:L26)&lt;4,"",SUM('연간'!I26:L26)))*365,"")</f>
        <v/>
      </c>
      <c r="F61" s="49">
        <f>IFERROR(F19/(IF(COUNT('연간'!J26:M26)&lt;4,"",SUM('연간'!J26:M26)))*365,"")</f>
        <v/>
      </c>
      <c r="G61" s="49">
        <f>IFERROR(G19/(IF(COUNT('연간'!K26:N26)&lt;4,"",SUM('연간'!K26:N26)))*365,"")</f>
        <v/>
      </c>
      <c r="H61" s="48">
        <f>IFERROR(H19/('연간'!T26)*365,"")</f>
        <v/>
      </c>
      <c r="I61" s="49">
        <f>IFERROR(I19/('연간'!U26)*365,"")</f>
        <v/>
      </c>
      <c r="J61" s="49">
        <f>IFERROR(J19/('연간'!V26)*365,"")</f>
        <v/>
      </c>
      <c r="K61" s="49">
        <f>IFERROR(K19/('연간'!W26)*365,"")</f>
        <v/>
      </c>
      <c r="L61" s="49">
        <f>IFERROR(L19/('연간'!X26)*365,"")</f>
        <v/>
      </c>
    </row>
    <row r="62">
      <c r="A62" s="45" t="inlineStr">
        <is>
          <t>현금전환주기 (CCC)</t>
        </is>
      </c>
      <c r="B62" s="10" t="inlineStr">
        <is>
          <t>짧을수록↑</t>
        </is>
      </c>
      <c r="C62" s="48">
        <f>IF(OR(C59="",C60="",C61=""),"",IFERROR(C59+C60-C61,""))</f>
        <v/>
      </c>
      <c r="D62" s="49">
        <f>IF(OR(D59="",D60="",D61=""),"",IFERROR(D59+D60-D61,""))</f>
        <v/>
      </c>
      <c r="E62" s="49">
        <f>IF(OR(E59="",E60="",E61=""),"",IFERROR(E59+E60-E61,""))</f>
        <v/>
      </c>
      <c r="F62" s="49">
        <f>IF(OR(F59="",F60="",F61=""),"",IFERROR(F59+F60-F61,""))</f>
        <v/>
      </c>
      <c r="G62" s="49">
        <f>IF(OR(G59="",G60="",G61=""),"",IFERROR(G59+G60-G61,""))</f>
        <v/>
      </c>
      <c r="H62" s="48">
        <f>IF(OR(H59="",H60="",H61=""),"",IFERROR(H59+H60-H61,""))</f>
        <v/>
      </c>
      <c r="I62" s="49">
        <f>IF(OR(I59="",I60="",I61=""),"",IFERROR(I59+I60-I61,""))</f>
        <v/>
      </c>
      <c r="J62" s="49">
        <f>IF(OR(J59="",J60="",J61=""),"",IFERROR(J59+J60-J61,""))</f>
        <v/>
      </c>
      <c r="K62" s="49">
        <f>IF(OR(K59="",K60="",K61=""),"",IFERROR(K59+K60-K61,""))</f>
        <v/>
      </c>
      <c r="L62" s="49">
        <f>IF(OR(L59="",L60="",L61=""),"",IFERROR(L59+L60-L61,""))</f>
        <v/>
      </c>
    </row>
    <row r="63">
      <c r="A63" s="23" t="inlineStr">
        <is>
          <t>현금흐름</t>
        </is>
      </c>
      <c r="B63" s="23" t="n"/>
      <c r="C63" s="24" t="n"/>
      <c r="D63" s="23" t="n"/>
      <c r="E63" s="23" t="n"/>
      <c r="F63" s="23" t="n"/>
      <c r="G63" s="23" t="n"/>
      <c r="H63" s="24" t="n"/>
      <c r="I63" s="23" t="n"/>
      <c r="J63" s="23" t="n"/>
      <c r="K63" s="23" t="n"/>
      <c r="L63" s="23" t="n"/>
    </row>
    <row r="64">
      <c r="A64" s="45" t="inlineStr">
        <is>
          <t>영업현금흐름 / 순이익</t>
        </is>
      </c>
      <c r="B64" s="10" t="inlineStr">
        <is>
          <t>1x↑ (이익의 질)</t>
        </is>
      </c>
      <c r="C64" s="30">
        <f>IF(C37="","",IFERROR(C37/(IF(COUNT('연간'!G58:J58)&lt;4,"",SUM('연간'!G58:J58))),""))</f>
        <v/>
      </c>
      <c r="D64" s="31">
        <f>IF(D37="","",IFERROR(D37/(IF(COUNT('연간'!H58:K58)&lt;4,"",SUM('연간'!H58:K58))),""))</f>
        <v/>
      </c>
      <c r="E64" s="31">
        <f>IF(E37="","",IFERROR(E37/(IF(COUNT('연간'!I58:L58)&lt;4,"",SUM('연간'!I58:L58))),""))</f>
        <v/>
      </c>
      <c r="F64" s="31">
        <f>IF(F37="","",IFERROR(F37/(IF(COUNT('연간'!J58:M58)&lt;4,"",SUM('연간'!J58:M58))),""))</f>
        <v/>
      </c>
      <c r="G64" s="31">
        <f>IF(G37="","",IFERROR(G37/(IF(COUNT('연간'!K58:N58)&lt;4,"",SUM('연간'!K58:N58))),""))</f>
        <v/>
      </c>
      <c r="H64" s="30">
        <f>IF(H37="","",IFERROR(H37/('연간'!T58),""))</f>
        <v/>
      </c>
      <c r="I64" s="31">
        <f>IF(I37="","",IFERROR(I37/('연간'!U58),""))</f>
        <v/>
      </c>
      <c r="J64" s="31">
        <f>IF(J37="","",IFERROR(J37/('연간'!V58),""))</f>
        <v/>
      </c>
      <c r="K64" s="31">
        <f>IF(K37="","",IFERROR(K37/('연간'!W58),""))</f>
        <v/>
      </c>
      <c r="L64" s="31">
        <f>IF(L37="","",IFERROR(L37/('연간'!X58),""))</f>
        <v/>
      </c>
    </row>
    <row r="65">
      <c r="A65" s="45" t="inlineStr">
        <is>
          <t>FCF 마진</t>
        </is>
      </c>
      <c r="B65" s="10" t="inlineStr">
        <is>
          <t>5%↑</t>
        </is>
      </c>
      <c r="C65" s="35">
        <f>IF(C39="","",IFERROR(C39/(IF(COUNT('연간'!G4:J4)&lt;4,"",SUM('연간'!G4:J4))),""))</f>
        <v/>
      </c>
      <c r="D65" s="36">
        <f>IF(D39="","",IFERROR(D39/(IF(COUNT('연간'!H4:K4)&lt;4,"",SUM('연간'!H4:K4))),""))</f>
        <v/>
      </c>
      <c r="E65" s="36">
        <f>IF(E39="","",IFERROR(E39/(IF(COUNT('연간'!I4:L4)&lt;4,"",SUM('연간'!I4:L4))),""))</f>
        <v/>
      </c>
      <c r="F65" s="36">
        <f>IF(F39="","",IFERROR(F39/(IF(COUNT('연간'!J4:M4)&lt;4,"",SUM('연간'!J4:M4))),""))</f>
        <v/>
      </c>
      <c r="G65" s="36">
        <f>IF(G39="","",IFERROR(G39/(IF(COUNT('연간'!K4:N4)&lt;4,"",SUM('연간'!K4:N4))),""))</f>
        <v/>
      </c>
      <c r="H65" s="35">
        <f>IF(H39="","",IFERROR(H39/('연간'!T4),""))</f>
        <v/>
      </c>
      <c r="I65" s="36">
        <f>IF(I39="","",IFERROR(I39/('연간'!U4),""))</f>
        <v/>
      </c>
      <c r="J65" s="36">
        <f>IF(J39="","",IFERROR(J39/('연간'!V4),""))</f>
        <v/>
      </c>
      <c r="K65" s="36">
        <f>IF(K39="","",IFERROR(K39/('연간'!W4),""))</f>
        <v/>
      </c>
      <c r="L65" s="36">
        <f>IF(L39="","",IFERROR(L39/('연간'!X4),""))</f>
        <v/>
      </c>
    </row>
    <row r="66">
      <c r="A66" s="45" t="inlineStr">
        <is>
          <t>CAPEX / 매출</t>
        </is>
      </c>
      <c r="B66" s="10" t="inlineStr">
        <is>
          <t>낮을수록↑ (자본 가벼움)</t>
        </is>
      </c>
      <c r="C66" s="35">
        <f>IF(C38="","",IFERROR(C38/(IF(COUNT('연간'!G4:J4)&lt;4,"",SUM('연간'!G4:J4))),""))</f>
        <v/>
      </c>
      <c r="D66" s="36">
        <f>IF(D38="","",IFERROR(D38/(IF(COUNT('연간'!H4:K4)&lt;4,"",SUM('연간'!H4:K4))),""))</f>
        <v/>
      </c>
      <c r="E66" s="36">
        <f>IF(E38="","",IFERROR(E38/(IF(COUNT('연간'!I4:L4)&lt;4,"",SUM('연간'!I4:L4))),""))</f>
        <v/>
      </c>
      <c r="F66" s="36">
        <f>IF(F38="","",IFERROR(F38/(IF(COUNT('연간'!J4:M4)&lt;4,"",SUM('연간'!J4:M4))),""))</f>
        <v/>
      </c>
      <c r="G66" s="36">
        <f>IF(G38="","",IFERROR(G38/(IF(COUNT('연간'!K4:N4)&lt;4,"",SUM('연간'!K4:N4))),""))</f>
        <v/>
      </c>
      <c r="H66" s="35">
        <f>IF(H38="","",IFERROR(H38/('연간'!T4),""))</f>
        <v/>
      </c>
      <c r="I66" s="36">
        <f>IF(I38="","",IFERROR(I38/('연간'!U4),""))</f>
        <v/>
      </c>
      <c r="J66" s="36">
        <f>IF(J38="","",IFERROR(J38/('연간'!V4),""))</f>
        <v/>
      </c>
      <c r="K66" s="36">
        <f>IF(K38="","",IFERROR(K38/('연간'!W4),""))</f>
        <v/>
      </c>
      <c r="L66" s="36">
        <f>IF(L38="","",IFERROR(L38/('연간'!X4),""))</f>
        <v/>
      </c>
    </row>
    <row r="67">
      <c r="A67" s="45" t="inlineStr">
        <is>
          <t>배당성향</t>
        </is>
      </c>
      <c r="B67" s="10" t="inlineStr">
        <is>
          <t>참고</t>
        </is>
      </c>
      <c r="C67" s="35">
        <f>IF(C40="","",IFERROR(C40/(IF(COUNT('연간'!G59:J59)&lt;4,"",SUM('연간'!G59:J59))),""))</f>
        <v/>
      </c>
      <c r="D67" s="36">
        <f>IF(D40="","",IFERROR(D40/(IF(COUNT('연간'!H59:K59)&lt;4,"",SUM('연간'!H59:K59))),""))</f>
        <v/>
      </c>
      <c r="E67" s="36">
        <f>IF(E40="","",IFERROR(E40/(IF(COUNT('연간'!I59:L59)&lt;4,"",SUM('연간'!I59:L59))),""))</f>
        <v/>
      </c>
      <c r="F67" s="36">
        <f>IF(F40="","",IFERROR(F40/(IF(COUNT('연간'!J59:M59)&lt;4,"",SUM('연간'!J59:M59))),""))</f>
        <v/>
      </c>
      <c r="G67" s="36">
        <f>IF(G40="","",IFERROR(G40/(IF(COUNT('연간'!K59:N59)&lt;4,"",SUM('연간'!K59:N59))),""))</f>
        <v/>
      </c>
      <c r="H67" s="35">
        <f>IF(H40="","",IFERROR(H40/('연간'!T59),""))</f>
        <v/>
      </c>
      <c r="I67" s="36">
        <f>IF(I40="","",IFERROR(I40/('연간'!U59),""))</f>
        <v/>
      </c>
      <c r="J67" s="36">
        <f>IF(J40="","",IFERROR(J40/('연간'!V59),""))</f>
        <v/>
      </c>
      <c r="K67" s="36">
        <f>IF(K40="","",IFERROR(K40/('연간'!W59),""))</f>
        <v/>
      </c>
      <c r="L67" s="36">
        <f>IF(L40="","",IFERROR(L40/('연간'!X59),""))</f>
        <v/>
      </c>
    </row>
    <row r="69">
      <c r="A69" s="16" t="inlineStr">
        <is>
          <t>재무상태표 · 전 항목</t>
        </is>
      </c>
      <c r="B69" s="42" t="inlineStr">
        <is>
          <t>분기 말 잔액</t>
        </is>
      </c>
      <c r="C69" s="16" t="n"/>
      <c r="D69" s="16" t="n"/>
      <c r="E69" s="16" t="n"/>
      <c r="F69" s="16" t="n"/>
      <c r="G69" s="16" t="n"/>
      <c r="H69" s="16" t="n"/>
      <c r="I69" s="16" t="n"/>
      <c r="J69" s="16" t="n"/>
      <c r="K69" s="16" t="n"/>
      <c r="L69" s="16" t="n"/>
    </row>
    <row r="70">
      <c r="A70" s="5" t="inlineStr">
        <is>
          <t>항목</t>
        </is>
      </c>
      <c r="B70" s="5" t="inlineStr">
        <is>
          <t>참고</t>
        </is>
      </c>
      <c r="C70" s="5" t="inlineStr">
        <is>
          <t>2026.1Q</t>
        </is>
      </c>
      <c r="D70" s="5" t="inlineStr">
        <is>
          <t>2026.2Q</t>
        </is>
      </c>
      <c r="E70" s="5" t="inlineStr">
        <is>
          <t>2026.3Q</t>
        </is>
      </c>
      <c r="F70" s="5" t="inlineStr">
        <is>
          <t>2026.4Q</t>
        </is>
      </c>
      <c r="G70" s="5" t="inlineStr">
        <is>
          <t>2027.1Q</t>
        </is>
      </c>
      <c r="H70" s="5" t="inlineStr">
        <is>
          <t>2022</t>
        </is>
      </c>
      <c r="I70" s="5" t="inlineStr">
        <is>
          <t>2023</t>
        </is>
      </c>
      <c r="J70" s="5" t="inlineStr">
        <is>
          <t>2024</t>
        </is>
      </c>
      <c r="K70" s="5" t="inlineStr">
        <is>
          <t>2025</t>
        </is>
      </c>
      <c r="L70" s="5" t="inlineStr">
        <is>
          <t>2026</t>
        </is>
      </c>
    </row>
    <row r="71">
      <c r="A71" s="18" t="inlineStr">
        <is>
          <t>현금및현금성자산</t>
        </is>
      </c>
      <c r="C71" s="20" t="n">
        <v>273414</v>
      </c>
      <c r="D71" s="20" t="n">
        <v>298196</v>
      </c>
      <c r="E71" s="20" t="n">
        <v>329322</v>
      </c>
      <c r="F71" s="20" t="n">
        <v>339966</v>
      </c>
      <c r="G71" s="20" t="n">
        <v>413124</v>
      </c>
      <c r="H71" s="20" t="n">
        <v>116582</v>
      </c>
      <c r="I71" s="20" t="n">
        <v>85537</v>
      </c>
      <c r="J71" s="20" t="n">
        <v>106702</v>
      </c>
      <c r="K71" s="20" t="n">
        <v>262544</v>
      </c>
      <c r="L71" s="20" t="n">
        <v>339966</v>
      </c>
    </row>
    <row r="72">
      <c r="A72" s="18" t="inlineStr">
        <is>
          <t>영업채권 및 기타채권</t>
        </is>
      </c>
      <c r="C72" s="20" t="n">
        <v>127959</v>
      </c>
      <c r="D72" s="20" t="n">
        <v>163652</v>
      </c>
      <c r="E72" s="20" t="n">
        <v>143318</v>
      </c>
      <c r="F72" s="20" t="n">
        <v>228731</v>
      </c>
      <c r="G72" s="20" t="n">
        <v>178497</v>
      </c>
      <c r="H72" s="20" t="n">
        <v>82155</v>
      </c>
      <c r="I72" s="20" t="n">
        <v>102152</v>
      </c>
      <c r="J72" s="20" t="n">
        <v>88855</v>
      </c>
      <c r="K72" s="20" t="n">
        <v>113031</v>
      </c>
      <c r="L72" s="20" t="n">
        <v>228731</v>
      </c>
    </row>
    <row r="73">
      <c r="A73" s="18" t="inlineStr">
        <is>
          <t>재고자산</t>
        </is>
      </c>
      <c r="C73" s="20" t="n">
        <v>209274</v>
      </c>
      <c r="D73" s="20" t="n">
        <v>210038</v>
      </c>
      <c r="E73" s="20" t="n">
        <v>222464</v>
      </c>
      <c r="F73" s="20" t="n">
        <v>231718</v>
      </c>
      <c r="G73" s="20" t="n">
        <v>273654</v>
      </c>
      <c r="H73" s="20" t="n">
        <v>95013</v>
      </c>
      <c r="I73" s="20" t="n">
        <v>169082</v>
      </c>
      <c r="J73" s="20" t="n">
        <v>204389</v>
      </c>
      <c r="K73" s="20" t="n">
        <v>209707</v>
      </c>
      <c r="L73" s="20" t="n">
        <v>231718</v>
      </c>
    </row>
    <row r="74">
      <c r="A74" s="18" t="inlineStr">
        <is>
          <t>기타유동자산</t>
        </is>
      </c>
      <c r="C74" s="20" t="n">
        <v>17268</v>
      </c>
      <c r="D74" s="20" t="n">
        <v>22225</v>
      </c>
      <c r="E74" s="20" t="n">
        <v>22997</v>
      </c>
      <c r="F74" s="20" t="n">
        <v>35992</v>
      </c>
      <c r="G74" s="20" t="n">
        <v>25539</v>
      </c>
      <c r="H74" s="20" t="n">
        <v>11007</v>
      </c>
      <c r="I74" s="20" t="n">
        <v>17924</v>
      </c>
      <c r="J74" s="20" t="n">
        <v>20315</v>
      </c>
      <c r="K74" s="20" t="n">
        <v>14471</v>
      </c>
      <c r="L74" s="20" t="n">
        <v>35992</v>
      </c>
    </row>
    <row r="75">
      <c r="A75" s="9" t="inlineStr">
        <is>
          <t>(소계)</t>
        </is>
      </c>
      <c r="H75" s="12" t="n">
        <v>304757</v>
      </c>
      <c r="I75" s="12" t="n">
        <v>374695</v>
      </c>
    </row>
    <row r="76">
      <c r="A76" s="18" t="inlineStr">
        <is>
          <t>매각예정 자산</t>
        </is>
      </c>
      <c r="H76" s="20" t="n">
        <v>188</v>
      </c>
      <c r="I76" s="20" t="n">
        <v>0</v>
      </c>
    </row>
    <row r="77">
      <c r="A77" s="9" t="inlineStr">
        <is>
          <t>유동자산 합계</t>
        </is>
      </c>
      <c r="C77" s="12" t="n">
        <v>627915</v>
      </c>
      <c r="D77" s="12" t="n">
        <v>694111</v>
      </c>
      <c r="E77" s="12" t="n">
        <v>718101</v>
      </c>
      <c r="F77" s="12" t="n">
        <v>836407</v>
      </c>
      <c r="G77" s="12" t="n">
        <v>890814</v>
      </c>
      <c r="H77" s="12" t="n">
        <v>304945</v>
      </c>
      <c r="I77" s="12" t="n">
        <v>374695</v>
      </c>
      <c r="J77" s="12" t="n">
        <v>420261</v>
      </c>
      <c r="K77" s="12" t="n">
        <v>599753</v>
      </c>
      <c r="L77" s="12" t="n">
        <v>836407</v>
      </c>
    </row>
    <row r="78">
      <c r="A78" s="18" t="inlineStr">
        <is>
          <t>유형자산</t>
        </is>
      </c>
      <c r="C78" s="20" t="n">
        <v>80363</v>
      </c>
      <c r="D78" s="20" t="n">
        <v>89993</v>
      </c>
      <c r="E78" s="20" t="n">
        <v>95719</v>
      </c>
      <c r="F78" s="20" t="n">
        <v>101628</v>
      </c>
      <c r="G78" s="20" t="n">
        <v>107707</v>
      </c>
      <c r="H78" s="20" t="n">
        <v>51392</v>
      </c>
      <c r="I78" s="20" t="n">
        <v>64046</v>
      </c>
      <c r="J78" s="20" t="n">
        <v>78884</v>
      </c>
      <c r="K78" s="20" t="n">
        <v>78602</v>
      </c>
      <c r="L78" s="20" t="n">
        <v>101628</v>
      </c>
    </row>
    <row r="79">
      <c r="A79" s="18" t="inlineStr">
        <is>
          <t>사용권자산</t>
        </is>
      </c>
      <c r="C79" s="20" t="n">
        <v>17070</v>
      </c>
      <c r="D79" s="20" t="n">
        <v>16009</v>
      </c>
      <c r="E79" s="20" t="n">
        <v>15304</v>
      </c>
      <c r="F79" s="20" t="n">
        <v>19947</v>
      </c>
      <c r="G79" s="20" t="n">
        <v>18981</v>
      </c>
      <c r="H79" s="20" t="n">
        <v>12645</v>
      </c>
      <c r="I79" s="20" t="n">
        <v>17312</v>
      </c>
      <c r="J79" s="20" t="n">
        <v>19106</v>
      </c>
      <c r="K79" s="20" t="n">
        <v>18338</v>
      </c>
      <c r="L79" s="20" t="n">
        <v>19947</v>
      </c>
    </row>
    <row r="80">
      <c r="A80" s="18" t="inlineStr">
        <is>
          <t>영업권 및 무형자산</t>
        </is>
      </c>
      <c r="C80" s="20" t="n">
        <v>76346</v>
      </c>
      <c r="D80" s="20" t="n">
        <v>78617</v>
      </c>
      <c r="E80" s="20" t="n">
        <v>82538</v>
      </c>
      <c r="F80" s="20" t="n">
        <v>84250</v>
      </c>
      <c r="G80" s="20" t="n">
        <v>85751</v>
      </c>
      <c r="H80" s="20" t="n">
        <v>85307</v>
      </c>
      <c r="I80" s="20" t="n">
        <v>95767</v>
      </c>
      <c r="J80" s="20" t="n">
        <v>98514</v>
      </c>
      <c r="K80" s="20" t="n">
        <v>78365</v>
      </c>
      <c r="L80" s="20" t="n">
        <v>84250</v>
      </c>
    </row>
    <row r="81">
      <c r="A81" s="18" t="inlineStr">
        <is>
          <t>투자유가증권</t>
        </is>
      </c>
      <c r="F81" s="20" t="n">
        <v>67927</v>
      </c>
      <c r="G81" s="20" t="n">
        <v>357737</v>
      </c>
      <c r="L81" s="20" t="n">
        <v>67927</v>
      </c>
    </row>
    <row r="82">
      <c r="A82" s="18" t="inlineStr">
        <is>
          <t>기타금융자산</t>
        </is>
      </c>
      <c r="C82" s="20" t="n">
        <v>37192</v>
      </c>
      <c r="D82" s="20" t="n">
        <v>43464</v>
      </c>
      <c r="E82" s="20" t="n">
        <v>61194</v>
      </c>
      <c r="F82" s="20" t="n">
        <v>4022</v>
      </c>
      <c r="G82" s="20" t="n">
        <v>4009</v>
      </c>
      <c r="H82" s="20" t="n">
        <v>14565</v>
      </c>
      <c r="I82" s="20" t="n">
        <v>21488</v>
      </c>
      <c r="J82" s="20" t="n">
        <v>20139</v>
      </c>
      <c r="K82" s="20" t="n">
        <v>30167</v>
      </c>
      <c r="L82" s="20" t="n">
        <v>4022</v>
      </c>
    </row>
    <row r="83">
      <c r="A83" s="18" t="inlineStr">
        <is>
          <t>이연법인세자산</t>
        </is>
      </c>
      <c r="C83" s="20" t="n">
        <v>49912</v>
      </c>
      <c r="D83" s="20" t="n">
        <v>48413</v>
      </c>
      <c r="E83" s="20" t="n">
        <v>46815</v>
      </c>
      <c r="F83" s="20" t="n">
        <v>55774</v>
      </c>
      <c r="G83" s="20" t="n">
        <v>47952</v>
      </c>
      <c r="H83" s="20" t="n">
        <v>25494</v>
      </c>
      <c r="I83" s="20" t="n">
        <v>26522</v>
      </c>
      <c r="J83" s="20" t="n">
        <v>33423</v>
      </c>
      <c r="K83" s="20" t="n">
        <v>47894</v>
      </c>
      <c r="L83" s="20" t="n">
        <v>55774</v>
      </c>
    </row>
    <row r="84">
      <c r="A84" s="18" t="inlineStr">
        <is>
          <t>기타비유동자산</t>
        </is>
      </c>
      <c r="C84" s="20" t="n">
        <v>1071</v>
      </c>
      <c r="D84" s="20" t="n">
        <v>934</v>
      </c>
      <c r="E84" s="20" t="n">
        <v>844</v>
      </c>
      <c r="F84" s="20" t="n">
        <v>1861</v>
      </c>
      <c r="G84" s="20" t="n">
        <v>1701</v>
      </c>
      <c r="H84" s="20" t="n">
        <v>348</v>
      </c>
      <c r="I84" s="20" t="n">
        <v>394</v>
      </c>
      <c r="J84" s="20" t="n">
        <v>902</v>
      </c>
      <c r="K84" s="20" t="n">
        <v>1091</v>
      </c>
      <c r="L84" s="20" t="n">
        <v>1861</v>
      </c>
    </row>
    <row r="85">
      <c r="A85" s="18" t="inlineStr">
        <is>
          <t>비유동자산 합계</t>
        </is>
      </c>
      <c r="C85" s="20" t="n">
        <v>261954</v>
      </c>
      <c r="D85" s="20" t="n">
        <v>277430</v>
      </c>
      <c r="E85" s="20" t="n">
        <v>302414</v>
      </c>
      <c r="F85" s="20" t="n">
        <v>335409</v>
      </c>
      <c r="G85" s="20" t="n">
        <v>623838</v>
      </c>
      <c r="H85" s="20" t="n">
        <v>189751</v>
      </c>
      <c r="I85" s="20" t="n">
        <v>225529</v>
      </c>
      <c r="J85" s="20" t="n">
        <v>250968</v>
      </c>
      <c r="K85" s="20" t="n">
        <v>254457</v>
      </c>
      <c r="L85" s="20" t="n">
        <v>335409</v>
      </c>
    </row>
    <row r="86">
      <c r="A86" s="18" t="inlineStr">
        <is>
          <t>자산 합계</t>
        </is>
      </c>
      <c r="C86" s="20" t="n">
        <v>889869</v>
      </c>
      <c r="D86" s="20" t="n">
        <v>971541</v>
      </c>
      <c r="E86" s="20" t="n">
        <v>1020515</v>
      </c>
      <c r="F86" s="20" t="n">
        <v>1171816</v>
      </c>
      <c r="G86" s="20" t="n">
        <v>1514652</v>
      </c>
      <c r="H86" s="20" t="n">
        <v>494696</v>
      </c>
      <c r="I86" s="20" t="n">
        <v>600224</v>
      </c>
      <c r="J86" s="20" t="n">
        <v>671229</v>
      </c>
      <c r="K86" s="20" t="n">
        <v>854210</v>
      </c>
      <c r="L86" s="20" t="n">
        <v>1171816</v>
      </c>
    </row>
    <row r="87">
      <c r="A87" s="18" t="inlineStr">
        <is>
          <t>영업채무 및 기타채무</t>
        </is>
      </c>
      <c r="C87" s="20" t="n">
        <v>98675</v>
      </c>
      <c r="D87" s="20" t="n">
        <v>117179</v>
      </c>
      <c r="E87" s="20" t="n">
        <v>106381</v>
      </c>
      <c r="F87" s="20" t="n">
        <v>142061</v>
      </c>
      <c r="G87" s="20" t="n">
        <v>154357</v>
      </c>
      <c r="H87" s="20" t="n">
        <v>70352</v>
      </c>
      <c r="I87" s="20" t="n">
        <v>89262</v>
      </c>
      <c r="J87" s="20" t="n">
        <v>76863</v>
      </c>
      <c r="K87" s="20" t="n">
        <v>107093</v>
      </c>
      <c r="L87" s="20" t="n">
        <v>142061</v>
      </c>
    </row>
    <row r="88">
      <c r="A88" s="18" t="inlineStr">
        <is>
          <t>차입금</t>
        </is>
      </c>
      <c r="C88" s="20" t="n">
        <v>74481</v>
      </c>
      <c r="D88" s="20" t="n">
        <v>74888</v>
      </c>
      <c r="E88" s="20" t="n">
        <v>75651</v>
      </c>
      <c r="F88" s="20" t="n">
        <v>0</v>
      </c>
      <c r="H88" s="20" t="n">
        <v>18359</v>
      </c>
      <c r="I88" s="20" t="n">
        <v>13357</v>
      </c>
      <c r="J88" s="20" t="n">
        <v>0</v>
      </c>
      <c r="K88" s="20" t="n">
        <v>74952</v>
      </c>
      <c r="L88" s="20" t="n">
        <v>0</v>
      </c>
    </row>
    <row r="89">
      <c r="A89" s="18" t="inlineStr">
        <is>
          <t>미지급법인세</t>
        </is>
      </c>
      <c r="C89" s="20" t="n">
        <v>44475</v>
      </c>
      <c r="D89" s="20" t="n">
        <v>63654</v>
      </c>
      <c r="E89" s="20" t="n">
        <v>59791</v>
      </c>
      <c r="F89" s="20" t="n">
        <v>112455</v>
      </c>
      <c r="G89" s="20" t="n">
        <v>61370</v>
      </c>
      <c r="H89" s="20" t="n">
        <v>26814</v>
      </c>
      <c r="I89" s="20" t="n">
        <v>30635</v>
      </c>
      <c r="J89" s="20" t="n">
        <v>10262</v>
      </c>
      <c r="K89" s="20" t="n">
        <v>73023</v>
      </c>
      <c r="L89" s="20" t="n">
        <v>112455</v>
      </c>
    </row>
    <row r="90">
      <c r="A90" s="18" t="inlineStr">
        <is>
          <t>충당금</t>
        </is>
      </c>
      <c r="C90" s="20" t="n">
        <v>13506</v>
      </c>
      <c r="D90" s="20" t="n">
        <v>14317</v>
      </c>
      <c r="E90" s="20" t="n">
        <v>14627</v>
      </c>
      <c r="F90" s="20" t="n">
        <v>15538</v>
      </c>
      <c r="G90" s="20" t="n">
        <v>15984</v>
      </c>
      <c r="H90" s="20" t="n">
        <v>6536</v>
      </c>
      <c r="I90" s="20" t="n">
        <v>9093</v>
      </c>
      <c r="J90" s="20" t="n">
        <v>8668</v>
      </c>
      <c r="K90" s="20" t="n">
        <v>12454</v>
      </c>
      <c r="L90" s="20" t="n">
        <v>15538</v>
      </c>
    </row>
    <row r="91">
      <c r="A91" s="18" t="inlineStr">
        <is>
          <t>리스부채</t>
        </is>
      </c>
      <c r="C91" s="20" t="n">
        <v>4726</v>
      </c>
      <c r="D91" s="20" t="n">
        <v>4464</v>
      </c>
      <c r="E91" s="20" t="n">
        <v>4403</v>
      </c>
      <c r="F91" s="20" t="n">
        <v>4966</v>
      </c>
      <c r="G91" s="20" t="n">
        <v>4977</v>
      </c>
      <c r="H91" s="20" t="n">
        <v>2918</v>
      </c>
      <c r="I91" s="20" t="n">
        <v>4587</v>
      </c>
      <c r="J91" s="20" t="n">
        <v>5147</v>
      </c>
      <c r="K91" s="20" t="n">
        <v>5046</v>
      </c>
      <c r="L91" s="20" t="n">
        <v>4966</v>
      </c>
    </row>
    <row r="92">
      <c r="A92" s="18" t="inlineStr">
        <is>
          <t>기타금융부채</t>
        </is>
      </c>
      <c r="C92" s="20" t="n">
        <v>8549</v>
      </c>
      <c r="D92" s="20" t="n">
        <v>6443</v>
      </c>
      <c r="E92" s="20" t="n">
        <v>11735</v>
      </c>
      <c r="F92" s="20" t="n">
        <v>12508</v>
      </c>
      <c r="G92" s="20" t="n">
        <v>17097</v>
      </c>
      <c r="H92" s="20" t="n">
        <v>3276</v>
      </c>
      <c r="I92" s="20" t="n">
        <v>4903</v>
      </c>
      <c r="J92" s="20" t="n">
        <v>1868</v>
      </c>
      <c r="K92" s="20" t="n">
        <v>5790</v>
      </c>
      <c r="L92" s="20" t="n">
        <v>12508</v>
      </c>
    </row>
    <row r="93">
      <c r="A93" s="18" t="inlineStr">
        <is>
          <t>기타유동부채</t>
        </is>
      </c>
      <c r="C93" s="20" t="n">
        <v>33124</v>
      </c>
      <c r="D93" s="20" t="n">
        <v>42619</v>
      </c>
      <c r="E93" s="20" t="n">
        <v>34788</v>
      </c>
      <c r="F93" s="20" t="n">
        <v>42756</v>
      </c>
      <c r="G93" s="20" t="n">
        <v>80397</v>
      </c>
      <c r="H93" s="20" t="n">
        <v>22627</v>
      </c>
      <c r="I93" s="20" t="n">
        <v>22852</v>
      </c>
      <c r="J93" s="20" t="n">
        <v>23469</v>
      </c>
      <c r="K93" s="20" t="n">
        <v>31066</v>
      </c>
      <c r="L93" s="20" t="n">
        <v>42756</v>
      </c>
    </row>
    <row r="94">
      <c r="A94" s="18" t="inlineStr">
        <is>
          <t>유동부채 합계</t>
        </is>
      </c>
      <c r="C94" s="20" t="n">
        <v>277536</v>
      </c>
      <c r="D94" s="20" t="n">
        <v>323564</v>
      </c>
      <c r="E94" s="20" t="n">
        <v>307376</v>
      </c>
      <c r="F94" s="20" t="n">
        <v>330284</v>
      </c>
      <c r="G94" s="20" t="n">
        <v>334182</v>
      </c>
      <c r="H94" s="20" t="n">
        <v>150882</v>
      </c>
      <c r="I94" s="20" t="n">
        <v>174689</v>
      </c>
      <c r="J94" s="20" t="n">
        <v>126277</v>
      </c>
      <c r="K94" s="20" t="n">
        <v>309424</v>
      </c>
      <c r="L94" s="20" t="n">
        <v>330284</v>
      </c>
    </row>
    <row r="95">
      <c r="A95" s="18" t="inlineStr">
        <is>
          <t>차입금</t>
        </is>
      </c>
      <c r="C95" s="20" t="n">
        <v>3</v>
      </c>
      <c r="D95" s="20" t="n">
        <v>0</v>
      </c>
      <c r="E95" s="20" t="n">
        <v>0</v>
      </c>
      <c r="F95" s="20" t="n">
        <v>0</v>
      </c>
      <c r="H95" s="20" t="n">
        <v>12239</v>
      </c>
      <c r="I95" s="20" t="n">
        <v>20000</v>
      </c>
      <c r="J95" s="20" t="n">
        <v>75143</v>
      </c>
      <c r="K95" s="20" t="n">
        <v>3</v>
      </c>
      <c r="L95" s="20" t="n">
        <v>0</v>
      </c>
    </row>
    <row r="96">
      <c r="A96" s="18" t="inlineStr">
        <is>
          <t>사채</t>
        </is>
      </c>
      <c r="F96" s="20" t="n">
        <v>0</v>
      </c>
      <c r="G96" s="20" t="n">
        <v>88930</v>
      </c>
      <c r="L96" s="20" t="n">
        <v>0</v>
      </c>
    </row>
    <row r="97">
      <c r="A97" s="18" t="inlineStr">
        <is>
          <t>리스부채</t>
        </is>
      </c>
      <c r="C97" s="20" t="n">
        <v>12573</v>
      </c>
      <c r="D97" s="20" t="n">
        <v>11786</v>
      </c>
      <c r="E97" s="20" t="n">
        <v>11149</v>
      </c>
      <c r="F97" s="20" t="n">
        <v>15226</v>
      </c>
      <c r="G97" s="20" t="n">
        <v>14259</v>
      </c>
      <c r="H97" s="20" t="n">
        <v>9947</v>
      </c>
      <c r="I97" s="20" t="n">
        <v>12900</v>
      </c>
      <c r="J97" s="20" t="n">
        <v>14153</v>
      </c>
      <c r="K97" s="20" t="n">
        <v>13502</v>
      </c>
      <c r="L97" s="20" t="n">
        <v>15226</v>
      </c>
    </row>
    <row r="98">
      <c r="A98" s="18" t="inlineStr">
        <is>
          <t>퇴직급여부채</t>
        </is>
      </c>
      <c r="C98" s="20" t="n">
        <v>17701</v>
      </c>
      <c r="D98" s="20" t="n">
        <v>18045</v>
      </c>
      <c r="E98" s="20" t="n">
        <v>18354</v>
      </c>
      <c r="F98" s="20" t="n">
        <v>20222</v>
      </c>
      <c r="G98" s="20" t="n">
        <v>20021</v>
      </c>
      <c r="H98" s="20" t="n">
        <v>22341</v>
      </c>
      <c r="I98" s="20" t="n">
        <v>16812</v>
      </c>
      <c r="J98" s="20" t="n">
        <v>19134</v>
      </c>
      <c r="K98" s="20" t="n">
        <v>17614</v>
      </c>
      <c r="L98" s="20" t="n">
        <v>20222</v>
      </c>
    </row>
    <row r="99">
      <c r="A99" s="18" t="inlineStr">
        <is>
          <t>이연법인세부채</t>
        </is>
      </c>
      <c r="C99" s="20" t="n">
        <v>5586</v>
      </c>
      <c r="D99" s="20" t="n">
        <v>5071</v>
      </c>
      <c r="E99" s="20" t="n">
        <v>5702</v>
      </c>
      <c r="F99" s="20" t="n">
        <v>6444</v>
      </c>
      <c r="G99" s="20" t="n">
        <v>11179</v>
      </c>
      <c r="H99" s="20" t="n">
        <v>3445</v>
      </c>
      <c r="I99" s="20" t="n">
        <v>5773</v>
      </c>
      <c r="J99" s="20" t="n">
        <v>3934</v>
      </c>
      <c r="K99" s="20" t="n">
        <v>4709</v>
      </c>
      <c r="L99" s="20" t="n">
        <v>6444</v>
      </c>
    </row>
    <row r="100">
      <c r="A100" s="18" t="inlineStr">
        <is>
          <t>기타비유동부채</t>
        </is>
      </c>
      <c r="C100" s="20" t="n">
        <v>2253</v>
      </c>
      <c r="D100" s="20" t="n">
        <v>2735</v>
      </c>
      <c r="E100" s="20" t="n">
        <v>3635</v>
      </c>
      <c r="F100" s="20" t="n">
        <v>3914</v>
      </c>
      <c r="G100" s="20" t="n">
        <v>3439</v>
      </c>
      <c r="H100" s="20" t="n">
        <v>1221</v>
      </c>
      <c r="I100" s="20" t="n">
        <v>1356</v>
      </c>
      <c r="J100" s="20" t="n">
        <v>1410</v>
      </c>
      <c r="K100" s="20" t="n">
        <v>2419</v>
      </c>
      <c r="L100" s="20" t="n">
        <v>3914</v>
      </c>
    </row>
    <row r="101">
      <c r="A101" s="18" t="inlineStr">
        <is>
          <t>비유동부채 합계</t>
        </is>
      </c>
      <c r="C101" s="20" t="n">
        <v>38116</v>
      </c>
      <c r="D101" s="20" t="n">
        <v>37637</v>
      </c>
      <c r="E101" s="20" t="n">
        <v>38840</v>
      </c>
      <c r="F101" s="20" t="n">
        <v>45806</v>
      </c>
      <c r="G101" s="20" t="n">
        <v>137828</v>
      </c>
      <c r="H101" s="20" t="n">
        <v>49193</v>
      </c>
      <c r="I101" s="20" t="n">
        <v>56841</v>
      </c>
      <c r="J101" s="20" t="n">
        <v>113774</v>
      </c>
      <c r="K101" s="20" t="n">
        <v>38247</v>
      </c>
      <c r="L101" s="20" t="n">
        <v>45806</v>
      </c>
    </row>
    <row r="102">
      <c r="A102" s="18" t="inlineStr">
        <is>
          <t>부채 합계</t>
        </is>
      </c>
      <c r="C102" s="20" t="n">
        <v>315652</v>
      </c>
      <c r="D102" s="20" t="n">
        <v>361201</v>
      </c>
      <c r="E102" s="20" t="n">
        <v>346216</v>
      </c>
      <c r="F102" s="20" t="n">
        <v>376090</v>
      </c>
      <c r="G102" s="20" t="n">
        <v>472010</v>
      </c>
      <c r="H102" s="20" t="n">
        <v>200075</v>
      </c>
      <c r="I102" s="20" t="n">
        <v>231530</v>
      </c>
      <c r="J102" s="20" t="n">
        <v>240051</v>
      </c>
      <c r="K102" s="20" t="n">
        <v>347671</v>
      </c>
      <c r="L102" s="20" t="n">
        <v>376090</v>
      </c>
    </row>
    <row r="103">
      <c r="A103" s="18" t="inlineStr">
        <is>
          <t>자본금</t>
        </is>
      </c>
      <c r="C103" s="20" t="n">
        <v>32363</v>
      </c>
      <c r="D103" s="20" t="n">
        <v>32363</v>
      </c>
      <c r="E103" s="20" t="n">
        <v>32363</v>
      </c>
      <c r="F103" s="20" t="n">
        <v>32363</v>
      </c>
      <c r="G103" s="20" t="n">
        <v>32363</v>
      </c>
      <c r="H103" s="20" t="n">
        <v>32363</v>
      </c>
      <c r="I103" s="20" t="n">
        <v>32363</v>
      </c>
      <c r="J103" s="20" t="n">
        <v>32363</v>
      </c>
      <c r="K103" s="20" t="n">
        <v>32363</v>
      </c>
      <c r="L103" s="20" t="n">
        <v>32363</v>
      </c>
    </row>
    <row r="104">
      <c r="A104" s="18" t="inlineStr">
        <is>
          <t>자본잉여금</t>
        </is>
      </c>
      <c r="C104" s="20" t="n">
        <v>47619</v>
      </c>
      <c r="D104" s="20" t="n">
        <v>48354</v>
      </c>
      <c r="E104" s="20" t="n">
        <v>49492</v>
      </c>
      <c r="F104" s="20" t="n">
        <v>52462</v>
      </c>
      <c r="G104" s="20" t="n">
        <v>61388</v>
      </c>
      <c r="H104" s="20" t="n">
        <v>44995</v>
      </c>
      <c r="I104" s="20" t="n">
        <v>44622</v>
      </c>
      <c r="J104" s="20" t="n">
        <v>45441</v>
      </c>
      <c r="K104" s="20" t="n">
        <v>46665</v>
      </c>
      <c r="L104" s="20" t="n">
        <v>52462</v>
      </c>
    </row>
    <row r="105">
      <c r="A105" s="18" t="inlineStr">
        <is>
          <t>자기주식</t>
        </is>
      </c>
      <c r="C105" s="20" t="n">
        <v>-118941</v>
      </c>
      <c r="D105" s="20" t="n">
        <v>-173107</v>
      </c>
      <c r="E105" s="20" t="n">
        <v>-196550</v>
      </c>
      <c r="F105" s="20" t="n">
        <v>-44372</v>
      </c>
      <c r="G105" s="20" t="n">
        <v>-86414</v>
      </c>
      <c r="H105" s="20" t="n">
        <v>-81547</v>
      </c>
      <c r="I105" s="20" t="n">
        <v>-59099</v>
      </c>
      <c r="J105" s="20" t="n">
        <v>-56353</v>
      </c>
      <c r="K105" s="20" t="n">
        <v>-104193</v>
      </c>
      <c r="L105" s="20" t="n">
        <v>-44372</v>
      </c>
    </row>
    <row r="106">
      <c r="A106" s="18" t="inlineStr">
        <is>
          <t>이익잉여금</t>
        </is>
      </c>
      <c r="C106" s="20" t="n">
        <v>565010</v>
      </c>
      <c r="D106" s="20" t="n">
        <v>644478</v>
      </c>
      <c r="E106" s="20" t="n">
        <v>701965</v>
      </c>
      <c r="F106" s="20" t="n">
        <v>655566</v>
      </c>
      <c r="G106" s="20" t="n">
        <v>816018</v>
      </c>
      <c r="H106" s="20" t="n">
        <v>279828</v>
      </c>
      <c r="I106" s="20" t="n">
        <v>319171</v>
      </c>
      <c r="J106" s="20" t="n">
        <v>355299</v>
      </c>
      <c r="K106" s="20" t="n">
        <v>489850</v>
      </c>
      <c r="L106" s="20" t="n">
        <v>655566</v>
      </c>
    </row>
    <row r="107">
      <c r="A107" s="18" t="inlineStr">
        <is>
          <t>기타자본구성요소</t>
        </is>
      </c>
      <c r="C107" s="20" t="n">
        <v>48166</v>
      </c>
      <c r="D107" s="20" t="n">
        <v>58252</v>
      </c>
      <c r="E107" s="20" t="n">
        <v>87029</v>
      </c>
      <c r="F107" s="20" t="n">
        <v>99707</v>
      </c>
      <c r="G107" s="20" t="n">
        <v>219287</v>
      </c>
      <c r="H107" s="20" t="n">
        <v>18982</v>
      </c>
      <c r="I107" s="20" t="n">
        <v>31637</v>
      </c>
      <c r="J107" s="20" t="n">
        <v>54428</v>
      </c>
      <c r="K107" s="20" t="n">
        <v>41854</v>
      </c>
      <c r="L107" s="20" t="n">
        <v>99707</v>
      </c>
    </row>
    <row r="108">
      <c r="A108" s="18" t="inlineStr">
        <is>
          <t>지배기업 소유주 귀속 지분 합계</t>
        </is>
      </c>
      <c r="C108" s="20" t="n">
        <v>574217</v>
      </c>
      <c r="D108" s="20" t="n">
        <v>610340</v>
      </c>
      <c r="E108" s="20" t="n">
        <v>674299</v>
      </c>
      <c r="F108" s="20" t="n">
        <v>795726</v>
      </c>
      <c r="G108" s="20" t="n">
        <v>1042642</v>
      </c>
      <c r="H108" s="20" t="n">
        <v>294621</v>
      </c>
      <c r="I108" s="20" t="n">
        <v>368694</v>
      </c>
      <c r="J108" s="20" t="n">
        <v>431178</v>
      </c>
      <c r="K108" s="20" t="n">
        <v>506539</v>
      </c>
      <c r="L108" s="20" t="n">
        <v>795726</v>
      </c>
    </row>
    <row r="109">
      <c r="A109" s="18" t="inlineStr">
        <is>
          <t>자본 합계</t>
        </is>
      </c>
      <c r="C109" s="20" t="n">
        <v>574217</v>
      </c>
      <c r="D109" s="20" t="n">
        <v>610340</v>
      </c>
      <c r="E109" s="20" t="n">
        <v>674299</v>
      </c>
      <c r="F109" s="20" t="n">
        <v>795726</v>
      </c>
      <c r="G109" s="20" t="n">
        <v>1042642</v>
      </c>
      <c r="H109" s="20" t="n">
        <v>294621</v>
      </c>
      <c r="I109" s="20" t="n">
        <v>368694</v>
      </c>
      <c r="J109" s="20" t="n">
        <v>431178</v>
      </c>
      <c r="K109" s="20" t="n">
        <v>506539</v>
      </c>
      <c r="L109" s="20" t="n">
        <v>795726</v>
      </c>
    </row>
    <row r="110">
      <c r="A110" s="18" t="inlineStr">
        <is>
          <t>부채및자본 합계</t>
        </is>
      </c>
      <c r="C110" s="20" t="n">
        <v>889869</v>
      </c>
      <c r="D110" s="20" t="n">
        <v>971541</v>
      </c>
      <c r="E110" s="20" t="n">
        <v>1020515</v>
      </c>
      <c r="F110" s="20" t="n">
        <v>1171816</v>
      </c>
      <c r="G110" s="20" t="n">
        <v>1514652</v>
      </c>
      <c r="H110" s="20" t="n">
        <v>494696</v>
      </c>
      <c r="I110" s="20" t="n">
        <v>600224</v>
      </c>
      <c r="J110" s="20" t="n">
        <v>671229</v>
      </c>
      <c r="K110" s="20" t="n">
        <v>854210</v>
      </c>
      <c r="L110" s="20" t="n">
        <v>1171816</v>
      </c>
    </row>
  </sheetData>
  <conditionalFormatting sqref="C43:L43">
    <cfRule type="expression" priority="1" dxfId="0">
      <formula>AND(ISNUMBER(C43),C43&gt;1.0)</formula>
    </cfRule>
  </conditionalFormatting>
  <conditionalFormatting sqref="C44:L44">
    <cfRule type="expression" priority="2" dxfId="0">
      <formula>AND(ISNUMBER(C44),C44&gt;0.5)</formula>
    </cfRule>
  </conditionalFormatting>
  <conditionalFormatting sqref="C45:L45">
    <cfRule type="expression" priority="3" dxfId="0">
      <formula>AND(ISNUMBER(C45),C45&lt;0.5)</formula>
    </cfRule>
  </conditionalFormatting>
  <conditionalFormatting sqref="C46:L46">
    <cfRule type="expression" priority="4" dxfId="0">
      <formula>AND(ISNUMBER(C46),C46&lt;1.5)</formula>
    </cfRule>
  </conditionalFormatting>
  <conditionalFormatting sqref="C47:L47">
    <cfRule type="expression" priority="5" dxfId="0">
      <formula>AND(ISNUMBER(C47),C47&lt;1.0)</formula>
    </cfRule>
  </conditionalFormatting>
  <conditionalFormatting sqref="C48:L48">
    <cfRule type="expression" priority="6" dxfId="0">
      <formula>AND(ISNUMBER(C48),C48&lt;5)</formula>
    </cfRule>
  </conditionalFormatting>
  <conditionalFormatting sqref="C49:L49">
    <cfRule type="expression" priority="7" dxfId="0">
      <formula>AND(ISNUMBER(C49),C49&gt;4)</formula>
    </cfRule>
  </conditionalFormatting>
  <conditionalFormatting sqref="C51:L51">
    <cfRule type="expression" priority="8" dxfId="0">
      <formula>AND(ISNUMBER(C51),C51&lt;0.15)</formula>
    </cfRule>
  </conditionalFormatting>
  <conditionalFormatting sqref="C52:L52">
    <cfRule type="expression" priority="9" dxfId="0">
      <formula>AND(ISNUMBER(C52),C52&lt;0.05)</formula>
    </cfRule>
  </conditionalFormatting>
  <conditionalFormatting sqref="C53:L53">
    <cfRule type="expression" priority="10" dxfId="0">
      <formula>AND(ISNUMBER(C53),C53&lt;0.1)</formula>
    </cfRule>
  </conditionalFormatting>
  <conditionalFormatting sqref="C54:L54">
    <cfRule type="expression" priority="11" dxfId="0">
      <formula>AND(ISNUMBER(C54),C54&lt;0.4)</formula>
    </cfRule>
  </conditionalFormatting>
  <conditionalFormatting sqref="C55:L55">
    <cfRule type="expression" priority="12" dxfId="0">
      <formula>AND(ISNUMBER(C55),C55&lt;0.15)</formula>
    </cfRule>
  </conditionalFormatting>
  <conditionalFormatting sqref="C56:L56">
    <cfRule type="expression" priority="13" dxfId="0">
      <formula>AND(ISNUMBER(C56),C56&lt;0.1)</formula>
    </cfRule>
  </conditionalFormatting>
  <conditionalFormatting sqref="C64:L64">
    <cfRule type="expression" priority="14" dxfId="0">
      <formula>AND(ISNUMBER(C64),C64&lt;1.0)</formula>
    </cfRule>
  </conditionalFormatting>
  <conditionalFormatting sqref="C65:L65">
    <cfRule type="expression" priority="15" dxfId="0">
      <formula>AND(ISNUMBER(C65),C65&lt;0.05)</formula>
    </cfRule>
  </conditionalFormatting>
  <pageMargins left="0.75" right="0.75" top="1" bottom="1" header="0.5" footer="0.5"/>
  <pageSetup orientation="landscape" paperSize="8" fitToHeight="0" fitToWidth="1"/>
</worksheet>
</file>

<file path=xl/worksheets/sheet3.xml><?xml version="1.0" encoding="utf-8"?>
<worksheet xmlns="http://schemas.openxmlformats.org/spreadsheetml/2006/main">
  <sheetPr>
    <outlinePr summaryBelow="1" summaryRight="1"/>
    <pageSetUpPr/>
  </sheetPr>
  <dimension ref="A1:C23"/>
  <sheetViews>
    <sheetView showGridLines="0" workbookViewId="0">
      <selection activeCell="A1" sqref="A1"/>
    </sheetView>
  </sheetViews>
  <sheetFormatPr baseColWidth="8" defaultRowHeight="15"/>
  <cols>
    <col width="12" customWidth="1" min="1" max="1"/>
    <col width="34" customWidth="1" min="2" max="2"/>
    <col width="60" customWidth="1" min="3" max="3"/>
  </cols>
  <sheetData>
    <row r="1">
      <c r="A1" s="50" t="inlineStr">
        <is>
          <t>출처 · 쓴 결산단신</t>
        </is>
      </c>
    </row>
    <row r="3">
      <c r="A3" s="51" t="inlineStr">
        <is>
          <t>공시일</t>
        </is>
      </c>
      <c r="B3" s="51" t="inlineStr">
        <is>
          <t>문서</t>
        </is>
      </c>
      <c r="C3" s="51" t="inlineStr">
        <is>
          <t>PDF</t>
        </is>
      </c>
    </row>
    <row r="4">
      <c r="A4" t="inlineStr">
        <is>
          <t>2026-07-29</t>
        </is>
      </c>
      <c r="B4" t="inlineStr">
        <is>
          <t>2027년 3월 결산기 1분기 결산단신</t>
        </is>
      </c>
      <c r="C4" t="inlineStr">
        <is>
          <t>https://www2.jpx.co.jp/disc/68570/140120260728500866.pdf</t>
        </is>
      </c>
    </row>
    <row r="5">
      <c r="A5" t="inlineStr">
        <is>
          <t>2026-04-27</t>
        </is>
      </c>
      <c r="B5" t="inlineStr">
        <is>
          <t>2026년 3월 결산기 연간 결산단신</t>
        </is>
      </c>
      <c r="C5" t="inlineStr">
        <is>
          <t>https://www2.jpx.co.jp/disc/68570/140120260427511547.pdf</t>
        </is>
      </c>
    </row>
    <row r="6">
      <c r="A6" t="inlineStr">
        <is>
          <t>2026-01-28</t>
        </is>
      </c>
      <c r="B6" t="inlineStr">
        <is>
          <t>2026년 3월 결산기 3분기 결산단신</t>
        </is>
      </c>
      <c r="C6" t="inlineStr">
        <is>
          <t>https://www2.jpx.co.jp/disc/68570/140120260128539835.pdf</t>
        </is>
      </c>
    </row>
    <row r="7">
      <c r="A7" t="inlineStr">
        <is>
          <t>2025-10-28</t>
        </is>
      </c>
      <c r="B7" t="inlineStr">
        <is>
          <t>2026년 3월 결산기 2분기 결산단신</t>
        </is>
      </c>
      <c r="C7" t="inlineStr">
        <is>
          <t>https://www2.jpx.co.jp/disc/68570/140120251028579861.pdf</t>
        </is>
      </c>
    </row>
    <row r="8">
      <c r="A8" t="inlineStr">
        <is>
          <t>2025-07-29</t>
        </is>
      </c>
      <c r="B8" t="inlineStr">
        <is>
          <t>2026년 3월 결산기 1분기 결산단신</t>
        </is>
      </c>
      <c r="C8" t="inlineStr">
        <is>
          <t>https://www2.jpx.co.jp/disc/68570/140120250728521999.pdf</t>
        </is>
      </c>
    </row>
    <row r="9">
      <c r="A9" t="inlineStr">
        <is>
          <t>2025-04-25</t>
        </is>
      </c>
      <c r="B9" t="inlineStr">
        <is>
          <t>2025년 3월 결산기 연간 결산단신</t>
        </is>
      </c>
      <c r="C9" t="inlineStr">
        <is>
          <t>https://www2.jpx.co.jp/disc/68570/140120250424523309.pdf</t>
        </is>
      </c>
    </row>
    <row r="10">
      <c r="A10" t="inlineStr">
        <is>
          <t>2025-01-29</t>
        </is>
      </c>
      <c r="B10" t="inlineStr">
        <is>
          <t>2025년 3월 결산기 3분기 결산단신</t>
        </is>
      </c>
      <c r="C10" t="inlineStr">
        <is>
          <t>https://www2.jpx.co.jp/disc/68570/140120250128556182.pdf</t>
        </is>
      </c>
    </row>
    <row r="11">
      <c r="A11" t="inlineStr">
        <is>
          <t>2024-10-30</t>
        </is>
      </c>
      <c r="B11" t="inlineStr">
        <is>
          <t>2025년 3월 결산기 2분기 결산단신</t>
        </is>
      </c>
      <c r="C11" t="inlineStr">
        <is>
          <t>https://www2.jpx.co.jp/disc/68570/140120241029504544.pdf</t>
        </is>
      </c>
    </row>
    <row r="12">
      <c r="A12" t="inlineStr">
        <is>
          <t>2024-07-31</t>
        </is>
      </c>
      <c r="B12" t="inlineStr">
        <is>
          <t>2025년 3월 결산기 1분기 결산단신</t>
        </is>
      </c>
      <c r="C12" t="inlineStr">
        <is>
          <t>https://www2.jpx.co.jp/disc/68570/140120240730557905.pdf</t>
        </is>
      </c>
    </row>
    <row r="13">
      <c r="A13" t="inlineStr">
        <is>
          <t>2024-04-26</t>
        </is>
      </c>
      <c r="B13" t="inlineStr">
        <is>
          <t>2024년 3월 결산기 연간 결산단신</t>
        </is>
      </c>
      <c r="C13" t="inlineStr">
        <is>
          <t>https://www2.jpx.co.jp/disc/68570/140120240425577460.pdf</t>
        </is>
      </c>
    </row>
    <row r="14">
      <c r="A14" t="inlineStr">
        <is>
          <t>2024-01-31</t>
        </is>
      </c>
      <c r="B14" t="inlineStr">
        <is>
          <t>2024년 3월 결산기 3분기 결산단신</t>
        </is>
      </c>
      <c r="C14" t="inlineStr">
        <is>
          <t>https://www2.jpx.co.jp/disc/68570/140120240129521020.pdf</t>
        </is>
      </c>
    </row>
    <row r="15">
      <c r="A15" t="inlineStr">
        <is>
          <t>2023-10-31</t>
        </is>
      </c>
      <c r="B15" t="inlineStr">
        <is>
          <t>2024년 3월 결산기 2분기 결산단신</t>
        </is>
      </c>
      <c r="C15" t="inlineStr">
        <is>
          <t>https://www2.jpx.co.jp/disc/68570/140120231030575040.pdf</t>
        </is>
      </c>
    </row>
    <row r="16">
      <c r="A16" t="inlineStr">
        <is>
          <t>2023-07-26</t>
        </is>
      </c>
      <c r="B16" t="inlineStr">
        <is>
          <t>2024년 3월 결산기 1분기 결산단신</t>
        </is>
      </c>
      <c r="C16" t="inlineStr">
        <is>
          <t>https://www2.jpx.co.jp/disc/68570/140120230725526530.pdf</t>
        </is>
      </c>
    </row>
    <row r="17">
      <c r="A17" t="inlineStr">
        <is>
          <t>2023-04-26</t>
        </is>
      </c>
      <c r="B17" t="inlineStr">
        <is>
          <t>2023년 3월 결산기 연간 결산단신</t>
        </is>
      </c>
      <c r="C17" t="inlineStr">
        <is>
          <t>https://www2.jpx.co.jp/disc/68570/140120230425552430.pdf</t>
        </is>
      </c>
    </row>
    <row r="18">
      <c r="A18" t="inlineStr">
        <is>
          <t>2023-01-31</t>
        </is>
      </c>
      <c r="B18" t="inlineStr">
        <is>
          <t>2023년 3월 결산기 3분기 결산단신</t>
        </is>
      </c>
      <c r="C18" t="inlineStr">
        <is>
          <t>https://www2.jpx.co.jp/disc/68570/140120230130596594.pdf</t>
        </is>
      </c>
    </row>
    <row r="19">
      <c r="A19" t="inlineStr">
        <is>
          <t>2022-10-27</t>
        </is>
      </c>
      <c r="B19" t="inlineStr">
        <is>
          <t>2023년 3월 결산기 2분기 결산단신</t>
        </is>
      </c>
      <c r="C19" t="inlineStr">
        <is>
          <t>https://www2.jpx.co.jp/disc/68570/140120221026549489.pdf</t>
        </is>
      </c>
    </row>
    <row r="20">
      <c r="A20" t="inlineStr">
        <is>
          <t>2022-04-27</t>
        </is>
      </c>
      <c r="B20" t="inlineStr">
        <is>
          <t>2022년 3월 결산기 연간 결산단신</t>
        </is>
      </c>
      <c r="C20" t="inlineStr">
        <is>
          <t>https://www2.jpx.co.jp/disc/68570/140120220426527770.pdf</t>
        </is>
      </c>
    </row>
    <row r="21">
      <c r="A21" t="inlineStr">
        <is>
          <t>2021-04-27</t>
        </is>
      </c>
      <c r="B21" t="inlineStr">
        <is>
          <t>2021년 3월 결산기 연간 결산단신</t>
        </is>
      </c>
      <c r="C21" t="inlineStr">
        <is>
          <t>https://www2.jpx.co.jp/disc/68570/140120210426400718.pdf</t>
        </is>
      </c>
    </row>
    <row r="22">
      <c r="A22" t="inlineStr">
        <is>
          <t>2020-04-24</t>
        </is>
      </c>
      <c r="B22" t="inlineStr">
        <is>
          <t>2020년 3월 결산기 연간 결산단신</t>
        </is>
      </c>
      <c r="C22" t="inlineStr">
        <is>
          <t>https://www2.jpx.co.jp/disc/68570/140120200407490530.pdf</t>
        </is>
      </c>
    </row>
    <row r="23">
      <c r="A23" t="inlineStr">
        <is>
          <t>2019-04-25</t>
        </is>
      </c>
      <c r="B23" t="inlineStr">
        <is>
          <t>2019년 3월 결산기 연간 결산단신</t>
        </is>
      </c>
      <c r="C23" t="inlineStr">
        <is>
          <t>https://www2.jpx.co.jp/disc/68570/140120190414404430.pdf</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2026-10-26T10:58:10Z</dcterms:created>
  <dcterms:modified xmlns:dcterms="http://purl.org/dc/terms/" xmlns:xsi="http://www.w3.org/2001/XMLSchema-instance" xsi:type="dcterms:W3CDTF">2026-10-26T10:58:10Z</dcterms:modified>
</cp:coreProperties>
</file>