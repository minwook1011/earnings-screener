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2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6857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IFRS · 2026.4Q = 2026년 3월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1" t="n"/>
      <c r="P4" s="12" t="n">
        <v>207223</v>
      </c>
      <c r="Q4" s="12" t="n">
        <v>282456</v>
      </c>
      <c r="R4" s="12" t="n">
        <v>275894</v>
      </c>
      <c r="S4" s="12" t="n">
        <v>312789</v>
      </c>
      <c r="T4" s="12" t="n">
        <v>416901</v>
      </c>
      <c r="U4" s="12" t="n">
        <v>560191</v>
      </c>
      <c r="V4" s="12" t="n">
        <v>486507</v>
      </c>
      <c r="W4" s="12" t="n">
        <v>779707</v>
      </c>
      <c r="X4" s="12" t="n">
        <v>1128610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1" t="n"/>
      <c r="P11" s="22" t="n">
        <v>100635</v>
      </c>
      <c r="Q11" s="22" t="n">
        <v>128417</v>
      </c>
      <c r="R11" s="22" t="n">
        <v>119397</v>
      </c>
      <c r="S11" s="22" t="n">
        <v>144498</v>
      </c>
      <c r="T11" s="22" t="n">
        <v>180994</v>
      </c>
      <c r="U11" s="22" t="n">
        <v>241130</v>
      </c>
      <c r="V11" s="22" t="n">
        <v>240477</v>
      </c>
      <c r="W11" s="22" t="n">
        <v>334622</v>
      </c>
      <c r="X11" s="22" t="n">
        <v>402503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1" t="n"/>
      <c r="P15" s="22" t="n">
        <v>82645</v>
      </c>
      <c r="Q15" s="22" t="n">
        <v>93100</v>
      </c>
      <c r="R15" s="22" t="n">
        <v>97751</v>
      </c>
      <c r="S15" s="22" t="n">
        <v>105870</v>
      </c>
      <c r="T15" s="22" t="n">
        <v>121132</v>
      </c>
      <c r="U15" s="22" t="n">
        <v>152042</v>
      </c>
      <c r="V15" s="22" t="n">
        <v>158963</v>
      </c>
      <c r="W15" s="22" t="n">
        <v>195392</v>
      </c>
      <c r="X15" s="22" t="n">
        <v>229628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1" t="n"/>
      <c r="P16" s="12" t="n">
        <v>24487</v>
      </c>
      <c r="Q16" s="12" t="n">
        <v>64662</v>
      </c>
      <c r="R16" s="12" t="n">
        <v>58708</v>
      </c>
      <c r="S16" s="12" t="n">
        <v>70726</v>
      </c>
      <c r="T16" s="12" t="n">
        <v>114734</v>
      </c>
      <c r="U16" s="12" t="n">
        <v>167687</v>
      </c>
      <c r="V16" s="12" t="n">
        <v>81628</v>
      </c>
      <c r="W16" s="12" t="n">
        <v>228161</v>
      </c>
      <c r="X16" s="12" t="n">
        <v>499120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기타이익</t>
        </is>
      </c>
      <c r="B32" s="10" t="n"/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 t="n"/>
      <c r="P32" s="22" t="n">
        <v>621</v>
      </c>
      <c r="Q32" s="22" t="n">
        <v>3818</v>
      </c>
      <c r="R32" s="22" t="n">
        <v>335</v>
      </c>
      <c r="S32" s="22" t="n">
        <v>8499</v>
      </c>
      <c r="T32" s="22" t="n">
        <v>606</v>
      </c>
      <c r="U32" s="22" t="n">
        <v>1003</v>
      </c>
      <c r="V32" s="22" t="n">
        <v>3926</v>
      </c>
      <c r="W32" s="22" t="n">
        <v>1366</v>
      </c>
      <c r="X32" s="22" t="n">
        <v>3552</v>
      </c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기타손실</t>
        </is>
      </c>
      <c r="B34" s="10" t="n"/>
      <c r="C34" s="21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1" t="n"/>
      <c r="P34" s="22" t="n">
        <v>77</v>
      </c>
      <c r="Q34" s="22" t="n">
        <v>95</v>
      </c>
      <c r="R34" s="22" t="n">
        <v>373</v>
      </c>
      <c r="S34" s="22" t="n">
        <v>194</v>
      </c>
      <c r="T34" s="22" t="n">
        <v>647</v>
      </c>
      <c r="U34" s="22" t="n">
        <v>335</v>
      </c>
      <c r="V34" s="22" t="n">
        <v>9365</v>
      </c>
      <c r="W34" s="22" t="n">
        <v>22898</v>
      </c>
      <c r="X34" s="22" t="n">
        <v>911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금융수익</t>
        </is>
      </c>
      <c r="B36" s="10" t="n"/>
      <c r="C36" s="21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1" t="n"/>
      <c r="P36" s="22" t="n">
        <v>975</v>
      </c>
      <c r="Q36" s="22" t="n">
        <v>1626</v>
      </c>
      <c r="R36" s="22" t="n">
        <v>1045</v>
      </c>
      <c r="S36" s="22" t="n">
        <v>767</v>
      </c>
      <c r="T36" s="22" t="n">
        <v>1912</v>
      </c>
      <c r="U36" s="22" t="n">
        <v>4458</v>
      </c>
      <c r="V36" s="22" t="n">
        <v>1244</v>
      </c>
      <c r="W36" s="22" t="n">
        <v>1895</v>
      </c>
      <c r="X36" s="22" t="n">
        <v>20354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금융원가</t>
        </is>
      </c>
      <c r="B38" s="10" t="n"/>
      <c r="C38" s="21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1" t="n"/>
      <c r="P38" s="22" t="n">
        <v>1180</v>
      </c>
      <c r="Q38" s="22" t="n">
        <v>77</v>
      </c>
      <c r="R38" s="22" t="n">
        <v>1179</v>
      </c>
      <c r="S38" s="22" t="n">
        <v>1875</v>
      </c>
      <c r="T38" s="22" t="n">
        <v>303</v>
      </c>
      <c r="U38" s="22" t="n">
        <v>875</v>
      </c>
      <c r="V38" s="22" t="n">
        <v>4702</v>
      </c>
      <c r="W38" s="22" t="n">
        <v>5282</v>
      </c>
      <c r="X38" s="22" t="n">
        <v>2754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1" t="n"/>
      <c r="P40" s="12" t="n">
        <v>24282</v>
      </c>
      <c r="Q40" s="12" t="n">
        <v>66211</v>
      </c>
      <c r="R40" s="12" t="n">
        <v>58574</v>
      </c>
      <c r="S40" s="12" t="n">
        <v>69618</v>
      </c>
      <c r="T40" s="12" t="n">
        <v>116343</v>
      </c>
      <c r="U40" s="12" t="n">
        <v>171270</v>
      </c>
      <c r="V40" s="12" t="n">
        <v>78170</v>
      </c>
      <c r="W40" s="12" t="n">
        <v>224774</v>
      </c>
      <c r="X40" s="12" t="n">
        <v>516720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1" t="n"/>
      <c r="P41" s="22" t="n">
        <v>6179</v>
      </c>
      <c r="Q41" s="22" t="n">
        <v>9218</v>
      </c>
      <c r="R41" s="22" t="n">
        <v>5042</v>
      </c>
      <c r="S41" s="22" t="n">
        <v>-169</v>
      </c>
      <c r="T41" s="22" t="n">
        <v>29042</v>
      </c>
      <c r="U41" s="22" t="n">
        <v>40870</v>
      </c>
      <c r="V41" s="22" t="n">
        <v>15880</v>
      </c>
      <c r="W41" s="22" t="n">
        <v>63597</v>
      </c>
      <c r="X41" s="22" t="n">
        <v>141367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1" t="n"/>
      <c r="P43" s="12" t="n">
        <v>18103</v>
      </c>
      <c r="Q43" s="12" t="n">
        <v>56993</v>
      </c>
      <c r="R43" s="12" t="n">
        <v>53532</v>
      </c>
      <c r="S43" s="12" t="n">
        <v>69787</v>
      </c>
      <c r="T43" s="12" t="n">
        <v>87301</v>
      </c>
      <c r="U43" s="12" t="n">
        <v>130400</v>
      </c>
      <c r="V43" s="12" t="n">
        <v>62290</v>
      </c>
      <c r="W43" s="12" t="n">
        <v>161177</v>
      </c>
      <c r="X43" s="12" t="n">
        <v>375353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1" t="n"/>
      <c r="P44" s="12" t="n">
        <v>18103</v>
      </c>
      <c r="Q44" s="12" t="n">
        <v>56993</v>
      </c>
      <c r="R44" s="12" t="n">
        <v>53532</v>
      </c>
      <c r="S44" s="12" t="n">
        <v>69787</v>
      </c>
      <c r="T44" s="12" t="n">
        <v>87301</v>
      </c>
      <c r="U44" s="12" t="n">
        <v>130400</v>
      </c>
      <c r="V44" s="12" t="n">
        <v>62290</v>
      </c>
      <c r="W44" s="12" t="n">
        <v>161177</v>
      </c>
      <c r="X44" s="12" t="n">
        <v>375353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()</t>
        </is>
      </c>
      <c r="B47" s="29" t="n"/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/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</t>
        </is>
      </c>
      <c r="C74" s="41" t="n"/>
      <c r="O74" s="41" t="n"/>
      <c r="Y74" s="41" t="n"/>
    </row>
    <row r="76">
      <c r="A76" s="18" t="inlineStr">
        <is>
          <t>현금흐름표 · 전 항목</t>
        </is>
      </c>
      <c r="B76" s="44" t="inlineStr">
        <is>
          <t>분기 = 결산기 첫날부터 누계(공시 그대로)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2024.1Q</t>
        </is>
      </c>
      <c r="D77" s="5" t="inlineStr">
        <is>
          <t>2024.2Q</t>
        </is>
      </c>
      <c r="E77" s="5" t="inlineStr">
        <is>
          <t>2024.3Q</t>
        </is>
      </c>
      <c r="F77" s="5" t="inlineStr">
        <is>
          <t>2024.4Q</t>
        </is>
      </c>
      <c r="G77" s="5" t="inlineStr">
        <is>
          <t>2025.1Q</t>
        </is>
      </c>
      <c r="H77" s="5" t="inlineStr">
        <is>
          <t>2025.2Q</t>
        </is>
      </c>
      <c r="I77" s="5" t="inlineStr">
        <is>
          <t>2025.3Q</t>
        </is>
      </c>
      <c r="J77" s="5" t="inlineStr">
        <is>
          <t>2025.4Q</t>
        </is>
      </c>
      <c r="K77" s="5" t="inlineStr">
        <is>
          <t>2026.1Q</t>
        </is>
      </c>
      <c r="L77" s="5" t="inlineStr">
        <is>
          <t>2026.2Q</t>
        </is>
      </c>
      <c r="M77" s="5" t="inlineStr">
        <is>
          <t>2026.3Q</t>
        </is>
      </c>
      <c r="N77" s="5" t="inlineStr">
        <is>
          <t>2026.4Q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법인세차감전 이익</t>
        </is>
      </c>
      <c r="F78" s="12" t="n">
        <v>78170</v>
      </c>
      <c r="J78" s="12" t="n">
        <v>224774</v>
      </c>
      <c r="N78" s="12" t="n">
        <v>516720</v>
      </c>
      <c r="P78" s="12" t="n">
        <v>24282</v>
      </c>
      <c r="Q78" s="12" t="n">
        <v>66211</v>
      </c>
      <c r="R78" s="12" t="n">
        <v>58574</v>
      </c>
      <c r="S78" s="12" t="n">
        <v>69618</v>
      </c>
      <c r="T78" s="12" t="n">
        <v>116343</v>
      </c>
      <c r="U78" s="12" t="n">
        <v>171270</v>
      </c>
      <c r="V78" s="12" t="n">
        <v>78170</v>
      </c>
      <c r="W78" s="12" t="n">
        <v>224774</v>
      </c>
      <c r="X78" s="12" t="n">
        <v>516720</v>
      </c>
    </row>
    <row r="79">
      <c r="A79" s="20" t="inlineStr">
        <is>
          <t>감가상각비 및 상각비</t>
        </is>
      </c>
      <c r="F79" s="22" t="n">
        <v>26104</v>
      </c>
      <c r="J79" s="22" t="n">
        <v>27075</v>
      </c>
      <c r="N79" s="22" t="n">
        <v>25612</v>
      </c>
      <c r="P79" s="22" t="n">
        <v>5024</v>
      </c>
      <c r="Q79" s="22" t="n">
        <v>4967</v>
      </c>
      <c r="R79" s="22" t="n">
        <v>10892</v>
      </c>
      <c r="S79" s="22" t="n">
        <v>11756</v>
      </c>
      <c r="T79" s="22" t="n">
        <v>14968</v>
      </c>
      <c r="U79" s="22" t="n">
        <v>21396</v>
      </c>
      <c r="V79" s="22" t="n">
        <v>26104</v>
      </c>
      <c r="W79" s="22" t="n">
        <v>27075</v>
      </c>
      <c r="X79" s="22" t="n">
        <v>25612</v>
      </c>
    </row>
    <row r="80">
      <c r="A80" s="20" t="inlineStr">
        <is>
          <t>손상차손</t>
        </is>
      </c>
      <c r="F80" s="22" t="n">
        <v>8998</v>
      </c>
      <c r="J80" s="22" t="n">
        <v>21393</v>
      </c>
      <c r="N80" s="22" t="n">
        <v>0</v>
      </c>
      <c r="U80" s="22" t="n">
        <v>0</v>
      </c>
      <c r="V80" s="22" t="n">
        <v>8998</v>
      </c>
      <c r="W80" s="22" t="n">
        <v>21393</v>
      </c>
      <c r="X80" s="22" t="n">
        <v>0</v>
      </c>
    </row>
    <row r="81">
      <c r="A81" s="20" t="inlineStr">
        <is>
          <t>주식보상비용</t>
        </is>
      </c>
      <c r="F81" s="22" t="n">
        <v>1769</v>
      </c>
      <c r="J81" s="22" t="n">
        <v>2893</v>
      </c>
      <c r="N81" s="22" t="n">
        <v>4450</v>
      </c>
      <c r="P81" s="22" t="n">
        <v>85</v>
      </c>
      <c r="Q81" s="22" t="n">
        <v>481</v>
      </c>
      <c r="R81" s="22" t="n">
        <v>882</v>
      </c>
      <c r="S81" s="22" t="n">
        <v>1624</v>
      </c>
      <c r="T81" s="22" t="n">
        <v>1782</v>
      </c>
      <c r="U81" s="22" t="n">
        <v>1520</v>
      </c>
      <c r="V81" s="22" t="n">
        <v>1769</v>
      </c>
      <c r="W81" s="22" t="n">
        <v>2893</v>
      </c>
      <c r="X81" s="22" t="n">
        <v>4450</v>
      </c>
    </row>
    <row r="82">
      <c r="A82" s="20" t="inlineStr">
        <is>
          <t>매도가능금융자산 매각이익</t>
        </is>
      </c>
      <c r="P82" s="22" t="n">
        <v>-519</v>
      </c>
      <c r="Q82" s="22" t="n">
        <v>0</v>
      </c>
    </row>
    <row r="83">
      <c r="A83" s="20" t="inlineStr">
        <is>
          <t>영업채권 및 기타채권 증감액</t>
        </is>
      </c>
      <c r="F83" s="22" t="n">
        <v>17400</v>
      </c>
      <c r="J83" s="22" t="n">
        <v>-28090</v>
      </c>
      <c r="N83" s="22" t="n">
        <v>-105858</v>
      </c>
      <c r="P83" s="22" t="n">
        <v>-5937</v>
      </c>
      <c r="Q83" s="22" t="n">
        <v>-14130</v>
      </c>
      <c r="R83" s="22" t="n">
        <v>6125</v>
      </c>
      <c r="S83" s="22" t="n">
        <v>-9365</v>
      </c>
      <c r="T83" s="22" t="n">
        <v>-19368</v>
      </c>
      <c r="U83" s="22" t="n">
        <v>-15582</v>
      </c>
      <c r="V83" s="22" t="n">
        <v>17400</v>
      </c>
      <c r="W83" s="22" t="n">
        <v>-28090</v>
      </c>
      <c r="X83" s="22" t="n">
        <v>-105858</v>
      </c>
    </row>
    <row r="84">
      <c r="A84" s="20" t="inlineStr">
        <is>
          <t>재고자산 증감액</t>
        </is>
      </c>
      <c r="F84" s="22" t="n">
        <v>-30923</v>
      </c>
      <c r="J84" s="22" t="n">
        <v>-4682</v>
      </c>
      <c r="N84" s="22" t="n">
        <v>-18471</v>
      </c>
      <c r="P84" s="22" t="n">
        <v>-10479</v>
      </c>
      <c r="Q84" s="22" t="n">
        <v>-6901</v>
      </c>
      <c r="R84" s="22" t="n">
        <v>-1907</v>
      </c>
      <c r="S84" s="22" t="n">
        <v>-4457</v>
      </c>
      <c r="T84" s="22" t="n">
        <v>-28004</v>
      </c>
      <c r="U84" s="22" t="n">
        <v>-71638</v>
      </c>
      <c r="V84" s="22" t="n">
        <v>-30923</v>
      </c>
      <c r="W84" s="22" t="n">
        <v>-4682</v>
      </c>
      <c r="X84" s="22" t="n">
        <v>-18471</v>
      </c>
    </row>
    <row r="85">
      <c r="A85" s="20" t="inlineStr">
        <is>
          <t>영업채무 및 기타채무 증감액</t>
        </is>
      </c>
      <c r="F85" s="22" t="n">
        <v>-16857</v>
      </c>
      <c r="J85" s="22" t="n">
        <v>30124</v>
      </c>
      <c r="N85" s="22" t="n">
        <v>31888</v>
      </c>
      <c r="P85" s="22" t="n">
        <v>14486</v>
      </c>
      <c r="Q85" s="22" t="n">
        <v>632</v>
      </c>
      <c r="R85" s="22" t="n">
        <v>1444</v>
      </c>
      <c r="S85" s="22" t="n">
        <v>11048</v>
      </c>
      <c r="T85" s="22" t="n">
        <v>9823</v>
      </c>
      <c r="U85" s="22" t="n">
        <v>16484</v>
      </c>
      <c r="V85" s="22" t="n">
        <v>-16857</v>
      </c>
      <c r="W85" s="22" t="n">
        <v>30124</v>
      </c>
      <c r="X85" s="22" t="n">
        <v>31888</v>
      </c>
    </row>
    <row r="86">
      <c r="A86" s="20" t="inlineStr">
        <is>
          <t>제품보증 충당금 증감액</t>
        </is>
      </c>
      <c r="F86" s="22" t="n">
        <v>-478</v>
      </c>
      <c r="J86" s="22" t="n">
        <v>3817</v>
      </c>
      <c r="N86" s="22" t="n">
        <v>3064</v>
      </c>
      <c r="P86" s="22" t="n">
        <v>1400</v>
      </c>
      <c r="Q86" s="22" t="n">
        <v>-155</v>
      </c>
      <c r="R86" s="22" t="n">
        <v>460</v>
      </c>
      <c r="S86" s="22" t="n">
        <v>707</v>
      </c>
      <c r="T86" s="22" t="n">
        <v>2437</v>
      </c>
      <c r="U86" s="22" t="n">
        <v>2536</v>
      </c>
      <c r="V86" s="22" t="n">
        <v>-478</v>
      </c>
      <c r="W86" s="22" t="n">
        <v>3817</v>
      </c>
      <c r="X86" s="22" t="n">
        <v>3064</v>
      </c>
    </row>
    <row r="87">
      <c r="A87" s="20" t="inlineStr">
        <is>
          <t>선수금 증감액</t>
        </is>
      </c>
      <c r="F87" s="22" t="n">
        <v>-3168</v>
      </c>
      <c r="J87" s="22" t="n">
        <v>11099</v>
      </c>
      <c r="N87" s="22" t="n">
        <v>9748</v>
      </c>
      <c r="S87" s="22" t="n">
        <v>3351</v>
      </c>
      <c r="T87" s="22" t="n">
        <v>8937</v>
      </c>
      <c r="U87" s="22" t="n">
        <v>-2328</v>
      </c>
      <c r="V87" s="22" t="n">
        <v>-3168</v>
      </c>
      <c r="W87" s="22" t="n">
        <v>11099</v>
      </c>
      <c r="X87" s="22" t="n">
        <v>9748</v>
      </c>
    </row>
    <row r="88">
      <c r="A88" s="20" t="inlineStr">
        <is>
          <t>퇴직급여부채 증감액</t>
        </is>
      </c>
      <c r="F88" s="22" t="n">
        <v>-1011</v>
      </c>
      <c r="J88" s="22" t="n">
        <v>-408</v>
      </c>
      <c r="N88" s="22" t="n">
        <v>152</v>
      </c>
      <c r="P88" s="22" t="n">
        <v>1553</v>
      </c>
      <c r="Q88" s="22" t="n">
        <v>-4828</v>
      </c>
      <c r="R88" s="22" t="n">
        <v>1665</v>
      </c>
      <c r="S88" s="22" t="n">
        <v>-3176</v>
      </c>
      <c r="T88" s="22" t="n">
        <v>-10808</v>
      </c>
      <c r="U88" s="22" t="n">
        <v>-2832</v>
      </c>
      <c r="V88" s="22" t="n">
        <v>-1011</v>
      </c>
      <c r="W88" s="22" t="n">
        <v>-408</v>
      </c>
      <c r="X88" s="22" t="n">
        <v>152</v>
      </c>
    </row>
    <row r="89">
      <c r="A89" s="20" t="inlineStr">
        <is>
          <t>기타</t>
        </is>
      </c>
      <c r="F89" s="22" t="n">
        <v>-249</v>
      </c>
      <c r="J89" s="22" t="n">
        <v>11833</v>
      </c>
      <c r="N89" s="22" t="n">
        <v>-21921</v>
      </c>
      <c r="P89" s="22" t="n">
        <v>1233</v>
      </c>
      <c r="Q89" s="22" t="n">
        <v>2255</v>
      </c>
      <c r="R89" s="22" t="n">
        <v>-831</v>
      </c>
      <c r="S89" s="22" t="n">
        <v>-4086</v>
      </c>
      <c r="T89" s="22" t="n">
        <v>-2658</v>
      </c>
      <c r="U89" s="22" t="n">
        <v>-10302</v>
      </c>
      <c r="V89" s="22" t="n">
        <v>-249</v>
      </c>
      <c r="W89" s="22" t="n">
        <v>11833</v>
      </c>
      <c r="X89" s="22" t="n">
        <v>-21921</v>
      </c>
    </row>
    <row r="90">
      <c r="A90" s="20" t="inlineStr">
        <is>
          <t>소계</t>
        </is>
      </c>
      <c r="F90" s="22" t="n">
        <v>79755</v>
      </c>
      <c r="J90" s="22" t="n">
        <v>299828</v>
      </c>
      <c r="N90" s="22" t="n">
        <v>445384</v>
      </c>
      <c r="P90" s="22" t="n">
        <v>31128</v>
      </c>
      <c r="Q90" s="22" t="n">
        <v>48532</v>
      </c>
      <c r="R90" s="22" t="n">
        <v>77304</v>
      </c>
      <c r="S90" s="22" t="n">
        <v>77020</v>
      </c>
      <c r="T90" s="22" t="n">
        <v>93452</v>
      </c>
      <c r="U90" s="22" t="n">
        <v>110524</v>
      </c>
      <c r="V90" s="22" t="n">
        <v>79755</v>
      </c>
      <c r="W90" s="22" t="n">
        <v>299828</v>
      </c>
      <c r="X90" s="22" t="n">
        <v>445384</v>
      </c>
    </row>
    <row r="91">
      <c r="A91" s="20" t="inlineStr">
        <is>
          <t>이자·배당금 수취</t>
        </is>
      </c>
      <c r="F91" s="22" t="n">
        <v>1202</v>
      </c>
      <c r="J91" s="22" t="n">
        <v>1808</v>
      </c>
      <c r="N91" s="22" t="n">
        <v>2968</v>
      </c>
      <c r="P91" s="22" t="n">
        <v>497</v>
      </c>
      <c r="Q91" s="22" t="n">
        <v>1007</v>
      </c>
      <c r="R91" s="22" t="n">
        <v>836</v>
      </c>
      <c r="S91" s="22" t="n">
        <v>152</v>
      </c>
      <c r="T91" s="22" t="n">
        <v>143</v>
      </c>
      <c r="U91" s="22" t="n">
        <v>459</v>
      </c>
      <c r="V91" s="22" t="n">
        <v>1202</v>
      </c>
      <c r="W91" s="22" t="n">
        <v>1808</v>
      </c>
      <c r="X91" s="22" t="n">
        <v>2968</v>
      </c>
    </row>
    <row r="92">
      <c r="A92" s="20" t="inlineStr">
        <is>
          <t>이자 지급</t>
        </is>
      </c>
      <c r="F92" s="22" t="n">
        <v>-2305</v>
      </c>
      <c r="J92" s="22" t="n">
        <v>-2522</v>
      </c>
      <c r="N92" s="22" t="n">
        <v>-2400</v>
      </c>
      <c r="P92" s="22" t="n">
        <v>-48</v>
      </c>
      <c r="Q92" s="22" t="n">
        <v>-3</v>
      </c>
      <c r="R92" s="22" t="n">
        <v>-155</v>
      </c>
      <c r="S92" s="22" t="n">
        <v>-183</v>
      </c>
      <c r="T92" s="22" t="n">
        <v>-220</v>
      </c>
      <c r="U92" s="22" t="n">
        <v>-593</v>
      </c>
      <c r="V92" s="22" t="n">
        <v>-2305</v>
      </c>
      <c r="W92" s="22" t="n">
        <v>-2522</v>
      </c>
      <c r="X92" s="22" t="n">
        <v>-2400</v>
      </c>
    </row>
    <row r="93">
      <c r="A93" s="20" t="inlineStr">
        <is>
          <t>법인소득세 지급액</t>
        </is>
      </c>
      <c r="F93" s="22" t="n">
        <v>-45984</v>
      </c>
      <c r="J93" s="22" t="n">
        <v>-13143</v>
      </c>
      <c r="N93" s="22" t="n">
        <v>-110770</v>
      </c>
      <c r="P93" s="22" t="n">
        <v>-3323</v>
      </c>
      <c r="Q93" s="22" t="n">
        <v>-4744</v>
      </c>
      <c r="R93" s="22" t="n">
        <v>-11510</v>
      </c>
      <c r="S93" s="22" t="n">
        <v>-9159</v>
      </c>
      <c r="T93" s="22" t="n">
        <v>-14486</v>
      </c>
      <c r="U93" s="22" t="n">
        <v>-40166</v>
      </c>
      <c r="V93" s="22" t="n">
        <v>-45984</v>
      </c>
      <c r="W93" s="22" t="n">
        <v>-13143</v>
      </c>
      <c r="X93" s="22" t="n">
        <v>-110770</v>
      </c>
    </row>
    <row r="94">
      <c r="A94" s="9" t="inlineStr">
        <is>
          <t>영업활동 현금흐름 계</t>
        </is>
      </c>
      <c r="F94" s="12" t="n">
        <v>32668</v>
      </c>
      <c r="J94" s="12" t="n">
        <v>285971</v>
      </c>
      <c r="N94" s="12" t="n">
        <v>335182</v>
      </c>
      <c r="P94" s="12" t="n">
        <v>28254</v>
      </c>
      <c r="Q94" s="12" t="n">
        <v>44792</v>
      </c>
      <c r="R94" s="12" t="n">
        <v>66475</v>
      </c>
      <c r="S94" s="12" t="n">
        <v>67830</v>
      </c>
      <c r="T94" s="12" t="n">
        <v>78889</v>
      </c>
      <c r="U94" s="12" t="n">
        <v>70224</v>
      </c>
      <c r="V94" s="12" t="n">
        <v>32668</v>
      </c>
      <c r="W94" s="12" t="n">
        <v>285971</v>
      </c>
      <c r="X94" s="12" t="n">
        <v>335182</v>
      </c>
    </row>
    <row r="95">
      <c r="A95" s="20" t="inlineStr">
        <is>
          <t>매도가능금융자산 매각</t>
        </is>
      </c>
      <c r="P95" s="22" t="n">
        <v>883</v>
      </c>
      <c r="Q95" s="22" t="n">
        <v>0</v>
      </c>
    </row>
    <row r="96">
      <c r="A96" s="20" t="inlineStr">
        <is>
          <t>매도가능금융자산 취득</t>
        </is>
      </c>
      <c r="P96" s="22" t="n">
        <v>-216</v>
      </c>
      <c r="Q96" s="22" t="n">
        <v>0</v>
      </c>
    </row>
    <row r="97">
      <c r="A97" s="20" t="inlineStr">
        <is>
          <t>자본성 금융상품 매각</t>
        </is>
      </c>
      <c r="F97" s="22" t="n">
        <v>1150</v>
      </c>
      <c r="J97" s="22" t="n">
        <v>0</v>
      </c>
      <c r="Q97" s="22" t="n">
        <v>0</v>
      </c>
      <c r="R97" s="22" t="n">
        <v>111</v>
      </c>
      <c r="S97" s="22" t="n">
        <v>0</v>
      </c>
      <c r="T97" s="22" t="n">
        <v>920</v>
      </c>
      <c r="U97" s="22" t="n">
        <v>0</v>
      </c>
      <c r="V97" s="22" t="n">
        <v>1150</v>
      </c>
      <c r="W97" s="22" t="n">
        <v>0</v>
      </c>
    </row>
    <row r="98">
      <c r="A98" s="20" t="inlineStr">
        <is>
          <t>자본성 금융상품 취득</t>
        </is>
      </c>
      <c r="F98" s="22" t="n">
        <v>0</v>
      </c>
      <c r="J98" s="22" t="n">
        <v>-18529</v>
      </c>
      <c r="N98" s="22" t="n">
        <v>0</v>
      </c>
      <c r="P98" s="22" t="n">
        <v>0</v>
      </c>
      <c r="Q98" s="22" t="n">
        <v>-384</v>
      </c>
      <c r="R98" s="22" t="n">
        <v>0</v>
      </c>
      <c r="S98" s="22" t="n">
        <v>-6817</v>
      </c>
      <c r="T98" s="22" t="n">
        <v>-881</v>
      </c>
      <c r="U98" s="22" t="n">
        <v>0</v>
      </c>
      <c r="V98" s="22" t="n">
        <v>0</v>
      </c>
      <c r="W98" s="22" t="n">
        <v>-18529</v>
      </c>
      <c r="X98" s="22" t="n">
        <v>0</v>
      </c>
    </row>
    <row r="99">
      <c r="A99" s="20" t="inlineStr">
        <is>
          <t>부채성 금융상품 취득</t>
        </is>
      </c>
      <c r="Q99" s="22" t="n">
        <v>0</v>
      </c>
      <c r="R99" s="22" t="n">
        <v>-548</v>
      </c>
    </row>
    <row r="100">
      <c r="A100" s="20" t="inlineStr">
        <is>
          <t>부채성 금융상품 취득</t>
        </is>
      </c>
      <c r="R100" s="22" t="n">
        <v>-548</v>
      </c>
      <c r="S100" s="22" t="n">
        <v>0</v>
      </c>
    </row>
    <row r="101">
      <c r="A101" s="20" t="inlineStr">
        <is>
          <t>부채성 금융상품 매각</t>
        </is>
      </c>
      <c r="S101" s="22" t="n">
        <v>0</v>
      </c>
      <c r="T101" s="22" t="n">
        <v>404</v>
      </c>
      <c r="U101" s="22" t="n">
        <v>0</v>
      </c>
    </row>
    <row r="102">
      <c r="A102" s="20" t="inlineStr">
        <is>
          <t>유형자산 매각</t>
        </is>
      </c>
      <c r="F102" s="22" t="n">
        <v>49</v>
      </c>
      <c r="J102" s="22" t="n">
        <v>25</v>
      </c>
      <c r="N102" s="22" t="n">
        <v>8</v>
      </c>
      <c r="P102" s="22" t="n">
        <v>1882</v>
      </c>
      <c r="Q102" s="22" t="n">
        <v>1927</v>
      </c>
      <c r="R102" s="22" t="n">
        <v>234</v>
      </c>
      <c r="S102" s="22" t="n">
        <v>109</v>
      </c>
      <c r="T102" s="22" t="n">
        <v>45</v>
      </c>
      <c r="U102" s="22" t="n">
        <v>356</v>
      </c>
      <c r="V102" s="22" t="n">
        <v>49</v>
      </c>
      <c r="W102" s="22" t="n">
        <v>25</v>
      </c>
      <c r="X102" s="22" t="n">
        <v>8</v>
      </c>
    </row>
    <row r="103">
      <c r="A103" s="20" t="inlineStr">
        <is>
          <t>유형자산 취득(설비투자)</t>
        </is>
      </c>
      <c r="F103" s="22" t="n">
        <v>-19592</v>
      </c>
      <c r="J103" s="22" t="n">
        <v>-17414</v>
      </c>
      <c r="N103" s="22" t="n">
        <v>-33012</v>
      </c>
      <c r="P103" s="22" t="n">
        <v>-4121</v>
      </c>
      <c r="Q103" s="22" t="n">
        <v>-5891</v>
      </c>
      <c r="R103" s="22" t="n">
        <v>-8141</v>
      </c>
      <c r="S103" s="22" t="n">
        <v>-12415</v>
      </c>
      <c r="T103" s="22" t="n">
        <v>-17158</v>
      </c>
      <c r="U103" s="22" t="n">
        <v>-22535</v>
      </c>
      <c r="V103" s="22" t="n">
        <v>-19592</v>
      </c>
      <c r="W103" s="22" t="n">
        <v>-17414</v>
      </c>
      <c r="X103" s="22" t="n">
        <v>-33012</v>
      </c>
    </row>
    <row r="104">
      <c r="A104" s="20" t="inlineStr">
        <is>
          <t>무형자산 취득 지출</t>
        </is>
      </c>
      <c r="F104" s="22" t="n">
        <v>-951</v>
      </c>
      <c r="J104" s="22" t="n">
        <v>-2017</v>
      </c>
      <c r="N104" s="22" t="n">
        <v>-3018</v>
      </c>
      <c r="P104" s="22" t="n">
        <v>-607</v>
      </c>
      <c r="Q104" s="22" t="n">
        <v>-512</v>
      </c>
      <c r="R104" s="22" t="n">
        <v>-741</v>
      </c>
      <c r="S104" s="22" t="n">
        <v>-862</v>
      </c>
      <c r="T104" s="22" t="n">
        <v>-1061</v>
      </c>
      <c r="U104" s="22" t="n">
        <v>-1053</v>
      </c>
      <c r="V104" s="22" t="n">
        <v>-951</v>
      </c>
      <c r="W104" s="22" t="n">
        <v>-2017</v>
      </c>
      <c r="X104" s="22" t="n">
        <v>-3018</v>
      </c>
    </row>
    <row r="105">
      <c r="A105" s="20" t="inlineStr">
        <is>
          <t>사업양수 지출</t>
        </is>
      </c>
      <c r="P105" s="22" t="n">
        <v>0</v>
      </c>
      <c r="Q105" s="22" t="n">
        <v>-11098</v>
      </c>
      <c r="R105" s="22" t="n">
        <v>0</v>
      </c>
    </row>
    <row r="106">
      <c r="A106" s="20" t="inlineStr">
        <is>
          <t>사업양도 수입</t>
        </is>
      </c>
      <c r="J106" s="22" t="n">
        <v>0</v>
      </c>
      <c r="N106" s="22" t="n">
        <v>2902</v>
      </c>
      <c r="R106" s="22" t="n">
        <v>0</v>
      </c>
      <c r="S106" s="22" t="n">
        <v>3295</v>
      </c>
      <c r="T106" s="22" t="n">
        <v>0</v>
      </c>
      <c r="W106" s="22" t="n">
        <v>0</v>
      </c>
      <c r="X106" s="22" t="n">
        <v>2902</v>
      </c>
    </row>
    <row r="107">
      <c r="A107" s="20" t="inlineStr">
        <is>
          <t>자회사 취득 지출</t>
        </is>
      </c>
      <c r="F107" s="22" t="n">
        <v>-8260</v>
      </c>
      <c r="J107" s="22" t="n">
        <v>-3815</v>
      </c>
      <c r="N107" s="22" t="n">
        <v>0</v>
      </c>
      <c r="Q107" s="22" t="n">
        <v>0</v>
      </c>
      <c r="R107" s="22" t="n">
        <v>-29665</v>
      </c>
      <c r="S107" s="22" t="n">
        <v>-156</v>
      </c>
      <c r="T107" s="22" t="n">
        <v>-28976</v>
      </c>
      <c r="U107" s="22" t="n">
        <v>-3505</v>
      </c>
      <c r="V107" s="22" t="n">
        <v>-8260</v>
      </c>
      <c r="W107" s="22" t="n">
        <v>-3815</v>
      </c>
      <c r="X107" s="22" t="n">
        <v>0</v>
      </c>
    </row>
    <row r="108">
      <c r="A108" s="20" t="inlineStr">
        <is>
          <t>기타</t>
        </is>
      </c>
      <c r="F108" s="22" t="n">
        <v>-336</v>
      </c>
      <c r="J108" s="22" t="n">
        <v>-439</v>
      </c>
      <c r="N108" s="22" t="n">
        <v>-1432</v>
      </c>
      <c r="P108" s="22" t="n">
        <v>-150</v>
      </c>
      <c r="Q108" s="22" t="n">
        <v>43</v>
      </c>
      <c r="R108" s="22" t="n">
        <v>-69</v>
      </c>
      <c r="S108" s="22" t="n">
        <v>15</v>
      </c>
      <c r="T108" s="22" t="n">
        <v>-200</v>
      </c>
      <c r="U108" s="22" t="n">
        <v>31</v>
      </c>
      <c r="V108" s="22" t="n">
        <v>-336</v>
      </c>
      <c r="W108" s="22" t="n">
        <v>-439</v>
      </c>
      <c r="X108" s="22" t="n">
        <v>-1432</v>
      </c>
    </row>
    <row r="109">
      <c r="A109" s="9" t="inlineStr">
        <is>
          <t>투자활동 현금흐름 계</t>
        </is>
      </c>
      <c r="F109" s="12" t="n">
        <v>-27940</v>
      </c>
      <c r="J109" s="12" t="n">
        <v>-42189</v>
      </c>
      <c r="N109" s="12" t="n">
        <v>-34552</v>
      </c>
      <c r="P109" s="12" t="n">
        <v>-2329</v>
      </c>
      <c r="Q109" s="12" t="n">
        <v>-15915</v>
      </c>
      <c r="R109" s="12" t="n">
        <v>-38819</v>
      </c>
      <c r="S109" s="12" t="n">
        <v>-16831</v>
      </c>
      <c r="T109" s="12" t="n">
        <v>-46907</v>
      </c>
      <c r="U109" s="12" t="n">
        <v>-26706</v>
      </c>
      <c r="V109" s="12" t="n">
        <v>-27940</v>
      </c>
      <c r="W109" s="12" t="n">
        <v>-42189</v>
      </c>
      <c r="X109" s="12" t="n">
        <v>-34552</v>
      </c>
    </row>
    <row r="110">
      <c r="A110" s="20" t="inlineStr">
        <is>
          <t>장기차입</t>
        </is>
      </c>
      <c r="F110" s="22" t="n">
        <v>54665</v>
      </c>
      <c r="J110" s="22" t="n">
        <v>0</v>
      </c>
      <c r="S110" s="22" t="n">
        <v>0</v>
      </c>
      <c r="T110" s="22" t="n">
        <v>11501</v>
      </c>
      <c r="U110" s="22" t="n">
        <v>20000</v>
      </c>
      <c r="V110" s="22" t="n">
        <v>54665</v>
      </c>
      <c r="W110" s="22" t="n">
        <v>0</v>
      </c>
    </row>
    <row r="111">
      <c r="A111" s="20" t="inlineStr">
        <is>
          <t>장기차입금 상환</t>
        </is>
      </c>
      <c r="F111" s="22" t="n">
        <v>-14667</v>
      </c>
      <c r="J111" s="22" t="n">
        <v>0</v>
      </c>
      <c r="U111" s="22" t="n">
        <v>0</v>
      </c>
      <c r="V111" s="22" t="n">
        <v>-14667</v>
      </c>
      <c r="W111" s="22" t="n">
        <v>0</v>
      </c>
    </row>
    <row r="112">
      <c r="A112" s="20" t="inlineStr">
        <is>
          <t>단기차입금 순증감액</t>
        </is>
      </c>
      <c r="F112" s="22" t="n">
        <v>0</v>
      </c>
      <c r="J112" s="22" t="n">
        <v>0</v>
      </c>
      <c r="N112" s="22" t="n">
        <v>-75352</v>
      </c>
      <c r="S112" s="22" t="n">
        <v>0</v>
      </c>
      <c r="T112" s="22" t="n">
        <v>16967</v>
      </c>
      <c r="U112" s="22" t="n">
        <v>-19968</v>
      </c>
      <c r="V112" s="22" t="n">
        <v>0</v>
      </c>
      <c r="W112" s="22" t="n">
        <v>0</v>
      </c>
      <c r="X112" s="22" t="n">
        <v>-75352</v>
      </c>
    </row>
    <row r="113">
      <c r="A113" s="20" t="inlineStr">
        <is>
          <t>자기주식 처분</t>
        </is>
      </c>
      <c r="F113" s="22" t="n">
        <v>867</v>
      </c>
      <c r="J113" s="22" t="n">
        <v>352</v>
      </c>
      <c r="N113" s="22" t="n">
        <v>411</v>
      </c>
      <c r="P113" s="22" t="n">
        <v>3493</v>
      </c>
      <c r="Q113" s="22" t="n">
        <v>805</v>
      </c>
      <c r="R113" s="22" t="n">
        <v>1708</v>
      </c>
      <c r="S113" s="22" t="n">
        <v>1415</v>
      </c>
      <c r="T113" s="22" t="n">
        <v>955</v>
      </c>
      <c r="U113" s="22" t="n">
        <v>1134</v>
      </c>
      <c r="V113" s="22" t="n">
        <v>867</v>
      </c>
      <c r="W113" s="22" t="n">
        <v>352</v>
      </c>
      <c r="X113" s="22" t="n">
        <v>411</v>
      </c>
    </row>
    <row r="114">
      <c r="A114" s="20" t="inlineStr">
        <is>
          <t>자기주식 취득</t>
        </is>
      </c>
      <c r="F114" s="22" t="n">
        <v>-17</v>
      </c>
      <c r="J114" s="22" t="n">
        <v>-50080</v>
      </c>
      <c r="N114" s="22" t="n">
        <v>-114328</v>
      </c>
      <c r="P114" s="22" t="n">
        <v>-2</v>
      </c>
      <c r="Q114" s="22" t="n">
        <v>-738</v>
      </c>
      <c r="R114" s="22" t="n">
        <v>-1124</v>
      </c>
      <c r="S114" s="22" t="n">
        <v>-14028</v>
      </c>
      <c r="T114" s="22" t="n">
        <v>-70148</v>
      </c>
      <c r="U114" s="22" t="n">
        <v>-50042</v>
      </c>
      <c r="V114" s="22" t="n">
        <v>-17</v>
      </c>
      <c r="W114" s="22" t="n">
        <v>-50080</v>
      </c>
      <c r="X114" s="22" t="n">
        <v>-114328</v>
      </c>
    </row>
    <row r="115">
      <c r="A115" s="20" t="inlineStr">
        <is>
          <t>사채 상환</t>
        </is>
      </c>
      <c r="P115" s="22" t="n">
        <v>-15000</v>
      </c>
      <c r="Q115" s="22" t="n">
        <v>0</v>
      </c>
    </row>
    <row r="116">
      <c r="A116" s="20" t="inlineStr">
        <is>
          <t>배당금 지급</t>
        </is>
      </c>
      <c r="F116" s="22" t="n">
        <v>-24881</v>
      </c>
      <c r="J116" s="22" t="n">
        <v>-27320</v>
      </c>
      <c r="N116" s="22" t="n">
        <v>-35754</v>
      </c>
      <c r="P116" s="22" t="n">
        <v>-3718</v>
      </c>
      <c r="Q116" s="22" t="n">
        <v>-13786</v>
      </c>
      <c r="R116" s="22" t="n">
        <v>-16427</v>
      </c>
      <c r="S116" s="22" t="n">
        <v>-15594</v>
      </c>
      <c r="T116" s="22" t="n">
        <v>-25456</v>
      </c>
      <c r="U116" s="22" t="n">
        <v>-25418</v>
      </c>
      <c r="V116" s="22" t="n">
        <v>-24881</v>
      </c>
      <c r="W116" s="22" t="n">
        <v>-27320</v>
      </c>
      <c r="X116" s="22" t="n">
        <v>-35754</v>
      </c>
    </row>
    <row r="117">
      <c r="A117" s="20" t="inlineStr">
        <is>
          <t>리스부채 상환 지출</t>
        </is>
      </c>
      <c r="F117" s="22" t="n">
        <v>-5207</v>
      </c>
      <c r="J117" s="22" t="n">
        <v>-5323</v>
      </c>
      <c r="N117" s="22" t="n">
        <v>-4982</v>
      </c>
      <c r="Q117" s="22" t="n">
        <v>0</v>
      </c>
      <c r="R117" s="22" t="n">
        <v>-2073</v>
      </c>
      <c r="S117" s="22" t="n">
        <v>-2208</v>
      </c>
      <c r="T117" s="22" t="n">
        <v>-2555</v>
      </c>
      <c r="U117" s="22" t="n">
        <v>-3140</v>
      </c>
      <c r="V117" s="22" t="n">
        <v>-5207</v>
      </c>
      <c r="W117" s="22" t="n">
        <v>-5323</v>
      </c>
      <c r="X117" s="22" t="n">
        <v>-4982</v>
      </c>
    </row>
    <row r="118">
      <c r="A118" s="20" t="inlineStr">
        <is>
          <t>기타</t>
        </is>
      </c>
      <c r="F118" s="22" t="n">
        <v>0</v>
      </c>
      <c r="J118" s="22" t="n">
        <v>-447</v>
      </c>
      <c r="N118" s="22" t="n">
        <v>-545</v>
      </c>
      <c r="P118" s="22" t="n">
        <v>-10</v>
      </c>
      <c r="Q118" s="22" t="n">
        <v>-5</v>
      </c>
      <c r="R118" s="22" t="n">
        <v>0</v>
      </c>
      <c r="S118" s="22" t="n">
        <v>0</v>
      </c>
      <c r="T118" s="22" t="n">
        <v>0</v>
      </c>
      <c r="U118" s="22" t="n">
        <v>0</v>
      </c>
      <c r="V118" s="22" t="n">
        <v>0</v>
      </c>
      <c r="W118" s="22" t="n">
        <v>-447</v>
      </c>
      <c r="X118" s="22" t="n">
        <v>-545</v>
      </c>
    </row>
    <row r="119">
      <c r="A119" s="9" t="inlineStr">
        <is>
          <t>재무활동 현금흐름 계</t>
        </is>
      </c>
      <c r="F119" s="12" t="n">
        <v>10760</v>
      </c>
      <c r="J119" s="12" t="n">
        <v>-82818</v>
      </c>
      <c r="N119" s="12" t="n">
        <v>-230550</v>
      </c>
      <c r="P119" s="12" t="n">
        <v>-15237</v>
      </c>
      <c r="Q119" s="12" t="n">
        <v>-13724</v>
      </c>
      <c r="R119" s="12" t="n">
        <v>-17916</v>
      </c>
      <c r="S119" s="12" t="n">
        <v>-30415</v>
      </c>
      <c r="T119" s="12" t="n">
        <v>-68736</v>
      </c>
      <c r="U119" s="12" t="n">
        <v>-77434</v>
      </c>
      <c r="V119" s="12" t="n">
        <v>10760</v>
      </c>
      <c r="W119" s="12" t="n">
        <v>-82818</v>
      </c>
      <c r="X119" s="12" t="n">
        <v>-230550</v>
      </c>
    </row>
    <row r="120">
      <c r="A120" s="20" t="inlineStr">
        <is>
          <t>현금성자산 환산차이</t>
        </is>
      </c>
      <c r="F120" s="22" t="n">
        <v>5677</v>
      </c>
      <c r="J120" s="22" t="n">
        <v>-5122</v>
      </c>
      <c r="N120" s="22" t="n">
        <v>7342</v>
      </c>
      <c r="P120" s="22" t="n">
        <v>-2039</v>
      </c>
      <c r="Q120" s="22" t="n">
        <v>817</v>
      </c>
      <c r="R120" s="22" t="n">
        <v>-1980</v>
      </c>
      <c r="S120" s="22" t="n">
        <v>877</v>
      </c>
      <c r="T120" s="22" t="n">
        <v>4172</v>
      </c>
      <c r="U120" s="22" t="n">
        <v>2871</v>
      </c>
      <c r="V120" s="22" t="n">
        <v>5677</v>
      </c>
      <c r="W120" s="22" t="n">
        <v>-5122</v>
      </c>
      <c r="X120" s="22" t="n">
        <v>7342</v>
      </c>
    </row>
    <row r="121">
      <c r="A121" s="20" t="inlineStr">
        <is>
          <t>현금및현금성자산 순증감액</t>
        </is>
      </c>
      <c r="F121" s="22" t="n">
        <v>21165</v>
      </c>
      <c r="J121" s="22" t="n">
        <v>155842</v>
      </c>
      <c r="N121" s="22" t="n">
        <v>77422</v>
      </c>
      <c r="P121" s="22" t="n">
        <v>8649</v>
      </c>
      <c r="Q121" s="22" t="n">
        <v>15970</v>
      </c>
      <c r="R121" s="22" t="n">
        <v>7760</v>
      </c>
      <c r="S121" s="22" t="n">
        <v>21461</v>
      </c>
      <c r="T121" s="22" t="n">
        <v>-32582</v>
      </c>
      <c r="U121" s="22" t="n">
        <v>-31045</v>
      </c>
      <c r="V121" s="22" t="n">
        <v>21165</v>
      </c>
      <c r="W121" s="22" t="n">
        <v>155842</v>
      </c>
      <c r="X121" s="22" t="n">
        <v>77422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0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6857 재무상태표</t>
        </is>
      </c>
    </row>
    <row r="2">
      <c r="A2" s="45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599753</v>
      </c>
      <c r="D5" s="12" t="n"/>
      <c r="E5" s="12" t="n"/>
      <c r="F5" s="12" t="n"/>
      <c r="G5" s="12" t="n">
        <v>836407</v>
      </c>
      <c r="H5" s="11" t="n">
        <v>304945</v>
      </c>
      <c r="I5" s="12" t="n">
        <v>374695</v>
      </c>
      <c r="J5" s="12" t="n">
        <v>420261</v>
      </c>
      <c r="K5" s="12" t="n">
        <v>599753</v>
      </c>
      <c r="L5" s="12" t="n">
        <v>836407</v>
      </c>
    </row>
    <row r="6">
      <c r="A6" s="20" t="inlineStr">
        <is>
          <t>현금및현금성자산</t>
        </is>
      </c>
      <c r="B6" s="10" t="n"/>
      <c r="C6" s="21" t="n">
        <v>262544</v>
      </c>
      <c r="D6" s="22" t="n"/>
      <c r="E6" s="22" t="n"/>
      <c r="F6" s="22" t="n"/>
      <c r="G6" s="22" t="n">
        <v>339966</v>
      </c>
      <c r="H6" s="21" t="n">
        <v>116582</v>
      </c>
      <c r="I6" s="22" t="n">
        <v>85537</v>
      </c>
      <c r="J6" s="22" t="n">
        <v>106702</v>
      </c>
      <c r="K6" s="22" t="n">
        <v>262544</v>
      </c>
      <c r="L6" s="22" t="n">
        <v>339966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113031</v>
      </c>
      <c r="D8" s="22" t="n"/>
      <c r="E8" s="22" t="n"/>
      <c r="F8" s="22" t="n"/>
      <c r="G8" s="22" t="n">
        <v>228731</v>
      </c>
      <c r="H8" s="21" t="n">
        <v>82155</v>
      </c>
      <c r="I8" s="22" t="n">
        <v>102152</v>
      </c>
      <c r="J8" s="22" t="n">
        <v>88855</v>
      </c>
      <c r="K8" s="22" t="n">
        <v>113031</v>
      </c>
      <c r="L8" s="22" t="n">
        <v>228731</v>
      </c>
    </row>
    <row r="9">
      <c r="A9" s="20" t="inlineStr">
        <is>
          <t>재고자산</t>
        </is>
      </c>
      <c r="B9" s="10" t="n"/>
      <c r="C9" s="21" t="n">
        <v>209707</v>
      </c>
      <c r="D9" s="22" t="n"/>
      <c r="E9" s="22" t="n"/>
      <c r="F9" s="22" t="n"/>
      <c r="G9" s="22" t="n">
        <v>231718</v>
      </c>
      <c r="H9" s="21" t="n">
        <v>95013</v>
      </c>
      <c r="I9" s="22" t="n">
        <v>169082</v>
      </c>
      <c r="J9" s="22" t="n">
        <v>204389</v>
      </c>
      <c r="K9" s="22" t="n">
        <v>209707</v>
      </c>
      <c r="L9" s="22" t="n">
        <v>231718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254457</v>
      </c>
      <c r="D11" s="12" t="n"/>
      <c r="E11" s="12" t="n"/>
      <c r="F11" s="12" t="n"/>
      <c r="G11" s="12" t="n">
        <v>335409</v>
      </c>
      <c r="H11" s="11" t="n">
        <v>189751</v>
      </c>
      <c r="I11" s="12" t="n">
        <v>225529</v>
      </c>
      <c r="J11" s="12" t="n">
        <v>250968</v>
      </c>
      <c r="K11" s="12" t="n">
        <v>254457</v>
      </c>
      <c r="L11" s="12" t="n">
        <v>335409</v>
      </c>
    </row>
    <row r="12">
      <c r="A12" s="20" t="inlineStr">
        <is>
          <t>유형자산</t>
        </is>
      </c>
      <c r="B12" s="10" t="n"/>
      <c r="C12" s="21" t="n">
        <v>78602</v>
      </c>
      <c r="D12" s="22" t="n"/>
      <c r="E12" s="22" t="n"/>
      <c r="F12" s="22" t="n"/>
      <c r="G12" s="22" t="n">
        <v>101628</v>
      </c>
      <c r="H12" s="21" t="n">
        <v>51392</v>
      </c>
      <c r="I12" s="22" t="n">
        <v>64046</v>
      </c>
      <c r="J12" s="22" t="n">
        <v>78884</v>
      </c>
      <c r="K12" s="22" t="n">
        <v>78602</v>
      </c>
      <c r="L12" s="22" t="n">
        <v>101628</v>
      </c>
    </row>
    <row r="13">
      <c r="A13" s="20" t="inlineStr">
        <is>
          <t>무형자산</t>
        </is>
      </c>
      <c r="B13" s="10" t="n"/>
      <c r="C13" s="21" t="n"/>
      <c r="D13" s="22" t="n"/>
      <c r="E13" s="22" t="n"/>
      <c r="F13" s="22" t="n"/>
      <c r="G13" s="22" t="n"/>
      <c r="H13" s="21" t="n"/>
      <c r="I13" s="22" t="n"/>
      <c r="J13" s="22" t="n"/>
      <c r="K13" s="22" t="n"/>
      <c r="L13" s="22" t="n"/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854210</v>
      </c>
      <c r="D16" s="12" t="n"/>
      <c r="E16" s="12" t="n"/>
      <c r="F16" s="12" t="n"/>
      <c r="G16" s="12" t="n">
        <v>1171816</v>
      </c>
      <c r="H16" s="11" t="n">
        <v>494696</v>
      </c>
      <c r="I16" s="12" t="n">
        <v>600224</v>
      </c>
      <c r="J16" s="12" t="n">
        <v>671229</v>
      </c>
      <c r="K16" s="12" t="n">
        <v>854210</v>
      </c>
      <c r="L16" s="12" t="n">
        <v>1171816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309424</v>
      </c>
      <c r="D18" s="12" t="n"/>
      <c r="E18" s="12" t="n"/>
      <c r="F18" s="12" t="n"/>
      <c r="G18" s="12" t="n">
        <v>330284</v>
      </c>
      <c r="H18" s="11" t="n">
        <v>150882</v>
      </c>
      <c r="I18" s="12" t="n">
        <v>174689</v>
      </c>
      <c r="J18" s="12" t="n">
        <v>126277</v>
      </c>
      <c r="K18" s="12" t="n">
        <v>309424</v>
      </c>
      <c r="L18" s="12" t="n">
        <v>330284</v>
      </c>
    </row>
    <row r="19">
      <c r="A19" s="20" t="inlineStr">
        <is>
          <t>매입채무</t>
        </is>
      </c>
      <c r="B19" s="10" t="n"/>
      <c r="C19" s="21" t="n">
        <v>107093</v>
      </c>
      <c r="D19" s="22" t="n"/>
      <c r="E19" s="22" t="n"/>
      <c r="F19" s="22" t="n"/>
      <c r="G19" s="22" t="n">
        <v>142061</v>
      </c>
      <c r="H19" s="21" t="n">
        <v>70352</v>
      </c>
      <c r="I19" s="22" t="n">
        <v>89262</v>
      </c>
      <c r="J19" s="22" t="n">
        <v>76863</v>
      </c>
      <c r="K19" s="22" t="n">
        <v>107093</v>
      </c>
      <c r="L19" s="22" t="n">
        <v>142061</v>
      </c>
    </row>
    <row r="20">
      <c r="A20" s="20" t="inlineStr">
        <is>
          <t>단기차입금</t>
        </is>
      </c>
      <c r="B20" s="10" t="n"/>
      <c r="C20" s="21" t="n">
        <v>74952</v>
      </c>
      <c r="D20" s="22" t="n"/>
      <c r="E20" s="22" t="n"/>
      <c r="F20" s="22" t="n"/>
      <c r="G20" s="22" t="n">
        <v>0</v>
      </c>
      <c r="H20" s="21" t="n">
        <v>18359</v>
      </c>
      <c r="I20" s="22" t="n">
        <v>13357</v>
      </c>
      <c r="J20" s="22" t="n">
        <v>0</v>
      </c>
      <c r="K20" s="22" t="n">
        <v>74952</v>
      </c>
      <c r="L20" s="22" t="n">
        <v>0</v>
      </c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38247</v>
      </c>
      <c r="D23" s="12" t="n"/>
      <c r="E23" s="12" t="n"/>
      <c r="F23" s="12" t="n"/>
      <c r="G23" s="12" t="n">
        <v>45806</v>
      </c>
      <c r="H23" s="11" t="n">
        <v>49193</v>
      </c>
      <c r="I23" s="12" t="n">
        <v>56841</v>
      </c>
      <c r="J23" s="12" t="n">
        <v>113774</v>
      </c>
      <c r="K23" s="12" t="n">
        <v>38247</v>
      </c>
      <c r="L23" s="12" t="n">
        <v>45806</v>
      </c>
    </row>
    <row r="24">
      <c r="A24" s="20" t="inlineStr">
        <is>
          <t>장기차입금</t>
        </is>
      </c>
      <c r="B24" s="10" t="n"/>
      <c r="C24" s="21" t="n">
        <v>3</v>
      </c>
      <c r="D24" s="22" t="n"/>
      <c r="E24" s="22" t="n"/>
      <c r="F24" s="22" t="n"/>
      <c r="G24" s="22" t="n">
        <v>0</v>
      </c>
      <c r="H24" s="21" t="n">
        <v>12239</v>
      </c>
      <c r="I24" s="22" t="n">
        <v>20000</v>
      </c>
      <c r="J24" s="22" t="n">
        <v>75143</v>
      </c>
      <c r="K24" s="22" t="n">
        <v>3</v>
      </c>
      <c r="L24" s="22" t="n">
        <v>0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347671</v>
      </c>
      <c r="D27" s="12" t="n"/>
      <c r="E27" s="12" t="n"/>
      <c r="F27" s="12" t="n"/>
      <c r="G27" s="12" t="n">
        <v>376090</v>
      </c>
      <c r="H27" s="11" t="n">
        <v>200075</v>
      </c>
      <c r="I27" s="12" t="n">
        <v>231530</v>
      </c>
      <c r="J27" s="12" t="n">
        <v>240051</v>
      </c>
      <c r="K27" s="12" t="n">
        <v>347671</v>
      </c>
      <c r="L27" s="12" t="n">
        <v>376090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506539</v>
      </c>
      <c r="D31" s="12" t="n"/>
      <c r="E31" s="12" t="n"/>
      <c r="F31" s="12" t="n"/>
      <c r="G31" s="12" t="n">
        <v>795726</v>
      </c>
      <c r="H31" s="11" t="n">
        <v>294621</v>
      </c>
      <c r="I31" s="12" t="n">
        <v>368694</v>
      </c>
      <c r="J31" s="12" t="n">
        <v>431178</v>
      </c>
      <c r="K31" s="12" t="n">
        <v>506539</v>
      </c>
      <c r="L31" s="12" t="n">
        <v>795726</v>
      </c>
    </row>
    <row r="32">
      <c r="A32" s="20" t="inlineStr">
        <is>
          <t>자본금</t>
        </is>
      </c>
      <c r="B32" s="10" t="n"/>
      <c r="C32" s="21" t="n">
        <v>32363</v>
      </c>
      <c r="D32" s="22" t="n"/>
      <c r="E32" s="22" t="n"/>
      <c r="F32" s="22" t="n"/>
      <c r="G32" s="22" t="n">
        <v>32363</v>
      </c>
      <c r="H32" s="21" t="n">
        <v>32363</v>
      </c>
      <c r="I32" s="22" t="n">
        <v>32363</v>
      </c>
      <c r="J32" s="22" t="n">
        <v>32363</v>
      </c>
      <c r="K32" s="22" t="n">
        <v>32363</v>
      </c>
      <c r="L32" s="22" t="n">
        <v>32363</v>
      </c>
    </row>
    <row r="33">
      <c r="A33" s="20" t="inlineStr">
        <is>
          <t>이익잉여금</t>
        </is>
      </c>
      <c r="B33" s="10" t="n"/>
      <c r="C33" s="21" t="n">
        <v>489850</v>
      </c>
      <c r="D33" s="22" t="n"/>
      <c r="E33" s="22" t="n"/>
      <c r="F33" s="22" t="n"/>
      <c r="G33" s="22" t="n">
        <v>655566</v>
      </c>
      <c r="H33" s="21" t="n">
        <v>279828</v>
      </c>
      <c r="I33" s="22" t="n">
        <v>319171</v>
      </c>
      <c r="J33" s="22" t="n">
        <v>355299</v>
      </c>
      <c r="K33" s="22" t="n">
        <v>489850</v>
      </c>
      <c r="L33" s="22" t="n">
        <v>655566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506539</v>
      </c>
      <c r="D35" s="12" t="n"/>
      <c r="E35" s="12" t="n"/>
      <c r="F35" s="12" t="n"/>
      <c r="G35" s="12" t="n">
        <v>795726</v>
      </c>
      <c r="H35" s="11" t="n">
        <v>294621</v>
      </c>
      <c r="I35" s="12" t="n">
        <v>368694</v>
      </c>
      <c r="J35" s="12" t="n">
        <v>431178</v>
      </c>
      <c r="K35" s="12" t="n">
        <v>506539</v>
      </c>
      <c r="L35" s="12" t="n">
        <v>795726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285971</v>
      </c>
      <c r="D37" s="12" t="n"/>
      <c r="E37" s="12" t="n"/>
      <c r="F37" s="12" t="n"/>
      <c r="G37" s="12" t="n">
        <v>335182</v>
      </c>
      <c r="H37" s="11" t="n">
        <v>78889</v>
      </c>
      <c r="I37" s="12" t="n">
        <v>70224</v>
      </c>
      <c r="J37" s="12" t="n">
        <v>32668</v>
      </c>
      <c r="K37" s="12" t="n">
        <v>285971</v>
      </c>
      <c r="L37" s="12" t="n">
        <v>335182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>
        <v>19431</v>
      </c>
      <c r="D38" s="22" t="n"/>
      <c r="E38" s="22" t="n"/>
      <c r="F38" s="22" t="n"/>
      <c r="G38" s="22" t="n">
        <v>36030</v>
      </c>
      <c r="H38" s="21" t="n">
        <v>18219</v>
      </c>
      <c r="I38" s="22" t="n">
        <v>23588</v>
      </c>
      <c r="J38" s="22" t="n">
        <v>20543</v>
      </c>
      <c r="K38" s="22" t="n">
        <v>19431</v>
      </c>
      <c r="L38" s="22" t="n">
        <v>36030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>
        <v>27320</v>
      </c>
      <c r="D40" s="22" t="n"/>
      <c r="E40" s="22" t="n"/>
      <c r="F40" s="22" t="n"/>
      <c r="G40" s="22" t="n">
        <v>35754</v>
      </c>
      <c r="H40" s="21" t="n">
        <v>25456</v>
      </c>
      <c r="I40" s="22" t="n">
        <v>25418</v>
      </c>
      <c r="J40" s="22" t="n">
        <v>24881</v>
      </c>
      <c r="K40" s="22" t="n">
        <v>27320</v>
      </c>
      <c r="L40" s="22" t="n">
        <v>35754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6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6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6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6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6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6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6" t="inlineStr">
        <is>
          <t>차입금 상환연수</t>
        </is>
      </c>
      <c r="B49" s="10" t="inlineStr">
        <is>
          <t>4년↓ (버핏)</t>
        </is>
      </c>
      <c r="C49" s="47">
        <f>IFERROR(IF((IF(COUNT('연간'!G44:J44)&lt;4,"",SUM('연간'!G44:J44)))&lt;=0,"적자",C28/(IF(COUNT('연간'!G44:J44)&lt;4,"",SUM('연간'!G44:J44)))),"")</f>
        <v/>
      </c>
      <c r="D49" s="48">
        <f>IFERROR(IF((IF(COUNT('연간'!H44:K44)&lt;4,"",SUM('연간'!H44:K44)))&lt;=0,"적자",D28/(IF(COUNT('연간'!H44:K44)&lt;4,"",SUM('연간'!H44:K44)))),"")</f>
        <v/>
      </c>
      <c r="E49" s="48">
        <f>IFERROR(IF((IF(COUNT('연간'!I44:L44)&lt;4,"",SUM('연간'!I44:L44)))&lt;=0,"적자",E28/(IF(COUNT('연간'!I44:L44)&lt;4,"",SUM('연간'!I44:L44)))),"")</f>
        <v/>
      </c>
      <c r="F49" s="48">
        <f>IFERROR(IF((IF(COUNT('연간'!J44:M44)&lt;4,"",SUM('연간'!J44:M44)))&lt;=0,"적자",F28/(IF(COUNT('연간'!J44:M44)&lt;4,"",SUM('연간'!J44:M44)))),"")</f>
        <v/>
      </c>
      <c r="G49" s="48">
        <f>IFERROR(IF((IF(COUNT('연간'!K44:N44)&lt;4,"",SUM('연간'!K44:N44)))&lt;=0,"적자",G28/(IF(COUNT('연간'!K44:N44)&lt;4,"",SUM('연간'!K44:N44)))),"")</f>
        <v/>
      </c>
      <c r="H49" s="47">
        <f>IFERROR(IF(('연간'!T44)&lt;=0,"적자",H28/('연간'!T44)),"")</f>
        <v/>
      </c>
      <c r="I49" s="48">
        <f>IFERROR(IF(('연간'!U44)&lt;=0,"적자",I28/('연간'!U44)),"")</f>
        <v/>
      </c>
      <c r="J49" s="48">
        <f>IFERROR(IF(('연간'!V44)&lt;=0,"적자",J28/('연간'!V44)),"")</f>
        <v/>
      </c>
      <c r="K49" s="48">
        <f>IFERROR(IF(('연간'!W44)&lt;=0,"적자",K28/('연간'!W44)),"")</f>
        <v/>
      </c>
      <c r="L49" s="48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6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6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6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6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6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6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6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6" t="inlineStr">
        <is>
          <t>매출채권회전일수</t>
        </is>
      </c>
      <c r="B59" s="10" t="inlineStr">
        <is>
          <t>짧을수록↑</t>
        </is>
      </c>
      <c r="C59" s="49">
        <f>IFERROR(C8/(IF(COUNT('연간'!G4:J4)&lt;4,"",SUM('연간'!G4:J4)))*365,"")</f>
        <v/>
      </c>
      <c r="D59" s="50">
        <f>IFERROR(D8/(IF(COUNT('연간'!H4:K4)&lt;4,"",SUM('연간'!H4:K4)))*365,"")</f>
        <v/>
      </c>
      <c r="E59" s="50">
        <f>IFERROR(E8/(IF(COUNT('연간'!I4:L4)&lt;4,"",SUM('연간'!I4:L4)))*365,"")</f>
        <v/>
      </c>
      <c r="F59" s="50">
        <f>IFERROR(F8/(IF(COUNT('연간'!J4:M4)&lt;4,"",SUM('연간'!J4:M4)))*365,"")</f>
        <v/>
      </c>
      <c r="G59" s="50">
        <f>IFERROR(G8/(IF(COUNT('연간'!K4:N4)&lt;4,"",SUM('연간'!K4:N4)))*365,"")</f>
        <v/>
      </c>
      <c r="H59" s="49">
        <f>IFERROR(H8/('연간'!T4)*365,"")</f>
        <v/>
      </c>
      <c r="I59" s="50">
        <f>IFERROR(I8/('연간'!U4)*365,"")</f>
        <v/>
      </c>
      <c r="J59" s="50">
        <f>IFERROR(J8/('연간'!V4)*365,"")</f>
        <v/>
      </c>
      <c r="K59" s="50">
        <f>IFERROR(K8/('연간'!W4)*365,"")</f>
        <v/>
      </c>
      <c r="L59" s="50">
        <f>IFERROR(L8/('연간'!X4)*365,"")</f>
        <v/>
      </c>
    </row>
    <row r="60">
      <c r="A60" s="46" t="inlineStr">
        <is>
          <t>재고자산회전일수</t>
        </is>
      </c>
      <c r="B60" s="10" t="inlineStr">
        <is>
          <t>짧을수록↑</t>
        </is>
      </c>
      <c r="C60" s="49">
        <f>IFERROR(C9/(IF(COUNT('연간'!G11:J11)&lt;4,"",SUM('연간'!G11:J11)))*365,"")</f>
        <v/>
      </c>
      <c r="D60" s="50">
        <f>IFERROR(D9/(IF(COUNT('연간'!H11:K11)&lt;4,"",SUM('연간'!H11:K11)))*365,"")</f>
        <v/>
      </c>
      <c r="E60" s="50">
        <f>IFERROR(E9/(IF(COUNT('연간'!I11:L11)&lt;4,"",SUM('연간'!I11:L11)))*365,"")</f>
        <v/>
      </c>
      <c r="F60" s="50">
        <f>IFERROR(F9/(IF(COUNT('연간'!J11:M11)&lt;4,"",SUM('연간'!J11:M11)))*365,"")</f>
        <v/>
      </c>
      <c r="G60" s="50">
        <f>IFERROR(G9/(IF(COUNT('연간'!K11:N11)&lt;4,"",SUM('연간'!K11:N11)))*365,"")</f>
        <v/>
      </c>
      <c r="H60" s="49">
        <f>IFERROR(H9/('연간'!T11)*365,"")</f>
        <v/>
      </c>
      <c r="I60" s="50">
        <f>IFERROR(I9/('연간'!U11)*365,"")</f>
        <v/>
      </c>
      <c r="J60" s="50">
        <f>IFERROR(J9/('연간'!V11)*365,"")</f>
        <v/>
      </c>
      <c r="K60" s="50">
        <f>IFERROR(K9/('연간'!W11)*365,"")</f>
        <v/>
      </c>
      <c r="L60" s="50">
        <f>IFERROR(L9/('연간'!X11)*365,"")</f>
        <v/>
      </c>
    </row>
    <row r="61">
      <c r="A61" s="46" t="inlineStr">
        <is>
          <t>매입채무회전일수</t>
        </is>
      </c>
      <c r="B61" s="10" t="inlineStr">
        <is>
          <t>길수록 유리</t>
        </is>
      </c>
      <c r="C61" s="49">
        <f>IFERROR(C19/(IF(COUNT('연간'!G11:J11)&lt;4,"",SUM('연간'!G11:J11)))*365,"")</f>
        <v/>
      </c>
      <c r="D61" s="50">
        <f>IFERROR(D19/(IF(COUNT('연간'!H11:K11)&lt;4,"",SUM('연간'!H11:K11)))*365,"")</f>
        <v/>
      </c>
      <c r="E61" s="50">
        <f>IFERROR(E19/(IF(COUNT('연간'!I11:L11)&lt;4,"",SUM('연간'!I11:L11)))*365,"")</f>
        <v/>
      </c>
      <c r="F61" s="50">
        <f>IFERROR(F19/(IF(COUNT('연간'!J11:M11)&lt;4,"",SUM('연간'!J11:M11)))*365,"")</f>
        <v/>
      </c>
      <c r="G61" s="50">
        <f>IFERROR(G19/(IF(COUNT('연간'!K11:N11)&lt;4,"",SUM('연간'!K11:N11)))*365,"")</f>
        <v/>
      </c>
      <c r="H61" s="49">
        <f>IFERROR(H19/('연간'!T11)*365,"")</f>
        <v/>
      </c>
      <c r="I61" s="50">
        <f>IFERROR(I19/('연간'!U11)*365,"")</f>
        <v/>
      </c>
      <c r="J61" s="50">
        <f>IFERROR(J19/('연간'!V11)*365,"")</f>
        <v/>
      </c>
      <c r="K61" s="50">
        <f>IFERROR(K19/('연간'!W11)*365,"")</f>
        <v/>
      </c>
      <c r="L61" s="50">
        <f>IFERROR(L19/('연간'!X11)*365,"")</f>
        <v/>
      </c>
    </row>
    <row r="62">
      <c r="A62" s="46" t="inlineStr">
        <is>
          <t>현금전환주기 (CCC)</t>
        </is>
      </c>
      <c r="B62" s="10" t="inlineStr">
        <is>
          <t>짧을수록↑</t>
        </is>
      </c>
      <c r="C62" s="49">
        <f>IF(OR(C59="",C60="",C61=""),"",IFERROR(C59+C60-C61,""))</f>
        <v/>
      </c>
      <c r="D62" s="50">
        <f>IF(OR(D59="",D60="",D61=""),"",IFERROR(D59+D60-D61,""))</f>
        <v/>
      </c>
      <c r="E62" s="50">
        <f>IF(OR(E59="",E60="",E61=""),"",IFERROR(E59+E60-E61,""))</f>
        <v/>
      </c>
      <c r="F62" s="50">
        <f>IF(OR(F59="",F60="",F61=""),"",IFERROR(F59+F60-F61,""))</f>
        <v/>
      </c>
      <c r="G62" s="50">
        <f>IF(OR(G59="",G60="",G61=""),"",IFERROR(G59+G60-G61,""))</f>
        <v/>
      </c>
      <c r="H62" s="49">
        <f>IF(OR(H59="",H60="",H61=""),"",IFERROR(H59+H60-H61,""))</f>
        <v/>
      </c>
      <c r="I62" s="50">
        <f>IF(OR(I59="",I60="",I61=""),"",IFERROR(I59+I60-I61,""))</f>
        <v/>
      </c>
      <c r="J62" s="50">
        <f>IF(OR(J59="",J60="",J61=""),"",IFERROR(J59+J60-J61,""))</f>
        <v/>
      </c>
      <c r="K62" s="50">
        <f>IF(OR(K59="",K60="",K61=""),"",IFERROR(K59+K60-K61,""))</f>
        <v/>
      </c>
      <c r="L62" s="50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6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6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6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6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현금및현금성자산</t>
        </is>
      </c>
      <c r="C71" s="22" t="n">
        <v>262544</v>
      </c>
      <c r="G71" s="22" t="n">
        <v>339966</v>
      </c>
      <c r="H71" s="22" t="n">
        <v>116582</v>
      </c>
      <c r="I71" s="22" t="n">
        <v>85537</v>
      </c>
      <c r="J71" s="22" t="n">
        <v>106702</v>
      </c>
      <c r="K71" s="22" t="n">
        <v>262544</v>
      </c>
      <c r="L71" s="22" t="n">
        <v>339966</v>
      </c>
    </row>
    <row r="72">
      <c r="A72" s="20" t="inlineStr">
        <is>
          <t>영업채권 및 기타채권</t>
        </is>
      </c>
      <c r="C72" s="22" t="n">
        <v>113031</v>
      </c>
      <c r="G72" s="22" t="n">
        <v>228731</v>
      </c>
      <c r="H72" s="22" t="n">
        <v>82155</v>
      </c>
      <c r="I72" s="22" t="n">
        <v>102152</v>
      </c>
      <c r="J72" s="22" t="n">
        <v>88855</v>
      </c>
      <c r="K72" s="22" t="n">
        <v>113031</v>
      </c>
      <c r="L72" s="22" t="n">
        <v>228731</v>
      </c>
    </row>
    <row r="73">
      <c r="A73" s="20" t="inlineStr">
        <is>
          <t>재고자산</t>
        </is>
      </c>
      <c r="C73" s="22" t="n">
        <v>209707</v>
      </c>
      <c r="G73" s="22" t="n">
        <v>231718</v>
      </c>
      <c r="H73" s="22" t="n">
        <v>95013</v>
      </c>
      <c r="I73" s="22" t="n">
        <v>169082</v>
      </c>
      <c r="J73" s="22" t="n">
        <v>204389</v>
      </c>
      <c r="K73" s="22" t="n">
        <v>209707</v>
      </c>
      <c r="L73" s="22" t="n">
        <v>231718</v>
      </c>
    </row>
    <row r="74">
      <c r="A74" s="20" t="inlineStr">
        <is>
          <t>기타유동자산</t>
        </is>
      </c>
      <c r="C74" s="22" t="n">
        <v>14471</v>
      </c>
      <c r="G74" s="22" t="n">
        <v>35992</v>
      </c>
      <c r="H74" s="22" t="n">
        <v>11007</v>
      </c>
      <c r="I74" s="22" t="n">
        <v>17924</v>
      </c>
      <c r="J74" s="22" t="n">
        <v>20315</v>
      </c>
      <c r="K74" s="22" t="n">
        <v>14471</v>
      </c>
      <c r="L74" s="22" t="n">
        <v>35992</v>
      </c>
    </row>
    <row r="75">
      <c r="A75" s="9" t="inlineStr">
        <is>
          <t>(소계)</t>
        </is>
      </c>
      <c r="H75" s="12" t="n">
        <v>304757</v>
      </c>
      <c r="I75" s="12" t="n">
        <v>374695</v>
      </c>
    </row>
    <row r="76">
      <c r="A76" s="20" t="inlineStr">
        <is>
          <t>매각예정 자산</t>
        </is>
      </c>
      <c r="H76" s="22" t="n">
        <v>188</v>
      </c>
      <c r="I76" s="22" t="n">
        <v>0</v>
      </c>
    </row>
    <row r="77">
      <c r="A77" s="9" t="inlineStr">
        <is>
          <t>유동자산 합계</t>
        </is>
      </c>
      <c r="C77" s="12" t="n">
        <v>599753</v>
      </c>
      <c r="G77" s="12" t="n">
        <v>836407</v>
      </c>
      <c r="H77" s="12" t="n">
        <v>304945</v>
      </c>
      <c r="I77" s="12" t="n">
        <v>374695</v>
      </c>
      <c r="J77" s="12" t="n">
        <v>420261</v>
      </c>
      <c r="K77" s="12" t="n">
        <v>599753</v>
      </c>
      <c r="L77" s="12" t="n">
        <v>836407</v>
      </c>
    </row>
    <row r="78">
      <c r="A78" s="20" t="inlineStr">
        <is>
          <t>유형자산</t>
        </is>
      </c>
      <c r="C78" s="22" t="n">
        <v>78602</v>
      </c>
      <c r="G78" s="22" t="n">
        <v>101628</v>
      </c>
      <c r="H78" s="22" t="n">
        <v>51392</v>
      </c>
      <c r="I78" s="22" t="n">
        <v>64046</v>
      </c>
      <c r="J78" s="22" t="n">
        <v>78884</v>
      </c>
      <c r="K78" s="22" t="n">
        <v>78602</v>
      </c>
      <c r="L78" s="22" t="n">
        <v>101628</v>
      </c>
    </row>
    <row r="79">
      <c r="A79" s="20" t="inlineStr">
        <is>
          <t>사용권자산</t>
        </is>
      </c>
      <c r="C79" s="22" t="n">
        <v>18338</v>
      </c>
      <c r="G79" s="22" t="n">
        <v>19947</v>
      </c>
      <c r="H79" s="22" t="n">
        <v>12645</v>
      </c>
      <c r="I79" s="22" t="n">
        <v>17312</v>
      </c>
      <c r="J79" s="22" t="n">
        <v>19106</v>
      </c>
      <c r="K79" s="22" t="n">
        <v>18338</v>
      </c>
      <c r="L79" s="22" t="n">
        <v>19947</v>
      </c>
    </row>
    <row r="80">
      <c r="A80" s="20" t="inlineStr">
        <is>
          <t>영업권 및 무형자산</t>
        </is>
      </c>
      <c r="C80" s="22" t="n">
        <v>78365</v>
      </c>
      <c r="G80" s="22" t="n">
        <v>84250</v>
      </c>
      <c r="H80" s="22" t="n">
        <v>85307</v>
      </c>
      <c r="I80" s="22" t="n">
        <v>95767</v>
      </c>
      <c r="J80" s="22" t="n">
        <v>98514</v>
      </c>
      <c r="K80" s="22" t="n">
        <v>78365</v>
      </c>
      <c r="L80" s="22" t="n">
        <v>84250</v>
      </c>
    </row>
    <row r="81">
      <c r="A81" s="20" t="inlineStr">
        <is>
          <t>기타금융자산</t>
        </is>
      </c>
      <c r="C81" s="22" t="n">
        <v>30167</v>
      </c>
      <c r="G81" s="22" t="n">
        <v>71949</v>
      </c>
      <c r="H81" s="22" t="n">
        <v>14565</v>
      </c>
      <c r="I81" s="22" t="n">
        <v>21488</v>
      </c>
      <c r="J81" s="22" t="n">
        <v>20139</v>
      </c>
      <c r="K81" s="22" t="n">
        <v>30167</v>
      </c>
      <c r="L81" s="22" t="n">
        <v>71949</v>
      </c>
    </row>
    <row r="82">
      <c r="A82" s="20" t="inlineStr">
        <is>
          <t>이연법인세자산</t>
        </is>
      </c>
      <c r="C82" s="22" t="n">
        <v>47894</v>
      </c>
      <c r="G82" s="22" t="n">
        <v>55774</v>
      </c>
      <c r="H82" s="22" t="n">
        <v>25494</v>
      </c>
      <c r="I82" s="22" t="n">
        <v>26522</v>
      </c>
      <c r="J82" s="22" t="n">
        <v>33423</v>
      </c>
      <c r="K82" s="22" t="n">
        <v>47894</v>
      </c>
      <c r="L82" s="22" t="n">
        <v>55774</v>
      </c>
    </row>
    <row r="83">
      <c r="A83" s="20" t="inlineStr">
        <is>
          <t>기타비유동자산</t>
        </is>
      </c>
      <c r="C83" s="22" t="n">
        <v>1091</v>
      </c>
      <c r="G83" s="22" t="n">
        <v>1861</v>
      </c>
      <c r="H83" s="22" t="n">
        <v>348</v>
      </c>
      <c r="I83" s="22" t="n">
        <v>394</v>
      </c>
      <c r="J83" s="22" t="n">
        <v>902</v>
      </c>
      <c r="K83" s="22" t="n">
        <v>1091</v>
      </c>
      <c r="L83" s="22" t="n">
        <v>1861</v>
      </c>
    </row>
    <row r="84">
      <c r="A84" s="20" t="inlineStr">
        <is>
          <t>비유동자산 합계</t>
        </is>
      </c>
      <c r="C84" s="22" t="n">
        <v>254457</v>
      </c>
      <c r="G84" s="22" t="n">
        <v>335409</v>
      </c>
      <c r="H84" s="22" t="n">
        <v>189751</v>
      </c>
      <c r="I84" s="22" t="n">
        <v>225529</v>
      </c>
      <c r="J84" s="22" t="n">
        <v>250968</v>
      </c>
      <c r="K84" s="22" t="n">
        <v>254457</v>
      </c>
      <c r="L84" s="22" t="n">
        <v>335409</v>
      </c>
    </row>
    <row r="85">
      <c r="A85" s="20" t="inlineStr">
        <is>
          <t>자산 합계</t>
        </is>
      </c>
      <c r="C85" s="22" t="n">
        <v>854210</v>
      </c>
      <c r="G85" s="22" t="n">
        <v>1171816</v>
      </c>
      <c r="H85" s="22" t="n">
        <v>494696</v>
      </c>
      <c r="I85" s="22" t="n">
        <v>600224</v>
      </c>
      <c r="J85" s="22" t="n">
        <v>671229</v>
      </c>
      <c r="K85" s="22" t="n">
        <v>854210</v>
      </c>
      <c r="L85" s="22" t="n">
        <v>1171816</v>
      </c>
    </row>
    <row r="86">
      <c r="A86" s="20" t="inlineStr">
        <is>
          <t>영업채무 및 기타채무</t>
        </is>
      </c>
      <c r="C86" s="22" t="n">
        <v>107093</v>
      </c>
      <c r="G86" s="22" t="n">
        <v>142061</v>
      </c>
      <c r="H86" s="22" t="n">
        <v>70352</v>
      </c>
      <c r="I86" s="22" t="n">
        <v>89262</v>
      </c>
      <c r="J86" s="22" t="n">
        <v>76863</v>
      </c>
      <c r="K86" s="22" t="n">
        <v>107093</v>
      </c>
      <c r="L86" s="22" t="n">
        <v>142061</v>
      </c>
    </row>
    <row r="87">
      <c r="A87" s="20" t="inlineStr">
        <is>
          <t>차입금</t>
        </is>
      </c>
      <c r="C87" s="22" t="n">
        <v>74952</v>
      </c>
      <c r="G87" s="22" t="n">
        <v>0</v>
      </c>
      <c r="H87" s="22" t="n">
        <v>18359</v>
      </c>
      <c r="I87" s="22" t="n">
        <v>13357</v>
      </c>
      <c r="J87" s="22" t="n">
        <v>0</v>
      </c>
      <c r="K87" s="22" t="n">
        <v>74952</v>
      </c>
      <c r="L87" s="22" t="n">
        <v>0</v>
      </c>
    </row>
    <row r="88">
      <c r="A88" s="20" t="inlineStr">
        <is>
          <t>미지급법인세</t>
        </is>
      </c>
      <c r="C88" s="22" t="n">
        <v>73023</v>
      </c>
      <c r="G88" s="22" t="n">
        <v>112455</v>
      </c>
      <c r="H88" s="22" t="n">
        <v>26814</v>
      </c>
      <c r="I88" s="22" t="n">
        <v>30635</v>
      </c>
      <c r="J88" s="22" t="n">
        <v>10262</v>
      </c>
      <c r="K88" s="22" t="n">
        <v>73023</v>
      </c>
      <c r="L88" s="22" t="n">
        <v>112455</v>
      </c>
    </row>
    <row r="89">
      <c r="A89" s="20" t="inlineStr">
        <is>
          <t>충당금</t>
        </is>
      </c>
      <c r="C89" s="22" t="n">
        <v>12454</v>
      </c>
      <c r="G89" s="22" t="n">
        <v>15538</v>
      </c>
      <c r="H89" s="22" t="n">
        <v>6536</v>
      </c>
      <c r="I89" s="22" t="n">
        <v>9093</v>
      </c>
      <c r="J89" s="22" t="n">
        <v>8668</v>
      </c>
      <c r="K89" s="22" t="n">
        <v>12454</v>
      </c>
      <c r="L89" s="22" t="n">
        <v>15538</v>
      </c>
    </row>
    <row r="90">
      <c r="A90" s="20" t="inlineStr">
        <is>
          <t>리스부채</t>
        </is>
      </c>
      <c r="C90" s="22" t="n">
        <v>5046</v>
      </c>
      <c r="G90" s="22" t="n">
        <v>4966</v>
      </c>
      <c r="H90" s="22" t="n">
        <v>2918</v>
      </c>
      <c r="I90" s="22" t="n">
        <v>4587</v>
      </c>
      <c r="J90" s="22" t="n">
        <v>5147</v>
      </c>
      <c r="K90" s="22" t="n">
        <v>5046</v>
      </c>
      <c r="L90" s="22" t="n">
        <v>4966</v>
      </c>
    </row>
    <row r="91">
      <c r="A91" s="20" t="inlineStr">
        <is>
          <t>기타금융부채</t>
        </is>
      </c>
      <c r="C91" s="22" t="n">
        <v>5790</v>
      </c>
      <c r="G91" s="22" t="n">
        <v>12508</v>
      </c>
      <c r="H91" s="22" t="n">
        <v>3276</v>
      </c>
      <c r="I91" s="22" t="n">
        <v>4903</v>
      </c>
      <c r="J91" s="22" t="n">
        <v>1868</v>
      </c>
      <c r="K91" s="22" t="n">
        <v>5790</v>
      </c>
      <c r="L91" s="22" t="n">
        <v>12508</v>
      </c>
    </row>
    <row r="92">
      <c r="A92" s="20" t="inlineStr">
        <is>
          <t>기타유동부채</t>
        </is>
      </c>
      <c r="C92" s="22" t="n">
        <v>31066</v>
      </c>
      <c r="G92" s="22" t="n">
        <v>42756</v>
      </c>
      <c r="H92" s="22" t="n">
        <v>22627</v>
      </c>
      <c r="I92" s="22" t="n">
        <v>22852</v>
      </c>
      <c r="J92" s="22" t="n">
        <v>23469</v>
      </c>
      <c r="K92" s="22" t="n">
        <v>31066</v>
      </c>
      <c r="L92" s="22" t="n">
        <v>42756</v>
      </c>
    </row>
    <row r="93">
      <c r="A93" s="20" t="inlineStr">
        <is>
          <t>유동부채 합계</t>
        </is>
      </c>
      <c r="C93" s="22" t="n">
        <v>309424</v>
      </c>
      <c r="G93" s="22" t="n">
        <v>330284</v>
      </c>
      <c r="H93" s="22" t="n">
        <v>150882</v>
      </c>
      <c r="I93" s="22" t="n">
        <v>174689</v>
      </c>
      <c r="J93" s="22" t="n">
        <v>126277</v>
      </c>
      <c r="K93" s="22" t="n">
        <v>309424</v>
      </c>
      <c r="L93" s="22" t="n">
        <v>330284</v>
      </c>
    </row>
    <row r="94">
      <c r="A94" s="20" t="inlineStr">
        <is>
          <t>차입금</t>
        </is>
      </c>
      <c r="C94" s="22" t="n">
        <v>3</v>
      </c>
      <c r="G94" s="22" t="n">
        <v>0</v>
      </c>
      <c r="H94" s="22" t="n">
        <v>12239</v>
      </c>
      <c r="I94" s="22" t="n">
        <v>20000</v>
      </c>
      <c r="J94" s="22" t="n">
        <v>75143</v>
      </c>
      <c r="K94" s="22" t="n">
        <v>3</v>
      </c>
      <c r="L94" s="22" t="n">
        <v>0</v>
      </c>
    </row>
    <row r="95">
      <c r="A95" s="20" t="inlineStr">
        <is>
          <t>리스부채</t>
        </is>
      </c>
      <c r="C95" s="22" t="n">
        <v>13502</v>
      </c>
      <c r="G95" s="22" t="n">
        <v>15226</v>
      </c>
      <c r="H95" s="22" t="n">
        <v>9947</v>
      </c>
      <c r="I95" s="22" t="n">
        <v>12900</v>
      </c>
      <c r="J95" s="22" t="n">
        <v>14153</v>
      </c>
      <c r="K95" s="22" t="n">
        <v>13502</v>
      </c>
      <c r="L95" s="22" t="n">
        <v>15226</v>
      </c>
    </row>
    <row r="96">
      <c r="A96" s="20" t="inlineStr">
        <is>
          <t>퇴직급여부채</t>
        </is>
      </c>
      <c r="C96" s="22" t="n">
        <v>17614</v>
      </c>
      <c r="G96" s="22" t="n">
        <v>20222</v>
      </c>
      <c r="H96" s="22" t="n">
        <v>22341</v>
      </c>
      <c r="I96" s="22" t="n">
        <v>16812</v>
      </c>
      <c r="J96" s="22" t="n">
        <v>19134</v>
      </c>
      <c r="K96" s="22" t="n">
        <v>17614</v>
      </c>
      <c r="L96" s="22" t="n">
        <v>20222</v>
      </c>
    </row>
    <row r="97">
      <c r="A97" s="20" t="inlineStr">
        <is>
          <t>이연법인세부채</t>
        </is>
      </c>
      <c r="C97" s="22" t="n">
        <v>4709</v>
      </c>
      <c r="G97" s="22" t="n">
        <v>6444</v>
      </c>
      <c r="H97" s="22" t="n">
        <v>3445</v>
      </c>
      <c r="I97" s="22" t="n">
        <v>5773</v>
      </c>
      <c r="J97" s="22" t="n">
        <v>3934</v>
      </c>
      <c r="K97" s="22" t="n">
        <v>4709</v>
      </c>
      <c r="L97" s="22" t="n">
        <v>6444</v>
      </c>
    </row>
    <row r="98">
      <c r="A98" s="20" t="inlineStr">
        <is>
          <t>기타비유동부채</t>
        </is>
      </c>
      <c r="C98" s="22" t="n">
        <v>2419</v>
      </c>
      <c r="G98" s="22" t="n">
        <v>3914</v>
      </c>
      <c r="H98" s="22" t="n">
        <v>1221</v>
      </c>
      <c r="I98" s="22" t="n">
        <v>1356</v>
      </c>
      <c r="J98" s="22" t="n">
        <v>1410</v>
      </c>
      <c r="K98" s="22" t="n">
        <v>2419</v>
      </c>
      <c r="L98" s="22" t="n">
        <v>3914</v>
      </c>
    </row>
    <row r="99">
      <c r="A99" s="20" t="inlineStr">
        <is>
          <t>비유동부채 합계</t>
        </is>
      </c>
      <c r="C99" s="22" t="n">
        <v>38247</v>
      </c>
      <c r="G99" s="22" t="n">
        <v>45806</v>
      </c>
      <c r="H99" s="22" t="n">
        <v>49193</v>
      </c>
      <c r="I99" s="22" t="n">
        <v>56841</v>
      </c>
      <c r="J99" s="22" t="n">
        <v>113774</v>
      </c>
      <c r="K99" s="22" t="n">
        <v>38247</v>
      </c>
      <c r="L99" s="22" t="n">
        <v>45806</v>
      </c>
    </row>
    <row r="100">
      <c r="A100" s="20" t="inlineStr">
        <is>
          <t>부채 합계</t>
        </is>
      </c>
      <c r="C100" s="22" t="n">
        <v>347671</v>
      </c>
      <c r="G100" s="22" t="n">
        <v>376090</v>
      </c>
      <c r="H100" s="22" t="n">
        <v>200075</v>
      </c>
      <c r="I100" s="22" t="n">
        <v>231530</v>
      </c>
      <c r="J100" s="22" t="n">
        <v>240051</v>
      </c>
      <c r="K100" s="22" t="n">
        <v>347671</v>
      </c>
      <c r="L100" s="22" t="n">
        <v>376090</v>
      </c>
    </row>
    <row r="101">
      <c r="A101" s="20" t="inlineStr">
        <is>
          <t>자본금</t>
        </is>
      </c>
      <c r="C101" s="22" t="n">
        <v>32363</v>
      </c>
      <c r="G101" s="22" t="n">
        <v>32363</v>
      </c>
      <c r="H101" s="22" t="n">
        <v>32363</v>
      </c>
      <c r="I101" s="22" t="n">
        <v>32363</v>
      </c>
      <c r="J101" s="22" t="n">
        <v>32363</v>
      </c>
      <c r="K101" s="22" t="n">
        <v>32363</v>
      </c>
      <c r="L101" s="22" t="n">
        <v>32363</v>
      </c>
    </row>
    <row r="102">
      <c r="A102" s="20" t="inlineStr">
        <is>
          <t>자본잉여금</t>
        </is>
      </c>
      <c r="C102" s="22" t="n">
        <v>46665</v>
      </c>
      <c r="G102" s="22" t="n">
        <v>52462</v>
      </c>
      <c r="H102" s="22" t="n">
        <v>44995</v>
      </c>
      <c r="I102" s="22" t="n">
        <v>44622</v>
      </c>
      <c r="J102" s="22" t="n">
        <v>45441</v>
      </c>
      <c r="K102" s="22" t="n">
        <v>46665</v>
      </c>
      <c r="L102" s="22" t="n">
        <v>52462</v>
      </c>
    </row>
    <row r="103">
      <c r="A103" s="20" t="inlineStr">
        <is>
          <t>자기주식</t>
        </is>
      </c>
      <c r="C103" s="22" t="n">
        <v>-104193</v>
      </c>
      <c r="G103" s="22" t="n">
        <v>-44372</v>
      </c>
      <c r="H103" s="22" t="n">
        <v>-81547</v>
      </c>
      <c r="I103" s="22" t="n">
        <v>-59099</v>
      </c>
      <c r="J103" s="22" t="n">
        <v>-56353</v>
      </c>
      <c r="K103" s="22" t="n">
        <v>-104193</v>
      </c>
      <c r="L103" s="22" t="n">
        <v>-44372</v>
      </c>
    </row>
    <row r="104">
      <c r="A104" s="20" t="inlineStr">
        <is>
          <t>이익잉여금</t>
        </is>
      </c>
      <c r="C104" s="22" t="n">
        <v>489850</v>
      </c>
      <c r="G104" s="22" t="n">
        <v>655566</v>
      </c>
      <c r="H104" s="22" t="n">
        <v>279828</v>
      </c>
      <c r="I104" s="22" t="n">
        <v>319171</v>
      </c>
      <c r="J104" s="22" t="n">
        <v>355299</v>
      </c>
      <c r="K104" s="22" t="n">
        <v>489850</v>
      </c>
      <c r="L104" s="22" t="n">
        <v>655566</v>
      </c>
    </row>
    <row r="105">
      <c r="A105" s="20" t="inlineStr">
        <is>
          <t>기타자본구성요소</t>
        </is>
      </c>
      <c r="C105" s="22" t="n">
        <v>41854</v>
      </c>
      <c r="G105" s="22" t="n">
        <v>99707</v>
      </c>
      <c r="H105" s="22" t="n">
        <v>18982</v>
      </c>
      <c r="I105" s="22" t="n">
        <v>31637</v>
      </c>
      <c r="J105" s="22" t="n">
        <v>54428</v>
      </c>
      <c r="K105" s="22" t="n">
        <v>41854</v>
      </c>
      <c r="L105" s="22" t="n">
        <v>99707</v>
      </c>
    </row>
    <row r="106">
      <c r="A106" s="20" t="inlineStr">
        <is>
          <t>지배기업 소유주 귀속 지분 합계</t>
        </is>
      </c>
      <c r="C106" s="22" t="n">
        <v>506539</v>
      </c>
      <c r="G106" s="22" t="n">
        <v>795726</v>
      </c>
      <c r="H106" s="22" t="n">
        <v>294621</v>
      </c>
      <c r="I106" s="22" t="n">
        <v>368694</v>
      </c>
      <c r="J106" s="22" t="n">
        <v>431178</v>
      </c>
      <c r="K106" s="22" t="n">
        <v>506539</v>
      </c>
      <c r="L106" s="22" t="n">
        <v>795726</v>
      </c>
    </row>
    <row r="107">
      <c r="A107" s="20" t="inlineStr">
        <is>
          <t>자본 합계</t>
        </is>
      </c>
      <c r="C107" s="22" t="n">
        <v>506539</v>
      </c>
      <c r="G107" s="22" t="n">
        <v>795726</v>
      </c>
      <c r="H107" s="22" t="n">
        <v>294621</v>
      </c>
      <c r="I107" s="22" t="n">
        <v>368694</v>
      </c>
      <c r="J107" s="22" t="n">
        <v>431178</v>
      </c>
      <c r="K107" s="22" t="n">
        <v>506539</v>
      </c>
      <c r="L107" s="22" t="n">
        <v>795726</v>
      </c>
    </row>
    <row r="108">
      <c r="A108" s="20" t="inlineStr">
        <is>
          <t>부채및자본 합계</t>
        </is>
      </c>
      <c r="C108" s="22" t="n">
        <v>854210</v>
      </c>
      <c r="G108" s="22" t="n">
        <v>1171816</v>
      </c>
      <c r="H108" s="22" t="n">
        <v>494696</v>
      </c>
      <c r="I108" s="22" t="n">
        <v>600224</v>
      </c>
      <c r="J108" s="22" t="n">
        <v>671229</v>
      </c>
      <c r="K108" s="22" t="n">
        <v>854210</v>
      </c>
      <c r="L108" s="22" t="n">
        <v>1171816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1" t="inlineStr">
        <is>
          <t>출처 · 쓴 결산단신</t>
        </is>
      </c>
    </row>
    <row r="3">
      <c r="A3" s="52" t="inlineStr">
        <is>
          <t>공시일</t>
        </is>
      </c>
      <c r="B3" s="52" t="inlineStr">
        <is>
          <t>문서</t>
        </is>
      </c>
      <c r="C3" s="52" t="inlineStr">
        <is>
          <t>PDF</t>
        </is>
      </c>
    </row>
    <row r="4">
      <c r="A4" t="inlineStr">
        <is>
          <t>2026-04-27</t>
        </is>
      </c>
      <c r="B4" t="inlineStr">
        <is>
          <t>2026년 3월 결산기 연간 결산단신</t>
        </is>
      </c>
      <c r="C4" t="inlineStr">
        <is>
          <t>https://www2.jpx.co.jp/disc/68570/140120260427511547.pdf</t>
        </is>
      </c>
    </row>
    <row r="5">
      <c r="A5" t="inlineStr">
        <is>
          <t>2025-04-25</t>
        </is>
      </c>
      <c r="B5" t="inlineStr">
        <is>
          <t>2025년 3월 결산기 연간 결산단신</t>
        </is>
      </c>
      <c r="C5" t="inlineStr">
        <is>
          <t>https://www2.jpx.co.jp/disc/68570/140120250424523309.pdf</t>
        </is>
      </c>
    </row>
    <row r="6">
      <c r="A6" t="inlineStr">
        <is>
          <t>2024-04-26</t>
        </is>
      </c>
      <c r="B6" t="inlineStr">
        <is>
          <t>2024년 3월 결산기 연간 결산단신</t>
        </is>
      </c>
      <c r="C6" t="inlineStr">
        <is>
          <t>https://www2.jpx.co.jp/disc/68570/140120240425577460.pdf</t>
        </is>
      </c>
    </row>
    <row r="7">
      <c r="A7" t="inlineStr">
        <is>
          <t>2023-04-26</t>
        </is>
      </c>
      <c r="B7" t="inlineStr">
        <is>
          <t>2023년 3월 결산기 연간 결산단신</t>
        </is>
      </c>
      <c r="C7" t="inlineStr">
        <is>
          <t>https://www2.jpx.co.jp/disc/68570/140120230425552430.pdf</t>
        </is>
      </c>
    </row>
    <row r="8">
      <c r="A8" t="inlineStr">
        <is>
          <t>2022-04-27</t>
        </is>
      </c>
      <c r="B8" t="inlineStr">
        <is>
          <t>2022년 3월 결산기 연간 결산단신</t>
        </is>
      </c>
      <c r="C8" t="inlineStr">
        <is>
          <t>https://www2.jpx.co.jp/disc/68570/140120220426527770.pdf</t>
        </is>
      </c>
    </row>
    <row r="9">
      <c r="A9" t="inlineStr">
        <is>
          <t>2021-04-27</t>
        </is>
      </c>
      <c r="B9" t="inlineStr">
        <is>
          <t>2021년 3월 결산기 연간 결산단신</t>
        </is>
      </c>
      <c r="C9" t="inlineStr">
        <is>
          <t>https://www2.jpx.co.jp/disc/68570/140120210426400718.pdf</t>
        </is>
      </c>
    </row>
    <row r="10">
      <c r="A10" t="inlineStr">
        <is>
          <t>2020-04-24</t>
        </is>
      </c>
      <c r="B10" t="inlineStr">
        <is>
          <t>2020년 3월 결산기 연간 결산단신</t>
        </is>
      </c>
      <c r="C10" t="inlineStr">
        <is>
          <t>https://www2.jpx.co.jp/disc/68570/140120200407490530.pdf</t>
        </is>
      </c>
    </row>
    <row r="11">
      <c r="A11" t="inlineStr">
        <is>
          <t>2019-04-25</t>
        </is>
      </c>
      <c r="B11" t="inlineStr">
        <is>
          <t>2019년 3월 결산기 연간 결산단신</t>
        </is>
      </c>
      <c r="C11" t="inlineStr">
        <is>
          <t>https://www2.jpx.co.jp/disc/68570/140120190414404430.pdf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2026-10-25T10:11:33Z</dcterms:created>
  <dcterms:modified xmlns:dcterms="http://purl.org/dc/terms/" xmlns:xsi="http://www.w3.org/2001/XMLSchema-instance" xsi:type="dcterms:W3CDTF">2026-10-25T10:11:33Z</dcterms:modified>
</cp:coreProperties>
</file>