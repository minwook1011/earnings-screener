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7">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310"/>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어드반테스트 Model</t>
        </is>
      </c>
    </row>
    <row r="2">
      <c r="A2" s="2" t="inlineStr">
        <is>
          <t>모를 땐 보수적으로</t>
        </is>
      </c>
      <c r="B2" s="3" t="inlineStr">
        <is>
          <t>(단위: 백만엔)</t>
        </is>
      </c>
      <c r="C2" s="3" t="inlineStr">
        <is>
          <t>3월 결산 · IFRS · 2027.2Q = 2027년 3월 결산기 2분기</t>
        </is>
      </c>
      <c r="Y2" s="4" t="inlineStr">
        <is>
          <t>(추정: 파란 글씨 = 직접 입력)</t>
        </is>
      </c>
    </row>
    <row r="3">
      <c r="A3" s="5" t="inlineStr">
        <is>
          <t>항목</t>
        </is>
      </c>
      <c r="B3" s="5" t="inlineStr">
        <is>
          <t>참고</t>
        </is>
      </c>
      <c r="C3" s="6" t="inlineStr">
        <is>
          <t>2024.3Q</t>
        </is>
      </c>
      <c r="D3" s="5" t="inlineStr">
        <is>
          <t>2024.4Q</t>
        </is>
      </c>
      <c r="E3" s="5" t="inlineStr">
        <is>
          <t>2025.1Q</t>
        </is>
      </c>
      <c r="F3" s="5" t="inlineStr">
        <is>
          <t>2025.2Q</t>
        </is>
      </c>
      <c r="G3" s="5" t="inlineStr">
        <is>
          <t>2025.3Q</t>
        </is>
      </c>
      <c r="H3" s="5" t="inlineStr">
        <is>
          <t>2025.4Q</t>
        </is>
      </c>
      <c r="I3" s="5" t="inlineStr">
        <is>
          <t>2026.1Q</t>
        </is>
      </c>
      <c r="J3" s="5" t="inlineStr">
        <is>
          <t>2026.2Q</t>
        </is>
      </c>
      <c r="K3" s="5" t="inlineStr">
        <is>
          <t>2026.3Q</t>
        </is>
      </c>
      <c r="L3" s="5" t="inlineStr">
        <is>
          <t>2026.4Q</t>
        </is>
      </c>
      <c r="M3" s="5" t="inlineStr">
        <is>
          <t>2027.1Q</t>
        </is>
      </c>
      <c r="N3" s="5" t="inlineStr">
        <is>
          <t>2027.2Q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 제품 합계</t>
        </is>
      </c>
      <c r="C4" s="11" t="n">
        <v>133233</v>
      </c>
      <c r="D4" s="12" t="n">
        <v>135763</v>
      </c>
      <c r="E4" s="12" t="n">
        <v>138725</v>
      </c>
      <c r="F4" s="12" t="n">
        <v>190481</v>
      </c>
      <c r="G4" s="12" t="n">
        <v>218152</v>
      </c>
      <c r="H4" s="12" t="n">
        <v>232349</v>
      </c>
      <c r="I4" s="12" t="n">
        <v>263776</v>
      </c>
      <c r="J4" s="12" t="n">
        <v>262957</v>
      </c>
      <c r="K4" s="12" t="n">
        <v>273804</v>
      </c>
      <c r="L4" s="12" t="n">
        <v>328073</v>
      </c>
      <c r="M4" s="12" t="n">
        <v>367473</v>
      </c>
      <c r="N4" s="12" t="n">
        <v>477727</v>
      </c>
      <c r="O4" s="11" t="n"/>
      <c r="P4" s="12" t="n">
        <v>207223</v>
      </c>
      <c r="Q4" s="12" t="n">
        <v>282456</v>
      </c>
      <c r="R4" s="12" t="n">
        <v>275894</v>
      </c>
      <c r="S4" s="12" t="n">
        <v>312789</v>
      </c>
      <c r="T4" s="12" t="n">
        <v>416901</v>
      </c>
      <c r="U4" s="12" t="n">
        <v>560191</v>
      </c>
      <c r="V4" s="12" t="n">
        <v>486507</v>
      </c>
      <c r="W4" s="12" t="n">
        <v>779707</v>
      </c>
      <c r="X4" s="12" t="n">
        <v>1128610</v>
      </c>
      <c r="Y4" s="11">
        <f>IF(COUNT(Y7,Y10,Y13,Y16,Y19,Y22)=0,"",SUM(Y7,Y10,Y13,Y16,Y19,Y22))</f>
        <v/>
      </c>
      <c r="Z4" s="12">
        <f>IF(COUNT(Z7,Z10,Z13,Z16,Z19,Z22)=0,"",SUM(Z7,Z10,Z13,Z16,Z19,Z22))</f>
        <v/>
      </c>
      <c r="AA4" s="12">
        <f>IF(COUNT(AA7,AA10,AA13,AA16,AA19,AA22)=0,"",SUM(AA7,AA10,AA13,AA16,AA19,AA22))</f>
        <v/>
      </c>
      <c r="AB4" s="12">
        <f>IF(COUNT(AB7,AB10,AB13,AB16,AB19,AB22)=0,"",SUM(AB7,AB10,AB13,AB16,AB19,AB22))</f>
        <v/>
      </c>
      <c r="AC4" s="12">
        <f>IF(COUNT(AC7,AC10,AC13,AC16,AC19,AC22)=0,"",SUM(AC7,AC10,AC13,AC16,AC19,AC22))</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테스트시스템 사업</t>
        </is>
      </c>
      <c r="B7" s="10" t="n"/>
      <c r="C7" s="19" t="n"/>
      <c r="D7" s="20" t="n"/>
      <c r="E7" s="20" t="n"/>
      <c r="F7" s="20" t="n"/>
      <c r="G7" s="20" t="n">
        <v>194084</v>
      </c>
      <c r="H7" s="20" t="n">
        <v>204160</v>
      </c>
      <c r="I7" s="20" t="n"/>
      <c r="J7" s="20" t="n"/>
      <c r="K7" s="20" t="n">
        <v>245098</v>
      </c>
      <c r="L7" s="20" t="n">
        <v>296325</v>
      </c>
      <c r="M7" s="20" t="n"/>
      <c r="N7" s="20" t="n"/>
      <c r="O7" s="19" t="n"/>
      <c r="P7" s="20" t="n"/>
      <c r="Q7" s="20" t="n"/>
      <c r="R7" s="20" t="n"/>
      <c r="S7" s="20" t="n"/>
      <c r="T7" s="20" t="n"/>
      <c r="U7" s="20" t="n"/>
      <c r="V7" s="20" t="n"/>
      <c r="W7" s="20" t="n">
        <v>682819</v>
      </c>
      <c r="X7" s="20" t="n">
        <v>1019380</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Services Support And Others</t>
        </is>
      </c>
      <c r="B10" s="10" t="n"/>
      <c r="C10" s="19" t="n">
        <v>30008</v>
      </c>
      <c r="D10" s="20" t="n"/>
      <c r="E10" s="20" t="n">
        <v>23356</v>
      </c>
      <c r="F10" s="20" t="n">
        <v>21275</v>
      </c>
      <c r="G10" s="20" t="n">
        <v>24068</v>
      </c>
      <c r="H10" s="20" t="n">
        <v>28189</v>
      </c>
      <c r="I10" s="20" t="n"/>
      <c r="J10" s="20" t="n"/>
      <c r="K10" s="20" t="n">
        <v>28706</v>
      </c>
      <c r="L10" s="20" t="n">
        <v>31748</v>
      </c>
      <c r="M10" s="20" t="n"/>
      <c r="N10" s="20" t="n"/>
      <c r="O10" s="19" t="n"/>
      <c r="P10" s="20" t="n"/>
      <c r="Q10" s="20" t="n"/>
      <c r="R10" s="20" t="n"/>
      <c r="S10" s="20" t="n"/>
      <c r="T10" s="20" t="n"/>
      <c r="U10" s="20" t="n"/>
      <c r="V10" s="20" t="n"/>
      <c r="W10" s="20" t="n">
        <v>96888</v>
      </c>
      <c r="X10" s="20" t="n">
        <v>109230</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테스트시스템 사업</t>
        </is>
      </c>
      <c r="B13" s="10" t="n"/>
      <c r="C13" s="19" t="n"/>
      <c r="D13" s="20" t="n"/>
      <c r="E13" s="20" t="n">
        <v>117286</v>
      </c>
      <c r="F13" s="20" t="n"/>
      <c r="G13" s="20" t="n"/>
      <c r="H13" s="20" t="n"/>
      <c r="I13" s="20" t="n">
        <v>240554</v>
      </c>
      <c r="J13" s="20" t="n"/>
      <c r="K13" s="20" t="n"/>
      <c r="L13" s="20" t="n"/>
      <c r="M13" s="20" t="n">
        <v>333562</v>
      </c>
      <c r="N13" s="20" t="n"/>
      <c r="O13" s="19" t="n"/>
      <c r="P13" s="20" t="n"/>
      <c r="Q13" s="20" t="n"/>
      <c r="R13" s="20" t="n"/>
      <c r="S13" s="20" t="n"/>
      <c r="T13" s="20" t="n"/>
      <c r="U13" s="20" t="n"/>
      <c r="V13" s="20" t="n"/>
      <c r="W13" s="20" t="n"/>
      <c r="X13" s="20" t="n"/>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Services And Others</t>
        </is>
      </c>
      <c r="B16" s="10" t="n"/>
      <c r="C16" s="19" t="n"/>
      <c r="D16" s="20" t="n"/>
      <c r="E16" s="20" t="n">
        <v>21439</v>
      </c>
      <c r="F16" s="20" t="n"/>
      <c r="G16" s="20" t="n"/>
      <c r="H16" s="20" t="n"/>
      <c r="I16" s="20" t="n">
        <v>23222</v>
      </c>
      <c r="J16" s="20" t="n"/>
      <c r="K16" s="20" t="n"/>
      <c r="L16" s="20" t="n"/>
      <c r="M16" s="20" t="n">
        <v>33911</v>
      </c>
      <c r="N16" s="20" t="n"/>
      <c r="O16" s="19" t="n"/>
      <c r="P16" s="20" t="n"/>
      <c r="Q16" s="20" t="n"/>
      <c r="R16" s="20" t="n"/>
      <c r="S16" s="20" t="n"/>
      <c r="T16" s="20" t="n"/>
      <c r="U16" s="20" t="n"/>
      <c r="V16" s="20" t="n"/>
      <c r="W16" s="20" t="n"/>
      <c r="X16" s="20" t="n"/>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8" t="inlineStr">
        <is>
          <t>Semiconductor And Component Test System Business</t>
        </is>
      </c>
      <c r="B19" s="10" t="n"/>
      <c r="C19" s="19" t="n">
        <v>88320</v>
      </c>
      <c r="D19" s="20" t="n"/>
      <c r="E19" s="20" t="n">
        <v>101108</v>
      </c>
      <c r="F19" s="20" t="n">
        <v>145470</v>
      </c>
      <c r="G19" s="20" t="n">
        <v>167607</v>
      </c>
      <c r="H19" s="20" t="n"/>
      <c r="I19" s="20" t="n"/>
      <c r="J19" s="20" t="n"/>
      <c r="K19" s="20" t="n"/>
      <c r="L19" s="20" t="n"/>
      <c r="M19" s="20" t="n"/>
      <c r="N19" s="20" t="n"/>
      <c r="O19" s="19" t="n"/>
      <c r="P19" s="20" t="n"/>
      <c r="Q19" s="20" t="n"/>
      <c r="R19" s="20" t="n"/>
      <c r="S19" s="20" t="n"/>
      <c r="T19" s="20" t="n"/>
      <c r="U19" s="20" t="n"/>
      <c r="V19" s="20" t="n"/>
      <c r="W19" s="20" t="n"/>
      <c r="X19" s="20" t="n"/>
      <c r="Y19" s="21" t="n"/>
      <c r="Z19" s="22" t="n"/>
      <c r="AA19" s="22" t="n"/>
      <c r="AB19" s="22" t="n"/>
      <c r="AC19" s="22" t="n"/>
    </row>
    <row r="20">
      <c r="A20" s="13" t="inlineStr">
        <is>
          <t>비중</t>
        </is>
      </c>
      <c r="B20" s="10" t="n"/>
      <c r="C20" s="14">
        <f>IF(OR(C19="",C4=""),"",IFERROR(C19/C4,""))</f>
        <v/>
      </c>
      <c r="D20" s="15">
        <f>IF(OR(D19="",D4=""),"",IFERROR(D19/D4,""))</f>
        <v/>
      </c>
      <c r="E20" s="15">
        <f>IF(OR(E19="",E4=""),"",IFERROR(E19/E4,""))</f>
        <v/>
      </c>
      <c r="F20" s="15">
        <f>IF(OR(F19="",F4=""),"",IFERROR(F19/F4,""))</f>
        <v/>
      </c>
      <c r="G20" s="15">
        <f>IF(OR(G19="",G4=""),"",IFERROR(G19/G4,""))</f>
        <v/>
      </c>
      <c r="H20" s="15">
        <f>IF(OR(H19="",H4=""),"",IFERROR(H19/H4,""))</f>
        <v/>
      </c>
      <c r="I20" s="15">
        <f>IF(OR(I19="",I4=""),"",IFERROR(I19/I4,""))</f>
        <v/>
      </c>
      <c r="J20" s="15">
        <f>IF(OR(J19="",J4=""),"",IFERROR(J19/J4,""))</f>
        <v/>
      </c>
      <c r="K20" s="15">
        <f>IF(OR(K19="",K4=""),"",IFERROR(K19/K4,""))</f>
        <v/>
      </c>
      <c r="L20" s="15">
        <f>IF(OR(L19="",L4=""),"",IFERROR(L19/L4,""))</f>
        <v/>
      </c>
      <c r="M20" s="15">
        <f>IF(OR(M19="",M4=""),"",IFERROR(M19/M4,""))</f>
        <v/>
      </c>
      <c r="N20" s="15">
        <f>IF(OR(N19="",N4=""),"",IFERROR(N19/N4,""))</f>
        <v/>
      </c>
      <c r="O20" s="14">
        <f>IF(OR(O19="",O4=""),"",IFERROR(O19/O4,""))</f>
        <v/>
      </c>
      <c r="P20" s="15">
        <f>IF(OR(P19="",P4=""),"",IFERROR(P19/P4,""))</f>
        <v/>
      </c>
      <c r="Q20" s="15">
        <f>IF(OR(Q19="",Q4=""),"",IFERROR(Q19/Q4,""))</f>
        <v/>
      </c>
      <c r="R20" s="15">
        <f>IF(OR(R19="",R4=""),"",IFERROR(R19/R4,""))</f>
        <v/>
      </c>
      <c r="S20" s="15">
        <f>IF(OR(S19="",S4=""),"",IFERROR(S19/S4,""))</f>
        <v/>
      </c>
      <c r="T20" s="15">
        <f>IF(OR(T19="",T4=""),"",IFERROR(T19/T4,""))</f>
        <v/>
      </c>
      <c r="U20" s="15">
        <f>IF(OR(U19="",U4=""),"",IFERROR(U19/U4,""))</f>
        <v/>
      </c>
      <c r="V20" s="15">
        <f>IF(OR(V19="",V4=""),"",IFERROR(V19/V4,""))</f>
        <v/>
      </c>
      <c r="W20" s="15">
        <f>IF(OR(W19="",W4=""),"",IFERROR(W19/W4,""))</f>
        <v/>
      </c>
      <c r="X20" s="15">
        <f>IF(OR(X19="",X4=""),"",IFERROR(X19/X4,""))</f>
        <v/>
      </c>
      <c r="Y20" s="14">
        <f>IF(OR(Y19="",Y4=""),"",IFERROR(Y19/Y4,""))</f>
        <v/>
      </c>
      <c r="Z20" s="15">
        <f>IF(OR(Z19="",Z4=""),"",IFERROR(Z19/Z4,""))</f>
        <v/>
      </c>
      <c r="AA20" s="15">
        <f>IF(OR(AA19="",AA4=""),"",IFERROR(AA19/AA4,""))</f>
        <v/>
      </c>
      <c r="AB20" s="15">
        <f>IF(OR(AB19="",AB4=""),"",IFERROR(AB19/AB4,""))</f>
        <v/>
      </c>
      <c r="AC20" s="15">
        <f>IF(OR(AC19="",AC4=""),"",IFERROR(AC19/AC4,""))</f>
        <v/>
      </c>
    </row>
    <row r="21">
      <c r="A21" s="13" t="inlineStr">
        <is>
          <t>YoY</t>
        </is>
      </c>
      <c r="B21" s="10" t="n"/>
      <c r="C21" s="14" t="n"/>
      <c r="D21" s="15" t="n"/>
      <c r="E21" s="15" t="n"/>
      <c r="F21" s="15" t="n"/>
      <c r="G21" s="15">
        <f>IF(OR(G19="",C19=""),"",IFERROR(G19/C19-1,""))</f>
        <v/>
      </c>
      <c r="H21" s="15">
        <f>IF(OR(H19="",D19=""),"",IFERROR(H19/D19-1,""))</f>
        <v/>
      </c>
      <c r="I21" s="15">
        <f>IF(OR(I19="",E19=""),"",IFERROR(I19/E19-1,""))</f>
        <v/>
      </c>
      <c r="J21" s="15">
        <f>IF(OR(J19="",F19=""),"",IFERROR(J19/F19-1,""))</f>
        <v/>
      </c>
      <c r="K21" s="15">
        <f>IF(OR(K19="",G19=""),"",IFERROR(K19/G19-1,""))</f>
        <v/>
      </c>
      <c r="L21" s="15">
        <f>IF(OR(L19="",H19=""),"",IFERROR(L19/H19-1,""))</f>
        <v/>
      </c>
      <c r="M21" s="15">
        <f>IF(OR(M19="",I19=""),"",IFERROR(M19/I19-1,""))</f>
        <v/>
      </c>
      <c r="N21" s="15">
        <f>IF(OR(N19="",J19=""),"",IFERROR(N19/J19-1,""))</f>
        <v/>
      </c>
      <c r="O21" s="14" t="n"/>
      <c r="P21" s="15">
        <f>IF(OR(P19="",O19=""),"",IFERROR(P19/O19-1,""))</f>
        <v/>
      </c>
      <c r="Q21" s="15">
        <f>IF(OR(Q19="",P19=""),"",IFERROR(Q19/P19-1,""))</f>
        <v/>
      </c>
      <c r="R21" s="15">
        <f>IF(OR(R19="",Q19=""),"",IFERROR(R19/Q19-1,""))</f>
        <v/>
      </c>
      <c r="S21" s="15">
        <f>IF(OR(S19="",R19=""),"",IFERROR(S19/R19-1,""))</f>
        <v/>
      </c>
      <c r="T21" s="15">
        <f>IF(OR(T19="",S19=""),"",IFERROR(T19/S19-1,""))</f>
        <v/>
      </c>
      <c r="U21" s="15">
        <f>IF(OR(U19="",T19=""),"",IFERROR(U19/T19-1,""))</f>
        <v/>
      </c>
      <c r="V21" s="15">
        <f>IF(OR(V19="",U19=""),"",IFERROR(V19/U19-1,""))</f>
        <v/>
      </c>
      <c r="W21" s="15">
        <f>IF(OR(W19="",V19=""),"",IFERROR(W19/V19-1,""))</f>
        <v/>
      </c>
      <c r="X21" s="15">
        <f>IF(OR(X19="",W19=""),"",IFERROR(X19/W19-1,""))</f>
        <v/>
      </c>
      <c r="Y21" s="14">
        <f>IF(OR(Y19="",X19=""),"",IFERROR(Y19/X19-1,""))</f>
        <v/>
      </c>
      <c r="Z21" s="15">
        <f>IF(OR(Z19="",Y19=""),"",IFERROR(Z19/Y19-1,""))</f>
        <v/>
      </c>
      <c r="AA21" s="15">
        <f>IF(OR(AA19="",Z19=""),"",IFERROR(AA19/Z19-1,""))</f>
        <v/>
      </c>
      <c r="AB21" s="15">
        <f>IF(OR(AB19="",AA19=""),"",IFERROR(AB19/AA19-1,""))</f>
        <v/>
      </c>
      <c r="AC21" s="15">
        <f>IF(OR(AC19="",AB19=""),"",IFERROR(AC19/AB19-1,""))</f>
        <v/>
      </c>
    </row>
    <row r="22">
      <c r="A22" s="18" t="inlineStr">
        <is>
          <t>Mechatronics System Business</t>
        </is>
      </c>
      <c r="B22" s="10" t="n"/>
      <c r="C22" s="19" t="n">
        <v>14905</v>
      </c>
      <c r="D22" s="20" t="n"/>
      <c r="E22" s="20" t="n">
        <v>14261</v>
      </c>
      <c r="F22" s="20" t="n">
        <v>17245</v>
      </c>
      <c r="G22" s="20" t="n">
        <v>23563</v>
      </c>
      <c r="H22" s="20" t="n"/>
      <c r="I22" s="20" t="n"/>
      <c r="J22" s="20" t="n"/>
      <c r="K22" s="20" t="n"/>
      <c r="L22" s="20" t="n"/>
      <c r="M22" s="20" t="n"/>
      <c r="N22" s="20" t="n"/>
      <c r="O22" s="19" t="n"/>
      <c r="P22" s="20" t="n"/>
      <c r="Q22" s="20" t="n"/>
      <c r="R22" s="20" t="n"/>
      <c r="S22" s="20" t="n"/>
      <c r="T22" s="20" t="n"/>
      <c r="U22" s="20" t="n"/>
      <c r="V22" s="20" t="n"/>
      <c r="W22" s="20" t="n"/>
      <c r="X22" s="20" t="n"/>
      <c r="Y22" s="21" t="n"/>
      <c r="Z22" s="22" t="n"/>
      <c r="AA22" s="22" t="n"/>
      <c r="AB22" s="22" t="n"/>
      <c r="AC22" s="22" t="n"/>
    </row>
    <row r="23">
      <c r="A23" s="13" t="inlineStr">
        <is>
          <t>비중</t>
        </is>
      </c>
      <c r="B23" s="10" t="n"/>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14">
        <f>IF(OR(Y22="",Y4=""),"",IFERROR(Y22/Y4,""))</f>
        <v/>
      </c>
      <c r="Z23" s="15">
        <f>IF(OR(Z22="",Z4=""),"",IFERROR(Z22/Z4,""))</f>
        <v/>
      </c>
      <c r="AA23" s="15">
        <f>IF(OR(AA22="",AA4=""),"",IFERROR(AA22/AA4,""))</f>
        <v/>
      </c>
      <c r="AB23" s="15">
        <f>IF(OR(AB22="",AB4=""),"",IFERROR(AB22/AB4,""))</f>
        <v/>
      </c>
      <c r="AC23" s="15">
        <f>IF(OR(AC22="",AC4=""),"",IFERROR(AC22/AC4,""))</f>
        <v/>
      </c>
    </row>
    <row r="24">
      <c r="A24" s="13" t="inlineStr">
        <is>
          <t>YoY</t>
        </is>
      </c>
      <c r="B24" s="10" t="n"/>
      <c r="C24" s="14" t="n"/>
      <c r="D24" s="15" t="n"/>
      <c r="E24" s="15" t="n"/>
      <c r="F24" s="15" t="n"/>
      <c r="G24" s="15">
        <f>IF(OR(G22="",C22=""),"",IFERROR(G22/C22-1,""))</f>
        <v/>
      </c>
      <c r="H24" s="15">
        <f>IF(OR(H22="",D22=""),"",IFERROR(H22/D22-1,""))</f>
        <v/>
      </c>
      <c r="I24" s="15">
        <f>IF(OR(I22="",E22=""),"",IFERROR(I22/E22-1,""))</f>
        <v/>
      </c>
      <c r="J24" s="15">
        <f>IF(OR(J22="",F22=""),"",IFERROR(J22/F22-1,""))</f>
        <v/>
      </c>
      <c r="K24" s="15">
        <f>IF(OR(K22="",G22=""),"",IFERROR(K22/G22-1,""))</f>
        <v/>
      </c>
      <c r="L24" s="15">
        <f>IF(OR(L22="",H22=""),"",IFERROR(L22/H22-1,""))</f>
        <v/>
      </c>
      <c r="M24" s="15">
        <f>IF(OR(M22="",I22=""),"",IFERROR(M22/I22-1,""))</f>
        <v/>
      </c>
      <c r="N24" s="15">
        <f>IF(OR(N22="",J22=""),"",IFERROR(N22/J22-1,""))</f>
        <v/>
      </c>
      <c r="O24" s="14" t="n"/>
      <c r="P24" s="15">
        <f>IF(OR(P22="",O22=""),"",IFERROR(P22/O22-1,""))</f>
        <v/>
      </c>
      <c r="Q24" s="15">
        <f>IF(OR(Q22="",P22=""),"",IFERROR(Q22/P22-1,""))</f>
        <v/>
      </c>
      <c r="R24" s="15">
        <f>IF(OR(R22="",Q22=""),"",IFERROR(R22/Q22-1,""))</f>
        <v/>
      </c>
      <c r="S24" s="15">
        <f>IF(OR(S22="",R22=""),"",IFERROR(S22/R22-1,""))</f>
        <v/>
      </c>
      <c r="T24" s="15">
        <f>IF(OR(T22="",S22=""),"",IFERROR(T22/S22-1,""))</f>
        <v/>
      </c>
      <c r="U24" s="15">
        <f>IF(OR(U22="",T22=""),"",IFERROR(U22/T22-1,""))</f>
        <v/>
      </c>
      <c r="V24" s="15">
        <f>IF(OR(V22="",U22=""),"",IFERROR(V22/U22-1,""))</f>
        <v/>
      </c>
      <c r="W24" s="15">
        <f>IF(OR(W22="",V22=""),"",IFERROR(W22/V22-1,""))</f>
        <v/>
      </c>
      <c r="X24" s="15">
        <f>IF(OR(X22="",W22=""),"",IFERROR(X22/W22-1,""))</f>
        <v/>
      </c>
      <c r="Y24" s="14">
        <f>IF(OR(Y22="",X22=""),"",IFERROR(Y22/X22-1,""))</f>
        <v/>
      </c>
      <c r="Z24" s="15">
        <f>IF(OR(Z22="",Y22=""),"",IFERROR(Z22/Y22-1,""))</f>
        <v/>
      </c>
      <c r="AA24" s="15">
        <f>IF(OR(AA22="",Z22=""),"",IFERROR(AA22/Z22-1,""))</f>
        <v/>
      </c>
      <c r="AB24" s="15">
        <f>IF(OR(AB22="",AA22=""),"",IFERROR(AB22/AA22-1,""))</f>
        <v/>
      </c>
      <c r="AC24" s="15">
        <f>IF(OR(AC22="",AB22=""),"",IFERROR(AC22/AB22-1,""))</f>
        <v/>
      </c>
    </row>
    <row r="25">
      <c r="A25" s="16" t="inlineStr">
        <is>
          <t>매출원가</t>
        </is>
      </c>
      <c r="B25" s="16" t="n"/>
      <c r="C25" s="17" t="n"/>
      <c r="D25" s="16" t="n"/>
      <c r="E25" s="16" t="n"/>
      <c r="F25" s="16" t="n"/>
      <c r="G25" s="16" t="n"/>
      <c r="H25" s="16" t="n"/>
      <c r="I25" s="16" t="n"/>
      <c r="J25" s="16" t="n"/>
      <c r="K25" s="16" t="n"/>
      <c r="L25" s="16" t="n"/>
      <c r="M25" s="16" t="n"/>
      <c r="N25" s="16" t="n"/>
      <c r="O25" s="17" t="n"/>
      <c r="P25" s="16" t="n"/>
      <c r="Q25" s="16" t="n"/>
      <c r="R25" s="16" t="n"/>
      <c r="S25" s="16" t="n"/>
      <c r="T25" s="16" t="n"/>
      <c r="U25" s="16" t="n"/>
      <c r="V25" s="16" t="n"/>
      <c r="W25" s="16" t="n"/>
      <c r="X25" s="16" t="n"/>
      <c r="Y25" s="17" t="n"/>
      <c r="Z25" s="16" t="n"/>
      <c r="AA25" s="16" t="n"/>
      <c r="AB25" s="16" t="n"/>
      <c r="AC25" s="16" t="n"/>
    </row>
    <row r="26">
      <c r="A26" s="18" t="inlineStr">
        <is>
          <t>전체 매출원가</t>
        </is>
      </c>
      <c r="B26" s="10" t="n"/>
      <c r="C26" s="19" t="n">
        <v>65846</v>
      </c>
      <c r="D26" s="20" t="n">
        <v>66129</v>
      </c>
      <c r="E26" s="20" t="n">
        <v>61819</v>
      </c>
      <c r="F26" s="20" t="n">
        <v>80390</v>
      </c>
      <c r="G26" s="20" t="n">
        <v>99298</v>
      </c>
      <c r="H26" s="20" t="n">
        <v>93115</v>
      </c>
      <c r="I26" s="20" t="n">
        <v>92138</v>
      </c>
      <c r="J26" s="20" t="n">
        <v>99316</v>
      </c>
      <c r="K26" s="20" t="n">
        <v>104096</v>
      </c>
      <c r="L26" s="20" t="n">
        <v>106953</v>
      </c>
      <c r="M26" s="20" t="n">
        <v>111920</v>
      </c>
      <c r="N26" s="20" t="n">
        <v>137902</v>
      </c>
      <c r="O26" s="19" t="n"/>
      <c r="P26" s="20" t="n">
        <v>100635</v>
      </c>
      <c r="Q26" s="20" t="n">
        <v>128417</v>
      </c>
      <c r="R26" s="20" t="n">
        <v>119397</v>
      </c>
      <c r="S26" s="20" t="n">
        <v>144498</v>
      </c>
      <c r="T26" s="20" t="n">
        <v>180994</v>
      </c>
      <c r="U26" s="20" t="n">
        <v>241130</v>
      </c>
      <c r="V26" s="20" t="n">
        <v>240477</v>
      </c>
      <c r="W26" s="20" t="n">
        <v>334622</v>
      </c>
      <c r="X26" s="20" t="n">
        <v>402503</v>
      </c>
      <c r="Y26" s="19" t="n"/>
      <c r="Z26" s="20" t="n"/>
      <c r="AA26" s="20" t="n"/>
      <c r="AB26" s="20" t="n"/>
      <c r="AC26" s="20" t="n"/>
    </row>
    <row r="27">
      <c r="A27" s="13" t="inlineStr">
        <is>
          <t>YoY</t>
        </is>
      </c>
      <c r="B27" s="10" t="n"/>
      <c r="C27" s="14" t="n"/>
      <c r="D27" s="15" t="n"/>
      <c r="E27" s="15" t="n"/>
      <c r="F27" s="15" t="n"/>
      <c r="G27" s="15">
        <f>IF(OR(G26="",C26=""),"",IF(C26&lt;=0,"",IFERROR(G26/C26-1,"")))</f>
        <v/>
      </c>
      <c r="H27" s="15">
        <f>IF(OR(H26="",D26=""),"",IF(D26&lt;=0,"",IFERROR(H26/D26-1,"")))</f>
        <v/>
      </c>
      <c r="I27" s="15">
        <f>IF(OR(I26="",E26=""),"",IF(E26&lt;=0,"",IFERROR(I26/E26-1,"")))</f>
        <v/>
      </c>
      <c r="J27" s="15">
        <f>IF(OR(J26="",F26=""),"",IF(F26&lt;=0,"",IFERROR(J26/F26-1,"")))</f>
        <v/>
      </c>
      <c r="K27" s="15">
        <f>IF(OR(K26="",G26=""),"",IF(G26&lt;=0,"",IFERROR(K26/G26-1,"")))</f>
        <v/>
      </c>
      <c r="L27" s="15">
        <f>IF(OR(L26="",H26=""),"",IF(H26&lt;=0,"",IFERROR(L26/H26-1,"")))</f>
        <v/>
      </c>
      <c r="M27" s="15">
        <f>IF(OR(M26="",I26=""),"",IF(I26&lt;=0,"",IFERROR(M26/I26-1,"")))</f>
        <v/>
      </c>
      <c r="N27" s="15">
        <f>IF(OR(N26="",J26=""),"",IF(J26&lt;=0,"",IFERROR(N26/J26-1,"")))</f>
        <v/>
      </c>
      <c r="O27" s="14" t="n"/>
      <c r="P27" s="15">
        <f>IF(OR(P26="",O26=""),"",IF(O26&lt;=0,"",IFERROR(P26/O26-1,"")))</f>
        <v/>
      </c>
      <c r="Q27" s="15">
        <f>IF(OR(Q26="",P26=""),"",IF(P26&lt;=0,"",IFERROR(Q26/P26-1,"")))</f>
        <v/>
      </c>
      <c r="R27" s="15">
        <f>IF(OR(R26="",Q26=""),"",IF(Q26&lt;=0,"",IFERROR(R26/Q26-1,"")))</f>
        <v/>
      </c>
      <c r="S27" s="15">
        <f>IF(OR(S26="",R26=""),"",IF(R26&lt;=0,"",IFERROR(S26/R26-1,"")))</f>
        <v/>
      </c>
      <c r="T27" s="15">
        <f>IF(OR(T26="",S26=""),"",IF(S26&lt;=0,"",IFERROR(T26/S26-1,"")))</f>
        <v/>
      </c>
      <c r="U27" s="15">
        <f>IF(OR(U26="",T26=""),"",IF(T26&lt;=0,"",IFERROR(U26/T26-1,"")))</f>
        <v/>
      </c>
      <c r="V27" s="15">
        <f>IF(OR(V26="",U26=""),"",IF(U26&lt;=0,"",IFERROR(V26/U26-1,"")))</f>
        <v/>
      </c>
      <c r="W27" s="15">
        <f>IF(OR(W26="",V26=""),"",IF(V26&lt;=0,"",IFERROR(W26/V26-1,"")))</f>
        <v/>
      </c>
      <c r="X27" s="15">
        <f>IF(OR(X26="",W26=""),"",IF(W26&lt;=0,"",IFERROR(X26/W26-1,"")))</f>
        <v/>
      </c>
      <c r="Y27" s="14">
        <f>IF(OR(Y26="",X26=""),"",IF(X26&lt;=0,"",IFERROR(Y26/X26-1,"")))</f>
        <v/>
      </c>
      <c r="Z27" s="15">
        <f>IF(OR(Z26="",Y26=""),"",IF(Y26&lt;=0,"",IFERROR(Z26/Y26-1,"")))</f>
        <v/>
      </c>
      <c r="AA27" s="15">
        <f>IF(OR(AA26="",Z26=""),"",IF(Z26&lt;=0,"",IFERROR(AA26/Z26-1,"")))</f>
        <v/>
      </c>
      <c r="AB27" s="15">
        <f>IF(OR(AB26="",AA26=""),"",IF(AA26&lt;=0,"",IFERROR(AB26/AA26-1,"")))</f>
        <v/>
      </c>
      <c r="AC27" s="15">
        <f>IF(OR(AC26="",AB26=""),"",IF(AB26&lt;=0,"",IFERROR(AC26/AB26-1,"")))</f>
        <v/>
      </c>
    </row>
    <row r="28">
      <c r="A28" s="18" t="inlineStr">
        <is>
          <t>매출총이익</t>
        </is>
      </c>
      <c r="B28" s="10" t="n"/>
      <c r="C28" s="19">
        <f>IF(OR(C4="",C26=""),"",IFERROR(C4-C26,""))</f>
        <v/>
      </c>
      <c r="D28" s="20">
        <f>IF(OR(D4="",D26=""),"",IFERROR(D4-D26,""))</f>
        <v/>
      </c>
      <c r="E28" s="20">
        <f>IF(OR(E4="",E26=""),"",IFERROR(E4-E26,""))</f>
        <v/>
      </c>
      <c r="F28" s="20">
        <f>IF(OR(F4="",F26=""),"",IFERROR(F4-F26,""))</f>
        <v/>
      </c>
      <c r="G28" s="20">
        <f>IF(OR(G4="",G26=""),"",IFERROR(G4-G26,""))</f>
        <v/>
      </c>
      <c r="H28" s="20">
        <f>IF(OR(H4="",H26=""),"",IFERROR(H4-H26,""))</f>
        <v/>
      </c>
      <c r="I28" s="20">
        <f>IF(OR(I4="",I26=""),"",IFERROR(I4-I26,""))</f>
        <v/>
      </c>
      <c r="J28" s="20">
        <f>IF(OR(J4="",J26=""),"",IFERROR(J4-J26,""))</f>
        <v/>
      </c>
      <c r="K28" s="20">
        <f>IF(OR(K4="",K26=""),"",IFERROR(K4-K26,""))</f>
        <v/>
      </c>
      <c r="L28" s="20">
        <f>IF(OR(L4="",L26=""),"",IFERROR(L4-L26,""))</f>
        <v/>
      </c>
      <c r="M28" s="20">
        <f>IF(OR(M4="",M26=""),"",IFERROR(M4-M26,""))</f>
        <v/>
      </c>
      <c r="N28" s="20">
        <f>IF(OR(N4="",N26=""),"",IFERROR(N4-N26,""))</f>
        <v/>
      </c>
      <c r="O28" s="19">
        <f>IF(OR(O4="",O26=""),"",IFERROR(O4-O26,""))</f>
        <v/>
      </c>
      <c r="P28" s="20">
        <f>IF(OR(P4="",P26=""),"",IFERROR(P4-P26,""))</f>
        <v/>
      </c>
      <c r="Q28" s="20">
        <f>IF(OR(Q4="",Q26=""),"",IFERROR(Q4-Q26,""))</f>
        <v/>
      </c>
      <c r="R28" s="20">
        <f>IF(OR(R4="",R26=""),"",IFERROR(R4-R26,""))</f>
        <v/>
      </c>
      <c r="S28" s="20">
        <f>IF(OR(S4="",S26=""),"",IFERROR(S4-S26,""))</f>
        <v/>
      </c>
      <c r="T28" s="20">
        <f>IF(OR(T4="",T26=""),"",IFERROR(T4-T26,""))</f>
        <v/>
      </c>
      <c r="U28" s="20">
        <f>IF(OR(U4="",U26=""),"",IFERROR(U4-U26,""))</f>
        <v/>
      </c>
      <c r="V28" s="20">
        <f>IF(OR(V4="",V26=""),"",IFERROR(V4-V26,""))</f>
        <v/>
      </c>
      <c r="W28" s="20">
        <f>IF(OR(W4="",W26=""),"",IFERROR(W4-W26,""))</f>
        <v/>
      </c>
      <c r="X28" s="20">
        <f>IF(OR(X4="",X26=""),"",IFERROR(X4-X26,""))</f>
        <v/>
      </c>
      <c r="Y28" s="19" t="n"/>
      <c r="Z28" s="20" t="n"/>
      <c r="AA28" s="20" t="n"/>
      <c r="AB28" s="20" t="n"/>
      <c r="AC28" s="20" t="n"/>
    </row>
    <row r="29">
      <c r="A29" s="13" t="inlineStr">
        <is>
          <t>GPM</t>
        </is>
      </c>
      <c r="B29" s="10" t="n"/>
      <c r="C29" s="14">
        <f>IF(OR(C28="",C4=""),"",IFERROR(C28/C4,""))</f>
        <v/>
      </c>
      <c r="D29" s="15">
        <f>IF(OR(D28="",D4=""),"",IFERROR(D28/D4,""))</f>
        <v/>
      </c>
      <c r="E29" s="15">
        <f>IF(OR(E28="",E4=""),"",IFERROR(E28/E4,""))</f>
        <v/>
      </c>
      <c r="F29" s="15">
        <f>IF(OR(F28="",F4=""),"",IFERROR(F28/F4,""))</f>
        <v/>
      </c>
      <c r="G29" s="15">
        <f>IF(OR(G28="",G4=""),"",IFERROR(G28/G4,""))</f>
        <v/>
      </c>
      <c r="H29" s="15">
        <f>IF(OR(H28="",H4=""),"",IFERROR(H28/H4,""))</f>
        <v/>
      </c>
      <c r="I29" s="15">
        <f>IF(OR(I28="",I4=""),"",IFERROR(I28/I4,""))</f>
        <v/>
      </c>
      <c r="J29" s="15">
        <f>IF(OR(J28="",J4=""),"",IFERROR(J28/J4,""))</f>
        <v/>
      </c>
      <c r="K29" s="15">
        <f>IF(OR(K28="",K4=""),"",IFERROR(K28/K4,""))</f>
        <v/>
      </c>
      <c r="L29" s="15">
        <f>IF(OR(L28="",L4=""),"",IFERROR(L28/L4,""))</f>
        <v/>
      </c>
      <c r="M29" s="15">
        <f>IF(OR(M28="",M4=""),"",IFERROR(M28/M4,""))</f>
        <v/>
      </c>
      <c r="N29" s="15">
        <f>IF(OR(N28="",N4=""),"",IFERROR(N28/N4,""))</f>
        <v/>
      </c>
      <c r="O29" s="14">
        <f>IF(OR(O28="",O4=""),"",IFERROR(O28/O4,""))</f>
        <v/>
      </c>
      <c r="P29" s="15">
        <f>IF(OR(P28="",P4=""),"",IFERROR(P28/P4,""))</f>
        <v/>
      </c>
      <c r="Q29" s="15">
        <f>IF(OR(Q28="",Q4=""),"",IFERROR(Q28/Q4,""))</f>
        <v/>
      </c>
      <c r="R29" s="15">
        <f>IF(OR(R28="",R4=""),"",IFERROR(R28/R4,""))</f>
        <v/>
      </c>
      <c r="S29" s="15">
        <f>IF(OR(S28="",S4=""),"",IFERROR(S28/S4,""))</f>
        <v/>
      </c>
      <c r="T29" s="15">
        <f>IF(OR(T28="",T4=""),"",IFERROR(T28/T4,""))</f>
        <v/>
      </c>
      <c r="U29" s="15">
        <f>IF(OR(U28="",U4=""),"",IFERROR(U28/U4,""))</f>
        <v/>
      </c>
      <c r="V29" s="15">
        <f>IF(OR(V28="",V4=""),"",IFERROR(V28/V4,""))</f>
        <v/>
      </c>
      <c r="W29" s="15">
        <f>IF(OR(W28="",W4=""),"",IFERROR(W28/W4,""))</f>
        <v/>
      </c>
      <c r="X29" s="15">
        <f>IF(OR(X28="",X4=""),"",IFERROR(X28/X4,""))</f>
        <v/>
      </c>
      <c r="Y29" s="14">
        <f>IF(OR(Y28="",Y4=""),"",IFERROR(Y28/Y4,""))</f>
        <v/>
      </c>
      <c r="Z29" s="15">
        <f>IF(OR(Z28="",Z4=""),"",IFERROR(Z28/Z4,""))</f>
        <v/>
      </c>
      <c r="AA29" s="15">
        <f>IF(OR(AA28="",AA4=""),"",IFERROR(AA28/AA4,""))</f>
        <v/>
      </c>
      <c r="AB29" s="15">
        <f>IF(OR(AB28="",AB4=""),"",IFERROR(AB28/AB4,""))</f>
        <v/>
      </c>
      <c r="AC29" s="15">
        <f>IF(OR(AC28="",AC4=""),"",IFERROR(AC28/AC4,""))</f>
        <v/>
      </c>
    </row>
    <row r="30">
      <c r="A30" s="13" t="inlineStr">
        <is>
          <t>YoY</t>
        </is>
      </c>
      <c r="B30" s="10" t="n"/>
      <c r="C30" s="14" t="n"/>
      <c r="D30" s="15" t="n"/>
      <c r="E30" s="15" t="n"/>
      <c r="F30" s="15" t="n"/>
      <c r="G30" s="15">
        <f>IF(OR(G28="",C28=""),"",IF(C28&lt;=0,"",IFERROR(G28/C28-1,"")))</f>
        <v/>
      </c>
      <c r="H30" s="15">
        <f>IF(OR(H28="",D28=""),"",IF(D28&lt;=0,"",IFERROR(H28/D28-1,"")))</f>
        <v/>
      </c>
      <c r="I30" s="15">
        <f>IF(OR(I28="",E28=""),"",IF(E28&lt;=0,"",IFERROR(I28/E28-1,"")))</f>
        <v/>
      </c>
      <c r="J30" s="15">
        <f>IF(OR(J28="",F28=""),"",IF(F28&lt;=0,"",IFERROR(J28/F28-1,"")))</f>
        <v/>
      </c>
      <c r="K30" s="15">
        <f>IF(OR(K28="",G28=""),"",IF(G28&lt;=0,"",IFERROR(K28/G28-1,"")))</f>
        <v/>
      </c>
      <c r="L30" s="15">
        <f>IF(OR(L28="",H28=""),"",IF(H28&lt;=0,"",IFERROR(L28/H28-1,"")))</f>
        <v/>
      </c>
      <c r="M30" s="15">
        <f>IF(OR(M28="",I28=""),"",IF(I28&lt;=0,"",IFERROR(M28/I28-1,"")))</f>
        <v/>
      </c>
      <c r="N30" s="15">
        <f>IF(OR(N28="",J28=""),"",IF(J28&lt;=0,"",IFERROR(N28/J28-1,"")))</f>
        <v/>
      </c>
      <c r="O30" s="14" t="n"/>
      <c r="P30" s="15">
        <f>IF(OR(P28="",O28=""),"",IF(O28&lt;=0,"",IFERROR(P28/O28-1,"")))</f>
        <v/>
      </c>
      <c r="Q30" s="15">
        <f>IF(OR(Q28="",P28=""),"",IF(P28&lt;=0,"",IFERROR(Q28/P28-1,"")))</f>
        <v/>
      </c>
      <c r="R30" s="15">
        <f>IF(OR(R28="",Q28=""),"",IF(Q28&lt;=0,"",IFERROR(R28/Q28-1,"")))</f>
        <v/>
      </c>
      <c r="S30" s="15">
        <f>IF(OR(S28="",R28=""),"",IF(R28&lt;=0,"",IFERROR(S28/R28-1,"")))</f>
        <v/>
      </c>
      <c r="T30" s="15">
        <f>IF(OR(T28="",S28=""),"",IF(S28&lt;=0,"",IFERROR(T28/S28-1,"")))</f>
        <v/>
      </c>
      <c r="U30" s="15">
        <f>IF(OR(U28="",T28=""),"",IF(T28&lt;=0,"",IFERROR(U28/T28-1,"")))</f>
        <v/>
      </c>
      <c r="V30" s="15">
        <f>IF(OR(V28="",U28=""),"",IF(U28&lt;=0,"",IFERROR(V28/U28-1,"")))</f>
        <v/>
      </c>
      <c r="W30" s="15">
        <f>IF(OR(W28="",V28=""),"",IF(V28&lt;=0,"",IFERROR(W28/V28-1,"")))</f>
        <v/>
      </c>
      <c r="X30" s="15">
        <f>IF(OR(X28="",W28=""),"",IF(W28&lt;=0,"",IFERROR(X28/W28-1,"")))</f>
        <v/>
      </c>
      <c r="Y30" s="14">
        <f>IF(OR(Y28="",X28=""),"",IF(X28&lt;=0,"",IFERROR(Y28/X28-1,"")))</f>
        <v/>
      </c>
      <c r="Z30" s="15">
        <f>IF(OR(Z28="",Y28=""),"",IF(Y28&lt;=0,"",IFERROR(Z28/Y28-1,"")))</f>
        <v/>
      </c>
      <c r="AA30" s="15">
        <f>IF(OR(AA28="",Z28=""),"",IF(Z28&lt;=0,"",IFERROR(AA28/Z28-1,"")))</f>
        <v/>
      </c>
      <c r="AB30" s="15">
        <f>IF(OR(AB28="",AA28=""),"",IF(AA28&lt;=0,"",IFERROR(AB28/AA28-1,"")))</f>
        <v/>
      </c>
      <c r="AC30" s="15">
        <f>IF(OR(AC28="",AB28=""),"",IF(AB28&lt;=0,"",IFERROR(AC28/AB28-1,"")))</f>
        <v/>
      </c>
    </row>
    <row r="31">
      <c r="A31" s="23" t="inlineStr">
        <is>
          <t>판매관리비</t>
        </is>
      </c>
      <c r="B31" s="23" t="n"/>
      <c r="C31" s="24" t="n"/>
      <c r="D31" s="23" t="n"/>
      <c r="E31" s="23" t="n"/>
      <c r="F31" s="23" t="n"/>
      <c r="G31" s="23" t="n"/>
      <c r="H31" s="23" t="n"/>
      <c r="I31" s="23" t="n"/>
      <c r="J31" s="23" t="n"/>
      <c r="K31" s="23" t="n"/>
      <c r="L31" s="23" t="n"/>
      <c r="M31" s="23" t="n"/>
      <c r="N31" s="23" t="n"/>
      <c r="O31" s="24" t="n"/>
      <c r="P31" s="23" t="n"/>
      <c r="Q31" s="23" t="n"/>
      <c r="R31" s="23" t="n"/>
      <c r="S31" s="23" t="n"/>
      <c r="T31" s="23" t="n"/>
      <c r="U31" s="23" t="n"/>
      <c r="V31" s="23" t="n"/>
      <c r="W31" s="23" t="n"/>
      <c r="X31" s="23" t="n"/>
      <c r="Y31" s="24" t="n"/>
      <c r="Z31" s="23" t="n"/>
      <c r="AA31" s="23" t="n"/>
      <c r="AB31" s="23" t="n"/>
      <c r="AC31" s="23" t="n"/>
    </row>
    <row r="32">
      <c r="A32" s="18" t="inlineStr">
        <is>
          <t>전체 판관비</t>
        </is>
      </c>
      <c r="B32" s="10" t="n"/>
      <c r="C32" s="19" t="n">
        <v>40611</v>
      </c>
      <c r="D32" s="20" t="n">
        <v>41188</v>
      </c>
      <c r="E32" s="20" t="n">
        <v>45542</v>
      </c>
      <c r="F32" s="20" t="n">
        <v>46832</v>
      </c>
      <c r="G32" s="20" t="n">
        <v>49316</v>
      </c>
      <c r="H32" s="20" t="n">
        <v>53702</v>
      </c>
      <c r="I32" s="20" t="n">
        <v>50514</v>
      </c>
      <c r="J32" s="20" t="n">
        <v>55354</v>
      </c>
      <c r="K32" s="20" t="n">
        <v>56196</v>
      </c>
      <c r="L32" s="20" t="n">
        <v>67564</v>
      </c>
      <c r="M32" s="20" t="n">
        <v>66247</v>
      </c>
      <c r="N32" s="20" t="n">
        <v>73243</v>
      </c>
      <c r="O32" s="19" t="n"/>
      <c r="P32" s="20" t="n">
        <v>82645</v>
      </c>
      <c r="Q32" s="20" t="n">
        <v>93100</v>
      </c>
      <c r="R32" s="20" t="n">
        <v>97751</v>
      </c>
      <c r="S32" s="20" t="n">
        <v>105870</v>
      </c>
      <c r="T32" s="20" t="n">
        <v>121132</v>
      </c>
      <c r="U32" s="20" t="n">
        <v>152042</v>
      </c>
      <c r="V32" s="20" t="n">
        <v>158963</v>
      </c>
      <c r="W32" s="20" t="n">
        <v>195392</v>
      </c>
      <c r="X32" s="20" t="n">
        <v>229628</v>
      </c>
      <c r="Y32" s="19" t="n"/>
      <c r="Z32" s="20" t="n"/>
      <c r="AA32" s="20" t="n"/>
      <c r="AB32" s="20" t="n"/>
      <c r="AC32" s="20" t="n"/>
    </row>
    <row r="33">
      <c r="A33" s="13" t="inlineStr">
        <is>
          <t>YoY</t>
        </is>
      </c>
      <c r="B33" s="10" t="n"/>
      <c r="C33" s="14" t="n"/>
      <c r="D33" s="15" t="n"/>
      <c r="E33" s="15" t="n"/>
      <c r="F33" s="15" t="n"/>
      <c r="G33" s="15">
        <f>IF(OR(G32="",C32=""),"",IF(C32&lt;=0,"",IFERROR(G32/C32-1,"")))</f>
        <v/>
      </c>
      <c r="H33" s="15">
        <f>IF(OR(H32="",D32=""),"",IF(D32&lt;=0,"",IFERROR(H32/D32-1,"")))</f>
        <v/>
      </c>
      <c r="I33" s="15">
        <f>IF(OR(I32="",E32=""),"",IF(E32&lt;=0,"",IFERROR(I32/E32-1,"")))</f>
        <v/>
      </c>
      <c r="J33" s="15">
        <f>IF(OR(J32="",F32=""),"",IF(F32&lt;=0,"",IFERROR(J32/F32-1,"")))</f>
        <v/>
      </c>
      <c r="K33" s="15">
        <f>IF(OR(K32="",G32=""),"",IF(G32&lt;=0,"",IFERROR(K32/G32-1,"")))</f>
        <v/>
      </c>
      <c r="L33" s="15">
        <f>IF(OR(L32="",H32=""),"",IF(H32&lt;=0,"",IFERROR(L32/H32-1,"")))</f>
        <v/>
      </c>
      <c r="M33" s="15">
        <f>IF(OR(M32="",I32=""),"",IF(I32&lt;=0,"",IFERROR(M32/I32-1,"")))</f>
        <v/>
      </c>
      <c r="N33" s="15">
        <f>IF(OR(N32="",J32=""),"",IF(J32&lt;=0,"",IFERROR(N32/J32-1,"")))</f>
        <v/>
      </c>
      <c r="O33" s="14" t="n"/>
      <c r="P33" s="15">
        <f>IF(OR(P32="",O32=""),"",IF(O32&lt;=0,"",IFERROR(P32/O32-1,"")))</f>
        <v/>
      </c>
      <c r="Q33" s="15">
        <f>IF(OR(Q32="",P32=""),"",IF(P32&lt;=0,"",IFERROR(Q32/P32-1,"")))</f>
        <v/>
      </c>
      <c r="R33" s="15">
        <f>IF(OR(R32="",Q32=""),"",IF(Q32&lt;=0,"",IFERROR(R32/Q32-1,"")))</f>
        <v/>
      </c>
      <c r="S33" s="15">
        <f>IF(OR(S32="",R32=""),"",IF(R32&lt;=0,"",IFERROR(S32/R32-1,"")))</f>
        <v/>
      </c>
      <c r="T33" s="15">
        <f>IF(OR(T32="",S32=""),"",IF(S32&lt;=0,"",IFERROR(T32/S32-1,"")))</f>
        <v/>
      </c>
      <c r="U33" s="15">
        <f>IF(OR(U32="",T32=""),"",IF(T32&lt;=0,"",IFERROR(U32/T32-1,"")))</f>
        <v/>
      </c>
      <c r="V33" s="15">
        <f>IF(OR(V32="",U32=""),"",IF(U32&lt;=0,"",IFERROR(V32/U32-1,"")))</f>
        <v/>
      </c>
      <c r="W33" s="15">
        <f>IF(OR(W32="",V32=""),"",IF(V32&lt;=0,"",IFERROR(W32/V32-1,"")))</f>
        <v/>
      </c>
      <c r="X33" s="15">
        <f>IF(OR(X32="",W32=""),"",IF(W32&lt;=0,"",IFERROR(X32/W32-1,"")))</f>
        <v/>
      </c>
      <c r="Y33" s="14">
        <f>IF(OR(Y32="",X32=""),"",IF(X32&lt;=0,"",IFERROR(Y32/X32-1,"")))</f>
        <v/>
      </c>
      <c r="Z33" s="15">
        <f>IF(OR(Z32="",Y32=""),"",IF(Y32&lt;=0,"",IFERROR(Z32/Y32-1,"")))</f>
        <v/>
      </c>
      <c r="AA33" s="15">
        <f>IF(OR(AA32="",Z32=""),"",IF(Z32&lt;=0,"",IFERROR(AA32/Z32-1,"")))</f>
        <v/>
      </c>
      <c r="AB33" s="15">
        <f>IF(OR(AB32="",AA32=""),"",IF(AA32&lt;=0,"",IFERROR(AB32/AA32-1,"")))</f>
        <v/>
      </c>
      <c r="AC33" s="15">
        <f>IF(OR(AC32="",AB32=""),"",IF(AB32&lt;=0,"",IFERROR(AC32/AB32-1,"")))</f>
        <v/>
      </c>
    </row>
    <row r="34">
      <c r="A34" s="9" t="inlineStr">
        <is>
          <t>영업이익</t>
        </is>
      </c>
      <c r="B34" s="10" t="inlineStr">
        <is>
          <t>MW = 매출 × OPM</t>
        </is>
      </c>
      <c r="C34" s="11" t="n">
        <v>26830</v>
      </c>
      <c r="D34" s="12" t="n">
        <v>19529</v>
      </c>
      <c r="E34" s="12" t="n">
        <v>31325</v>
      </c>
      <c r="F34" s="12" t="n">
        <v>63534</v>
      </c>
      <c r="G34" s="12" t="n">
        <v>69267</v>
      </c>
      <c r="H34" s="12" t="n">
        <v>64035</v>
      </c>
      <c r="I34" s="12" t="n">
        <v>123952</v>
      </c>
      <c r="J34" s="12" t="n">
        <v>108483</v>
      </c>
      <c r="K34" s="12" t="n">
        <v>113571</v>
      </c>
      <c r="L34" s="12" t="n">
        <v>153114</v>
      </c>
      <c r="M34" s="12" t="n">
        <v>189990</v>
      </c>
      <c r="N34" s="12" t="n">
        <v>266819</v>
      </c>
      <c r="O34" s="11" t="n"/>
      <c r="P34" s="12" t="n">
        <v>24487</v>
      </c>
      <c r="Q34" s="12" t="n">
        <v>64662</v>
      </c>
      <c r="R34" s="12" t="n">
        <v>58708</v>
      </c>
      <c r="S34" s="12" t="n">
        <v>70726</v>
      </c>
      <c r="T34" s="12" t="n">
        <v>114734</v>
      </c>
      <c r="U34" s="12" t="n">
        <v>167687</v>
      </c>
      <c r="V34" s="12" t="n">
        <v>81628</v>
      </c>
      <c r="W34" s="12" t="n">
        <v>228161</v>
      </c>
      <c r="X34" s="12" t="n">
        <v>499120</v>
      </c>
      <c r="Y34" s="11">
        <f>IF(OR(Y4="",Y35=""),"",IFERROR(Y4*Y35,""))</f>
        <v/>
      </c>
      <c r="Z34" s="12">
        <f>IF(OR(Z4="",Z35=""),"",IFERROR(Z4*Z35,""))</f>
        <v/>
      </c>
      <c r="AA34" s="12">
        <f>IF(OR(AA4="",AA35=""),"",IFERROR(AA4*AA35,""))</f>
        <v/>
      </c>
      <c r="AB34" s="12">
        <f>IF(OR(AB4="",AB35=""),"",IFERROR(AB4*AB35,""))</f>
        <v/>
      </c>
      <c r="AC34" s="12">
        <f>IF(OR(AC4="",AC35=""),"",IFERROR(AC4*AC35,""))</f>
        <v/>
      </c>
    </row>
    <row r="35">
      <c r="A35" s="13" t="inlineStr">
        <is>
          <t>OPM</t>
        </is>
      </c>
      <c r="B35" s="10" t="inlineStr">
        <is>
          <t>MW 입력</t>
        </is>
      </c>
      <c r="C35" s="14">
        <f>IF(OR(C34="",C4=""),"",IFERROR(C34/C4,""))</f>
        <v/>
      </c>
      <c r="D35" s="15">
        <f>IF(OR(D34="",D4=""),"",IFERROR(D34/D4,""))</f>
        <v/>
      </c>
      <c r="E35" s="15">
        <f>IF(OR(E34="",E4=""),"",IFERROR(E34/E4,""))</f>
        <v/>
      </c>
      <c r="F35" s="15">
        <f>IF(OR(F34="",F4=""),"",IFERROR(F34/F4,""))</f>
        <v/>
      </c>
      <c r="G35" s="15">
        <f>IF(OR(G34="",G4=""),"",IFERROR(G34/G4,""))</f>
        <v/>
      </c>
      <c r="H35" s="15">
        <f>IF(OR(H34="",H4=""),"",IFERROR(H34/H4,""))</f>
        <v/>
      </c>
      <c r="I35" s="15">
        <f>IF(OR(I34="",I4=""),"",IFERROR(I34/I4,""))</f>
        <v/>
      </c>
      <c r="J35" s="15">
        <f>IF(OR(J34="",J4=""),"",IFERROR(J34/J4,""))</f>
        <v/>
      </c>
      <c r="K35" s="15">
        <f>IF(OR(K34="",K4=""),"",IFERROR(K34/K4,""))</f>
        <v/>
      </c>
      <c r="L35" s="15">
        <f>IF(OR(L34="",L4=""),"",IFERROR(L34/L4,""))</f>
        <v/>
      </c>
      <c r="M35" s="15">
        <f>IF(OR(M34="",M4=""),"",IFERROR(M34/M4,""))</f>
        <v/>
      </c>
      <c r="N35" s="15">
        <f>IF(OR(N34="",N4=""),"",IFERROR(N34/N4,""))</f>
        <v/>
      </c>
      <c r="O35" s="14">
        <f>IF(OR(O34="",O4=""),"",IFERROR(O34/O4,""))</f>
        <v/>
      </c>
      <c r="P35" s="15">
        <f>IF(OR(P34="",P4=""),"",IFERROR(P34/P4,""))</f>
        <v/>
      </c>
      <c r="Q35" s="15">
        <f>IF(OR(Q34="",Q4=""),"",IFERROR(Q34/Q4,""))</f>
        <v/>
      </c>
      <c r="R35" s="15">
        <f>IF(OR(R34="",R4=""),"",IFERROR(R34/R4,""))</f>
        <v/>
      </c>
      <c r="S35" s="15">
        <f>IF(OR(S34="",S4=""),"",IFERROR(S34/S4,""))</f>
        <v/>
      </c>
      <c r="T35" s="15">
        <f>IF(OR(T34="",T4=""),"",IFERROR(T34/T4,""))</f>
        <v/>
      </c>
      <c r="U35" s="15">
        <f>IF(OR(U34="",U4=""),"",IFERROR(U34/U4,""))</f>
        <v/>
      </c>
      <c r="V35" s="15">
        <f>IF(OR(V34="",V4=""),"",IFERROR(V34/V4,""))</f>
        <v/>
      </c>
      <c r="W35" s="15">
        <f>IF(OR(W34="",W4=""),"",IFERROR(W34/W4,""))</f>
        <v/>
      </c>
      <c r="X35" s="15">
        <f>IF(OR(X34="",X4=""),"",IFERROR(X34/X4,""))</f>
        <v/>
      </c>
      <c r="Y35" s="25" t="n"/>
      <c r="Z35" s="26" t="n"/>
      <c r="AA35" s="26" t="n"/>
      <c r="AB35" s="26" t="n"/>
      <c r="AC35" s="26" t="n"/>
    </row>
    <row r="36">
      <c r="A36" s="13" t="inlineStr">
        <is>
          <t>증가율</t>
        </is>
      </c>
      <c r="B36" s="10" t="n"/>
      <c r="C36" s="14" t="n"/>
      <c r="D36" s="15" t="n"/>
      <c r="E36" s="15" t="n"/>
      <c r="F36" s="15" t="n"/>
      <c r="G36" s="15">
        <f>IF(OR(G34="",C34=""),"",IFERROR(G34/C34-1,""))</f>
        <v/>
      </c>
      <c r="H36" s="15">
        <f>IF(OR(H34="",D34=""),"",IFERROR(H34/D34-1,""))</f>
        <v/>
      </c>
      <c r="I36" s="15">
        <f>IF(OR(I34="",E34=""),"",IFERROR(I34/E34-1,""))</f>
        <v/>
      </c>
      <c r="J36" s="15">
        <f>IF(OR(J34="",F34=""),"",IFERROR(J34/F34-1,""))</f>
        <v/>
      </c>
      <c r="K36" s="15">
        <f>IF(OR(K34="",G34=""),"",IFERROR(K34/G34-1,""))</f>
        <v/>
      </c>
      <c r="L36" s="15">
        <f>IF(OR(L34="",H34=""),"",IFERROR(L34/H34-1,""))</f>
        <v/>
      </c>
      <c r="M36" s="15">
        <f>IF(OR(M34="",I34=""),"",IFERROR(M34/I34-1,""))</f>
        <v/>
      </c>
      <c r="N36" s="15">
        <f>IF(OR(N34="",J34=""),"",IFERROR(N34/J34-1,""))</f>
        <v/>
      </c>
      <c r="O36" s="14" t="n"/>
      <c r="P36" s="15">
        <f>IF(OR(P34="",O34=""),"",IFERROR(P34/O34-1,""))</f>
        <v/>
      </c>
      <c r="Q36" s="15">
        <f>IF(OR(Q34="",P34=""),"",IFERROR(Q34/P34-1,""))</f>
        <v/>
      </c>
      <c r="R36" s="15">
        <f>IF(OR(R34="",Q34=""),"",IFERROR(R34/Q34-1,""))</f>
        <v/>
      </c>
      <c r="S36" s="15">
        <f>IF(OR(S34="",R34=""),"",IFERROR(S34/R34-1,""))</f>
        <v/>
      </c>
      <c r="T36" s="15">
        <f>IF(OR(T34="",S34=""),"",IFERROR(T34/S34-1,""))</f>
        <v/>
      </c>
      <c r="U36" s="15">
        <f>IF(OR(U34="",T34=""),"",IFERROR(U34/T34-1,""))</f>
        <v/>
      </c>
      <c r="V36" s="15">
        <f>IF(OR(V34="",U34=""),"",IFERROR(V34/U34-1,""))</f>
        <v/>
      </c>
      <c r="W36" s="15">
        <f>IF(OR(W34="",V34=""),"",IFERROR(W34/V34-1,""))</f>
        <v/>
      </c>
      <c r="X36" s="15">
        <f>IF(OR(X34="",W34=""),"",IFERROR(X34/W34-1,""))</f>
        <v/>
      </c>
      <c r="Y36" s="14">
        <f>IF(OR(Y34="",X34=""),"",IFERROR(Y34/X34-1,""))</f>
        <v/>
      </c>
      <c r="Z36" s="15">
        <f>IF(OR(Z34="",Y34=""),"",IFERROR(Z34/Y34-1,""))</f>
        <v/>
      </c>
      <c r="AA36" s="15">
        <f>IF(OR(AA34="",Z34=""),"",IFERROR(AA34/Z34-1,""))</f>
        <v/>
      </c>
      <c r="AB36" s="15">
        <f>IF(OR(AB34="",AA34=""),"",IFERROR(AB34/AA34-1,""))</f>
        <v/>
      </c>
      <c r="AC36" s="15">
        <f>IF(OR(AC34="",AB34=""),"",IFERROR(AC34/AB34-1,""))</f>
        <v/>
      </c>
    </row>
    <row r="37">
      <c r="A37" s="16" t="inlineStr">
        <is>
          <t>비용의 성격별 분류</t>
        </is>
      </c>
      <c r="B37" s="16" t="inlineStr">
        <is>
          <t>참고 데이터</t>
        </is>
      </c>
      <c r="C37" s="17" t="n"/>
      <c r="D37" s="16" t="n"/>
      <c r="E37" s="16" t="n"/>
      <c r="F37" s="16" t="n"/>
      <c r="G37" s="16" t="n"/>
      <c r="H37" s="16" t="n"/>
      <c r="I37" s="16" t="n"/>
      <c r="J37" s="16" t="n"/>
      <c r="K37" s="16" t="n"/>
      <c r="L37" s="16" t="n"/>
      <c r="M37" s="16" t="n"/>
      <c r="N37" s="16" t="n"/>
      <c r="O37" s="17" t="n"/>
      <c r="P37" s="16" t="n"/>
      <c r="Q37" s="16" t="n"/>
      <c r="R37" s="16" t="n"/>
      <c r="S37" s="16" t="n"/>
      <c r="T37" s="16" t="n"/>
      <c r="U37" s="16" t="n"/>
      <c r="V37" s="16" t="n"/>
      <c r="W37" s="16" t="n"/>
      <c r="X37" s="16" t="n"/>
      <c r="Y37" s="17" t="n"/>
      <c r="Z37" s="16" t="n"/>
      <c r="AA37" s="16" t="n"/>
      <c r="AB37" s="16" t="n"/>
      <c r="AC37" s="16" t="n"/>
    </row>
    <row r="38">
      <c r="A38" s="9" t="inlineStr">
        <is>
          <t>총 판관비</t>
        </is>
      </c>
      <c r="B38" s="10" t="n"/>
      <c r="C38" s="11" t="n"/>
      <c r="D38" s="12" t="n"/>
      <c r="E38" s="12" t="n"/>
      <c r="F38" s="12" t="n"/>
      <c r="G38" s="12" t="n"/>
      <c r="H38" s="12" t="n"/>
      <c r="I38" s="12" t="n"/>
      <c r="J38" s="12" t="n"/>
      <c r="K38" s="12" t="n"/>
      <c r="L38" s="12" t="n"/>
      <c r="M38" s="12" t="n"/>
      <c r="N38" s="12" t="n"/>
      <c r="O38" s="11">
        <f>IF(O32="","",O32)</f>
        <v/>
      </c>
      <c r="P38" s="12">
        <f>IF(P32="","",P32)</f>
        <v/>
      </c>
      <c r="Q38" s="12">
        <f>IF(Q32="","",Q32)</f>
        <v/>
      </c>
      <c r="R38" s="12">
        <f>IF(R32="","",R32)</f>
        <v/>
      </c>
      <c r="S38" s="12">
        <f>IF(S32="","",S32)</f>
        <v/>
      </c>
      <c r="T38" s="12">
        <f>IF(T32="","",T32)</f>
        <v/>
      </c>
      <c r="U38" s="12">
        <f>IF(U32="","",U32)</f>
        <v/>
      </c>
      <c r="V38" s="12">
        <f>IF(V32="","",V32)</f>
        <v/>
      </c>
      <c r="W38" s="12">
        <f>IF(W32="","",W32)</f>
        <v/>
      </c>
      <c r="X38" s="12">
        <f>IF(X32="","",X32)</f>
        <v/>
      </c>
      <c r="Y38" s="11" t="n"/>
      <c r="Z38" s="12" t="n"/>
      <c r="AA38" s="12" t="n"/>
      <c r="AB38" s="12" t="n"/>
      <c r="AC38" s="12" t="n"/>
    </row>
    <row r="39">
      <c r="A39" s="18" t="inlineStr">
        <is>
          <t>급여</t>
        </is>
      </c>
      <c r="B39" s="10" t="inlineStr">
        <is>
          <t>고정비</t>
        </is>
      </c>
      <c r="C39" s="19" t="n"/>
      <c r="D39" s="20" t="n"/>
      <c r="E39" s="20" t="n"/>
      <c r="F39" s="20" t="n"/>
      <c r="G39" s="20" t="n"/>
      <c r="H39" s="20" t="n"/>
      <c r="I39" s="20" t="n"/>
      <c r="J39" s="20" t="n"/>
      <c r="K39" s="20" t="n"/>
      <c r="L39" s="20" t="n"/>
      <c r="M39" s="20" t="n"/>
      <c r="N39" s="20" t="n"/>
      <c r="O39" s="19" t="n"/>
      <c r="P39" s="20" t="n"/>
      <c r="Q39" s="20" t="n"/>
      <c r="R39" s="20" t="n"/>
      <c r="S39" s="20" t="n"/>
      <c r="T39" s="20" t="n"/>
      <c r="U39" s="20" t="n"/>
      <c r="V39" s="20" t="n"/>
      <c r="W39" s="20" t="n"/>
      <c r="X39" s="20" t="n"/>
      <c r="Y39" s="19" t="n"/>
      <c r="Z39" s="20" t="n"/>
      <c r="AA39" s="20" t="n"/>
      <c r="AB39" s="20" t="n"/>
      <c r="AC39" s="20" t="n"/>
    </row>
    <row r="40">
      <c r="A40" s="13" t="inlineStr">
        <is>
          <t>% of Sales</t>
        </is>
      </c>
      <c r="B40" s="10" t="n"/>
      <c r="C40" s="14" t="n"/>
      <c r="D40" s="15" t="n"/>
      <c r="E40" s="15" t="n"/>
      <c r="F40" s="15" t="n"/>
      <c r="G40" s="15" t="n"/>
      <c r="H40" s="15" t="n"/>
      <c r="I40" s="15" t="n"/>
      <c r="J40" s="15" t="n"/>
      <c r="K40" s="15" t="n"/>
      <c r="L40" s="15" t="n"/>
      <c r="M40" s="15" t="n"/>
      <c r="N40" s="15" t="n"/>
      <c r="O40" s="14">
        <f>IF(OR(O39="",O4=""),"",IFERROR(O39/O4,""))</f>
        <v/>
      </c>
      <c r="P40" s="15">
        <f>IF(OR(P39="",P4=""),"",IFERROR(P39/P4,""))</f>
        <v/>
      </c>
      <c r="Q40" s="15">
        <f>IF(OR(Q39="",Q4=""),"",IFERROR(Q39/Q4,""))</f>
        <v/>
      </c>
      <c r="R40" s="15">
        <f>IF(OR(R39="",R4=""),"",IFERROR(R39/R4,""))</f>
        <v/>
      </c>
      <c r="S40" s="15">
        <f>IF(OR(S39="",S4=""),"",IFERROR(S39/S4,""))</f>
        <v/>
      </c>
      <c r="T40" s="15">
        <f>IF(OR(T39="",T4=""),"",IFERROR(T39/T4,""))</f>
        <v/>
      </c>
      <c r="U40" s="15">
        <f>IF(OR(U39="",U4=""),"",IFERROR(U39/U4,""))</f>
        <v/>
      </c>
      <c r="V40" s="15">
        <f>IF(OR(V39="",V4=""),"",IFERROR(V39/V4,""))</f>
        <v/>
      </c>
      <c r="W40" s="15">
        <f>IF(OR(W39="",W4=""),"",IFERROR(W39/W4,""))</f>
        <v/>
      </c>
      <c r="X40" s="15">
        <f>IF(OR(X39="",X4=""),"",IFERROR(X39/X4,""))</f>
        <v/>
      </c>
      <c r="Y40" s="14" t="n"/>
      <c r="Z40" s="15" t="n"/>
      <c r="AA40" s="15" t="n"/>
      <c r="AB40" s="15" t="n"/>
      <c r="AC40" s="15" t="n"/>
    </row>
    <row r="41">
      <c r="A41" s="18" t="inlineStr">
        <is>
          <t>감가상각비</t>
        </is>
      </c>
      <c r="B41" s="10" t="inlineStr">
        <is>
          <t>고정비</t>
        </is>
      </c>
      <c r="C41" s="19" t="n"/>
      <c r="D41" s="20" t="n"/>
      <c r="E41" s="20" t="n"/>
      <c r="F41" s="20" t="n"/>
      <c r="G41" s="20" t="n"/>
      <c r="H41" s="20" t="n"/>
      <c r="I41" s="20" t="n"/>
      <c r="J41" s="20" t="n"/>
      <c r="K41" s="20" t="n"/>
      <c r="L41" s="20" t="n"/>
      <c r="M41" s="20" t="n"/>
      <c r="N41" s="20" t="n"/>
      <c r="O41" s="19" t="n"/>
      <c r="P41" s="20" t="n"/>
      <c r="Q41" s="20" t="n"/>
      <c r="R41" s="20" t="n"/>
      <c r="S41" s="20" t="n"/>
      <c r="T41" s="20" t="n"/>
      <c r="U41" s="20" t="n"/>
      <c r="V41" s="20" t="n"/>
      <c r="W41" s="20" t="n"/>
      <c r="X41" s="20" t="n"/>
      <c r="Y41" s="19" t="n"/>
      <c r="Z41" s="20" t="n"/>
      <c r="AA41" s="20" t="n"/>
      <c r="AB41" s="20" t="n"/>
      <c r="AC41" s="20" t="n"/>
    </row>
    <row r="42">
      <c r="A42" s="13" t="inlineStr">
        <is>
          <t>% of Sales</t>
        </is>
      </c>
      <c r="B42" s="10" t="n"/>
      <c r="C42" s="14" t="n"/>
      <c r="D42" s="15" t="n"/>
      <c r="E42" s="15" t="n"/>
      <c r="F42" s="15" t="n"/>
      <c r="G42" s="15" t="n"/>
      <c r="H42" s="15" t="n"/>
      <c r="I42" s="15" t="n"/>
      <c r="J42" s="15" t="n"/>
      <c r="K42" s="15" t="n"/>
      <c r="L42" s="15" t="n"/>
      <c r="M42" s="15" t="n"/>
      <c r="N42" s="15" t="n"/>
      <c r="O42" s="14">
        <f>IF(OR(O41="",O4=""),"",IFERROR(O41/O4,""))</f>
        <v/>
      </c>
      <c r="P42" s="15">
        <f>IF(OR(P41="",P4=""),"",IFERROR(P41/P4,""))</f>
        <v/>
      </c>
      <c r="Q42" s="15">
        <f>IF(OR(Q41="",Q4=""),"",IFERROR(Q41/Q4,""))</f>
        <v/>
      </c>
      <c r="R42" s="15">
        <f>IF(OR(R41="",R4=""),"",IFERROR(R41/R4,""))</f>
        <v/>
      </c>
      <c r="S42" s="15">
        <f>IF(OR(S41="",S4=""),"",IFERROR(S41/S4,""))</f>
        <v/>
      </c>
      <c r="T42" s="15">
        <f>IF(OR(T41="",T4=""),"",IFERROR(T41/T4,""))</f>
        <v/>
      </c>
      <c r="U42" s="15">
        <f>IF(OR(U41="",U4=""),"",IFERROR(U41/U4,""))</f>
        <v/>
      </c>
      <c r="V42" s="15">
        <f>IF(OR(V41="",V4=""),"",IFERROR(V41/V4,""))</f>
        <v/>
      </c>
      <c r="W42" s="15">
        <f>IF(OR(W41="",W4=""),"",IFERROR(W41/W4,""))</f>
        <v/>
      </c>
      <c r="X42" s="15">
        <f>IF(OR(X41="",X4=""),"",IFERROR(X41/X4,""))</f>
        <v/>
      </c>
      <c r="Y42" s="14" t="n"/>
      <c r="Z42" s="15" t="n"/>
      <c r="AA42" s="15" t="n"/>
      <c r="AB42" s="15" t="n"/>
      <c r="AC42" s="15" t="n"/>
    </row>
    <row r="43">
      <c r="A43" s="18" t="inlineStr">
        <is>
          <t>지급수수료</t>
        </is>
      </c>
      <c r="B43" s="10" t="inlineStr">
        <is>
          <t>고정비</t>
        </is>
      </c>
      <c r="C43" s="19" t="n"/>
      <c r="D43" s="20" t="n"/>
      <c r="E43" s="20" t="n"/>
      <c r="F43" s="20" t="n"/>
      <c r="G43" s="20" t="n"/>
      <c r="H43" s="20" t="n"/>
      <c r="I43" s="20" t="n"/>
      <c r="J43" s="20" t="n"/>
      <c r="K43" s="20" t="n"/>
      <c r="L43" s="20" t="n"/>
      <c r="M43" s="20" t="n"/>
      <c r="N43" s="20" t="n"/>
      <c r="O43" s="19" t="n"/>
      <c r="P43" s="20" t="n"/>
      <c r="Q43" s="20" t="n"/>
      <c r="R43" s="20" t="n"/>
      <c r="S43" s="20" t="n"/>
      <c r="T43" s="20" t="n"/>
      <c r="U43" s="20" t="n"/>
      <c r="V43" s="20" t="n"/>
      <c r="W43" s="20" t="n"/>
      <c r="X43" s="20" t="n"/>
      <c r="Y43" s="19" t="n"/>
      <c r="Z43" s="20" t="n"/>
      <c r="AA43" s="20" t="n"/>
      <c r="AB43" s="20" t="n"/>
      <c r="AC43" s="20" t="n"/>
    </row>
    <row r="44">
      <c r="A44" s="13" t="inlineStr">
        <is>
          <t>% of Sales</t>
        </is>
      </c>
      <c r="B44" s="10" t="n"/>
      <c r="C44" s="14" t="n"/>
      <c r="D44" s="15" t="n"/>
      <c r="E44" s="15" t="n"/>
      <c r="F44" s="15" t="n"/>
      <c r="G44" s="15" t="n"/>
      <c r="H44" s="15" t="n"/>
      <c r="I44" s="15" t="n"/>
      <c r="J44" s="15" t="n"/>
      <c r="K44" s="15" t="n"/>
      <c r="L44" s="15" t="n"/>
      <c r="M44" s="15" t="n"/>
      <c r="N44" s="15" t="n"/>
      <c r="O44" s="14">
        <f>IF(OR(O43="",O4=""),"",IFERROR(O43/O4,""))</f>
        <v/>
      </c>
      <c r="P44" s="15">
        <f>IF(OR(P43="",P4=""),"",IFERROR(P43/P4,""))</f>
        <v/>
      </c>
      <c r="Q44" s="15">
        <f>IF(OR(Q43="",Q4=""),"",IFERROR(Q43/Q4,""))</f>
        <v/>
      </c>
      <c r="R44" s="15">
        <f>IF(OR(R43="",R4=""),"",IFERROR(R43/R4,""))</f>
        <v/>
      </c>
      <c r="S44" s="15">
        <f>IF(OR(S43="",S4=""),"",IFERROR(S43/S4,""))</f>
        <v/>
      </c>
      <c r="T44" s="15">
        <f>IF(OR(T43="",T4=""),"",IFERROR(T43/T4,""))</f>
        <v/>
      </c>
      <c r="U44" s="15">
        <f>IF(OR(U43="",U4=""),"",IFERROR(U43/U4,""))</f>
        <v/>
      </c>
      <c r="V44" s="15">
        <f>IF(OR(V43="",V4=""),"",IFERROR(V43/V4,""))</f>
        <v/>
      </c>
      <c r="W44" s="15">
        <f>IF(OR(W43="",W4=""),"",IFERROR(W43/W4,""))</f>
        <v/>
      </c>
      <c r="X44" s="15">
        <f>IF(OR(X43="",X4=""),"",IFERROR(X43/X4,""))</f>
        <v/>
      </c>
      <c r="Y44" s="14" t="n"/>
      <c r="Z44" s="15" t="n"/>
      <c r="AA44" s="15" t="n"/>
      <c r="AB44" s="15" t="n"/>
      <c r="AC44" s="15" t="n"/>
    </row>
    <row r="45">
      <c r="A45" s="18" t="inlineStr">
        <is>
          <t>연구개발비</t>
        </is>
      </c>
      <c r="B45" s="10" t="inlineStr">
        <is>
          <t>변동비</t>
        </is>
      </c>
      <c r="C45" s="19" t="n"/>
      <c r="D45" s="20" t="n"/>
      <c r="E45" s="20" t="n"/>
      <c r="F45" s="20" t="n"/>
      <c r="G45" s="20" t="n"/>
      <c r="H45" s="20" t="n"/>
      <c r="I45" s="20" t="n"/>
      <c r="J45" s="20" t="n"/>
      <c r="K45" s="20" t="n"/>
      <c r="L45" s="20" t="n"/>
      <c r="M45" s="20" t="n"/>
      <c r="N45" s="20" t="n"/>
      <c r="O45" s="19" t="n"/>
      <c r="P45" s="20" t="n"/>
      <c r="Q45" s="20" t="n"/>
      <c r="R45" s="20" t="n"/>
      <c r="S45" s="20" t="n"/>
      <c r="T45" s="20" t="n"/>
      <c r="U45" s="20" t="n"/>
      <c r="V45" s="20" t="n"/>
      <c r="W45" s="20" t="n"/>
      <c r="X45" s="20" t="n"/>
      <c r="Y45" s="19" t="n"/>
      <c r="Z45" s="20" t="n"/>
      <c r="AA45" s="20" t="n"/>
      <c r="AB45" s="20" t="n"/>
      <c r="AC45" s="20" t="n"/>
    </row>
    <row r="46">
      <c r="A46" s="13" t="inlineStr">
        <is>
          <t>% of Sales</t>
        </is>
      </c>
      <c r="B46" s="10" t="n"/>
      <c r="C46" s="14" t="n"/>
      <c r="D46" s="15" t="n"/>
      <c r="E46" s="15" t="n"/>
      <c r="F46" s="15" t="n"/>
      <c r="G46" s="15" t="n"/>
      <c r="H46" s="15" t="n"/>
      <c r="I46" s="15" t="n"/>
      <c r="J46" s="15" t="n"/>
      <c r="K46" s="15" t="n"/>
      <c r="L46" s="15" t="n"/>
      <c r="M46" s="15" t="n"/>
      <c r="N46" s="15" t="n"/>
      <c r="O46" s="14">
        <f>IF(OR(O45="",O4=""),"",IFERROR(O45/O4,""))</f>
        <v/>
      </c>
      <c r="P46" s="15">
        <f>IF(OR(P45="",P4=""),"",IFERROR(P45/P4,""))</f>
        <v/>
      </c>
      <c r="Q46" s="15">
        <f>IF(OR(Q45="",Q4=""),"",IFERROR(Q45/Q4,""))</f>
        <v/>
      </c>
      <c r="R46" s="15">
        <f>IF(OR(R45="",R4=""),"",IFERROR(R45/R4,""))</f>
        <v/>
      </c>
      <c r="S46" s="15">
        <f>IF(OR(S45="",S4=""),"",IFERROR(S45/S4,""))</f>
        <v/>
      </c>
      <c r="T46" s="15">
        <f>IF(OR(T45="",T4=""),"",IFERROR(T45/T4,""))</f>
        <v/>
      </c>
      <c r="U46" s="15">
        <f>IF(OR(U45="",U4=""),"",IFERROR(U45/U4,""))</f>
        <v/>
      </c>
      <c r="V46" s="15">
        <f>IF(OR(V45="",V4=""),"",IFERROR(V45/V4,""))</f>
        <v/>
      </c>
      <c r="W46" s="15">
        <f>IF(OR(W45="",W4=""),"",IFERROR(W45/W4,""))</f>
        <v/>
      </c>
      <c r="X46" s="15">
        <f>IF(OR(X45="",X4=""),"",IFERROR(X45/X4,""))</f>
        <v/>
      </c>
      <c r="Y46" s="14" t="n"/>
      <c r="Z46" s="15" t="n"/>
      <c r="AA46" s="15" t="n"/>
      <c r="AB46" s="15" t="n"/>
      <c r="AC46" s="15" t="n"/>
    </row>
    <row r="47">
      <c r="A47" s="18" t="inlineStr">
        <is>
          <t>기타비용</t>
        </is>
      </c>
      <c r="B47" s="10" t="inlineStr">
        <is>
          <t>변동비</t>
        </is>
      </c>
      <c r="C47" s="19" t="n"/>
      <c r="D47" s="20" t="n"/>
      <c r="E47" s="20" t="n"/>
      <c r="F47" s="20" t="n"/>
      <c r="G47" s="20" t="n"/>
      <c r="H47" s="20" t="n"/>
      <c r="I47" s="20" t="n"/>
      <c r="J47" s="20" t="n"/>
      <c r="K47" s="20" t="n"/>
      <c r="L47" s="20" t="n"/>
      <c r="M47" s="20" t="n"/>
      <c r="N47" s="20" t="n"/>
      <c r="O47" s="19">
        <f>IF(OR(O38="",O39="",O41="",O43="",O45=""),"",IFERROR(O38-O39-O41-O43-O45,""))</f>
        <v/>
      </c>
      <c r="P47" s="20">
        <f>IF(OR(P38="",P39="",P41="",P43="",P45=""),"",IFERROR(P38-P39-P41-P43-P45,""))</f>
        <v/>
      </c>
      <c r="Q47" s="20">
        <f>IF(OR(Q38="",Q39="",Q41="",Q43="",Q45=""),"",IFERROR(Q38-Q39-Q41-Q43-Q45,""))</f>
        <v/>
      </c>
      <c r="R47" s="20">
        <f>IF(OR(R38="",R39="",R41="",R43="",R45=""),"",IFERROR(R38-R39-R41-R43-R45,""))</f>
        <v/>
      </c>
      <c r="S47" s="20">
        <f>IF(OR(S38="",S39="",S41="",S43="",S45=""),"",IFERROR(S38-S39-S41-S43-S45,""))</f>
        <v/>
      </c>
      <c r="T47" s="20">
        <f>IF(OR(T38="",T39="",T41="",T43="",T45=""),"",IFERROR(T38-T39-T41-T43-T45,""))</f>
        <v/>
      </c>
      <c r="U47" s="20">
        <f>IF(OR(U38="",U39="",U41="",U43="",U45=""),"",IFERROR(U38-U39-U41-U43-U45,""))</f>
        <v/>
      </c>
      <c r="V47" s="20">
        <f>IF(OR(V38="",V39="",V41="",V43="",V45=""),"",IFERROR(V38-V39-V41-V43-V45,""))</f>
        <v/>
      </c>
      <c r="W47" s="20">
        <f>IF(OR(W38="",W39="",W41="",W43="",W45=""),"",IFERROR(W38-W39-W41-W43-W45,""))</f>
        <v/>
      </c>
      <c r="X47" s="20">
        <f>IF(OR(X38="",X39="",X41="",X43="",X45=""),"",IFERROR(X38-X39-X41-X43-X45,""))</f>
        <v/>
      </c>
      <c r="Y47" s="19" t="n"/>
      <c r="Z47" s="20" t="n"/>
      <c r="AA47" s="20" t="n"/>
      <c r="AB47" s="20" t="n"/>
      <c r="AC47" s="20" t="n"/>
    </row>
    <row r="48">
      <c r="A48" s="13" t="inlineStr">
        <is>
          <t>% of Sales</t>
        </is>
      </c>
      <c r="B48" s="10" t="n"/>
      <c r="C48" s="14" t="n"/>
      <c r="D48" s="15" t="n"/>
      <c r="E48" s="15" t="n"/>
      <c r="F48" s="15" t="n"/>
      <c r="G48" s="15" t="n"/>
      <c r="H48" s="15" t="n"/>
      <c r="I48" s="15" t="n"/>
      <c r="J48" s="15" t="n"/>
      <c r="K48" s="15" t="n"/>
      <c r="L48" s="15" t="n"/>
      <c r="M48" s="15" t="n"/>
      <c r="N48" s="15" t="n"/>
      <c r="O48" s="14">
        <f>IF(OR(O47="",O4=""),"",IFERROR(O47/O4,""))</f>
        <v/>
      </c>
      <c r="P48" s="15">
        <f>IF(OR(P47="",P4=""),"",IFERROR(P47/P4,""))</f>
        <v/>
      </c>
      <c r="Q48" s="15">
        <f>IF(OR(Q47="",Q4=""),"",IFERROR(Q47/Q4,""))</f>
        <v/>
      </c>
      <c r="R48" s="15">
        <f>IF(OR(R47="",R4=""),"",IFERROR(R47/R4,""))</f>
        <v/>
      </c>
      <c r="S48" s="15">
        <f>IF(OR(S47="",S4=""),"",IFERROR(S47/S4,""))</f>
        <v/>
      </c>
      <c r="T48" s="15">
        <f>IF(OR(T47="",T4=""),"",IFERROR(T47/T4,""))</f>
        <v/>
      </c>
      <c r="U48" s="15">
        <f>IF(OR(U47="",U4=""),"",IFERROR(U47/U4,""))</f>
        <v/>
      </c>
      <c r="V48" s="15">
        <f>IF(OR(V47="",V4=""),"",IFERROR(V47/V4,""))</f>
        <v/>
      </c>
      <c r="W48" s="15">
        <f>IF(OR(W47="",W4=""),"",IFERROR(W47/W4,""))</f>
        <v/>
      </c>
      <c r="X48" s="15">
        <f>IF(OR(X47="",X4=""),"",IFERROR(X47/X4,""))</f>
        <v/>
      </c>
      <c r="Y48" s="14" t="n"/>
      <c r="Z48" s="15" t="n"/>
      <c r="AA48" s="15" t="n"/>
      <c r="AB48" s="15" t="n"/>
      <c r="AC48" s="15" t="n"/>
    </row>
    <row r="49">
      <c r="A49" s="16" t="inlineStr">
        <is>
          <t>당기순이익 추정</t>
        </is>
      </c>
      <c r="B49" s="16" t="n"/>
      <c r="C49" s="17" t="n"/>
      <c r="D49" s="16" t="n"/>
      <c r="E49" s="16" t="n"/>
      <c r="F49" s="16" t="n"/>
      <c r="G49" s="16" t="n"/>
      <c r="H49" s="16" t="n"/>
      <c r="I49" s="16" t="n"/>
      <c r="J49" s="16" t="n"/>
      <c r="K49" s="16" t="n"/>
      <c r="L49" s="16" t="n"/>
      <c r="M49" s="16" t="n"/>
      <c r="N49" s="16" t="n"/>
      <c r="O49" s="17" t="n"/>
      <c r="P49" s="16" t="n"/>
      <c r="Q49" s="16" t="n"/>
      <c r="R49" s="16" t="n"/>
      <c r="S49" s="16" t="n"/>
      <c r="T49" s="16" t="n"/>
      <c r="U49" s="16" t="n"/>
      <c r="V49" s="16" t="n"/>
      <c r="W49" s="16" t="n"/>
      <c r="X49" s="16" t="n"/>
      <c r="Y49" s="17" t="n"/>
      <c r="Z49" s="16" t="n"/>
      <c r="AA49" s="16" t="n"/>
      <c r="AB49" s="16" t="n"/>
      <c r="AC49" s="16" t="n"/>
    </row>
    <row r="50">
      <c r="A50" s="18" t="inlineStr">
        <is>
          <t>기타이익</t>
        </is>
      </c>
      <c r="B50" s="10" t="n"/>
      <c r="C50" s="19" t="n">
        <v>114</v>
      </c>
      <c r="D50" s="20" t="n">
        <v>196</v>
      </c>
      <c r="E50" s="20" t="n">
        <v>152</v>
      </c>
      <c r="F50" s="20" t="n">
        <v>519</v>
      </c>
      <c r="G50" s="20" t="n">
        <v>379</v>
      </c>
      <c r="H50" s="20" t="n">
        <v>316</v>
      </c>
      <c r="I50" s="20" t="n">
        <v>2971</v>
      </c>
      <c r="J50" s="20" t="n">
        <v>319</v>
      </c>
      <c r="K50" s="20" t="n">
        <v>179</v>
      </c>
      <c r="L50" s="20" t="n">
        <v>83</v>
      </c>
      <c r="M50" s="20" t="n">
        <v>796</v>
      </c>
      <c r="N50" s="20" t="n">
        <v>324</v>
      </c>
      <c r="O50" s="19" t="n"/>
      <c r="P50" s="20" t="n">
        <v>621</v>
      </c>
      <c r="Q50" s="20" t="n">
        <v>3818</v>
      </c>
      <c r="R50" s="20" t="n">
        <v>335</v>
      </c>
      <c r="S50" s="20" t="n">
        <v>8499</v>
      </c>
      <c r="T50" s="20" t="n">
        <v>606</v>
      </c>
      <c r="U50" s="20" t="n">
        <v>1003</v>
      </c>
      <c r="V50" s="20" t="n">
        <v>3926</v>
      </c>
      <c r="W50" s="20" t="n">
        <v>1366</v>
      </c>
      <c r="X50" s="20" t="n">
        <v>3552</v>
      </c>
      <c r="Y50" s="19">
        <f>IF(OR(Y4="",Y51=""),"",IFERROR(Y4*Y51,""))</f>
        <v/>
      </c>
      <c r="Z50" s="20">
        <f>IF(OR(Z4="",Z51=""),"",IFERROR(Z4*Z51,""))</f>
        <v/>
      </c>
      <c r="AA50" s="20">
        <f>IF(OR(AA4="",AA51=""),"",IFERROR(AA4*AA51,""))</f>
        <v/>
      </c>
      <c r="AB50" s="20">
        <f>IF(OR(AB4="",AB51=""),"",IFERROR(AB4*AB51,""))</f>
        <v/>
      </c>
      <c r="AC50" s="20">
        <f>IF(OR(AC4="",AC51=""),"",IFERROR(AC4*AC51,""))</f>
        <v/>
      </c>
    </row>
    <row r="51">
      <c r="A51" s="13" t="inlineStr">
        <is>
          <t>% of Sales</t>
        </is>
      </c>
      <c r="B51" s="10" t="inlineStr">
        <is>
          <t>MW = 최근 3년 평균</t>
        </is>
      </c>
      <c r="C51" s="14">
        <f>IF(OR(C50="",C4=""),"",IFERROR(C50/C4,""))</f>
        <v/>
      </c>
      <c r="D51" s="15">
        <f>IF(OR(D50="",D4=""),"",IFERROR(D50/D4,""))</f>
        <v/>
      </c>
      <c r="E51" s="15">
        <f>IF(OR(E50="",E4=""),"",IFERROR(E50/E4,""))</f>
        <v/>
      </c>
      <c r="F51" s="15">
        <f>IF(OR(F50="",F4=""),"",IFERROR(F50/F4,""))</f>
        <v/>
      </c>
      <c r="G51" s="15">
        <f>IF(OR(G50="",G4=""),"",IFERROR(G50/G4,""))</f>
        <v/>
      </c>
      <c r="H51" s="15">
        <f>IF(OR(H50="",H4=""),"",IFERROR(H50/H4,""))</f>
        <v/>
      </c>
      <c r="I51" s="15">
        <f>IF(OR(I50="",I4=""),"",IFERROR(I50/I4,""))</f>
        <v/>
      </c>
      <c r="J51" s="15">
        <f>IF(OR(J50="",J4=""),"",IFERROR(J50/J4,""))</f>
        <v/>
      </c>
      <c r="K51" s="15">
        <f>IF(OR(K50="",K4=""),"",IFERROR(K50/K4,""))</f>
        <v/>
      </c>
      <c r="L51" s="15">
        <f>IF(OR(L50="",L4=""),"",IFERROR(L50/L4,""))</f>
        <v/>
      </c>
      <c r="M51" s="15">
        <f>IF(OR(M50="",M4=""),"",IFERROR(M50/M4,""))</f>
        <v/>
      </c>
      <c r="N51" s="15">
        <f>IF(OR(N50="",N4=""),"",IFERROR(N50/N4,""))</f>
        <v/>
      </c>
      <c r="O51" s="14">
        <f>IF(OR(O50="",O4=""),"",IFERROR(O50/O4,""))</f>
        <v/>
      </c>
      <c r="P51" s="15">
        <f>IF(OR(P50="",P4=""),"",IFERROR(P50/P4,""))</f>
        <v/>
      </c>
      <c r="Q51" s="15">
        <f>IF(OR(Q50="",Q4=""),"",IFERROR(Q50/Q4,""))</f>
        <v/>
      </c>
      <c r="R51" s="15">
        <f>IF(OR(R50="",R4=""),"",IFERROR(R50/R4,""))</f>
        <v/>
      </c>
      <c r="S51" s="15">
        <f>IF(OR(S50="",S4=""),"",IFERROR(S50/S4,""))</f>
        <v/>
      </c>
      <c r="T51" s="15">
        <f>IF(OR(T50="",T4=""),"",IFERROR(T50/T4,""))</f>
        <v/>
      </c>
      <c r="U51" s="15">
        <f>IF(OR(U50="",U4=""),"",IFERROR(U50/U4,""))</f>
        <v/>
      </c>
      <c r="V51" s="15">
        <f>IF(OR(V50="",V4=""),"",IFERROR(V50/V4,""))</f>
        <v/>
      </c>
      <c r="W51" s="15">
        <f>IF(OR(W50="",W4=""),"",IFERROR(W50/W4,""))</f>
        <v/>
      </c>
      <c r="X51" s="15">
        <f>IF(OR(X50="",X4=""),"",IFERROR(X50/X4,""))</f>
        <v/>
      </c>
      <c r="Y51" s="25">
        <f>IFERROR(AVERAGE(V51,W51,X51),"")</f>
        <v/>
      </c>
      <c r="Z51" s="26">
        <f>Y51</f>
        <v/>
      </c>
      <c r="AA51" s="26">
        <f>Z51</f>
        <v/>
      </c>
      <c r="AB51" s="26">
        <f>AA51</f>
        <v/>
      </c>
      <c r="AC51" s="26">
        <f>AB51</f>
        <v/>
      </c>
    </row>
    <row r="52">
      <c r="A52" s="18" t="inlineStr">
        <is>
          <t>기타손실</t>
        </is>
      </c>
      <c r="B52" s="10" t="n"/>
      <c r="C52" s="19" t="n">
        <v>60</v>
      </c>
      <c r="D52" s="20" t="n">
        <v>9113</v>
      </c>
      <c r="E52" s="20" t="n">
        <v>191</v>
      </c>
      <c r="F52" s="20" t="n">
        <v>244</v>
      </c>
      <c r="G52" s="20" t="n">
        <v>650</v>
      </c>
      <c r="H52" s="20" t="n">
        <v>21813</v>
      </c>
      <c r="I52" s="20" t="n">
        <v>143</v>
      </c>
      <c r="J52" s="20" t="n">
        <v>123</v>
      </c>
      <c r="K52" s="20" t="n">
        <v>120</v>
      </c>
      <c r="L52" s="20" t="n">
        <v>525</v>
      </c>
      <c r="M52" s="20" t="n">
        <v>112</v>
      </c>
      <c r="N52" s="20" t="n">
        <v>87</v>
      </c>
      <c r="O52" s="19" t="n"/>
      <c r="P52" s="20" t="n">
        <v>77</v>
      </c>
      <c r="Q52" s="20" t="n">
        <v>95</v>
      </c>
      <c r="R52" s="20" t="n">
        <v>373</v>
      </c>
      <c r="S52" s="20" t="n">
        <v>194</v>
      </c>
      <c r="T52" s="20" t="n">
        <v>647</v>
      </c>
      <c r="U52" s="20" t="n">
        <v>335</v>
      </c>
      <c r="V52" s="20" t="n">
        <v>9365</v>
      </c>
      <c r="W52" s="20" t="n">
        <v>22898</v>
      </c>
      <c r="X52" s="20" t="n">
        <v>911</v>
      </c>
      <c r="Y52" s="19">
        <f>IF(OR(Y4="",Y53=""),"",IFERROR(Y4*Y53,""))</f>
        <v/>
      </c>
      <c r="Z52" s="20">
        <f>IF(OR(Z4="",Z53=""),"",IFERROR(Z4*Z53,""))</f>
        <v/>
      </c>
      <c r="AA52" s="20">
        <f>IF(OR(AA4="",AA53=""),"",IFERROR(AA4*AA53,""))</f>
        <v/>
      </c>
      <c r="AB52" s="20">
        <f>IF(OR(AB4="",AB53=""),"",IFERROR(AB4*AB53,""))</f>
        <v/>
      </c>
      <c r="AC52" s="20">
        <f>IF(OR(AC4="",AC53=""),"",IFERROR(AC4*AC53,""))</f>
        <v/>
      </c>
    </row>
    <row r="53">
      <c r="A53" s="13" t="inlineStr">
        <is>
          <t>% of Sales</t>
        </is>
      </c>
      <c r="B53" s="10" t="n"/>
      <c r="C53" s="14">
        <f>IF(OR(C52="",C4=""),"",IFERROR(C52/C4,""))</f>
        <v/>
      </c>
      <c r="D53" s="15">
        <f>IF(OR(D52="",D4=""),"",IFERROR(D52/D4,""))</f>
        <v/>
      </c>
      <c r="E53" s="15">
        <f>IF(OR(E52="",E4=""),"",IFERROR(E52/E4,""))</f>
        <v/>
      </c>
      <c r="F53" s="15">
        <f>IF(OR(F52="",F4=""),"",IFERROR(F52/F4,""))</f>
        <v/>
      </c>
      <c r="G53" s="15">
        <f>IF(OR(G52="",G4=""),"",IFERROR(G52/G4,""))</f>
        <v/>
      </c>
      <c r="H53" s="15">
        <f>IF(OR(H52="",H4=""),"",IFERROR(H52/H4,""))</f>
        <v/>
      </c>
      <c r="I53" s="15">
        <f>IF(OR(I52="",I4=""),"",IFERROR(I52/I4,""))</f>
        <v/>
      </c>
      <c r="J53" s="15">
        <f>IF(OR(J52="",J4=""),"",IFERROR(J52/J4,""))</f>
        <v/>
      </c>
      <c r="K53" s="15">
        <f>IF(OR(K52="",K4=""),"",IFERROR(K52/K4,""))</f>
        <v/>
      </c>
      <c r="L53" s="15">
        <f>IF(OR(L52="",L4=""),"",IFERROR(L52/L4,""))</f>
        <v/>
      </c>
      <c r="M53" s="15">
        <f>IF(OR(M52="",M4=""),"",IFERROR(M52/M4,""))</f>
        <v/>
      </c>
      <c r="N53" s="15">
        <f>IF(OR(N52="",N4=""),"",IFERROR(N52/N4,""))</f>
        <v/>
      </c>
      <c r="O53" s="14">
        <f>IF(OR(O52="",O4=""),"",IFERROR(O52/O4,""))</f>
        <v/>
      </c>
      <c r="P53" s="15">
        <f>IF(OR(P52="",P4=""),"",IFERROR(P52/P4,""))</f>
        <v/>
      </c>
      <c r="Q53" s="15">
        <f>IF(OR(Q52="",Q4=""),"",IFERROR(Q52/Q4,""))</f>
        <v/>
      </c>
      <c r="R53" s="15">
        <f>IF(OR(R52="",R4=""),"",IFERROR(R52/R4,""))</f>
        <v/>
      </c>
      <c r="S53" s="15">
        <f>IF(OR(S52="",S4=""),"",IFERROR(S52/S4,""))</f>
        <v/>
      </c>
      <c r="T53" s="15">
        <f>IF(OR(T52="",T4=""),"",IFERROR(T52/T4,""))</f>
        <v/>
      </c>
      <c r="U53" s="15">
        <f>IF(OR(U52="",U4=""),"",IFERROR(U52/U4,""))</f>
        <v/>
      </c>
      <c r="V53" s="15">
        <f>IF(OR(V52="",V4=""),"",IFERROR(V52/V4,""))</f>
        <v/>
      </c>
      <c r="W53" s="15">
        <f>IF(OR(W52="",W4=""),"",IFERROR(W52/W4,""))</f>
        <v/>
      </c>
      <c r="X53" s="15">
        <f>IF(OR(X52="",X4=""),"",IFERROR(X52/X4,""))</f>
        <v/>
      </c>
      <c r="Y53" s="25">
        <f>IFERROR(AVERAGE(V53,W53,X53),"")</f>
        <v/>
      </c>
      <c r="Z53" s="26">
        <f>Y53</f>
        <v/>
      </c>
      <c r="AA53" s="26">
        <f>Z53</f>
        <v/>
      </c>
      <c r="AB53" s="26">
        <f>AA53</f>
        <v/>
      </c>
      <c r="AC53" s="26">
        <f>AB53</f>
        <v/>
      </c>
    </row>
    <row r="54">
      <c r="A54" s="18" t="inlineStr">
        <is>
          <t>금융수익</t>
        </is>
      </c>
      <c r="B54" s="10" t="n"/>
      <c r="C54" s="19" t="n">
        <v>320</v>
      </c>
      <c r="D54" s="20" t="n">
        <v>378</v>
      </c>
      <c r="E54" s="20" t="n">
        <v>1281</v>
      </c>
      <c r="F54" s="20" t="n">
        <v>-322</v>
      </c>
      <c r="G54" s="20" t="n">
        <v>410</v>
      </c>
      <c r="H54" s="20" t="n">
        <v>526</v>
      </c>
      <c r="I54" s="20" t="n">
        <v>693</v>
      </c>
      <c r="J54" s="20" t="n">
        <v>623</v>
      </c>
      <c r="K54" s="20" t="n">
        <v>705</v>
      </c>
      <c r="L54" s="20" t="n">
        <v>18333</v>
      </c>
      <c r="M54" s="20" t="n">
        <v>44680</v>
      </c>
      <c r="N54" s="20" t="n">
        <v>12336</v>
      </c>
      <c r="O54" s="19" t="n"/>
      <c r="P54" s="20" t="n">
        <v>975</v>
      </c>
      <c r="Q54" s="20" t="n">
        <v>1626</v>
      </c>
      <c r="R54" s="20" t="n">
        <v>1045</v>
      </c>
      <c r="S54" s="20" t="n">
        <v>767</v>
      </c>
      <c r="T54" s="20" t="n">
        <v>1912</v>
      </c>
      <c r="U54" s="20" t="n">
        <v>4458</v>
      </c>
      <c r="V54" s="20" t="n">
        <v>1244</v>
      </c>
      <c r="W54" s="20" t="n">
        <v>1895</v>
      </c>
      <c r="X54" s="20" t="n">
        <v>20354</v>
      </c>
      <c r="Y54" s="19">
        <f>IF(OR(Y4="",Y55=""),"",IFERROR(Y4*Y55,""))</f>
        <v/>
      </c>
      <c r="Z54" s="20">
        <f>IF(OR(Z4="",Z55=""),"",IFERROR(Z4*Z55,""))</f>
        <v/>
      </c>
      <c r="AA54" s="20">
        <f>IF(OR(AA4="",AA55=""),"",IFERROR(AA4*AA55,""))</f>
        <v/>
      </c>
      <c r="AB54" s="20">
        <f>IF(OR(AB4="",AB55=""),"",IFERROR(AB4*AB55,""))</f>
        <v/>
      </c>
      <c r="AC54" s="20">
        <f>IF(OR(AC4="",AC55=""),"",IFERROR(AC4*AC55,""))</f>
        <v/>
      </c>
    </row>
    <row r="55">
      <c r="A55" s="13" t="inlineStr">
        <is>
          <t>% of Sales</t>
        </is>
      </c>
      <c r="B55" s="10" t="n"/>
      <c r="C55" s="14">
        <f>IF(OR(C54="",C4=""),"",IFERROR(C54/C4,""))</f>
        <v/>
      </c>
      <c r="D55" s="15">
        <f>IF(OR(D54="",D4=""),"",IFERROR(D54/D4,""))</f>
        <v/>
      </c>
      <c r="E55" s="15">
        <f>IF(OR(E54="",E4=""),"",IFERROR(E54/E4,""))</f>
        <v/>
      </c>
      <c r="F55" s="15">
        <f>IF(OR(F54="",F4=""),"",IFERROR(F54/F4,""))</f>
        <v/>
      </c>
      <c r="G55" s="15">
        <f>IF(OR(G54="",G4=""),"",IFERROR(G54/G4,""))</f>
        <v/>
      </c>
      <c r="H55" s="15">
        <f>IF(OR(H54="",H4=""),"",IFERROR(H54/H4,""))</f>
        <v/>
      </c>
      <c r="I55" s="15">
        <f>IF(OR(I54="",I4=""),"",IFERROR(I54/I4,""))</f>
        <v/>
      </c>
      <c r="J55" s="15">
        <f>IF(OR(J54="",J4=""),"",IFERROR(J54/J4,""))</f>
        <v/>
      </c>
      <c r="K55" s="15">
        <f>IF(OR(K54="",K4=""),"",IFERROR(K54/K4,""))</f>
        <v/>
      </c>
      <c r="L55" s="15">
        <f>IF(OR(L54="",L4=""),"",IFERROR(L54/L4,""))</f>
        <v/>
      </c>
      <c r="M55" s="15">
        <f>IF(OR(M54="",M4=""),"",IFERROR(M54/M4,""))</f>
        <v/>
      </c>
      <c r="N55" s="15">
        <f>IF(OR(N54="",N4=""),"",IFERROR(N54/N4,""))</f>
        <v/>
      </c>
      <c r="O55" s="14">
        <f>IF(OR(O54="",O4=""),"",IFERROR(O54/O4,""))</f>
        <v/>
      </c>
      <c r="P55" s="15">
        <f>IF(OR(P54="",P4=""),"",IFERROR(P54/P4,""))</f>
        <v/>
      </c>
      <c r="Q55" s="15">
        <f>IF(OR(Q54="",Q4=""),"",IFERROR(Q54/Q4,""))</f>
        <v/>
      </c>
      <c r="R55" s="15">
        <f>IF(OR(R54="",R4=""),"",IFERROR(R54/R4,""))</f>
        <v/>
      </c>
      <c r="S55" s="15">
        <f>IF(OR(S54="",S4=""),"",IFERROR(S54/S4,""))</f>
        <v/>
      </c>
      <c r="T55" s="15">
        <f>IF(OR(T54="",T4=""),"",IFERROR(T54/T4,""))</f>
        <v/>
      </c>
      <c r="U55" s="15">
        <f>IF(OR(U54="",U4=""),"",IFERROR(U54/U4,""))</f>
        <v/>
      </c>
      <c r="V55" s="15">
        <f>IF(OR(V54="",V4=""),"",IFERROR(V54/V4,""))</f>
        <v/>
      </c>
      <c r="W55" s="15">
        <f>IF(OR(W54="",W4=""),"",IFERROR(W54/W4,""))</f>
        <v/>
      </c>
      <c r="X55" s="15">
        <f>IF(OR(X54="",X4=""),"",IFERROR(X54/X4,""))</f>
        <v/>
      </c>
      <c r="Y55" s="25">
        <f>IFERROR(AVERAGE(V55,W55,X55),"")</f>
        <v/>
      </c>
      <c r="Z55" s="26">
        <f>Y55</f>
        <v/>
      </c>
      <c r="AA55" s="26">
        <f>Z55</f>
        <v/>
      </c>
      <c r="AB55" s="26">
        <f>AA55</f>
        <v/>
      </c>
      <c r="AC55" s="26">
        <f>AB55</f>
        <v/>
      </c>
    </row>
    <row r="56">
      <c r="A56" s="18" t="inlineStr">
        <is>
          <t>금융원가</t>
        </is>
      </c>
      <c r="B56" s="10" t="n"/>
      <c r="C56" s="19" t="n">
        <v>900</v>
      </c>
      <c r="D56" s="20" t="n">
        <v>1304</v>
      </c>
      <c r="E56" s="20" t="n">
        <v>676</v>
      </c>
      <c r="F56" s="20" t="n">
        <v>2497</v>
      </c>
      <c r="G56" s="20" t="n">
        <v>-870</v>
      </c>
      <c r="H56" s="20" t="n">
        <v>2979</v>
      </c>
      <c r="I56" s="20" t="n">
        <v>3288</v>
      </c>
      <c r="J56" s="20" t="n">
        <v>-54</v>
      </c>
      <c r="K56" s="20" t="n">
        <v>444</v>
      </c>
      <c r="L56" s="20" t="n">
        <v>-924</v>
      </c>
      <c r="M56" s="20" t="n">
        <v>588</v>
      </c>
      <c r="N56" s="20" t="n">
        <v>3003</v>
      </c>
      <c r="O56" s="19" t="n"/>
      <c r="P56" s="20" t="n">
        <v>1180</v>
      </c>
      <c r="Q56" s="20" t="n">
        <v>77</v>
      </c>
      <c r="R56" s="20" t="n">
        <v>1179</v>
      </c>
      <c r="S56" s="20" t="n">
        <v>1875</v>
      </c>
      <c r="T56" s="20" t="n">
        <v>303</v>
      </c>
      <c r="U56" s="20" t="n">
        <v>875</v>
      </c>
      <c r="V56" s="20" t="n">
        <v>4702</v>
      </c>
      <c r="W56" s="20" t="n">
        <v>5282</v>
      </c>
      <c r="X56" s="20" t="n">
        <v>2754</v>
      </c>
      <c r="Y56" s="19">
        <f>IF(OR(Y4="",Y57=""),"",IFERROR(Y4*Y57,""))</f>
        <v/>
      </c>
      <c r="Z56" s="20">
        <f>IF(OR(Z4="",Z57=""),"",IFERROR(Z4*Z57,""))</f>
        <v/>
      </c>
      <c r="AA56" s="20">
        <f>IF(OR(AA4="",AA57=""),"",IFERROR(AA4*AA57,""))</f>
        <v/>
      </c>
      <c r="AB56" s="20">
        <f>IF(OR(AB4="",AB57=""),"",IFERROR(AB4*AB57,""))</f>
        <v/>
      </c>
      <c r="AC56" s="20">
        <f>IF(OR(AC4="",AC57=""),"",IFERROR(AC4*AC57,""))</f>
        <v/>
      </c>
    </row>
    <row r="57">
      <c r="A57" s="13" t="inlineStr">
        <is>
          <t>% of Sales</t>
        </is>
      </c>
      <c r="B57" s="10" t="n"/>
      <c r="C57" s="14">
        <f>IF(OR(C56="",C4=""),"",IFERROR(C56/C4,""))</f>
        <v/>
      </c>
      <c r="D57" s="15">
        <f>IF(OR(D56="",D4=""),"",IFERROR(D56/D4,""))</f>
        <v/>
      </c>
      <c r="E57" s="15">
        <f>IF(OR(E56="",E4=""),"",IFERROR(E56/E4,""))</f>
        <v/>
      </c>
      <c r="F57" s="15">
        <f>IF(OR(F56="",F4=""),"",IFERROR(F56/F4,""))</f>
        <v/>
      </c>
      <c r="G57" s="15">
        <f>IF(OR(G56="",G4=""),"",IFERROR(G56/G4,""))</f>
        <v/>
      </c>
      <c r="H57" s="15">
        <f>IF(OR(H56="",H4=""),"",IFERROR(H56/H4,""))</f>
        <v/>
      </c>
      <c r="I57" s="15">
        <f>IF(OR(I56="",I4=""),"",IFERROR(I56/I4,""))</f>
        <v/>
      </c>
      <c r="J57" s="15">
        <f>IF(OR(J56="",J4=""),"",IFERROR(J56/J4,""))</f>
        <v/>
      </c>
      <c r="K57" s="15">
        <f>IF(OR(K56="",K4=""),"",IFERROR(K56/K4,""))</f>
        <v/>
      </c>
      <c r="L57" s="15">
        <f>IF(OR(L56="",L4=""),"",IFERROR(L56/L4,""))</f>
        <v/>
      </c>
      <c r="M57" s="15">
        <f>IF(OR(M56="",M4=""),"",IFERROR(M56/M4,""))</f>
        <v/>
      </c>
      <c r="N57" s="15">
        <f>IF(OR(N56="",N4=""),"",IFERROR(N56/N4,""))</f>
        <v/>
      </c>
      <c r="O57" s="14">
        <f>IF(OR(O56="",O4=""),"",IFERROR(O56/O4,""))</f>
        <v/>
      </c>
      <c r="P57" s="15">
        <f>IF(OR(P56="",P4=""),"",IFERROR(P56/P4,""))</f>
        <v/>
      </c>
      <c r="Q57" s="15">
        <f>IF(OR(Q56="",Q4=""),"",IFERROR(Q56/Q4,""))</f>
        <v/>
      </c>
      <c r="R57" s="15">
        <f>IF(OR(R56="",R4=""),"",IFERROR(R56/R4,""))</f>
        <v/>
      </c>
      <c r="S57" s="15">
        <f>IF(OR(S56="",S4=""),"",IFERROR(S56/S4,""))</f>
        <v/>
      </c>
      <c r="T57" s="15">
        <f>IF(OR(T56="",T4=""),"",IFERROR(T56/T4,""))</f>
        <v/>
      </c>
      <c r="U57" s="15">
        <f>IF(OR(U56="",U4=""),"",IFERROR(U56/U4,""))</f>
        <v/>
      </c>
      <c r="V57" s="15">
        <f>IF(OR(V56="",V4=""),"",IFERROR(V56/V4,""))</f>
        <v/>
      </c>
      <c r="W57" s="15">
        <f>IF(OR(W56="",W4=""),"",IFERROR(W56/W4,""))</f>
        <v/>
      </c>
      <c r="X57" s="15">
        <f>IF(OR(X56="",X4=""),"",IFERROR(X56/X4,""))</f>
        <v/>
      </c>
      <c r="Y57" s="25">
        <f>IFERROR(AVERAGE(V57,W57,X57),"")</f>
        <v/>
      </c>
      <c r="Z57" s="26">
        <f>Y57</f>
        <v/>
      </c>
      <c r="AA57" s="26">
        <f>Z57</f>
        <v/>
      </c>
      <c r="AB57" s="26">
        <f>AA57</f>
        <v/>
      </c>
      <c r="AC57" s="26">
        <f>AB57</f>
        <v/>
      </c>
    </row>
    <row r="58">
      <c r="A58" s="9" t="inlineStr">
        <is>
          <t>법인세비용차감전순이익(손실)</t>
        </is>
      </c>
      <c r="B58" s="10" t="n"/>
      <c r="C58" s="11" t="n">
        <v>26250</v>
      </c>
      <c r="D58" s="12" t="n">
        <v>18603</v>
      </c>
      <c r="E58" s="12" t="n">
        <v>31930</v>
      </c>
      <c r="F58" s="12" t="n">
        <v>60715</v>
      </c>
      <c r="G58" s="12" t="n">
        <v>70547</v>
      </c>
      <c r="H58" s="12" t="n">
        <v>61582</v>
      </c>
      <c r="I58" s="12" t="n">
        <v>121357</v>
      </c>
      <c r="J58" s="12" t="n">
        <v>109160</v>
      </c>
      <c r="K58" s="12" t="n">
        <v>113832</v>
      </c>
      <c r="L58" s="12" t="n">
        <v>172371</v>
      </c>
      <c r="M58" s="12" t="n">
        <v>234082</v>
      </c>
      <c r="N58" s="12" t="n">
        <v>276152</v>
      </c>
      <c r="O58" s="11" t="n"/>
      <c r="P58" s="12" t="n">
        <v>24282</v>
      </c>
      <c r="Q58" s="12" t="n">
        <v>66211</v>
      </c>
      <c r="R58" s="12" t="n">
        <v>58574</v>
      </c>
      <c r="S58" s="12" t="n">
        <v>69618</v>
      </c>
      <c r="T58" s="12" t="n">
        <v>116343</v>
      </c>
      <c r="U58" s="12" t="n">
        <v>171270</v>
      </c>
      <c r="V58" s="12" t="n">
        <v>78170</v>
      </c>
      <c r="W58" s="12" t="n">
        <v>224774</v>
      </c>
      <c r="X58" s="12" t="n">
        <v>516720</v>
      </c>
      <c r="Y58" s="11">
        <f>IF(OR(Y34=""),"",IFERROR(Y34+N(Y50)-N(Y52)+N(Y54)-N(Y56),""))</f>
        <v/>
      </c>
      <c r="Z58" s="12">
        <f>IF(OR(Z34=""),"",IFERROR(Z34+N(Z50)-N(Z52)+N(Z54)-N(Z56),""))</f>
        <v/>
      </c>
      <c r="AA58" s="12">
        <f>IF(OR(AA34=""),"",IFERROR(AA34+N(AA50)-N(AA52)+N(AA54)-N(AA56),""))</f>
        <v/>
      </c>
      <c r="AB58" s="12">
        <f>IF(OR(AB34=""),"",IFERROR(AB34+N(AB50)-N(AB52)+N(AB54)-N(AB56),""))</f>
        <v/>
      </c>
      <c r="AC58" s="12">
        <f>IF(OR(AC34=""),"",IFERROR(AC34+N(AC50)-N(AC52)+N(AC54)-N(AC56),""))</f>
        <v/>
      </c>
    </row>
    <row r="59">
      <c r="A59" s="13" t="inlineStr">
        <is>
          <t>YoY</t>
        </is>
      </c>
      <c r="B59" s="10" t="n"/>
      <c r="C59" s="14" t="n"/>
      <c r="D59" s="15" t="n"/>
      <c r="E59" s="15" t="n"/>
      <c r="F59" s="15" t="n"/>
      <c r="G59" s="15">
        <f>IF(OR(G58="",C58=""),"",IF(C58&lt;=0,"",IFERROR(G58/C58-1,"")))</f>
        <v/>
      </c>
      <c r="H59" s="15">
        <f>IF(OR(H58="",D58=""),"",IF(D58&lt;=0,"",IFERROR(H58/D58-1,"")))</f>
        <v/>
      </c>
      <c r="I59" s="15">
        <f>IF(OR(I58="",E58=""),"",IF(E58&lt;=0,"",IFERROR(I58/E58-1,"")))</f>
        <v/>
      </c>
      <c r="J59" s="15">
        <f>IF(OR(J58="",F58=""),"",IF(F58&lt;=0,"",IFERROR(J58/F58-1,"")))</f>
        <v/>
      </c>
      <c r="K59" s="15">
        <f>IF(OR(K58="",G58=""),"",IF(G58&lt;=0,"",IFERROR(K58/G58-1,"")))</f>
        <v/>
      </c>
      <c r="L59" s="15">
        <f>IF(OR(L58="",H58=""),"",IF(H58&lt;=0,"",IFERROR(L58/H58-1,"")))</f>
        <v/>
      </c>
      <c r="M59" s="15">
        <f>IF(OR(M58="",I58=""),"",IF(I58&lt;=0,"",IFERROR(M58/I58-1,"")))</f>
        <v/>
      </c>
      <c r="N59" s="15">
        <f>IF(OR(N58="",J58=""),"",IF(J58&lt;=0,"",IFERROR(N58/J58-1,"")))</f>
        <v/>
      </c>
      <c r="O59" s="14" t="n"/>
      <c r="P59" s="15">
        <f>IF(OR(P58="",O58=""),"",IF(O58&lt;=0,"",IFERROR(P58/O58-1,"")))</f>
        <v/>
      </c>
      <c r="Q59" s="15">
        <f>IF(OR(Q58="",P58=""),"",IF(P58&lt;=0,"",IFERROR(Q58/P58-1,"")))</f>
        <v/>
      </c>
      <c r="R59" s="15">
        <f>IF(OR(R58="",Q58=""),"",IF(Q58&lt;=0,"",IFERROR(R58/Q58-1,"")))</f>
        <v/>
      </c>
      <c r="S59" s="15">
        <f>IF(OR(S58="",R58=""),"",IF(R58&lt;=0,"",IFERROR(S58/R58-1,"")))</f>
        <v/>
      </c>
      <c r="T59" s="15">
        <f>IF(OR(T58="",S58=""),"",IF(S58&lt;=0,"",IFERROR(T58/S58-1,"")))</f>
        <v/>
      </c>
      <c r="U59" s="15">
        <f>IF(OR(U58="",T58=""),"",IF(T58&lt;=0,"",IFERROR(U58/T58-1,"")))</f>
        <v/>
      </c>
      <c r="V59" s="15">
        <f>IF(OR(V58="",U58=""),"",IF(U58&lt;=0,"",IFERROR(V58/U58-1,"")))</f>
        <v/>
      </c>
      <c r="W59" s="15">
        <f>IF(OR(W58="",V58=""),"",IF(V58&lt;=0,"",IFERROR(W58/V58-1,"")))</f>
        <v/>
      </c>
      <c r="X59" s="15">
        <f>IF(OR(X58="",W58=""),"",IF(W58&lt;=0,"",IFERROR(X58/W58-1,"")))</f>
        <v/>
      </c>
      <c r="Y59" s="14">
        <f>IF(OR(Y58="",X58=""),"",IF(X58&lt;=0,"",IFERROR(Y58/X58-1,"")))</f>
        <v/>
      </c>
      <c r="Z59" s="15">
        <f>IF(OR(Z58="",Y58=""),"",IF(Y58&lt;=0,"",IFERROR(Z58/Y58-1,"")))</f>
        <v/>
      </c>
      <c r="AA59" s="15">
        <f>IF(OR(AA58="",Z58=""),"",IF(Z58&lt;=0,"",IFERROR(AA58/Z58-1,"")))</f>
        <v/>
      </c>
      <c r="AB59" s="15">
        <f>IF(OR(AB58="",AA58=""),"",IF(AA58&lt;=0,"",IFERROR(AB58/AA58-1,"")))</f>
        <v/>
      </c>
      <c r="AC59" s="15">
        <f>IF(OR(AC58="",AB58=""),"",IF(AB58&lt;=0,"",IFERROR(AC58/AB58-1,"")))</f>
        <v/>
      </c>
    </row>
    <row r="60">
      <c r="A60" s="18" t="inlineStr">
        <is>
          <t>법인세비용(수익)</t>
        </is>
      </c>
      <c r="B60" s="10" t="n"/>
      <c r="C60" s="19" t="n">
        <v>5045</v>
      </c>
      <c r="D60" s="20" t="n">
        <v>3456</v>
      </c>
      <c r="E60" s="20" t="n">
        <v>8057</v>
      </c>
      <c r="F60" s="20" t="n">
        <v>15245</v>
      </c>
      <c r="G60" s="20" t="n">
        <v>18680</v>
      </c>
      <c r="H60" s="20" t="n">
        <v>21615</v>
      </c>
      <c r="I60" s="20" t="n">
        <v>31177</v>
      </c>
      <c r="J60" s="20" t="n">
        <v>29527</v>
      </c>
      <c r="K60" s="20" t="n">
        <v>35119</v>
      </c>
      <c r="L60" s="20" t="n">
        <v>45544</v>
      </c>
      <c r="M60" s="20" t="n">
        <v>59302</v>
      </c>
      <c r="N60" s="20" t="n">
        <v>82849</v>
      </c>
      <c r="O60" s="19" t="n"/>
      <c r="P60" s="20" t="n">
        <v>6179</v>
      </c>
      <c r="Q60" s="20" t="n">
        <v>9218</v>
      </c>
      <c r="R60" s="20" t="n">
        <v>5042</v>
      </c>
      <c r="S60" s="20" t="n">
        <v>-169</v>
      </c>
      <c r="T60" s="20" t="n">
        <v>29042</v>
      </c>
      <c r="U60" s="20" t="n">
        <v>40870</v>
      </c>
      <c r="V60" s="20" t="n">
        <v>15880</v>
      </c>
      <c r="W60" s="20" t="n">
        <v>63597</v>
      </c>
      <c r="X60" s="20" t="n">
        <v>141367</v>
      </c>
      <c r="Y60" s="19">
        <f>IF(OR(Y58="",Y61=""),"",IFERROR(MAX(Y58,0)*Y61,""))</f>
        <v/>
      </c>
      <c r="Z60" s="20">
        <f>IF(OR(Z58="",Z61=""),"",IFERROR(MAX(Z58,0)*Z61,""))</f>
        <v/>
      </c>
      <c r="AA60" s="20">
        <f>IF(OR(AA58="",AA61=""),"",IFERROR(MAX(AA58,0)*AA61,""))</f>
        <v/>
      </c>
      <c r="AB60" s="20">
        <f>IF(OR(AB58="",AB61=""),"",IFERROR(MAX(AB58,0)*AB61,""))</f>
        <v/>
      </c>
      <c r="AC60" s="20">
        <f>IF(OR(AC58="",AC61=""),"",IFERROR(MAX(AC58,0)*AC61,""))</f>
        <v/>
      </c>
    </row>
    <row r="61">
      <c r="A61" s="13" t="inlineStr">
        <is>
          <t>법인세율</t>
        </is>
      </c>
      <c r="B61" s="10" t="inlineStr">
        <is>
          <t>MW 기본 30%</t>
        </is>
      </c>
      <c r="C61" s="14">
        <f>IF(OR(C60="",C58=""),"",IFERROR(C60/C58,""))</f>
        <v/>
      </c>
      <c r="D61" s="15">
        <f>IF(OR(D60="",D58=""),"",IFERROR(D60/D58,""))</f>
        <v/>
      </c>
      <c r="E61" s="15">
        <f>IF(OR(E60="",E58=""),"",IFERROR(E60/E58,""))</f>
        <v/>
      </c>
      <c r="F61" s="15">
        <f>IF(OR(F60="",F58=""),"",IFERROR(F60/F58,""))</f>
        <v/>
      </c>
      <c r="G61" s="15">
        <f>IF(OR(G60="",G58=""),"",IFERROR(G60/G58,""))</f>
        <v/>
      </c>
      <c r="H61" s="15">
        <f>IF(OR(H60="",H58=""),"",IFERROR(H60/H58,""))</f>
        <v/>
      </c>
      <c r="I61" s="15">
        <f>IF(OR(I60="",I58=""),"",IFERROR(I60/I58,""))</f>
        <v/>
      </c>
      <c r="J61" s="15">
        <f>IF(OR(J60="",J58=""),"",IFERROR(J60/J58,""))</f>
        <v/>
      </c>
      <c r="K61" s="15">
        <f>IF(OR(K60="",K58=""),"",IFERROR(K60/K58,""))</f>
        <v/>
      </c>
      <c r="L61" s="15">
        <f>IF(OR(L60="",L58=""),"",IFERROR(L60/L58,""))</f>
        <v/>
      </c>
      <c r="M61" s="15">
        <f>IF(OR(M60="",M58=""),"",IFERROR(M60/M58,""))</f>
        <v/>
      </c>
      <c r="N61" s="15">
        <f>IF(OR(N60="",N58=""),"",IFERROR(N60/N58,""))</f>
        <v/>
      </c>
      <c r="O61" s="14">
        <f>IF(OR(O60="",O58=""),"",IFERROR(O60/O58,""))</f>
        <v/>
      </c>
      <c r="P61" s="15">
        <f>IF(OR(P60="",P58=""),"",IFERROR(P60/P58,""))</f>
        <v/>
      </c>
      <c r="Q61" s="15">
        <f>IF(OR(Q60="",Q58=""),"",IFERROR(Q60/Q58,""))</f>
        <v/>
      </c>
      <c r="R61" s="15">
        <f>IF(OR(R60="",R58=""),"",IFERROR(R60/R58,""))</f>
        <v/>
      </c>
      <c r="S61" s="15">
        <f>IF(OR(S60="",S58=""),"",IFERROR(S60/S58,""))</f>
        <v/>
      </c>
      <c r="T61" s="15">
        <f>IF(OR(T60="",T58=""),"",IFERROR(T60/T58,""))</f>
        <v/>
      </c>
      <c r="U61" s="15">
        <f>IF(OR(U60="",U58=""),"",IFERROR(U60/U58,""))</f>
        <v/>
      </c>
      <c r="V61" s="15">
        <f>IF(OR(V60="",V58=""),"",IFERROR(V60/V58,""))</f>
        <v/>
      </c>
      <c r="W61" s="15">
        <f>IF(OR(W60="",W58=""),"",IFERROR(W60/W58,""))</f>
        <v/>
      </c>
      <c r="X61" s="15">
        <f>IF(OR(X60="",X58=""),"",IFERROR(X60/X58,""))</f>
        <v/>
      </c>
      <c r="Y61" s="25" t="n">
        <v>0.3</v>
      </c>
      <c r="Z61" s="26" t="n">
        <v>0.3</v>
      </c>
      <c r="AA61" s="26" t="n">
        <v>0.3</v>
      </c>
      <c r="AB61" s="26" t="n">
        <v>0.3</v>
      </c>
      <c r="AC61" s="26" t="n">
        <v>0.3</v>
      </c>
    </row>
    <row r="62">
      <c r="A62" s="9" t="inlineStr">
        <is>
          <t>당기순이익(손실)</t>
        </is>
      </c>
      <c r="B62" s="10" t="n"/>
      <c r="C62" s="11" t="n">
        <v>21205</v>
      </c>
      <c r="D62" s="12" t="n">
        <v>15147</v>
      </c>
      <c r="E62" s="12" t="n">
        <v>23873</v>
      </c>
      <c r="F62" s="12" t="n">
        <v>45470</v>
      </c>
      <c r="G62" s="12" t="n">
        <v>51867</v>
      </c>
      <c r="H62" s="12" t="n">
        <v>39967</v>
      </c>
      <c r="I62" s="12" t="n">
        <v>90180</v>
      </c>
      <c r="J62" s="12" t="n">
        <v>79633</v>
      </c>
      <c r="K62" s="12" t="n">
        <v>78713</v>
      </c>
      <c r="L62" s="12" t="n">
        <v>126827</v>
      </c>
      <c r="M62" s="12" t="n">
        <v>174780</v>
      </c>
      <c r="N62" s="12" t="n">
        <v>193303</v>
      </c>
      <c r="O62" s="11" t="n"/>
      <c r="P62" s="12" t="n">
        <v>18103</v>
      </c>
      <c r="Q62" s="12" t="n">
        <v>56993</v>
      </c>
      <c r="R62" s="12" t="n">
        <v>53532</v>
      </c>
      <c r="S62" s="12" t="n">
        <v>69787</v>
      </c>
      <c r="T62" s="12" t="n">
        <v>87301</v>
      </c>
      <c r="U62" s="12" t="n">
        <v>130400</v>
      </c>
      <c r="V62" s="12" t="n">
        <v>62290</v>
      </c>
      <c r="W62" s="12" t="n">
        <v>161177</v>
      </c>
      <c r="X62" s="12" t="n">
        <v>375353</v>
      </c>
      <c r="Y62" s="11">
        <f>IF(OR(Y58=""),"",IFERROR(Y58-Y60,""))</f>
        <v/>
      </c>
      <c r="Z62" s="12">
        <f>IF(OR(Z58=""),"",IFERROR(Z58-Z60,""))</f>
        <v/>
      </c>
      <c r="AA62" s="12">
        <f>IF(OR(AA58=""),"",IFERROR(AA58-AA60,""))</f>
        <v/>
      </c>
      <c r="AB62" s="12">
        <f>IF(OR(AB58=""),"",IFERROR(AB58-AB60,""))</f>
        <v/>
      </c>
      <c r="AC62" s="12">
        <f>IF(OR(AC58=""),"",IFERROR(AC58-AC60,""))</f>
        <v/>
      </c>
    </row>
    <row r="63">
      <c r="A63" s="13" t="inlineStr">
        <is>
          <t>YoY</t>
        </is>
      </c>
      <c r="B63" s="10" t="n"/>
      <c r="C63" s="14" t="n"/>
      <c r="D63" s="15" t="n"/>
      <c r="E63" s="15" t="n"/>
      <c r="F63" s="15" t="n"/>
      <c r="G63" s="15">
        <f>IF(OR(G62="",C62=""),"",IF(C62&lt;=0,"",IFERROR(G62/C62-1,"")))</f>
        <v/>
      </c>
      <c r="H63" s="15">
        <f>IF(OR(H62="",D62=""),"",IF(D62&lt;=0,"",IFERROR(H62/D62-1,"")))</f>
        <v/>
      </c>
      <c r="I63" s="15">
        <f>IF(OR(I62="",E62=""),"",IF(E62&lt;=0,"",IFERROR(I62/E62-1,"")))</f>
        <v/>
      </c>
      <c r="J63" s="15">
        <f>IF(OR(J62="",F62=""),"",IF(F62&lt;=0,"",IFERROR(J62/F62-1,"")))</f>
        <v/>
      </c>
      <c r="K63" s="15">
        <f>IF(OR(K62="",G62=""),"",IF(G62&lt;=0,"",IFERROR(K62/G62-1,"")))</f>
        <v/>
      </c>
      <c r="L63" s="15">
        <f>IF(OR(L62="",H62=""),"",IF(H62&lt;=0,"",IFERROR(L62/H62-1,"")))</f>
        <v/>
      </c>
      <c r="M63" s="15">
        <f>IF(OR(M62="",I62=""),"",IF(I62&lt;=0,"",IFERROR(M62/I62-1,"")))</f>
        <v/>
      </c>
      <c r="N63" s="15">
        <f>IF(OR(N62="",J62=""),"",IF(J62&lt;=0,"",IFERROR(N62/J62-1,"")))</f>
        <v/>
      </c>
      <c r="O63" s="14" t="n"/>
      <c r="P63" s="15">
        <f>IF(OR(P62="",O62=""),"",IF(O62&lt;=0,"",IFERROR(P62/O62-1,"")))</f>
        <v/>
      </c>
      <c r="Q63" s="15">
        <f>IF(OR(Q62="",P62=""),"",IF(P62&lt;=0,"",IFERROR(Q62/P62-1,"")))</f>
        <v/>
      </c>
      <c r="R63" s="15">
        <f>IF(OR(R62="",Q62=""),"",IF(Q62&lt;=0,"",IFERROR(R62/Q62-1,"")))</f>
        <v/>
      </c>
      <c r="S63" s="15">
        <f>IF(OR(S62="",R62=""),"",IF(R62&lt;=0,"",IFERROR(S62/R62-1,"")))</f>
        <v/>
      </c>
      <c r="T63" s="15">
        <f>IF(OR(T62="",S62=""),"",IF(S62&lt;=0,"",IFERROR(T62/S62-1,"")))</f>
        <v/>
      </c>
      <c r="U63" s="15">
        <f>IF(OR(U62="",T62=""),"",IF(T62&lt;=0,"",IFERROR(U62/T62-1,"")))</f>
        <v/>
      </c>
      <c r="V63" s="15">
        <f>IF(OR(V62="",U62=""),"",IF(U62&lt;=0,"",IFERROR(V62/U62-1,"")))</f>
        <v/>
      </c>
      <c r="W63" s="15">
        <f>IF(OR(W62="",V62=""),"",IF(V62&lt;=0,"",IFERROR(W62/V62-1,"")))</f>
        <v/>
      </c>
      <c r="X63" s="15">
        <f>IF(OR(X62="",W62=""),"",IF(W62&lt;=0,"",IFERROR(X62/W62-1,"")))</f>
        <v/>
      </c>
      <c r="Y63" s="14">
        <f>IF(OR(Y62="",X62=""),"",IF(X62&lt;=0,"",IFERROR(Y62/X62-1,"")))</f>
        <v/>
      </c>
      <c r="Z63" s="15">
        <f>IF(OR(Z62="",Y62=""),"",IF(Y62&lt;=0,"",IFERROR(Z62/Y62-1,"")))</f>
        <v/>
      </c>
      <c r="AA63" s="15">
        <f>IF(OR(AA62="",Z62=""),"",IF(Z62&lt;=0,"",IFERROR(AA62/Z62-1,"")))</f>
        <v/>
      </c>
      <c r="AB63" s="15">
        <f>IF(OR(AB62="",AA62=""),"",IF(AA62&lt;=0,"",IFERROR(AB62/AA62-1,"")))</f>
        <v/>
      </c>
      <c r="AC63" s="15">
        <f>IF(OR(AC62="",AB62=""),"",IF(AB62&lt;=0,"",IFERROR(AC62/AB62-1,"")))</f>
        <v/>
      </c>
    </row>
    <row r="64">
      <c r="A64" s="9" t="inlineStr">
        <is>
          <t>지배주주 순이익</t>
        </is>
      </c>
      <c r="B64" s="10" t="n"/>
      <c r="C64" s="11" t="n">
        <v>21205</v>
      </c>
      <c r="D64" s="12" t="n">
        <v>15147</v>
      </c>
      <c r="E64" s="12" t="n">
        <v>23873</v>
      </c>
      <c r="F64" s="12" t="n">
        <v>45470</v>
      </c>
      <c r="G64" s="12" t="n">
        <v>51867</v>
      </c>
      <c r="H64" s="12" t="n">
        <v>39967</v>
      </c>
      <c r="I64" s="12" t="n">
        <v>90180</v>
      </c>
      <c r="J64" s="12" t="n">
        <v>79633</v>
      </c>
      <c r="K64" s="12" t="n">
        <v>78713</v>
      </c>
      <c r="L64" s="12" t="n">
        <v>126827</v>
      </c>
      <c r="M64" s="12" t="n">
        <v>174780</v>
      </c>
      <c r="N64" s="12" t="n">
        <v>193303</v>
      </c>
      <c r="O64" s="11" t="n"/>
      <c r="P64" s="12" t="n">
        <v>18103</v>
      </c>
      <c r="Q64" s="12" t="n">
        <v>56993</v>
      </c>
      <c r="R64" s="12" t="n">
        <v>53532</v>
      </c>
      <c r="S64" s="12" t="n">
        <v>69787</v>
      </c>
      <c r="T64" s="12" t="n">
        <v>87301</v>
      </c>
      <c r="U64" s="12" t="n">
        <v>130400</v>
      </c>
      <c r="V64" s="12" t="n">
        <v>62290</v>
      </c>
      <c r="W64" s="12" t="n">
        <v>161177</v>
      </c>
      <c r="X64" s="12" t="n">
        <v>375353</v>
      </c>
      <c r="Y64" s="11">
        <f>IF(OR(Y62="",Y65=""),"",IFERROR(Y62*Y65,""))</f>
        <v/>
      </c>
      <c r="Z64" s="12">
        <f>IF(OR(Z62="",Z65=""),"",IFERROR(Z62*Z65,""))</f>
        <v/>
      </c>
      <c r="AA64" s="12">
        <f>IF(OR(AA62="",AA65=""),"",IFERROR(AA62*AA65,""))</f>
        <v/>
      </c>
      <c r="AB64" s="12">
        <f>IF(OR(AB62="",AB65=""),"",IFERROR(AB62*AB65,""))</f>
        <v/>
      </c>
      <c r="AC64" s="12">
        <f>IF(OR(AC62="",AC65=""),"",IFERROR(AC62*AC65,""))</f>
        <v/>
      </c>
    </row>
    <row r="65">
      <c r="A65" s="13" t="inlineStr">
        <is>
          <t>지배주주 순이익률</t>
        </is>
      </c>
      <c r="B65" s="10" t="inlineStr">
        <is>
          <t>MW 기본 100%</t>
        </is>
      </c>
      <c r="C65" s="14">
        <f>IF(OR(C64="",C62=""),"",IFERROR(C64/C62,""))</f>
        <v/>
      </c>
      <c r="D65" s="15">
        <f>IF(OR(D64="",D62=""),"",IFERROR(D64/D62,""))</f>
        <v/>
      </c>
      <c r="E65" s="15">
        <f>IF(OR(E64="",E62=""),"",IFERROR(E64/E62,""))</f>
        <v/>
      </c>
      <c r="F65" s="15">
        <f>IF(OR(F64="",F62=""),"",IFERROR(F64/F62,""))</f>
        <v/>
      </c>
      <c r="G65" s="15">
        <f>IF(OR(G64="",G62=""),"",IFERROR(G64/G62,""))</f>
        <v/>
      </c>
      <c r="H65" s="15">
        <f>IF(OR(H64="",H62=""),"",IFERROR(H64/H62,""))</f>
        <v/>
      </c>
      <c r="I65" s="15">
        <f>IF(OR(I64="",I62=""),"",IFERROR(I64/I62,""))</f>
        <v/>
      </c>
      <c r="J65" s="15">
        <f>IF(OR(J64="",J62=""),"",IFERROR(J64/J62,""))</f>
        <v/>
      </c>
      <c r="K65" s="15">
        <f>IF(OR(K64="",K62=""),"",IFERROR(K64/K62,""))</f>
        <v/>
      </c>
      <c r="L65" s="15">
        <f>IF(OR(L64="",L62=""),"",IFERROR(L64/L62,""))</f>
        <v/>
      </c>
      <c r="M65" s="15">
        <f>IF(OR(M64="",M62=""),"",IFERROR(M64/M62,""))</f>
        <v/>
      </c>
      <c r="N65" s="15">
        <f>IF(OR(N64="",N62=""),"",IFERROR(N64/N62,""))</f>
        <v/>
      </c>
      <c r="O65" s="14">
        <f>IF(OR(O64="",O62=""),"",IFERROR(O64/O62,""))</f>
        <v/>
      </c>
      <c r="P65" s="15">
        <f>IF(OR(P64="",P62=""),"",IFERROR(P64/P62,""))</f>
        <v/>
      </c>
      <c r="Q65" s="15">
        <f>IF(OR(Q64="",Q62=""),"",IFERROR(Q64/Q62,""))</f>
        <v/>
      </c>
      <c r="R65" s="15">
        <f>IF(OR(R64="",R62=""),"",IFERROR(R64/R62,""))</f>
        <v/>
      </c>
      <c r="S65" s="15">
        <f>IF(OR(S64="",S62=""),"",IFERROR(S64/S62,""))</f>
        <v/>
      </c>
      <c r="T65" s="15">
        <f>IF(OR(T64="",T62=""),"",IFERROR(T64/T62,""))</f>
        <v/>
      </c>
      <c r="U65" s="15">
        <f>IF(OR(U64="",U62=""),"",IFERROR(U64/U62,""))</f>
        <v/>
      </c>
      <c r="V65" s="15">
        <f>IF(OR(V64="",V62=""),"",IFERROR(V64/V62,""))</f>
        <v/>
      </c>
      <c r="W65" s="15">
        <f>IF(OR(W64="",W62=""),"",IFERROR(W64/W62,""))</f>
        <v/>
      </c>
      <c r="X65" s="15">
        <f>IF(OR(X64="",X62=""),"",IFERROR(X64/X62,""))</f>
        <v/>
      </c>
      <c r="Y65" s="25" t="n">
        <v>1</v>
      </c>
      <c r="Z65" s="26" t="n">
        <v>1</v>
      </c>
      <c r="AA65" s="26" t="n">
        <v>1</v>
      </c>
      <c r="AB65" s="26" t="n">
        <v>1</v>
      </c>
      <c r="AC65" s="26" t="n">
        <v>1</v>
      </c>
    </row>
    <row r="66">
      <c r="A66" s="13" t="inlineStr">
        <is>
          <t>지배주주 순이익 YoY</t>
        </is>
      </c>
      <c r="B66" s="10" t="n"/>
      <c r="C66" s="14" t="n"/>
      <c r="D66" s="15" t="n"/>
      <c r="E66" s="15" t="n"/>
      <c r="F66" s="15" t="n"/>
      <c r="G66" s="15">
        <f>IF(OR(G64="",C64=""),"",IF(C64&lt;=0,"",IFERROR(G64/C64-1,"")))</f>
        <v/>
      </c>
      <c r="H66" s="15">
        <f>IF(OR(H64="",D64=""),"",IF(D64&lt;=0,"",IFERROR(H64/D64-1,"")))</f>
        <v/>
      </c>
      <c r="I66" s="15">
        <f>IF(OR(I64="",E64=""),"",IF(E64&lt;=0,"",IFERROR(I64/E64-1,"")))</f>
        <v/>
      </c>
      <c r="J66" s="15">
        <f>IF(OR(J64="",F64=""),"",IF(F64&lt;=0,"",IFERROR(J64/F64-1,"")))</f>
        <v/>
      </c>
      <c r="K66" s="15">
        <f>IF(OR(K64="",G64=""),"",IF(G64&lt;=0,"",IFERROR(K64/G64-1,"")))</f>
        <v/>
      </c>
      <c r="L66" s="15">
        <f>IF(OR(L64="",H64=""),"",IF(H64&lt;=0,"",IFERROR(L64/H64-1,"")))</f>
        <v/>
      </c>
      <c r="M66" s="15">
        <f>IF(OR(M64="",I64=""),"",IF(I64&lt;=0,"",IFERROR(M64/I64-1,"")))</f>
        <v/>
      </c>
      <c r="N66" s="15">
        <f>IF(OR(N64="",J64=""),"",IF(J64&lt;=0,"",IFERROR(N64/J64-1,"")))</f>
        <v/>
      </c>
      <c r="O66" s="14" t="n"/>
      <c r="P66" s="15">
        <f>IF(OR(P64="",O64=""),"",IF(O64&lt;=0,"",IFERROR(P64/O64-1,"")))</f>
        <v/>
      </c>
      <c r="Q66" s="15">
        <f>IF(OR(Q64="",P64=""),"",IF(P64&lt;=0,"",IFERROR(Q64/P64-1,"")))</f>
        <v/>
      </c>
      <c r="R66" s="15">
        <f>IF(OR(R64="",Q64=""),"",IF(Q64&lt;=0,"",IFERROR(R64/Q64-1,"")))</f>
        <v/>
      </c>
      <c r="S66" s="15">
        <f>IF(OR(S64="",R64=""),"",IF(R64&lt;=0,"",IFERROR(S64/R64-1,"")))</f>
        <v/>
      </c>
      <c r="T66" s="15">
        <f>IF(OR(T64="",S64=""),"",IF(S64&lt;=0,"",IFERROR(T64/S64-1,"")))</f>
        <v/>
      </c>
      <c r="U66" s="15">
        <f>IF(OR(U64="",T64=""),"",IF(T64&lt;=0,"",IFERROR(U64/T64-1,"")))</f>
        <v/>
      </c>
      <c r="V66" s="15">
        <f>IF(OR(V64="",U64=""),"",IF(U64&lt;=0,"",IFERROR(V64/U64-1,"")))</f>
        <v/>
      </c>
      <c r="W66" s="15">
        <f>IF(OR(W64="",V64=""),"",IF(V64&lt;=0,"",IFERROR(W64/V64-1,"")))</f>
        <v/>
      </c>
      <c r="X66" s="15">
        <f>IF(OR(X64="",W64=""),"",IF(W64&lt;=0,"",IFERROR(X64/W64-1,"")))</f>
        <v/>
      </c>
      <c r="Y66" s="14">
        <f>IF(OR(Y64="",X64=""),"",IF(X64&lt;=0,"",IFERROR(Y64/X64-1,"")))</f>
        <v/>
      </c>
      <c r="Z66" s="15">
        <f>IF(OR(Z64="",Y64=""),"",IF(Y64&lt;=0,"",IFERROR(Z64/Y64-1,"")))</f>
        <v/>
      </c>
      <c r="AA66" s="15">
        <f>IF(OR(AA64="",Z64=""),"",IF(Z64&lt;=0,"",IFERROR(AA64/Z64-1,"")))</f>
        <v/>
      </c>
      <c r="AB66" s="15">
        <f>IF(OR(AB64="",AA64=""),"",IF(AA64&lt;=0,"",IFERROR(AB64/AA64-1,"")))</f>
        <v/>
      </c>
      <c r="AC66" s="15">
        <f>IF(OR(AC64="",AB64=""),"",IF(AB64&lt;=0,"",IFERROR(AC64/AB64-1,"")))</f>
        <v/>
      </c>
    </row>
    <row r="67">
      <c r="A67" s="16" t="inlineStr">
        <is>
          <t>목표주가 산출</t>
        </is>
      </c>
      <c r="B67" s="16" t="n"/>
      <c r="C67" s="17" t="n"/>
      <c r="D67" s="16" t="n"/>
      <c r="E67" s="16" t="n"/>
      <c r="F67" s="16" t="n"/>
      <c r="G67" s="16" t="n"/>
      <c r="H67" s="16" t="n"/>
      <c r="I67" s="16" t="n"/>
      <c r="J67" s="16" t="n"/>
      <c r="K67" s="16" t="n"/>
      <c r="L67" s="16" t="n"/>
      <c r="M67" s="16" t="n"/>
      <c r="N67" s="16" t="n"/>
      <c r="O67" s="17" t="n"/>
      <c r="P67" s="16" t="n"/>
      <c r="Q67" s="16" t="n"/>
      <c r="R67" s="16" t="n"/>
      <c r="S67" s="16" t="n"/>
      <c r="T67" s="16" t="n"/>
      <c r="U67" s="16" t="n"/>
      <c r="V67" s="16" t="n"/>
      <c r="W67" s="16" t="n"/>
      <c r="X67" s="16" t="n"/>
      <c r="Y67" s="17" t="n"/>
      <c r="Z67" s="16" t="n"/>
      <c r="AA67" s="16" t="n"/>
      <c r="AB67" s="16" t="n"/>
      <c r="AC67" s="16" t="n"/>
    </row>
    <row r="68">
      <c r="A68" s="18" t="inlineStr">
        <is>
          <t>현재 주가 (2026.10.28)</t>
        </is>
      </c>
      <c r="B68" s="27" t="n">
        <v>34980</v>
      </c>
      <c r="C68" s="28" t="n"/>
      <c r="D68" s="29" t="n"/>
      <c r="E68" s="29" t="n"/>
      <c r="F68" s="29" t="n"/>
      <c r="G68" s="29" t="n"/>
      <c r="H68" s="29" t="n"/>
      <c r="I68" s="29" t="n"/>
      <c r="J68" s="29" t="n"/>
      <c r="K68" s="29" t="n"/>
      <c r="L68" s="29" t="n"/>
      <c r="M68" s="29" t="n"/>
      <c r="N68" s="29" t="n"/>
      <c r="O68" s="28" t="n"/>
      <c r="P68" s="29" t="n"/>
      <c r="Q68" s="29" t="n"/>
      <c r="R68" s="29" t="n"/>
      <c r="S68" s="29" t="n"/>
      <c r="T68" s="29" t="n"/>
      <c r="U68" s="29" t="n"/>
      <c r="V68" s="29" t="n"/>
      <c r="W68" s="29" t="n"/>
      <c r="X68" s="29" t="n"/>
      <c r="Y68" s="28" t="n"/>
      <c r="Z68" s="29" t="n"/>
      <c r="AA68" s="29" t="n"/>
      <c r="AB68" s="29" t="n"/>
      <c r="AC68" s="29" t="n"/>
    </row>
    <row r="69">
      <c r="A69" s="18" t="inlineStr">
        <is>
          <t>발행주식수 (보통주)</t>
        </is>
      </c>
      <c r="B69" s="27" t="n">
        <v>732000000</v>
      </c>
      <c r="C69" s="28" t="n"/>
      <c r="D69" s="29" t="n"/>
      <c r="E69" s="29" t="n"/>
      <c r="F69" s="29" t="n"/>
      <c r="G69" s="29" t="n"/>
      <c r="H69" s="29" t="n"/>
      <c r="I69" s="29" t="n"/>
      <c r="J69" s="29" t="n"/>
      <c r="K69" s="29" t="n"/>
      <c r="L69" s="29" t="n"/>
      <c r="M69" s="29" t="n"/>
      <c r="N69" s="29" t="n"/>
      <c r="O69" s="28" t="n"/>
      <c r="P69" s="29" t="n"/>
      <c r="Q69" s="29" t="n"/>
      <c r="R69" s="29" t="n"/>
      <c r="S69" s="29" t="n"/>
      <c r="T69" s="29" t="n"/>
      <c r="U69" s="29" t="n"/>
      <c r="V69" s="29" t="n"/>
      <c r="W69" s="29" t="n"/>
      <c r="X69" s="29" t="n"/>
      <c r="Y69" s="28" t="n"/>
      <c r="Z69" s="29" t="n"/>
      <c r="AA69" s="29" t="n"/>
      <c r="AB69" s="29" t="n"/>
      <c r="AC69" s="29" t="n"/>
    </row>
    <row r="70">
      <c r="A70" s="18" t="inlineStr">
        <is>
          <t>시가총액 (백만엔)</t>
        </is>
      </c>
      <c r="B70" s="12">
        <f>IF(OR(B68="",B69=""),"",B68*B69/1000000.0)</f>
        <v/>
      </c>
      <c r="C70" s="19" t="n"/>
      <c r="D70" s="20" t="n"/>
      <c r="E70" s="20" t="n"/>
      <c r="F70" s="20" t="n"/>
      <c r="G70" s="20" t="n"/>
      <c r="H70" s="20" t="n"/>
      <c r="I70" s="20" t="n"/>
      <c r="J70" s="20" t="n"/>
      <c r="K70" s="20" t="n"/>
      <c r="L70" s="20" t="n"/>
      <c r="M70" s="20" t="n"/>
      <c r="N70" s="20" t="n"/>
      <c r="O70" s="19" t="n"/>
      <c r="P70" s="20" t="n"/>
      <c r="Q70" s="20" t="n"/>
      <c r="R70" s="20" t="n"/>
      <c r="S70" s="20" t="n"/>
      <c r="T70" s="20" t="n"/>
      <c r="U70" s="20" t="n"/>
      <c r="V70" s="20" t="n"/>
      <c r="W70" s="20" t="n"/>
      <c r="X70" s="20" t="n"/>
      <c r="Y70" s="19" t="n"/>
      <c r="Z70" s="20" t="n"/>
      <c r="AA70" s="20" t="n"/>
      <c r="AB70" s="20" t="n"/>
      <c r="AC70" s="20" t="n"/>
    </row>
    <row r="71">
      <c r="A71" s="13" t="inlineStr">
        <is>
          <t>OPM</t>
        </is>
      </c>
      <c r="B71" s="10" t="n"/>
      <c r="C71" s="14" t="n"/>
      <c r="D71" s="15" t="n"/>
      <c r="E71" s="15" t="n"/>
      <c r="F71" s="15" t="n"/>
      <c r="G71" s="15" t="n"/>
      <c r="H71" s="15" t="n"/>
      <c r="I71" s="15" t="n"/>
      <c r="J71" s="15" t="n"/>
      <c r="K71" s="15" t="n"/>
      <c r="L71" s="15" t="n"/>
      <c r="M71" s="15" t="n"/>
      <c r="N71" s="15" t="n"/>
      <c r="O71" s="14">
        <f>IF(O35="","",O35)</f>
        <v/>
      </c>
      <c r="P71" s="15">
        <f>IF(P35="","",P35)</f>
        <v/>
      </c>
      <c r="Q71" s="15">
        <f>IF(Q35="","",Q35)</f>
        <v/>
      </c>
      <c r="R71" s="15">
        <f>IF(R35="","",R35)</f>
        <v/>
      </c>
      <c r="S71" s="15">
        <f>IF(S35="","",S35)</f>
        <v/>
      </c>
      <c r="T71" s="15">
        <f>IF(T35="","",T35)</f>
        <v/>
      </c>
      <c r="U71" s="15">
        <f>IF(U35="","",U35)</f>
        <v/>
      </c>
      <c r="V71" s="15">
        <f>IF(V35="","",V35)</f>
        <v/>
      </c>
      <c r="W71" s="15">
        <f>IF(W35="","",W35)</f>
        <v/>
      </c>
      <c r="X71" s="15">
        <f>IF(X35="","",X35)</f>
        <v/>
      </c>
      <c r="Y71" s="14">
        <f>IF(Y35="","",Y35)</f>
        <v/>
      </c>
      <c r="Z71" s="15">
        <f>IF(Z35="","",Z35)</f>
        <v/>
      </c>
      <c r="AA71" s="15">
        <f>IF(AA35="","",AA35)</f>
        <v/>
      </c>
      <c r="AB71" s="15">
        <f>IF(AB35="","",AB35)</f>
        <v/>
      </c>
      <c r="AC71" s="15">
        <f>IF(AC35="","",AC35)</f>
        <v/>
      </c>
    </row>
    <row r="72">
      <c r="A72" s="13" t="inlineStr">
        <is>
          <t>지배주주 순이익 증가율</t>
        </is>
      </c>
      <c r="B72" s="10" t="n"/>
      <c r="C72" s="14" t="n"/>
      <c r="D72" s="15" t="n"/>
      <c r="E72" s="15" t="n"/>
      <c r="F72" s="15" t="n"/>
      <c r="G72" s="15" t="n"/>
      <c r="H72" s="15" t="n"/>
      <c r="I72" s="15" t="n"/>
      <c r="J72" s="15" t="n"/>
      <c r="K72" s="15" t="n"/>
      <c r="L72" s="15" t="n"/>
      <c r="M72" s="15" t="n"/>
      <c r="N72" s="15" t="n"/>
      <c r="O72" s="14" t="n"/>
      <c r="P72" s="15">
        <f>IF(OR(P64="",O64=""),"",IFERROR(P64/O64-1,""))</f>
        <v/>
      </c>
      <c r="Q72" s="15">
        <f>IF(OR(Q64="",P64=""),"",IFERROR(Q64/P64-1,""))</f>
        <v/>
      </c>
      <c r="R72" s="15">
        <f>IF(OR(R64="",Q64=""),"",IFERROR(R64/Q64-1,""))</f>
        <v/>
      </c>
      <c r="S72" s="15">
        <f>IF(OR(S64="",R64=""),"",IFERROR(S64/R64-1,""))</f>
        <v/>
      </c>
      <c r="T72" s="15">
        <f>IF(OR(T64="",S64=""),"",IFERROR(T64/S64-1,""))</f>
        <v/>
      </c>
      <c r="U72" s="15">
        <f>IF(OR(U64="",T64=""),"",IFERROR(U64/T64-1,""))</f>
        <v/>
      </c>
      <c r="V72" s="15">
        <f>IF(OR(V64="",U64=""),"",IFERROR(V64/U64-1,""))</f>
        <v/>
      </c>
      <c r="W72" s="15">
        <f>IF(OR(W64="",V64=""),"",IFERROR(W64/V64-1,""))</f>
        <v/>
      </c>
      <c r="X72" s="15">
        <f>IF(OR(X64="",W64=""),"",IFERROR(X64/W64-1,""))</f>
        <v/>
      </c>
      <c r="Y72" s="14">
        <f>IF(OR(Y64="",X64=""),"",IFERROR(Y64/X64-1,""))</f>
        <v/>
      </c>
      <c r="Z72" s="15">
        <f>IF(OR(Z64="",Y64=""),"",IFERROR(Z64/Y64-1,""))</f>
        <v/>
      </c>
      <c r="AA72" s="15">
        <f>IF(OR(AA64="",Z64=""),"",IFERROR(AA64/Z64-1,""))</f>
        <v/>
      </c>
      <c r="AB72" s="15">
        <f>IF(OR(AB64="",AA64=""),"",IFERROR(AB64/AA64-1,""))</f>
        <v/>
      </c>
      <c r="AC72" s="15">
        <f>IF(OR(AC64="",AB64=""),"",IFERROR(AC64/AB64-1,""))</f>
        <v/>
      </c>
    </row>
    <row r="73">
      <c r="A73" s="18" t="inlineStr">
        <is>
          <t>P/E (현재 주가)</t>
        </is>
      </c>
      <c r="B73" s="10" t="inlineStr">
        <is>
          <t>시총 ÷ 지배순이익</t>
        </is>
      </c>
      <c r="C73" s="30" t="n"/>
      <c r="D73" s="31" t="n"/>
      <c r="E73" s="31" t="n"/>
      <c r="F73" s="31" t="n"/>
      <c r="G73" s="31" t="n"/>
      <c r="H73" s="31" t="n"/>
      <c r="I73" s="31" t="n"/>
      <c r="J73" s="31" t="n"/>
      <c r="K73" s="31" t="n"/>
      <c r="L73" s="31" t="n"/>
      <c r="M73" s="31" t="n"/>
      <c r="N73" s="31" t="n"/>
      <c r="O73" s="30" t="n"/>
      <c r="P73" s="31" t="n"/>
      <c r="Q73" s="31" t="n"/>
      <c r="R73" s="31" t="n"/>
      <c r="S73" s="31" t="n"/>
      <c r="T73" s="31" t="n"/>
      <c r="U73" s="31" t="n"/>
      <c r="V73" s="31" t="n"/>
      <c r="W73" s="31" t="n"/>
      <c r="X73" s="31">
        <f>IF(OR($B$70="",X64=""),"",IFERROR($B$70/X64,""))</f>
        <v/>
      </c>
      <c r="Y73" s="30">
        <f>IF(OR($B$70="",Y64=""),"",IFERROR($B$70/Y64,""))</f>
        <v/>
      </c>
      <c r="Z73" s="31">
        <f>IF(OR($B$70="",Z64=""),"",IFERROR($B$70/Z64,""))</f>
        <v/>
      </c>
      <c r="AA73" s="31">
        <f>IF(OR($B$70="",AA64=""),"",IFERROR($B$70/AA64,""))</f>
        <v/>
      </c>
      <c r="AB73" s="31">
        <f>IF(OR($B$70="",AB64=""),"",IFERROR($B$70/AB64,""))</f>
        <v/>
      </c>
      <c r="AC73" s="31">
        <f>IF(OR($B$70="",AC64=""),"",IFERROR($B$70/AC64,""))</f>
        <v/>
      </c>
    </row>
    <row r="74">
      <c r="A74" s="18" t="inlineStr">
        <is>
          <t>Target P/E</t>
        </is>
      </c>
      <c r="B74" s="10" t="inlineStr">
        <is>
          <t>직접 입력</t>
        </is>
      </c>
      <c r="C74" s="30" t="n"/>
      <c r="D74" s="31" t="n"/>
      <c r="E74" s="31" t="n"/>
      <c r="F74" s="31" t="n"/>
      <c r="G74" s="31" t="n"/>
      <c r="H74" s="31" t="n"/>
      <c r="I74" s="31" t="n"/>
      <c r="J74" s="31" t="n"/>
      <c r="K74" s="31" t="n"/>
      <c r="L74" s="31" t="n"/>
      <c r="M74" s="31" t="n"/>
      <c r="N74" s="31" t="n"/>
      <c r="O74" s="30" t="n"/>
      <c r="P74" s="31" t="n"/>
      <c r="Q74" s="31" t="n"/>
      <c r="R74" s="31" t="n"/>
      <c r="S74" s="31" t="n"/>
      <c r="T74" s="31" t="n"/>
      <c r="U74" s="31" t="n"/>
      <c r="V74" s="31" t="n"/>
      <c r="W74" s="31" t="n"/>
      <c r="X74" s="31" t="n"/>
      <c r="Y74" s="32" t="n"/>
      <c r="Z74" s="33" t="n"/>
      <c r="AA74" s="33" t="n"/>
      <c r="AB74" s="33" t="n"/>
      <c r="AC74" s="33" t="n"/>
    </row>
    <row r="75">
      <c r="A75" s="18" t="inlineStr">
        <is>
          <t>EPS</t>
        </is>
      </c>
      <c r="B75" s="10" t="inlineStr">
        <is>
          <t>지배순이익 ÷ 주식수</t>
        </is>
      </c>
      <c r="C75" s="28" t="n"/>
      <c r="D75" s="29" t="n"/>
      <c r="E75" s="29" t="n"/>
      <c r="F75" s="29" t="n"/>
      <c r="G75" s="29" t="n"/>
      <c r="H75" s="29" t="n"/>
      <c r="I75" s="29" t="n"/>
      <c r="J75" s="29" t="n"/>
      <c r="K75" s="29" t="n"/>
      <c r="L75" s="29" t="n"/>
      <c r="M75" s="29" t="n"/>
      <c r="N75" s="29" t="n"/>
      <c r="O75" s="28">
        <f>IF(OR(O64="",$B$69=""),"",IFERROR(O64*1000000.0/$B$69,""))</f>
        <v/>
      </c>
      <c r="P75" s="29">
        <f>IF(OR(P64="",$B$69=""),"",IFERROR(P64*1000000.0/$B$69,""))</f>
        <v/>
      </c>
      <c r="Q75" s="29">
        <f>IF(OR(Q64="",$B$69=""),"",IFERROR(Q64*1000000.0/$B$69,""))</f>
        <v/>
      </c>
      <c r="R75" s="29">
        <f>IF(OR(R64="",$B$69=""),"",IFERROR(R64*1000000.0/$B$69,""))</f>
        <v/>
      </c>
      <c r="S75" s="29">
        <f>IF(OR(S64="",$B$69=""),"",IFERROR(S64*1000000.0/$B$69,""))</f>
        <v/>
      </c>
      <c r="T75" s="29">
        <f>IF(OR(T64="",$B$69=""),"",IFERROR(T64*1000000.0/$B$69,""))</f>
        <v/>
      </c>
      <c r="U75" s="29">
        <f>IF(OR(U64="",$B$69=""),"",IFERROR(U64*1000000.0/$B$69,""))</f>
        <v/>
      </c>
      <c r="V75" s="29">
        <f>IF(OR(V64="",$B$69=""),"",IFERROR(V64*1000000.0/$B$69,""))</f>
        <v/>
      </c>
      <c r="W75" s="29">
        <f>IF(OR(W64="",$B$69=""),"",IFERROR(W64*1000000.0/$B$69,""))</f>
        <v/>
      </c>
      <c r="X75" s="29">
        <f>IF(OR(X64="",$B$69=""),"",IFERROR(X64*1000000.0/$B$69,""))</f>
        <v/>
      </c>
      <c r="Y75" s="28">
        <f>IF(OR(Y64="",$B$69=""),"",IFERROR(Y64*1000000.0/$B$69,""))</f>
        <v/>
      </c>
      <c r="Z75" s="29">
        <f>IF(OR(Z64="",$B$69=""),"",IFERROR(Z64*1000000.0/$B$69,""))</f>
        <v/>
      </c>
      <c r="AA75" s="29">
        <f>IF(OR(AA64="",$B$69=""),"",IFERROR(AA64*1000000.0/$B$69,""))</f>
        <v/>
      </c>
      <c r="AB75" s="29">
        <f>IF(OR(AB64="",$B$69=""),"",IFERROR(AB64*1000000.0/$B$69,""))</f>
        <v/>
      </c>
      <c r="AC75" s="29">
        <f>IF(OR(AC64="",$B$69=""),"",IFERROR(AC64*1000000.0/$B$69,""))</f>
        <v/>
      </c>
    </row>
    <row r="76">
      <c r="A76" s="9" t="inlineStr">
        <is>
          <t>목표주가</t>
        </is>
      </c>
      <c r="B76" s="10" t="n"/>
      <c r="C76" s="34" t="n"/>
      <c r="D76" s="27" t="n"/>
      <c r="E76" s="27" t="n"/>
      <c r="F76" s="27" t="n"/>
      <c r="G76" s="27" t="n"/>
      <c r="H76" s="27" t="n"/>
      <c r="I76" s="27" t="n"/>
      <c r="J76" s="27" t="n"/>
      <c r="K76" s="27" t="n"/>
      <c r="L76" s="27" t="n"/>
      <c r="M76" s="27" t="n"/>
      <c r="N76" s="27" t="n"/>
      <c r="O76" s="34" t="n"/>
      <c r="P76" s="27" t="n"/>
      <c r="Q76" s="27" t="n"/>
      <c r="R76" s="27" t="n"/>
      <c r="S76" s="27" t="n"/>
      <c r="T76" s="27" t="n"/>
      <c r="U76" s="27" t="n"/>
      <c r="V76" s="27" t="n"/>
      <c r="W76" s="27" t="n"/>
      <c r="X76" s="27" t="n"/>
      <c r="Y76" s="34">
        <f>IF(OR(Y75="",Y74=""),"",IFERROR(Y75*Y74,""))</f>
        <v/>
      </c>
      <c r="Z76" s="27">
        <f>IF(OR(Z75="",Z74=""),"",IFERROR(Z75*Z74,""))</f>
        <v/>
      </c>
      <c r="AA76" s="27">
        <f>IF(OR(AA75="",AA74=""),"",IFERROR(AA75*AA74,""))</f>
        <v/>
      </c>
      <c r="AB76" s="27">
        <f>IF(OR(AB75="",AB74=""),"",IFERROR(AB75*AB74,""))</f>
        <v/>
      </c>
      <c r="AC76" s="27">
        <f>IF(OR(AC75="",AC74=""),"",IFERROR(AC75*AC74,""))</f>
        <v/>
      </c>
    </row>
    <row r="77">
      <c r="A77" s="18" t="inlineStr">
        <is>
          <t>상승여력</t>
        </is>
      </c>
      <c r="B77" s="10" t="n"/>
      <c r="C77" s="35" t="n"/>
      <c r="D77" s="36" t="n"/>
      <c r="E77" s="36" t="n"/>
      <c r="F77" s="36" t="n"/>
      <c r="G77" s="36" t="n"/>
      <c r="H77" s="36" t="n"/>
      <c r="I77" s="36" t="n"/>
      <c r="J77" s="36" t="n"/>
      <c r="K77" s="36" t="n"/>
      <c r="L77" s="36" t="n"/>
      <c r="M77" s="36" t="n"/>
      <c r="N77" s="36" t="n"/>
      <c r="O77" s="35" t="n"/>
      <c r="P77" s="36" t="n"/>
      <c r="Q77" s="36" t="n"/>
      <c r="R77" s="36" t="n"/>
      <c r="S77" s="36" t="n"/>
      <c r="T77" s="36" t="n"/>
      <c r="U77" s="36" t="n"/>
      <c r="V77" s="36" t="n"/>
      <c r="W77" s="36" t="n"/>
      <c r="X77" s="36" t="n"/>
      <c r="Y77" s="37">
        <f>IF(OR(Y76="",$B$68=""),"",IFERROR(Y76/$B$68-1,""))</f>
        <v/>
      </c>
      <c r="Z77" s="38">
        <f>IF(OR(Z76="",$B$68=""),"",IFERROR(Z76/$B$68-1,""))</f>
        <v/>
      </c>
      <c r="AA77" s="38">
        <f>IF(OR(AA76="",$B$68=""),"",IFERROR(AA76/$B$68-1,""))</f>
        <v/>
      </c>
      <c r="AB77" s="38">
        <f>IF(OR(AB76="",$B$68=""),"",IFERROR(AB76/$B$68-1,""))</f>
        <v/>
      </c>
      <c r="AC77" s="38">
        <f>IF(OR(AC76="",$B$68=""),"",IFERROR(AC76/$B$68-1,""))</f>
        <v/>
      </c>
    </row>
    <row r="78">
      <c r="A78" s="16" t="inlineStr">
        <is>
          <t>자산가치 산출</t>
        </is>
      </c>
      <c r="B78" s="16" t="inlineStr">
        <is>
          <t>최신 분기 BS</t>
        </is>
      </c>
      <c r="C78" s="17" t="n"/>
      <c r="D78" s="16" t="n"/>
      <c r="E78" s="16" t="n"/>
      <c r="F78" s="16" t="n"/>
      <c r="G78" s="16" t="n"/>
      <c r="H78" s="16" t="n"/>
      <c r="I78" s="16" t="n"/>
      <c r="J78" s="16" t="n"/>
      <c r="K78" s="16" t="n"/>
      <c r="L78" s="16" t="n"/>
      <c r="M78" s="16" t="n"/>
      <c r="N78" s="16" t="n"/>
      <c r="O78" s="17" t="n"/>
      <c r="P78" s="16" t="n"/>
      <c r="Q78" s="16" t="n"/>
      <c r="R78" s="16" t="n"/>
      <c r="S78" s="16" t="n"/>
      <c r="T78" s="16" t="n"/>
      <c r="U78" s="16" t="n"/>
      <c r="V78" s="16" t="n"/>
      <c r="W78" s="16" t="n"/>
      <c r="X78" s="16" t="n"/>
      <c r="Y78" s="17" t="n"/>
      <c r="Z78" s="16" t="n"/>
      <c r="AA78" s="16" t="n"/>
      <c r="AB78" s="16" t="n"/>
      <c r="AC78" s="16" t="n"/>
    </row>
    <row r="79">
      <c r="A79" s="18" t="inlineStr">
        <is>
          <t>현금및현금성자산</t>
        </is>
      </c>
      <c r="B79" s="10" t="n"/>
      <c r="C79" s="19" t="n"/>
      <c r="D79" s="20" t="n"/>
      <c r="E79" s="20" t="n"/>
      <c r="F79" s="20" t="n"/>
      <c r="G79" s="20" t="n"/>
      <c r="H79" s="20" t="n"/>
      <c r="I79" s="20" t="n"/>
      <c r="J79" s="20" t="n"/>
      <c r="K79" s="20" t="n"/>
      <c r="L79" s="20" t="n"/>
      <c r="M79" s="20" t="n"/>
      <c r="N79" s="20" t="n"/>
      <c r="O79" s="19" t="n"/>
      <c r="P79" s="20" t="n"/>
      <c r="Q79" s="20" t="n"/>
      <c r="R79" s="20" t="n"/>
      <c r="S79" s="20" t="n"/>
      <c r="T79" s="20" t="n"/>
      <c r="U79" s="20" t="n"/>
      <c r="V79" s="20" t="n"/>
      <c r="W79" s="20" t="n"/>
      <c r="X79" s="20">
        <f>'재무상태표'!G6</f>
        <v/>
      </c>
      <c r="Y79" s="19">
        <f>'재무상태표'!G6</f>
        <v/>
      </c>
      <c r="Z79" s="20">
        <f>'재무상태표'!G6</f>
        <v/>
      </c>
      <c r="AA79" s="20">
        <f>'재무상태표'!G6</f>
        <v/>
      </c>
      <c r="AB79" s="20">
        <f>'재무상태표'!G6</f>
        <v/>
      </c>
      <c r="AC79" s="20">
        <f>'재무상태표'!G6</f>
        <v/>
      </c>
    </row>
    <row r="80">
      <c r="A80" s="18" t="inlineStr">
        <is>
          <t>단기금융상품</t>
        </is>
      </c>
      <c r="B80" s="10" t="n"/>
      <c r="C80" s="19" t="n"/>
      <c r="D80" s="20" t="n"/>
      <c r="E80" s="20" t="n"/>
      <c r="F80" s="20" t="n"/>
      <c r="G80" s="20" t="n"/>
      <c r="H80" s="20" t="n"/>
      <c r="I80" s="20" t="n"/>
      <c r="J80" s="20" t="n"/>
      <c r="K80" s="20" t="n"/>
      <c r="L80" s="20" t="n"/>
      <c r="M80" s="20" t="n"/>
      <c r="N80" s="20" t="n"/>
      <c r="O80" s="19" t="n"/>
      <c r="P80" s="20" t="n"/>
      <c r="Q80" s="20" t="n"/>
      <c r="R80" s="20" t="n"/>
      <c r="S80" s="20" t="n"/>
      <c r="T80" s="20" t="n"/>
      <c r="U80" s="20" t="n"/>
      <c r="V80" s="20" t="n"/>
      <c r="W80" s="20" t="n"/>
      <c r="X80" s="20">
        <f>'재무상태표'!G7</f>
        <v/>
      </c>
      <c r="Y80" s="19">
        <f>'재무상태표'!G7</f>
        <v/>
      </c>
      <c r="Z80" s="20">
        <f>'재무상태표'!G7</f>
        <v/>
      </c>
      <c r="AA80" s="20">
        <f>'재무상태표'!G7</f>
        <v/>
      </c>
      <c r="AB80" s="20">
        <f>'재무상태표'!G7</f>
        <v/>
      </c>
      <c r="AC80" s="20">
        <f>'재무상태표'!G7</f>
        <v/>
      </c>
    </row>
    <row r="81">
      <c r="A81" s="18" t="inlineStr">
        <is>
          <t>투자부동산</t>
        </is>
      </c>
      <c r="B81" s="10" t="n"/>
      <c r="C81" s="19" t="n"/>
      <c r="D81" s="20" t="n"/>
      <c r="E81" s="20" t="n"/>
      <c r="F81" s="20" t="n"/>
      <c r="G81" s="20" t="n"/>
      <c r="H81" s="20" t="n"/>
      <c r="I81" s="20" t="n"/>
      <c r="J81" s="20" t="n"/>
      <c r="K81" s="20" t="n"/>
      <c r="L81" s="20" t="n"/>
      <c r="M81" s="20" t="n"/>
      <c r="N81" s="20" t="n"/>
      <c r="O81" s="19" t="n"/>
      <c r="P81" s="20" t="n"/>
      <c r="Q81" s="20" t="n"/>
      <c r="R81" s="20" t="n"/>
      <c r="S81" s="20" t="n"/>
      <c r="T81" s="20" t="n"/>
      <c r="U81" s="20" t="n"/>
      <c r="V81" s="20" t="n"/>
      <c r="W81" s="20" t="n"/>
      <c r="X81" s="20">
        <f>'재무상태표'!G14</f>
        <v/>
      </c>
      <c r="Y81" s="19">
        <f>'재무상태표'!G14</f>
        <v/>
      </c>
      <c r="Z81" s="20">
        <f>'재무상태표'!G14</f>
        <v/>
      </c>
      <c r="AA81" s="20">
        <f>'재무상태표'!G14</f>
        <v/>
      </c>
      <c r="AB81" s="20">
        <f>'재무상태표'!G14</f>
        <v/>
      </c>
      <c r="AC81" s="20">
        <f>'재무상태표'!G14</f>
        <v/>
      </c>
    </row>
    <row r="82">
      <c r="A82" s="18" t="inlineStr">
        <is>
          <t>지배자본</t>
        </is>
      </c>
      <c r="B82" s="10" t="n"/>
      <c r="C82" s="19" t="n"/>
      <c r="D82" s="20" t="n"/>
      <c r="E82" s="20" t="n"/>
      <c r="F82" s="20" t="n"/>
      <c r="G82" s="20" t="n"/>
      <c r="H82" s="20" t="n"/>
      <c r="I82" s="20" t="n"/>
      <c r="J82" s="20" t="n"/>
      <c r="K82" s="20" t="n"/>
      <c r="L82" s="20" t="n"/>
      <c r="M82" s="20" t="n"/>
      <c r="N82" s="20" t="n"/>
      <c r="O82" s="19" t="n"/>
      <c r="P82" s="20" t="n"/>
      <c r="Q82" s="20" t="n"/>
      <c r="R82" s="20" t="n"/>
      <c r="S82" s="20" t="n"/>
      <c r="T82" s="20" t="n"/>
      <c r="U82" s="20" t="n"/>
      <c r="V82" s="20" t="n"/>
      <c r="W82" s="20" t="n"/>
      <c r="X82" s="20">
        <f>'재무상태표'!G31</f>
        <v/>
      </c>
      <c r="Y82" s="19">
        <f>'재무상태표'!G31</f>
        <v/>
      </c>
      <c r="Z82" s="20">
        <f>'재무상태표'!G31</f>
        <v/>
      </c>
      <c r="AA82" s="20">
        <f>'재무상태표'!G31</f>
        <v/>
      </c>
      <c r="AB82" s="20">
        <f>'재무상태표'!G31</f>
        <v/>
      </c>
      <c r="AC82" s="20">
        <f>'재무상태표'!G31</f>
        <v/>
      </c>
    </row>
    <row r="83">
      <c r="A83" s="18" t="inlineStr">
        <is>
          <t>부채</t>
        </is>
      </c>
      <c r="B83" s="10" t="n"/>
      <c r="C83" s="19" t="n"/>
      <c r="D83" s="20" t="n"/>
      <c r="E83" s="20" t="n"/>
      <c r="F83" s="20" t="n"/>
      <c r="G83" s="20" t="n"/>
      <c r="H83" s="20" t="n"/>
      <c r="I83" s="20" t="n"/>
      <c r="J83" s="20" t="n"/>
      <c r="K83" s="20" t="n"/>
      <c r="L83" s="20" t="n"/>
      <c r="M83" s="20" t="n"/>
      <c r="N83" s="20" t="n"/>
      <c r="O83" s="19" t="n"/>
      <c r="P83" s="20" t="n"/>
      <c r="Q83" s="20" t="n"/>
      <c r="R83" s="20" t="n"/>
      <c r="S83" s="20" t="n"/>
      <c r="T83" s="20" t="n"/>
      <c r="U83" s="20" t="n"/>
      <c r="V83" s="20" t="n"/>
      <c r="W83" s="20" t="n"/>
      <c r="X83" s="20">
        <f>'재무상태표'!G27</f>
        <v/>
      </c>
      <c r="Y83" s="19">
        <f>'재무상태표'!G27</f>
        <v/>
      </c>
      <c r="Z83" s="20">
        <f>'재무상태표'!G27</f>
        <v/>
      </c>
      <c r="AA83" s="20">
        <f>'재무상태표'!G27</f>
        <v/>
      </c>
      <c r="AB83" s="20">
        <f>'재무상태표'!G27</f>
        <v/>
      </c>
      <c r="AC83" s="20">
        <f>'재무상태표'!G27</f>
        <v/>
      </c>
    </row>
    <row r="84">
      <c r="A84" s="13" t="inlineStr">
        <is>
          <t>부채비율</t>
        </is>
      </c>
      <c r="B84" s="10" t="n"/>
      <c r="C84" s="14" t="n"/>
      <c r="D84" s="15" t="n"/>
      <c r="E84" s="15" t="n"/>
      <c r="F84" s="15" t="n"/>
      <c r="G84" s="15" t="n"/>
      <c r="H84" s="15" t="n"/>
      <c r="I84" s="15" t="n"/>
      <c r="J84" s="15" t="n"/>
      <c r="K84" s="15" t="n"/>
      <c r="L84" s="15" t="n"/>
      <c r="M84" s="15" t="n"/>
      <c r="N84" s="15" t="n"/>
      <c r="O84" s="14" t="n"/>
      <c r="P84" s="15" t="n"/>
      <c r="Q84" s="15" t="n"/>
      <c r="R84" s="15" t="n"/>
      <c r="S84" s="15" t="n"/>
      <c r="T84" s="15" t="n"/>
      <c r="U84" s="15" t="n"/>
      <c r="V84" s="15" t="n"/>
      <c r="W84" s="15" t="n"/>
      <c r="X84" s="15">
        <f>IF(OR(X83="",X82=""),"",IFERROR(X83/X82,""))</f>
        <v/>
      </c>
      <c r="Y84" s="14">
        <f>IF(OR(Y83="",Y82=""),"",IFERROR(Y83/Y82,""))</f>
        <v/>
      </c>
      <c r="Z84" s="15">
        <f>IF(OR(Z83="",Z82=""),"",IFERROR(Z83/Z82,""))</f>
        <v/>
      </c>
      <c r="AA84" s="15">
        <f>IF(OR(AA83="",AA82=""),"",IFERROR(AA83/AA82,""))</f>
        <v/>
      </c>
      <c r="AB84" s="15">
        <f>IF(OR(AB83="",AB82=""),"",IFERROR(AB83/AB82,""))</f>
        <v/>
      </c>
      <c r="AC84" s="15">
        <f>IF(OR(AC83="",AC82=""),"",IFERROR(AC83/AC82,""))</f>
        <v/>
      </c>
    </row>
    <row r="85">
      <c r="A85" s="9" t="inlineStr">
        <is>
          <t>자산가치</t>
        </is>
      </c>
      <c r="B85" s="10" t="inlineStr">
        <is>
          <t>현금+단기금융+투자부동산</t>
        </is>
      </c>
      <c r="C85" s="11" t="n"/>
      <c r="D85" s="12" t="n"/>
      <c r="E85" s="12" t="n"/>
      <c r="F85" s="12" t="n"/>
      <c r="G85" s="12" t="n"/>
      <c r="H85" s="12" t="n"/>
      <c r="I85" s="12" t="n"/>
      <c r="J85" s="12" t="n"/>
      <c r="K85" s="12" t="n"/>
      <c r="L85" s="12" t="n"/>
      <c r="M85" s="12" t="n"/>
      <c r="N85" s="12" t="n"/>
      <c r="O85" s="11" t="n"/>
      <c r="P85" s="12" t="n"/>
      <c r="Q85" s="12" t="n"/>
      <c r="R85" s="12" t="n"/>
      <c r="S85" s="12" t="n"/>
      <c r="T85" s="12" t="n"/>
      <c r="U85" s="12" t="n"/>
      <c r="V85" s="12" t="n"/>
      <c r="W85" s="12" t="n"/>
      <c r="X85" s="12">
        <f>SUM(X79,X80,X81)</f>
        <v/>
      </c>
      <c r="Y85" s="11">
        <f>SUM(Y79,Y80,Y81)</f>
        <v/>
      </c>
      <c r="Z85" s="12">
        <f>SUM(Z79,Z80,Z81)</f>
        <v/>
      </c>
      <c r="AA85" s="12">
        <f>SUM(AA79,AA80,AA81)</f>
        <v/>
      </c>
      <c r="AB85" s="12">
        <f>SUM(AB79,AB80,AB81)</f>
        <v/>
      </c>
      <c r="AC85" s="12">
        <f>SUM(AC79,AC80,AC81)</f>
        <v/>
      </c>
    </row>
    <row r="86">
      <c r="A86" s="16" t="inlineStr">
        <is>
          <t>기업가치 산출</t>
        </is>
      </c>
      <c r="B86" s="16" t="n"/>
      <c r="C86" s="17" t="n"/>
      <c r="D86" s="16" t="n"/>
      <c r="E86" s="16" t="n"/>
      <c r="F86" s="16" t="n"/>
      <c r="G86" s="16" t="n"/>
      <c r="H86" s="16" t="n"/>
      <c r="I86" s="16" t="n"/>
      <c r="J86" s="16" t="n"/>
      <c r="K86" s="16" t="n"/>
      <c r="L86" s="16" t="n"/>
      <c r="M86" s="16" t="n"/>
      <c r="N86" s="16" t="n"/>
      <c r="O86" s="17" t="n"/>
      <c r="P86" s="16" t="n"/>
      <c r="Q86" s="16" t="n"/>
      <c r="R86" s="16" t="n"/>
      <c r="S86" s="16" t="n"/>
      <c r="T86" s="16" t="n"/>
      <c r="U86" s="16" t="n"/>
      <c r="V86" s="16" t="n"/>
      <c r="W86" s="16" t="n"/>
      <c r="X86" s="16" t="n"/>
      <c r="Y86" s="17" t="n"/>
      <c r="Z86" s="16" t="n"/>
      <c r="AA86" s="16" t="n"/>
      <c r="AB86" s="16" t="n"/>
      <c r="AC86" s="16" t="n"/>
    </row>
    <row r="87">
      <c r="A87" s="18" t="inlineStr">
        <is>
          <t>목표 시가총액 (P/E)</t>
        </is>
      </c>
      <c r="B87" s="10" t="inlineStr">
        <is>
          <t>지배순이익 × Target P/E</t>
        </is>
      </c>
      <c r="C87" s="19" t="n"/>
      <c r="D87" s="20" t="n"/>
      <c r="E87" s="20" t="n"/>
      <c r="F87" s="20" t="n"/>
      <c r="G87" s="20" t="n"/>
      <c r="H87" s="20" t="n"/>
      <c r="I87" s="20" t="n"/>
      <c r="J87" s="20" t="n"/>
      <c r="K87" s="20" t="n"/>
      <c r="L87" s="20" t="n"/>
      <c r="M87" s="20" t="n"/>
      <c r="N87" s="20" t="n"/>
      <c r="O87" s="19" t="n"/>
      <c r="P87" s="20" t="n"/>
      <c r="Q87" s="20" t="n"/>
      <c r="R87" s="20" t="n"/>
      <c r="S87" s="20" t="n"/>
      <c r="T87" s="20" t="n"/>
      <c r="U87" s="20" t="n"/>
      <c r="V87" s="20" t="n"/>
      <c r="W87" s="20" t="n"/>
      <c r="X87" s="20" t="n"/>
      <c r="Y87" s="19">
        <f>IF(OR(Y64="",Y74=""),"",IFERROR(Y64*Y74,""))</f>
        <v/>
      </c>
      <c r="Z87" s="20">
        <f>IF(OR(Z64="",Z74=""),"",IFERROR(Z64*Z74,""))</f>
        <v/>
      </c>
      <c r="AA87" s="20">
        <f>IF(OR(AA64="",AA74=""),"",IFERROR(AA64*AA74,""))</f>
        <v/>
      </c>
      <c r="AB87" s="20">
        <f>IF(OR(AB64="",AB74=""),"",IFERROR(AB64*AB74,""))</f>
        <v/>
      </c>
      <c r="AC87" s="20">
        <f>IF(OR(AC64="",AC74=""),"",IFERROR(AC64*AC74,""))</f>
        <v/>
      </c>
    </row>
    <row r="88">
      <c r="A88" s="9" t="inlineStr">
        <is>
          <t>기업가치</t>
        </is>
      </c>
      <c r="B88" s="10" t="inlineStr">
        <is>
          <t>목표시총 + 자산가치</t>
        </is>
      </c>
      <c r="C88" s="11" t="n"/>
      <c r="D88" s="12" t="n"/>
      <c r="E88" s="12" t="n"/>
      <c r="F88" s="12" t="n"/>
      <c r="G88" s="12" t="n"/>
      <c r="H88" s="12" t="n"/>
      <c r="I88" s="12" t="n"/>
      <c r="J88" s="12" t="n"/>
      <c r="K88" s="12" t="n"/>
      <c r="L88" s="12" t="n"/>
      <c r="M88" s="12" t="n"/>
      <c r="N88" s="12" t="n"/>
      <c r="O88" s="11" t="n"/>
      <c r="P88" s="12" t="n"/>
      <c r="Q88" s="12" t="n"/>
      <c r="R88" s="12" t="n"/>
      <c r="S88" s="12" t="n"/>
      <c r="T88" s="12" t="n"/>
      <c r="U88" s="12" t="n"/>
      <c r="V88" s="12" t="n"/>
      <c r="W88" s="12" t="n"/>
      <c r="X88" s="12" t="n"/>
      <c r="Y88" s="11">
        <f>IF(OR(Y87=""),"",IFERROR(Y87+Y85,""))</f>
        <v/>
      </c>
      <c r="Z88" s="12">
        <f>IF(OR(Z87=""),"",IFERROR(Z87+Z85,""))</f>
        <v/>
      </c>
      <c r="AA88" s="12">
        <f>IF(OR(AA87=""),"",IFERROR(AA87+AA85,""))</f>
        <v/>
      </c>
      <c r="AB88" s="12">
        <f>IF(OR(AB87=""),"",IFERROR(AB87+AB85,""))</f>
        <v/>
      </c>
      <c r="AC88" s="12">
        <f>IF(OR(AC87=""),"",IFERROR(AC87+AC85,""))</f>
        <v/>
      </c>
    </row>
    <row r="89">
      <c r="A89" s="18" t="inlineStr">
        <is>
          <t>현재 시가총액</t>
        </is>
      </c>
      <c r="B89" s="10" t="n"/>
      <c r="C89" s="19" t="n"/>
      <c r="D89" s="20" t="n"/>
      <c r="E89" s="20" t="n"/>
      <c r="F89" s="20" t="n"/>
      <c r="G89" s="20" t="n"/>
      <c r="H89" s="20" t="n"/>
      <c r="I89" s="20" t="n"/>
      <c r="J89" s="20" t="n"/>
      <c r="K89" s="20" t="n"/>
      <c r="L89" s="20" t="n"/>
      <c r="M89" s="20" t="n"/>
      <c r="N89" s="20" t="n"/>
      <c r="O89" s="19" t="n"/>
      <c r="P89" s="20" t="n"/>
      <c r="Q89" s="20" t="n"/>
      <c r="R89" s="20" t="n"/>
      <c r="S89" s="20" t="n"/>
      <c r="T89" s="20" t="n"/>
      <c r="U89" s="20" t="n"/>
      <c r="V89" s="20" t="n"/>
      <c r="W89" s="20" t="n"/>
      <c r="X89" s="20" t="n"/>
      <c r="Y89" s="19">
        <f>$B$70</f>
        <v/>
      </c>
      <c r="Z89" s="20">
        <f>$B$70</f>
        <v/>
      </c>
      <c r="AA89" s="20">
        <f>$B$70</f>
        <v/>
      </c>
      <c r="AB89" s="20">
        <f>$B$70</f>
        <v/>
      </c>
      <c r="AC89" s="20">
        <f>$B$70</f>
        <v/>
      </c>
    </row>
    <row r="90">
      <c r="A90" s="18" t="inlineStr">
        <is>
          <t>상승여력</t>
        </is>
      </c>
      <c r="B90" s="10" t="n"/>
      <c r="C90" s="35" t="n"/>
      <c r="D90" s="36" t="n"/>
      <c r="E90" s="36" t="n"/>
      <c r="F90" s="36" t="n"/>
      <c r="G90" s="36" t="n"/>
      <c r="H90" s="36" t="n"/>
      <c r="I90" s="36" t="n"/>
      <c r="J90" s="36" t="n"/>
      <c r="K90" s="36" t="n"/>
      <c r="L90" s="36" t="n"/>
      <c r="M90" s="36" t="n"/>
      <c r="N90" s="36" t="n"/>
      <c r="O90" s="35" t="n"/>
      <c r="P90" s="36" t="n"/>
      <c r="Q90" s="36" t="n"/>
      <c r="R90" s="36" t="n"/>
      <c r="S90" s="36" t="n"/>
      <c r="T90" s="36" t="n"/>
      <c r="U90" s="36" t="n"/>
      <c r="V90" s="36" t="n"/>
      <c r="W90" s="36" t="n"/>
      <c r="X90" s="36" t="n"/>
      <c r="Y90" s="37">
        <f>IF(OR(Y88="",Y89=""),"",IFERROR(Y88/Y89-1,""))</f>
        <v/>
      </c>
      <c r="Z90" s="38">
        <f>IF(OR(Z88="",Z89=""),"",IFERROR(Z88/Z89-1,""))</f>
        <v/>
      </c>
      <c r="AA90" s="38">
        <f>IF(OR(AA88="",AA89=""),"",IFERROR(AA88/AA89-1,""))</f>
        <v/>
      </c>
      <c r="AB90" s="38">
        <f>IF(OR(AB88="",AB89=""),"",IFERROR(AB88/AB89-1,""))</f>
        <v/>
      </c>
      <c r="AC90" s="38">
        <f>IF(OR(AC88="",AC89=""),"",IFERROR(AC88/AC89-1,""))</f>
        <v/>
      </c>
    </row>
    <row r="91">
      <c r="C91" s="39" t="n"/>
      <c r="O91" s="39" t="n"/>
      <c r="Y91" s="39" t="n"/>
    </row>
    <row r="92">
      <c r="A92" s="40" t="inlineStr">
        <is>
          <t>출처</t>
        </is>
      </c>
      <c r="C92" s="39" t="n"/>
      <c r="O92" s="39" t="n"/>
      <c r="Y92" s="39" t="n"/>
    </row>
    <row r="93">
      <c r="A93" s="41" t="inlineStr">
        <is>
          <t>결산단신 XBRL(TDnet·JPX 보관소) — 쓴 문서는 '출처' 시트</t>
        </is>
      </c>
      <c r="C93" s="39" t="n"/>
      <c r="O93" s="39" t="n"/>
      <c r="Y93" s="39" t="n"/>
    </row>
    <row r="94">
      <c r="A94" s="41" t="inlineStr">
        <is>
          <t>분기 = 누계에서 앞 분기를 뺀 3개월 값</t>
        </is>
      </c>
      <c r="C94" s="39" t="n"/>
      <c r="O94" s="39" t="n"/>
      <c r="Y94" s="39" t="n"/>
    </row>
    <row r="95">
      <c r="A95" s="41" t="inlineStr">
        <is>
          <t>주가: 야후 파이낸스 일봉 2026.10.28</t>
        </is>
      </c>
      <c r="C95" s="39" t="n"/>
      <c r="O95" s="39" t="n"/>
      <c r="Y95" s="39" t="n"/>
    </row>
    <row r="97">
      <c r="A97" s="16" t="inlineStr">
        <is>
          <t>손익계산서 · 전 항목</t>
        </is>
      </c>
      <c r="B97" s="42" t="inlineStr">
        <is>
          <t>분기 = 3개월 단독</t>
        </is>
      </c>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row>
    <row r="98">
      <c r="A98" s="5" t="inlineStr">
        <is>
          <t>항목</t>
        </is>
      </c>
      <c r="B98" s="5" t="inlineStr">
        <is>
          <t>참고</t>
        </is>
      </c>
      <c r="C98" s="5" t="inlineStr">
        <is>
          <t>2024.3Q</t>
        </is>
      </c>
      <c r="D98" s="5" t="inlineStr">
        <is>
          <t>2024.4Q</t>
        </is>
      </c>
      <c r="E98" s="5" t="inlineStr">
        <is>
          <t>2025.1Q</t>
        </is>
      </c>
      <c r="F98" s="5" t="inlineStr">
        <is>
          <t>2025.2Q</t>
        </is>
      </c>
      <c r="G98" s="5" t="inlineStr">
        <is>
          <t>2025.3Q</t>
        </is>
      </c>
      <c r="H98" s="5" t="inlineStr">
        <is>
          <t>2025.4Q</t>
        </is>
      </c>
      <c r="I98" s="5" t="inlineStr">
        <is>
          <t>2026.1Q</t>
        </is>
      </c>
      <c r="J98" s="5" t="inlineStr">
        <is>
          <t>2026.2Q</t>
        </is>
      </c>
      <c r="K98" s="5" t="inlineStr">
        <is>
          <t>2026.3Q</t>
        </is>
      </c>
      <c r="L98" s="5" t="inlineStr">
        <is>
          <t>2026.4Q</t>
        </is>
      </c>
      <c r="M98" s="5" t="inlineStr">
        <is>
          <t>2027.1Q</t>
        </is>
      </c>
      <c r="N98" s="5" t="inlineStr">
        <is>
          <t>2027.2Q</t>
        </is>
      </c>
      <c r="O98" s="5" t="inlineStr">
        <is>
          <t>2017</t>
        </is>
      </c>
      <c r="P98" s="5" t="inlineStr">
        <is>
          <t>2018</t>
        </is>
      </c>
      <c r="Q98" s="5" t="inlineStr">
        <is>
          <t>2019</t>
        </is>
      </c>
      <c r="R98" s="5" t="inlineStr">
        <is>
          <t>2020</t>
        </is>
      </c>
      <c r="S98" s="5" t="inlineStr">
        <is>
          <t>2021</t>
        </is>
      </c>
      <c r="T98" s="5" t="inlineStr">
        <is>
          <t>2022</t>
        </is>
      </c>
      <c r="U98" s="5" t="inlineStr">
        <is>
          <t>2023</t>
        </is>
      </c>
      <c r="V98" s="5" t="inlineStr">
        <is>
          <t>2024</t>
        </is>
      </c>
      <c r="W98" s="5" t="inlineStr">
        <is>
          <t>2025</t>
        </is>
      </c>
      <c r="X98" s="5" t="inlineStr">
        <is>
          <t>2026</t>
        </is>
      </c>
      <c r="Y98" s="5" t="inlineStr">
        <is>
          <t>2027(MW)</t>
        </is>
      </c>
      <c r="Z98" s="5" t="inlineStr">
        <is>
          <t>2028(MW)</t>
        </is>
      </c>
      <c r="AA98" s="5" t="inlineStr">
        <is>
          <t>2029(MW)</t>
        </is>
      </c>
      <c r="AB98" s="5" t="inlineStr">
        <is>
          <t>2030(MW)</t>
        </is>
      </c>
      <c r="AC98" s="5" t="inlineStr">
        <is>
          <t>2031(MW)</t>
        </is>
      </c>
    </row>
    <row r="99">
      <c r="A99" s="9" t="inlineStr">
        <is>
          <t>매출액</t>
        </is>
      </c>
      <c r="C99" s="12" t="n">
        <v>133233</v>
      </c>
      <c r="D99" s="12" t="n">
        <v>135763</v>
      </c>
      <c r="E99" s="12" t="n">
        <v>138725</v>
      </c>
      <c r="F99" s="12" t="n">
        <v>190481</v>
      </c>
      <c r="G99" s="12" t="n">
        <v>218152</v>
      </c>
      <c r="H99" s="12" t="n">
        <v>232349</v>
      </c>
      <c r="I99" s="12" t="n">
        <v>263776</v>
      </c>
      <c r="J99" s="12" t="n">
        <v>262957</v>
      </c>
      <c r="K99" s="12" t="n">
        <v>273804</v>
      </c>
      <c r="L99" s="12" t="n">
        <v>328073</v>
      </c>
      <c r="M99" s="12" t="n">
        <v>367473</v>
      </c>
      <c r="N99" s="12" t="n">
        <v>477727</v>
      </c>
      <c r="T99" s="12" t="n">
        <v>116834</v>
      </c>
      <c r="U99" s="12" t="n">
        <v>147392</v>
      </c>
      <c r="V99" s="12" t="n">
        <v>135763</v>
      </c>
      <c r="W99" s="12" t="n">
        <v>232349</v>
      </c>
      <c r="X99" s="12" t="n">
        <v>328073</v>
      </c>
    </row>
    <row r="100">
      <c r="A100" s="43" t="inlineStr">
        <is>
          <t>YoY</t>
        </is>
      </c>
      <c r="B100" s="3" t="inlineStr">
        <is>
          <t>전년 같은 분기·전년 대비</t>
        </is>
      </c>
      <c r="G100" s="15">
        <f>IF(OR(G99="",C99=""),"",IF(C99&lt;=0,"",IFERROR(G99/C99-1,"")))</f>
        <v/>
      </c>
      <c r="H100" s="15">
        <f>IF(OR(H99="",D99=""),"",IF(D99&lt;=0,"",IFERROR(H99/D99-1,"")))</f>
        <v/>
      </c>
      <c r="I100" s="15">
        <f>IF(OR(I99="",E99=""),"",IF(E99&lt;=0,"",IFERROR(I99/E99-1,"")))</f>
        <v/>
      </c>
      <c r="J100" s="15">
        <f>IF(OR(J99="",F99=""),"",IF(F99&lt;=0,"",IFERROR(J99/F99-1,"")))</f>
        <v/>
      </c>
      <c r="K100" s="15">
        <f>IF(OR(K99="",G99=""),"",IF(G99&lt;=0,"",IFERROR(K99/G99-1,"")))</f>
        <v/>
      </c>
      <c r="L100" s="15">
        <f>IF(OR(L99="",H99=""),"",IF(H99&lt;=0,"",IFERROR(L99/H99-1,"")))</f>
        <v/>
      </c>
      <c r="M100" s="15">
        <f>IF(OR(M99="",I99=""),"",IF(I99&lt;=0,"",IFERROR(M99/I99-1,"")))</f>
        <v/>
      </c>
      <c r="N100" s="15">
        <f>IF(OR(N99="",J99=""),"",IF(J99&lt;=0,"",IFERROR(N99/J99-1,"")))</f>
        <v/>
      </c>
      <c r="T100" s="15">
        <f>IF(OR(T99="",S99=""),"",IF(S99&lt;=0,"",IFERROR(T99/S99-1,"")))</f>
        <v/>
      </c>
      <c r="U100" s="15">
        <f>IF(OR(U99="",T99=""),"",IF(T99&lt;=0,"",IFERROR(U99/T99-1,"")))</f>
        <v/>
      </c>
      <c r="V100" s="15">
        <f>IF(OR(V99="",U99=""),"",IF(U99&lt;=0,"",IFERROR(V99/U99-1,"")))</f>
        <v/>
      </c>
      <c r="W100" s="15">
        <f>IF(OR(W99="",V99=""),"",IF(V99&lt;=0,"",IFERROR(W99/V99-1,"")))</f>
        <v/>
      </c>
      <c r="X100" s="15">
        <f>IF(OR(X99="",W99=""),"",IF(W99&lt;=0,"",IFERROR(X99/W99-1,"")))</f>
        <v/>
      </c>
    </row>
    <row r="101">
      <c r="A101" s="18" t="inlineStr">
        <is>
          <t>매출원가</t>
        </is>
      </c>
      <c r="C101" s="20" t="n">
        <v>65846</v>
      </c>
      <c r="D101" s="20" t="n">
        <v>66129</v>
      </c>
      <c r="E101" s="20" t="n">
        <v>61819</v>
      </c>
      <c r="F101" s="20" t="n">
        <v>80390</v>
      </c>
      <c r="G101" s="20" t="n">
        <v>99298</v>
      </c>
      <c r="H101" s="20" t="n">
        <v>93115</v>
      </c>
      <c r="I101" s="20" t="n">
        <v>92138</v>
      </c>
      <c r="J101" s="20" t="n">
        <v>99316</v>
      </c>
      <c r="K101" s="20" t="n">
        <v>104096</v>
      </c>
      <c r="L101" s="20" t="n">
        <v>106953</v>
      </c>
      <c r="M101" s="20" t="n">
        <v>111920</v>
      </c>
      <c r="N101" s="20" t="n">
        <v>137902</v>
      </c>
      <c r="T101" s="20" t="n">
        <v>50531</v>
      </c>
      <c r="U101" s="20" t="n">
        <v>68694</v>
      </c>
      <c r="V101" s="20" t="n">
        <v>66129</v>
      </c>
      <c r="W101" s="20" t="n">
        <v>93115</v>
      </c>
      <c r="X101" s="20" t="n">
        <v>106953</v>
      </c>
    </row>
    <row r="102">
      <c r="A102" s="43" t="inlineStr">
        <is>
          <t>YoY</t>
        </is>
      </c>
      <c r="B102" s="3" t="inlineStr">
        <is>
          <t>전년 같은 분기·전년 대비</t>
        </is>
      </c>
      <c r="G102" s="15">
        <f>IF(OR(G101="",C101=""),"",IF(G101*C101&lt;=0,"",IFERROR(G101/C101-1,"")))</f>
        <v/>
      </c>
      <c r="H102" s="15">
        <f>IF(OR(H101="",D101=""),"",IF(H101*D101&lt;=0,"",IFERROR(H101/D101-1,"")))</f>
        <v/>
      </c>
      <c r="I102" s="15">
        <f>IF(OR(I101="",E101=""),"",IF(I101*E101&lt;=0,"",IFERROR(I101/E101-1,"")))</f>
        <v/>
      </c>
      <c r="J102" s="15">
        <f>IF(OR(J101="",F101=""),"",IF(J101*F101&lt;=0,"",IFERROR(J101/F101-1,"")))</f>
        <v/>
      </c>
      <c r="K102" s="15">
        <f>IF(OR(K101="",G101=""),"",IF(K101*G101&lt;=0,"",IFERROR(K101/G101-1,"")))</f>
        <v/>
      </c>
      <c r="L102" s="15">
        <f>IF(OR(L101="",H101=""),"",IF(L101*H101&lt;=0,"",IFERROR(L101/H101-1,"")))</f>
        <v/>
      </c>
      <c r="M102" s="15">
        <f>IF(OR(M101="",I101=""),"",IF(M101*I101&lt;=0,"",IFERROR(M101/I101-1,"")))</f>
        <v/>
      </c>
      <c r="N102" s="15">
        <f>IF(OR(N101="",J101=""),"",IF(N101*J101&lt;=0,"",IFERROR(N101/J101-1,"")))</f>
        <v/>
      </c>
      <c r="T102" s="15">
        <f>IF(OR(T101="",S101=""),"",IF(T101*S101&lt;=0,"",IFERROR(T101/S101-1,"")))</f>
        <v/>
      </c>
      <c r="U102" s="15">
        <f>IF(OR(U101="",T101=""),"",IF(U101*T101&lt;=0,"",IFERROR(U101/T101-1,"")))</f>
        <v/>
      </c>
      <c r="V102" s="15">
        <f>IF(OR(V101="",U101=""),"",IF(V101*U101&lt;=0,"",IFERROR(V101/U101-1,"")))</f>
        <v/>
      </c>
      <c r="W102" s="15">
        <f>IF(OR(W101="",V101=""),"",IF(W101*V101&lt;=0,"",IFERROR(W101/V101-1,"")))</f>
        <v/>
      </c>
      <c r="X102" s="15">
        <f>IF(OR(X101="",W101=""),"",IF(X101*W101&lt;=0,"",IFERROR(X101/W101-1,"")))</f>
        <v/>
      </c>
    </row>
    <row r="103">
      <c r="A103" s="9" t="inlineStr">
        <is>
          <t>매출총이익</t>
        </is>
      </c>
      <c r="C103" s="12" t="n">
        <v>67387</v>
      </c>
      <c r="D103" s="12" t="n">
        <v>69634</v>
      </c>
      <c r="E103" s="12" t="n">
        <v>76906</v>
      </c>
      <c r="F103" s="12" t="n">
        <v>110091</v>
      </c>
      <c r="G103" s="12" t="n">
        <v>118854</v>
      </c>
      <c r="H103" s="12" t="n">
        <v>139234</v>
      </c>
      <c r="I103" s="12" t="n">
        <v>171638</v>
      </c>
      <c r="J103" s="12" t="n">
        <v>163641</v>
      </c>
      <c r="K103" s="12" t="n">
        <v>169708</v>
      </c>
      <c r="L103" s="12" t="n">
        <v>221120</v>
      </c>
      <c r="M103" s="12" t="n">
        <v>255553</v>
      </c>
      <c r="N103" s="12" t="n">
        <v>339825</v>
      </c>
      <c r="T103" s="12" t="n">
        <v>66303</v>
      </c>
      <c r="U103" s="12" t="n">
        <v>78698</v>
      </c>
      <c r="V103" s="12" t="n">
        <v>69634</v>
      </c>
      <c r="W103" s="12" t="n">
        <v>139234</v>
      </c>
      <c r="X103" s="12" t="n">
        <v>221120</v>
      </c>
    </row>
    <row r="104">
      <c r="A104" s="43" t="inlineStr">
        <is>
          <t>YoY</t>
        </is>
      </c>
      <c r="B104" s="3" t="inlineStr">
        <is>
          <t>전년 같은 분기·전년 대비</t>
        </is>
      </c>
      <c r="G104" s="15">
        <f>IF(OR(G103="",C103=""),"",IF(C103&lt;=0,"",IFERROR(G103/C103-1,"")))</f>
        <v/>
      </c>
      <c r="H104" s="15">
        <f>IF(OR(H103="",D103=""),"",IF(D103&lt;=0,"",IFERROR(H103/D103-1,"")))</f>
        <v/>
      </c>
      <c r="I104" s="15">
        <f>IF(OR(I103="",E103=""),"",IF(E103&lt;=0,"",IFERROR(I103/E103-1,"")))</f>
        <v/>
      </c>
      <c r="J104" s="15">
        <f>IF(OR(J103="",F103=""),"",IF(F103&lt;=0,"",IFERROR(J103/F103-1,"")))</f>
        <v/>
      </c>
      <c r="K104" s="15">
        <f>IF(OR(K103="",G103=""),"",IF(G103&lt;=0,"",IFERROR(K103/G103-1,"")))</f>
        <v/>
      </c>
      <c r="L104" s="15">
        <f>IF(OR(L103="",H103=""),"",IF(H103&lt;=0,"",IFERROR(L103/H103-1,"")))</f>
        <v/>
      </c>
      <c r="M104" s="15">
        <f>IF(OR(M103="",I103=""),"",IF(I103&lt;=0,"",IFERROR(M103/I103-1,"")))</f>
        <v/>
      </c>
      <c r="N104" s="15">
        <f>IF(OR(N103="",J103=""),"",IF(J103&lt;=0,"",IFERROR(N103/J103-1,"")))</f>
        <v/>
      </c>
      <c r="T104" s="15">
        <f>IF(OR(T103="",S103=""),"",IF(S103&lt;=0,"",IFERROR(T103/S103-1,"")))</f>
        <v/>
      </c>
      <c r="U104" s="15">
        <f>IF(OR(U103="",T103=""),"",IF(T103&lt;=0,"",IFERROR(U103/T103-1,"")))</f>
        <v/>
      </c>
      <c r="V104" s="15">
        <f>IF(OR(V103="",U103=""),"",IF(U103&lt;=0,"",IFERROR(V103/U103-1,"")))</f>
        <v/>
      </c>
      <c r="W104" s="15">
        <f>IF(OR(W103="",V103=""),"",IF(V103&lt;=0,"",IFERROR(W103/V103-1,"")))</f>
        <v/>
      </c>
      <c r="X104" s="15">
        <f>IF(OR(X103="",W103=""),"",IF(W103&lt;=0,"",IFERROR(X103/W103-1,"")))</f>
        <v/>
      </c>
    </row>
    <row r="105">
      <c r="A105" s="18" t="inlineStr">
        <is>
          <t>판매비와 관리비</t>
        </is>
      </c>
      <c r="C105" s="20" t="n">
        <v>40611</v>
      </c>
      <c r="D105" s="20" t="n">
        <v>41188</v>
      </c>
      <c r="E105" s="20" t="n">
        <v>45542</v>
      </c>
      <c r="F105" s="20" t="n">
        <v>46832</v>
      </c>
      <c r="G105" s="20" t="n">
        <v>49316</v>
      </c>
      <c r="H105" s="20" t="n">
        <v>53702</v>
      </c>
      <c r="I105" s="20" t="n">
        <v>50514</v>
      </c>
      <c r="J105" s="20" t="n">
        <v>55354</v>
      </c>
      <c r="K105" s="20" t="n">
        <v>56196</v>
      </c>
      <c r="L105" s="20" t="n">
        <v>67564</v>
      </c>
      <c r="M105" s="20" t="n">
        <v>66247</v>
      </c>
      <c r="N105" s="20" t="n">
        <v>73243</v>
      </c>
      <c r="T105" s="20" t="n">
        <v>32661</v>
      </c>
      <c r="U105" s="20" t="n">
        <v>40492</v>
      </c>
      <c r="V105" s="20" t="n">
        <v>41188</v>
      </c>
      <c r="W105" s="20" t="n">
        <v>53702</v>
      </c>
      <c r="X105" s="20" t="n">
        <v>67564</v>
      </c>
    </row>
    <row r="106">
      <c r="A106" s="43" t="inlineStr">
        <is>
          <t>YoY</t>
        </is>
      </c>
      <c r="B106" s="3" t="inlineStr">
        <is>
          <t>전년 같은 분기·전년 대비</t>
        </is>
      </c>
      <c r="G106" s="15">
        <f>IF(OR(G105="",C105=""),"",IF(G105*C105&lt;=0,"",IFERROR(G105/C105-1,"")))</f>
        <v/>
      </c>
      <c r="H106" s="15">
        <f>IF(OR(H105="",D105=""),"",IF(H105*D105&lt;=0,"",IFERROR(H105/D105-1,"")))</f>
        <v/>
      </c>
      <c r="I106" s="15">
        <f>IF(OR(I105="",E105=""),"",IF(I105*E105&lt;=0,"",IFERROR(I105/E105-1,"")))</f>
        <v/>
      </c>
      <c r="J106" s="15">
        <f>IF(OR(J105="",F105=""),"",IF(J105*F105&lt;=0,"",IFERROR(J105/F105-1,"")))</f>
        <v/>
      </c>
      <c r="K106" s="15">
        <f>IF(OR(K105="",G105=""),"",IF(K105*G105&lt;=0,"",IFERROR(K105/G105-1,"")))</f>
        <v/>
      </c>
      <c r="L106" s="15">
        <f>IF(OR(L105="",H105=""),"",IF(L105*H105&lt;=0,"",IFERROR(L105/H105-1,"")))</f>
        <v/>
      </c>
      <c r="M106" s="15">
        <f>IF(OR(M105="",I105=""),"",IF(M105*I105&lt;=0,"",IFERROR(M105/I105-1,"")))</f>
        <v/>
      </c>
      <c r="N106" s="15">
        <f>IF(OR(N105="",J105=""),"",IF(N105*J105&lt;=0,"",IFERROR(N105/J105-1,"")))</f>
        <v/>
      </c>
      <c r="T106" s="15">
        <f>IF(OR(T105="",S105=""),"",IF(T105*S105&lt;=0,"",IFERROR(T105/S105-1,"")))</f>
        <v/>
      </c>
      <c r="U106" s="15">
        <f>IF(OR(U105="",T105=""),"",IF(U105*T105&lt;=0,"",IFERROR(U105/T105-1,"")))</f>
        <v/>
      </c>
      <c r="V106" s="15">
        <f>IF(OR(V105="",U105=""),"",IF(V105*U105&lt;=0,"",IFERROR(V105/U105-1,"")))</f>
        <v/>
      </c>
      <c r="W106" s="15">
        <f>IF(OR(W105="",V105=""),"",IF(W105*V105&lt;=0,"",IFERROR(W105/V105-1,"")))</f>
        <v/>
      </c>
      <c r="X106" s="15">
        <f>IF(OR(X105="",W105=""),"",IF(X105*W105&lt;=0,"",IFERROR(X105/W105-1,"")))</f>
        <v/>
      </c>
    </row>
    <row r="107">
      <c r="A107" s="18" t="inlineStr">
        <is>
          <t>기타수익</t>
        </is>
      </c>
      <c r="C107" s="20" t="n">
        <v>114</v>
      </c>
      <c r="D107" s="20" t="n">
        <v>196</v>
      </c>
      <c r="E107" s="20" t="n">
        <v>152</v>
      </c>
      <c r="F107" s="20" t="n">
        <v>519</v>
      </c>
      <c r="G107" s="20" t="n">
        <v>379</v>
      </c>
      <c r="H107" s="20" t="n">
        <v>316</v>
      </c>
      <c r="I107" s="20" t="n">
        <v>2971</v>
      </c>
      <c r="J107" s="20" t="n">
        <v>319</v>
      </c>
      <c r="K107" s="20" t="n">
        <v>179</v>
      </c>
      <c r="L107" s="20" t="n">
        <v>83</v>
      </c>
      <c r="M107" s="20" t="n">
        <v>796</v>
      </c>
      <c r="N107" s="20" t="n">
        <v>324</v>
      </c>
      <c r="T107" s="20" t="n">
        <v>90</v>
      </c>
      <c r="U107" s="20" t="n">
        <v>414</v>
      </c>
      <c r="V107" s="20" t="n">
        <v>196</v>
      </c>
      <c r="W107" s="20" t="n">
        <v>316</v>
      </c>
      <c r="X107" s="20" t="n">
        <v>83</v>
      </c>
    </row>
    <row r="108">
      <c r="A108" s="18" t="inlineStr">
        <is>
          <t>기타비용</t>
        </is>
      </c>
      <c r="C108" s="20" t="n">
        <v>60</v>
      </c>
      <c r="D108" s="20" t="n">
        <v>9113</v>
      </c>
      <c r="E108" s="20" t="n">
        <v>191</v>
      </c>
      <c r="F108" s="20" t="n">
        <v>244</v>
      </c>
      <c r="G108" s="20" t="n">
        <v>650</v>
      </c>
      <c r="H108" s="20" t="n">
        <v>21813</v>
      </c>
      <c r="I108" s="20" t="n">
        <v>143</v>
      </c>
      <c r="J108" s="20" t="n">
        <v>123</v>
      </c>
      <c r="K108" s="20" t="n">
        <v>120</v>
      </c>
      <c r="L108" s="20" t="n">
        <v>525</v>
      </c>
      <c r="M108" s="20" t="n">
        <v>112</v>
      </c>
      <c r="N108" s="20" t="n">
        <v>87</v>
      </c>
      <c r="T108" s="20" t="n">
        <v>40</v>
      </c>
      <c r="U108" s="20" t="n">
        <v>73</v>
      </c>
      <c r="V108" s="20" t="n">
        <v>9113</v>
      </c>
      <c r="W108" s="20" t="n">
        <v>21813</v>
      </c>
      <c r="X108" s="20" t="n">
        <v>525</v>
      </c>
    </row>
    <row r="109">
      <c r="A109" s="18" t="inlineStr">
        <is>
          <t>영업이익</t>
        </is>
      </c>
      <c r="C109" s="20" t="n">
        <v>26830</v>
      </c>
      <c r="D109" s="20" t="n">
        <v>19529</v>
      </c>
      <c r="E109" s="20" t="n">
        <v>31325</v>
      </c>
      <c r="F109" s="20" t="n">
        <v>63534</v>
      </c>
      <c r="G109" s="20" t="n">
        <v>69267</v>
      </c>
      <c r="H109" s="20" t="n">
        <v>64035</v>
      </c>
      <c r="I109" s="20" t="n">
        <v>123952</v>
      </c>
      <c r="J109" s="20" t="n">
        <v>108483</v>
      </c>
      <c r="K109" s="20" t="n">
        <v>113571</v>
      </c>
      <c r="L109" s="20" t="n">
        <v>153114</v>
      </c>
      <c r="M109" s="20" t="n">
        <v>189990</v>
      </c>
      <c r="N109" s="20" t="n">
        <v>266819</v>
      </c>
      <c r="T109" s="20" t="n">
        <v>33692</v>
      </c>
      <c r="U109" s="20" t="n">
        <v>38547</v>
      </c>
      <c r="V109" s="20" t="n">
        <v>19529</v>
      </c>
      <c r="W109" s="20" t="n">
        <v>64035</v>
      </c>
      <c r="X109" s="20" t="n">
        <v>153114</v>
      </c>
    </row>
    <row r="110">
      <c r="A110" s="43" t="inlineStr">
        <is>
          <t>OPM</t>
        </is>
      </c>
      <c r="B110" s="3" t="inlineStr">
        <is>
          <t>영업이익 ÷ 매출</t>
        </is>
      </c>
      <c r="C110" s="15">
        <f>IF(OR(C109="",C99=""),"",IF(C99&lt;=0,"",IFERROR(C109/C99,"")))</f>
        <v/>
      </c>
      <c r="D110" s="15">
        <f>IF(OR(D109="",D99=""),"",IF(D99&lt;=0,"",IFERROR(D109/D99,"")))</f>
        <v/>
      </c>
      <c r="E110" s="15">
        <f>IF(OR(E109="",E99=""),"",IF(E99&lt;=0,"",IFERROR(E109/E99,"")))</f>
        <v/>
      </c>
      <c r="F110" s="15">
        <f>IF(OR(F109="",F99=""),"",IF(F99&lt;=0,"",IFERROR(F109/F99,"")))</f>
        <v/>
      </c>
      <c r="G110" s="15">
        <f>IF(OR(G109="",G99=""),"",IF(G99&lt;=0,"",IFERROR(G109/G99,"")))</f>
        <v/>
      </c>
      <c r="H110" s="15">
        <f>IF(OR(H109="",H99=""),"",IF(H99&lt;=0,"",IFERROR(H109/H99,"")))</f>
        <v/>
      </c>
      <c r="I110" s="15">
        <f>IF(OR(I109="",I99=""),"",IF(I99&lt;=0,"",IFERROR(I109/I99,"")))</f>
        <v/>
      </c>
      <c r="J110" s="15">
        <f>IF(OR(J109="",J99=""),"",IF(J99&lt;=0,"",IFERROR(J109/J99,"")))</f>
        <v/>
      </c>
      <c r="K110" s="15">
        <f>IF(OR(K109="",K99=""),"",IF(K99&lt;=0,"",IFERROR(K109/K99,"")))</f>
        <v/>
      </c>
      <c r="L110" s="15">
        <f>IF(OR(L109="",L99=""),"",IF(L99&lt;=0,"",IFERROR(L109/L99,"")))</f>
        <v/>
      </c>
      <c r="M110" s="15">
        <f>IF(OR(M109="",M99=""),"",IF(M99&lt;=0,"",IFERROR(M109/M99,"")))</f>
        <v/>
      </c>
      <c r="N110" s="15">
        <f>IF(OR(N109="",N99=""),"",IF(N99&lt;=0,"",IFERROR(N109/N99,"")))</f>
        <v/>
      </c>
      <c r="T110" s="15">
        <f>IF(OR(T109="",T99=""),"",IF(T99&lt;=0,"",IFERROR(T109/T99,"")))</f>
        <v/>
      </c>
      <c r="U110" s="15">
        <f>IF(OR(U109="",U99=""),"",IF(U99&lt;=0,"",IFERROR(U109/U99,"")))</f>
        <v/>
      </c>
      <c r="V110" s="15">
        <f>IF(OR(V109="",V99=""),"",IF(V99&lt;=0,"",IFERROR(V109/V99,"")))</f>
        <v/>
      </c>
      <c r="W110" s="15">
        <f>IF(OR(W109="",W99=""),"",IF(W99&lt;=0,"",IFERROR(W109/W99,"")))</f>
        <v/>
      </c>
      <c r="X110" s="15">
        <f>IF(OR(X109="",X99=""),"",IF(X99&lt;=0,"",IFERROR(X109/X99,"")))</f>
        <v/>
      </c>
    </row>
    <row r="111">
      <c r="A111" s="43" t="inlineStr">
        <is>
          <t>YoY</t>
        </is>
      </c>
      <c r="B111" s="3" t="inlineStr">
        <is>
          <t>전년 같은 분기·전년 대비</t>
        </is>
      </c>
      <c r="G111" s="15">
        <f>IF(OR(G109="",C109=""),"",IF(C109&lt;=0,"",IFERROR(G109/C109-1,"")))</f>
        <v/>
      </c>
      <c r="H111" s="15">
        <f>IF(OR(H109="",D109=""),"",IF(D109&lt;=0,"",IFERROR(H109/D109-1,"")))</f>
        <v/>
      </c>
      <c r="I111" s="15">
        <f>IF(OR(I109="",E109=""),"",IF(E109&lt;=0,"",IFERROR(I109/E109-1,"")))</f>
        <v/>
      </c>
      <c r="J111" s="15">
        <f>IF(OR(J109="",F109=""),"",IF(F109&lt;=0,"",IFERROR(J109/F109-1,"")))</f>
        <v/>
      </c>
      <c r="K111" s="15">
        <f>IF(OR(K109="",G109=""),"",IF(G109&lt;=0,"",IFERROR(K109/G109-1,"")))</f>
        <v/>
      </c>
      <c r="L111" s="15">
        <f>IF(OR(L109="",H109=""),"",IF(H109&lt;=0,"",IFERROR(L109/H109-1,"")))</f>
        <v/>
      </c>
      <c r="M111" s="15">
        <f>IF(OR(M109="",I109=""),"",IF(I109&lt;=0,"",IFERROR(M109/I109-1,"")))</f>
        <v/>
      </c>
      <c r="N111" s="15">
        <f>IF(OR(N109="",J109=""),"",IF(J109&lt;=0,"",IFERROR(N109/J109-1,"")))</f>
        <v/>
      </c>
      <c r="T111" s="15">
        <f>IF(OR(T109="",S109=""),"",IF(S109&lt;=0,"",IFERROR(T109/S109-1,"")))</f>
        <v/>
      </c>
      <c r="U111" s="15">
        <f>IF(OR(U109="",T109=""),"",IF(T109&lt;=0,"",IFERROR(U109/T109-1,"")))</f>
        <v/>
      </c>
      <c r="V111" s="15">
        <f>IF(OR(V109="",U109=""),"",IF(U109&lt;=0,"",IFERROR(V109/U109-1,"")))</f>
        <v/>
      </c>
      <c r="W111" s="15">
        <f>IF(OR(W109="",V109=""),"",IF(V109&lt;=0,"",IFERROR(W109/V109-1,"")))</f>
        <v/>
      </c>
      <c r="X111" s="15">
        <f>IF(OR(X109="",W109=""),"",IF(W109&lt;=0,"",IFERROR(X109/W109-1,"")))</f>
        <v/>
      </c>
    </row>
    <row r="112">
      <c r="A112" s="18" t="inlineStr">
        <is>
          <t>금융수익</t>
        </is>
      </c>
      <c r="C112" s="20" t="n">
        <v>320</v>
      </c>
      <c r="D112" s="20" t="n">
        <v>378</v>
      </c>
      <c r="E112" s="20" t="n">
        <v>1281</v>
      </c>
      <c r="F112" s="20" t="n">
        <v>-322</v>
      </c>
      <c r="G112" s="20" t="n">
        <v>410</v>
      </c>
      <c r="H112" s="20" t="n">
        <v>526</v>
      </c>
      <c r="I112" s="20" t="n">
        <v>693</v>
      </c>
      <c r="J112" s="20" t="n">
        <v>623</v>
      </c>
      <c r="K112" s="20" t="n">
        <v>705</v>
      </c>
      <c r="L112" s="20" t="n">
        <v>18333</v>
      </c>
      <c r="M112" s="20" t="n">
        <v>44680</v>
      </c>
      <c r="N112" s="20" t="n">
        <v>12336</v>
      </c>
      <c r="T112" s="20" t="n">
        <v>1490</v>
      </c>
      <c r="U112" s="20" t="n">
        <v>82</v>
      </c>
      <c r="V112" s="20" t="n">
        <v>378</v>
      </c>
      <c r="W112" s="20" t="n">
        <v>526</v>
      </c>
      <c r="X112" s="20" t="n">
        <v>18333</v>
      </c>
    </row>
    <row r="113">
      <c r="A113" s="43" t="inlineStr">
        <is>
          <t>YoY</t>
        </is>
      </c>
      <c r="B113" s="3" t="inlineStr">
        <is>
          <t>전년 같은 분기·전년 대비</t>
        </is>
      </c>
      <c r="G113" s="15">
        <f>IF(OR(G112="",C112=""),"",IF(G112*C112&lt;=0,"",IFERROR(G112/C112-1,"")))</f>
        <v/>
      </c>
      <c r="H113" s="15">
        <f>IF(OR(H112="",D112=""),"",IF(H112*D112&lt;=0,"",IFERROR(H112/D112-1,"")))</f>
        <v/>
      </c>
      <c r="I113" s="15">
        <f>IF(OR(I112="",E112=""),"",IF(I112*E112&lt;=0,"",IFERROR(I112/E112-1,"")))</f>
        <v/>
      </c>
      <c r="J113" s="15">
        <f>IF(OR(J112="",F112=""),"",IF(J112*F112&lt;=0,"",IFERROR(J112/F112-1,"")))</f>
        <v/>
      </c>
      <c r="K113" s="15">
        <f>IF(OR(K112="",G112=""),"",IF(K112*G112&lt;=0,"",IFERROR(K112/G112-1,"")))</f>
        <v/>
      </c>
      <c r="L113" s="15">
        <f>IF(OR(L112="",H112=""),"",IF(L112*H112&lt;=0,"",IFERROR(L112/H112-1,"")))</f>
        <v/>
      </c>
      <c r="M113" s="15">
        <f>IF(OR(M112="",I112=""),"",IF(M112*I112&lt;=0,"",IFERROR(M112/I112-1,"")))</f>
        <v/>
      </c>
      <c r="N113" s="15">
        <f>IF(OR(N112="",J112=""),"",IF(N112*J112&lt;=0,"",IFERROR(N112/J112-1,"")))</f>
        <v/>
      </c>
      <c r="T113" s="15">
        <f>IF(OR(T112="",S112=""),"",IF(T112*S112&lt;=0,"",IFERROR(T112/S112-1,"")))</f>
        <v/>
      </c>
      <c r="U113" s="15">
        <f>IF(OR(U112="",T112=""),"",IF(U112*T112&lt;=0,"",IFERROR(U112/T112-1,"")))</f>
        <v/>
      </c>
      <c r="V113" s="15">
        <f>IF(OR(V112="",U112=""),"",IF(V112*U112&lt;=0,"",IFERROR(V112/U112-1,"")))</f>
        <v/>
      </c>
      <c r="W113" s="15">
        <f>IF(OR(W112="",V112=""),"",IF(W112*V112&lt;=0,"",IFERROR(W112/V112-1,"")))</f>
        <v/>
      </c>
      <c r="X113" s="15">
        <f>IF(OR(X112="",W112=""),"",IF(X112*W112&lt;=0,"",IFERROR(X112/W112-1,"")))</f>
        <v/>
      </c>
    </row>
    <row r="114">
      <c r="A114" s="18" t="inlineStr">
        <is>
          <t>금융비용</t>
        </is>
      </c>
      <c r="C114" s="20" t="n">
        <v>900</v>
      </c>
      <c r="D114" s="20" t="n">
        <v>1304</v>
      </c>
      <c r="E114" s="20" t="n">
        <v>676</v>
      </c>
      <c r="F114" s="20" t="n">
        <v>2497</v>
      </c>
      <c r="G114" s="20" t="n">
        <v>-870</v>
      </c>
      <c r="H114" s="20" t="n">
        <v>2979</v>
      </c>
      <c r="I114" s="20" t="n">
        <v>3288</v>
      </c>
      <c r="J114" s="20" t="n">
        <v>-54</v>
      </c>
      <c r="K114" s="20" t="n">
        <v>444</v>
      </c>
      <c r="L114" s="20" t="n">
        <v>-924</v>
      </c>
      <c r="M114" s="20" t="n">
        <v>588</v>
      </c>
      <c r="N114" s="20" t="n">
        <v>3003</v>
      </c>
      <c r="T114" s="20" t="n">
        <v>174</v>
      </c>
      <c r="U114" s="20" t="n">
        <v>217</v>
      </c>
      <c r="V114" s="20" t="n">
        <v>1304</v>
      </c>
      <c r="W114" s="20" t="n">
        <v>2979</v>
      </c>
      <c r="X114" s="20" t="n">
        <v>-924</v>
      </c>
    </row>
    <row r="115">
      <c r="A115" s="43" t="inlineStr">
        <is>
          <t>YoY</t>
        </is>
      </c>
      <c r="B115" s="3" t="inlineStr">
        <is>
          <t>전년 같은 분기·전년 대비</t>
        </is>
      </c>
      <c r="G115" s="15">
        <f>IF(OR(G114="",C114=""),"",IF(G114*C114&lt;=0,"",IFERROR(G114/C114-1,"")))</f>
        <v/>
      </c>
      <c r="H115" s="15">
        <f>IF(OR(H114="",D114=""),"",IF(H114*D114&lt;=0,"",IFERROR(H114/D114-1,"")))</f>
        <v/>
      </c>
      <c r="I115" s="15">
        <f>IF(OR(I114="",E114=""),"",IF(I114*E114&lt;=0,"",IFERROR(I114/E114-1,"")))</f>
        <v/>
      </c>
      <c r="J115" s="15">
        <f>IF(OR(J114="",F114=""),"",IF(J114*F114&lt;=0,"",IFERROR(J114/F114-1,"")))</f>
        <v/>
      </c>
      <c r="K115" s="15">
        <f>IF(OR(K114="",G114=""),"",IF(K114*G114&lt;=0,"",IFERROR(K114/G114-1,"")))</f>
        <v/>
      </c>
      <c r="L115" s="15">
        <f>IF(OR(L114="",H114=""),"",IF(L114*H114&lt;=0,"",IFERROR(L114/H114-1,"")))</f>
        <v/>
      </c>
      <c r="M115" s="15">
        <f>IF(OR(M114="",I114=""),"",IF(M114*I114&lt;=0,"",IFERROR(M114/I114-1,"")))</f>
        <v/>
      </c>
      <c r="N115" s="15">
        <f>IF(OR(N114="",J114=""),"",IF(N114*J114&lt;=0,"",IFERROR(N114/J114-1,"")))</f>
        <v/>
      </c>
      <c r="T115" s="15">
        <f>IF(OR(T114="",S114=""),"",IF(T114*S114&lt;=0,"",IFERROR(T114/S114-1,"")))</f>
        <v/>
      </c>
      <c r="U115" s="15">
        <f>IF(OR(U114="",T114=""),"",IF(U114*T114&lt;=0,"",IFERROR(U114/T114-1,"")))</f>
        <v/>
      </c>
      <c r="V115" s="15">
        <f>IF(OR(V114="",U114=""),"",IF(V114*U114&lt;=0,"",IFERROR(V114/U114-1,"")))</f>
        <v/>
      </c>
      <c r="W115" s="15">
        <f>IF(OR(W114="",V114=""),"",IF(W114*V114&lt;=0,"",IFERROR(W114/V114-1,"")))</f>
        <v/>
      </c>
      <c r="X115" s="15">
        <f>IF(OR(X114="",W114=""),"",IF(X114*W114&lt;=0,"",IFERROR(X114/W114-1,"")))</f>
        <v/>
      </c>
    </row>
    <row r="116">
      <c r="A116" s="9" t="inlineStr">
        <is>
          <t>법인세비용차감전 중간이익</t>
        </is>
      </c>
      <c r="C116" s="12" t="n">
        <v>26250</v>
      </c>
      <c r="D116" s="12" t="n">
        <v>18603</v>
      </c>
      <c r="E116" s="12" t="n">
        <v>31930</v>
      </c>
      <c r="F116" s="12" t="n">
        <v>60715</v>
      </c>
      <c r="G116" s="12" t="n">
        <v>70547</v>
      </c>
      <c r="H116" s="12" t="n">
        <v>61582</v>
      </c>
      <c r="I116" s="12" t="n">
        <v>121357</v>
      </c>
      <c r="J116" s="12" t="n">
        <v>109160</v>
      </c>
      <c r="K116" s="12" t="n">
        <v>113832</v>
      </c>
      <c r="L116" s="12" t="n">
        <v>172371</v>
      </c>
      <c r="M116" s="12" t="n">
        <v>234082</v>
      </c>
      <c r="N116" s="12" t="n">
        <v>276152</v>
      </c>
      <c r="T116" s="12" t="n">
        <v>35008</v>
      </c>
      <c r="U116" s="12" t="n">
        <v>38412</v>
      </c>
      <c r="V116" s="12" t="n">
        <v>18603</v>
      </c>
      <c r="W116" s="12" t="n">
        <v>61582</v>
      </c>
      <c r="X116" s="12" t="n">
        <v>172371</v>
      </c>
    </row>
    <row r="117">
      <c r="A117" s="18" t="inlineStr">
        <is>
          <t>법인소득세 비용</t>
        </is>
      </c>
      <c r="C117" s="20" t="n">
        <v>5045</v>
      </c>
      <c r="D117" s="20" t="n">
        <v>3456</v>
      </c>
      <c r="E117" s="20" t="n">
        <v>8057</v>
      </c>
      <c r="F117" s="20" t="n">
        <v>15245</v>
      </c>
      <c r="G117" s="20" t="n">
        <v>18680</v>
      </c>
      <c r="H117" s="20" t="n">
        <v>21615</v>
      </c>
      <c r="I117" s="20" t="n">
        <v>31177</v>
      </c>
      <c r="J117" s="20" t="n">
        <v>29527</v>
      </c>
      <c r="K117" s="20" t="n">
        <v>35119</v>
      </c>
      <c r="L117" s="20" t="n">
        <v>45544</v>
      </c>
      <c r="M117" s="20" t="n">
        <v>59302</v>
      </c>
      <c r="N117" s="20" t="n">
        <v>82849</v>
      </c>
      <c r="T117" s="20" t="n">
        <v>8600</v>
      </c>
      <c r="U117" s="20" t="n">
        <v>7818</v>
      </c>
      <c r="V117" s="20" t="n">
        <v>3456</v>
      </c>
      <c r="W117" s="20" t="n">
        <v>21615</v>
      </c>
      <c r="X117" s="20" t="n">
        <v>45544</v>
      </c>
    </row>
    <row r="118">
      <c r="A118" s="43" t="inlineStr">
        <is>
          <t>YoY</t>
        </is>
      </c>
      <c r="B118" s="3" t="inlineStr">
        <is>
          <t>전년 같은 분기·전년 대비</t>
        </is>
      </c>
      <c r="G118" s="15">
        <f>IF(OR(G117="",C117=""),"",IF(G117*C117&lt;=0,"",IFERROR(G117/C117-1,"")))</f>
        <v/>
      </c>
      <c r="H118" s="15">
        <f>IF(OR(H117="",D117=""),"",IF(H117*D117&lt;=0,"",IFERROR(H117/D117-1,"")))</f>
        <v/>
      </c>
      <c r="I118" s="15">
        <f>IF(OR(I117="",E117=""),"",IF(I117*E117&lt;=0,"",IFERROR(I117/E117-1,"")))</f>
        <v/>
      </c>
      <c r="J118" s="15">
        <f>IF(OR(J117="",F117=""),"",IF(J117*F117&lt;=0,"",IFERROR(J117/F117-1,"")))</f>
        <v/>
      </c>
      <c r="K118" s="15">
        <f>IF(OR(K117="",G117=""),"",IF(K117*G117&lt;=0,"",IFERROR(K117/G117-1,"")))</f>
        <v/>
      </c>
      <c r="L118" s="15">
        <f>IF(OR(L117="",H117=""),"",IF(L117*H117&lt;=0,"",IFERROR(L117/H117-1,"")))</f>
        <v/>
      </c>
      <c r="M118" s="15">
        <f>IF(OR(M117="",I117=""),"",IF(M117*I117&lt;=0,"",IFERROR(M117/I117-1,"")))</f>
        <v/>
      </c>
      <c r="N118" s="15">
        <f>IF(OR(N117="",J117=""),"",IF(N117*J117&lt;=0,"",IFERROR(N117/J117-1,"")))</f>
        <v/>
      </c>
      <c r="T118" s="15">
        <f>IF(OR(T117="",S117=""),"",IF(T117*S117&lt;=0,"",IFERROR(T117/S117-1,"")))</f>
        <v/>
      </c>
      <c r="U118" s="15">
        <f>IF(OR(U117="",T117=""),"",IF(U117*T117&lt;=0,"",IFERROR(U117/T117-1,"")))</f>
        <v/>
      </c>
      <c r="V118" s="15">
        <f>IF(OR(V117="",U117=""),"",IF(V117*U117&lt;=0,"",IFERROR(V117/U117-1,"")))</f>
        <v/>
      </c>
      <c r="W118" s="15">
        <f>IF(OR(W117="",V117=""),"",IF(W117*V117&lt;=0,"",IFERROR(W117/V117-1,"")))</f>
        <v/>
      </c>
      <c r="X118" s="15">
        <f>IF(OR(X117="",W117=""),"",IF(X117*W117&lt;=0,"",IFERROR(X117/W117-1,"")))</f>
        <v/>
      </c>
    </row>
    <row r="119">
      <c r="A119" s="9" t="inlineStr">
        <is>
          <t>중간이익</t>
        </is>
      </c>
      <c r="C119" s="12" t="n">
        <v>21205</v>
      </c>
      <c r="D119" s="12" t="n">
        <v>15147</v>
      </c>
      <c r="E119" s="12" t="n">
        <v>23873</v>
      </c>
      <c r="F119" s="12" t="n">
        <v>45470</v>
      </c>
      <c r="G119" s="12" t="n">
        <v>51867</v>
      </c>
      <c r="H119" s="12" t="n">
        <v>39967</v>
      </c>
      <c r="I119" s="12" t="n">
        <v>90180</v>
      </c>
      <c r="J119" s="12" t="n">
        <v>79633</v>
      </c>
      <c r="K119" s="12" t="n">
        <v>78713</v>
      </c>
      <c r="L119" s="12" t="n">
        <v>126827</v>
      </c>
      <c r="M119" s="12" t="n">
        <v>174780</v>
      </c>
      <c r="N119" s="12" t="n">
        <v>193303</v>
      </c>
      <c r="T119" s="12" t="n">
        <v>26408</v>
      </c>
      <c r="U119" s="12" t="n">
        <v>30594</v>
      </c>
      <c r="V119" s="12" t="n">
        <v>15147</v>
      </c>
      <c r="W119" s="12" t="n">
        <v>39967</v>
      </c>
      <c r="X119" s="12" t="n">
        <v>126827</v>
      </c>
    </row>
    <row r="120">
      <c r="A120" s="43" t="inlineStr">
        <is>
          <t>YoY</t>
        </is>
      </c>
      <c r="B120" s="3" t="inlineStr">
        <is>
          <t>전년 같은 분기·전년 대비</t>
        </is>
      </c>
      <c r="G120" s="15">
        <f>IF(OR(G119="",C119=""),"",IF(C119&lt;=0,"",IFERROR(G119/C119-1,"")))</f>
        <v/>
      </c>
      <c r="H120" s="15">
        <f>IF(OR(H119="",D119=""),"",IF(D119&lt;=0,"",IFERROR(H119/D119-1,"")))</f>
        <v/>
      </c>
      <c r="I120" s="15">
        <f>IF(OR(I119="",E119=""),"",IF(E119&lt;=0,"",IFERROR(I119/E119-1,"")))</f>
        <v/>
      </c>
      <c r="J120" s="15">
        <f>IF(OR(J119="",F119=""),"",IF(F119&lt;=0,"",IFERROR(J119/F119-1,"")))</f>
        <v/>
      </c>
      <c r="K120" s="15">
        <f>IF(OR(K119="",G119=""),"",IF(G119&lt;=0,"",IFERROR(K119/G119-1,"")))</f>
        <v/>
      </c>
      <c r="L120" s="15">
        <f>IF(OR(L119="",H119=""),"",IF(H119&lt;=0,"",IFERROR(L119/H119-1,"")))</f>
        <v/>
      </c>
      <c r="M120" s="15">
        <f>IF(OR(M119="",I119=""),"",IF(I119&lt;=0,"",IFERROR(M119/I119-1,"")))</f>
        <v/>
      </c>
      <c r="N120" s="15">
        <f>IF(OR(N119="",J119=""),"",IF(J119&lt;=0,"",IFERROR(N119/J119-1,"")))</f>
        <v/>
      </c>
      <c r="T120" s="15">
        <f>IF(OR(T119="",S119=""),"",IF(S119&lt;=0,"",IFERROR(T119/S119-1,"")))</f>
        <v/>
      </c>
      <c r="U120" s="15">
        <f>IF(OR(U119="",T119=""),"",IF(T119&lt;=0,"",IFERROR(U119/T119-1,"")))</f>
        <v/>
      </c>
      <c r="V120" s="15">
        <f>IF(OR(V119="",U119=""),"",IF(U119&lt;=0,"",IFERROR(V119/U119-1,"")))</f>
        <v/>
      </c>
      <c r="W120" s="15">
        <f>IF(OR(W119="",V119=""),"",IF(V119&lt;=0,"",IFERROR(W119/V119-1,"")))</f>
        <v/>
      </c>
      <c r="X120" s="15">
        <f>IF(OR(X119="",W119=""),"",IF(W119&lt;=0,"",IFERROR(X119/W119-1,"")))</f>
        <v/>
      </c>
    </row>
    <row r="121">
      <c r="A121" s="9" t="inlineStr">
        <is>
          <t>지배기업 소유주</t>
        </is>
      </c>
      <c r="C121" s="12" t="n">
        <v>21205</v>
      </c>
      <c r="D121" s="12" t="n">
        <v>15147</v>
      </c>
      <c r="E121" s="12" t="n">
        <v>23873</v>
      </c>
      <c r="F121" s="12" t="n">
        <v>45470</v>
      </c>
      <c r="G121" s="12" t="n">
        <v>51867</v>
      </c>
      <c r="H121" s="12" t="n">
        <v>39967</v>
      </c>
      <c r="I121" s="12" t="n">
        <v>90180</v>
      </c>
      <c r="J121" s="12" t="n">
        <v>79633</v>
      </c>
      <c r="K121" s="12" t="n">
        <v>78713</v>
      </c>
      <c r="L121" s="12" t="n">
        <v>126827</v>
      </c>
      <c r="M121" s="12" t="n">
        <v>174780</v>
      </c>
      <c r="N121" s="12" t="n">
        <v>193303</v>
      </c>
      <c r="T121" s="12" t="n">
        <v>26408</v>
      </c>
      <c r="U121" s="12" t="n">
        <v>30594</v>
      </c>
      <c r="V121" s="12" t="n">
        <v>15147</v>
      </c>
      <c r="W121" s="12" t="n">
        <v>39967</v>
      </c>
      <c r="X121" s="12" t="n">
        <v>126827</v>
      </c>
    </row>
    <row r="122">
      <c r="A122" s="43" t="inlineStr">
        <is>
          <t>YoY</t>
        </is>
      </c>
      <c r="B122" s="3" t="inlineStr">
        <is>
          <t>전년 같은 분기·전년 대비</t>
        </is>
      </c>
      <c r="G122" s="15">
        <f>IF(OR(G121="",C121=""),"",IF(C121&lt;=0,"",IFERROR(G121/C121-1,"")))</f>
        <v/>
      </c>
      <c r="H122" s="15">
        <f>IF(OR(H121="",D121=""),"",IF(D121&lt;=0,"",IFERROR(H121/D121-1,"")))</f>
        <v/>
      </c>
      <c r="I122" s="15">
        <f>IF(OR(I121="",E121=""),"",IF(E121&lt;=0,"",IFERROR(I121/E121-1,"")))</f>
        <v/>
      </c>
      <c r="J122" s="15">
        <f>IF(OR(J121="",F121=""),"",IF(F121&lt;=0,"",IFERROR(J121/F121-1,"")))</f>
        <v/>
      </c>
      <c r="K122" s="15">
        <f>IF(OR(K121="",G121=""),"",IF(G121&lt;=0,"",IFERROR(K121/G121-1,"")))</f>
        <v/>
      </c>
      <c r="L122" s="15">
        <f>IF(OR(L121="",H121=""),"",IF(H121&lt;=0,"",IFERROR(L121/H121-1,"")))</f>
        <v/>
      </c>
      <c r="M122" s="15">
        <f>IF(OR(M121="",I121=""),"",IF(I121&lt;=0,"",IFERROR(M121/I121-1,"")))</f>
        <v/>
      </c>
      <c r="N122" s="15">
        <f>IF(OR(N121="",J121=""),"",IF(J121&lt;=0,"",IFERROR(N121/J121-1,"")))</f>
        <v/>
      </c>
      <c r="T122" s="15">
        <f>IF(OR(T121="",S121=""),"",IF(S121&lt;=0,"",IFERROR(T121/S121-1,"")))</f>
        <v/>
      </c>
      <c r="U122" s="15">
        <f>IF(OR(U121="",T121=""),"",IF(T121&lt;=0,"",IFERROR(U121/T121-1,"")))</f>
        <v/>
      </c>
      <c r="V122" s="15">
        <f>IF(OR(V121="",U121=""),"",IF(U121&lt;=0,"",IFERROR(V121/U121-1,"")))</f>
        <v/>
      </c>
      <c r="W122" s="15">
        <f>IF(OR(W121="",V121=""),"",IF(V121&lt;=0,"",IFERROR(W121/V121-1,"")))</f>
        <v/>
      </c>
      <c r="X122" s="15">
        <f>IF(OR(X121="",W121=""),"",IF(W121&lt;=0,"",IFERROR(X121/W121-1,"")))</f>
        <v/>
      </c>
    </row>
    <row r="123">
      <c r="A123" s="18" t="inlineStr">
        <is>
          <t>Basic Earnings Loss Per Share</t>
        </is>
      </c>
      <c r="C123" s="20" t="n">
        <v>2.875e-05</v>
      </c>
      <c r="D123" s="20" t="n">
        <v>2.052e-05</v>
      </c>
      <c r="E123" s="20" t="n">
        <v>3.235e-05</v>
      </c>
      <c r="F123" s="20" t="n">
        <v>6.156999999999999e-05</v>
      </c>
      <c r="G123" s="20" t="n">
        <v>7.029000000000001e-05</v>
      </c>
      <c r="H123" s="20" t="n">
        <v>5.445999999999998e-05</v>
      </c>
      <c r="I123" s="20" t="n">
        <v>0.00012314</v>
      </c>
      <c r="J123" s="20" t="n">
        <v>0.00010905</v>
      </c>
      <c r="K123" s="20" t="n">
        <v>0.00010841</v>
      </c>
      <c r="L123" s="20" t="n">
        <v>0.00017455</v>
      </c>
      <c r="M123" s="20" t="n">
        <v>0.00024127</v>
      </c>
      <c r="N123" s="20" t="n">
        <v>0.00026772</v>
      </c>
      <c r="T123" s="20" t="n">
        <v>0.00013794</v>
      </c>
      <c r="U123" s="20" t="n">
        <v>4.159999999999999e-05</v>
      </c>
      <c r="V123" s="20" t="n">
        <v>2.052e-05</v>
      </c>
      <c r="W123" s="20" t="n">
        <v>5.445999999999998e-05</v>
      </c>
      <c r="X123" s="20" t="n">
        <v>0.00017455</v>
      </c>
    </row>
    <row r="124">
      <c r="A124" s="18" t="inlineStr">
        <is>
          <t>Diluted Earnings Loss Per Share</t>
        </is>
      </c>
      <c r="C124" s="20" t="n">
        <v>2.865e-05</v>
      </c>
      <c r="D124" s="20" t="n">
        <v>2.045e-05</v>
      </c>
      <c r="E124" s="20" t="n">
        <v>3.225e-05</v>
      </c>
      <c r="F124" s="20" t="n">
        <v>6.139000000000001e-05</v>
      </c>
      <c r="G124" s="20" t="n">
        <v>7.007999999999999e-05</v>
      </c>
      <c r="H124" s="20" t="n">
        <v>5.428999999999999e-05</v>
      </c>
      <c r="I124" s="20" t="n">
        <v>0.0001228</v>
      </c>
      <c r="J124" s="20" t="n">
        <v>0.00010869</v>
      </c>
      <c r="K124" s="20" t="n">
        <v>0.00010796</v>
      </c>
      <c r="L124" s="20" t="n">
        <v>0.00017385</v>
      </c>
      <c r="M124" s="20" t="n">
        <v>0.00023989</v>
      </c>
      <c r="N124" s="20" t="n">
        <v>0.00026623</v>
      </c>
      <c r="T124" s="20" t="n">
        <v>0.00013723</v>
      </c>
      <c r="U124" s="20" t="n">
        <v>4.143000000000001e-05</v>
      </c>
      <c r="V124" s="20" t="n">
        <v>2.045e-05</v>
      </c>
      <c r="W124" s="20" t="n">
        <v>5.428999999999999e-05</v>
      </c>
      <c r="X124" s="20" t="n">
        <v>0.00017385</v>
      </c>
    </row>
    <row r="126">
      <c r="A126" s="16" t="inlineStr">
        <is>
          <t>포괄손익 · 전 항목</t>
        </is>
      </c>
      <c r="B126" s="42" t="inlineStr">
        <is>
          <t>분기 = 3개월 단독</t>
        </is>
      </c>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row>
    <row r="127">
      <c r="A127" s="5" t="inlineStr">
        <is>
          <t>항목</t>
        </is>
      </c>
      <c r="B127" s="5" t="inlineStr">
        <is>
          <t>참고</t>
        </is>
      </c>
      <c r="C127" s="5" t="inlineStr">
        <is>
          <t>2024.3Q</t>
        </is>
      </c>
      <c r="D127" s="5" t="inlineStr">
        <is>
          <t>2024.4Q</t>
        </is>
      </c>
      <c r="E127" s="5" t="inlineStr">
        <is>
          <t>2025.1Q</t>
        </is>
      </c>
      <c r="F127" s="5" t="inlineStr">
        <is>
          <t>2025.2Q</t>
        </is>
      </c>
      <c r="G127" s="5" t="inlineStr">
        <is>
          <t>2025.3Q</t>
        </is>
      </c>
      <c r="H127" s="5" t="inlineStr">
        <is>
          <t>2025.4Q</t>
        </is>
      </c>
      <c r="I127" s="5" t="inlineStr">
        <is>
          <t>2026.1Q</t>
        </is>
      </c>
      <c r="J127" s="5" t="inlineStr">
        <is>
          <t>2026.2Q</t>
        </is>
      </c>
      <c r="K127" s="5" t="inlineStr">
        <is>
          <t>2026.3Q</t>
        </is>
      </c>
      <c r="L127" s="5" t="inlineStr">
        <is>
          <t>2026.4Q</t>
        </is>
      </c>
      <c r="M127" s="5" t="inlineStr">
        <is>
          <t>2027.1Q</t>
        </is>
      </c>
      <c r="N127" s="5" t="inlineStr">
        <is>
          <t>2027.2Q</t>
        </is>
      </c>
      <c r="O127" s="5" t="inlineStr">
        <is>
          <t>2017</t>
        </is>
      </c>
      <c r="P127" s="5" t="inlineStr">
        <is>
          <t>2018</t>
        </is>
      </c>
      <c r="Q127" s="5" t="inlineStr">
        <is>
          <t>2019</t>
        </is>
      </c>
      <c r="R127" s="5" t="inlineStr">
        <is>
          <t>2020</t>
        </is>
      </c>
      <c r="S127" s="5" t="inlineStr">
        <is>
          <t>2021</t>
        </is>
      </c>
      <c r="T127" s="5" t="inlineStr">
        <is>
          <t>2022</t>
        </is>
      </c>
      <c r="U127" s="5" t="inlineStr">
        <is>
          <t>2023</t>
        </is>
      </c>
      <c r="V127" s="5" t="inlineStr">
        <is>
          <t>2024</t>
        </is>
      </c>
      <c r="W127" s="5" t="inlineStr">
        <is>
          <t>2025</t>
        </is>
      </c>
      <c r="X127" s="5" t="inlineStr">
        <is>
          <t>2026</t>
        </is>
      </c>
      <c r="Y127" s="5" t="inlineStr">
        <is>
          <t>2027(MW)</t>
        </is>
      </c>
      <c r="Z127" s="5" t="inlineStr">
        <is>
          <t>2028(MW)</t>
        </is>
      </c>
      <c r="AA127" s="5" t="inlineStr">
        <is>
          <t>2029(MW)</t>
        </is>
      </c>
      <c r="AB127" s="5" t="inlineStr">
        <is>
          <t>2030(MW)</t>
        </is>
      </c>
      <c r="AC127" s="5" t="inlineStr">
        <is>
          <t>2031(MW)</t>
        </is>
      </c>
    </row>
    <row r="128">
      <c r="A128" s="9" t="inlineStr">
        <is>
          <t>중간이익</t>
        </is>
      </c>
      <c r="C128" s="12" t="n">
        <v>21205</v>
      </c>
      <c r="D128" s="12" t="n">
        <v>15147</v>
      </c>
      <c r="E128" s="12" t="n">
        <v>23873</v>
      </c>
      <c r="F128" s="12" t="n">
        <v>45470</v>
      </c>
      <c r="G128" s="12" t="n">
        <v>51867</v>
      </c>
      <c r="H128" s="12" t="n">
        <v>39967</v>
      </c>
      <c r="I128" s="12" t="n">
        <v>90180</v>
      </c>
      <c r="J128" s="12" t="n">
        <v>79633</v>
      </c>
      <c r="K128" s="12" t="n">
        <v>78713</v>
      </c>
      <c r="L128" s="12" t="n">
        <v>126827</v>
      </c>
      <c r="M128" s="12" t="n">
        <v>174780</v>
      </c>
      <c r="N128" s="12" t="n">
        <v>193303</v>
      </c>
      <c r="T128" s="12" t="n">
        <v>26408</v>
      </c>
      <c r="U128" s="12" t="n">
        <v>30594</v>
      </c>
      <c r="V128" s="12" t="n">
        <v>15147</v>
      </c>
      <c r="W128" s="12" t="n">
        <v>39967</v>
      </c>
      <c r="X128" s="12" t="n">
        <v>126827</v>
      </c>
    </row>
    <row r="129">
      <c r="A129" s="18" t="inlineStr">
        <is>
          <t>확정급여제도 재측정</t>
        </is>
      </c>
      <c r="C129" s="20" t="n">
        <v>0</v>
      </c>
      <c r="D129" s="20" t="n">
        <v>-640</v>
      </c>
      <c r="E129" s="20" t="n">
        <v>-197</v>
      </c>
      <c r="F129" s="20" t="n">
        <v>-30</v>
      </c>
      <c r="G129" s="20" t="n">
        <v>-81</v>
      </c>
      <c r="H129" s="20" t="n">
        <v>1133</v>
      </c>
      <c r="I129" s="20" t="n">
        <v>-111</v>
      </c>
      <c r="J129" s="20" t="n">
        <v>-131</v>
      </c>
      <c r="K129" s="20" t="n">
        <v>-128</v>
      </c>
      <c r="L129" s="20" t="n">
        <v>-606</v>
      </c>
      <c r="M129" s="20" t="n">
        <v>-131</v>
      </c>
      <c r="N129" s="20" t="n">
        <v>-93</v>
      </c>
      <c r="V129" s="20" t="n">
        <v>-640</v>
      </c>
      <c r="W129" s="20" t="n">
        <v>1133</v>
      </c>
      <c r="X129" s="20" t="n">
        <v>-606</v>
      </c>
    </row>
    <row r="130">
      <c r="A130" s="18" t="inlineStr">
        <is>
          <t>Net Change In Fair Value Of Equity Instruments Designated As Measured At Fair Value Through Other Comprehensive Income Net Of Tax Items That Will Not Be Reclassified To Profit Or Loss OCI</t>
        </is>
      </c>
      <c r="C130" s="20" t="n">
        <v>-69</v>
      </c>
      <c r="D130" s="20" t="n">
        <v>514</v>
      </c>
      <c r="E130" s="20" t="n">
        <v>1103</v>
      </c>
      <c r="F130" s="20" t="n">
        <v>-1765</v>
      </c>
      <c r="G130" s="20" t="n">
        <v>-1826</v>
      </c>
      <c r="H130" s="20" t="n">
        <v>-4252</v>
      </c>
      <c r="I130" s="20" t="n">
        <v>5836</v>
      </c>
      <c r="J130" s="20" t="n">
        <v>4536</v>
      </c>
      <c r="K130" s="20" t="n">
        <v>14334</v>
      </c>
      <c r="L130" s="20" t="n">
        <v>8451</v>
      </c>
      <c r="M130" s="20" t="n">
        <v>120229</v>
      </c>
      <c r="N130" s="20" t="n">
        <v>-11948</v>
      </c>
      <c r="T130" s="20" t="n">
        <v>-2051</v>
      </c>
      <c r="U130" s="20" t="n">
        <v>3995</v>
      </c>
      <c r="V130" s="20" t="n">
        <v>514</v>
      </c>
      <c r="W130" s="20" t="n">
        <v>-4252</v>
      </c>
      <c r="X130" s="20" t="n">
        <v>8451</v>
      </c>
    </row>
    <row r="131">
      <c r="A131" s="18" t="inlineStr">
        <is>
          <t>해외사업 환산차액</t>
        </is>
      </c>
      <c r="C131" s="20" t="n">
        <v>-9246</v>
      </c>
      <c r="D131" s="20" t="n">
        <v>12902</v>
      </c>
      <c r="E131" s="20" t="n">
        <v>13762</v>
      </c>
      <c r="F131" s="20" t="n">
        <v>-25738</v>
      </c>
      <c r="G131" s="20" t="n">
        <v>18485</v>
      </c>
      <c r="H131" s="20" t="n">
        <v>-12343</v>
      </c>
      <c r="I131" s="20" t="n">
        <v>476</v>
      </c>
      <c r="J131" s="20" t="n">
        <v>5550</v>
      </c>
      <c r="K131" s="20" t="n">
        <v>14443</v>
      </c>
      <c r="L131" s="20" t="n">
        <v>4227</v>
      </c>
      <c r="M131" s="20" t="n">
        <v>6944</v>
      </c>
      <c r="N131" s="20" t="n">
        <v>-16422</v>
      </c>
      <c r="T131" s="20" t="n">
        <v>7866</v>
      </c>
      <c r="U131" s="20" t="n">
        <v>-877</v>
      </c>
      <c r="V131" s="20" t="n">
        <v>12902</v>
      </c>
      <c r="W131" s="20" t="n">
        <v>-12343</v>
      </c>
      <c r="X131" s="20" t="n">
        <v>4227</v>
      </c>
    </row>
    <row r="132">
      <c r="A132" s="18" t="inlineStr">
        <is>
          <t>세후 기타포괄이익</t>
        </is>
      </c>
      <c r="C132" s="20" t="n">
        <v>-9315</v>
      </c>
      <c r="D132" s="20" t="n">
        <v>12776</v>
      </c>
      <c r="E132" s="20" t="n">
        <v>14668</v>
      </c>
      <c r="F132" s="20" t="n">
        <v>-27533</v>
      </c>
      <c r="G132" s="20" t="n">
        <v>16578</v>
      </c>
      <c r="H132" s="20" t="n">
        <v>-15462</v>
      </c>
      <c r="I132" s="20" t="n">
        <v>6201</v>
      </c>
      <c r="J132" s="20" t="n">
        <v>9955</v>
      </c>
      <c r="K132" s="20" t="n">
        <v>28649</v>
      </c>
      <c r="L132" s="20" t="n">
        <v>12072</v>
      </c>
      <c r="M132" s="20" t="n">
        <v>127042</v>
      </c>
      <c r="N132" s="20" t="n">
        <v>-28463</v>
      </c>
      <c r="T132" s="20" t="n">
        <v>10324</v>
      </c>
      <c r="U132" s="20" t="n">
        <v>6445</v>
      </c>
      <c r="V132" s="20" t="n">
        <v>12776</v>
      </c>
      <c r="W132" s="20" t="n">
        <v>-15462</v>
      </c>
      <c r="X132" s="20" t="n">
        <v>12072</v>
      </c>
    </row>
    <row r="133">
      <c r="A133" s="9" t="inlineStr">
        <is>
          <t>포괄이익</t>
        </is>
      </c>
      <c r="C133" s="12" t="n">
        <v>11890</v>
      </c>
      <c r="D133" s="12" t="n">
        <v>27923</v>
      </c>
      <c r="E133" s="12" t="n">
        <v>38541</v>
      </c>
      <c r="F133" s="12" t="n">
        <v>17937</v>
      </c>
      <c r="G133" s="12" t="n">
        <v>68445</v>
      </c>
      <c r="H133" s="12" t="n">
        <v>24505</v>
      </c>
      <c r="I133" s="12" t="n">
        <v>96381</v>
      </c>
      <c r="J133" s="12" t="n">
        <v>89588</v>
      </c>
      <c r="K133" s="12" t="n">
        <v>107362</v>
      </c>
      <c r="L133" s="12" t="n">
        <v>138899</v>
      </c>
      <c r="M133" s="12" t="n">
        <v>301822</v>
      </c>
      <c r="N133" s="12" t="n">
        <v>164840</v>
      </c>
      <c r="T133" s="12" t="n">
        <v>36732</v>
      </c>
      <c r="U133" s="12" t="n">
        <v>37039</v>
      </c>
      <c r="V133" s="12" t="n">
        <v>27923</v>
      </c>
      <c r="W133" s="12" t="n">
        <v>24505</v>
      </c>
      <c r="X133" s="12" t="n">
        <v>138899</v>
      </c>
    </row>
    <row r="134">
      <c r="A134" s="9" t="inlineStr">
        <is>
          <t>지배기업 소유주</t>
        </is>
      </c>
      <c r="C134" s="12" t="n">
        <v>11890</v>
      </c>
      <c r="D134" s="12" t="n">
        <v>27923</v>
      </c>
      <c r="E134" s="12" t="n">
        <v>38541</v>
      </c>
      <c r="F134" s="12" t="n">
        <v>17937</v>
      </c>
      <c r="G134" s="12" t="n">
        <v>68445</v>
      </c>
      <c r="H134" s="12" t="n">
        <v>24505</v>
      </c>
      <c r="I134" s="12" t="n">
        <v>96381</v>
      </c>
      <c r="J134" s="12" t="n">
        <v>89588</v>
      </c>
      <c r="K134" s="12" t="n">
        <v>107362</v>
      </c>
      <c r="L134" s="12" t="n">
        <v>138899</v>
      </c>
      <c r="M134" s="12" t="n">
        <v>301822</v>
      </c>
      <c r="N134" s="12" t="n">
        <v>164840</v>
      </c>
      <c r="T134" s="12" t="n">
        <v>36732</v>
      </c>
      <c r="U134" s="12" t="n">
        <v>37039</v>
      </c>
      <c r="V134" s="12" t="n">
        <v>27923</v>
      </c>
      <c r="W134" s="12" t="n">
        <v>24505</v>
      </c>
      <c r="X134" s="12" t="n">
        <v>138899</v>
      </c>
    </row>
    <row r="136">
      <c r="A136" s="16" t="inlineStr">
        <is>
          <t>부문 · 전 항목</t>
        </is>
      </c>
      <c r="B136" s="42" t="inlineStr">
        <is>
          <t>부문 · 항목</t>
        </is>
      </c>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row>
    <row r="137">
      <c r="A137" s="5" t="inlineStr">
        <is>
          <t>항목</t>
        </is>
      </c>
      <c r="B137" s="5" t="inlineStr">
        <is>
          <t>참고</t>
        </is>
      </c>
      <c r="C137" s="5" t="inlineStr">
        <is>
          <t>2024.3Q</t>
        </is>
      </c>
      <c r="D137" s="5" t="inlineStr">
        <is>
          <t>2024.4Q</t>
        </is>
      </c>
      <c r="E137" s="5" t="inlineStr">
        <is>
          <t>2025.1Q</t>
        </is>
      </c>
      <c r="F137" s="5" t="inlineStr">
        <is>
          <t>2025.2Q</t>
        </is>
      </c>
      <c r="G137" s="5" t="inlineStr">
        <is>
          <t>2025.3Q</t>
        </is>
      </c>
      <c r="H137" s="5" t="inlineStr">
        <is>
          <t>2025.4Q</t>
        </is>
      </c>
      <c r="I137" s="5" t="inlineStr">
        <is>
          <t>2026.1Q</t>
        </is>
      </c>
      <c r="J137" s="5" t="inlineStr">
        <is>
          <t>2026.2Q</t>
        </is>
      </c>
      <c r="K137" s="5" t="inlineStr">
        <is>
          <t>2026.3Q</t>
        </is>
      </c>
      <c r="L137" s="5" t="inlineStr">
        <is>
          <t>2026.4Q</t>
        </is>
      </c>
      <c r="M137" s="5" t="inlineStr">
        <is>
          <t>2027.1Q</t>
        </is>
      </c>
      <c r="N137" s="5" t="inlineStr">
        <is>
          <t>2027.2Q</t>
        </is>
      </c>
      <c r="O137" s="5" t="inlineStr">
        <is>
          <t>2017</t>
        </is>
      </c>
      <c r="P137" s="5" t="inlineStr">
        <is>
          <t>2018</t>
        </is>
      </c>
      <c r="Q137" s="5" t="inlineStr">
        <is>
          <t>2019</t>
        </is>
      </c>
      <c r="R137" s="5" t="inlineStr">
        <is>
          <t>2020</t>
        </is>
      </c>
      <c r="S137" s="5" t="inlineStr">
        <is>
          <t>2021</t>
        </is>
      </c>
      <c r="T137" s="5" t="inlineStr">
        <is>
          <t>2022</t>
        </is>
      </c>
      <c r="U137" s="5" t="inlineStr">
        <is>
          <t>2023</t>
        </is>
      </c>
      <c r="V137" s="5" t="inlineStr">
        <is>
          <t>2024</t>
        </is>
      </c>
      <c r="W137" s="5" t="inlineStr">
        <is>
          <t>2025</t>
        </is>
      </c>
      <c r="X137" s="5" t="inlineStr">
        <is>
          <t>2026</t>
        </is>
      </c>
      <c r="Y137" s="5" t="inlineStr">
        <is>
          <t>2027(MW)</t>
        </is>
      </c>
      <c r="Z137" s="5" t="inlineStr">
        <is>
          <t>2028(MW)</t>
        </is>
      </c>
      <c r="AA137" s="5" t="inlineStr">
        <is>
          <t>2029(MW)</t>
        </is>
      </c>
      <c r="AB137" s="5" t="inlineStr">
        <is>
          <t>2030(MW)</t>
        </is>
      </c>
      <c r="AC137" s="5" t="inlineStr">
        <is>
          <t>2031(MW)</t>
        </is>
      </c>
    </row>
    <row r="138">
      <c r="A138" s="18" t="inlineStr">
        <is>
          <t>테스트시스템 사업 · 외부 고객 매출</t>
        </is>
      </c>
      <c r="G138" s="20" t="n">
        <v>194084</v>
      </c>
      <c r="H138" s="20" t="n">
        <v>204160</v>
      </c>
      <c r="K138" s="20" t="n">
        <v>245098</v>
      </c>
      <c r="L138" s="20" t="n">
        <v>296325</v>
      </c>
      <c r="W138" s="20" t="n">
        <v>204160</v>
      </c>
      <c r="X138" s="20" t="n">
        <v>296325</v>
      </c>
    </row>
    <row r="139">
      <c r="A139" s="18" t="inlineStr">
        <is>
          <t>부문 · 외부 고객 매출</t>
        </is>
      </c>
      <c r="C139" s="20" t="n">
        <v>30008</v>
      </c>
      <c r="E139" s="20" t="n">
        <v>23356</v>
      </c>
      <c r="F139" s="20" t="n">
        <v>21275</v>
      </c>
      <c r="G139" s="20" t="n">
        <v>24068</v>
      </c>
      <c r="H139" s="20" t="n">
        <v>28189</v>
      </c>
      <c r="K139" s="20" t="n">
        <v>28706</v>
      </c>
      <c r="L139" s="20" t="n">
        <v>31748</v>
      </c>
      <c r="W139" s="20" t="n">
        <v>28189</v>
      </c>
      <c r="X139" s="20" t="n">
        <v>31748</v>
      </c>
    </row>
    <row r="140">
      <c r="A140" s="18" t="inlineStr">
        <is>
          <t>조정액 · 외부 고객 매출</t>
        </is>
      </c>
      <c r="C140" s="20" t="n">
        <v>0</v>
      </c>
      <c r="E140" s="20" t="n">
        <v>0</v>
      </c>
      <c r="F140" s="20" t="n">
        <v>0</v>
      </c>
      <c r="G140" s="20" t="n">
        <v>0</v>
      </c>
      <c r="H140" s="20" t="n">
        <v>0</v>
      </c>
      <c r="I140" s="20" t="n">
        <v>0</v>
      </c>
      <c r="J140" s="20" t="n">
        <v>0</v>
      </c>
      <c r="K140" s="20" t="n">
        <v>0</v>
      </c>
      <c r="L140" s="20" t="n">
        <v>0</v>
      </c>
      <c r="M140" s="20" t="n">
        <v>0</v>
      </c>
      <c r="N140" s="20" t="n">
        <v>0</v>
      </c>
      <c r="W140" s="20" t="n">
        <v>0</v>
      </c>
      <c r="X140" s="20" t="n">
        <v>0</v>
      </c>
    </row>
    <row r="141">
      <c r="A141" s="18" t="inlineStr">
        <is>
          <t>외부 고객 매출</t>
        </is>
      </c>
      <c r="C141" s="20" t="n">
        <v>133233</v>
      </c>
      <c r="E141" s="20" t="n">
        <v>138725</v>
      </c>
      <c r="F141" s="20" t="n">
        <v>190481</v>
      </c>
      <c r="G141" s="20" t="n">
        <v>218152</v>
      </c>
      <c r="H141" s="20" t="n">
        <v>232349</v>
      </c>
      <c r="I141" s="20" t="n">
        <v>263776</v>
      </c>
      <c r="J141" s="20" t="n">
        <v>262957</v>
      </c>
      <c r="K141" s="20" t="n">
        <v>273804</v>
      </c>
      <c r="L141" s="20" t="n">
        <v>328073</v>
      </c>
      <c r="M141" s="20" t="n">
        <v>367473</v>
      </c>
      <c r="N141" s="20" t="n">
        <v>477727</v>
      </c>
      <c r="W141" s="20" t="n">
        <v>232349</v>
      </c>
      <c r="X141" s="20" t="n">
        <v>328073</v>
      </c>
    </row>
    <row r="142">
      <c r="A142" s="18" t="inlineStr">
        <is>
          <t>부문 · Intersegment Sales</t>
        </is>
      </c>
      <c r="C142" s="20" t="n">
        <v>0</v>
      </c>
      <c r="E142" s="20" t="n">
        <v>0</v>
      </c>
      <c r="F142" s="20" t="n">
        <v>0</v>
      </c>
      <c r="G142" s="20" t="n">
        <v>0</v>
      </c>
    </row>
    <row r="143">
      <c r="A143" s="18" t="inlineStr">
        <is>
          <t>부문 · Intersegment Sales</t>
        </is>
      </c>
      <c r="C143" s="20" t="n">
        <v>0</v>
      </c>
      <c r="E143" s="20" t="n">
        <v>0</v>
      </c>
      <c r="F143" s="20" t="n">
        <v>0</v>
      </c>
      <c r="G143" s="20" t="n">
        <v>0</v>
      </c>
    </row>
    <row r="144">
      <c r="A144" s="18" t="inlineStr">
        <is>
          <t>테스트시스템 사업 · Intersegment Sales</t>
        </is>
      </c>
      <c r="E144" s="20" t="n">
        <v>0</v>
      </c>
      <c r="I144" s="20" t="n">
        <v>0</v>
      </c>
      <c r="M144" s="20" t="n">
        <v>0</v>
      </c>
    </row>
    <row r="145">
      <c r="A145" s="18" t="inlineStr">
        <is>
          <t>부문 · Intersegment Sales</t>
        </is>
      </c>
      <c r="E145" s="20" t="n">
        <v>0</v>
      </c>
      <c r="I145" s="20" t="n">
        <v>0</v>
      </c>
      <c r="M145" s="20" t="n">
        <v>0</v>
      </c>
    </row>
    <row r="146">
      <c r="A146" s="18" t="inlineStr">
        <is>
          <t>테스트시스템 사업 · Intersegment Sales</t>
        </is>
      </c>
      <c r="G146" s="20" t="n">
        <v>0</v>
      </c>
      <c r="H146" s="20" t="n">
        <v>0</v>
      </c>
      <c r="K146" s="20" t="n">
        <v>10</v>
      </c>
      <c r="L146" s="20" t="n">
        <v>0</v>
      </c>
      <c r="W146" s="20" t="n">
        <v>0</v>
      </c>
      <c r="X146" s="20" t="n">
        <v>0</v>
      </c>
    </row>
    <row r="147">
      <c r="A147" s="18" t="inlineStr">
        <is>
          <t>부문 · Intersegment Sales</t>
        </is>
      </c>
      <c r="C147" s="20" t="n">
        <v>0</v>
      </c>
      <c r="E147" s="20" t="n">
        <v>0</v>
      </c>
      <c r="F147" s="20" t="n">
        <v>0</v>
      </c>
      <c r="G147" s="20" t="n">
        <v>0</v>
      </c>
      <c r="H147" s="20" t="n">
        <v>0</v>
      </c>
      <c r="K147" s="20" t="n">
        <v>0</v>
      </c>
      <c r="L147" s="20" t="n">
        <v>0</v>
      </c>
      <c r="W147" s="20" t="n">
        <v>0</v>
      </c>
      <c r="X147" s="20" t="n">
        <v>0</v>
      </c>
    </row>
    <row r="148">
      <c r="A148" s="18" t="inlineStr">
        <is>
          <t>조정액 · Intersegment Sales</t>
        </is>
      </c>
      <c r="C148" s="20" t="n">
        <v>0</v>
      </c>
      <c r="E148" s="20" t="n">
        <v>0</v>
      </c>
      <c r="F148" s="20" t="n">
        <v>0</v>
      </c>
      <c r="G148" s="20" t="n">
        <v>0</v>
      </c>
      <c r="H148" s="20" t="n">
        <v>0</v>
      </c>
      <c r="I148" s="20" t="n">
        <v>0</v>
      </c>
      <c r="J148" s="20" t="n">
        <v>0</v>
      </c>
      <c r="K148" s="20" t="n">
        <v>-10</v>
      </c>
      <c r="L148" s="20" t="n">
        <v>0</v>
      </c>
      <c r="M148" s="20" t="n">
        <v>0</v>
      </c>
      <c r="N148" s="20" t="n">
        <v>0</v>
      </c>
      <c r="W148" s="20" t="n">
        <v>0</v>
      </c>
      <c r="X148" s="20" t="n">
        <v>0</v>
      </c>
    </row>
    <row r="149">
      <c r="A149" s="18" t="inlineStr">
        <is>
          <t>Intersegment Sales</t>
        </is>
      </c>
      <c r="C149" s="20" t="n">
        <v>0</v>
      </c>
      <c r="E149" s="20" t="n">
        <v>0</v>
      </c>
      <c r="F149" s="20" t="n">
        <v>0</v>
      </c>
      <c r="G149" s="20" t="n">
        <v>0</v>
      </c>
      <c r="H149" s="20" t="n">
        <v>0</v>
      </c>
      <c r="I149" s="20" t="n">
        <v>0</v>
      </c>
      <c r="J149" s="20" t="n">
        <v>0</v>
      </c>
      <c r="K149" s="20" t="n">
        <v>0</v>
      </c>
      <c r="L149" s="20" t="n">
        <v>0</v>
      </c>
      <c r="M149" s="20" t="n">
        <v>0</v>
      </c>
      <c r="N149" s="20" t="n">
        <v>0</v>
      </c>
      <c r="W149" s="20" t="n">
        <v>0</v>
      </c>
      <c r="X149" s="20" t="n">
        <v>0</v>
      </c>
    </row>
    <row r="150">
      <c r="A150" s="18" t="inlineStr">
        <is>
          <t>부문 · 합계</t>
        </is>
      </c>
      <c r="C150" s="20" t="n">
        <v>88320</v>
      </c>
      <c r="E150" s="20" t="n">
        <v>101108</v>
      </c>
      <c r="F150" s="20" t="n">
        <v>145470</v>
      </c>
      <c r="G150" s="20" t="n">
        <v>167607</v>
      </c>
    </row>
    <row r="151">
      <c r="A151" s="43" t="inlineStr">
        <is>
          <t>YoY</t>
        </is>
      </c>
      <c r="B151" s="3" t="inlineStr">
        <is>
          <t>전년 같은 분기·전년 대비</t>
        </is>
      </c>
      <c r="G151" s="15">
        <f>IF(OR(G150="",C150=""),"",IF(C150&lt;=0,"",IFERROR(G150/C150-1,"")))</f>
        <v/>
      </c>
    </row>
    <row r="152">
      <c r="A152" s="18" t="inlineStr">
        <is>
          <t>부문 · 합계</t>
        </is>
      </c>
      <c r="C152" s="20" t="n">
        <v>14905</v>
      </c>
      <c r="E152" s="20" t="n">
        <v>14261</v>
      </c>
      <c r="F152" s="20" t="n">
        <v>17245</v>
      </c>
      <c r="G152" s="20" t="n">
        <v>23563</v>
      </c>
    </row>
    <row r="153">
      <c r="A153" s="43" t="inlineStr">
        <is>
          <t>YoY</t>
        </is>
      </c>
      <c r="B153" s="3" t="inlineStr">
        <is>
          <t>전년 같은 분기·전년 대비</t>
        </is>
      </c>
      <c r="G153" s="15">
        <f>IF(OR(G152="",C152=""),"",IF(C152&lt;=0,"",IFERROR(G152/C152-1,"")))</f>
        <v/>
      </c>
    </row>
    <row r="154">
      <c r="A154" s="18" t="inlineStr">
        <is>
          <t>테스트시스템 사업 · 합계</t>
        </is>
      </c>
      <c r="E154" s="20" t="n">
        <v>117286</v>
      </c>
      <c r="I154" s="20" t="n">
        <v>240554</v>
      </c>
      <c r="M154" s="20" t="n">
        <v>333562</v>
      </c>
    </row>
    <row r="155">
      <c r="A155" s="43" t="inlineStr">
        <is>
          <t>YoY</t>
        </is>
      </c>
      <c r="B155" s="3" t="inlineStr">
        <is>
          <t>전년 같은 분기·전년 대비</t>
        </is>
      </c>
      <c r="I155" s="15">
        <f>IF(OR(I154="",E154=""),"",IF(E154&lt;=0,"",IFERROR(I154/E154-1,"")))</f>
        <v/>
      </c>
      <c r="M155" s="15">
        <f>IF(OR(M154="",I154=""),"",IF(I154&lt;=0,"",IFERROR(M154/I154-1,"")))</f>
        <v/>
      </c>
    </row>
    <row r="156">
      <c r="A156" s="18" t="inlineStr">
        <is>
          <t>부문 · 합계</t>
        </is>
      </c>
      <c r="E156" s="20" t="n">
        <v>21439</v>
      </c>
      <c r="I156" s="20" t="n">
        <v>23222</v>
      </c>
      <c r="M156" s="20" t="n">
        <v>33911</v>
      </c>
    </row>
    <row r="157">
      <c r="A157" s="43" t="inlineStr">
        <is>
          <t>YoY</t>
        </is>
      </c>
      <c r="B157" s="3" t="inlineStr">
        <is>
          <t>전년 같은 분기·전년 대비</t>
        </is>
      </c>
      <c r="I157" s="15">
        <f>IF(OR(I156="",E156=""),"",IF(E156&lt;=0,"",IFERROR(I156/E156-1,"")))</f>
        <v/>
      </c>
      <c r="M157" s="15">
        <f>IF(OR(M156="",I156=""),"",IF(I156&lt;=0,"",IFERROR(M156/I156-1,"")))</f>
        <v/>
      </c>
    </row>
    <row r="158">
      <c r="A158" s="18" t="inlineStr">
        <is>
          <t>테스트시스템 사업 · 합계</t>
        </is>
      </c>
      <c r="G158" s="20" t="n">
        <v>194084</v>
      </c>
      <c r="H158" s="20" t="n">
        <v>204160</v>
      </c>
      <c r="K158" s="20" t="n">
        <v>245108</v>
      </c>
      <c r="L158" s="20" t="n">
        <v>296325</v>
      </c>
      <c r="W158" s="20" t="n">
        <v>204160</v>
      </c>
      <c r="X158" s="20" t="n">
        <v>296325</v>
      </c>
    </row>
    <row r="159">
      <c r="A159" s="43" t="inlineStr">
        <is>
          <t>YoY</t>
        </is>
      </c>
      <c r="B159" s="3" t="inlineStr">
        <is>
          <t>전년 같은 분기·전년 대비</t>
        </is>
      </c>
      <c r="G159" s="15">
        <f>IF(OR(G158="",C158=""),"",IF(C158&lt;=0,"",IFERROR(G158/C158-1,"")))</f>
        <v/>
      </c>
      <c r="H159" s="15">
        <f>IF(OR(H158="",D158=""),"",IF(D158&lt;=0,"",IFERROR(H158/D158-1,"")))</f>
        <v/>
      </c>
      <c r="K159" s="15">
        <f>IF(OR(K158="",G158=""),"",IF(G158&lt;=0,"",IFERROR(K158/G158-1,"")))</f>
        <v/>
      </c>
      <c r="L159" s="15">
        <f>IF(OR(L158="",H158=""),"",IF(H158&lt;=0,"",IFERROR(L158/H158-1,"")))</f>
        <v/>
      </c>
      <c r="W159" s="15">
        <f>IF(OR(W158="",V158=""),"",IF(V158&lt;=0,"",IFERROR(W158/V158-1,"")))</f>
        <v/>
      </c>
      <c r="X159" s="15">
        <f>IF(OR(X158="",W158=""),"",IF(W158&lt;=0,"",IFERROR(X158/W158-1,"")))</f>
        <v/>
      </c>
    </row>
    <row r="160">
      <c r="A160" s="18" t="inlineStr">
        <is>
          <t>부문 · 합계</t>
        </is>
      </c>
      <c r="C160" s="20" t="n">
        <v>30008</v>
      </c>
      <c r="E160" s="20" t="n">
        <v>23356</v>
      </c>
      <c r="F160" s="20" t="n">
        <v>21275</v>
      </c>
      <c r="G160" s="20" t="n">
        <v>24068</v>
      </c>
      <c r="H160" s="20" t="n">
        <v>28189</v>
      </c>
      <c r="K160" s="20" t="n">
        <v>28706</v>
      </c>
      <c r="L160" s="20" t="n">
        <v>31748</v>
      </c>
      <c r="W160" s="20" t="n">
        <v>28189</v>
      </c>
      <c r="X160" s="20" t="n">
        <v>31748</v>
      </c>
    </row>
    <row r="161">
      <c r="A161" s="43" t="inlineStr">
        <is>
          <t>YoY</t>
        </is>
      </c>
      <c r="B161" s="3" t="inlineStr">
        <is>
          <t>전년 같은 분기·전년 대비</t>
        </is>
      </c>
      <c r="G161" s="15">
        <f>IF(OR(G160="",C160=""),"",IF(C160&lt;=0,"",IFERROR(G160/C160-1,"")))</f>
        <v/>
      </c>
      <c r="H161" s="15">
        <f>IF(OR(H160="",D160=""),"",IF(D160&lt;=0,"",IFERROR(H160/D160-1,"")))</f>
        <v/>
      </c>
      <c r="K161" s="15">
        <f>IF(OR(K160="",G160=""),"",IF(G160&lt;=0,"",IFERROR(K160/G160-1,"")))</f>
        <v/>
      </c>
      <c r="L161" s="15">
        <f>IF(OR(L160="",H160=""),"",IF(H160&lt;=0,"",IFERROR(L160/H160-1,"")))</f>
        <v/>
      </c>
      <c r="W161" s="15">
        <f>IF(OR(W160="",V160=""),"",IF(V160&lt;=0,"",IFERROR(W160/V160-1,"")))</f>
        <v/>
      </c>
      <c r="X161" s="15">
        <f>IF(OR(X160="",W160=""),"",IF(W160&lt;=0,"",IFERROR(X160/W160-1,"")))</f>
        <v/>
      </c>
    </row>
    <row r="162">
      <c r="A162" s="18" t="inlineStr">
        <is>
          <t>조정액 · 합계</t>
        </is>
      </c>
      <c r="C162" s="20" t="n">
        <v>0</v>
      </c>
      <c r="E162" s="20" t="n">
        <v>0</v>
      </c>
      <c r="F162" s="20" t="n">
        <v>0</v>
      </c>
      <c r="G162" s="20" t="n">
        <v>0</v>
      </c>
      <c r="H162" s="20" t="n">
        <v>0</v>
      </c>
      <c r="I162" s="20" t="n">
        <v>0</v>
      </c>
      <c r="J162" s="20" t="n">
        <v>0</v>
      </c>
      <c r="K162" s="20" t="n">
        <v>-10</v>
      </c>
      <c r="L162" s="20" t="n">
        <v>0</v>
      </c>
      <c r="M162" s="20" t="n">
        <v>0</v>
      </c>
      <c r="N162" s="20" t="n">
        <v>0</v>
      </c>
      <c r="W162" s="20" t="n">
        <v>0</v>
      </c>
      <c r="X162" s="20" t="n">
        <v>0</v>
      </c>
    </row>
    <row r="163">
      <c r="A163" s="9" t="inlineStr">
        <is>
          <t>합계</t>
        </is>
      </c>
      <c r="C163" s="12" t="n">
        <v>133233</v>
      </c>
      <c r="E163" s="12" t="n">
        <v>138725</v>
      </c>
      <c r="F163" s="12" t="n">
        <v>190481</v>
      </c>
      <c r="G163" s="12" t="n">
        <v>218152</v>
      </c>
      <c r="H163" s="12" t="n">
        <v>232349</v>
      </c>
      <c r="I163" s="12" t="n">
        <v>263776</v>
      </c>
      <c r="J163" s="12" t="n">
        <v>262957</v>
      </c>
      <c r="K163" s="12" t="n">
        <v>273804</v>
      </c>
      <c r="L163" s="12" t="n">
        <v>328073</v>
      </c>
      <c r="M163" s="12" t="n">
        <v>367473</v>
      </c>
      <c r="N163" s="12" t="n">
        <v>477727</v>
      </c>
      <c r="W163" s="12" t="n">
        <v>232349</v>
      </c>
      <c r="X163" s="12" t="n">
        <v>328073</v>
      </c>
    </row>
    <row r="164">
      <c r="A164" s="43" t="inlineStr">
        <is>
          <t>YoY</t>
        </is>
      </c>
      <c r="B164" s="3" t="inlineStr">
        <is>
          <t>전년 같은 분기·전년 대비</t>
        </is>
      </c>
      <c r="G164" s="15">
        <f>IF(OR(G163="",C163=""),"",IF(C163&lt;=0,"",IFERROR(G163/C163-1,"")))</f>
        <v/>
      </c>
      <c r="H164" s="15">
        <f>IF(OR(H163="",D163=""),"",IF(D163&lt;=0,"",IFERROR(H163/D163-1,"")))</f>
        <v/>
      </c>
      <c r="I164" s="15">
        <f>IF(OR(I163="",E163=""),"",IF(E163&lt;=0,"",IFERROR(I163/E163-1,"")))</f>
        <v/>
      </c>
      <c r="J164" s="15">
        <f>IF(OR(J163="",F163=""),"",IF(F163&lt;=0,"",IFERROR(J163/F163-1,"")))</f>
        <v/>
      </c>
      <c r="K164" s="15">
        <f>IF(OR(K163="",G163=""),"",IF(G163&lt;=0,"",IFERROR(K163/G163-1,"")))</f>
        <v/>
      </c>
      <c r="L164" s="15">
        <f>IF(OR(L163="",H163=""),"",IF(H163&lt;=0,"",IFERROR(L163/H163-1,"")))</f>
        <v/>
      </c>
      <c r="M164" s="15">
        <f>IF(OR(M163="",I163=""),"",IF(I163&lt;=0,"",IFERROR(M163/I163-1,"")))</f>
        <v/>
      </c>
      <c r="N164" s="15">
        <f>IF(OR(N163="",J163=""),"",IF(J163&lt;=0,"",IFERROR(N163/J163-1,"")))</f>
        <v/>
      </c>
      <c r="W164" s="15">
        <f>IF(OR(W163="",V163=""),"",IF(V163&lt;=0,"",IFERROR(W163/V163-1,"")))</f>
        <v/>
      </c>
      <c r="X164" s="15">
        <f>IF(OR(X163="",W163=""),"",IF(W163&lt;=0,"",IFERROR(X163/W163-1,"")))</f>
        <v/>
      </c>
    </row>
    <row r="165">
      <c r="A165" s="18" t="inlineStr">
        <is>
          <t>부문 · Segment Profit Loss</t>
        </is>
      </c>
      <c r="C165" s="20" t="n">
        <v>25682</v>
      </c>
      <c r="E165" s="20" t="n">
        <v>32511</v>
      </c>
      <c r="F165" s="20" t="n">
        <v>62212</v>
      </c>
      <c r="G165" s="20" t="n">
        <v>66025</v>
      </c>
    </row>
    <row r="166">
      <c r="A166" s="43" t="inlineStr">
        <is>
          <t>OPM</t>
        </is>
      </c>
      <c r="B166" s="3" t="inlineStr">
        <is>
          <t>영업이익 ÷ 매출</t>
        </is>
      </c>
      <c r="C166" s="15">
        <f>IF(OR(C165="",C150=""),"",IF(C150&lt;=0,"",IFERROR(C165/C150,"")))</f>
        <v/>
      </c>
      <c r="E166" s="15">
        <f>IF(OR(E165="",E150=""),"",IF(E150&lt;=0,"",IFERROR(E165/E150,"")))</f>
        <v/>
      </c>
      <c r="F166" s="15">
        <f>IF(OR(F165="",F150=""),"",IF(F150&lt;=0,"",IFERROR(F165/F150,"")))</f>
        <v/>
      </c>
      <c r="G166" s="15">
        <f>IF(OR(G165="",G150=""),"",IF(G150&lt;=0,"",IFERROR(G165/G150,"")))</f>
        <v/>
      </c>
    </row>
    <row r="167">
      <c r="A167" s="43" t="inlineStr">
        <is>
          <t>YoY</t>
        </is>
      </c>
      <c r="B167" s="3" t="inlineStr">
        <is>
          <t>전년 같은 분기·전년 대비</t>
        </is>
      </c>
      <c r="G167" s="15">
        <f>IF(OR(G165="",C165=""),"",IF(C165&lt;=0,"",IFERROR(G165/C165-1,"")))</f>
        <v/>
      </c>
    </row>
    <row r="168">
      <c r="A168" s="18" t="inlineStr">
        <is>
          <t>부문 · Segment Profit Loss</t>
        </is>
      </c>
      <c r="C168" s="20" t="n">
        <v>3159</v>
      </c>
      <c r="E168" s="20" t="n">
        <v>2467</v>
      </c>
      <c r="F168" s="20" t="n">
        <v>3798</v>
      </c>
      <c r="G168" s="20" t="n">
        <v>7045</v>
      </c>
    </row>
    <row r="169">
      <c r="A169" s="43" t="inlineStr">
        <is>
          <t>OPM</t>
        </is>
      </c>
      <c r="B169" s="3" t="inlineStr">
        <is>
          <t>영업이익 ÷ 매출</t>
        </is>
      </c>
      <c r="C169" s="15">
        <f>IF(OR(C168="",C152=""),"",IF(C152&lt;=0,"",IFERROR(C168/C152,"")))</f>
        <v/>
      </c>
      <c r="E169" s="15">
        <f>IF(OR(E168="",E152=""),"",IF(E152&lt;=0,"",IFERROR(E168/E152,"")))</f>
        <v/>
      </c>
      <c r="F169" s="15">
        <f>IF(OR(F168="",F152=""),"",IF(F152&lt;=0,"",IFERROR(F168/F152,"")))</f>
        <v/>
      </c>
      <c r="G169" s="15">
        <f>IF(OR(G168="",G152=""),"",IF(G152&lt;=0,"",IFERROR(G168/G152,"")))</f>
        <v/>
      </c>
    </row>
    <row r="170">
      <c r="A170" s="43" t="inlineStr">
        <is>
          <t>YoY</t>
        </is>
      </c>
      <c r="B170" s="3" t="inlineStr">
        <is>
          <t>전년 같은 분기·전년 대비</t>
        </is>
      </c>
      <c r="G170" s="15">
        <f>IF(OR(G168="",C168=""),"",IF(C168&lt;=0,"",IFERROR(G168/C168-1,"")))</f>
        <v/>
      </c>
    </row>
    <row r="171">
      <c r="A171" s="18" t="inlineStr">
        <is>
          <t>테스트시스템 사업 · Segment Profit Loss</t>
        </is>
      </c>
      <c r="E171" s="20" t="n">
        <v>35231</v>
      </c>
      <c r="I171" s="20" t="n">
        <v>126925</v>
      </c>
      <c r="M171" s="20" t="n">
        <v>190722</v>
      </c>
    </row>
    <row r="172">
      <c r="A172" s="43" t="inlineStr">
        <is>
          <t>OPM</t>
        </is>
      </c>
      <c r="B172" s="3" t="inlineStr">
        <is>
          <t>영업이익 ÷ 매출</t>
        </is>
      </c>
      <c r="E172" s="15">
        <f>IF(OR(E171="",E154=""),"",IF(E154&lt;=0,"",IFERROR(E171/E154,"")))</f>
        <v/>
      </c>
      <c r="I172" s="15">
        <f>IF(OR(I171="",I154=""),"",IF(I154&lt;=0,"",IFERROR(I171/I154,"")))</f>
        <v/>
      </c>
      <c r="M172" s="15">
        <f>IF(OR(M171="",M154=""),"",IF(M154&lt;=0,"",IFERROR(M171/M154,"")))</f>
        <v/>
      </c>
    </row>
    <row r="173">
      <c r="A173" s="43" t="inlineStr">
        <is>
          <t>YoY</t>
        </is>
      </c>
      <c r="B173" s="3" t="inlineStr">
        <is>
          <t>전년 같은 분기·전년 대비</t>
        </is>
      </c>
      <c r="I173" s="15">
        <f>IF(OR(I171="",E171=""),"",IF(E171&lt;=0,"",IFERROR(I171/E171-1,"")))</f>
        <v/>
      </c>
      <c r="M173" s="15">
        <f>IF(OR(M171="",I171=""),"",IF(I171&lt;=0,"",IFERROR(M171/I171-1,"")))</f>
        <v/>
      </c>
    </row>
    <row r="174">
      <c r="A174" s="18" t="inlineStr">
        <is>
          <t>부문 · Segment Profit Loss</t>
        </is>
      </c>
      <c r="E174" s="20" t="n">
        <v>307</v>
      </c>
      <c r="I174" s="20" t="n">
        <v>2706</v>
      </c>
      <c r="M174" s="20" t="n">
        <v>8563</v>
      </c>
    </row>
    <row r="175">
      <c r="A175" s="43" t="inlineStr">
        <is>
          <t>OPM</t>
        </is>
      </c>
      <c r="B175" s="3" t="inlineStr">
        <is>
          <t>영업이익 ÷ 매출</t>
        </is>
      </c>
      <c r="E175" s="15">
        <f>IF(OR(E174="",E156=""),"",IF(E156&lt;=0,"",IFERROR(E174/E156,"")))</f>
        <v/>
      </c>
      <c r="I175" s="15">
        <f>IF(OR(I174="",I156=""),"",IF(I156&lt;=0,"",IFERROR(I174/I156,"")))</f>
        <v/>
      </c>
      <c r="M175" s="15">
        <f>IF(OR(M174="",M156=""),"",IF(M156&lt;=0,"",IFERROR(M174/M156,"")))</f>
        <v/>
      </c>
    </row>
    <row r="176">
      <c r="A176" s="43" t="inlineStr">
        <is>
          <t>YoY</t>
        </is>
      </c>
      <c r="B176" s="3" t="inlineStr">
        <is>
          <t>전년 같은 분기·전년 대비</t>
        </is>
      </c>
      <c r="I176" s="15">
        <f>IF(OR(I174="",E174=""),"",IF(E174&lt;=0,"",IFERROR(I174/E174-1,"")))</f>
        <v/>
      </c>
      <c r="M176" s="15">
        <f>IF(OR(M174="",I174=""),"",IF(I174&lt;=0,"",IFERROR(M174/I174-1,"")))</f>
        <v/>
      </c>
    </row>
    <row r="177">
      <c r="A177" s="18" t="inlineStr">
        <is>
          <t>테스트시스템 사업 · Segment Profit Loss</t>
        </is>
      </c>
      <c r="G177" s="20" t="n">
        <v>73704</v>
      </c>
      <c r="H177" s="20" t="n">
        <v>86108</v>
      </c>
      <c r="K177" s="20" t="n">
        <v>117144</v>
      </c>
      <c r="L177" s="20" t="n">
        <v>161060</v>
      </c>
      <c r="W177" s="20" t="n">
        <v>86108</v>
      </c>
      <c r="X177" s="20" t="n">
        <v>161060</v>
      </c>
    </row>
    <row r="178">
      <c r="A178" s="43" t="inlineStr">
        <is>
          <t>OPM</t>
        </is>
      </c>
      <c r="B178" s="3" t="inlineStr">
        <is>
          <t>영업이익 ÷ 매출</t>
        </is>
      </c>
      <c r="G178" s="15">
        <f>IF(OR(G177="",G158=""),"",IF(G158&lt;=0,"",IFERROR(G177/G158,"")))</f>
        <v/>
      </c>
      <c r="H178" s="15">
        <f>IF(OR(H177="",H158=""),"",IF(H158&lt;=0,"",IFERROR(H177/H158,"")))</f>
        <v/>
      </c>
      <c r="K178" s="15">
        <f>IF(OR(K177="",K158=""),"",IF(K158&lt;=0,"",IFERROR(K177/K158,"")))</f>
        <v/>
      </c>
      <c r="L178" s="15">
        <f>IF(OR(L177="",L158=""),"",IF(L158&lt;=0,"",IFERROR(L177/L158,"")))</f>
        <v/>
      </c>
      <c r="W178" s="15">
        <f>IF(OR(W177="",W158=""),"",IF(W158&lt;=0,"",IFERROR(W177/W158,"")))</f>
        <v/>
      </c>
      <c r="X178" s="15">
        <f>IF(OR(X177="",X158=""),"",IF(X158&lt;=0,"",IFERROR(X177/X158,"")))</f>
        <v/>
      </c>
    </row>
    <row r="179">
      <c r="A179" s="43" t="inlineStr">
        <is>
          <t>YoY</t>
        </is>
      </c>
      <c r="B179" s="3" t="inlineStr">
        <is>
          <t>전년 같은 분기·전년 대비</t>
        </is>
      </c>
      <c r="G179" s="15">
        <f>IF(OR(G177="",C177=""),"",IF(C177&lt;=0,"",IFERROR(G177/C177-1,"")))</f>
        <v/>
      </c>
      <c r="H179" s="15">
        <f>IF(OR(H177="",D177=""),"",IF(D177&lt;=0,"",IFERROR(H177/D177-1,"")))</f>
        <v/>
      </c>
      <c r="K179" s="15">
        <f>IF(OR(K177="",G177=""),"",IF(G177&lt;=0,"",IFERROR(K177/G177-1,"")))</f>
        <v/>
      </c>
      <c r="L179" s="15">
        <f>IF(OR(L177="",H177=""),"",IF(H177&lt;=0,"",IFERROR(L177/H177-1,"")))</f>
        <v/>
      </c>
      <c r="W179" s="15">
        <f>IF(OR(W177="",V177=""),"",IF(V177&lt;=0,"",IFERROR(W177/V177-1,"")))</f>
        <v/>
      </c>
      <c r="X179" s="15">
        <f>IF(OR(X177="",W177=""),"",IF(W177&lt;=0,"",IFERROR(X177/W177-1,"")))</f>
        <v/>
      </c>
    </row>
    <row r="180">
      <c r="A180" s="18" t="inlineStr">
        <is>
          <t>부문 · Segment Profit Loss</t>
        </is>
      </c>
      <c r="C180" s="20" t="n">
        <v>2442</v>
      </c>
      <c r="E180" s="20" t="n">
        <v>1367</v>
      </c>
      <c r="F180" s="20" t="n">
        <v>-763</v>
      </c>
      <c r="G180" s="20" t="n">
        <v>-139</v>
      </c>
      <c r="H180" s="20" t="n">
        <v>-16590</v>
      </c>
      <c r="K180" s="20" t="n">
        <v>1703</v>
      </c>
      <c r="L180" s="20" t="n">
        <v>4007</v>
      </c>
      <c r="W180" s="20" t="n">
        <v>-16590</v>
      </c>
      <c r="X180" s="20" t="n">
        <v>4007</v>
      </c>
    </row>
    <row r="181">
      <c r="A181" s="43" t="inlineStr">
        <is>
          <t>OPM</t>
        </is>
      </c>
      <c r="B181" s="3" t="inlineStr">
        <is>
          <t>영업이익 ÷ 매출</t>
        </is>
      </c>
      <c r="C181" s="15">
        <f>IF(OR(C180="",C160=""),"",IF(C160&lt;=0,"",IFERROR(C180/C160,"")))</f>
        <v/>
      </c>
      <c r="E181" s="15">
        <f>IF(OR(E180="",E160=""),"",IF(E160&lt;=0,"",IFERROR(E180/E160,"")))</f>
        <v/>
      </c>
      <c r="F181" s="15">
        <f>IF(OR(F180="",F160=""),"",IF(F160&lt;=0,"",IFERROR(F180/F160,"")))</f>
        <v/>
      </c>
      <c r="G181" s="15">
        <f>IF(OR(G180="",G160=""),"",IF(G160&lt;=0,"",IFERROR(G180/G160,"")))</f>
        <v/>
      </c>
      <c r="H181" s="15">
        <f>IF(OR(H180="",H160=""),"",IF(H160&lt;=0,"",IFERROR(H180/H160,"")))</f>
        <v/>
      </c>
      <c r="K181" s="15">
        <f>IF(OR(K180="",K160=""),"",IF(K160&lt;=0,"",IFERROR(K180/K160,"")))</f>
        <v/>
      </c>
      <c r="L181" s="15">
        <f>IF(OR(L180="",L160=""),"",IF(L160&lt;=0,"",IFERROR(L180/L160,"")))</f>
        <v/>
      </c>
      <c r="W181" s="15">
        <f>IF(OR(W180="",W160=""),"",IF(W160&lt;=0,"",IFERROR(W180/W160,"")))</f>
        <v/>
      </c>
      <c r="X181" s="15">
        <f>IF(OR(X180="",X160=""),"",IF(X160&lt;=0,"",IFERROR(X180/X160,"")))</f>
        <v/>
      </c>
    </row>
    <row r="182">
      <c r="A182" s="43" t="inlineStr">
        <is>
          <t>YoY</t>
        </is>
      </c>
      <c r="B182" s="3" t="inlineStr">
        <is>
          <t>전년 같은 분기·전년 대비</t>
        </is>
      </c>
      <c r="G182" s="15">
        <f>IF(OR(G180="",C180=""),"",IF(C180&lt;=0,"",IFERROR(G180/C180-1,"")))</f>
        <v/>
      </c>
      <c r="H182" s="15">
        <f>IF(OR(H180="",D180=""),"",IF(D180&lt;=0,"",IFERROR(H180/D180-1,"")))</f>
        <v/>
      </c>
      <c r="K182" s="15">
        <f>IF(OR(K180="",G180=""),"",IF(G180&lt;=0,"",IFERROR(K180/G180-1,"")))</f>
        <v/>
      </c>
      <c r="L182" s="15">
        <f>IF(OR(L180="",H180=""),"",IF(H180&lt;=0,"",IFERROR(L180/H180-1,"")))</f>
        <v/>
      </c>
      <c r="W182" s="15">
        <f>IF(OR(W180="",V180=""),"",IF(V180&lt;=0,"",IFERROR(W180/V180-1,"")))</f>
        <v/>
      </c>
      <c r="X182" s="15">
        <f>IF(OR(X180="",W180=""),"",IF(W180&lt;=0,"",IFERROR(X180/W180-1,"")))</f>
        <v/>
      </c>
    </row>
    <row r="183">
      <c r="A183" s="18" t="inlineStr">
        <is>
          <t>조정액 · Segment Profit Loss</t>
        </is>
      </c>
      <c r="C183" s="20" t="n">
        <v>-4061</v>
      </c>
      <c r="E183" s="20" t="n">
        <v>-3707</v>
      </c>
      <c r="F183" s="20" t="n">
        <v>-3087</v>
      </c>
      <c r="G183" s="20" t="n">
        <v>-3555</v>
      </c>
      <c r="H183" s="20" t="n">
        <v>-4592</v>
      </c>
      <c r="I183" s="20" t="n">
        <v>-4616</v>
      </c>
      <c r="J183" s="20" t="n">
        <v>-4436</v>
      </c>
      <c r="K183" s="20" t="n">
        <v>-4112</v>
      </c>
      <c r="L183" s="20" t="n">
        <v>-10784</v>
      </c>
      <c r="M183" s="20" t="n">
        <v>-7944</v>
      </c>
      <c r="N183" s="20" t="n">
        <v>-9042</v>
      </c>
      <c r="W183" s="20" t="n">
        <v>-4592</v>
      </c>
      <c r="X183" s="20" t="n">
        <v>-10784</v>
      </c>
    </row>
    <row r="184">
      <c r="A184" s="18" t="inlineStr">
        <is>
          <t>Segment Profit Loss</t>
        </is>
      </c>
      <c r="C184" s="20" t="n">
        <v>27222</v>
      </c>
      <c r="E184" s="20" t="n">
        <v>31831</v>
      </c>
      <c r="F184" s="20" t="n">
        <v>64287</v>
      </c>
      <c r="G184" s="20" t="n">
        <v>70010</v>
      </c>
      <c r="H184" s="20" t="n">
        <v>64926</v>
      </c>
      <c r="I184" s="20" t="n">
        <v>125015</v>
      </c>
      <c r="J184" s="20" t="n">
        <v>109537</v>
      </c>
      <c r="K184" s="20" t="n">
        <v>114735</v>
      </c>
      <c r="L184" s="20" t="n">
        <v>154283</v>
      </c>
      <c r="M184" s="20" t="n">
        <v>191341</v>
      </c>
      <c r="N184" s="20" t="n">
        <v>268103</v>
      </c>
      <c r="W184" s="20" t="n">
        <v>64926</v>
      </c>
      <c r="X184" s="20" t="n">
        <v>154283</v>
      </c>
    </row>
    <row r="185">
      <c r="A185" s="18" t="inlineStr">
        <is>
          <t>부문 · Adjustment Share Based Compensation Expense</t>
        </is>
      </c>
      <c r="C185" s="20" t="n">
        <v>0</v>
      </c>
      <c r="E185" s="20" t="n">
        <v>0</v>
      </c>
      <c r="F185" s="20" t="n">
        <v>0</v>
      </c>
      <c r="G185" s="20" t="n">
        <v>0</v>
      </c>
    </row>
    <row r="186">
      <c r="A186" s="18" t="inlineStr">
        <is>
          <t>부문 · Adjustment Share Based Compensation Expense</t>
        </is>
      </c>
      <c r="C186" s="20" t="n">
        <v>0</v>
      </c>
      <c r="E186" s="20" t="n">
        <v>0</v>
      </c>
      <c r="F186" s="20" t="n">
        <v>0</v>
      </c>
      <c r="G186" s="20" t="n">
        <v>0</v>
      </c>
    </row>
    <row r="187">
      <c r="A187" s="18" t="inlineStr">
        <is>
          <t>테스트시스템 사업 · Adjustment Share Based Compensation Expense</t>
        </is>
      </c>
      <c r="E187" s="20" t="n">
        <v>0</v>
      </c>
      <c r="I187" s="20" t="n">
        <v>0</v>
      </c>
      <c r="M187" s="20" t="n">
        <v>0</v>
      </c>
    </row>
    <row r="188">
      <c r="A188" s="18" t="inlineStr">
        <is>
          <t>부문 · Adjustment Share Based Compensation Expense</t>
        </is>
      </c>
      <c r="E188" s="20" t="n">
        <v>0</v>
      </c>
      <c r="I188" s="20" t="n">
        <v>0</v>
      </c>
      <c r="M188" s="20" t="n">
        <v>0</v>
      </c>
    </row>
    <row r="189">
      <c r="A189" s="18" t="inlineStr">
        <is>
          <t>테스트시스템 사업 · Adjustment Share Based Compensation Expense</t>
        </is>
      </c>
      <c r="G189" s="20" t="n">
        <v>0</v>
      </c>
      <c r="H189" s="20" t="n">
        <v>0</v>
      </c>
      <c r="K189" s="20" t="n">
        <v>0</v>
      </c>
      <c r="L189" s="20" t="n">
        <v>0</v>
      </c>
      <c r="W189" s="20" t="n">
        <v>0</v>
      </c>
      <c r="X189" s="20" t="n">
        <v>0</v>
      </c>
    </row>
    <row r="190">
      <c r="A190" s="18" t="inlineStr">
        <is>
          <t>부문 · Adjustment Share Based Compensation Expense</t>
        </is>
      </c>
      <c r="C190" s="20" t="n">
        <v>0</v>
      </c>
      <c r="E190" s="20" t="n">
        <v>0</v>
      </c>
      <c r="F190" s="20" t="n">
        <v>0</v>
      </c>
      <c r="G190" s="20" t="n">
        <v>0</v>
      </c>
      <c r="H190" s="20" t="n">
        <v>0</v>
      </c>
      <c r="K190" s="20" t="n">
        <v>0</v>
      </c>
      <c r="L190" s="20" t="n">
        <v>0</v>
      </c>
      <c r="W190" s="20" t="n">
        <v>0</v>
      </c>
      <c r="X190" s="20" t="n">
        <v>0</v>
      </c>
    </row>
    <row r="191">
      <c r="A191" s="18" t="inlineStr">
        <is>
          <t>조정액 · Adjustment Share Based Compensation Expense</t>
        </is>
      </c>
      <c r="C191" s="20" t="n">
        <v>0</v>
      </c>
      <c r="E191" s="20" t="n">
        <v>0</v>
      </c>
      <c r="F191" s="20" t="n">
        <v>0</v>
      </c>
      <c r="G191" s="20" t="n">
        <v>0</v>
      </c>
      <c r="H191" s="20" t="n">
        <v>0</v>
      </c>
      <c r="I191" s="20" t="n">
        <v>0</v>
      </c>
      <c r="J191" s="20" t="n">
        <v>0</v>
      </c>
      <c r="K191" s="20" t="n">
        <v>0</v>
      </c>
      <c r="L191" s="20" t="n">
        <v>0</v>
      </c>
      <c r="M191" s="20" t="n">
        <v>0</v>
      </c>
      <c r="N191" s="20" t="n">
        <v>0</v>
      </c>
      <c r="W191" s="20" t="n">
        <v>0</v>
      </c>
      <c r="X191" s="20" t="n">
        <v>0</v>
      </c>
    </row>
    <row r="192">
      <c r="A192" s="18" t="inlineStr">
        <is>
          <t>Adjustment Share Based Compensation Expense</t>
        </is>
      </c>
      <c r="C192" s="20" t="n">
        <v>392</v>
      </c>
      <c r="E192" s="20" t="n">
        <v>506</v>
      </c>
      <c r="F192" s="20" t="n">
        <v>753</v>
      </c>
      <c r="G192" s="20" t="n">
        <v>743</v>
      </c>
      <c r="H192" s="20" t="n">
        <v>891</v>
      </c>
      <c r="I192" s="20" t="n">
        <v>1063</v>
      </c>
      <c r="J192" s="20" t="n">
        <v>1054</v>
      </c>
      <c r="K192" s="20" t="n">
        <v>1164</v>
      </c>
      <c r="L192" s="20" t="n">
        <v>1169</v>
      </c>
      <c r="M192" s="20" t="n">
        <v>1351</v>
      </c>
      <c r="N192" s="20" t="n">
        <v>1284</v>
      </c>
      <c r="W192" s="20" t="n">
        <v>891</v>
      </c>
      <c r="X192" s="20" t="n">
        <v>1169</v>
      </c>
    </row>
    <row r="193">
      <c r="A193" s="18" t="inlineStr">
        <is>
          <t>부문 · 영업이익</t>
        </is>
      </c>
      <c r="C193" s="20" t="n">
        <v>0</v>
      </c>
      <c r="E193" s="20" t="n">
        <v>0</v>
      </c>
      <c r="F193" s="20" t="n">
        <v>0</v>
      </c>
      <c r="G193" s="20" t="n">
        <v>0</v>
      </c>
    </row>
    <row r="194">
      <c r="A194" s="43" t="inlineStr">
        <is>
          <t>OPM</t>
        </is>
      </c>
      <c r="B194" s="3" t="inlineStr">
        <is>
          <t>영업이익 ÷ 매출</t>
        </is>
      </c>
      <c r="C194" s="15">
        <f>IF(OR(C193="",C150=""),"",IF(C150&lt;=0,"",IFERROR(C193/C150,"")))</f>
        <v/>
      </c>
      <c r="E194" s="15">
        <f>IF(OR(E193="",E150=""),"",IF(E150&lt;=0,"",IFERROR(E193/E150,"")))</f>
        <v/>
      </c>
      <c r="F194" s="15">
        <f>IF(OR(F193="",F150=""),"",IF(F150&lt;=0,"",IFERROR(F193/F150,"")))</f>
        <v/>
      </c>
      <c r="G194" s="15">
        <f>IF(OR(G193="",G150=""),"",IF(G150&lt;=0,"",IFERROR(G193/G150,"")))</f>
        <v/>
      </c>
    </row>
    <row r="195">
      <c r="A195" s="43" t="inlineStr">
        <is>
          <t>YoY</t>
        </is>
      </c>
      <c r="B195" s="3" t="inlineStr">
        <is>
          <t>전년 같은 분기·전년 대비</t>
        </is>
      </c>
      <c r="G195" s="15">
        <f>IF(OR(G193="",C193=""),"",IF(C193&lt;=0,"",IFERROR(G193/C193-1,"")))</f>
        <v/>
      </c>
    </row>
    <row r="196">
      <c r="A196" s="18" t="inlineStr">
        <is>
          <t>부문 · 영업이익</t>
        </is>
      </c>
      <c r="C196" s="20" t="n">
        <v>0</v>
      </c>
      <c r="E196" s="20" t="n">
        <v>0</v>
      </c>
      <c r="F196" s="20" t="n">
        <v>0</v>
      </c>
      <c r="G196" s="20" t="n">
        <v>0</v>
      </c>
    </row>
    <row r="197">
      <c r="A197" s="43" t="inlineStr">
        <is>
          <t>OPM</t>
        </is>
      </c>
      <c r="B197" s="3" t="inlineStr">
        <is>
          <t>영업이익 ÷ 매출</t>
        </is>
      </c>
      <c r="C197" s="15">
        <f>IF(OR(C196="",C152=""),"",IF(C152&lt;=0,"",IFERROR(C196/C152,"")))</f>
        <v/>
      </c>
      <c r="E197" s="15">
        <f>IF(OR(E196="",E152=""),"",IF(E152&lt;=0,"",IFERROR(E196/E152,"")))</f>
        <v/>
      </c>
      <c r="F197" s="15">
        <f>IF(OR(F196="",F152=""),"",IF(F152&lt;=0,"",IFERROR(F196/F152,"")))</f>
        <v/>
      </c>
      <c r="G197" s="15">
        <f>IF(OR(G196="",G152=""),"",IF(G152&lt;=0,"",IFERROR(G196/G152,"")))</f>
        <v/>
      </c>
    </row>
    <row r="198">
      <c r="A198" s="43" t="inlineStr">
        <is>
          <t>YoY</t>
        </is>
      </c>
      <c r="B198" s="3" t="inlineStr">
        <is>
          <t>전년 같은 분기·전년 대비</t>
        </is>
      </c>
      <c r="G198" s="15">
        <f>IF(OR(G196="",C196=""),"",IF(C196&lt;=0,"",IFERROR(G196/C196-1,"")))</f>
        <v/>
      </c>
    </row>
    <row r="199">
      <c r="A199" s="18" t="inlineStr">
        <is>
          <t>테스트시스템 사업 · 영업이익</t>
        </is>
      </c>
      <c r="E199" s="20" t="n">
        <v>0</v>
      </c>
      <c r="I199" s="20" t="n">
        <v>0</v>
      </c>
      <c r="M199" s="20" t="n">
        <v>0</v>
      </c>
    </row>
    <row r="200">
      <c r="A200" s="43" t="inlineStr">
        <is>
          <t>OPM</t>
        </is>
      </c>
      <c r="B200" s="3" t="inlineStr">
        <is>
          <t>영업이익 ÷ 매출</t>
        </is>
      </c>
      <c r="E200" s="15">
        <f>IF(OR(E199="",E154=""),"",IF(E154&lt;=0,"",IFERROR(E199/E154,"")))</f>
        <v/>
      </c>
      <c r="I200" s="15">
        <f>IF(OR(I199="",I154=""),"",IF(I154&lt;=0,"",IFERROR(I199/I154,"")))</f>
        <v/>
      </c>
      <c r="M200" s="15">
        <f>IF(OR(M199="",M154=""),"",IF(M154&lt;=0,"",IFERROR(M199/M154,"")))</f>
        <v/>
      </c>
    </row>
    <row r="201">
      <c r="A201" s="43" t="inlineStr">
        <is>
          <t>YoY</t>
        </is>
      </c>
      <c r="B201" s="3" t="inlineStr">
        <is>
          <t>전년 같은 분기·전년 대비</t>
        </is>
      </c>
      <c r="I201" s="15">
        <f>IF(OR(I199="",E199=""),"",IF(E199&lt;=0,"",IFERROR(I199/E199-1,"")))</f>
        <v/>
      </c>
      <c r="M201" s="15">
        <f>IF(OR(M199="",I199=""),"",IF(I199&lt;=0,"",IFERROR(M199/I199-1,"")))</f>
        <v/>
      </c>
    </row>
    <row r="202">
      <c r="A202" s="18" t="inlineStr">
        <is>
          <t>부문 · 영업이익</t>
        </is>
      </c>
      <c r="E202" s="20" t="n">
        <v>0</v>
      </c>
      <c r="I202" s="20" t="n">
        <v>0</v>
      </c>
      <c r="M202" s="20" t="n">
        <v>0</v>
      </c>
    </row>
    <row r="203">
      <c r="A203" s="43" t="inlineStr">
        <is>
          <t>OPM</t>
        </is>
      </c>
      <c r="B203" s="3" t="inlineStr">
        <is>
          <t>영업이익 ÷ 매출</t>
        </is>
      </c>
      <c r="E203" s="15">
        <f>IF(OR(E202="",E156=""),"",IF(E156&lt;=0,"",IFERROR(E202/E156,"")))</f>
        <v/>
      </c>
      <c r="I203" s="15">
        <f>IF(OR(I202="",I156=""),"",IF(I156&lt;=0,"",IFERROR(I202/I156,"")))</f>
        <v/>
      </c>
      <c r="M203" s="15">
        <f>IF(OR(M202="",M156=""),"",IF(M156&lt;=0,"",IFERROR(M202/M156,"")))</f>
        <v/>
      </c>
    </row>
    <row r="204">
      <c r="A204" s="43" t="inlineStr">
        <is>
          <t>YoY</t>
        </is>
      </c>
      <c r="B204" s="3" t="inlineStr">
        <is>
          <t>전년 같은 분기·전년 대비</t>
        </is>
      </c>
      <c r="I204" s="15">
        <f>IF(OR(I202="",E202=""),"",IF(E202&lt;=0,"",IFERROR(I202/E202-1,"")))</f>
        <v/>
      </c>
      <c r="M204" s="15">
        <f>IF(OR(M202="",I202=""),"",IF(I202&lt;=0,"",IFERROR(M202/I202-1,"")))</f>
        <v/>
      </c>
    </row>
    <row r="205">
      <c r="A205" s="18" t="inlineStr">
        <is>
          <t>테스트시스템 사업 · 영업이익</t>
        </is>
      </c>
      <c r="G205" s="20" t="n">
        <v>0</v>
      </c>
      <c r="H205" s="20" t="n">
        <v>0</v>
      </c>
      <c r="K205" s="20" t="n">
        <v>0</v>
      </c>
      <c r="L205" s="20" t="n">
        <v>0</v>
      </c>
      <c r="W205" s="20" t="n">
        <v>0</v>
      </c>
      <c r="X205" s="20" t="n">
        <v>0</v>
      </c>
    </row>
    <row r="206">
      <c r="A206" s="43" t="inlineStr">
        <is>
          <t>OPM</t>
        </is>
      </c>
      <c r="B206" s="3" t="inlineStr">
        <is>
          <t>영업이익 ÷ 매출</t>
        </is>
      </c>
      <c r="G206" s="15">
        <f>IF(OR(G205="",G158=""),"",IF(G158&lt;=0,"",IFERROR(G205/G158,"")))</f>
        <v/>
      </c>
      <c r="H206" s="15">
        <f>IF(OR(H205="",H158=""),"",IF(H158&lt;=0,"",IFERROR(H205/H158,"")))</f>
        <v/>
      </c>
      <c r="K206" s="15">
        <f>IF(OR(K205="",K158=""),"",IF(K158&lt;=0,"",IFERROR(K205/K158,"")))</f>
        <v/>
      </c>
      <c r="L206" s="15">
        <f>IF(OR(L205="",L158=""),"",IF(L158&lt;=0,"",IFERROR(L205/L158,"")))</f>
        <v/>
      </c>
      <c r="W206" s="15">
        <f>IF(OR(W205="",W158=""),"",IF(W158&lt;=0,"",IFERROR(W205/W158,"")))</f>
        <v/>
      </c>
      <c r="X206" s="15">
        <f>IF(OR(X205="",X158=""),"",IF(X158&lt;=0,"",IFERROR(X205/X158,"")))</f>
        <v/>
      </c>
    </row>
    <row r="207">
      <c r="A207" s="43" t="inlineStr">
        <is>
          <t>YoY</t>
        </is>
      </c>
      <c r="B207" s="3" t="inlineStr">
        <is>
          <t>전년 같은 분기·전년 대비</t>
        </is>
      </c>
      <c r="G207" s="15">
        <f>IF(OR(G205="",C205=""),"",IF(C205&lt;=0,"",IFERROR(G205/C205-1,"")))</f>
        <v/>
      </c>
      <c r="H207" s="15">
        <f>IF(OR(H205="",D205=""),"",IF(D205&lt;=0,"",IFERROR(H205/D205-1,"")))</f>
        <v/>
      </c>
      <c r="K207" s="15">
        <f>IF(OR(K205="",G205=""),"",IF(G205&lt;=0,"",IFERROR(K205/G205-1,"")))</f>
        <v/>
      </c>
      <c r="L207" s="15">
        <f>IF(OR(L205="",H205=""),"",IF(H205&lt;=0,"",IFERROR(L205/H205-1,"")))</f>
        <v/>
      </c>
      <c r="W207" s="15">
        <f>IF(OR(W205="",V205=""),"",IF(V205&lt;=0,"",IFERROR(W205/V205-1,"")))</f>
        <v/>
      </c>
      <c r="X207" s="15">
        <f>IF(OR(X205="",W205=""),"",IF(W205&lt;=0,"",IFERROR(X205/W205-1,"")))</f>
        <v/>
      </c>
    </row>
    <row r="208">
      <c r="A208" s="18" t="inlineStr">
        <is>
          <t>부문 · 영업이익</t>
        </is>
      </c>
      <c r="C208" s="20" t="n">
        <v>0</v>
      </c>
      <c r="E208" s="20" t="n">
        <v>0</v>
      </c>
      <c r="F208" s="20" t="n">
        <v>0</v>
      </c>
      <c r="G208" s="20" t="n">
        <v>0</v>
      </c>
      <c r="H208" s="20" t="n">
        <v>0</v>
      </c>
      <c r="K208" s="20" t="n">
        <v>0</v>
      </c>
      <c r="L208" s="20" t="n">
        <v>0</v>
      </c>
      <c r="W208" s="20" t="n">
        <v>0</v>
      </c>
      <c r="X208" s="20" t="n">
        <v>0</v>
      </c>
    </row>
    <row r="209">
      <c r="A209" s="43" t="inlineStr">
        <is>
          <t>OPM</t>
        </is>
      </c>
      <c r="B209" s="3" t="inlineStr">
        <is>
          <t>영업이익 ÷ 매출</t>
        </is>
      </c>
      <c r="C209" s="15">
        <f>IF(OR(C208="",C160=""),"",IF(C160&lt;=0,"",IFERROR(C208/C160,"")))</f>
        <v/>
      </c>
      <c r="E209" s="15">
        <f>IF(OR(E208="",E160=""),"",IF(E160&lt;=0,"",IFERROR(E208/E160,"")))</f>
        <v/>
      </c>
      <c r="F209" s="15">
        <f>IF(OR(F208="",F160=""),"",IF(F160&lt;=0,"",IFERROR(F208/F160,"")))</f>
        <v/>
      </c>
      <c r="G209" s="15">
        <f>IF(OR(G208="",G160=""),"",IF(G160&lt;=0,"",IFERROR(G208/G160,"")))</f>
        <v/>
      </c>
      <c r="H209" s="15">
        <f>IF(OR(H208="",H160=""),"",IF(H160&lt;=0,"",IFERROR(H208/H160,"")))</f>
        <v/>
      </c>
      <c r="K209" s="15">
        <f>IF(OR(K208="",K160=""),"",IF(K160&lt;=0,"",IFERROR(K208/K160,"")))</f>
        <v/>
      </c>
      <c r="L209" s="15">
        <f>IF(OR(L208="",L160=""),"",IF(L160&lt;=0,"",IFERROR(L208/L160,"")))</f>
        <v/>
      </c>
      <c r="W209" s="15">
        <f>IF(OR(W208="",W160=""),"",IF(W160&lt;=0,"",IFERROR(W208/W160,"")))</f>
        <v/>
      </c>
      <c r="X209" s="15">
        <f>IF(OR(X208="",X160=""),"",IF(X160&lt;=0,"",IFERROR(X208/X160,"")))</f>
        <v/>
      </c>
    </row>
    <row r="210">
      <c r="A210" s="43" t="inlineStr">
        <is>
          <t>YoY</t>
        </is>
      </c>
      <c r="B210" s="3" t="inlineStr">
        <is>
          <t>전년 같은 분기·전년 대비</t>
        </is>
      </c>
      <c r="G210" s="15">
        <f>IF(OR(G208="",C208=""),"",IF(C208&lt;=0,"",IFERROR(G208/C208-1,"")))</f>
        <v/>
      </c>
      <c r="H210" s="15">
        <f>IF(OR(H208="",D208=""),"",IF(D208&lt;=0,"",IFERROR(H208/D208-1,"")))</f>
        <v/>
      </c>
      <c r="K210" s="15">
        <f>IF(OR(K208="",G208=""),"",IF(G208&lt;=0,"",IFERROR(K208/G208-1,"")))</f>
        <v/>
      </c>
      <c r="L210" s="15">
        <f>IF(OR(L208="",H208=""),"",IF(H208&lt;=0,"",IFERROR(L208/H208-1,"")))</f>
        <v/>
      </c>
      <c r="W210" s="15">
        <f>IF(OR(W208="",V208=""),"",IF(V208&lt;=0,"",IFERROR(W208/V208-1,"")))</f>
        <v/>
      </c>
      <c r="X210" s="15">
        <f>IF(OR(X208="",W208=""),"",IF(W208&lt;=0,"",IFERROR(X208/W208-1,"")))</f>
        <v/>
      </c>
    </row>
    <row r="211">
      <c r="A211" s="18" t="inlineStr">
        <is>
          <t>조정액 · 영업이익</t>
        </is>
      </c>
      <c r="C211" s="20" t="n">
        <v>0</v>
      </c>
      <c r="E211" s="20" t="n">
        <v>0</v>
      </c>
      <c r="F211" s="20" t="n">
        <v>0</v>
      </c>
      <c r="G211" s="20" t="n">
        <v>0</v>
      </c>
      <c r="H211" s="20" t="n">
        <v>0</v>
      </c>
      <c r="I211" s="20" t="n">
        <v>0</v>
      </c>
      <c r="J211" s="20" t="n">
        <v>0</v>
      </c>
      <c r="K211" s="20" t="n">
        <v>0</v>
      </c>
      <c r="L211" s="20" t="n">
        <v>0</v>
      </c>
      <c r="M211" s="20" t="n">
        <v>0</v>
      </c>
      <c r="N211" s="20" t="n">
        <v>0</v>
      </c>
      <c r="W211" s="20" t="n">
        <v>0</v>
      </c>
      <c r="X211" s="20" t="n">
        <v>0</v>
      </c>
    </row>
    <row r="212">
      <c r="A212" s="18" t="inlineStr">
        <is>
          <t>영업이익</t>
        </is>
      </c>
      <c r="C212" s="20" t="n">
        <v>26830</v>
      </c>
      <c r="E212" s="20" t="n">
        <v>31325</v>
      </c>
      <c r="F212" s="20" t="n">
        <v>63534</v>
      </c>
      <c r="G212" s="20" t="n">
        <v>69267</v>
      </c>
      <c r="H212" s="20" t="n">
        <v>64035</v>
      </c>
      <c r="I212" s="20" t="n">
        <v>123952</v>
      </c>
      <c r="J212" s="20" t="n">
        <v>108483</v>
      </c>
      <c r="K212" s="20" t="n">
        <v>113571</v>
      </c>
      <c r="L212" s="20" t="n">
        <v>153114</v>
      </c>
      <c r="M212" s="20" t="n">
        <v>189990</v>
      </c>
      <c r="N212" s="20" t="n">
        <v>266819</v>
      </c>
      <c r="W212" s="20" t="n">
        <v>64035</v>
      </c>
      <c r="X212" s="20" t="n">
        <v>153114</v>
      </c>
    </row>
    <row r="213">
      <c r="A213" s="43" t="inlineStr">
        <is>
          <t>OPM</t>
        </is>
      </c>
      <c r="B213" s="3" t="inlineStr">
        <is>
          <t>영업이익 ÷ 매출</t>
        </is>
      </c>
      <c r="C213" s="15">
        <f>IF(OR(C212="",C163=""),"",IF(C163&lt;=0,"",IFERROR(C212/C163,"")))</f>
        <v/>
      </c>
      <c r="E213" s="15">
        <f>IF(OR(E212="",E163=""),"",IF(E163&lt;=0,"",IFERROR(E212/E163,"")))</f>
        <v/>
      </c>
      <c r="F213" s="15">
        <f>IF(OR(F212="",F163=""),"",IF(F163&lt;=0,"",IFERROR(F212/F163,"")))</f>
        <v/>
      </c>
      <c r="G213" s="15">
        <f>IF(OR(G212="",G163=""),"",IF(G163&lt;=0,"",IFERROR(G212/G163,"")))</f>
        <v/>
      </c>
      <c r="H213" s="15">
        <f>IF(OR(H212="",H163=""),"",IF(H163&lt;=0,"",IFERROR(H212/H163,"")))</f>
        <v/>
      </c>
      <c r="I213" s="15">
        <f>IF(OR(I212="",I163=""),"",IF(I163&lt;=0,"",IFERROR(I212/I163,"")))</f>
        <v/>
      </c>
      <c r="J213" s="15">
        <f>IF(OR(J212="",J163=""),"",IF(J163&lt;=0,"",IFERROR(J212/J163,"")))</f>
        <v/>
      </c>
      <c r="K213" s="15">
        <f>IF(OR(K212="",K163=""),"",IF(K163&lt;=0,"",IFERROR(K212/K163,"")))</f>
        <v/>
      </c>
      <c r="L213" s="15">
        <f>IF(OR(L212="",L163=""),"",IF(L163&lt;=0,"",IFERROR(L212/L163,"")))</f>
        <v/>
      </c>
      <c r="M213" s="15">
        <f>IF(OR(M212="",M163=""),"",IF(M163&lt;=0,"",IFERROR(M212/M163,"")))</f>
        <v/>
      </c>
      <c r="N213" s="15">
        <f>IF(OR(N212="",N163=""),"",IF(N163&lt;=0,"",IFERROR(N212/N163,"")))</f>
        <v/>
      </c>
      <c r="W213" s="15">
        <f>IF(OR(W212="",W163=""),"",IF(W163&lt;=0,"",IFERROR(W212/W163,"")))</f>
        <v/>
      </c>
      <c r="X213" s="15">
        <f>IF(OR(X212="",X163=""),"",IF(X163&lt;=0,"",IFERROR(X212/X163,"")))</f>
        <v/>
      </c>
    </row>
    <row r="214">
      <c r="A214" s="43" t="inlineStr">
        <is>
          <t>YoY</t>
        </is>
      </c>
      <c r="B214" s="3" t="inlineStr">
        <is>
          <t>전년 같은 분기·전년 대비</t>
        </is>
      </c>
      <c r="G214" s="15">
        <f>IF(OR(G212="",C212=""),"",IF(C212&lt;=0,"",IFERROR(G212/C212-1,"")))</f>
        <v/>
      </c>
      <c r="H214" s="15">
        <f>IF(OR(H212="",D212=""),"",IF(D212&lt;=0,"",IFERROR(H212/D212-1,"")))</f>
        <v/>
      </c>
      <c r="I214" s="15">
        <f>IF(OR(I212="",E212=""),"",IF(E212&lt;=0,"",IFERROR(I212/E212-1,"")))</f>
        <v/>
      </c>
      <c r="J214" s="15">
        <f>IF(OR(J212="",F212=""),"",IF(F212&lt;=0,"",IFERROR(J212/F212-1,"")))</f>
        <v/>
      </c>
      <c r="K214" s="15">
        <f>IF(OR(K212="",G212=""),"",IF(G212&lt;=0,"",IFERROR(K212/G212-1,"")))</f>
        <v/>
      </c>
      <c r="L214" s="15">
        <f>IF(OR(L212="",H212=""),"",IF(H212&lt;=0,"",IFERROR(L212/H212-1,"")))</f>
        <v/>
      </c>
      <c r="M214" s="15">
        <f>IF(OR(M212="",I212=""),"",IF(I212&lt;=0,"",IFERROR(M212/I212-1,"")))</f>
        <v/>
      </c>
      <c r="N214" s="15">
        <f>IF(OR(N212="",J212=""),"",IF(J212&lt;=0,"",IFERROR(N212/J212-1,"")))</f>
        <v/>
      </c>
      <c r="W214" s="15">
        <f>IF(OR(W212="",V212=""),"",IF(V212&lt;=0,"",IFERROR(W212/V212-1,"")))</f>
        <v/>
      </c>
      <c r="X214" s="15">
        <f>IF(OR(X212="",W212=""),"",IF(W212&lt;=0,"",IFERROR(X212/W212-1,"")))</f>
        <v/>
      </c>
    </row>
    <row r="215">
      <c r="A215" s="18" t="inlineStr">
        <is>
          <t>부문 · 금융수익</t>
        </is>
      </c>
      <c r="C215" s="20" t="n">
        <v>0</v>
      </c>
      <c r="E215" s="20" t="n">
        <v>0</v>
      </c>
      <c r="F215" s="20" t="n">
        <v>0</v>
      </c>
      <c r="G215" s="20" t="n">
        <v>0</v>
      </c>
    </row>
    <row r="216">
      <c r="A216" s="18" t="inlineStr">
        <is>
          <t>부문 · 금융수익</t>
        </is>
      </c>
      <c r="C216" s="20" t="n">
        <v>0</v>
      </c>
      <c r="E216" s="20" t="n">
        <v>0</v>
      </c>
      <c r="F216" s="20" t="n">
        <v>0</v>
      </c>
      <c r="G216" s="20" t="n">
        <v>0</v>
      </c>
    </row>
    <row r="217">
      <c r="A217" s="18" t="inlineStr">
        <is>
          <t>테스트시스템 사업 · 금융수익</t>
        </is>
      </c>
      <c r="E217" s="20" t="n">
        <v>0</v>
      </c>
      <c r="I217" s="20" t="n">
        <v>0</v>
      </c>
      <c r="M217" s="20" t="n">
        <v>0</v>
      </c>
    </row>
    <row r="218">
      <c r="A218" s="18" t="inlineStr">
        <is>
          <t>부문 · 금융수익</t>
        </is>
      </c>
      <c r="E218" s="20" t="n">
        <v>0</v>
      </c>
      <c r="I218" s="20" t="n">
        <v>0</v>
      </c>
      <c r="M218" s="20" t="n">
        <v>0</v>
      </c>
    </row>
    <row r="219">
      <c r="A219" s="18" t="inlineStr">
        <is>
          <t>테스트시스템 사업 · 금융수익</t>
        </is>
      </c>
      <c r="G219" s="20" t="n">
        <v>0</v>
      </c>
      <c r="H219" s="20" t="n">
        <v>0</v>
      </c>
      <c r="K219" s="20" t="n">
        <v>0</v>
      </c>
      <c r="L219" s="20" t="n">
        <v>0</v>
      </c>
      <c r="W219" s="20" t="n">
        <v>0</v>
      </c>
      <c r="X219" s="20" t="n">
        <v>0</v>
      </c>
    </row>
    <row r="220">
      <c r="A220" s="18" t="inlineStr">
        <is>
          <t>부문 · 금융수익</t>
        </is>
      </c>
      <c r="C220" s="20" t="n">
        <v>0</v>
      </c>
      <c r="E220" s="20" t="n">
        <v>0</v>
      </c>
      <c r="F220" s="20" t="n">
        <v>0</v>
      </c>
      <c r="G220" s="20" t="n">
        <v>0</v>
      </c>
      <c r="H220" s="20" t="n">
        <v>0</v>
      </c>
      <c r="K220" s="20" t="n">
        <v>0</v>
      </c>
      <c r="L220" s="20" t="n">
        <v>0</v>
      </c>
      <c r="W220" s="20" t="n">
        <v>0</v>
      </c>
      <c r="X220" s="20" t="n">
        <v>0</v>
      </c>
    </row>
    <row r="221">
      <c r="A221" s="18" t="inlineStr">
        <is>
          <t>조정액 · 금융수익</t>
        </is>
      </c>
      <c r="C221" s="20" t="n">
        <v>0</v>
      </c>
      <c r="E221" s="20" t="n">
        <v>0</v>
      </c>
      <c r="F221" s="20" t="n">
        <v>0</v>
      </c>
      <c r="G221" s="20" t="n">
        <v>0</v>
      </c>
      <c r="H221" s="20" t="n">
        <v>0</v>
      </c>
      <c r="I221" s="20" t="n">
        <v>0</v>
      </c>
      <c r="J221" s="20" t="n">
        <v>0</v>
      </c>
      <c r="K221" s="20" t="n">
        <v>0</v>
      </c>
      <c r="L221" s="20" t="n">
        <v>0</v>
      </c>
      <c r="M221" s="20" t="n">
        <v>0</v>
      </c>
      <c r="N221" s="20" t="n">
        <v>0</v>
      </c>
      <c r="W221" s="20" t="n">
        <v>0</v>
      </c>
      <c r="X221" s="20" t="n">
        <v>0</v>
      </c>
    </row>
    <row r="222">
      <c r="A222" s="18" t="inlineStr">
        <is>
          <t>금융수익</t>
        </is>
      </c>
      <c r="C222" s="20" t="n">
        <v>320</v>
      </c>
      <c r="E222" s="20" t="n">
        <v>1281</v>
      </c>
      <c r="F222" s="20" t="n">
        <v>-322</v>
      </c>
      <c r="G222" s="20" t="n">
        <v>410</v>
      </c>
      <c r="H222" s="20" t="n">
        <v>526</v>
      </c>
      <c r="I222" s="20" t="n">
        <v>693</v>
      </c>
      <c r="J222" s="20" t="n">
        <v>623</v>
      </c>
      <c r="K222" s="20" t="n">
        <v>705</v>
      </c>
      <c r="L222" s="20" t="n">
        <v>18333</v>
      </c>
      <c r="M222" s="20" t="n">
        <v>44680</v>
      </c>
      <c r="N222" s="20" t="n">
        <v>12336</v>
      </c>
      <c r="W222" s="20" t="n">
        <v>526</v>
      </c>
      <c r="X222" s="20" t="n">
        <v>18333</v>
      </c>
    </row>
    <row r="223">
      <c r="A223" s="43" t="inlineStr">
        <is>
          <t>YoY</t>
        </is>
      </c>
      <c r="B223" s="3" t="inlineStr">
        <is>
          <t>전년 같은 분기·전년 대비</t>
        </is>
      </c>
      <c r="G223" s="15">
        <f>IF(OR(G222="",C222=""),"",IF(G222*C222&lt;=0,"",IFERROR(G222/C222-1,"")))</f>
        <v/>
      </c>
      <c r="H223" s="15">
        <f>IF(OR(H222="",D222=""),"",IF(H222*D222&lt;=0,"",IFERROR(H222/D222-1,"")))</f>
        <v/>
      </c>
      <c r="I223" s="15">
        <f>IF(OR(I222="",E222=""),"",IF(I222*E222&lt;=0,"",IFERROR(I222/E222-1,"")))</f>
        <v/>
      </c>
      <c r="J223" s="15">
        <f>IF(OR(J222="",F222=""),"",IF(J222*F222&lt;=0,"",IFERROR(J222/F222-1,"")))</f>
        <v/>
      </c>
      <c r="K223" s="15">
        <f>IF(OR(K222="",G222=""),"",IF(K222*G222&lt;=0,"",IFERROR(K222/G222-1,"")))</f>
        <v/>
      </c>
      <c r="L223" s="15">
        <f>IF(OR(L222="",H222=""),"",IF(L222*H222&lt;=0,"",IFERROR(L222/H222-1,"")))</f>
        <v/>
      </c>
      <c r="M223" s="15">
        <f>IF(OR(M222="",I222=""),"",IF(M222*I222&lt;=0,"",IFERROR(M222/I222-1,"")))</f>
        <v/>
      </c>
      <c r="N223" s="15">
        <f>IF(OR(N222="",J222=""),"",IF(N222*J222&lt;=0,"",IFERROR(N222/J222-1,"")))</f>
        <v/>
      </c>
      <c r="W223" s="15">
        <f>IF(OR(W222="",V222=""),"",IF(W222*V222&lt;=0,"",IFERROR(W222/V222-1,"")))</f>
        <v/>
      </c>
      <c r="X223" s="15">
        <f>IF(OR(X222="",W222=""),"",IF(X222*W222&lt;=0,"",IFERROR(X222/W222-1,"")))</f>
        <v/>
      </c>
    </row>
    <row r="224">
      <c r="A224" s="18" t="inlineStr">
        <is>
          <t>부문 · 금융비용</t>
        </is>
      </c>
      <c r="C224" s="20" t="n">
        <v>0</v>
      </c>
      <c r="E224" s="20" t="n">
        <v>0</v>
      </c>
      <c r="F224" s="20" t="n">
        <v>0</v>
      </c>
      <c r="G224" s="20" t="n">
        <v>0</v>
      </c>
    </row>
    <row r="225">
      <c r="A225" s="18" t="inlineStr">
        <is>
          <t>부문 · 금융비용</t>
        </is>
      </c>
      <c r="C225" s="20" t="n">
        <v>0</v>
      </c>
      <c r="E225" s="20" t="n">
        <v>0</v>
      </c>
      <c r="F225" s="20" t="n">
        <v>0</v>
      </c>
      <c r="G225" s="20" t="n">
        <v>0</v>
      </c>
    </row>
    <row r="226">
      <c r="A226" s="18" t="inlineStr">
        <is>
          <t>테스트시스템 사업 · 금융비용</t>
        </is>
      </c>
      <c r="E226" s="20" t="n">
        <v>0</v>
      </c>
      <c r="I226" s="20" t="n">
        <v>0</v>
      </c>
      <c r="M226" s="20" t="n">
        <v>0</v>
      </c>
    </row>
    <row r="227">
      <c r="A227" s="18" t="inlineStr">
        <is>
          <t>부문 · 금융비용</t>
        </is>
      </c>
      <c r="E227" s="20" t="n">
        <v>0</v>
      </c>
      <c r="I227" s="20" t="n">
        <v>0</v>
      </c>
      <c r="M227" s="20" t="n">
        <v>0</v>
      </c>
    </row>
    <row r="228">
      <c r="A228" s="18" t="inlineStr">
        <is>
          <t>테스트시스템 사업 · 금융비용</t>
        </is>
      </c>
      <c r="G228" s="20" t="n">
        <v>0</v>
      </c>
      <c r="H228" s="20" t="n">
        <v>0</v>
      </c>
      <c r="K228" s="20" t="n">
        <v>0</v>
      </c>
      <c r="L228" s="20" t="n">
        <v>0</v>
      </c>
      <c r="W228" s="20" t="n">
        <v>0</v>
      </c>
      <c r="X228" s="20" t="n">
        <v>0</v>
      </c>
    </row>
    <row r="229">
      <c r="A229" s="18" t="inlineStr">
        <is>
          <t>부문 · 금융비용</t>
        </is>
      </c>
      <c r="C229" s="20" t="n">
        <v>0</v>
      </c>
      <c r="E229" s="20" t="n">
        <v>0</v>
      </c>
      <c r="F229" s="20" t="n">
        <v>0</v>
      </c>
      <c r="G229" s="20" t="n">
        <v>0</v>
      </c>
      <c r="H229" s="20" t="n">
        <v>0</v>
      </c>
      <c r="K229" s="20" t="n">
        <v>0</v>
      </c>
      <c r="L229" s="20" t="n">
        <v>0</v>
      </c>
      <c r="W229" s="20" t="n">
        <v>0</v>
      </c>
      <c r="X229" s="20" t="n">
        <v>0</v>
      </c>
    </row>
    <row r="230">
      <c r="A230" s="18" t="inlineStr">
        <is>
          <t>조정액 · 금융비용</t>
        </is>
      </c>
      <c r="C230" s="20" t="n">
        <v>0</v>
      </c>
      <c r="E230" s="20" t="n">
        <v>0</v>
      </c>
      <c r="F230" s="20" t="n">
        <v>0</v>
      </c>
      <c r="G230" s="20" t="n">
        <v>0</v>
      </c>
      <c r="H230" s="20" t="n">
        <v>0</v>
      </c>
      <c r="I230" s="20" t="n">
        <v>0</v>
      </c>
      <c r="J230" s="20" t="n">
        <v>0</v>
      </c>
      <c r="K230" s="20" t="n">
        <v>0</v>
      </c>
      <c r="L230" s="20" t="n">
        <v>0</v>
      </c>
      <c r="M230" s="20" t="n">
        <v>0</v>
      </c>
      <c r="N230" s="20" t="n">
        <v>0</v>
      </c>
      <c r="W230" s="20" t="n">
        <v>0</v>
      </c>
      <c r="X230" s="20" t="n">
        <v>0</v>
      </c>
    </row>
    <row r="231">
      <c r="A231" s="18" t="inlineStr">
        <is>
          <t>금융비용</t>
        </is>
      </c>
      <c r="C231" s="20" t="n">
        <v>900</v>
      </c>
      <c r="E231" s="20" t="n">
        <v>676</v>
      </c>
      <c r="F231" s="20" t="n">
        <v>2497</v>
      </c>
      <c r="G231" s="20" t="n">
        <v>-870</v>
      </c>
      <c r="H231" s="20" t="n">
        <v>2979</v>
      </c>
      <c r="I231" s="20" t="n">
        <v>3288</v>
      </c>
      <c r="J231" s="20" t="n">
        <v>-54</v>
      </c>
      <c r="K231" s="20" t="n">
        <v>444</v>
      </c>
      <c r="L231" s="20" t="n">
        <v>-924</v>
      </c>
      <c r="M231" s="20" t="n">
        <v>588</v>
      </c>
      <c r="N231" s="20" t="n">
        <v>3003</v>
      </c>
      <c r="W231" s="20" t="n">
        <v>2979</v>
      </c>
      <c r="X231" s="20" t="n">
        <v>-924</v>
      </c>
    </row>
    <row r="232">
      <c r="A232" s="43" t="inlineStr">
        <is>
          <t>YoY</t>
        </is>
      </c>
      <c r="B232" s="3" t="inlineStr">
        <is>
          <t>전년 같은 분기·전년 대비</t>
        </is>
      </c>
      <c r="G232" s="15">
        <f>IF(OR(G231="",C231=""),"",IF(G231*C231&lt;=0,"",IFERROR(G231/C231-1,"")))</f>
        <v/>
      </c>
      <c r="H232" s="15">
        <f>IF(OR(H231="",D231=""),"",IF(H231*D231&lt;=0,"",IFERROR(H231/D231-1,"")))</f>
        <v/>
      </c>
      <c r="I232" s="15">
        <f>IF(OR(I231="",E231=""),"",IF(I231*E231&lt;=0,"",IFERROR(I231/E231-1,"")))</f>
        <v/>
      </c>
      <c r="J232" s="15">
        <f>IF(OR(J231="",F231=""),"",IF(J231*F231&lt;=0,"",IFERROR(J231/F231-1,"")))</f>
        <v/>
      </c>
      <c r="K232" s="15">
        <f>IF(OR(K231="",G231=""),"",IF(K231*G231&lt;=0,"",IFERROR(K231/G231-1,"")))</f>
        <v/>
      </c>
      <c r="L232" s="15">
        <f>IF(OR(L231="",H231=""),"",IF(L231*H231&lt;=0,"",IFERROR(L231/H231-1,"")))</f>
        <v/>
      </c>
      <c r="M232" s="15">
        <f>IF(OR(M231="",I231=""),"",IF(M231*I231&lt;=0,"",IFERROR(M231/I231-1,"")))</f>
        <v/>
      </c>
      <c r="N232" s="15">
        <f>IF(OR(N231="",J231=""),"",IF(N231*J231&lt;=0,"",IFERROR(N231/J231-1,"")))</f>
        <v/>
      </c>
      <c r="W232" s="15">
        <f>IF(OR(W231="",V231=""),"",IF(W231*V231&lt;=0,"",IFERROR(W231/V231-1,"")))</f>
        <v/>
      </c>
      <c r="X232" s="15">
        <f>IF(OR(X231="",W231=""),"",IF(X231*W231&lt;=0,"",IFERROR(X231/W231-1,"")))</f>
        <v/>
      </c>
    </row>
    <row r="233">
      <c r="A233" s="18" t="inlineStr">
        <is>
          <t>부문 · 법인세비용차감전 중간이익</t>
        </is>
      </c>
      <c r="C233" s="20" t="n">
        <v>0</v>
      </c>
      <c r="E233" s="20" t="n">
        <v>0</v>
      </c>
      <c r="F233" s="20" t="n">
        <v>0</v>
      </c>
      <c r="G233" s="20" t="n">
        <v>0</v>
      </c>
    </row>
    <row r="234">
      <c r="A234" s="43" t="inlineStr">
        <is>
          <t>OPM</t>
        </is>
      </c>
      <c r="B234" s="3" t="inlineStr">
        <is>
          <t>영업이익 ÷ 매출</t>
        </is>
      </c>
      <c r="C234" s="15">
        <f>IF(OR(C233="",C150=""),"",IF(C150&lt;=0,"",IFERROR(C233/C150,"")))</f>
        <v/>
      </c>
      <c r="E234" s="15">
        <f>IF(OR(E233="",E150=""),"",IF(E150&lt;=0,"",IFERROR(E233/E150,"")))</f>
        <v/>
      </c>
      <c r="F234" s="15">
        <f>IF(OR(F233="",F150=""),"",IF(F150&lt;=0,"",IFERROR(F233/F150,"")))</f>
        <v/>
      </c>
      <c r="G234" s="15">
        <f>IF(OR(G233="",G150=""),"",IF(G150&lt;=0,"",IFERROR(G233/G150,"")))</f>
        <v/>
      </c>
    </row>
    <row r="235">
      <c r="A235" s="43" t="inlineStr">
        <is>
          <t>YoY</t>
        </is>
      </c>
      <c r="B235" s="3" t="inlineStr">
        <is>
          <t>전년 같은 분기·전년 대비</t>
        </is>
      </c>
      <c r="G235" s="15">
        <f>IF(OR(G233="",C233=""),"",IF(C233&lt;=0,"",IFERROR(G233/C233-1,"")))</f>
        <v/>
      </c>
    </row>
    <row r="236">
      <c r="A236" s="18" t="inlineStr">
        <is>
          <t>부문 · 법인세비용차감전 중간이익</t>
        </is>
      </c>
      <c r="C236" s="20" t="n">
        <v>0</v>
      </c>
      <c r="E236" s="20" t="n">
        <v>0</v>
      </c>
      <c r="F236" s="20" t="n">
        <v>0</v>
      </c>
      <c r="G236" s="20" t="n">
        <v>0</v>
      </c>
    </row>
    <row r="237">
      <c r="A237" s="43" t="inlineStr">
        <is>
          <t>OPM</t>
        </is>
      </c>
      <c r="B237" s="3" t="inlineStr">
        <is>
          <t>영업이익 ÷ 매출</t>
        </is>
      </c>
      <c r="C237" s="15">
        <f>IF(OR(C236="",C152=""),"",IF(C152&lt;=0,"",IFERROR(C236/C152,"")))</f>
        <v/>
      </c>
      <c r="E237" s="15">
        <f>IF(OR(E236="",E152=""),"",IF(E152&lt;=0,"",IFERROR(E236/E152,"")))</f>
        <v/>
      </c>
      <c r="F237" s="15">
        <f>IF(OR(F236="",F152=""),"",IF(F152&lt;=0,"",IFERROR(F236/F152,"")))</f>
        <v/>
      </c>
      <c r="G237" s="15">
        <f>IF(OR(G236="",G152=""),"",IF(G152&lt;=0,"",IFERROR(G236/G152,"")))</f>
        <v/>
      </c>
    </row>
    <row r="238">
      <c r="A238" s="43" t="inlineStr">
        <is>
          <t>YoY</t>
        </is>
      </c>
      <c r="B238" s="3" t="inlineStr">
        <is>
          <t>전년 같은 분기·전년 대비</t>
        </is>
      </c>
      <c r="G238" s="15">
        <f>IF(OR(G236="",C236=""),"",IF(C236&lt;=0,"",IFERROR(G236/C236-1,"")))</f>
        <v/>
      </c>
    </row>
    <row r="239">
      <c r="A239" s="18" t="inlineStr">
        <is>
          <t>테스트시스템 사업 · 법인세비용차감전 중간이익</t>
        </is>
      </c>
      <c r="E239" s="20" t="n">
        <v>0</v>
      </c>
      <c r="I239" s="20" t="n">
        <v>0</v>
      </c>
      <c r="M239" s="20" t="n">
        <v>0</v>
      </c>
    </row>
    <row r="240">
      <c r="A240" s="43" t="inlineStr">
        <is>
          <t>OPM</t>
        </is>
      </c>
      <c r="B240" s="3" t="inlineStr">
        <is>
          <t>영업이익 ÷ 매출</t>
        </is>
      </c>
      <c r="E240" s="15">
        <f>IF(OR(E239="",E154=""),"",IF(E154&lt;=0,"",IFERROR(E239/E154,"")))</f>
        <v/>
      </c>
      <c r="I240" s="15">
        <f>IF(OR(I239="",I154=""),"",IF(I154&lt;=0,"",IFERROR(I239/I154,"")))</f>
        <v/>
      </c>
      <c r="M240" s="15">
        <f>IF(OR(M239="",M154=""),"",IF(M154&lt;=0,"",IFERROR(M239/M154,"")))</f>
        <v/>
      </c>
    </row>
    <row r="241">
      <c r="A241" s="43" t="inlineStr">
        <is>
          <t>YoY</t>
        </is>
      </c>
      <c r="B241" s="3" t="inlineStr">
        <is>
          <t>전년 같은 분기·전년 대비</t>
        </is>
      </c>
      <c r="I241" s="15">
        <f>IF(OR(I239="",E239=""),"",IF(E239&lt;=0,"",IFERROR(I239/E239-1,"")))</f>
        <v/>
      </c>
      <c r="M241" s="15">
        <f>IF(OR(M239="",I239=""),"",IF(I239&lt;=0,"",IFERROR(M239/I239-1,"")))</f>
        <v/>
      </c>
    </row>
    <row r="242">
      <c r="A242" s="18" t="inlineStr">
        <is>
          <t>부문 · 법인세비용차감전 중간이익</t>
        </is>
      </c>
      <c r="E242" s="20" t="n">
        <v>0</v>
      </c>
      <c r="I242" s="20" t="n">
        <v>0</v>
      </c>
      <c r="M242" s="20" t="n">
        <v>0</v>
      </c>
    </row>
    <row r="243">
      <c r="A243" s="43" t="inlineStr">
        <is>
          <t>OPM</t>
        </is>
      </c>
      <c r="B243" s="3" t="inlineStr">
        <is>
          <t>영업이익 ÷ 매출</t>
        </is>
      </c>
      <c r="E243" s="15">
        <f>IF(OR(E242="",E156=""),"",IF(E156&lt;=0,"",IFERROR(E242/E156,"")))</f>
        <v/>
      </c>
      <c r="I243" s="15">
        <f>IF(OR(I242="",I156=""),"",IF(I156&lt;=0,"",IFERROR(I242/I156,"")))</f>
        <v/>
      </c>
      <c r="M243" s="15">
        <f>IF(OR(M242="",M156=""),"",IF(M156&lt;=0,"",IFERROR(M242/M156,"")))</f>
        <v/>
      </c>
    </row>
    <row r="244">
      <c r="A244" s="43" t="inlineStr">
        <is>
          <t>YoY</t>
        </is>
      </c>
      <c r="B244" s="3" t="inlineStr">
        <is>
          <t>전년 같은 분기·전년 대비</t>
        </is>
      </c>
      <c r="I244" s="15">
        <f>IF(OR(I242="",E242=""),"",IF(E242&lt;=0,"",IFERROR(I242/E242-1,"")))</f>
        <v/>
      </c>
      <c r="M244" s="15">
        <f>IF(OR(M242="",I242=""),"",IF(I242&lt;=0,"",IFERROR(M242/I242-1,"")))</f>
        <v/>
      </c>
    </row>
    <row r="245">
      <c r="A245" s="18" t="inlineStr">
        <is>
          <t>테스트시스템 사업 · 법인세비용차감전 중간이익</t>
        </is>
      </c>
      <c r="G245" s="20" t="n">
        <v>0</v>
      </c>
      <c r="H245" s="20" t="n">
        <v>0</v>
      </c>
      <c r="K245" s="20" t="n">
        <v>0</v>
      </c>
      <c r="L245" s="20" t="n">
        <v>0</v>
      </c>
      <c r="W245" s="20" t="n">
        <v>0</v>
      </c>
      <c r="X245" s="20" t="n">
        <v>0</v>
      </c>
    </row>
    <row r="246">
      <c r="A246" s="43" t="inlineStr">
        <is>
          <t>OPM</t>
        </is>
      </c>
      <c r="B246" s="3" t="inlineStr">
        <is>
          <t>영업이익 ÷ 매출</t>
        </is>
      </c>
      <c r="G246" s="15">
        <f>IF(OR(G245="",G158=""),"",IF(G158&lt;=0,"",IFERROR(G245/G158,"")))</f>
        <v/>
      </c>
      <c r="H246" s="15">
        <f>IF(OR(H245="",H158=""),"",IF(H158&lt;=0,"",IFERROR(H245/H158,"")))</f>
        <v/>
      </c>
      <c r="K246" s="15">
        <f>IF(OR(K245="",K158=""),"",IF(K158&lt;=0,"",IFERROR(K245/K158,"")))</f>
        <v/>
      </c>
      <c r="L246" s="15">
        <f>IF(OR(L245="",L158=""),"",IF(L158&lt;=0,"",IFERROR(L245/L158,"")))</f>
        <v/>
      </c>
      <c r="W246" s="15">
        <f>IF(OR(W245="",W158=""),"",IF(W158&lt;=0,"",IFERROR(W245/W158,"")))</f>
        <v/>
      </c>
      <c r="X246" s="15">
        <f>IF(OR(X245="",X158=""),"",IF(X158&lt;=0,"",IFERROR(X245/X158,"")))</f>
        <v/>
      </c>
    </row>
    <row r="247">
      <c r="A247" s="43" t="inlineStr">
        <is>
          <t>YoY</t>
        </is>
      </c>
      <c r="B247" s="3" t="inlineStr">
        <is>
          <t>전년 같은 분기·전년 대비</t>
        </is>
      </c>
      <c r="G247" s="15">
        <f>IF(OR(G245="",C245=""),"",IF(C245&lt;=0,"",IFERROR(G245/C245-1,"")))</f>
        <v/>
      </c>
      <c r="H247" s="15">
        <f>IF(OR(H245="",D245=""),"",IF(D245&lt;=0,"",IFERROR(H245/D245-1,"")))</f>
        <v/>
      </c>
      <c r="K247" s="15">
        <f>IF(OR(K245="",G245=""),"",IF(G245&lt;=0,"",IFERROR(K245/G245-1,"")))</f>
        <v/>
      </c>
      <c r="L247" s="15">
        <f>IF(OR(L245="",H245=""),"",IF(H245&lt;=0,"",IFERROR(L245/H245-1,"")))</f>
        <v/>
      </c>
      <c r="W247" s="15">
        <f>IF(OR(W245="",V245=""),"",IF(V245&lt;=0,"",IFERROR(W245/V245-1,"")))</f>
        <v/>
      </c>
      <c r="X247" s="15">
        <f>IF(OR(X245="",W245=""),"",IF(W245&lt;=0,"",IFERROR(X245/W245-1,"")))</f>
        <v/>
      </c>
    </row>
    <row r="248">
      <c r="A248" s="18" t="inlineStr">
        <is>
          <t>부문 · 법인세비용차감전 중간이익</t>
        </is>
      </c>
      <c r="C248" s="20" t="n">
        <v>0</v>
      </c>
      <c r="E248" s="20" t="n">
        <v>0</v>
      </c>
      <c r="F248" s="20" t="n">
        <v>0</v>
      </c>
      <c r="G248" s="20" t="n">
        <v>0</v>
      </c>
      <c r="H248" s="20" t="n">
        <v>0</v>
      </c>
      <c r="K248" s="20" t="n">
        <v>0</v>
      </c>
      <c r="L248" s="20" t="n">
        <v>0</v>
      </c>
      <c r="W248" s="20" t="n">
        <v>0</v>
      </c>
      <c r="X248" s="20" t="n">
        <v>0</v>
      </c>
    </row>
    <row r="249">
      <c r="A249" s="43" t="inlineStr">
        <is>
          <t>OPM</t>
        </is>
      </c>
      <c r="B249" s="3" t="inlineStr">
        <is>
          <t>영업이익 ÷ 매출</t>
        </is>
      </c>
      <c r="C249" s="15">
        <f>IF(OR(C248="",C160=""),"",IF(C160&lt;=0,"",IFERROR(C248/C160,"")))</f>
        <v/>
      </c>
      <c r="E249" s="15">
        <f>IF(OR(E248="",E160=""),"",IF(E160&lt;=0,"",IFERROR(E248/E160,"")))</f>
        <v/>
      </c>
      <c r="F249" s="15">
        <f>IF(OR(F248="",F160=""),"",IF(F160&lt;=0,"",IFERROR(F248/F160,"")))</f>
        <v/>
      </c>
      <c r="G249" s="15">
        <f>IF(OR(G248="",G160=""),"",IF(G160&lt;=0,"",IFERROR(G248/G160,"")))</f>
        <v/>
      </c>
      <c r="H249" s="15">
        <f>IF(OR(H248="",H160=""),"",IF(H160&lt;=0,"",IFERROR(H248/H160,"")))</f>
        <v/>
      </c>
      <c r="K249" s="15">
        <f>IF(OR(K248="",K160=""),"",IF(K160&lt;=0,"",IFERROR(K248/K160,"")))</f>
        <v/>
      </c>
      <c r="L249" s="15">
        <f>IF(OR(L248="",L160=""),"",IF(L160&lt;=0,"",IFERROR(L248/L160,"")))</f>
        <v/>
      </c>
      <c r="W249" s="15">
        <f>IF(OR(W248="",W160=""),"",IF(W160&lt;=0,"",IFERROR(W248/W160,"")))</f>
        <v/>
      </c>
      <c r="X249" s="15">
        <f>IF(OR(X248="",X160=""),"",IF(X160&lt;=0,"",IFERROR(X248/X160,"")))</f>
        <v/>
      </c>
    </row>
    <row r="250">
      <c r="A250" s="43" t="inlineStr">
        <is>
          <t>YoY</t>
        </is>
      </c>
      <c r="B250" s="3" t="inlineStr">
        <is>
          <t>전년 같은 분기·전년 대비</t>
        </is>
      </c>
      <c r="G250" s="15">
        <f>IF(OR(G248="",C248=""),"",IF(C248&lt;=0,"",IFERROR(G248/C248-1,"")))</f>
        <v/>
      </c>
      <c r="H250" s="15">
        <f>IF(OR(H248="",D248=""),"",IF(D248&lt;=0,"",IFERROR(H248/D248-1,"")))</f>
        <v/>
      </c>
      <c r="K250" s="15">
        <f>IF(OR(K248="",G248=""),"",IF(G248&lt;=0,"",IFERROR(K248/G248-1,"")))</f>
        <v/>
      </c>
      <c r="L250" s="15">
        <f>IF(OR(L248="",H248=""),"",IF(H248&lt;=0,"",IFERROR(L248/H248-1,"")))</f>
        <v/>
      </c>
      <c r="W250" s="15">
        <f>IF(OR(W248="",V248=""),"",IF(V248&lt;=0,"",IFERROR(W248/V248-1,"")))</f>
        <v/>
      </c>
      <c r="X250" s="15">
        <f>IF(OR(X248="",W248=""),"",IF(W248&lt;=0,"",IFERROR(X248/W248-1,"")))</f>
        <v/>
      </c>
    </row>
    <row r="251">
      <c r="A251" s="18" t="inlineStr">
        <is>
          <t>조정액 · 법인세비용차감전 중간이익</t>
        </is>
      </c>
      <c r="C251" s="20" t="n">
        <v>0</v>
      </c>
      <c r="E251" s="20" t="n">
        <v>0</v>
      </c>
      <c r="F251" s="20" t="n">
        <v>0</v>
      </c>
      <c r="G251" s="20" t="n">
        <v>0</v>
      </c>
      <c r="H251" s="20" t="n">
        <v>0</v>
      </c>
      <c r="I251" s="20" t="n">
        <v>0</v>
      </c>
      <c r="J251" s="20" t="n">
        <v>0</v>
      </c>
      <c r="K251" s="20" t="n">
        <v>0</v>
      </c>
      <c r="L251" s="20" t="n">
        <v>0</v>
      </c>
      <c r="M251" s="20" t="n">
        <v>0</v>
      </c>
      <c r="N251" s="20" t="n">
        <v>0</v>
      </c>
      <c r="W251" s="20" t="n">
        <v>0</v>
      </c>
      <c r="X251" s="20" t="n">
        <v>0</v>
      </c>
    </row>
    <row r="252">
      <c r="A252" s="9" t="inlineStr">
        <is>
          <t>법인세비용차감전 중간이익</t>
        </is>
      </c>
      <c r="C252" s="12" t="n">
        <v>26250</v>
      </c>
      <c r="E252" s="12" t="n">
        <v>31930</v>
      </c>
      <c r="F252" s="12" t="n">
        <v>60715</v>
      </c>
      <c r="G252" s="12" t="n">
        <v>70547</v>
      </c>
      <c r="H252" s="12" t="n">
        <v>61582</v>
      </c>
      <c r="I252" s="12" t="n">
        <v>121357</v>
      </c>
      <c r="J252" s="12" t="n">
        <v>109160</v>
      </c>
      <c r="K252" s="12" t="n">
        <v>113832</v>
      </c>
      <c r="L252" s="12" t="n">
        <v>172371</v>
      </c>
      <c r="M252" s="12" t="n">
        <v>234082</v>
      </c>
      <c r="N252" s="12" t="n">
        <v>276152</v>
      </c>
      <c r="W252" s="12" t="n">
        <v>61582</v>
      </c>
      <c r="X252" s="12" t="n">
        <v>172371</v>
      </c>
    </row>
    <row r="253">
      <c r="A253" s="18" t="inlineStr">
        <is>
          <t>테스트시스템 사업 · 외부 고객 매출</t>
        </is>
      </c>
      <c r="E253" s="20" t="n">
        <v>117286</v>
      </c>
      <c r="I253" s="20" t="n">
        <v>240554</v>
      </c>
      <c r="M253" s="20" t="n">
        <v>333562</v>
      </c>
    </row>
    <row r="254">
      <c r="A254" s="18" t="inlineStr">
        <is>
          <t>부문 · 외부 고객 매출</t>
        </is>
      </c>
      <c r="E254" s="20" t="n">
        <v>21439</v>
      </c>
      <c r="I254" s="20" t="n">
        <v>23222</v>
      </c>
      <c r="M254" s="20" t="n">
        <v>33911</v>
      </c>
    </row>
    <row r="255">
      <c r="A255" s="18" t="inlineStr">
        <is>
          <t>부문 · 외부 고객 매출</t>
        </is>
      </c>
      <c r="C255" s="20" t="n">
        <v>88320</v>
      </c>
      <c r="E255" s="20" t="n">
        <v>101108</v>
      </c>
      <c r="F255" s="20" t="n">
        <v>145470</v>
      </c>
      <c r="G255" s="20" t="n">
        <v>167607</v>
      </c>
    </row>
    <row r="256">
      <c r="A256" s="18" t="inlineStr">
        <is>
          <t>부문 · 외부 고객 매출</t>
        </is>
      </c>
      <c r="C256" s="20" t="n">
        <v>14905</v>
      </c>
      <c r="E256" s="20" t="n">
        <v>14261</v>
      </c>
      <c r="F256" s="20" t="n">
        <v>17245</v>
      </c>
      <c r="G256" s="20" t="n">
        <v>23563</v>
      </c>
    </row>
    <row r="258">
      <c r="A258" s="16" t="inlineStr">
        <is>
          <t>현금흐름표 · 전 항목</t>
        </is>
      </c>
      <c r="B258" s="42" t="inlineStr">
        <is>
          <t>분기 = 결산기 첫날부터 누계(공시 그대로)</t>
        </is>
      </c>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row>
    <row r="259">
      <c r="A259" s="5" t="inlineStr">
        <is>
          <t>항목</t>
        </is>
      </c>
      <c r="B259" s="5" t="inlineStr">
        <is>
          <t>참고</t>
        </is>
      </c>
      <c r="C259" s="5" t="inlineStr">
        <is>
          <t>2024.3Q</t>
        </is>
      </c>
      <c r="D259" s="5" t="inlineStr">
        <is>
          <t>2024.4Q</t>
        </is>
      </c>
      <c r="E259" s="5" t="inlineStr">
        <is>
          <t>2025.1Q</t>
        </is>
      </c>
      <c r="F259" s="5" t="inlineStr">
        <is>
          <t>2025.2Q</t>
        </is>
      </c>
      <c r="G259" s="5" t="inlineStr">
        <is>
          <t>2025.3Q</t>
        </is>
      </c>
      <c r="H259" s="5" t="inlineStr">
        <is>
          <t>2025.4Q</t>
        </is>
      </c>
      <c r="I259" s="5" t="inlineStr">
        <is>
          <t>2026.1Q</t>
        </is>
      </c>
      <c r="J259" s="5" t="inlineStr">
        <is>
          <t>2026.2Q</t>
        </is>
      </c>
      <c r="K259" s="5" t="inlineStr">
        <is>
          <t>2026.3Q</t>
        </is>
      </c>
      <c r="L259" s="5" t="inlineStr">
        <is>
          <t>2026.4Q</t>
        </is>
      </c>
      <c r="M259" s="5" t="inlineStr">
        <is>
          <t>2027.1Q</t>
        </is>
      </c>
      <c r="N259" s="5" t="inlineStr">
        <is>
          <t>2027.2Q</t>
        </is>
      </c>
      <c r="O259" s="5" t="inlineStr">
        <is>
          <t>2017</t>
        </is>
      </c>
      <c r="P259" s="5" t="inlineStr">
        <is>
          <t>2018</t>
        </is>
      </c>
      <c r="Q259" s="5" t="inlineStr">
        <is>
          <t>2019</t>
        </is>
      </c>
      <c r="R259" s="5" t="inlineStr">
        <is>
          <t>2020</t>
        </is>
      </c>
      <c r="S259" s="5" t="inlineStr">
        <is>
          <t>2021</t>
        </is>
      </c>
      <c r="T259" s="5" t="inlineStr">
        <is>
          <t>2022</t>
        </is>
      </c>
      <c r="U259" s="5" t="inlineStr">
        <is>
          <t>2023</t>
        </is>
      </c>
      <c r="V259" s="5" t="inlineStr">
        <is>
          <t>2024</t>
        </is>
      </c>
      <c r="W259" s="5" t="inlineStr">
        <is>
          <t>2025</t>
        </is>
      </c>
      <c r="X259" s="5" t="inlineStr">
        <is>
          <t>2026</t>
        </is>
      </c>
      <c r="Y259" s="5" t="inlineStr">
        <is>
          <t>2027(MW)</t>
        </is>
      </c>
      <c r="Z259" s="5" t="inlineStr">
        <is>
          <t>2028(MW)</t>
        </is>
      </c>
      <c r="AA259" s="5" t="inlineStr">
        <is>
          <t>2029(MW)</t>
        </is>
      </c>
      <c r="AB259" s="5" t="inlineStr">
        <is>
          <t>2030(MW)</t>
        </is>
      </c>
      <c r="AC259" s="5" t="inlineStr">
        <is>
          <t>2031(MW)</t>
        </is>
      </c>
    </row>
    <row r="260">
      <c r="A260" s="9" t="inlineStr">
        <is>
          <t>법인세비용차감전 중간이익</t>
        </is>
      </c>
      <c r="C260" s="12" t="n">
        <v>59567</v>
      </c>
      <c r="D260" s="12" t="n">
        <v>78170</v>
      </c>
      <c r="E260" s="12" t="n">
        <v>31930</v>
      </c>
      <c r="F260" s="12" t="n">
        <v>92645</v>
      </c>
      <c r="G260" s="12" t="n">
        <v>163192</v>
      </c>
      <c r="H260" s="12" t="n">
        <v>224774</v>
      </c>
      <c r="I260" s="12" t="n">
        <v>121357</v>
      </c>
      <c r="J260" s="12" t="n">
        <v>230517</v>
      </c>
      <c r="K260" s="12" t="n">
        <v>344349</v>
      </c>
      <c r="L260" s="12" t="n">
        <v>516720</v>
      </c>
      <c r="M260" s="12" t="n">
        <v>234082</v>
      </c>
      <c r="N260" s="12" t="n">
        <v>510234</v>
      </c>
      <c r="P260" s="12" t="n">
        <v>24282</v>
      </c>
      <c r="Q260" s="12" t="n">
        <v>66211</v>
      </c>
      <c r="R260" s="12" t="n">
        <v>58574</v>
      </c>
      <c r="S260" s="12" t="n">
        <v>69618</v>
      </c>
      <c r="T260" s="12" t="n">
        <v>116343</v>
      </c>
      <c r="U260" s="12" t="n">
        <v>171270</v>
      </c>
      <c r="V260" s="12" t="n">
        <v>78170</v>
      </c>
      <c r="W260" s="12" t="n">
        <v>224774</v>
      </c>
      <c r="X260" s="12" t="n">
        <v>516720</v>
      </c>
    </row>
    <row r="261">
      <c r="A261" s="18" t="inlineStr">
        <is>
          <t>감가상각비 및 상각비</t>
        </is>
      </c>
      <c r="C261" s="20" t="n">
        <v>19132</v>
      </c>
      <c r="D261" s="20" t="n">
        <v>26104</v>
      </c>
      <c r="E261" s="20" t="n">
        <v>7102</v>
      </c>
      <c r="F261" s="20" t="n">
        <v>14258</v>
      </c>
      <c r="G261" s="20" t="n">
        <v>20979</v>
      </c>
      <c r="H261" s="20" t="n">
        <v>27075</v>
      </c>
      <c r="I261" s="20" t="n">
        <v>6112</v>
      </c>
      <c r="J261" s="20" t="n">
        <v>12362</v>
      </c>
      <c r="K261" s="20" t="n">
        <v>18797</v>
      </c>
      <c r="L261" s="20" t="n">
        <v>25612</v>
      </c>
      <c r="M261" s="20" t="n">
        <v>7151</v>
      </c>
      <c r="N261" s="20" t="n">
        <v>14556</v>
      </c>
      <c r="P261" s="20" t="n">
        <v>5024</v>
      </c>
      <c r="Q261" s="20" t="n">
        <v>4967</v>
      </c>
      <c r="R261" s="20" t="n">
        <v>10892</v>
      </c>
      <c r="S261" s="20" t="n">
        <v>11756</v>
      </c>
      <c r="T261" s="20" t="n">
        <v>14968</v>
      </c>
      <c r="U261" s="20" t="n">
        <v>21396</v>
      </c>
      <c r="V261" s="20" t="n">
        <v>26104</v>
      </c>
      <c r="W261" s="20" t="n">
        <v>27075</v>
      </c>
      <c r="X261" s="20" t="n">
        <v>25612</v>
      </c>
    </row>
    <row r="262">
      <c r="A262" s="18" t="inlineStr">
        <is>
          <t>손상차손</t>
        </is>
      </c>
      <c r="D262" s="20" t="n">
        <v>8998</v>
      </c>
      <c r="H262" s="20" t="n">
        <v>21393</v>
      </c>
      <c r="L262" s="20" t="n">
        <v>0</v>
      </c>
      <c r="U262" s="20" t="n">
        <v>0</v>
      </c>
      <c r="V262" s="20" t="n">
        <v>8998</v>
      </c>
      <c r="W262" s="20" t="n">
        <v>21393</v>
      </c>
      <c r="X262" s="20" t="n">
        <v>0</v>
      </c>
    </row>
    <row r="263">
      <c r="A263" s="18" t="inlineStr">
        <is>
          <t>주식보상비용</t>
        </is>
      </c>
      <c r="D263" s="20" t="n">
        <v>1769</v>
      </c>
      <c r="H263" s="20" t="n">
        <v>2893</v>
      </c>
      <c r="L263" s="20" t="n">
        <v>4450</v>
      </c>
      <c r="P263" s="20" t="n">
        <v>85</v>
      </c>
      <c r="Q263" s="20" t="n">
        <v>481</v>
      </c>
      <c r="R263" s="20" t="n">
        <v>882</v>
      </c>
      <c r="S263" s="20" t="n">
        <v>1624</v>
      </c>
      <c r="T263" s="20" t="n">
        <v>1782</v>
      </c>
      <c r="U263" s="20" t="n">
        <v>1520</v>
      </c>
      <c r="V263" s="20" t="n">
        <v>1769</v>
      </c>
      <c r="W263" s="20" t="n">
        <v>2893</v>
      </c>
      <c r="X263" s="20" t="n">
        <v>4450</v>
      </c>
    </row>
    <row r="264">
      <c r="A264" s="18" t="inlineStr">
        <is>
          <t>매도가능금융자산 매각이익</t>
        </is>
      </c>
      <c r="P264" s="20" t="n">
        <v>-519</v>
      </c>
      <c r="Q264" s="20" t="n">
        <v>0</v>
      </c>
    </row>
    <row r="265">
      <c r="A265" s="18" t="inlineStr">
        <is>
          <t>Loss Gain On Valuation Of Financial Instruments Ope CF</t>
        </is>
      </c>
      <c r="I265" s="20" t="n">
        <v>0</v>
      </c>
      <c r="J265" s="20" t="n">
        <v>0</v>
      </c>
      <c r="M265" s="20" t="n">
        <v>-41075</v>
      </c>
      <c r="N265" s="20" t="n">
        <v>-54171</v>
      </c>
    </row>
    <row r="266">
      <c r="A266" s="18" t="inlineStr">
        <is>
          <t>영업채권 및 기타채권 증감액</t>
        </is>
      </c>
      <c r="C266" s="20" t="n">
        <v>19157</v>
      </c>
      <c r="D266" s="20" t="n">
        <v>17400</v>
      </c>
      <c r="E266" s="20" t="n">
        <v>-7647</v>
      </c>
      <c r="F266" s="20" t="n">
        <v>-29231</v>
      </c>
      <c r="G266" s="20" t="n">
        <v>-22288</v>
      </c>
      <c r="H266" s="20" t="n">
        <v>-28090</v>
      </c>
      <c r="I266" s="20" t="n">
        <v>-11649</v>
      </c>
      <c r="J266" s="20" t="n">
        <v>-46128</v>
      </c>
      <c r="K266" s="20" t="n">
        <v>-23040</v>
      </c>
      <c r="L266" s="20" t="n">
        <v>-105858</v>
      </c>
      <c r="M266" s="20" t="n">
        <v>52128</v>
      </c>
      <c r="N266" s="20" t="n">
        <v>-12522</v>
      </c>
      <c r="P266" s="20" t="n">
        <v>-5937</v>
      </c>
      <c r="Q266" s="20" t="n">
        <v>-14130</v>
      </c>
      <c r="R266" s="20" t="n">
        <v>6125</v>
      </c>
      <c r="S266" s="20" t="n">
        <v>-9365</v>
      </c>
      <c r="T266" s="20" t="n">
        <v>-19368</v>
      </c>
      <c r="U266" s="20" t="n">
        <v>-15582</v>
      </c>
      <c r="V266" s="20" t="n">
        <v>17400</v>
      </c>
      <c r="W266" s="20" t="n">
        <v>-28090</v>
      </c>
      <c r="X266" s="20" t="n">
        <v>-105858</v>
      </c>
    </row>
    <row r="267">
      <c r="A267" s="18" t="inlineStr">
        <is>
          <t>재고자산 증감액</t>
        </is>
      </c>
      <c r="C267" s="20" t="n">
        <v>-36178</v>
      </c>
      <c r="D267" s="20" t="n">
        <v>-30923</v>
      </c>
      <c r="E267" s="20" t="n">
        <v>-11511</v>
      </c>
      <c r="F267" s="20" t="n">
        <v>-13245</v>
      </c>
      <c r="G267" s="20" t="n">
        <v>-5176</v>
      </c>
      <c r="H267" s="20" t="n">
        <v>-4682</v>
      </c>
      <c r="I267" s="20" t="n">
        <v>1348</v>
      </c>
      <c r="J267" s="20" t="n">
        <v>1346</v>
      </c>
      <c r="K267" s="20" t="n">
        <v>-9239</v>
      </c>
      <c r="L267" s="20" t="n">
        <v>-18471</v>
      </c>
      <c r="M267" s="20" t="n">
        <v>-41346</v>
      </c>
      <c r="N267" s="20" t="n">
        <v>-119541</v>
      </c>
      <c r="P267" s="20" t="n">
        <v>-10479</v>
      </c>
      <c r="Q267" s="20" t="n">
        <v>-6901</v>
      </c>
      <c r="R267" s="20" t="n">
        <v>-1907</v>
      </c>
      <c r="S267" s="20" t="n">
        <v>-4457</v>
      </c>
      <c r="T267" s="20" t="n">
        <v>-28004</v>
      </c>
      <c r="U267" s="20" t="n">
        <v>-71638</v>
      </c>
      <c r="V267" s="20" t="n">
        <v>-30923</v>
      </c>
      <c r="W267" s="20" t="n">
        <v>-4682</v>
      </c>
      <c r="X267" s="20" t="n">
        <v>-18471</v>
      </c>
    </row>
    <row r="268">
      <c r="A268" s="18" t="inlineStr">
        <is>
          <t>영업채무 및 기타채무 증감액</t>
        </is>
      </c>
      <c r="C268" s="20" t="n">
        <v>-20933</v>
      </c>
      <c r="D268" s="20" t="n">
        <v>-16857</v>
      </c>
      <c r="E268" s="20" t="n">
        <v>6738</v>
      </c>
      <c r="F268" s="20" t="n">
        <v>19928</v>
      </c>
      <c r="G268" s="20" t="n">
        <v>10527</v>
      </c>
      <c r="H268" s="20" t="n">
        <v>30124</v>
      </c>
      <c r="I268" s="20" t="n">
        <v>-8752</v>
      </c>
      <c r="J268" s="20" t="n">
        <v>9068</v>
      </c>
      <c r="K268" s="20" t="n">
        <v>-3410</v>
      </c>
      <c r="L268" s="20" t="n">
        <v>31888</v>
      </c>
      <c r="M268" s="20" t="n">
        <v>-407</v>
      </c>
      <c r="N268" s="20" t="n">
        <v>46726</v>
      </c>
      <c r="P268" s="20" t="n">
        <v>14486</v>
      </c>
      <c r="Q268" s="20" t="n">
        <v>632</v>
      </c>
      <c r="R268" s="20" t="n">
        <v>1444</v>
      </c>
      <c r="S268" s="20" t="n">
        <v>11048</v>
      </c>
      <c r="T268" s="20" t="n">
        <v>9823</v>
      </c>
      <c r="U268" s="20" t="n">
        <v>16484</v>
      </c>
      <c r="V268" s="20" t="n">
        <v>-16857</v>
      </c>
      <c r="W268" s="20" t="n">
        <v>30124</v>
      </c>
      <c r="X268" s="20" t="n">
        <v>31888</v>
      </c>
    </row>
    <row r="269">
      <c r="A269" s="18" t="inlineStr">
        <is>
          <t>제품보증 충당금 증감액</t>
        </is>
      </c>
      <c r="D269" s="20" t="n">
        <v>-478</v>
      </c>
      <c r="H269" s="20" t="n">
        <v>3817</v>
      </c>
      <c r="L269" s="20" t="n">
        <v>3064</v>
      </c>
      <c r="P269" s="20" t="n">
        <v>1400</v>
      </c>
      <c r="Q269" s="20" t="n">
        <v>-155</v>
      </c>
      <c r="R269" s="20" t="n">
        <v>460</v>
      </c>
      <c r="S269" s="20" t="n">
        <v>707</v>
      </c>
      <c r="T269" s="20" t="n">
        <v>2437</v>
      </c>
      <c r="U269" s="20" t="n">
        <v>2536</v>
      </c>
      <c r="V269" s="20" t="n">
        <v>-478</v>
      </c>
      <c r="W269" s="20" t="n">
        <v>3817</v>
      </c>
      <c r="X269" s="20" t="n">
        <v>3064</v>
      </c>
    </row>
    <row r="270">
      <c r="A270" s="18" t="inlineStr">
        <is>
          <t>선수금 증감액</t>
        </is>
      </c>
      <c r="D270" s="20" t="n">
        <v>-3168</v>
      </c>
      <c r="H270" s="20" t="n">
        <v>11099</v>
      </c>
      <c r="L270" s="20" t="n">
        <v>9748</v>
      </c>
      <c r="S270" s="20" t="n">
        <v>3351</v>
      </c>
      <c r="T270" s="20" t="n">
        <v>8937</v>
      </c>
      <c r="U270" s="20" t="n">
        <v>-2328</v>
      </c>
      <c r="V270" s="20" t="n">
        <v>-3168</v>
      </c>
      <c r="W270" s="20" t="n">
        <v>11099</v>
      </c>
      <c r="X270" s="20" t="n">
        <v>9748</v>
      </c>
    </row>
    <row r="271">
      <c r="A271" s="18" t="inlineStr">
        <is>
          <t>제품보증 충당금 증감액</t>
        </is>
      </c>
      <c r="C271" s="20" t="n">
        <v>223</v>
      </c>
      <c r="E271" s="20" t="n">
        <v>-35</v>
      </c>
      <c r="F271" s="20" t="n">
        <v>577</v>
      </c>
      <c r="G271" s="20" t="n">
        <v>3168</v>
      </c>
      <c r="I271" s="20" t="n">
        <v>1038</v>
      </c>
      <c r="J271" s="20" t="n">
        <v>1845</v>
      </c>
      <c r="K271" s="20" t="n">
        <v>2143</v>
      </c>
      <c r="M271" s="20" t="n">
        <v>444</v>
      </c>
      <c r="N271" s="20" t="n">
        <v>1913</v>
      </c>
    </row>
    <row r="272">
      <c r="A272" s="18" t="inlineStr">
        <is>
          <t>Deposits Received Ope CF</t>
        </is>
      </c>
      <c r="C272" s="20" t="n">
        <v>166</v>
      </c>
      <c r="E272" s="20" t="n">
        <v>2055</v>
      </c>
      <c r="G272" s="20" t="n">
        <v>2657</v>
      </c>
      <c r="I272" s="20" t="n">
        <v>3526</v>
      </c>
      <c r="K272" s="20" t="n">
        <v>3041</v>
      </c>
      <c r="M272" s="20" t="n">
        <v>4219</v>
      </c>
    </row>
    <row r="273">
      <c r="A273" s="18" t="inlineStr">
        <is>
          <t>선수금 증감액</t>
        </is>
      </c>
      <c r="C273" s="20" t="n">
        <v>2285</v>
      </c>
      <c r="E273" s="20" t="n">
        <v>617</v>
      </c>
      <c r="G273" s="20" t="n">
        <v>4566</v>
      </c>
      <c r="I273" s="20" t="n">
        <v>1377</v>
      </c>
      <c r="K273" s="20" t="n">
        <v>2169</v>
      </c>
      <c r="M273" s="20" t="n">
        <v>36984</v>
      </c>
    </row>
    <row r="274">
      <c r="A274" s="18" t="inlineStr">
        <is>
          <t>선수금 증감액</t>
        </is>
      </c>
      <c r="F274" s="20" t="n">
        <v>8159</v>
      </c>
      <c r="J274" s="20" t="n">
        <v>9571</v>
      </c>
      <c r="N274" s="20" t="n">
        <v>44215</v>
      </c>
    </row>
    <row r="275">
      <c r="A275" s="18" t="inlineStr">
        <is>
          <t>퇴직급여부채 증감액</t>
        </is>
      </c>
      <c r="C275" s="20" t="n">
        <v>-632</v>
      </c>
      <c r="D275" s="20" t="n">
        <v>-1011</v>
      </c>
      <c r="E275" s="20" t="n">
        <v>258</v>
      </c>
      <c r="F275" s="20" t="n">
        <v>47</v>
      </c>
      <c r="G275" s="20" t="n">
        <v>-86</v>
      </c>
      <c r="H275" s="20" t="n">
        <v>-408</v>
      </c>
      <c r="I275" s="20" t="n">
        <v>-273</v>
      </c>
      <c r="J275" s="20" t="n">
        <v>-149</v>
      </c>
      <c r="K275" s="20" t="n">
        <v>-304</v>
      </c>
      <c r="L275" s="20" t="n">
        <v>152</v>
      </c>
      <c r="M275" s="20" t="n">
        <v>-275</v>
      </c>
      <c r="N275" s="20" t="n">
        <v>-234</v>
      </c>
      <c r="P275" s="20" t="n">
        <v>1553</v>
      </c>
      <c r="Q275" s="20" t="n">
        <v>-4828</v>
      </c>
      <c r="R275" s="20" t="n">
        <v>1665</v>
      </c>
      <c r="S275" s="20" t="n">
        <v>-3176</v>
      </c>
      <c r="T275" s="20" t="n">
        <v>-10808</v>
      </c>
      <c r="U275" s="20" t="n">
        <v>-2832</v>
      </c>
      <c r="V275" s="20" t="n">
        <v>-1011</v>
      </c>
      <c r="W275" s="20" t="n">
        <v>-408</v>
      </c>
      <c r="X275" s="20" t="n">
        <v>152</v>
      </c>
    </row>
    <row r="276">
      <c r="A276" s="18" t="inlineStr">
        <is>
          <t>기타</t>
        </is>
      </c>
      <c r="C276" s="20" t="n">
        <v>-228</v>
      </c>
      <c r="D276" s="20" t="n">
        <v>-249</v>
      </c>
      <c r="E276" s="20" t="n">
        <v>-428</v>
      </c>
      <c r="F276" s="20" t="n">
        <v>1266</v>
      </c>
      <c r="G276" s="20" t="n">
        <v>4602</v>
      </c>
      <c r="H276" s="20" t="n">
        <v>11833</v>
      </c>
      <c r="I276" s="20" t="n">
        <v>-7430</v>
      </c>
      <c r="J276" s="20" t="n">
        <v>-9245</v>
      </c>
      <c r="K276" s="20" t="n">
        <v>-6756</v>
      </c>
      <c r="L276" s="20" t="n">
        <v>-21921</v>
      </c>
      <c r="M276" s="20" t="n">
        <v>-14206</v>
      </c>
      <c r="N276" s="20" t="n">
        <v>-15891</v>
      </c>
      <c r="P276" s="20" t="n">
        <v>1233</v>
      </c>
      <c r="Q276" s="20" t="n">
        <v>2255</v>
      </c>
      <c r="R276" s="20" t="n">
        <v>-831</v>
      </c>
      <c r="S276" s="20" t="n">
        <v>-4086</v>
      </c>
      <c r="T276" s="20" t="n">
        <v>-2658</v>
      </c>
      <c r="U276" s="20" t="n">
        <v>-10302</v>
      </c>
      <c r="V276" s="20" t="n">
        <v>-249</v>
      </c>
      <c r="W276" s="20" t="n">
        <v>11833</v>
      </c>
      <c r="X276" s="20" t="n">
        <v>-21921</v>
      </c>
    </row>
    <row r="277">
      <c r="A277" s="18" t="inlineStr">
        <is>
          <t>소계</t>
        </is>
      </c>
      <c r="C277" s="20" t="n">
        <v>42559</v>
      </c>
      <c r="D277" s="20" t="n">
        <v>79755</v>
      </c>
      <c r="E277" s="20" t="n">
        <v>29079</v>
      </c>
      <c r="F277" s="20" t="n">
        <v>94404</v>
      </c>
      <c r="G277" s="20" t="n">
        <v>182141</v>
      </c>
      <c r="H277" s="20" t="n">
        <v>299828</v>
      </c>
      <c r="I277" s="20" t="n">
        <v>106654</v>
      </c>
      <c r="J277" s="20" t="n">
        <v>209187</v>
      </c>
      <c r="K277" s="20" t="n">
        <v>327750</v>
      </c>
      <c r="L277" s="20" t="n">
        <v>445384</v>
      </c>
      <c r="M277" s="20" t="n">
        <v>237699</v>
      </c>
      <c r="N277" s="20" t="n">
        <v>415285</v>
      </c>
      <c r="P277" s="20" t="n">
        <v>31128</v>
      </c>
      <c r="Q277" s="20" t="n">
        <v>48532</v>
      </c>
      <c r="R277" s="20" t="n">
        <v>77304</v>
      </c>
      <c r="S277" s="20" t="n">
        <v>77020</v>
      </c>
      <c r="T277" s="20" t="n">
        <v>93452</v>
      </c>
      <c r="U277" s="20" t="n">
        <v>110524</v>
      </c>
      <c r="V277" s="20" t="n">
        <v>79755</v>
      </c>
      <c r="W277" s="20" t="n">
        <v>299828</v>
      </c>
      <c r="X277" s="20" t="n">
        <v>445384</v>
      </c>
    </row>
    <row r="278">
      <c r="A278" s="18" t="inlineStr">
        <is>
          <t>이자·배당금 수취</t>
        </is>
      </c>
      <c r="C278" s="20" t="n">
        <v>826</v>
      </c>
      <c r="D278" s="20" t="n">
        <v>1202</v>
      </c>
      <c r="E278" s="20" t="n">
        <v>471</v>
      </c>
      <c r="F278" s="20" t="n">
        <v>940</v>
      </c>
      <c r="G278" s="20" t="n">
        <v>1338</v>
      </c>
      <c r="H278" s="20" t="n">
        <v>1808</v>
      </c>
      <c r="I278" s="20" t="n">
        <v>683</v>
      </c>
      <c r="J278" s="20" t="n">
        <v>1273</v>
      </c>
      <c r="K278" s="20" t="n">
        <v>1948</v>
      </c>
      <c r="L278" s="20" t="n">
        <v>2968</v>
      </c>
      <c r="M278" s="20" t="n">
        <v>1171</v>
      </c>
      <c r="N278" s="20" t="n">
        <v>2811</v>
      </c>
      <c r="P278" s="20" t="n">
        <v>497</v>
      </c>
      <c r="Q278" s="20" t="n">
        <v>1007</v>
      </c>
      <c r="R278" s="20" t="n">
        <v>836</v>
      </c>
      <c r="S278" s="20" t="n">
        <v>152</v>
      </c>
      <c r="T278" s="20" t="n">
        <v>143</v>
      </c>
      <c r="U278" s="20" t="n">
        <v>459</v>
      </c>
      <c r="V278" s="20" t="n">
        <v>1202</v>
      </c>
      <c r="W278" s="20" t="n">
        <v>1808</v>
      </c>
      <c r="X278" s="20" t="n">
        <v>2968</v>
      </c>
    </row>
    <row r="279">
      <c r="A279" s="18" t="inlineStr">
        <is>
          <t>이자 지급</t>
        </is>
      </c>
      <c r="C279" s="20" t="n">
        <v>-1101</v>
      </c>
      <c r="D279" s="20" t="n">
        <v>-2305</v>
      </c>
      <c r="E279" s="20" t="n">
        <v>-464</v>
      </c>
      <c r="F279" s="20" t="n">
        <v>-911</v>
      </c>
      <c r="G279" s="20" t="n">
        <v>-1308</v>
      </c>
      <c r="H279" s="20" t="n">
        <v>-2522</v>
      </c>
      <c r="I279" s="20" t="n">
        <v>-456</v>
      </c>
      <c r="J279" s="20" t="n">
        <v>-870</v>
      </c>
      <c r="K279" s="20" t="n">
        <v>-1253</v>
      </c>
      <c r="L279" s="20" t="n">
        <v>-2400</v>
      </c>
      <c r="M279" s="20" t="n">
        <v>-600</v>
      </c>
      <c r="N279" s="20" t="n">
        <v>-1299</v>
      </c>
      <c r="P279" s="20" t="n">
        <v>-48</v>
      </c>
      <c r="Q279" s="20" t="n">
        <v>-3</v>
      </c>
      <c r="R279" s="20" t="n">
        <v>-155</v>
      </c>
      <c r="S279" s="20" t="n">
        <v>-183</v>
      </c>
      <c r="T279" s="20" t="n">
        <v>-220</v>
      </c>
      <c r="U279" s="20" t="n">
        <v>-593</v>
      </c>
      <c r="V279" s="20" t="n">
        <v>-2305</v>
      </c>
      <c r="W279" s="20" t="n">
        <v>-2522</v>
      </c>
      <c r="X279" s="20" t="n">
        <v>-2400</v>
      </c>
    </row>
    <row r="280">
      <c r="A280" s="18" t="inlineStr">
        <is>
          <t>법인소득세 지급액</t>
        </is>
      </c>
      <c r="C280" s="20" t="n">
        <v>-45076</v>
      </c>
      <c r="D280" s="20" t="n">
        <v>-45984</v>
      </c>
      <c r="E280" s="20" t="n">
        <v>-1406</v>
      </c>
      <c r="F280" s="20" t="n">
        <v>-1565</v>
      </c>
      <c r="G280" s="20" t="n">
        <v>-11806</v>
      </c>
      <c r="H280" s="20" t="n">
        <v>-13143</v>
      </c>
      <c r="I280" s="20" t="n">
        <v>-60030</v>
      </c>
      <c r="J280" s="20" t="n">
        <v>-69667</v>
      </c>
      <c r="K280" s="20" t="n">
        <v>-109891</v>
      </c>
      <c r="L280" s="20" t="n">
        <v>-110770</v>
      </c>
      <c r="M280" s="20" t="n">
        <v>-101115</v>
      </c>
      <c r="N280" s="20" t="n">
        <v>-109831</v>
      </c>
      <c r="P280" s="20" t="n">
        <v>-3323</v>
      </c>
      <c r="Q280" s="20" t="n">
        <v>-4744</v>
      </c>
      <c r="R280" s="20" t="n">
        <v>-11510</v>
      </c>
      <c r="S280" s="20" t="n">
        <v>-9159</v>
      </c>
      <c r="T280" s="20" t="n">
        <v>-14486</v>
      </c>
      <c r="U280" s="20" t="n">
        <v>-40166</v>
      </c>
      <c r="V280" s="20" t="n">
        <v>-45984</v>
      </c>
      <c r="W280" s="20" t="n">
        <v>-13143</v>
      </c>
      <c r="X280" s="20" t="n">
        <v>-110770</v>
      </c>
    </row>
    <row r="281">
      <c r="A281" s="9" t="inlineStr">
        <is>
          <t>영업활동 현금흐름 계</t>
        </is>
      </c>
      <c r="C281" s="12" t="n">
        <v>-2792</v>
      </c>
      <c r="D281" s="12" t="n">
        <v>32668</v>
      </c>
      <c r="E281" s="12" t="n">
        <v>27680</v>
      </c>
      <c r="F281" s="12" t="n">
        <v>92868</v>
      </c>
      <c r="G281" s="12" t="n">
        <v>170365</v>
      </c>
      <c r="H281" s="12" t="n">
        <v>285971</v>
      </c>
      <c r="I281" s="12" t="n">
        <v>46851</v>
      </c>
      <c r="J281" s="12" t="n">
        <v>139923</v>
      </c>
      <c r="K281" s="12" t="n">
        <v>218554</v>
      </c>
      <c r="L281" s="12" t="n">
        <v>335182</v>
      </c>
      <c r="M281" s="12" t="n">
        <v>137155</v>
      </c>
      <c r="N281" s="12" t="n">
        <v>306966</v>
      </c>
      <c r="P281" s="12" t="n">
        <v>28254</v>
      </c>
      <c r="Q281" s="12" t="n">
        <v>44792</v>
      </c>
      <c r="R281" s="12" t="n">
        <v>66475</v>
      </c>
      <c r="S281" s="12" t="n">
        <v>67830</v>
      </c>
      <c r="T281" s="12" t="n">
        <v>78889</v>
      </c>
      <c r="U281" s="12" t="n">
        <v>70224</v>
      </c>
      <c r="V281" s="12" t="n">
        <v>32668</v>
      </c>
      <c r="W281" s="12" t="n">
        <v>285971</v>
      </c>
      <c r="X281" s="12" t="n">
        <v>335182</v>
      </c>
    </row>
    <row r="282">
      <c r="A282" s="18" t="inlineStr">
        <is>
          <t>매도가능금융자산 매각</t>
        </is>
      </c>
      <c r="P282" s="20" t="n">
        <v>883</v>
      </c>
      <c r="Q282" s="20" t="n">
        <v>0</v>
      </c>
    </row>
    <row r="283">
      <c r="A283" s="18" t="inlineStr">
        <is>
          <t>매도가능금융자산 취득</t>
        </is>
      </c>
      <c r="P283" s="20" t="n">
        <v>-216</v>
      </c>
      <c r="Q283" s="20" t="n">
        <v>0</v>
      </c>
    </row>
    <row r="284">
      <c r="A284" s="18" t="inlineStr">
        <is>
          <t>자본성 금융상품 취득</t>
        </is>
      </c>
      <c r="D284" s="20" t="n">
        <v>0</v>
      </c>
      <c r="H284" s="20" t="n">
        <v>-18529</v>
      </c>
      <c r="I284" s="20" t="n">
        <v>0</v>
      </c>
      <c r="J284" s="20" t="n">
        <v>0</v>
      </c>
      <c r="L284" s="20" t="n">
        <v>0</v>
      </c>
      <c r="M284" s="20" t="n">
        <v>-26053</v>
      </c>
      <c r="N284" s="20" t="n">
        <v>-26053</v>
      </c>
      <c r="P284" s="20" t="n">
        <v>0</v>
      </c>
      <c r="Q284" s="20" t="n">
        <v>-384</v>
      </c>
      <c r="R284" s="20" t="n">
        <v>0</v>
      </c>
      <c r="S284" s="20" t="n">
        <v>-6817</v>
      </c>
      <c r="T284" s="20" t="n">
        <v>-881</v>
      </c>
      <c r="U284" s="20" t="n">
        <v>0</v>
      </c>
      <c r="V284" s="20" t="n">
        <v>0</v>
      </c>
      <c r="W284" s="20" t="n">
        <v>-18529</v>
      </c>
      <c r="X284" s="20" t="n">
        <v>0</v>
      </c>
    </row>
    <row r="285">
      <c r="A285" s="18" t="inlineStr">
        <is>
          <t>부채성 금융상품 취득</t>
        </is>
      </c>
      <c r="Q285" s="20" t="n">
        <v>0</v>
      </c>
      <c r="R285" s="20" t="n">
        <v>-548</v>
      </c>
    </row>
    <row r="286">
      <c r="A286" s="18" t="inlineStr">
        <is>
          <t>부채성 금융상품 취득</t>
        </is>
      </c>
      <c r="R286" s="20" t="n">
        <v>-548</v>
      </c>
      <c r="S286" s="20" t="n">
        <v>0</v>
      </c>
    </row>
    <row r="287">
      <c r="A287" s="18" t="inlineStr">
        <is>
          <t>부채성 금융상품 매각</t>
        </is>
      </c>
      <c r="S287" s="20" t="n">
        <v>0</v>
      </c>
      <c r="T287" s="20" t="n">
        <v>404</v>
      </c>
      <c r="U287" s="20" t="n">
        <v>0</v>
      </c>
    </row>
    <row r="288">
      <c r="A288" s="18" t="inlineStr">
        <is>
          <t>유형자산 매각</t>
        </is>
      </c>
      <c r="D288" s="20" t="n">
        <v>49</v>
      </c>
      <c r="H288" s="20" t="n">
        <v>25</v>
      </c>
      <c r="L288" s="20" t="n">
        <v>8</v>
      </c>
      <c r="P288" s="20" t="n">
        <v>1882</v>
      </c>
      <c r="Q288" s="20" t="n">
        <v>1927</v>
      </c>
      <c r="R288" s="20" t="n">
        <v>234</v>
      </c>
      <c r="S288" s="20" t="n">
        <v>109</v>
      </c>
      <c r="T288" s="20" t="n">
        <v>45</v>
      </c>
      <c r="U288" s="20" t="n">
        <v>356</v>
      </c>
      <c r="V288" s="20" t="n">
        <v>49</v>
      </c>
      <c r="W288" s="20" t="n">
        <v>25</v>
      </c>
      <c r="X288" s="20" t="n">
        <v>8</v>
      </c>
    </row>
    <row r="289">
      <c r="A289" s="18" t="inlineStr">
        <is>
          <t>자본성 금융상품 매각</t>
        </is>
      </c>
      <c r="C289" s="20" t="n">
        <v>1150</v>
      </c>
      <c r="D289" s="20" t="n">
        <v>1150</v>
      </c>
      <c r="E289" s="20" t="n">
        <v>0</v>
      </c>
      <c r="F289" s="20" t="n">
        <v>0</v>
      </c>
      <c r="G289" s="20" t="n">
        <v>0</v>
      </c>
      <c r="H289" s="20" t="n">
        <v>0</v>
      </c>
      <c r="I289" s="20" t="n">
        <v>0</v>
      </c>
      <c r="J289" s="20" t="n">
        <v>0</v>
      </c>
      <c r="M289" s="20" t="n">
        <v>22133</v>
      </c>
      <c r="N289" s="20" t="n">
        <v>22133</v>
      </c>
      <c r="Q289" s="20" t="n">
        <v>0</v>
      </c>
      <c r="R289" s="20" t="n">
        <v>111</v>
      </c>
      <c r="S289" s="20" t="n">
        <v>0</v>
      </c>
      <c r="T289" s="20" t="n">
        <v>920</v>
      </c>
      <c r="U289" s="20" t="n">
        <v>0</v>
      </c>
      <c r="V289" s="20" t="n">
        <v>1150</v>
      </c>
      <c r="W289" s="20" t="n">
        <v>0</v>
      </c>
    </row>
    <row r="290">
      <c r="A290" s="18" t="inlineStr">
        <is>
          <t>부채성 금융상품 취득</t>
        </is>
      </c>
      <c r="I290" s="20" t="n">
        <v>0</v>
      </c>
      <c r="J290" s="20" t="n">
        <v>0</v>
      </c>
      <c r="M290" s="20" t="n">
        <v>-87817</v>
      </c>
      <c r="N290" s="20" t="n">
        <v>-184365</v>
      </c>
    </row>
    <row r="291">
      <c r="A291" s="18" t="inlineStr">
        <is>
          <t>유형자산 취득(설비투자)</t>
        </is>
      </c>
      <c r="C291" s="20" t="n">
        <v>-14079</v>
      </c>
      <c r="D291" s="20" t="n">
        <v>-19592</v>
      </c>
      <c r="E291" s="20" t="n">
        <v>-3778</v>
      </c>
      <c r="F291" s="20" t="n">
        <v>-7142</v>
      </c>
      <c r="G291" s="20" t="n">
        <v>-11991</v>
      </c>
      <c r="H291" s="20" t="n">
        <v>-17414</v>
      </c>
      <c r="I291" s="20" t="n">
        <v>-5649</v>
      </c>
      <c r="J291" s="20" t="n">
        <v>-18303</v>
      </c>
      <c r="K291" s="20" t="n">
        <v>-24734</v>
      </c>
      <c r="L291" s="20" t="n">
        <v>-33012</v>
      </c>
      <c r="M291" s="20" t="n">
        <v>-9852</v>
      </c>
      <c r="N291" s="20" t="n">
        <v>-21454</v>
      </c>
      <c r="P291" s="20" t="n">
        <v>-4121</v>
      </c>
      <c r="Q291" s="20" t="n">
        <v>-5891</v>
      </c>
      <c r="R291" s="20" t="n">
        <v>-8141</v>
      </c>
      <c r="S291" s="20" t="n">
        <v>-12415</v>
      </c>
      <c r="T291" s="20" t="n">
        <v>-17158</v>
      </c>
      <c r="U291" s="20" t="n">
        <v>-22535</v>
      </c>
      <c r="V291" s="20" t="n">
        <v>-19592</v>
      </c>
      <c r="W291" s="20" t="n">
        <v>-17414</v>
      </c>
      <c r="X291" s="20" t="n">
        <v>-33012</v>
      </c>
    </row>
    <row r="292">
      <c r="A292" s="18" t="inlineStr">
        <is>
          <t>무형자산 취득 지출</t>
        </is>
      </c>
      <c r="C292" s="20" t="n">
        <v>-564</v>
      </c>
      <c r="D292" s="20" t="n">
        <v>-951</v>
      </c>
      <c r="E292" s="20" t="n">
        <v>-475</v>
      </c>
      <c r="F292" s="20" t="n">
        <v>-1028</v>
      </c>
      <c r="G292" s="20" t="n">
        <v>-1407</v>
      </c>
      <c r="H292" s="20" t="n">
        <v>-2017</v>
      </c>
      <c r="I292" s="20" t="n">
        <v>-406</v>
      </c>
      <c r="J292" s="20" t="n">
        <v>-1295</v>
      </c>
      <c r="K292" s="20" t="n">
        <v>-2002</v>
      </c>
      <c r="L292" s="20" t="n">
        <v>-3018</v>
      </c>
      <c r="M292" s="20" t="n">
        <v>-1032</v>
      </c>
      <c r="N292" s="20" t="n">
        <v>-1166</v>
      </c>
      <c r="P292" s="20" t="n">
        <v>-607</v>
      </c>
      <c r="Q292" s="20" t="n">
        <v>-512</v>
      </c>
      <c r="R292" s="20" t="n">
        <v>-741</v>
      </c>
      <c r="S292" s="20" t="n">
        <v>-862</v>
      </c>
      <c r="T292" s="20" t="n">
        <v>-1061</v>
      </c>
      <c r="U292" s="20" t="n">
        <v>-1053</v>
      </c>
      <c r="V292" s="20" t="n">
        <v>-951</v>
      </c>
      <c r="W292" s="20" t="n">
        <v>-2017</v>
      </c>
      <c r="X292" s="20" t="n">
        <v>-3018</v>
      </c>
    </row>
    <row r="293">
      <c r="A293" s="18" t="inlineStr">
        <is>
          <t>사업양수 지출</t>
        </is>
      </c>
      <c r="P293" s="20" t="n">
        <v>0</v>
      </c>
      <c r="Q293" s="20" t="n">
        <v>-11098</v>
      </c>
      <c r="R293" s="20" t="n">
        <v>0</v>
      </c>
    </row>
    <row r="294">
      <c r="A294" s="18" t="inlineStr">
        <is>
          <t>사업양도 수입</t>
        </is>
      </c>
      <c r="E294" s="20" t="n">
        <v>0</v>
      </c>
      <c r="F294" s="20" t="n">
        <v>0</v>
      </c>
      <c r="G294" s="20" t="n">
        <v>0</v>
      </c>
      <c r="H294" s="20" t="n">
        <v>0</v>
      </c>
      <c r="I294" s="20" t="n">
        <v>2902</v>
      </c>
      <c r="J294" s="20" t="n">
        <v>2902</v>
      </c>
      <c r="K294" s="20" t="n">
        <v>2902</v>
      </c>
      <c r="L294" s="20" t="n">
        <v>2902</v>
      </c>
      <c r="M294" s="20" t="n">
        <v>0</v>
      </c>
      <c r="N294" s="20" t="n">
        <v>0</v>
      </c>
      <c r="R294" s="20" t="n">
        <v>0</v>
      </c>
      <c r="S294" s="20" t="n">
        <v>3295</v>
      </c>
      <c r="T294" s="20" t="n">
        <v>0</v>
      </c>
      <c r="W294" s="20" t="n">
        <v>0</v>
      </c>
      <c r="X294" s="20" t="n">
        <v>2902</v>
      </c>
    </row>
    <row r="295">
      <c r="A295" s="18" t="inlineStr">
        <is>
          <t>자회사 취득 지출</t>
        </is>
      </c>
      <c r="C295" s="20" t="n">
        <v>-8260</v>
      </c>
      <c r="D295" s="20" t="n">
        <v>-8260</v>
      </c>
      <c r="E295" s="20" t="n">
        <v>-3860</v>
      </c>
      <c r="F295" s="20" t="n">
        <v>-3815</v>
      </c>
      <c r="G295" s="20" t="n">
        <v>-3815</v>
      </c>
      <c r="H295" s="20" t="n">
        <v>-3815</v>
      </c>
      <c r="I295" s="20" t="n">
        <v>0</v>
      </c>
      <c r="J295" s="20" t="n">
        <v>0</v>
      </c>
      <c r="K295" s="20" t="n">
        <v>0</v>
      </c>
      <c r="L295" s="20" t="n">
        <v>0</v>
      </c>
      <c r="Q295" s="20" t="n">
        <v>0</v>
      </c>
      <c r="R295" s="20" t="n">
        <v>-29665</v>
      </c>
      <c r="S295" s="20" t="n">
        <v>-156</v>
      </c>
      <c r="T295" s="20" t="n">
        <v>-28976</v>
      </c>
      <c r="U295" s="20" t="n">
        <v>-3505</v>
      </c>
      <c r="V295" s="20" t="n">
        <v>-8260</v>
      </c>
      <c r="W295" s="20" t="n">
        <v>-3815</v>
      </c>
      <c r="X295" s="20" t="n">
        <v>0</v>
      </c>
    </row>
    <row r="296">
      <c r="A296" s="18" t="inlineStr">
        <is>
          <t>기타</t>
        </is>
      </c>
      <c r="C296" s="20" t="n">
        <v>-184</v>
      </c>
      <c r="D296" s="20" t="n">
        <v>-336</v>
      </c>
      <c r="E296" s="20" t="n">
        <v>-239</v>
      </c>
      <c r="F296" s="20" t="n">
        <v>137</v>
      </c>
      <c r="G296" s="20" t="n">
        <v>770</v>
      </c>
      <c r="H296" s="20" t="n">
        <v>-439</v>
      </c>
      <c r="I296" s="20" t="n">
        <v>-291</v>
      </c>
      <c r="J296" s="20" t="n">
        <v>-445</v>
      </c>
      <c r="K296" s="20" t="n">
        <v>-508</v>
      </c>
      <c r="L296" s="20" t="n">
        <v>-1432</v>
      </c>
      <c r="M296" s="20" t="n">
        <v>73</v>
      </c>
      <c r="N296" s="20" t="n">
        <v>24</v>
      </c>
      <c r="P296" s="20" t="n">
        <v>-150</v>
      </c>
      <c r="Q296" s="20" t="n">
        <v>43</v>
      </c>
      <c r="R296" s="20" t="n">
        <v>-69</v>
      </c>
      <c r="S296" s="20" t="n">
        <v>15</v>
      </c>
      <c r="T296" s="20" t="n">
        <v>-200</v>
      </c>
      <c r="U296" s="20" t="n">
        <v>31</v>
      </c>
      <c r="V296" s="20" t="n">
        <v>-336</v>
      </c>
      <c r="W296" s="20" t="n">
        <v>-439</v>
      </c>
      <c r="X296" s="20" t="n">
        <v>-1432</v>
      </c>
    </row>
    <row r="297">
      <c r="A297" s="9" t="inlineStr">
        <is>
          <t>투자활동 현금흐름 계</t>
        </is>
      </c>
      <c r="C297" s="12" t="n">
        <v>-21937</v>
      </c>
      <c r="D297" s="12" t="n">
        <v>-27940</v>
      </c>
      <c r="E297" s="12" t="n">
        <v>-8352</v>
      </c>
      <c r="F297" s="12" t="n">
        <v>-11848</v>
      </c>
      <c r="G297" s="12" t="n">
        <v>-16443</v>
      </c>
      <c r="H297" s="12" t="n">
        <v>-42189</v>
      </c>
      <c r="I297" s="12" t="n">
        <v>-3444</v>
      </c>
      <c r="J297" s="12" t="n">
        <v>-17141</v>
      </c>
      <c r="K297" s="12" t="n">
        <v>-24342</v>
      </c>
      <c r="L297" s="12" t="n">
        <v>-34552</v>
      </c>
      <c r="M297" s="12" t="n">
        <v>-102548</v>
      </c>
      <c r="N297" s="12" t="n">
        <v>-210881</v>
      </c>
      <c r="P297" s="12" t="n">
        <v>-2329</v>
      </c>
      <c r="Q297" s="12" t="n">
        <v>-15915</v>
      </c>
      <c r="R297" s="12" t="n">
        <v>-38819</v>
      </c>
      <c r="S297" s="12" t="n">
        <v>-16831</v>
      </c>
      <c r="T297" s="12" t="n">
        <v>-46907</v>
      </c>
      <c r="U297" s="12" t="n">
        <v>-26706</v>
      </c>
      <c r="V297" s="12" t="n">
        <v>-27940</v>
      </c>
      <c r="W297" s="12" t="n">
        <v>-42189</v>
      </c>
      <c r="X297" s="12" t="n">
        <v>-34552</v>
      </c>
    </row>
    <row r="298">
      <c r="A298" s="18" t="inlineStr">
        <is>
          <t>장기차입</t>
        </is>
      </c>
      <c r="D298" s="20" t="n">
        <v>54665</v>
      </c>
      <c r="H298" s="20" t="n">
        <v>0</v>
      </c>
      <c r="S298" s="20" t="n">
        <v>0</v>
      </c>
      <c r="T298" s="20" t="n">
        <v>11501</v>
      </c>
      <c r="U298" s="20" t="n">
        <v>20000</v>
      </c>
      <c r="V298" s="20" t="n">
        <v>54665</v>
      </c>
      <c r="W298" s="20" t="n">
        <v>0</v>
      </c>
    </row>
    <row r="299">
      <c r="A299" s="18" t="inlineStr">
        <is>
          <t>장기차입금 상환</t>
        </is>
      </c>
      <c r="D299" s="20" t="n">
        <v>-14667</v>
      </c>
      <c r="H299" s="20" t="n">
        <v>0</v>
      </c>
      <c r="U299" s="20" t="n">
        <v>0</v>
      </c>
      <c r="V299" s="20" t="n">
        <v>-14667</v>
      </c>
      <c r="W299" s="20" t="n">
        <v>0</v>
      </c>
    </row>
    <row r="300">
      <c r="A300" s="18" t="inlineStr">
        <is>
          <t>단기차입금 순증감액</t>
        </is>
      </c>
      <c r="C300" s="20" t="n">
        <v>40000</v>
      </c>
      <c r="D300" s="20" t="n">
        <v>0</v>
      </c>
      <c r="E300" s="20" t="n">
        <v>0</v>
      </c>
      <c r="F300" s="20" t="n">
        <v>0</v>
      </c>
      <c r="G300" s="20" t="n">
        <v>0</v>
      </c>
      <c r="H300" s="20" t="n">
        <v>0</v>
      </c>
      <c r="L300" s="20" t="n">
        <v>-75352</v>
      </c>
      <c r="S300" s="20" t="n">
        <v>0</v>
      </c>
      <c r="T300" s="20" t="n">
        <v>16967</v>
      </c>
      <c r="U300" s="20" t="n">
        <v>-19968</v>
      </c>
      <c r="V300" s="20" t="n">
        <v>0</v>
      </c>
      <c r="W300" s="20" t="n">
        <v>0</v>
      </c>
      <c r="X300" s="20" t="n">
        <v>-75352</v>
      </c>
    </row>
    <row r="301">
      <c r="A301" s="18" t="inlineStr">
        <is>
          <t>전환사채형 신주예약권부 사채 발행 수입</t>
        </is>
      </c>
      <c r="I301" s="20" t="n">
        <v>0</v>
      </c>
      <c r="J301" s="20" t="n">
        <v>0</v>
      </c>
      <c r="M301" s="20" t="n">
        <v>100000</v>
      </c>
      <c r="N301" s="20" t="n">
        <v>100000</v>
      </c>
    </row>
    <row r="302">
      <c r="A302" s="18" t="inlineStr">
        <is>
          <t>자기주식 처분</t>
        </is>
      </c>
      <c r="C302" s="20" t="n">
        <v>627</v>
      </c>
      <c r="D302" s="20" t="n">
        <v>867</v>
      </c>
      <c r="E302" s="20" t="n">
        <v>3</v>
      </c>
      <c r="F302" s="20" t="n">
        <v>191</v>
      </c>
      <c r="G302" s="20" t="n">
        <v>219</v>
      </c>
      <c r="H302" s="20" t="n">
        <v>352</v>
      </c>
      <c r="I302" s="20" t="n">
        <v>356</v>
      </c>
      <c r="J302" s="20" t="n">
        <v>411</v>
      </c>
      <c r="K302" s="20" t="n">
        <v>411</v>
      </c>
      <c r="L302" s="20" t="n">
        <v>411</v>
      </c>
      <c r="M302" s="20" t="n">
        <v>0</v>
      </c>
      <c r="N302" s="20" t="n">
        <v>0</v>
      </c>
      <c r="P302" s="20" t="n">
        <v>3493</v>
      </c>
      <c r="Q302" s="20" t="n">
        <v>805</v>
      </c>
      <c r="R302" s="20" t="n">
        <v>1708</v>
      </c>
      <c r="S302" s="20" t="n">
        <v>1415</v>
      </c>
      <c r="T302" s="20" t="n">
        <v>955</v>
      </c>
      <c r="U302" s="20" t="n">
        <v>1134</v>
      </c>
      <c r="V302" s="20" t="n">
        <v>867</v>
      </c>
      <c r="W302" s="20" t="n">
        <v>352</v>
      </c>
      <c r="X302" s="20" t="n">
        <v>411</v>
      </c>
    </row>
    <row r="303">
      <c r="A303" s="18" t="inlineStr">
        <is>
          <t>자기주식 취득</t>
        </is>
      </c>
      <c r="C303" s="20" t="n">
        <v>-16</v>
      </c>
      <c r="D303" s="20" t="n">
        <v>-17</v>
      </c>
      <c r="E303" s="20" t="n">
        <v>-3</v>
      </c>
      <c r="F303" s="20" t="n">
        <v>-3</v>
      </c>
      <c r="G303" s="20" t="n">
        <v>-34044</v>
      </c>
      <c r="H303" s="20" t="n">
        <v>-50080</v>
      </c>
      <c r="I303" s="20" t="n">
        <v>-15447</v>
      </c>
      <c r="J303" s="20" t="n">
        <v>-70031</v>
      </c>
      <c r="K303" s="20" t="n">
        <v>-93517</v>
      </c>
      <c r="L303" s="20" t="n">
        <v>-114328</v>
      </c>
      <c r="M303" s="20" t="n">
        <v>-42211</v>
      </c>
      <c r="N303" s="20" t="n">
        <v>-105872</v>
      </c>
      <c r="P303" s="20" t="n">
        <v>-2</v>
      </c>
      <c r="Q303" s="20" t="n">
        <v>-738</v>
      </c>
      <c r="R303" s="20" t="n">
        <v>-1124</v>
      </c>
      <c r="S303" s="20" t="n">
        <v>-14028</v>
      </c>
      <c r="T303" s="20" t="n">
        <v>-70148</v>
      </c>
      <c r="U303" s="20" t="n">
        <v>-50042</v>
      </c>
      <c r="V303" s="20" t="n">
        <v>-17</v>
      </c>
      <c r="W303" s="20" t="n">
        <v>-50080</v>
      </c>
      <c r="X303" s="20" t="n">
        <v>-114328</v>
      </c>
    </row>
    <row r="304">
      <c r="A304" s="18" t="inlineStr">
        <is>
          <t>사채 상환</t>
        </is>
      </c>
      <c r="P304" s="20" t="n">
        <v>-15000</v>
      </c>
      <c r="Q304" s="20" t="n">
        <v>0</v>
      </c>
    </row>
    <row r="305">
      <c r="A305" s="18" t="inlineStr">
        <is>
          <t>배당금 지급</t>
        </is>
      </c>
      <c r="C305" s="20" t="n">
        <v>-24625</v>
      </c>
      <c r="D305" s="20" t="n">
        <v>-24881</v>
      </c>
      <c r="E305" s="20" t="n">
        <v>-12975</v>
      </c>
      <c r="F305" s="20" t="n">
        <v>-13278</v>
      </c>
      <c r="G305" s="20" t="n">
        <v>-27080</v>
      </c>
      <c r="H305" s="20" t="n">
        <v>-27320</v>
      </c>
      <c r="I305" s="20" t="n">
        <v>-14371</v>
      </c>
      <c r="J305" s="20" t="n">
        <v>-14667</v>
      </c>
      <c r="K305" s="20" t="n">
        <v>-35471</v>
      </c>
      <c r="L305" s="20" t="n">
        <v>-35754</v>
      </c>
      <c r="M305" s="20" t="n">
        <v>-21426</v>
      </c>
      <c r="N305" s="20" t="n">
        <v>-21751</v>
      </c>
      <c r="P305" s="20" t="n">
        <v>-3718</v>
      </c>
      <c r="Q305" s="20" t="n">
        <v>-13786</v>
      </c>
      <c r="R305" s="20" t="n">
        <v>-16427</v>
      </c>
      <c r="S305" s="20" t="n">
        <v>-15594</v>
      </c>
      <c r="T305" s="20" t="n">
        <v>-25456</v>
      </c>
      <c r="U305" s="20" t="n">
        <v>-25418</v>
      </c>
      <c r="V305" s="20" t="n">
        <v>-24881</v>
      </c>
      <c r="W305" s="20" t="n">
        <v>-27320</v>
      </c>
      <c r="X305" s="20" t="n">
        <v>-35754</v>
      </c>
    </row>
    <row r="306">
      <c r="A306" s="18" t="inlineStr">
        <is>
          <t>리스부채 상환 지출</t>
        </is>
      </c>
      <c r="C306" s="20" t="n">
        <v>-3602</v>
      </c>
      <c r="D306" s="20" t="n">
        <v>-5207</v>
      </c>
      <c r="E306" s="20" t="n">
        <v>-1363</v>
      </c>
      <c r="F306" s="20" t="n">
        <v>-2684</v>
      </c>
      <c r="G306" s="20" t="n">
        <v>-4004</v>
      </c>
      <c r="H306" s="20" t="n">
        <v>-5323</v>
      </c>
      <c r="I306" s="20" t="n">
        <v>-1327</v>
      </c>
      <c r="J306" s="20" t="n">
        <v>-2644</v>
      </c>
      <c r="K306" s="20" t="n">
        <v>-3847</v>
      </c>
      <c r="L306" s="20" t="n">
        <v>-4982</v>
      </c>
      <c r="M306" s="20" t="n">
        <v>-1196</v>
      </c>
      <c r="N306" s="20" t="n">
        <v>-2398</v>
      </c>
      <c r="Q306" s="20" t="n">
        <v>0</v>
      </c>
      <c r="R306" s="20" t="n">
        <v>-2073</v>
      </c>
      <c r="S306" s="20" t="n">
        <v>-2208</v>
      </c>
      <c r="T306" s="20" t="n">
        <v>-2555</v>
      </c>
      <c r="U306" s="20" t="n">
        <v>-3140</v>
      </c>
      <c r="V306" s="20" t="n">
        <v>-5207</v>
      </c>
      <c r="W306" s="20" t="n">
        <v>-5323</v>
      </c>
      <c r="X306" s="20" t="n">
        <v>-4982</v>
      </c>
    </row>
    <row r="307">
      <c r="A307" s="18" t="inlineStr">
        <is>
          <t>기타</t>
        </is>
      </c>
      <c r="C307" s="20" t="n">
        <v>-2</v>
      </c>
      <c r="D307" s="20" t="n">
        <v>0</v>
      </c>
      <c r="E307" s="20" t="n">
        <v>-250</v>
      </c>
      <c r="F307" s="20" t="n">
        <v>-326</v>
      </c>
      <c r="G307" s="20" t="n">
        <v>-387</v>
      </c>
      <c r="H307" s="20" t="n">
        <v>-447</v>
      </c>
      <c r="I307" s="20" t="n">
        <v>-167</v>
      </c>
      <c r="J307" s="20" t="n">
        <v>-318</v>
      </c>
      <c r="K307" s="20" t="n">
        <v>-445</v>
      </c>
      <c r="L307" s="20" t="n">
        <v>-545</v>
      </c>
      <c r="M307" s="20" t="n">
        <v>-201</v>
      </c>
      <c r="N307" s="20" t="n">
        <v>-392</v>
      </c>
      <c r="P307" s="20" t="n">
        <v>-10</v>
      </c>
      <c r="Q307" s="20" t="n">
        <v>-5</v>
      </c>
      <c r="R307" s="20" t="n">
        <v>0</v>
      </c>
      <c r="S307" s="20" t="n">
        <v>0</v>
      </c>
      <c r="T307" s="20" t="n">
        <v>0</v>
      </c>
      <c r="U307" s="20" t="n">
        <v>0</v>
      </c>
      <c r="V307" s="20" t="n">
        <v>0</v>
      </c>
      <c r="W307" s="20" t="n">
        <v>-447</v>
      </c>
      <c r="X307" s="20" t="n">
        <v>-545</v>
      </c>
    </row>
    <row r="308">
      <c r="A308" s="9" t="inlineStr">
        <is>
          <t>재무활동 현금흐름 계</t>
        </is>
      </c>
      <c r="C308" s="12" t="n">
        <v>12382</v>
      </c>
      <c r="D308" s="12" t="n">
        <v>10760</v>
      </c>
      <c r="E308" s="12" t="n">
        <v>-14588</v>
      </c>
      <c r="F308" s="12" t="n">
        <v>-16100</v>
      </c>
      <c r="G308" s="12" t="n">
        <v>-65296</v>
      </c>
      <c r="H308" s="12" t="n">
        <v>-82818</v>
      </c>
      <c r="I308" s="12" t="n">
        <v>-30956</v>
      </c>
      <c r="J308" s="12" t="n">
        <v>-87249</v>
      </c>
      <c r="K308" s="12" t="n">
        <v>-132869</v>
      </c>
      <c r="L308" s="12" t="n">
        <v>-230550</v>
      </c>
      <c r="M308" s="12" t="n">
        <v>34966</v>
      </c>
      <c r="N308" s="12" t="n">
        <v>-30413</v>
      </c>
      <c r="P308" s="12" t="n">
        <v>-15237</v>
      </c>
      <c r="Q308" s="12" t="n">
        <v>-13724</v>
      </c>
      <c r="R308" s="12" t="n">
        <v>-17916</v>
      </c>
      <c r="S308" s="12" t="n">
        <v>-30415</v>
      </c>
      <c r="T308" s="12" t="n">
        <v>-68736</v>
      </c>
      <c r="U308" s="12" t="n">
        <v>-77434</v>
      </c>
      <c r="V308" s="12" t="n">
        <v>10760</v>
      </c>
      <c r="W308" s="12" t="n">
        <v>-82818</v>
      </c>
      <c r="X308" s="12" t="n">
        <v>-230550</v>
      </c>
    </row>
    <row r="309">
      <c r="A309" s="18" t="inlineStr">
        <is>
          <t>현금성자산 환산차이</t>
        </is>
      </c>
      <c r="C309" s="20" t="n">
        <v>2527</v>
      </c>
      <c r="D309" s="20" t="n">
        <v>5677</v>
      </c>
      <c r="E309" s="20" t="n">
        <v>3960</v>
      </c>
      <c r="F309" s="20" t="n">
        <v>-4458</v>
      </c>
      <c r="G309" s="20" t="n">
        <v>717</v>
      </c>
      <c r="H309" s="20" t="n">
        <v>-5122</v>
      </c>
      <c r="I309" s="20" t="n">
        <v>-1581</v>
      </c>
      <c r="J309" s="20" t="n">
        <v>119</v>
      </c>
      <c r="K309" s="20" t="n">
        <v>5435</v>
      </c>
      <c r="L309" s="20" t="n">
        <v>7342</v>
      </c>
      <c r="M309" s="20" t="n">
        <v>3585</v>
      </c>
      <c r="N309" s="20" t="n">
        <v>-3853</v>
      </c>
      <c r="P309" s="20" t="n">
        <v>-2039</v>
      </c>
      <c r="Q309" s="20" t="n">
        <v>817</v>
      </c>
      <c r="R309" s="20" t="n">
        <v>-1980</v>
      </c>
      <c r="S309" s="20" t="n">
        <v>877</v>
      </c>
      <c r="T309" s="20" t="n">
        <v>4172</v>
      </c>
      <c r="U309" s="20" t="n">
        <v>2871</v>
      </c>
      <c r="V309" s="20" t="n">
        <v>5677</v>
      </c>
      <c r="W309" s="20" t="n">
        <v>-5122</v>
      </c>
      <c r="X309" s="20" t="n">
        <v>7342</v>
      </c>
    </row>
    <row r="310">
      <c r="A310" s="18" t="inlineStr">
        <is>
          <t>현금및현금성자산 순증감액</t>
        </is>
      </c>
      <c r="C310" s="20" t="n">
        <v>-9820</v>
      </c>
      <c r="D310" s="20" t="n">
        <v>21165</v>
      </c>
      <c r="E310" s="20" t="n">
        <v>8700</v>
      </c>
      <c r="F310" s="20" t="n">
        <v>60462</v>
      </c>
      <c r="G310" s="20" t="n">
        <v>89343</v>
      </c>
      <c r="H310" s="20" t="n">
        <v>155842</v>
      </c>
      <c r="I310" s="20" t="n">
        <v>10870</v>
      </c>
      <c r="J310" s="20" t="n">
        <v>35652</v>
      </c>
      <c r="K310" s="20" t="n">
        <v>66778</v>
      </c>
      <c r="L310" s="20" t="n">
        <v>77422</v>
      </c>
      <c r="M310" s="20" t="n">
        <v>73158</v>
      </c>
      <c r="N310" s="20" t="n">
        <v>61819</v>
      </c>
      <c r="P310" s="20" t="n">
        <v>8649</v>
      </c>
      <c r="Q310" s="20" t="n">
        <v>15970</v>
      </c>
      <c r="R310" s="20" t="n">
        <v>7760</v>
      </c>
      <c r="S310" s="20" t="n">
        <v>21461</v>
      </c>
      <c r="T310" s="20" t="n">
        <v>-32582</v>
      </c>
      <c r="U310" s="20" t="n">
        <v>-31045</v>
      </c>
      <c r="V310" s="20" t="n">
        <v>21165</v>
      </c>
      <c r="W310" s="20" t="n">
        <v>155842</v>
      </c>
      <c r="X310" s="20" t="n">
        <v>77422</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0"/>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어드반테스트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2026.2Q</t>
        </is>
      </c>
      <c r="D3" s="5" t="inlineStr">
        <is>
          <t>2026.3Q</t>
        </is>
      </c>
      <c r="E3" s="5" t="inlineStr">
        <is>
          <t>2026.4Q</t>
        </is>
      </c>
      <c r="F3" s="5" t="inlineStr">
        <is>
          <t>2027.1Q</t>
        </is>
      </c>
      <c r="G3" s="5" t="inlineStr">
        <is>
          <t>2027.2Q</t>
        </is>
      </c>
      <c r="H3" s="6" t="inlineStr">
        <is>
          <t>2022</t>
        </is>
      </c>
      <c r="I3" s="5" t="inlineStr">
        <is>
          <t>2023</t>
        </is>
      </c>
      <c r="J3" s="5" t="inlineStr">
        <is>
          <t>2024</t>
        </is>
      </c>
      <c r="K3" s="5" t="inlineStr">
        <is>
          <t>2025</t>
        </is>
      </c>
      <c r="L3" s="5" t="inlineStr">
        <is>
          <t>2026</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694111</v>
      </c>
      <c r="D5" s="12" t="n">
        <v>718101</v>
      </c>
      <c r="E5" s="12" t="n">
        <v>836407</v>
      </c>
      <c r="F5" s="12" t="n">
        <v>890814</v>
      </c>
      <c r="G5" s="12" t="n">
        <v>1033207</v>
      </c>
      <c r="H5" s="11" t="n">
        <v>304945</v>
      </c>
      <c r="I5" s="12" t="n">
        <v>374695</v>
      </c>
      <c r="J5" s="12" t="n">
        <v>420261</v>
      </c>
      <c r="K5" s="12" t="n">
        <v>599753</v>
      </c>
      <c r="L5" s="12" t="n">
        <v>836407</v>
      </c>
    </row>
    <row r="6">
      <c r="A6" s="18" t="inlineStr">
        <is>
          <t>현금및현금성자산</t>
        </is>
      </c>
      <c r="B6" s="10" t="n"/>
      <c r="C6" s="19" t="n">
        <v>298196</v>
      </c>
      <c r="D6" s="20" t="n">
        <v>329322</v>
      </c>
      <c r="E6" s="20" t="n">
        <v>339966</v>
      </c>
      <c r="F6" s="20" t="n">
        <v>413124</v>
      </c>
      <c r="G6" s="20" t="n">
        <v>401785</v>
      </c>
      <c r="H6" s="19" t="n">
        <v>116582</v>
      </c>
      <c r="I6" s="20" t="n">
        <v>85537</v>
      </c>
      <c r="J6" s="20" t="n">
        <v>106702</v>
      </c>
      <c r="K6" s="20" t="n">
        <v>262544</v>
      </c>
      <c r="L6" s="20" t="n">
        <v>339966</v>
      </c>
    </row>
    <row r="7">
      <c r="A7" s="18" t="inlineStr">
        <is>
          <t>단기금융상품</t>
        </is>
      </c>
      <c r="B7" s="10" t="n"/>
      <c r="C7" s="19" t="n"/>
      <c r="D7" s="20" t="n"/>
      <c r="E7" s="20" t="n"/>
      <c r="F7" s="20" t="n"/>
      <c r="G7" s="20" t="n"/>
      <c r="H7" s="19" t="n"/>
      <c r="I7" s="20" t="n"/>
      <c r="J7" s="20" t="n"/>
      <c r="K7" s="20" t="n"/>
      <c r="L7" s="20" t="n"/>
    </row>
    <row r="8">
      <c r="A8" s="18" t="inlineStr">
        <is>
          <t>매출채권</t>
        </is>
      </c>
      <c r="B8" s="10" t="n"/>
      <c r="C8" s="19" t="n">
        <v>163652</v>
      </c>
      <c r="D8" s="20" t="n">
        <v>143318</v>
      </c>
      <c r="E8" s="20" t="n">
        <v>228731</v>
      </c>
      <c r="F8" s="20" t="n">
        <v>178497</v>
      </c>
      <c r="G8" s="20" t="n">
        <v>239468</v>
      </c>
      <c r="H8" s="19" t="n">
        <v>82155</v>
      </c>
      <c r="I8" s="20" t="n">
        <v>102152</v>
      </c>
      <c r="J8" s="20" t="n">
        <v>88855</v>
      </c>
      <c r="K8" s="20" t="n">
        <v>113031</v>
      </c>
      <c r="L8" s="20" t="n">
        <v>228731</v>
      </c>
    </row>
    <row r="9">
      <c r="A9" s="18" t="inlineStr">
        <is>
          <t>재고자산</t>
        </is>
      </c>
      <c r="B9" s="10" t="n"/>
      <c r="C9" s="19" t="n">
        <v>210038</v>
      </c>
      <c r="D9" s="20" t="n">
        <v>222464</v>
      </c>
      <c r="E9" s="20" t="n">
        <v>231718</v>
      </c>
      <c r="F9" s="20" t="n">
        <v>273654</v>
      </c>
      <c r="G9" s="20" t="n">
        <v>352426</v>
      </c>
      <c r="H9" s="19" t="n">
        <v>95013</v>
      </c>
      <c r="I9" s="20" t="n">
        <v>169082</v>
      </c>
      <c r="J9" s="20" t="n">
        <v>204389</v>
      </c>
      <c r="K9" s="20" t="n">
        <v>209707</v>
      </c>
      <c r="L9" s="20" t="n">
        <v>231718</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277430</v>
      </c>
      <c r="D11" s="12" t="n">
        <v>302414</v>
      </c>
      <c r="E11" s="12" t="n">
        <v>335409</v>
      </c>
      <c r="F11" s="12" t="n">
        <v>623838</v>
      </c>
      <c r="G11" s="12" t="n">
        <v>698873</v>
      </c>
      <c r="H11" s="11" t="n">
        <v>189751</v>
      </c>
      <c r="I11" s="12" t="n">
        <v>225529</v>
      </c>
      <c r="J11" s="12" t="n">
        <v>250968</v>
      </c>
      <c r="K11" s="12" t="n">
        <v>254457</v>
      </c>
      <c r="L11" s="12" t="n">
        <v>335409</v>
      </c>
    </row>
    <row r="12">
      <c r="A12" s="18" t="inlineStr">
        <is>
          <t>유형자산</t>
        </is>
      </c>
      <c r="B12" s="10" t="n"/>
      <c r="C12" s="19" t="n">
        <v>89993</v>
      </c>
      <c r="D12" s="20" t="n">
        <v>95719</v>
      </c>
      <c r="E12" s="20" t="n">
        <v>101628</v>
      </c>
      <c r="F12" s="20" t="n">
        <v>107707</v>
      </c>
      <c r="G12" s="20" t="n">
        <v>112196</v>
      </c>
      <c r="H12" s="19" t="n">
        <v>51392</v>
      </c>
      <c r="I12" s="20" t="n">
        <v>64046</v>
      </c>
      <c r="J12" s="20" t="n">
        <v>78884</v>
      </c>
      <c r="K12" s="20" t="n">
        <v>78602</v>
      </c>
      <c r="L12" s="20" t="n">
        <v>101628</v>
      </c>
    </row>
    <row r="13">
      <c r="A13" s="18" t="inlineStr">
        <is>
          <t>무형자산</t>
        </is>
      </c>
      <c r="B13" s="10" t="n"/>
      <c r="C13" s="19" t="n"/>
      <c r="D13" s="20" t="n"/>
      <c r="E13" s="20" t="n"/>
      <c r="F13" s="20" t="n"/>
      <c r="G13" s="20" t="n"/>
      <c r="H13" s="19" t="n"/>
      <c r="I13" s="20" t="n"/>
      <c r="J13" s="20" t="n"/>
      <c r="K13" s="20" t="n"/>
      <c r="L13" s="20" t="n"/>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971541</v>
      </c>
      <c r="D16" s="12" t="n">
        <v>1020515</v>
      </c>
      <c r="E16" s="12" t="n">
        <v>1171816</v>
      </c>
      <c r="F16" s="12" t="n">
        <v>1514652</v>
      </c>
      <c r="G16" s="12" t="n">
        <v>1732080</v>
      </c>
      <c r="H16" s="11" t="n">
        <v>494696</v>
      </c>
      <c r="I16" s="12" t="n">
        <v>600224</v>
      </c>
      <c r="J16" s="12" t="n">
        <v>671229</v>
      </c>
      <c r="K16" s="12" t="n">
        <v>854210</v>
      </c>
      <c r="L16" s="12" t="n">
        <v>1171816</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323564</v>
      </c>
      <c r="D18" s="12" t="n">
        <v>307376</v>
      </c>
      <c r="E18" s="12" t="n">
        <v>330284</v>
      </c>
      <c r="F18" s="12" t="n">
        <v>334182</v>
      </c>
      <c r="G18" s="12" t="n">
        <v>448508</v>
      </c>
      <c r="H18" s="11" t="n">
        <v>150882</v>
      </c>
      <c r="I18" s="12" t="n">
        <v>174689</v>
      </c>
      <c r="J18" s="12" t="n">
        <v>126277</v>
      </c>
      <c r="K18" s="12" t="n">
        <v>309424</v>
      </c>
      <c r="L18" s="12" t="n">
        <v>330284</v>
      </c>
    </row>
    <row r="19">
      <c r="A19" s="18" t="inlineStr">
        <is>
          <t>매입채무</t>
        </is>
      </c>
      <c r="B19" s="10" t="n"/>
      <c r="C19" s="19" t="n">
        <v>117179</v>
      </c>
      <c r="D19" s="20" t="n">
        <v>106381</v>
      </c>
      <c r="E19" s="20" t="n">
        <v>142061</v>
      </c>
      <c r="F19" s="20" t="n">
        <v>154357</v>
      </c>
      <c r="G19" s="20" t="n">
        <v>188540</v>
      </c>
      <c r="H19" s="19" t="n">
        <v>70352</v>
      </c>
      <c r="I19" s="20" t="n">
        <v>89262</v>
      </c>
      <c r="J19" s="20" t="n">
        <v>76863</v>
      </c>
      <c r="K19" s="20" t="n">
        <v>107093</v>
      </c>
      <c r="L19" s="20" t="n">
        <v>142061</v>
      </c>
    </row>
    <row r="20">
      <c r="A20" s="18" t="inlineStr">
        <is>
          <t>단기차입금</t>
        </is>
      </c>
      <c r="B20" s="10" t="n"/>
      <c r="C20" s="19" t="n">
        <v>74888</v>
      </c>
      <c r="D20" s="20" t="n">
        <v>75651</v>
      </c>
      <c r="E20" s="20" t="n">
        <v>0</v>
      </c>
      <c r="F20" s="20" t="n"/>
      <c r="G20" s="20" t="n"/>
      <c r="H20" s="19" t="n">
        <v>18359</v>
      </c>
      <c r="I20" s="20" t="n">
        <v>13357</v>
      </c>
      <c r="J20" s="20" t="n">
        <v>0</v>
      </c>
      <c r="K20" s="20" t="n">
        <v>74952</v>
      </c>
      <c r="L20" s="20" t="n">
        <v>0</v>
      </c>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37637</v>
      </c>
      <c r="D23" s="12" t="n">
        <v>38840</v>
      </c>
      <c r="E23" s="12" t="n">
        <v>45806</v>
      </c>
      <c r="F23" s="12" t="n">
        <v>137828</v>
      </c>
      <c r="G23" s="12" t="n">
        <v>138437</v>
      </c>
      <c r="H23" s="11" t="n">
        <v>49193</v>
      </c>
      <c r="I23" s="12" t="n">
        <v>56841</v>
      </c>
      <c r="J23" s="12" t="n">
        <v>113774</v>
      </c>
      <c r="K23" s="12" t="n">
        <v>38247</v>
      </c>
      <c r="L23" s="12" t="n">
        <v>45806</v>
      </c>
    </row>
    <row r="24">
      <c r="A24" s="18" t="inlineStr">
        <is>
          <t>장기차입금</t>
        </is>
      </c>
      <c r="B24" s="10" t="n"/>
      <c r="C24" s="19" t="n">
        <v>0</v>
      </c>
      <c r="D24" s="20" t="n">
        <v>0</v>
      </c>
      <c r="E24" s="20" t="n">
        <v>0</v>
      </c>
      <c r="F24" s="20" t="n"/>
      <c r="G24" s="20" t="n"/>
      <c r="H24" s="19" t="n">
        <v>12239</v>
      </c>
      <c r="I24" s="20" t="n">
        <v>20000</v>
      </c>
      <c r="J24" s="20" t="n">
        <v>75143</v>
      </c>
      <c r="K24" s="20" t="n">
        <v>3</v>
      </c>
      <c r="L24" s="20" t="n">
        <v>0</v>
      </c>
    </row>
    <row r="25">
      <c r="A25" s="18" t="inlineStr">
        <is>
          <t>사채</t>
        </is>
      </c>
      <c r="B25" s="10" t="n"/>
      <c r="C25" s="19" t="n"/>
      <c r="D25" s="20" t="n"/>
      <c r="E25" s="20" t="n"/>
      <c r="F25" s="20" t="n"/>
      <c r="G25" s="20" t="n"/>
      <c r="H25" s="19" t="n"/>
      <c r="I25" s="20" t="n"/>
      <c r="J25" s="20" t="n"/>
      <c r="K25" s="20" t="n"/>
      <c r="L25" s="20" t="n"/>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361201</v>
      </c>
      <c r="D27" s="12" t="n">
        <v>346216</v>
      </c>
      <c r="E27" s="12" t="n">
        <v>376090</v>
      </c>
      <c r="F27" s="12" t="n">
        <v>472010</v>
      </c>
      <c r="G27" s="12" t="n">
        <v>586945</v>
      </c>
      <c r="H27" s="11" t="n">
        <v>200075</v>
      </c>
      <c r="I27" s="12" t="n">
        <v>231530</v>
      </c>
      <c r="J27" s="12" t="n">
        <v>240051</v>
      </c>
      <c r="K27" s="12" t="n">
        <v>347671</v>
      </c>
      <c r="L27" s="12" t="n">
        <v>376090</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610340</v>
      </c>
      <c r="D31" s="12" t="n">
        <v>674299</v>
      </c>
      <c r="E31" s="12" t="n">
        <v>795726</v>
      </c>
      <c r="F31" s="12" t="n">
        <v>1042642</v>
      </c>
      <c r="G31" s="12" t="n">
        <v>1145135</v>
      </c>
      <c r="H31" s="11" t="n">
        <v>294621</v>
      </c>
      <c r="I31" s="12" t="n">
        <v>368694</v>
      </c>
      <c r="J31" s="12" t="n">
        <v>431178</v>
      </c>
      <c r="K31" s="12" t="n">
        <v>506539</v>
      </c>
      <c r="L31" s="12" t="n">
        <v>795726</v>
      </c>
    </row>
    <row r="32">
      <c r="A32" s="18" t="inlineStr">
        <is>
          <t>자본금</t>
        </is>
      </c>
      <c r="B32" s="10" t="n"/>
      <c r="C32" s="19" t="n">
        <v>32363</v>
      </c>
      <c r="D32" s="20" t="n">
        <v>32363</v>
      </c>
      <c r="E32" s="20" t="n">
        <v>32363</v>
      </c>
      <c r="F32" s="20" t="n">
        <v>32363</v>
      </c>
      <c r="G32" s="20" t="n">
        <v>32363</v>
      </c>
      <c r="H32" s="19" t="n">
        <v>32363</v>
      </c>
      <c r="I32" s="20" t="n">
        <v>32363</v>
      </c>
      <c r="J32" s="20" t="n">
        <v>32363</v>
      </c>
      <c r="K32" s="20" t="n">
        <v>32363</v>
      </c>
      <c r="L32" s="20" t="n">
        <v>32363</v>
      </c>
    </row>
    <row r="33">
      <c r="A33" s="18" t="inlineStr">
        <is>
          <t>이익잉여금</t>
        </is>
      </c>
      <c r="B33" s="10" t="n"/>
      <c r="C33" s="19" t="n">
        <v>644478</v>
      </c>
      <c r="D33" s="20" t="n">
        <v>701965</v>
      </c>
      <c r="E33" s="20" t="n">
        <v>655566</v>
      </c>
      <c r="F33" s="20" t="n">
        <v>816018</v>
      </c>
      <c r="G33" s="20" t="n">
        <v>1007814</v>
      </c>
      <c r="H33" s="19" t="n">
        <v>279828</v>
      </c>
      <c r="I33" s="20" t="n">
        <v>319171</v>
      </c>
      <c r="J33" s="20" t="n">
        <v>355299</v>
      </c>
      <c r="K33" s="20" t="n">
        <v>489850</v>
      </c>
      <c r="L33" s="20" t="n">
        <v>655566</v>
      </c>
    </row>
    <row r="34">
      <c r="A34" s="18" t="inlineStr">
        <is>
          <t>비지배지분</t>
        </is>
      </c>
      <c r="B34" s="10" t="n"/>
      <c r="C34" s="19" t="n"/>
      <c r="D34" s="20" t="n"/>
      <c r="E34" s="20" t="n"/>
      <c r="F34" s="20" t="n"/>
      <c r="G34" s="20" t="n"/>
      <c r="H34" s="19" t="n"/>
      <c r="I34" s="20" t="n"/>
      <c r="J34" s="20" t="n"/>
      <c r="K34" s="20" t="n"/>
      <c r="L34" s="20" t="n"/>
    </row>
    <row r="35">
      <c r="A35" s="9" t="inlineStr">
        <is>
          <t>자본총계</t>
        </is>
      </c>
      <c r="B35" s="10" t="n"/>
      <c r="C35" s="11" t="n">
        <v>610340</v>
      </c>
      <c r="D35" s="12" t="n">
        <v>674299</v>
      </c>
      <c r="E35" s="12" t="n">
        <v>795726</v>
      </c>
      <c r="F35" s="12" t="n">
        <v>1042642</v>
      </c>
      <c r="G35" s="12" t="n">
        <v>1145135</v>
      </c>
      <c r="H35" s="11" t="n">
        <v>294621</v>
      </c>
      <c r="I35" s="12" t="n">
        <v>368694</v>
      </c>
      <c r="J35" s="12" t="n">
        <v>431178</v>
      </c>
      <c r="K35" s="12" t="n">
        <v>506539</v>
      </c>
      <c r="L35" s="12" t="n">
        <v>795726</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333026</v>
      </c>
      <c r="D37" s="12" t="n">
        <v>334160</v>
      </c>
      <c r="E37" s="12" t="n">
        <v>335182</v>
      </c>
      <c r="F37" s="12" t="n">
        <v>425486</v>
      </c>
      <c r="G37" s="12" t="n">
        <v>502225</v>
      </c>
      <c r="H37" s="11" t="n">
        <v>78889</v>
      </c>
      <c r="I37" s="12" t="n">
        <v>70224</v>
      </c>
      <c r="J37" s="12" t="n">
        <v>32668</v>
      </c>
      <c r="K37" s="12" t="n">
        <v>285971</v>
      </c>
      <c r="L37" s="12" t="n">
        <v>335182</v>
      </c>
    </row>
    <row r="38">
      <c r="A38" s="18" t="inlineStr">
        <is>
          <t>CAPEX (유·무형 취득)</t>
        </is>
      </c>
      <c r="B38" s="10" t="inlineStr">
        <is>
          <t>양수로 입력</t>
        </is>
      </c>
      <c r="C38" s="19" t="n">
        <v>30859</v>
      </c>
      <c r="D38" s="20" t="n">
        <v>32769</v>
      </c>
      <c r="E38" s="20" t="n">
        <v>36030</v>
      </c>
      <c r="F38" s="20" t="n">
        <v>40859</v>
      </c>
      <c r="G38" s="20" t="n">
        <v>39052</v>
      </c>
      <c r="H38" s="19" t="n">
        <v>18219</v>
      </c>
      <c r="I38" s="20" t="n">
        <v>23588</v>
      </c>
      <c r="J38" s="20" t="n">
        <v>20543</v>
      </c>
      <c r="K38" s="20" t="n">
        <v>19431</v>
      </c>
      <c r="L38" s="20" t="n">
        <v>36030</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28709</v>
      </c>
      <c r="D40" s="20" t="n">
        <v>35711</v>
      </c>
      <c r="E40" s="20" t="n">
        <v>35754</v>
      </c>
      <c r="F40" s="20" t="n">
        <v>42809</v>
      </c>
      <c r="G40" s="20" t="n">
        <v>42838</v>
      </c>
      <c r="H40" s="19" t="n">
        <v>25456</v>
      </c>
      <c r="I40" s="20" t="n">
        <v>25418</v>
      </c>
      <c r="J40" s="20" t="n">
        <v>24881</v>
      </c>
      <c r="K40" s="20" t="n">
        <v>27320</v>
      </c>
      <c r="L40" s="20" t="n">
        <v>35754</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IFERROR((IF(COUNT('연간'!G34:J34)&lt;4,"",SUM('연간'!G34:J34)))/(IF(COUNT('연간'!G56:J56)&lt;4,"",SUM('연간'!G56:J56))),"")</f>
        <v/>
      </c>
      <c r="D48" s="31">
        <f>IFERROR((IF(COUNT('연간'!H34:K34)&lt;4,"",SUM('연간'!H34:K34)))/(IF(COUNT('연간'!H56:K56)&lt;4,"",SUM('연간'!H56:K56))),"")</f>
        <v/>
      </c>
      <c r="E48" s="31">
        <f>IFERROR((IF(COUNT('연간'!I34:L34)&lt;4,"",SUM('연간'!I34:L34)))/(IF(COUNT('연간'!I56:L56)&lt;4,"",SUM('연간'!I56:L56))),"")</f>
        <v/>
      </c>
      <c r="F48" s="31">
        <f>IFERROR((IF(COUNT('연간'!J34:M34)&lt;4,"",SUM('연간'!J34:M34)))/(IF(COUNT('연간'!J56:M56)&lt;4,"",SUM('연간'!J56:M56))),"")</f>
        <v/>
      </c>
      <c r="G48" s="31">
        <f>IFERROR((IF(COUNT('연간'!K34:N34)&lt;4,"",SUM('연간'!K34:N34)))/(IF(COUNT('연간'!K56:N56)&lt;4,"",SUM('연간'!K56:N56))),"")</f>
        <v/>
      </c>
      <c r="H48" s="30">
        <f>IFERROR(('연간'!T34)/('연간'!T56),"")</f>
        <v/>
      </c>
      <c r="I48" s="31">
        <f>IFERROR(('연간'!U34)/('연간'!U56),"")</f>
        <v/>
      </c>
      <c r="J48" s="31">
        <f>IFERROR(('연간'!V34)/('연간'!V56),"")</f>
        <v/>
      </c>
      <c r="K48" s="31">
        <f>IFERROR(('연간'!W34)/('연간'!W56),"")</f>
        <v/>
      </c>
      <c r="L48" s="31">
        <f>IFERROR(('연간'!X34)/('연간'!X56),"")</f>
        <v/>
      </c>
    </row>
    <row r="49">
      <c r="A49" s="45" t="inlineStr">
        <is>
          <t>차입금 상환연수</t>
        </is>
      </c>
      <c r="B49" s="10" t="inlineStr">
        <is>
          <t>4년↓ (버핏)</t>
        </is>
      </c>
      <c r="C49" s="46">
        <f>IFERROR(IF((IF(COUNT('연간'!G64:J64)&lt;4,"",SUM('연간'!G64:J64)))&lt;=0,"적자",C28/(IF(COUNT('연간'!G64:J64)&lt;4,"",SUM('연간'!G64:J64)))),"")</f>
        <v/>
      </c>
      <c r="D49" s="47">
        <f>IFERROR(IF((IF(COUNT('연간'!H64:K64)&lt;4,"",SUM('연간'!H64:K64)))&lt;=0,"적자",D28/(IF(COUNT('연간'!H64:K64)&lt;4,"",SUM('연간'!H64:K64)))),"")</f>
        <v/>
      </c>
      <c r="E49" s="47">
        <f>IFERROR(IF((IF(COUNT('연간'!I64:L64)&lt;4,"",SUM('연간'!I64:L64)))&lt;=0,"적자",E28/(IF(COUNT('연간'!I64:L64)&lt;4,"",SUM('연간'!I64:L64)))),"")</f>
        <v/>
      </c>
      <c r="F49" s="47">
        <f>IFERROR(IF((IF(COUNT('연간'!J64:M64)&lt;4,"",SUM('연간'!J64:M64)))&lt;=0,"적자",F28/(IF(COUNT('연간'!J64:M64)&lt;4,"",SUM('연간'!J64:M64)))),"")</f>
        <v/>
      </c>
      <c r="G49" s="47">
        <f>IFERROR(IF((IF(COUNT('연간'!K64:N64)&lt;4,"",SUM('연간'!K64:N64)))&lt;=0,"적자",G28/(IF(COUNT('연간'!K64:N64)&lt;4,"",SUM('연간'!K64:N64)))),"")</f>
        <v/>
      </c>
      <c r="H49" s="46">
        <f>IFERROR(IF(('연간'!T64)&lt;=0,"적자",H28/('연간'!T64)),"")</f>
        <v/>
      </c>
      <c r="I49" s="47">
        <f>IFERROR(IF(('연간'!U64)&lt;=0,"적자",I28/('연간'!U64)),"")</f>
        <v/>
      </c>
      <c r="J49" s="47">
        <f>IFERROR(IF(('연간'!V64)&lt;=0,"적자",J28/('연간'!V64)),"")</f>
        <v/>
      </c>
      <c r="K49" s="47">
        <f>IFERROR(IF(('연간'!W64)&lt;=0,"적자",K28/('연간'!W64)),"")</f>
        <v/>
      </c>
      <c r="L49" s="47">
        <f>IFERROR(IF(('연간'!X64)&lt;=0,"적자",L28/('연간'!X64)),"")</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IFERROR((IF(COUNT('연간'!G64:J64)&lt;4,"",SUM('연간'!G64:J64)))/C31,"")</f>
        <v/>
      </c>
      <c r="D51" s="36">
        <f>IFERROR((IF(COUNT('연간'!H64:K64)&lt;4,"",SUM('연간'!H64:K64)))/D31,"")</f>
        <v/>
      </c>
      <c r="E51" s="36">
        <f>IFERROR((IF(COUNT('연간'!I64:L64)&lt;4,"",SUM('연간'!I64:L64)))/E31,"")</f>
        <v/>
      </c>
      <c r="F51" s="36">
        <f>IFERROR((IF(COUNT('연간'!J64:M64)&lt;4,"",SUM('연간'!J64:M64)))/F31,"")</f>
        <v/>
      </c>
      <c r="G51" s="36">
        <f>IFERROR((IF(COUNT('연간'!K64:N64)&lt;4,"",SUM('연간'!K64:N64)))/G31,"")</f>
        <v/>
      </c>
      <c r="H51" s="35">
        <f>IFERROR(('연간'!T64)/H31,"")</f>
        <v/>
      </c>
      <c r="I51" s="36">
        <f>IFERROR(('연간'!U64)/I31,"")</f>
        <v/>
      </c>
      <c r="J51" s="36">
        <f>IFERROR(('연간'!V64)/J31,"")</f>
        <v/>
      </c>
      <c r="K51" s="36">
        <f>IFERROR(('연간'!W64)/K31,"")</f>
        <v/>
      </c>
      <c r="L51" s="36">
        <f>IFERROR(('연간'!X64)/L31,"")</f>
        <v/>
      </c>
    </row>
    <row r="52">
      <c r="A52" s="45" t="inlineStr">
        <is>
          <t>ROA</t>
        </is>
      </c>
      <c r="B52" s="10" t="inlineStr">
        <is>
          <t>5%↑</t>
        </is>
      </c>
      <c r="C52" s="35">
        <f>IFERROR((IF(COUNT('연간'!G62:J62)&lt;4,"",SUM('연간'!G62:J62)))/C16,"")</f>
        <v/>
      </c>
      <c r="D52" s="36">
        <f>IFERROR((IF(COUNT('연간'!H62:K62)&lt;4,"",SUM('연간'!H62:K62)))/D16,"")</f>
        <v/>
      </c>
      <c r="E52" s="36">
        <f>IFERROR((IF(COUNT('연간'!I62:L62)&lt;4,"",SUM('연간'!I62:L62)))/E16,"")</f>
        <v/>
      </c>
      <c r="F52" s="36">
        <f>IFERROR((IF(COUNT('연간'!J62:M62)&lt;4,"",SUM('연간'!J62:M62)))/F16,"")</f>
        <v/>
      </c>
      <c r="G52" s="36">
        <f>IFERROR((IF(COUNT('연간'!K62:N62)&lt;4,"",SUM('연간'!K62:N62)))/G16,"")</f>
        <v/>
      </c>
      <c r="H52" s="35">
        <f>IFERROR(('연간'!T62)/H16,"")</f>
        <v/>
      </c>
      <c r="I52" s="36">
        <f>IFERROR(('연간'!U62)/I16,"")</f>
        <v/>
      </c>
      <c r="J52" s="36">
        <f>IFERROR(('연간'!V62)/J16,"")</f>
        <v/>
      </c>
      <c r="K52" s="36">
        <f>IFERROR(('연간'!W62)/K16,"")</f>
        <v/>
      </c>
      <c r="L52" s="36">
        <f>IFERROR(('연간'!X62)/L16,"")</f>
        <v/>
      </c>
    </row>
    <row r="53">
      <c r="A53" s="45" t="inlineStr">
        <is>
          <t>ROIC</t>
        </is>
      </c>
      <c r="B53" s="10" t="inlineStr">
        <is>
          <t>10%↑ (세후영업이익 기준)</t>
        </is>
      </c>
      <c r="C53" s="35">
        <f>IFERROR((IF(COUNT('연간'!G34:J34)&lt;4,"",SUM('연간'!G34:J34)))*(1-0.3)/(C35+C29),"")</f>
        <v/>
      </c>
      <c r="D53" s="36">
        <f>IFERROR((IF(COUNT('연간'!H34:K34)&lt;4,"",SUM('연간'!H34:K34)))*(1-0.3)/(D35+D29),"")</f>
        <v/>
      </c>
      <c r="E53" s="36">
        <f>IFERROR((IF(COUNT('연간'!I34:L34)&lt;4,"",SUM('연간'!I34:L34)))*(1-0.3)/(E35+E29),"")</f>
        <v/>
      </c>
      <c r="F53" s="36">
        <f>IFERROR((IF(COUNT('연간'!J34:M34)&lt;4,"",SUM('연간'!J34:M34)))*(1-0.3)/(F35+F29),"")</f>
        <v/>
      </c>
      <c r="G53" s="36">
        <f>IFERROR((IF(COUNT('연간'!K34:N34)&lt;4,"",SUM('연간'!K34:N34)))*(1-0.3)/(G35+G29),"")</f>
        <v/>
      </c>
      <c r="H53" s="35">
        <f>IFERROR(('연간'!T34)*(1-0.3)/(H35+H29),"")</f>
        <v/>
      </c>
      <c r="I53" s="36">
        <f>IFERROR(('연간'!U34)*(1-0.3)/(I35+I29),"")</f>
        <v/>
      </c>
      <c r="J53" s="36">
        <f>IFERROR(('연간'!V34)*(1-0.3)/(J35+J29),"")</f>
        <v/>
      </c>
      <c r="K53" s="36">
        <f>IFERROR(('연간'!W34)*(1-0.3)/(K35+K29),"")</f>
        <v/>
      </c>
      <c r="L53" s="36">
        <f>IFERROR(('연간'!X34)*(1-0.3)/(L35+L29),"")</f>
        <v/>
      </c>
    </row>
    <row r="54">
      <c r="A54" s="45" t="inlineStr">
        <is>
          <t>매출총이익률 (GPM)</t>
        </is>
      </c>
      <c r="B54" s="10" t="inlineStr">
        <is>
          <t>40%↑ (해자 신호)</t>
        </is>
      </c>
      <c r="C54" s="35">
        <f>IFERROR((IF(COUNT('연간'!G28:J28)&lt;4,"",SUM('연간'!G28:J28)))/(IF(COUNT('연간'!G4:J4)&lt;4,"",SUM('연간'!G4:J4))),"")</f>
        <v/>
      </c>
      <c r="D54" s="36">
        <f>IFERROR((IF(COUNT('연간'!H28:K28)&lt;4,"",SUM('연간'!H28:K28)))/(IF(COUNT('연간'!H4:K4)&lt;4,"",SUM('연간'!H4:K4))),"")</f>
        <v/>
      </c>
      <c r="E54" s="36">
        <f>IFERROR((IF(COUNT('연간'!I28:L28)&lt;4,"",SUM('연간'!I28:L28)))/(IF(COUNT('연간'!I4:L4)&lt;4,"",SUM('연간'!I4:L4))),"")</f>
        <v/>
      </c>
      <c r="F54" s="36">
        <f>IFERROR((IF(COUNT('연간'!J28:M28)&lt;4,"",SUM('연간'!J28:M28)))/(IF(COUNT('연간'!J4:M4)&lt;4,"",SUM('연간'!J4:M4))),"")</f>
        <v/>
      </c>
      <c r="G54" s="36">
        <f>IFERROR((IF(COUNT('연간'!K28:N28)&lt;4,"",SUM('연간'!K28:N28)))/(IF(COUNT('연간'!K4:N4)&lt;4,"",SUM('연간'!K4:N4))),"")</f>
        <v/>
      </c>
      <c r="H54" s="35">
        <f>IFERROR(('연간'!T28)/('연간'!T4),"")</f>
        <v/>
      </c>
      <c r="I54" s="36">
        <f>IFERROR(('연간'!U28)/('연간'!U4),"")</f>
        <v/>
      </c>
      <c r="J54" s="36">
        <f>IFERROR(('연간'!V28)/('연간'!V4),"")</f>
        <v/>
      </c>
      <c r="K54" s="36">
        <f>IFERROR(('연간'!W28)/('연간'!W4),"")</f>
        <v/>
      </c>
      <c r="L54" s="36">
        <f>IFERROR(('연간'!X28)/('연간'!X4),"")</f>
        <v/>
      </c>
    </row>
    <row r="55">
      <c r="A55" s="45" t="inlineStr">
        <is>
          <t>영업이익률 (OPM)</t>
        </is>
      </c>
      <c r="B55" s="10" t="inlineStr">
        <is>
          <t>15%↑</t>
        </is>
      </c>
      <c r="C55" s="35">
        <f>IFERROR((IF(COUNT('연간'!G34:J34)&lt;4,"",SUM('연간'!G34:J34)))/(IF(COUNT('연간'!G4:J4)&lt;4,"",SUM('연간'!G4:J4))),"")</f>
        <v/>
      </c>
      <c r="D55" s="36">
        <f>IFERROR((IF(COUNT('연간'!H34:K34)&lt;4,"",SUM('연간'!H34:K34)))/(IF(COUNT('연간'!H4:K4)&lt;4,"",SUM('연간'!H4:K4))),"")</f>
        <v/>
      </c>
      <c r="E55" s="36">
        <f>IFERROR((IF(COUNT('연간'!I34:L34)&lt;4,"",SUM('연간'!I34:L34)))/(IF(COUNT('연간'!I4:L4)&lt;4,"",SUM('연간'!I4:L4))),"")</f>
        <v/>
      </c>
      <c r="F55" s="36">
        <f>IFERROR((IF(COUNT('연간'!J34:M34)&lt;4,"",SUM('연간'!J34:M34)))/(IF(COUNT('연간'!J4:M4)&lt;4,"",SUM('연간'!J4:M4))),"")</f>
        <v/>
      </c>
      <c r="G55" s="36">
        <f>IFERROR((IF(COUNT('연간'!K34:N34)&lt;4,"",SUM('연간'!K34:N34)))/(IF(COUNT('연간'!K4:N4)&lt;4,"",SUM('연간'!K4:N4))),"")</f>
        <v/>
      </c>
      <c r="H55" s="35">
        <f>IFERROR(('연간'!T34)/('연간'!T4),"")</f>
        <v/>
      </c>
      <c r="I55" s="36">
        <f>IFERROR(('연간'!U34)/('연간'!U4),"")</f>
        <v/>
      </c>
      <c r="J55" s="36">
        <f>IFERROR(('연간'!V34)/('연간'!V4),"")</f>
        <v/>
      </c>
      <c r="K55" s="36">
        <f>IFERROR(('연간'!W34)/('연간'!W4),"")</f>
        <v/>
      </c>
      <c r="L55" s="36">
        <f>IFERROR(('연간'!X34)/('연간'!X4),"")</f>
        <v/>
      </c>
    </row>
    <row r="56">
      <c r="A56" s="45" t="inlineStr">
        <is>
          <t>순이익률</t>
        </is>
      </c>
      <c r="B56" s="10" t="inlineStr">
        <is>
          <t>10%↑</t>
        </is>
      </c>
      <c r="C56" s="35">
        <f>IFERROR((IF(COUNT('연간'!G62:J62)&lt;4,"",SUM('연간'!G62:J62)))/(IF(COUNT('연간'!G4:J4)&lt;4,"",SUM('연간'!G4:J4))),"")</f>
        <v/>
      </c>
      <c r="D56" s="36">
        <f>IFERROR((IF(COUNT('연간'!H62:K62)&lt;4,"",SUM('연간'!H62:K62)))/(IF(COUNT('연간'!H4:K4)&lt;4,"",SUM('연간'!H4:K4))),"")</f>
        <v/>
      </c>
      <c r="E56" s="36">
        <f>IFERROR((IF(COUNT('연간'!I62:L62)&lt;4,"",SUM('연간'!I62:L62)))/(IF(COUNT('연간'!I4:L4)&lt;4,"",SUM('연간'!I4:L4))),"")</f>
        <v/>
      </c>
      <c r="F56" s="36">
        <f>IFERROR((IF(COUNT('연간'!J62:M62)&lt;4,"",SUM('연간'!J62:M62)))/(IF(COUNT('연간'!J4:M4)&lt;4,"",SUM('연간'!J4:M4))),"")</f>
        <v/>
      </c>
      <c r="G56" s="36">
        <f>IFERROR((IF(COUNT('연간'!K62:N62)&lt;4,"",SUM('연간'!K62:N62)))/(IF(COUNT('연간'!K4:N4)&lt;4,"",SUM('연간'!K4:N4))),"")</f>
        <v/>
      </c>
      <c r="H56" s="35">
        <f>IFERROR(('연간'!T62)/('연간'!T4),"")</f>
        <v/>
      </c>
      <c r="I56" s="36">
        <f>IFERROR(('연간'!U62)/('연간'!U4),"")</f>
        <v/>
      </c>
      <c r="J56" s="36">
        <f>IFERROR(('연간'!V62)/('연간'!V4),"")</f>
        <v/>
      </c>
      <c r="K56" s="36">
        <f>IFERROR(('연간'!W62)/('연간'!W4),"")</f>
        <v/>
      </c>
      <c r="L56" s="36">
        <f>IFERROR(('연간'!X62)/('연간'!X4),"")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IFERROR(C9/(IF(COUNT('연간'!G26:J26)&lt;4,"",SUM('연간'!G26:J26)))*365,"")</f>
        <v/>
      </c>
      <c r="D60" s="49">
        <f>IFERROR(D9/(IF(COUNT('연간'!H26:K26)&lt;4,"",SUM('연간'!H26:K26)))*365,"")</f>
        <v/>
      </c>
      <c r="E60" s="49">
        <f>IFERROR(E9/(IF(COUNT('연간'!I26:L26)&lt;4,"",SUM('연간'!I26:L26)))*365,"")</f>
        <v/>
      </c>
      <c r="F60" s="49">
        <f>IFERROR(F9/(IF(COUNT('연간'!J26:M26)&lt;4,"",SUM('연간'!J26:M26)))*365,"")</f>
        <v/>
      </c>
      <c r="G60" s="49">
        <f>IFERROR(G9/(IF(COUNT('연간'!K26:N26)&lt;4,"",SUM('연간'!K26:N26)))*365,"")</f>
        <v/>
      </c>
      <c r="H60" s="48">
        <f>IFERROR(H9/('연간'!T26)*365,"")</f>
        <v/>
      </c>
      <c r="I60" s="49">
        <f>IFERROR(I9/('연간'!U26)*365,"")</f>
        <v/>
      </c>
      <c r="J60" s="49">
        <f>IFERROR(J9/('연간'!V26)*365,"")</f>
        <v/>
      </c>
      <c r="K60" s="49">
        <f>IFERROR(K9/('연간'!W26)*365,"")</f>
        <v/>
      </c>
      <c r="L60" s="49">
        <f>IFERROR(L9/('연간'!X26)*365,"")</f>
        <v/>
      </c>
    </row>
    <row r="61">
      <c r="A61" s="45" t="inlineStr">
        <is>
          <t>매입채무회전일수</t>
        </is>
      </c>
      <c r="B61" s="10" t="inlineStr">
        <is>
          <t>길수록 유리</t>
        </is>
      </c>
      <c r="C61" s="48">
        <f>IFERROR(C19/(IF(COUNT('연간'!G26:J26)&lt;4,"",SUM('연간'!G26:J26)))*365,"")</f>
        <v/>
      </c>
      <c r="D61" s="49">
        <f>IFERROR(D19/(IF(COUNT('연간'!H26:K26)&lt;4,"",SUM('연간'!H26:K26)))*365,"")</f>
        <v/>
      </c>
      <c r="E61" s="49">
        <f>IFERROR(E19/(IF(COUNT('연간'!I26:L26)&lt;4,"",SUM('연간'!I26:L26)))*365,"")</f>
        <v/>
      </c>
      <c r="F61" s="49">
        <f>IFERROR(F19/(IF(COUNT('연간'!J26:M26)&lt;4,"",SUM('연간'!J26:M26)))*365,"")</f>
        <v/>
      </c>
      <c r="G61" s="49">
        <f>IFERROR(G19/(IF(COUNT('연간'!K26:N26)&lt;4,"",SUM('연간'!K26:N26)))*365,"")</f>
        <v/>
      </c>
      <c r="H61" s="48">
        <f>IFERROR(H19/('연간'!T26)*365,"")</f>
        <v/>
      </c>
      <c r="I61" s="49">
        <f>IFERROR(I19/('연간'!U26)*365,"")</f>
        <v/>
      </c>
      <c r="J61" s="49">
        <f>IFERROR(J19/('연간'!V26)*365,"")</f>
        <v/>
      </c>
      <c r="K61" s="49">
        <f>IFERROR(K19/('연간'!W26)*365,"")</f>
        <v/>
      </c>
      <c r="L61" s="49">
        <f>IFERROR(L19/('연간'!X26)*365,"")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IF(C37="","",IFERROR(C37/(IF(COUNT('연간'!G62:J62)&lt;4,"",SUM('연간'!G62:J62))),""))</f>
        <v/>
      </c>
      <c r="D64" s="31">
        <f>IF(D37="","",IFERROR(D37/(IF(COUNT('연간'!H62:K62)&lt;4,"",SUM('연간'!H62:K62))),""))</f>
        <v/>
      </c>
      <c r="E64" s="31">
        <f>IF(E37="","",IFERROR(E37/(IF(COUNT('연간'!I62:L62)&lt;4,"",SUM('연간'!I62:L62))),""))</f>
        <v/>
      </c>
      <c r="F64" s="31">
        <f>IF(F37="","",IFERROR(F37/(IF(COUNT('연간'!J62:M62)&lt;4,"",SUM('연간'!J62:M62))),""))</f>
        <v/>
      </c>
      <c r="G64" s="31">
        <f>IF(G37="","",IFERROR(G37/(IF(COUNT('연간'!K62:N62)&lt;4,"",SUM('연간'!K62:N62))),""))</f>
        <v/>
      </c>
      <c r="H64" s="30">
        <f>IF(H37="","",IFERROR(H37/('연간'!T62),""))</f>
        <v/>
      </c>
      <c r="I64" s="31">
        <f>IF(I37="","",IFERROR(I37/('연간'!U62),""))</f>
        <v/>
      </c>
      <c r="J64" s="31">
        <f>IF(J37="","",IFERROR(J37/('연간'!V62),""))</f>
        <v/>
      </c>
      <c r="K64" s="31">
        <f>IF(K37="","",IFERROR(K37/('연간'!W62),""))</f>
        <v/>
      </c>
      <c r="L64" s="31">
        <f>IF(L37="","",IFERROR(L37/('연간'!X62),""))</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IF(C40="","",IFERROR(C40/(IF(COUNT('연간'!G64:J64)&lt;4,"",SUM('연간'!G64:J64))),""))</f>
        <v/>
      </c>
      <c r="D67" s="36">
        <f>IF(D40="","",IFERROR(D40/(IF(COUNT('연간'!H64:K64)&lt;4,"",SUM('연간'!H64:K64))),""))</f>
        <v/>
      </c>
      <c r="E67" s="36">
        <f>IF(E40="","",IFERROR(E40/(IF(COUNT('연간'!I64:L64)&lt;4,"",SUM('연간'!I64:L64))),""))</f>
        <v/>
      </c>
      <c r="F67" s="36">
        <f>IF(F40="","",IFERROR(F40/(IF(COUNT('연간'!J64:M64)&lt;4,"",SUM('연간'!J64:M64))),""))</f>
        <v/>
      </c>
      <c r="G67" s="36">
        <f>IF(G40="","",IFERROR(G40/(IF(COUNT('연간'!K64:N64)&lt;4,"",SUM('연간'!K64:N64))),""))</f>
        <v/>
      </c>
      <c r="H67" s="35">
        <f>IF(H40="","",IFERROR(H40/('연간'!T64),""))</f>
        <v/>
      </c>
      <c r="I67" s="36">
        <f>IF(I40="","",IFERROR(I40/('연간'!U64),""))</f>
        <v/>
      </c>
      <c r="J67" s="36">
        <f>IF(J40="","",IFERROR(J40/('연간'!V64),""))</f>
        <v/>
      </c>
      <c r="K67" s="36">
        <f>IF(K40="","",IFERROR(K40/('연간'!W64),""))</f>
        <v/>
      </c>
      <c r="L67" s="36">
        <f>IF(L40="","",IFERROR(L40/('연간'!X64),""))</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2026.2Q</t>
        </is>
      </c>
      <c r="D70" s="5" t="inlineStr">
        <is>
          <t>2026.3Q</t>
        </is>
      </c>
      <c r="E70" s="5" t="inlineStr">
        <is>
          <t>2026.4Q</t>
        </is>
      </c>
      <c r="F70" s="5" t="inlineStr">
        <is>
          <t>2027.1Q</t>
        </is>
      </c>
      <c r="G70" s="5" t="inlineStr">
        <is>
          <t>2027.2Q</t>
        </is>
      </c>
      <c r="H70" s="5" t="inlineStr">
        <is>
          <t>2022</t>
        </is>
      </c>
      <c r="I70" s="5" t="inlineStr">
        <is>
          <t>2023</t>
        </is>
      </c>
      <c r="J70" s="5" t="inlineStr">
        <is>
          <t>2024</t>
        </is>
      </c>
      <c r="K70" s="5" t="inlineStr">
        <is>
          <t>2025</t>
        </is>
      </c>
      <c r="L70" s="5" t="inlineStr">
        <is>
          <t>2026</t>
        </is>
      </c>
    </row>
    <row r="71">
      <c r="A71" s="18" t="inlineStr">
        <is>
          <t>현금및현금성자산</t>
        </is>
      </c>
      <c r="C71" s="20" t="n">
        <v>298196</v>
      </c>
      <c r="D71" s="20" t="n">
        <v>329322</v>
      </c>
      <c r="E71" s="20" t="n">
        <v>339966</v>
      </c>
      <c r="F71" s="20" t="n">
        <v>413124</v>
      </c>
      <c r="G71" s="20" t="n">
        <v>401785</v>
      </c>
      <c r="H71" s="20" t="n">
        <v>116582</v>
      </c>
      <c r="I71" s="20" t="n">
        <v>85537</v>
      </c>
      <c r="J71" s="20" t="n">
        <v>106702</v>
      </c>
      <c r="K71" s="20" t="n">
        <v>262544</v>
      </c>
      <c r="L71" s="20" t="n">
        <v>339966</v>
      </c>
    </row>
    <row r="72">
      <c r="A72" s="18" t="inlineStr">
        <is>
          <t>영업채권 및 기타채권</t>
        </is>
      </c>
      <c r="C72" s="20" t="n">
        <v>163652</v>
      </c>
      <c r="D72" s="20" t="n">
        <v>143318</v>
      </c>
      <c r="E72" s="20" t="n">
        <v>228731</v>
      </c>
      <c r="F72" s="20" t="n">
        <v>178497</v>
      </c>
      <c r="G72" s="20" t="n">
        <v>239468</v>
      </c>
      <c r="H72" s="20" t="n">
        <v>82155</v>
      </c>
      <c r="I72" s="20" t="n">
        <v>102152</v>
      </c>
      <c r="J72" s="20" t="n">
        <v>88855</v>
      </c>
      <c r="K72" s="20" t="n">
        <v>113031</v>
      </c>
      <c r="L72" s="20" t="n">
        <v>228731</v>
      </c>
    </row>
    <row r="73">
      <c r="A73" s="18" t="inlineStr">
        <is>
          <t>재고자산</t>
        </is>
      </c>
      <c r="C73" s="20" t="n">
        <v>210038</v>
      </c>
      <c r="D73" s="20" t="n">
        <v>222464</v>
      </c>
      <c r="E73" s="20" t="n">
        <v>231718</v>
      </c>
      <c r="F73" s="20" t="n">
        <v>273654</v>
      </c>
      <c r="G73" s="20" t="n">
        <v>352426</v>
      </c>
      <c r="H73" s="20" t="n">
        <v>95013</v>
      </c>
      <c r="I73" s="20" t="n">
        <v>169082</v>
      </c>
      <c r="J73" s="20" t="n">
        <v>204389</v>
      </c>
      <c r="K73" s="20" t="n">
        <v>209707</v>
      </c>
      <c r="L73" s="20" t="n">
        <v>231718</v>
      </c>
    </row>
    <row r="74">
      <c r="A74" s="18" t="inlineStr">
        <is>
          <t>기타유동자산</t>
        </is>
      </c>
      <c r="C74" s="20" t="n">
        <v>22225</v>
      </c>
      <c r="D74" s="20" t="n">
        <v>22997</v>
      </c>
      <c r="E74" s="20" t="n">
        <v>35992</v>
      </c>
      <c r="F74" s="20" t="n">
        <v>25539</v>
      </c>
      <c r="G74" s="20" t="n">
        <v>39528</v>
      </c>
      <c r="H74" s="20" t="n">
        <v>11007</v>
      </c>
      <c r="I74" s="20" t="n">
        <v>17924</v>
      </c>
      <c r="J74" s="20" t="n">
        <v>20315</v>
      </c>
      <c r="K74" s="20" t="n">
        <v>14471</v>
      </c>
      <c r="L74" s="20" t="n">
        <v>35992</v>
      </c>
    </row>
    <row r="75">
      <c r="A75" s="9" t="inlineStr">
        <is>
          <t>(소계)</t>
        </is>
      </c>
      <c r="H75" s="12" t="n">
        <v>304757</v>
      </c>
      <c r="I75" s="12" t="n">
        <v>374695</v>
      </c>
    </row>
    <row r="76">
      <c r="A76" s="18" t="inlineStr">
        <is>
          <t>매각예정 자산</t>
        </is>
      </c>
      <c r="H76" s="20" t="n">
        <v>188</v>
      </c>
      <c r="I76" s="20" t="n">
        <v>0</v>
      </c>
    </row>
    <row r="77">
      <c r="A77" s="9" t="inlineStr">
        <is>
          <t>유동자산 합계</t>
        </is>
      </c>
      <c r="C77" s="12" t="n">
        <v>694111</v>
      </c>
      <c r="D77" s="12" t="n">
        <v>718101</v>
      </c>
      <c r="E77" s="12" t="n">
        <v>836407</v>
      </c>
      <c r="F77" s="12" t="n">
        <v>890814</v>
      </c>
      <c r="G77" s="12" t="n">
        <v>1033207</v>
      </c>
      <c r="H77" s="12" t="n">
        <v>304945</v>
      </c>
      <c r="I77" s="12" t="n">
        <v>374695</v>
      </c>
      <c r="J77" s="12" t="n">
        <v>420261</v>
      </c>
      <c r="K77" s="12" t="n">
        <v>599753</v>
      </c>
      <c r="L77" s="12" t="n">
        <v>836407</v>
      </c>
    </row>
    <row r="78">
      <c r="A78" s="18" t="inlineStr">
        <is>
          <t>유형자산</t>
        </is>
      </c>
      <c r="C78" s="20" t="n">
        <v>89993</v>
      </c>
      <c r="D78" s="20" t="n">
        <v>95719</v>
      </c>
      <c r="E78" s="20" t="n">
        <v>101628</v>
      </c>
      <c r="F78" s="20" t="n">
        <v>107707</v>
      </c>
      <c r="G78" s="20" t="n">
        <v>112196</v>
      </c>
      <c r="H78" s="20" t="n">
        <v>51392</v>
      </c>
      <c r="I78" s="20" t="n">
        <v>64046</v>
      </c>
      <c r="J78" s="20" t="n">
        <v>78884</v>
      </c>
      <c r="K78" s="20" t="n">
        <v>78602</v>
      </c>
      <c r="L78" s="20" t="n">
        <v>101628</v>
      </c>
    </row>
    <row r="79">
      <c r="A79" s="18" t="inlineStr">
        <is>
          <t>사용권자산</t>
        </is>
      </c>
      <c r="C79" s="20" t="n">
        <v>16009</v>
      </c>
      <c r="D79" s="20" t="n">
        <v>15304</v>
      </c>
      <c r="E79" s="20" t="n">
        <v>19947</v>
      </c>
      <c r="F79" s="20" t="n">
        <v>18981</v>
      </c>
      <c r="G79" s="20" t="n">
        <v>17510</v>
      </c>
      <c r="H79" s="20" t="n">
        <v>12645</v>
      </c>
      <c r="I79" s="20" t="n">
        <v>17312</v>
      </c>
      <c r="J79" s="20" t="n">
        <v>19106</v>
      </c>
      <c r="K79" s="20" t="n">
        <v>18338</v>
      </c>
      <c r="L79" s="20" t="n">
        <v>19947</v>
      </c>
    </row>
    <row r="80">
      <c r="A80" s="18" t="inlineStr">
        <is>
          <t>영업권 및 무형자산</t>
        </is>
      </c>
      <c r="C80" s="20" t="n">
        <v>78617</v>
      </c>
      <c r="D80" s="20" t="n">
        <v>82538</v>
      </c>
      <c r="E80" s="20" t="n">
        <v>84250</v>
      </c>
      <c r="F80" s="20" t="n">
        <v>85751</v>
      </c>
      <c r="G80" s="20" t="n">
        <v>82520</v>
      </c>
      <c r="H80" s="20" t="n">
        <v>85307</v>
      </c>
      <c r="I80" s="20" t="n">
        <v>95767</v>
      </c>
      <c r="J80" s="20" t="n">
        <v>98514</v>
      </c>
      <c r="K80" s="20" t="n">
        <v>78365</v>
      </c>
      <c r="L80" s="20" t="n">
        <v>84250</v>
      </c>
    </row>
    <row r="81">
      <c r="A81" s="18" t="inlineStr">
        <is>
          <t>투자유가증권</t>
        </is>
      </c>
      <c r="E81" s="20" t="n">
        <v>67927</v>
      </c>
      <c r="F81" s="20" t="n">
        <v>357737</v>
      </c>
      <c r="G81" s="20" t="n">
        <v>432586</v>
      </c>
      <c r="L81" s="20" t="n">
        <v>67927</v>
      </c>
    </row>
    <row r="82">
      <c r="A82" s="18" t="inlineStr">
        <is>
          <t>기타금융자산</t>
        </is>
      </c>
      <c r="C82" s="20" t="n">
        <v>43464</v>
      </c>
      <c r="D82" s="20" t="n">
        <v>61194</v>
      </c>
      <c r="E82" s="20" t="n">
        <v>4022</v>
      </c>
      <c r="F82" s="20" t="n">
        <v>4009</v>
      </c>
      <c r="G82" s="20" t="n">
        <v>4150</v>
      </c>
      <c r="H82" s="20" t="n">
        <v>14565</v>
      </c>
      <c r="I82" s="20" t="n">
        <v>21488</v>
      </c>
      <c r="J82" s="20" t="n">
        <v>20139</v>
      </c>
      <c r="K82" s="20" t="n">
        <v>30167</v>
      </c>
      <c r="L82" s="20" t="n">
        <v>4022</v>
      </c>
    </row>
    <row r="83">
      <c r="A83" s="18" t="inlineStr">
        <is>
          <t>이연법인세자산</t>
        </is>
      </c>
      <c r="C83" s="20" t="n">
        <v>48413</v>
      </c>
      <c r="D83" s="20" t="n">
        <v>46815</v>
      </c>
      <c r="E83" s="20" t="n">
        <v>55774</v>
      </c>
      <c r="F83" s="20" t="n">
        <v>47952</v>
      </c>
      <c r="G83" s="20" t="n">
        <v>47902</v>
      </c>
      <c r="H83" s="20" t="n">
        <v>25494</v>
      </c>
      <c r="I83" s="20" t="n">
        <v>26522</v>
      </c>
      <c r="J83" s="20" t="n">
        <v>33423</v>
      </c>
      <c r="K83" s="20" t="n">
        <v>47894</v>
      </c>
      <c r="L83" s="20" t="n">
        <v>55774</v>
      </c>
    </row>
    <row r="84">
      <c r="A84" s="18" t="inlineStr">
        <is>
          <t>기타비유동자산</t>
        </is>
      </c>
      <c r="C84" s="20" t="n">
        <v>934</v>
      </c>
      <c r="D84" s="20" t="n">
        <v>844</v>
      </c>
      <c r="E84" s="20" t="n">
        <v>1861</v>
      </c>
      <c r="F84" s="20" t="n">
        <v>1701</v>
      </c>
      <c r="G84" s="20" t="n">
        <v>2009</v>
      </c>
      <c r="H84" s="20" t="n">
        <v>348</v>
      </c>
      <c r="I84" s="20" t="n">
        <v>394</v>
      </c>
      <c r="J84" s="20" t="n">
        <v>902</v>
      </c>
      <c r="K84" s="20" t="n">
        <v>1091</v>
      </c>
      <c r="L84" s="20" t="n">
        <v>1861</v>
      </c>
    </row>
    <row r="85">
      <c r="A85" s="18" t="inlineStr">
        <is>
          <t>비유동자산 합계</t>
        </is>
      </c>
      <c r="C85" s="20" t="n">
        <v>277430</v>
      </c>
      <c r="D85" s="20" t="n">
        <v>302414</v>
      </c>
      <c r="E85" s="20" t="n">
        <v>335409</v>
      </c>
      <c r="F85" s="20" t="n">
        <v>623838</v>
      </c>
      <c r="G85" s="20" t="n">
        <v>698873</v>
      </c>
      <c r="H85" s="20" t="n">
        <v>189751</v>
      </c>
      <c r="I85" s="20" t="n">
        <v>225529</v>
      </c>
      <c r="J85" s="20" t="n">
        <v>250968</v>
      </c>
      <c r="K85" s="20" t="n">
        <v>254457</v>
      </c>
      <c r="L85" s="20" t="n">
        <v>335409</v>
      </c>
    </row>
    <row r="86">
      <c r="A86" s="18" t="inlineStr">
        <is>
          <t>자산 합계</t>
        </is>
      </c>
      <c r="C86" s="20" t="n">
        <v>971541</v>
      </c>
      <c r="D86" s="20" t="n">
        <v>1020515</v>
      </c>
      <c r="E86" s="20" t="n">
        <v>1171816</v>
      </c>
      <c r="F86" s="20" t="n">
        <v>1514652</v>
      </c>
      <c r="G86" s="20" t="n">
        <v>1732080</v>
      </c>
      <c r="H86" s="20" t="n">
        <v>494696</v>
      </c>
      <c r="I86" s="20" t="n">
        <v>600224</v>
      </c>
      <c r="J86" s="20" t="n">
        <v>671229</v>
      </c>
      <c r="K86" s="20" t="n">
        <v>854210</v>
      </c>
      <c r="L86" s="20" t="n">
        <v>1171816</v>
      </c>
    </row>
    <row r="87">
      <c r="A87" s="18" t="inlineStr">
        <is>
          <t>영업채무 및 기타채무</t>
        </is>
      </c>
      <c r="C87" s="20" t="n">
        <v>117179</v>
      </c>
      <c r="D87" s="20" t="n">
        <v>106381</v>
      </c>
      <c r="E87" s="20" t="n">
        <v>142061</v>
      </c>
      <c r="F87" s="20" t="n">
        <v>154357</v>
      </c>
      <c r="G87" s="20" t="n">
        <v>188540</v>
      </c>
      <c r="H87" s="20" t="n">
        <v>70352</v>
      </c>
      <c r="I87" s="20" t="n">
        <v>89262</v>
      </c>
      <c r="J87" s="20" t="n">
        <v>76863</v>
      </c>
      <c r="K87" s="20" t="n">
        <v>107093</v>
      </c>
      <c r="L87" s="20" t="n">
        <v>142061</v>
      </c>
    </row>
    <row r="88">
      <c r="A88" s="18" t="inlineStr">
        <is>
          <t>차입금</t>
        </is>
      </c>
      <c r="C88" s="20" t="n">
        <v>74888</v>
      </c>
      <c r="D88" s="20" t="n">
        <v>75651</v>
      </c>
      <c r="E88" s="20" t="n">
        <v>0</v>
      </c>
      <c r="H88" s="20" t="n">
        <v>18359</v>
      </c>
      <c r="I88" s="20" t="n">
        <v>13357</v>
      </c>
      <c r="J88" s="20" t="n">
        <v>0</v>
      </c>
      <c r="K88" s="20" t="n">
        <v>74952</v>
      </c>
      <c r="L88" s="20" t="n">
        <v>0</v>
      </c>
    </row>
    <row r="89">
      <c r="A89" s="18" t="inlineStr">
        <is>
          <t>미지급법인세</t>
        </is>
      </c>
      <c r="C89" s="20" t="n">
        <v>63654</v>
      </c>
      <c r="D89" s="20" t="n">
        <v>59791</v>
      </c>
      <c r="E89" s="20" t="n">
        <v>112455</v>
      </c>
      <c r="F89" s="20" t="n">
        <v>61370</v>
      </c>
      <c r="G89" s="20" t="n">
        <v>136857</v>
      </c>
      <c r="H89" s="20" t="n">
        <v>26814</v>
      </c>
      <c r="I89" s="20" t="n">
        <v>30635</v>
      </c>
      <c r="J89" s="20" t="n">
        <v>10262</v>
      </c>
      <c r="K89" s="20" t="n">
        <v>73023</v>
      </c>
      <c r="L89" s="20" t="n">
        <v>112455</v>
      </c>
    </row>
    <row r="90">
      <c r="A90" s="18" t="inlineStr">
        <is>
          <t>충당금</t>
        </is>
      </c>
      <c r="C90" s="20" t="n">
        <v>14317</v>
      </c>
      <c r="D90" s="20" t="n">
        <v>14627</v>
      </c>
      <c r="E90" s="20" t="n">
        <v>15538</v>
      </c>
      <c r="F90" s="20" t="n">
        <v>15984</v>
      </c>
      <c r="G90" s="20" t="n">
        <v>17494</v>
      </c>
      <c r="H90" s="20" t="n">
        <v>6536</v>
      </c>
      <c r="I90" s="20" t="n">
        <v>9093</v>
      </c>
      <c r="J90" s="20" t="n">
        <v>8668</v>
      </c>
      <c r="K90" s="20" t="n">
        <v>12454</v>
      </c>
      <c r="L90" s="20" t="n">
        <v>15538</v>
      </c>
    </row>
    <row r="91">
      <c r="A91" s="18" t="inlineStr">
        <is>
          <t>리스부채</t>
        </is>
      </c>
      <c r="C91" s="20" t="n">
        <v>4464</v>
      </c>
      <c r="D91" s="20" t="n">
        <v>4403</v>
      </c>
      <c r="E91" s="20" t="n">
        <v>4966</v>
      </c>
      <c r="F91" s="20" t="n">
        <v>4977</v>
      </c>
      <c r="G91" s="20" t="n">
        <v>4820</v>
      </c>
      <c r="H91" s="20" t="n">
        <v>2918</v>
      </c>
      <c r="I91" s="20" t="n">
        <v>4587</v>
      </c>
      <c r="J91" s="20" t="n">
        <v>5147</v>
      </c>
      <c r="K91" s="20" t="n">
        <v>5046</v>
      </c>
      <c r="L91" s="20" t="n">
        <v>4966</v>
      </c>
    </row>
    <row r="92">
      <c r="A92" s="18" t="inlineStr">
        <is>
          <t>기타금융부채</t>
        </is>
      </c>
      <c r="C92" s="20" t="n">
        <v>6443</v>
      </c>
      <c r="D92" s="20" t="n">
        <v>11735</v>
      </c>
      <c r="E92" s="20" t="n">
        <v>12508</v>
      </c>
      <c r="F92" s="20" t="n">
        <v>17097</v>
      </c>
      <c r="G92" s="20" t="n">
        <v>12873</v>
      </c>
      <c r="H92" s="20" t="n">
        <v>3276</v>
      </c>
      <c r="I92" s="20" t="n">
        <v>4903</v>
      </c>
      <c r="J92" s="20" t="n">
        <v>1868</v>
      </c>
      <c r="K92" s="20" t="n">
        <v>5790</v>
      </c>
      <c r="L92" s="20" t="n">
        <v>12508</v>
      </c>
    </row>
    <row r="93">
      <c r="A93" s="18" t="inlineStr">
        <is>
          <t>기타유동부채</t>
        </is>
      </c>
      <c r="C93" s="20" t="n">
        <v>42619</v>
      </c>
      <c r="D93" s="20" t="n">
        <v>34788</v>
      </c>
      <c r="E93" s="20" t="n">
        <v>42756</v>
      </c>
      <c r="F93" s="20" t="n">
        <v>80397</v>
      </c>
      <c r="G93" s="20" t="n">
        <v>87924</v>
      </c>
      <c r="H93" s="20" t="n">
        <v>22627</v>
      </c>
      <c r="I93" s="20" t="n">
        <v>22852</v>
      </c>
      <c r="J93" s="20" t="n">
        <v>23469</v>
      </c>
      <c r="K93" s="20" t="n">
        <v>31066</v>
      </c>
      <c r="L93" s="20" t="n">
        <v>42756</v>
      </c>
    </row>
    <row r="94">
      <c r="A94" s="18" t="inlineStr">
        <is>
          <t>유동부채 합계</t>
        </is>
      </c>
      <c r="C94" s="20" t="n">
        <v>323564</v>
      </c>
      <c r="D94" s="20" t="n">
        <v>307376</v>
      </c>
      <c r="E94" s="20" t="n">
        <v>330284</v>
      </c>
      <c r="F94" s="20" t="n">
        <v>334182</v>
      </c>
      <c r="G94" s="20" t="n">
        <v>448508</v>
      </c>
      <c r="H94" s="20" t="n">
        <v>150882</v>
      </c>
      <c r="I94" s="20" t="n">
        <v>174689</v>
      </c>
      <c r="J94" s="20" t="n">
        <v>126277</v>
      </c>
      <c r="K94" s="20" t="n">
        <v>309424</v>
      </c>
      <c r="L94" s="20" t="n">
        <v>330284</v>
      </c>
    </row>
    <row r="95">
      <c r="A95" s="18" t="inlineStr">
        <is>
          <t>차입금</t>
        </is>
      </c>
      <c r="C95" s="20" t="n">
        <v>0</v>
      </c>
      <c r="D95" s="20" t="n">
        <v>0</v>
      </c>
      <c r="E95" s="20" t="n">
        <v>0</v>
      </c>
      <c r="H95" s="20" t="n">
        <v>12239</v>
      </c>
      <c r="I95" s="20" t="n">
        <v>20000</v>
      </c>
      <c r="J95" s="20" t="n">
        <v>75143</v>
      </c>
      <c r="K95" s="20" t="n">
        <v>3</v>
      </c>
      <c r="L95" s="20" t="n">
        <v>0</v>
      </c>
    </row>
    <row r="96">
      <c r="A96" s="18" t="inlineStr">
        <is>
          <t>사채</t>
        </is>
      </c>
      <c r="E96" s="20" t="n">
        <v>0</v>
      </c>
      <c r="F96" s="20" t="n">
        <v>88930</v>
      </c>
      <c r="G96" s="20" t="n">
        <v>89486</v>
      </c>
      <c r="L96" s="20" t="n">
        <v>0</v>
      </c>
    </row>
    <row r="97">
      <c r="A97" s="18" t="inlineStr">
        <is>
          <t>리스부채</t>
        </is>
      </c>
      <c r="C97" s="20" t="n">
        <v>11786</v>
      </c>
      <c r="D97" s="20" t="n">
        <v>11149</v>
      </c>
      <c r="E97" s="20" t="n">
        <v>15226</v>
      </c>
      <c r="F97" s="20" t="n">
        <v>14259</v>
      </c>
      <c r="G97" s="20" t="n">
        <v>12940</v>
      </c>
      <c r="H97" s="20" t="n">
        <v>9947</v>
      </c>
      <c r="I97" s="20" t="n">
        <v>12900</v>
      </c>
      <c r="J97" s="20" t="n">
        <v>14153</v>
      </c>
      <c r="K97" s="20" t="n">
        <v>13502</v>
      </c>
      <c r="L97" s="20" t="n">
        <v>15226</v>
      </c>
    </row>
    <row r="98">
      <c r="A98" s="18" t="inlineStr">
        <is>
          <t>퇴직급여부채</t>
        </is>
      </c>
      <c r="C98" s="20" t="n">
        <v>18045</v>
      </c>
      <c r="D98" s="20" t="n">
        <v>18354</v>
      </c>
      <c r="E98" s="20" t="n">
        <v>20222</v>
      </c>
      <c r="F98" s="20" t="n">
        <v>20021</v>
      </c>
      <c r="G98" s="20" t="n">
        <v>19794</v>
      </c>
      <c r="H98" s="20" t="n">
        <v>22341</v>
      </c>
      <c r="I98" s="20" t="n">
        <v>16812</v>
      </c>
      <c r="J98" s="20" t="n">
        <v>19134</v>
      </c>
      <c r="K98" s="20" t="n">
        <v>17614</v>
      </c>
      <c r="L98" s="20" t="n">
        <v>20222</v>
      </c>
    </row>
    <row r="99">
      <c r="A99" s="18" t="inlineStr">
        <is>
          <t>이연법인세부채</t>
        </is>
      </c>
      <c r="C99" s="20" t="n">
        <v>5071</v>
      </c>
      <c r="D99" s="20" t="n">
        <v>5702</v>
      </c>
      <c r="E99" s="20" t="n">
        <v>6444</v>
      </c>
      <c r="F99" s="20" t="n">
        <v>11179</v>
      </c>
      <c r="G99" s="20" t="n">
        <v>12907</v>
      </c>
      <c r="H99" s="20" t="n">
        <v>3445</v>
      </c>
      <c r="I99" s="20" t="n">
        <v>5773</v>
      </c>
      <c r="J99" s="20" t="n">
        <v>3934</v>
      </c>
      <c r="K99" s="20" t="n">
        <v>4709</v>
      </c>
      <c r="L99" s="20" t="n">
        <v>6444</v>
      </c>
    </row>
    <row r="100">
      <c r="A100" s="18" t="inlineStr">
        <is>
          <t>기타비유동부채</t>
        </is>
      </c>
      <c r="C100" s="20" t="n">
        <v>2735</v>
      </c>
      <c r="D100" s="20" t="n">
        <v>3635</v>
      </c>
      <c r="E100" s="20" t="n">
        <v>3914</v>
      </c>
      <c r="F100" s="20" t="n">
        <v>3439</v>
      </c>
      <c r="G100" s="20" t="n">
        <v>3310</v>
      </c>
      <c r="H100" s="20" t="n">
        <v>1221</v>
      </c>
      <c r="I100" s="20" t="n">
        <v>1356</v>
      </c>
      <c r="J100" s="20" t="n">
        <v>1410</v>
      </c>
      <c r="K100" s="20" t="n">
        <v>2419</v>
      </c>
      <c r="L100" s="20" t="n">
        <v>3914</v>
      </c>
    </row>
    <row r="101">
      <c r="A101" s="18" t="inlineStr">
        <is>
          <t>비유동부채 합계</t>
        </is>
      </c>
      <c r="C101" s="20" t="n">
        <v>37637</v>
      </c>
      <c r="D101" s="20" t="n">
        <v>38840</v>
      </c>
      <c r="E101" s="20" t="n">
        <v>45806</v>
      </c>
      <c r="F101" s="20" t="n">
        <v>137828</v>
      </c>
      <c r="G101" s="20" t="n">
        <v>138437</v>
      </c>
      <c r="H101" s="20" t="n">
        <v>49193</v>
      </c>
      <c r="I101" s="20" t="n">
        <v>56841</v>
      </c>
      <c r="J101" s="20" t="n">
        <v>113774</v>
      </c>
      <c r="K101" s="20" t="n">
        <v>38247</v>
      </c>
      <c r="L101" s="20" t="n">
        <v>45806</v>
      </c>
    </row>
    <row r="102">
      <c r="A102" s="18" t="inlineStr">
        <is>
          <t>부채 합계</t>
        </is>
      </c>
      <c r="C102" s="20" t="n">
        <v>361201</v>
      </c>
      <c r="D102" s="20" t="n">
        <v>346216</v>
      </c>
      <c r="E102" s="20" t="n">
        <v>376090</v>
      </c>
      <c r="F102" s="20" t="n">
        <v>472010</v>
      </c>
      <c r="G102" s="20" t="n">
        <v>586945</v>
      </c>
      <c r="H102" s="20" t="n">
        <v>200075</v>
      </c>
      <c r="I102" s="20" t="n">
        <v>231530</v>
      </c>
      <c r="J102" s="20" t="n">
        <v>240051</v>
      </c>
      <c r="K102" s="20" t="n">
        <v>347671</v>
      </c>
      <c r="L102" s="20" t="n">
        <v>376090</v>
      </c>
    </row>
    <row r="103">
      <c r="A103" s="18" t="inlineStr">
        <is>
          <t>자본금</t>
        </is>
      </c>
      <c r="C103" s="20" t="n">
        <v>32363</v>
      </c>
      <c r="D103" s="20" t="n">
        <v>32363</v>
      </c>
      <c r="E103" s="20" t="n">
        <v>32363</v>
      </c>
      <c r="F103" s="20" t="n">
        <v>32363</v>
      </c>
      <c r="G103" s="20" t="n">
        <v>32363</v>
      </c>
      <c r="H103" s="20" t="n">
        <v>32363</v>
      </c>
      <c r="I103" s="20" t="n">
        <v>32363</v>
      </c>
      <c r="J103" s="20" t="n">
        <v>32363</v>
      </c>
      <c r="K103" s="20" t="n">
        <v>32363</v>
      </c>
      <c r="L103" s="20" t="n">
        <v>32363</v>
      </c>
    </row>
    <row r="104">
      <c r="A104" s="18" t="inlineStr">
        <is>
          <t>자본잉여금</t>
        </is>
      </c>
      <c r="C104" s="20" t="n">
        <v>48354</v>
      </c>
      <c r="D104" s="20" t="n">
        <v>49492</v>
      </c>
      <c r="E104" s="20" t="n">
        <v>52462</v>
      </c>
      <c r="F104" s="20" t="n">
        <v>61388</v>
      </c>
      <c r="G104" s="20" t="n">
        <v>62108</v>
      </c>
      <c r="H104" s="20" t="n">
        <v>44995</v>
      </c>
      <c r="I104" s="20" t="n">
        <v>44622</v>
      </c>
      <c r="J104" s="20" t="n">
        <v>45441</v>
      </c>
      <c r="K104" s="20" t="n">
        <v>46665</v>
      </c>
      <c r="L104" s="20" t="n">
        <v>52462</v>
      </c>
    </row>
    <row r="105">
      <c r="A105" s="18" t="inlineStr">
        <is>
          <t>자기주식</t>
        </is>
      </c>
      <c r="C105" s="20" t="n">
        <v>-173107</v>
      </c>
      <c r="D105" s="20" t="n">
        <v>-196550</v>
      </c>
      <c r="E105" s="20" t="n">
        <v>-44372</v>
      </c>
      <c r="F105" s="20" t="n">
        <v>-86414</v>
      </c>
      <c r="G105" s="20" t="n">
        <v>-148066</v>
      </c>
      <c r="H105" s="20" t="n">
        <v>-81547</v>
      </c>
      <c r="I105" s="20" t="n">
        <v>-59099</v>
      </c>
      <c r="J105" s="20" t="n">
        <v>-56353</v>
      </c>
      <c r="K105" s="20" t="n">
        <v>-104193</v>
      </c>
      <c r="L105" s="20" t="n">
        <v>-44372</v>
      </c>
    </row>
    <row r="106">
      <c r="A106" s="18" t="inlineStr">
        <is>
          <t>이익잉여금</t>
        </is>
      </c>
      <c r="C106" s="20" t="n">
        <v>644478</v>
      </c>
      <c r="D106" s="20" t="n">
        <v>701965</v>
      </c>
      <c r="E106" s="20" t="n">
        <v>655566</v>
      </c>
      <c r="F106" s="20" t="n">
        <v>816018</v>
      </c>
      <c r="G106" s="20" t="n">
        <v>1007814</v>
      </c>
      <c r="H106" s="20" t="n">
        <v>279828</v>
      </c>
      <c r="I106" s="20" t="n">
        <v>319171</v>
      </c>
      <c r="J106" s="20" t="n">
        <v>355299</v>
      </c>
      <c r="K106" s="20" t="n">
        <v>489850</v>
      </c>
      <c r="L106" s="20" t="n">
        <v>655566</v>
      </c>
    </row>
    <row r="107">
      <c r="A107" s="18" t="inlineStr">
        <is>
          <t>기타자본구성요소</t>
        </is>
      </c>
      <c r="C107" s="20" t="n">
        <v>58252</v>
      </c>
      <c r="D107" s="20" t="n">
        <v>87029</v>
      </c>
      <c r="E107" s="20" t="n">
        <v>99707</v>
      </c>
      <c r="F107" s="20" t="n">
        <v>219287</v>
      </c>
      <c r="G107" s="20" t="n">
        <v>190916</v>
      </c>
      <c r="H107" s="20" t="n">
        <v>18982</v>
      </c>
      <c r="I107" s="20" t="n">
        <v>31637</v>
      </c>
      <c r="J107" s="20" t="n">
        <v>54428</v>
      </c>
      <c r="K107" s="20" t="n">
        <v>41854</v>
      </c>
      <c r="L107" s="20" t="n">
        <v>99707</v>
      </c>
    </row>
    <row r="108">
      <c r="A108" s="18" t="inlineStr">
        <is>
          <t>지배기업 소유주 귀속 지분 합계</t>
        </is>
      </c>
      <c r="C108" s="20" t="n">
        <v>610340</v>
      </c>
      <c r="D108" s="20" t="n">
        <v>674299</v>
      </c>
      <c r="E108" s="20" t="n">
        <v>795726</v>
      </c>
      <c r="F108" s="20" t="n">
        <v>1042642</v>
      </c>
      <c r="G108" s="20" t="n">
        <v>1145135</v>
      </c>
      <c r="H108" s="20" t="n">
        <v>294621</v>
      </c>
      <c r="I108" s="20" t="n">
        <v>368694</v>
      </c>
      <c r="J108" s="20" t="n">
        <v>431178</v>
      </c>
      <c r="K108" s="20" t="n">
        <v>506539</v>
      </c>
      <c r="L108" s="20" t="n">
        <v>795726</v>
      </c>
    </row>
    <row r="109">
      <c r="A109" s="18" t="inlineStr">
        <is>
          <t>자본 합계</t>
        </is>
      </c>
      <c r="C109" s="20" t="n">
        <v>610340</v>
      </c>
      <c r="D109" s="20" t="n">
        <v>674299</v>
      </c>
      <c r="E109" s="20" t="n">
        <v>795726</v>
      </c>
      <c r="F109" s="20" t="n">
        <v>1042642</v>
      </c>
      <c r="G109" s="20" t="n">
        <v>1145135</v>
      </c>
      <c r="H109" s="20" t="n">
        <v>294621</v>
      </c>
      <c r="I109" s="20" t="n">
        <v>368694</v>
      </c>
      <c r="J109" s="20" t="n">
        <v>431178</v>
      </c>
      <c r="K109" s="20" t="n">
        <v>506539</v>
      </c>
      <c r="L109" s="20" t="n">
        <v>795726</v>
      </c>
    </row>
    <row r="110">
      <c r="A110" s="18" t="inlineStr">
        <is>
          <t>부채및자본 합계</t>
        </is>
      </c>
      <c r="C110" s="20" t="n">
        <v>971541</v>
      </c>
      <c r="D110" s="20" t="n">
        <v>1020515</v>
      </c>
      <c r="E110" s="20" t="n">
        <v>1171816</v>
      </c>
      <c r="F110" s="20" t="n">
        <v>1514652</v>
      </c>
      <c r="G110" s="20" t="n">
        <v>1732080</v>
      </c>
      <c r="H110" s="20" t="n">
        <v>494696</v>
      </c>
      <c r="I110" s="20" t="n">
        <v>600224</v>
      </c>
      <c r="J110" s="20" t="n">
        <v>671229</v>
      </c>
      <c r="K110" s="20" t="n">
        <v>854210</v>
      </c>
      <c r="L110" s="20" t="n">
        <v>1171816</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3"/>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1" t="inlineStr">
        <is>
          <t>공시일</t>
        </is>
      </c>
      <c r="B3" s="51" t="inlineStr">
        <is>
          <t>문서</t>
        </is>
      </c>
      <c r="C3" s="51" t="inlineStr">
        <is>
          <t>PDF</t>
        </is>
      </c>
    </row>
    <row r="4">
      <c r="A4" t="inlineStr">
        <is>
          <t>2026-10-28</t>
        </is>
      </c>
      <c r="B4" t="inlineStr">
        <is>
          <t>2027년 3월 결산기 2분기 결산단신</t>
        </is>
      </c>
      <c r="C4" t="inlineStr">
        <is>
          <t>https://www2.jpx.co.jp/disc/68570/140120261028557599.pdf</t>
        </is>
      </c>
    </row>
    <row r="5">
      <c r="A5" t="inlineStr">
        <is>
          <t>2026-07-29</t>
        </is>
      </c>
      <c r="B5" t="inlineStr">
        <is>
          <t>2027년 3월 결산기 1분기 결산단신</t>
        </is>
      </c>
      <c r="C5" t="inlineStr">
        <is>
          <t>https://www2.jpx.co.jp/disc/68570/140120260728500866.pdf</t>
        </is>
      </c>
    </row>
    <row r="6">
      <c r="A6" t="inlineStr">
        <is>
          <t>2026-04-27</t>
        </is>
      </c>
      <c r="B6" t="inlineStr">
        <is>
          <t>2026년 3월 결산기 연간 결산단신</t>
        </is>
      </c>
      <c r="C6" t="inlineStr">
        <is>
          <t>https://www2.jpx.co.jp/disc/68570/140120260427511547.pdf</t>
        </is>
      </c>
    </row>
    <row r="7">
      <c r="A7" t="inlineStr">
        <is>
          <t>2026-01-28</t>
        </is>
      </c>
      <c r="B7" t="inlineStr">
        <is>
          <t>2026년 3월 결산기 3분기 결산단신</t>
        </is>
      </c>
      <c r="C7" t="inlineStr">
        <is>
          <t>https://www2.jpx.co.jp/disc/68570/140120260128539835.pdf</t>
        </is>
      </c>
    </row>
    <row r="8">
      <c r="A8" t="inlineStr">
        <is>
          <t>2025-10-28</t>
        </is>
      </c>
      <c r="B8" t="inlineStr">
        <is>
          <t>2026년 3월 결산기 2분기 결산단신</t>
        </is>
      </c>
      <c r="C8" t="inlineStr">
        <is>
          <t>https://www2.jpx.co.jp/disc/68570/140120251028579861.pdf</t>
        </is>
      </c>
    </row>
    <row r="9">
      <c r="A9" t="inlineStr">
        <is>
          <t>2025-07-29</t>
        </is>
      </c>
      <c r="B9" t="inlineStr">
        <is>
          <t>2026년 3월 결산기 1분기 결산단신</t>
        </is>
      </c>
      <c r="C9" t="inlineStr">
        <is>
          <t>https://www2.jpx.co.jp/disc/68570/140120250728521999.pdf</t>
        </is>
      </c>
    </row>
    <row r="10">
      <c r="A10" t="inlineStr">
        <is>
          <t>2025-04-25</t>
        </is>
      </c>
      <c r="B10" t="inlineStr">
        <is>
          <t>2025년 3월 결산기 연간 결산단신</t>
        </is>
      </c>
      <c r="C10" t="inlineStr">
        <is>
          <t>https://www2.jpx.co.jp/disc/68570/140120250424523309.pdf</t>
        </is>
      </c>
    </row>
    <row r="11">
      <c r="A11" t="inlineStr">
        <is>
          <t>2025-01-29</t>
        </is>
      </c>
      <c r="B11" t="inlineStr">
        <is>
          <t>2025년 3월 결산기 3분기 결산단신</t>
        </is>
      </c>
      <c r="C11" t="inlineStr">
        <is>
          <t>https://www2.jpx.co.jp/disc/68570/140120250128556182.pdf</t>
        </is>
      </c>
    </row>
    <row r="12">
      <c r="A12" t="inlineStr">
        <is>
          <t>2024-10-30</t>
        </is>
      </c>
      <c r="B12" t="inlineStr">
        <is>
          <t>2025년 3월 결산기 2분기 결산단신</t>
        </is>
      </c>
      <c r="C12" t="inlineStr">
        <is>
          <t>https://www2.jpx.co.jp/disc/68570/140120241029504544.pdf</t>
        </is>
      </c>
    </row>
    <row r="13">
      <c r="A13" t="inlineStr">
        <is>
          <t>2024-07-31</t>
        </is>
      </c>
      <c r="B13" t="inlineStr">
        <is>
          <t>2025년 3월 결산기 1분기 결산단신</t>
        </is>
      </c>
      <c r="C13" t="inlineStr">
        <is>
          <t>https://www2.jpx.co.jp/disc/68570/140120240730557905.pdf</t>
        </is>
      </c>
    </row>
    <row r="14">
      <c r="A14" t="inlineStr">
        <is>
          <t>2024-04-26</t>
        </is>
      </c>
      <c r="B14" t="inlineStr">
        <is>
          <t>2024년 3월 결산기 연간 결산단신</t>
        </is>
      </c>
      <c r="C14" t="inlineStr">
        <is>
          <t>https://www2.jpx.co.jp/disc/68570/140120240425577460.pdf</t>
        </is>
      </c>
    </row>
    <row r="15">
      <c r="A15" t="inlineStr">
        <is>
          <t>2024-01-31</t>
        </is>
      </c>
      <c r="B15" t="inlineStr">
        <is>
          <t>2024년 3월 결산기 3분기 결산단신</t>
        </is>
      </c>
      <c r="C15" t="inlineStr">
        <is>
          <t>https://www2.jpx.co.jp/disc/68570/140120240129521020.pdf</t>
        </is>
      </c>
    </row>
    <row r="16">
      <c r="A16" t="inlineStr">
        <is>
          <t>2023-10-31</t>
        </is>
      </c>
      <c r="B16" t="inlineStr">
        <is>
          <t>2024년 3월 결산기 2분기 결산단신</t>
        </is>
      </c>
      <c r="C16" t="inlineStr">
        <is>
          <t>https://www2.jpx.co.jp/disc/68570/140120231030575040.pdf</t>
        </is>
      </c>
    </row>
    <row r="17">
      <c r="A17" t="inlineStr">
        <is>
          <t>2023-07-26</t>
        </is>
      </c>
      <c r="B17" t="inlineStr">
        <is>
          <t>2024년 3월 결산기 1분기 결산단신</t>
        </is>
      </c>
      <c r="C17" t="inlineStr">
        <is>
          <t>https://www2.jpx.co.jp/disc/68570/140120230725526530.pdf</t>
        </is>
      </c>
    </row>
    <row r="18">
      <c r="A18" t="inlineStr">
        <is>
          <t>2023-04-26</t>
        </is>
      </c>
      <c r="B18" t="inlineStr">
        <is>
          <t>2023년 3월 결산기 연간 결산단신</t>
        </is>
      </c>
      <c r="C18" t="inlineStr">
        <is>
          <t>https://www2.jpx.co.jp/disc/68570/140120230425552430.pdf</t>
        </is>
      </c>
    </row>
    <row r="19">
      <c r="A19" t="inlineStr">
        <is>
          <t>2023-01-31</t>
        </is>
      </c>
      <c r="B19" t="inlineStr">
        <is>
          <t>2023년 3월 결산기 3분기 결산단신</t>
        </is>
      </c>
      <c r="C19" t="inlineStr">
        <is>
          <t>https://www2.jpx.co.jp/disc/68570/140120230130596594.pdf</t>
        </is>
      </c>
    </row>
    <row r="20">
      <c r="A20" t="inlineStr">
        <is>
          <t>2022-04-27</t>
        </is>
      </c>
      <c r="B20" t="inlineStr">
        <is>
          <t>2022년 3월 결산기 연간 결산단신</t>
        </is>
      </c>
      <c r="C20" t="inlineStr">
        <is>
          <t>https://www2.jpx.co.jp/disc/68570/140120220426527770.pdf</t>
        </is>
      </c>
    </row>
    <row r="21">
      <c r="A21" t="inlineStr">
        <is>
          <t>2021-04-27</t>
        </is>
      </c>
      <c r="B21" t="inlineStr">
        <is>
          <t>2021년 3월 결산기 연간 결산단신</t>
        </is>
      </c>
      <c r="C21" t="inlineStr">
        <is>
          <t>https://www2.jpx.co.jp/disc/68570/140120210426400718.pdf</t>
        </is>
      </c>
    </row>
    <row r="22">
      <c r="A22" t="inlineStr">
        <is>
          <t>2020-04-24</t>
        </is>
      </c>
      <c r="B22" t="inlineStr">
        <is>
          <t>2020년 3월 결산기 연간 결산단신</t>
        </is>
      </c>
      <c r="C22" t="inlineStr">
        <is>
          <t>https://www2.jpx.co.jp/disc/68570/140120200407490530.pdf</t>
        </is>
      </c>
    </row>
    <row r="23">
      <c r="A23" t="inlineStr">
        <is>
          <t>2019-04-25</t>
        </is>
      </c>
      <c r="B23" t="inlineStr">
        <is>
          <t>2019년 3월 결산기 연간 결산단신</t>
        </is>
      </c>
      <c r="C23" t="inlineStr">
        <is>
          <t>https://www2.jpx.co.jp/disc/68570/140120190414404430.pdf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2026-10-28T06:59:01Z</dcterms:created>
  <dcterms:modified xmlns:dcterms="http://purl.org/dc/terms/" xmlns:xsi="http://www.w3.org/2001/XMLSchema-instance" xsi:type="dcterms:W3CDTF">2026-10-28T06:59:02Z</dcterms:modified>
</cp:coreProperties>
</file>