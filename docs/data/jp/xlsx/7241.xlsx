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0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7241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198667</v>
      </c>
      <c r="D4" s="12" t="n">
        <v>206826</v>
      </c>
      <c r="E4" s="12" t="n">
        <v>185636</v>
      </c>
      <c r="F4" s="12" t="n">
        <v>186453</v>
      </c>
      <c r="G4" s="12" t="n">
        <v>162859</v>
      </c>
      <c r="H4" s="12" t="n">
        <v>177177</v>
      </c>
      <c r="I4" s="12" t="n">
        <v>180615</v>
      </c>
      <c r="J4" s="12" t="n">
        <v>163920</v>
      </c>
      <c r="K4" s="12" t="n">
        <v>165558</v>
      </c>
      <c r="L4" s="12" t="n">
        <v>173053</v>
      </c>
      <c r="M4" s="12" t="n">
        <v>175388</v>
      </c>
      <c r="N4" s="12" t="n">
        <v>175614</v>
      </c>
      <c r="O4" s="11" t="n">
        <v>412383</v>
      </c>
      <c r="P4" s="12" t="n">
        <v>440446</v>
      </c>
      <c r="Q4" s="12" t="n">
        <v>461705</v>
      </c>
      <c r="R4" s="12" t="n">
        <v>476165</v>
      </c>
      <c r="S4" s="12" t="n">
        <v>466809</v>
      </c>
      <c r="T4" s="12" t="n">
        <v>572118</v>
      </c>
      <c r="U4" s="12" t="n">
        <v>708072</v>
      </c>
      <c r="V4" s="12" t="n">
        <v>795802</v>
      </c>
      <c r="W4" s="12" t="n">
        <v>707104</v>
      </c>
      <c r="X4" s="12" t="n">
        <v>677919</v>
      </c>
      <c r="Y4" s="11">
        <f>IF(COUNT(Y7,Y10,Y13,Y16,Y19,Y22)=0,"",SUM(Y7,Y10,Y13,Y16,Y19,Y22))</f>
        <v/>
      </c>
      <c r="Z4" s="12">
        <f>IF(COUNT(Z7,Z10,Z13,Z16,Z19,Z22)=0,"",SUM(Z7,Z10,Z13,Z16,Z19,Z22))</f>
        <v/>
      </c>
      <c r="AA4" s="12">
        <f>IF(COUNT(AA7,AA10,AA13,AA16,AA19,AA22)=0,"",SUM(AA7,AA10,AA13,AA16,AA19,AA22))</f>
        <v/>
      </c>
      <c r="AB4" s="12">
        <f>IF(COUNT(AB7,AB10,AB13,AB16,AB19,AB22)=0,"",SUM(AB7,AB10,AB13,AB16,AB19,AB22))</f>
        <v/>
      </c>
      <c r="AC4" s="12">
        <f>IF(COUNT(AC7,AC10,AC13,AC16,AC19,AC22)=0,"",SUM(AC7,AC10,AC13,AC16,AC19,AC22))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JapanReportableSegmentsMember</t>
        </is>
      </c>
      <c r="B7" s="10" t="n"/>
      <c r="C7" s="19" t="n">
        <v>91884</v>
      </c>
      <c r="D7" s="20" t="n">
        <v>91499</v>
      </c>
      <c r="E7" s="20" t="n">
        <v>83158</v>
      </c>
      <c r="F7" s="20" t="n">
        <v>75913</v>
      </c>
      <c r="G7" s="20" t="n">
        <v>77430</v>
      </c>
      <c r="H7" s="20" t="n">
        <v>81188</v>
      </c>
      <c r="I7" s="20" t="n">
        <v>82850</v>
      </c>
      <c r="J7" s="20" t="n">
        <v>75249</v>
      </c>
      <c r="K7" s="20" t="n">
        <v>77342</v>
      </c>
      <c r="L7" s="20" t="n">
        <v>77578</v>
      </c>
      <c r="M7" s="20" t="n">
        <v>78336</v>
      </c>
      <c r="N7" s="20" t="n">
        <v>77046</v>
      </c>
      <c r="O7" s="19" t="n"/>
      <c r="P7" s="20" t="n"/>
      <c r="Q7" s="20" t="n"/>
      <c r="R7" s="20" t="n"/>
      <c r="S7" s="20" t="n"/>
      <c r="T7" s="20" t="n"/>
      <c r="U7" s="20" t="n"/>
      <c r="V7" s="20" t="n">
        <v>356737</v>
      </c>
      <c r="W7" s="20" t="n">
        <v>317381</v>
      </c>
      <c r="X7" s="20" t="n">
        <v>308505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NorthAmericaReportableSegmentsMember</t>
        </is>
      </c>
      <c r="B10" s="10" t="n"/>
      <c r="C10" s="19" t="n">
        <v>54118</v>
      </c>
      <c r="D10" s="20" t="n">
        <v>56400</v>
      </c>
      <c r="E10" s="20" t="n">
        <v>57360</v>
      </c>
      <c r="F10" s="20" t="n">
        <v>63255</v>
      </c>
      <c r="G10" s="20" t="n">
        <v>43221</v>
      </c>
      <c r="H10" s="20" t="n">
        <v>46406</v>
      </c>
      <c r="I10" s="20" t="n">
        <v>53411</v>
      </c>
      <c r="J10" s="20" t="n">
        <v>45165</v>
      </c>
      <c r="K10" s="20" t="n">
        <v>43206</v>
      </c>
      <c r="L10" s="20" t="n">
        <v>43597</v>
      </c>
      <c r="M10" s="20" t="n">
        <v>45793</v>
      </c>
      <c r="N10" s="20" t="n">
        <v>49517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222841</v>
      </c>
      <c r="W10" s="20" t="n">
        <v>206293</v>
      </c>
      <c r="X10" s="20" t="n">
        <v>177761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EuropeReportableSegmentsMember</t>
        </is>
      </c>
      <c r="B13" s="10" t="n"/>
      <c r="C13" s="19" t="n">
        <v>14729</v>
      </c>
      <c r="D13" s="20" t="n">
        <v>20126</v>
      </c>
      <c r="E13" s="20" t="n">
        <v>18578</v>
      </c>
      <c r="F13" s="20" t="n">
        <v>16815</v>
      </c>
      <c r="G13" s="20" t="n">
        <v>13229</v>
      </c>
      <c r="H13" s="20" t="n">
        <v>14992</v>
      </c>
      <c r="I13" s="20" t="n">
        <v>16570</v>
      </c>
      <c r="J13" s="20" t="n">
        <v>15538</v>
      </c>
      <c r="K13" s="20" t="n">
        <v>14401</v>
      </c>
      <c r="L13" s="20" t="n">
        <v>17650</v>
      </c>
      <c r="M13" s="20" t="n">
        <v>20469</v>
      </c>
      <c r="N13" s="20" t="n">
        <v>18239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74479</v>
      </c>
      <c r="W13" s="20" t="n">
        <v>61606</v>
      </c>
      <c r="X13" s="20" t="n">
        <v>68058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ChinaReportableSegmentMember</t>
        </is>
      </c>
      <c r="B16" s="10" t="n"/>
      <c r="C16" s="19" t="n">
        <v>21834</v>
      </c>
      <c r="D16" s="20" t="n">
        <v>24028</v>
      </c>
      <c r="E16" s="20" t="n">
        <v>14304</v>
      </c>
      <c r="F16" s="20" t="n">
        <v>16718</v>
      </c>
      <c r="G16" s="20" t="n">
        <v>17118</v>
      </c>
      <c r="H16" s="20" t="n">
        <v>21748</v>
      </c>
      <c r="I16" s="20" t="n">
        <v>14946</v>
      </c>
      <c r="J16" s="20" t="n">
        <v>15688</v>
      </c>
      <c r="K16" s="20" t="n">
        <v>17222</v>
      </c>
      <c r="L16" s="20" t="n">
        <v>17847</v>
      </c>
      <c r="M16" s="20" t="n">
        <v>11873</v>
      </c>
      <c r="N16" s="20" t="n">
        <v>10345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83293</v>
      </c>
      <c r="W16" s="20" t="n">
        <v>70530</v>
      </c>
      <c r="X16" s="20" t="n">
        <v>62630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AsiaReportableSegmentsMember</t>
        </is>
      </c>
      <c r="B19" s="10" t="n"/>
      <c r="C19" s="19" t="n">
        <v>16102</v>
      </c>
      <c r="D19" s="20" t="n">
        <v>14775</v>
      </c>
      <c r="E19" s="20" t="n">
        <v>12235</v>
      </c>
      <c r="F19" s="20" t="n">
        <v>13750</v>
      </c>
      <c r="G19" s="20" t="n">
        <v>11862</v>
      </c>
      <c r="H19" s="20" t="n">
        <v>12842</v>
      </c>
      <c r="I19" s="20" t="n">
        <v>12839</v>
      </c>
      <c r="J19" s="20" t="n">
        <v>12279</v>
      </c>
      <c r="K19" s="20" t="n">
        <v>13385</v>
      </c>
      <c r="L19" s="20" t="n">
        <v>16382</v>
      </c>
      <c r="M19" s="20" t="n">
        <v>18917</v>
      </c>
      <c r="N19" s="20" t="n">
        <v>20465</v>
      </c>
      <c r="O19" s="19" t="n"/>
      <c r="P19" s="20" t="n"/>
      <c r="Q19" s="20" t="n"/>
      <c r="R19" s="20" t="n"/>
      <c r="S19" s="20" t="n"/>
      <c r="T19" s="20" t="n"/>
      <c r="U19" s="20" t="n"/>
      <c r="V19" s="20" t="n">
        <v>58450</v>
      </c>
      <c r="W19" s="20" t="n">
        <v>51293</v>
      </c>
      <c r="X19" s="20" t="n">
        <v>60963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EntityTotalMember</t>
        </is>
      </c>
      <c r="B22" s="10" t="n"/>
      <c r="C22" s="19" t="n"/>
      <c r="D22" s="20" t="n"/>
      <c r="E22" s="20" t="n"/>
      <c r="F22" s="20" t="n">
        <v>186453</v>
      </c>
      <c r="G22" s="20" t="n"/>
      <c r="H22" s="20" t="n"/>
      <c r="I22" s="20" t="n"/>
      <c r="J22" s="20" t="n">
        <v>163920</v>
      </c>
      <c r="K22" s="20" t="n"/>
      <c r="L22" s="20" t="n"/>
      <c r="M22" s="20" t="n"/>
      <c r="N22" s="20" t="n">
        <v>175614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6" t="inlineStr">
        <is>
          <t>매출원가</t>
        </is>
      </c>
      <c r="B25" s="16" t="n"/>
      <c r="C25" s="17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7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7" t="n"/>
      <c r="Z25" s="16" t="n"/>
      <c r="AA25" s="16" t="n"/>
      <c r="AB25" s="16" t="n"/>
      <c r="AC25" s="16" t="n"/>
    </row>
    <row r="26">
      <c r="A26" s="18" t="inlineStr">
        <is>
          <t>전체 매출원가</t>
        </is>
      </c>
      <c r="B26" s="10" t="n"/>
      <c r="C26" s="19" t="n">
        <v>187123</v>
      </c>
      <c r="D26" s="20" t="n">
        <v>193268</v>
      </c>
      <c r="E26" s="20" t="n">
        <v>174686</v>
      </c>
      <c r="F26" s="20" t="n">
        <v>175358</v>
      </c>
      <c r="G26" s="20" t="n">
        <v>153549</v>
      </c>
      <c r="H26" s="20" t="n">
        <v>165014</v>
      </c>
      <c r="I26" s="20" t="n">
        <v>167394</v>
      </c>
      <c r="J26" s="20" t="n">
        <v>152149</v>
      </c>
      <c r="K26" s="20" t="n">
        <v>153461</v>
      </c>
      <c r="L26" s="20" t="n">
        <v>160246</v>
      </c>
      <c r="M26" s="20" t="n">
        <v>162779</v>
      </c>
      <c r="N26" s="20" t="n">
        <v>164199</v>
      </c>
      <c r="O26" s="19" t="n">
        <v>383938</v>
      </c>
      <c r="P26" s="20" t="n">
        <v>408230</v>
      </c>
      <c r="Q26" s="20" t="n">
        <v>431533</v>
      </c>
      <c r="R26" s="20" t="n">
        <v>442415</v>
      </c>
      <c r="S26" s="20" t="n">
        <v>437442</v>
      </c>
      <c r="T26" s="20" t="n">
        <v>543009</v>
      </c>
      <c r="U26" s="20" t="n">
        <v>675058</v>
      </c>
      <c r="V26" s="20" t="n">
        <v>748260</v>
      </c>
      <c r="W26" s="20" t="n">
        <v>661315</v>
      </c>
      <c r="X26" s="20" t="n">
        <v>628635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18" t="inlineStr">
        <is>
          <t>매출총이익</t>
        </is>
      </c>
      <c r="B28" s="10" t="n"/>
      <c r="C28" s="19">
        <f>IF(OR(C4="",C26=""),"",IFERROR(C4-C26,""))</f>
        <v/>
      </c>
      <c r="D28" s="20">
        <f>IF(OR(D4="",D26=""),"",IFERROR(D4-D26,""))</f>
        <v/>
      </c>
      <c r="E28" s="20">
        <f>IF(OR(E4="",E26=""),"",IFERROR(E4-E26,""))</f>
        <v/>
      </c>
      <c r="F28" s="20">
        <f>IF(OR(F4="",F26=""),"",IFERROR(F4-F26,""))</f>
        <v/>
      </c>
      <c r="G28" s="20">
        <f>IF(OR(G4="",G26=""),"",IFERROR(G4-G26,""))</f>
        <v/>
      </c>
      <c r="H28" s="20">
        <f>IF(OR(H4="",H26=""),"",IFERROR(H4-H26,""))</f>
        <v/>
      </c>
      <c r="I28" s="20">
        <f>IF(OR(I4="",I26=""),"",IFERROR(I4-I26,""))</f>
        <v/>
      </c>
      <c r="J28" s="20">
        <f>IF(OR(J4="",J26=""),"",IFERROR(J4-J26,""))</f>
        <v/>
      </c>
      <c r="K28" s="20">
        <f>IF(OR(K4="",K26=""),"",IFERROR(K4-K26,""))</f>
        <v/>
      </c>
      <c r="L28" s="20">
        <f>IF(OR(L4="",L26=""),"",IFERROR(L4-L26,""))</f>
        <v/>
      </c>
      <c r="M28" s="20">
        <f>IF(OR(M4="",M26=""),"",IFERROR(M4-M26,""))</f>
        <v/>
      </c>
      <c r="N28" s="20">
        <f>IF(OR(N4="",N26=""),"",IFERROR(N4-N26,""))</f>
        <v/>
      </c>
      <c r="O28" s="19">
        <f>IF(OR(O4="",O26=""),"",IFERROR(O4-O26,""))</f>
        <v/>
      </c>
      <c r="P28" s="20">
        <f>IF(OR(P4="",P26=""),"",IFERROR(P4-P26,""))</f>
        <v/>
      </c>
      <c r="Q28" s="20">
        <f>IF(OR(Q4="",Q26=""),"",IFERROR(Q4-Q26,""))</f>
        <v/>
      </c>
      <c r="R28" s="20">
        <f>IF(OR(R4="",R26=""),"",IFERROR(R4-R26,""))</f>
        <v/>
      </c>
      <c r="S28" s="20">
        <f>IF(OR(S4="",S26=""),"",IFERROR(S4-S26,""))</f>
        <v/>
      </c>
      <c r="T28" s="20">
        <f>IF(OR(T4="",T26=""),"",IFERROR(T4-T26,""))</f>
        <v/>
      </c>
      <c r="U28" s="20">
        <f>IF(OR(U4="",U26=""),"",IFERROR(U4-U26,""))</f>
        <v/>
      </c>
      <c r="V28" s="20">
        <f>IF(OR(V4="",V26=""),"",IFERROR(V4-V26,""))</f>
        <v/>
      </c>
      <c r="W28" s="20">
        <f>IF(OR(W4="",W26=""),"",IFERROR(W4-W26,""))</f>
        <v/>
      </c>
      <c r="X28" s="20">
        <f>IF(OR(X4="",X26=""),"",IFERROR(X4-X26,""))</f>
        <v/>
      </c>
      <c r="Y28" s="19" t="n"/>
      <c r="Z28" s="20" t="n"/>
      <c r="AA28" s="20" t="n"/>
      <c r="AB28" s="20" t="n"/>
      <c r="AC28" s="20" t="n"/>
    </row>
    <row r="29">
      <c r="A29" s="13" t="inlineStr">
        <is>
          <t>GPM</t>
        </is>
      </c>
      <c r="B29" s="10" t="n"/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14">
        <f>IF(OR(Y28="",Y4=""),"",IFERROR(Y28/Y4,""))</f>
        <v/>
      </c>
      <c r="Z29" s="15">
        <f>IF(OR(Z28="",Z4=""),"",IFERROR(Z28/Z4,""))</f>
        <v/>
      </c>
      <c r="AA29" s="15">
        <f>IF(OR(AA28="",AA4=""),"",IFERROR(AA28/AA4,""))</f>
        <v/>
      </c>
      <c r="AB29" s="15">
        <f>IF(OR(AB28="",AB4=""),"",IFERROR(AB28/AB4,""))</f>
        <v/>
      </c>
      <c r="AC29" s="15">
        <f>IF(OR(AC28="",AC4=""),"",IFERROR(AC28/AC4,""))</f>
        <v/>
      </c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IF(OR(G28="",C28=""),"",IF(C28&lt;=0,"",IFERROR(G28/C28-1,"")))</f>
        <v/>
      </c>
      <c r="H30" s="15">
        <f>IF(OR(H28="",D28=""),"",IF(D28&lt;=0,"",IFERROR(H28/D28-1,"")))</f>
        <v/>
      </c>
      <c r="I30" s="15">
        <f>IF(OR(I28="",E28=""),"",IF(E28&lt;=0,"",IFERROR(I28/E28-1,"")))</f>
        <v/>
      </c>
      <c r="J30" s="15">
        <f>IF(OR(J28="",F28=""),"",IF(F28&lt;=0,"",IFERROR(J28/F28-1,"")))</f>
        <v/>
      </c>
      <c r="K30" s="15">
        <f>IF(OR(K28="",G28=""),"",IF(G28&lt;=0,"",IFERROR(K28/G28-1,"")))</f>
        <v/>
      </c>
      <c r="L30" s="15">
        <f>IF(OR(L28="",H28=""),"",IF(H28&lt;=0,"",IFERROR(L28/H28-1,"")))</f>
        <v/>
      </c>
      <c r="M30" s="15">
        <f>IF(OR(M28="",I28=""),"",IF(I28&lt;=0,"",IFERROR(M28/I28-1,"")))</f>
        <v/>
      </c>
      <c r="N30" s="15">
        <f>IF(OR(N28="",J28=""),"",IF(J28&lt;=0,"",IFERROR(N28/J28-1,"")))</f>
        <v/>
      </c>
      <c r="O30" s="14" t="n"/>
      <c r="P30" s="15">
        <f>IF(OR(P28="",O28=""),"",IF(O28&lt;=0,"",IFERROR(P28/O28-1,"")))</f>
        <v/>
      </c>
      <c r="Q30" s="15">
        <f>IF(OR(Q28="",P28=""),"",IF(P28&lt;=0,"",IFERROR(Q28/P28-1,"")))</f>
        <v/>
      </c>
      <c r="R30" s="15">
        <f>IF(OR(R28="",Q28=""),"",IF(Q28&lt;=0,"",IFERROR(R28/Q28-1,"")))</f>
        <v/>
      </c>
      <c r="S30" s="15">
        <f>IF(OR(S28="",R28=""),"",IF(R28&lt;=0,"",IFERROR(S28/R28-1,"")))</f>
        <v/>
      </c>
      <c r="T30" s="15">
        <f>IF(OR(T28="",S28=""),"",IF(S28&lt;=0,"",IFERROR(T28/S28-1,"")))</f>
        <v/>
      </c>
      <c r="U30" s="15">
        <f>IF(OR(U28="",T28=""),"",IF(T28&lt;=0,"",IFERROR(U28/T28-1,"")))</f>
        <v/>
      </c>
      <c r="V30" s="15">
        <f>IF(OR(V28="",U28=""),"",IF(U28&lt;=0,"",IFERROR(V28/U28-1,"")))</f>
        <v/>
      </c>
      <c r="W30" s="15">
        <f>IF(OR(W28="",V28=""),"",IF(V28&lt;=0,"",IFERROR(W28/V28-1,"")))</f>
        <v/>
      </c>
      <c r="X30" s="15">
        <f>IF(OR(X28="",W28=""),"",IF(W28&lt;=0,"",IFERROR(X28/W28-1,"")))</f>
        <v/>
      </c>
      <c r="Y30" s="14">
        <f>IF(OR(Y28="",X28=""),"",IF(X28&lt;=0,"",IFERROR(Y28/X28-1,"")))</f>
        <v/>
      </c>
      <c r="Z30" s="15">
        <f>IF(OR(Z28="",Y28=""),"",IF(Y28&lt;=0,"",IFERROR(Z28/Y28-1,"")))</f>
        <v/>
      </c>
      <c r="AA30" s="15">
        <f>IF(OR(AA28="",Z28=""),"",IF(Z28&lt;=0,"",IFERROR(AA28/Z28-1,"")))</f>
        <v/>
      </c>
      <c r="AB30" s="15">
        <f>IF(OR(AB28="",AA28=""),"",IF(AA28&lt;=0,"",IFERROR(AB28/AA28-1,"")))</f>
        <v/>
      </c>
      <c r="AC30" s="15">
        <f>IF(OR(AC28="",AB28=""),"",IF(AB28&lt;=0,"",IFERROR(AC28/AB28-1,"")))</f>
        <v/>
      </c>
    </row>
    <row r="31">
      <c r="A31" s="23" t="inlineStr">
        <is>
          <t>판매관리비</t>
        </is>
      </c>
      <c r="B31" s="23" t="n"/>
      <c r="C31" s="24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4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4" t="n"/>
      <c r="Z31" s="23" t="n"/>
      <c r="AA31" s="23" t="n"/>
      <c r="AB31" s="23" t="n"/>
      <c r="AC31" s="23" t="n"/>
    </row>
    <row r="32">
      <c r="A32" s="18" t="inlineStr">
        <is>
          <t>전체 판관비</t>
        </is>
      </c>
      <c r="B32" s="10" t="n"/>
      <c r="C32" s="19" t="n">
        <v>6828</v>
      </c>
      <c r="D32" s="20" t="n">
        <v>6993</v>
      </c>
      <c r="E32" s="20" t="n">
        <v>7748</v>
      </c>
      <c r="F32" s="20" t="n">
        <v>7480</v>
      </c>
      <c r="G32" s="20" t="n">
        <v>7478</v>
      </c>
      <c r="H32" s="20" t="n">
        <v>7697</v>
      </c>
      <c r="I32" s="20" t="n">
        <v>7956</v>
      </c>
      <c r="J32" s="20" t="n">
        <v>7579</v>
      </c>
      <c r="K32" s="20" t="n">
        <v>7680</v>
      </c>
      <c r="L32" s="20" t="n">
        <v>7843</v>
      </c>
      <c r="M32" s="20" t="n">
        <v>7467</v>
      </c>
      <c r="N32" s="20" t="n">
        <v>7765</v>
      </c>
      <c r="O32" s="19" t="n">
        <v>19468</v>
      </c>
      <c r="P32" s="20" t="n">
        <v>20957</v>
      </c>
      <c r="Q32" s="20" t="n">
        <v>23375</v>
      </c>
      <c r="R32" s="20" t="n">
        <v>23128</v>
      </c>
      <c r="S32" s="20" t="n">
        <v>21587</v>
      </c>
      <c r="T32" s="20" t="n">
        <v>22993</v>
      </c>
      <c r="U32" s="20" t="n">
        <v>25332</v>
      </c>
      <c r="V32" s="20" t="n">
        <v>28329</v>
      </c>
      <c r="W32" s="20" t="n">
        <v>30611</v>
      </c>
      <c r="X32" s="20" t="n">
        <v>30569</v>
      </c>
      <c r="Y32" s="19" t="n"/>
      <c r="Z32" s="20" t="n"/>
      <c r="AA32" s="20" t="n"/>
      <c r="AB32" s="20" t="n"/>
      <c r="AC32" s="20" t="n"/>
    </row>
    <row r="33">
      <c r="A33" s="13" t="inlineStr">
        <is>
          <t>YoY</t>
        </is>
      </c>
      <c r="B33" s="10" t="n"/>
      <c r="C33" s="14" t="n"/>
      <c r="D33" s="15" t="n"/>
      <c r="E33" s="15" t="n"/>
      <c r="F33" s="15" t="n"/>
      <c r="G33" s="15">
        <f>IF(OR(G32="",C32=""),"",IF(C32&lt;=0,"",IFERROR(G32/C32-1,"")))</f>
        <v/>
      </c>
      <c r="H33" s="15">
        <f>IF(OR(H32="",D32=""),"",IF(D32&lt;=0,"",IFERROR(H32/D32-1,"")))</f>
        <v/>
      </c>
      <c r="I33" s="15">
        <f>IF(OR(I32="",E32=""),"",IF(E32&lt;=0,"",IFERROR(I32/E32-1,"")))</f>
        <v/>
      </c>
      <c r="J33" s="15">
        <f>IF(OR(J32="",F32=""),"",IF(F32&lt;=0,"",IFERROR(J32/F32-1,"")))</f>
        <v/>
      </c>
      <c r="K33" s="15">
        <f>IF(OR(K32="",G32=""),"",IF(G32&lt;=0,"",IFERROR(K32/G32-1,"")))</f>
        <v/>
      </c>
      <c r="L33" s="15">
        <f>IF(OR(L32="",H32=""),"",IF(H32&lt;=0,"",IFERROR(L32/H32-1,"")))</f>
        <v/>
      </c>
      <c r="M33" s="15">
        <f>IF(OR(M32="",I32=""),"",IF(I32&lt;=0,"",IFERROR(M32/I32-1,"")))</f>
        <v/>
      </c>
      <c r="N33" s="15">
        <f>IF(OR(N32="",J32=""),"",IF(J32&lt;=0,"",IFERROR(N32/J32-1,"")))</f>
        <v/>
      </c>
      <c r="O33" s="14" t="n"/>
      <c r="P33" s="15">
        <f>IF(OR(P32="",O32=""),"",IF(O32&lt;=0,"",IFERROR(P32/O32-1,"")))</f>
        <v/>
      </c>
      <c r="Q33" s="15">
        <f>IF(OR(Q32="",P32=""),"",IF(P32&lt;=0,"",IFERROR(Q32/P32-1,"")))</f>
        <v/>
      </c>
      <c r="R33" s="15">
        <f>IF(OR(R32="",Q32=""),"",IF(Q32&lt;=0,"",IFERROR(R32/Q32-1,"")))</f>
        <v/>
      </c>
      <c r="S33" s="15">
        <f>IF(OR(S32="",R32=""),"",IF(R32&lt;=0,"",IFERROR(S32/R32-1,"")))</f>
        <v/>
      </c>
      <c r="T33" s="15">
        <f>IF(OR(T32="",S32=""),"",IF(S32&lt;=0,"",IFERROR(T32/S32-1,"")))</f>
        <v/>
      </c>
      <c r="U33" s="15">
        <f>IF(OR(U32="",T32=""),"",IF(T32&lt;=0,"",IFERROR(U32/T32-1,"")))</f>
        <v/>
      </c>
      <c r="V33" s="15">
        <f>IF(OR(V32="",U32=""),"",IF(U32&lt;=0,"",IFERROR(V32/U32-1,"")))</f>
        <v/>
      </c>
      <c r="W33" s="15">
        <f>IF(OR(W32="",V32=""),"",IF(V32&lt;=0,"",IFERROR(W32/V32-1,"")))</f>
        <v/>
      </c>
      <c r="X33" s="15">
        <f>IF(OR(X32="",W32=""),"",IF(W32&lt;=0,"",IFERROR(X32/W32-1,"")))</f>
        <v/>
      </c>
      <c r="Y33" s="14">
        <f>IF(OR(Y32="",X32=""),"",IF(X32&lt;=0,"",IFERROR(Y32/X32-1,"")))</f>
        <v/>
      </c>
      <c r="Z33" s="15">
        <f>IF(OR(Z32="",Y32=""),"",IF(Y32&lt;=0,"",IFERROR(Z32/Y32-1,"")))</f>
        <v/>
      </c>
      <c r="AA33" s="15">
        <f>IF(OR(AA32="",Z32=""),"",IF(Z32&lt;=0,"",IFERROR(AA32/Z32-1,"")))</f>
        <v/>
      </c>
      <c r="AB33" s="15">
        <f>IF(OR(AB32="",AA32=""),"",IF(AA32&lt;=0,"",IFERROR(AB32/AA32-1,"")))</f>
        <v/>
      </c>
      <c r="AC33" s="15">
        <f>IF(OR(AC32="",AB32=""),"",IF(AB32&lt;=0,"",IFERROR(AC32/AB32-1,"")))</f>
        <v/>
      </c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4716</v>
      </c>
      <c r="D34" s="12" t="n">
        <v>6564</v>
      </c>
      <c r="E34" s="12" t="n">
        <v>3204</v>
      </c>
      <c r="F34" s="12" t="n">
        <v>3614</v>
      </c>
      <c r="G34" s="12" t="n">
        <v>1832</v>
      </c>
      <c r="H34" s="12" t="n">
        <v>4466</v>
      </c>
      <c r="I34" s="12" t="n">
        <v>5266</v>
      </c>
      <c r="J34" s="12" t="n">
        <v>4191</v>
      </c>
      <c r="K34" s="12" t="n">
        <v>4416</v>
      </c>
      <c r="L34" s="12" t="n">
        <v>4965</v>
      </c>
      <c r="M34" s="12" t="n">
        <v>5143</v>
      </c>
      <c r="N34" s="12" t="n">
        <v>3649</v>
      </c>
      <c r="O34" s="11" t="n">
        <v>8976</v>
      </c>
      <c r="P34" s="12" t="n">
        <v>11258</v>
      </c>
      <c r="Q34" s="12" t="n">
        <v>6797</v>
      </c>
      <c r="R34" s="12" t="n">
        <v>10621</v>
      </c>
      <c r="S34" s="12" t="n">
        <v>7780</v>
      </c>
      <c r="T34" s="12" t="n">
        <v>6115</v>
      </c>
      <c r="U34" s="12" t="n">
        <v>7681</v>
      </c>
      <c r="V34" s="12" t="n">
        <v>19213</v>
      </c>
      <c r="W34" s="12" t="n">
        <v>15178</v>
      </c>
      <c r="X34" s="12" t="n">
        <v>18715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IF(O32="","",O32)</f>
        <v/>
      </c>
      <c r="P38" s="12">
        <f>IF(P32="","",P32)</f>
        <v/>
      </c>
      <c r="Q38" s="12">
        <f>IF(Q32="","",Q32)</f>
        <v/>
      </c>
      <c r="R38" s="12">
        <f>IF(R32="","",R32)</f>
        <v/>
      </c>
      <c r="S38" s="12">
        <f>IF(S32="","",S32)</f>
        <v/>
      </c>
      <c r="T38" s="12">
        <f>IF(T32="","",T32)</f>
        <v/>
      </c>
      <c r="U38" s="12">
        <f>IF(U32="","",U32)</f>
        <v/>
      </c>
      <c r="V38" s="12">
        <f>IF(V32="","",V32)</f>
        <v/>
      </c>
      <c r="W38" s="12">
        <f>IF(W32="","",W32)</f>
        <v/>
      </c>
      <c r="X38" s="12">
        <f>IF(X32="","",X32)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708</v>
      </c>
      <c r="P41" s="20" t="n">
        <v>702</v>
      </c>
      <c r="Q41" s="20" t="n">
        <v>791</v>
      </c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/>
      <c r="D50" s="20" t="n">
        <v>0</v>
      </c>
      <c r="E50" s="20" t="n">
        <v>0</v>
      </c>
      <c r="F50" s="20" t="n"/>
      <c r="G50" s="20" t="n"/>
      <c r="H50" s="20" t="n">
        <v>745</v>
      </c>
      <c r="I50" s="20" t="n">
        <v>466</v>
      </c>
      <c r="J50" s="20" t="n"/>
      <c r="K50" s="20" t="n"/>
      <c r="L50" s="20" t="n">
        <v>0</v>
      </c>
      <c r="M50" s="20" t="n">
        <v>22</v>
      </c>
      <c r="N50" s="20" t="n"/>
      <c r="O50" s="19" t="n">
        <v>0</v>
      </c>
      <c r="P50" s="20" t="n">
        <v>1149</v>
      </c>
      <c r="Q50" s="20" t="n">
        <v>86</v>
      </c>
      <c r="R50" s="20" t="n">
        <v>626</v>
      </c>
      <c r="S50" s="20" t="n">
        <v>0</v>
      </c>
      <c r="T50" s="20" t="n">
        <v>110</v>
      </c>
      <c r="U50" s="20" t="n">
        <v>1604</v>
      </c>
      <c r="V50" s="20" t="n">
        <v>0</v>
      </c>
      <c r="W50" s="20" t="n">
        <v>2004</v>
      </c>
      <c r="X50" s="20" t="n">
        <v>572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/>
      <c r="D52" s="20" t="n"/>
      <c r="E52" s="20" t="n">
        <v>0</v>
      </c>
      <c r="F52" s="20" t="n"/>
      <c r="G52" s="20" t="n"/>
      <c r="H52" s="20" t="n"/>
      <c r="I52" s="20" t="n">
        <v>245</v>
      </c>
      <c r="J52" s="20" t="n"/>
      <c r="K52" s="20" t="n"/>
      <c r="L52" s="20" t="n"/>
      <c r="M52" s="20" t="n">
        <v>69</v>
      </c>
      <c r="N52" s="20" t="n"/>
      <c r="O52" s="19" t="n">
        <v>1923</v>
      </c>
      <c r="P52" s="20" t="n">
        <v>5724</v>
      </c>
      <c r="Q52" s="20" t="n">
        <v>377</v>
      </c>
      <c r="R52" s="20" t="n">
        <v>253</v>
      </c>
      <c r="S52" s="20" t="n">
        <v>20</v>
      </c>
      <c r="T52" s="20" t="n">
        <v>1662</v>
      </c>
      <c r="U52" s="20" t="n">
        <v>1454</v>
      </c>
      <c r="V52" s="20" t="n">
        <v>0</v>
      </c>
      <c r="W52" s="20" t="n">
        <v>5205</v>
      </c>
      <c r="X52" s="20" t="n">
        <v>113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864</v>
      </c>
      <c r="D54" s="20" t="n">
        <v>652</v>
      </c>
      <c r="E54" s="20" t="n">
        <v>1084</v>
      </c>
      <c r="F54" s="20" t="n">
        <v>2006</v>
      </c>
      <c r="G54" s="20" t="n">
        <v>-212</v>
      </c>
      <c r="H54" s="20" t="n">
        <v>46</v>
      </c>
      <c r="I54" s="20" t="n">
        <v>904</v>
      </c>
      <c r="J54" s="20" t="n">
        <v>641</v>
      </c>
      <c r="K54" s="20" t="n">
        <v>240</v>
      </c>
      <c r="L54" s="20" t="n">
        <v>1801</v>
      </c>
      <c r="M54" s="20" t="n">
        <v>1659</v>
      </c>
      <c r="N54" s="20" t="n">
        <v>953</v>
      </c>
      <c r="O54" s="19" t="n">
        <v>1892</v>
      </c>
      <c r="P54" s="20" t="n">
        <v>2269</v>
      </c>
      <c r="Q54" s="20" t="n">
        <v>1396</v>
      </c>
      <c r="R54" s="20" t="n">
        <v>1644</v>
      </c>
      <c r="S54" s="20" t="n">
        <v>1854</v>
      </c>
      <c r="T54" s="20" t="n">
        <v>3400</v>
      </c>
      <c r="U54" s="20" t="n">
        <v>2266</v>
      </c>
      <c r="V54" s="20" t="n">
        <v>3379</v>
      </c>
      <c r="W54" s="20" t="n">
        <v>2744</v>
      </c>
      <c r="X54" s="20" t="n">
        <v>4341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918</v>
      </c>
      <c r="D56" s="20" t="n">
        <v>1135</v>
      </c>
      <c r="E56" s="20" t="n">
        <v>1407</v>
      </c>
      <c r="F56" s="20" t="n">
        <v>1628</v>
      </c>
      <c r="G56" s="20" t="n">
        <v>2046</v>
      </c>
      <c r="H56" s="20" t="n">
        <v>-1729</v>
      </c>
      <c r="I56" s="20" t="n">
        <v>2696</v>
      </c>
      <c r="J56" s="20" t="n">
        <v>863</v>
      </c>
      <c r="K56" s="20" t="n">
        <v>-161</v>
      </c>
      <c r="L56" s="20" t="n">
        <v>525</v>
      </c>
      <c r="M56" s="20" t="n">
        <v>989</v>
      </c>
      <c r="N56" s="20" t="n">
        <v>499</v>
      </c>
      <c r="O56" s="19" t="n">
        <v>3326</v>
      </c>
      <c r="P56" s="20" t="n">
        <v>2572</v>
      </c>
      <c r="Q56" s="20" t="n">
        <v>1743</v>
      </c>
      <c r="R56" s="20" t="n">
        <v>2297</v>
      </c>
      <c r="S56" s="20" t="n">
        <v>1672</v>
      </c>
      <c r="T56" s="20" t="n">
        <v>1707</v>
      </c>
      <c r="U56" s="20" t="n">
        <v>2178</v>
      </c>
      <c r="V56" s="20" t="n">
        <v>4102</v>
      </c>
      <c r="W56" s="20" t="n">
        <v>4641</v>
      </c>
      <c r="X56" s="20" t="n">
        <v>2216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4662</v>
      </c>
      <c r="D58" s="12" t="n">
        <v>6082</v>
      </c>
      <c r="E58" s="12" t="n">
        <v>2880</v>
      </c>
      <c r="F58" s="12" t="n">
        <v>3992</v>
      </c>
      <c r="G58" s="12" t="n">
        <v>367</v>
      </c>
      <c r="H58" s="12" t="n">
        <v>2025</v>
      </c>
      <c r="I58" s="12" t="n">
        <v>3695</v>
      </c>
      <c r="J58" s="12" t="n">
        <v>3969</v>
      </c>
      <c r="K58" s="12" t="n">
        <v>5367</v>
      </c>
      <c r="L58" s="12" t="n">
        <v>6197</v>
      </c>
      <c r="M58" s="12" t="n">
        <v>5766</v>
      </c>
      <c r="N58" s="12" t="n">
        <v>4102</v>
      </c>
      <c r="O58" s="11" t="n">
        <v>5619</v>
      </c>
      <c r="P58" s="12" t="n">
        <v>6380</v>
      </c>
      <c r="Q58" s="12" t="n">
        <v>6158</v>
      </c>
      <c r="R58" s="12" t="n">
        <v>10340</v>
      </c>
      <c r="S58" s="12" t="n">
        <v>7942</v>
      </c>
      <c r="T58" s="12" t="n">
        <v>6255</v>
      </c>
      <c r="U58" s="12" t="n">
        <v>7917</v>
      </c>
      <c r="V58" s="12" t="n">
        <v>18489</v>
      </c>
      <c r="W58" s="12" t="n">
        <v>10079</v>
      </c>
      <c r="X58" s="12" t="n">
        <v>21299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3" t="inlineStr">
        <is>
          <t>YoY</t>
        </is>
      </c>
      <c r="B59" s="10" t="n"/>
      <c r="C59" s="14" t="n"/>
      <c r="D59" s="15" t="n"/>
      <c r="E59" s="15" t="n"/>
      <c r="F59" s="15" t="n"/>
      <c r="G59" s="15">
        <f>IF(OR(G58="",C58=""),"",IF(C58&lt;=0,"",IFERROR(G58/C58-1,"")))</f>
        <v/>
      </c>
      <c r="H59" s="15">
        <f>IF(OR(H58="",D58=""),"",IF(D58&lt;=0,"",IFERROR(H58/D58-1,"")))</f>
        <v/>
      </c>
      <c r="I59" s="15">
        <f>IF(OR(I58="",E58=""),"",IF(E58&lt;=0,"",IFERROR(I58/E58-1,"")))</f>
        <v/>
      </c>
      <c r="J59" s="15">
        <f>IF(OR(J58="",F58=""),"",IF(F58&lt;=0,"",IFERROR(J58/F58-1,"")))</f>
        <v/>
      </c>
      <c r="K59" s="15">
        <f>IF(OR(K58="",G58=""),"",IF(G58&lt;=0,"",IFERROR(K58/G58-1,"")))</f>
        <v/>
      </c>
      <c r="L59" s="15">
        <f>IF(OR(L58="",H58=""),"",IF(H58&lt;=0,"",IFERROR(L58/H58-1,"")))</f>
        <v/>
      </c>
      <c r="M59" s="15">
        <f>IF(OR(M58="",I58=""),"",IF(I58&lt;=0,"",IFERROR(M58/I58-1,"")))</f>
        <v/>
      </c>
      <c r="N59" s="15">
        <f>IF(OR(N58="",J58=""),"",IF(J58&lt;=0,"",IFERROR(N58/J58-1,"")))</f>
        <v/>
      </c>
      <c r="O59" s="14" t="n"/>
      <c r="P59" s="15">
        <f>IF(OR(P58="",O58=""),"",IF(O58&lt;=0,"",IFERROR(P58/O58-1,"")))</f>
        <v/>
      </c>
      <c r="Q59" s="15">
        <f>IF(OR(Q58="",P58=""),"",IF(P58&lt;=0,"",IFERROR(Q58/P58-1,"")))</f>
        <v/>
      </c>
      <c r="R59" s="15">
        <f>IF(OR(R58="",Q58=""),"",IF(Q58&lt;=0,"",IFERROR(R58/Q58-1,"")))</f>
        <v/>
      </c>
      <c r="S59" s="15">
        <f>IF(OR(S58="",R58=""),"",IF(R58&lt;=0,"",IFERROR(S58/R58-1,"")))</f>
        <v/>
      </c>
      <c r="T59" s="15">
        <f>IF(OR(T58="",S58=""),"",IF(S58&lt;=0,"",IFERROR(T58/S58-1,"")))</f>
        <v/>
      </c>
      <c r="U59" s="15">
        <f>IF(OR(U58="",T58=""),"",IF(T58&lt;=0,"",IFERROR(U58/T58-1,"")))</f>
        <v/>
      </c>
      <c r="V59" s="15">
        <f>IF(OR(V58="",U58=""),"",IF(U58&lt;=0,"",IFERROR(V58/U58-1,"")))</f>
        <v/>
      </c>
      <c r="W59" s="15">
        <f>IF(OR(W58="",V58=""),"",IF(V58&lt;=0,"",IFERROR(W58/V58-1,"")))</f>
        <v/>
      </c>
      <c r="X59" s="15">
        <f>IF(OR(X58="",W58=""),"",IF(W58&lt;=0,"",IFERROR(X58/W58-1,"")))</f>
        <v/>
      </c>
      <c r="Y59" s="14">
        <f>IF(OR(Y58="",X58=""),"",IF(X58&lt;=0,"",IFERROR(Y58/X58-1,"")))</f>
        <v/>
      </c>
      <c r="Z59" s="15">
        <f>IF(OR(Z58="",Y58=""),"",IF(Y58&lt;=0,"",IFERROR(Z58/Y58-1,"")))</f>
        <v/>
      </c>
      <c r="AA59" s="15">
        <f>IF(OR(AA58="",Z58=""),"",IF(Z58&lt;=0,"",IFERROR(AA58/Z58-1,"")))</f>
        <v/>
      </c>
      <c r="AB59" s="15">
        <f>IF(OR(AB58="",AA58=""),"",IF(AA58&lt;=0,"",IFERROR(AB58/AA58-1,"")))</f>
        <v/>
      </c>
      <c r="AC59" s="15">
        <f>IF(OR(AC58="",AB58=""),"",IF(AB58&lt;=0,"",IFERROR(AC58/AB58-1,"")))</f>
        <v/>
      </c>
    </row>
    <row r="60">
      <c r="A60" s="18" t="inlineStr">
        <is>
          <t>법인세비용(수익)</t>
        </is>
      </c>
      <c r="B60" s="10" t="n"/>
      <c r="C60" s="19" t="n">
        <v>914</v>
      </c>
      <c r="D60" s="20" t="n">
        <v>1805</v>
      </c>
      <c r="E60" s="20" t="n">
        <v>737</v>
      </c>
      <c r="F60" s="20" t="n">
        <v>1536</v>
      </c>
      <c r="G60" s="20" t="n">
        <v>1017</v>
      </c>
      <c r="H60" s="20" t="n">
        <v>1413</v>
      </c>
      <c r="I60" s="20" t="n">
        <v>342</v>
      </c>
      <c r="J60" s="20" t="n">
        <v>1242</v>
      </c>
      <c r="K60" s="20" t="n">
        <v>959</v>
      </c>
      <c r="L60" s="20" t="n">
        <v>1419</v>
      </c>
      <c r="M60" s="20" t="n">
        <v>472</v>
      </c>
      <c r="N60" s="20" t="n">
        <v>1515</v>
      </c>
      <c r="O60" s="19" t="n">
        <v>361</v>
      </c>
      <c r="P60" s="20" t="n">
        <v>-3972</v>
      </c>
      <c r="Q60" s="20" t="n">
        <v>1993</v>
      </c>
      <c r="R60" s="20" t="n">
        <v>3301</v>
      </c>
      <c r="S60" s="20" t="n">
        <v>2901</v>
      </c>
      <c r="T60" s="20" t="n">
        <v>2037</v>
      </c>
      <c r="U60" s="20" t="n">
        <v>-2987</v>
      </c>
      <c r="V60" s="20" t="n">
        <v>5067</v>
      </c>
      <c r="W60" s="20" t="n">
        <v>4308</v>
      </c>
      <c r="X60" s="20" t="n">
        <v>4092</v>
      </c>
      <c r="Y60" s="19">
        <f>IF(OR(Y58="",Y61=""),"",IFERROR(MAX(Y58,0)*Y61,""))</f>
        <v/>
      </c>
      <c r="Z60" s="20">
        <f>IF(OR(Z58="",Z61=""),"",IFERROR(MAX(Z58,0)*Z61,""))</f>
        <v/>
      </c>
      <c r="AA60" s="20">
        <f>IF(OR(AA58="",AA61=""),"",IFERROR(MAX(AA58,0)*AA61,""))</f>
        <v/>
      </c>
      <c r="AB60" s="20">
        <f>IF(OR(AB58="",AB61=""),"",IFERROR(MAX(AB58,0)*AB61,""))</f>
        <v/>
      </c>
      <c r="AC60" s="20">
        <f>IF(OR(AC58="",AC61=""),"",IFERROR(MAX(AC58,0)*AC61,""))</f>
        <v/>
      </c>
    </row>
    <row r="61">
      <c r="A61" s="13" t="inlineStr">
        <is>
          <t>법인세율</t>
        </is>
      </c>
      <c r="B61" s="10" t="inlineStr">
        <is>
          <t>MW 기본 30%</t>
        </is>
      </c>
      <c r="C61" s="14">
        <f>IF(OR(C60="",C58=""),"",IFERROR(C60/C58,""))</f>
        <v/>
      </c>
      <c r="D61" s="15">
        <f>IF(OR(D60="",D58=""),"",IFERROR(D60/D58,""))</f>
        <v/>
      </c>
      <c r="E61" s="15">
        <f>IF(OR(E60="",E58=""),"",IFERROR(E60/E58,""))</f>
        <v/>
      </c>
      <c r="F61" s="15">
        <f>IF(OR(F60="",F58=""),"",IFERROR(F60/F58,""))</f>
        <v/>
      </c>
      <c r="G61" s="15">
        <f>IF(OR(G60="",G58=""),"",IFERROR(G60/G58,""))</f>
        <v/>
      </c>
      <c r="H61" s="15">
        <f>IF(OR(H60="",H58=""),"",IFERROR(H60/H58,""))</f>
        <v/>
      </c>
      <c r="I61" s="15">
        <f>IF(OR(I60="",I58=""),"",IFERROR(I60/I58,""))</f>
        <v/>
      </c>
      <c r="J61" s="15">
        <f>IF(OR(J60="",J58=""),"",IFERROR(J60/J58,""))</f>
        <v/>
      </c>
      <c r="K61" s="15">
        <f>IF(OR(K60="",K58=""),"",IFERROR(K60/K58,""))</f>
        <v/>
      </c>
      <c r="L61" s="15">
        <f>IF(OR(L60="",L58=""),"",IFERROR(L60/L58,""))</f>
        <v/>
      </c>
      <c r="M61" s="15">
        <f>IF(OR(M60="",M58=""),"",IFERROR(M60/M58,""))</f>
        <v/>
      </c>
      <c r="N61" s="15">
        <f>IF(OR(N60="",N58=""),"",IFERROR(N60/N58,""))</f>
        <v/>
      </c>
      <c r="O61" s="14">
        <f>IF(OR(O60="",O58=""),"",IFERROR(O60/O58,""))</f>
        <v/>
      </c>
      <c r="P61" s="15">
        <f>IF(OR(P60="",P58=""),"",IFERROR(P60/P58,""))</f>
        <v/>
      </c>
      <c r="Q61" s="15">
        <f>IF(OR(Q60="",Q58=""),"",IFERROR(Q60/Q58,""))</f>
        <v/>
      </c>
      <c r="R61" s="15">
        <f>IF(OR(R60="",R58=""),"",IFERROR(R60/R58,""))</f>
        <v/>
      </c>
      <c r="S61" s="15">
        <f>IF(OR(S60="",S58=""),"",IFERROR(S60/S58,""))</f>
        <v/>
      </c>
      <c r="T61" s="15">
        <f>IF(OR(T60="",T58=""),"",IFERROR(T60/T58,""))</f>
        <v/>
      </c>
      <c r="U61" s="15">
        <f>IF(OR(U60="",U58=""),"",IFERROR(U60/U58,""))</f>
        <v/>
      </c>
      <c r="V61" s="15">
        <f>IF(OR(V60="",V58=""),"",IFERROR(V60/V58,""))</f>
        <v/>
      </c>
      <c r="W61" s="15">
        <f>IF(OR(W60="",W58=""),"",IFERROR(W60/W58,""))</f>
        <v/>
      </c>
      <c r="X61" s="15">
        <f>IF(OR(X60="",X58=""),"",IFERROR(X60/X58,""))</f>
        <v/>
      </c>
      <c r="Y61" s="25" t="n">
        <v>0.3</v>
      </c>
      <c r="Z61" s="26" t="n">
        <v>0.3</v>
      </c>
      <c r="AA61" s="26" t="n">
        <v>0.3</v>
      </c>
      <c r="AB61" s="26" t="n">
        <v>0.3</v>
      </c>
      <c r="AC61" s="26" t="n">
        <v>0.3</v>
      </c>
    </row>
    <row r="62">
      <c r="A62" s="9" t="inlineStr">
        <is>
          <t>당기순이익(손실)</t>
        </is>
      </c>
      <c r="B62" s="10" t="n"/>
      <c r="C62" s="11" t="n">
        <v>3748</v>
      </c>
      <c r="D62" s="12" t="n">
        <v>4276</v>
      </c>
      <c r="E62" s="12" t="n">
        <v>2144</v>
      </c>
      <c r="F62" s="12" t="n">
        <v>2455</v>
      </c>
      <c r="G62" s="12" t="n">
        <v>-650</v>
      </c>
      <c r="H62" s="12" t="n">
        <v>612</v>
      </c>
      <c r="I62" s="12" t="n">
        <v>3354</v>
      </c>
      <c r="J62" s="12" t="n">
        <v>2726</v>
      </c>
      <c r="K62" s="12" t="n">
        <v>4409</v>
      </c>
      <c r="L62" s="12" t="n">
        <v>4777</v>
      </c>
      <c r="M62" s="12" t="n">
        <v>5295</v>
      </c>
      <c r="N62" s="12" t="n">
        <v>2587</v>
      </c>
      <c r="O62" s="11" t="n">
        <v>5257</v>
      </c>
      <c r="P62" s="12" t="n">
        <v>10352</v>
      </c>
      <c r="Q62" s="12" t="n">
        <v>4164</v>
      </c>
      <c r="R62" s="12" t="n">
        <v>7039</v>
      </c>
      <c r="S62" s="12" t="n">
        <v>5040</v>
      </c>
      <c r="T62" s="12" t="n">
        <v>4218</v>
      </c>
      <c r="U62" s="12" t="n">
        <v>10904</v>
      </c>
      <c r="V62" s="12" t="n">
        <v>13422</v>
      </c>
      <c r="W62" s="12" t="n">
        <v>5771</v>
      </c>
      <c r="X62" s="12" t="n">
        <v>17207</v>
      </c>
      <c r="Y62" s="11">
        <f>IF(OR(Y58=""),"",IFERROR(Y58-Y60,""))</f>
        <v/>
      </c>
      <c r="Z62" s="12">
        <f>IF(OR(Z58=""),"",IFERROR(Z58-Z60,""))</f>
        <v/>
      </c>
      <c r="AA62" s="12">
        <f>IF(OR(AA58=""),"",IFERROR(AA58-AA60,""))</f>
        <v/>
      </c>
      <c r="AB62" s="12">
        <f>IF(OR(AB58=""),"",IFERROR(AB58-AB60,""))</f>
        <v/>
      </c>
      <c r="AC62" s="12">
        <f>IF(OR(AC58=""),"",IFERROR(AC58-AC60,""))</f>
        <v/>
      </c>
    </row>
    <row r="63">
      <c r="A63" s="13" t="inlineStr">
        <is>
          <t>YoY</t>
        </is>
      </c>
      <c r="B63" s="10" t="n"/>
      <c r="C63" s="14" t="n"/>
      <c r="D63" s="15" t="n"/>
      <c r="E63" s="15" t="n"/>
      <c r="F63" s="15" t="n"/>
      <c r="G63" s="15">
        <f>IF(OR(G62="",C62=""),"",IF(C62&lt;=0,"",IFERROR(G62/C62-1,"")))</f>
        <v/>
      </c>
      <c r="H63" s="15">
        <f>IF(OR(H62="",D62=""),"",IF(D62&lt;=0,"",IFERROR(H62/D62-1,"")))</f>
        <v/>
      </c>
      <c r="I63" s="15">
        <f>IF(OR(I62="",E62=""),"",IF(E62&lt;=0,"",IFERROR(I62/E62-1,"")))</f>
        <v/>
      </c>
      <c r="J63" s="15">
        <f>IF(OR(J62="",F62=""),"",IF(F62&lt;=0,"",IFERROR(J62/F62-1,"")))</f>
        <v/>
      </c>
      <c r="K63" s="15">
        <f>IF(OR(K62="",G62=""),"",IF(G62&lt;=0,"",IFERROR(K62/G62-1,"")))</f>
        <v/>
      </c>
      <c r="L63" s="15">
        <f>IF(OR(L62="",H62=""),"",IF(H62&lt;=0,"",IFERROR(L62/H62-1,"")))</f>
        <v/>
      </c>
      <c r="M63" s="15">
        <f>IF(OR(M62="",I62=""),"",IF(I62&lt;=0,"",IFERROR(M62/I62-1,"")))</f>
        <v/>
      </c>
      <c r="N63" s="15">
        <f>IF(OR(N62="",J62=""),"",IF(J62&lt;=0,"",IFERROR(N62/J62-1,"")))</f>
        <v/>
      </c>
      <c r="O63" s="14" t="n"/>
      <c r="P63" s="15">
        <f>IF(OR(P62="",O62=""),"",IF(O62&lt;=0,"",IFERROR(P62/O62-1,"")))</f>
        <v/>
      </c>
      <c r="Q63" s="15">
        <f>IF(OR(Q62="",P62=""),"",IF(P62&lt;=0,"",IFERROR(Q62/P62-1,"")))</f>
        <v/>
      </c>
      <c r="R63" s="15">
        <f>IF(OR(R62="",Q62=""),"",IF(Q62&lt;=0,"",IFERROR(R62/Q62-1,"")))</f>
        <v/>
      </c>
      <c r="S63" s="15">
        <f>IF(OR(S62="",R62=""),"",IF(R62&lt;=0,"",IFERROR(S62/R62-1,"")))</f>
        <v/>
      </c>
      <c r="T63" s="15">
        <f>IF(OR(T62="",S62=""),"",IF(S62&lt;=0,"",IFERROR(T62/S62-1,"")))</f>
        <v/>
      </c>
      <c r="U63" s="15">
        <f>IF(OR(U62="",T62=""),"",IF(T62&lt;=0,"",IFERROR(U62/T62-1,"")))</f>
        <v/>
      </c>
      <c r="V63" s="15">
        <f>IF(OR(V62="",U62=""),"",IF(U62&lt;=0,"",IFERROR(V62/U62-1,"")))</f>
        <v/>
      </c>
      <c r="W63" s="15">
        <f>IF(OR(W62="",V62=""),"",IF(V62&lt;=0,"",IFERROR(W62/V62-1,"")))</f>
        <v/>
      </c>
      <c r="X63" s="15">
        <f>IF(OR(X62="",W62=""),"",IF(W62&lt;=0,"",IFERROR(X62/W62-1,"")))</f>
        <v/>
      </c>
      <c r="Y63" s="14">
        <f>IF(OR(Y62="",X62=""),"",IF(X62&lt;=0,"",IFERROR(Y62/X62-1,"")))</f>
        <v/>
      </c>
      <c r="Z63" s="15">
        <f>IF(OR(Z62="",Y62=""),"",IF(Y62&lt;=0,"",IFERROR(Z62/Y62-1,"")))</f>
        <v/>
      </c>
      <c r="AA63" s="15">
        <f>IF(OR(AA62="",Z62=""),"",IF(Z62&lt;=0,"",IFERROR(AA62/Z62-1,"")))</f>
        <v/>
      </c>
      <c r="AB63" s="15">
        <f>IF(OR(AB62="",AA62=""),"",IF(AA62&lt;=0,"",IFERROR(AB62/AA62-1,"")))</f>
        <v/>
      </c>
      <c r="AC63" s="15">
        <f>IF(OR(AC62="",AB62=""),"",IF(AB62&lt;=0,"",IFERROR(AC62/AB62-1,"")))</f>
        <v/>
      </c>
    </row>
    <row r="64">
      <c r="A64" s="9" t="inlineStr">
        <is>
          <t>지배주주 순이익</t>
        </is>
      </c>
      <c r="B64" s="10" t="n"/>
      <c r="C64" s="11" t="n">
        <v>3665</v>
      </c>
      <c r="D64" s="12" t="n">
        <v>4026</v>
      </c>
      <c r="E64" s="12" t="n">
        <v>2066</v>
      </c>
      <c r="F64" s="12" t="n">
        <v>2371</v>
      </c>
      <c r="G64" s="12" t="n">
        <v>-783</v>
      </c>
      <c r="H64" s="12" t="n">
        <v>1204</v>
      </c>
      <c r="I64" s="12" t="n">
        <v>3416</v>
      </c>
      <c r="J64" s="12" t="n">
        <v>2614</v>
      </c>
      <c r="K64" s="12" t="n">
        <v>3776</v>
      </c>
      <c r="L64" s="12" t="n">
        <v>4527</v>
      </c>
      <c r="M64" s="12" t="n">
        <v>5109</v>
      </c>
      <c r="N64" s="12" t="n">
        <v>2474</v>
      </c>
      <c r="O64" s="11" t="n">
        <v>4806</v>
      </c>
      <c r="P64" s="12" t="n">
        <v>10721</v>
      </c>
      <c r="Q64" s="12" t="n">
        <v>3509</v>
      </c>
      <c r="R64" s="12" t="n">
        <v>6357</v>
      </c>
      <c r="S64" s="12" t="n">
        <v>4095</v>
      </c>
      <c r="T64" s="12" t="n">
        <v>3307</v>
      </c>
      <c r="U64" s="12" t="n">
        <v>10576</v>
      </c>
      <c r="V64" s="12" t="n">
        <v>12831</v>
      </c>
      <c r="W64" s="12" t="n">
        <v>6208</v>
      </c>
      <c r="X64" s="12" t="n">
        <v>16026</v>
      </c>
      <c r="Y64" s="11">
        <f>IF(OR(Y62="",Y65=""),"",IFERROR(Y62*Y65,""))</f>
        <v/>
      </c>
      <c r="Z64" s="12">
        <f>IF(OR(Z62="",Z65=""),"",IFERROR(Z62*Z65,""))</f>
        <v/>
      </c>
      <c r="AA64" s="12">
        <f>IF(OR(AA62="",AA65=""),"",IFERROR(AA62*AA65,""))</f>
        <v/>
      </c>
      <c r="AB64" s="12">
        <f>IF(OR(AB62="",AB65=""),"",IFERROR(AB62*AB65,""))</f>
        <v/>
      </c>
      <c r="AC64" s="12">
        <f>IF(OR(AC62="",AC65=""),"",IFERROR(AC62*AC65,""))</f>
        <v/>
      </c>
    </row>
    <row r="65">
      <c r="A65" s="13" t="inlineStr">
        <is>
          <t>지배주주 순이익률</t>
        </is>
      </c>
      <c r="B65" s="10" t="inlineStr">
        <is>
          <t>MW 기본 100%</t>
        </is>
      </c>
      <c r="C65" s="14">
        <f>IF(OR(C64="",C62=""),"",IFERROR(C64/C62,""))</f>
        <v/>
      </c>
      <c r="D65" s="15">
        <f>IF(OR(D64="",D62=""),"",IFERROR(D64/D62,""))</f>
        <v/>
      </c>
      <c r="E65" s="15">
        <f>IF(OR(E64="",E62=""),"",IFERROR(E64/E62,""))</f>
        <v/>
      </c>
      <c r="F65" s="15">
        <f>IF(OR(F64="",F62=""),"",IFERROR(F64/F62,""))</f>
        <v/>
      </c>
      <c r="G65" s="15">
        <f>IF(OR(G64="",G62=""),"",IFERROR(G64/G62,""))</f>
        <v/>
      </c>
      <c r="H65" s="15">
        <f>IF(OR(H64="",H62=""),"",IFERROR(H64/H62,""))</f>
        <v/>
      </c>
      <c r="I65" s="15">
        <f>IF(OR(I64="",I62=""),"",IFERROR(I64/I62,""))</f>
        <v/>
      </c>
      <c r="J65" s="15">
        <f>IF(OR(J64="",J62=""),"",IFERROR(J64/J62,""))</f>
        <v/>
      </c>
      <c r="K65" s="15">
        <f>IF(OR(K64="",K62=""),"",IFERROR(K64/K62,""))</f>
        <v/>
      </c>
      <c r="L65" s="15">
        <f>IF(OR(L64="",L62=""),"",IFERROR(L64/L62,""))</f>
        <v/>
      </c>
      <c r="M65" s="15">
        <f>IF(OR(M64="",M62=""),"",IFERROR(M64/M62,""))</f>
        <v/>
      </c>
      <c r="N65" s="15">
        <f>IF(OR(N64="",N62=""),"",IFERROR(N64/N62,""))</f>
        <v/>
      </c>
      <c r="O65" s="14">
        <f>IF(OR(O64="",O62=""),"",IFERROR(O64/O62,""))</f>
        <v/>
      </c>
      <c r="P65" s="15">
        <f>IF(OR(P64="",P62=""),"",IFERROR(P64/P62,""))</f>
        <v/>
      </c>
      <c r="Q65" s="15">
        <f>IF(OR(Q64="",Q62=""),"",IFERROR(Q64/Q62,""))</f>
        <v/>
      </c>
      <c r="R65" s="15">
        <f>IF(OR(R64="",R62=""),"",IFERROR(R64/R62,""))</f>
        <v/>
      </c>
      <c r="S65" s="15">
        <f>IF(OR(S64="",S62=""),"",IFERROR(S64/S62,""))</f>
        <v/>
      </c>
      <c r="T65" s="15">
        <f>IF(OR(T64="",T62=""),"",IFERROR(T64/T62,""))</f>
        <v/>
      </c>
      <c r="U65" s="15">
        <f>IF(OR(U64="",U62=""),"",IFERROR(U64/U62,""))</f>
        <v/>
      </c>
      <c r="V65" s="15">
        <f>IF(OR(V64="",V62=""),"",IFERROR(V64/V62,""))</f>
        <v/>
      </c>
      <c r="W65" s="15">
        <f>IF(OR(W64="",W62=""),"",IFERROR(W64/W62,""))</f>
        <v/>
      </c>
      <c r="X65" s="15">
        <f>IF(OR(X64="",X62=""),"",IFERROR(X64/X62,""))</f>
        <v/>
      </c>
      <c r="Y65" s="25" t="n">
        <v>1</v>
      </c>
      <c r="Z65" s="26" t="n">
        <v>1</v>
      </c>
      <c r="AA65" s="26" t="n">
        <v>1</v>
      </c>
      <c r="AB65" s="26" t="n">
        <v>1</v>
      </c>
      <c r="AC65" s="26" t="n">
        <v>1</v>
      </c>
    </row>
    <row r="66">
      <c r="A66" s="13" t="inlineStr">
        <is>
          <t>지배주주 순이익 YoY</t>
        </is>
      </c>
      <c r="B66" s="10" t="n"/>
      <c r="C66" s="14" t="n"/>
      <c r="D66" s="15" t="n"/>
      <c r="E66" s="15" t="n"/>
      <c r="F66" s="15" t="n"/>
      <c r="G66" s="15">
        <f>IF(OR(G64="",C64=""),"",IF(C64&lt;=0,"",IFERROR(G64/C64-1,"")))</f>
        <v/>
      </c>
      <c r="H66" s="15">
        <f>IF(OR(H64="",D64=""),"",IF(D64&lt;=0,"",IFERROR(H64/D64-1,"")))</f>
        <v/>
      </c>
      <c r="I66" s="15">
        <f>IF(OR(I64="",E64=""),"",IF(E64&lt;=0,"",IFERROR(I64/E64-1,"")))</f>
        <v/>
      </c>
      <c r="J66" s="15">
        <f>IF(OR(J64="",F64=""),"",IF(F64&lt;=0,"",IFERROR(J64/F64-1,"")))</f>
        <v/>
      </c>
      <c r="K66" s="15">
        <f>IF(OR(K64="",G64=""),"",IF(G64&lt;=0,"",IFERROR(K64/G64-1,"")))</f>
        <v/>
      </c>
      <c r="L66" s="15">
        <f>IF(OR(L64="",H64=""),"",IF(H64&lt;=0,"",IFERROR(L64/H64-1,"")))</f>
        <v/>
      </c>
      <c r="M66" s="15">
        <f>IF(OR(M64="",I64=""),"",IF(I64&lt;=0,"",IFERROR(M64/I64-1,"")))</f>
        <v/>
      </c>
      <c r="N66" s="15">
        <f>IF(OR(N64="",J64=""),"",IF(J64&lt;=0,"",IFERROR(N64/J64-1,"")))</f>
        <v/>
      </c>
      <c r="O66" s="14" t="n"/>
      <c r="P66" s="15">
        <f>IF(OR(P64="",O64=""),"",IF(O64&lt;=0,"",IFERROR(P64/O64-1,"")))</f>
        <v/>
      </c>
      <c r="Q66" s="15">
        <f>IF(OR(Q64="",P64=""),"",IF(P64&lt;=0,"",IFERROR(Q64/P64-1,"")))</f>
        <v/>
      </c>
      <c r="R66" s="15">
        <f>IF(OR(R64="",Q64=""),"",IF(Q64&lt;=0,"",IFERROR(R64/Q64-1,"")))</f>
        <v/>
      </c>
      <c r="S66" s="15">
        <f>IF(OR(S64="",R64=""),"",IF(R64&lt;=0,"",IFERROR(S64/R64-1,"")))</f>
        <v/>
      </c>
      <c r="T66" s="15">
        <f>IF(OR(T64="",S64=""),"",IF(S64&lt;=0,"",IFERROR(T64/S64-1,"")))</f>
        <v/>
      </c>
      <c r="U66" s="15">
        <f>IF(OR(U64="",T64=""),"",IF(T64&lt;=0,"",IFERROR(U64/T64-1,"")))</f>
        <v/>
      </c>
      <c r="V66" s="15">
        <f>IF(OR(V64="",U64=""),"",IF(U64&lt;=0,"",IFERROR(V64/U64-1,"")))</f>
        <v/>
      </c>
      <c r="W66" s="15">
        <f>IF(OR(W64="",V64=""),"",IF(V64&lt;=0,"",IFERROR(W64/V64-1,"")))</f>
        <v/>
      </c>
      <c r="X66" s="15">
        <f>IF(OR(X64="",W64=""),"",IF(W64&lt;=0,"",IFERROR(X64/W64-1,"")))</f>
        <v/>
      </c>
      <c r="Y66" s="14">
        <f>IF(OR(Y64="",X64=""),"",IF(X64&lt;=0,"",IFERROR(Y64/X64-1,"")))</f>
        <v/>
      </c>
      <c r="Z66" s="15">
        <f>IF(OR(Z64="",Y64=""),"",IF(Y64&lt;=0,"",IFERROR(Z64/Y64-1,"")))</f>
        <v/>
      </c>
      <c r="AA66" s="15">
        <f>IF(OR(AA64="",Z64=""),"",IF(Z64&lt;=0,"",IFERROR(AA64/Z64-1,"")))</f>
        <v/>
      </c>
      <c r="AB66" s="15">
        <f>IF(OR(AB64="",AA64=""),"",IF(AA64&lt;=0,"",IFERROR(AB64/AA64-1,"")))</f>
        <v/>
      </c>
      <c r="AC66" s="15">
        <f>IF(OR(AC64="",AB64=""),"",IF(AB64&lt;=0,"",IFERROR(AC64/AB64-1,"")))</f>
        <v/>
      </c>
    </row>
    <row r="67">
      <c r="A67" s="16" t="inlineStr">
        <is>
          <t>목표주가 산출</t>
        </is>
      </c>
      <c r="B67" s="16" t="n"/>
      <c r="C67" s="17" t="n"/>
      <c r="D67" s="16" t="n"/>
      <c r="E67" s="16" t="n"/>
      <c r="F67" s="16" t="n"/>
      <c r="G67" s="16" t="n"/>
      <c r="H67" s="16" t="n"/>
      <c r="I67" s="16" t="n"/>
      <c r="J67" s="16" t="n"/>
      <c r="K67" s="16" t="n"/>
      <c r="L67" s="16" t="n"/>
      <c r="M67" s="16" t="n"/>
      <c r="N67" s="16" t="n"/>
      <c r="O67" s="17" t="n"/>
      <c r="P67" s="16" t="n"/>
      <c r="Q67" s="16" t="n"/>
      <c r="R67" s="16" t="n"/>
      <c r="S67" s="16" t="n"/>
      <c r="T67" s="16" t="n"/>
      <c r="U67" s="16" t="n"/>
      <c r="V67" s="16" t="n"/>
      <c r="W67" s="16" t="n"/>
      <c r="X67" s="16" t="n"/>
      <c r="Y67" s="17" t="n"/>
      <c r="Z67" s="16" t="n"/>
      <c r="AA67" s="16" t="n"/>
      <c r="AB67" s="16" t="n"/>
      <c r="AC67" s="16" t="n"/>
    </row>
    <row r="68">
      <c r="A68" s="18" t="inlineStr">
        <is>
          <t>현재 주가 (2026.10.28)</t>
        </is>
      </c>
      <c r="B68" s="27" t="n">
        <v>994</v>
      </c>
      <c r="C68" s="28" t="n"/>
      <c r="D68" s="29" t="n"/>
      <c r="E68" s="29" t="n"/>
      <c r="F68" s="29" t="n"/>
      <c r="G68" s="29" t="n"/>
      <c r="H68" s="29" t="n"/>
      <c r="I68" s="29" t="n"/>
      <c r="J68" s="29" t="n"/>
      <c r="K68" s="29" t="n"/>
      <c r="L68" s="29" t="n"/>
      <c r="M68" s="29" t="n"/>
      <c r="N68" s="29" t="n"/>
      <c r="O68" s="28" t="n"/>
      <c r="P68" s="29" t="n"/>
      <c r="Q68" s="29" t="n"/>
      <c r="R68" s="29" t="n"/>
      <c r="S68" s="29" t="n"/>
      <c r="T68" s="29" t="n"/>
      <c r="U68" s="29" t="n"/>
      <c r="V68" s="29" t="n"/>
      <c r="W68" s="29" t="n"/>
      <c r="X68" s="29" t="n"/>
      <c r="Y68" s="28" t="n"/>
      <c r="Z68" s="29" t="n"/>
      <c r="AA68" s="29" t="n"/>
      <c r="AB68" s="29" t="n"/>
      <c r="AC68" s="29" t="n"/>
    </row>
    <row r="69">
      <c r="A69" s="18" t="inlineStr">
        <is>
          <t>발행주식수 (보통주)</t>
        </is>
      </c>
      <c r="B69" s="27" t="n">
        <v>89580827</v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 t="n"/>
      <c r="P69" s="29" t="n"/>
      <c r="Q69" s="29" t="n"/>
      <c r="R69" s="29" t="n"/>
      <c r="S69" s="29" t="n"/>
      <c r="T69" s="29" t="n"/>
      <c r="U69" s="29" t="n"/>
      <c r="V69" s="29" t="n"/>
      <c r="W69" s="29" t="n"/>
      <c r="X69" s="29" t="n"/>
      <c r="Y69" s="28" t="n"/>
      <c r="Z69" s="29" t="n"/>
      <c r="AA69" s="29" t="n"/>
      <c r="AB69" s="29" t="n"/>
      <c r="AC69" s="29" t="n"/>
    </row>
    <row r="70">
      <c r="A70" s="18" t="inlineStr">
        <is>
          <t>시가총액 (백만엔)</t>
        </is>
      </c>
      <c r="B70" s="12">
        <f>IF(OR(B68="",B69=""),"",B68*B69/1000000.0)</f>
        <v/>
      </c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19" t="n"/>
      <c r="Z70" s="20" t="n"/>
      <c r="AA70" s="20" t="n"/>
      <c r="AB70" s="20" t="n"/>
      <c r="AC70" s="20" t="n"/>
    </row>
    <row r="71">
      <c r="A71" s="13" t="inlineStr">
        <is>
          <t>OPM</t>
        </is>
      </c>
      <c r="B71" s="10" t="n"/>
      <c r="C71" s="14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4">
        <f>IF(O35="","",O35)</f>
        <v/>
      </c>
      <c r="P71" s="15">
        <f>IF(P35="","",P35)</f>
        <v/>
      </c>
      <c r="Q71" s="15">
        <f>IF(Q35="","",Q35)</f>
        <v/>
      </c>
      <c r="R71" s="15">
        <f>IF(R35="","",R35)</f>
        <v/>
      </c>
      <c r="S71" s="15">
        <f>IF(S35="","",S35)</f>
        <v/>
      </c>
      <c r="T71" s="15">
        <f>IF(T35="","",T35)</f>
        <v/>
      </c>
      <c r="U71" s="15">
        <f>IF(U35="","",U35)</f>
        <v/>
      </c>
      <c r="V71" s="15">
        <f>IF(V35="","",V35)</f>
        <v/>
      </c>
      <c r="W71" s="15">
        <f>IF(W35="","",W35)</f>
        <v/>
      </c>
      <c r="X71" s="15">
        <f>IF(X35="","",X35)</f>
        <v/>
      </c>
      <c r="Y71" s="14">
        <f>IF(Y35="","",Y35)</f>
        <v/>
      </c>
      <c r="Z71" s="15">
        <f>IF(Z35="","",Z35)</f>
        <v/>
      </c>
      <c r="AA71" s="15">
        <f>IF(AA35="","",AA35)</f>
        <v/>
      </c>
      <c r="AB71" s="15">
        <f>IF(AB35="","",AB35)</f>
        <v/>
      </c>
      <c r="AC71" s="15">
        <f>IF(AC35="","",AC35)</f>
        <v/>
      </c>
    </row>
    <row r="72">
      <c r="A72" s="13" t="inlineStr">
        <is>
          <t>지배주주 순이익 증가율</t>
        </is>
      </c>
      <c r="B72" s="10" t="n"/>
      <c r="C72" s="14" t="n"/>
      <c r="D72" s="15" t="n"/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4" t="n"/>
      <c r="P72" s="15">
        <f>IF(OR(P64="",O64=""),"",IFERROR(P64/O64-1,""))</f>
        <v/>
      </c>
      <c r="Q72" s="15">
        <f>IF(OR(Q64="",P64=""),"",IFERROR(Q64/P64-1,""))</f>
        <v/>
      </c>
      <c r="R72" s="15">
        <f>IF(OR(R64="",Q64=""),"",IFERROR(R64/Q64-1,""))</f>
        <v/>
      </c>
      <c r="S72" s="15">
        <f>IF(OR(S64="",R64=""),"",IFERROR(S64/R64-1,""))</f>
        <v/>
      </c>
      <c r="T72" s="15">
        <f>IF(OR(T64="",S64=""),"",IFERROR(T64/S64-1,""))</f>
        <v/>
      </c>
      <c r="U72" s="15">
        <f>IF(OR(U64="",T64=""),"",IFERROR(U64/T64-1,""))</f>
        <v/>
      </c>
      <c r="V72" s="15">
        <f>IF(OR(V64="",U64=""),"",IFERROR(V64/U64-1,""))</f>
        <v/>
      </c>
      <c r="W72" s="15">
        <f>IF(OR(W64="",V64=""),"",IFERROR(W64/V64-1,""))</f>
        <v/>
      </c>
      <c r="X72" s="15">
        <f>IF(OR(X64="",W64=""),"",IFERROR(X64/W64-1,""))</f>
        <v/>
      </c>
      <c r="Y72" s="14">
        <f>IF(OR(Y64="",X64=""),"",IFERROR(Y64/X64-1,""))</f>
        <v/>
      </c>
      <c r="Z72" s="15">
        <f>IF(OR(Z64="",Y64=""),"",IFERROR(Z64/Y64-1,""))</f>
        <v/>
      </c>
      <c r="AA72" s="15">
        <f>IF(OR(AA64="",Z64=""),"",IFERROR(AA64/Z64-1,""))</f>
        <v/>
      </c>
      <c r="AB72" s="15">
        <f>IF(OR(AB64="",AA64=""),"",IFERROR(AB64/AA64-1,""))</f>
        <v/>
      </c>
      <c r="AC72" s="15">
        <f>IF(OR(AC64="",AB64=""),"",IFERROR(AC64/AB64-1,""))</f>
        <v/>
      </c>
    </row>
    <row r="73">
      <c r="A73" s="18" t="inlineStr">
        <is>
          <t>P/E (현재 주가)</t>
        </is>
      </c>
      <c r="B73" s="10" t="inlineStr">
        <is>
          <t>시총 ÷ 지배순이익</t>
        </is>
      </c>
      <c r="C73" s="30" t="n"/>
      <c r="D73" s="31" t="n"/>
      <c r="E73" s="31" t="n"/>
      <c r="F73" s="31" t="n"/>
      <c r="G73" s="31" t="n"/>
      <c r="H73" s="31" t="n"/>
      <c r="I73" s="31" t="n"/>
      <c r="J73" s="31" t="n"/>
      <c r="K73" s="31" t="n"/>
      <c r="L73" s="31" t="n"/>
      <c r="M73" s="31" t="n"/>
      <c r="N73" s="31" t="n"/>
      <c r="O73" s="30" t="n"/>
      <c r="P73" s="31" t="n"/>
      <c r="Q73" s="31" t="n"/>
      <c r="R73" s="31" t="n"/>
      <c r="S73" s="31" t="n"/>
      <c r="T73" s="31" t="n"/>
      <c r="U73" s="31" t="n"/>
      <c r="V73" s="31" t="n"/>
      <c r="W73" s="31" t="n"/>
      <c r="X73" s="31">
        <f>IF(OR($B$70="",X64=""),"",IFERROR($B$70/X64,""))</f>
        <v/>
      </c>
      <c r="Y73" s="30">
        <f>IF(OR($B$70="",Y64=""),"",IFERROR($B$70/Y64,""))</f>
        <v/>
      </c>
      <c r="Z73" s="31">
        <f>IF(OR($B$70="",Z64=""),"",IFERROR($B$70/Z64,""))</f>
        <v/>
      </c>
      <c r="AA73" s="31">
        <f>IF(OR($B$70="",AA64=""),"",IFERROR($B$70/AA64,""))</f>
        <v/>
      </c>
      <c r="AB73" s="31">
        <f>IF(OR($B$70="",AB64=""),"",IFERROR($B$70/AB64,""))</f>
        <v/>
      </c>
      <c r="AC73" s="31">
        <f>IF(OR($B$70="",AC64=""),"",IFERROR($B$70/AC64,""))</f>
        <v/>
      </c>
    </row>
    <row r="74">
      <c r="A74" s="18" t="inlineStr">
        <is>
          <t>Target P/E</t>
        </is>
      </c>
      <c r="B74" s="10" t="inlineStr">
        <is>
          <t>직접 입력</t>
        </is>
      </c>
      <c r="C74" s="30" t="n"/>
      <c r="D74" s="31" t="n"/>
      <c r="E74" s="31" t="n"/>
      <c r="F74" s="31" t="n"/>
      <c r="G74" s="31" t="n"/>
      <c r="H74" s="31" t="n"/>
      <c r="I74" s="31" t="n"/>
      <c r="J74" s="31" t="n"/>
      <c r="K74" s="31" t="n"/>
      <c r="L74" s="31" t="n"/>
      <c r="M74" s="31" t="n"/>
      <c r="N74" s="31" t="n"/>
      <c r="O74" s="30" t="n"/>
      <c r="P74" s="31" t="n"/>
      <c r="Q74" s="31" t="n"/>
      <c r="R74" s="31" t="n"/>
      <c r="S74" s="31" t="n"/>
      <c r="T74" s="31" t="n"/>
      <c r="U74" s="31" t="n"/>
      <c r="V74" s="31" t="n"/>
      <c r="W74" s="31" t="n"/>
      <c r="X74" s="31" t="n"/>
      <c r="Y74" s="32" t="n"/>
      <c r="Z74" s="33" t="n"/>
      <c r="AA74" s="33" t="n"/>
      <c r="AB74" s="33" t="n"/>
      <c r="AC74" s="33" t="n"/>
    </row>
    <row r="75">
      <c r="A75" s="18" t="inlineStr">
        <is>
          <t>EPS</t>
        </is>
      </c>
      <c r="B75" s="10" t="inlineStr">
        <is>
          <t>지배순이익 ÷ 주식수</t>
        </is>
      </c>
      <c r="C75" s="28" t="n"/>
      <c r="D75" s="29" t="n"/>
      <c r="E75" s="29" t="n"/>
      <c r="F75" s="29" t="n"/>
      <c r="G75" s="29" t="n"/>
      <c r="H75" s="29" t="n"/>
      <c r="I75" s="29" t="n"/>
      <c r="J75" s="29" t="n"/>
      <c r="K75" s="29" t="n"/>
      <c r="L75" s="29" t="n"/>
      <c r="M75" s="29" t="n"/>
      <c r="N75" s="29" t="n"/>
      <c r="O75" s="28">
        <f>IF(OR(O64="",$B$69=""),"",IFERROR(O64*1000000.0/$B$69,""))</f>
        <v/>
      </c>
      <c r="P75" s="29">
        <f>IF(OR(P64="",$B$69=""),"",IFERROR(P64*1000000.0/$B$69,""))</f>
        <v/>
      </c>
      <c r="Q75" s="29">
        <f>IF(OR(Q64="",$B$69=""),"",IFERROR(Q64*1000000.0/$B$69,""))</f>
        <v/>
      </c>
      <c r="R75" s="29">
        <f>IF(OR(R64="",$B$69=""),"",IFERROR(R64*1000000.0/$B$69,""))</f>
        <v/>
      </c>
      <c r="S75" s="29">
        <f>IF(OR(S64="",$B$69=""),"",IFERROR(S64*1000000.0/$B$69,""))</f>
        <v/>
      </c>
      <c r="T75" s="29">
        <f>IF(OR(T64="",$B$69=""),"",IFERROR(T64*1000000.0/$B$69,""))</f>
        <v/>
      </c>
      <c r="U75" s="29">
        <f>IF(OR(U64="",$B$69=""),"",IFERROR(U64*1000000.0/$B$69,""))</f>
        <v/>
      </c>
      <c r="V75" s="29">
        <f>IF(OR(V64="",$B$69=""),"",IFERROR(V64*1000000.0/$B$69,""))</f>
        <v/>
      </c>
      <c r="W75" s="29">
        <f>IF(OR(W64="",$B$69=""),"",IFERROR(W64*1000000.0/$B$69,""))</f>
        <v/>
      </c>
      <c r="X75" s="29">
        <f>IF(OR(X64="",$B$69=""),"",IFERROR(X64*1000000.0/$B$69,""))</f>
        <v/>
      </c>
      <c r="Y75" s="28">
        <f>IF(OR(Y64="",$B$69=""),"",IFERROR(Y64*1000000.0/$B$69,""))</f>
        <v/>
      </c>
      <c r="Z75" s="29">
        <f>IF(OR(Z64="",$B$69=""),"",IFERROR(Z64*1000000.0/$B$69,""))</f>
        <v/>
      </c>
      <c r="AA75" s="29">
        <f>IF(OR(AA64="",$B$69=""),"",IFERROR(AA64*1000000.0/$B$69,""))</f>
        <v/>
      </c>
      <c r="AB75" s="29">
        <f>IF(OR(AB64="",$B$69=""),"",IFERROR(AB64*1000000.0/$B$69,""))</f>
        <v/>
      </c>
      <c r="AC75" s="29">
        <f>IF(OR(AC64="",$B$69=""),"",IFERROR(AC64*1000000.0/$B$69,""))</f>
        <v/>
      </c>
    </row>
    <row r="76">
      <c r="A76" s="9" t="inlineStr">
        <is>
          <t>목표주가</t>
        </is>
      </c>
      <c r="B76" s="10" t="n"/>
      <c r="C76" s="34" t="n"/>
      <c r="D76" s="27" t="n"/>
      <c r="E76" s="27" t="n"/>
      <c r="F76" s="27" t="n"/>
      <c r="G76" s="27" t="n"/>
      <c r="H76" s="27" t="n"/>
      <c r="I76" s="27" t="n"/>
      <c r="J76" s="27" t="n"/>
      <c r="K76" s="27" t="n"/>
      <c r="L76" s="27" t="n"/>
      <c r="M76" s="27" t="n"/>
      <c r="N76" s="27" t="n"/>
      <c r="O76" s="34" t="n"/>
      <c r="P76" s="27" t="n"/>
      <c r="Q76" s="27" t="n"/>
      <c r="R76" s="27" t="n"/>
      <c r="S76" s="27" t="n"/>
      <c r="T76" s="27" t="n"/>
      <c r="U76" s="27" t="n"/>
      <c r="V76" s="27" t="n"/>
      <c r="W76" s="27" t="n"/>
      <c r="X76" s="27" t="n"/>
      <c r="Y76" s="34">
        <f>IF(OR(Y75="",Y74=""),"",IFERROR(Y75*Y74,""))</f>
        <v/>
      </c>
      <c r="Z76" s="27">
        <f>IF(OR(Z75="",Z74=""),"",IFERROR(Z75*Z74,""))</f>
        <v/>
      </c>
      <c r="AA76" s="27">
        <f>IF(OR(AA75="",AA74=""),"",IFERROR(AA75*AA74,""))</f>
        <v/>
      </c>
      <c r="AB76" s="27">
        <f>IF(OR(AB75="",AB74=""),"",IFERROR(AB75*AB74,""))</f>
        <v/>
      </c>
      <c r="AC76" s="27">
        <f>IF(OR(AC75="",AC74=""),"",IFERROR(AC75*AC74,""))</f>
        <v/>
      </c>
    </row>
    <row r="77">
      <c r="A77" s="18" t="inlineStr">
        <is>
          <t>상승여력</t>
        </is>
      </c>
      <c r="B77" s="10" t="n"/>
      <c r="C77" s="35" t="n"/>
      <c r="D77" s="36" t="n"/>
      <c r="E77" s="36" t="n"/>
      <c r="F77" s="36" t="n"/>
      <c r="G77" s="36" t="n"/>
      <c r="H77" s="36" t="n"/>
      <c r="I77" s="36" t="n"/>
      <c r="J77" s="36" t="n"/>
      <c r="K77" s="36" t="n"/>
      <c r="L77" s="36" t="n"/>
      <c r="M77" s="36" t="n"/>
      <c r="N77" s="36" t="n"/>
      <c r="O77" s="35" t="n"/>
      <c r="P77" s="36" t="n"/>
      <c r="Q77" s="36" t="n"/>
      <c r="R77" s="36" t="n"/>
      <c r="S77" s="36" t="n"/>
      <c r="T77" s="36" t="n"/>
      <c r="U77" s="36" t="n"/>
      <c r="V77" s="36" t="n"/>
      <c r="W77" s="36" t="n"/>
      <c r="X77" s="36" t="n"/>
      <c r="Y77" s="37">
        <f>IF(OR(Y76="",$B$68=""),"",IFERROR(Y76/$B$68-1,""))</f>
        <v/>
      </c>
      <c r="Z77" s="38">
        <f>IF(OR(Z76="",$B$68=""),"",IFERROR(Z76/$B$68-1,""))</f>
        <v/>
      </c>
      <c r="AA77" s="38">
        <f>IF(OR(AA76="",$B$68=""),"",IFERROR(AA76/$B$68-1,""))</f>
        <v/>
      </c>
      <c r="AB77" s="38">
        <f>IF(OR(AB76="",$B$68=""),"",IFERROR(AB76/$B$68-1,""))</f>
        <v/>
      </c>
      <c r="AC77" s="38">
        <f>IF(OR(AC76="",$B$68=""),"",IFERROR(AC76/$B$68-1,""))</f>
        <v/>
      </c>
    </row>
    <row r="78">
      <c r="A78" s="16" t="inlineStr">
        <is>
          <t>자산가치 산출</t>
        </is>
      </c>
      <c r="B78" s="16" t="inlineStr">
        <is>
          <t>최신 분기 BS</t>
        </is>
      </c>
      <c r="C78" s="17" t="n"/>
      <c r="D78" s="16" t="n"/>
      <c r="E78" s="16" t="n"/>
      <c r="F78" s="16" t="n"/>
      <c r="G78" s="16" t="n"/>
      <c r="H78" s="16" t="n"/>
      <c r="I78" s="16" t="n"/>
      <c r="J78" s="16" t="n"/>
      <c r="K78" s="16" t="n"/>
      <c r="L78" s="16" t="n"/>
      <c r="M78" s="16" t="n"/>
      <c r="N78" s="16" t="n"/>
      <c r="O78" s="17" t="n"/>
      <c r="P78" s="16" t="n"/>
      <c r="Q78" s="16" t="n"/>
      <c r="R78" s="16" t="n"/>
      <c r="S78" s="16" t="n"/>
      <c r="T78" s="16" t="n"/>
      <c r="U78" s="16" t="n"/>
      <c r="V78" s="16" t="n"/>
      <c r="W78" s="16" t="n"/>
      <c r="X78" s="16" t="n"/>
      <c r="Y78" s="17" t="n"/>
      <c r="Z78" s="16" t="n"/>
      <c r="AA78" s="16" t="n"/>
      <c r="AB78" s="16" t="n"/>
      <c r="AC78" s="16" t="n"/>
    </row>
    <row r="79">
      <c r="A79" s="18" t="inlineStr">
        <is>
          <t>현금및현금성자산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'재무상태표'!G6</f>
        <v/>
      </c>
      <c r="Y79" s="19">
        <f>'재무상태표'!G6</f>
        <v/>
      </c>
      <c r="Z79" s="20">
        <f>'재무상태표'!G6</f>
        <v/>
      </c>
      <c r="AA79" s="20">
        <f>'재무상태표'!G6</f>
        <v/>
      </c>
      <c r="AB79" s="20">
        <f>'재무상태표'!G6</f>
        <v/>
      </c>
      <c r="AC79" s="20">
        <f>'재무상태표'!G6</f>
        <v/>
      </c>
    </row>
    <row r="80">
      <c r="A80" s="18" t="inlineStr">
        <is>
          <t>단기금융상품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'재무상태표'!G7</f>
        <v/>
      </c>
      <c r="Y80" s="19">
        <f>'재무상태표'!G7</f>
        <v/>
      </c>
      <c r="Z80" s="20">
        <f>'재무상태표'!G7</f>
        <v/>
      </c>
      <c r="AA80" s="20">
        <f>'재무상태표'!G7</f>
        <v/>
      </c>
      <c r="AB80" s="20">
        <f>'재무상태표'!G7</f>
        <v/>
      </c>
      <c r="AC80" s="20">
        <f>'재무상태표'!G7</f>
        <v/>
      </c>
    </row>
    <row r="81">
      <c r="A81" s="18" t="inlineStr">
        <is>
          <t>투자부동산</t>
        </is>
      </c>
      <c r="B81" s="10" t="n"/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>
        <f>'재무상태표'!G14</f>
        <v/>
      </c>
      <c r="Y81" s="19">
        <f>'재무상태표'!G14</f>
        <v/>
      </c>
      <c r="Z81" s="20">
        <f>'재무상태표'!G14</f>
        <v/>
      </c>
      <c r="AA81" s="20">
        <f>'재무상태표'!G14</f>
        <v/>
      </c>
      <c r="AB81" s="20">
        <f>'재무상태표'!G14</f>
        <v/>
      </c>
      <c r="AC81" s="20">
        <f>'재무상태표'!G14</f>
        <v/>
      </c>
    </row>
    <row r="82">
      <c r="A82" s="18" t="inlineStr">
        <is>
          <t>지배자본</t>
        </is>
      </c>
      <c r="B82" s="10" t="n"/>
      <c r="C82" s="19" t="n"/>
      <c r="D82" s="20" t="n"/>
      <c r="E82" s="20" t="n"/>
      <c r="F82" s="20" t="n"/>
      <c r="G82" s="20" t="n"/>
      <c r="H82" s="20" t="n"/>
      <c r="I82" s="20" t="n"/>
      <c r="J82" s="20" t="n"/>
      <c r="K82" s="20" t="n"/>
      <c r="L82" s="20" t="n"/>
      <c r="M82" s="20" t="n"/>
      <c r="N82" s="20" t="n"/>
      <c r="O82" s="19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>
        <f>'재무상태표'!G31</f>
        <v/>
      </c>
      <c r="Y82" s="19">
        <f>'재무상태표'!G31</f>
        <v/>
      </c>
      <c r="Z82" s="20">
        <f>'재무상태표'!G31</f>
        <v/>
      </c>
      <c r="AA82" s="20">
        <f>'재무상태표'!G31</f>
        <v/>
      </c>
      <c r="AB82" s="20">
        <f>'재무상태표'!G31</f>
        <v/>
      </c>
      <c r="AC82" s="20">
        <f>'재무상태표'!G31</f>
        <v/>
      </c>
    </row>
    <row r="83">
      <c r="A83" s="18" t="inlineStr">
        <is>
          <t>부채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>
        <f>'재무상태표'!G27</f>
        <v/>
      </c>
      <c r="Y83" s="19">
        <f>'재무상태표'!G27</f>
        <v/>
      </c>
      <c r="Z83" s="20">
        <f>'재무상태표'!G27</f>
        <v/>
      </c>
      <c r="AA83" s="20">
        <f>'재무상태표'!G27</f>
        <v/>
      </c>
      <c r="AB83" s="20">
        <f>'재무상태표'!G27</f>
        <v/>
      </c>
      <c r="AC83" s="20">
        <f>'재무상태표'!G27</f>
        <v/>
      </c>
    </row>
    <row r="84">
      <c r="A84" s="13" t="inlineStr">
        <is>
          <t>부채비율</t>
        </is>
      </c>
      <c r="B84" s="10" t="n"/>
      <c r="C84" s="14" t="n"/>
      <c r="D84" s="15" t="n"/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4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>
        <f>IF(OR(X83="",X82=""),"",IFERROR(X83/X82,""))</f>
        <v/>
      </c>
      <c r="Y84" s="14">
        <f>IF(OR(Y83="",Y82=""),"",IFERROR(Y83/Y82,""))</f>
        <v/>
      </c>
      <c r="Z84" s="15">
        <f>IF(OR(Z83="",Z82=""),"",IFERROR(Z83/Z82,""))</f>
        <v/>
      </c>
      <c r="AA84" s="15">
        <f>IF(OR(AA83="",AA82=""),"",IFERROR(AA83/AA82,""))</f>
        <v/>
      </c>
      <c r="AB84" s="15">
        <f>IF(OR(AB83="",AB82=""),"",IFERROR(AB83/AB82,""))</f>
        <v/>
      </c>
      <c r="AC84" s="15">
        <f>IF(OR(AC83="",AC82=""),"",IFERROR(AC83/AC82,""))</f>
        <v/>
      </c>
    </row>
    <row r="85">
      <c r="A85" s="9" t="inlineStr">
        <is>
          <t>자산가치</t>
        </is>
      </c>
      <c r="B85" s="10" t="inlineStr">
        <is>
          <t>현금+단기금융+투자부동산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>
        <f>SUM(X79,X80,X81)</f>
        <v/>
      </c>
      <c r="Y85" s="11">
        <f>SUM(Y79,Y80,Y81)</f>
        <v/>
      </c>
      <c r="Z85" s="12">
        <f>SUM(Z79,Z80,Z81)</f>
        <v/>
      </c>
      <c r="AA85" s="12">
        <f>SUM(AA79,AA80,AA81)</f>
        <v/>
      </c>
      <c r="AB85" s="12">
        <f>SUM(AB79,AB80,AB81)</f>
        <v/>
      </c>
      <c r="AC85" s="12">
        <f>SUM(AC79,AC80,AC81)</f>
        <v/>
      </c>
    </row>
    <row r="86">
      <c r="A86" s="16" t="inlineStr">
        <is>
          <t>기업가치 산출</t>
        </is>
      </c>
      <c r="B86" s="16" t="n"/>
      <c r="C86" s="17" t="n"/>
      <c r="D86" s="16" t="n"/>
      <c r="E86" s="16" t="n"/>
      <c r="F86" s="16" t="n"/>
      <c r="G86" s="16" t="n"/>
      <c r="H86" s="16" t="n"/>
      <c r="I86" s="16" t="n"/>
      <c r="J86" s="16" t="n"/>
      <c r="K86" s="16" t="n"/>
      <c r="L86" s="16" t="n"/>
      <c r="M86" s="16" t="n"/>
      <c r="N86" s="16" t="n"/>
      <c r="O86" s="17" t="n"/>
      <c r="P86" s="16" t="n"/>
      <c r="Q86" s="16" t="n"/>
      <c r="R86" s="16" t="n"/>
      <c r="S86" s="16" t="n"/>
      <c r="T86" s="16" t="n"/>
      <c r="U86" s="16" t="n"/>
      <c r="V86" s="16" t="n"/>
      <c r="W86" s="16" t="n"/>
      <c r="X86" s="16" t="n"/>
      <c r="Y86" s="17" t="n"/>
      <c r="Z86" s="16" t="n"/>
      <c r="AA86" s="16" t="n"/>
      <c r="AB86" s="16" t="n"/>
      <c r="AC86" s="16" t="n"/>
    </row>
    <row r="87">
      <c r="A87" s="18" t="inlineStr">
        <is>
          <t>목표 시가총액 (P/E)</t>
        </is>
      </c>
      <c r="B87" s="10" t="inlineStr">
        <is>
          <t>지배순이익 × Target P/E</t>
        </is>
      </c>
      <c r="C87" s="19" t="n"/>
      <c r="D87" s="20" t="n"/>
      <c r="E87" s="20" t="n"/>
      <c r="F87" s="20" t="n"/>
      <c r="G87" s="20" t="n"/>
      <c r="H87" s="20" t="n"/>
      <c r="I87" s="20" t="n"/>
      <c r="J87" s="20" t="n"/>
      <c r="K87" s="20" t="n"/>
      <c r="L87" s="20" t="n"/>
      <c r="M87" s="20" t="n"/>
      <c r="N87" s="20" t="n"/>
      <c r="O87" s="19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19">
        <f>IF(OR(Y64="",Y74=""),"",IFERROR(Y64*Y74,""))</f>
        <v/>
      </c>
      <c r="Z87" s="20">
        <f>IF(OR(Z64="",Z74=""),"",IFERROR(Z64*Z74,""))</f>
        <v/>
      </c>
      <c r="AA87" s="20">
        <f>IF(OR(AA64="",AA74=""),"",IFERROR(AA64*AA74,""))</f>
        <v/>
      </c>
      <c r="AB87" s="20">
        <f>IF(OR(AB64="",AB74=""),"",IFERROR(AB64*AB74,""))</f>
        <v/>
      </c>
      <c r="AC87" s="20">
        <f>IF(OR(AC64="",AC74=""),"",IFERROR(AC64*AC74,""))</f>
        <v/>
      </c>
    </row>
    <row r="88">
      <c r="A88" s="9" t="inlineStr">
        <is>
          <t>기업가치</t>
        </is>
      </c>
      <c r="B88" s="10" t="inlineStr">
        <is>
          <t>목표시총 + 자산가치</t>
        </is>
      </c>
      <c r="C88" s="11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1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1">
        <f>IF(OR(Y87=""),"",IFERROR(Y87+Y85,""))</f>
        <v/>
      </c>
      <c r="Z88" s="12">
        <f>IF(OR(Z87=""),"",IFERROR(Z87+Z85,""))</f>
        <v/>
      </c>
      <c r="AA88" s="12">
        <f>IF(OR(AA87=""),"",IFERROR(AA87+AA85,""))</f>
        <v/>
      </c>
      <c r="AB88" s="12">
        <f>IF(OR(AB87=""),"",IFERROR(AB87+AB85,""))</f>
        <v/>
      </c>
      <c r="AC88" s="12">
        <f>IF(OR(AC87=""),"",IFERROR(AC87+AC85,""))</f>
        <v/>
      </c>
    </row>
    <row r="89">
      <c r="A89" s="18" t="inlineStr">
        <is>
          <t>현재 시가총액</t>
        </is>
      </c>
      <c r="B89" s="10" t="n"/>
      <c r="C89" s="19" t="n"/>
      <c r="D89" s="20" t="n"/>
      <c r="E89" s="20" t="n"/>
      <c r="F89" s="20" t="n"/>
      <c r="G89" s="20" t="n"/>
      <c r="H89" s="20" t="n"/>
      <c r="I89" s="20" t="n"/>
      <c r="J89" s="20" t="n"/>
      <c r="K89" s="20" t="n"/>
      <c r="L89" s="20" t="n"/>
      <c r="M89" s="20" t="n"/>
      <c r="N89" s="20" t="n"/>
      <c r="O89" s="19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19">
        <f>$B$70</f>
        <v/>
      </c>
      <c r="Z89" s="20">
        <f>$B$70</f>
        <v/>
      </c>
      <c r="AA89" s="20">
        <f>$B$70</f>
        <v/>
      </c>
      <c r="AB89" s="20">
        <f>$B$70</f>
        <v/>
      </c>
      <c r="AC89" s="20">
        <f>$B$70</f>
        <v/>
      </c>
    </row>
    <row r="90">
      <c r="A90" s="18" t="inlineStr">
        <is>
          <t>상승여력</t>
        </is>
      </c>
      <c r="B90" s="10" t="n"/>
      <c r="C90" s="35" t="n"/>
      <c r="D90" s="36" t="n"/>
      <c r="E90" s="36" t="n"/>
      <c r="F90" s="36" t="n"/>
      <c r="G90" s="36" t="n"/>
      <c r="H90" s="36" t="n"/>
      <c r="I90" s="36" t="n"/>
      <c r="J90" s="36" t="n"/>
      <c r="K90" s="36" t="n"/>
      <c r="L90" s="36" t="n"/>
      <c r="M90" s="36" t="n"/>
      <c r="N90" s="36" t="n"/>
      <c r="O90" s="35" t="n"/>
      <c r="P90" s="36" t="n"/>
      <c r="Q90" s="36" t="n"/>
      <c r="R90" s="36" t="n"/>
      <c r="S90" s="36" t="n"/>
      <c r="T90" s="36" t="n"/>
      <c r="U90" s="36" t="n"/>
      <c r="V90" s="36" t="n"/>
      <c r="W90" s="36" t="n"/>
      <c r="X90" s="36" t="n"/>
      <c r="Y90" s="37">
        <f>IF(OR(Y88="",Y89=""),"",IFERROR(Y88/Y89-1,""))</f>
        <v/>
      </c>
      <c r="Z90" s="38">
        <f>IF(OR(Z88="",Z89=""),"",IFERROR(Z88/Z89-1,""))</f>
        <v/>
      </c>
      <c r="AA90" s="38">
        <f>IF(OR(AA88="",AA89=""),"",IFERROR(AA88/AA89-1,""))</f>
        <v/>
      </c>
      <c r="AB90" s="38">
        <f>IF(OR(AB88="",AB89=""),"",IFERROR(AB88/AB89-1,""))</f>
        <v/>
      </c>
      <c r="AC90" s="38">
        <f>IF(OR(AC88="",AC89=""),"",IFERROR(AC88/AC89-1,""))</f>
        <v/>
      </c>
    </row>
    <row r="91">
      <c r="C91" s="39" t="n"/>
      <c r="O91" s="39" t="n"/>
      <c r="Y91" s="39" t="n"/>
    </row>
    <row r="92">
      <c r="A92" s="40" t="inlineStr">
        <is>
          <t>출처</t>
        </is>
      </c>
      <c r="C92" s="39" t="n"/>
      <c r="O92" s="39" t="n"/>
      <c r="Y92" s="39" t="n"/>
    </row>
    <row r="93">
      <c r="A93" s="41" t="inlineStr">
        <is>
          <t>결산단신 XBRL(TDnet·JPX 보관소) — 쓴 문서는 '출처' 시트</t>
        </is>
      </c>
      <c r="C93" s="39" t="n"/>
      <c r="O93" s="39" t="n"/>
      <c r="Y93" s="39" t="n"/>
    </row>
    <row r="94">
      <c r="A94" s="41" t="inlineStr">
        <is>
          <t>분기 = 누계에서 앞 분기를 뺀 3개월 값</t>
        </is>
      </c>
      <c r="C94" s="39" t="n"/>
      <c r="O94" s="39" t="n"/>
      <c r="Y94" s="39" t="n"/>
    </row>
    <row r="95">
      <c r="A95" s="41" t="inlineStr">
        <is>
          <t>주가: 야후 파이낸스 일봉 2026.10.28</t>
        </is>
      </c>
      <c r="C95" s="39" t="n"/>
      <c r="O95" s="39" t="n"/>
      <c r="Y95" s="39" t="n"/>
    </row>
    <row r="97">
      <c r="A97" s="16" t="inlineStr">
        <is>
          <t>손익계산서 · 전 항목</t>
        </is>
      </c>
      <c r="B97" s="42" t="inlineStr">
        <is>
          <t>분기 = 3개월 단독</t>
        </is>
      </c>
      <c r="C97" s="16" t="n"/>
      <c r="D97" s="16" t="n"/>
      <c r="E97" s="16" t="n"/>
      <c r="F97" s="16" t="n"/>
      <c r="G97" s="16" t="n"/>
      <c r="H97" s="16" t="n"/>
      <c r="I97" s="16" t="n"/>
      <c r="J97" s="16" t="n"/>
      <c r="K97" s="16" t="n"/>
      <c r="L97" s="16" t="n"/>
      <c r="M97" s="16" t="n"/>
      <c r="N97" s="16" t="n"/>
      <c r="O97" s="16" t="n"/>
      <c r="P97" s="16" t="n"/>
      <c r="Q97" s="16" t="n"/>
      <c r="R97" s="16" t="n"/>
      <c r="S97" s="16" t="n"/>
      <c r="T97" s="16" t="n"/>
      <c r="U97" s="16" t="n"/>
      <c r="V97" s="16" t="n"/>
      <c r="W97" s="16" t="n"/>
      <c r="X97" s="16" t="n"/>
      <c r="Y97" s="16" t="n"/>
      <c r="Z97" s="16" t="n"/>
      <c r="AA97" s="16" t="n"/>
      <c r="AB97" s="16" t="n"/>
      <c r="AC97" s="16" t="n"/>
    </row>
    <row r="98">
      <c r="A98" s="5" t="inlineStr">
        <is>
          <t>항목</t>
        </is>
      </c>
      <c r="B98" s="5" t="inlineStr">
        <is>
          <t>참고</t>
        </is>
      </c>
      <c r="C98" s="5" t="inlineStr">
        <is>
          <t>2024.2Q</t>
        </is>
      </c>
      <c r="D98" s="5" t="inlineStr">
        <is>
          <t>2024.3Q</t>
        </is>
      </c>
      <c r="E98" s="5" t="inlineStr">
        <is>
          <t>2024.4Q</t>
        </is>
      </c>
      <c r="F98" s="5" t="inlineStr">
        <is>
          <t>2025.1Q</t>
        </is>
      </c>
      <c r="G98" s="5" t="inlineStr">
        <is>
          <t>2025.2Q</t>
        </is>
      </c>
      <c r="H98" s="5" t="inlineStr">
        <is>
          <t>2025.3Q</t>
        </is>
      </c>
      <c r="I98" s="5" t="inlineStr">
        <is>
          <t>2025.4Q</t>
        </is>
      </c>
      <c r="J98" s="5" t="inlineStr">
        <is>
          <t>2026.1Q</t>
        </is>
      </c>
      <c r="K98" s="5" t="inlineStr">
        <is>
          <t>2026.2Q</t>
        </is>
      </c>
      <c r="L98" s="5" t="inlineStr">
        <is>
          <t>2026.3Q</t>
        </is>
      </c>
      <c r="M98" s="5" t="inlineStr">
        <is>
          <t>2026.4Q</t>
        </is>
      </c>
      <c r="N98" s="5" t="inlineStr">
        <is>
          <t>2027.1Q</t>
        </is>
      </c>
      <c r="O98" s="5" t="inlineStr">
        <is>
          <t>2017</t>
        </is>
      </c>
      <c r="P98" s="5" t="inlineStr">
        <is>
          <t>2018</t>
        </is>
      </c>
      <c r="Q98" s="5" t="inlineStr">
        <is>
          <t>2019</t>
        </is>
      </c>
      <c r="R98" s="5" t="inlineStr">
        <is>
          <t>2020</t>
        </is>
      </c>
      <c r="S98" s="5" t="inlineStr">
        <is>
          <t>2021</t>
        </is>
      </c>
      <c r="T98" s="5" t="inlineStr">
        <is>
          <t>2022</t>
        </is>
      </c>
      <c r="U98" s="5" t="inlineStr">
        <is>
          <t>2023</t>
        </is>
      </c>
      <c r="V98" s="5" t="inlineStr">
        <is>
          <t>2024</t>
        </is>
      </c>
      <c r="W98" s="5" t="inlineStr">
        <is>
          <t>2025</t>
        </is>
      </c>
      <c r="X98" s="5" t="inlineStr">
        <is>
          <t>2026</t>
        </is>
      </c>
      <c r="Y98" s="5" t="inlineStr">
        <is>
          <t>2027(MW)</t>
        </is>
      </c>
      <c r="Z98" s="5" t="inlineStr">
        <is>
          <t>2028(MW)</t>
        </is>
      </c>
      <c r="AA98" s="5" t="inlineStr">
        <is>
          <t>2029(MW)</t>
        </is>
      </c>
      <c r="AB98" s="5" t="inlineStr">
        <is>
          <t>2030(MW)</t>
        </is>
      </c>
      <c r="AC98" s="5" t="inlineStr">
        <is>
          <t>2031(MW)</t>
        </is>
      </c>
    </row>
    <row r="99">
      <c r="A99" s="9" t="inlineStr">
        <is>
          <t>매출액</t>
        </is>
      </c>
      <c r="C99" s="12" t="n">
        <v>198667</v>
      </c>
      <c r="D99" s="12" t="n">
        <v>206826</v>
      </c>
      <c r="E99" s="12" t="n">
        <v>185636</v>
      </c>
      <c r="F99" s="12" t="n">
        <v>186453</v>
      </c>
      <c r="G99" s="12" t="n">
        <v>162859</v>
      </c>
      <c r="H99" s="12" t="n">
        <v>177177</v>
      </c>
      <c r="I99" s="12" t="n">
        <v>180615</v>
      </c>
      <c r="J99" s="12" t="n">
        <v>163920</v>
      </c>
      <c r="K99" s="12" t="n">
        <v>165558</v>
      </c>
      <c r="L99" s="12" t="n">
        <v>173053</v>
      </c>
      <c r="M99" s="12" t="n">
        <v>175388</v>
      </c>
      <c r="N99" s="12" t="n">
        <v>175614</v>
      </c>
      <c r="T99" s="12" t="n">
        <v>163972</v>
      </c>
      <c r="U99" s="12" t="n">
        <v>193325</v>
      </c>
      <c r="V99" s="12" t="n">
        <v>185636</v>
      </c>
      <c r="W99" s="12" t="n">
        <v>180615</v>
      </c>
      <c r="X99" s="12" t="n">
        <v>175388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IF(OR(G99="",C99=""),"",IF(C99&lt;=0,"",IFERROR(G99/C99-1,"")))</f>
        <v/>
      </c>
      <c r="H100" s="15">
        <f>IF(OR(H99="",D99=""),"",IF(D99&lt;=0,"",IFERROR(H99/D99-1,"")))</f>
        <v/>
      </c>
      <c r="I100" s="15">
        <f>IF(OR(I99="",E99=""),"",IF(E99&lt;=0,"",IFERROR(I99/E99-1,"")))</f>
        <v/>
      </c>
      <c r="J100" s="15">
        <f>IF(OR(J99="",F99=""),"",IF(F99&lt;=0,"",IFERROR(J99/F99-1,"")))</f>
        <v/>
      </c>
      <c r="K100" s="15">
        <f>IF(OR(K99="",G99=""),"",IF(G99&lt;=0,"",IFERROR(K99/G99-1,"")))</f>
        <v/>
      </c>
      <c r="L100" s="15">
        <f>IF(OR(L99="",H99=""),"",IF(H99&lt;=0,"",IFERROR(L99/H99-1,"")))</f>
        <v/>
      </c>
      <c r="M100" s="15">
        <f>IF(OR(M99="",I99=""),"",IF(I99&lt;=0,"",IFERROR(M99/I99-1,"")))</f>
        <v/>
      </c>
      <c r="N100" s="15">
        <f>IF(OR(N99="",J99=""),"",IF(J99&lt;=0,"",IFERROR(N99/J99-1,"")))</f>
        <v/>
      </c>
      <c r="T100" s="15">
        <f>IF(OR(T99="",S99=""),"",IF(S99&lt;=0,"",IFERROR(T99/S99-1,"")))</f>
        <v/>
      </c>
      <c r="U100" s="15">
        <f>IF(OR(U99="",T99=""),"",IF(T99&lt;=0,"",IFERROR(U99/T99-1,"")))</f>
        <v/>
      </c>
      <c r="V100" s="15">
        <f>IF(OR(V99="",U99=""),"",IF(U99&lt;=0,"",IFERROR(V99/U99-1,"")))</f>
        <v/>
      </c>
      <c r="W100" s="15">
        <f>IF(OR(W99="",V99=""),"",IF(V99&lt;=0,"",IFERROR(W99/V99-1,"")))</f>
        <v/>
      </c>
      <c r="X100" s="15">
        <f>IF(OR(X99="",W99=""),"",IF(W99&lt;=0,"",IFERROR(X99/W99-1,"")))</f>
        <v/>
      </c>
    </row>
    <row r="101">
      <c r="A101" s="18" t="inlineStr">
        <is>
          <t>매출원가</t>
        </is>
      </c>
      <c r="C101" s="20" t="n">
        <v>187123</v>
      </c>
      <c r="D101" s="20" t="n">
        <v>193268</v>
      </c>
      <c r="E101" s="20" t="n">
        <v>174686</v>
      </c>
      <c r="F101" s="20" t="n">
        <v>175358</v>
      </c>
      <c r="G101" s="20" t="n">
        <v>153549</v>
      </c>
      <c r="H101" s="20" t="n">
        <v>165014</v>
      </c>
      <c r="I101" s="20" t="n">
        <v>167394</v>
      </c>
      <c r="J101" s="20" t="n">
        <v>152149</v>
      </c>
      <c r="K101" s="20" t="n">
        <v>153461</v>
      </c>
      <c r="L101" s="20" t="n">
        <v>160246</v>
      </c>
      <c r="M101" s="20" t="n">
        <v>162779</v>
      </c>
      <c r="N101" s="20" t="n">
        <v>164199</v>
      </c>
      <c r="T101" s="20" t="n">
        <v>154107</v>
      </c>
      <c r="U101" s="20" t="n">
        <v>181948</v>
      </c>
      <c r="V101" s="20" t="n">
        <v>174686</v>
      </c>
      <c r="W101" s="20" t="n">
        <v>167394</v>
      </c>
      <c r="X101" s="20" t="n">
        <v>162779</v>
      </c>
    </row>
    <row r="102">
      <c r="A102" s="43" t="inlineStr">
        <is>
          <t>YoY</t>
        </is>
      </c>
      <c r="B102" s="3" t="inlineStr">
        <is>
          <t>전년 같은 분기·전년 대비</t>
        </is>
      </c>
      <c r="G102" s="15">
        <f>IF(OR(G101="",C101=""),"",IF(G101*C101&lt;=0,"",IFERROR(G101/C101-1,"")))</f>
        <v/>
      </c>
      <c r="H102" s="15">
        <f>IF(OR(H101="",D101=""),"",IF(H101*D101&lt;=0,"",IFERROR(H101/D101-1,"")))</f>
        <v/>
      </c>
      <c r="I102" s="15">
        <f>IF(OR(I101="",E101=""),"",IF(I101*E101&lt;=0,"",IFERROR(I101/E101-1,"")))</f>
        <v/>
      </c>
      <c r="J102" s="15">
        <f>IF(OR(J101="",F101=""),"",IF(J101*F101&lt;=0,"",IFERROR(J101/F101-1,"")))</f>
        <v/>
      </c>
      <c r="K102" s="15">
        <f>IF(OR(K101="",G101=""),"",IF(K101*G101&lt;=0,"",IFERROR(K101/G101-1,"")))</f>
        <v/>
      </c>
      <c r="L102" s="15">
        <f>IF(OR(L101="",H101=""),"",IF(L101*H101&lt;=0,"",IFERROR(L101/H101-1,"")))</f>
        <v/>
      </c>
      <c r="M102" s="15">
        <f>IF(OR(M101="",I101=""),"",IF(M101*I101&lt;=0,"",IFERROR(M101/I101-1,"")))</f>
        <v/>
      </c>
      <c r="N102" s="15">
        <f>IF(OR(N101="",J101=""),"",IF(N101*J101&lt;=0,"",IFERROR(N101/J101-1,"")))</f>
        <v/>
      </c>
      <c r="T102" s="15">
        <f>IF(OR(T101="",S101=""),"",IF(T101*S101&lt;=0,"",IFERROR(T101/S101-1,"")))</f>
        <v/>
      </c>
      <c r="U102" s="15">
        <f>IF(OR(U101="",T101=""),"",IF(U101*T101&lt;=0,"",IFERROR(U101/T101-1,"")))</f>
        <v/>
      </c>
      <c r="V102" s="15">
        <f>IF(OR(V101="",U101=""),"",IF(V101*U101&lt;=0,"",IFERROR(V101/U101-1,"")))</f>
        <v/>
      </c>
      <c r="W102" s="15">
        <f>IF(OR(W101="",V101=""),"",IF(W101*V101&lt;=0,"",IFERROR(W101/V101-1,"")))</f>
        <v/>
      </c>
      <c r="X102" s="15">
        <f>IF(OR(X101="",W101=""),"",IF(X101*W101&lt;=0,"",IFERROR(X101/W101-1,"")))</f>
        <v/>
      </c>
    </row>
    <row r="103">
      <c r="A103" s="9" t="inlineStr">
        <is>
          <t>매출총이익</t>
        </is>
      </c>
      <c r="C103" s="12" t="n">
        <v>11544</v>
      </c>
      <c r="D103" s="12" t="n">
        <v>13557</v>
      </c>
      <c r="E103" s="12" t="n">
        <v>10951</v>
      </c>
      <c r="F103" s="12" t="n">
        <v>11094</v>
      </c>
      <c r="G103" s="12" t="n">
        <v>9311</v>
      </c>
      <c r="H103" s="12" t="n">
        <v>12162</v>
      </c>
      <c r="I103" s="12" t="n">
        <v>13222</v>
      </c>
      <c r="J103" s="12" t="n">
        <v>11771</v>
      </c>
      <c r="K103" s="12" t="n">
        <v>12096</v>
      </c>
      <c r="L103" s="12" t="n">
        <v>12807</v>
      </c>
      <c r="M103" s="12" t="n">
        <v>12610</v>
      </c>
      <c r="N103" s="12" t="n">
        <v>11415</v>
      </c>
      <c r="T103" s="12" t="n">
        <v>9865</v>
      </c>
      <c r="U103" s="12" t="n">
        <v>11377</v>
      </c>
      <c r="V103" s="12" t="n">
        <v>10951</v>
      </c>
      <c r="W103" s="12" t="n">
        <v>13222</v>
      </c>
      <c r="X103" s="12" t="n">
        <v>12610</v>
      </c>
    </row>
    <row r="104">
      <c r="A104" s="43" t="inlineStr">
        <is>
          <t>YoY</t>
        </is>
      </c>
      <c r="B104" s="3" t="inlineStr">
        <is>
          <t>전년 같은 분기·전년 대비</t>
        </is>
      </c>
      <c r="G104" s="15">
        <f>IF(OR(G103="",C103=""),"",IF(C103&lt;=0,"",IFERROR(G103/C103-1,"")))</f>
        <v/>
      </c>
      <c r="H104" s="15">
        <f>IF(OR(H103="",D103=""),"",IF(D103&lt;=0,"",IFERROR(H103/D103-1,"")))</f>
        <v/>
      </c>
      <c r="I104" s="15">
        <f>IF(OR(I103="",E103=""),"",IF(E103&lt;=0,"",IFERROR(I103/E103-1,"")))</f>
        <v/>
      </c>
      <c r="J104" s="15">
        <f>IF(OR(J103="",F103=""),"",IF(F103&lt;=0,"",IFERROR(J103/F103-1,"")))</f>
        <v/>
      </c>
      <c r="K104" s="15">
        <f>IF(OR(K103="",G103=""),"",IF(G103&lt;=0,"",IFERROR(K103/G103-1,"")))</f>
        <v/>
      </c>
      <c r="L104" s="15">
        <f>IF(OR(L103="",H103=""),"",IF(H103&lt;=0,"",IFERROR(L103/H103-1,"")))</f>
        <v/>
      </c>
      <c r="M104" s="15">
        <f>IF(OR(M103="",I103=""),"",IF(I103&lt;=0,"",IFERROR(M103/I103-1,"")))</f>
        <v/>
      </c>
      <c r="N104" s="15">
        <f>IF(OR(N103="",J103=""),"",IF(J103&lt;=0,"",IFERROR(N103/J103-1,"")))</f>
        <v/>
      </c>
      <c r="T104" s="15">
        <f>IF(OR(T103="",S103=""),"",IF(S103&lt;=0,"",IFERROR(T103/S103-1,"")))</f>
        <v/>
      </c>
      <c r="U104" s="15">
        <f>IF(OR(U103="",T103=""),"",IF(T103&lt;=0,"",IFERROR(U103/T103-1,"")))</f>
        <v/>
      </c>
      <c r="V104" s="15">
        <f>IF(OR(V103="",U103=""),"",IF(U103&lt;=0,"",IFERROR(V103/U103-1,"")))</f>
        <v/>
      </c>
      <c r="W104" s="15">
        <f>IF(OR(W103="",V103=""),"",IF(V103&lt;=0,"",IFERROR(W103/V103-1,"")))</f>
        <v/>
      </c>
      <c r="X104" s="15">
        <f>IF(OR(X103="",W103=""),"",IF(W103&lt;=0,"",IFERROR(X103/W103-1,"")))</f>
        <v/>
      </c>
    </row>
    <row r="105">
      <c r="A105" s="18" t="inlineStr">
        <is>
          <t>판매비와 관리비</t>
        </is>
      </c>
      <c r="C105" s="20" t="n">
        <v>6828</v>
      </c>
      <c r="D105" s="20" t="n">
        <v>6993</v>
      </c>
      <c r="E105" s="20" t="n">
        <v>7748</v>
      </c>
      <c r="F105" s="20" t="n">
        <v>7480</v>
      </c>
      <c r="G105" s="20" t="n">
        <v>7478</v>
      </c>
      <c r="H105" s="20" t="n">
        <v>7697</v>
      </c>
      <c r="I105" s="20" t="n">
        <v>7956</v>
      </c>
      <c r="J105" s="20" t="n">
        <v>7579</v>
      </c>
      <c r="K105" s="20" t="n">
        <v>7680</v>
      </c>
      <c r="L105" s="20" t="n">
        <v>7843</v>
      </c>
      <c r="M105" s="20" t="n">
        <v>7467</v>
      </c>
      <c r="N105" s="20" t="n">
        <v>7765</v>
      </c>
      <c r="T105" s="20" t="n">
        <v>5987</v>
      </c>
      <c r="U105" s="20" t="n">
        <v>6169</v>
      </c>
      <c r="V105" s="20" t="n">
        <v>7748</v>
      </c>
      <c r="W105" s="20" t="n">
        <v>7956</v>
      </c>
      <c r="X105" s="20" t="n">
        <v>7467</v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IF(OR(G105="",C105=""),"",IF(G105*C105&lt;=0,"",IFERROR(G105/C105-1,"")))</f>
        <v/>
      </c>
      <c r="H106" s="15">
        <f>IF(OR(H105="",D105=""),"",IF(H105*D105&lt;=0,"",IFERROR(H105/D105-1,"")))</f>
        <v/>
      </c>
      <c r="I106" s="15">
        <f>IF(OR(I105="",E105=""),"",IF(I105*E105&lt;=0,"",IFERROR(I105/E105-1,"")))</f>
        <v/>
      </c>
      <c r="J106" s="15">
        <f>IF(OR(J105="",F105=""),"",IF(J105*F105&lt;=0,"",IFERROR(J105/F105-1,"")))</f>
        <v/>
      </c>
      <c r="K106" s="15">
        <f>IF(OR(K105="",G105=""),"",IF(K105*G105&lt;=0,"",IFERROR(K105/G105-1,"")))</f>
        <v/>
      </c>
      <c r="L106" s="15">
        <f>IF(OR(L105="",H105=""),"",IF(L105*H105&lt;=0,"",IFERROR(L105/H105-1,"")))</f>
        <v/>
      </c>
      <c r="M106" s="15">
        <f>IF(OR(M105="",I105=""),"",IF(M105*I105&lt;=0,"",IFERROR(M105/I105-1,"")))</f>
        <v/>
      </c>
      <c r="N106" s="15">
        <f>IF(OR(N105="",J105=""),"",IF(N105*J105&lt;=0,"",IFERROR(N105/J105-1,"")))</f>
        <v/>
      </c>
      <c r="T106" s="15">
        <f>IF(OR(T105="",S105=""),"",IF(T105*S105&lt;=0,"",IFERROR(T105/S105-1,"")))</f>
        <v/>
      </c>
      <c r="U106" s="15">
        <f>IF(OR(U105="",T105=""),"",IF(U105*T105&lt;=0,"",IFERROR(U105/T105-1,"")))</f>
        <v/>
      </c>
      <c r="V106" s="15">
        <f>IF(OR(V105="",U105=""),"",IF(V105*U105&lt;=0,"",IFERROR(V105/U105-1,"")))</f>
        <v/>
      </c>
      <c r="W106" s="15">
        <f>IF(OR(W105="",V105=""),"",IF(W105*V105&lt;=0,"",IFERROR(W105/V105-1,"")))</f>
        <v/>
      </c>
      <c r="X106" s="15">
        <f>IF(OR(X105="",W105=""),"",IF(X105*W105&lt;=0,"",IFERROR(X105/W105-1,"")))</f>
        <v/>
      </c>
    </row>
    <row r="107">
      <c r="A107" s="9" t="inlineStr">
        <is>
          <t>영업이익</t>
        </is>
      </c>
      <c r="C107" s="12" t="n">
        <v>4716</v>
      </c>
      <c r="D107" s="12" t="n">
        <v>6564</v>
      </c>
      <c r="E107" s="12" t="n">
        <v>3204</v>
      </c>
      <c r="F107" s="12" t="n">
        <v>3614</v>
      </c>
      <c r="G107" s="12" t="n">
        <v>1832</v>
      </c>
      <c r="H107" s="12" t="n">
        <v>4466</v>
      </c>
      <c r="I107" s="12" t="n">
        <v>5266</v>
      </c>
      <c r="J107" s="12" t="n">
        <v>4191</v>
      </c>
      <c r="K107" s="12" t="n">
        <v>4416</v>
      </c>
      <c r="L107" s="12" t="n">
        <v>4965</v>
      </c>
      <c r="M107" s="12" t="n">
        <v>5143</v>
      </c>
      <c r="N107" s="12" t="n">
        <v>3649</v>
      </c>
      <c r="T107" s="12" t="n">
        <v>3879</v>
      </c>
      <c r="U107" s="12" t="n">
        <v>5209</v>
      </c>
      <c r="V107" s="12" t="n">
        <v>3204</v>
      </c>
      <c r="W107" s="12" t="n">
        <v>5266</v>
      </c>
      <c r="X107" s="12" t="n">
        <v>5143</v>
      </c>
    </row>
    <row r="108">
      <c r="A108" s="43" t="inlineStr">
        <is>
          <t>OPM</t>
        </is>
      </c>
      <c r="B108" s="3" t="inlineStr">
        <is>
          <t>영업이익 ÷ 매출</t>
        </is>
      </c>
      <c r="C108" s="15">
        <f>IF(OR(C107="",C99=""),"",IF(C99&lt;=0,"",IFERROR(C107/C99,"")))</f>
        <v/>
      </c>
      <c r="D108" s="15">
        <f>IF(OR(D107="",D99=""),"",IF(D99&lt;=0,"",IFERROR(D107/D99,"")))</f>
        <v/>
      </c>
      <c r="E108" s="15">
        <f>IF(OR(E107="",E99=""),"",IF(E99&lt;=0,"",IFERROR(E107/E99,"")))</f>
        <v/>
      </c>
      <c r="F108" s="15">
        <f>IF(OR(F107="",F99=""),"",IF(F99&lt;=0,"",IFERROR(F107/F99,"")))</f>
        <v/>
      </c>
      <c r="G108" s="15">
        <f>IF(OR(G107="",G99=""),"",IF(G99&lt;=0,"",IFERROR(G107/G99,"")))</f>
        <v/>
      </c>
      <c r="H108" s="15">
        <f>IF(OR(H107="",H99=""),"",IF(H99&lt;=0,"",IFERROR(H107/H99,"")))</f>
        <v/>
      </c>
      <c r="I108" s="15">
        <f>IF(OR(I107="",I99=""),"",IF(I99&lt;=0,"",IFERROR(I107/I99,"")))</f>
        <v/>
      </c>
      <c r="J108" s="15">
        <f>IF(OR(J107="",J99=""),"",IF(J99&lt;=0,"",IFERROR(J107/J99,"")))</f>
        <v/>
      </c>
      <c r="K108" s="15">
        <f>IF(OR(K107="",K99=""),"",IF(K99&lt;=0,"",IFERROR(K107/K99,"")))</f>
        <v/>
      </c>
      <c r="L108" s="15">
        <f>IF(OR(L107="",L99=""),"",IF(L99&lt;=0,"",IFERROR(L107/L99,"")))</f>
        <v/>
      </c>
      <c r="M108" s="15">
        <f>IF(OR(M107="",M99=""),"",IF(M99&lt;=0,"",IFERROR(M107/M99,"")))</f>
        <v/>
      </c>
      <c r="N108" s="15">
        <f>IF(OR(N107="",N99=""),"",IF(N99&lt;=0,"",IFERROR(N107/N99,"")))</f>
        <v/>
      </c>
      <c r="T108" s="15">
        <f>IF(OR(T107="",T99=""),"",IF(T99&lt;=0,"",IFERROR(T107/T99,"")))</f>
        <v/>
      </c>
      <c r="U108" s="15">
        <f>IF(OR(U107="",U99=""),"",IF(U99&lt;=0,"",IFERROR(U107/U99,"")))</f>
        <v/>
      </c>
      <c r="V108" s="15">
        <f>IF(OR(V107="",V99=""),"",IF(V99&lt;=0,"",IFERROR(V107/V99,"")))</f>
        <v/>
      </c>
      <c r="W108" s="15">
        <f>IF(OR(W107="",W99=""),"",IF(W99&lt;=0,"",IFERROR(W107/W99,"")))</f>
        <v/>
      </c>
      <c r="X108" s="15">
        <f>IF(OR(X107="",X99=""),"",IF(X99&lt;=0,"",IFERROR(X107/X99,"")))</f>
        <v/>
      </c>
    </row>
    <row r="109">
      <c r="A109" s="43" t="inlineStr">
        <is>
          <t>YoY</t>
        </is>
      </c>
      <c r="B109" s="3" t="inlineStr">
        <is>
          <t>전년 같은 분기·전년 대비</t>
        </is>
      </c>
      <c r="G109" s="15">
        <f>IF(OR(G107="",C107=""),"",IF(C107&lt;=0,"",IFERROR(G107/C107-1,"")))</f>
        <v/>
      </c>
      <c r="H109" s="15">
        <f>IF(OR(H107="",D107=""),"",IF(D107&lt;=0,"",IFERROR(H107/D107-1,"")))</f>
        <v/>
      </c>
      <c r="I109" s="15">
        <f>IF(OR(I107="",E107=""),"",IF(E107&lt;=0,"",IFERROR(I107/E107-1,"")))</f>
        <v/>
      </c>
      <c r="J109" s="15">
        <f>IF(OR(J107="",F107=""),"",IF(F107&lt;=0,"",IFERROR(J107/F107-1,"")))</f>
        <v/>
      </c>
      <c r="K109" s="15">
        <f>IF(OR(K107="",G107=""),"",IF(G107&lt;=0,"",IFERROR(K107/G107-1,"")))</f>
        <v/>
      </c>
      <c r="L109" s="15">
        <f>IF(OR(L107="",H107=""),"",IF(H107&lt;=0,"",IFERROR(L107/H107-1,"")))</f>
        <v/>
      </c>
      <c r="M109" s="15">
        <f>IF(OR(M107="",I107=""),"",IF(I107&lt;=0,"",IFERROR(M107/I107-1,"")))</f>
        <v/>
      </c>
      <c r="N109" s="15">
        <f>IF(OR(N107="",J107=""),"",IF(J107&lt;=0,"",IFERROR(N107/J107-1,"")))</f>
        <v/>
      </c>
      <c r="T109" s="15">
        <f>IF(OR(T107="",S107=""),"",IF(S107&lt;=0,"",IFERROR(T107/S107-1,"")))</f>
        <v/>
      </c>
      <c r="U109" s="15">
        <f>IF(OR(U107="",T107=""),"",IF(T107&lt;=0,"",IFERROR(U107/T107-1,"")))</f>
        <v/>
      </c>
      <c r="V109" s="15">
        <f>IF(OR(V107="",U107=""),"",IF(U107&lt;=0,"",IFERROR(V107/U107-1,"")))</f>
        <v/>
      </c>
      <c r="W109" s="15">
        <f>IF(OR(W107="",V107=""),"",IF(V107&lt;=0,"",IFERROR(W107/V107-1,"")))</f>
        <v/>
      </c>
      <c r="X109" s="15">
        <f>IF(OR(X107="",W107=""),"",IF(W107&lt;=0,"",IFERROR(X107/W107-1,"")))</f>
        <v/>
      </c>
    </row>
    <row r="110">
      <c r="A110" s="18" t="inlineStr">
        <is>
          <t>이자수익</t>
        </is>
      </c>
      <c r="C110" s="20" t="n">
        <v>150</v>
      </c>
      <c r="D110" s="20" t="n">
        <v>148</v>
      </c>
      <c r="E110" s="20" t="n">
        <v>215</v>
      </c>
      <c r="F110" s="20" t="n">
        <v>140</v>
      </c>
      <c r="G110" s="20" t="n">
        <v>138</v>
      </c>
      <c r="H110" s="20" t="n">
        <v>145</v>
      </c>
      <c r="I110" s="20" t="n">
        <v>107</v>
      </c>
      <c r="J110" s="20" t="n">
        <v>94</v>
      </c>
      <c r="K110" s="20" t="n">
        <v>110</v>
      </c>
      <c r="L110" s="20" t="n">
        <v>91</v>
      </c>
      <c r="M110" s="20" t="n">
        <v>153</v>
      </c>
      <c r="N110" s="20" t="n">
        <v>115</v>
      </c>
      <c r="T110" s="20" t="n">
        <v>33</v>
      </c>
      <c r="U110" s="20" t="n">
        <v>107</v>
      </c>
      <c r="V110" s="20" t="n">
        <v>215</v>
      </c>
      <c r="W110" s="20" t="n">
        <v>107</v>
      </c>
      <c r="X110" s="20" t="n">
        <v>153</v>
      </c>
    </row>
    <row r="111">
      <c r="A111" s="18" t="inlineStr">
        <is>
          <t>배당금수익</t>
        </is>
      </c>
      <c r="C111" s="20" t="n">
        <v>39</v>
      </c>
      <c r="D111" s="20" t="n">
        <v>202</v>
      </c>
      <c r="E111" s="20" t="n">
        <v>0</v>
      </c>
      <c r="F111" s="20" t="n">
        <v>282</v>
      </c>
      <c r="G111" s="20" t="n">
        <v>35</v>
      </c>
      <c r="H111" s="20" t="n">
        <v>238</v>
      </c>
      <c r="I111" s="20" t="n">
        <v>0</v>
      </c>
      <c r="J111" s="20" t="n">
        <v>279</v>
      </c>
      <c r="K111" s="20" t="n">
        <v>36</v>
      </c>
      <c r="L111" s="20" t="n">
        <v>255</v>
      </c>
      <c r="M111" s="20" t="n">
        <v>0</v>
      </c>
      <c r="N111" s="20" t="n">
        <v>313</v>
      </c>
      <c r="T111" s="20" t="n">
        <v>0</v>
      </c>
      <c r="U111" s="20" t="n">
        <v>28</v>
      </c>
      <c r="V111" s="20" t="n">
        <v>0</v>
      </c>
      <c r="W111" s="20" t="n">
        <v>0</v>
      </c>
      <c r="X111" s="20" t="n">
        <v>0</v>
      </c>
    </row>
    <row r="112">
      <c r="A112" s="18" t="inlineStr">
        <is>
          <t>작업부산물 매각이익</t>
        </is>
      </c>
      <c r="C112" s="20" t="n">
        <v>100</v>
      </c>
      <c r="D112" s="20" t="n">
        <v>116</v>
      </c>
      <c r="E112" s="20" t="n">
        <v>96</v>
      </c>
      <c r="F112" s="20" t="n">
        <v>79</v>
      </c>
      <c r="G112" s="20" t="n">
        <v>68</v>
      </c>
      <c r="H112" s="20" t="n">
        <v>74</v>
      </c>
      <c r="I112" s="20" t="n">
        <v>68</v>
      </c>
      <c r="J112" s="20" t="n">
        <v>50</v>
      </c>
      <c r="K112" s="20" t="n">
        <v>58</v>
      </c>
      <c r="L112" s="20" t="n">
        <v>98</v>
      </c>
      <c r="M112" s="20" t="n">
        <v>93</v>
      </c>
      <c r="N112" s="20" t="n">
        <v>88</v>
      </c>
      <c r="T112" s="20" t="n">
        <v>141</v>
      </c>
      <c r="U112" s="20" t="n">
        <v>122</v>
      </c>
      <c r="V112" s="20" t="n">
        <v>96</v>
      </c>
      <c r="W112" s="20" t="n">
        <v>68</v>
      </c>
      <c r="X112" s="20" t="n">
        <v>93</v>
      </c>
    </row>
    <row r="113">
      <c r="A113" s="18" t="inlineStr">
        <is>
          <t>지분법이익</t>
        </is>
      </c>
      <c r="C113" s="20" t="n">
        <v>-18</v>
      </c>
      <c r="D113" s="20" t="n">
        <v>0</v>
      </c>
      <c r="E113" s="20" t="n">
        <v>0</v>
      </c>
      <c r="F113" s="20" t="n">
        <v>75</v>
      </c>
      <c r="G113" s="20" t="n">
        <v>-16</v>
      </c>
      <c r="H113" s="20" t="n">
        <v>-17</v>
      </c>
      <c r="I113" s="20" t="n">
        <v>137</v>
      </c>
      <c r="J113" s="20" t="n">
        <v>98</v>
      </c>
      <c r="K113" s="20" t="n">
        <v>-78</v>
      </c>
      <c r="L113" s="20" t="n">
        <v>-20</v>
      </c>
      <c r="M113" s="20" t="n">
        <v>122</v>
      </c>
      <c r="N113" s="20" t="n">
        <v>54</v>
      </c>
      <c r="T113" s="20" t="n">
        <v>117</v>
      </c>
      <c r="U113" s="20" t="n">
        <v>22</v>
      </c>
      <c r="V113" s="20" t="n">
        <v>0</v>
      </c>
      <c r="W113" s="20" t="n">
        <v>137</v>
      </c>
      <c r="X113" s="20" t="n">
        <v>122</v>
      </c>
    </row>
    <row r="114">
      <c r="A114" s="18" t="inlineStr">
        <is>
          <t>외환차익</t>
        </is>
      </c>
      <c r="C114" s="20" t="n">
        <v>275</v>
      </c>
      <c r="F114" s="20" t="n">
        <v>1228</v>
      </c>
      <c r="G114" s="20" t="n">
        <v>-1228</v>
      </c>
      <c r="H114" s="20" t="n">
        <v>0</v>
      </c>
      <c r="I114" s="20" t="n">
        <v>0</v>
      </c>
      <c r="J114" s="20" t="n">
        <v>0</v>
      </c>
      <c r="M114" s="20" t="n">
        <v>615</v>
      </c>
      <c r="N114" s="20" t="n">
        <v>179</v>
      </c>
      <c r="T114" s="20" t="n">
        <v>424</v>
      </c>
      <c r="U114" s="20" t="n">
        <v>0</v>
      </c>
      <c r="W114" s="20" t="n">
        <v>0</v>
      </c>
      <c r="X114" s="20" t="n">
        <v>615</v>
      </c>
    </row>
    <row r="115">
      <c r="A115" s="18" t="inlineStr">
        <is>
          <t>파생상품 평가이익</t>
        </is>
      </c>
      <c r="D115" s="20" t="n">
        <v>0</v>
      </c>
      <c r="E115" s="20" t="n">
        <v>0</v>
      </c>
      <c r="F115" s="20" t="n">
        <v>0</v>
      </c>
      <c r="G115" s="20" t="n">
        <v>690</v>
      </c>
      <c r="H115" s="20" t="n">
        <v>-537</v>
      </c>
      <c r="I115" s="20" t="n">
        <v>566</v>
      </c>
      <c r="J115" s="20" t="n">
        <v>18</v>
      </c>
      <c r="K115" s="20" t="n">
        <v>-18</v>
      </c>
      <c r="L115" s="20" t="n">
        <v>0</v>
      </c>
      <c r="M115" s="20" t="n">
        <v>0</v>
      </c>
      <c r="V115" s="20" t="n">
        <v>0</v>
      </c>
      <c r="W115" s="20" t="n">
        <v>566</v>
      </c>
      <c r="X115" s="20" t="n">
        <v>0</v>
      </c>
    </row>
    <row r="116">
      <c r="A116" s="18" t="inlineStr">
        <is>
          <t>보험금 수익</t>
        </is>
      </c>
      <c r="E116" s="20" t="n">
        <v>0</v>
      </c>
      <c r="I116" s="20" t="n">
        <v>0</v>
      </c>
      <c r="U116" s="20" t="n">
        <v>1</v>
      </c>
      <c r="V116" s="20" t="n">
        <v>0</v>
      </c>
      <c r="W116" s="20" t="n">
        <v>0</v>
      </c>
    </row>
    <row r="117">
      <c r="A117" s="18" t="inlineStr">
        <is>
          <t>잡이익</t>
        </is>
      </c>
      <c r="C117" s="20" t="n">
        <v>319</v>
      </c>
      <c r="D117" s="20" t="n">
        <v>161</v>
      </c>
      <c r="E117" s="20" t="n">
        <v>104</v>
      </c>
      <c r="F117" s="20" t="n">
        <v>198</v>
      </c>
      <c r="G117" s="20" t="n">
        <v>102</v>
      </c>
      <c r="H117" s="20" t="n">
        <v>143</v>
      </c>
      <c r="I117" s="20" t="n">
        <v>27</v>
      </c>
      <c r="J117" s="20" t="n">
        <v>117</v>
      </c>
      <c r="K117" s="20" t="n">
        <v>115</v>
      </c>
      <c r="L117" s="20" t="n">
        <v>124</v>
      </c>
      <c r="M117" s="20" t="n">
        <v>676</v>
      </c>
      <c r="N117" s="20" t="n">
        <v>201</v>
      </c>
      <c r="T117" s="20" t="n">
        <v>441</v>
      </c>
      <c r="U117" s="20" t="n">
        <v>286</v>
      </c>
      <c r="V117" s="20" t="n">
        <v>104</v>
      </c>
      <c r="W117" s="20" t="n">
        <v>27</v>
      </c>
      <c r="X117" s="20" t="n">
        <v>676</v>
      </c>
    </row>
    <row r="118">
      <c r="A118" s="18" t="inlineStr">
        <is>
          <t>영업외수익 합계</t>
        </is>
      </c>
      <c r="C118" s="20" t="n">
        <v>864</v>
      </c>
      <c r="D118" s="20" t="n">
        <v>652</v>
      </c>
      <c r="E118" s="20" t="n">
        <v>1084</v>
      </c>
      <c r="F118" s="20" t="n">
        <v>2006</v>
      </c>
      <c r="G118" s="20" t="n">
        <v>-212</v>
      </c>
      <c r="H118" s="20" t="n">
        <v>46</v>
      </c>
      <c r="I118" s="20" t="n">
        <v>904</v>
      </c>
      <c r="J118" s="20" t="n">
        <v>641</v>
      </c>
      <c r="K118" s="20" t="n">
        <v>240</v>
      </c>
      <c r="L118" s="20" t="n">
        <v>1801</v>
      </c>
      <c r="M118" s="20" t="n">
        <v>1659</v>
      </c>
      <c r="N118" s="20" t="n">
        <v>953</v>
      </c>
      <c r="T118" s="20" t="n">
        <v>1156</v>
      </c>
      <c r="U118" s="20" t="n">
        <v>565</v>
      </c>
      <c r="V118" s="20" t="n">
        <v>1084</v>
      </c>
      <c r="W118" s="20" t="n">
        <v>904</v>
      </c>
      <c r="X118" s="20" t="n">
        <v>1659</v>
      </c>
    </row>
    <row r="119">
      <c r="A119" s="43" t="inlineStr">
        <is>
          <t>YoY</t>
        </is>
      </c>
      <c r="B119" s="3" t="inlineStr">
        <is>
          <t>전년 같은 분기·전년 대비</t>
        </is>
      </c>
      <c r="G119" s="15">
        <f>IF(OR(G118="",C118=""),"",IF(G118*C118&lt;=0,"",IFERROR(G118/C118-1,"")))</f>
        <v/>
      </c>
      <c r="H119" s="15">
        <f>IF(OR(H118="",D118=""),"",IF(H118*D118&lt;=0,"",IFERROR(H118/D118-1,"")))</f>
        <v/>
      </c>
      <c r="I119" s="15">
        <f>IF(OR(I118="",E118=""),"",IF(I118*E118&lt;=0,"",IFERROR(I118/E118-1,"")))</f>
        <v/>
      </c>
      <c r="J119" s="15">
        <f>IF(OR(J118="",F118=""),"",IF(J118*F118&lt;=0,"",IFERROR(J118/F118-1,"")))</f>
        <v/>
      </c>
      <c r="K119" s="15">
        <f>IF(OR(K118="",G118=""),"",IF(K118*G118&lt;=0,"",IFERROR(K118/G118-1,"")))</f>
        <v/>
      </c>
      <c r="L119" s="15">
        <f>IF(OR(L118="",H118=""),"",IF(L118*H118&lt;=0,"",IFERROR(L118/H118-1,"")))</f>
        <v/>
      </c>
      <c r="M119" s="15">
        <f>IF(OR(M118="",I118=""),"",IF(M118*I118&lt;=0,"",IFERROR(M118/I118-1,"")))</f>
        <v/>
      </c>
      <c r="N119" s="15">
        <f>IF(OR(N118="",J118=""),"",IF(N118*J118&lt;=0,"",IFERROR(N118/J118-1,"")))</f>
        <v/>
      </c>
      <c r="T119" s="15">
        <f>IF(OR(T118="",S118=""),"",IF(T118*S118&lt;=0,"",IFERROR(T118/S118-1,"")))</f>
        <v/>
      </c>
      <c r="U119" s="15">
        <f>IF(OR(U118="",T118=""),"",IF(U118*T118&lt;=0,"",IFERROR(U118/T118-1,"")))</f>
        <v/>
      </c>
      <c r="V119" s="15">
        <f>IF(OR(V118="",U118=""),"",IF(V118*U118&lt;=0,"",IFERROR(V118/U118-1,"")))</f>
        <v/>
      </c>
      <c r="W119" s="15">
        <f>IF(OR(W118="",V118=""),"",IF(W118*V118&lt;=0,"",IFERROR(W118/V118-1,"")))</f>
        <v/>
      </c>
      <c r="X119" s="15">
        <f>IF(OR(X118="",W118=""),"",IF(X118*W118&lt;=0,"",IFERROR(X118/W118-1,"")))</f>
        <v/>
      </c>
    </row>
    <row r="120">
      <c r="A120" s="18" t="inlineStr">
        <is>
          <t>이자비용</t>
        </is>
      </c>
      <c r="C120" s="20" t="n">
        <v>275</v>
      </c>
      <c r="D120" s="20" t="n">
        <v>236</v>
      </c>
      <c r="E120" s="20" t="n">
        <v>161</v>
      </c>
      <c r="F120" s="20" t="n">
        <v>205</v>
      </c>
      <c r="G120" s="20" t="n">
        <v>214</v>
      </c>
      <c r="H120" s="20" t="n">
        <v>212</v>
      </c>
      <c r="I120" s="20" t="n">
        <v>172</v>
      </c>
      <c r="J120" s="20" t="n">
        <v>203</v>
      </c>
      <c r="K120" s="20" t="n">
        <v>192</v>
      </c>
      <c r="L120" s="20" t="n">
        <v>172</v>
      </c>
      <c r="M120" s="20" t="n">
        <v>359</v>
      </c>
      <c r="N120" s="20" t="n">
        <v>250</v>
      </c>
      <c r="T120" s="20" t="n">
        <v>232</v>
      </c>
      <c r="U120" s="20" t="n">
        <v>439</v>
      </c>
      <c r="V120" s="20" t="n">
        <v>161</v>
      </c>
      <c r="W120" s="20" t="n">
        <v>172</v>
      </c>
      <c r="X120" s="20" t="n">
        <v>359</v>
      </c>
    </row>
    <row r="121">
      <c r="A121" s="18" t="inlineStr">
        <is>
          <t>고정자산 폐기손실</t>
        </is>
      </c>
      <c r="C121" s="20" t="n">
        <v>31</v>
      </c>
      <c r="D121" s="20" t="n">
        <v>182</v>
      </c>
      <c r="E121" s="20" t="n">
        <v>71</v>
      </c>
      <c r="F121" s="20" t="n">
        <v>284</v>
      </c>
      <c r="G121" s="20" t="n">
        <v>46</v>
      </c>
      <c r="H121" s="20" t="n">
        <v>48</v>
      </c>
      <c r="I121" s="20" t="n">
        <v>109</v>
      </c>
      <c r="J121" s="20" t="n">
        <v>50</v>
      </c>
      <c r="K121" s="20" t="n">
        <v>57</v>
      </c>
      <c r="L121" s="20" t="n">
        <v>120</v>
      </c>
      <c r="M121" s="20" t="n">
        <v>177</v>
      </c>
      <c r="N121" s="20" t="n">
        <v>230</v>
      </c>
      <c r="T121" s="20" t="n">
        <v>155</v>
      </c>
      <c r="U121" s="20" t="n">
        <v>54</v>
      </c>
      <c r="V121" s="20" t="n">
        <v>71</v>
      </c>
      <c r="W121" s="20" t="n">
        <v>109</v>
      </c>
      <c r="X121" s="20" t="n">
        <v>177</v>
      </c>
    </row>
    <row r="122">
      <c r="A122" s="18" t="inlineStr">
        <is>
          <t>지분법손실</t>
        </is>
      </c>
      <c r="D122" s="20" t="n">
        <v>-15</v>
      </c>
      <c r="E122" s="20" t="n">
        <v>28</v>
      </c>
      <c r="H122" s="20" t="n">
        <v>0</v>
      </c>
      <c r="I122" s="20" t="n">
        <v>0</v>
      </c>
      <c r="U122" s="20" t="n">
        <v>0</v>
      </c>
      <c r="V122" s="20" t="n">
        <v>28</v>
      </c>
      <c r="W122" s="20" t="n">
        <v>0</v>
      </c>
    </row>
    <row r="123">
      <c r="A123" s="18" t="inlineStr">
        <is>
          <t>외환차손</t>
        </is>
      </c>
      <c r="C123" s="20" t="n">
        <v>0</v>
      </c>
      <c r="D123" s="20" t="n">
        <v>403</v>
      </c>
      <c r="E123" s="20" t="n">
        <v>-403</v>
      </c>
      <c r="F123" s="20" t="n">
        <v>0</v>
      </c>
      <c r="G123" s="20" t="n">
        <v>2273</v>
      </c>
      <c r="H123" s="20" t="n">
        <v>-2076</v>
      </c>
      <c r="I123" s="20" t="n">
        <v>1651</v>
      </c>
      <c r="J123" s="20" t="n">
        <v>571</v>
      </c>
      <c r="K123" s="20" t="n">
        <v>-556</v>
      </c>
      <c r="L123" s="20" t="n">
        <v>-15</v>
      </c>
      <c r="M123" s="20" t="n">
        <v>0</v>
      </c>
      <c r="N123" s="20" t="n">
        <v>0</v>
      </c>
      <c r="T123" s="20" t="n">
        <v>0</v>
      </c>
      <c r="U123" s="20" t="n">
        <v>-251</v>
      </c>
      <c r="V123" s="20" t="n">
        <v>-403</v>
      </c>
      <c r="W123" s="20" t="n">
        <v>1651</v>
      </c>
      <c r="X123" s="20" t="n">
        <v>0</v>
      </c>
    </row>
    <row r="124">
      <c r="A124" s="18" t="inlineStr">
        <is>
          <t>파생상품 평가손실</t>
        </is>
      </c>
      <c r="C124" s="20" t="n">
        <v>197</v>
      </c>
      <c r="D124" s="20" t="n">
        <v>-206</v>
      </c>
      <c r="E124" s="20" t="n">
        <v>491</v>
      </c>
      <c r="F124" s="20" t="n">
        <v>528</v>
      </c>
      <c r="G124" s="20" t="n">
        <v>-528</v>
      </c>
      <c r="H124" s="20" t="n">
        <v>0</v>
      </c>
      <c r="I124" s="20" t="n">
        <v>0</v>
      </c>
      <c r="J124" s="20" t="n">
        <v>0</v>
      </c>
      <c r="K124" s="20" t="n">
        <v>72</v>
      </c>
      <c r="L124" s="20" t="n">
        <v>50</v>
      </c>
      <c r="M124" s="20" t="n">
        <v>31</v>
      </c>
      <c r="U124" s="20" t="n">
        <v>40</v>
      </c>
      <c r="V124" s="20" t="n">
        <v>491</v>
      </c>
      <c r="W124" s="20" t="n">
        <v>0</v>
      </c>
      <c r="X124" s="20" t="n">
        <v>31</v>
      </c>
    </row>
    <row r="125">
      <c r="A125" s="18" t="inlineStr">
        <is>
          <t>소송 화해금</t>
        </is>
      </c>
      <c r="E125" s="20" t="n">
        <v>0</v>
      </c>
      <c r="I125" s="20" t="n">
        <v>0</v>
      </c>
      <c r="U125" s="20" t="n">
        <v>0</v>
      </c>
      <c r="V125" s="20" t="n">
        <v>0</v>
      </c>
      <c r="W125" s="20" t="n">
        <v>0</v>
      </c>
    </row>
    <row r="126">
      <c r="A126" s="18" t="inlineStr">
        <is>
          <t>사업구조개선비용</t>
        </is>
      </c>
      <c r="C126" s="20" t="n">
        <v>0</v>
      </c>
      <c r="D126" s="20" t="n">
        <v>0</v>
      </c>
      <c r="E126" s="20" t="n">
        <v>0</v>
      </c>
      <c r="F126" s="20" t="n">
        <v>577</v>
      </c>
      <c r="G126" s="20" t="n">
        <v>-14</v>
      </c>
      <c r="H126" s="20" t="n">
        <v>0</v>
      </c>
      <c r="I126" s="20" t="n">
        <v>147</v>
      </c>
      <c r="J126" s="20" t="n">
        <v>0</v>
      </c>
      <c r="K126" s="20" t="n">
        <v>0</v>
      </c>
      <c r="L126" s="20" t="n">
        <v>0</v>
      </c>
      <c r="M126" s="20" t="n">
        <v>494</v>
      </c>
      <c r="V126" s="20" t="n">
        <v>0</v>
      </c>
      <c r="W126" s="20" t="n">
        <v>147</v>
      </c>
      <c r="X126" s="20" t="n">
        <v>494</v>
      </c>
    </row>
    <row r="127">
      <c r="A127" s="18" t="inlineStr">
        <is>
          <t>잡손실</t>
        </is>
      </c>
      <c r="C127" s="20" t="n">
        <v>277</v>
      </c>
      <c r="D127" s="20" t="n">
        <v>-38</v>
      </c>
      <c r="E127" s="20" t="n">
        <v>126</v>
      </c>
      <c r="F127" s="20" t="n">
        <v>30</v>
      </c>
      <c r="G127" s="20" t="n">
        <v>57</v>
      </c>
      <c r="H127" s="20" t="n">
        <v>88</v>
      </c>
      <c r="I127" s="20" t="n">
        <v>617</v>
      </c>
      <c r="J127" s="20" t="n">
        <v>38</v>
      </c>
      <c r="K127" s="20" t="n">
        <v>73</v>
      </c>
      <c r="L127" s="20" t="n">
        <v>182</v>
      </c>
      <c r="M127" s="20" t="n">
        <v>-56</v>
      </c>
      <c r="N127" s="20" t="n">
        <v>19</v>
      </c>
      <c r="T127" s="20" t="n">
        <v>32</v>
      </c>
      <c r="U127" s="20" t="n">
        <v>158</v>
      </c>
      <c r="V127" s="20" t="n">
        <v>126</v>
      </c>
      <c r="W127" s="20" t="n">
        <v>617</v>
      </c>
      <c r="X127" s="20" t="n">
        <v>-56</v>
      </c>
    </row>
    <row r="128">
      <c r="A128" s="18" t="inlineStr">
        <is>
          <t>영업외비용 합계</t>
        </is>
      </c>
      <c r="C128" s="20" t="n">
        <v>918</v>
      </c>
      <c r="D128" s="20" t="n">
        <v>1135</v>
      </c>
      <c r="E128" s="20" t="n">
        <v>1407</v>
      </c>
      <c r="F128" s="20" t="n">
        <v>1628</v>
      </c>
      <c r="G128" s="20" t="n">
        <v>2046</v>
      </c>
      <c r="H128" s="20" t="n">
        <v>-1729</v>
      </c>
      <c r="I128" s="20" t="n">
        <v>2696</v>
      </c>
      <c r="J128" s="20" t="n">
        <v>863</v>
      </c>
      <c r="K128" s="20" t="n">
        <v>-161</v>
      </c>
      <c r="L128" s="20" t="n">
        <v>525</v>
      </c>
      <c r="M128" s="20" t="n">
        <v>989</v>
      </c>
      <c r="N128" s="20" t="n">
        <v>499</v>
      </c>
      <c r="T128" s="20" t="n">
        <v>418</v>
      </c>
      <c r="U128" s="20" t="n">
        <v>439</v>
      </c>
      <c r="V128" s="20" t="n">
        <v>1407</v>
      </c>
      <c r="W128" s="20" t="n">
        <v>2696</v>
      </c>
      <c r="X128" s="20" t="n">
        <v>989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T129" s="15">
        <f>IF(OR(T128="",S128=""),"",IF(T128*S128&lt;=0,"",IFERROR(T128/S128-1,"")))</f>
        <v/>
      </c>
      <c r="U129" s="15">
        <f>IF(OR(U128="",T128=""),"",IF(U128*T128&lt;=0,"",IFERROR(U128/T128-1,"")))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9" t="inlineStr">
        <is>
          <t>경상이익</t>
        </is>
      </c>
      <c r="C130" s="12" t="n">
        <v>4662</v>
      </c>
      <c r="D130" s="12" t="n">
        <v>6082</v>
      </c>
      <c r="E130" s="12" t="n">
        <v>2880</v>
      </c>
      <c r="F130" s="12" t="n">
        <v>3992</v>
      </c>
      <c r="G130" s="12" t="n">
        <v>-427</v>
      </c>
      <c r="H130" s="12" t="n">
        <v>6241</v>
      </c>
      <c r="I130" s="12" t="n">
        <v>3475</v>
      </c>
      <c r="J130" s="12" t="n">
        <v>3969</v>
      </c>
      <c r="K130" s="12" t="n">
        <v>4817</v>
      </c>
      <c r="L130" s="12" t="n">
        <v>6241</v>
      </c>
      <c r="M130" s="12" t="n">
        <v>5813</v>
      </c>
      <c r="N130" s="12" t="n">
        <v>4102</v>
      </c>
      <c r="T130" s="12" t="n">
        <v>4615</v>
      </c>
      <c r="U130" s="12" t="n">
        <v>5334</v>
      </c>
      <c r="V130" s="12" t="n">
        <v>2880</v>
      </c>
      <c r="W130" s="12" t="n">
        <v>3475</v>
      </c>
      <c r="X130" s="12" t="n">
        <v>5813</v>
      </c>
    </row>
    <row r="131">
      <c r="A131" s="43" t="inlineStr">
        <is>
          <t>YoY</t>
        </is>
      </c>
      <c r="B131" s="3" t="inlineStr">
        <is>
          <t>전년 같은 분기·전년 대비</t>
        </is>
      </c>
      <c r="G131" s="15">
        <f>IF(OR(G130="",C130=""),"",IF(C130&lt;=0,"",IFERROR(G130/C130-1,"")))</f>
        <v/>
      </c>
      <c r="H131" s="15">
        <f>IF(OR(H130="",D130=""),"",IF(D130&lt;=0,"",IFERROR(H130/D130-1,"")))</f>
        <v/>
      </c>
      <c r="I131" s="15">
        <f>IF(OR(I130="",E130=""),"",IF(E130&lt;=0,"",IFERROR(I130/E130-1,"")))</f>
        <v/>
      </c>
      <c r="J131" s="15">
        <f>IF(OR(J130="",F130=""),"",IF(F130&lt;=0,"",IFERROR(J130/F130-1,"")))</f>
        <v/>
      </c>
      <c r="K131" s="15">
        <f>IF(OR(K130="",G130=""),"",IF(G130&lt;=0,"",IFERROR(K130/G130-1,"")))</f>
        <v/>
      </c>
      <c r="L131" s="15">
        <f>IF(OR(L130="",H130=""),"",IF(H130&lt;=0,"",IFERROR(L130/H130-1,"")))</f>
        <v/>
      </c>
      <c r="M131" s="15">
        <f>IF(OR(M130="",I130=""),"",IF(I130&lt;=0,"",IFERROR(M130/I130-1,"")))</f>
        <v/>
      </c>
      <c r="N131" s="15">
        <f>IF(OR(N130="",J130=""),"",IF(J130&lt;=0,"",IFERROR(N130/J130-1,"")))</f>
        <v/>
      </c>
      <c r="T131" s="15">
        <f>IF(OR(T130="",S130=""),"",IF(S130&lt;=0,"",IFERROR(T130/S130-1,"")))</f>
        <v/>
      </c>
      <c r="U131" s="15">
        <f>IF(OR(U130="",T130=""),"",IF(T130&lt;=0,"",IFERROR(U130/T130-1,"")))</f>
        <v/>
      </c>
      <c r="V131" s="15">
        <f>IF(OR(V130="",U130=""),"",IF(U130&lt;=0,"",IFERROR(V130/U130-1,"")))</f>
        <v/>
      </c>
      <c r="W131" s="15">
        <f>IF(OR(W130="",V130=""),"",IF(V130&lt;=0,"",IFERROR(W130/V130-1,"")))</f>
        <v/>
      </c>
      <c r="X131" s="15">
        <f>IF(OR(X130="",W130=""),"",IF(W130&lt;=0,"",IFERROR(X130/W130-1,"")))</f>
        <v/>
      </c>
    </row>
    <row r="132">
      <c r="A132" s="18" t="inlineStr">
        <is>
          <t>관계회사 청산이익</t>
        </is>
      </c>
      <c r="D132" s="20" t="n">
        <v>0</v>
      </c>
      <c r="E132" s="20" t="n">
        <v>0</v>
      </c>
      <c r="H132" s="20" t="n">
        <v>0</v>
      </c>
      <c r="I132" s="20" t="n">
        <v>0</v>
      </c>
      <c r="L132" s="20" t="n">
        <v>0</v>
      </c>
      <c r="M132" s="20" t="n">
        <v>0</v>
      </c>
      <c r="T132" s="20" t="n">
        <v>0</v>
      </c>
      <c r="U132" s="20" t="n">
        <v>0</v>
      </c>
      <c r="V132" s="20" t="n">
        <v>0</v>
      </c>
      <c r="W132" s="20" t="n">
        <v>0</v>
      </c>
      <c r="X132" s="20" t="n">
        <v>0</v>
      </c>
    </row>
    <row r="133">
      <c r="A133" s="18" t="inlineStr">
        <is>
          <t>투자유가증권 매각이익</t>
        </is>
      </c>
      <c r="D133" s="20" t="n">
        <v>0</v>
      </c>
      <c r="E133" s="20" t="n">
        <v>0</v>
      </c>
      <c r="H133" s="20" t="n">
        <v>745</v>
      </c>
      <c r="I133" s="20" t="n">
        <v>53</v>
      </c>
      <c r="L133" s="20" t="n">
        <v>0</v>
      </c>
      <c r="M133" s="20" t="n">
        <v>0</v>
      </c>
      <c r="T133" s="20" t="n">
        <v>0</v>
      </c>
      <c r="U133" s="20" t="n">
        <v>1604</v>
      </c>
      <c r="V133" s="20" t="n">
        <v>0</v>
      </c>
      <c r="W133" s="20" t="n">
        <v>53</v>
      </c>
      <c r="X133" s="20" t="n">
        <v>0</v>
      </c>
    </row>
    <row r="134">
      <c r="A134" s="18" t="inlineStr">
        <is>
          <t>특별이익 합계</t>
        </is>
      </c>
      <c r="D134" s="20" t="n">
        <v>0</v>
      </c>
      <c r="E134" s="20" t="n">
        <v>0</v>
      </c>
      <c r="H134" s="20" t="n">
        <v>745</v>
      </c>
      <c r="I134" s="20" t="n">
        <v>466</v>
      </c>
      <c r="L134" s="20" t="n">
        <v>0</v>
      </c>
      <c r="M134" s="20" t="n">
        <v>22</v>
      </c>
      <c r="T134" s="20" t="n">
        <v>0</v>
      </c>
      <c r="U134" s="20" t="n">
        <v>1604</v>
      </c>
      <c r="V134" s="20" t="n">
        <v>0</v>
      </c>
      <c r="W134" s="20" t="n">
        <v>466</v>
      </c>
      <c r="X134" s="20" t="n">
        <v>22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H135" s="15">
        <f>IF(OR(H134="",D134=""),"",IF(H134*D134&lt;=0,"",IFERROR(H134/D134-1,"")))</f>
        <v/>
      </c>
      <c r="I135" s="15">
        <f>IF(OR(I134="",E134=""),"",IF(I134*E134&lt;=0,"",IFERROR(I134/E134-1,"")))</f>
        <v/>
      </c>
      <c r="L135" s="15">
        <f>IF(OR(L134="",H134=""),"",IF(L134*H134&lt;=0,"",IFERROR(L134/H134-1,"")))</f>
        <v/>
      </c>
      <c r="M135" s="15">
        <f>IF(OR(M134="",I134=""),"",IF(M134*I134&lt;=0,"",IFERROR(M134/I134-1,"")))</f>
        <v/>
      </c>
      <c r="T135" s="15">
        <f>IF(OR(T134="",S134=""),"",IF(T134*S134&lt;=0,"",IFERROR(T134/S134-1,"")))</f>
        <v/>
      </c>
      <c r="U135" s="15">
        <f>IF(OR(U134="",T134=""),"",IF(U134*T134&lt;=0,"",IFERROR(U134/T134-1,"")))</f>
        <v/>
      </c>
      <c r="V135" s="15">
        <f>IF(OR(V134="",U134=""),"",IF(V134*U134&lt;=0,"",IFERROR(V134/U134-1,"")))</f>
        <v/>
      </c>
      <c r="W135" s="15">
        <f>IF(OR(W134="",V134=""),"",IF(W134*V134&lt;=0,"",IFERROR(W134/V134-1,"")))</f>
        <v/>
      </c>
      <c r="X135" s="15">
        <f>IF(OR(X134="",W134=""),"",IF(X134*W134&lt;=0,"",IFERROR(X134/W134-1,"")))</f>
        <v/>
      </c>
    </row>
    <row r="136">
      <c r="A136" s="18" t="inlineStr">
        <is>
          <t>손상차손</t>
        </is>
      </c>
      <c r="E136" s="20" t="n">
        <v>0</v>
      </c>
      <c r="I136" s="20" t="n">
        <v>194</v>
      </c>
      <c r="M136" s="20" t="n">
        <v>0</v>
      </c>
      <c r="V136" s="20" t="n">
        <v>0</v>
      </c>
      <c r="W136" s="20" t="n">
        <v>194</v>
      </c>
      <c r="X136" s="20" t="n">
        <v>0</v>
      </c>
    </row>
    <row r="137">
      <c r="A137" s="18" t="inlineStr">
        <is>
          <t>투자유가증권 평가손실</t>
        </is>
      </c>
      <c r="T137" s="20" t="n">
        <v>0</v>
      </c>
      <c r="U137" s="20" t="n">
        <v>0</v>
      </c>
    </row>
    <row r="138">
      <c r="A138" s="18" t="inlineStr">
        <is>
          <t>사업재편 손실</t>
        </is>
      </c>
      <c r="E138" s="20" t="n">
        <v>0</v>
      </c>
      <c r="I138" s="20" t="n">
        <v>50</v>
      </c>
      <c r="M138" s="20" t="n">
        <v>68</v>
      </c>
      <c r="V138" s="20" t="n">
        <v>0</v>
      </c>
      <c r="W138" s="20" t="n">
        <v>50</v>
      </c>
      <c r="X138" s="20" t="n">
        <v>68</v>
      </c>
    </row>
    <row r="139">
      <c r="A139" s="18" t="inlineStr">
        <is>
          <t>특별손실 합계</t>
        </is>
      </c>
      <c r="E139" s="20" t="n">
        <v>0</v>
      </c>
      <c r="I139" s="20" t="n">
        <v>245</v>
      </c>
      <c r="M139" s="20" t="n">
        <v>69</v>
      </c>
      <c r="T139" s="20" t="n">
        <v>533</v>
      </c>
      <c r="U139" s="20" t="n">
        <v>1454</v>
      </c>
      <c r="V139" s="20" t="n">
        <v>0</v>
      </c>
      <c r="W139" s="20" t="n">
        <v>245</v>
      </c>
      <c r="X139" s="20" t="n">
        <v>69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I140" s="15">
        <f>IF(OR(I139="",E139=""),"",IF(I139*E139&lt;=0,"",IFERROR(I139/E139-1,"")))</f>
        <v/>
      </c>
      <c r="M140" s="15">
        <f>IF(OR(M139="",I139=""),"",IF(M139*I139&lt;=0,"",IFERROR(M139/I139-1,"")))</f>
        <v/>
      </c>
      <c r="T140" s="15">
        <f>IF(OR(T139="",S139=""),"",IF(T139*S139&lt;=0,"",IFERROR(T139/S139-1,"")))</f>
        <v/>
      </c>
      <c r="U140" s="15">
        <f>IF(OR(U139="",T139=""),"",IF(U139*T139&lt;=0,"",IFERROR(U139/T139-1,"")))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법인세차감전 순이익</t>
        </is>
      </c>
      <c r="C141" s="12" t="n">
        <v>4662</v>
      </c>
      <c r="D141" s="12" t="n">
        <v>6082</v>
      </c>
      <c r="E141" s="12" t="n">
        <v>2880</v>
      </c>
      <c r="F141" s="12" t="n">
        <v>3992</v>
      </c>
      <c r="G141" s="12" t="n">
        <v>367</v>
      </c>
      <c r="H141" s="12" t="n">
        <v>2025</v>
      </c>
      <c r="I141" s="12" t="n">
        <v>3695</v>
      </c>
      <c r="J141" s="12" t="n">
        <v>3969</v>
      </c>
      <c r="K141" s="12" t="n">
        <v>5367</v>
      </c>
      <c r="L141" s="12" t="n">
        <v>6197</v>
      </c>
      <c r="M141" s="12" t="n">
        <v>5766</v>
      </c>
      <c r="N141" s="12" t="n">
        <v>4102</v>
      </c>
      <c r="T141" s="12" t="n">
        <v>4083</v>
      </c>
      <c r="U141" s="12" t="n">
        <v>5483</v>
      </c>
      <c r="V141" s="12" t="n">
        <v>2880</v>
      </c>
      <c r="W141" s="12" t="n">
        <v>3695</v>
      </c>
      <c r="X141" s="12" t="n">
        <v>5766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T142" s="15">
        <f>IF(OR(T141="",S141=""),"",IF(S141&lt;=0,"",IFERROR(T141/S141-1,"")))</f>
        <v/>
      </c>
      <c r="U142" s="15">
        <f>IF(OR(U141="",T141=""),"",IF(T141&lt;=0,"",IFERROR(U141/T141-1,"")))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18" t="inlineStr">
        <is>
          <t>법인세 등</t>
        </is>
      </c>
      <c r="C143" s="20" t="n">
        <v>914</v>
      </c>
      <c r="D143" s="20" t="n">
        <v>1805</v>
      </c>
      <c r="E143" s="20" t="n">
        <v>737</v>
      </c>
      <c r="F143" s="20" t="n">
        <v>1536</v>
      </c>
      <c r="G143" s="20" t="n">
        <v>1017</v>
      </c>
      <c r="H143" s="20" t="n">
        <v>1413</v>
      </c>
      <c r="I143" s="20" t="n">
        <v>342</v>
      </c>
      <c r="J143" s="20" t="n">
        <v>1242</v>
      </c>
      <c r="K143" s="20" t="n">
        <v>959</v>
      </c>
      <c r="L143" s="20" t="n">
        <v>1419</v>
      </c>
      <c r="M143" s="20" t="n">
        <v>472</v>
      </c>
      <c r="N143" s="20" t="n">
        <v>1515</v>
      </c>
      <c r="T143" s="20" t="n">
        <v>130</v>
      </c>
      <c r="U143" s="20" t="n">
        <v>-4384</v>
      </c>
      <c r="V143" s="20" t="n">
        <v>737</v>
      </c>
      <c r="W143" s="20" t="n">
        <v>342</v>
      </c>
      <c r="X143" s="20" t="n">
        <v>472</v>
      </c>
    </row>
    <row r="144">
      <c r="A144" s="43" t="inlineStr">
        <is>
          <t>YoY</t>
        </is>
      </c>
      <c r="B144" s="3" t="inlineStr">
        <is>
          <t>전년 같은 분기·전년 대비</t>
        </is>
      </c>
      <c r="G144" s="15">
        <f>IF(OR(G143="",C143=""),"",IF(G143*C143&lt;=0,"",IFERROR(G143/C143-1,"")))</f>
        <v/>
      </c>
      <c r="H144" s="15">
        <f>IF(OR(H143="",D143=""),"",IF(H143*D143&lt;=0,"",IFERROR(H143/D143-1,"")))</f>
        <v/>
      </c>
      <c r="I144" s="15">
        <f>IF(OR(I143="",E143=""),"",IF(I143*E143&lt;=0,"",IFERROR(I143/E143-1,"")))</f>
        <v/>
      </c>
      <c r="J144" s="15">
        <f>IF(OR(J143="",F143=""),"",IF(J143*F143&lt;=0,"",IFERROR(J143/F143-1,"")))</f>
        <v/>
      </c>
      <c r="K144" s="15">
        <f>IF(OR(K143="",G143=""),"",IF(K143*G143&lt;=0,"",IFERROR(K143/G143-1,"")))</f>
        <v/>
      </c>
      <c r="L144" s="15">
        <f>IF(OR(L143="",H143=""),"",IF(L143*H143&lt;=0,"",IFERROR(L143/H143-1,"")))</f>
        <v/>
      </c>
      <c r="M144" s="15">
        <f>IF(OR(M143="",I143=""),"",IF(M143*I143&lt;=0,"",IFERROR(M143/I143-1,"")))</f>
        <v/>
      </c>
      <c r="N144" s="15">
        <f>IF(OR(N143="",J143=""),"",IF(N143*J143&lt;=0,"",IFERROR(N143/J143-1,"")))</f>
        <v/>
      </c>
      <c r="T144" s="15">
        <f>IF(OR(T143="",S143=""),"",IF(T143*S143&lt;=0,"",IFERROR(T143/S143-1,"")))</f>
        <v/>
      </c>
      <c r="U144" s="15">
        <f>IF(OR(U143="",T143=""),"",IF(U143*T143&lt;=0,"",IFERROR(U143/T143-1,"")))</f>
        <v/>
      </c>
      <c r="V144" s="15">
        <f>IF(OR(V143="",U143=""),"",IF(V143*U143&lt;=0,"",IFERROR(V143/U143-1,"")))</f>
        <v/>
      </c>
      <c r="W144" s="15">
        <f>IF(OR(W143="",V143=""),"",IF(W143*V143&lt;=0,"",IFERROR(W143/V143-1,"")))</f>
        <v/>
      </c>
      <c r="X144" s="15">
        <f>IF(OR(X143="",W143=""),"",IF(X143*W143&lt;=0,"",IFERROR(X143/W143-1,"")))</f>
        <v/>
      </c>
    </row>
    <row r="145">
      <c r="A145" s="9" t="inlineStr">
        <is>
          <t>순이익</t>
        </is>
      </c>
      <c r="C145" s="12" t="n">
        <v>3748</v>
      </c>
      <c r="D145" s="12" t="n">
        <v>4276</v>
      </c>
      <c r="E145" s="12" t="n">
        <v>2144</v>
      </c>
      <c r="F145" s="12" t="n">
        <v>2455</v>
      </c>
      <c r="G145" s="12" t="n">
        <v>-650</v>
      </c>
      <c r="H145" s="12" t="n">
        <v>612</v>
      </c>
      <c r="I145" s="12" t="n">
        <v>3354</v>
      </c>
      <c r="J145" s="12" t="n">
        <v>2726</v>
      </c>
      <c r="K145" s="12" t="n">
        <v>4409</v>
      </c>
      <c r="L145" s="12" t="n">
        <v>4777</v>
      </c>
      <c r="M145" s="12" t="n">
        <v>5295</v>
      </c>
      <c r="N145" s="12" t="n">
        <v>2587</v>
      </c>
      <c r="T145" s="12" t="n">
        <v>3953</v>
      </c>
      <c r="U145" s="12" t="n">
        <v>9868</v>
      </c>
      <c r="V145" s="12" t="n">
        <v>2144</v>
      </c>
      <c r="W145" s="12" t="n">
        <v>3354</v>
      </c>
      <c r="X145" s="12" t="n">
        <v>5295</v>
      </c>
    </row>
    <row r="146">
      <c r="A146" s="43" t="inlineStr">
        <is>
          <t>YoY</t>
        </is>
      </c>
      <c r="B146" s="3" t="inlineStr">
        <is>
          <t>전년 같은 분기·전년 대비</t>
        </is>
      </c>
      <c r="G146" s="15">
        <f>IF(OR(G145="",C145=""),"",IF(C145&lt;=0,"",IFERROR(G145/C145-1,"")))</f>
        <v/>
      </c>
      <c r="H146" s="15">
        <f>IF(OR(H145="",D145=""),"",IF(D145&lt;=0,"",IFERROR(H145/D145-1,"")))</f>
        <v/>
      </c>
      <c r="I146" s="15">
        <f>IF(OR(I145="",E145=""),"",IF(E145&lt;=0,"",IFERROR(I145/E145-1,"")))</f>
        <v/>
      </c>
      <c r="J146" s="15">
        <f>IF(OR(J145="",F145=""),"",IF(F145&lt;=0,"",IFERROR(J145/F145-1,"")))</f>
        <v/>
      </c>
      <c r="K146" s="15">
        <f>IF(OR(K145="",G145=""),"",IF(G145&lt;=0,"",IFERROR(K145/G145-1,"")))</f>
        <v/>
      </c>
      <c r="L146" s="15">
        <f>IF(OR(L145="",H145=""),"",IF(H145&lt;=0,"",IFERROR(L145/H145-1,"")))</f>
        <v/>
      </c>
      <c r="M146" s="15">
        <f>IF(OR(M145="",I145=""),"",IF(I145&lt;=0,"",IFERROR(M145/I145-1,"")))</f>
        <v/>
      </c>
      <c r="N146" s="15">
        <f>IF(OR(N145="",J145=""),"",IF(J145&lt;=0,"",IFERROR(N145/J145-1,"")))</f>
        <v/>
      </c>
      <c r="T146" s="15">
        <f>IF(OR(T145="",S145=""),"",IF(S145&lt;=0,"",IFERROR(T145/S145-1,"")))</f>
        <v/>
      </c>
      <c r="U146" s="15">
        <f>IF(OR(U145="",T145=""),"",IF(T145&lt;=0,"",IFERROR(U145/T145-1,"")))</f>
        <v/>
      </c>
      <c r="V146" s="15">
        <f>IF(OR(V145="",U145=""),"",IF(U145&lt;=0,"",IFERROR(V145/U145-1,"")))</f>
        <v/>
      </c>
      <c r="W146" s="15">
        <f>IF(OR(W145="",V145=""),"",IF(V145&lt;=0,"",IFERROR(W145/V145-1,"")))</f>
        <v/>
      </c>
      <c r="X146" s="15">
        <f>IF(OR(X145="",W145=""),"",IF(W145&lt;=0,"",IFERROR(X145/W145-1,"")))</f>
        <v/>
      </c>
    </row>
    <row r="147">
      <c r="A147" s="9" t="inlineStr">
        <is>
          <t>비지배주주 순이익</t>
        </is>
      </c>
      <c r="C147" s="12" t="n">
        <v>84</v>
      </c>
      <c r="D147" s="12" t="n">
        <v>249</v>
      </c>
      <c r="E147" s="12" t="n">
        <v>78</v>
      </c>
      <c r="F147" s="12" t="n">
        <v>83</v>
      </c>
      <c r="G147" s="12" t="n">
        <v>133</v>
      </c>
      <c r="H147" s="12" t="n">
        <v>-591</v>
      </c>
      <c r="I147" s="12" t="n">
        <v>-61</v>
      </c>
      <c r="J147" s="12" t="n">
        <v>111</v>
      </c>
      <c r="K147" s="12" t="n">
        <v>633</v>
      </c>
      <c r="L147" s="12" t="n">
        <v>251</v>
      </c>
      <c r="M147" s="12" t="n">
        <v>185</v>
      </c>
      <c r="N147" s="12" t="n">
        <v>113</v>
      </c>
      <c r="T147" s="12" t="n">
        <v>162</v>
      </c>
      <c r="U147" s="12" t="n">
        <v>-42</v>
      </c>
      <c r="V147" s="12" t="n">
        <v>78</v>
      </c>
      <c r="W147" s="12" t="n">
        <v>-61</v>
      </c>
      <c r="X147" s="12" t="n">
        <v>185</v>
      </c>
    </row>
    <row r="148">
      <c r="A148" s="9" t="inlineStr">
        <is>
          <t>지배주주 순이익</t>
        </is>
      </c>
      <c r="C148" s="12" t="n">
        <v>3665</v>
      </c>
      <c r="D148" s="12" t="n">
        <v>4026</v>
      </c>
      <c r="E148" s="12" t="n">
        <v>2066</v>
      </c>
      <c r="F148" s="12" t="n">
        <v>2371</v>
      </c>
      <c r="G148" s="12" t="n">
        <v>-783</v>
      </c>
      <c r="H148" s="12" t="n">
        <v>1204</v>
      </c>
      <c r="I148" s="12" t="n">
        <v>3416</v>
      </c>
      <c r="J148" s="12" t="n">
        <v>2614</v>
      </c>
      <c r="K148" s="12" t="n">
        <v>3776</v>
      </c>
      <c r="L148" s="12" t="n">
        <v>4527</v>
      </c>
      <c r="M148" s="12" t="n">
        <v>5109</v>
      </c>
      <c r="N148" s="12" t="n">
        <v>2474</v>
      </c>
      <c r="T148" s="12" t="n">
        <v>3790</v>
      </c>
      <c r="U148" s="12" t="n">
        <v>9911</v>
      </c>
      <c r="V148" s="12" t="n">
        <v>2066</v>
      </c>
      <c r="W148" s="12" t="n">
        <v>3416</v>
      </c>
      <c r="X148" s="12" t="n">
        <v>5109</v>
      </c>
    </row>
    <row r="149">
      <c r="A149" s="43" t="inlineStr">
        <is>
          <t>YoY</t>
        </is>
      </c>
      <c r="B149" s="3" t="inlineStr">
        <is>
          <t>전년 같은 분기·전년 대비</t>
        </is>
      </c>
      <c r="G149" s="15">
        <f>IF(OR(G148="",C148=""),"",IF(C148&lt;=0,"",IFERROR(G148/C148-1,"")))</f>
        <v/>
      </c>
      <c r="H149" s="15">
        <f>IF(OR(H148="",D148=""),"",IF(D148&lt;=0,"",IFERROR(H148/D148-1,"")))</f>
        <v/>
      </c>
      <c r="I149" s="15">
        <f>IF(OR(I148="",E148=""),"",IF(E148&lt;=0,"",IFERROR(I148/E148-1,"")))</f>
        <v/>
      </c>
      <c r="J149" s="15">
        <f>IF(OR(J148="",F148=""),"",IF(F148&lt;=0,"",IFERROR(J148/F148-1,"")))</f>
        <v/>
      </c>
      <c r="K149" s="15">
        <f>IF(OR(K148="",G148=""),"",IF(G148&lt;=0,"",IFERROR(K148/G148-1,"")))</f>
        <v/>
      </c>
      <c r="L149" s="15">
        <f>IF(OR(L148="",H148=""),"",IF(H148&lt;=0,"",IFERROR(L148/H148-1,"")))</f>
        <v/>
      </c>
      <c r="M149" s="15">
        <f>IF(OR(M148="",I148=""),"",IF(I148&lt;=0,"",IFERROR(M148/I148-1,"")))</f>
        <v/>
      </c>
      <c r="N149" s="15">
        <f>IF(OR(N148="",J148=""),"",IF(J148&lt;=0,"",IFERROR(N148/J148-1,"")))</f>
        <v/>
      </c>
      <c r="T149" s="15">
        <f>IF(OR(T148="",S148=""),"",IF(S148&lt;=0,"",IFERROR(T148/S148-1,"")))</f>
        <v/>
      </c>
      <c r="U149" s="15">
        <f>IF(OR(U148="",T148=""),"",IF(T148&lt;=0,"",IFERROR(U148/T148-1,"")))</f>
        <v/>
      </c>
      <c r="V149" s="15">
        <f>IF(OR(V148="",U148=""),"",IF(U148&lt;=0,"",IFERROR(V148/U148-1,"")))</f>
        <v/>
      </c>
      <c r="W149" s="15">
        <f>IF(OR(W148="",V148=""),"",IF(V148&lt;=0,"",IFERROR(W148/V148-1,"")))</f>
        <v/>
      </c>
      <c r="X149" s="15">
        <f>IF(OR(X148="",W148=""),"",IF(W148&lt;=0,"",IFERROR(X148/W148-1,"")))</f>
        <v/>
      </c>
    </row>
    <row r="151">
      <c r="A151" s="16" t="inlineStr">
        <is>
          <t>포괄손익 · 전 항목</t>
        </is>
      </c>
      <c r="B151" s="42" t="inlineStr">
        <is>
          <t>분기 = 3개월 단독</t>
        </is>
      </c>
      <c r="C151" s="16" t="n"/>
      <c r="D151" s="16" t="n"/>
      <c r="E151" s="16" t="n"/>
      <c r="F151" s="16" t="n"/>
      <c r="G151" s="16" t="n"/>
      <c r="H151" s="16" t="n"/>
      <c r="I151" s="16" t="n"/>
      <c r="J151" s="16" t="n"/>
      <c r="K151" s="16" t="n"/>
      <c r="L151" s="16" t="n"/>
      <c r="M151" s="16" t="n"/>
      <c r="N151" s="16" t="n"/>
      <c r="O151" s="16" t="n"/>
      <c r="P151" s="16" t="n"/>
      <c r="Q151" s="16" t="n"/>
      <c r="R151" s="16" t="n"/>
      <c r="S151" s="16" t="n"/>
      <c r="T151" s="16" t="n"/>
      <c r="U151" s="16" t="n"/>
      <c r="V151" s="16" t="n"/>
      <c r="W151" s="16" t="n"/>
      <c r="X151" s="16" t="n"/>
      <c r="Y151" s="16" t="n"/>
      <c r="Z151" s="16" t="n"/>
      <c r="AA151" s="16" t="n"/>
      <c r="AB151" s="16" t="n"/>
      <c r="AC151" s="16" t="n"/>
    </row>
    <row r="152">
      <c r="A152" s="5" t="inlineStr">
        <is>
          <t>항목</t>
        </is>
      </c>
      <c r="B152" s="5" t="inlineStr">
        <is>
          <t>참고</t>
        </is>
      </c>
      <c r="C152" s="5" t="inlineStr">
        <is>
          <t>2024.2Q</t>
        </is>
      </c>
      <c r="D152" s="5" t="inlineStr">
        <is>
          <t>2024.3Q</t>
        </is>
      </c>
      <c r="E152" s="5" t="inlineStr">
        <is>
          <t>2024.4Q</t>
        </is>
      </c>
      <c r="F152" s="5" t="inlineStr">
        <is>
          <t>2025.1Q</t>
        </is>
      </c>
      <c r="G152" s="5" t="inlineStr">
        <is>
          <t>2025.2Q</t>
        </is>
      </c>
      <c r="H152" s="5" t="inlineStr">
        <is>
          <t>2025.3Q</t>
        </is>
      </c>
      <c r="I152" s="5" t="inlineStr">
        <is>
          <t>2025.4Q</t>
        </is>
      </c>
      <c r="J152" s="5" t="inlineStr">
        <is>
          <t>2026.1Q</t>
        </is>
      </c>
      <c r="K152" s="5" t="inlineStr">
        <is>
          <t>2026.2Q</t>
        </is>
      </c>
      <c r="L152" s="5" t="inlineStr">
        <is>
          <t>2026.3Q</t>
        </is>
      </c>
      <c r="M152" s="5" t="inlineStr">
        <is>
          <t>2026.4Q</t>
        </is>
      </c>
      <c r="N152" s="5" t="inlineStr">
        <is>
          <t>2027.1Q</t>
        </is>
      </c>
      <c r="O152" s="5" t="inlineStr">
        <is>
          <t>2017</t>
        </is>
      </c>
      <c r="P152" s="5" t="inlineStr">
        <is>
          <t>2018</t>
        </is>
      </c>
      <c r="Q152" s="5" t="inlineStr">
        <is>
          <t>2019</t>
        </is>
      </c>
      <c r="R152" s="5" t="inlineStr">
        <is>
          <t>2020</t>
        </is>
      </c>
      <c r="S152" s="5" t="inlineStr">
        <is>
          <t>2021</t>
        </is>
      </c>
      <c r="T152" s="5" t="inlineStr">
        <is>
          <t>2022</t>
        </is>
      </c>
      <c r="U152" s="5" t="inlineStr">
        <is>
          <t>2023</t>
        </is>
      </c>
      <c r="V152" s="5" t="inlineStr">
        <is>
          <t>2024</t>
        </is>
      </c>
      <c r="W152" s="5" t="inlineStr">
        <is>
          <t>2025</t>
        </is>
      </c>
      <c r="X152" s="5" t="inlineStr">
        <is>
          <t>2026</t>
        </is>
      </c>
      <c r="Y152" s="5" t="inlineStr">
        <is>
          <t>2027(MW)</t>
        </is>
      </c>
      <c r="Z152" s="5" t="inlineStr">
        <is>
          <t>2028(MW)</t>
        </is>
      </c>
      <c r="AA152" s="5" t="inlineStr">
        <is>
          <t>2029(MW)</t>
        </is>
      </c>
      <c r="AB152" s="5" t="inlineStr">
        <is>
          <t>2030(MW)</t>
        </is>
      </c>
      <c r="AC152" s="5" t="inlineStr">
        <is>
          <t>2031(MW)</t>
        </is>
      </c>
    </row>
    <row r="153">
      <c r="A153" s="9" t="inlineStr">
        <is>
          <t>순이익</t>
        </is>
      </c>
      <c r="C153" s="12" t="n">
        <v>3748</v>
      </c>
      <c r="D153" s="12" t="n">
        <v>4276</v>
      </c>
      <c r="E153" s="12" t="n">
        <v>2144</v>
      </c>
      <c r="F153" s="12" t="n">
        <v>2455</v>
      </c>
      <c r="G153" s="12" t="n">
        <v>-650</v>
      </c>
      <c r="H153" s="12" t="n">
        <v>612</v>
      </c>
      <c r="I153" s="12" t="n">
        <v>3354</v>
      </c>
      <c r="J153" s="12" t="n">
        <v>2726</v>
      </c>
      <c r="K153" s="12" t="n">
        <v>4409</v>
      </c>
      <c r="L153" s="12" t="n">
        <v>4777</v>
      </c>
      <c r="M153" s="12" t="n">
        <v>5295</v>
      </c>
      <c r="N153" s="12" t="n">
        <v>2587</v>
      </c>
      <c r="T153" s="12" t="n">
        <v>3953</v>
      </c>
      <c r="U153" s="12" t="n">
        <v>9868</v>
      </c>
      <c r="V153" s="12" t="n">
        <v>2144</v>
      </c>
      <c r="W153" s="12" t="n">
        <v>3354</v>
      </c>
      <c r="X153" s="12" t="n">
        <v>5295</v>
      </c>
    </row>
    <row r="154">
      <c r="A154" s="18" t="inlineStr">
        <is>
          <t>기타유가증권 평가차액</t>
        </is>
      </c>
      <c r="C154" s="20" t="n">
        <v>1739</v>
      </c>
      <c r="D154" s="20" t="n">
        <v>-372</v>
      </c>
      <c r="E154" s="20" t="n">
        <v>4181</v>
      </c>
      <c r="F154" s="20" t="n">
        <v>-1227</v>
      </c>
      <c r="G154" s="20" t="n">
        <v>-3448</v>
      </c>
      <c r="H154" s="20" t="n">
        <v>1598</v>
      </c>
      <c r="I154" s="20" t="n">
        <v>-1581</v>
      </c>
      <c r="J154" s="20" t="n">
        <v>-429</v>
      </c>
      <c r="K154" s="20" t="n">
        <v>1670</v>
      </c>
      <c r="L154" s="20" t="n">
        <v>1782</v>
      </c>
      <c r="M154" s="20" t="n">
        <v>-706</v>
      </c>
      <c r="N154" s="20" t="n">
        <v>-763</v>
      </c>
      <c r="T154" s="20" t="n">
        <v>304</v>
      </c>
      <c r="U154" s="20" t="n">
        <v>576</v>
      </c>
      <c r="V154" s="20" t="n">
        <v>4181</v>
      </c>
      <c r="W154" s="20" t="n">
        <v>-1581</v>
      </c>
      <c r="X154" s="20" t="n">
        <v>-706</v>
      </c>
    </row>
    <row r="155">
      <c r="A155" s="18" t="inlineStr">
        <is>
          <t>해외사업환산조정</t>
        </is>
      </c>
      <c r="C155" s="20" t="n">
        <v>1079</v>
      </c>
      <c r="D155" s="20" t="n">
        <v>-2069</v>
      </c>
      <c r="E155" s="20" t="n">
        <v>3069</v>
      </c>
      <c r="F155" s="20" t="n">
        <v>3752</v>
      </c>
      <c r="G155" s="20" t="n">
        <v>-5751</v>
      </c>
      <c r="H155" s="20" t="n">
        <v>2995</v>
      </c>
      <c r="I155" s="20" t="n">
        <v>-2724</v>
      </c>
      <c r="J155" s="20" t="n">
        <v>-168</v>
      </c>
      <c r="K155" s="20" t="n">
        <v>660</v>
      </c>
      <c r="L155" s="20" t="n">
        <v>3649</v>
      </c>
      <c r="M155" s="20" t="n">
        <v>-339</v>
      </c>
      <c r="N155" s="20" t="n">
        <v>959</v>
      </c>
      <c r="T155" s="20" t="n">
        <v>3224</v>
      </c>
      <c r="U155" s="20" t="n">
        <v>-1454</v>
      </c>
      <c r="V155" s="20" t="n">
        <v>3069</v>
      </c>
      <c r="W155" s="20" t="n">
        <v>-2724</v>
      </c>
      <c r="X155" s="20" t="n">
        <v>-339</v>
      </c>
    </row>
    <row r="156">
      <c r="A156" s="18" t="inlineStr">
        <is>
          <t>퇴직급여 조정액</t>
        </is>
      </c>
      <c r="C156" s="20" t="n">
        <v>-86</v>
      </c>
      <c r="D156" s="20" t="n">
        <v>-86</v>
      </c>
      <c r="E156" s="20" t="n">
        <v>6788</v>
      </c>
      <c r="F156" s="20" t="n">
        <v>-242</v>
      </c>
      <c r="G156" s="20" t="n">
        <v>-243</v>
      </c>
      <c r="H156" s="20" t="n">
        <v>-242</v>
      </c>
      <c r="I156" s="20" t="n">
        <v>-2861</v>
      </c>
      <c r="J156" s="20" t="n">
        <v>-169</v>
      </c>
      <c r="K156" s="20" t="n">
        <v>-167</v>
      </c>
      <c r="L156" s="20" t="n">
        <v>-166</v>
      </c>
      <c r="M156" s="20" t="n">
        <v>3038</v>
      </c>
      <c r="N156" s="20" t="n">
        <v>-177</v>
      </c>
      <c r="T156" s="20" t="n">
        <v>1601</v>
      </c>
      <c r="U156" s="20" t="n">
        <v>-1452</v>
      </c>
      <c r="V156" s="20" t="n">
        <v>6788</v>
      </c>
      <c r="W156" s="20" t="n">
        <v>-2861</v>
      </c>
      <c r="X156" s="20" t="n">
        <v>3038</v>
      </c>
    </row>
    <row r="157">
      <c r="A157" s="18" t="inlineStr">
        <is>
          <t>지분법 적용회사 지분 해당액</t>
        </is>
      </c>
      <c r="C157" s="20" t="n">
        <v>268</v>
      </c>
      <c r="D157" s="20" t="n">
        <v>91</v>
      </c>
      <c r="E157" s="20" t="n">
        <v>28</v>
      </c>
      <c r="F157" s="20" t="n">
        <v>186</v>
      </c>
      <c r="G157" s="20" t="n">
        <v>276</v>
      </c>
      <c r="H157" s="20" t="n">
        <v>-486</v>
      </c>
      <c r="I157" s="20" t="n">
        <v>134</v>
      </c>
      <c r="J157" s="20" t="n">
        <v>-70</v>
      </c>
      <c r="K157" s="20" t="n">
        <v>35</v>
      </c>
      <c r="L157" s="20" t="n">
        <v>88</v>
      </c>
      <c r="M157" s="20" t="n">
        <v>336</v>
      </c>
      <c r="N157" s="20" t="n">
        <v>54</v>
      </c>
      <c r="T157" s="20" t="n">
        <v>-254</v>
      </c>
      <c r="U157" s="20" t="n">
        <v>-801</v>
      </c>
      <c r="V157" s="20" t="n">
        <v>28</v>
      </c>
      <c r="W157" s="20" t="n">
        <v>134</v>
      </c>
      <c r="X157" s="20" t="n">
        <v>336</v>
      </c>
    </row>
    <row r="158">
      <c r="A158" s="18" t="inlineStr">
        <is>
          <t>기타포괄손익 합계</t>
        </is>
      </c>
      <c r="C158" s="20" t="n">
        <v>2999</v>
      </c>
      <c r="D158" s="20" t="n">
        <v>-2434</v>
      </c>
      <c r="E158" s="20" t="n">
        <v>14066</v>
      </c>
      <c r="F158" s="20" t="n">
        <v>2468</v>
      </c>
      <c r="G158" s="20" t="n">
        <v>-9165</v>
      </c>
      <c r="H158" s="20" t="n">
        <v>3865</v>
      </c>
      <c r="I158" s="20" t="n">
        <v>-7032</v>
      </c>
      <c r="J158" s="20" t="n">
        <v>-838</v>
      </c>
      <c r="K158" s="20" t="n">
        <v>2200</v>
      </c>
      <c r="L158" s="20" t="n">
        <v>5353</v>
      </c>
      <c r="M158" s="20" t="n">
        <v>2330</v>
      </c>
      <c r="N158" s="20" t="n">
        <v>73</v>
      </c>
      <c r="T158" s="20" t="n">
        <v>4877</v>
      </c>
      <c r="U158" s="20" t="n">
        <v>-3131</v>
      </c>
      <c r="V158" s="20" t="n">
        <v>14066</v>
      </c>
      <c r="W158" s="20" t="n">
        <v>-7032</v>
      </c>
      <c r="X158" s="20" t="n">
        <v>2330</v>
      </c>
    </row>
    <row r="159">
      <c r="A159" s="9" t="inlineStr">
        <is>
          <t>포괄이익</t>
        </is>
      </c>
      <c r="C159" s="12" t="n">
        <v>6747</v>
      </c>
      <c r="D159" s="12" t="n">
        <v>1843</v>
      </c>
      <c r="E159" s="12" t="n">
        <v>16209</v>
      </c>
      <c r="F159" s="12" t="n">
        <v>4923</v>
      </c>
      <c r="G159" s="12" t="n">
        <v>-9815</v>
      </c>
      <c r="H159" s="12" t="n">
        <v>4478</v>
      </c>
      <c r="I159" s="12" t="n">
        <v>-3679</v>
      </c>
      <c r="J159" s="12" t="n">
        <v>1888</v>
      </c>
      <c r="K159" s="12" t="n">
        <v>6610</v>
      </c>
      <c r="L159" s="12" t="n">
        <v>10130</v>
      </c>
      <c r="M159" s="12" t="n">
        <v>7624</v>
      </c>
      <c r="N159" s="12" t="n">
        <v>2661</v>
      </c>
      <c r="T159" s="12" t="n">
        <v>8829</v>
      </c>
      <c r="U159" s="12" t="n">
        <v>6738</v>
      </c>
      <c r="V159" s="12" t="n">
        <v>16209</v>
      </c>
      <c r="W159" s="12" t="n">
        <v>-3679</v>
      </c>
      <c r="X159" s="12" t="n">
        <v>7624</v>
      </c>
    </row>
    <row r="160">
      <c r="A160" s="9" t="inlineStr">
        <is>
          <t>지배주주 포괄이익</t>
        </is>
      </c>
      <c r="C160" s="12" t="n">
        <v>6550</v>
      </c>
      <c r="D160" s="12" t="n">
        <v>1806</v>
      </c>
      <c r="E160" s="12" t="n">
        <v>15816</v>
      </c>
      <c r="F160" s="12" t="n">
        <v>4457</v>
      </c>
      <c r="G160" s="12" t="n">
        <v>-9346</v>
      </c>
      <c r="H160" s="12" t="n">
        <v>4679</v>
      </c>
      <c r="I160" s="12" t="n">
        <v>-3257</v>
      </c>
      <c r="J160" s="12" t="n">
        <v>1799</v>
      </c>
      <c r="K160" s="12" t="n">
        <v>5865</v>
      </c>
      <c r="L160" s="12" t="n">
        <v>9500</v>
      </c>
      <c r="M160" s="12" t="n">
        <v>7867</v>
      </c>
      <c r="N160" s="12" t="n">
        <v>2414</v>
      </c>
      <c r="T160" s="12" t="n">
        <v>8405</v>
      </c>
      <c r="U160" s="12" t="n">
        <v>6958</v>
      </c>
      <c r="V160" s="12" t="n">
        <v>15816</v>
      </c>
      <c r="W160" s="12" t="n">
        <v>-3257</v>
      </c>
      <c r="X160" s="12" t="n">
        <v>7867</v>
      </c>
    </row>
    <row r="161">
      <c r="A161" s="9" t="inlineStr">
        <is>
          <t>비지배주주 포괄이익</t>
        </is>
      </c>
      <c r="C161" s="12" t="n">
        <v>197</v>
      </c>
      <c r="D161" s="12" t="n">
        <v>37</v>
      </c>
      <c r="E161" s="12" t="n">
        <v>393</v>
      </c>
      <c r="F161" s="12" t="n">
        <v>465</v>
      </c>
      <c r="G161" s="12" t="n">
        <v>-468</v>
      </c>
      <c r="H161" s="12" t="n">
        <v>-201</v>
      </c>
      <c r="I161" s="12" t="n">
        <v>-421</v>
      </c>
      <c r="J161" s="12" t="n">
        <v>89</v>
      </c>
      <c r="K161" s="12" t="n">
        <v>744</v>
      </c>
      <c r="L161" s="12" t="n">
        <v>630</v>
      </c>
      <c r="M161" s="12" t="n">
        <v>-243</v>
      </c>
      <c r="N161" s="12" t="n">
        <v>246</v>
      </c>
      <c r="T161" s="12" t="n">
        <v>424</v>
      </c>
      <c r="U161" s="12" t="n">
        <v>-221</v>
      </c>
      <c r="V161" s="12" t="n">
        <v>393</v>
      </c>
      <c r="W161" s="12" t="n">
        <v>-421</v>
      </c>
      <c r="X161" s="12" t="n">
        <v>-243</v>
      </c>
    </row>
    <row r="163">
      <c r="A163" s="16" t="inlineStr">
        <is>
          <t>부문 · 전 항목</t>
        </is>
      </c>
      <c r="B163" s="42" t="inlineStr">
        <is>
          <t>부문 · 항목</t>
        </is>
      </c>
      <c r="C163" s="16" t="n"/>
      <c r="D163" s="16" t="n"/>
      <c r="E163" s="16" t="n"/>
      <c r="F163" s="16" t="n"/>
      <c r="G163" s="16" t="n"/>
      <c r="H163" s="16" t="n"/>
      <c r="I163" s="16" t="n"/>
      <c r="J163" s="16" t="n"/>
      <c r="K163" s="16" t="n"/>
      <c r="L163" s="16" t="n"/>
      <c r="M163" s="16" t="n"/>
      <c r="N163" s="16" t="n"/>
      <c r="O163" s="16" t="n"/>
      <c r="P163" s="16" t="n"/>
      <c r="Q163" s="16" t="n"/>
      <c r="R163" s="16" t="n"/>
      <c r="S163" s="16" t="n"/>
      <c r="T163" s="16" t="n"/>
      <c r="U163" s="16" t="n"/>
      <c r="V163" s="16" t="n"/>
      <c r="W163" s="16" t="n"/>
      <c r="X163" s="16" t="n"/>
      <c r="Y163" s="16" t="n"/>
      <c r="Z163" s="16" t="n"/>
      <c r="AA163" s="16" t="n"/>
      <c r="AB163" s="16" t="n"/>
      <c r="AC163" s="16" t="n"/>
    </row>
    <row r="164">
      <c r="A164" s="5" t="inlineStr">
        <is>
          <t>항목</t>
        </is>
      </c>
      <c r="B164" s="5" t="inlineStr">
        <is>
          <t>참고</t>
        </is>
      </c>
      <c r="C164" s="5" t="inlineStr">
        <is>
          <t>2024.2Q</t>
        </is>
      </c>
      <c r="D164" s="5" t="inlineStr">
        <is>
          <t>2024.3Q</t>
        </is>
      </c>
      <c r="E164" s="5" t="inlineStr">
        <is>
          <t>2024.4Q</t>
        </is>
      </c>
      <c r="F164" s="5" t="inlineStr">
        <is>
          <t>2025.1Q</t>
        </is>
      </c>
      <c r="G164" s="5" t="inlineStr">
        <is>
          <t>2025.2Q</t>
        </is>
      </c>
      <c r="H164" s="5" t="inlineStr">
        <is>
          <t>2025.3Q</t>
        </is>
      </c>
      <c r="I164" s="5" t="inlineStr">
        <is>
          <t>2025.4Q</t>
        </is>
      </c>
      <c r="J164" s="5" t="inlineStr">
        <is>
          <t>2026.1Q</t>
        </is>
      </c>
      <c r="K164" s="5" t="inlineStr">
        <is>
          <t>2026.2Q</t>
        </is>
      </c>
      <c r="L164" s="5" t="inlineStr">
        <is>
          <t>2026.3Q</t>
        </is>
      </c>
      <c r="M164" s="5" t="inlineStr">
        <is>
          <t>2026.4Q</t>
        </is>
      </c>
      <c r="N164" s="5" t="inlineStr">
        <is>
          <t>2027.1Q</t>
        </is>
      </c>
      <c r="O164" s="5" t="inlineStr">
        <is>
          <t>2017</t>
        </is>
      </c>
      <c r="P164" s="5" t="inlineStr">
        <is>
          <t>2018</t>
        </is>
      </c>
      <c r="Q164" s="5" t="inlineStr">
        <is>
          <t>2019</t>
        </is>
      </c>
      <c r="R164" s="5" t="inlineStr">
        <is>
          <t>2020</t>
        </is>
      </c>
      <c r="S164" s="5" t="inlineStr">
        <is>
          <t>2021</t>
        </is>
      </c>
      <c r="T164" s="5" t="inlineStr">
        <is>
          <t>2022</t>
        </is>
      </c>
      <c r="U164" s="5" t="inlineStr">
        <is>
          <t>2023</t>
        </is>
      </c>
      <c r="V164" s="5" t="inlineStr">
        <is>
          <t>2024</t>
        </is>
      </c>
      <c r="W164" s="5" t="inlineStr">
        <is>
          <t>2025</t>
        </is>
      </c>
      <c r="X164" s="5" t="inlineStr">
        <is>
          <t>2026</t>
        </is>
      </c>
      <c r="Y164" s="5" t="inlineStr">
        <is>
          <t>2027(MW)</t>
        </is>
      </c>
      <c r="Z164" s="5" t="inlineStr">
        <is>
          <t>2028(MW)</t>
        </is>
      </c>
      <c r="AA164" s="5" t="inlineStr">
        <is>
          <t>2029(MW)</t>
        </is>
      </c>
      <c r="AB164" s="5" t="inlineStr">
        <is>
          <t>2030(MW)</t>
        </is>
      </c>
      <c r="AC164" s="5" t="inlineStr">
        <is>
          <t>2031(MW)</t>
        </is>
      </c>
    </row>
    <row r="165">
      <c r="A165" s="18" t="inlineStr">
        <is>
          <t>JapanReportableSegmentsMember · 외부 고객 매출</t>
        </is>
      </c>
      <c r="C165" s="20" t="n">
        <v>91884</v>
      </c>
      <c r="D165" s="20" t="n">
        <v>91499</v>
      </c>
      <c r="E165" s="20" t="n">
        <v>83158</v>
      </c>
      <c r="F165" s="20" t="n">
        <v>75913</v>
      </c>
      <c r="G165" s="20" t="n">
        <v>77430</v>
      </c>
      <c r="H165" s="20" t="n">
        <v>81188</v>
      </c>
      <c r="I165" s="20" t="n">
        <v>82850</v>
      </c>
      <c r="J165" s="20" t="n">
        <v>75249</v>
      </c>
      <c r="K165" s="20" t="n">
        <v>77342</v>
      </c>
      <c r="L165" s="20" t="n">
        <v>77578</v>
      </c>
      <c r="M165" s="20" t="n">
        <v>78336</v>
      </c>
      <c r="N165" s="20" t="n">
        <v>77046</v>
      </c>
      <c r="V165" s="20" t="n">
        <v>83158</v>
      </c>
      <c r="W165" s="20" t="n">
        <v>82850</v>
      </c>
      <c r="X165" s="20" t="n">
        <v>78336</v>
      </c>
    </row>
    <row r="166">
      <c r="A166" s="43" t="inlineStr">
        <is>
          <t>YoY</t>
        </is>
      </c>
      <c r="B166" s="3" t="inlineStr">
        <is>
          <t>전년 같은 분기·전년 대비</t>
        </is>
      </c>
      <c r="G166" s="15">
        <f>IF(OR(G165="",C165=""),"",IF(C165&lt;=0,"",IFERROR(G165/C165-1,"")))</f>
        <v/>
      </c>
      <c r="H166" s="15">
        <f>IF(OR(H165="",D165=""),"",IF(D165&lt;=0,"",IFERROR(H165/D165-1,"")))</f>
        <v/>
      </c>
      <c r="I166" s="15">
        <f>IF(OR(I165="",E165=""),"",IF(E165&lt;=0,"",IFERROR(I165/E165-1,"")))</f>
        <v/>
      </c>
      <c r="J166" s="15">
        <f>IF(OR(J165="",F165=""),"",IF(F165&lt;=0,"",IFERROR(J165/F165-1,"")))</f>
        <v/>
      </c>
      <c r="K166" s="15">
        <f>IF(OR(K165="",G165=""),"",IF(G165&lt;=0,"",IFERROR(K165/G165-1,"")))</f>
        <v/>
      </c>
      <c r="L166" s="15">
        <f>IF(OR(L165="",H165=""),"",IF(H165&lt;=0,"",IFERROR(L165/H165-1,"")))</f>
        <v/>
      </c>
      <c r="M166" s="15">
        <f>IF(OR(M165="",I165=""),"",IF(I165&lt;=0,"",IFERROR(M165/I165-1,"")))</f>
        <v/>
      </c>
      <c r="N166" s="15">
        <f>IF(OR(N165="",J165=""),"",IF(J165&lt;=0,"",IFERROR(N165/J165-1,"")))</f>
        <v/>
      </c>
      <c r="V166" s="15">
        <f>IF(OR(V165="",U165=""),"",IF(U165&lt;=0,"",IFERROR(V165/U165-1,"")))</f>
        <v/>
      </c>
      <c r="W166" s="15">
        <f>IF(OR(W165="",V165=""),"",IF(V165&lt;=0,"",IFERROR(W165/V165-1,"")))</f>
        <v/>
      </c>
      <c r="X166" s="15">
        <f>IF(OR(X165="",W165=""),"",IF(W165&lt;=0,"",IFERROR(X165/W165-1,"")))</f>
        <v/>
      </c>
    </row>
    <row r="167">
      <c r="A167" s="18" t="inlineStr">
        <is>
          <t>NorthAmericaReportableSegmentsMember · 외부 고객 매출</t>
        </is>
      </c>
      <c r="C167" s="20" t="n">
        <v>54118</v>
      </c>
      <c r="D167" s="20" t="n">
        <v>56400</v>
      </c>
      <c r="E167" s="20" t="n">
        <v>57360</v>
      </c>
      <c r="F167" s="20" t="n">
        <v>63255</v>
      </c>
      <c r="G167" s="20" t="n">
        <v>43221</v>
      </c>
      <c r="H167" s="20" t="n">
        <v>46406</v>
      </c>
      <c r="I167" s="20" t="n">
        <v>53411</v>
      </c>
      <c r="J167" s="20" t="n">
        <v>45165</v>
      </c>
      <c r="K167" s="20" t="n">
        <v>43206</v>
      </c>
      <c r="L167" s="20" t="n">
        <v>43597</v>
      </c>
      <c r="M167" s="20" t="n">
        <v>45793</v>
      </c>
      <c r="N167" s="20" t="n">
        <v>49517</v>
      </c>
      <c r="V167" s="20" t="n">
        <v>57360</v>
      </c>
      <c r="W167" s="20" t="n">
        <v>53411</v>
      </c>
      <c r="X167" s="20" t="n">
        <v>45793</v>
      </c>
    </row>
    <row r="168">
      <c r="A168" s="43" t="inlineStr">
        <is>
          <t>YoY</t>
        </is>
      </c>
      <c r="B168" s="3" t="inlineStr">
        <is>
          <t>전년 같은 분기·전년 대비</t>
        </is>
      </c>
      <c r="G168" s="15">
        <f>IF(OR(G167="",C167=""),"",IF(C167&lt;=0,"",IFERROR(G167/C167-1,"")))</f>
        <v/>
      </c>
      <c r="H168" s="15">
        <f>IF(OR(H167="",D167=""),"",IF(D167&lt;=0,"",IFERROR(H167/D167-1,"")))</f>
        <v/>
      </c>
      <c r="I168" s="15">
        <f>IF(OR(I167="",E167=""),"",IF(E167&lt;=0,"",IFERROR(I167/E167-1,"")))</f>
        <v/>
      </c>
      <c r="J168" s="15">
        <f>IF(OR(J167="",F167=""),"",IF(F167&lt;=0,"",IFERROR(J167/F167-1,"")))</f>
        <v/>
      </c>
      <c r="K168" s="15">
        <f>IF(OR(K167="",G167=""),"",IF(G167&lt;=0,"",IFERROR(K167/G167-1,"")))</f>
        <v/>
      </c>
      <c r="L168" s="15">
        <f>IF(OR(L167="",H167=""),"",IF(H167&lt;=0,"",IFERROR(L167/H167-1,"")))</f>
        <v/>
      </c>
      <c r="M168" s="15">
        <f>IF(OR(M167="",I167=""),"",IF(I167&lt;=0,"",IFERROR(M167/I167-1,"")))</f>
        <v/>
      </c>
      <c r="N168" s="15">
        <f>IF(OR(N167="",J167=""),"",IF(J167&lt;=0,"",IFERROR(N167/J167-1,"")))</f>
        <v/>
      </c>
      <c r="V168" s="15">
        <f>IF(OR(V167="",U167=""),"",IF(U167&lt;=0,"",IFERROR(V167/U167-1,"")))</f>
        <v/>
      </c>
      <c r="W168" s="15">
        <f>IF(OR(W167="",V167=""),"",IF(V167&lt;=0,"",IFERROR(W167/V167-1,"")))</f>
        <v/>
      </c>
      <c r="X168" s="15">
        <f>IF(OR(X167="",W167=""),"",IF(W167&lt;=0,"",IFERROR(X167/W167-1,"")))</f>
        <v/>
      </c>
    </row>
    <row r="169">
      <c r="A169" s="18" t="inlineStr">
        <is>
          <t>EuropeReportableSegmentsMember · 외부 고객 매출</t>
        </is>
      </c>
      <c r="C169" s="20" t="n">
        <v>14729</v>
      </c>
      <c r="D169" s="20" t="n">
        <v>20126</v>
      </c>
      <c r="E169" s="20" t="n">
        <v>18578</v>
      </c>
      <c r="F169" s="20" t="n">
        <v>16815</v>
      </c>
      <c r="G169" s="20" t="n">
        <v>13229</v>
      </c>
      <c r="H169" s="20" t="n">
        <v>14992</v>
      </c>
      <c r="I169" s="20" t="n">
        <v>16570</v>
      </c>
      <c r="J169" s="20" t="n">
        <v>15538</v>
      </c>
      <c r="K169" s="20" t="n">
        <v>14401</v>
      </c>
      <c r="L169" s="20" t="n">
        <v>17650</v>
      </c>
      <c r="M169" s="20" t="n">
        <v>20469</v>
      </c>
      <c r="N169" s="20" t="n">
        <v>18239</v>
      </c>
      <c r="V169" s="20" t="n">
        <v>18578</v>
      </c>
      <c r="W169" s="20" t="n">
        <v>16570</v>
      </c>
      <c r="X169" s="20" t="n">
        <v>20469</v>
      </c>
    </row>
    <row r="170">
      <c r="A170" s="43" t="inlineStr">
        <is>
          <t>YoY</t>
        </is>
      </c>
      <c r="B170" s="3" t="inlineStr">
        <is>
          <t>전년 같은 분기·전년 대비</t>
        </is>
      </c>
      <c r="G170" s="15">
        <f>IF(OR(G169="",C169=""),"",IF(C169&lt;=0,"",IFERROR(G169/C169-1,"")))</f>
        <v/>
      </c>
      <c r="H170" s="15">
        <f>IF(OR(H169="",D169=""),"",IF(D169&lt;=0,"",IFERROR(H169/D169-1,"")))</f>
        <v/>
      </c>
      <c r="I170" s="15">
        <f>IF(OR(I169="",E169=""),"",IF(E169&lt;=0,"",IFERROR(I169/E169-1,"")))</f>
        <v/>
      </c>
      <c r="J170" s="15">
        <f>IF(OR(J169="",F169=""),"",IF(F169&lt;=0,"",IFERROR(J169/F169-1,"")))</f>
        <v/>
      </c>
      <c r="K170" s="15">
        <f>IF(OR(K169="",G169=""),"",IF(G169&lt;=0,"",IFERROR(K169/G169-1,"")))</f>
        <v/>
      </c>
      <c r="L170" s="15">
        <f>IF(OR(L169="",H169=""),"",IF(H169&lt;=0,"",IFERROR(L169/H169-1,"")))</f>
        <v/>
      </c>
      <c r="M170" s="15">
        <f>IF(OR(M169="",I169=""),"",IF(I169&lt;=0,"",IFERROR(M169/I169-1,"")))</f>
        <v/>
      </c>
      <c r="N170" s="15">
        <f>IF(OR(N169="",J169=""),"",IF(J169&lt;=0,"",IFERROR(N169/J169-1,"")))</f>
        <v/>
      </c>
      <c r="V170" s="15">
        <f>IF(OR(V169="",U169=""),"",IF(U169&lt;=0,"",IFERROR(V169/U169-1,"")))</f>
        <v/>
      </c>
      <c r="W170" s="15">
        <f>IF(OR(W169="",V169=""),"",IF(V169&lt;=0,"",IFERROR(W169/V169-1,"")))</f>
        <v/>
      </c>
      <c r="X170" s="15">
        <f>IF(OR(X169="",W169=""),"",IF(W169&lt;=0,"",IFERROR(X169/W169-1,"")))</f>
        <v/>
      </c>
    </row>
    <row r="171">
      <c r="A171" s="18" t="inlineStr">
        <is>
          <t>ChinaReportableSegmentMember · 외부 고객 매출</t>
        </is>
      </c>
      <c r="C171" s="20" t="n">
        <v>21834</v>
      </c>
      <c r="D171" s="20" t="n">
        <v>24028</v>
      </c>
      <c r="E171" s="20" t="n">
        <v>14304</v>
      </c>
      <c r="F171" s="20" t="n">
        <v>16718</v>
      </c>
      <c r="G171" s="20" t="n">
        <v>17118</v>
      </c>
      <c r="H171" s="20" t="n">
        <v>21748</v>
      </c>
      <c r="I171" s="20" t="n">
        <v>14946</v>
      </c>
      <c r="J171" s="20" t="n">
        <v>15688</v>
      </c>
      <c r="K171" s="20" t="n">
        <v>17222</v>
      </c>
      <c r="L171" s="20" t="n">
        <v>17847</v>
      </c>
      <c r="M171" s="20" t="n">
        <v>11873</v>
      </c>
      <c r="N171" s="20" t="n">
        <v>10345</v>
      </c>
      <c r="V171" s="20" t="n">
        <v>14304</v>
      </c>
      <c r="W171" s="20" t="n">
        <v>14946</v>
      </c>
      <c r="X171" s="20" t="n">
        <v>11873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AsiaReportableSegmentsMember · 외부 고객 매출</t>
        </is>
      </c>
      <c r="C173" s="20" t="n">
        <v>16102</v>
      </c>
      <c r="D173" s="20" t="n">
        <v>14775</v>
      </c>
      <c r="E173" s="20" t="n">
        <v>12235</v>
      </c>
      <c r="F173" s="20" t="n">
        <v>13750</v>
      </c>
      <c r="G173" s="20" t="n">
        <v>11862</v>
      </c>
      <c r="H173" s="20" t="n">
        <v>12842</v>
      </c>
      <c r="I173" s="20" t="n">
        <v>12839</v>
      </c>
      <c r="J173" s="20" t="n">
        <v>12279</v>
      </c>
      <c r="K173" s="20" t="n">
        <v>13385</v>
      </c>
      <c r="L173" s="20" t="n">
        <v>16382</v>
      </c>
      <c r="M173" s="20" t="n">
        <v>18917</v>
      </c>
      <c r="N173" s="20" t="n">
        <v>20465</v>
      </c>
      <c r="V173" s="20" t="n">
        <v>12235</v>
      </c>
      <c r="W173" s="20" t="n">
        <v>12839</v>
      </c>
      <c r="X173" s="20" t="n">
        <v>18917</v>
      </c>
    </row>
    <row r="174">
      <c r="A174" s="43" t="inlineStr">
        <is>
          <t>YoY</t>
        </is>
      </c>
      <c r="B174" s="3" t="inlineStr">
        <is>
          <t>전년 같은 분기·전년 대비</t>
        </is>
      </c>
      <c r="G174" s="15">
        <f>IF(OR(G173="",C173=""),"",IF(C173&lt;=0,"",IFERROR(G173/C173-1,"")))</f>
        <v/>
      </c>
      <c r="H174" s="15">
        <f>IF(OR(H173="",D173=""),"",IF(D173&lt;=0,"",IFERROR(H173/D173-1,"")))</f>
        <v/>
      </c>
      <c r="I174" s="15">
        <f>IF(OR(I173="",E173=""),"",IF(E173&lt;=0,"",IFERROR(I173/E173-1,"")))</f>
        <v/>
      </c>
      <c r="J174" s="15">
        <f>IF(OR(J173="",F173=""),"",IF(F173&lt;=0,"",IFERROR(J173/F173-1,"")))</f>
        <v/>
      </c>
      <c r="K174" s="15">
        <f>IF(OR(K173="",G173=""),"",IF(G173&lt;=0,"",IFERROR(K173/G173-1,"")))</f>
        <v/>
      </c>
      <c r="L174" s="15">
        <f>IF(OR(L173="",H173=""),"",IF(H173&lt;=0,"",IFERROR(L173/H173-1,"")))</f>
        <v/>
      </c>
      <c r="M174" s="15">
        <f>IF(OR(M173="",I173=""),"",IF(I173&lt;=0,"",IFERROR(M173/I173-1,"")))</f>
        <v/>
      </c>
      <c r="N174" s="15">
        <f>IF(OR(N173="",J173=""),"",IF(J173&lt;=0,"",IFERROR(N173/J173-1,"")))</f>
        <v/>
      </c>
      <c r="V174" s="15">
        <f>IF(OR(V173="",U173=""),"",IF(U173&lt;=0,"",IFERROR(V173/U173-1,"")))</f>
        <v/>
      </c>
      <c r="W174" s="15">
        <f>IF(OR(W173="",V173=""),"",IF(V173&lt;=0,"",IFERROR(W173/V173-1,"")))</f>
        <v/>
      </c>
      <c r="X174" s="15">
        <f>IF(OR(X173="",W173=""),"",IF(W173&lt;=0,"",IFERROR(X173/W173-1,"")))</f>
        <v/>
      </c>
    </row>
    <row r="175">
      <c r="A175" s="18" t="inlineStr">
        <is>
          <t>합계 · 외부 고객 매출</t>
        </is>
      </c>
      <c r="C175" s="20" t="n">
        <v>198667</v>
      </c>
      <c r="D175" s="20" t="n">
        <v>206826</v>
      </c>
      <c r="F175" s="20" t="n">
        <v>186453</v>
      </c>
      <c r="G175" s="20" t="n">
        <v>162859</v>
      </c>
      <c r="H175" s="20" t="n">
        <v>177177</v>
      </c>
      <c r="J175" s="20" t="n">
        <v>163920</v>
      </c>
      <c r="K175" s="20" t="n">
        <v>165558</v>
      </c>
      <c r="L175" s="20" t="n">
        <v>173053</v>
      </c>
      <c r="N175" s="20" t="n">
        <v>175614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N176" s="15">
        <f>IF(OR(N175="",J175=""),"",IF(J175&lt;=0,"",IFERROR(N175/J175-1,"")))</f>
        <v/>
      </c>
    </row>
    <row r="177">
      <c r="A177" s="18" t="inlineStr">
        <is>
          <t>조정액 · 외부 고객 매출</t>
        </is>
      </c>
      <c r="C177" s="20" t="n">
        <v>0</v>
      </c>
      <c r="D177" s="20" t="n">
        <v>0</v>
      </c>
      <c r="E177" s="20" t="n">
        <v>0</v>
      </c>
      <c r="F177" s="20" t="n">
        <v>0</v>
      </c>
      <c r="G177" s="20" t="n">
        <v>0</v>
      </c>
      <c r="H177" s="20" t="n">
        <v>0</v>
      </c>
      <c r="I177" s="20" t="n">
        <v>0</v>
      </c>
      <c r="J177" s="20" t="n">
        <v>0</v>
      </c>
      <c r="K177" s="20" t="n">
        <v>0</v>
      </c>
      <c r="L177" s="20" t="n">
        <v>0</v>
      </c>
      <c r="M177" s="20" t="n">
        <v>0</v>
      </c>
      <c r="N177" s="20" t="n">
        <v>0</v>
      </c>
      <c r="V177" s="20" t="n">
        <v>0</v>
      </c>
      <c r="W177" s="20" t="n">
        <v>0</v>
      </c>
      <c r="X177" s="20" t="n">
        <v>0</v>
      </c>
    </row>
    <row r="178">
      <c r="A178" s="9" t="inlineStr">
        <is>
          <t>외부 고객 매출</t>
        </is>
      </c>
      <c r="C178" s="12" t="n">
        <v>198667</v>
      </c>
      <c r="D178" s="12" t="n">
        <v>206826</v>
      </c>
      <c r="E178" s="12" t="n">
        <v>185636</v>
      </c>
      <c r="F178" s="12" t="n">
        <v>186453</v>
      </c>
      <c r="G178" s="12" t="n">
        <v>162859</v>
      </c>
      <c r="H178" s="12" t="n">
        <v>177177</v>
      </c>
      <c r="I178" s="12" t="n">
        <v>180615</v>
      </c>
      <c r="V178" s="12" t="n">
        <v>185636</v>
      </c>
      <c r="W178" s="12" t="n">
        <v>180615</v>
      </c>
    </row>
    <row r="179">
      <c r="A179" s="43" t="inlineStr">
        <is>
          <t>YoY</t>
        </is>
      </c>
      <c r="B179" s="3" t="inlineStr">
        <is>
          <t>전년 같은 분기·전년 대비</t>
        </is>
      </c>
      <c r="G179" s="15">
        <f>IF(OR(G178="",C178=""),"",IF(C178&lt;=0,"",IFERROR(G178/C178-1,"")))</f>
        <v/>
      </c>
      <c r="H179" s="15">
        <f>IF(OR(H178="",D178=""),"",IF(D178&lt;=0,"",IFERROR(H178/D178-1,"")))</f>
        <v/>
      </c>
      <c r="I179" s="15">
        <f>IF(OR(I178="",E178=""),"",IF(E178&lt;=0,"",IFERROR(I178/E178-1,"")))</f>
        <v/>
      </c>
      <c r="V179" s="15">
        <f>IF(OR(V178="",U178=""),"",IF(U178&lt;=0,"",IFERROR(V178/U178-1,"")))</f>
        <v/>
      </c>
      <c r="W179" s="15">
        <f>IF(OR(W178="",V178=""),"",IF(V178&lt;=0,"",IFERROR(W178/V178-1,"")))</f>
        <v/>
      </c>
    </row>
    <row r="180">
      <c r="A180" s="18" t="inlineStr">
        <is>
          <t>EntityTotalMember · 외부 고객 매출</t>
        </is>
      </c>
      <c r="F180" s="20" t="n">
        <v>186453</v>
      </c>
      <c r="J180" s="20" t="n">
        <v>163920</v>
      </c>
      <c r="N180" s="20" t="n">
        <v>175614</v>
      </c>
    </row>
    <row r="181">
      <c r="A181" s="18" t="inlineStr">
        <is>
          <t>JapanReportableSegmentsMember · 부문 간 내부매출·대체</t>
        </is>
      </c>
      <c r="C181" s="20" t="n">
        <v>2165</v>
      </c>
      <c r="D181" s="20" t="n">
        <v>2472</v>
      </c>
      <c r="E181" s="20" t="n">
        <v>2350</v>
      </c>
      <c r="F181" s="20" t="n">
        <v>2446</v>
      </c>
      <c r="G181" s="20" t="n">
        <v>2974</v>
      </c>
      <c r="H181" s="20" t="n">
        <v>3743</v>
      </c>
      <c r="I181" s="20" t="n">
        <v>2456</v>
      </c>
      <c r="J181" s="20" t="n">
        <v>2348</v>
      </c>
      <c r="K181" s="20" t="n">
        <v>2603</v>
      </c>
      <c r="L181" s="20" t="n">
        <v>3091</v>
      </c>
      <c r="M181" s="20" t="n">
        <v>3583</v>
      </c>
      <c r="N181" s="20" t="n">
        <v>3449</v>
      </c>
      <c r="V181" s="20" t="n">
        <v>2350</v>
      </c>
      <c r="W181" s="20" t="n">
        <v>2456</v>
      </c>
      <c r="X181" s="20" t="n">
        <v>3583</v>
      </c>
    </row>
    <row r="182">
      <c r="A182" s="18" t="inlineStr">
        <is>
          <t>NorthAmericaReportableSegmentsMember · 부문 간 내부매출·대체</t>
        </is>
      </c>
      <c r="C182" s="20" t="n">
        <v>0</v>
      </c>
      <c r="D182" s="20" t="n">
        <v>13</v>
      </c>
      <c r="E182" s="20" t="n">
        <v>22</v>
      </c>
      <c r="F182" s="20" t="n">
        <v>20</v>
      </c>
      <c r="G182" s="20" t="n">
        <v>1</v>
      </c>
      <c r="H182" s="20" t="n">
        <v>34</v>
      </c>
      <c r="I182" s="20" t="n">
        <v>1</v>
      </c>
      <c r="J182" s="20" t="n">
        <v>4</v>
      </c>
      <c r="K182" s="20" t="n">
        <v>24</v>
      </c>
      <c r="L182" s="20" t="n">
        <v>2</v>
      </c>
      <c r="M182" s="20" t="n">
        <v>11</v>
      </c>
      <c r="N182" s="20" t="n">
        <v>68</v>
      </c>
      <c r="V182" s="20" t="n">
        <v>22</v>
      </c>
      <c r="W182" s="20" t="n">
        <v>1</v>
      </c>
      <c r="X182" s="20" t="n">
        <v>11</v>
      </c>
    </row>
    <row r="183">
      <c r="A183" s="18" t="inlineStr">
        <is>
          <t>EuropeReportableSegmentsMember · 부문 간 내부매출·대체</t>
        </is>
      </c>
      <c r="C183" s="20" t="n">
        <v>0</v>
      </c>
      <c r="D183" s="20" t="n">
        <v>1</v>
      </c>
      <c r="E183" s="20" t="n">
        <v>0</v>
      </c>
      <c r="F183" s="20" t="n">
        <v>0</v>
      </c>
      <c r="G183" s="20" t="n">
        <v>1</v>
      </c>
      <c r="H183" s="20" t="n">
        <v>0</v>
      </c>
      <c r="I183" s="20" t="n">
        <v>0</v>
      </c>
      <c r="J183" s="20" t="n">
        <v>1</v>
      </c>
      <c r="K183" s="20" t="n">
        <v>0</v>
      </c>
      <c r="L183" s="20" t="n">
        <v>1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18" t="inlineStr">
        <is>
          <t>ChinaReportableSegmentMember · 부문 간 내부매출·대체</t>
        </is>
      </c>
      <c r="C184" s="20" t="n">
        <v>3</v>
      </c>
      <c r="D184" s="20" t="n">
        <v>0</v>
      </c>
      <c r="E184" s="20" t="n">
        <v>1</v>
      </c>
      <c r="F184" s="20" t="n">
        <v>0</v>
      </c>
      <c r="G184" s="20" t="n">
        <v>7</v>
      </c>
      <c r="H184" s="20" t="n">
        <v>5</v>
      </c>
      <c r="I184" s="20" t="n">
        <v>6</v>
      </c>
      <c r="J184" s="20" t="n">
        <v>1</v>
      </c>
      <c r="K184" s="20" t="n">
        <v>0</v>
      </c>
      <c r="L184" s="20" t="n">
        <v>3</v>
      </c>
      <c r="M184" s="20" t="n">
        <v>2</v>
      </c>
      <c r="N184" s="20" t="n">
        <v>11</v>
      </c>
      <c r="V184" s="20" t="n">
        <v>1</v>
      </c>
      <c r="W184" s="20" t="n">
        <v>6</v>
      </c>
      <c r="X184" s="20" t="n">
        <v>2</v>
      </c>
    </row>
    <row r="185">
      <c r="A185" s="18" t="inlineStr">
        <is>
          <t>AsiaReportableSegmentsMember · 부문 간 내부매출·대체</t>
        </is>
      </c>
      <c r="C185" s="20" t="n">
        <v>1</v>
      </c>
      <c r="D185" s="20" t="n">
        <v>0</v>
      </c>
      <c r="E185" s="20" t="n">
        <v>2</v>
      </c>
      <c r="F185" s="20" t="n">
        <v>0</v>
      </c>
      <c r="G185" s="20" t="n">
        <v>1</v>
      </c>
      <c r="H185" s="20" t="n">
        <v>1</v>
      </c>
      <c r="I185" s="20" t="n">
        <v>1</v>
      </c>
      <c r="J185" s="20" t="n">
        <v>1</v>
      </c>
      <c r="K185" s="20" t="n">
        <v>3</v>
      </c>
      <c r="L185" s="20" t="n">
        <v>0</v>
      </c>
      <c r="M185" s="20" t="n">
        <v>2</v>
      </c>
      <c r="N185" s="20" t="n">
        <v>1</v>
      </c>
      <c r="V185" s="20" t="n">
        <v>2</v>
      </c>
      <c r="W185" s="20" t="n">
        <v>1</v>
      </c>
      <c r="X185" s="20" t="n">
        <v>2</v>
      </c>
    </row>
    <row r="186">
      <c r="A186" s="18" t="inlineStr">
        <is>
          <t>합계 · 부문 간 내부매출·대체</t>
        </is>
      </c>
      <c r="C186" s="20" t="n">
        <v>2169</v>
      </c>
      <c r="D186" s="20" t="n">
        <v>2487</v>
      </c>
      <c r="F186" s="20" t="n">
        <v>2469</v>
      </c>
      <c r="G186" s="20" t="n">
        <v>2983</v>
      </c>
      <c r="H186" s="20" t="n">
        <v>3783</v>
      </c>
      <c r="J186" s="20" t="n">
        <v>2356</v>
      </c>
      <c r="K186" s="20" t="n">
        <v>2631</v>
      </c>
      <c r="L186" s="20" t="n">
        <v>3098</v>
      </c>
      <c r="N186" s="20" t="n">
        <v>3531</v>
      </c>
    </row>
    <row r="187">
      <c r="A187" s="18" t="inlineStr">
        <is>
          <t>조정액 · 부문 간 내부매출·대체</t>
        </is>
      </c>
      <c r="C187" s="20" t="n">
        <v>-2169</v>
      </c>
      <c r="D187" s="20" t="n">
        <v>-2487</v>
      </c>
      <c r="E187" s="20" t="n">
        <v>-2374</v>
      </c>
      <c r="F187" s="20" t="n">
        <v>-2469</v>
      </c>
      <c r="G187" s="20" t="n">
        <v>-2983</v>
      </c>
      <c r="H187" s="20" t="n">
        <v>-3783</v>
      </c>
      <c r="I187" s="20" t="n">
        <v>-2464</v>
      </c>
      <c r="J187" s="20" t="n">
        <v>-2356</v>
      </c>
      <c r="K187" s="20" t="n">
        <v>-2631</v>
      </c>
      <c r="L187" s="20" t="n">
        <v>-3098</v>
      </c>
      <c r="M187" s="20" t="n">
        <v>-3597</v>
      </c>
      <c r="N187" s="20" t="n">
        <v>-3531</v>
      </c>
      <c r="V187" s="20" t="n">
        <v>-2374</v>
      </c>
      <c r="W187" s="20" t="n">
        <v>-2464</v>
      </c>
      <c r="X187" s="20" t="n">
        <v>-3597</v>
      </c>
    </row>
    <row r="188">
      <c r="A188" s="18" t="inlineStr">
        <is>
          <t>부문 간 내부매출·대체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V188" s="20" t="n">
        <v>0</v>
      </c>
      <c r="W188" s="20" t="n">
        <v>0</v>
      </c>
    </row>
    <row r="189">
      <c r="A189" s="18" t="inlineStr">
        <is>
          <t>EntityTotalMember · 부문 간 내부매출·대체</t>
        </is>
      </c>
      <c r="F189" s="20" t="n">
        <v>0</v>
      </c>
      <c r="J189" s="20" t="n">
        <v>0</v>
      </c>
      <c r="N189" s="20" t="n">
        <v>0</v>
      </c>
    </row>
    <row r="190">
      <c r="A190" s="18" t="inlineStr">
        <is>
          <t>JapanReportableSegmentsMember · 계</t>
        </is>
      </c>
      <c r="C190" s="20" t="n">
        <v>94049</v>
      </c>
      <c r="D190" s="20" t="n">
        <v>93971</v>
      </c>
      <c r="E190" s="20" t="n">
        <v>85507</v>
      </c>
      <c r="F190" s="20" t="n">
        <v>78359</v>
      </c>
      <c r="G190" s="20" t="n">
        <v>80404</v>
      </c>
      <c r="H190" s="20" t="n">
        <v>84932</v>
      </c>
      <c r="I190" s="20" t="n">
        <v>85306</v>
      </c>
      <c r="J190" s="20" t="n">
        <v>77597</v>
      </c>
      <c r="K190" s="20" t="n">
        <v>79946</v>
      </c>
      <c r="L190" s="20" t="n">
        <v>80669</v>
      </c>
      <c r="M190" s="20" t="n">
        <v>81919</v>
      </c>
      <c r="N190" s="20" t="n">
        <v>80495</v>
      </c>
      <c r="V190" s="20" t="n">
        <v>85507</v>
      </c>
      <c r="W190" s="20" t="n">
        <v>85306</v>
      </c>
      <c r="X190" s="20" t="n">
        <v>81919</v>
      </c>
    </row>
    <row r="191">
      <c r="A191" s="43" t="inlineStr">
        <is>
          <t>YoY</t>
        </is>
      </c>
      <c r="B191" s="3" t="inlineStr">
        <is>
          <t>전년 같은 분기·전년 대비</t>
        </is>
      </c>
      <c r="G191" s="15">
        <f>IF(OR(G190="",C190=""),"",IF(C190&lt;=0,"",IFERROR(G190/C190-1,"")))</f>
        <v/>
      </c>
      <c r="H191" s="15">
        <f>IF(OR(H190="",D190=""),"",IF(D190&lt;=0,"",IFERROR(H190/D190-1,"")))</f>
        <v/>
      </c>
      <c r="I191" s="15">
        <f>IF(OR(I190="",E190=""),"",IF(E190&lt;=0,"",IFERROR(I190/E190-1,"")))</f>
        <v/>
      </c>
      <c r="J191" s="15">
        <f>IF(OR(J190="",F190=""),"",IF(F190&lt;=0,"",IFERROR(J190/F190-1,"")))</f>
        <v/>
      </c>
      <c r="K191" s="15">
        <f>IF(OR(K190="",G190=""),"",IF(G190&lt;=0,"",IFERROR(K190/G190-1,"")))</f>
        <v/>
      </c>
      <c r="L191" s="15">
        <f>IF(OR(L190="",H190=""),"",IF(H190&lt;=0,"",IFERROR(L190/H190-1,"")))</f>
        <v/>
      </c>
      <c r="M191" s="15">
        <f>IF(OR(M190="",I190=""),"",IF(I190&lt;=0,"",IFERROR(M190/I190-1,"")))</f>
        <v/>
      </c>
      <c r="N191" s="15">
        <f>IF(OR(N190="",J190=""),"",IF(J190&lt;=0,"",IFERROR(N190/J190-1,"")))</f>
        <v/>
      </c>
      <c r="V191" s="15">
        <f>IF(OR(V190="",U190=""),"",IF(U190&lt;=0,"",IFERROR(V190/U190-1,"")))</f>
        <v/>
      </c>
      <c r="W191" s="15">
        <f>IF(OR(W190="",V190=""),"",IF(V190&lt;=0,"",IFERROR(W190/V190-1,"")))</f>
        <v/>
      </c>
      <c r="X191" s="15">
        <f>IF(OR(X190="",W190=""),"",IF(W190&lt;=0,"",IFERROR(X190/W190-1,"")))</f>
        <v/>
      </c>
    </row>
    <row r="192">
      <c r="A192" s="18" t="inlineStr">
        <is>
          <t>NorthAmericaReportableSegmentsMember · 계</t>
        </is>
      </c>
      <c r="C192" s="20" t="n">
        <v>54118</v>
      </c>
      <c r="D192" s="20" t="n">
        <v>56412</v>
      </c>
      <c r="E192" s="20" t="n">
        <v>57383</v>
      </c>
      <c r="F192" s="20" t="n">
        <v>63275</v>
      </c>
      <c r="G192" s="20" t="n">
        <v>43222</v>
      </c>
      <c r="H192" s="20" t="n">
        <v>46440</v>
      </c>
      <c r="I192" s="20" t="n">
        <v>53412</v>
      </c>
      <c r="J192" s="20" t="n">
        <v>45169</v>
      </c>
      <c r="K192" s="20" t="n">
        <v>43231</v>
      </c>
      <c r="L192" s="20" t="n">
        <v>43598</v>
      </c>
      <c r="M192" s="20" t="n">
        <v>45804</v>
      </c>
      <c r="N192" s="20" t="n">
        <v>49585</v>
      </c>
      <c r="V192" s="20" t="n">
        <v>57383</v>
      </c>
      <c r="W192" s="20" t="n">
        <v>53412</v>
      </c>
      <c r="X192" s="20" t="n">
        <v>45804</v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IF(OR(G192="",C192=""),"",IF(C192&lt;=0,"",IFERROR(G192/C192-1,"")))</f>
        <v/>
      </c>
      <c r="H193" s="15">
        <f>IF(OR(H192="",D192=""),"",IF(D192&lt;=0,"",IFERROR(H192/D192-1,"")))</f>
        <v/>
      </c>
      <c r="I193" s="15">
        <f>IF(OR(I192="",E192=""),"",IF(E192&lt;=0,"",IFERROR(I192/E192-1,"")))</f>
        <v/>
      </c>
      <c r="J193" s="15">
        <f>IF(OR(J192="",F192=""),"",IF(F192&lt;=0,"",IFERROR(J192/F192-1,"")))</f>
        <v/>
      </c>
      <c r="K193" s="15">
        <f>IF(OR(K192="",G192=""),"",IF(G192&lt;=0,"",IFERROR(K192/G192-1,"")))</f>
        <v/>
      </c>
      <c r="L193" s="15">
        <f>IF(OR(L192="",H192=""),"",IF(H192&lt;=0,"",IFERROR(L192/H192-1,"")))</f>
        <v/>
      </c>
      <c r="M193" s="15">
        <f>IF(OR(M192="",I192=""),"",IF(I192&lt;=0,"",IFERROR(M192/I192-1,"")))</f>
        <v/>
      </c>
      <c r="N193" s="15">
        <f>IF(OR(N192="",J192=""),"",IF(J192&lt;=0,"",IFERROR(N192/J192-1,"")))</f>
        <v/>
      </c>
      <c r="V193" s="15">
        <f>IF(OR(V192="",U192=""),"",IF(U192&lt;=0,"",IFERROR(V192/U192-1,"")))</f>
        <v/>
      </c>
      <c r="W193" s="15">
        <f>IF(OR(W192="",V192=""),"",IF(V192&lt;=0,"",IFERROR(W192/V192-1,"")))</f>
        <v/>
      </c>
      <c r="X193" s="15">
        <f>IF(OR(X192="",W192=""),"",IF(W192&lt;=0,"",IFERROR(X192/W192-1,"")))</f>
        <v/>
      </c>
    </row>
    <row r="194">
      <c r="A194" s="18" t="inlineStr">
        <is>
          <t>EuropeReportableSegmentsMember · 계</t>
        </is>
      </c>
      <c r="C194" s="20" t="n">
        <v>14729</v>
      </c>
      <c r="D194" s="20" t="n">
        <v>20126</v>
      </c>
      <c r="E194" s="20" t="n">
        <v>18578</v>
      </c>
      <c r="F194" s="20" t="n">
        <v>16816</v>
      </c>
      <c r="G194" s="20" t="n">
        <v>13229</v>
      </c>
      <c r="H194" s="20" t="n">
        <v>14993</v>
      </c>
      <c r="I194" s="20" t="n">
        <v>16569</v>
      </c>
      <c r="J194" s="20" t="n">
        <v>15539</v>
      </c>
      <c r="K194" s="20" t="n">
        <v>14402</v>
      </c>
      <c r="L194" s="20" t="n">
        <v>17651</v>
      </c>
      <c r="M194" s="20" t="n">
        <v>20469</v>
      </c>
      <c r="N194" s="20" t="n">
        <v>18240</v>
      </c>
      <c r="V194" s="20" t="n">
        <v>18578</v>
      </c>
      <c r="W194" s="20" t="n">
        <v>16569</v>
      </c>
      <c r="X194" s="20" t="n">
        <v>20469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ChinaReportableSegmentMember · 계</t>
        </is>
      </c>
      <c r="C196" s="20" t="n">
        <v>21838</v>
      </c>
      <c r="D196" s="20" t="n">
        <v>24028</v>
      </c>
      <c r="E196" s="20" t="n">
        <v>14305</v>
      </c>
      <c r="F196" s="20" t="n">
        <v>16719</v>
      </c>
      <c r="G196" s="20" t="n">
        <v>17124</v>
      </c>
      <c r="H196" s="20" t="n">
        <v>21753</v>
      </c>
      <c r="I196" s="20" t="n">
        <v>14952</v>
      </c>
      <c r="J196" s="20" t="n">
        <v>15689</v>
      </c>
      <c r="K196" s="20" t="n">
        <v>17222</v>
      </c>
      <c r="L196" s="20" t="n">
        <v>17850</v>
      </c>
      <c r="M196" s="20" t="n">
        <v>11875</v>
      </c>
      <c r="N196" s="20" t="n">
        <v>10357</v>
      </c>
      <c r="V196" s="20" t="n">
        <v>14305</v>
      </c>
      <c r="W196" s="20" t="n">
        <v>14952</v>
      </c>
      <c r="X196" s="20" t="n">
        <v>11875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AsiaReportableSegmentsMember · 계</t>
        </is>
      </c>
      <c r="C198" s="20" t="n">
        <v>16102</v>
      </c>
      <c r="D198" s="20" t="n">
        <v>14775</v>
      </c>
      <c r="E198" s="20" t="n">
        <v>12238</v>
      </c>
      <c r="F198" s="20" t="n">
        <v>13751</v>
      </c>
      <c r="G198" s="20" t="n">
        <v>11863</v>
      </c>
      <c r="H198" s="20" t="n">
        <v>12842</v>
      </c>
      <c r="I198" s="20" t="n">
        <v>12840</v>
      </c>
      <c r="J198" s="20" t="n">
        <v>12280</v>
      </c>
      <c r="K198" s="20" t="n">
        <v>13388</v>
      </c>
      <c r="L198" s="20" t="n">
        <v>16383</v>
      </c>
      <c r="M198" s="20" t="n">
        <v>18918</v>
      </c>
      <c r="N198" s="20" t="n">
        <v>20467</v>
      </c>
      <c r="V198" s="20" t="n">
        <v>12238</v>
      </c>
      <c r="W198" s="20" t="n">
        <v>12840</v>
      </c>
      <c r="X198" s="20" t="n">
        <v>18918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I199" s="15">
        <f>IF(OR(I198="",E198=""),"",IF(E198&lt;=0,"",IFERROR(I198/E198-1,"")))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M199" s="15">
        <f>IF(OR(M198="",I198=""),"",IF(I198&lt;=0,"",IFERROR(M198/I198-1,"")))</f>
        <v/>
      </c>
      <c r="N199" s="15">
        <f>IF(OR(N198="",J198=""),"",IF(J198&lt;=0,"",IFERROR(N198/J198-1,"")))</f>
        <v/>
      </c>
      <c r="V199" s="15">
        <f>IF(OR(V198="",U198=""),"",IF(U198&lt;=0,"",IFERROR(V198/U198-1,"")))</f>
        <v/>
      </c>
      <c r="W199" s="15">
        <f>IF(OR(W198="",V198=""),"",IF(V198&lt;=0,"",IFERROR(W198/V198-1,"")))</f>
        <v/>
      </c>
      <c r="X199" s="15">
        <f>IF(OR(X198="",W198=""),"",IF(W198&lt;=0,"",IFERROR(X198/W198-1,"")))</f>
        <v/>
      </c>
    </row>
    <row r="200">
      <c r="A200" s="18" t="inlineStr">
        <is>
          <t>합계 · 계</t>
        </is>
      </c>
      <c r="C200" s="20" t="n">
        <v>200836</v>
      </c>
      <c r="D200" s="20" t="n">
        <v>209313</v>
      </c>
      <c r="F200" s="20" t="n">
        <v>188922</v>
      </c>
      <c r="G200" s="20" t="n">
        <v>165842</v>
      </c>
      <c r="H200" s="20" t="n">
        <v>180960</v>
      </c>
      <c r="J200" s="20" t="n">
        <v>166277</v>
      </c>
      <c r="K200" s="20" t="n">
        <v>168188</v>
      </c>
      <c r="L200" s="20" t="n">
        <v>176151</v>
      </c>
      <c r="N200" s="20" t="n">
        <v>179145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N201" s="15">
        <f>IF(OR(N200="",J200=""),"",IF(J200&lt;=0,"",IFERROR(N200/J200-1,"")))</f>
        <v/>
      </c>
    </row>
    <row r="202">
      <c r="A202" s="18" t="inlineStr">
        <is>
          <t>조정액 · 계</t>
        </is>
      </c>
      <c r="C202" s="20" t="n">
        <v>-2169</v>
      </c>
      <c r="D202" s="20" t="n">
        <v>-2487</v>
      </c>
      <c r="E202" s="20" t="n">
        <v>-2374</v>
      </c>
      <c r="F202" s="20" t="n">
        <v>-2469</v>
      </c>
      <c r="G202" s="20" t="n">
        <v>-2983</v>
      </c>
      <c r="H202" s="20" t="n">
        <v>-3783</v>
      </c>
      <c r="I202" s="20" t="n">
        <v>-2464</v>
      </c>
      <c r="J202" s="20" t="n">
        <v>-2356</v>
      </c>
      <c r="K202" s="20" t="n">
        <v>-2631</v>
      </c>
      <c r="L202" s="20" t="n">
        <v>-3098</v>
      </c>
      <c r="M202" s="20" t="n">
        <v>-3597</v>
      </c>
      <c r="N202" s="20" t="n">
        <v>-3531</v>
      </c>
      <c r="V202" s="20" t="n">
        <v>-2374</v>
      </c>
      <c r="W202" s="20" t="n">
        <v>-2464</v>
      </c>
      <c r="X202" s="20" t="n">
        <v>-3597</v>
      </c>
    </row>
    <row r="203">
      <c r="A203" s="9" t="inlineStr">
        <is>
          <t>계</t>
        </is>
      </c>
      <c r="C203" s="12" t="n">
        <v>198667</v>
      </c>
      <c r="D203" s="12" t="n">
        <v>206826</v>
      </c>
      <c r="E203" s="12" t="n">
        <v>185636</v>
      </c>
      <c r="F203" s="12" t="n">
        <v>186453</v>
      </c>
      <c r="G203" s="12" t="n">
        <v>162859</v>
      </c>
      <c r="H203" s="12" t="n">
        <v>177177</v>
      </c>
      <c r="I203" s="12" t="n">
        <v>180615</v>
      </c>
      <c r="V203" s="12" t="n">
        <v>185636</v>
      </c>
      <c r="W203" s="12" t="n">
        <v>180615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</row>
    <row r="205">
      <c r="A205" s="18" t="inlineStr">
        <is>
          <t>EntityTotalMember · 계</t>
        </is>
      </c>
      <c r="F205" s="20" t="n">
        <v>186453</v>
      </c>
      <c r="J205" s="20" t="n">
        <v>163920</v>
      </c>
      <c r="N205" s="20" t="n">
        <v>175614</v>
      </c>
    </row>
    <row r="206">
      <c r="A206" s="18" t="inlineStr">
        <is>
          <t>JapanReportableSegmentsMember · 부문 이익</t>
        </is>
      </c>
      <c r="C206" s="20" t="n">
        <v>3559</v>
      </c>
      <c r="D206" s="20" t="n">
        <v>2407</v>
      </c>
      <c r="E206" s="20" t="n">
        <v>1128</v>
      </c>
      <c r="F206" s="20" t="n">
        <v>808</v>
      </c>
      <c r="G206" s="20" t="n">
        <v>1556</v>
      </c>
      <c r="H206" s="20" t="n">
        <v>1558</v>
      </c>
      <c r="I206" s="20" t="n">
        <v>1984</v>
      </c>
      <c r="J206" s="20" t="n">
        <v>1513</v>
      </c>
      <c r="K206" s="20" t="n">
        <v>1675</v>
      </c>
      <c r="L206" s="20" t="n">
        <v>1849</v>
      </c>
      <c r="M206" s="20" t="n">
        <v>3301</v>
      </c>
      <c r="N206" s="20" t="n">
        <v>1542</v>
      </c>
      <c r="V206" s="20" t="n">
        <v>1128</v>
      </c>
      <c r="W206" s="20" t="n">
        <v>1984</v>
      </c>
      <c r="X206" s="20" t="n">
        <v>3301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IF(OR(C206="",C190=""),"",IF(C190&lt;=0,"",IFERROR(C206/C190,"")))</f>
        <v/>
      </c>
      <c r="D207" s="15">
        <f>IF(OR(D206="",D190=""),"",IF(D190&lt;=0,"",IFERROR(D206/D190,"")))</f>
        <v/>
      </c>
      <c r="E207" s="15">
        <f>IF(OR(E206="",E190=""),"",IF(E190&lt;=0,"",IFERROR(E206/E190,"")))</f>
        <v/>
      </c>
      <c r="F207" s="15">
        <f>IF(OR(F206="",F190=""),"",IF(F190&lt;=0,"",IFERROR(F206/F190,"")))</f>
        <v/>
      </c>
      <c r="G207" s="15">
        <f>IF(OR(G206="",G190=""),"",IF(G190&lt;=0,"",IFERROR(G206/G190,"")))</f>
        <v/>
      </c>
      <c r="H207" s="15">
        <f>IF(OR(H206="",H190=""),"",IF(H190&lt;=0,"",IFERROR(H206/H190,"")))</f>
        <v/>
      </c>
      <c r="I207" s="15">
        <f>IF(OR(I206="",I190=""),"",IF(I190&lt;=0,"",IFERROR(I206/I190,"")))</f>
        <v/>
      </c>
      <c r="J207" s="15">
        <f>IF(OR(J206="",J190=""),"",IF(J190&lt;=0,"",IFERROR(J206/J190,"")))</f>
        <v/>
      </c>
      <c r="K207" s="15">
        <f>IF(OR(K206="",K190=""),"",IF(K190&lt;=0,"",IFERROR(K206/K190,"")))</f>
        <v/>
      </c>
      <c r="L207" s="15">
        <f>IF(OR(L206="",L190=""),"",IF(L190&lt;=0,"",IFERROR(L206/L190,"")))</f>
        <v/>
      </c>
      <c r="M207" s="15">
        <f>IF(OR(M206="",M190=""),"",IF(M190&lt;=0,"",IFERROR(M206/M190,"")))</f>
        <v/>
      </c>
      <c r="N207" s="15">
        <f>IF(OR(N206="",N190=""),"",IF(N190&lt;=0,"",IFERROR(N206/N190,"")))</f>
        <v/>
      </c>
      <c r="V207" s="15">
        <f>IF(OR(V206="",V190=""),"",IF(V190&lt;=0,"",IFERROR(V206/V190,"")))</f>
        <v/>
      </c>
      <c r="W207" s="15">
        <f>IF(OR(W206="",W190=""),"",IF(W190&lt;=0,"",IFERROR(W206/W190,"")))</f>
        <v/>
      </c>
      <c r="X207" s="15">
        <f>IF(OR(X206="",X190=""),"",IF(X190&lt;=0,"",IFERROR(X206/X190,"")))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NorthAmericaReportableSegmentsMember · 부문 이익</t>
        </is>
      </c>
      <c r="C209" s="20" t="n">
        <v>202</v>
      </c>
      <c r="D209" s="20" t="n">
        <v>1455</v>
      </c>
      <c r="E209" s="20" t="n">
        <v>1509</v>
      </c>
      <c r="F209" s="20" t="n">
        <v>1461</v>
      </c>
      <c r="G209" s="20" t="n">
        <v>-550</v>
      </c>
      <c r="H209" s="20" t="n">
        <v>509</v>
      </c>
      <c r="I209" s="20" t="n">
        <v>1303</v>
      </c>
      <c r="J209" s="20" t="n">
        <v>1348</v>
      </c>
      <c r="K209" s="20" t="n">
        <v>1577</v>
      </c>
      <c r="L209" s="20" t="n">
        <v>719</v>
      </c>
      <c r="M209" s="20" t="n">
        <v>131</v>
      </c>
      <c r="N209" s="20" t="n">
        <v>1294</v>
      </c>
      <c r="V209" s="20" t="n">
        <v>1509</v>
      </c>
      <c r="W209" s="20" t="n">
        <v>1303</v>
      </c>
      <c r="X209" s="20" t="n">
        <v>131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IF(OR(C209="",C192=""),"",IF(C192&lt;=0,"",IFERROR(C209/C192,"")))</f>
        <v/>
      </c>
      <c r="D210" s="15">
        <f>IF(OR(D209="",D192=""),"",IF(D192&lt;=0,"",IFERROR(D209/D192,"")))</f>
        <v/>
      </c>
      <c r="E210" s="15">
        <f>IF(OR(E209="",E192=""),"",IF(E192&lt;=0,"",IFERROR(E209/E192,"")))</f>
        <v/>
      </c>
      <c r="F210" s="15">
        <f>IF(OR(F209="",F192=""),"",IF(F192&lt;=0,"",IFERROR(F209/F192,"")))</f>
        <v/>
      </c>
      <c r="G210" s="15">
        <f>IF(OR(G209="",G192=""),"",IF(G192&lt;=0,"",IFERROR(G209/G192,"")))</f>
        <v/>
      </c>
      <c r="H210" s="15">
        <f>IF(OR(H209="",H192=""),"",IF(H192&lt;=0,"",IFERROR(H209/H192,"")))</f>
        <v/>
      </c>
      <c r="I210" s="15">
        <f>IF(OR(I209="",I192=""),"",IF(I192&lt;=0,"",IFERROR(I209/I192,"")))</f>
        <v/>
      </c>
      <c r="J210" s="15">
        <f>IF(OR(J209="",J192=""),"",IF(J192&lt;=0,"",IFERROR(J209/J192,"")))</f>
        <v/>
      </c>
      <c r="K210" s="15">
        <f>IF(OR(K209="",K192=""),"",IF(K192&lt;=0,"",IFERROR(K209/K192,"")))</f>
        <v/>
      </c>
      <c r="L210" s="15">
        <f>IF(OR(L209="",L192=""),"",IF(L192&lt;=0,"",IFERROR(L209/L192,"")))</f>
        <v/>
      </c>
      <c r="M210" s="15">
        <f>IF(OR(M209="",M192=""),"",IF(M192&lt;=0,"",IFERROR(M209/M192,"")))</f>
        <v/>
      </c>
      <c r="N210" s="15">
        <f>IF(OR(N209="",N192=""),"",IF(N192&lt;=0,"",IFERROR(N209/N192,"")))</f>
        <v/>
      </c>
      <c r="V210" s="15">
        <f>IF(OR(V209="",V192=""),"",IF(V192&lt;=0,"",IFERROR(V209/V192,"")))</f>
        <v/>
      </c>
      <c r="W210" s="15">
        <f>IF(OR(W209="",W192=""),"",IF(W192&lt;=0,"",IFERROR(W209/W192,"")))</f>
        <v/>
      </c>
      <c r="X210" s="15">
        <f>IF(OR(X209="",X192=""),"",IF(X192&lt;=0,"",IFERROR(X209/X192,"")))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EuropeReportableSegmentsMember · 부문 이익</t>
        </is>
      </c>
      <c r="C212" s="20" t="n">
        <v>-36</v>
      </c>
      <c r="D212" s="20" t="n">
        <v>786</v>
      </c>
      <c r="E212" s="20" t="n">
        <v>858</v>
      </c>
      <c r="F212" s="20" t="n">
        <v>452</v>
      </c>
      <c r="G212" s="20" t="n">
        <v>126</v>
      </c>
      <c r="H212" s="20" t="n">
        <v>581</v>
      </c>
      <c r="I212" s="20" t="n">
        <v>1306</v>
      </c>
      <c r="J212" s="20" t="n">
        <v>602</v>
      </c>
      <c r="K212" s="20" t="n">
        <v>46</v>
      </c>
      <c r="L212" s="20" t="n">
        <v>734</v>
      </c>
      <c r="M212" s="20" t="n">
        <v>798</v>
      </c>
      <c r="N212" s="20" t="n">
        <v>376</v>
      </c>
      <c r="V212" s="20" t="n">
        <v>858</v>
      </c>
      <c r="W212" s="20" t="n">
        <v>1306</v>
      </c>
      <c r="X212" s="20" t="n">
        <v>798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IF(OR(C212="",C194=""),"",IF(C194&lt;=0,"",IFERROR(C212/C194,"")))</f>
        <v/>
      </c>
      <c r="D213" s="15">
        <f>IF(OR(D212="",D194=""),"",IF(D194&lt;=0,"",IFERROR(D212/D194,"")))</f>
        <v/>
      </c>
      <c r="E213" s="15">
        <f>IF(OR(E212="",E194=""),"",IF(E194&lt;=0,"",IFERROR(E212/E194,"")))</f>
        <v/>
      </c>
      <c r="F213" s="15">
        <f>IF(OR(F212="",F194=""),"",IF(F194&lt;=0,"",IFERROR(F212/F194,"")))</f>
        <v/>
      </c>
      <c r="G213" s="15">
        <f>IF(OR(G212="",G194=""),"",IF(G194&lt;=0,"",IFERROR(G212/G194,"")))</f>
        <v/>
      </c>
      <c r="H213" s="15">
        <f>IF(OR(H212="",H194=""),"",IF(H194&lt;=0,"",IFERROR(H212/H194,"")))</f>
        <v/>
      </c>
      <c r="I213" s="15">
        <f>IF(OR(I212="",I194=""),"",IF(I194&lt;=0,"",IFERROR(I212/I194,"")))</f>
        <v/>
      </c>
      <c r="J213" s="15">
        <f>IF(OR(J212="",J194=""),"",IF(J194&lt;=0,"",IFERROR(J212/J194,"")))</f>
        <v/>
      </c>
      <c r="K213" s="15">
        <f>IF(OR(K212="",K194=""),"",IF(K194&lt;=0,"",IFERROR(K212/K194,"")))</f>
        <v/>
      </c>
      <c r="L213" s="15">
        <f>IF(OR(L212="",L194=""),"",IF(L194&lt;=0,"",IFERROR(L212/L194,"")))</f>
        <v/>
      </c>
      <c r="M213" s="15">
        <f>IF(OR(M212="",M194=""),"",IF(M194&lt;=0,"",IFERROR(M212/M194,"")))</f>
        <v/>
      </c>
      <c r="N213" s="15">
        <f>IF(OR(N212="",N194=""),"",IF(N194&lt;=0,"",IFERROR(N212/N194,"")))</f>
        <v/>
      </c>
      <c r="V213" s="15">
        <f>IF(OR(V212="",V194=""),"",IF(V194&lt;=0,"",IFERROR(V212/V194,"")))</f>
        <v/>
      </c>
      <c r="W213" s="15">
        <f>IF(OR(W212="",W194=""),"",IF(W194&lt;=0,"",IFERROR(W212/W194,"")))</f>
        <v/>
      </c>
      <c r="X213" s="15">
        <f>IF(OR(X212="",X194=""),"",IF(X194&lt;=0,"",IFERROR(X212/X194,"")))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I214" s="15">
        <f>IF(OR(I212="",E212=""),"",IF(E212&lt;=0,"",IFERROR(I212/E212-1,"")))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M214" s="15">
        <f>IF(OR(M212="",I212=""),"",IF(I212&lt;=0,"",IFERROR(M212/I212-1,"")))</f>
        <v/>
      </c>
      <c r="N214" s="15">
        <f>IF(OR(N212="",J212=""),"",IF(J212&lt;=0,"",IFERROR(N212/J212-1,"")))</f>
        <v/>
      </c>
      <c r="V214" s="15">
        <f>IF(OR(V212="",U212=""),"",IF(U212&lt;=0,"",IFERROR(V212/U212-1,"")))</f>
        <v/>
      </c>
      <c r="W214" s="15">
        <f>IF(OR(W212="",V212=""),"",IF(V212&lt;=0,"",IFERROR(W212/V212-1,"")))</f>
        <v/>
      </c>
      <c r="X214" s="15">
        <f>IF(OR(X212="",W212=""),"",IF(W212&lt;=0,"",IFERROR(X212/W212-1,"")))</f>
        <v/>
      </c>
    </row>
    <row r="215">
      <c r="A215" s="18" t="inlineStr">
        <is>
          <t>ChinaReportableSegmentMember · 부문 이익</t>
        </is>
      </c>
      <c r="C215" s="20" t="n">
        <v>416</v>
      </c>
      <c r="D215" s="20" t="n">
        <v>1456</v>
      </c>
      <c r="E215" s="20" t="n">
        <v>-267</v>
      </c>
      <c r="F215" s="20" t="n">
        <v>294</v>
      </c>
      <c r="G215" s="20" t="n">
        <v>498</v>
      </c>
      <c r="H215" s="20" t="n">
        <v>1243</v>
      </c>
      <c r="I215" s="20" t="n">
        <v>233</v>
      </c>
      <c r="J215" s="20" t="n">
        <v>453</v>
      </c>
      <c r="K215" s="20" t="n">
        <v>1110</v>
      </c>
      <c r="L215" s="20" t="n">
        <v>1213</v>
      </c>
      <c r="M215" s="20" t="n">
        <v>251</v>
      </c>
      <c r="N215" s="20" t="n">
        <v>-39</v>
      </c>
      <c r="V215" s="20" t="n">
        <v>-267</v>
      </c>
      <c r="W215" s="20" t="n">
        <v>233</v>
      </c>
      <c r="X215" s="20" t="n">
        <v>251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IF(OR(C215="",C196=""),"",IF(C196&lt;=0,"",IFERROR(C215/C196,"")))</f>
        <v/>
      </c>
      <c r="D216" s="15">
        <f>IF(OR(D215="",D196=""),"",IF(D196&lt;=0,"",IFERROR(D215/D196,"")))</f>
        <v/>
      </c>
      <c r="E216" s="15">
        <f>IF(OR(E215="",E196=""),"",IF(E196&lt;=0,"",IFERROR(E215/E196,"")))</f>
        <v/>
      </c>
      <c r="F216" s="15">
        <f>IF(OR(F215="",F196=""),"",IF(F196&lt;=0,"",IFERROR(F215/F196,"")))</f>
        <v/>
      </c>
      <c r="G216" s="15">
        <f>IF(OR(G215="",G196=""),"",IF(G196&lt;=0,"",IFERROR(G215/G196,"")))</f>
        <v/>
      </c>
      <c r="H216" s="15">
        <f>IF(OR(H215="",H196=""),"",IF(H196&lt;=0,"",IFERROR(H215/H196,"")))</f>
        <v/>
      </c>
      <c r="I216" s="15">
        <f>IF(OR(I215="",I196=""),"",IF(I196&lt;=0,"",IFERROR(I215/I196,"")))</f>
        <v/>
      </c>
      <c r="J216" s="15">
        <f>IF(OR(J215="",J196=""),"",IF(J196&lt;=0,"",IFERROR(J215/J196,"")))</f>
        <v/>
      </c>
      <c r="K216" s="15">
        <f>IF(OR(K215="",K196=""),"",IF(K196&lt;=0,"",IFERROR(K215/K196,"")))</f>
        <v/>
      </c>
      <c r="L216" s="15">
        <f>IF(OR(L215="",L196=""),"",IF(L196&lt;=0,"",IFERROR(L215/L196,"")))</f>
        <v/>
      </c>
      <c r="M216" s="15">
        <f>IF(OR(M215="",M196=""),"",IF(M196&lt;=0,"",IFERROR(M215/M196,"")))</f>
        <v/>
      </c>
      <c r="N216" s="15">
        <f>IF(OR(N215="",N196=""),"",IF(N196&lt;=0,"",IFERROR(N215/N196,"")))</f>
        <v/>
      </c>
      <c r="V216" s="15">
        <f>IF(OR(V215="",V196=""),"",IF(V196&lt;=0,"",IFERROR(V215/V196,"")))</f>
        <v/>
      </c>
      <c r="W216" s="15">
        <f>IF(OR(W215="",W196=""),"",IF(W196&lt;=0,"",IFERROR(W215/W196,"")))</f>
        <v/>
      </c>
      <c r="X216" s="15">
        <f>IF(OR(X215="",X196=""),"",IF(X196&lt;=0,"",IFERROR(X215/X196,"")))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AsiaReportableSegmentsMember · 부문 이익</t>
        </is>
      </c>
      <c r="C218" s="20" t="n">
        <v>560</v>
      </c>
      <c r="D218" s="20" t="n">
        <v>438</v>
      </c>
      <c r="E218" s="20" t="n">
        <v>-46</v>
      </c>
      <c r="F218" s="20" t="n">
        <v>571</v>
      </c>
      <c r="G218" s="20" t="n">
        <v>239</v>
      </c>
      <c r="H218" s="20" t="n">
        <v>664</v>
      </c>
      <c r="I218" s="20" t="n">
        <v>410</v>
      </c>
      <c r="J218" s="20" t="n">
        <v>288</v>
      </c>
      <c r="K218" s="20" t="n">
        <v>14</v>
      </c>
      <c r="L218" s="20" t="n">
        <v>430</v>
      </c>
      <c r="M218" s="20" t="n">
        <v>535</v>
      </c>
      <c r="N218" s="20" t="n">
        <v>490</v>
      </c>
      <c r="V218" s="20" t="n">
        <v>-46</v>
      </c>
      <c r="W218" s="20" t="n">
        <v>410</v>
      </c>
      <c r="X218" s="20" t="n">
        <v>535</v>
      </c>
    </row>
    <row r="219">
      <c r="A219" s="43" t="inlineStr">
        <is>
          <t>OPM</t>
        </is>
      </c>
      <c r="B219" s="3" t="inlineStr">
        <is>
          <t>영업이익 ÷ 매출</t>
        </is>
      </c>
      <c r="C219" s="15">
        <f>IF(OR(C218="",C198=""),"",IF(C198&lt;=0,"",IFERROR(C218/C198,"")))</f>
        <v/>
      </c>
      <c r="D219" s="15">
        <f>IF(OR(D218="",D198=""),"",IF(D198&lt;=0,"",IFERROR(D218/D198,"")))</f>
        <v/>
      </c>
      <c r="E219" s="15">
        <f>IF(OR(E218="",E198=""),"",IF(E198&lt;=0,"",IFERROR(E218/E198,"")))</f>
        <v/>
      </c>
      <c r="F219" s="15">
        <f>IF(OR(F218="",F198=""),"",IF(F198&lt;=0,"",IFERROR(F218/F198,"")))</f>
        <v/>
      </c>
      <c r="G219" s="15">
        <f>IF(OR(G218="",G198=""),"",IF(G198&lt;=0,"",IFERROR(G218/G198,"")))</f>
        <v/>
      </c>
      <c r="H219" s="15">
        <f>IF(OR(H218="",H198=""),"",IF(H198&lt;=0,"",IFERROR(H218/H198,"")))</f>
        <v/>
      </c>
      <c r="I219" s="15">
        <f>IF(OR(I218="",I198=""),"",IF(I198&lt;=0,"",IFERROR(I218/I198,"")))</f>
        <v/>
      </c>
      <c r="J219" s="15">
        <f>IF(OR(J218="",J198=""),"",IF(J198&lt;=0,"",IFERROR(J218/J198,"")))</f>
        <v/>
      </c>
      <c r="K219" s="15">
        <f>IF(OR(K218="",K198=""),"",IF(K198&lt;=0,"",IFERROR(K218/K198,"")))</f>
        <v/>
      </c>
      <c r="L219" s="15">
        <f>IF(OR(L218="",L198=""),"",IF(L198&lt;=0,"",IFERROR(L218/L198,"")))</f>
        <v/>
      </c>
      <c r="M219" s="15">
        <f>IF(OR(M218="",M198=""),"",IF(M198&lt;=0,"",IFERROR(M218/M198,"")))</f>
        <v/>
      </c>
      <c r="N219" s="15">
        <f>IF(OR(N218="",N198=""),"",IF(N198&lt;=0,"",IFERROR(N218/N198,"")))</f>
        <v/>
      </c>
      <c r="V219" s="15">
        <f>IF(OR(V218="",V198=""),"",IF(V198&lt;=0,"",IFERROR(V218/V198,"")))</f>
        <v/>
      </c>
      <c r="W219" s="15">
        <f>IF(OR(W218="",W198=""),"",IF(W198&lt;=0,"",IFERROR(W218/W198,"")))</f>
        <v/>
      </c>
      <c r="X219" s="15">
        <f>IF(OR(X218="",X198=""),"",IF(X198&lt;=0,"",IFERROR(X218/X198,"")))</f>
        <v/>
      </c>
    </row>
    <row r="220">
      <c r="A220" s="43" t="inlineStr">
        <is>
          <t>YoY</t>
        </is>
      </c>
      <c r="B220" s="3" t="inlineStr">
        <is>
          <t>전년 같은 분기·전년 대비</t>
        </is>
      </c>
      <c r="G220" s="15">
        <f>IF(OR(G218="",C218=""),"",IF(C218&lt;=0,"",IFERROR(G218/C218-1,"")))</f>
        <v/>
      </c>
      <c r="H220" s="15">
        <f>IF(OR(H218="",D218=""),"",IF(D218&lt;=0,"",IFERROR(H218/D218-1,"")))</f>
        <v/>
      </c>
      <c r="I220" s="15">
        <f>IF(OR(I218="",E218=""),"",IF(E218&lt;=0,"",IFERROR(I218/E218-1,"")))</f>
        <v/>
      </c>
      <c r="J220" s="15">
        <f>IF(OR(J218="",F218=""),"",IF(F218&lt;=0,"",IFERROR(J218/F218-1,"")))</f>
        <v/>
      </c>
      <c r="K220" s="15">
        <f>IF(OR(K218="",G218=""),"",IF(G218&lt;=0,"",IFERROR(K218/G218-1,"")))</f>
        <v/>
      </c>
      <c r="L220" s="15">
        <f>IF(OR(L218="",H218=""),"",IF(H218&lt;=0,"",IFERROR(L218/H218-1,"")))</f>
        <v/>
      </c>
      <c r="M220" s="15">
        <f>IF(OR(M218="",I218=""),"",IF(I218&lt;=0,"",IFERROR(M218/I218-1,"")))</f>
        <v/>
      </c>
      <c r="N220" s="15">
        <f>IF(OR(N218="",J218=""),"",IF(J218&lt;=0,"",IFERROR(N218/J218-1,"")))</f>
        <v/>
      </c>
      <c r="V220" s="15">
        <f>IF(OR(V218="",U218=""),"",IF(U218&lt;=0,"",IFERROR(V218/U218-1,"")))</f>
        <v/>
      </c>
      <c r="W220" s="15">
        <f>IF(OR(W218="",V218=""),"",IF(V218&lt;=0,"",IFERROR(W218/V218-1,"")))</f>
        <v/>
      </c>
      <c r="X220" s="15">
        <f>IF(OR(X218="",W218=""),"",IF(W218&lt;=0,"",IFERROR(X218/W218-1,"")))</f>
        <v/>
      </c>
    </row>
    <row r="221">
      <c r="A221" s="18" t="inlineStr">
        <is>
          <t>합계 · 부문 이익</t>
        </is>
      </c>
      <c r="C221" s="20" t="n">
        <v>4699</v>
      </c>
      <c r="D221" s="20" t="n">
        <v>6544</v>
      </c>
      <c r="F221" s="20" t="n">
        <v>3588</v>
      </c>
      <c r="G221" s="20" t="n">
        <v>1869</v>
      </c>
      <c r="H221" s="20" t="n">
        <v>4556</v>
      </c>
      <c r="J221" s="20" t="n">
        <v>4207</v>
      </c>
      <c r="K221" s="20" t="n">
        <v>4421</v>
      </c>
      <c r="L221" s="20" t="n">
        <v>4946</v>
      </c>
      <c r="N221" s="20" t="n">
        <v>3663</v>
      </c>
    </row>
    <row r="222">
      <c r="A222" s="43" t="inlineStr">
        <is>
          <t>OPM</t>
        </is>
      </c>
      <c r="B222" s="3" t="inlineStr">
        <is>
          <t>영업이익 ÷ 매출</t>
        </is>
      </c>
      <c r="C222" s="15">
        <f>IF(OR(C221="",C200=""),"",IF(C200&lt;=0,"",IFERROR(C221/C200,"")))</f>
        <v/>
      </c>
      <c r="D222" s="15">
        <f>IF(OR(D221="",D200=""),"",IF(D200&lt;=0,"",IFERROR(D221/D200,"")))</f>
        <v/>
      </c>
      <c r="F222" s="15">
        <f>IF(OR(F221="",F200=""),"",IF(F200&lt;=0,"",IFERROR(F221/F200,"")))</f>
        <v/>
      </c>
      <c r="G222" s="15">
        <f>IF(OR(G221="",G200=""),"",IF(G200&lt;=0,"",IFERROR(G221/G200,"")))</f>
        <v/>
      </c>
      <c r="H222" s="15">
        <f>IF(OR(H221="",H200=""),"",IF(H200&lt;=0,"",IFERROR(H221/H200,"")))</f>
        <v/>
      </c>
      <c r="J222" s="15">
        <f>IF(OR(J221="",J200=""),"",IF(J200&lt;=0,"",IFERROR(J221/J200,"")))</f>
        <v/>
      </c>
      <c r="K222" s="15">
        <f>IF(OR(K221="",K200=""),"",IF(K200&lt;=0,"",IFERROR(K221/K200,"")))</f>
        <v/>
      </c>
      <c r="L222" s="15">
        <f>IF(OR(L221="",L200=""),"",IF(L200&lt;=0,"",IFERROR(L221/L200,"")))</f>
        <v/>
      </c>
      <c r="N222" s="15">
        <f>IF(OR(N221="",N200=""),"",IF(N200&lt;=0,"",IFERROR(N221/N200,"")))</f>
        <v/>
      </c>
    </row>
    <row r="223">
      <c r="A223" s="43" t="inlineStr">
        <is>
          <t>YoY</t>
        </is>
      </c>
      <c r="B223" s="3" t="inlineStr">
        <is>
          <t>전년 같은 분기·전년 대비</t>
        </is>
      </c>
      <c r="G223" s="15">
        <f>IF(OR(G221="",C221=""),"",IF(C221&lt;=0,"",IFERROR(G221/C221-1,"")))</f>
        <v/>
      </c>
      <c r="H223" s="15">
        <f>IF(OR(H221="",D221=""),"",IF(D221&lt;=0,"",IFERROR(H221/D221-1,"")))</f>
        <v/>
      </c>
      <c r="J223" s="15">
        <f>IF(OR(J221="",F221=""),"",IF(F221&lt;=0,"",IFERROR(J221/F221-1,"")))</f>
        <v/>
      </c>
      <c r="K223" s="15">
        <f>IF(OR(K221="",G221=""),"",IF(G221&lt;=0,"",IFERROR(K221/G221-1,"")))</f>
        <v/>
      </c>
      <c r="L223" s="15">
        <f>IF(OR(L221="",H221=""),"",IF(H221&lt;=0,"",IFERROR(L221/H221-1,"")))</f>
        <v/>
      </c>
      <c r="N223" s="15">
        <f>IF(OR(N221="",J221=""),"",IF(J221&lt;=0,"",IFERROR(N221/J221-1,"")))</f>
        <v/>
      </c>
    </row>
    <row r="224">
      <c r="A224" s="18" t="inlineStr">
        <is>
          <t>조정액 · 부문 이익</t>
        </is>
      </c>
      <c r="C224" s="20" t="n">
        <v>17</v>
      </c>
      <c r="D224" s="20" t="n">
        <v>21</v>
      </c>
      <c r="E224" s="20" t="n">
        <v>21</v>
      </c>
      <c r="F224" s="20" t="n">
        <v>25</v>
      </c>
      <c r="G224" s="20" t="n">
        <v>-36</v>
      </c>
      <c r="H224" s="20" t="n">
        <v>-89</v>
      </c>
      <c r="I224" s="20" t="n">
        <v>30</v>
      </c>
      <c r="J224" s="20" t="n">
        <v>-15</v>
      </c>
      <c r="K224" s="20" t="n">
        <v>-5</v>
      </c>
      <c r="L224" s="20" t="n">
        <v>19</v>
      </c>
      <c r="M224" s="20" t="n">
        <v>125</v>
      </c>
      <c r="N224" s="20" t="n">
        <v>-14</v>
      </c>
      <c r="V224" s="20" t="n">
        <v>21</v>
      </c>
      <c r="W224" s="20" t="n">
        <v>30</v>
      </c>
      <c r="X224" s="20" t="n">
        <v>125</v>
      </c>
    </row>
    <row r="225">
      <c r="A225" s="9" t="inlineStr">
        <is>
          <t>부문 이익</t>
        </is>
      </c>
      <c r="C225" s="12" t="n">
        <v>4716</v>
      </c>
      <c r="D225" s="12" t="n">
        <v>6564</v>
      </c>
      <c r="E225" s="12" t="n">
        <v>3204</v>
      </c>
      <c r="F225" s="12" t="n">
        <v>3614</v>
      </c>
      <c r="G225" s="12" t="n">
        <v>1832</v>
      </c>
      <c r="H225" s="12" t="n">
        <v>4466</v>
      </c>
      <c r="I225" s="12" t="n">
        <v>5266</v>
      </c>
      <c r="V225" s="12" t="n">
        <v>3204</v>
      </c>
      <c r="W225" s="12" t="n">
        <v>5266</v>
      </c>
    </row>
    <row r="226">
      <c r="A226" s="43" t="inlineStr">
        <is>
          <t>OPM</t>
        </is>
      </c>
      <c r="B226" s="3" t="inlineStr">
        <is>
          <t>영업이익 ÷ 매출</t>
        </is>
      </c>
      <c r="C226" s="15">
        <f>IF(OR(C225="",C178=""),"",IF(C178&lt;=0,"",IFERROR(C225/C178,"")))</f>
        <v/>
      </c>
      <c r="D226" s="15">
        <f>IF(OR(D225="",D178=""),"",IF(D178&lt;=0,"",IFERROR(D225/D178,"")))</f>
        <v/>
      </c>
      <c r="E226" s="15">
        <f>IF(OR(E225="",E178=""),"",IF(E178&lt;=0,"",IFERROR(E225/E178,"")))</f>
        <v/>
      </c>
      <c r="F226" s="15">
        <f>IF(OR(F225="",F178=""),"",IF(F178&lt;=0,"",IFERROR(F225/F178,"")))</f>
        <v/>
      </c>
      <c r="G226" s="15">
        <f>IF(OR(G225="",G178=""),"",IF(G178&lt;=0,"",IFERROR(G225/G178,"")))</f>
        <v/>
      </c>
      <c r="H226" s="15">
        <f>IF(OR(H225="",H178=""),"",IF(H178&lt;=0,"",IFERROR(H225/H178,"")))</f>
        <v/>
      </c>
      <c r="I226" s="15">
        <f>IF(OR(I225="",I178=""),"",IF(I178&lt;=0,"",IFERROR(I225/I178,"")))</f>
        <v/>
      </c>
      <c r="V226" s="15">
        <f>IF(OR(V225="",V178=""),"",IF(V178&lt;=0,"",IFERROR(V225/V178,"")))</f>
        <v/>
      </c>
      <c r="W226" s="15">
        <f>IF(OR(W225="",W178=""),"",IF(W178&lt;=0,"",IFERROR(W225/W178,"")))</f>
        <v/>
      </c>
    </row>
    <row r="227">
      <c r="A227" s="43" t="inlineStr">
        <is>
          <t>YoY</t>
        </is>
      </c>
      <c r="B227" s="3" t="inlineStr">
        <is>
          <t>전년 같은 분기·전년 대비</t>
        </is>
      </c>
      <c r="G227" s="15">
        <f>IF(OR(G225="",C225=""),"",IF(C225&lt;=0,"",IFERROR(G225/C225-1,"")))</f>
        <v/>
      </c>
      <c r="H227" s="15">
        <f>IF(OR(H225="",D225=""),"",IF(D225&lt;=0,"",IFERROR(H225/D225-1,"")))</f>
        <v/>
      </c>
      <c r="I227" s="15">
        <f>IF(OR(I225="",E225=""),"",IF(E225&lt;=0,"",IFERROR(I225/E225-1,"")))</f>
        <v/>
      </c>
      <c r="V227" s="15">
        <f>IF(OR(V225="",U225=""),"",IF(U225&lt;=0,"",IFERROR(V225/U225-1,"")))</f>
        <v/>
      </c>
      <c r="W227" s="15">
        <f>IF(OR(W225="",V225=""),"",IF(V225&lt;=0,"",IFERROR(W225/V225-1,"")))</f>
        <v/>
      </c>
    </row>
    <row r="228">
      <c r="A228" s="18" t="inlineStr">
        <is>
          <t>EntityTotalMember · 부문 이익</t>
        </is>
      </c>
      <c r="F228" s="20" t="n">
        <v>3614</v>
      </c>
      <c r="J228" s="20" t="n">
        <v>4191</v>
      </c>
      <c r="N228" s="20" t="n">
        <v>3649</v>
      </c>
    </row>
    <row r="230">
      <c r="A230" s="16" t="inlineStr">
        <is>
          <t>현금흐름표 · 전 항목</t>
        </is>
      </c>
      <c r="B230" s="42" t="inlineStr">
        <is>
          <t>분기 = 결산기 첫날부터 누계(공시 그대로)</t>
        </is>
      </c>
      <c r="C230" s="16" t="n"/>
      <c r="D230" s="16" t="n"/>
      <c r="E230" s="16" t="n"/>
      <c r="F230" s="16" t="n"/>
      <c r="G230" s="16" t="n"/>
      <c r="H230" s="16" t="n"/>
      <c r="I230" s="16" t="n"/>
      <c r="J230" s="16" t="n"/>
      <c r="K230" s="16" t="n"/>
      <c r="L230" s="16" t="n"/>
      <c r="M230" s="16" t="n"/>
      <c r="N230" s="16" t="n"/>
      <c r="O230" s="16" t="n"/>
      <c r="P230" s="16" t="n"/>
      <c r="Q230" s="16" t="n"/>
      <c r="R230" s="16" t="n"/>
      <c r="S230" s="16" t="n"/>
      <c r="T230" s="16" t="n"/>
      <c r="U230" s="16" t="n"/>
      <c r="V230" s="16" t="n"/>
      <c r="W230" s="16" t="n"/>
      <c r="X230" s="16" t="n"/>
      <c r="Y230" s="16" t="n"/>
      <c r="Z230" s="16" t="n"/>
      <c r="AA230" s="16" t="n"/>
      <c r="AB230" s="16" t="n"/>
      <c r="AC230" s="16" t="n"/>
    </row>
    <row r="231">
      <c r="A231" s="5" t="inlineStr">
        <is>
          <t>항목</t>
        </is>
      </c>
      <c r="B231" s="5" t="inlineStr">
        <is>
          <t>참고</t>
        </is>
      </c>
      <c r="C231" s="5" t="inlineStr">
        <is>
          <t>2024.2Q</t>
        </is>
      </c>
      <c r="D231" s="5" t="inlineStr">
        <is>
          <t>2024.3Q</t>
        </is>
      </c>
      <c r="E231" s="5" t="inlineStr">
        <is>
          <t>2024.4Q</t>
        </is>
      </c>
      <c r="F231" s="5" t="inlineStr">
        <is>
          <t>2025.1Q</t>
        </is>
      </c>
      <c r="G231" s="5" t="inlineStr">
        <is>
          <t>2025.2Q</t>
        </is>
      </c>
      <c r="H231" s="5" t="inlineStr">
        <is>
          <t>2025.3Q</t>
        </is>
      </c>
      <c r="I231" s="5" t="inlineStr">
        <is>
          <t>2025.4Q</t>
        </is>
      </c>
      <c r="J231" s="5" t="inlineStr">
        <is>
          <t>2026.1Q</t>
        </is>
      </c>
      <c r="K231" s="5" t="inlineStr">
        <is>
          <t>2026.2Q</t>
        </is>
      </c>
      <c r="L231" s="5" t="inlineStr">
        <is>
          <t>2026.3Q</t>
        </is>
      </c>
      <c r="M231" s="5" t="inlineStr">
        <is>
          <t>2026.4Q</t>
        </is>
      </c>
      <c r="N231" s="5" t="inlineStr">
        <is>
          <t>2027.1Q</t>
        </is>
      </c>
      <c r="O231" s="5" t="inlineStr">
        <is>
          <t>2017</t>
        </is>
      </c>
      <c r="P231" s="5" t="inlineStr">
        <is>
          <t>2018</t>
        </is>
      </c>
      <c r="Q231" s="5" t="inlineStr">
        <is>
          <t>2019</t>
        </is>
      </c>
      <c r="R231" s="5" t="inlineStr">
        <is>
          <t>2020</t>
        </is>
      </c>
      <c r="S231" s="5" t="inlineStr">
        <is>
          <t>2021</t>
        </is>
      </c>
      <c r="T231" s="5" t="inlineStr">
        <is>
          <t>2022</t>
        </is>
      </c>
      <c r="U231" s="5" t="inlineStr">
        <is>
          <t>2023</t>
        </is>
      </c>
      <c r="V231" s="5" t="inlineStr">
        <is>
          <t>2024</t>
        </is>
      </c>
      <c r="W231" s="5" t="inlineStr">
        <is>
          <t>2025</t>
        </is>
      </c>
      <c r="X231" s="5" t="inlineStr">
        <is>
          <t>2026</t>
        </is>
      </c>
      <c r="Y231" s="5" t="inlineStr">
        <is>
          <t>2027(MW)</t>
        </is>
      </c>
      <c r="Z231" s="5" t="inlineStr">
        <is>
          <t>2028(MW)</t>
        </is>
      </c>
      <c r="AA231" s="5" t="inlineStr">
        <is>
          <t>2029(MW)</t>
        </is>
      </c>
      <c r="AB231" s="5" t="inlineStr">
        <is>
          <t>2030(MW)</t>
        </is>
      </c>
      <c r="AC231" s="5" t="inlineStr">
        <is>
          <t>2031(MW)</t>
        </is>
      </c>
    </row>
    <row r="232">
      <c r="A232" s="9" t="inlineStr">
        <is>
          <t>법인세차감전 순이익</t>
        </is>
      </c>
      <c r="E232" s="12" t="n">
        <v>18489</v>
      </c>
      <c r="I232" s="12" t="n">
        <v>10079</v>
      </c>
      <c r="M232" s="12" t="n">
        <v>21299</v>
      </c>
      <c r="O232" s="12" t="n">
        <v>5619</v>
      </c>
      <c r="P232" s="12" t="n">
        <v>6380</v>
      </c>
      <c r="Q232" s="12" t="n">
        <v>6158</v>
      </c>
      <c r="R232" s="12" t="n">
        <v>10340</v>
      </c>
      <c r="S232" s="12" t="n">
        <v>7942</v>
      </c>
      <c r="T232" s="12" t="n">
        <v>6255</v>
      </c>
      <c r="U232" s="12" t="n">
        <v>7917</v>
      </c>
      <c r="V232" s="12" t="n">
        <v>18489</v>
      </c>
      <c r="W232" s="12" t="n">
        <v>10079</v>
      </c>
      <c r="X232" s="12" t="n">
        <v>21299</v>
      </c>
    </row>
    <row r="233">
      <c r="A233" s="18" t="inlineStr">
        <is>
          <t>감가상각비</t>
        </is>
      </c>
      <c r="E233" s="20" t="n">
        <v>30653</v>
      </c>
      <c r="I233" s="20" t="n">
        <v>26280</v>
      </c>
      <c r="M233" s="20" t="n">
        <v>23656</v>
      </c>
      <c r="O233" s="20" t="n">
        <v>21073</v>
      </c>
      <c r="P233" s="20" t="n">
        <v>20515</v>
      </c>
      <c r="Q233" s="20" t="n">
        <v>23083</v>
      </c>
      <c r="R233" s="20" t="n">
        <v>24497</v>
      </c>
      <c r="S233" s="20" t="n">
        <v>23772</v>
      </c>
      <c r="T233" s="20" t="n">
        <v>24478</v>
      </c>
      <c r="U233" s="20" t="n">
        <v>29672</v>
      </c>
      <c r="V233" s="20" t="n">
        <v>30653</v>
      </c>
      <c r="W233" s="20" t="n">
        <v>26280</v>
      </c>
      <c r="X233" s="20" t="n">
        <v>23656</v>
      </c>
    </row>
    <row r="234">
      <c r="A234" s="18" t="inlineStr">
        <is>
          <t>손상차손</t>
        </is>
      </c>
      <c r="E234" s="20" t="n">
        <v>0</v>
      </c>
      <c r="I234" s="20" t="n">
        <v>2585</v>
      </c>
      <c r="M234" s="20" t="n">
        <v>44</v>
      </c>
      <c r="O234" s="20" t="n">
        <v>1693</v>
      </c>
      <c r="P234" s="20" t="n">
        <v>5407</v>
      </c>
      <c r="Q234" s="20" t="n">
        <v>362</v>
      </c>
      <c r="R234" s="20" t="n">
        <v>0</v>
      </c>
      <c r="S234" s="20" t="n">
        <v>20</v>
      </c>
      <c r="T234" s="20" t="n">
        <v>532</v>
      </c>
      <c r="U234" s="20" t="n">
        <v>1454</v>
      </c>
      <c r="V234" s="20" t="n">
        <v>0</v>
      </c>
      <c r="W234" s="20" t="n">
        <v>2585</v>
      </c>
      <c r="X234" s="20" t="n">
        <v>44</v>
      </c>
    </row>
    <row r="235">
      <c r="A235" s="18" t="inlineStr">
        <is>
          <t>손상차손 환입이익</t>
        </is>
      </c>
      <c r="E235" s="20" t="n">
        <v>0</v>
      </c>
      <c r="I235" s="20" t="n">
        <v>-413</v>
      </c>
      <c r="M235" s="20" t="n">
        <v>0</v>
      </c>
      <c r="V235" s="20" t="n">
        <v>0</v>
      </c>
      <c r="W235" s="20" t="n">
        <v>-413</v>
      </c>
      <c r="X235" s="20" t="n">
        <v>0</v>
      </c>
    </row>
    <row r="236">
      <c r="A236" s="18" t="inlineStr">
        <is>
          <t>대손충당금 증감</t>
        </is>
      </c>
      <c r="E236" s="20" t="n">
        <v>-25</v>
      </c>
      <c r="I236" s="20" t="n">
        <v>234</v>
      </c>
      <c r="M236" s="20" t="n">
        <v>-235</v>
      </c>
      <c r="O236" s="20" t="n">
        <v>-46</v>
      </c>
      <c r="P236" s="20" t="n">
        <v>12</v>
      </c>
      <c r="Q236" s="20" t="n">
        <v>62</v>
      </c>
      <c r="R236" s="20" t="n">
        <v>-48</v>
      </c>
      <c r="S236" s="20" t="n">
        <v>19</v>
      </c>
      <c r="T236" s="20" t="n">
        <v>6</v>
      </c>
      <c r="U236" s="20" t="n">
        <v>0</v>
      </c>
      <c r="V236" s="20" t="n">
        <v>-25</v>
      </c>
      <c r="W236" s="20" t="n">
        <v>234</v>
      </c>
      <c r="X236" s="20" t="n">
        <v>-235</v>
      </c>
    </row>
    <row r="237">
      <c r="A237" s="18" t="inlineStr">
        <is>
          <t>임원 상여충당금 증감</t>
        </is>
      </c>
      <c r="E237" s="20" t="n">
        <v>-1</v>
      </c>
      <c r="I237" s="20" t="n">
        <v>-2</v>
      </c>
      <c r="M237" s="20" t="n">
        <v>25</v>
      </c>
      <c r="O237" s="20" t="n">
        <v>60</v>
      </c>
      <c r="P237" s="20" t="n">
        <v>0</v>
      </c>
      <c r="Q237" s="20" t="n">
        <v>7</v>
      </c>
      <c r="R237" s="20" t="n">
        <v>-27</v>
      </c>
      <c r="S237" s="20" t="n">
        <v>0</v>
      </c>
      <c r="T237" s="20" t="n">
        <v>-6</v>
      </c>
      <c r="U237" s="20" t="n">
        <v>0</v>
      </c>
      <c r="V237" s="20" t="n">
        <v>-1</v>
      </c>
      <c r="W237" s="20" t="n">
        <v>-2</v>
      </c>
      <c r="X237" s="20" t="n">
        <v>25</v>
      </c>
    </row>
    <row r="238">
      <c r="A238" s="18" t="inlineStr">
        <is>
          <t>임원 퇴직위로 충당금 증감</t>
        </is>
      </c>
      <c r="O238" s="20" t="n">
        <v>-37</v>
      </c>
      <c r="P238" s="20" t="n">
        <v>17</v>
      </c>
      <c r="Q238" s="20" t="n">
        <v>15</v>
      </c>
      <c r="R238" s="20" t="n">
        <v>-82</v>
      </c>
      <c r="S238" s="20" t="n">
        <v>0</v>
      </c>
    </row>
    <row r="239">
      <c r="A239" s="18" t="inlineStr">
        <is>
          <t>제품보증 충당금 증감</t>
        </is>
      </c>
      <c r="E239" s="20" t="n">
        <v>114</v>
      </c>
      <c r="I239" s="20" t="n">
        <v>190</v>
      </c>
      <c r="M239" s="20" t="n">
        <v>-34</v>
      </c>
      <c r="O239" s="20" t="n">
        <v>-25</v>
      </c>
      <c r="P239" s="20" t="n">
        <v>-29</v>
      </c>
      <c r="Q239" s="20" t="n">
        <v>-10</v>
      </c>
      <c r="R239" s="20" t="n">
        <v>17</v>
      </c>
      <c r="S239" s="20" t="n">
        <v>27</v>
      </c>
      <c r="T239" s="20" t="n">
        <v>7</v>
      </c>
      <c r="U239" s="20" t="n">
        <v>49</v>
      </c>
      <c r="V239" s="20" t="n">
        <v>114</v>
      </c>
      <c r="W239" s="20" t="n">
        <v>190</v>
      </c>
      <c r="X239" s="20" t="n">
        <v>-34</v>
      </c>
    </row>
    <row r="240">
      <c r="A240" s="18" t="inlineStr">
        <is>
          <t>환경대책 충당금 증감</t>
        </is>
      </c>
      <c r="E240" s="20" t="n">
        <v>0</v>
      </c>
      <c r="I240" s="20" t="n">
        <v>148</v>
      </c>
      <c r="M240" s="20" t="n">
        <v>5</v>
      </c>
      <c r="V240" s="20" t="n">
        <v>0</v>
      </c>
      <c r="W240" s="20" t="n">
        <v>148</v>
      </c>
      <c r="X240" s="20" t="n">
        <v>5</v>
      </c>
    </row>
    <row r="241">
      <c r="A241" s="18" t="inlineStr">
        <is>
          <t>해체철거 충당금 증감액</t>
        </is>
      </c>
      <c r="E241" s="20" t="n">
        <v>933</v>
      </c>
      <c r="I241" s="20" t="n">
        <v>0</v>
      </c>
      <c r="M241" s="20" t="n">
        <v>-429</v>
      </c>
      <c r="U241" s="20" t="n">
        <v>0</v>
      </c>
      <c r="V241" s="20" t="n">
        <v>933</v>
      </c>
      <c r="W241" s="20" t="n">
        <v>0</v>
      </c>
      <c r="X241" s="20" t="n">
        <v>-429</v>
      </c>
    </row>
    <row r="242">
      <c r="A242" s="18" t="inlineStr">
        <is>
          <t>이자·배당금 수익</t>
        </is>
      </c>
      <c r="E242" s="20" t="n">
        <v>-1074</v>
      </c>
      <c r="I242" s="20" t="n">
        <v>-1085</v>
      </c>
      <c r="M242" s="20" t="n">
        <v>-1019</v>
      </c>
      <c r="O242" s="20" t="n">
        <v>-431</v>
      </c>
      <c r="P242" s="20" t="n">
        <v>-436</v>
      </c>
      <c r="Q242" s="20" t="n">
        <v>-449</v>
      </c>
      <c r="R242" s="20" t="n">
        <v>-415</v>
      </c>
      <c r="S242" s="20" t="n">
        <v>-344</v>
      </c>
      <c r="T242" s="20" t="n">
        <v>-403</v>
      </c>
      <c r="U242" s="20" t="n">
        <v>-614</v>
      </c>
      <c r="V242" s="20" t="n">
        <v>-1074</v>
      </c>
      <c r="W242" s="20" t="n">
        <v>-1085</v>
      </c>
      <c r="X242" s="20" t="n">
        <v>-1019</v>
      </c>
    </row>
    <row r="243">
      <c r="A243" s="18" t="inlineStr">
        <is>
          <t>보조금 수입</t>
        </is>
      </c>
      <c r="Q243" s="20" t="n">
        <v>0</v>
      </c>
      <c r="R243" s="20" t="n">
        <v>-438</v>
      </c>
      <c r="S243" s="20" t="n">
        <v>0</v>
      </c>
    </row>
    <row r="244">
      <c r="A244" s="18" t="inlineStr">
        <is>
          <t>이자비용</t>
        </is>
      </c>
      <c r="E244" s="20" t="n">
        <v>992</v>
      </c>
      <c r="I244" s="20" t="n">
        <v>803</v>
      </c>
      <c r="M244" s="20" t="n">
        <v>926</v>
      </c>
      <c r="O244" s="20" t="n">
        <v>1218</v>
      </c>
      <c r="P244" s="20" t="n">
        <v>958</v>
      </c>
      <c r="Q244" s="20" t="n">
        <v>876</v>
      </c>
      <c r="R244" s="20" t="n">
        <v>917</v>
      </c>
      <c r="S244" s="20" t="n">
        <v>812</v>
      </c>
      <c r="T244" s="20" t="n">
        <v>830</v>
      </c>
      <c r="U244" s="20" t="n">
        <v>1402</v>
      </c>
      <c r="V244" s="20" t="n">
        <v>992</v>
      </c>
      <c r="W244" s="20" t="n">
        <v>803</v>
      </c>
      <c r="X244" s="20" t="n">
        <v>926</v>
      </c>
    </row>
    <row r="245">
      <c r="A245" s="18" t="inlineStr">
        <is>
          <t>유형자산 폐기손실</t>
        </is>
      </c>
      <c r="E245" s="20" t="n">
        <v>400</v>
      </c>
      <c r="I245" s="20" t="n">
        <v>478</v>
      </c>
      <c r="M245" s="20" t="n">
        <v>392</v>
      </c>
      <c r="O245" s="20" t="n">
        <v>777</v>
      </c>
      <c r="P245" s="20" t="n">
        <v>723</v>
      </c>
      <c r="Q245" s="20" t="n">
        <v>287</v>
      </c>
      <c r="R245" s="20" t="n">
        <v>370</v>
      </c>
      <c r="S245" s="20" t="n">
        <v>352</v>
      </c>
      <c r="T245" s="20" t="n">
        <v>677</v>
      </c>
      <c r="U245" s="20" t="n">
        <v>222</v>
      </c>
      <c r="V245" s="20" t="n">
        <v>400</v>
      </c>
      <c r="W245" s="20" t="n">
        <v>478</v>
      </c>
      <c r="X245" s="20" t="n">
        <v>392</v>
      </c>
    </row>
    <row r="246">
      <c r="A246" s="18" t="inlineStr">
        <is>
          <t>투자유가증권 평가손익</t>
        </is>
      </c>
      <c r="O246" s="20" t="n">
        <v>230</v>
      </c>
      <c r="P246" s="20" t="n">
        <v>0</v>
      </c>
    </row>
    <row r="247">
      <c r="A247" s="18" t="inlineStr">
        <is>
          <t>지분법손익</t>
        </is>
      </c>
      <c r="E247" s="20" t="n">
        <v>150</v>
      </c>
      <c r="I247" s="20" t="n">
        <v>-179</v>
      </c>
      <c r="M247" s="20" t="n">
        <v>-122</v>
      </c>
      <c r="O247" s="20" t="n">
        <v>-461</v>
      </c>
      <c r="P247" s="20" t="n">
        <v>-713</v>
      </c>
      <c r="Q247" s="20" t="n">
        <v>-17</v>
      </c>
      <c r="R247" s="20" t="n">
        <v>143</v>
      </c>
      <c r="S247" s="20" t="n">
        <v>255</v>
      </c>
      <c r="T247" s="20" t="n">
        <v>-709</v>
      </c>
      <c r="U247" s="20" t="n">
        <v>-260</v>
      </c>
      <c r="V247" s="20" t="n">
        <v>150</v>
      </c>
      <c r="W247" s="20" t="n">
        <v>-179</v>
      </c>
      <c r="X247" s="20" t="n">
        <v>-122</v>
      </c>
    </row>
    <row r="248">
      <c r="A248" s="18" t="inlineStr">
        <is>
          <t>유형자산 매각손익</t>
        </is>
      </c>
      <c r="O248" s="20" t="n">
        <v>56</v>
      </c>
      <c r="P248" s="20" t="n">
        <v>-7</v>
      </c>
    </row>
    <row r="249">
      <c r="A249" s="18" t="inlineStr">
        <is>
          <t>관계회사 주식 청산손익</t>
        </is>
      </c>
      <c r="Q249" s="20" t="n">
        <v>0</v>
      </c>
      <c r="R249" s="20" t="n">
        <v>-623</v>
      </c>
      <c r="S249" s="20" t="n">
        <v>0</v>
      </c>
    </row>
    <row r="250">
      <c r="A250" s="18" t="inlineStr">
        <is>
          <t>파생상품 평가손익</t>
        </is>
      </c>
      <c r="E250" s="20" t="n">
        <v>665</v>
      </c>
      <c r="I250" s="20" t="n">
        <v>-719</v>
      </c>
      <c r="M250" s="20" t="n">
        <v>153</v>
      </c>
      <c r="U250" s="20" t="n">
        <v>40</v>
      </c>
      <c r="V250" s="20" t="n">
        <v>665</v>
      </c>
      <c r="W250" s="20" t="n">
        <v>-719</v>
      </c>
      <c r="X250" s="20" t="n">
        <v>153</v>
      </c>
    </row>
    <row r="251">
      <c r="A251" s="18" t="inlineStr">
        <is>
          <t>투자유가증권 매각손익</t>
        </is>
      </c>
      <c r="E251" s="20" t="n">
        <v>-4</v>
      </c>
      <c r="I251" s="20" t="n">
        <v>-1581</v>
      </c>
      <c r="M251" s="20" t="n">
        <v>0</v>
      </c>
      <c r="T251" s="20" t="n">
        <v>-99</v>
      </c>
      <c r="U251" s="20" t="n">
        <v>-1607</v>
      </c>
      <c r="V251" s="20" t="n">
        <v>-4</v>
      </c>
      <c r="W251" s="20" t="n">
        <v>-1581</v>
      </c>
      <c r="X251" s="20" t="n">
        <v>0</v>
      </c>
    </row>
    <row r="252">
      <c r="A252" s="18" t="inlineStr">
        <is>
          <t>관계회사 출자금 매각손익</t>
        </is>
      </c>
      <c r="S252" s="20" t="n">
        <v>0</v>
      </c>
      <c r="T252" s="20" t="n">
        <v>1122</v>
      </c>
      <c r="U252" s="20" t="n">
        <v>0</v>
      </c>
    </row>
    <row r="253">
      <c r="A253" s="18" t="inlineStr">
        <is>
          <t>관계회사 청산손익</t>
        </is>
      </c>
      <c r="I253" s="20" t="n">
        <v>0</v>
      </c>
      <c r="M253" s="20" t="n">
        <v>-550</v>
      </c>
      <c r="W253" s="20" t="n">
        <v>0</v>
      </c>
      <c r="X253" s="20" t="n">
        <v>-550</v>
      </c>
    </row>
    <row r="254">
      <c r="A254" s="18" t="inlineStr">
        <is>
          <t>사업구조개선비용</t>
        </is>
      </c>
      <c r="E254" s="20" t="n">
        <v>0</v>
      </c>
      <c r="I254" s="20" t="n">
        <v>710</v>
      </c>
      <c r="M254" s="20" t="n">
        <v>494</v>
      </c>
      <c r="V254" s="20" t="n">
        <v>0</v>
      </c>
      <c r="W254" s="20" t="n">
        <v>710</v>
      </c>
      <c r="X254" s="20" t="n">
        <v>494</v>
      </c>
    </row>
    <row r="255">
      <c r="A255" s="18" t="inlineStr">
        <is>
          <t>사업재편 손실</t>
        </is>
      </c>
      <c r="E255" s="20" t="n">
        <v>0</v>
      </c>
      <c r="I255" s="20" t="n">
        <v>2619</v>
      </c>
      <c r="M255" s="20" t="n">
        <v>68</v>
      </c>
      <c r="V255" s="20" t="n">
        <v>0</v>
      </c>
      <c r="W255" s="20" t="n">
        <v>2619</v>
      </c>
      <c r="X255" s="20" t="n">
        <v>68</v>
      </c>
    </row>
    <row r="256">
      <c r="A256" s="18" t="inlineStr">
        <is>
          <t>매출채권 증감</t>
        </is>
      </c>
      <c r="E256" s="20" t="n">
        <v>18562</v>
      </c>
      <c r="I256" s="20" t="n">
        <v>-1942</v>
      </c>
      <c r="M256" s="20" t="n">
        <v>5351</v>
      </c>
      <c r="O256" s="20" t="n">
        <v>-6002</v>
      </c>
      <c r="P256" s="20" t="n">
        <v>-10808</v>
      </c>
      <c r="Q256" s="20" t="n">
        <v>1618</v>
      </c>
      <c r="R256" s="20" t="n">
        <v>-2695</v>
      </c>
      <c r="S256" s="20" t="n">
        <v>-17663</v>
      </c>
      <c r="T256" s="20" t="n">
        <v>3579</v>
      </c>
      <c r="U256" s="20" t="n">
        <v>-8664</v>
      </c>
      <c r="V256" s="20" t="n">
        <v>18562</v>
      </c>
      <c r="W256" s="20" t="n">
        <v>-1942</v>
      </c>
      <c r="X256" s="20" t="n">
        <v>5351</v>
      </c>
    </row>
    <row r="257">
      <c r="A257" s="18" t="inlineStr">
        <is>
          <t>재고자산 증감</t>
        </is>
      </c>
      <c r="E257" s="20" t="n">
        <v>2853</v>
      </c>
      <c r="I257" s="20" t="n">
        <v>-1492</v>
      </c>
      <c r="M257" s="20" t="n">
        <v>2471</v>
      </c>
      <c r="O257" s="20" t="n">
        <v>-1168</v>
      </c>
      <c r="P257" s="20" t="n">
        <v>-2021</v>
      </c>
      <c r="Q257" s="20" t="n">
        <v>-1285</v>
      </c>
      <c r="R257" s="20" t="n">
        <v>-2737</v>
      </c>
      <c r="S257" s="20" t="n">
        <v>-4891</v>
      </c>
      <c r="T257" s="20" t="n">
        <v>-319</v>
      </c>
      <c r="U257" s="20" t="n">
        <v>772</v>
      </c>
      <c r="V257" s="20" t="n">
        <v>2853</v>
      </c>
      <c r="W257" s="20" t="n">
        <v>-1492</v>
      </c>
      <c r="X257" s="20" t="n">
        <v>2471</v>
      </c>
    </row>
    <row r="258">
      <c r="A258" s="18" t="inlineStr">
        <is>
          <t>매입채무 증감</t>
        </is>
      </c>
      <c r="E258" s="20" t="n">
        <v>-19413</v>
      </c>
      <c r="I258" s="20" t="n">
        <v>-1655</v>
      </c>
      <c r="M258" s="20" t="n">
        <v>-8453</v>
      </c>
      <c r="O258" s="20" t="n">
        <v>1248</v>
      </c>
      <c r="P258" s="20" t="n">
        <v>6906</v>
      </c>
      <c r="Q258" s="20" t="n">
        <v>-4992</v>
      </c>
      <c r="R258" s="20" t="n">
        <v>2688</v>
      </c>
      <c r="S258" s="20" t="n">
        <v>13903</v>
      </c>
      <c r="T258" s="20" t="n">
        <v>3481</v>
      </c>
      <c r="U258" s="20" t="n">
        <v>21188</v>
      </c>
      <c r="V258" s="20" t="n">
        <v>-19413</v>
      </c>
      <c r="W258" s="20" t="n">
        <v>-1655</v>
      </c>
      <c r="X258" s="20" t="n">
        <v>-8453</v>
      </c>
    </row>
    <row r="259">
      <c r="A259" s="18" t="inlineStr">
        <is>
          <t>미지급 소비세 증감</t>
        </is>
      </c>
      <c r="E259" s="20" t="n">
        <v>243</v>
      </c>
      <c r="I259" s="20" t="n">
        <v>-1214</v>
      </c>
      <c r="M259" s="20" t="n">
        <v>448</v>
      </c>
      <c r="O259" s="20" t="n">
        <v>110</v>
      </c>
      <c r="P259" s="20" t="n">
        <v>-41</v>
      </c>
      <c r="Q259" s="20" t="n">
        <v>358</v>
      </c>
      <c r="R259" s="20" t="n">
        <v>1118</v>
      </c>
      <c r="S259" s="20" t="n">
        <v>355</v>
      </c>
      <c r="T259" s="20" t="n">
        <v>-895</v>
      </c>
      <c r="U259" s="20" t="n">
        <v>-455</v>
      </c>
      <c r="V259" s="20" t="n">
        <v>243</v>
      </c>
      <c r="W259" s="20" t="n">
        <v>-1214</v>
      </c>
      <c r="X259" s="20" t="n">
        <v>448</v>
      </c>
    </row>
    <row r="260">
      <c r="A260" s="18" t="inlineStr">
        <is>
          <t>기타 유동부채 증감</t>
        </is>
      </c>
      <c r="E260" s="20" t="n">
        <v>4400</v>
      </c>
      <c r="I260" s="20" t="n">
        <v>-3924</v>
      </c>
      <c r="M260" s="20" t="n">
        <v>4544</v>
      </c>
      <c r="U260" s="20" t="n">
        <v>-639</v>
      </c>
      <c r="V260" s="20" t="n">
        <v>4400</v>
      </c>
      <c r="W260" s="20" t="n">
        <v>-3924</v>
      </c>
      <c r="X260" s="20" t="n">
        <v>4544</v>
      </c>
    </row>
    <row r="261">
      <c r="A261" s="18" t="inlineStr">
        <is>
          <t>기타</t>
        </is>
      </c>
      <c r="E261" s="20" t="n">
        <v>900</v>
      </c>
      <c r="I261" s="20" t="n">
        <v>-509</v>
      </c>
      <c r="M261" s="20" t="n">
        <v>-4445</v>
      </c>
      <c r="O261" s="20" t="n">
        <v>3408</v>
      </c>
      <c r="P261" s="20" t="n">
        <v>-636</v>
      </c>
      <c r="Q261" s="20" t="n">
        <v>752</v>
      </c>
      <c r="R261" s="20" t="n">
        <v>1912</v>
      </c>
      <c r="S261" s="20" t="n">
        <v>604</v>
      </c>
      <c r="T261" s="20" t="n">
        <v>-513</v>
      </c>
      <c r="U261" s="20" t="n">
        <v>236</v>
      </c>
      <c r="V261" s="20" t="n">
        <v>900</v>
      </c>
      <c r="W261" s="20" t="n">
        <v>-509</v>
      </c>
      <c r="X261" s="20" t="n">
        <v>-4445</v>
      </c>
    </row>
    <row r="262">
      <c r="A262" s="18" t="inlineStr">
        <is>
          <t>소계</t>
        </is>
      </c>
      <c r="E262" s="20" t="n">
        <v>58840</v>
      </c>
      <c r="I262" s="20" t="n">
        <v>29411</v>
      </c>
      <c r="M262" s="20" t="n">
        <v>44592</v>
      </c>
      <c r="O262" s="20" t="n">
        <v>27323</v>
      </c>
      <c r="P262" s="20" t="n">
        <v>26236</v>
      </c>
      <c r="Q262" s="20" t="n">
        <v>26830</v>
      </c>
      <c r="R262" s="20" t="n">
        <v>34937</v>
      </c>
      <c r="S262" s="20" t="n">
        <v>25164</v>
      </c>
      <c r="T262" s="20" t="n">
        <v>38023</v>
      </c>
      <c r="U262" s="20" t="n">
        <v>50716</v>
      </c>
      <c r="V262" s="20" t="n">
        <v>58840</v>
      </c>
      <c r="W262" s="20" t="n">
        <v>29411</v>
      </c>
      <c r="X262" s="20" t="n">
        <v>44592</v>
      </c>
    </row>
    <row r="263">
      <c r="A263" s="18" t="inlineStr">
        <is>
          <t>이자·배당금 수취</t>
        </is>
      </c>
      <c r="E263" s="20" t="n">
        <v>1250</v>
      </c>
      <c r="I263" s="20" t="n">
        <v>1211</v>
      </c>
      <c r="M263" s="20" t="n">
        <v>1120</v>
      </c>
      <c r="O263" s="20" t="n">
        <v>630</v>
      </c>
      <c r="P263" s="20" t="n">
        <v>1203</v>
      </c>
      <c r="Q263" s="20" t="n">
        <v>618</v>
      </c>
      <c r="R263" s="20" t="n">
        <v>532</v>
      </c>
      <c r="S263" s="20" t="n">
        <v>424</v>
      </c>
      <c r="T263" s="20" t="n">
        <v>1272</v>
      </c>
      <c r="U263" s="20" t="n">
        <v>672</v>
      </c>
      <c r="V263" s="20" t="n">
        <v>1250</v>
      </c>
      <c r="W263" s="20" t="n">
        <v>1211</v>
      </c>
      <c r="X263" s="20" t="n">
        <v>1120</v>
      </c>
    </row>
    <row r="264">
      <c r="A264" s="18" t="inlineStr">
        <is>
          <t>이자 지급</t>
        </is>
      </c>
      <c r="E264" s="20" t="n">
        <v>-1014</v>
      </c>
      <c r="I264" s="20" t="n">
        <v>-809</v>
      </c>
      <c r="M264" s="20" t="n">
        <v>-945</v>
      </c>
      <c r="O264" s="20" t="n">
        <v>-1227</v>
      </c>
      <c r="P264" s="20" t="n">
        <v>-1004</v>
      </c>
      <c r="Q264" s="20" t="n">
        <v>-862</v>
      </c>
      <c r="R264" s="20" t="n">
        <v>-908</v>
      </c>
      <c r="S264" s="20" t="n">
        <v>-818</v>
      </c>
      <c r="T264" s="20" t="n">
        <v>-820</v>
      </c>
      <c r="U264" s="20" t="n">
        <v>-1342</v>
      </c>
      <c r="V264" s="20" t="n">
        <v>-1014</v>
      </c>
      <c r="W264" s="20" t="n">
        <v>-809</v>
      </c>
      <c r="X264" s="20" t="n">
        <v>-945</v>
      </c>
    </row>
    <row r="265">
      <c r="A265" s="18" t="inlineStr">
        <is>
          <t>법인세 납부·환급</t>
        </is>
      </c>
      <c r="E265" s="20" t="n">
        <v>-1705</v>
      </c>
      <c r="I265" s="20" t="n">
        <v>-2234</v>
      </c>
      <c r="M265" s="20" t="n">
        <v>-5617</v>
      </c>
      <c r="O265" s="20" t="n">
        <v>-548</v>
      </c>
      <c r="P265" s="20" t="n">
        <v>-1475</v>
      </c>
      <c r="Q265" s="20" t="n">
        <v>-1174</v>
      </c>
      <c r="R265" s="20" t="n">
        <v>-759</v>
      </c>
      <c r="S265" s="20" t="n">
        <v>-2198</v>
      </c>
      <c r="T265" s="20" t="n">
        <v>-3007</v>
      </c>
      <c r="U265" s="20" t="n">
        <v>-2303</v>
      </c>
      <c r="V265" s="20" t="n">
        <v>-1705</v>
      </c>
      <c r="W265" s="20" t="n">
        <v>-2234</v>
      </c>
      <c r="X265" s="20" t="n">
        <v>-5617</v>
      </c>
    </row>
    <row r="266">
      <c r="A266" s="18" t="inlineStr">
        <is>
          <t>보조금 수취</t>
        </is>
      </c>
      <c r="Q266" s="20" t="n">
        <v>0</v>
      </c>
      <c r="R266" s="20" t="n">
        <v>219</v>
      </c>
      <c r="S266" s="20" t="n">
        <v>219</v>
      </c>
      <c r="T266" s="20" t="n">
        <v>0</v>
      </c>
    </row>
    <row r="267">
      <c r="A267" s="18" t="inlineStr">
        <is>
          <t>사업구조개선 비용 지급액</t>
        </is>
      </c>
      <c r="E267" s="20" t="n">
        <v>0</v>
      </c>
      <c r="I267" s="20" t="n">
        <v>-710</v>
      </c>
      <c r="M267" s="20" t="n">
        <v>-325</v>
      </c>
      <c r="V267" s="20" t="n">
        <v>0</v>
      </c>
      <c r="W267" s="20" t="n">
        <v>-710</v>
      </c>
      <c r="X267" s="20" t="n">
        <v>-325</v>
      </c>
    </row>
    <row r="268">
      <c r="A268" s="18" t="inlineStr">
        <is>
          <t>사업재편 손실 지급액</t>
        </is>
      </c>
      <c r="E268" s="20" t="n">
        <v>0</v>
      </c>
      <c r="I268" s="20" t="n">
        <v>-2084</v>
      </c>
      <c r="M268" s="20" t="n">
        <v>-180</v>
      </c>
      <c r="V268" s="20" t="n">
        <v>0</v>
      </c>
      <c r="W268" s="20" t="n">
        <v>-2084</v>
      </c>
      <c r="X268" s="20" t="n">
        <v>-180</v>
      </c>
    </row>
    <row r="269">
      <c r="A269" s="9" t="inlineStr">
        <is>
          <t>영업활동 현금흐름</t>
        </is>
      </c>
      <c r="E269" s="12" t="n">
        <v>57370</v>
      </c>
      <c r="I269" s="12" t="n">
        <v>24785</v>
      </c>
      <c r="M269" s="12" t="n">
        <v>38644</v>
      </c>
      <c r="O269" s="12" t="n">
        <v>26178</v>
      </c>
      <c r="P269" s="12" t="n">
        <v>24960</v>
      </c>
      <c r="Q269" s="12" t="n">
        <v>25410</v>
      </c>
      <c r="R269" s="12" t="n">
        <v>34020</v>
      </c>
      <c r="S269" s="12" t="n">
        <v>22792</v>
      </c>
      <c r="T269" s="12" t="n">
        <v>35468</v>
      </c>
      <c r="U269" s="12" t="n">
        <v>47743</v>
      </c>
      <c r="V269" s="12" t="n">
        <v>57370</v>
      </c>
      <c r="W269" s="12" t="n">
        <v>24785</v>
      </c>
      <c r="X269" s="12" t="n">
        <v>38644</v>
      </c>
    </row>
    <row r="270">
      <c r="A270" s="18" t="inlineStr">
        <is>
          <t>정기예금 예입</t>
        </is>
      </c>
      <c r="E270" s="20" t="n">
        <v>-723</v>
      </c>
      <c r="I270" s="20" t="n">
        <v>-450</v>
      </c>
      <c r="M270" s="20" t="n">
        <v>-1165</v>
      </c>
      <c r="O270" s="20" t="n">
        <v>-7713</v>
      </c>
      <c r="P270" s="20" t="n">
        <v>-5298</v>
      </c>
      <c r="Q270" s="20" t="n">
        <v>-4230</v>
      </c>
      <c r="R270" s="20" t="n">
        <v>-5</v>
      </c>
      <c r="S270" s="20" t="n">
        <v>-2</v>
      </c>
      <c r="T270" s="20" t="n">
        <v>0</v>
      </c>
      <c r="U270" s="20" t="n">
        <v>0</v>
      </c>
      <c r="V270" s="20" t="n">
        <v>-723</v>
      </c>
      <c r="W270" s="20" t="n">
        <v>-450</v>
      </c>
      <c r="X270" s="20" t="n">
        <v>-1165</v>
      </c>
    </row>
    <row r="271">
      <c r="A271" s="18" t="inlineStr">
        <is>
          <t>정기예금 인출</t>
        </is>
      </c>
      <c r="I271" s="20" t="n">
        <v>743</v>
      </c>
      <c r="M271" s="20" t="n">
        <v>428</v>
      </c>
      <c r="O271" s="20" t="n">
        <v>6976</v>
      </c>
      <c r="P271" s="20" t="n">
        <v>7556</v>
      </c>
      <c r="Q271" s="20" t="n">
        <v>5612</v>
      </c>
      <c r="R271" s="20" t="n">
        <v>501</v>
      </c>
      <c r="S271" s="20" t="n">
        <v>2</v>
      </c>
      <c r="T271" s="20" t="n">
        <v>2</v>
      </c>
      <c r="W271" s="20" t="n">
        <v>743</v>
      </c>
      <c r="X271" s="20" t="n">
        <v>428</v>
      </c>
    </row>
    <row r="272">
      <c r="A272" s="18" t="inlineStr">
        <is>
          <t>유형자산 취득(설비투자)</t>
        </is>
      </c>
      <c r="E272" s="20" t="n">
        <v>-14917</v>
      </c>
      <c r="I272" s="20" t="n">
        <v>-24733</v>
      </c>
      <c r="M272" s="20" t="n">
        <v>-27183</v>
      </c>
      <c r="O272" s="20" t="n">
        <v>-21128</v>
      </c>
      <c r="P272" s="20" t="n">
        <v>-30438</v>
      </c>
      <c r="Q272" s="20" t="n">
        <v>-33076</v>
      </c>
      <c r="R272" s="20" t="n">
        <v>-26598</v>
      </c>
      <c r="S272" s="20" t="n">
        <v>-24654</v>
      </c>
      <c r="T272" s="20" t="n">
        <v>-34622</v>
      </c>
      <c r="U272" s="20" t="n">
        <v>-24179</v>
      </c>
      <c r="V272" s="20" t="n">
        <v>-14917</v>
      </c>
      <c r="W272" s="20" t="n">
        <v>-24733</v>
      </c>
      <c r="X272" s="20" t="n">
        <v>-27183</v>
      </c>
    </row>
    <row r="273">
      <c r="A273" s="18" t="inlineStr">
        <is>
          <t>유형자산 매각</t>
        </is>
      </c>
      <c r="E273" s="20" t="n">
        <v>219</v>
      </c>
      <c r="I273" s="20" t="n">
        <v>90</v>
      </c>
      <c r="M273" s="20" t="n">
        <v>2275</v>
      </c>
      <c r="O273" s="20" t="n">
        <v>731</v>
      </c>
      <c r="P273" s="20" t="n">
        <v>196</v>
      </c>
      <c r="Q273" s="20" t="n">
        <v>196</v>
      </c>
      <c r="R273" s="20" t="n">
        <v>93</v>
      </c>
      <c r="S273" s="20" t="n">
        <v>234</v>
      </c>
      <c r="T273" s="20" t="n">
        <v>246</v>
      </c>
      <c r="U273" s="20" t="n">
        <v>81</v>
      </c>
      <c r="V273" s="20" t="n">
        <v>219</v>
      </c>
      <c r="W273" s="20" t="n">
        <v>90</v>
      </c>
      <c r="X273" s="20" t="n">
        <v>2275</v>
      </c>
    </row>
    <row r="274">
      <c r="A274" s="18" t="inlineStr">
        <is>
          <t>무형자산 취득</t>
        </is>
      </c>
      <c r="E274" s="20" t="n">
        <v>-805</v>
      </c>
      <c r="I274" s="20" t="n">
        <v>-699</v>
      </c>
      <c r="M274" s="20" t="n">
        <v>-717</v>
      </c>
      <c r="T274" s="20" t="n">
        <v>-1100</v>
      </c>
      <c r="U274" s="20" t="n">
        <v>-621</v>
      </c>
      <c r="V274" s="20" t="n">
        <v>-805</v>
      </c>
      <c r="W274" s="20" t="n">
        <v>-699</v>
      </c>
      <c r="X274" s="20" t="n">
        <v>-717</v>
      </c>
    </row>
    <row r="275">
      <c r="A275" s="18" t="inlineStr">
        <is>
          <t>투자유가증권 매각·상환 수입</t>
        </is>
      </c>
      <c r="E275" s="20" t="n">
        <v>13</v>
      </c>
      <c r="I275" s="20" t="n">
        <v>1861</v>
      </c>
      <c r="M275" s="20" t="n">
        <v>0</v>
      </c>
      <c r="O275" s="20" t="n">
        <v>12</v>
      </c>
      <c r="P275" s="20" t="n">
        <v>2000</v>
      </c>
      <c r="Q275" s="20" t="n">
        <v>368</v>
      </c>
      <c r="R275" s="20" t="n">
        <v>2</v>
      </c>
      <c r="S275" s="20" t="n">
        <v>0</v>
      </c>
      <c r="T275" s="20" t="n">
        <v>135</v>
      </c>
      <c r="U275" s="20" t="n">
        <v>2400</v>
      </c>
      <c r="V275" s="20" t="n">
        <v>13</v>
      </c>
      <c r="W275" s="20" t="n">
        <v>1861</v>
      </c>
      <c r="X275" s="20" t="n">
        <v>0</v>
      </c>
    </row>
    <row r="276">
      <c r="A276" s="18" t="inlineStr">
        <is>
          <t>대여</t>
        </is>
      </c>
      <c r="O276" s="20" t="n">
        <v>-50</v>
      </c>
      <c r="P276" s="20" t="n">
        <v>-43</v>
      </c>
    </row>
    <row r="277">
      <c r="A277" s="18" t="inlineStr">
        <is>
          <t>대여금 회수</t>
        </is>
      </c>
      <c r="O277" s="20" t="n">
        <v>76</v>
      </c>
      <c r="P277" s="20" t="n">
        <v>67</v>
      </c>
    </row>
    <row r="278">
      <c r="A278" s="18" t="inlineStr">
        <is>
          <t>연결범위 변경 자회사 주식 매각(지출)</t>
        </is>
      </c>
      <c r="O278" s="20" t="n">
        <v>0</v>
      </c>
      <c r="P278" s="20" t="n">
        <v>-934</v>
      </c>
    </row>
    <row r="279">
      <c r="A279" s="18" t="inlineStr">
        <is>
          <t>연결범위 변경 관계회사 출자금 매각 지출</t>
        </is>
      </c>
      <c r="P279" s="20" t="n">
        <v>-934</v>
      </c>
      <c r="Q279" s="20" t="n">
        <v>0</v>
      </c>
      <c r="S279" s="20" t="n">
        <v>0</v>
      </c>
      <c r="T279" s="20" t="n">
        <v>-231</v>
      </c>
      <c r="U279" s="20" t="n">
        <v>0</v>
      </c>
    </row>
    <row r="280">
      <c r="A280" s="18" t="inlineStr">
        <is>
          <t>연결 제외에 따른 현금성자산 증감액</t>
        </is>
      </c>
      <c r="I280" s="20" t="n">
        <v>0</v>
      </c>
      <c r="M280" s="20" t="n">
        <v>-168</v>
      </c>
      <c r="W280" s="20" t="n">
        <v>0</v>
      </c>
      <c r="X280" s="20" t="n">
        <v>-168</v>
      </c>
    </row>
    <row r="281">
      <c r="A281" s="18" t="inlineStr">
        <is>
          <t>기타</t>
        </is>
      </c>
      <c r="E281" s="20" t="n">
        <v>4</v>
      </c>
      <c r="I281" s="20" t="n">
        <v>-2</v>
      </c>
      <c r="M281" s="20" t="n">
        <v>-2</v>
      </c>
      <c r="O281" s="20" t="n">
        <v>193</v>
      </c>
      <c r="P281" s="20" t="n">
        <v>-164</v>
      </c>
      <c r="Q281" s="20" t="n">
        <v>168</v>
      </c>
      <c r="R281" s="20" t="n">
        <v>-437</v>
      </c>
      <c r="S281" s="20" t="n">
        <v>-252</v>
      </c>
      <c r="T281" s="20" t="n">
        <v>25</v>
      </c>
      <c r="U281" s="20" t="n">
        <v>12</v>
      </c>
      <c r="V281" s="20" t="n">
        <v>4</v>
      </c>
      <c r="W281" s="20" t="n">
        <v>-2</v>
      </c>
      <c r="X281" s="20" t="n">
        <v>-2</v>
      </c>
    </row>
    <row r="282">
      <c r="A282" s="9" t="inlineStr">
        <is>
          <t>투자활동 현금흐름</t>
        </is>
      </c>
      <c r="E282" s="12" t="n">
        <v>-16208</v>
      </c>
      <c r="I282" s="12" t="n">
        <v>-23190</v>
      </c>
      <c r="M282" s="12" t="n">
        <v>-26532</v>
      </c>
      <c r="O282" s="12" t="n">
        <v>-20902</v>
      </c>
      <c r="P282" s="12" t="n">
        <v>-27081</v>
      </c>
      <c r="Q282" s="12" t="n">
        <v>-30961</v>
      </c>
      <c r="R282" s="12" t="n">
        <v>-26443</v>
      </c>
      <c r="S282" s="12" t="n">
        <v>-24672</v>
      </c>
      <c r="T282" s="12" t="n">
        <v>-35547</v>
      </c>
      <c r="U282" s="12" t="n">
        <v>-22307</v>
      </c>
      <c r="V282" s="12" t="n">
        <v>-16208</v>
      </c>
      <c r="W282" s="12" t="n">
        <v>-23190</v>
      </c>
      <c r="X282" s="12" t="n">
        <v>-26532</v>
      </c>
    </row>
    <row r="283">
      <c r="A283" s="18" t="inlineStr">
        <is>
          <t>단기차입금 순증감</t>
        </is>
      </c>
      <c r="E283" s="20" t="n">
        <v>-9206</v>
      </c>
      <c r="I283" s="20" t="n">
        <v>5832</v>
      </c>
      <c r="M283" s="20" t="n">
        <v>2260</v>
      </c>
      <c r="O283" s="20" t="n">
        <v>3103</v>
      </c>
      <c r="P283" s="20" t="n">
        <v>-3631</v>
      </c>
      <c r="Q283" s="20" t="n">
        <v>-3114</v>
      </c>
      <c r="R283" s="20" t="n">
        <v>-3730</v>
      </c>
      <c r="S283" s="20" t="n">
        <v>3244</v>
      </c>
      <c r="T283" s="20" t="n">
        <v>1553</v>
      </c>
      <c r="U283" s="20" t="n">
        <v>-7468</v>
      </c>
      <c r="V283" s="20" t="n">
        <v>-9206</v>
      </c>
      <c r="W283" s="20" t="n">
        <v>5832</v>
      </c>
      <c r="X283" s="20" t="n">
        <v>2260</v>
      </c>
    </row>
    <row r="284">
      <c r="A284" s="18" t="inlineStr">
        <is>
          <t>장기차입</t>
        </is>
      </c>
      <c r="E284" s="20" t="n">
        <v>0</v>
      </c>
      <c r="I284" s="20" t="n">
        <v>0</v>
      </c>
      <c r="M284" s="20" t="n">
        <v>10000</v>
      </c>
      <c r="O284" s="20" t="n">
        <v>13270</v>
      </c>
      <c r="P284" s="20" t="n">
        <v>20200</v>
      </c>
      <c r="Q284" s="20" t="n">
        <v>7117</v>
      </c>
      <c r="R284" s="20" t="n">
        <v>10158</v>
      </c>
      <c r="S284" s="20" t="n">
        <v>14225</v>
      </c>
      <c r="T284" s="20" t="n">
        <v>21452</v>
      </c>
      <c r="U284" s="20" t="n">
        <v>15064</v>
      </c>
      <c r="V284" s="20" t="n">
        <v>0</v>
      </c>
      <c r="W284" s="20" t="n">
        <v>0</v>
      </c>
      <c r="X284" s="20" t="n">
        <v>10000</v>
      </c>
    </row>
    <row r="285">
      <c r="A285" s="18" t="inlineStr">
        <is>
          <t>장기차입금 상환</t>
        </is>
      </c>
      <c r="E285" s="20" t="n">
        <v>-8926</v>
      </c>
      <c r="I285" s="20" t="n">
        <v>-11812</v>
      </c>
      <c r="M285" s="20" t="n">
        <v>-13611</v>
      </c>
      <c r="O285" s="20" t="n">
        <v>-14416</v>
      </c>
      <c r="P285" s="20" t="n">
        <v>-17999</v>
      </c>
      <c r="Q285" s="20" t="n">
        <v>-12544</v>
      </c>
      <c r="R285" s="20" t="n">
        <v>-9586</v>
      </c>
      <c r="S285" s="20" t="n">
        <v>-13542</v>
      </c>
      <c r="T285" s="20" t="n">
        <v>-15249</v>
      </c>
      <c r="U285" s="20" t="n">
        <v>-26892</v>
      </c>
      <c r="V285" s="20" t="n">
        <v>-8926</v>
      </c>
      <c r="W285" s="20" t="n">
        <v>-11812</v>
      </c>
      <c r="X285" s="20" t="n">
        <v>-13611</v>
      </c>
    </row>
    <row r="286">
      <c r="A286" s="18" t="inlineStr">
        <is>
          <t>리스부채 상환</t>
        </is>
      </c>
      <c r="E286" s="20" t="n">
        <v>-515</v>
      </c>
      <c r="I286" s="20" t="n">
        <v>-660</v>
      </c>
      <c r="M286" s="20" t="n">
        <v>-626</v>
      </c>
      <c r="O286" s="20" t="n">
        <v>-6864</v>
      </c>
      <c r="P286" s="20" t="n">
        <v>-1668</v>
      </c>
      <c r="Q286" s="20" t="n">
        <v>-54</v>
      </c>
      <c r="R286" s="20" t="n">
        <v>-538</v>
      </c>
      <c r="S286" s="20" t="n">
        <v>-565</v>
      </c>
      <c r="T286" s="20" t="n">
        <v>-458</v>
      </c>
      <c r="U286" s="20" t="n">
        <v>-766</v>
      </c>
      <c r="V286" s="20" t="n">
        <v>-515</v>
      </c>
      <c r="W286" s="20" t="n">
        <v>-660</v>
      </c>
      <c r="X286" s="20" t="n">
        <v>-626</v>
      </c>
    </row>
    <row r="287">
      <c r="A287" s="18" t="inlineStr">
        <is>
          <t>주식 발행</t>
        </is>
      </c>
      <c r="O287" s="20" t="n">
        <v>9999</v>
      </c>
      <c r="P287" s="20" t="n">
        <v>0</v>
      </c>
    </row>
    <row r="288">
      <c r="A288" s="18" t="inlineStr">
        <is>
          <t>사채 발행</t>
        </is>
      </c>
      <c r="P288" s="20" t="n">
        <v>0</v>
      </c>
      <c r="Q288" s="20" t="n">
        <v>12000</v>
      </c>
      <c r="R288" s="20" t="n">
        <v>0</v>
      </c>
    </row>
    <row r="289">
      <c r="A289" s="18" t="inlineStr">
        <is>
          <t>사채 상환</t>
        </is>
      </c>
      <c r="E289" s="20" t="n">
        <v>-6000</v>
      </c>
      <c r="I289" s="20" t="n">
        <v>0</v>
      </c>
      <c r="U289" s="20" t="n">
        <v>0</v>
      </c>
      <c r="V289" s="20" t="n">
        <v>-6000</v>
      </c>
      <c r="W289" s="20" t="n">
        <v>0</v>
      </c>
    </row>
    <row r="290">
      <c r="A290" s="18" t="inlineStr">
        <is>
          <t>배당금 지급</t>
        </is>
      </c>
      <c r="E290" s="20" t="n">
        <v>-2676</v>
      </c>
      <c r="I290" s="20" t="n">
        <v>-3309</v>
      </c>
      <c r="M290" s="20" t="n">
        <v>-3665</v>
      </c>
      <c r="O290" s="20" t="n">
        <v>-209</v>
      </c>
      <c r="P290" s="20" t="n">
        <v>-268</v>
      </c>
      <c r="Q290" s="20" t="n">
        <v>-893</v>
      </c>
      <c r="R290" s="20" t="n">
        <v>-894</v>
      </c>
      <c r="S290" s="20" t="n">
        <v>-894</v>
      </c>
      <c r="T290" s="20" t="n">
        <v>-895</v>
      </c>
      <c r="U290" s="20" t="n">
        <v>-895</v>
      </c>
      <c r="V290" s="20" t="n">
        <v>-2676</v>
      </c>
      <c r="W290" s="20" t="n">
        <v>-3309</v>
      </c>
      <c r="X290" s="20" t="n">
        <v>-3665</v>
      </c>
    </row>
    <row r="291">
      <c r="A291" s="18" t="inlineStr">
        <is>
          <t>비지배주주 배당금 지급</t>
        </is>
      </c>
      <c r="E291" s="20" t="n">
        <v>-419</v>
      </c>
      <c r="I291" s="20" t="n">
        <v>-407</v>
      </c>
      <c r="M291" s="20" t="n">
        <v>-290</v>
      </c>
      <c r="O291" s="20" t="n">
        <v>-1760</v>
      </c>
      <c r="P291" s="20" t="n">
        <v>-2057</v>
      </c>
      <c r="Q291" s="20" t="n">
        <v>-981</v>
      </c>
      <c r="R291" s="20" t="n">
        <v>-979</v>
      </c>
      <c r="S291" s="20" t="n">
        <v>-828</v>
      </c>
      <c r="T291" s="20" t="n">
        <v>-429</v>
      </c>
      <c r="U291" s="20" t="n">
        <v>-980</v>
      </c>
      <c r="V291" s="20" t="n">
        <v>-419</v>
      </c>
      <c r="W291" s="20" t="n">
        <v>-407</v>
      </c>
      <c r="X291" s="20" t="n">
        <v>-290</v>
      </c>
    </row>
    <row r="292">
      <c r="A292" s="18" t="inlineStr">
        <is>
          <t>연결범위 변경 없는 자회사 주식 취득</t>
        </is>
      </c>
      <c r="O292" s="20" t="n">
        <v>0</v>
      </c>
      <c r="P292" s="20" t="n">
        <v>-963</v>
      </c>
      <c r="Q292" s="20" t="n">
        <v>0</v>
      </c>
    </row>
    <row r="293">
      <c r="A293" s="18" t="inlineStr">
        <is>
          <t>연결범위 변동 없는 자회사 주식 매각 수입</t>
        </is>
      </c>
      <c r="O293" s="20" t="n">
        <v>0</v>
      </c>
      <c r="P293" s="20" t="n">
        <v>87</v>
      </c>
      <c r="Q293" s="20" t="n">
        <v>0</v>
      </c>
    </row>
    <row r="294">
      <c r="A294" s="18" t="inlineStr">
        <is>
          <t>비지배주주 납입</t>
        </is>
      </c>
      <c r="O294" s="20" t="n">
        <v>139</v>
      </c>
      <c r="P294" s="20" t="n">
        <v>0</v>
      </c>
      <c r="R294" s="20" t="n">
        <v>0</v>
      </c>
      <c r="S294" s="20" t="n">
        <v>111</v>
      </c>
      <c r="T294" s="20" t="n">
        <v>0</v>
      </c>
    </row>
    <row r="295">
      <c r="A295" s="18" t="inlineStr">
        <is>
          <t>연결범위 변경 없는 관계회사 출자금 취득 지출</t>
        </is>
      </c>
      <c r="S295" s="20" t="n">
        <v>0</v>
      </c>
      <c r="T295" s="20" t="n">
        <v>-9393</v>
      </c>
      <c r="U295" s="20" t="n">
        <v>0</v>
      </c>
    </row>
    <row r="296">
      <c r="A296" s="18" t="inlineStr">
        <is>
          <t>기타</t>
        </is>
      </c>
      <c r="E296" s="20" t="n">
        <v>-0</v>
      </c>
      <c r="I296" s="20" t="n">
        <v>-3</v>
      </c>
      <c r="M296" s="20" t="n">
        <v>-418</v>
      </c>
      <c r="O296" s="20" t="n">
        <v>-0</v>
      </c>
      <c r="P296" s="20" t="n">
        <v>-1</v>
      </c>
      <c r="Q296" s="20" t="n">
        <v>-39</v>
      </c>
      <c r="R296" s="20" t="n">
        <v>-1</v>
      </c>
      <c r="S296" s="20" t="n">
        <v>-0</v>
      </c>
      <c r="T296" s="20" t="n">
        <v>-30</v>
      </c>
      <c r="U296" s="20" t="n">
        <v>-70</v>
      </c>
      <c r="V296" s="20" t="n">
        <v>-0</v>
      </c>
      <c r="W296" s="20" t="n">
        <v>-3</v>
      </c>
      <c r="X296" s="20" t="n">
        <v>-418</v>
      </c>
    </row>
    <row r="297">
      <c r="A297" s="9" t="inlineStr">
        <is>
          <t>재무활동 현금흐름</t>
        </is>
      </c>
      <c r="E297" s="12" t="n">
        <v>-27746</v>
      </c>
      <c r="I297" s="12" t="n">
        <v>-10360</v>
      </c>
      <c r="M297" s="12" t="n">
        <v>-6353</v>
      </c>
      <c r="O297" s="12" t="n">
        <v>3262</v>
      </c>
      <c r="P297" s="12" t="n">
        <v>-6304</v>
      </c>
      <c r="Q297" s="12" t="n">
        <v>1489</v>
      </c>
      <c r="R297" s="12" t="n">
        <v>-5572</v>
      </c>
      <c r="S297" s="12" t="n">
        <v>1750</v>
      </c>
      <c r="T297" s="12" t="n">
        <v>-3451</v>
      </c>
      <c r="U297" s="12" t="n">
        <v>-22009</v>
      </c>
      <c r="V297" s="12" t="n">
        <v>-27746</v>
      </c>
      <c r="W297" s="12" t="n">
        <v>-10360</v>
      </c>
      <c r="X297" s="12" t="n">
        <v>-6353</v>
      </c>
    </row>
    <row r="298">
      <c r="A298" s="18" t="inlineStr">
        <is>
          <t>현금성자산 환산차이</t>
        </is>
      </c>
      <c r="E298" s="20" t="n">
        <v>-449</v>
      </c>
      <c r="I298" s="20" t="n">
        <v>-2230</v>
      </c>
      <c r="M298" s="20" t="n">
        <v>1186</v>
      </c>
      <c r="O298" s="20" t="n">
        <v>-1078</v>
      </c>
      <c r="P298" s="20" t="n">
        <v>-194</v>
      </c>
      <c r="Q298" s="20" t="n">
        <v>-357</v>
      </c>
      <c r="R298" s="20" t="n">
        <v>-175</v>
      </c>
      <c r="S298" s="20" t="n">
        <v>282</v>
      </c>
      <c r="T298" s="20" t="n">
        <v>738</v>
      </c>
      <c r="U298" s="20" t="n">
        <v>174</v>
      </c>
      <c r="V298" s="20" t="n">
        <v>-449</v>
      </c>
      <c r="W298" s="20" t="n">
        <v>-2230</v>
      </c>
      <c r="X298" s="20" t="n">
        <v>1186</v>
      </c>
    </row>
    <row r="299">
      <c r="A299" s="18" t="inlineStr">
        <is>
          <t>현금성자산 증감</t>
        </is>
      </c>
      <c r="E299" s="20" t="n">
        <v>12966</v>
      </c>
      <c r="I299" s="20" t="n">
        <v>-10995</v>
      </c>
      <c r="M299" s="20" t="n">
        <v>6944</v>
      </c>
      <c r="O299" s="20" t="n">
        <v>7460</v>
      </c>
      <c r="P299" s="20" t="n">
        <v>-8620</v>
      </c>
      <c r="Q299" s="20" t="n">
        <v>-4419</v>
      </c>
      <c r="R299" s="20" t="n">
        <v>1828</v>
      </c>
      <c r="S299" s="20" t="n">
        <v>151</v>
      </c>
      <c r="T299" s="20" t="n">
        <v>-2791</v>
      </c>
      <c r="U299" s="20" t="n">
        <v>3600</v>
      </c>
      <c r="V299" s="20" t="n">
        <v>12966</v>
      </c>
      <c r="W299" s="20" t="n">
        <v>-10995</v>
      </c>
      <c r="X299" s="20" t="n">
        <v>6944</v>
      </c>
    </row>
    <row r="300">
      <c r="A300" s="18" t="inlineStr">
        <is>
          <t>연결자회사 결산기 변경에 따른 현금성자산 증감액</t>
        </is>
      </c>
      <c r="E300" s="20" t="n">
        <v>979</v>
      </c>
      <c r="I300" s="20" t="n">
        <v>0</v>
      </c>
      <c r="U300" s="20" t="n">
        <v>0</v>
      </c>
      <c r="V300" s="20" t="n">
        <v>979</v>
      </c>
      <c r="W300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4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7241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135035</v>
      </c>
      <c r="D5" s="12" t="n">
        <v>135670</v>
      </c>
      <c r="E5" s="12" t="n">
        <v>133154</v>
      </c>
      <c r="F5" s="12" t="n">
        <v>153298</v>
      </c>
      <c r="G5" s="12" t="n">
        <v>156489</v>
      </c>
      <c r="H5" s="11" t="n">
        <v>135367</v>
      </c>
      <c r="I5" s="12" t="n">
        <v>152191</v>
      </c>
      <c r="J5" s="12" t="n">
        <v>153518</v>
      </c>
      <c r="K5" s="12" t="n">
        <v>146439</v>
      </c>
      <c r="L5" s="12" t="n">
        <v>153298</v>
      </c>
    </row>
    <row r="6">
      <c r="A6" s="18" t="inlineStr">
        <is>
          <t>현금및현금성자산</t>
        </is>
      </c>
      <c r="B6" s="10" t="n"/>
      <c r="C6" s="19" t="n">
        <v>22753</v>
      </c>
      <c r="D6" s="20" t="n">
        <v>15103</v>
      </c>
      <c r="E6" s="20" t="n">
        <v>20548</v>
      </c>
      <c r="F6" s="20" t="n">
        <v>21384</v>
      </c>
      <c r="G6" s="20" t="n">
        <v>24547</v>
      </c>
      <c r="H6" s="19" t="n">
        <v>6734</v>
      </c>
      <c r="I6" s="20" t="n">
        <v>10335</v>
      </c>
      <c r="J6" s="20" t="n">
        <v>25029</v>
      </c>
      <c r="K6" s="20" t="n">
        <v>13719</v>
      </c>
      <c r="L6" s="20" t="n">
        <v>21384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69907</v>
      </c>
      <c r="D8" s="20" t="n">
        <v>75863</v>
      </c>
      <c r="E8" s="20" t="n">
        <v>66228</v>
      </c>
      <c r="F8" s="20" t="n">
        <v>83996</v>
      </c>
      <c r="G8" s="20" t="n">
        <v>83336</v>
      </c>
      <c r="H8" s="19" t="n">
        <v>89219</v>
      </c>
      <c r="I8" s="20" t="n">
        <v>100906</v>
      </c>
      <c r="J8" s="20" t="n">
        <v>89572</v>
      </c>
      <c r="K8" s="20" t="n">
        <v>87220</v>
      </c>
      <c r="L8" s="20" t="n">
        <v>83996</v>
      </c>
    </row>
    <row r="9">
      <c r="A9" s="18" t="inlineStr">
        <is>
          <t>재고자산</t>
        </is>
      </c>
      <c r="B9" s="10" t="n"/>
      <c r="C9" s="19" t="n">
        <v>29005</v>
      </c>
      <c r="D9" s="20" t="n">
        <v>30120</v>
      </c>
      <c r="E9" s="20" t="n">
        <v>31002</v>
      </c>
      <c r="F9" s="20" t="n">
        <v>29144</v>
      </c>
      <c r="G9" s="20" t="n">
        <v>31828</v>
      </c>
      <c r="H9" s="19" t="n">
        <v>30050</v>
      </c>
      <c r="I9" s="20" t="n">
        <v>30343</v>
      </c>
      <c r="J9" s="20" t="n">
        <v>29108</v>
      </c>
      <c r="K9" s="20" t="n">
        <v>30213</v>
      </c>
      <c r="L9" s="20" t="n">
        <v>29144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166714</v>
      </c>
      <c r="D11" s="12" t="n">
        <v>171339</v>
      </c>
      <c r="E11" s="12" t="n">
        <v>176935</v>
      </c>
      <c r="F11" s="12" t="n">
        <v>181034</v>
      </c>
      <c r="G11" s="12" t="n">
        <v>179106</v>
      </c>
      <c r="H11" s="11" t="n">
        <v>174120</v>
      </c>
      <c r="I11" s="12" t="n">
        <v>167576</v>
      </c>
      <c r="J11" s="12" t="n">
        <v>181262</v>
      </c>
      <c r="K11" s="12" t="n">
        <v>167473</v>
      </c>
      <c r="L11" s="12" t="n">
        <v>181034</v>
      </c>
    </row>
    <row r="12">
      <c r="A12" s="18" t="inlineStr">
        <is>
          <t>유형자산</t>
        </is>
      </c>
      <c r="B12" s="10" t="n"/>
      <c r="C12" s="19" t="n">
        <v>131519</v>
      </c>
      <c r="D12" s="20" t="n">
        <v>133914</v>
      </c>
      <c r="E12" s="20" t="n">
        <v>136868</v>
      </c>
      <c r="F12" s="20" t="n">
        <v>139048</v>
      </c>
      <c r="G12" s="20" t="n">
        <v>138156</v>
      </c>
      <c r="H12" s="19" t="n">
        <v>143416</v>
      </c>
      <c r="I12" s="20" t="n">
        <v>139235</v>
      </c>
      <c r="J12" s="20" t="n">
        <v>136167</v>
      </c>
      <c r="K12" s="20" t="n">
        <v>131454</v>
      </c>
      <c r="L12" s="20" t="n">
        <v>139048</v>
      </c>
    </row>
    <row r="13">
      <c r="A13" s="18" t="inlineStr">
        <is>
          <t>무형자산</t>
        </is>
      </c>
      <c r="B13" s="10" t="n"/>
      <c r="C13" s="19" t="n">
        <v>1836</v>
      </c>
      <c r="D13" s="20" t="n">
        <v>1787</v>
      </c>
      <c r="E13" s="20" t="n">
        <v>1781</v>
      </c>
      <c r="F13" s="20" t="n">
        <v>1947</v>
      </c>
      <c r="G13" s="20" t="n">
        <v>1902</v>
      </c>
      <c r="H13" s="19" t="n">
        <v>1592</v>
      </c>
      <c r="I13" s="20" t="n">
        <v>1660</v>
      </c>
      <c r="J13" s="20" t="n">
        <v>1896</v>
      </c>
      <c r="K13" s="20" t="n">
        <v>1929</v>
      </c>
      <c r="L13" s="20" t="n">
        <v>1947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301750</v>
      </c>
      <c r="D16" s="12" t="n">
        <v>307009</v>
      </c>
      <c r="E16" s="12" t="n">
        <v>310089</v>
      </c>
      <c r="F16" s="12" t="n">
        <v>334332</v>
      </c>
      <c r="G16" s="12" t="n">
        <v>335596</v>
      </c>
      <c r="H16" s="11" t="n">
        <v>309487</v>
      </c>
      <c r="I16" s="12" t="n">
        <v>319768</v>
      </c>
      <c r="J16" s="12" t="n">
        <v>334780</v>
      </c>
      <c r="K16" s="12" t="n">
        <v>313913</v>
      </c>
      <c r="L16" s="12" t="n">
        <v>334332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127374</v>
      </c>
      <c r="D18" s="12" t="n">
        <v>135693</v>
      </c>
      <c r="E18" s="12" t="n">
        <v>122332</v>
      </c>
      <c r="F18" s="12" t="n">
        <v>138249</v>
      </c>
      <c r="G18" s="12" t="n">
        <v>139160</v>
      </c>
      <c r="H18" s="11" t="n">
        <v>145067</v>
      </c>
      <c r="I18" s="12" t="n">
        <v>147787</v>
      </c>
      <c r="J18" s="12" t="n">
        <v>137926</v>
      </c>
      <c r="K18" s="12" t="n">
        <v>138070</v>
      </c>
      <c r="L18" s="12" t="n">
        <v>138249</v>
      </c>
    </row>
    <row r="19">
      <c r="A19" s="18" t="inlineStr">
        <is>
          <t>매입채무</t>
        </is>
      </c>
      <c r="B19" s="10" t="n"/>
      <c r="C19" s="19" t="n">
        <v>71511</v>
      </c>
      <c r="D19" s="20" t="n">
        <v>72015</v>
      </c>
      <c r="E19" s="20" t="n">
        <v>69190</v>
      </c>
      <c r="F19" s="20" t="n">
        <v>79552</v>
      </c>
      <c r="G19" s="20" t="n">
        <v>80276</v>
      </c>
      <c r="H19" s="19" t="n">
        <v>73832</v>
      </c>
      <c r="I19" s="20" t="n">
        <v>96153</v>
      </c>
      <c r="J19" s="20" t="n">
        <v>86135</v>
      </c>
      <c r="K19" s="20" t="n">
        <v>84743</v>
      </c>
      <c r="L19" s="20" t="n">
        <v>79552</v>
      </c>
    </row>
    <row r="20">
      <c r="A20" s="18" t="inlineStr">
        <is>
          <t>단기차입금</t>
        </is>
      </c>
      <c r="B20" s="10" t="n"/>
      <c r="C20" s="19" t="n">
        <v>11101</v>
      </c>
      <c r="D20" s="20" t="n">
        <v>6052</v>
      </c>
      <c r="E20" s="20" t="n">
        <v>8208</v>
      </c>
      <c r="F20" s="20" t="n">
        <v>9603</v>
      </c>
      <c r="G20" s="20" t="n">
        <v>8069</v>
      </c>
      <c r="H20" s="19" t="n">
        <v>16335</v>
      </c>
      <c r="I20" s="20" t="n">
        <v>9464</v>
      </c>
      <c r="J20" s="20" t="n">
        <v>1105</v>
      </c>
      <c r="K20" s="20" t="n">
        <v>6891</v>
      </c>
      <c r="L20" s="20" t="n">
        <v>9603</v>
      </c>
    </row>
    <row r="21">
      <c r="A21" s="18" t="inlineStr">
        <is>
          <t>유동성장기부채</t>
        </is>
      </c>
      <c r="B21" s="10" t="n"/>
      <c r="C21" s="19" t="n">
        <v>13479</v>
      </c>
      <c r="D21" s="20" t="n">
        <v>23077</v>
      </c>
      <c r="E21" s="20" t="n">
        <v>12758</v>
      </c>
      <c r="F21" s="20" t="n">
        <v>12096</v>
      </c>
      <c r="G21" s="20" t="n">
        <v>11223</v>
      </c>
      <c r="H21" s="19" t="n">
        <v>25920</v>
      </c>
      <c r="I21" s="20" t="n">
        <v>13581</v>
      </c>
      <c r="J21" s="20" t="n">
        <v>11773</v>
      </c>
      <c r="K21" s="20" t="n">
        <v>13514</v>
      </c>
      <c r="L21" s="20" t="n">
        <v>12096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51225</v>
      </c>
      <c r="D23" s="12" t="n">
        <v>41586</v>
      </c>
      <c r="E23" s="12" t="n">
        <v>50306</v>
      </c>
      <c r="F23" s="12" t="n">
        <v>50231</v>
      </c>
      <c r="G23" s="12" t="n">
        <v>49977</v>
      </c>
      <c r="H23" s="11" t="n">
        <v>74406</v>
      </c>
      <c r="I23" s="12" t="n">
        <v>72233</v>
      </c>
      <c r="J23" s="12" t="n">
        <v>65951</v>
      </c>
      <c r="K23" s="12" t="n">
        <v>52677</v>
      </c>
      <c r="L23" s="12" t="n">
        <v>50231</v>
      </c>
    </row>
    <row r="24">
      <c r="A24" s="18" t="inlineStr">
        <is>
          <t>장기차입금</t>
        </is>
      </c>
      <c r="B24" s="10" t="n"/>
      <c r="C24" s="19" t="n">
        <v>26401</v>
      </c>
      <c r="D24" s="20" t="n">
        <v>16262</v>
      </c>
      <c r="E24" s="20" t="n">
        <v>24010</v>
      </c>
      <c r="F24" s="20" t="n">
        <v>25952</v>
      </c>
      <c r="G24" s="20" t="n">
        <v>25871</v>
      </c>
      <c r="H24" s="19" t="n">
        <v>43022</v>
      </c>
      <c r="I24" s="20" t="n">
        <v>51818</v>
      </c>
      <c r="J24" s="20" t="n">
        <v>41137</v>
      </c>
      <c r="K24" s="20" t="n">
        <v>27500</v>
      </c>
      <c r="L24" s="20" t="n">
        <v>25952</v>
      </c>
    </row>
    <row r="25">
      <c r="A25" s="18" t="inlineStr">
        <is>
          <t>사채</t>
        </is>
      </c>
      <c r="B25" s="10" t="n"/>
      <c r="C25" s="19" t="n">
        <v>6000</v>
      </c>
      <c r="D25" s="20" t="n">
        <v>6000</v>
      </c>
      <c r="E25" s="20" t="n">
        <v>6000</v>
      </c>
      <c r="F25" s="20" t="n">
        <v>6000</v>
      </c>
      <c r="G25" s="20" t="n">
        <v>6000</v>
      </c>
      <c r="H25" s="19" t="n">
        <v>12000</v>
      </c>
      <c r="I25" s="20" t="n">
        <v>6000</v>
      </c>
      <c r="J25" s="20" t="n">
        <v>6000</v>
      </c>
      <c r="K25" s="20" t="n">
        <v>6000</v>
      </c>
      <c r="L25" s="20" t="n">
        <v>6000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178599</v>
      </c>
      <c r="D27" s="12" t="n">
        <v>177280</v>
      </c>
      <c r="E27" s="12" t="n">
        <v>172639</v>
      </c>
      <c r="F27" s="12" t="n">
        <v>188481</v>
      </c>
      <c r="G27" s="12" t="n">
        <v>189137</v>
      </c>
      <c r="H27" s="11" t="n">
        <v>219473</v>
      </c>
      <c r="I27" s="12" t="n">
        <v>220021</v>
      </c>
      <c r="J27" s="12" t="n">
        <v>203878</v>
      </c>
      <c r="K27" s="12" t="n">
        <v>190747</v>
      </c>
      <c r="L27" s="12" t="n">
        <v>188481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117541</v>
      </c>
      <c r="D31" s="12" t="n">
        <v>123428</v>
      </c>
      <c r="E31" s="12" t="n">
        <v>130721</v>
      </c>
      <c r="F31" s="12" t="n">
        <v>138885</v>
      </c>
      <c r="G31" s="12" t="n">
        <v>139245</v>
      </c>
      <c r="H31" s="11" t="n">
        <v>84220</v>
      </c>
      <c r="I31" s="12" t="n">
        <v>94072</v>
      </c>
      <c r="J31" s="12" t="n">
        <v>124378</v>
      </c>
      <c r="K31" s="12" t="n">
        <v>117620</v>
      </c>
      <c r="L31" s="12" t="n">
        <v>138885</v>
      </c>
    </row>
    <row r="32">
      <c r="A32" s="18" t="inlineStr">
        <is>
          <t>자본금</t>
        </is>
      </c>
      <c r="B32" s="10" t="n"/>
      <c r="C32" s="19" t="n">
        <v>16820</v>
      </c>
      <c r="D32" s="20" t="n">
        <v>16820</v>
      </c>
      <c r="E32" s="20" t="n">
        <v>16820</v>
      </c>
      <c r="F32" s="20" t="n">
        <v>16820</v>
      </c>
      <c r="G32" s="20" t="n">
        <v>16820</v>
      </c>
      <c r="H32" s="19" t="n">
        <v>16820</v>
      </c>
      <c r="I32" s="20" t="n">
        <v>16820</v>
      </c>
      <c r="J32" s="20" t="n">
        <v>16820</v>
      </c>
      <c r="K32" s="20" t="n">
        <v>16820</v>
      </c>
      <c r="L32" s="20" t="n">
        <v>16820</v>
      </c>
    </row>
    <row r="33">
      <c r="A33" s="18" t="inlineStr">
        <is>
          <t>이익잉여금</t>
        </is>
      </c>
      <c r="B33" s="10" t="n"/>
      <c r="C33" s="19" t="n">
        <v>62526</v>
      </c>
      <c r="D33" s="20" t="n">
        <v>66302</v>
      </c>
      <c r="E33" s="20" t="n">
        <v>69038</v>
      </c>
      <c r="F33" s="20" t="n">
        <v>74241</v>
      </c>
      <c r="G33" s="20" t="n">
        <v>74662</v>
      </c>
      <c r="H33" s="19" t="n">
        <v>38961</v>
      </c>
      <c r="I33" s="20" t="n">
        <v>48641</v>
      </c>
      <c r="J33" s="20" t="n">
        <v>58893</v>
      </c>
      <c r="K33" s="20" t="n">
        <v>61790</v>
      </c>
      <c r="L33" s="20" t="n">
        <v>74241</v>
      </c>
    </row>
    <row r="34">
      <c r="A34" s="18" t="inlineStr">
        <is>
          <t>비지배지분</t>
        </is>
      </c>
      <c r="B34" s="10" t="n"/>
      <c r="C34" s="19" t="n">
        <v>5609</v>
      </c>
      <c r="D34" s="20" t="n">
        <v>6301</v>
      </c>
      <c r="E34" s="20" t="n">
        <v>6729</v>
      </c>
      <c r="F34" s="20" t="n">
        <v>6966</v>
      </c>
      <c r="G34" s="20" t="n">
        <v>7213</v>
      </c>
      <c r="H34" s="19" t="n">
        <v>5794</v>
      </c>
      <c r="I34" s="20" t="n">
        <v>5675</v>
      </c>
      <c r="J34" s="20" t="n">
        <v>6523</v>
      </c>
      <c r="K34" s="20" t="n">
        <v>5545</v>
      </c>
      <c r="L34" s="20" t="n">
        <v>6966</v>
      </c>
    </row>
    <row r="35">
      <c r="A35" s="9" t="inlineStr">
        <is>
          <t>자본총계</t>
        </is>
      </c>
      <c r="B35" s="10" t="n"/>
      <c r="C35" s="11" t="n">
        <v>123150</v>
      </c>
      <c r="D35" s="12" t="n">
        <v>129729</v>
      </c>
      <c r="E35" s="12" t="n">
        <v>137450</v>
      </c>
      <c r="F35" s="12" t="n">
        <v>145851</v>
      </c>
      <c r="G35" s="12" t="n">
        <v>146458</v>
      </c>
      <c r="H35" s="11" t="n">
        <v>90014</v>
      </c>
      <c r="I35" s="12" t="n">
        <v>99747</v>
      </c>
      <c r="J35" s="12" t="n">
        <v>130901</v>
      </c>
      <c r="K35" s="12" t="n">
        <v>123165</v>
      </c>
      <c r="L35" s="12" t="n">
        <v>145851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38644</v>
      </c>
      <c r="G37" s="12" t="n"/>
      <c r="H37" s="11" t="n">
        <v>35468</v>
      </c>
      <c r="I37" s="12" t="n">
        <v>47743</v>
      </c>
      <c r="J37" s="12" t="n">
        <v>57370</v>
      </c>
      <c r="K37" s="12" t="n">
        <v>24785</v>
      </c>
      <c r="L37" s="12" t="n">
        <v>38644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27900</v>
      </c>
      <c r="G38" s="20" t="n"/>
      <c r="H38" s="19" t="n">
        <v>35722</v>
      </c>
      <c r="I38" s="20" t="n">
        <v>24800</v>
      </c>
      <c r="J38" s="20" t="n">
        <v>15722</v>
      </c>
      <c r="K38" s="20" t="n">
        <v>25432</v>
      </c>
      <c r="L38" s="20" t="n">
        <v>27900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3665</v>
      </c>
      <c r="G40" s="20" t="n"/>
      <c r="H40" s="19" t="n">
        <v>895</v>
      </c>
      <c r="I40" s="20" t="n">
        <v>895</v>
      </c>
      <c r="J40" s="20" t="n">
        <v>2676</v>
      </c>
      <c r="K40" s="20" t="n">
        <v>3309</v>
      </c>
      <c r="L40" s="20" t="n">
        <v>3665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IFERROR(IF((IF(COUNT('연간'!G64:J64)&lt;4,"",SUM('연간'!G64:J64)))&lt;=0,"적자",C28/(IF(COUNT('연간'!G64:J64)&lt;4,"",SUM('연간'!G64:J64)))),"")</f>
        <v/>
      </c>
      <c r="D49" s="47">
        <f>IFERROR(IF((IF(COUNT('연간'!H64:K64)&lt;4,"",SUM('연간'!H64:K64)))&lt;=0,"적자",D28/(IF(COUNT('연간'!H64:K64)&lt;4,"",SUM('연간'!H64:K64)))),"")</f>
        <v/>
      </c>
      <c r="E49" s="47">
        <f>IFERROR(IF((IF(COUNT('연간'!I64:L64)&lt;4,"",SUM('연간'!I64:L64)))&lt;=0,"적자",E28/(IF(COUNT('연간'!I64:L64)&lt;4,"",SUM('연간'!I64:L64)))),"")</f>
        <v/>
      </c>
      <c r="F49" s="47">
        <f>IFERROR(IF((IF(COUNT('연간'!J64:M64)&lt;4,"",SUM('연간'!J64:M64)))&lt;=0,"적자",F28/(IF(COUNT('연간'!J64:M64)&lt;4,"",SUM('연간'!J64:M64)))),"")</f>
        <v/>
      </c>
      <c r="G49" s="47">
        <f>IFERROR(IF((IF(COUNT('연간'!K64:N64)&lt;4,"",SUM('연간'!K64:N64)))&lt;=0,"적자",G28/(IF(COUNT('연간'!K64:N64)&lt;4,"",SUM('연간'!K64:N64)))),"")</f>
        <v/>
      </c>
      <c r="H49" s="46">
        <f>IFERROR(IF(('연간'!T64)&lt;=0,"적자",H28/('연간'!T64)),"")</f>
        <v/>
      </c>
      <c r="I49" s="47">
        <f>IFERROR(IF(('연간'!U64)&lt;=0,"적자",I28/('연간'!U64)),"")</f>
        <v/>
      </c>
      <c r="J49" s="47">
        <f>IFERROR(IF(('연간'!V64)&lt;=0,"적자",J28/('연간'!V64)),"")</f>
        <v/>
      </c>
      <c r="K49" s="47">
        <f>IFERROR(IF(('연간'!W64)&lt;=0,"적자",K28/('연간'!W64)),"")</f>
        <v/>
      </c>
      <c r="L49" s="47">
        <f>IFERROR(IF(('연간'!X64)&lt;=0,"적자",L28/('연간'!X64)),"")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IFERROR((IF(COUNT('연간'!G64:J64)&lt;4,"",SUM('연간'!G64:J64)))/C31,"")</f>
        <v/>
      </c>
      <c r="D51" s="36">
        <f>IFERROR((IF(COUNT('연간'!H64:K64)&lt;4,"",SUM('연간'!H64:K64)))/D31,"")</f>
        <v/>
      </c>
      <c r="E51" s="36">
        <f>IFERROR((IF(COUNT('연간'!I64:L64)&lt;4,"",SUM('연간'!I64:L64)))/E31,"")</f>
        <v/>
      </c>
      <c r="F51" s="36">
        <f>IFERROR((IF(COUNT('연간'!J64:M64)&lt;4,"",SUM('연간'!J64:M64)))/F31,"")</f>
        <v/>
      </c>
      <c r="G51" s="36">
        <f>IFERROR((IF(COUNT('연간'!K64:N64)&lt;4,"",SUM('연간'!K64:N64)))/G31,"")</f>
        <v/>
      </c>
      <c r="H51" s="35">
        <f>IFERROR(('연간'!T64)/H31,"")</f>
        <v/>
      </c>
      <c r="I51" s="36">
        <f>IFERROR(('연간'!U64)/I31,"")</f>
        <v/>
      </c>
      <c r="J51" s="36">
        <f>IFERROR(('연간'!V64)/J31,"")</f>
        <v/>
      </c>
      <c r="K51" s="36">
        <f>IFERROR(('연간'!W64)/K31,"")</f>
        <v/>
      </c>
      <c r="L51" s="36">
        <f>IFERROR(('연간'!X64)/L31,"")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IFERROR((IF(COUNT('연간'!G62:J62)&lt;4,"",SUM('연간'!G62:J62)))/C16,"")</f>
        <v/>
      </c>
      <c r="D52" s="36">
        <f>IFERROR((IF(COUNT('연간'!H62:K62)&lt;4,"",SUM('연간'!H62:K62)))/D16,"")</f>
        <v/>
      </c>
      <c r="E52" s="36">
        <f>IFERROR((IF(COUNT('연간'!I62:L62)&lt;4,"",SUM('연간'!I62:L62)))/E16,"")</f>
        <v/>
      </c>
      <c r="F52" s="36">
        <f>IFERROR((IF(COUNT('연간'!J62:M62)&lt;4,"",SUM('연간'!J62:M62)))/F16,"")</f>
        <v/>
      </c>
      <c r="G52" s="36">
        <f>IFERROR((IF(COUNT('연간'!K62:N62)&lt;4,"",SUM('연간'!K62:N62)))/G16,"")</f>
        <v/>
      </c>
      <c r="H52" s="35">
        <f>IFERROR(('연간'!T62)/H16,"")</f>
        <v/>
      </c>
      <c r="I52" s="36">
        <f>IFERROR(('연간'!U62)/I16,"")</f>
        <v/>
      </c>
      <c r="J52" s="36">
        <f>IFERROR(('연간'!V62)/J16,"")</f>
        <v/>
      </c>
      <c r="K52" s="36">
        <f>IFERROR(('연간'!W62)/K16,"")</f>
        <v/>
      </c>
      <c r="L52" s="36">
        <f>IFERROR(('연간'!X62)/L16,"")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IFERROR((IF(COUNT('연간'!G28:J28)&lt;4,"",SUM('연간'!G28:J28)))/(IF(COUNT('연간'!G4:J4)&lt;4,"",SUM('연간'!G4:J4))),"")</f>
        <v/>
      </c>
      <c r="D54" s="36">
        <f>IFERROR((IF(COUNT('연간'!H28:K28)&lt;4,"",SUM('연간'!H28:K28)))/(IF(COUNT('연간'!H4:K4)&lt;4,"",SUM('연간'!H4:K4))),"")</f>
        <v/>
      </c>
      <c r="E54" s="36">
        <f>IFERROR((IF(COUNT('연간'!I28:L28)&lt;4,"",SUM('연간'!I28:L28)))/(IF(COUNT('연간'!I4:L4)&lt;4,"",SUM('연간'!I4:L4))),"")</f>
        <v/>
      </c>
      <c r="F54" s="36">
        <f>IFERROR((IF(COUNT('연간'!J28:M28)&lt;4,"",SUM('연간'!J28:M28)))/(IF(COUNT('연간'!J4:M4)&lt;4,"",SUM('연간'!J4:M4))),"")</f>
        <v/>
      </c>
      <c r="G54" s="36">
        <f>IFERROR((IF(COUNT('연간'!K28:N28)&lt;4,"",SUM('연간'!K28:N28)))/(IF(COUNT('연간'!K4:N4)&lt;4,"",SUM('연간'!K4:N4))),"")</f>
        <v/>
      </c>
      <c r="H54" s="35">
        <f>IFERROR(('연간'!T28)/('연간'!T4),"")</f>
        <v/>
      </c>
      <c r="I54" s="36">
        <f>IFERROR(('연간'!U28)/('연간'!U4),"")</f>
        <v/>
      </c>
      <c r="J54" s="36">
        <f>IFERROR(('연간'!V28)/('연간'!V4),"")</f>
        <v/>
      </c>
      <c r="K54" s="36">
        <f>IFERROR(('연간'!W28)/('연간'!W4),"")</f>
        <v/>
      </c>
      <c r="L54" s="36">
        <f>IFERROR(('연간'!X28)/('연간'!X4),"")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IFERROR((IF(COUNT('연간'!G62:J62)&lt;4,"",SUM('연간'!G62:J62)))/(IF(COUNT('연간'!G4:J4)&lt;4,"",SUM('연간'!G4:J4))),"")</f>
        <v/>
      </c>
      <c r="D56" s="36">
        <f>IFERROR((IF(COUNT('연간'!H62:K62)&lt;4,"",SUM('연간'!H62:K62)))/(IF(COUNT('연간'!H4:K4)&lt;4,"",SUM('연간'!H4:K4))),"")</f>
        <v/>
      </c>
      <c r="E56" s="36">
        <f>IFERROR((IF(COUNT('연간'!I62:L62)&lt;4,"",SUM('연간'!I62:L62)))/(IF(COUNT('연간'!I4:L4)&lt;4,"",SUM('연간'!I4:L4))),"")</f>
        <v/>
      </c>
      <c r="F56" s="36">
        <f>IFERROR((IF(COUNT('연간'!J62:M62)&lt;4,"",SUM('연간'!J62:M62)))/(IF(COUNT('연간'!J4:M4)&lt;4,"",SUM('연간'!J4:M4))),"")</f>
        <v/>
      </c>
      <c r="G56" s="36">
        <f>IFERROR((IF(COUNT('연간'!K62:N62)&lt;4,"",SUM('연간'!K62:N62)))/(IF(COUNT('연간'!K4:N4)&lt;4,"",SUM('연간'!K4:N4))),"")</f>
        <v/>
      </c>
      <c r="H56" s="35">
        <f>IFERROR(('연간'!T62)/('연간'!T4),"")</f>
        <v/>
      </c>
      <c r="I56" s="36">
        <f>IFERROR(('연간'!U62)/('연간'!U4),"")</f>
        <v/>
      </c>
      <c r="J56" s="36">
        <f>IFERROR(('연간'!V62)/('연간'!V4),"")</f>
        <v/>
      </c>
      <c r="K56" s="36">
        <f>IFERROR(('연간'!W62)/('연간'!W4),"")</f>
        <v/>
      </c>
      <c r="L56" s="36">
        <f>IFERROR(('연간'!X62)/('연간'!X4),"")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IFERROR(C9/(IF(COUNT('연간'!G26:J26)&lt;4,"",SUM('연간'!G26:J26)))*365,"")</f>
        <v/>
      </c>
      <c r="D60" s="49">
        <f>IFERROR(D9/(IF(COUNT('연간'!H26:K26)&lt;4,"",SUM('연간'!H26:K26)))*365,"")</f>
        <v/>
      </c>
      <c r="E60" s="49">
        <f>IFERROR(E9/(IF(COUNT('연간'!I26:L26)&lt;4,"",SUM('연간'!I26:L26)))*365,"")</f>
        <v/>
      </c>
      <c r="F60" s="49">
        <f>IFERROR(F9/(IF(COUNT('연간'!J26:M26)&lt;4,"",SUM('연간'!J26:M26)))*365,"")</f>
        <v/>
      </c>
      <c r="G60" s="49">
        <f>IFERROR(G9/(IF(COUNT('연간'!K26:N26)&lt;4,"",SUM('연간'!K26:N26)))*365,"")</f>
        <v/>
      </c>
      <c r="H60" s="48">
        <f>IFERROR(H9/('연간'!T26)*365,"")</f>
        <v/>
      </c>
      <c r="I60" s="49">
        <f>IFERROR(I9/('연간'!U26)*365,"")</f>
        <v/>
      </c>
      <c r="J60" s="49">
        <f>IFERROR(J9/('연간'!V26)*365,"")</f>
        <v/>
      </c>
      <c r="K60" s="49">
        <f>IFERROR(K9/('연간'!W26)*365,"")</f>
        <v/>
      </c>
      <c r="L60" s="49">
        <f>IFERROR(L9/('연간'!X26)*365,"")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IFERROR(C19/(IF(COUNT('연간'!G26:J26)&lt;4,"",SUM('연간'!G26:J26)))*365,"")</f>
        <v/>
      </c>
      <c r="D61" s="49">
        <f>IFERROR(D19/(IF(COUNT('연간'!H26:K26)&lt;4,"",SUM('연간'!H26:K26)))*365,"")</f>
        <v/>
      </c>
      <c r="E61" s="49">
        <f>IFERROR(E19/(IF(COUNT('연간'!I26:L26)&lt;4,"",SUM('연간'!I26:L26)))*365,"")</f>
        <v/>
      </c>
      <c r="F61" s="49">
        <f>IFERROR(F19/(IF(COUNT('연간'!J26:M26)&lt;4,"",SUM('연간'!J26:M26)))*365,"")</f>
        <v/>
      </c>
      <c r="G61" s="49">
        <f>IFERROR(G19/(IF(COUNT('연간'!K26:N26)&lt;4,"",SUM('연간'!K26:N26)))*365,"")</f>
        <v/>
      </c>
      <c r="H61" s="48">
        <f>IFERROR(H19/('연간'!T26)*365,"")</f>
        <v/>
      </c>
      <c r="I61" s="49">
        <f>IFERROR(I19/('연간'!U26)*365,"")</f>
        <v/>
      </c>
      <c r="J61" s="49">
        <f>IFERROR(J19/('연간'!V26)*365,"")</f>
        <v/>
      </c>
      <c r="K61" s="49">
        <f>IFERROR(K19/('연간'!W26)*365,"")</f>
        <v/>
      </c>
      <c r="L61" s="49">
        <f>IFERROR(L19/('연간'!X26)*365,"")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IF(C37="","",IFERROR(C37/(IF(COUNT('연간'!G62:J62)&lt;4,"",SUM('연간'!G62:J62))),""))</f>
        <v/>
      </c>
      <c r="D64" s="31">
        <f>IF(D37="","",IFERROR(D37/(IF(COUNT('연간'!H62:K62)&lt;4,"",SUM('연간'!H62:K62))),""))</f>
        <v/>
      </c>
      <c r="E64" s="31">
        <f>IF(E37="","",IFERROR(E37/(IF(COUNT('연간'!I62:L62)&lt;4,"",SUM('연간'!I62:L62))),""))</f>
        <v/>
      </c>
      <c r="F64" s="31">
        <f>IF(F37="","",IFERROR(F37/(IF(COUNT('연간'!J62:M62)&lt;4,"",SUM('연간'!J62:M62))),""))</f>
        <v/>
      </c>
      <c r="G64" s="31">
        <f>IF(G37="","",IFERROR(G37/(IF(COUNT('연간'!K62:N62)&lt;4,"",SUM('연간'!K62:N62))),""))</f>
        <v/>
      </c>
      <c r="H64" s="30">
        <f>IF(H37="","",IFERROR(H37/('연간'!T62),""))</f>
        <v/>
      </c>
      <c r="I64" s="31">
        <f>IF(I37="","",IFERROR(I37/('연간'!U62),""))</f>
        <v/>
      </c>
      <c r="J64" s="31">
        <f>IF(J37="","",IFERROR(J37/('연간'!V62),""))</f>
        <v/>
      </c>
      <c r="K64" s="31">
        <f>IF(K37="","",IFERROR(K37/('연간'!W62),""))</f>
        <v/>
      </c>
      <c r="L64" s="31">
        <f>IF(L37="","",IFERROR(L37/('연간'!X62),""))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IF(C40="","",IFERROR(C40/(IF(COUNT('연간'!G64:J64)&lt;4,"",SUM('연간'!G64:J64))),""))</f>
        <v/>
      </c>
      <c r="D67" s="36">
        <f>IF(D40="","",IFERROR(D40/(IF(COUNT('연간'!H64:K64)&lt;4,"",SUM('연간'!H64:K64))),""))</f>
        <v/>
      </c>
      <c r="E67" s="36">
        <f>IF(E40="","",IFERROR(E40/(IF(COUNT('연간'!I64:L64)&lt;4,"",SUM('연간'!I64:L64))),""))</f>
        <v/>
      </c>
      <c r="F67" s="36">
        <f>IF(F40="","",IFERROR(F40/(IF(COUNT('연간'!J64:M64)&lt;4,"",SUM('연간'!J64:M64))),""))</f>
        <v/>
      </c>
      <c r="G67" s="36">
        <f>IF(G40="","",IFERROR(G40/(IF(COUNT('연간'!K64:N64)&lt;4,"",SUM('연간'!K64:N64))),""))</f>
        <v/>
      </c>
      <c r="H67" s="35">
        <f>IF(H40="","",IFERROR(H40/('연간'!T64),""))</f>
        <v/>
      </c>
      <c r="I67" s="36">
        <f>IF(I40="","",IFERROR(I40/('연간'!U64),""))</f>
        <v/>
      </c>
      <c r="J67" s="36">
        <f>IF(J40="","",IFERROR(J40/('연간'!V64),""))</f>
        <v/>
      </c>
      <c r="K67" s="36">
        <f>IF(K40="","",IFERROR(K40/('연간'!W64),""))</f>
        <v/>
      </c>
      <c r="L67" s="36">
        <f>IF(L40="","",IFERROR(L40/('연간'!X64),""))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22753</v>
      </c>
      <c r="D71" s="20" t="n">
        <v>15103</v>
      </c>
      <c r="E71" s="20" t="n">
        <v>20548</v>
      </c>
      <c r="F71" s="20" t="n">
        <v>21384</v>
      </c>
      <c r="G71" s="20" t="n">
        <v>24547</v>
      </c>
      <c r="H71" s="20" t="n">
        <v>6734</v>
      </c>
      <c r="I71" s="20" t="n">
        <v>10335</v>
      </c>
      <c r="J71" s="20" t="n">
        <v>25029</v>
      </c>
      <c r="K71" s="20" t="n">
        <v>13719</v>
      </c>
      <c r="L71" s="20" t="n">
        <v>21384</v>
      </c>
    </row>
    <row r="72">
      <c r="A72" s="18" t="inlineStr">
        <is>
          <t>받을어음·매출채권</t>
        </is>
      </c>
      <c r="H72" s="20" t="n">
        <v>89219</v>
      </c>
      <c r="I72" s="20" t="n">
        <v>100906</v>
      </c>
      <c r="J72" s="20" t="n">
        <v>89572</v>
      </c>
      <c r="K72" s="20" t="n">
        <v>90253</v>
      </c>
    </row>
    <row r="73">
      <c r="A73" s="18" t="inlineStr">
        <is>
          <t>전자기록채권</t>
        </is>
      </c>
      <c r="C73" s="20" t="n">
        <v>3157</v>
      </c>
      <c r="D73" s="20" t="n">
        <v>3216</v>
      </c>
      <c r="E73" s="20" t="n">
        <v>4272</v>
      </c>
      <c r="F73" s="20" t="n">
        <v>4290</v>
      </c>
      <c r="G73" s="20" t="n">
        <v>4038</v>
      </c>
      <c r="K73" s="20" t="n">
        <v>3032</v>
      </c>
      <c r="L73" s="20" t="n">
        <v>4290</v>
      </c>
    </row>
    <row r="74">
      <c r="A74" s="18" t="inlineStr">
        <is>
          <t>매출채권</t>
        </is>
      </c>
      <c r="C74" s="20" t="n">
        <v>69907</v>
      </c>
      <c r="D74" s="20" t="n">
        <v>75863</v>
      </c>
      <c r="E74" s="20" t="n">
        <v>66228</v>
      </c>
      <c r="F74" s="20" t="n">
        <v>83996</v>
      </c>
      <c r="G74" s="20" t="n">
        <v>83336</v>
      </c>
      <c r="K74" s="20" t="n">
        <v>87220</v>
      </c>
      <c r="L74" s="20" t="n">
        <v>83996</v>
      </c>
    </row>
    <row r="75">
      <c r="A75" s="18" t="inlineStr">
        <is>
          <t>제품</t>
        </is>
      </c>
      <c r="C75" s="20" t="n">
        <v>5174</v>
      </c>
      <c r="D75" s="20" t="n">
        <v>4897</v>
      </c>
      <c r="E75" s="20" t="n">
        <v>5171</v>
      </c>
      <c r="F75" s="20" t="n">
        <v>5480</v>
      </c>
      <c r="G75" s="20" t="n">
        <v>5786</v>
      </c>
      <c r="H75" s="20" t="n">
        <v>6166</v>
      </c>
      <c r="I75" s="20" t="n">
        <v>7095</v>
      </c>
      <c r="J75" s="20" t="n">
        <v>6714</v>
      </c>
      <c r="K75" s="20" t="n">
        <v>5596</v>
      </c>
      <c r="L75" s="20" t="n">
        <v>5480</v>
      </c>
    </row>
    <row r="76">
      <c r="A76" s="18" t="inlineStr">
        <is>
          <t>재공품</t>
        </is>
      </c>
      <c r="C76" s="20" t="n">
        <v>16561</v>
      </c>
      <c r="D76" s="20" t="n">
        <v>17763</v>
      </c>
      <c r="E76" s="20" t="n">
        <v>17983</v>
      </c>
      <c r="F76" s="20" t="n">
        <v>15663</v>
      </c>
      <c r="G76" s="20" t="n">
        <v>18132</v>
      </c>
      <c r="H76" s="20" t="n">
        <v>16231</v>
      </c>
      <c r="I76" s="20" t="n">
        <v>15354</v>
      </c>
      <c r="J76" s="20" t="n">
        <v>15024</v>
      </c>
      <c r="K76" s="20" t="n">
        <v>17263</v>
      </c>
      <c r="L76" s="20" t="n">
        <v>15663</v>
      </c>
    </row>
    <row r="77">
      <c r="A77" s="18" t="inlineStr">
        <is>
          <t>원재료·저장품</t>
        </is>
      </c>
      <c r="C77" s="20" t="n">
        <v>7270</v>
      </c>
      <c r="D77" s="20" t="n">
        <v>7460</v>
      </c>
      <c r="E77" s="20" t="n">
        <v>7848</v>
      </c>
      <c r="F77" s="20" t="n">
        <v>8001</v>
      </c>
      <c r="G77" s="20" t="n">
        <v>7910</v>
      </c>
      <c r="H77" s="20" t="n">
        <v>7653</v>
      </c>
      <c r="I77" s="20" t="n">
        <v>7894</v>
      </c>
      <c r="J77" s="20" t="n">
        <v>7370</v>
      </c>
      <c r="K77" s="20" t="n">
        <v>7354</v>
      </c>
      <c r="L77" s="20" t="n">
        <v>8001</v>
      </c>
    </row>
    <row r="78">
      <c r="A78" s="18" t="inlineStr">
        <is>
          <t>기타</t>
        </is>
      </c>
      <c r="C78" s="20" t="n">
        <v>10210</v>
      </c>
      <c r="D78" s="20" t="n">
        <v>11363</v>
      </c>
      <c r="E78" s="20" t="n">
        <v>11101</v>
      </c>
      <c r="F78" s="20" t="n">
        <v>14480</v>
      </c>
      <c r="G78" s="20" t="n">
        <v>12737</v>
      </c>
      <c r="H78" s="20" t="n">
        <v>9360</v>
      </c>
      <c r="I78" s="20" t="n">
        <v>10605</v>
      </c>
      <c r="J78" s="20" t="n">
        <v>9805</v>
      </c>
      <c r="K78" s="20" t="n">
        <v>12251</v>
      </c>
      <c r="L78" s="20" t="n">
        <v>14480</v>
      </c>
    </row>
    <row r="79">
      <c r="A79" s="18" t="inlineStr">
        <is>
          <t>대손충당금</t>
        </is>
      </c>
      <c r="H79" s="20" t="n">
        <v>0</v>
      </c>
      <c r="I79" s="20" t="n">
        <v>0</v>
      </c>
      <c r="J79" s="20" t="n">
        <v>0</v>
      </c>
    </row>
    <row r="80">
      <c r="A80" s="9" t="inlineStr">
        <is>
          <t>유동자산 합계</t>
        </is>
      </c>
      <c r="C80" s="12" t="n">
        <v>135035</v>
      </c>
      <c r="D80" s="12" t="n">
        <v>135670</v>
      </c>
      <c r="E80" s="12" t="n">
        <v>133154</v>
      </c>
      <c r="F80" s="12" t="n">
        <v>153298</v>
      </c>
      <c r="G80" s="12" t="n">
        <v>156489</v>
      </c>
      <c r="H80" s="12" t="n">
        <v>135367</v>
      </c>
      <c r="I80" s="12" t="n">
        <v>152191</v>
      </c>
      <c r="J80" s="12" t="n">
        <v>153518</v>
      </c>
      <c r="K80" s="12" t="n">
        <v>146439</v>
      </c>
      <c r="L80" s="12" t="n">
        <v>153298</v>
      </c>
    </row>
    <row r="81">
      <c r="A81" s="18" t="inlineStr">
        <is>
          <t>건물·구축물</t>
        </is>
      </c>
      <c r="F81" s="20" t="n">
        <v>98743</v>
      </c>
      <c r="H81" s="20" t="n">
        <v>82922</v>
      </c>
      <c r="I81" s="20" t="n">
        <v>86423</v>
      </c>
      <c r="J81" s="20" t="n">
        <v>93108</v>
      </c>
      <c r="K81" s="20" t="n">
        <v>93730</v>
      </c>
      <c r="L81" s="20" t="n">
        <v>98743</v>
      </c>
    </row>
    <row r="82">
      <c r="A82" s="18" t="inlineStr">
        <is>
          <t>감가상각누계액</t>
        </is>
      </c>
      <c r="F82" s="20" t="n">
        <v>-63318</v>
      </c>
      <c r="H82" s="20" t="n">
        <v>-49343</v>
      </c>
      <c r="I82" s="20" t="n">
        <v>-52953</v>
      </c>
      <c r="J82" s="20" t="n">
        <v>-57359</v>
      </c>
      <c r="K82" s="20" t="n">
        <v>-59565</v>
      </c>
      <c r="L82" s="20" t="n">
        <v>-63318</v>
      </c>
    </row>
    <row r="83">
      <c r="A83" s="18" t="inlineStr">
        <is>
          <t>건물·구축물(순액)</t>
        </is>
      </c>
      <c r="C83" s="20" t="n">
        <v>33929</v>
      </c>
      <c r="D83" s="20" t="n">
        <v>34235</v>
      </c>
      <c r="E83" s="20" t="n">
        <v>34968</v>
      </c>
      <c r="F83" s="20" t="n">
        <v>35424</v>
      </c>
      <c r="G83" s="20" t="n">
        <v>36137</v>
      </c>
      <c r="H83" s="20" t="n">
        <v>33578</v>
      </c>
      <c r="I83" s="20" t="n">
        <v>33469</v>
      </c>
      <c r="J83" s="20" t="n">
        <v>35748</v>
      </c>
      <c r="K83" s="20" t="n">
        <v>34165</v>
      </c>
      <c r="L83" s="20" t="n">
        <v>35424</v>
      </c>
    </row>
    <row r="84">
      <c r="A84" s="18" t="inlineStr">
        <is>
          <t>기계장치·운반구</t>
        </is>
      </c>
      <c r="F84" s="20" t="n">
        <v>276441</v>
      </c>
      <c r="H84" s="20" t="n">
        <v>250083</v>
      </c>
      <c r="I84" s="20" t="n">
        <v>262533</v>
      </c>
      <c r="J84" s="20" t="n">
        <v>271653</v>
      </c>
      <c r="K84" s="20" t="n">
        <v>261882</v>
      </c>
      <c r="L84" s="20" t="n">
        <v>276441</v>
      </c>
    </row>
    <row r="85">
      <c r="A85" s="18" t="inlineStr">
        <is>
          <t>감가상각누계액</t>
        </is>
      </c>
      <c r="F85" s="20" t="n">
        <v>-222721</v>
      </c>
      <c r="H85" s="20" t="n">
        <v>-189638</v>
      </c>
      <c r="I85" s="20" t="n">
        <v>-200464</v>
      </c>
      <c r="J85" s="20" t="n">
        <v>-211742</v>
      </c>
      <c r="K85" s="20" t="n">
        <v>-214167</v>
      </c>
      <c r="L85" s="20" t="n">
        <v>-222721</v>
      </c>
    </row>
    <row r="86">
      <c r="A86" s="18" t="inlineStr">
        <is>
          <t>기계장치·운반구(순액)</t>
        </is>
      </c>
      <c r="C86" s="20" t="n">
        <v>46001</v>
      </c>
      <c r="D86" s="20" t="n">
        <v>47284</v>
      </c>
      <c r="E86" s="20" t="n">
        <v>48830</v>
      </c>
      <c r="F86" s="20" t="n">
        <v>53719</v>
      </c>
      <c r="G86" s="20" t="n">
        <v>51609</v>
      </c>
      <c r="H86" s="20" t="n">
        <v>60445</v>
      </c>
      <c r="I86" s="20" t="n">
        <v>62068</v>
      </c>
      <c r="J86" s="20" t="n">
        <v>59911</v>
      </c>
      <c r="K86" s="20" t="n">
        <v>47715</v>
      </c>
      <c r="L86" s="20" t="n">
        <v>53719</v>
      </c>
    </row>
    <row r="87">
      <c r="A87" s="18" t="inlineStr">
        <is>
          <t>공구·기구·비품</t>
        </is>
      </c>
      <c r="F87" s="20" t="n">
        <v>124296</v>
      </c>
      <c r="H87" s="20" t="n">
        <v>86500</v>
      </c>
      <c r="I87" s="20" t="n">
        <v>99080</v>
      </c>
      <c r="J87" s="20" t="n">
        <v>109378</v>
      </c>
      <c r="K87" s="20" t="n">
        <v>111918</v>
      </c>
      <c r="L87" s="20" t="n">
        <v>124296</v>
      </c>
    </row>
    <row r="88">
      <c r="A88" s="18" t="inlineStr">
        <is>
          <t>감가상각누계액</t>
        </is>
      </c>
      <c r="F88" s="20" t="n">
        <v>-110325</v>
      </c>
      <c r="H88" s="20" t="n">
        <v>-74459</v>
      </c>
      <c r="I88" s="20" t="n">
        <v>-84891</v>
      </c>
      <c r="J88" s="20" t="n">
        <v>-95852</v>
      </c>
      <c r="K88" s="20" t="n">
        <v>-103484</v>
      </c>
      <c r="L88" s="20" t="n">
        <v>-110325</v>
      </c>
    </row>
    <row r="89">
      <c r="A89" s="18" t="inlineStr">
        <is>
          <t>공구·기구·비품(순액)</t>
        </is>
      </c>
      <c r="C89" s="20" t="n">
        <v>7227</v>
      </c>
      <c r="D89" s="20" t="n">
        <v>6919</v>
      </c>
      <c r="E89" s="20" t="n">
        <v>10058</v>
      </c>
      <c r="F89" s="20" t="n">
        <v>13971</v>
      </c>
      <c r="G89" s="20" t="n">
        <v>12584</v>
      </c>
      <c r="H89" s="20" t="n">
        <v>12040</v>
      </c>
      <c r="I89" s="20" t="n">
        <v>14188</v>
      </c>
      <c r="J89" s="20" t="n">
        <v>13525</v>
      </c>
      <c r="K89" s="20" t="n">
        <v>8434</v>
      </c>
      <c r="L89" s="20" t="n">
        <v>13971</v>
      </c>
    </row>
    <row r="90">
      <c r="A90" s="18" t="inlineStr">
        <is>
          <t>토지</t>
        </is>
      </c>
      <c r="C90" s="20" t="n">
        <v>14961</v>
      </c>
      <c r="D90" s="20" t="n">
        <v>14992</v>
      </c>
      <c r="E90" s="20" t="n">
        <v>15106</v>
      </c>
      <c r="F90" s="20" t="n">
        <v>15119</v>
      </c>
      <c r="G90" s="20" t="n">
        <v>15154</v>
      </c>
      <c r="H90" s="20" t="n">
        <v>14537</v>
      </c>
      <c r="I90" s="20" t="n">
        <v>14618</v>
      </c>
      <c r="J90" s="20" t="n">
        <v>14853</v>
      </c>
      <c r="K90" s="20" t="n">
        <v>14951</v>
      </c>
      <c r="L90" s="20" t="n">
        <v>15119</v>
      </c>
    </row>
    <row r="91">
      <c r="A91" s="18" t="inlineStr">
        <is>
          <t>리스자산</t>
        </is>
      </c>
      <c r="F91" s="20" t="n">
        <v>19246</v>
      </c>
      <c r="H91" s="20" t="n">
        <v>17850</v>
      </c>
      <c r="I91" s="20" t="n">
        <v>17975</v>
      </c>
      <c r="J91" s="20" t="n">
        <v>18986</v>
      </c>
      <c r="K91" s="20" t="n">
        <v>19353</v>
      </c>
      <c r="L91" s="20" t="n">
        <v>19246</v>
      </c>
    </row>
    <row r="92">
      <c r="A92" s="18" t="inlineStr">
        <is>
          <t>감가상각누계액</t>
        </is>
      </c>
      <c r="F92" s="20" t="n">
        <v>-16052</v>
      </c>
      <c r="H92" s="20" t="n">
        <v>-16493</v>
      </c>
      <c r="I92" s="20" t="n">
        <v>-16459</v>
      </c>
      <c r="J92" s="20" t="n">
        <v>-16582</v>
      </c>
      <c r="K92" s="20" t="n">
        <v>-16122</v>
      </c>
      <c r="L92" s="20" t="n">
        <v>-16052</v>
      </c>
    </row>
    <row r="93">
      <c r="A93" s="18" t="inlineStr">
        <is>
          <t>리스자산(순액)</t>
        </is>
      </c>
      <c r="C93" s="20" t="n">
        <v>3308</v>
      </c>
      <c r="D93" s="20" t="n">
        <v>3327</v>
      </c>
      <c r="E93" s="20" t="n">
        <v>3286</v>
      </c>
      <c r="F93" s="20" t="n">
        <v>3194</v>
      </c>
      <c r="G93" s="20" t="n">
        <v>3234</v>
      </c>
      <c r="H93" s="20" t="n">
        <v>1357</v>
      </c>
      <c r="I93" s="20" t="n">
        <v>1515</v>
      </c>
      <c r="J93" s="20" t="n">
        <v>2403</v>
      </c>
      <c r="K93" s="20" t="n">
        <v>3230</v>
      </c>
      <c r="L93" s="20" t="n">
        <v>3194</v>
      </c>
    </row>
    <row r="94">
      <c r="A94" s="18" t="inlineStr">
        <is>
          <t>건설중인자산</t>
        </is>
      </c>
      <c r="C94" s="20" t="n">
        <v>26089</v>
      </c>
      <c r="D94" s="20" t="n">
        <v>27154</v>
      </c>
      <c r="E94" s="20" t="n">
        <v>24618</v>
      </c>
      <c r="F94" s="20" t="n">
        <v>17618</v>
      </c>
      <c r="G94" s="20" t="n">
        <v>19434</v>
      </c>
      <c r="H94" s="20" t="n">
        <v>21457</v>
      </c>
      <c r="I94" s="20" t="n">
        <v>13375</v>
      </c>
      <c r="J94" s="20" t="n">
        <v>9724</v>
      </c>
      <c r="K94" s="20" t="n">
        <v>22956</v>
      </c>
      <c r="L94" s="20" t="n">
        <v>17618</v>
      </c>
    </row>
    <row r="95">
      <c r="A95" s="18" t="inlineStr">
        <is>
          <t>유형자산 합계</t>
        </is>
      </c>
      <c r="C95" s="20" t="n">
        <v>131519</v>
      </c>
      <c r="D95" s="20" t="n">
        <v>133914</v>
      </c>
      <c r="E95" s="20" t="n">
        <v>136868</v>
      </c>
      <c r="F95" s="20" t="n">
        <v>139048</v>
      </c>
      <c r="G95" s="20" t="n">
        <v>138156</v>
      </c>
      <c r="H95" s="20" t="n">
        <v>143416</v>
      </c>
      <c r="I95" s="20" t="n">
        <v>139235</v>
      </c>
      <c r="J95" s="20" t="n">
        <v>136167</v>
      </c>
      <c r="K95" s="20" t="n">
        <v>131454</v>
      </c>
      <c r="L95" s="20" t="n">
        <v>139048</v>
      </c>
    </row>
    <row r="96">
      <c r="A96" s="18" t="inlineStr">
        <is>
          <t>소프트웨어</t>
        </is>
      </c>
      <c r="F96" s="20" t="n">
        <v>1870</v>
      </c>
      <c r="H96" s="20" t="n">
        <v>1570</v>
      </c>
      <c r="I96" s="20" t="n">
        <v>1637</v>
      </c>
      <c r="J96" s="20" t="n">
        <v>1810</v>
      </c>
      <c r="K96" s="20" t="n">
        <v>1852</v>
      </c>
      <c r="L96" s="20" t="n">
        <v>1870</v>
      </c>
    </row>
    <row r="97">
      <c r="A97" s="18" t="inlineStr">
        <is>
          <t>기타</t>
        </is>
      </c>
      <c r="F97" s="20" t="n">
        <v>76</v>
      </c>
      <c r="H97" s="20" t="n">
        <v>22</v>
      </c>
      <c r="I97" s="20" t="n">
        <v>22</v>
      </c>
      <c r="J97" s="20" t="n">
        <v>86</v>
      </c>
      <c r="K97" s="20" t="n">
        <v>77</v>
      </c>
      <c r="L97" s="20" t="n">
        <v>76</v>
      </c>
    </row>
    <row r="98">
      <c r="A98" s="18" t="inlineStr">
        <is>
          <t>무형자산</t>
        </is>
      </c>
      <c r="C98" s="20" t="n">
        <v>1836</v>
      </c>
      <c r="D98" s="20" t="n">
        <v>1787</v>
      </c>
      <c r="E98" s="20" t="n">
        <v>1781</v>
      </c>
      <c r="F98" s="20" t="n">
        <v>1947</v>
      </c>
      <c r="G98" s="20" t="n">
        <v>1902</v>
      </c>
      <c r="H98" s="20" t="n">
        <v>1592</v>
      </c>
      <c r="I98" s="20" t="n">
        <v>1660</v>
      </c>
      <c r="J98" s="20" t="n">
        <v>1896</v>
      </c>
      <c r="K98" s="20" t="n">
        <v>1929</v>
      </c>
      <c r="L98" s="20" t="n">
        <v>1947</v>
      </c>
    </row>
    <row r="99">
      <c r="A99" s="18" t="inlineStr">
        <is>
          <t>투자유가증권</t>
        </is>
      </c>
      <c r="C99" s="20" t="n">
        <v>19806</v>
      </c>
      <c r="D99" s="20" t="n">
        <v>22077</v>
      </c>
      <c r="E99" s="20" t="n">
        <v>24746</v>
      </c>
      <c r="F99" s="20" t="n">
        <v>24195</v>
      </c>
      <c r="G99" s="20" t="n">
        <v>23198</v>
      </c>
      <c r="H99" s="20" t="n">
        <v>17387</v>
      </c>
      <c r="I99" s="20" t="n">
        <v>16287</v>
      </c>
      <c r="J99" s="20" t="n">
        <v>26619</v>
      </c>
      <c r="K99" s="20" t="n">
        <v>20399</v>
      </c>
      <c r="L99" s="20" t="n">
        <v>24195</v>
      </c>
    </row>
    <row r="100">
      <c r="A100" s="18" t="inlineStr">
        <is>
          <t>장기대여금</t>
        </is>
      </c>
      <c r="C100" s="20" t="n">
        <v>31</v>
      </c>
      <c r="D100" s="20" t="n">
        <v>27</v>
      </c>
      <c r="E100" s="20" t="n">
        <v>25</v>
      </c>
      <c r="F100" s="20" t="n">
        <v>33</v>
      </c>
      <c r="G100" s="20" t="n">
        <v>32</v>
      </c>
      <c r="H100" s="20" t="n">
        <v>789</v>
      </c>
      <c r="I100" s="20" t="n">
        <v>37</v>
      </c>
      <c r="J100" s="20" t="n">
        <v>33</v>
      </c>
      <c r="K100" s="20" t="n">
        <v>32</v>
      </c>
      <c r="L100" s="20" t="n">
        <v>33</v>
      </c>
    </row>
    <row r="101">
      <c r="A101" s="18" t="inlineStr">
        <is>
          <t>퇴직급여자산</t>
        </is>
      </c>
      <c r="C101" s="20" t="n">
        <v>11999</v>
      </c>
      <c r="D101" s="20" t="n">
        <v>12017</v>
      </c>
      <c r="E101" s="20" t="n">
        <v>12029</v>
      </c>
      <c r="F101" s="20" t="n">
        <v>14370</v>
      </c>
      <c r="G101" s="20" t="n">
        <v>14435</v>
      </c>
      <c r="H101" s="20" t="n">
        <v>10068</v>
      </c>
      <c r="I101" s="20" t="n">
        <v>8700</v>
      </c>
      <c r="J101" s="20" t="n">
        <v>14592</v>
      </c>
      <c r="K101" s="20" t="n">
        <v>11980</v>
      </c>
      <c r="L101" s="20" t="n">
        <v>14370</v>
      </c>
    </row>
    <row r="102">
      <c r="A102" s="18" t="inlineStr">
        <is>
          <t>이연법인세자산</t>
        </is>
      </c>
      <c r="C102" s="20" t="n">
        <v>1185</v>
      </c>
      <c r="D102" s="20" t="n">
        <v>1193</v>
      </c>
      <c r="E102" s="20" t="n">
        <v>1173</v>
      </c>
      <c r="F102" s="20" t="n">
        <v>1107</v>
      </c>
      <c r="G102" s="20" t="n">
        <v>1064</v>
      </c>
      <c r="H102" s="20" t="n">
        <v>1127</v>
      </c>
      <c r="I102" s="20" t="n">
        <v>1226</v>
      </c>
      <c r="J102" s="20" t="n">
        <v>1535</v>
      </c>
      <c r="K102" s="20" t="n">
        <v>1316</v>
      </c>
      <c r="L102" s="20" t="n">
        <v>1107</v>
      </c>
    </row>
    <row r="103">
      <c r="A103" s="18" t="inlineStr">
        <is>
          <t>기타</t>
        </is>
      </c>
      <c r="C103" s="20" t="n">
        <v>567</v>
      </c>
      <c r="D103" s="20" t="n">
        <v>560</v>
      </c>
      <c r="E103" s="20" t="n">
        <v>560</v>
      </c>
      <c r="F103" s="20" t="n">
        <v>337</v>
      </c>
      <c r="G103" s="20" t="n">
        <v>321</v>
      </c>
      <c r="H103" s="20" t="n">
        <v>955</v>
      </c>
      <c r="I103" s="20" t="n">
        <v>461</v>
      </c>
      <c r="J103" s="20" t="n">
        <v>424</v>
      </c>
      <c r="K103" s="20" t="n">
        <v>599</v>
      </c>
      <c r="L103" s="20" t="n">
        <v>337</v>
      </c>
    </row>
    <row r="104">
      <c r="A104" s="18" t="inlineStr">
        <is>
          <t>대손충당금</t>
        </is>
      </c>
      <c r="C104" s="20" t="n">
        <v>-231</v>
      </c>
      <c r="D104" s="20" t="n">
        <v>-238</v>
      </c>
      <c r="E104" s="20" t="n">
        <v>-249</v>
      </c>
      <c r="F104" s="20" t="n">
        <v>-5</v>
      </c>
      <c r="G104" s="20" t="n">
        <v>-5</v>
      </c>
      <c r="H104" s="20" t="n">
        <v>-1217</v>
      </c>
      <c r="I104" s="20" t="n">
        <v>-34</v>
      </c>
      <c r="J104" s="20" t="n">
        <v>-8</v>
      </c>
      <c r="K104" s="20" t="n">
        <v>-239</v>
      </c>
      <c r="L104" s="20" t="n">
        <v>-5</v>
      </c>
    </row>
    <row r="105">
      <c r="A105" s="18" t="inlineStr">
        <is>
          <t>투자 및 기타자산 합계</t>
        </is>
      </c>
      <c r="C105" s="20" t="n">
        <v>33358</v>
      </c>
      <c r="D105" s="20" t="n">
        <v>35637</v>
      </c>
      <c r="E105" s="20" t="n">
        <v>38285</v>
      </c>
      <c r="F105" s="20" t="n">
        <v>40039</v>
      </c>
      <c r="G105" s="20" t="n">
        <v>39047</v>
      </c>
      <c r="H105" s="20" t="n">
        <v>29111</v>
      </c>
      <c r="I105" s="20" t="n">
        <v>26680</v>
      </c>
      <c r="J105" s="20" t="n">
        <v>43197</v>
      </c>
      <c r="K105" s="20" t="n">
        <v>34089</v>
      </c>
      <c r="L105" s="20" t="n">
        <v>40039</v>
      </c>
    </row>
    <row r="106">
      <c r="A106" s="9" t="inlineStr">
        <is>
          <t>비유동자산 합계</t>
        </is>
      </c>
      <c r="C106" s="12" t="n">
        <v>166714</v>
      </c>
      <c r="D106" s="12" t="n">
        <v>171339</v>
      </c>
      <c r="E106" s="12" t="n">
        <v>176935</v>
      </c>
      <c r="F106" s="12" t="n">
        <v>181034</v>
      </c>
      <c r="G106" s="12" t="n">
        <v>179106</v>
      </c>
      <c r="H106" s="12" t="n">
        <v>174120</v>
      </c>
      <c r="I106" s="12" t="n">
        <v>167576</v>
      </c>
      <c r="J106" s="12" t="n">
        <v>181262</v>
      </c>
      <c r="K106" s="12" t="n">
        <v>167473</v>
      </c>
      <c r="L106" s="12" t="n">
        <v>181034</v>
      </c>
    </row>
    <row r="107">
      <c r="A107" s="9" t="inlineStr">
        <is>
          <t>자산 합계</t>
        </is>
      </c>
      <c r="C107" s="12" t="n">
        <v>301750</v>
      </c>
      <c r="D107" s="12" t="n">
        <v>307009</v>
      </c>
      <c r="E107" s="12" t="n">
        <v>310089</v>
      </c>
      <c r="F107" s="12" t="n">
        <v>334332</v>
      </c>
      <c r="G107" s="12" t="n">
        <v>335596</v>
      </c>
      <c r="H107" s="12" t="n">
        <v>309487</v>
      </c>
      <c r="I107" s="12" t="n">
        <v>319768</v>
      </c>
      <c r="J107" s="12" t="n">
        <v>334780</v>
      </c>
      <c r="K107" s="12" t="n">
        <v>313913</v>
      </c>
      <c r="L107" s="12" t="n">
        <v>334332</v>
      </c>
    </row>
    <row r="108">
      <c r="A108" s="18" t="inlineStr">
        <is>
          <t>지급어음·매입채무</t>
        </is>
      </c>
      <c r="H108" s="20" t="n">
        <v>73832</v>
      </c>
      <c r="I108" s="20" t="n">
        <v>96153</v>
      </c>
      <c r="J108" s="20" t="n">
        <v>86135</v>
      </c>
      <c r="K108" s="20" t="n">
        <v>84743</v>
      </c>
    </row>
    <row r="109">
      <c r="A109" s="18" t="inlineStr">
        <is>
          <t>전자기록채무</t>
        </is>
      </c>
      <c r="C109" s="20" t="n">
        <v>2593</v>
      </c>
      <c r="D109" s="20" t="n">
        <v>2501</v>
      </c>
      <c r="E109" s="20" t="n">
        <v>2681</v>
      </c>
      <c r="F109" s="20" t="n">
        <v>2056</v>
      </c>
      <c r="G109" s="20" t="n">
        <v>2032</v>
      </c>
      <c r="H109" s="20" t="n">
        <v>4150</v>
      </c>
      <c r="I109" s="20" t="n">
        <v>5699</v>
      </c>
      <c r="J109" s="20" t="n">
        <v>3790</v>
      </c>
      <c r="K109" s="20" t="n">
        <v>2827</v>
      </c>
      <c r="L109" s="20" t="n">
        <v>2056</v>
      </c>
    </row>
    <row r="110">
      <c r="A110" s="18" t="inlineStr">
        <is>
          <t>1년 내 상환 예정 사채</t>
        </is>
      </c>
      <c r="H110" s="20" t="n">
        <v>0</v>
      </c>
      <c r="I110" s="20" t="n">
        <v>6000</v>
      </c>
      <c r="J110" s="20" t="n">
        <v>0</v>
      </c>
    </row>
    <row r="111">
      <c r="A111" s="18" t="inlineStr">
        <is>
          <t>매입채무</t>
        </is>
      </c>
      <c r="C111" s="20" t="n">
        <v>71511</v>
      </c>
      <c r="D111" s="20" t="n">
        <v>72015</v>
      </c>
      <c r="E111" s="20" t="n">
        <v>69190</v>
      </c>
      <c r="F111" s="20" t="n">
        <v>79552</v>
      </c>
      <c r="G111" s="20" t="n">
        <v>80276</v>
      </c>
      <c r="K111" s="20" t="n">
        <v>84743</v>
      </c>
      <c r="L111" s="20" t="n">
        <v>79552</v>
      </c>
    </row>
    <row r="112">
      <c r="A112" s="18" t="inlineStr">
        <is>
          <t>단기차입금</t>
        </is>
      </c>
      <c r="C112" s="20" t="n">
        <v>11101</v>
      </c>
      <c r="D112" s="20" t="n">
        <v>6052</v>
      </c>
      <c r="E112" s="20" t="n">
        <v>8208</v>
      </c>
      <c r="F112" s="20" t="n">
        <v>9603</v>
      </c>
      <c r="G112" s="20" t="n">
        <v>8069</v>
      </c>
      <c r="H112" s="20" t="n">
        <v>16335</v>
      </c>
      <c r="I112" s="20" t="n">
        <v>9464</v>
      </c>
      <c r="J112" s="20" t="n">
        <v>1105</v>
      </c>
      <c r="K112" s="20" t="n">
        <v>6891</v>
      </c>
      <c r="L112" s="20" t="n">
        <v>9603</v>
      </c>
    </row>
    <row r="113">
      <c r="A113" s="18" t="inlineStr">
        <is>
          <t>1년 내 상환 장기차입금</t>
        </is>
      </c>
      <c r="C113" s="20" t="n">
        <v>13479</v>
      </c>
      <c r="D113" s="20" t="n">
        <v>23077</v>
      </c>
      <c r="E113" s="20" t="n">
        <v>12758</v>
      </c>
      <c r="F113" s="20" t="n">
        <v>12096</v>
      </c>
      <c r="G113" s="20" t="n">
        <v>11223</v>
      </c>
      <c r="H113" s="20" t="n">
        <v>25920</v>
      </c>
      <c r="I113" s="20" t="n">
        <v>7581</v>
      </c>
      <c r="J113" s="20" t="n">
        <v>11773</v>
      </c>
      <c r="K113" s="20" t="n">
        <v>13514</v>
      </c>
      <c r="L113" s="20" t="n">
        <v>12096</v>
      </c>
    </row>
    <row r="114">
      <c r="A114" s="18" t="inlineStr">
        <is>
          <t>미지급법인세</t>
        </is>
      </c>
      <c r="C114" s="20" t="n">
        <v>2944</v>
      </c>
      <c r="D114" s="20" t="n">
        <v>3177</v>
      </c>
      <c r="E114" s="20" t="n">
        <v>2874</v>
      </c>
      <c r="F114" s="20" t="n">
        <v>2482</v>
      </c>
      <c r="G114" s="20" t="n">
        <v>2664</v>
      </c>
      <c r="H114" s="20" t="n">
        <v>773</v>
      </c>
      <c r="I114" s="20" t="n">
        <v>984</v>
      </c>
      <c r="J114" s="20" t="n">
        <v>2639</v>
      </c>
      <c r="K114" s="20" t="n">
        <v>3638</v>
      </c>
      <c r="L114" s="20" t="n">
        <v>2482</v>
      </c>
    </row>
    <row r="115">
      <c r="A115" s="18" t="inlineStr">
        <is>
          <t>미지급 소비세</t>
        </is>
      </c>
      <c r="C115" s="20" t="n">
        <v>1657</v>
      </c>
      <c r="D115" s="20" t="n">
        <v>1403</v>
      </c>
      <c r="E115" s="20" t="n">
        <v>1334</v>
      </c>
      <c r="F115" s="20" t="n">
        <v>1737</v>
      </c>
      <c r="G115" s="20" t="n">
        <v>1645</v>
      </c>
      <c r="H115" s="20" t="n">
        <v>1831</v>
      </c>
      <c r="I115" s="20" t="n">
        <v>1393</v>
      </c>
      <c r="J115" s="20" t="n">
        <v>2498</v>
      </c>
      <c r="K115" s="20" t="n">
        <v>1490</v>
      </c>
      <c r="L115" s="20" t="n">
        <v>1737</v>
      </c>
    </row>
    <row r="116">
      <c r="A116" s="18" t="inlineStr">
        <is>
          <t>임원 상여충당금</t>
        </is>
      </c>
      <c r="C116" s="20" t="n">
        <v>7</v>
      </c>
      <c r="D116" s="20" t="n">
        <v>15</v>
      </c>
      <c r="E116" s="20" t="n">
        <v>23</v>
      </c>
      <c r="F116" s="20" t="n">
        <v>56</v>
      </c>
      <c r="G116" s="20" t="n">
        <v>8</v>
      </c>
      <c r="H116" s="20" t="n">
        <v>33</v>
      </c>
      <c r="I116" s="20" t="n">
        <v>33</v>
      </c>
      <c r="J116" s="20" t="n">
        <v>32</v>
      </c>
      <c r="K116" s="20" t="n">
        <v>30</v>
      </c>
      <c r="L116" s="20" t="n">
        <v>56</v>
      </c>
    </row>
    <row r="117">
      <c r="A117" s="18" t="inlineStr">
        <is>
          <t>미지급비용</t>
        </is>
      </c>
      <c r="C117" s="20" t="n">
        <v>17126</v>
      </c>
      <c r="D117" s="20" t="n">
        <v>15120</v>
      </c>
      <c r="E117" s="20" t="n">
        <v>13134</v>
      </c>
      <c r="F117" s="20" t="n">
        <v>15942</v>
      </c>
      <c r="G117" s="20" t="n">
        <v>17952</v>
      </c>
      <c r="H117" s="20" t="n">
        <v>11904</v>
      </c>
      <c r="I117" s="20" t="n">
        <v>12909</v>
      </c>
      <c r="J117" s="20" t="n">
        <v>15576</v>
      </c>
      <c r="K117" s="20" t="n">
        <v>15582</v>
      </c>
      <c r="L117" s="20" t="n">
        <v>15942</v>
      </c>
    </row>
    <row r="118">
      <c r="A118" s="18" t="inlineStr">
        <is>
          <t>기타</t>
        </is>
      </c>
      <c r="C118" s="20" t="n">
        <v>6951</v>
      </c>
      <c r="D118" s="20" t="n">
        <v>12328</v>
      </c>
      <c r="E118" s="20" t="n">
        <v>12126</v>
      </c>
      <c r="F118" s="20" t="n">
        <v>14723</v>
      </c>
      <c r="G118" s="20" t="n">
        <v>15287</v>
      </c>
      <c r="H118" s="20" t="n">
        <v>10284</v>
      </c>
      <c r="I118" s="20" t="n">
        <v>7567</v>
      </c>
      <c r="J118" s="20" t="n">
        <v>14376</v>
      </c>
      <c r="K118" s="20" t="n">
        <v>9352</v>
      </c>
      <c r="L118" s="20" t="n">
        <v>14723</v>
      </c>
    </row>
    <row r="119">
      <c r="A119" s="9" t="inlineStr">
        <is>
          <t>유동부채 합계</t>
        </is>
      </c>
      <c r="C119" s="12" t="n">
        <v>127374</v>
      </c>
      <c r="D119" s="12" t="n">
        <v>135693</v>
      </c>
      <c r="E119" s="12" t="n">
        <v>122332</v>
      </c>
      <c r="F119" s="12" t="n">
        <v>138249</v>
      </c>
      <c r="G119" s="12" t="n">
        <v>139160</v>
      </c>
      <c r="H119" s="12" t="n">
        <v>145067</v>
      </c>
      <c r="I119" s="12" t="n">
        <v>147787</v>
      </c>
      <c r="J119" s="12" t="n">
        <v>137926</v>
      </c>
      <c r="K119" s="12" t="n">
        <v>138070</v>
      </c>
      <c r="L119" s="12" t="n">
        <v>138249</v>
      </c>
    </row>
    <row r="120">
      <c r="A120" s="18" t="inlineStr">
        <is>
          <t>사채</t>
        </is>
      </c>
      <c r="C120" s="20" t="n">
        <v>6000</v>
      </c>
      <c r="D120" s="20" t="n">
        <v>6000</v>
      </c>
      <c r="E120" s="20" t="n">
        <v>6000</v>
      </c>
      <c r="F120" s="20" t="n">
        <v>6000</v>
      </c>
      <c r="G120" s="20" t="n">
        <v>6000</v>
      </c>
      <c r="H120" s="20" t="n">
        <v>12000</v>
      </c>
      <c r="I120" s="20" t="n">
        <v>6000</v>
      </c>
      <c r="J120" s="20" t="n">
        <v>6000</v>
      </c>
      <c r="K120" s="20" t="n">
        <v>6000</v>
      </c>
      <c r="L120" s="20" t="n">
        <v>6000</v>
      </c>
    </row>
    <row r="121">
      <c r="A121" s="18" t="inlineStr">
        <is>
          <t>장기차입금</t>
        </is>
      </c>
      <c r="C121" s="20" t="n">
        <v>26401</v>
      </c>
      <c r="D121" s="20" t="n">
        <v>16262</v>
      </c>
      <c r="E121" s="20" t="n">
        <v>24010</v>
      </c>
      <c r="F121" s="20" t="n">
        <v>25952</v>
      </c>
      <c r="G121" s="20" t="n">
        <v>25871</v>
      </c>
      <c r="H121" s="20" t="n">
        <v>43022</v>
      </c>
      <c r="I121" s="20" t="n">
        <v>51818</v>
      </c>
      <c r="J121" s="20" t="n">
        <v>41137</v>
      </c>
      <c r="K121" s="20" t="n">
        <v>27500</v>
      </c>
      <c r="L121" s="20" t="n">
        <v>25952</v>
      </c>
    </row>
    <row r="122">
      <c r="A122" s="18" t="inlineStr">
        <is>
          <t>이연법인세부채</t>
        </is>
      </c>
      <c r="C122" s="20" t="n">
        <v>7515</v>
      </c>
      <c r="D122" s="20" t="n">
        <v>7910</v>
      </c>
      <c r="E122" s="20" t="n">
        <v>8831</v>
      </c>
      <c r="F122" s="20" t="n">
        <v>9910</v>
      </c>
      <c r="G122" s="20" t="n">
        <v>9580</v>
      </c>
      <c r="H122" s="20" t="n">
        <v>9246</v>
      </c>
      <c r="I122" s="20" t="n">
        <v>3117</v>
      </c>
      <c r="J122" s="20" t="n">
        <v>10191</v>
      </c>
      <c r="K122" s="20" t="n">
        <v>7941</v>
      </c>
      <c r="L122" s="20" t="n">
        <v>9910</v>
      </c>
    </row>
    <row r="123">
      <c r="A123" s="18" t="inlineStr">
        <is>
          <t>제품보증 충당금</t>
        </is>
      </c>
      <c r="C123" s="20" t="n">
        <v>318</v>
      </c>
      <c r="D123" s="20" t="n">
        <v>325</v>
      </c>
      <c r="E123" s="20" t="n">
        <v>325</v>
      </c>
      <c r="F123" s="20" t="n">
        <v>284</v>
      </c>
      <c r="G123" s="20" t="n">
        <v>284</v>
      </c>
      <c r="H123" s="20" t="n">
        <v>225</v>
      </c>
      <c r="I123" s="20" t="n">
        <v>274</v>
      </c>
      <c r="J123" s="20" t="n">
        <v>388</v>
      </c>
      <c r="K123" s="20" t="n">
        <v>318</v>
      </c>
      <c r="L123" s="20" t="n">
        <v>284</v>
      </c>
    </row>
    <row r="124">
      <c r="A124" s="18" t="inlineStr">
        <is>
          <t>환경대책 충당금</t>
        </is>
      </c>
      <c r="C124" s="20" t="n">
        <v>148</v>
      </c>
      <c r="D124" s="20" t="n">
        <v>148</v>
      </c>
      <c r="E124" s="20" t="n">
        <v>148</v>
      </c>
      <c r="F124" s="20" t="n">
        <v>153</v>
      </c>
      <c r="G124" s="20" t="n">
        <v>153</v>
      </c>
      <c r="J124" s="20" t="n">
        <v>0</v>
      </c>
      <c r="K124" s="20" t="n">
        <v>148</v>
      </c>
      <c r="L124" s="20" t="n">
        <v>153</v>
      </c>
    </row>
    <row r="125">
      <c r="A125" s="18" t="inlineStr">
        <is>
          <t>해체철거 충당금</t>
        </is>
      </c>
      <c r="C125" s="20" t="n">
        <v>933</v>
      </c>
      <c r="D125" s="20" t="n">
        <v>933</v>
      </c>
      <c r="E125" s="20" t="n">
        <v>933</v>
      </c>
      <c r="F125" s="20" t="n">
        <v>503</v>
      </c>
      <c r="G125" s="20" t="n">
        <v>503</v>
      </c>
      <c r="I125" s="20" t="n">
        <v>0</v>
      </c>
      <c r="J125" s="20" t="n">
        <v>933</v>
      </c>
      <c r="K125" s="20" t="n">
        <v>933</v>
      </c>
      <c r="L125" s="20" t="n">
        <v>503</v>
      </c>
    </row>
    <row r="126">
      <c r="A126" s="18" t="inlineStr">
        <is>
          <t>퇴직급여부채</t>
        </is>
      </c>
      <c r="C126" s="20" t="n">
        <v>6858</v>
      </c>
      <c r="D126" s="20" t="n">
        <v>7018</v>
      </c>
      <c r="E126" s="20" t="n">
        <v>7100</v>
      </c>
      <c r="F126" s="20" t="n">
        <v>4576</v>
      </c>
      <c r="G126" s="20" t="n">
        <v>4664</v>
      </c>
      <c r="H126" s="20" t="n">
        <v>8645</v>
      </c>
      <c r="I126" s="20" t="n">
        <v>9619</v>
      </c>
      <c r="J126" s="20" t="n">
        <v>5057</v>
      </c>
      <c r="K126" s="20" t="n">
        <v>6762</v>
      </c>
      <c r="L126" s="20" t="n">
        <v>4576</v>
      </c>
    </row>
    <row r="127">
      <c r="A127" s="18" t="inlineStr">
        <is>
          <t>기타</t>
        </is>
      </c>
      <c r="C127" s="20" t="n">
        <v>3049</v>
      </c>
      <c r="D127" s="20" t="n">
        <v>2989</v>
      </c>
      <c r="E127" s="20" t="n">
        <v>2957</v>
      </c>
      <c r="F127" s="20" t="n">
        <v>2850</v>
      </c>
      <c r="G127" s="20" t="n">
        <v>2919</v>
      </c>
      <c r="H127" s="20" t="n">
        <v>1267</v>
      </c>
      <c r="I127" s="20" t="n">
        <v>1403</v>
      </c>
      <c r="J127" s="20" t="n">
        <v>2243</v>
      </c>
      <c r="K127" s="20" t="n">
        <v>3073</v>
      </c>
      <c r="L127" s="20" t="n">
        <v>2850</v>
      </c>
    </row>
    <row r="128">
      <c r="A128" s="9" t="inlineStr">
        <is>
          <t>비유동부채 합계</t>
        </is>
      </c>
      <c r="C128" s="12" t="n">
        <v>51225</v>
      </c>
      <c r="D128" s="12" t="n">
        <v>41586</v>
      </c>
      <c r="E128" s="12" t="n">
        <v>50306</v>
      </c>
      <c r="F128" s="12" t="n">
        <v>50231</v>
      </c>
      <c r="G128" s="12" t="n">
        <v>49977</v>
      </c>
      <c r="H128" s="12" t="n">
        <v>74406</v>
      </c>
      <c r="I128" s="12" t="n">
        <v>72233</v>
      </c>
      <c r="J128" s="12" t="n">
        <v>65951</v>
      </c>
      <c r="K128" s="12" t="n">
        <v>52677</v>
      </c>
      <c r="L128" s="12" t="n">
        <v>50231</v>
      </c>
    </row>
    <row r="129">
      <c r="A129" s="9" t="inlineStr">
        <is>
          <t>부채 합계</t>
        </is>
      </c>
      <c r="C129" s="12" t="n">
        <v>178599</v>
      </c>
      <c r="D129" s="12" t="n">
        <v>177280</v>
      </c>
      <c r="E129" s="12" t="n">
        <v>172639</v>
      </c>
      <c r="F129" s="12" t="n">
        <v>188481</v>
      </c>
      <c r="G129" s="12" t="n">
        <v>189137</v>
      </c>
      <c r="H129" s="12" t="n">
        <v>219473</v>
      </c>
      <c r="I129" s="12" t="n">
        <v>220021</v>
      </c>
      <c r="J129" s="12" t="n">
        <v>203878</v>
      </c>
      <c r="K129" s="12" t="n">
        <v>190747</v>
      </c>
      <c r="L129" s="12" t="n">
        <v>188481</v>
      </c>
    </row>
    <row r="130">
      <c r="A130" s="18" t="inlineStr">
        <is>
          <t>자본금</t>
        </is>
      </c>
      <c r="C130" s="20" t="n">
        <v>16820</v>
      </c>
      <c r="D130" s="20" t="n">
        <v>16820</v>
      </c>
      <c r="E130" s="20" t="n">
        <v>16820</v>
      </c>
      <c r="F130" s="20" t="n">
        <v>16820</v>
      </c>
      <c r="G130" s="20" t="n">
        <v>16820</v>
      </c>
      <c r="H130" s="20" t="n">
        <v>16820</v>
      </c>
      <c r="I130" s="20" t="n">
        <v>16820</v>
      </c>
      <c r="J130" s="20" t="n">
        <v>16820</v>
      </c>
      <c r="K130" s="20" t="n">
        <v>16820</v>
      </c>
      <c r="L130" s="20" t="n">
        <v>16820</v>
      </c>
    </row>
    <row r="131">
      <c r="A131" s="18" t="inlineStr">
        <is>
          <t>자본잉여금</t>
        </is>
      </c>
      <c r="C131" s="20" t="n">
        <v>9197</v>
      </c>
      <c r="D131" s="20" t="n">
        <v>9207</v>
      </c>
      <c r="E131" s="20" t="n">
        <v>9207</v>
      </c>
      <c r="F131" s="20" t="n">
        <v>9219</v>
      </c>
      <c r="G131" s="20" t="n">
        <v>9219</v>
      </c>
      <c r="H131" s="20" t="n">
        <v>9183</v>
      </c>
      <c r="I131" s="20" t="n">
        <v>9182</v>
      </c>
      <c r="J131" s="20" t="n">
        <v>9186</v>
      </c>
      <c r="K131" s="20" t="n">
        <v>9197</v>
      </c>
      <c r="L131" s="20" t="n">
        <v>9219</v>
      </c>
    </row>
    <row r="132">
      <c r="A132" s="18" t="inlineStr">
        <is>
          <t>이익잉여금</t>
        </is>
      </c>
      <c r="C132" s="20" t="n">
        <v>62526</v>
      </c>
      <c r="D132" s="20" t="n">
        <v>66302</v>
      </c>
      <c r="E132" s="20" t="n">
        <v>69038</v>
      </c>
      <c r="F132" s="20" t="n">
        <v>74241</v>
      </c>
      <c r="G132" s="20" t="n">
        <v>74662</v>
      </c>
      <c r="H132" s="20" t="n">
        <v>38961</v>
      </c>
      <c r="I132" s="20" t="n">
        <v>48641</v>
      </c>
      <c r="J132" s="20" t="n">
        <v>58893</v>
      </c>
      <c r="K132" s="20" t="n">
        <v>61790</v>
      </c>
      <c r="L132" s="20" t="n">
        <v>74241</v>
      </c>
    </row>
    <row r="133">
      <c r="A133" s="18" t="inlineStr">
        <is>
          <t>자기주식</t>
        </is>
      </c>
      <c r="C133" s="20" t="n">
        <v>-37</v>
      </c>
      <c r="D133" s="20" t="n">
        <v>-24</v>
      </c>
      <c r="E133" s="20" t="n">
        <v>-442</v>
      </c>
      <c r="F133" s="20" t="n">
        <v>-251</v>
      </c>
      <c r="G133" s="20" t="n">
        <v>-251</v>
      </c>
      <c r="H133" s="20" t="n">
        <v>-14</v>
      </c>
      <c r="I133" s="20" t="n">
        <v>-62</v>
      </c>
      <c r="J133" s="20" t="n">
        <v>-46</v>
      </c>
      <c r="K133" s="20" t="n">
        <v>-37</v>
      </c>
      <c r="L133" s="20" t="n">
        <v>-251</v>
      </c>
    </row>
    <row r="134">
      <c r="A134" s="9" t="inlineStr">
        <is>
          <t>주주자본 합계</t>
        </is>
      </c>
      <c r="C134" s="12" t="n">
        <v>88506</v>
      </c>
      <c r="D134" s="12" t="n">
        <v>92305</v>
      </c>
      <c r="E134" s="12" t="n">
        <v>94623</v>
      </c>
      <c r="F134" s="12" t="n">
        <v>100030</v>
      </c>
      <c r="G134" s="12" t="n">
        <v>100450</v>
      </c>
      <c r="H134" s="12" t="n">
        <v>64950</v>
      </c>
      <c r="I134" s="12" t="n">
        <v>74581</v>
      </c>
      <c r="J134" s="12" t="n">
        <v>84853</v>
      </c>
      <c r="K134" s="12" t="n">
        <v>87771</v>
      </c>
      <c r="L134" s="12" t="n">
        <v>100030</v>
      </c>
    </row>
    <row r="135">
      <c r="A135" s="18" t="inlineStr">
        <is>
          <t>기타유가증권 평가차액</t>
        </is>
      </c>
      <c r="C135" s="20" t="n">
        <v>9623</v>
      </c>
      <c r="D135" s="20" t="n">
        <v>11295</v>
      </c>
      <c r="E135" s="20" t="n">
        <v>13076</v>
      </c>
      <c r="F135" s="20" t="n">
        <v>12362</v>
      </c>
      <c r="G135" s="20" t="n">
        <v>11599</v>
      </c>
      <c r="H135" s="20" t="n">
        <v>7982</v>
      </c>
      <c r="I135" s="20" t="n">
        <v>7500</v>
      </c>
      <c r="J135" s="20" t="n">
        <v>14712</v>
      </c>
      <c r="K135" s="20" t="n">
        <v>10053</v>
      </c>
      <c r="L135" s="20" t="n">
        <v>12362</v>
      </c>
    </row>
    <row r="136">
      <c r="A136" s="18" t="inlineStr">
        <is>
          <t>해외사업환산조정</t>
        </is>
      </c>
      <c r="C136" s="20" t="n">
        <v>14449</v>
      </c>
      <c r="D136" s="20" t="n">
        <v>15033</v>
      </c>
      <c r="E136" s="20" t="n">
        <v>18392</v>
      </c>
      <c r="F136" s="20" t="n">
        <v>18825</v>
      </c>
      <c r="G136" s="20" t="n">
        <v>19705</v>
      </c>
      <c r="H136" s="20" t="n">
        <v>7300</v>
      </c>
      <c r="I136" s="20" t="n">
        <v>9802</v>
      </c>
      <c r="J136" s="20" t="n">
        <v>16094</v>
      </c>
      <c r="K136" s="20" t="n">
        <v>14665</v>
      </c>
      <c r="L136" s="20" t="n">
        <v>18825</v>
      </c>
    </row>
    <row r="137">
      <c r="A137" s="18" t="inlineStr">
        <is>
          <t>퇴직급여 조정누계액</t>
        </is>
      </c>
      <c r="C137" s="20" t="n">
        <v>4960</v>
      </c>
      <c r="D137" s="20" t="n">
        <v>4794</v>
      </c>
      <c r="E137" s="20" t="n">
        <v>4627</v>
      </c>
      <c r="F137" s="20" t="n">
        <v>7666</v>
      </c>
      <c r="G137" s="20" t="n">
        <v>7489</v>
      </c>
      <c r="H137" s="20" t="n">
        <v>3986</v>
      </c>
      <c r="I137" s="20" t="n">
        <v>2187</v>
      </c>
      <c r="J137" s="20" t="n">
        <v>8718</v>
      </c>
      <c r="K137" s="20" t="n">
        <v>5130</v>
      </c>
      <c r="L137" s="20" t="n">
        <v>7666</v>
      </c>
    </row>
    <row r="138">
      <c r="A138" s="18" t="inlineStr">
        <is>
          <t>기타포괄손익누계액 합계</t>
        </is>
      </c>
      <c r="C138" s="20" t="n">
        <v>29033</v>
      </c>
      <c r="D138" s="20" t="n">
        <v>31123</v>
      </c>
      <c r="E138" s="20" t="n">
        <v>36096</v>
      </c>
      <c r="F138" s="20" t="n">
        <v>38854</v>
      </c>
      <c r="G138" s="20" t="n">
        <v>38794</v>
      </c>
      <c r="H138" s="20" t="n">
        <v>19269</v>
      </c>
      <c r="I138" s="20" t="n">
        <v>19489</v>
      </c>
      <c r="J138" s="20" t="n">
        <v>39525</v>
      </c>
      <c r="K138" s="20" t="n">
        <v>29849</v>
      </c>
      <c r="L138" s="20" t="n">
        <v>38854</v>
      </c>
    </row>
    <row r="139">
      <c r="A139" s="18" t="inlineStr">
        <is>
          <t>비지배지분</t>
        </is>
      </c>
      <c r="C139" s="20" t="n">
        <v>5609</v>
      </c>
      <c r="D139" s="20" t="n">
        <v>6301</v>
      </c>
      <c r="E139" s="20" t="n">
        <v>6729</v>
      </c>
      <c r="F139" s="20" t="n">
        <v>6966</v>
      </c>
      <c r="G139" s="20" t="n">
        <v>7213</v>
      </c>
      <c r="H139" s="20" t="n">
        <v>5794</v>
      </c>
      <c r="I139" s="20" t="n">
        <v>5675</v>
      </c>
      <c r="J139" s="20" t="n">
        <v>6523</v>
      </c>
      <c r="K139" s="20" t="n">
        <v>5545</v>
      </c>
      <c r="L139" s="20" t="n">
        <v>6966</v>
      </c>
    </row>
    <row r="140">
      <c r="A140" s="9" t="inlineStr">
        <is>
          <t>순자산 합계</t>
        </is>
      </c>
      <c r="C140" s="12" t="n">
        <v>123150</v>
      </c>
      <c r="D140" s="12" t="n">
        <v>129729</v>
      </c>
      <c r="E140" s="12" t="n">
        <v>137450</v>
      </c>
      <c r="F140" s="12" t="n">
        <v>145851</v>
      </c>
      <c r="G140" s="12" t="n">
        <v>146458</v>
      </c>
      <c r="H140" s="12" t="n">
        <v>90014</v>
      </c>
      <c r="I140" s="12" t="n">
        <v>99747</v>
      </c>
      <c r="J140" s="12" t="n">
        <v>130901</v>
      </c>
      <c r="K140" s="12" t="n">
        <v>123165</v>
      </c>
      <c r="L140" s="12" t="n">
        <v>145851</v>
      </c>
    </row>
    <row r="141">
      <c r="A141" s="9" t="inlineStr">
        <is>
          <t>부채·순자산 합계</t>
        </is>
      </c>
      <c r="C141" s="12" t="n">
        <v>301750</v>
      </c>
      <c r="D141" s="12" t="n">
        <v>307009</v>
      </c>
      <c r="E141" s="12" t="n">
        <v>310089</v>
      </c>
      <c r="F141" s="12" t="n">
        <v>334332</v>
      </c>
      <c r="G141" s="12" t="n">
        <v>335596</v>
      </c>
      <c r="H141" s="12" t="n">
        <v>309487</v>
      </c>
      <c r="I141" s="12" t="n">
        <v>319768</v>
      </c>
      <c r="J141" s="12" t="n">
        <v>334780</v>
      </c>
      <c r="K141" s="12" t="n">
        <v>313913</v>
      </c>
      <c r="L141" s="12" t="n">
        <v>334332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https://www2.jpx.co.jp/disc/72410/140120260730503146.pdf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https://www2.jpx.co.jp/disc/72410/140120260424510888.pdf</t>
        </is>
      </c>
    </row>
    <row r="6">
      <c r="A6" t="inlineStr">
        <is>
          <t>2026-02-02</t>
        </is>
      </c>
      <c r="B6" t="inlineStr">
        <is>
          <t>2026년 3월 결산기 ３분기 결산단신</t>
        </is>
      </c>
      <c r="C6" t="inlineStr">
        <is>
          <t>https://www2.jpx.co.jp/disc/72410/140120260129542082.pdf</t>
        </is>
      </c>
    </row>
    <row r="7">
      <c r="A7" t="inlineStr">
        <is>
          <t>2025-10-30</t>
        </is>
      </c>
      <c r="B7" t="inlineStr">
        <is>
          <t>2026년 3월 결산기 ２분기 결산단신</t>
        </is>
      </c>
      <c r="C7" t="inlineStr">
        <is>
          <t>https://www2.jpx.co.jp/disc/72410/140120251030582182.pdf</t>
        </is>
      </c>
    </row>
    <row r="8">
      <c r="A8" t="inlineStr">
        <is>
          <t>2025-07-30</t>
        </is>
      </c>
      <c r="B8" t="inlineStr">
        <is>
          <t>2026년 3월 결산기 １분기 결산단신</t>
        </is>
      </c>
      <c r="C8" t="inlineStr">
        <is>
          <t>https://www2.jpx.co.jp/disc/72410/140120250729522152.pdf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https://www2.jpx.co.jp/disc/72410/140120250424522903.pdf</t>
        </is>
      </c>
    </row>
    <row r="10">
      <c r="A10" t="inlineStr">
        <is>
          <t>2025-01-30</t>
        </is>
      </c>
      <c r="B10" t="inlineStr">
        <is>
          <t>2025년 3월 결산기 ３분기 결산단신</t>
        </is>
      </c>
      <c r="C10" t="inlineStr">
        <is>
          <t>https://www2.jpx.co.jp/disc/72410/140120250129557657.pdf</t>
        </is>
      </c>
    </row>
    <row r="11">
      <c r="A11" t="inlineStr">
        <is>
          <t>2024-10-30</t>
        </is>
      </c>
      <c r="B11" t="inlineStr">
        <is>
          <t>2025년 3월 결산기 ２분기 결산단신</t>
        </is>
      </c>
      <c r="C11" t="inlineStr">
        <is>
          <t>https://www2.jpx.co.jp/disc/72410/140120241030505646.pdf</t>
        </is>
      </c>
    </row>
    <row r="12">
      <c r="A12" t="inlineStr">
        <is>
          <t>2024-07-30</t>
        </is>
      </c>
      <c r="B12" t="inlineStr">
        <is>
          <t>2025년 3월 결산기 １분기 결산단신</t>
        </is>
      </c>
      <c r="C12" t="inlineStr">
        <is>
          <t>https://www2.jpx.co.jp/disc/72410/140120240730557282.pdf</t>
        </is>
      </c>
    </row>
    <row r="13">
      <c r="A13" t="inlineStr">
        <is>
          <t>2024-04-25</t>
        </is>
      </c>
      <c r="B13" t="inlineStr">
        <is>
          <t>2024년 3월 결산기 연간 결산단신</t>
        </is>
      </c>
      <c r="C13" t="inlineStr">
        <is>
          <t>https://www2.jpx.co.jp/disc/72410/140120240425576542.pdf</t>
        </is>
      </c>
    </row>
    <row r="14">
      <c r="A14" t="inlineStr">
        <is>
          <t>2024-02-01</t>
        </is>
      </c>
      <c r="B14" t="inlineStr">
        <is>
          <t>2024년 3월 결산기 ３분기 결산단신</t>
        </is>
      </c>
      <c r="C14" t="inlineStr">
        <is>
          <t>https://www2.jpx.co.jp/disc/72410/140120240131523416.pdf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https://www2.jpx.co.jp/disc/72410/140120231027573302.pdf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https://www2.jpx.co.jp/disc/72410/140120230726526934.pdf</t>
        </is>
      </c>
    </row>
    <row r="17">
      <c r="A17" t="inlineStr">
        <is>
          <t>2023-04-26</t>
        </is>
      </c>
      <c r="B17" t="inlineStr">
        <is>
          <t>2023년 3월 결산기 연간 결산단신</t>
        </is>
      </c>
      <c r="C17" t="inlineStr">
        <is>
          <t>https://www2.jpx.co.jp/disc/72410/140120230407544241.pdf</t>
        </is>
      </c>
    </row>
    <row r="18">
      <c r="A18" t="inlineStr">
        <is>
          <t>2023-02-02</t>
        </is>
      </c>
      <c r="B18" t="inlineStr">
        <is>
          <t>2023년 3월 결산기 ３분기 결산단신</t>
        </is>
      </c>
      <c r="C18" t="inlineStr">
        <is>
          <t>https://www2.jpx.co.jp/disc/72410/140120230130595748.pdf</t>
        </is>
      </c>
    </row>
    <row r="19">
      <c r="A19" t="inlineStr">
        <is>
          <t>2022-10-27</t>
        </is>
      </c>
      <c r="B19" t="inlineStr">
        <is>
          <t>2023년 3월 결산기 ２분기 결산단신</t>
        </is>
      </c>
      <c r="C19" t="inlineStr">
        <is>
          <t>https://www2.jpx.co.jp/disc/72410/140120221027550366.pdf</t>
        </is>
      </c>
    </row>
    <row r="20">
      <c r="A20" t="inlineStr">
        <is>
          <t>2022-04-27</t>
        </is>
      </c>
      <c r="B20" t="inlineStr">
        <is>
          <t>2022년 3월 결산기 연간 결산단신</t>
        </is>
      </c>
      <c r="C20" t="inlineStr">
        <is>
          <t>https://www2.jpx.co.jp/disc/72410/140120220426528170.pdf</t>
        </is>
      </c>
    </row>
    <row r="21">
      <c r="A21" t="inlineStr">
        <is>
          <t>2021-04-27</t>
        </is>
      </c>
      <c r="B21" t="inlineStr">
        <is>
          <t>2021년 3월 결산기 연간 결산단신</t>
        </is>
      </c>
      <c r="C21" t="inlineStr">
        <is>
          <t>https://www2.jpx.co.jp/disc/72410/140120210422497958.pdf</t>
        </is>
      </c>
    </row>
    <row r="22">
      <c r="A22" t="inlineStr">
        <is>
          <t>2020-04-28</t>
        </is>
      </c>
      <c r="B22" t="inlineStr">
        <is>
          <t>2020년 3월 결산기 연간 결산단신</t>
        </is>
      </c>
      <c r="C22" t="inlineStr">
        <is>
          <t>https://www2.jpx.co.jp/disc/72410/140120200313479445.pdf</t>
        </is>
      </c>
    </row>
    <row r="23">
      <c r="A23" t="inlineStr">
        <is>
          <t>2019-04-25</t>
        </is>
      </c>
      <c r="B23" t="inlineStr">
        <is>
          <t>2019년 3월 결산기 연간 결산단신</t>
        </is>
      </c>
      <c r="C23" t="inlineStr">
        <is>
          <t>https://www2.jpx.co.jp/disc/72410/140120190306486627.pdf</t>
        </is>
      </c>
    </row>
    <row r="24">
      <c r="A24" t="inlineStr">
        <is>
          <t>2018-04-26</t>
        </is>
      </c>
      <c r="B24" t="inlineStr">
        <is>
          <t>연간 결산단신</t>
        </is>
      </c>
      <c r="C24" t="inlineStr">
        <is>
          <t>https://www2.jpx.co.jp/disc/72410/140120180426421143.pdf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2026-10-28T06:59:42Z</dcterms:created>
  <dcterms:modified xmlns:dcterms="http://purl.org/dc/terms/" xmlns:xsi="http://www.w3.org/2001/XMLSchema-instance" xsi:type="dcterms:W3CDTF">2026-10-28T06:59:42Z</dcterms:modified>
</cp:coreProperties>
</file>