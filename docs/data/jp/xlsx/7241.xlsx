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7241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198667</v>
      </c>
      <c r="D4" s="12" t="n">
        <v>206826</v>
      </c>
      <c r="E4" s="12" t="n">
        <v>185636</v>
      </c>
      <c r="F4" s="12" t="n">
        <v>186453</v>
      </c>
      <c r="G4" s="12" t="n">
        <v>162859</v>
      </c>
      <c r="H4" s="12" t="n">
        <v>177177</v>
      </c>
      <c r="I4" s="12" t="n">
        <v>180615</v>
      </c>
      <c r="J4" s="12" t="n">
        <v>163920</v>
      </c>
      <c r="K4" s="12" t="n">
        <v>165558</v>
      </c>
      <c r="L4" s="12" t="n">
        <v>173053</v>
      </c>
      <c r="M4" s="12" t="n">
        <v>175388</v>
      </c>
      <c r="N4" s="12" t="n">
        <v>175614</v>
      </c>
      <c r="O4" s="11" t="n">
        <v>412383</v>
      </c>
      <c r="P4" s="12" t="n">
        <v>440446</v>
      </c>
      <c r="Q4" s="12" t="n">
        <v>461705</v>
      </c>
      <c r="R4" s="12" t="n">
        <v>476165</v>
      </c>
      <c r="S4" s="12" t="n">
        <v>466809</v>
      </c>
      <c r="T4" s="12" t="n">
        <v>572118</v>
      </c>
      <c r="U4" s="12" t="n">
        <v>708072</v>
      </c>
      <c r="V4" s="12" t="n">
        <v>795802</v>
      </c>
      <c r="W4" s="12" t="n">
        <v>707104</v>
      </c>
      <c r="X4" s="12" t="n">
        <v>677919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JapanReportableSegmentsMember</t>
        </is>
      </c>
      <c r="B7" s="10" t="n"/>
      <c r="C7" s="19" t="n">
        <v>91884</v>
      </c>
      <c r="D7" s="20" t="n">
        <v>91499</v>
      </c>
      <c r="E7" s="20" t="n">
        <v>83158</v>
      </c>
      <c r="F7" s="20" t="n">
        <v>75913</v>
      </c>
      <c r="G7" s="20" t="n">
        <v>77430</v>
      </c>
      <c r="H7" s="20" t="n">
        <v>81188</v>
      </c>
      <c r="I7" s="20" t="n">
        <v>82850</v>
      </c>
      <c r="J7" s="20" t="n">
        <v>75249</v>
      </c>
      <c r="K7" s="20" t="n">
        <v>77342</v>
      </c>
      <c r="L7" s="20" t="n">
        <v>77578</v>
      </c>
      <c r="M7" s="20" t="n">
        <v>78336</v>
      </c>
      <c r="N7" s="20" t="n">
        <v>77046</v>
      </c>
      <c r="O7" s="19" t="n"/>
      <c r="P7" s="20" t="n"/>
      <c r="Q7" s="20" t="n"/>
      <c r="R7" s="20" t="n"/>
      <c r="S7" s="20" t="n"/>
      <c r="T7" s="20" t="n"/>
      <c r="U7" s="20" t="n"/>
      <c r="V7" s="20" t="n">
        <v>356737</v>
      </c>
      <c r="W7" s="20" t="n">
        <v>317381</v>
      </c>
      <c r="X7" s="20" t="n">
        <v>308505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NorthAmericaReportableSegmentsMember</t>
        </is>
      </c>
      <c r="B10" s="10" t="n"/>
      <c r="C10" s="19" t="n">
        <v>54118</v>
      </c>
      <c r="D10" s="20" t="n">
        <v>56400</v>
      </c>
      <c r="E10" s="20" t="n">
        <v>57360</v>
      </c>
      <c r="F10" s="20" t="n">
        <v>63255</v>
      </c>
      <c r="G10" s="20" t="n">
        <v>43221</v>
      </c>
      <c r="H10" s="20" t="n">
        <v>46406</v>
      </c>
      <c r="I10" s="20" t="n">
        <v>53411</v>
      </c>
      <c r="J10" s="20" t="n">
        <v>45165</v>
      </c>
      <c r="K10" s="20" t="n">
        <v>43206</v>
      </c>
      <c r="L10" s="20" t="n">
        <v>43597</v>
      </c>
      <c r="M10" s="20" t="n">
        <v>45793</v>
      </c>
      <c r="N10" s="20" t="n">
        <v>49517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222841</v>
      </c>
      <c r="W10" s="20" t="n">
        <v>206293</v>
      </c>
      <c r="X10" s="20" t="n">
        <v>177761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EuropeReportableSegmentsMember</t>
        </is>
      </c>
      <c r="B13" s="10" t="n"/>
      <c r="C13" s="19" t="n">
        <v>14729</v>
      </c>
      <c r="D13" s="20" t="n">
        <v>20126</v>
      </c>
      <c r="E13" s="20" t="n">
        <v>18578</v>
      </c>
      <c r="F13" s="20" t="n">
        <v>16815</v>
      </c>
      <c r="G13" s="20" t="n">
        <v>13229</v>
      </c>
      <c r="H13" s="20" t="n">
        <v>14992</v>
      </c>
      <c r="I13" s="20" t="n">
        <v>16570</v>
      </c>
      <c r="J13" s="20" t="n">
        <v>15538</v>
      </c>
      <c r="K13" s="20" t="n">
        <v>14401</v>
      </c>
      <c r="L13" s="20" t="n">
        <v>17650</v>
      </c>
      <c r="M13" s="20" t="n">
        <v>20469</v>
      </c>
      <c r="N13" s="20" t="n">
        <v>18239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74479</v>
      </c>
      <c r="W13" s="20" t="n">
        <v>61606</v>
      </c>
      <c r="X13" s="20" t="n">
        <v>68058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ChinaReportableSegmentMember</t>
        </is>
      </c>
      <c r="B16" s="10" t="n"/>
      <c r="C16" s="19" t="n">
        <v>21834</v>
      </c>
      <c r="D16" s="20" t="n">
        <v>24028</v>
      </c>
      <c r="E16" s="20" t="n">
        <v>14304</v>
      </c>
      <c r="F16" s="20" t="n">
        <v>16718</v>
      </c>
      <c r="G16" s="20" t="n">
        <v>17118</v>
      </c>
      <c r="H16" s="20" t="n">
        <v>21748</v>
      </c>
      <c r="I16" s="20" t="n">
        <v>14946</v>
      </c>
      <c r="J16" s="20" t="n">
        <v>15688</v>
      </c>
      <c r="K16" s="20" t="n">
        <v>17222</v>
      </c>
      <c r="L16" s="20" t="n">
        <v>17847</v>
      </c>
      <c r="M16" s="20" t="n">
        <v>11873</v>
      </c>
      <c r="N16" s="20" t="n">
        <v>10345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83293</v>
      </c>
      <c r="W16" s="20" t="n">
        <v>70530</v>
      </c>
      <c r="X16" s="20" t="n">
        <v>62630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AsiaReportableSegmentsMember</t>
        </is>
      </c>
      <c r="B19" s="10" t="n"/>
      <c r="C19" s="19" t="n">
        <v>16102</v>
      </c>
      <c r="D19" s="20" t="n">
        <v>14775</v>
      </c>
      <c r="E19" s="20" t="n">
        <v>12235</v>
      </c>
      <c r="F19" s="20" t="n">
        <v>13750</v>
      </c>
      <c r="G19" s="20" t="n">
        <v>11862</v>
      </c>
      <c r="H19" s="20" t="n">
        <v>12842</v>
      </c>
      <c r="I19" s="20" t="n">
        <v>12839</v>
      </c>
      <c r="J19" s="20" t="n">
        <v>12279</v>
      </c>
      <c r="K19" s="20" t="n">
        <v>13385</v>
      </c>
      <c r="L19" s="20" t="n">
        <v>16382</v>
      </c>
      <c r="M19" s="20" t="n">
        <v>18917</v>
      </c>
      <c r="N19" s="20" t="n">
        <v>20465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58450</v>
      </c>
      <c r="W19" s="20" t="n">
        <v>51293</v>
      </c>
      <c r="X19" s="20" t="n">
        <v>60963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EntityTotalMember</t>
        </is>
      </c>
      <c r="B22" s="10" t="n"/>
      <c r="C22" s="19" t="n"/>
      <c r="D22" s="20" t="n"/>
      <c r="E22" s="20" t="n"/>
      <c r="F22" s="20" t="n">
        <v>186453</v>
      </c>
      <c r="G22" s="20" t="n"/>
      <c r="H22" s="20" t="n"/>
      <c r="I22" s="20" t="n"/>
      <c r="J22" s="20" t="n">
        <v>163920</v>
      </c>
      <c r="K22" s="20" t="n"/>
      <c r="L22" s="20" t="n"/>
      <c r="M22" s="20" t="n"/>
      <c r="N22" s="20" t="n">
        <v>175614</v>
      </c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187123</v>
      </c>
      <c r="D26" s="20" t="n">
        <v>193268</v>
      </c>
      <c r="E26" s="20" t="n">
        <v>174686</v>
      </c>
      <c r="F26" s="20" t="n">
        <v>175358</v>
      </c>
      <c r="G26" s="20" t="n">
        <v>153549</v>
      </c>
      <c r="H26" s="20" t="n">
        <v>165014</v>
      </c>
      <c r="I26" s="20" t="n">
        <v>167394</v>
      </c>
      <c r="J26" s="20" t="n">
        <v>152149</v>
      </c>
      <c r="K26" s="20" t="n">
        <v>153461</v>
      </c>
      <c r="L26" s="20" t="n">
        <v>160246</v>
      </c>
      <c r="M26" s="20" t="n">
        <v>162779</v>
      </c>
      <c r="N26" s="20" t="n">
        <v>164199</v>
      </c>
      <c r="O26" s="19" t="n">
        <v>383938</v>
      </c>
      <c r="P26" s="20" t="n">
        <v>408230</v>
      </c>
      <c r="Q26" s="20" t="n">
        <v>431533</v>
      </c>
      <c r="R26" s="20" t="n">
        <v>442415</v>
      </c>
      <c r="S26" s="20" t="n">
        <v>437442</v>
      </c>
      <c r="T26" s="20" t="n">
        <v>543009</v>
      </c>
      <c r="U26" s="20" t="n">
        <v>675058</v>
      </c>
      <c r="V26" s="20" t="n">
        <v>748260</v>
      </c>
      <c r="W26" s="20" t="n">
        <v>661315</v>
      </c>
      <c r="X26" s="20" t="n">
        <v>628635</v>
      </c>
      <c r="Y26" s="19" t="n"/>
      <c r="Z26" s="20" t="n"/>
      <c r="AA26" s="20" t="n"/>
      <c r="AB26" s="20" t="n"/>
      <c r="AC26" s="20" t="n"/>
    </row>
    <row r="27">
      <c r="A27" s="18" t="inlineStr">
        <is>
          <t>매출총이익</t>
        </is>
      </c>
      <c r="B27" s="10" t="n"/>
      <c r="C27" s="19">
        <f>IF(OR(C4="",C26=""),"",IFERROR(C4-C26,""))</f>
        <v/>
      </c>
      <c r="D27" s="20">
        <f>IF(OR(D4="",D26=""),"",IFERROR(D4-D26,""))</f>
        <v/>
      </c>
      <c r="E27" s="20">
        <f>IF(OR(E4="",E26=""),"",IFERROR(E4-E26,""))</f>
        <v/>
      </c>
      <c r="F27" s="20">
        <f>IF(OR(F4="",F26=""),"",IFERROR(F4-F26,""))</f>
        <v/>
      </c>
      <c r="G27" s="20">
        <f>IF(OR(G4="",G26=""),"",IFERROR(G4-G26,""))</f>
        <v/>
      </c>
      <c r="H27" s="20">
        <f>IF(OR(H4="",H26=""),"",IFERROR(H4-H26,""))</f>
        <v/>
      </c>
      <c r="I27" s="20">
        <f>IF(OR(I4="",I26=""),"",IFERROR(I4-I26,""))</f>
        <v/>
      </c>
      <c r="J27" s="20">
        <f>IF(OR(J4="",J26=""),"",IFERROR(J4-J26,""))</f>
        <v/>
      </c>
      <c r="K27" s="20">
        <f>IF(OR(K4="",K26=""),"",IFERROR(K4-K26,""))</f>
        <v/>
      </c>
      <c r="L27" s="20">
        <f>IF(OR(L4="",L26=""),"",IFERROR(L4-L26,""))</f>
        <v/>
      </c>
      <c r="M27" s="20">
        <f>IF(OR(M4="",M26=""),"",IFERROR(M4-M26,""))</f>
        <v/>
      </c>
      <c r="N27" s="20">
        <f>IF(OR(N4="",N26=""),"",IFERROR(N4-N26,""))</f>
        <v/>
      </c>
      <c r="O27" s="19">
        <f>IF(OR(O4="",O26=""),"",IFERROR(O4-O26,""))</f>
        <v/>
      </c>
      <c r="P27" s="20">
        <f>IF(OR(P4="",P26=""),"",IFERROR(P4-P26,""))</f>
        <v/>
      </c>
      <c r="Q27" s="20">
        <f>IF(OR(Q4="",Q26=""),"",IFERROR(Q4-Q26,""))</f>
        <v/>
      </c>
      <c r="R27" s="20">
        <f>IF(OR(R4="",R26=""),"",IFERROR(R4-R26,""))</f>
        <v/>
      </c>
      <c r="S27" s="20">
        <f>IF(OR(S4="",S26=""),"",IFERROR(S4-S26,""))</f>
        <v/>
      </c>
      <c r="T27" s="20">
        <f>IF(OR(T4="",T26=""),"",IFERROR(T4-T26,""))</f>
        <v/>
      </c>
      <c r="U27" s="20">
        <f>IF(OR(U4="",U26=""),"",IFERROR(U4-U26,""))</f>
        <v/>
      </c>
      <c r="V27" s="20">
        <f>IF(OR(V4="",V26=""),"",IFERROR(V4-V26,""))</f>
        <v/>
      </c>
      <c r="W27" s="20">
        <f>IF(OR(W4="",W26=""),"",IFERROR(W4-W26,""))</f>
        <v/>
      </c>
      <c r="X27" s="20">
        <f>IF(OR(X4="",X26=""),"",IFERROR(X4-X26,""))</f>
        <v/>
      </c>
      <c r="Y27" s="19" t="n"/>
      <c r="Z27" s="20" t="n"/>
      <c r="AA27" s="20" t="n"/>
      <c r="AB27" s="20" t="n"/>
      <c r="AC27" s="20" t="n"/>
    </row>
    <row r="28">
      <c r="A28" s="13" t="inlineStr">
        <is>
          <t>GPM</t>
        </is>
      </c>
      <c r="B28" s="10" t="n"/>
      <c r="C28" s="14">
        <f>IF(OR(C27="",C4=""),"",IFERROR(C27/C4,""))</f>
        <v/>
      </c>
      <c r="D28" s="15">
        <f>IF(OR(D27="",D4=""),"",IFERROR(D27/D4,""))</f>
        <v/>
      </c>
      <c r="E28" s="15">
        <f>IF(OR(E27="",E4=""),"",IFERROR(E27/E4,""))</f>
        <v/>
      </c>
      <c r="F28" s="15">
        <f>IF(OR(F27="",F4=""),"",IFERROR(F27/F4,""))</f>
        <v/>
      </c>
      <c r="G28" s="15">
        <f>IF(OR(G27="",G4=""),"",IFERROR(G27/G4,""))</f>
        <v/>
      </c>
      <c r="H28" s="15">
        <f>IF(OR(H27="",H4=""),"",IFERROR(H27/H4,""))</f>
        <v/>
      </c>
      <c r="I28" s="15">
        <f>IF(OR(I27="",I4=""),"",IFERROR(I27/I4,""))</f>
        <v/>
      </c>
      <c r="J28" s="15">
        <f>IF(OR(J27="",J4=""),"",IFERROR(J27/J4,""))</f>
        <v/>
      </c>
      <c r="K28" s="15">
        <f>IF(OR(K27="",K4=""),"",IFERROR(K27/K4,""))</f>
        <v/>
      </c>
      <c r="L28" s="15">
        <f>IF(OR(L27="",L4=""),"",IFERROR(L27/L4,""))</f>
        <v/>
      </c>
      <c r="M28" s="15">
        <f>IF(OR(M27="",M4=""),"",IFERROR(M27/M4,""))</f>
        <v/>
      </c>
      <c r="N28" s="15">
        <f>IF(OR(N27="",N4=""),"",IFERROR(N27/N4,""))</f>
        <v/>
      </c>
      <c r="O28" s="14">
        <f>IF(OR(O27="",O4=""),"",IFERROR(O27/O4,""))</f>
        <v/>
      </c>
      <c r="P28" s="15">
        <f>IF(OR(P27="",P4=""),"",IFERROR(P27/P4,""))</f>
        <v/>
      </c>
      <c r="Q28" s="15">
        <f>IF(OR(Q27="",Q4=""),"",IFERROR(Q27/Q4,""))</f>
        <v/>
      </c>
      <c r="R28" s="15">
        <f>IF(OR(R27="",R4=""),"",IFERROR(R27/R4,""))</f>
        <v/>
      </c>
      <c r="S28" s="15">
        <f>IF(OR(S27="",S4=""),"",IFERROR(S27/S4,""))</f>
        <v/>
      </c>
      <c r="T28" s="15">
        <f>IF(OR(T27="",T4=""),"",IFERROR(T27/T4,""))</f>
        <v/>
      </c>
      <c r="U28" s="15">
        <f>IF(OR(U27="",U4=""),"",IFERROR(U27/U4,""))</f>
        <v/>
      </c>
      <c r="V28" s="15">
        <f>IF(OR(V27="",V4=""),"",IFERROR(V27/V4,""))</f>
        <v/>
      </c>
      <c r="W28" s="15">
        <f>IF(OR(W27="",W4=""),"",IFERROR(W27/W4,""))</f>
        <v/>
      </c>
      <c r="X28" s="15">
        <f>IF(OR(X27="",X4=""),"",IFERROR(X27/X4,""))</f>
        <v/>
      </c>
      <c r="Y28" s="14">
        <f>IF(OR(Y27="",Y4=""),"",IFERROR(Y27/Y4,""))</f>
        <v/>
      </c>
      <c r="Z28" s="15">
        <f>IF(OR(Z27="",Z4=""),"",IFERROR(Z27/Z4,""))</f>
        <v/>
      </c>
      <c r="AA28" s="15">
        <f>IF(OR(AA27="",AA4=""),"",IFERROR(AA27/AA4,""))</f>
        <v/>
      </c>
      <c r="AB28" s="15">
        <f>IF(OR(AB27="",AB4=""),"",IFERROR(AB27/AB4,""))</f>
        <v/>
      </c>
      <c r="AC28" s="15">
        <f>IF(OR(AC27="",AC4=""),"",IFERROR(AC27/AC4,""))</f>
        <v/>
      </c>
    </row>
    <row r="29">
      <c r="A29" s="23" t="inlineStr">
        <is>
          <t>판매관리비</t>
        </is>
      </c>
      <c r="B29" s="23" t="n"/>
      <c r="C29" s="24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4" t="n"/>
      <c r="Z29" s="23" t="n"/>
      <c r="AA29" s="23" t="n"/>
      <c r="AB29" s="23" t="n"/>
      <c r="AC29" s="23" t="n"/>
    </row>
    <row r="30">
      <c r="A30" s="18" t="inlineStr">
        <is>
          <t>전체 판관비</t>
        </is>
      </c>
      <c r="B30" s="10" t="n"/>
      <c r="C30" s="19" t="n">
        <v>6828</v>
      </c>
      <c r="D30" s="20" t="n">
        <v>6993</v>
      </c>
      <c r="E30" s="20" t="n">
        <v>7748</v>
      </c>
      <c r="F30" s="20" t="n">
        <v>7480</v>
      </c>
      <c r="G30" s="20" t="n">
        <v>7478</v>
      </c>
      <c r="H30" s="20" t="n">
        <v>7697</v>
      </c>
      <c r="I30" s="20" t="n">
        <v>7956</v>
      </c>
      <c r="J30" s="20" t="n">
        <v>7579</v>
      </c>
      <c r="K30" s="20" t="n">
        <v>7680</v>
      </c>
      <c r="L30" s="20" t="n">
        <v>7843</v>
      </c>
      <c r="M30" s="20" t="n">
        <v>7467</v>
      </c>
      <c r="N30" s="20" t="n">
        <v>7765</v>
      </c>
      <c r="O30" s="19" t="n">
        <v>19468</v>
      </c>
      <c r="P30" s="20" t="n">
        <v>20957</v>
      </c>
      <c r="Q30" s="20" t="n">
        <v>23375</v>
      </c>
      <c r="R30" s="20" t="n">
        <v>23128</v>
      </c>
      <c r="S30" s="20" t="n">
        <v>21587</v>
      </c>
      <c r="T30" s="20" t="n">
        <v>22993</v>
      </c>
      <c r="U30" s="20" t="n">
        <v>25332</v>
      </c>
      <c r="V30" s="20" t="n">
        <v>28329</v>
      </c>
      <c r="W30" s="20" t="n">
        <v>30611</v>
      </c>
      <c r="X30" s="20" t="n">
        <v>30569</v>
      </c>
      <c r="Y30" s="19" t="n"/>
      <c r="Z30" s="20" t="n"/>
      <c r="AA30" s="20" t="n"/>
      <c r="AB30" s="20" t="n"/>
      <c r="AC30" s="20" t="n"/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4716</v>
      </c>
      <c r="D31" s="12" t="n">
        <v>6564</v>
      </c>
      <c r="E31" s="12" t="n">
        <v>3204</v>
      </c>
      <c r="F31" s="12" t="n">
        <v>3614</v>
      </c>
      <c r="G31" s="12" t="n">
        <v>1832</v>
      </c>
      <c r="H31" s="12" t="n">
        <v>4466</v>
      </c>
      <c r="I31" s="12" t="n">
        <v>5266</v>
      </c>
      <c r="J31" s="12" t="n">
        <v>4191</v>
      </c>
      <c r="K31" s="12" t="n">
        <v>4416</v>
      </c>
      <c r="L31" s="12" t="n">
        <v>4965</v>
      </c>
      <c r="M31" s="12" t="n">
        <v>5143</v>
      </c>
      <c r="N31" s="12" t="n">
        <v>3649</v>
      </c>
      <c r="O31" s="11" t="n">
        <v>8976</v>
      </c>
      <c r="P31" s="12" t="n">
        <v>11258</v>
      </c>
      <c r="Q31" s="12" t="n">
        <v>6797</v>
      </c>
      <c r="R31" s="12" t="n">
        <v>10621</v>
      </c>
      <c r="S31" s="12" t="n">
        <v>7780</v>
      </c>
      <c r="T31" s="12" t="n">
        <v>6115</v>
      </c>
      <c r="U31" s="12" t="n">
        <v>7681</v>
      </c>
      <c r="V31" s="12" t="n">
        <v>19213</v>
      </c>
      <c r="W31" s="12" t="n">
        <v>15178</v>
      </c>
      <c r="X31" s="12" t="n">
        <v>18715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IF(O30="","",O30)</f>
        <v/>
      </c>
      <c r="P35" s="12">
        <f>IF(P30="","",P30)</f>
        <v/>
      </c>
      <c r="Q35" s="12">
        <f>IF(Q30="","",Q30)</f>
        <v/>
      </c>
      <c r="R35" s="12">
        <f>IF(R30="","",R30)</f>
        <v/>
      </c>
      <c r="S35" s="12">
        <f>IF(S30="","",S30)</f>
        <v/>
      </c>
      <c r="T35" s="12">
        <f>IF(T30="","",T30)</f>
        <v/>
      </c>
      <c r="U35" s="12">
        <f>IF(U30="","",U30)</f>
        <v/>
      </c>
      <c r="V35" s="12">
        <f>IF(V30="","",V30)</f>
        <v/>
      </c>
      <c r="W35" s="12">
        <f>IF(W30="","",W30)</f>
        <v/>
      </c>
      <c r="X35" s="12">
        <f>IF(X30="","",X30)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>
        <v>708</v>
      </c>
      <c r="P38" s="20" t="n">
        <v>702</v>
      </c>
      <c r="Q38" s="20" t="n">
        <v>791</v>
      </c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/>
      <c r="D47" s="20" t="n">
        <v>0</v>
      </c>
      <c r="E47" s="20" t="n">
        <v>0</v>
      </c>
      <c r="F47" s="20" t="n"/>
      <c r="G47" s="20" t="n"/>
      <c r="H47" s="20" t="n">
        <v>745</v>
      </c>
      <c r="I47" s="20" t="n">
        <v>466</v>
      </c>
      <c r="J47" s="20" t="n"/>
      <c r="K47" s="20" t="n"/>
      <c r="L47" s="20" t="n">
        <v>0</v>
      </c>
      <c r="M47" s="20" t="n">
        <v>22</v>
      </c>
      <c r="N47" s="20" t="n"/>
      <c r="O47" s="19" t="n">
        <v>0</v>
      </c>
      <c r="P47" s="20" t="n">
        <v>1149</v>
      </c>
      <c r="Q47" s="20" t="n">
        <v>86</v>
      </c>
      <c r="R47" s="20" t="n">
        <v>626</v>
      </c>
      <c r="S47" s="20" t="n">
        <v>0</v>
      </c>
      <c r="T47" s="20" t="n">
        <v>110</v>
      </c>
      <c r="U47" s="20" t="n">
        <v>1604</v>
      </c>
      <c r="V47" s="20" t="n">
        <v>0</v>
      </c>
      <c r="W47" s="20" t="n">
        <v>2004</v>
      </c>
      <c r="X47" s="20" t="n">
        <v>572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/>
      <c r="D49" s="20" t="n"/>
      <c r="E49" s="20" t="n">
        <v>0</v>
      </c>
      <c r="F49" s="20" t="n"/>
      <c r="G49" s="20" t="n"/>
      <c r="H49" s="20" t="n"/>
      <c r="I49" s="20" t="n">
        <v>245</v>
      </c>
      <c r="J49" s="20" t="n"/>
      <c r="K49" s="20" t="n"/>
      <c r="L49" s="20" t="n"/>
      <c r="M49" s="20" t="n">
        <v>69</v>
      </c>
      <c r="N49" s="20" t="n"/>
      <c r="O49" s="19" t="n">
        <v>1923</v>
      </c>
      <c r="P49" s="20" t="n">
        <v>5724</v>
      </c>
      <c r="Q49" s="20" t="n">
        <v>377</v>
      </c>
      <c r="R49" s="20" t="n">
        <v>253</v>
      </c>
      <c r="S49" s="20" t="n">
        <v>20</v>
      </c>
      <c r="T49" s="20" t="n">
        <v>1662</v>
      </c>
      <c r="U49" s="20" t="n">
        <v>1454</v>
      </c>
      <c r="V49" s="20" t="n">
        <v>0</v>
      </c>
      <c r="W49" s="20" t="n">
        <v>5205</v>
      </c>
      <c r="X49" s="20" t="n">
        <v>113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864</v>
      </c>
      <c r="D51" s="20" t="n">
        <v>652</v>
      </c>
      <c r="E51" s="20" t="n">
        <v>1084</v>
      </c>
      <c r="F51" s="20" t="n">
        <v>2006</v>
      </c>
      <c r="G51" s="20" t="n">
        <v>-212</v>
      </c>
      <c r="H51" s="20" t="n">
        <v>46</v>
      </c>
      <c r="I51" s="20" t="n">
        <v>904</v>
      </c>
      <c r="J51" s="20" t="n">
        <v>641</v>
      </c>
      <c r="K51" s="20" t="n">
        <v>240</v>
      </c>
      <c r="L51" s="20" t="n">
        <v>1801</v>
      </c>
      <c r="M51" s="20" t="n">
        <v>1659</v>
      </c>
      <c r="N51" s="20" t="n">
        <v>953</v>
      </c>
      <c r="O51" s="19" t="n">
        <v>1892</v>
      </c>
      <c r="P51" s="20" t="n">
        <v>2269</v>
      </c>
      <c r="Q51" s="20" t="n">
        <v>1396</v>
      </c>
      <c r="R51" s="20" t="n">
        <v>1644</v>
      </c>
      <c r="S51" s="20" t="n">
        <v>1854</v>
      </c>
      <c r="T51" s="20" t="n">
        <v>3400</v>
      </c>
      <c r="U51" s="20" t="n">
        <v>2266</v>
      </c>
      <c r="V51" s="20" t="n">
        <v>3379</v>
      </c>
      <c r="W51" s="20" t="n">
        <v>2744</v>
      </c>
      <c r="X51" s="20" t="n">
        <v>4341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918</v>
      </c>
      <c r="D53" s="20" t="n">
        <v>1135</v>
      </c>
      <c r="E53" s="20" t="n">
        <v>1407</v>
      </c>
      <c r="F53" s="20" t="n">
        <v>1628</v>
      </c>
      <c r="G53" s="20" t="n">
        <v>2046</v>
      </c>
      <c r="H53" s="20" t="n">
        <v>-1729</v>
      </c>
      <c r="I53" s="20" t="n">
        <v>2696</v>
      </c>
      <c r="J53" s="20" t="n">
        <v>863</v>
      </c>
      <c r="K53" s="20" t="n">
        <v>-161</v>
      </c>
      <c r="L53" s="20" t="n">
        <v>525</v>
      </c>
      <c r="M53" s="20" t="n">
        <v>989</v>
      </c>
      <c r="N53" s="20" t="n">
        <v>499</v>
      </c>
      <c r="O53" s="19" t="n">
        <v>3326</v>
      </c>
      <c r="P53" s="20" t="n">
        <v>2572</v>
      </c>
      <c r="Q53" s="20" t="n">
        <v>1743</v>
      </c>
      <c r="R53" s="20" t="n">
        <v>2297</v>
      </c>
      <c r="S53" s="20" t="n">
        <v>1672</v>
      </c>
      <c r="T53" s="20" t="n">
        <v>1707</v>
      </c>
      <c r="U53" s="20" t="n">
        <v>2178</v>
      </c>
      <c r="V53" s="20" t="n">
        <v>4102</v>
      </c>
      <c r="W53" s="20" t="n">
        <v>4641</v>
      </c>
      <c r="X53" s="20" t="n">
        <v>2216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4662</v>
      </c>
      <c r="D55" s="12" t="n">
        <v>6082</v>
      </c>
      <c r="E55" s="12" t="n">
        <v>2880</v>
      </c>
      <c r="F55" s="12" t="n">
        <v>3992</v>
      </c>
      <c r="G55" s="12" t="n">
        <v>367</v>
      </c>
      <c r="H55" s="12" t="n">
        <v>2025</v>
      </c>
      <c r="I55" s="12" t="n">
        <v>3695</v>
      </c>
      <c r="J55" s="12" t="n">
        <v>3969</v>
      </c>
      <c r="K55" s="12" t="n">
        <v>5367</v>
      </c>
      <c r="L55" s="12" t="n">
        <v>6197</v>
      </c>
      <c r="M55" s="12" t="n">
        <v>5766</v>
      </c>
      <c r="N55" s="12" t="n">
        <v>4102</v>
      </c>
      <c r="O55" s="11" t="n">
        <v>5619</v>
      </c>
      <c r="P55" s="12" t="n">
        <v>6380</v>
      </c>
      <c r="Q55" s="12" t="n">
        <v>6158</v>
      </c>
      <c r="R55" s="12" t="n">
        <v>10340</v>
      </c>
      <c r="S55" s="12" t="n">
        <v>7942</v>
      </c>
      <c r="T55" s="12" t="n">
        <v>6255</v>
      </c>
      <c r="U55" s="12" t="n">
        <v>7917</v>
      </c>
      <c r="V55" s="12" t="n">
        <v>18489</v>
      </c>
      <c r="W55" s="12" t="n">
        <v>10079</v>
      </c>
      <c r="X55" s="12" t="n">
        <v>21299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8" t="inlineStr">
        <is>
          <t>법인세비용(수익)</t>
        </is>
      </c>
      <c r="B56" s="10" t="n"/>
      <c r="C56" s="19" t="n">
        <v>914</v>
      </c>
      <c r="D56" s="20" t="n">
        <v>1805</v>
      </c>
      <c r="E56" s="20" t="n">
        <v>737</v>
      </c>
      <c r="F56" s="20" t="n">
        <v>1536</v>
      </c>
      <c r="G56" s="20" t="n">
        <v>1017</v>
      </c>
      <c r="H56" s="20" t="n">
        <v>1413</v>
      </c>
      <c r="I56" s="20" t="n">
        <v>342</v>
      </c>
      <c r="J56" s="20" t="n">
        <v>1242</v>
      </c>
      <c r="K56" s="20" t="n">
        <v>959</v>
      </c>
      <c r="L56" s="20" t="n">
        <v>1419</v>
      </c>
      <c r="M56" s="20" t="n">
        <v>472</v>
      </c>
      <c r="N56" s="20" t="n">
        <v>1515</v>
      </c>
      <c r="O56" s="19" t="n">
        <v>361</v>
      </c>
      <c r="P56" s="20" t="n">
        <v>-3972</v>
      </c>
      <c r="Q56" s="20" t="n">
        <v>1993</v>
      </c>
      <c r="R56" s="20" t="n">
        <v>3301</v>
      </c>
      <c r="S56" s="20" t="n">
        <v>2901</v>
      </c>
      <c r="T56" s="20" t="n">
        <v>2037</v>
      </c>
      <c r="U56" s="20" t="n">
        <v>-2987</v>
      </c>
      <c r="V56" s="20" t="n">
        <v>5067</v>
      </c>
      <c r="W56" s="20" t="n">
        <v>4308</v>
      </c>
      <c r="X56" s="20" t="n">
        <v>4092</v>
      </c>
      <c r="Y56" s="19">
        <f>IF(OR(Y55="",Y57=""),"",IFERROR(MAX(Y55,0)*Y57,""))</f>
        <v/>
      </c>
      <c r="Z56" s="20">
        <f>IF(OR(Z55="",Z57=""),"",IFERROR(MAX(Z55,0)*Z57,""))</f>
        <v/>
      </c>
      <c r="AA56" s="20">
        <f>IF(OR(AA55="",AA57=""),"",IFERROR(MAX(AA55,0)*AA57,""))</f>
        <v/>
      </c>
      <c r="AB56" s="20">
        <f>IF(OR(AB55="",AB57=""),"",IFERROR(MAX(AB55,0)*AB57,""))</f>
        <v/>
      </c>
      <c r="AC56" s="20">
        <f>IF(OR(AC55="",AC57=""),"",IFERROR(MAX(AC55,0)*AC57,""))</f>
        <v/>
      </c>
    </row>
    <row r="57">
      <c r="A57" s="13" t="inlineStr">
        <is>
          <t>법인세율</t>
        </is>
      </c>
      <c r="B57" s="10" t="inlineStr">
        <is>
          <t>MW 기본 30%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0.3</v>
      </c>
      <c r="Z57" s="26" t="n">
        <v>0.3</v>
      </c>
      <c r="AA57" s="26" t="n">
        <v>0.3</v>
      </c>
      <c r="AB57" s="26" t="n">
        <v>0.3</v>
      </c>
      <c r="AC57" s="26" t="n">
        <v>0.3</v>
      </c>
    </row>
    <row r="58">
      <c r="A58" s="9" t="inlineStr">
        <is>
          <t>당기순이익(손실)</t>
        </is>
      </c>
      <c r="B58" s="10" t="n"/>
      <c r="C58" s="11" t="n">
        <v>3748</v>
      </c>
      <c r="D58" s="12" t="n">
        <v>4276</v>
      </c>
      <c r="E58" s="12" t="n">
        <v>2144</v>
      </c>
      <c r="F58" s="12" t="n">
        <v>2455</v>
      </c>
      <c r="G58" s="12" t="n">
        <v>-650</v>
      </c>
      <c r="H58" s="12" t="n">
        <v>612</v>
      </c>
      <c r="I58" s="12" t="n">
        <v>3354</v>
      </c>
      <c r="J58" s="12" t="n">
        <v>2726</v>
      </c>
      <c r="K58" s="12" t="n">
        <v>4409</v>
      </c>
      <c r="L58" s="12" t="n">
        <v>4777</v>
      </c>
      <c r="M58" s="12" t="n">
        <v>5295</v>
      </c>
      <c r="N58" s="12" t="n">
        <v>2587</v>
      </c>
      <c r="O58" s="11" t="n">
        <v>5257</v>
      </c>
      <c r="P58" s="12" t="n">
        <v>10352</v>
      </c>
      <c r="Q58" s="12" t="n">
        <v>4164</v>
      </c>
      <c r="R58" s="12" t="n">
        <v>7039</v>
      </c>
      <c r="S58" s="12" t="n">
        <v>5040</v>
      </c>
      <c r="T58" s="12" t="n">
        <v>4218</v>
      </c>
      <c r="U58" s="12" t="n">
        <v>10904</v>
      </c>
      <c r="V58" s="12" t="n">
        <v>13422</v>
      </c>
      <c r="W58" s="12" t="n">
        <v>5771</v>
      </c>
      <c r="X58" s="12" t="n">
        <v>17207</v>
      </c>
      <c r="Y58" s="11">
        <f>IF(OR(Y55=""),"",IFERROR(Y55-Y56,""))</f>
        <v/>
      </c>
      <c r="Z58" s="12">
        <f>IF(OR(Z55=""),"",IFERROR(Z55-Z56,""))</f>
        <v/>
      </c>
      <c r="AA58" s="12">
        <f>IF(OR(AA55=""),"",IFERROR(AA55-AA56,""))</f>
        <v/>
      </c>
      <c r="AB58" s="12">
        <f>IF(OR(AB55=""),"",IFERROR(AB55-AB56,""))</f>
        <v/>
      </c>
      <c r="AC58" s="12">
        <f>IF(OR(AC55=""),"",IFERROR(AC55-AC56,""))</f>
        <v/>
      </c>
    </row>
    <row r="59">
      <c r="A59" s="9" t="inlineStr">
        <is>
          <t>지배주주 순이익</t>
        </is>
      </c>
      <c r="B59" s="10" t="n"/>
      <c r="C59" s="11" t="n">
        <v>3665</v>
      </c>
      <c r="D59" s="12" t="n">
        <v>4026</v>
      </c>
      <c r="E59" s="12" t="n">
        <v>2066</v>
      </c>
      <c r="F59" s="12" t="n">
        <v>2371</v>
      </c>
      <c r="G59" s="12" t="n">
        <v>-783</v>
      </c>
      <c r="H59" s="12" t="n">
        <v>1204</v>
      </c>
      <c r="I59" s="12" t="n">
        <v>3416</v>
      </c>
      <c r="J59" s="12" t="n">
        <v>2614</v>
      </c>
      <c r="K59" s="12" t="n">
        <v>3776</v>
      </c>
      <c r="L59" s="12" t="n">
        <v>4527</v>
      </c>
      <c r="M59" s="12" t="n">
        <v>5109</v>
      </c>
      <c r="N59" s="12" t="n">
        <v>2474</v>
      </c>
      <c r="O59" s="11" t="n">
        <v>4806</v>
      </c>
      <c r="P59" s="12" t="n">
        <v>10721</v>
      </c>
      <c r="Q59" s="12" t="n">
        <v>3509</v>
      </c>
      <c r="R59" s="12" t="n">
        <v>6357</v>
      </c>
      <c r="S59" s="12" t="n">
        <v>4095</v>
      </c>
      <c r="T59" s="12" t="n">
        <v>3307</v>
      </c>
      <c r="U59" s="12" t="n">
        <v>10576</v>
      </c>
      <c r="V59" s="12" t="n">
        <v>12831</v>
      </c>
      <c r="W59" s="12" t="n">
        <v>6208</v>
      </c>
      <c r="X59" s="12" t="n">
        <v>16026</v>
      </c>
      <c r="Y59" s="11">
        <f>IF(OR(Y58="",Y60=""),"",IFERROR(Y58*Y60,""))</f>
        <v/>
      </c>
      <c r="Z59" s="12">
        <f>IF(OR(Z58="",Z60=""),"",IFERROR(Z58*Z60,""))</f>
        <v/>
      </c>
      <c r="AA59" s="12">
        <f>IF(OR(AA58="",AA60=""),"",IFERROR(AA58*AA60,""))</f>
        <v/>
      </c>
      <c r="AB59" s="12">
        <f>IF(OR(AB58="",AB60=""),"",IFERROR(AB58*AB60,""))</f>
        <v/>
      </c>
      <c r="AC59" s="12">
        <f>IF(OR(AC58="",AC60=""),"",IFERROR(AC58*AC60,""))</f>
        <v/>
      </c>
    </row>
    <row r="60">
      <c r="A60" s="13" t="inlineStr">
        <is>
          <t>지배주주 순이익률</t>
        </is>
      </c>
      <c r="B60" s="10" t="inlineStr">
        <is>
          <t>MW 기본 100%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1</v>
      </c>
      <c r="Z60" s="26" t="n">
        <v>1</v>
      </c>
      <c r="AA60" s="26" t="n">
        <v>1</v>
      </c>
      <c r="AB60" s="26" t="n">
        <v>1</v>
      </c>
      <c r="AC60" s="26" t="n">
        <v>1</v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IF(O32="","",O32)</f>
        <v/>
      </c>
      <c r="P65" s="15">
        <f>IF(P32="","",P32)</f>
        <v/>
      </c>
      <c r="Q65" s="15">
        <f>IF(Q32="","",Q32)</f>
        <v/>
      </c>
      <c r="R65" s="15">
        <f>IF(R32="","",R32)</f>
        <v/>
      </c>
      <c r="S65" s="15">
        <f>IF(S32="","",S32)</f>
        <v/>
      </c>
      <c r="T65" s="15">
        <f>IF(T32="","",T32)</f>
        <v/>
      </c>
      <c r="U65" s="15">
        <f>IF(U32="","",U32)</f>
        <v/>
      </c>
      <c r="V65" s="15">
        <f>IF(V32="","",V32)</f>
        <v/>
      </c>
      <c r="W65" s="15">
        <f>IF(W32="","",W32)</f>
        <v/>
      </c>
      <c r="X65" s="15">
        <f>IF(X32="","",X32)</f>
        <v/>
      </c>
      <c r="Y65" s="14">
        <f>IF(Y32="","",Y32)</f>
        <v/>
      </c>
      <c r="Z65" s="15">
        <f>IF(Z32="","",Z32)</f>
        <v/>
      </c>
      <c r="AA65" s="15">
        <f>IF(AA32="","",AA32)</f>
        <v/>
      </c>
      <c r="AB65" s="15">
        <f>IF(AB32="","",AB32)</f>
        <v/>
      </c>
      <c r="AC65" s="15">
        <f>IF(AC32="","",AC32)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IF(OR(P59="",O59=""),"",IFERROR(P59/O59-1,""))</f>
        <v/>
      </c>
      <c r="Q66" s="15">
        <f>IF(OR(Q59="",P59=""),"",IFERROR(Q59/P59-1,""))</f>
        <v/>
      </c>
      <c r="R66" s="15">
        <f>IF(OR(R59="",Q59=""),"",IFERROR(R59/Q59-1,""))</f>
        <v/>
      </c>
      <c r="S66" s="15">
        <f>IF(OR(S59="",R59=""),"",IFERROR(S59/R59-1,""))</f>
        <v/>
      </c>
      <c r="T66" s="15">
        <f>IF(OR(T59="",S59=""),"",IFERROR(T59/S59-1,""))</f>
        <v/>
      </c>
      <c r="U66" s="15">
        <f>IF(OR(U59="",T59=""),"",IFERROR(U59/T59-1,""))</f>
        <v/>
      </c>
      <c r="V66" s="15">
        <f>IF(OR(V59="",U59=""),"",IFERROR(V59/U59-1,""))</f>
        <v/>
      </c>
      <c r="W66" s="15">
        <f>IF(OR(W59="",V59=""),"",IFERROR(W59/V59-1,""))</f>
        <v/>
      </c>
      <c r="X66" s="15">
        <f>IF(OR(X59="",W59=""),"",IFERROR(X59/W59-1,""))</f>
        <v/>
      </c>
      <c r="Y66" s="14">
        <f>IF(OR(Y59="",X59=""),"",IFERROR(Y59/X59-1,""))</f>
        <v/>
      </c>
      <c r="Z66" s="15">
        <f>IF(OR(Z59="",Y59=""),"",IFERROR(Z59/Y59-1,""))</f>
        <v/>
      </c>
      <c r="AA66" s="15">
        <f>IF(OR(AA59="",Z59=""),"",IFERROR(AA59/Z59-1,""))</f>
        <v/>
      </c>
      <c r="AB66" s="15">
        <f>IF(OR(AB59="",AA59=""),"",IFERROR(AB59/AA59-1,""))</f>
        <v/>
      </c>
      <c r="AC66" s="15">
        <f>IF(OR(AC59="",AB59=""),"",IFERROR(AC59/AB59-1,""))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IF(OR($B$64="",X59=""),"",IFERROR($B$64/X59,""))</f>
        <v/>
      </c>
      <c r="Y67" s="30">
        <f>IF(OR($B$64="",Y59=""),"",IFERROR($B$64/Y59,""))</f>
        <v/>
      </c>
      <c r="Z67" s="31">
        <f>IF(OR($B$64="",Z59=""),"",IFERROR($B$64/Z59,""))</f>
        <v/>
      </c>
      <c r="AA67" s="31">
        <f>IF(OR($B$64="",AA59=""),"",IFERROR($B$64/AA59,""))</f>
        <v/>
      </c>
      <c r="AB67" s="31">
        <f>IF(OR($B$64="",AB59=""),"",IFERROR($B$64/AB59,""))</f>
        <v/>
      </c>
      <c r="AC67" s="31">
        <f>IF(OR($B$64="",AC59=""),"",IFERROR($B$64/AC59,""))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IF(OR(O59="",$B$63=""),"",IFERROR(O59*1000000.0/$B$63,""))</f>
        <v/>
      </c>
      <c r="P69" s="29">
        <f>IF(OR(P59="",$B$63=""),"",IFERROR(P59*1000000.0/$B$63,""))</f>
        <v/>
      </c>
      <c r="Q69" s="29">
        <f>IF(OR(Q59="",$B$63=""),"",IFERROR(Q59*1000000.0/$B$63,""))</f>
        <v/>
      </c>
      <c r="R69" s="29">
        <f>IF(OR(R59="",$B$63=""),"",IFERROR(R59*1000000.0/$B$63,""))</f>
        <v/>
      </c>
      <c r="S69" s="29">
        <f>IF(OR(S59="",$B$63=""),"",IFERROR(S59*1000000.0/$B$63,""))</f>
        <v/>
      </c>
      <c r="T69" s="29">
        <f>IF(OR(T59="",$B$63=""),"",IFERROR(T59*1000000.0/$B$63,""))</f>
        <v/>
      </c>
      <c r="U69" s="29">
        <f>IF(OR(U59="",$B$63=""),"",IFERROR(U59*1000000.0/$B$63,""))</f>
        <v/>
      </c>
      <c r="V69" s="29">
        <f>IF(OR(V59="",$B$63=""),"",IFERROR(V59*1000000.0/$B$63,""))</f>
        <v/>
      </c>
      <c r="W69" s="29">
        <f>IF(OR(W59="",$B$63=""),"",IFERROR(W59*1000000.0/$B$63,""))</f>
        <v/>
      </c>
      <c r="X69" s="29">
        <f>IF(OR(X59="",$B$63=""),"",IFERROR(X59*1000000.0/$B$63,""))</f>
        <v/>
      </c>
      <c r="Y69" s="28">
        <f>IF(OR(Y59="",$B$63=""),"",IFERROR(Y59*1000000.0/$B$63,""))</f>
        <v/>
      </c>
      <c r="Z69" s="29">
        <f>IF(OR(Z59="",$B$63=""),"",IFERROR(Z59*1000000.0/$B$63,""))</f>
        <v/>
      </c>
      <c r="AA69" s="29">
        <f>IF(OR(AA59="",$B$63=""),"",IFERROR(AA59*1000000.0/$B$63,""))</f>
        <v/>
      </c>
      <c r="AB69" s="29">
        <f>IF(OR(AB59="",$B$63=""),"",IFERROR(AB59*1000000.0/$B$63,""))</f>
        <v/>
      </c>
      <c r="AC69" s="29">
        <f>IF(OR(AC59="",$B$63=""),"",IFERROR(AC59*1000000.0/$B$63,""))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IF(OR(Y59="",Y68=""),"",IFERROR(Y59*Y68,""))</f>
        <v/>
      </c>
      <c r="Z81" s="20">
        <f>IF(OR(Z59="",Z68=""),"",IFERROR(Z59*Z68,""))</f>
        <v/>
      </c>
      <c r="AA81" s="20">
        <f>IF(OR(AA59="",AA68=""),"",IFERROR(AA59*AA68,""))</f>
        <v/>
      </c>
      <c r="AB81" s="20">
        <f>IF(OR(AB59="",AB68=""),"",IFERROR(AB59*AB68,""))</f>
        <v/>
      </c>
      <c r="AC81" s="20">
        <f>IF(OR(AC59="",AC68=""),"",IFERROR(AC59*AC68,""))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2024.2Q</t>
        </is>
      </c>
      <c r="D92" s="5" t="inlineStr">
        <is>
          <t>2024.3Q</t>
        </is>
      </c>
      <c r="E92" s="5" t="inlineStr">
        <is>
          <t>2024.4Q</t>
        </is>
      </c>
      <c r="F92" s="5" t="inlineStr">
        <is>
          <t>2025.1Q</t>
        </is>
      </c>
      <c r="G92" s="5" t="inlineStr">
        <is>
          <t>2025.2Q</t>
        </is>
      </c>
      <c r="H92" s="5" t="inlineStr">
        <is>
          <t>2025.3Q</t>
        </is>
      </c>
      <c r="I92" s="5" t="inlineStr">
        <is>
          <t>2025.4Q</t>
        </is>
      </c>
      <c r="J92" s="5" t="inlineStr">
        <is>
          <t>2026.1Q</t>
        </is>
      </c>
      <c r="K92" s="5" t="inlineStr">
        <is>
          <t>2026.2Q</t>
        </is>
      </c>
      <c r="L92" s="5" t="inlineStr">
        <is>
          <t>2026.3Q</t>
        </is>
      </c>
      <c r="M92" s="5" t="inlineStr">
        <is>
          <t>2026.4Q</t>
        </is>
      </c>
      <c r="N92" s="5" t="inlineStr">
        <is>
          <t>2027.1Q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198667</v>
      </c>
      <c r="D93" s="12" t="n">
        <v>206826</v>
      </c>
      <c r="E93" s="12" t="n">
        <v>185636</v>
      </c>
      <c r="F93" s="12" t="n">
        <v>186453</v>
      </c>
      <c r="G93" s="12" t="n">
        <v>162859</v>
      </c>
      <c r="H93" s="12" t="n">
        <v>177177</v>
      </c>
      <c r="I93" s="12" t="n">
        <v>180615</v>
      </c>
      <c r="J93" s="12" t="n">
        <v>163920</v>
      </c>
      <c r="K93" s="12" t="n">
        <v>165558</v>
      </c>
      <c r="L93" s="12" t="n">
        <v>173053</v>
      </c>
      <c r="M93" s="12" t="n">
        <v>175388</v>
      </c>
      <c r="N93" s="12" t="n">
        <v>175614</v>
      </c>
      <c r="T93" s="12" t="n">
        <v>163972</v>
      </c>
      <c r="U93" s="12" t="n">
        <v>193325</v>
      </c>
      <c r="V93" s="12" t="n">
        <v>185636</v>
      </c>
      <c r="W93" s="12" t="n">
        <v>180615</v>
      </c>
      <c r="X93" s="12" t="n">
        <v>175388</v>
      </c>
    </row>
    <row r="94">
      <c r="A94" s="18" t="inlineStr">
        <is>
          <t>매출원가</t>
        </is>
      </c>
      <c r="C94" s="20" t="n">
        <v>187123</v>
      </c>
      <c r="D94" s="20" t="n">
        <v>193268</v>
      </c>
      <c r="E94" s="20" t="n">
        <v>174686</v>
      </c>
      <c r="F94" s="20" t="n">
        <v>175358</v>
      </c>
      <c r="G94" s="20" t="n">
        <v>153549</v>
      </c>
      <c r="H94" s="20" t="n">
        <v>165014</v>
      </c>
      <c r="I94" s="20" t="n">
        <v>167394</v>
      </c>
      <c r="J94" s="20" t="n">
        <v>152149</v>
      </c>
      <c r="K94" s="20" t="n">
        <v>153461</v>
      </c>
      <c r="L94" s="20" t="n">
        <v>160246</v>
      </c>
      <c r="M94" s="20" t="n">
        <v>162779</v>
      </c>
      <c r="N94" s="20" t="n">
        <v>164199</v>
      </c>
      <c r="T94" s="20" t="n">
        <v>154107</v>
      </c>
      <c r="U94" s="20" t="n">
        <v>181948</v>
      </c>
      <c r="V94" s="20" t="n">
        <v>174686</v>
      </c>
      <c r="W94" s="20" t="n">
        <v>167394</v>
      </c>
      <c r="X94" s="20" t="n">
        <v>162779</v>
      </c>
    </row>
    <row r="95">
      <c r="A95" s="9" t="inlineStr">
        <is>
          <t>매출총이익</t>
        </is>
      </c>
      <c r="C95" s="12" t="n">
        <v>11544</v>
      </c>
      <c r="D95" s="12" t="n">
        <v>13557</v>
      </c>
      <c r="E95" s="12" t="n">
        <v>10951</v>
      </c>
      <c r="F95" s="12" t="n">
        <v>11094</v>
      </c>
      <c r="G95" s="12" t="n">
        <v>9311</v>
      </c>
      <c r="H95" s="12" t="n">
        <v>12162</v>
      </c>
      <c r="I95" s="12" t="n">
        <v>13222</v>
      </c>
      <c r="J95" s="12" t="n">
        <v>11771</v>
      </c>
      <c r="K95" s="12" t="n">
        <v>12096</v>
      </c>
      <c r="L95" s="12" t="n">
        <v>12807</v>
      </c>
      <c r="M95" s="12" t="n">
        <v>12610</v>
      </c>
      <c r="N95" s="12" t="n">
        <v>11415</v>
      </c>
      <c r="T95" s="12" t="n">
        <v>9865</v>
      </c>
      <c r="U95" s="12" t="n">
        <v>11377</v>
      </c>
      <c r="V95" s="12" t="n">
        <v>10951</v>
      </c>
      <c r="W95" s="12" t="n">
        <v>13222</v>
      </c>
      <c r="X95" s="12" t="n">
        <v>12610</v>
      </c>
    </row>
    <row r="96">
      <c r="A96" s="18" t="inlineStr">
        <is>
          <t>판매비와 관리비</t>
        </is>
      </c>
      <c r="C96" s="20" t="n">
        <v>6828</v>
      </c>
      <c r="D96" s="20" t="n">
        <v>6993</v>
      </c>
      <c r="E96" s="20" t="n">
        <v>7748</v>
      </c>
      <c r="F96" s="20" t="n">
        <v>7480</v>
      </c>
      <c r="G96" s="20" t="n">
        <v>7478</v>
      </c>
      <c r="H96" s="20" t="n">
        <v>7697</v>
      </c>
      <c r="I96" s="20" t="n">
        <v>7956</v>
      </c>
      <c r="J96" s="20" t="n">
        <v>7579</v>
      </c>
      <c r="K96" s="20" t="n">
        <v>7680</v>
      </c>
      <c r="L96" s="20" t="n">
        <v>7843</v>
      </c>
      <c r="M96" s="20" t="n">
        <v>7467</v>
      </c>
      <c r="N96" s="20" t="n">
        <v>7765</v>
      </c>
      <c r="T96" s="20" t="n">
        <v>5987</v>
      </c>
      <c r="U96" s="20" t="n">
        <v>6169</v>
      </c>
      <c r="V96" s="20" t="n">
        <v>7748</v>
      </c>
      <c r="W96" s="20" t="n">
        <v>7956</v>
      </c>
      <c r="X96" s="20" t="n">
        <v>7467</v>
      </c>
    </row>
    <row r="97">
      <c r="A97" s="9" t="inlineStr">
        <is>
          <t>영업이익</t>
        </is>
      </c>
      <c r="C97" s="12" t="n">
        <v>4716</v>
      </c>
      <c r="D97" s="12" t="n">
        <v>6564</v>
      </c>
      <c r="E97" s="12" t="n">
        <v>3204</v>
      </c>
      <c r="F97" s="12" t="n">
        <v>3614</v>
      </c>
      <c r="G97" s="12" t="n">
        <v>1832</v>
      </c>
      <c r="H97" s="12" t="n">
        <v>4466</v>
      </c>
      <c r="I97" s="12" t="n">
        <v>5266</v>
      </c>
      <c r="J97" s="12" t="n">
        <v>4191</v>
      </c>
      <c r="K97" s="12" t="n">
        <v>4416</v>
      </c>
      <c r="L97" s="12" t="n">
        <v>4965</v>
      </c>
      <c r="M97" s="12" t="n">
        <v>5143</v>
      </c>
      <c r="N97" s="12" t="n">
        <v>3649</v>
      </c>
      <c r="T97" s="12" t="n">
        <v>3879</v>
      </c>
      <c r="U97" s="12" t="n">
        <v>5209</v>
      </c>
      <c r="V97" s="12" t="n">
        <v>3204</v>
      </c>
      <c r="W97" s="12" t="n">
        <v>5266</v>
      </c>
      <c r="X97" s="12" t="n">
        <v>5143</v>
      </c>
    </row>
    <row r="98">
      <c r="A98" s="18" t="inlineStr">
        <is>
          <t>이자수익</t>
        </is>
      </c>
      <c r="C98" s="20" t="n">
        <v>150</v>
      </c>
      <c r="D98" s="20" t="n">
        <v>148</v>
      </c>
      <c r="E98" s="20" t="n">
        <v>215</v>
      </c>
      <c r="F98" s="20" t="n">
        <v>140</v>
      </c>
      <c r="G98" s="20" t="n">
        <v>138</v>
      </c>
      <c r="H98" s="20" t="n">
        <v>145</v>
      </c>
      <c r="I98" s="20" t="n">
        <v>107</v>
      </c>
      <c r="J98" s="20" t="n">
        <v>94</v>
      </c>
      <c r="K98" s="20" t="n">
        <v>110</v>
      </c>
      <c r="L98" s="20" t="n">
        <v>91</v>
      </c>
      <c r="M98" s="20" t="n">
        <v>153</v>
      </c>
      <c r="N98" s="20" t="n">
        <v>115</v>
      </c>
      <c r="T98" s="20" t="n">
        <v>33</v>
      </c>
      <c r="U98" s="20" t="n">
        <v>107</v>
      </c>
      <c r="V98" s="20" t="n">
        <v>215</v>
      </c>
      <c r="W98" s="20" t="n">
        <v>107</v>
      </c>
      <c r="X98" s="20" t="n">
        <v>153</v>
      </c>
    </row>
    <row r="99">
      <c r="A99" s="18" t="inlineStr">
        <is>
          <t>배당금수익</t>
        </is>
      </c>
      <c r="C99" s="20" t="n">
        <v>39</v>
      </c>
      <c r="D99" s="20" t="n">
        <v>202</v>
      </c>
      <c r="E99" s="20" t="n">
        <v>0</v>
      </c>
      <c r="F99" s="20" t="n">
        <v>282</v>
      </c>
      <c r="G99" s="20" t="n">
        <v>35</v>
      </c>
      <c r="H99" s="20" t="n">
        <v>238</v>
      </c>
      <c r="I99" s="20" t="n">
        <v>0</v>
      </c>
      <c r="J99" s="20" t="n">
        <v>279</v>
      </c>
      <c r="K99" s="20" t="n">
        <v>36</v>
      </c>
      <c r="L99" s="20" t="n">
        <v>255</v>
      </c>
      <c r="M99" s="20" t="n">
        <v>0</v>
      </c>
      <c r="N99" s="20" t="n">
        <v>313</v>
      </c>
      <c r="T99" s="20" t="n">
        <v>0</v>
      </c>
      <c r="U99" s="20" t="n">
        <v>28</v>
      </c>
      <c r="V99" s="20" t="n">
        <v>0</v>
      </c>
      <c r="W99" s="20" t="n">
        <v>0</v>
      </c>
      <c r="X99" s="20" t="n">
        <v>0</v>
      </c>
    </row>
    <row r="100">
      <c r="A100" s="18" t="inlineStr">
        <is>
          <t>작업부산물 매각이익</t>
        </is>
      </c>
      <c r="C100" s="20" t="n">
        <v>100</v>
      </c>
      <c r="D100" s="20" t="n">
        <v>116</v>
      </c>
      <c r="E100" s="20" t="n">
        <v>96</v>
      </c>
      <c r="F100" s="20" t="n">
        <v>79</v>
      </c>
      <c r="G100" s="20" t="n">
        <v>68</v>
      </c>
      <c r="H100" s="20" t="n">
        <v>74</v>
      </c>
      <c r="I100" s="20" t="n">
        <v>68</v>
      </c>
      <c r="J100" s="20" t="n">
        <v>50</v>
      </c>
      <c r="K100" s="20" t="n">
        <v>58</v>
      </c>
      <c r="L100" s="20" t="n">
        <v>98</v>
      </c>
      <c r="M100" s="20" t="n">
        <v>93</v>
      </c>
      <c r="N100" s="20" t="n">
        <v>88</v>
      </c>
      <c r="T100" s="20" t="n">
        <v>141</v>
      </c>
      <c r="U100" s="20" t="n">
        <v>122</v>
      </c>
      <c r="V100" s="20" t="n">
        <v>96</v>
      </c>
      <c r="W100" s="20" t="n">
        <v>68</v>
      </c>
      <c r="X100" s="20" t="n">
        <v>93</v>
      </c>
    </row>
    <row r="101">
      <c r="A101" s="18" t="inlineStr">
        <is>
          <t>지분법이익</t>
        </is>
      </c>
      <c r="C101" s="20" t="n">
        <v>-18</v>
      </c>
      <c r="D101" s="20" t="n">
        <v>0</v>
      </c>
      <c r="E101" s="20" t="n">
        <v>0</v>
      </c>
      <c r="F101" s="20" t="n">
        <v>75</v>
      </c>
      <c r="G101" s="20" t="n">
        <v>-16</v>
      </c>
      <c r="H101" s="20" t="n">
        <v>-17</v>
      </c>
      <c r="I101" s="20" t="n">
        <v>137</v>
      </c>
      <c r="J101" s="20" t="n">
        <v>98</v>
      </c>
      <c r="K101" s="20" t="n">
        <v>-78</v>
      </c>
      <c r="L101" s="20" t="n">
        <v>-20</v>
      </c>
      <c r="M101" s="20" t="n">
        <v>122</v>
      </c>
      <c r="N101" s="20" t="n">
        <v>54</v>
      </c>
      <c r="T101" s="20" t="n">
        <v>117</v>
      </c>
      <c r="U101" s="20" t="n">
        <v>22</v>
      </c>
      <c r="V101" s="20" t="n">
        <v>0</v>
      </c>
      <c r="W101" s="20" t="n">
        <v>137</v>
      </c>
      <c r="X101" s="20" t="n">
        <v>122</v>
      </c>
    </row>
    <row r="102">
      <c r="A102" s="18" t="inlineStr">
        <is>
          <t>외환차익</t>
        </is>
      </c>
      <c r="C102" s="20" t="n">
        <v>275</v>
      </c>
      <c r="F102" s="20" t="n">
        <v>1228</v>
      </c>
      <c r="G102" s="20" t="n">
        <v>-1228</v>
      </c>
      <c r="H102" s="20" t="n">
        <v>0</v>
      </c>
      <c r="I102" s="20" t="n">
        <v>0</v>
      </c>
      <c r="J102" s="20" t="n">
        <v>0</v>
      </c>
      <c r="M102" s="20" t="n">
        <v>615</v>
      </c>
      <c r="N102" s="20" t="n">
        <v>179</v>
      </c>
      <c r="T102" s="20" t="n">
        <v>424</v>
      </c>
      <c r="U102" s="20" t="n">
        <v>0</v>
      </c>
      <c r="W102" s="20" t="n">
        <v>0</v>
      </c>
      <c r="X102" s="20" t="n">
        <v>615</v>
      </c>
    </row>
    <row r="103">
      <c r="A103" s="18" t="inlineStr">
        <is>
          <t>파생상품 평가이익</t>
        </is>
      </c>
      <c r="D103" s="20" t="n">
        <v>0</v>
      </c>
      <c r="E103" s="20" t="n">
        <v>0</v>
      </c>
      <c r="F103" s="20" t="n">
        <v>0</v>
      </c>
      <c r="G103" s="20" t="n">
        <v>690</v>
      </c>
      <c r="H103" s="20" t="n">
        <v>-537</v>
      </c>
      <c r="I103" s="20" t="n">
        <v>566</v>
      </c>
      <c r="J103" s="20" t="n">
        <v>18</v>
      </c>
      <c r="K103" s="20" t="n">
        <v>-18</v>
      </c>
      <c r="L103" s="20" t="n">
        <v>0</v>
      </c>
      <c r="M103" s="20" t="n">
        <v>0</v>
      </c>
      <c r="V103" s="20" t="n">
        <v>0</v>
      </c>
      <c r="W103" s="20" t="n">
        <v>566</v>
      </c>
      <c r="X103" s="20" t="n">
        <v>0</v>
      </c>
    </row>
    <row r="104">
      <c r="A104" s="18" t="inlineStr">
        <is>
          <t>보험금 수익</t>
        </is>
      </c>
      <c r="E104" s="20" t="n">
        <v>0</v>
      </c>
      <c r="I104" s="20" t="n">
        <v>0</v>
      </c>
      <c r="U104" s="20" t="n">
        <v>1</v>
      </c>
      <c r="V104" s="20" t="n">
        <v>0</v>
      </c>
      <c r="W104" s="20" t="n">
        <v>0</v>
      </c>
    </row>
    <row r="105">
      <c r="A105" s="18" t="inlineStr">
        <is>
          <t>잡이익</t>
        </is>
      </c>
      <c r="C105" s="20" t="n">
        <v>319</v>
      </c>
      <c r="D105" s="20" t="n">
        <v>161</v>
      </c>
      <c r="E105" s="20" t="n">
        <v>104</v>
      </c>
      <c r="F105" s="20" t="n">
        <v>198</v>
      </c>
      <c r="G105" s="20" t="n">
        <v>102</v>
      </c>
      <c r="H105" s="20" t="n">
        <v>143</v>
      </c>
      <c r="I105" s="20" t="n">
        <v>27</v>
      </c>
      <c r="J105" s="20" t="n">
        <v>117</v>
      </c>
      <c r="K105" s="20" t="n">
        <v>115</v>
      </c>
      <c r="L105" s="20" t="n">
        <v>124</v>
      </c>
      <c r="M105" s="20" t="n">
        <v>676</v>
      </c>
      <c r="N105" s="20" t="n">
        <v>201</v>
      </c>
      <c r="T105" s="20" t="n">
        <v>441</v>
      </c>
      <c r="U105" s="20" t="n">
        <v>286</v>
      </c>
      <c r="V105" s="20" t="n">
        <v>104</v>
      </c>
      <c r="W105" s="20" t="n">
        <v>27</v>
      </c>
      <c r="X105" s="20" t="n">
        <v>676</v>
      </c>
    </row>
    <row r="106">
      <c r="A106" s="18" t="inlineStr">
        <is>
          <t>영업외수익 합계</t>
        </is>
      </c>
      <c r="C106" s="20" t="n">
        <v>864</v>
      </c>
      <c r="D106" s="20" t="n">
        <v>652</v>
      </c>
      <c r="E106" s="20" t="n">
        <v>1084</v>
      </c>
      <c r="F106" s="20" t="n">
        <v>2006</v>
      </c>
      <c r="G106" s="20" t="n">
        <v>-212</v>
      </c>
      <c r="H106" s="20" t="n">
        <v>46</v>
      </c>
      <c r="I106" s="20" t="n">
        <v>904</v>
      </c>
      <c r="J106" s="20" t="n">
        <v>641</v>
      </c>
      <c r="K106" s="20" t="n">
        <v>240</v>
      </c>
      <c r="L106" s="20" t="n">
        <v>1801</v>
      </c>
      <c r="M106" s="20" t="n">
        <v>1659</v>
      </c>
      <c r="N106" s="20" t="n">
        <v>953</v>
      </c>
      <c r="T106" s="20" t="n">
        <v>1156</v>
      </c>
      <c r="U106" s="20" t="n">
        <v>565</v>
      </c>
      <c r="V106" s="20" t="n">
        <v>1084</v>
      </c>
      <c r="W106" s="20" t="n">
        <v>904</v>
      </c>
      <c r="X106" s="20" t="n">
        <v>1659</v>
      </c>
    </row>
    <row r="107">
      <c r="A107" s="18" t="inlineStr">
        <is>
          <t>이자비용</t>
        </is>
      </c>
      <c r="C107" s="20" t="n">
        <v>275</v>
      </c>
      <c r="D107" s="20" t="n">
        <v>236</v>
      </c>
      <c r="E107" s="20" t="n">
        <v>161</v>
      </c>
      <c r="F107" s="20" t="n">
        <v>205</v>
      </c>
      <c r="G107" s="20" t="n">
        <v>214</v>
      </c>
      <c r="H107" s="20" t="n">
        <v>212</v>
      </c>
      <c r="I107" s="20" t="n">
        <v>172</v>
      </c>
      <c r="J107" s="20" t="n">
        <v>203</v>
      </c>
      <c r="K107" s="20" t="n">
        <v>192</v>
      </c>
      <c r="L107" s="20" t="n">
        <v>172</v>
      </c>
      <c r="M107" s="20" t="n">
        <v>359</v>
      </c>
      <c r="N107" s="20" t="n">
        <v>250</v>
      </c>
      <c r="T107" s="20" t="n">
        <v>232</v>
      </c>
      <c r="U107" s="20" t="n">
        <v>439</v>
      </c>
      <c r="V107" s="20" t="n">
        <v>161</v>
      </c>
      <c r="W107" s="20" t="n">
        <v>172</v>
      </c>
      <c r="X107" s="20" t="n">
        <v>359</v>
      </c>
    </row>
    <row r="108">
      <c r="A108" s="18" t="inlineStr">
        <is>
          <t>고정자산 폐기손실</t>
        </is>
      </c>
      <c r="C108" s="20" t="n">
        <v>31</v>
      </c>
      <c r="D108" s="20" t="n">
        <v>182</v>
      </c>
      <c r="E108" s="20" t="n">
        <v>71</v>
      </c>
      <c r="F108" s="20" t="n">
        <v>284</v>
      </c>
      <c r="G108" s="20" t="n">
        <v>46</v>
      </c>
      <c r="H108" s="20" t="n">
        <v>48</v>
      </c>
      <c r="I108" s="20" t="n">
        <v>109</v>
      </c>
      <c r="J108" s="20" t="n">
        <v>50</v>
      </c>
      <c r="K108" s="20" t="n">
        <v>57</v>
      </c>
      <c r="L108" s="20" t="n">
        <v>120</v>
      </c>
      <c r="M108" s="20" t="n">
        <v>177</v>
      </c>
      <c r="N108" s="20" t="n">
        <v>230</v>
      </c>
      <c r="T108" s="20" t="n">
        <v>155</v>
      </c>
      <c r="U108" s="20" t="n">
        <v>54</v>
      </c>
      <c r="V108" s="20" t="n">
        <v>71</v>
      </c>
      <c r="W108" s="20" t="n">
        <v>109</v>
      </c>
      <c r="X108" s="20" t="n">
        <v>177</v>
      </c>
    </row>
    <row r="109">
      <c r="A109" s="18" t="inlineStr">
        <is>
          <t>지분법손실</t>
        </is>
      </c>
      <c r="D109" s="20" t="n">
        <v>-15</v>
      </c>
      <c r="E109" s="20" t="n">
        <v>28</v>
      </c>
      <c r="H109" s="20" t="n">
        <v>0</v>
      </c>
      <c r="I109" s="20" t="n">
        <v>0</v>
      </c>
      <c r="U109" s="20" t="n">
        <v>0</v>
      </c>
      <c r="V109" s="20" t="n">
        <v>28</v>
      </c>
      <c r="W109" s="20" t="n">
        <v>0</v>
      </c>
    </row>
    <row r="110">
      <c r="A110" s="18" t="inlineStr">
        <is>
          <t>외환차손</t>
        </is>
      </c>
      <c r="C110" s="20" t="n">
        <v>0</v>
      </c>
      <c r="D110" s="20" t="n">
        <v>403</v>
      </c>
      <c r="E110" s="20" t="n">
        <v>-403</v>
      </c>
      <c r="F110" s="20" t="n">
        <v>0</v>
      </c>
      <c r="G110" s="20" t="n">
        <v>2273</v>
      </c>
      <c r="H110" s="20" t="n">
        <v>-2076</v>
      </c>
      <c r="I110" s="20" t="n">
        <v>1651</v>
      </c>
      <c r="J110" s="20" t="n">
        <v>571</v>
      </c>
      <c r="K110" s="20" t="n">
        <v>-556</v>
      </c>
      <c r="L110" s="20" t="n">
        <v>-15</v>
      </c>
      <c r="M110" s="20" t="n">
        <v>0</v>
      </c>
      <c r="N110" s="20" t="n">
        <v>0</v>
      </c>
      <c r="T110" s="20" t="n">
        <v>0</v>
      </c>
      <c r="U110" s="20" t="n">
        <v>-251</v>
      </c>
      <c r="V110" s="20" t="n">
        <v>-403</v>
      </c>
      <c r="W110" s="20" t="n">
        <v>1651</v>
      </c>
      <c r="X110" s="20" t="n">
        <v>0</v>
      </c>
    </row>
    <row r="111">
      <c r="A111" s="18" t="inlineStr">
        <is>
          <t>파생상품 평가손실</t>
        </is>
      </c>
      <c r="C111" s="20" t="n">
        <v>197</v>
      </c>
      <c r="D111" s="20" t="n">
        <v>-206</v>
      </c>
      <c r="E111" s="20" t="n">
        <v>491</v>
      </c>
      <c r="F111" s="20" t="n">
        <v>528</v>
      </c>
      <c r="G111" s="20" t="n">
        <v>-528</v>
      </c>
      <c r="H111" s="20" t="n">
        <v>0</v>
      </c>
      <c r="I111" s="20" t="n">
        <v>0</v>
      </c>
      <c r="J111" s="20" t="n">
        <v>0</v>
      </c>
      <c r="K111" s="20" t="n">
        <v>72</v>
      </c>
      <c r="L111" s="20" t="n">
        <v>50</v>
      </c>
      <c r="M111" s="20" t="n">
        <v>31</v>
      </c>
      <c r="U111" s="20" t="n">
        <v>40</v>
      </c>
      <c r="V111" s="20" t="n">
        <v>491</v>
      </c>
      <c r="W111" s="20" t="n">
        <v>0</v>
      </c>
      <c r="X111" s="20" t="n">
        <v>31</v>
      </c>
    </row>
    <row r="112">
      <c r="A112" s="18" t="inlineStr">
        <is>
          <t>소송 화해금</t>
        </is>
      </c>
      <c r="E112" s="20" t="n">
        <v>0</v>
      </c>
      <c r="I112" s="20" t="n">
        <v>0</v>
      </c>
      <c r="U112" s="20" t="n">
        <v>0</v>
      </c>
      <c r="V112" s="20" t="n">
        <v>0</v>
      </c>
      <c r="W112" s="20" t="n">
        <v>0</v>
      </c>
    </row>
    <row r="113">
      <c r="A113" s="18" t="inlineStr">
        <is>
          <t>사업구조개선비용</t>
        </is>
      </c>
      <c r="C113" s="20" t="n">
        <v>0</v>
      </c>
      <c r="D113" s="20" t="n">
        <v>0</v>
      </c>
      <c r="E113" s="20" t="n">
        <v>0</v>
      </c>
      <c r="F113" s="20" t="n">
        <v>577</v>
      </c>
      <c r="G113" s="20" t="n">
        <v>-14</v>
      </c>
      <c r="H113" s="20" t="n">
        <v>0</v>
      </c>
      <c r="I113" s="20" t="n">
        <v>147</v>
      </c>
      <c r="J113" s="20" t="n">
        <v>0</v>
      </c>
      <c r="K113" s="20" t="n">
        <v>0</v>
      </c>
      <c r="L113" s="20" t="n">
        <v>0</v>
      </c>
      <c r="M113" s="20" t="n">
        <v>494</v>
      </c>
      <c r="V113" s="20" t="n">
        <v>0</v>
      </c>
      <c r="W113" s="20" t="n">
        <v>147</v>
      </c>
      <c r="X113" s="20" t="n">
        <v>494</v>
      </c>
    </row>
    <row r="114">
      <c r="A114" s="18" t="inlineStr">
        <is>
          <t>잡손실</t>
        </is>
      </c>
      <c r="C114" s="20" t="n">
        <v>277</v>
      </c>
      <c r="D114" s="20" t="n">
        <v>-38</v>
      </c>
      <c r="E114" s="20" t="n">
        <v>126</v>
      </c>
      <c r="F114" s="20" t="n">
        <v>30</v>
      </c>
      <c r="G114" s="20" t="n">
        <v>57</v>
      </c>
      <c r="H114" s="20" t="n">
        <v>88</v>
      </c>
      <c r="I114" s="20" t="n">
        <v>617</v>
      </c>
      <c r="J114" s="20" t="n">
        <v>38</v>
      </c>
      <c r="K114" s="20" t="n">
        <v>73</v>
      </c>
      <c r="L114" s="20" t="n">
        <v>182</v>
      </c>
      <c r="M114" s="20" t="n">
        <v>-56</v>
      </c>
      <c r="N114" s="20" t="n">
        <v>19</v>
      </c>
      <c r="T114" s="20" t="n">
        <v>32</v>
      </c>
      <c r="U114" s="20" t="n">
        <v>158</v>
      </c>
      <c r="V114" s="20" t="n">
        <v>126</v>
      </c>
      <c r="W114" s="20" t="n">
        <v>617</v>
      </c>
      <c r="X114" s="20" t="n">
        <v>-56</v>
      </c>
    </row>
    <row r="115">
      <c r="A115" s="18" t="inlineStr">
        <is>
          <t>영업외비용 합계</t>
        </is>
      </c>
      <c r="C115" s="20" t="n">
        <v>918</v>
      </c>
      <c r="D115" s="20" t="n">
        <v>1135</v>
      </c>
      <c r="E115" s="20" t="n">
        <v>1407</v>
      </c>
      <c r="F115" s="20" t="n">
        <v>1628</v>
      </c>
      <c r="G115" s="20" t="n">
        <v>2046</v>
      </c>
      <c r="H115" s="20" t="n">
        <v>-1729</v>
      </c>
      <c r="I115" s="20" t="n">
        <v>2696</v>
      </c>
      <c r="J115" s="20" t="n">
        <v>863</v>
      </c>
      <c r="K115" s="20" t="n">
        <v>-161</v>
      </c>
      <c r="L115" s="20" t="n">
        <v>525</v>
      </c>
      <c r="M115" s="20" t="n">
        <v>989</v>
      </c>
      <c r="N115" s="20" t="n">
        <v>499</v>
      </c>
      <c r="T115" s="20" t="n">
        <v>418</v>
      </c>
      <c r="U115" s="20" t="n">
        <v>439</v>
      </c>
      <c r="V115" s="20" t="n">
        <v>1407</v>
      </c>
      <c r="W115" s="20" t="n">
        <v>2696</v>
      </c>
      <c r="X115" s="20" t="n">
        <v>989</v>
      </c>
    </row>
    <row r="116">
      <c r="A116" s="9" t="inlineStr">
        <is>
          <t>경상이익</t>
        </is>
      </c>
      <c r="C116" s="12" t="n">
        <v>4662</v>
      </c>
      <c r="D116" s="12" t="n">
        <v>6082</v>
      </c>
      <c r="E116" s="12" t="n">
        <v>2880</v>
      </c>
      <c r="F116" s="12" t="n">
        <v>3992</v>
      </c>
      <c r="G116" s="12" t="n">
        <v>-427</v>
      </c>
      <c r="H116" s="12" t="n">
        <v>6241</v>
      </c>
      <c r="I116" s="12" t="n">
        <v>3475</v>
      </c>
      <c r="J116" s="12" t="n">
        <v>3969</v>
      </c>
      <c r="K116" s="12" t="n">
        <v>4817</v>
      </c>
      <c r="L116" s="12" t="n">
        <v>6241</v>
      </c>
      <c r="M116" s="12" t="n">
        <v>5813</v>
      </c>
      <c r="N116" s="12" t="n">
        <v>4102</v>
      </c>
      <c r="T116" s="12" t="n">
        <v>4615</v>
      </c>
      <c r="U116" s="12" t="n">
        <v>5334</v>
      </c>
      <c r="V116" s="12" t="n">
        <v>2880</v>
      </c>
      <c r="W116" s="12" t="n">
        <v>3475</v>
      </c>
      <c r="X116" s="12" t="n">
        <v>5813</v>
      </c>
    </row>
    <row r="117">
      <c r="A117" s="18" t="inlineStr">
        <is>
          <t>관계회사 청산이익</t>
        </is>
      </c>
      <c r="D117" s="20" t="n">
        <v>0</v>
      </c>
      <c r="E117" s="20" t="n">
        <v>0</v>
      </c>
      <c r="H117" s="20" t="n">
        <v>0</v>
      </c>
      <c r="I117" s="20" t="n">
        <v>0</v>
      </c>
      <c r="L117" s="20" t="n">
        <v>0</v>
      </c>
      <c r="M117" s="20" t="n">
        <v>0</v>
      </c>
      <c r="T117" s="20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</row>
    <row r="118">
      <c r="A118" s="18" t="inlineStr">
        <is>
          <t>투자유가증권 매각이익</t>
        </is>
      </c>
      <c r="D118" s="20" t="n">
        <v>0</v>
      </c>
      <c r="E118" s="20" t="n">
        <v>0</v>
      </c>
      <c r="H118" s="20" t="n">
        <v>745</v>
      </c>
      <c r="I118" s="20" t="n">
        <v>53</v>
      </c>
      <c r="L118" s="20" t="n">
        <v>0</v>
      </c>
      <c r="M118" s="20" t="n">
        <v>0</v>
      </c>
      <c r="T118" s="20" t="n">
        <v>0</v>
      </c>
      <c r="U118" s="20" t="n">
        <v>1604</v>
      </c>
      <c r="V118" s="20" t="n">
        <v>0</v>
      </c>
      <c r="W118" s="20" t="n">
        <v>53</v>
      </c>
      <c r="X118" s="20" t="n">
        <v>0</v>
      </c>
    </row>
    <row r="119">
      <c r="A119" s="18" t="inlineStr">
        <is>
          <t>특별이익 합계</t>
        </is>
      </c>
      <c r="D119" s="20" t="n">
        <v>0</v>
      </c>
      <c r="E119" s="20" t="n">
        <v>0</v>
      </c>
      <c r="H119" s="20" t="n">
        <v>745</v>
      </c>
      <c r="I119" s="20" t="n">
        <v>466</v>
      </c>
      <c r="L119" s="20" t="n">
        <v>0</v>
      </c>
      <c r="M119" s="20" t="n">
        <v>22</v>
      </c>
      <c r="T119" s="20" t="n">
        <v>0</v>
      </c>
      <c r="U119" s="20" t="n">
        <v>1604</v>
      </c>
      <c r="V119" s="20" t="n">
        <v>0</v>
      </c>
      <c r="W119" s="20" t="n">
        <v>466</v>
      </c>
      <c r="X119" s="20" t="n">
        <v>22</v>
      </c>
    </row>
    <row r="120">
      <c r="A120" s="18" t="inlineStr">
        <is>
          <t>손상차손</t>
        </is>
      </c>
      <c r="E120" s="20" t="n">
        <v>0</v>
      </c>
      <c r="I120" s="20" t="n">
        <v>194</v>
      </c>
      <c r="M120" s="20" t="n">
        <v>0</v>
      </c>
      <c r="V120" s="20" t="n">
        <v>0</v>
      </c>
      <c r="W120" s="20" t="n">
        <v>194</v>
      </c>
      <c r="X120" s="20" t="n">
        <v>0</v>
      </c>
    </row>
    <row r="121">
      <c r="A121" s="18" t="inlineStr">
        <is>
          <t>투자유가증권 평가손실</t>
        </is>
      </c>
      <c r="T121" s="20" t="n">
        <v>0</v>
      </c>
      <c r="U121" s="20" t="n">
        <v>0</v>
      </c>
    </row>
    <row r="122">
      <c r="A122" s="18" t="inlineStr">
        <is>
          <t>Restructuring Loss EL</t>
        </is>
      </c>
      <c r="E122" s="20" t="n">
        <v>0</v>
      </c>
      <c r="I122" s="20" t="n">
        <v>50</v>
      </c>
      <c r="M122" s="20" t="n">
        <v>68</v>
      </c>
      <c r="V122" s="20" t="n">
        <v>0</v>
      </c>
      <c r="W122" s="20" t="n">
        <v>50</v>
      </c>
      <c r="X122" s="20" t="n">
        <v>68</v>
      </c>
    </row>
    <row r="123">
      <c r="A123" s="18" t="inlineStr">
        <is>
          <t>특별손실 합계</t>
        </is>
      </c>
      <c r="E123" s="20" t="n">
        <v>0</v>
      </c>
      <c r="I123" s="20" t="n">
        <v>245</v>
      </c>
      <c r="M123" s="20" t="n">
        <v>69</v>
      </c>
      <c r="T123" s="20" t="n">
        <v>533</v>
      </c>
      <c r="U123" s="20" t="n">
        <v>1454</v>
      </c>
      <c r="V123" s="20" t="n">
        <v>0</v>
      </c>
      <c r="W123" s="20" t="n">
        <v>245</v>
      </c>
      <c r="X123" s="20" t="n">
        <v>69</v>
      </c>
    </row>
    <row r="124">
      <c r="A124" s="9" t="inlineStr">
        <is>
          <t>법인세차감전 순이익</t>
        </is>
      </c>
      <c r="C124" s="12" t="n">
        <v>4662</v>
      </c>
      <c r="D124" s="12" t="n">
        <v>6082</v>
      </c>
      <c r="E124" s="12" t="n">
        <v>2880</v>
      </c>
      <c r="F124" s="12" t="n">
        <v>3992</v>
      </c>
      <c r="G124" s="12" t="n">
        <v>367</v>
      </c>
      <c r="H124" s="12" t="n">
        <v>2025</v>
      </c>
      <c r="I124" s="12" t="n">
        <v>3695</v>
      </c>
      <c r="J124" s="12" t="n">
        <v>3969</v>
      </c>
      <c r="K124" s="12" t="n">
        <v>5367</v>
      </c>
      <c r="L124" s="12" t="n">
        <v>6197</v>
      </c>
      <c r="M124" s="12" t="n">
        <v>5766</v>
      </c>
      <c r="N124" s="12" t="n">
        <v>4102</v>
      </c>
      <c r="T124" s="12" t="n">
        <v>4083</v>
      </c>
      <c r="U124" s="12" t="n">
        <v>5483</v>
      </c>
      <c r="V124" s="12" t="n">
        <v>2880</v>
      </c>
      <c r="W124" s="12" t="n">
        <v>3695</v>
      </c>
      <c r="X124" s="12" t="n">
        <v>5766</v>
      </c>
    </row>
    <row r="125">
      <c r="A125" s="18" t="inlineStr">
        <is>
          <t>법인세 등</t>
        </is>
      </c>
      <c r="C125" s="20" t="n">
        <v>914</v>
      </c>
      <c r="D125" s="20" t="n">
        <v>1805</v>
      </c>
      <c r="E125" s="20" t="n">
        <v>737</v>
      </c>
      <c r="F125" s="20" t="n">
        <v>1536</v>
      </c>
      <c r="G125" s="20" t="n">
        <v>1017</v>
      </c>
      <c r="H125" s="20" t="n">
        <v>1413</v>
      </c>
      <c r="I125" s="20" t="n">
        <v>342</v>
      </c>
      <c r="J125" s="20" t="n">
        <v>1242</v>
      </c>
      <c r="K125" s="20" t="n">
        <v>959</v>
      </c>
      <c r="L125" s="20" t="n">
        <v>1419</v>
      </c>
      <c r="M125" s="20" t="n">
        <v>472</v>
      </c>
      <c r="N125" s="20" t="n">
        <v>1515</v>
      </c>
      <c r="T125" s="20" t="n">
        <v>130</v>
      </c>
      <c r="U125" s="20" t="n">
        <v>-4384</v>
      </c>
      <c r="V125" s="20" t="n">
        <v>737</v>
      </c>
      <c r="W125" s="20" t="n">
        <v>342</v>
      </c>
      <c r="X125" s="20" t="n">
        <v>472</v>
      </c>
    </row>
    <row r="126">
      <c r="A126" s="9" t="inlineStr">
        <is>
          <t>순이익</t>
        </is>
      </c>
      <c r="C126" s="12" t="n">
        <v>3748</v>
      </c>
      <c r="D126" s="12" t="n">
        <v>4276</v>
      </c>
      <c r="E126" s="12" t="n">
        <v>2144</v>
      </c>
      <c r="F126" s="12" t="n">
        <v>2455</v>
      </c>
      <c r="G126" s="12" t="n">
        <v>-650</v>
      </c>
      <c r="H126" s="12" t="n">
        <v>612</v>
      </c>
      <c r="I126" s="12" t="n">
        <v>3354</v>
      </c>
      <c r="J126" s="12" t="n">
        <v>2726</v>
      </c>
      <c r="K126" s="12" t="n">
        <v>4409</v>
      </c>
      <c r="L126" s="12" t="n">
        <v>4777</v>
      </c>
      <c r="M126" s="12" t="n">
        <v>5295</v>
      </c>
      <c r="N126" s="12" t="n">
        <v>2587</v>
      </c>
      <c r="T126" s="12" t="n">
        <v>3953</v>
      </c>
      <c r="U126" s="12" t="n">
        <v>9868</v>
      </c>
      <c r="V126" s="12" t="n">
        <v>2144</v>
      </c>
      <c r="W126" s="12" t="n">
        <v>3354</v>
      </c>
      <c r="X126" s="12" t="n">
        <v>5295</v>
      </c>
    </row>
    <row r="127">
      <c r="A127" s="9" t="inlineStr">
        <is>
          <t>비지배주주 순이익</t>
        </is>
      </c>
      <c r="C127" s="12" t="n">
        <v>84</v>
      </c>
      <c r="D127" s="12" t="n">
        <v>249</v>
      </c>
      <c r="E127" s="12" t="n">
        <v>78</v>
      </c>
      <c r="F127" s="12" t="n">
        <v>83</v>
      </c>
      <c r="G127" s="12" t="n">
        <v>133</v>
      </c>
      <c r="H127" s="12" t="n">
        <v>-591</v>
      </c>
      <c r="I127" s="12" t="n">
        <v>-61</v>
      </c>
      <c r="J127" s="12" t="n">
        <v>111</v>
      </c>
      <c r="K127" s="12" t="n">
        <v>633</v>
      </c>
      <c r="L127" s="12" t="n">
        <v>251</v>
      </c>
      <c r="M127" s="12" t="n">
        <v>185</v>
      </c>
      <c r="N127" s="12" t="n">
        <v>113</v>
      </c>
      <c r="T127" s="12" t="n">
        <v>162</v>
      </c>
      <c r="U127" s="12" t="n">
        <v>-42</v>
      </c>
      <c r="V127" s="12" t="n">
        <v>78</v>
      </c>
      <c r="W127" s="12" t="n">
        <v>-61</v>
      </c>
      <c r="X127" s="12" t="n">
        <v>185</v>
      </c>
    </row>
    <row r="128">
      <c r="A128" s="9" t="inlineStr">
        <is>
          <t>지배주주 순이익</t>
        </is>
      </c>
      <c r="C128" s="12" t="n">
        <v>3665</v>
      </c>
      <c r="D128" s="12" t="n">
        <v>4026</v>
      </c>
      <c r="E128" s="12" t="n">
        <v>2066</v>
      </c>
      <c r="F128" s="12" t="n">
        <v>2371</v>
      </c>
      <c r="G128" s="12" t="n">
        <v>-783</v>
      </c>
      <c r="H128" s="12" t="n">
        <v>1204</v>
      </c>
      <c r="I128" s="12" t="n">
        <v>3416</v>
      </c>
      <c r="J128" s="12" t="n">
        <v>2614</v>
      </c>
      <c r="K128" s="12" t="n">
        <v>3776</v>
      </c>
      <c r="L128" s="12" t="n">
        <v>4527</v>
      </c>
      <c r="M128" s="12" t="n">
        <v>5109</v>
      </c>
      <c r="N128" s="12" t="n">
        <v>2474</v>
      </c>
      <c r="T128" s="12" t="n">
        <v>3790</v>
      </c>
      <c r="U128" s="12" t="n">
        <v>9911</v>
      </c>
      <c r="V128" s="12" t="n">
        <v>2066</v>
      </c>
      <c r="W128" s="12" t="n">
        <v>3416</v>
      </c>
      <c r="X128" s="12" t="n">
        <v>5109</v>
      </c>
    </row>
    <row r="130">
      <c r="A130" s="16" t="inlineStr">
        <is>
          <t>포괄손익 · 전 항목</t>
        </is>
      </c>
      <c r="B130" s="42" t="inlineStr">
        <is>
          <t>분기 = 3개월 단독</t>
        </is>
      </c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</row>
    <row r="131">
      <c r="A131" s="5" t="inlineStr">
        <is>
          <t>항목</t>
        </is>
      </c>
      <c r="B131" s="5" t="inlineStr">
        <is>
          <t>참고</t>
        </is>
      </c>
      <c r="C131" s="5" t="inlineStr">
        <is>
          <t>2024.2Q</t>
        </is>
      </c>
      <c r="D131" s="5" t="inlineStr">
        <is>
          <t>2024.3Q</t>
        </is>
      </c>
      <c r="E131" s="5" t="inlineStr">
        <is>
          <t>2024.4Q</t>
        </is>
      </c>
      <c r="F131" s="5" t="inlineStr">
        <is>
          <t>2025.1Q</t>
        </is>
      </c>
      <c r="G131" s="5" t="inlineStr">
        <is>
          <t>2025.2Q</t>
        </is>
      </c>
      <c r="H131" s="5" t="inlineStr">
        <is>
          <t>2025.3Q</t>
        </is>
      </c>
      <c r="I131" s="5" t="inlineStr">
        <is>
          <t>2025.4Q</t>
        </is>
      </c>
      <c r="J131" s="5" t="inlineStr">
        <is>
          <t>2026.1Q</t>
        </is>
      </c>
      <c r="K131" s="5" t="inlineStr">
        <is>
          <t>2026.2Q</t>
        </is>
      </c>
      <c r="L131" s="5" t="inlineStr">
        <is>
          <t>2026.3Q</t>
        </is>
      </c>
      <c r="M131" s="5" t="inlineStr">
        <is>
          <t>2026.4Q</t>
        </is>
      </c>
      <c r="N131" s="5" t="inlineStr">
        <is>
          <t>2027.1Q</t>
        </is>
      </c>
      <c r="O131" s="5" t="inlineStr">
        <is>
          <t>2017</t>
        </is>
      </c>
      <c r="P131" s="5" t="inlineStr">
        <is>
          <t>2018</t>
        </is>
      </c>
      <c r="Q131" s="5" t="inlineStr">
        <is>
          <t>2019</t>
        </is>
      </c>
      <c r="R131" s="5" t="inlineStr">
        <is>
          <t>2020</t>
        </is>
      </c>
      <c r="S131" s="5" t="inlineStr">
        <is>
          <t>2021</t>
        </is>
      </c>
      <c r="T131" s="5" t="inlineStr">
        <is>
          <t>2022</t>
        </is>
      </c>
      <c r="U131" s="5" t="inlineStr">
        <is>
          <t>2023</t>
        </is>
      </c>
      <c r="V131" s="5" t="inlineStr">
        <is>
          <t>2024</t>
        </is>
      </c>
      <c r="W131" s="5" t="inlineStr">
        <is>
          <t>2025</t>
        </is>
      </c>
      <c r="X131" s="5" t="inlineStr">
        <is>
          <t>2026</t>
        </is>
      </c>
      <c r="Y131" s="5" t="inlineStr">
        <is>
          <t>2027(MW)</t>
        </is>
      </c>
      <c r="Z131" s="5" t="inlineStr">
        <is>
          <t>2028(MW)</t>
        </is>
      </c>
      <c r="AA131" s="5" t="inlineStr">
        <is>
          <t>2029(MW)</t>
        </is>
      </c>
      <c r="AB131" s="5" t="inlineStr">
        <is>
          <t>2030(MW)</t>
        </is>
      </c>
      <c r="AC131" s="5" t="inlineStr">
        <is>
          <t>2031(MW)</t>
        </is>
      </c>
    </row>
    <row r="132">
      <c r="A132" s="9" t="inlineStr">
        <is>
          <t>순이익</t>
        </is>
      </c>
      <c r="C132" s="12" t="n">
        <v>3748</v>
      </c>
      <c r="D132" s="12" t="n">
        <v>4276</v>
      </c>
      <c r="E132" s="12" t="n">
        <v>2144</v>
      </c>
      <c r="F132" s="12" t="n">
        <v>2455</v>
      </c>
      <c r="G132" s="12" t="n">
        <v>-650</v>
      </c>
      <c r="H132" s="12" t="n">
        <v>612</v>
      </c>
      <c r="I132" s="12" t="n">
        <v>3354</v>
      </c>
      <c r="J132" s="12" t="n">
        <v>2726</v>
      </c>
      <c r="K132" s="12" t="n">
        <v>4409</v>
      </c>
      <c r="L132" s="12" t="n">
        <v>4777</v>
      </c>
      <c r="M132" s="12" t="n">
        <v>5295</v>
      </c>
      <c r="N132" s="12" t="n">
        <v>2587</v>
      </c>
      <c r="T132" s="12" t="n">
        <v>3953</v>
      </c>
      <c r="U132" s="12" t="n">
        <v>9868</v>
      </c>
      <c r="V132" s="12" t="n">
        <v>2144</v>
      </c>
      <c r="W132" s="12" t="n">
        <v>3354</v>
      </c>
      <c r="X132" s="12" t="n">
        <v>5295</v>
      </c>
    </row>
    <row r="133">
      <c r="A133" s="18" t="inlineStr">
        <is>
          <t>기타유가증권 평가차액</t>
        </is>
      </c>
      <c r="C133" s="20" t="n">
        <v>1739</v>
      </c>
      <c r="D133" s="20" t="n">
        <v>-372</v>
      </c>
      <c r="E133" s="20" t="n">
        <v>4181</v>
      </c>
      <c r="F133" s="20" t="n">
        <v>-1227</v>
      </c>
      <c r="G133" s="20" t="n">
        <v>-3448</v>
      </c>
      <c r="H133" s="20" t="n">
        <v>1598</v>
      </c>
      <c r="I133" s="20" t="n">
        <v>-1581</v>
      </c>
      <c r="J133" s="20" t="n">
        <v>-429</v>
      </c>
      <c r="K133" s="20" t="n">
        <v>1670</v>
      </c>
      <c r="L133" s="20" t="n">
        <v>1782</v>
      </c>
      <c r="M133" s="20" t="n">
        <v>-706</v>
      </c>
      <c r="N133" s="20" t="n">
        <v>-763</v>
      </c>
      <c r="T133" s="20" t="n">
        <v>304</v>
      </c>
      <c r="U133" s="20" t="n">
        <v>576</v>
      </c>
      <c r="V133" s="20" t="n">
        <v>4181</v>
      </c>
      <c r="W133" s="20" t="n">
        <v>-1581</v>
      </c>
      <c r="X133" s="20" t="n">
        <v>-706</v>
      </c>
    </row>
    <row r="134">
      <c r="A134" s="18" t="inlineStr">
        <is>
          <t>해외사업환산조정</t>
        </is>
      </c>
      <c r="C134" s="20" t="n">
        <v>1079</v>
      </c>
      <c r="D134" s="20" t="n">
        <v>-2069</v>
      </c>
      <c r="E134" s="20" t="n">
        <v>3069</v>
      </c>
      <c r="F134" s="20" t="n">
        <v>3752</v>
      </c>
      <c r="G134" s="20" t="n">
        <v>-5751</v>
      </c>
      <c r="H134" s="20" t="n">
        <v>2995</v>
      </c>
      <c r="I134" s="20" t="n">
        <v>-2724</v>
      </c>
      <c r="J134" s="20" t="n">
        <v>-168</v>
      </c>
      <c r="K134" s="20" t="n">
        <v>660</v>
      </c>
      <c r="L134" s="20" t="n">
        <v>3649</v>
      </c>
      <c r="M134" s="20" t="n">
        <v>-339</v>
      </c>
      <c r="N134" s="20" t="n">
        <v>959</v>
      </c>
      <c r="T134" s="20" t="n">
        <v>3224</v>
      </c>
      <c r="U134" s="20" t="n">
        <v>-1454</v>
      </c>
      <c r="V134" s="20" t="n">
        <v>3069</v>
      </c>
      <c r="W134" s="20" t="n">
        <v>-2724</v>
      </c>
      <c r="X134" s="20" t="n">
        <v>-339</v>
      </c>
    </row>
    <row r="135">
      <c r="A135" s="18" t="inlineStr">
        <is>
          <t>퇴직급여 조정액</t>
        </is>
      </c>
      <c r="C135" s="20" t="n">
        <v>-86</v>
      </c>
      <c r="D135" s="20" t="n">
        <v>-86</v>
      </c>
      <c r="E135" s="20" t="n">
        <v>6788</v>
      </c>
      <c r="F135" s="20" t="n">
        <v>-242</v>
      </c>
      <c r="G135" s="20" t="n">
        <v>-243</v>
      </c>
      <c r="H135" s="20" t="n">
        <v>-242</v>
      </c>
      <c r="I135" s="20" t="n">
        <v>-2861</v>
      </c>
      <c r="J135" s="20" t="n">
        <v>-169</v>
      </c>
      <c r="K135" s="20" t="n">
        <v>-167</v>
      </c>
      <c r="L135" s="20" t="n">
        <v>-166</v>
      </c>
      <c r="M135" s="20" t="n">
        <v>3038</v>
      </c>
      <c r="N135" s="20" t="n">
        <v>-177</v>
      </c>
      <c r="T135" s="20" t="n">
        <v>1601</v>
      </c>
      <c r="U135" s="20" t="n">
        <v>-1452</v>
      </c>
      <c r="V135" s="20" t="n">
        <v>6788</v>
      </c>
      <c r="W135" s="20" t="n">
        <v>-2861</v>
      </c>
      <c r="X135" s="20" t="n">
        <v>3038</v>
      </c>
    </row>
    <row r="136">
      <c r="A136" s="18" t="inlineStr">
        <is>
          <t>지분법 적용회사 지분 해당액</t>
        </is>
      </c>
      <c r="C136" s="20" t="n">
        <v>268</v>
      </c>
      <c r="D136" s="20" t="n">
        <v>91</v>
      </c>
      <c r="E136" s="20" t="n">
        <v>28</v>
      </c>
      <c r="F136" s="20" t="n">
        <v>186</v>
      </c>
      <c r="G136" s="20" t="n">
        <v>276</v>
      </c>
      <c r="H136" s="20" t="n">
        <v>-486</v>
      </c>
      <c r="I136" s="20" t="n">
        <v>134</v>
      </c>
      <c r="J136" s="20" t="n">
        <v>-70</v>
      </c>
      <c r="K136" s="20" t="n">
        <v>35</v>
      </c>
      <c r="L136" s="20" t="n">
        <v>88</v>
      </c>
      <c r="M136" s="20" t="n">
        <v>336</v>
      </c>
      <c r="N136" s="20" t="n">
        <v>54</v>
      </c>
      <c r="T136" s="20" t="n">
        <v>-254</v>
      </c>
      <c r="U136" s="20" t="n">
        <v>-801</v>
      </c>
      <c r="V136" s="20" t="n">
        <v>28</v>
      </c>
      <c r="W136" s="20" t="n">
        <v>134</v>
      </c>
      <c r="X136" s="20" t="n">
        <v>336</v>
      </c>
    </row>
    <row r="137">
      <c r="A137" s="18" t="inlineStr">
        <is>
          <t>기타포괄손익 합계</t>
        </is>
      </c>
      <c r="C137" s="20" t="n">
        <v>2999</v>
      </c>
      <c r="D137" s="20" t="n">
        <v>-2434</v>
      </c>
      <c r="E137" s="20" t="n">
        <v>14066</v>
      </c>
      <c r="F137" s="20" t="n">
        <v>2468</v>
      </c>
      <c r="G137" s="20" t="n">
        <v>-9165</v>
      </c>
      <c r="H137" s="20" t="n">
        <v>3865</v>
      </c>
      <c r="I137" s="20" t="n">
        <v>-7032</v>
      </c>
      <c r="J137" s="20" t="n">
        <v>-838</v>
      </c>
      <c r="K137" s="20" t="n">
        <v>2200</v>
      </c>
      <c r="L137" s="20" t="n">
        <v>5353</v>
      </c>
      <c r="M137" s="20" t="n">
        <v>2330</v>
      </c>
      <c r="N137" s="20" t="n">
        <v>73</v>
      </c>
      <c r="T137" s="20" t="n">
        <v>4877</v>
      </c>
      <c r="U137" s="20" t="n">
        <v>-3131</v>
      </c>
      <c r="V137" s="20" t="n">
        <v>14066</v>
      </c>
      <c r="W137" s="20" t="n">
        <v>-7032</v>
      </c>
      <c r="X137" s="20" t="n">
        <v>2330</v>
      </c>
    </row>
    <row r="138">
      <c r="A138" s="9" t="inlineStr">
        <is>
          <t>포괄이익</t>
        </is>
      </c>
      <c r="C138" s="12" t="n">
        <v>6747</v>
      </c>
      <c r="D138" s="12" t="n">
        <v>1843</v>
      </c>
      <c r="E138" s="12" t="n">
        <v>16209</v>
      </c>
      <c r="F138" s="12" t="n">
        <v>4923</v>
      </c>
      <c r="G138" s="12" t="n">
        <v>-9815</v>
      </c>
      <c r="H138" s="12" t="n">
        <v>4478</v>
      </c>
      <c r="I138" s="12" t="n">
        <v>-3679</v>
      </c>
      <c r="J138" s="12" t="n">
        <v>1888</v>
      </c>
      <c r="K138" s="12" t="n">
        <v>6610</v>
      </c>
      <c r="L138" s="12" t="n">
        <v>10130</v>
      </c>
      <c r="M138" s="12" t="n">
        <v>7624</v>
      </c>
      <c r="N138" s="12" t="n">
        <v>2661</v>
      </c>
      <c r="T138" s="12" t="n">
        <v>8829</v>
      </c>
      <c r="U138" s="12" t="n">
        <v>6738</v>
      </c>
      <c r="V138" s="12" t="n">
        <v>16209</v>
      </c>
      <c r="W138" s="12" t="n">
        <v>-3679</v>
      </c>
      <c r="X138" s="12" t="n">
        <v>7624</v>
      </c>
    </row>
    <row r="139">
      <c r="A139" s="9" t="inlineStr">
        <is>
          <t>지배주주 포괄이익</t>
        </is>
      </c>
      <c r="C139" s="12" t="n">
        <v>6550</v>
      </c>
      <c r="D139" s="12" t="n">
        <v>1806</v>
      </c>
      <c r="E139" s="12" t="n">
        <v>15816</v>
      </c>
      <c r="F139" s="12" t="n">
        <v>4457</v>
      </c>
      <c r="G139" s="12" t="n">
        <v>-9346</v>
      </c>
      <c r="H139" s="12" t="n">
        <v>4679</v>
      </c>
      <c r="I139" s="12" t="n">
        <v>-3257</v>
      </c>
      <c r="J139" s="12" t="n">
        <v>1799</v>
      </c>
      <c r="K139" s="12" t="n">
        <v>5865</v>
      </c>
      <c r="L139" s="12" t="n">
        <v>9500</v>
      </c>
      <c r="M139" s="12" t="n">
        <v>7867</v>
      </c>
      <c r="N139" s="12" t="n">
        <v>2414</v>
      </c>
      <c r="T139" s="12" t="n">
        <v>8405</v>
      </c>
      <c r="U139" s="12" t="n">
        <v>6958</v>
      </c>
      <c r="V139" s="12" t="n">
        <v>15816</v>
      </c>
      <c r="W139" s="12" t="n">
        <v>-3257</v>
      </c>
      <c r="X139" s="12" t="n">
        <v>7867</v>
      </c>
    </row>
    <row r="140">
      <c r="A140" s="9" t="inlineStr">
        <is>
          <t>비지배주주 포괄이익</t>
        </is>
      </c>
      <c r="C140" s="12" t="n">
        <v>197</v>
      </c>
      <c r="D140" s="12" t="n">
        <v>37</v>
      </c>
      <c r="E140" s="12" t="n">
        <v>393</v>
      </c>
      <c r="F140" s="12" t="n">
        <v>465</v>
      </c>
      <c r="G140" s="12" t="n">
        <v>-468</v>
      </c>
      <c r="H140" s="12" t="n">
        <v>-201</v>
      </c>
      <c r="I140" s="12" t="n">
        <v>-421</v>
      </c>
      <c r="J140" s="12" t="n">
        <v>89</v>
      </c>
      <c r="K140" s="12" t="n">
        <v>744</v>
      </c>
      <c r="L140" s="12" t="n">
        <v>630</v>
      </c>
      <c r="M140" s="12" t="n">
        <v>-243</v>
      </c>
      <c r="N140" s="12" t="n">
        <v>246</v>
      </c>
      <c r="T140" s="12" t="n">
        <v>424</v>
      </c>
      <c r="U140" s="12" t="n">
        <v>-221</v>
      </c>
      <c r="V140" s="12" t="n">
        <v>393</v>
      </c>
      <c r="W140" s="12" t="n">
        <v>-421</v>
      </c>
      <c r="X140" s="12" t="n">
        <v>-243</v>
      </c>
    </row>
    <row r="142">
      <c r="A142" s="16" t="inlineStr">
        <is>
          <t>부문 · 전 항목</t>
        </is>
      </c>
      <c r="B142" s="42" t="inlineStr">
        <is>
          <t>부문 · 항목</t>
        </is>
      </c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</row>
    <row r="143">
      <c r="A143" s="5" t="inlineStr">
        <is>
          <t>항목</t>
        </is>
      </c>
      <c r="B143" s="5" t="inlineStr">
        <is>
          <t>참고</t>
        </is>
      </c>
      <c r="C143" s="5" t="inlineStr">
        <is>
          <t>2024.2Q</t>
        </is>
      </c>
      <c r="D143" s="5" t="inlineStr">
        <is>
          <t>2024.3Q</t>
        </is>
      </c>
      <c r="E143" s="5" t="inlineStr">
        <is>
          <t>2024.4Q</t>
        </is>
      </c>
      <c r="F143" s="5" t="inlineStr">
        <is>
          <t>2025.1Q</t>
        </is>
      </c>
      <c r="G143" s="5" t="inlineStr">
        <is>
          <t>2025.2Q</t>
        </is>
      </c>
      <c r="H143" s="5" t="inlineStr">
        <is>
          <t>2025.3Q</t>
        </is>
      </c>
      <c r="I143" s="5" t="inlineStr">
        <is>
          <t>2025.4Q</t>
        </is>
      </c>
      <c r="J143" s="5" t="inlineStr">
        <is>
          <t>2026.1Q</t>
        </is>
      </c>
      <c r="K143" s="5" t="inlineStr">
        <is>
          <t>2026.2Q</t>
        </is>
      </c>
      <c r="L143" s="5" t="inlineStr">
        <is>
          <t>2026.3Q</t>
        </is>
      </c>
      <c r="M143" s="5" t="inlineStr">
        <is>
          <t>2026.4Q</t>
        </is>
      </c>
      <c r="N143" s="5" t="inlineStr">
        <is>
          <t>2027.1Q</t>
        </is>
      </c>
      <c r="O143" s="5" t="inlineStr">
        <is>
          <t>2017</t>
        </is>
      </c>
      <c r="P143" s="5" t="inlineStr">
        <is>
          <t>2018</t>
        </is>
      </c>
      <c r="Q143" s="5" t="inlineStr">
        <is>
          <t>2019</t>
        </is>
      </c>
      <c r="R143" s="5" t="inlineStr">
        <is>
          <t>2020</t>
        </is>
      </c>
      <c r="S143" s="5" t="inlineStr">
        <is>
          <t>2021</t>
        </is>
      </c>
      <c r="T143" s="5" t="inlineStr">
        <is>
          <t>2022</t>
        </is>
      </c>
      <c r="U143" s="5" t="inlineStr">
        <is>
          <t>2023</t>
        </is>
      </c>
      <c r="V143" s="5" t="inlineStr">
        <is>
          <t>2024</t>
        </is>
      </c>
      <c r="W143" s="5" t="inlineStr">
        <is>
          <t>2025</t>
        </is>
      </c>
      <c r="X143" s="5" t="inlineStr">
        <is>
          <t>2026</t>
        </is>
      </c>
      <c r="Y143" s="5" t="inlineStr">
        <is>
          <t>2027(MW)</t>
        </is>
      </c>
      <c r="Z143" s="5" t="inlineStr">
        <is>
          <t>2028(MW)</t>
        </is>
      </c>
      <c r="AA143" s="5" t="inlineStr">
        <is>
          <t>2029(MW)</t>
        </is>
      </c>
      <c r="AB143" s="5" t="inlineStr">
        <is>
          <t>2030(MW)</t>
        </is>
      </c>
      <c r="AC143" s="5" t="inlineStr">
        <is>
          <t>2031(MW)</t>
        </is>
      </c>
    </row>
    <row r="144">
      <c r="A144" s="18" t="inlineStr">
        <is>
          <t>JapanReportableSegmentsMember · 외부 고객 매출</t>
        </is>
      </c>
      <c r="C144" s="20" t="n">
        <v>91884</v>
      </c>
      <c r="D144" s="20" t="n">
        <v>91499</v>
      </c>
      <c r="E144" s="20" t="n">
        <v>83158</v>
      </c>
      <c r="F144" s="20" t="n">
        <v>75913</v>
      </c>
      <c r="G144" s="20" t="n">
        <v>77430</v>
      </c>
      <c r="H144" s="20" t="n">
        <v>81188</v>
      </c>
      <c r="I144" s="20" t="n">
        <v>82850</v>
      </c>
      <c r="J144" s="20" t="n">
        <v>75249</v>
      </c>
      <c r="K144" s="20" t="n">
        <v>77342</v>
      </c>
      <c r="L144" s="20" t="n">
        <v>77578</v>
      </c>
      <c r="M144" s="20" t="n">
        <v>78336</v>
      </c>
      <c r="N144" s="20" t="n">
        <v>77046</v>
      </c>
      <c r="V144" s="20" t="n">
        <v>83158</v>
      </c>
      <c r="W144" s="20" t="n">
        <v>82850</v>
      </c>
      <c r="X144" s="20" t="n">
        <v>78336</v>
      </c>
    </row>
    <row r="145">
      <c r="A145" s="18" t="inlineStr">
        <is>
          <t>NorthAmericaReportableSegmentsMember · 외부 고객 매출</t>
        </is>
      </c>
      <c r="C145" s="20" t="n">
        <v>54118</v>
      </c>
      <c r="D145" s="20" t="n">
        <v>56400</v>
      </c>
      <c r="E145" s="20" t="n">
        <v>57360</v>
      </c>
      <c r="F145" s="20" t="n">
        <v>63255</v>
      </c>
      <c r="G145" s="20" t="n">
        <v>43221</v>
      </c>
      <c r="H145" s="20" t="n">
        <v>46406</v>
      </c>
      <c r="I145" s="20" t="n">
        <v>53411</v>
      </c>
      <c r="J145" s="20" t="n">
        <v>45165</v>
      </c>
      <c r="K145" s="20" t="n">
        <v>43206</v>
      </c>
      <c r="L145" s="20" t="n">
        <v>43597</v>
      </c>
      <c r="M145" s="20" t="n">
        <v>45793</v>
      </c>
      <c r="N145" s="20" t="n">
        <v>49517</v>
      </c>
      <c r="V145" s="20" t="n">
        <v>57360</v>
      </c>
      <c r="W145" s="20" t="n">
        <v>53411</v>
      </c>
      <c r="X145" s="20" t="n">
        <v>45793</v>
      </c>
    </row>
    <row r="146">
      <c r="A146" s="18" t="inlineStr">
        <is>
          <t>EuropeReportableSegmentsMember · 외부 고객 매출</t>
        </is>
      </c>
      <c r="C146" s="20" t="n">
        <v>14729</v>
      </c>
      <c r="D146" s="20" t="n">
        <v>20126</v>
      </c>
      <c r="E146" s="20" t="n">
        <v>18578</v>
      </c>
      <c r="F146" s="20" t="n">
        <v>16815</v>
      </c>
      <c r="G146" s="20" t="n">
        <v>13229</v>
      </c>
      <c r="H146" s="20" t="n">
        <v>14992</v>
      </c>
      <c r="I146" s="20" t="n">
        <v>16570</v>
      </c>
      <c r="J146" s="20" t="n">
        <v>15538</v>
      </c>
      <c r="K146" s="20" t="n">
        <v>14401</v>
      </c>
      <c r="L146" s="20" t="n">
        <v>17650</v>
      </c>
      <c r="M146" s="20" t="n">
        <v>20469</v>
      </c>
      <c r="N146" s="20" t="n">
        <v>18239</v>
      </c>
      <c r="V146" s="20" t="n">
        <v>18578</v>
      </c>
      <c r="W146" s="20" t="n">
        <v>16570</v>
      </c>
      <c r="X146" s="20" t="n">
        <v>20469</v>
      </c>
    </row>
    <row r="147">
      <c r="A147" s="18" t="inlineStr">
        <is>
          <t>ChinaReportableSegmentMember · 외부 고객 매출</t>
        </is>
      </c>
      <c r="C147" s="20" t="n">
        <v>21834</v>
      </c>
      <c r="D147" s="20" t="n">
        <v>24028</v>
      </c>
      <c r="E147" s="20" t="n">
        <v>14304</v>
      </c>
      <c r="F147" s="20" t="n">
        <v>16718</v>
      </c>
      <c r="G147" s="20" t="n">
        <v>17118</v>
      </c>
      <c r="H147" s="20" t="n">
        <v>21748</v>
      </c>
      <c r="I147" s="20" t="n">
        <v>14946</v>
      </c>
      <c r="J147" s="20" t="n">
        <v>15688</v>
      </c>
      <c r="K147" s="20" t="n">
        <v>17222</v>
      </c>
      <c r="L147" s="20" t="n">
        <v>17847</v>
      </c>
      <c r="M147" s="20" t="n">
        <v>11873</v>
      </c>
      <c r="N147" s="20" t="n">
        <v>10345</v>
      </c>
      <c r="V147" s="20" t="n">
        <v>14304</v>
      </c>
      <c r="W147" s="20" t="n">
        <v>14946</v>
      </c>
      <c r="X147" s="20" t="n">
        <v>11873</v>
      </c>
    </row>
    <row r="148">
      <c r="A148" s="18" t="inlineStr">
        <is>
          <t>AsiaReportableSegmentsMember · 외부 고객 매출</t>
        </is>
      </c>
      <c r="C148" s="20" t="n">
        <v>16102</v>
      </c>
      <c r="D148" s="20" t="n">
        <v>14775</v>
      </c>
      <c r="E148" s="20" t="n">
        <v>12235</v>
      </c>
      <c r="F148" s="20" t="n">
        <v>13750</v>
      </c>
      <c r="G148" s="20" t="n">
        <v>11862</v>
      </c>
      <c r="H148" s="20" t="n">
        <v>12842</v>
      </c>
      <c r="I148" s="20" t="n">
        <v>12839</v>
      </c>
      <c r="J148" s="20" t="n">
        <v>12279</v>
      </c>
      <c r="K148" s="20" t="n">
        <v>13385</v>
      </c>
      <c r="L148" s="20" t="n">
        <v>16382</v>
      </c>
      <c r="M148" s="20" t="n">
        <v>18917</v>
      </c>
      <c r="N148" s="20" t="n">
        <v>20465</v>
      </c>
      <c r="V148" s="20" t="n">
        <v>12235</v>
      </c>
      <c r="W148" s="20" t="n">
        <v>12839</v>
      </c>
      <c r="X148" s="20" t="n">
        <v>18917</v>
      </c>
    </row>
    <row r="149">
      <c r="A149" s="18" t="inlineStr">
        <is>
          <t>합계 · 외부 고객 매출</t>
        </is>
      </c>
      <c r="C149" s="20" t="n">
        <v>198667</v>
      </c>
      <c r="D149" s="20" t="n">
        <v>206826</v>
      </c>
      <c r="F149" s="20" t="n">
        <v>186453</v>
      </c>
      <c r="G149" s="20" t="n">
        <v>162859</v>
      </c>
      <c r="H149" s="20" t="n">
        <v>177177</v>
      </c>
      <c r="J149" s="20" t="n">
        <v>163920</v>
      </c>
      <c r="K149" s="20" t="n">
        <v>165558</v>
      </c>
      <c r="L149" s="20" t="n">
        <v>173053</v>
      </c>
      <c r="N149" s="20" t="n">
        <v>175614</v>
      </c>
    </row>
    <row r="150">
      <c r="A150" s="18" t="inlineStr">
        <is>
          <t>조정액 · 외부 고객 매출</t>
        </is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0" t="n">
        <v>0</v>
      </c>
      <c r="L150" s="20" t="n">
        <v>0</v>
      </c>
      <c r="M150" s="20" t="n">
        <v>0</v>
      </c>
      <c r="N150" s="20" t="n">
        <v>0</v>
      </c>
      <c r="V150" s="20" t="n">
        <v>0</v>
      </c>
      <c r="W150" s="20" t="n">
        <v>0</v>
      </c>
      <c r="X150" s="20" t="n">
        <v>0</v>
      </c>
    </row>
    <row r="151">
      <c r="A151" s="9" t="inlineStr">
        <is>
          <t>외부 고객 매출</t>
        </is>
      </c>
      <c r="C151" s="12" t="n">
        <v>198667</v>
      </c>
      <c r="D151" s="12" t="n">
        <v>206826</v>
      </c>
      <c r="E151" s="12" t="n">
        <v>185636</v>
      </c>
      <c r="F151" s="12" t="n">
        <v>186453</v>
      </c>
      <c r="G151" s="12" t="n">
        <v>162859</v>
      </c>
      <c r="H151" s="12" t="n">
        <v>177177</v>
      </c>
      <c r="I151" s="12" t="n">
        <v>180615</v>
      </c>
      <c r="V151" s="12" t="n">
        <v>185636</v>
      </c>
      <c r="W151" s="12" t="n">
        <v>180615</v>
      </c>
    </row>
    <row r="152">
      <c r="A152" s="18" t="inlineStr">
        <is>
          <t>EntityTotalMember · 외부 고객 매출</t>
        </is>
      </c>
      <c r="F152" s="20" t="n">
        <v>186453</v>
      </c>
      <c r="J152" s="20" t="n">
        <v>163920</v>
      </c>
      <c r="N152" s="20" t="n">
        <v>175614</v>
      </c>
    </row>
    <row r="153">
      <c r="A153" s="18" t="inlineStr">
        <is>
          <t>JapanReportableSegmentsMember · 부문 간 내부매출·대체</t>
        </is>
      </c>
      <c r="C153" s="20" t="n">
        <v>2165</v>
      </c>
      <c r="D153" s="20" t="n">
        <v>2472</v>
      </c>
      <c r="E153" s="20" t="n">
        <v>2350</v>
      </c>
      <c r="F153" s="20" t="n">
        <v>2446</v>
      </c>
      <c r="G153" s="20" t="n">
        <v>2974</v>
      </c>
      <c r="H153" s="20" t="n">
        <v>3743</v>
      </c>
      <c r="I153" s="20" t="n">
        <v>2456</v>
      </c>
      <c r="J153" s="20" t="n">
        <v>2348</v>
      </c>
      <c r="K153" s="20" t="n">
        <v>2603</v>
      </c>
      <c r="L153" s="20" t="n">
        <v>3091</v>
      </c>
      <c r="M153" s="20" t="n">
        <v>3583</v>
      </c>
      <c r="N153" s="20" t="n">
        <v>3449</v>
      </c>
      <c r="V153" s="20" t="n">
        <v>2350</v>
      </c>
      <c r="W153" s="20" t="n">
        <v>2456</v>
      </c>
      <c r="X153" s="20" t="n">
        <v>3583</v>
      </c>
    </row>
    <row r="154">
      <c r="A154" s="18" t="inlineStr">
        <is>
          <t>NorthAmericaReportableSegmentsMember · 부문 간 내부매출·대체</t>
        </is>
      </c>
      <c r="C154" s="20" t="n">
        <v>0</v>
      </c>
      <c r="D154" s="20" t="n">
        <v>13</v>
      </c>
      <c r="E154" s="20" t="n">
        <v>22</v>
      </c>
      <c r="F154" s="20" t="n">
        <v>20</v>
      </c>
      <c r="G154" s="20" t="n">
        <v>1</v>
      </c>
      <c r="H154" s="20" t="n">
        <v>34</v>
      </c>
      <c r="I154" s="20" t="n">
        <v>1</v>
      </c>
      <c r="J154" s="20" t="n">
        <v>4</v>
      </c>
      <c r="K154" s="20" t="n">
        <v>24</v>
      </c>
      <c r="L154" s="20" t="n">
        <v>2</v>
      </c>
      <c r="M154" s="20" t="n">
        <v>11</v>
      </c>
      <c r="N154" s="20" t="n">
        <v>68</v>
      </c>
      <c r="V154" s="20" t="n">
        <v>22</v>
      </c>
      <c r="W154" s="20" t="n">
        <v>1</v>
      </c>
      <c r="X154" s="20" t="n">
        <v>11</v>
      </c>
    </row>
    <row r="155">
      <c r="A155" s="18" t="inlineStr">
        <is>
          <t>EuropeReportableSegmentsMember · 부문 간 내부매출·대체</t>
        </is>
      </c>
      <c r="C155" s="20" t="n">
        <v>0</v>
      </c>
      <c r="D155" s="20" t="n">
        <v>1</v>
      </c>
      <c r="E155" s="20" t="n">
        <v>0</v>
      </c>
      <c r="F155" s="20" t="n">
        <v>0</v>
      </c>
      <c r="G155" s="20" t="n">
        <v>1</v>
      </c>
      <c r="H155" s="20" t="n">
        <v>0</v>
      </c>
      <c r="I155" s="20" t="n">
        <v>0</v>
      </c>
      <c r="J155" s="20" t="n">
        <v>1</v>
      </c>
      <c r="K155" s="20" t="n">
        <v>0</v>
      </c>
      <c r="L155" s="20" t="n">
        <v>1</v>
      </c>
      <c r="M155" s="20" t="n">
        <v>0</v>
      </c>
      <c r="N155" s="20" t="n">
        <v>0</v>
      </c>
      <c r="V155" s="20" t="n">
        <v>0</v>
      </c>
      <c r="W155" s="20" t="n">
        <v>0</v>
      </c>
      <c r="X155" s="20" t="n">
        <v>0</v>
      </c>
    </row>
    <row r="156">
      <c r="A156" s="18" t="inlineStr">
        <is>
          <t>ChinaReportableSegmentMember · 부문 간 내부매출·대체</t>
        </is>
      </c>
      <c r="C156" s="20" t="n">
        <v>3</v>
      </c>
      <c r="D156" s="20" t="n">
        <v>0</v>
      </c>
      <c r="E156" s="20" t="n">
        <v>1</v>
      </c>
      <c r="F156" s="20" t="n">
        <v>0</v>
      </c>
      <c r="G156" s="20" t="n">
        <v>7</v>
      </c>
      <c r="H156" s="20" t="n">
        <v>5</v>
      </c>
      <c r="I156" s="20" t="n">
        <v>6</v>
      </c>
      <c r="J156" s="20" t="n">
        <v>1</v>
      </c>
      <c r="K156" s="20" t="n">
        <v>0</v>
      </c>
      <c r="L156" s="20" t="n">
        <v>3</v>
      </c>
      <c r="M156" s="20" t="n">
        <v>2</v>
      </c>
      <c r="N156" s="20" t="n">
        <v>11</v>
      </c>
      <c r="V156" s="20" t="n">
        <v>1</v>
      </c>
      <c r="W156" s="20" t="n">
        <v>6</v>
      </c>
      <c r="X156" s="20" t="n">
        <v>2</v>
      </c>
    </row>
    <row r="157">
      <c r="A157" s="18" t="inlineStr">
        <is>
          <t>AsiaReportableSegmentsMember · 부문 간 내부매출·대체</t>
        </is>
      </c>
      <c r="C157" s="20" t="n">
        <v>1</v>
      </c>
      <c r="D157" s="20" t="n">
        <v>0</v>
      </c>
      <c r="E157" s="20" t="n">
        <v>2</v>
      </c>
      <c r="F157" s="20" t="n">
        <v>0</v>
      </c>
      <c r="G157" s="20" t="n">
        <v>1</v>
      </c>
      <c r="H157" s="20" t="n">
        <v>1</v>
      </c>
      <c r="I157" s="20" t="n">
        <v>1</v>
      </c>
      <c r="J157" s="20" t="n">
        <v>1</v>
      </c>
      <c r="K157" s="20" t="n">
        <v>3</v>
      </c>
      <c r="L157" s="20" t="n">
        <v>0</v>
      </c>
      <c r="M157" s="20" t="n">
        <v>2</v>
      </c>
      <c r="N157" s="20" t="n">
        <v>1</v>
      </c>
      <c r="V157" s="20" t="n">
        <v>2</v>
      </c>
      <c r="W157" s="20" t="n">
        <v>1</v>
      </c>
      <c r="X157" s="20" t="n">
        <v>2</v>
      </c>
    </row>
    <row r="158">
      <c r="A158" s="18" t="inlineStr">
        <is>
          <t>합계 · 부문 간 내부매출·대체</t>
        </is>
      </c>
      <c r="C158" s="20" t="n">
        <v>2169</v>
      </c>
      <c r="D158" s="20" t="n">
        <v>2487</v>
      </c>
      <c r="F158" s="20" t="n">
        <v>2469</v>
      </c>
      <c r="G158" s="20" t="n">
        <v>2983</v>
      </c>
      <c r="H158" s="20" t="n">
        <v>3783</v>
      </c>
      <c r="J158" s="20" t="n">
        <v>2356</v>
      </c>
      <c r="K158" s="20" t="n">
        <v>2631</v>
      </c>
      <c r="L158" s="20" t="n">
        <v>3098</v>
      </c>
      <c r="N158" s="20" t="n">
        <v>3531</v>
      </c>
    </row>
    <row r="159">
      <c r="A159" s="18" t="inlineStr">
        <is>
          <t>조정액 · 부문 간 내부매출·대체</t>
        </is>
      </c>
      <c r="C159" s="20" t="n">
        <v>-2169</v>
      </c>
      <c r="D159" s="20" t="n">
        <v>-2487</v>
      </c>
      <c r="E159" s="20" t="n">
        <v>-2374</v>
      </c>
      <c r="F159" s="20" t="n">
        <v>-2469</v>
      </c>
      <c r="G159" s="20" t="n">
        <v>-2983</v>
      </c>
      <c r="H159" s="20" t="n">
        <v>-3783</v>
      </c>
      <c r="I159" s="20" t="n">
        <v>-2464</v>
      </c>
      <c r="J159" s="20" t="n">
        <v>-2356</v>
      </c>
      <c r="K159" s="20" t="n">
        <v>-2631</v>
      </c>
      <c r="L159" s="20" t="n">
        <v>-3098</v>
      </c>
      <c r="M159" s="20" t="n">
        <v>-3597</v>
      </c>
      <c r="N159" s="20" t="n">
        <v>-3531</v>
      </c>
      <c r="V159" s="20" t="n">
        <v>-2374</v>
      </c>
      <c r="W159" s="20" t="n">
        <v>-2464</v>
      </c>
      <c r="X159" s="20" t="n">
        <v>-3597</v>
      </c>
    </row>
    <row r="160">
      <c r="A160" s="18" t="inlineStr">
        <is>
          <t>부문 간 내부매출·대체</t>
        </is>
      </c>
      <c r="C160" s="20" t="n">
        <v>0</v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V160" s="20" t="n">
        <v>0</v>
      </c>
      <c r="W160" s="20" t="n">
        <v>0</v>
      </c>
    </row>
    <row r="161">
      <c r="A161" s="18" t="inlineStr">
        <is>
          <t>EntityTotalMember · 부문 간 내부매출·대체</t>
        </is>
      </c>
      <c r="F161" s="20" t="n">
        <v>0</v>
      </c>
      <c r="J161" s="20" t="n">
        <v>0</v>
      </c>
      <c r="N161" s="20" t="n">
        <v>0</v>
      </c>
    </row>
    <row r="162">
      <c r="A162" s="18" t="inlineStr">
        <is>
          <t>JapanReportableSegmentsMember · 계</t>
        </is>
      </c>
      <c r="C162" s="20" t="n">
        <v>94049</v>
      </c>
      <c r="D162" s="20" t="n">
        <v>93971</v>
      </c>
      <c r="E162" s="20" t="n">
        <v>85507</v>
      </c>
      <c r="F162" s="20" t="n">
        <v>78359</v>
      </c>
      <c r="G162" s="20" t="n">
        <v>80404</v>
      </c>
      <c r="H162" s="20" t="n">
        <v>84932</v>
      </c>
      <c r="I162" s="20" t="n">
        <v>85306</v>
      </c>
      <c r="J162" s="20" t="n">
        <v>77597</v>
      </c>
      <c r="K162" s="20" t="n">
        <v>79946</v>
      </c>
      <c r="L162" s="20" t="n">
        <v>80669</v>
      </c>
      <c r="M162" s="20" t="n">
        <v>81919</v>
      </c>
      <c r="N162" s="20" t="n">
        <v>80495</v>
      </c>
      <c r="V162" s="20" t="n">
        <v>85507</v>
      </c>
      <c r="W162" s="20" t="n">
        <v>85306</v>
      </c>
      <c r="X162" s="20" t="n">
        <v>81919</v>
      </c>
    </row>
    <row r="163">
      <c r="A163" s="18" t="inlineStr">
        <is>
          <t>NorthAmericaReportableSegmentsMember · 계</t>
        </is>
      </c>
      <c r="C163" s="20" t="n">
        <v>54118</v>
      </c>
      <c r="D163" s="20" t="n">
        <v>56412</v>
      </c>
      <c r="E163" s="20" t="n">
        <v>57383</v>
      </c>
      <c r="F163" s="20" t="n">
        <v>63275</v>
      </c>
      <c r="G163" s="20" t="n">
        <v>43222</v>
      </c>
      <c r="H163" s="20" t="n">
        <v>46440</v>
      </c>
      <c r="I163" s="20" t="n">
        <v>53412</v>
      </c>
      <c r="J163" s="20" t="n">
        <v>45169</v>
      </c>
      <c r="K163" s="20" t="n">
        <v>43231</v>
      </c>
      <c r="L163" s="20" t="n">
        <v>43598</v>
      </c>
      <c r="M163" s="20" t="n">
        <v>45804</v>
      </c>
      <c r="N163" s="20" t="n">
        <v>49585</v>
      </c>
      <c r="V163" s="20" t="n">
        <v>57383</v>
      </c>
      <c r="W163" s="20" t="n">
        <v>53412</v>
      </c>
      <c r="X163" s="20" t="n">
        <v>45804</v>
      </c>
    </row>
    <row r="164">
      <c r="A164" s="18" t="inlineStr">
        <is>
          <t>EuropeReportableSegmentsMember · 계</t>
        </is>
      </c>
      <c r="C164" s="20" t="n">
        <v>14729</v>
      </c>
      <c r="D164" s="20" t="n">
        <v>20126</v>
      </c>
      <c r="E164" s="20" t="n">
        <v>18578</v>
      </c>
      <c r="F164" s="20" t="n">
        <v>16816</v>
      </c>
      <c r="G164" s="20" t="n">
        <v>13229</v>
      </c>
      <c r="H164" s="20" t="n">
        <v>14993</v>
      </c>
      <c r="I164" s="20" t="n">
        <v>16569</v>
      </c>
      <c r="J164" s="20" t="n">
        <v>15539</v>
      </c>
      <c r="K164" s="20" t="n">
        <v>14402</v>
      </c>
      <c r="L164" s="20" t="n">
        <v>17651</v>
      </c>
      <c r="M164" s="20" t="n">
        <v>20469</v>
      </c>
      <c r="N164" s="20" t="n">
        <v>18240</v>
      </c>
      <c r="V164" s="20" t="n">
        <v>18578</v>
      </c>
      <c r="W164" s="20" t="n">
        <v>16569</v>
      </c>
      <c r="X164" s="20" t="n">
        <v>20469</v>
      </c>
    </row>
    <row r="165">
      <c r="A165" s="18" t="inlineStr">
        <is>
          <t>ChinaReportableSegmentMember · 계</t>
        </is>
      </c>
      <c r="C165" s="20" t="n">
        <v>21838</v>
      </c>
      <c r="D165" s="20" t="n">
        <v>24028</v>
      </c>
      <c r="E165" s="20" t="n">
        <v>14305</v>
      </c>
      <c r="F165" s="20" t="n">
        <v>16719</v>
      </c>
      <c r="G165" s="20" t="n">
        <v>17124</v>
      </c>
      <c r="H165" s="20" t="n">
        <v>21753</v>
      </c>
      <c r="I165" s="20" t="n">
        <v>14952</v>
      </c>
      <c r="J165" s="20" t="n">
        <v>15689</v>
      </c>
      <c r="K165" s="20" t="n">
        <v>17222</v>
      </c>
      <c r="L165" s="20" t="n">
        <v>17850</v>
      </c>
      <c r="M165" s="20" t="n">
        <v>11875</v>
      </c>
      <c r="N165" s="20" t="n">
        <v>10357</v>
      </c>
      <c r="V165" s="20" t="n">
        <v>14305</v>
      </c>
      <c r="W165" s="20" t="n">
        <v>14952</v>
      </c>
      <c r="X165" s="20" t="n">
        <v>11875</v>
      </c>
    </row>
    <row r="166">
      <c r="A166" s="18" t="inlineStr">
        <is>
          <t>AsiaReportableSegmentsMember · 계</t>
        </is>
      </c>
      <c r="C166" s="20" t="n">
        <v>16102</v>
      </c>
      <c r="D166" s="20" t="n">
        <v>14775</v>
      </c>
      <c r="E166" s="20" t="n">
        <v>12238</v>
      </c>
      <c r="F166" s="20" t="n">
        <v>13751</v>
      </c>
      <c r="G166" s="20" t="n">
        <v>11863</v>
      </c>
      <c r="H166" s="20" t="n">
        <v>12842</v>
      </c>
      <c r="I166" s="20" t="n">
        <v>12840</v>
      </c>
      <c r="J166" s="20" t="n">
        <v>12280</v>
      </c>
      <c r="K166" s="20" t="n">
        <v>13388</v>
      </c>
      <c r="L166" s="20" t="n">
        <v>16383</v>
      </c>
      <c r="M166" s="20" t="n">
        <v>18918</v>
      </c>
      <c r="N166" s="20" t="n">
        <v>20467</v>
      </c>
      <c r="V166" s="20" t="n">
        <v>12238</v>
      </c>
      <c r="W166" s="20" t="n">
        <v>12840</v>
      </c>
      <c r="X166" s="20" t="n">
        <v>18918</v>
      </c>
    </row>
    <row r="167">
      <c r="A167" s="18" t="inlineStr">
        <is>
          <t>합계 · 계</t>
        </is>
      </c>
      <c r="C167" s="20" t="n">
        <v>200836</v>
      </c>
      <c r="D167" s="20" t="n">
        <v>209313</v>
      </c>
      <c r="F167" s="20" t="n">
        <v>188922</v>
      </c>
      <c r="G167" s="20" t="n">
        <v>165842</v>
      </c>
      <c r="H167" s="20" t="n">
        <v>180960</v>
      </c>
      <c r="J167" s="20" t="n">
        <v>166277</v>
      </c>
      <c r="K167" s="20" t="n">
        <v>168188</v>
      </c>
      <c r="L167" s="20" t="n">
        <v>176151</v>
      </c>
      <c r="N167" s="20" t="n">
        <v>179145</v>
      </c>
    </row>
    <row r="168">
      <c r="A168" s="18" t="inlineStr">
        <is>
          <t>조정액 · 계</t>
        </is>
      </c>
      <c r="C168" s="20" t="n">
        <v>-2169</v>
      </c>
      <c r="D168" s="20" t="n">
        <v>-2487</v>
      </c>
      <c r="E168" s="20" t="n">
        <v>-2374</v>
      </c>
      <c r="F168" s="20" t="n">
        <v>-2469</v>
      </c>
      <c r="G168" s="20" t="n">
        <v>-2983</v>
      </c>
      <c r="H168" s="20" t="n">
        <v>-3783</v>
      </c>
      <c r="I168" s="20" t="n">
        <v>-2464</v>
      </c>
      <c r="J168" s="20" t="n">
        <v>-2356</v>
      </c>
      <c r="K168" s="20" t="n">
        <v>-2631</v>
      </c>
      <c r="L168" s="20" t="n">
        <v>-3098</v>
      </c>
      <c r="M168" s="20" t="n">
        <v>-3597</v>
      </c>
      <c r="N168" s="20" t="n">
        <v>-3531</v>
      </c>
      <c r="V168" s="20" t="n">
        <v>-2374</v>
      </c>
      <c r="W168" s="20" t="n">
        <v>-2464</v>
      </c>
      <c r="X168" s="20" t="n">
        <v>-3597</v>
      </c>
    </row>
    <row r="169">
      <c r="A169" s="9" t="inlineStr">
        <is>
          <t>계</t>
        </is>
      </c>
      <c r="C169" s="12" t="n">
        <v>198667</v>
      </c>
      <c r="D169" s="12" t="n">
        <v>206826</v>
      </c>
      <c r="E169" s="12" t="n">
        <v>185636</v>
      </c>
      <c r="F169" s="12" t="n">
        <v>186453</v>
      </c>
      <c r="G169" s="12" t="n">
        <v>162859</v>
      </c>
      <c r="H169" s="12" t="n">
        <v>177177</v>
      </c>
      <c r="I169" s="12" t="n">
        <v>180615</v>
      </c>
      <c r="V169" s="12" t="n">
        <v>185636</v>
      </c>
      <c r="W169" s="12" t="n">
        <v>180615</v>
      </c>
    </row>
    <row r="170">
      <c r="A170" s="18" t="inlineStr">
        <is>
          <t>EntityTotalMember · 계</t>
        </is>
      </c>
      <c r="F170" s="20" t="n">
        <v>186453</v>
      </c>
      <c r="J170" s="20" t="n">
        <v>163920</v>
      </c>
      <c r="N170" s="20" t="n">
        <v>175614</v>
      </c>
    </row>
    <row r="171">
      <c r="A171" s="18" t="inlineStr">
        <is>
          <t>JapanReportableSegmentsMember · 부문 이익</t>
        </is>
      </c>
      <c r="C171" s="20" t="n">
        <v>3559</v>
      </c>
      <c r="D171" s="20" t="n">
        <v>2407</v>
      </c>
      <c r="E171" s="20" t="n">
        <v>1128</v>
      </c>
      <c r="F171" s="20" t="n">
        <v>808</v>
      </c>
      <c r="G171" s="20" t="n">
        <v>1556</v>
      </c>
      <c r="H171" s="20" t="n">
        <v>1558</v>
      </c>
      <c r="I171" s="20" t="n">
        <v>1984</v>
      </c>
      <c r="J171" s="20" t="n">
        <v>1513</v>
      </c>
      <c r="K171" s="20" t="n">
        <v>1675</v>
      </c>
      <c r="L171" s="20" t="n">
        <v>1849</v>
      </c>
      <c r="M171" s="20" t="n">
        <v>3301</v>
      </c>
      <c r="N171" s="20" t="n">
        <v>1542</v>
      </c>
      <c r="V171" s="20" t="n">
        <v>1128</v>
      </c>
      <c r="W171" s="20" t="n">
        <v>1984</v>
      </c>
      <c r="X171" s="20" t="n">
        <v>3301</v>
      </c>
    </row>
    <row r="172">
      <c r="A172" s="18" t="inlineStr">
        <is>
          <t>NorthAmericaReportableSegmentsMember · 부문 이익</t>
        </is>
      </c>
      <c r="C172" s="20" t="n">
        <v>202</v>
      </c>
      <c r="D172" s="20" t="n">
        <v>1455</v>
      </c>
      <c r="E172" s="20" t="n">
        <v>1509</v>
      </c>
      <c r="F172" s="20" t="n">
        <v>1461</v>
      </c>
      <c r="G172" s="20" t="n">
        <v>-550</v>
      </c>
      <c r="H172" s="20" t="n">
        <v>509</v>
      </c>
      <c r="I172" s="20" t="n">
        <v>1303</v>
      </c>
      <c r="J172" s="20" t="n">
        <v>1348</v>
      </c>
      <c r="K172" s="20" t="n">
        <v>1577</v>
      </c>
      <c r="L172" s="20" t="n">
        <v>719</v>
      </c>
      <c r="M172" s="20" t="n">
        <v>131</v>
      </c>
      <c r="N172" s="20" t="n">
        <v>1294</v>
      </c>
      <c r="V172" s="20" t="n">
        <v>1509</v>
      </c>
      <c r="W172" s="20" t="n">
        <v>1303</v>
      </c>
      <c r="X172" s="20" t="n">
        <v>131</v>
      </c>
    </row>
    <row r="173">
      <c r="A173" s="18" t="inlineStr">
        <is>
          <t>EuropeReportableSegmentsMember · 부문 이익</t>
        </is>
      </c>
      <c r="C173" s="20" t="n">
        <v>-36</v>
      </c>
      <c r="D173" s="20" t="n">
        <v>786</v>
      </c>
      <c r="E173" s="20" t="n">
        <v>858</v>
      </c>
      <c r="F173" s="20" t="n">
        <v>452</v>
      </c>
      <c r="G173" s="20" t="n">
        <v>126</v>
      </c>
      <c r="H173" s="20" t="n">
        <v>581</v>
      </c>
      <c r="I173" s="20" t="n">
        <v>1306</v>
      </c>
      <c r="J173" s="20" t="n">
        <v>602</v>
      </c>
      <c r="K173" s="20" t="n">
        <v>46</v>
      </c>
      <c r="L173" s="20" t="n">
        <v>734</v>
      </c>
      <c r="M173" s="20" t="n">
        <v>798</v>
      </c>
      <c r="N173" s="20" t="n">
        <v>376</v>
      </c>
      <c r="V173" s="20" t="n">
        <v>858</v>
      </c>
      <c r="W173" s="20" t="n">
        <v>1306</v>
      </c>
      <c r="X173" s="20" t="n">
        <v>798</v>
      </c>
    </row>
    <row r="174">
      <c r="A174" s="18" t="inlineStr">
        <is>
          <t>ChinaReportableSegmentMember · 부문 이익</t>
        </is>
      </c>
      <c r="C174" s="20" t="n">
        <v>416</v>
      </c>
      <c r="D174" s="20" t="n">
        <v>1456</v>
      </c>
      <c r="E174" s="20" t="n">
        <v>-267</v>
      </c>
      <c r="F174" s="20" t="n">
        <v>294</v>
      </c>
      <c r="G174" s="20" t="n">
        <v>498</v>
      </c>
      <c r="H174" s="20" t="n">
        <v>1243</v>
      </c>
      <c r="I174" s="20" t="n">
        <v>233</v>
      </c>
      <c r="J174" s="20" t="n">
        <v>453</v>
      </c>
      <c r="K174" s="20" t="n">
        <v>1110</v>
      </c>
      <c r="L174" s="20" t="n">
        <v>1213</v>
      </c>
      <c r="M174" s="20" t="n">
        <v>251</v>
      </c>
      <c r="N174" s="20" t="n">
        <v>-39</v>
      </c>
      <c r="V174" s="20" t="n">
        <v>-267</v>
      </c>
      <c r="W174" s="20" t="n">
        <v>233</v>
      </c>
      <c r="X174" s="20" t="n">
        <v>251</v>
      </c>
    </row>
    <row r="175">
      <c r="A175" s="18" t="inlineStr">
        <is>
          <t>AsiaReportableSegmentsMember · 부문 이익</t>
        </is>
      </c>
      <c r="C175" s="20" t="n">
        <v>560</v>
      </c>
      <c r="D175" s="20" t="n">
        <v>438</v>
      </c>
      <c r="E175" s="20" t="n">
        <v>-46</v>
      </c>
      <c r="F175" s="20" t="n">
        <v>571</v>
      </c>
      <c r="G175" s="20" t="n">
        <v>239</v>
      </c>
      <c r="H175" s="20" t="n">
        <v>664</v>
      </c>
      <c r="I175" s="20" t="n">
        <v>410</v>
      </c>
      <c r="J175" s="20" t="n">
        <v>288</v>
      </c>
      <c r="K175" s="20" t="n">
        <v>14</v>
      </c>
      <c r="L175" s="20" t="n">
        <v>430</v>
      </c>
      <c r="M175" s="20" t="n">
        <v>535</v>
      </c>
      <c r="N175" s="20" t="n">
        <v>490</v>
      </c>
      <c r="V175" s="20" t="n">
        <v>-46</v>
      </c>
      <c r="W175" s="20" t="n">
        <v>410</v>
      </c>
      <c r="X175" s="20" t="n">
        <v>535</v>
      </c>
    </row>
    <row r="176">
      <c r="A176" s="18" t="inlineStr">
        <is>
          <t>합계 · 부문 이익</t>
        </is>
      </c>
      <c r="C176" s="20" t="n">
        <v>4699</v>
      </c>
      <c r="D176" s="20" t="n">
        <v>6544</v>
      </c>
      <c r="F176" s="20" t="n">
        <v>3588</v>
      </c>
      <c r="G176" s="20" t="n">
        <v>1869</v>
      </c>
      <c r="H176" s="20" t="n">
        <v>4556</v>
      </c>
      <c r="J176" s="20" t="n">
        <v>4207</v>
      </c>
      <c r="K176" s="20" t="n">
        <v>4421</v>
      </c>
      <c r="L176" s="20" t="n">
        <v>4946</v>
      </c>
      <c r="N176" s="20" t="n">
        <v>3663</v>
      </c>
    </row>
    <row r="177">
      <c r="A177" s="18" t="inlineStr">
        <is>
          <t>조정액 · 부문 이익</t>
        </is>
      </c>
      <c r="C177" s="20" t="n">
        <v>17</v>
      </c>
      <c r="D177" s="20" t="n">
        <v>21</v>
      </c>
      <c r="E177" s="20" t="n">
        <v>21</v>
      </c>
      <c r="F177" s="20" t="n">
        <v>25</v>
      </c>
      <c r="G177" s="20" t="n">
        <v>-36</v>
      </c>
      <c r="H177" s="20" t="n">
        <v>-89</v>
      </c>
      <c r="I177" s="20" t="n">
        <v>30</v>
      </c>
      <c r="J177" s="20" t="n">
        <v>-15</v>
      </c>
      <c r="K177" s="20" t="n">
        <v>-5</v>
      </c>
      <c r="L177" s="20" t="n">
        <v>19</v>
      </c>
      <c r="M177" s="20" t="n">
        <v>125</v>
      </c>
      <c r="N177" s="20" t="n">
        <v>-14</v>
      </c>
      <c r="V177" s="20" t="n">
        <v>21</v>
      </c>
      <c r="W177" s="20" t="n">
        <v>30</v>
      </c>
      <c r="X177" s="20" t="n">
        <v>125</v>
      </c>
    </row>
    <row r="178">
      <c r="A178" s="9" t="inlineStr">
        <is>
          <t>부문 이익</t>
        </is>
      </c>
      <c r="C178" s="12" t="n">
        <v>4716</v>
      </c>
      <c r="D178" s="12" t="n">
        <v>6564</v>
      </c>
      <c r="E178" s="12" t="n">
        <v>3204</v>
      </c>
      <c r="F178" s="12" t="n">
        <v>3614</v>
      </c>
      <c r="G178" s="12" t="n">
        <v>1832</v>
      </c>
      <c r="H178" s="12" t="n">
        <v>4466</v>
      </c>
      <c r="I178" s="12" t="n">
        <v>5266</v>
      </c>
      <c r="V178" s="12" t="n">
        <v>3204</v>
      </c>
      <c r="W178" s="12" t="n">
        <v>5266</v>
      </c>
    </row>
    <row r="179">
      <c r="A179" s="18" t="inlineStr">
        <is>
          <t>EntityTotalMember · 부문 이익</t>
        </is>
      </c>
      <c r="F179" s="20" t="n">
        <v>3614</v>
      </c>
      <c r="J179" s="20" t="n">
        <v>4191</v>
      </c>
      <c r="N179" s="20" t="n">
        <v>3649</v>
      </c>
    </row>
    <row r="181">
      <c r="A181" s="16" t="inlineStr">
        <is>
          <t>현금흐름표 · 전 항목</t>
        </is>
      </c>
      <c r="B181" s="42" t="inlineStr">
        <is>
          <t>분기 = 결산기 첫날부터 누계(공시 그대로)</t>
        </is>
      </c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</row>
    <row r="182">
      <c r="A182" s="5" t="inlineStr">
        <is>
          <t>항목</t>
        </is>
      </c>
      <c r="B182" s="5" t="inlineStr">
        <is>
          <t>참고</t>
        </is>
      </c>
      <c r="C182" s="5" t="inlineStr">
        <is>
          <t>2024.2Q</t>
        </is>
      </c>
      <c r="D182" s="5" t="inlineStr">
        <is>
          <t>2024.3Q</t>
        </is>
      </c>
      <c r="E182" s="5" t="inlineStr">
        <is>
          <t>2024.4Q</t>
        </is>
      </c>
      <c r="F182" s="5" t="inlineStr">
        <is>
          <t>2025.1Q</t>
        </is>
      </c>
      <c r="G182" s="5" t="inlineStr">
        <is>
          <t>2025.2Q</t>
        </is>
      </c>
      <c r="H182" s="5" t="inlineStr">
        <is>
          <t>2025.3Q</t>
        </is>
      </c>
      <c r="I182" s="5" t="inlineStr">
        <is>
          <t>2025.4Q</t>
        </is>
      </c>
      <c r="J182" s="5" t="inlineStr">
        <is>
          <t>2026.1Q</t>
        </is>
      </c>
      <c r="K182" s="5" t="inlineStr">
        <is>
          <t>2026.2Q</t>
        </is>
      </c>
      <c r="L182" s="5" t="inlineStr">
        <is>
          <t>2026.3Q</t>
        </is>
      </c>
      <c r="M182" s="5" t="inlineStr">
        <is>
          <t>2026.4Q</t>
        </is>
      </c>
      <c r="N182" s="5" t="inlineStr">
        <is>
          <t>2027.1Q</t>
        </is>
      </c>
      <c r="O182" s="5" t="inlineStr">
        <is>
          <t>2017</t>
        </is>
      </c>
      <c r="P182" s="5" t="inlineStr">
        <is>
          <t>2018</t>
        </is>
      </c>
      <c r="Q182" s="5" t="inlineStr">
        <is>
          <t>2019</t>
        </is>
      </c>
      <c r="R182" s="5" t="inlineStr">
        <is>
          <t>2020</t>
        </is>
      </c>
      <c r="S182" s="5" t="inlineStr">
        <is>
          <t>2021</t>
        </is>
      </c>
      <c r="T182" s="5" t="inlineStr">
        <is>
          <t>2022</t>
        </is>
      </c>
      <c r="U182" s="5" t="inlineStr">
        <is>
          <t>2023</t>
        </is>
      </c>
      <c r="V182" s="5" t="inlineStr">
        <is>
          <t>2024</t>
        </is>
      </c>
      <c r="W182" s="5" t="inlineStr">
        <is>
          <t>2025</t>
        </is>
      </c>
      <c r="X182" s="5" t="inlineStr">
        <is>
          <t>2026</t>
        </is>
      </c>
      <c r="Y182" s="5" t="inlineStr">
        <is>
          <t>2027(MW)</t>
        </is>
      </c>
      <c r="Z182" s="5" t="inlineStr">
        <is>
          <t>2028(MW)</t>
        </is>
      </c>
      <c r="AA182" s="5" t="inlineStr">
        <is>
          <t>2029(MW)</t>
        </is>
      </c>
      <c r="AB182" s="5" t="inlineStr">
        <is>
          <t>2030(MW)</t>
        </is>
      </c>
      <c r="AC182" s="5" t="inlineStr">
        <is>
          <t>2031(MW)</t>
        </is>
      </c>
    </row>
    <row r="183">
      <c r="A183" s="9" t="inlineStr">
        <is>
          <t>법인세차감전 순이익</t>
        </is>
      </c>
      <c r="E183" s="12" t="n">
        <v>18489</v>
      </c>
      <c r="I183" s="12" t="n">
        <v>10079</v>
      </c>
      <c r="M183" s="12" t="n">
        <v>21299</v>
      </c>
      <c r="O183" s="12" t="n">
        <v>5619</v>
      </c>
      <c r="P183" s="12" t="n">
        <v>6380</v>
      </c>
      <c r="Q183" s="12" t="n">
        <v>6158</v>
      </c>
      <c r="R183" s="12" t="n">
        <v>10340</v>
      </c>
      <c r="S183" s="12" t="n">
        <v>7942</v>
      </c>
      <c r="T183" s="12" t="n">
        <v>6255</v>
      </c>
      <c r="U183" s="12" t="n">
        <v>7917</v>
      </c>
      <c r="V183" s="12" t="n">
        <v>18489</v>
      </c>
      <c r="W183" s="12" t="n">
        <v>10079</v>
      </c>
      <c r="X183" s="12" t="n">
        <v>21299</v>
      </c>
    </row>
    <row r="184">
      <c r="A184" s="18" t="inlineStr">
        <is>
          <t>감가상각비</t>
        </is>
      </c>
      <c r="E184" s="20" t="n">
        <v>30653</v>
      </c>
      <c r="I184" s="20" t="n">
        <v>26280</v>
      </c>
      <c r="M184" s="20" t="n">
        <v>23656</v>
      </c>
      <c r="O184" s="20" t="n">
        <v>21073</v>
      </c>
      <c r="P184" s="20" t="n">
        <v>20515</v>
      </c>
      <c r="Q184" s="20" t="n">
        <v>23083</v>
      </c>
      <c r="R184" s="20" t="n">
        <v>24497</v>
      </c>
      <c r="S184" s="20" t="n">
        <v>23772</v>
      </c>
      <c r="T184" s="20" t="n">
        <v>24478</v>
      </c>
      <c r="U184" s="20" t="n">
        <v>29672</v>
      </c>
      <c r="V184" s="20" t="n">
        <v>30653</v>
      </c>
      <c r="W184" s="20" t="n">
        <v>26280</v>
      </c>
      <c r="X184" s="20" t="n">
        <v>23656</v>
      </c>
    </row>
    <row r="185">
      <c r="A185" s="18" t="inlineStr">
        <is>
          <t>손상차손</t>
        </is>
      </c>
      <c r="E185" s="20" t="n">
        <v>0</v>
      </c>
      <c r="I185" s="20" t="n">
        <v>2585</v>
      </c>
      <c r="M185" s="20" t="n">
        <v>44</v>
      </c>
      <c r="O185" s="20" t="n">
        <v>1693</v>
      </c>
      <c r="P185" s="20" t="n">
        <v>5407</v>
      </c>
      <c r="Q185" s="20" t="n">
        <v>362</v>
      </c>
      <c r="R185" s="20" t="n">
        <v>0</v>
      </c>
      <c r="S185" s="20" t="n">
        <v>20</v>
      </c>
      <c r="T185" s="20" t="n">
        <v>532</v>
      </c>
      <c r="U185" s="20" t="n">
        <v>1454</v>
      </c>
      <c r="V185" s="20" t="n">
        <v>0</v>
      </c>
      <c r="W185" s="20" t="n">
        <v>2585</v>
      </c>
      <c r="X185" s="20" t="n">
        <v>44</v>
      </c>
    </row>
    <row r="186">
      <c r="A186" s="18" t="inlineStr">
        <is>
          <t>Reversal Of Impairment Losses Ope CF</t>
        </is>
      </c>
      <c r="E186" s="20" t="n">
        <v>0</v>
      </c>
      <c r="I186" s="20" t="n">
        <v>-413</v>
      </c>
      <c r="M186" s="20" t="n">
        <v>0</v>
      </c>
      <c r="V186" s="20" t="n">
        <v>0</v>
      </c>
      <c r="W186" s="20" t="n">
        <v>-413</v>
      </c>
      <c r="X186" s="20" t="n">
        <v>0</v>
      </c>
    </row>
    <row r="187">
      <c r="A187" s="18" t="inlineStr">
        <is>
          <t>대손충당금 증감</t>
        </is>
      </c>
      <c r="E187" s="20" t="n">
        <v>-25</v>
      </c>
      <c r="I187" s="20" t="n">
        <v>234</v>
      </c>
      <c r="M187" s="20" t="n">
        <v>-235</v>
      </c>
      <c r="O187" s="20" t="n">
        <v>-46</v>
      </c>
      <c r="P187" s="20" t="n">
        <v>12</v>
      </c>
      <c r="Q187" s="20" t="n">
        <v>62</v>
      </c>
      <c r="R187" s="20" t="n">
        <v>-48</v>
      </c>
      <c r="S187" s="20" t="n">
        <v>19</v>
      </c>
      <c r="T187" s="20" t="n">
        <v>6</v>
      </c>
      <c r="U187" s="20" t="n">
        <v>0</v>
      </c>
      <c r="V187" s="20" t="n">
        <v>-25</v>
      </c>
      <c r="W187" s="20" t="n">
        <v>234</v>
      </c>
      <c r="X187" s="20" t="n">
        <v>-235</v>
      </c>
    </row>
    <row r="188">
      <c r="A188" s="18" t="inlineStr">
        <is>
          <t>임원 상여충당금 증감</t>
        </is>
      </c>
      <c r="E188" s="20" t="n">
        <v>-1</v>
      </c>
      <c r="I188" s="20" t="n">
        <v>-2</v>
      </c>
      <c r="M188" s="20" t="n">
        <v>25</v>
      </c>
      <c r="O188" s="20" t="n">
        <v>60</v>
      </c>
      <c r="P188" s="20" t="n">
        <v>0</v>
      </c>
      <c r="Q188" s="20" t="n">
        <v>7</v>
      </c>
      <c r="R188" s="20" t="n">
        <v>-27</v>
      </c>
      <c r="S188" s="20" t="n">
        <v>0</v>
      </c>
      <c r="T188" s="20" t="n">
        <v>-6</v>
      </c>
      <c r="U188" s="20" t="n">
        <v>0</v>
      </c>
      <c r="V188" s="20" t="n">
        <v>-1</v>
      </c>
      <c r="W188" s="20" t="n">
        <v>-2</v>
      </c>
      <c r="X188" s="20" t="n">
        <v>25</v>
      </c>
    </row>
    <row r="189">
      <c r="A189" s="18" t="inlineStr">
        <is>
          <t>임원 퇴직위로 충당금 증감</t>
        </is>
      </c>
      <c r="O189" s="20" t="n">
        <v>-37</v>
      </c>
      <c r="P189" s="20" t="n">
        <v>17</v>
      </c>
      <c r="Q189" s="20" t="n">
        <v>15</v>
      </c>
      <c r="R189" s="20" t="n">
        <v>-82</v>
      </c>
      <c r="S189" s="20" t="n">
        <v>0</v>
      </c>
    </row>
    <row r="190">
      <c r="A190" s="18" t="inlineStr">
        <is>
          <t>제품보증 충당금 증감</t>
        </is>
      </c>
      <c r="E190" s="20" t="n">
        <v>114</v>
      </c>
      <c r="I190" s="20" t="n">
        <v>190</v>
      </c>
      <c r="M190" s="20" t="n">
        <v>-34</v>
      </c>
      <c r="O190" s="20" t="n">
        <v>-25</v>
      </c>
      <c r="P190" s="20" t="n">
        <v>-29</v>
      </c>
      <c r="Q190" s="20" t="n">
        <v>-10</v>
      </c>
      <c r="R190" s="20" t="n">
        <v>17</v>
      </c>
      <c r="S190" s="20" t="n">
        <v>27</v>
      </c>
      <c r="T190" s="20" t="n">
        <v>7</v>
      </c>
      <c r="U190" s="20" t="n">
        <v>49</v>
      </c>
      <c r="V190" s="20" t="n">
        <v>114</v>
      </c>
      <c r="W190" s="20" t="n">
        <v>190</v>
      </c>
      <c r="X190" s="20" t="n">
        <v>-34</v>
      </c>
    </row>
    <row r="191">
      <c r="A191" s="18" t="inlineStr">
        <is>
          <t>환경대책 충당금 증감</t>
        </is>
      </c>
      <c r="E191" s="20" t="n">
        <v>0</v>
      </c>
      <c r="I191" s="20" t="n">
        <v>148</v>
      </c>
      <c r="M191" s="20" t="n">
        <v>5</v>
      </c>
      <c r="V191" s="20" t="n">
        <v>0</v>
      </c>
      <c r="W191" s="20" t="n">
        <v>148</v>
      </c>
      <c r="X191" s="20" t="n">
        <v>5</v>
      </c>
    </row>
    <row r="192">
      <c r="A192" s="18" t="inlineStr">
        <is>
          <t>Increase Decrease In Reserve For Demolition And Removal Ope CF</t>
        </is>
      </c>
      <c r="E192" s="20" t="n">
        <v>933</v>
      </c>
      <c r="I192" s="20" t="n">
        <v>0</v>
      </c>
      <c r="M192" s="20" t="n">
        <v>-429</v>
      </c>
      <c r="U192" s="20" t="n">
        <v>0</v>
      </c>
      <c r="V192" s="20" t="n">
        <v>933</v>
      </c>
      <c r="W192" s="20" t="n">
        <v>0</v>
      </c>
      <c r="X192" s="20" t="n">
        <v>-429</v>
      </c>
    </row>
    <row r="193">
      <c r="A193" s="18" t="inlineStr">
        <is>
          <t>이자·배당금 수익</t>
        </is>
      </c>
      <c r="E193" s="20" t="n">
        <v>-1074</v>
      </c>
      <c r="I193" s="20" t="n">
        <v>-1085</v>
      </c>
      <c r="M193" s="20" t="n">
        <v>-1019</v>
      </c>
      <c r="O193" s="20" t="n">
        <v>-431</v>
      </c>
      <c r="P193" s="20" t="n">
        <v>-436</v>
      </c>
      <c r="Q193" s="20" t="n">
        <v>-449</v>
      </c>
      <c r="R193" s="20" t="n">
        <v>-415</v>
      </c>
      <c r="S193" s="20" t="n">
        <v>-344</v>
      </c>
      <c r="T193" s="20" t="n">
        <v>-403</v>
      </c>
      <c r="U193" s="20" t="n">
        <v>-614</v>
      </c>
      <c r="V193" s="20" t="n">
        <v>-1074</v>
      </c>
      <c r="W193" s="20" t="n">
        <v>-1085</v>
      </c>
      <c r="X193" s="20" t="n">
        <v>-1019</v>
      </c>
    </row>
    <row r="194">
      <c r="A194" s="18" t="inlineStr">
        <is>
          <t>보조금 수입</t>
        </is>
      </c>
      <c r="Q194" s="20" t="n">
        <v>0</v>
      </c>
      <c r="R194" s="20" t="n">
        <v>-438</v>
      </c>
      <c r="S194" s="20" t="n">
        <v>0</v>
      </c>
    </row>
    <row r="195">
      <c r="A195" s="18" t="inlineStr">
        <is>
          <t>이자비용</t>
        </is>
      </c>
      <c r="E195" s="20" t="n">
        <v>992</v>
      </c>
      <c r="I195" s="20" t="n">
        <v>803</v>
      </c>
      <c r="M195" s="20" t="n">
        <v>926</v>
      </c>
      <c r="O195" s="20" t="n">
        <v>1218</v>
      </c>
      <c r="P195" s="20" t="n">
        <v>958</v>
      </c>
      <c r="Q195" s="20" t="n">
        <v>876</v>
      </c>
      <c r="R195" s="20" t="n">
        <v>917</v>
      </c>
      <c r="S195" s="20" t="n">
        <v>812</v>
      </c>
      <c r="T195" s="20" t="n">
        <v>830</v>
      </c>
      <c r="U195" s="20" t="n">
        <v>1402</v>
      </c>
      <c r="V195" s="20" t="n">
        <v>992</v>
      </c>
      <c r="W195" s="20" t="n">
        <v>803</v>
      </c>
      <c r="X195" s="20" t="n">
        <v>926</v>
      </c>
    </row>
    <row r="196">
      <c r="A196" s="18" t="inlineStr">
        <is>
          <t>Loss On Abandonment Of Property Plant And Equipment Ope CF</t>
        </is>
      </c>
      <c r="E196" s="20" t="n">
        <v>400</v>
      </c>
      <c r="I196" s="20" t="n">
        <v>478</v>
      </c>
      <c r="M196" s="20" t="n">
        <v>392</v>
      </c>
      <c r="O196" s="20" t="n">
        <v>777</v>
      </c>
      <c r="P196" s="20" t="n">
        <v>723</v>
      </c>
      <c r="Q196" s="20" t="n">
        <v>287</v>
      </c>
      <c r="R196" s="20" t="n">
        <v>370</v>
      </c>
      <c r="S196" s="20" t="n">
        <v>352</v>
      </c>
      <c r="T196" s="20" t="n">
        <v>677</v>
      </c>
      <c r="U196" s="20" t="n">
        <v>222</v>
      </c>
      <c r="V196" s="20" t="n">
        <v>400</v>
      </c>
      <c r="W196" s="20" t="n">
        <v>478</v>
      </c>
      <c r="X196" s="20" t="n">
        <v>392</v>
      </c>
    </row>
    <row r="197">
      <c r="A197" s="18" t="inlineStr">
        <is>
          <t>투자유가증권 평가손익</t>
        </is>
      </c>
      <c r="O197" s="20" t="n">
        <v>230</v>
      </c>
      <c r="P197" s="20" t="n">
        <v>0</v>
      </c>
    </row>
    <row r="198">
      <c r="A198" s="18" t="inlineStr">
        <is>
          <t>지분법손익</t>
        </is>
      </c>
      <c r="E198" s="20" t="n">
        <v>150</v>
      </c>
      <c r="I198" s="20" t="n">
        <v>-179</v>
      </c>
      <c r="M198" s="20" t="n">
        <v>-122</v>
      </c>
      <c r="O198" s="20" t="n">
        <v>-461</v>
      </c>
      <c r="P198" s="20" t="n">
        <v>-713</v>
      </c>
      <c r="Q198" s="20" t="n">
        <v>-17</v>
      </c>
      <c r="R198" s="20" t="n">
        <v>143</v>
      </c>
      <c r="S198" s="20" t="n">
        <v>255</v>
      </c>
      <c r="T198" s="20" t="n">
        <v>-709</v>
      </c>
      <c r="U198" s="20" t="n">
        <v>-260</v>
      </c>
      <c r="V198" s="20" t="n">
        <v>150</v>
      </c>
      <c r="W198" s="20" t="n">
        <v>-179</v>
      </c>
      <c r="X198" s="20" t="n">
        <v>-122</v>
      </c>
    </row>
    <row r="199">
      <c r="A199" s="18" t="inlineStr">
        <is>
          <t>유형자산 매각손익</t>
        </is>
      </c>
      <c r="O199" s="20" t="n">
        <v>56</v>
      </c>
      <c r="P199" s="20" t="n">
        <v>-7</v>
      </c>
    </row>
    <row r="200">
      <c r="A200" s="18" t="inlineStr">
        <is>
          <t>Loss Gain On Liquidity Of Affiliated Company Ope CF</t>
        </is>
      </c>
      <c r="Q200" s="20" t="n">
        <v>0</v>
      </c>
      <c r="R200" s="20" t="n">
        <v>-623</v>
      </c>
      <c r="S200" s="20" t="n">
        <v>0</v>
      </c>
    </row>
    <row r="201">
      <c r="A201" s="18" t="inlineStr">
        <is>
          <t>파생상품 평가손익</t>
        </is>
      </c>
      <c r="E201" s="20" t="n">
        <v>665</v>
      </c>
      <c r="I201" s="20" t="n">
        <v>-719</v>
      </c>
      <c r="M201" s="20" t="n">
        <v>153</v>
      </c>
      <c r="U201" s="20" t="n">
        <v>40</v>
      </c>
      <c r="V201" s="20" t="n">
        <v>665</v>
      </c>
      <c r="W201" s="20" t="n">
        <v>-719</v>
      </c>
      <c r="X201" s="20" t="n">
        <v>153</v>
      </c>
    </row>
    <row r="202">
      <c r="A202" s="18" t="inlineStr">
        <is>
          <t>투자유가증권 매각손익</t>
        </is>
      </c>
      <c r="E202" s="20" t="n">
        <v>-4</v>
      </c>
      <c r="I202" s="20" t="n">
        <v>-1581</v>
      </c>
      <c r="M202" s="20" t="n">
        <v>0</v>
      </c>
      <c r="T202" s="20" t="n">
        <v>-99</v>
      </c>
      <c r="U202" s="20" t="n">
        <v>-1607</v>
      </c>
      <c r="V202" s="20" t="n">
        <v>-4</v>
      </c>
      <c r="W202" s="20" t="n">
        <v>-1581</v>
      </c>
      <c r="X202" s="20" t="n">
        <v>0</v>
      </c>
    </row>
    <row r="203">
      <c r="A203" s="18" t="inlineStr">
        <is>
          <t>관계회사 출자금 매각손익</t>
        </is>
      </c>
      <c r="S203" s="20" t="n">
        <v>0</v>
      </c>
      <c r="T203" s="20" t="n">
        <v>1122</v>
      </c>
      <c r="U203" s="20" t="n">
        <v>0</v>
      </c>
    </row>
    <row r="204">
      <c r="A204" s="18" t="inlineStr">
        <is>
          <t>관계회사 청산손익</t>
        </is>
      </c>
      <c r="I204" s="20" t="n">
        <v>0</v>
      </c>
      <c r="M204" s="20" t="n">
        <v>-550</v>
      </c>
      <c r="W204" s="20" t="n">
        <v>0</v>
      </c>
      <c r="X204" s="20" t="n">
        <v>-550</v>
      </c>
    </row>
    <row r="205">
      <c r="A205" s="18" t="inlineStr">
        <is>
          <t>사업구조개선비용</t>
        </is>
      </c>
      <c r="E205" s="20" t="n">
        <v>0</v>
      </c>
      <c r="I205" s="20" t="n">
        <v>710</v>
      </c>
      <c r="M205" s="20" t="n">
        <v>494</v>
      </c>
      <c r="V205" s="20" t="n">
        <v>0</v>
      </c>
      <c r="W205" s="20" t="n">
        <v>710</v>
      </c>
      <c r="X205" s="20" t="n">
        <v>494</v>
      </c>
    </row>
    <row r="206">
      <c r="A206" s="18" t="inlineStr">
        <is>
          <t>Loss On Business Restructuring Ope CF</t>
        </is>
      </c>
      <c r="E206" s="20" t="n">
        <v>0</v>
      </c>
      <c r="I206" s="20" t="n">
        <v>2619</v>
      </c>
      <c r="M206" s="20" t="n">
        <v>68</v>
      </c>
      <c r="V206" s="20" t="n">
        <v>0</v>
      </c>
      <c r="W206" s="20" t="n">
        <v>2619</v>
      </c>
      <c r="X206" s="20" t="n">
        <v>68</v>
      </c>
    </row>
    <row r="207">
      <c r="A207" s="18" t="inlineStr">
        <is>
          <t>매출채권 증감</t>
        </is>
      </c>
      <c r="E207" s="20" t="n">
        <v>18562</v>
      </c>
      <c r="I207" s="20" t="n">
        <v>-1942</v>
      </c>
      <c r="M207" s="20" t="n">
        <v>5351</v>
      </c>
      <c r="O207" s="20" t="n">
        <v>-6002</v>
      </c>
      <c r="P207" s="20" t="n">
        <v>-10808</v>
      </c>
      <c r="Q207" s="20" t="n">
        <v>1618</v>
      </c>
      <c r="R207" s="20" t="n">
        <v>-2695</v>
      </c>
      <c r="S207" s="20" t="n">
        <v>-17663</v>
      </c>
      <c r="T207" s="20" t="n">
        <v>3579</v>
      </c>
      <c r="U207" s="20" t="n">
        <v>-8664</v>
      </c>
      <c r="V207" s="20" t="n">
        <v>18562</v>
      </c>
      <c r="W207" s="20" t="n">
        <v>-1942</v>
      </c>
      <c r="X207" s="20" t="n">
        <v>5351</v>
      </c>
    </row>
    <row r="208">
      <c r="A208" s="18" t="inlineStr">
        <is>
          <t>재고자산 증감</t>
        </is>
      </c>
      <c r="E208" s="20" t="n">
        <v>2853</v>
      </c>
      <c r="I208" s="20" t="n">
        <v>-1492</v>
      </c>
      <c r="M208" s="20" t="n">
        <v>2471</v>
      </c>
      <c r="O208" s="20" t="n">
        <v>-1168</v>
      </c>
      <c r="P208" s="20" t="n">
        <v>-2021</v>
      </c>
      <c r="Q208" s="20" t="n">
        <v>-1285</v>
      </c>
      <c r="R208" s="20" t="n">
        <v>-2737</v>
      </c>
      <c r="S208" s="20" t="n">
        <v>-4891</v>
      </c>
      <c r="T208" s="20" t="n">
        <v>-319</v>
      </c>
      <c r="U208" s="20" t="n">
        <v>772</v>
      </c>
      <c r="V208" s="20" t="n">
        <v>2853</v>
      </c>
      <c r="W208" s="20" t="n">
        <v>-1492</v>
      </c>
      <c r="X208" s="20" t="n">
        <v>2471</v>
      </c>
    </row>
    <row r="209">
      <c r="A209" s="18" t="inlineStr">
        <is>
          <t>매입채무 증감</t>
        </is>
      </c>
      <c r="E209" s="20" t="n">
        <v>-19413</v>
      </c>
      <c r="I209" s="20" t="n">
        <v>-1655</v>
      </c>
      <c r="M209" s="20" t="n">
        <v>-8453</v>
      </c>
      <c r="O209" s="20" t="n">
        <v>1248</v>
      </c>
      <c r="P209" s="20" t="n">
        <v>6906</v>
      </c>
      <c r="Q209" s="20" t="n">
        <v>-4992</v>
      </c>
      <c r="R209" s="20" t="n">
        <v>2688</v>
      </c>
      <c r="S209" s="20" t="n">
        <v>13903</v>
      </c>
      <c r="T209" s="20" t="n">
        <v>3481</v>
      </c>
      <c r="U209" s="20" t="n">
        <v>21188</v>
      </c>
      <c r="V209" s="20" t="n">
        <v>-19413</v>
      </c>
      <c r="W209" s="20" t="n">
        <v>-1655</v>
      </c>
      <c r="X209" s="20" t="n">
        <v>-8453</v>
      </c>
    </row>
    <row r="210">
      <c r="A210" s="18" t="inlineStr">
        <is>
          <t>미지급 소비세 증감</t>
        </is>
      </c>
      <c r="E210" s="20" t="n">
        <v>243</v>
      </c>
      <c r="I210" s="20" t="n">
        <v>-1214</v>
      </c>
      <c r="M210" s="20" t="n">
        <v>448</v>
      </c>
      <c r="O210" s="20" t="n">
        <v>110</v>
      </c>
      <c r="P210" s="20" t="n">
        <v>-41</v>
      </c>
      <c r="Q210" s="20" t="n">
        <v>358</v>
      </c>
      <c r="R210" s="20" t="n">
        <v>1118</v>
      </c>
      <c r="S210" s="20" t="n">
        <v>355</v>
      </c>
      <c r="T210" s="20" t="n">
        <v>-895</v>
      </c>
      <c r="U210" s="20" t="n">
        <v>-455</v>
      </c>
      <c r="V210" s="20" t="n">
        <v>243</v>
      </c>
      <c r="W210" s="20" t="n">
        <v>-1214</v>
      </c>
      <c r="X210" s="20" t="n">
        <v>448</v>
      </c>
    </row>
    <row r="211">
      <c r="A211" s="18" t="inlineStr">
        <is>
          <t>기타 유동부채 증감</t>
        </is>
      </c>
      <c r="E211" s="20" t="n">
        <v>4400</v>
      </c>
      <c r="I211" s="20" t="n">
        <v>-3924</v>
      </c>
      <c r="M211" s="20" t="n">
        <v>4544</v>
      </c>
      <c r="U211" s="20" t="n">
        <v>-639</v>
      </c>
      <c r="V211" s="20" t="n">
        <v>4400</v>
      </c>
      <c r="W211" s="20" t="n">
        <v>-3924</v>
      </c>
      <c r="X211" s="20" t="n">
        <v>4544</v>
      </c>
    </row>
    <row r="212">
      <c r="A212" s="18" t="inlineStr">
        <is>
          <t>기타</t>
        </is>
      </c>
      <c r="E212" s="20" t="n">
        <v>900</v>
      </c>
      <c r="I212" s="20" t="n">
        <v>-509</v>
      </c>
      <c r="M212" s="20" t="n">
        <v>-4445</v>
      </c>
      <c r="O212" s="20" t="n">
        <v>3408</v>
      </c>
      <c r="P212" s="20" t="n">
        <v>-636</v>
      </c>
      <c r="Q212" s="20" t="n">
        <v>752</v>
      </c>
      <c r="R212" s="20" t="n">
        <v>1912</v>
      </c>
      <c r="S212" s="20" t="n">
        <v>604</v>
      </c>
      <c r="T212" s="20" t="n">
        <v>-513</v>
      </c>
      <c r="U212" s="20" t="n">
        <v>236</v>
      </c>
      <c r="V212" s="20" t="n">
        <v>900</v>
      </c>
      <c r="W212" s="20" t="n">
        <v>-509</v>
      </c>
      <c r="X212" s="20" t="n">
        <v>-4445</v>
      </c>
    </row>
    <row r="213">
      <c r="A213" s="18" t="inlineStr">
        <is>
          <t>소계</t>
        </is>
      </c>
      <c r="E213" s="20" t="n">
        <v>58840</v>
      </c>
      <c r="I213" s="20" t="n">
        <v>29411</v>
      </c>
      <c r="M213" s="20" t="n">
        <v>44592</v>
      </c>
      <c r="O213" s="20" t="n">
        <v>27323</v>
      </c>
      <c r="P213" s="20" t="n">
        <v>26236</v>
      </c>
      <c r="Q213" s="20" t="n">
        <v>26830</v>
      </c>
      <c r="R213" s="20" t="n">
        <v>34937</v>
      </c>
      <c r="S213" s="20" t="n">
        <v>25164</v>
      </c>
      <c r="T213" s="20" t="n">
        <v>38023</v>
      </c>
      <c r="U213" s="20" t="n">
        <v>50716</v>
      </c>
      <c r="V213" s="20" t="n">
        <v>58840</v>
      </c>
      <c r="W213" s="20" t="n">
        <v>29411</v>
      </c>
      <c r="X213" s="20" t="n">
        <v>44592</v>
      </c>
    </row>
    <row r="214">
      <c r="A214" s="18" t="inlineStr">
        <is>
          <t>이자·배당금 수취</t>
        </is>
      </c>
      <c r="E214" s="20" t="n">
        <v>1250</v>
      </c>
      <c r="I214" s="20" t="n">
        <v>1211</v>
      </c>
      <c r="M214" s="20" t="n">
        <v>1120</v>
      </c>
      <c r="O214" s="20" t="n">
        <v>630</v>
      </c>
      <c r="P214" s="20" t="n">
        <v>1203</v>
      </c>
      <c r="Q214" s="20" t="n">
        <v>618</v>
      </c>
      <c r="R214" s="20" t="n">
        <v>532</v>
      </c>
      <c r="S214" s="20" t="n">
        <v>424</v>
      </c>
      <c r="T214" s="20" t="n">
        <v>1272</v>
      </c>
      <c r="U214" s="20" t="n">
        <v>672</v>
      </c>
      <c r="V214" s="20" t="n">
        <v>1250</v>
      </c>
      <c r="W214" s="20" t="n">
        <v>1211</v>
      </c>
      <c r="X214" s="20" t="n">
        <v>1120</v>
      </c>
    </row>
    <row r="215">
      <c r="A215" s="18" t="inlineStr">
        <is>
          <t>이자 지급</t>
        </is>
      </c>
      <c r="E215" s="20" t="n">
        <v>-1014</v>
      </c>
      <c r="I215" s="20" t="n">
        <v>-809</v>
      </c>
      <c r="M215" s="20" t="n">
        <v>-945</v>
      </c>
      <c r="O215" s="20" t="n">
        <v>-1227</v>
      </c>
      <c r="P215" s="20" t="n">
        <v>-1004</v>
      </c>
      <c r="Q215" s="20" t="n">
        <v>-862</v>
      </c>
      <c r="R215" s="20" t="n">
        <v>-908</v>
      </c>
      <c r="S215" s="20" t="n">
        <v>-818</v>
      </c>
      <c r="T215" s="20" t="n">
        <v>-820</v>
      </c>
      <c r="U215" s="20" t="n">
        <v>-1342</v>
      </c>
      <c r="V215" s="20" t="n">
        <v>-1014</v>
      </c>
      <c r="W215" s="20" t="n">
        <v>-809</v>
      </c>
      <c r="X215" s="20" t="n">
        <v>-945</v>
      </c>
    </row>
    <row r="216">
      <c r="A216" s="18" t="inlineStr">
        <is>
          <t>법인세 납부·환급</t>
        </is>
      </c>
      <c r="E216" s="20" t="n">
        <v>-1705</v>
      </c>
      <c r="I216" s="20" t="n">
        <v>-2234</v>
      </c>
      <c r="M216" s="20" t="n">
        <v>-5617</v>
      </c>
      <c r="O216" s="20" t="n">
        <v>-548</v>
      </c>
      <c r="P216" s="20" t="n">
        <v>-1475</v>
      </c>
      <c r="Q216" s="20" t="n">
        <v>-1174</v>
      </c>
      <c r="R216" s="20" t="n">
        <v>-759</v>
      </c>
      <c r="S216" s="20" t="n">
        <v>-2198</v>
      </c>
      <c r="T216" s="20" t="n">
        <v>-3007</v>
      </c>
      <c r="U216" s="20" t="n">
        <v>-2303</v>
      </c>
      <c r="V216" s="20" t="n">
        <v>-1705</v>
      </c>
      <c r="W216" s="20" t="n">
        <v>-2234</v>
      </c>
      <c r="X216" s="20" t="n">
        <v>-5617</v>
      </c>
    </row>
    <row r="217">
      <c r="A217" s="18" t="inlineStr">
        <is>
          <t>보조금 수취</t>
        </is>
      </c>
      <c r="Q217" s="20" t="n">
        <v>0</v>
      </c>
      <c r="R217" s="20" t="n">
        <v>219</v>
      </c>
      <c r="S217" s="20" t="n">
        <v>219</v>
      </c>
      <c r="T217" s="20" t="n">
        <v>0</v>
      </c>
    </row>
    <row r="218">
      <c r="A218" s="18" t="inlineStr">
        <is>
          <t>Business Structure Improvement Expenses Paid Ope CF</t>
        </is>
      </c>
      <c r="E218" s="20" t="n">
        <v>0</v>
      </c>
      <c r="I218" s="20" t="n">
        <v>-710</v>
      </c>
      <c r="M218" s="20" t="n">
        <v>-325</v>
      </c>
      <c r="V218" s="20" t="n">
        <v>0</v>
      </c>
      <c r="W218" s="20" t="n">
        <v>-710</v>
      </c>
      <c r="X218" s="20" t="n">
        <v>-325</v>
      </c>
    </row>
    <row r="219">
      <c r="A219" s="18" t="inlineStr">
        <is>
          <t>Payments For Loss On Business Restructuring Ope CF</t>
        </is>
      </c>
      <c r="E219" s="20" t="n">
        <v>0</v>
      </c>
      <c r="I219" s="20" t="n">
        <v>-2084</v>
      </c>
      <c r="M219" s="20" t="n">
        <v>-180</v>
      </c>
      <c r="V219" s="20" t="n">
        <v>0</v>
      </c>
      <c r="W219" s="20" t="n">
        <v>-2084</v>
      </c>
      <c r="X219" s="20" t="n">
        <v>-180</v>
      </c>
    </row>
    <row r="220">
      <c r="A220" s="9" t="inlineStr">
        <is>
          <t>영업활동 현금흐름</t>
        </is>
      </c>
      <c r="E220" s="12" t="n">
        <v>57370</v>
      </c>
      <c r="I220" s="12" t="n">
        <v>24785</v>
      </c>
      <c r="M220" s="12" t="n">
        <v>38644</v>
      </c>
      <c r="O220" s="12" t="n">
        <v>26178</v>
      </c>
      <c r="P220" s="12" t="n">
        <v>24960</v>
      </c>
      <c r="Q220" s="12" t="n">
        <v>25410</v>
      </c>
      <c r="R220" s="12" t="n">
        <v>34020</v>
      </c>
      <c r="S220" s="12" t="n">
        <v>22792</v>
      </c>
      <c r="T220" s="12" t="n">
        <v>35468</v>
      </c>
      <c r="U220" s="12" t="n">
        <v>47743</v>
      </c>
      <c r="V220" s="12" t="n">
        <v>57370</v>
      </c>
      <c r="W220" s="12" t="n">
        <v>24785</v>
      </c>
      <c r="X220" s="12" t="n">
        <v>38644</v>
      </c>
    </row>
    <row r="221">
      <c r="A221" s="18" t="inlineStr">
        <is>
          <t>정기예금 예입</t>
        </is>
      </c>
      <c r="E221" s="20" t="n">
        <v>-723</v>
      </c>
      <c r="I221" s="20" t="n">
        <v>-450</v>
      </c>
      <c r="M221" s="20" t="n">
        <v>-1165</v>
      </c>
      <c r="O221" s="20" t="n">
        <v>-7713</v>
      </c>
      <c r="P221" s="20" t="n">
        <v>-5298</v>
      </c>
      <c r="Q221" s="20" t="n">
        <v>-4230</v>
      </c>
      <c r="R221" s="20" t="n">
        <v>-5</v>
      </c>
      <c r="S221" s="20" t="n">
        <v>-2</v>
      </c>
      <c r="T221" s="20" t="n">
        <v>0</v>
      </c>
      <c r="U221" s="20" t="n">
        <v>0</v>
      </c>
      <c r="V221" s="20" t="n">
        <v>-723</v>
      </c>
      <c r="W221" s="20" t="n">
        <v>-450</v>
      </c>
      <c r="X221" s="20" t="n">
        <v>-1165</v>
      </c>
    </row>
    <row r="222">
      <c r="A222" s="18" t="inlineStr">
        <is>
          <t>정기예금 인출</t>
        </is>
      </c>
      <c r="I222" s="20" t="n">
        <v>743</v>
      </c>
      <c r="M222" s="20" t="n">
        <v>428</v>
      </c>
      <c r="O222" s="20" t="n">
        <v>6976</v>
      </c>
      <c r="P222" s="20" t="n">
        <v>7556</v>
      </c>
      <c r="Q222" s="20" t="n">
        <v>5612</v>
      </c>
      <c r="R222" s="20" t="n">
        <v>501</v>
      </c>
      <c r="S222" s="20" t="n">
        <v>2</v>
      </c>
      <c r="T222" s="20" t="n">
        <v>2</v>
      </c>
      <c r="W222" s="20" t="n">
        <v>743</v>
      </c>
      <c r="X222" s="20" t="n">
        <v>428</v>
      </c>
    </row>
    <row r="223">
      <c r="A223" s="18" t="inlineStr">
        <is>
          <t>유형자산 취득(설비투자)</t>
        </is>
      </c>
      <c r="E223" s="20" t="n">
        <v>-14917</v>
      </c>
      <c r="I223" s="20" t="n">
        <v>-24733</v>
      </c>
      <c r="M223" s="20" t="n">
        <v>-27183</v>
      </c>
      <c r="O223" s="20" t="n">
        <v>-21128</v>
      </c>
      <c r="P223" s="20" t="n">
        <v>-30438</v>
      </c>
      <c r="Q223" s="20" t="n">
        <v>-33076</v>
      </c>
      <c r="R223" s="20" t="n">
        <v>-26598</v>
      </c>
      <c r="S223" s="20" t="n">
        <v>-24654</v>
      </c>
      <c r="T223" s="20" t="n">
        <v>-34622</v>
      </c>
      <c r="U223" s="20" t="n">
        <v>-24179</v>
      </c>
      <c r="V223" s="20" t="n">
        <v>-14917</v>
      </c>
      <c r="W223" s="20" t="n">
        <v>-24733</v>
      </c>
      <c r="X223" s="20" t="n">
        <v>-27183</v>
      </c>
    </row>
    <row r="224">
      <c r="A224" s="18" t="inlineStr">
        <is>
          <t>유형자산 매각</t>
        </is>
      </c>
      <c r="E224" s="20" t="n">
        <v>219</v>
      </c>
      <c r="I224" s="20" t="n">
        <v>90</v>
      </c>
      <c r="M224" s="20" t="n">
        <v>2275</v>
      </c>
      <c r="O224" s="20" t="n">
        <v>731</v>
      </c>
      <c r="P224" s="20" t="n">
        <v>196</v>
      </c>
      <c r="Q224" s="20" t="n">
        <v>196</v>
      </c>
      <c r="R224" s="20" t="n">
        <v>93</v>
      </c>
      <c r="S224" s="20" t="n">
        <v>234</v>
      </c>
      <c r="T224" s="20" t="n">
        <v>246</v>
      </c>
      <c r="U224" s="20" t="n">
        <v>81</v>
      </c>
      <c r="V224" s="20" t="n">
        <v>219</v>
      </c>
      <c r="W224" s="20" t="n">
        <v>90</v>
      </c>
      <c r="X224" s="20" t="n">
        <v>2275</v>
      </c>
    </row>
    <row r="225">
      <c r="A225" s="18" t="inlineStr">
        <is>
          <t>무형자산 취득</t>
        </is>
      </c>
      <c r="E225" s="20" t="n">
        <v>-805</v>
      </c>
      <c r="I225" s="20" t="n">
        <v>-699</v>
      </c>
      <c r="M225" s="20" t="n">
        <v>-717</v>
      </c>
      <c r="T225" s="20" t="n">
        <v>-1100</v>
      </c>
      <c r="U225" s="20" t="n">
        <v>-621</v>
      </c>
      <c r="V225" s="20" t="n">
        <v>-805</v>
      </c>
      <c r="W225" s="20" t="n">
        <v>-699</v>
      </c>
      <c r="X225" s="20" t="n">
        <v>-717</v>
      </c>
    </row>
    <row r="226">
      <c r="A226" s="18" t="inlineStr">
        <is>
          <t>투자유가증권 매각·상환 수입</t>
        </is>
      </c>
      <c r="E226" s="20" t="n">
        <v>13</v>
      </c>
      <c r="I226" s="20" t="n">
        <v>1861</v>
      </c>
      <c r="M226" s="20" t="n">
        <v>0</v>
      </c>
      <c r="O226" s="20" t="n">
        <v>12</v>
      </c>
      <c r="P226" s="20" t="n">
        <v>2000</v>
      </c>
      <c r="Q226" s="20" t="n">
        <v>368</v>
      </c>
      <c r="R226" s="20" t="n">
        <v>2</v>
      </c>
      <c r="S226" s="20" t="n">
        <v>0</v>
      </c>
      <c r="T226" s="20" t="n">
        <v>135</v>
      </c>
      <c r="U226" s="20" t="n">
        <v>2400</v>
      </c>
      <c r="V226" s="20" t="n">
        <v>13</v>
      </c>
      <c r="W226" s="20" t="n">
        <v>1861</v>
      </c>
      <c r="X226" s="20" t="n">
        <v>0</v>
      </c>
    </row>
    <row r="227">
      <c r="A227" s="18" t="inlineStr">
        <is>
          <t>대여</t>
        </is>
      </c>
      <c r="O227" s="20" t="n">
        <v>-50</v>
      </c>
      <c r="P227" s="20" t="n">
        <v>-43</v>
      </c>
    </row>
    <row r="228">
      <c r="A228" s="18" t="inlineStr">
        <is>
          <t>대여금 회수</t>
        </is>
      </c>
      <c r="O228" s="20" t="n">
        <v>76</v>
      </c>
      <c r="P228" s="20" t="n">
        <v>67</v>
      </c>
    </row>
    <row r="229">
      <c r="A229" s="18" t="inlineStr">
        <is>
          <t>연결범위 변경 자회사 주식 매각(지출)</t>
        </is>
      </c>
      <c r="O229" s="20" t="n">
        <v>0</v>
      </c>
      <c r="P229" s="20" t="n">
        <v>-934</v>
      </c>
    </row>
    <row r="230">
      <c r="A230" s="18" t="inlineStr">
        <is>
          <t>Payment For Sales Of Investment In Affiliates Resulting In Change In Scope Of Consolidation Inv CF</t>
        </is>
      </c>
      <c r="P230" s="20" t="n">
        <v>-934</v>
      </c>
      <c r="Q230" s="20" t="n">
        <v>0</v>
      </c>
      <c r="S230" s="20" t="n">
        <v>0</v>
      </c>
      <c r="T230" s="20" t="n">
        <v>-231</v>
      </c>
      <c r="U230" s="20" t="n">
        <v>0</v>
      </c>
    </row>
    <row r="231">
      <c r="A231" s="18" t="inlineStr">
        <is>
          <t>Increase Decrease In Cash And Cash Equivalents Resulting From Exclusion Of Subsidiaries From Consolidation CF</t>
        </is>
      </c>
      <c r="I231" s="20" t="n">
        <v>0</v>
      </c>
      <c r="M231" s="20" t="n">
        <v>-168</v>
      </c>
      <c r="W231" s="20" t="n">
        <v>0</v>
      </c>
      <c r="X231" s="20" t="n">
        <v>-168</v>
      </c>
    </row>
    <row r="232">
      <c r="A232" s="18" t="inlineStr">
        <is>
          <t>기타</t>
        </is>
      </c>
      <c r="E232" s="20" t="n">
        <v>4</v>
      </c>
      <c r="I232" s="20" t="n">
        <v>-2</v>
      </c>
      <c r="M232" s="20" t="n">
        <v>-2</v>
      </c>
      <c r="O232" s="20" t="n">
        <v>193</v>
      </c>
      <c r="P232" s="20" t="n">
        <v>-164</v>
      </c>
      <c r="Q232" s="20" t="n">
        <v>168</v>
      </c>
      <c r="R232" s="20" t="n">
        <v>-437</v>
      </c>
      <c r="S232" s="20" t="n">
        <v>-252</v>
      </c>
      <c r="T232" s="20" t="n">
        <v>25</v>
      </c>
      <c r="U232" s="20" t="n">
        <v>12</v>
      </c>
      <c r="V232" s="20" t="n">
        <v>4</v>
      </c>
      <c r="W232" s="20" t="n">
        <v>-2</v>
      </c>
      <c r="X232" s="20" t="n">
        <v>-2</v>
      </c>
    </row>
    <row r="233">
      <c r="A233" s="9" t="inlineStr">
        <is>
          <t>투자활동 현금흐름</t>
        </is>
      </c>
      <c r="E233" s="12" t="n">
        <v>-16208</v>
      </c>
      <c r="I233" s="12" t="n">
        <v>-23190</v>
      </c>
      <c r="M233" s="12" t="n">
        <v>-26532</v>
      </c>
      <c r="O233" s="12" t="n">
        <v>-20902</v>
      </c>
      <c r="P233" s="12" t="n">
        <v>-27081</v>
      </c>
      <c r="Q233" s="12" t="n">
        <v>-30961</v>
      </c>
      <c r="R233" s="12" t="n">
        <v>-26443</v>
      </c>
      <c r="S233" s="12" t="n">
        <v>-24672</v>
      </c>
      <c r="T233" s="12" t="n">
        <v>-35547</v>
      </c>
      <c r="U233" s="12" t="n">
        <v>-22307</v>
      </c>
      <c r="V233" s="12" t="n">
        <v>-16208</v>
      </c>
      <c r="W233" s="12" t="n">
        <v>-23190</v>
      </c>
      <c r="X233" s="12" t="n">
        <v>-26532</v>
      </c>
    </row>
    <row r="234">
      <c r="A234" s="18" t="inlineStr">
        <is>
          <t>단기차입금 순증감</t>
        </is>
      </c>
      <c r="E234" s="20" t="n">
        <v>-9206</v>
      </c>
      <c r="I234" s="20" t="n">
        <v>5832</v>
      </c>
      <c r="M234" s="20" t="n">
        <v>2260</v>
      </c>
      <c r="O234" s="20" t="n">
        <v>3103</v>
      </c>
      <c r="P234" s="20" t="n">
        <v>-3631</v>
      </c>
      <c r="Q234" s="20" t="n">
        <v>-3114</v>
      </c>
      <c r="R234" s="20" t="n">
        <v>-3730</v>
      </c>
      <c r="S234" s="20" t="n">
        <v>3244</v>
      </c>
      <c r="T234" s="20" t="n">
        <v>1553</v>
      </c>
      <c r="U234" s="20" t="n">
        <v>-7468</v>
      </c>
      <c r="V234" s="20" t="n">
        <v>-9206</v>
      </c>
      <c r="W234" s="20" t="n">
        <v>5832</v>
      </c>
      <c r="X234" s="20" t="n">
        <v>2260</v>
      </c>
    </row>
    <row r="235">
      <c r="A235" s="18" t="inlineStr">
        <is>
          <t>장기차입</t>
        </is>
      </c>
      <c r="E235" s="20" t="n">
        <v>0</v>
      </c>
      <c r="I235" s="20" t="n">
        <v>0</v>
      </c>
      <c r="M235" s="20" t="n">
        <v>10000</v>
      </c>
      <c r="O235" s="20" t="n">
        <v>13270</v>
      </c>
      <c r="P235" s="20" t="n">
        <v>20200</v>
      </c>
      <c r="Q235" s="20" t="n">
        <v>7117</v>
      </c>
      <c r="R235" s="20" t="n">
        <v>10158</v>
      </c>
      <c r="S235" s="20" t="n">
        <v>14225</v>
      </c>
      <c r="T235" s="20" t="n">
        <v>21452</v>
      </c>
      <c r="U235" s="20" t="n">
        <v>15064</v>
      </c>
      <c r="V235" s="20" t="n">
        <v>0</v>
      </c>
      <c r="W235" s="20" t="n">
        <v>0</v>
      </c>
      <c r="X235" s="20" t="n">
        <v>10000</v>
      </c>
    </row>
    <row r="236">
      <c r="A236" s="18" t="inlineStr">
        <is>
          <t>장기차입금 상환</t>
        </is>
      </c>
      <c r="E236" s="20" t="n">
        <v>-8926</v>
      </c>
      <c r="I236" s="20" t="n">
        <v>-11812</v>
      </c>
      <c r="M236" s="20" t="n">
        <v>-13611</v>
      </c>
      <c r="O236" s="20" t="n">
        <v>-14416</v>
      </c>
      <c r="P236" s="20" t="n">
        <v>-17999</v>
      </c>
      <c r="Q236" s="20" t="n">
        <v>-12544</v>
      </c>
      <c r="R236" s="20" t="n">
        <v>-9586</v>
      </c>
      <c r="S236" s="20" t="n">
        <v>-13542</v>
      </c>
      <c r="T236" s="20" t="n">
        <v>-15249</v>
      </c>
      <c r="U236" s="20" t="n">
        <v>-26892</v>
      </c>
      <c r="V236" s="20" t="n">
        <v>-8926</v>
      </c>
      <c r="W236" s="20" t="n">
        <v>-11812</v>
      </c>
      <c r="X236" s="20" t="n">
        <v>-13611</v>
      </c>
    </row>
    <row r="237">
      <c r="A237" s="18" t="inlineStr">
        <is>
          <t>리스부채 상환</t>
        </is>
      </c>
      <c r="E237" s="20" t="n">
        <v>-515</v>
      </c>
      <c r="I237" s="20" t="n">
        <v>-660</v>
      </c>
      <c r="M237" s="20" t="n">
        <v>-626</v>
      </c>
      <c r="O237" s="20" t="n">
        <v>-6864</v>
      </c>
      <c r="P237" s="20" t="n">
        <v>-1668</v>
      </c>
      <c r="Q237" s="20" t="n">
        <v>-54</v>
      </c>
      <c r="R237" s="20" t="n">
        <v>-538</v>
      </c>
      <c r="S237" s="20" t="n">
        <v>-565</v>
      </c>
      <c r="T237" s="20" t="n">
        <v>-458</v>
      </c>
      <c r="U237" s="20" t="n">
        <v>-766</v>
      </c>
      <c r="V237" s="20" t="n">
        <v>-515</v>
      </c>
      <c r="W237" s="20" t="n">
        <v>-660</v>
      </c>
      <c r="X237" s="20" t="n">
        <v>-626</v>
      </c>
    </row>
    <row r="238">
      <c r="A238" s="18" t="inlineStr">
        <is>
          <t>주식 발행</t>
        </is>
      </c>
      <c r="O238" s="20" t="n">
        <v>9999</v>
      </c>
      <c r="P238" s="20" t="n">
        <v>0</v>
      </c>
    </row>
    <row r="239">
      <c r="A239" s="18" t="inlineStr">
        <is>
          <t>사채 발행</t>
        </is>
      </c>
      <c r="P239" s="20" t="n">
        <v>0</v>
      </c>
      <c r="Q239" s="20" t="n">
        <v>12000</v>
      </c>
      <c r="R239" s="20" t="n">
        <v>0</v>
      </c>
    </row>
    <row r="240">
      <c r="A240" s="18" t="inlineStr">
        <is>
          <t>사채 상환</t>
        </is>
      </c>
      <c r="E240" s="20" t="n">
        <v>-6000</v>
      </c>
      <c r="I240" s="20" t="n">
        <v>0</v>
      </c>
      <c r="U240" s="20" t="n">
        <v>0</v>
      </c>
      <c r="V240" s="20" t="n">
        <v>-6000</v>
      </c>
      <c r="W240" s="20" t="n">
        <v>0</v>
      </c>
    </row>
    <row r="241">
      <c r="A241" s="18" t="inlineStr">
        <is>
          <t>배당금 지급</t>
        </is>
      </c>
      <c r="E241" s="20" t="n">
        <v>-2676</v>
      </c>
      <c r="I241" s="20" t="n">
        <v>-3309</v>
      </c>
      <c r="M241" s="20" t="n">
        <v>-3665</v>
      </c>
      <c r="O241" s="20" t="n">
        <v>-209</v>
      </c>
      <c r="P241" s="20" t="n">
        <v>-268</v>
      </c>
      <c r="Q241" s="20" t="n">
        <v>-893</v>
      </c>
      <c r="R241" s="20" t="n">
        <v>-894</v>
      </c>
      <c r="S241" s="20" t="n">
        <v>-894</v>
      </c>
      <c r="T241" s="20" t="n">
        <v>-895</v>
      </c>
      <c r="U241" s="20" t="n">
        <v>-895</v>
      </c>
      <c r="V241" s="20" t="n">
        <v>-2676</v>
      </c>
      <c r="W241" s="20" t="n">
        <v>-3309</v>
      </c>
      <c r="X241" s="20" t="n">
        <v>-3665</v>
      </c>
    </row>
    <row r="242">
      <c r="A242" s="18" t="inlineStr">
        <is>
          <t>비지배주주 배당금 지급</t>
        </is>
      </c>
      <c r="E242" s="20" t="n">
        <v>-419</v>
      </c>
      <c r="I242" s="20" t="n">
        <v>-407</v>
      </c>
      <c r="M242" s="20" t="n">
        <v>-290</v>
      </c>
      <c r="O242" s="20" t="n">
        <v>-1760</v>
      </c>
      <c r="P242" s="20" t="n">
        <v>-2057</v>
      </c>
      <c r="Q242" s="20" t="n">
        <v>-981</v>
      </c>
      <c r="R242" s="20" t="n">
        <v>-979</v>
      </c>
      <c r="S242" s="20" t="n">
        <v>-828</v>
      </c>
      <c r="T242" s="20" t="n">
        <v>-429</v>
      </c>
      <c r="U242" s="20" t="n">
        <v>-980</v>
      </c>
      <c r="V242" s="20" t="n">
        <v>-419</v>
      </c>
      <c r="W242" s="20" t="n">
        <v>-407</v>
      </c>
      <c r="X242" s="20" t="n">
        <v>-290</v>
      </c>
    </row>
    <row r="243">
      <c r="A243" s="18" t="inlineStr">
        <is>
          <t>연결범위 변경 없는 자회사 주식 취득</t>
        </is>
      </c>
      <c r="O243" s="20" t="n">
        <v>0</v>
      </c>
      <c r="P243" s="20" t="n">
        <v>-963</v>
      </c>
      <c r="Q243" s="20" t="n">
        <v>0</v>
      </c>
    </row>
    <row r="244">
      <c r="A244" s="18" t="inlineStr">
        <is>
          <t>연결범위 변동 없는 자회사 주식 매각 수입</t>
        </is>
      </c>
      <c r="O244" s="20" t="n">
        <v>0</v>
      </c>
      <c r="P244" s="20" t="n">
        <v>87</v>
      </c>
      <c r="Q244" s="20" t="n">
        <v>0</v>
      </c>
    </row>
    <row r="245">
      <c r="A245" s="18" t="inlineStr">
        <is>
          <t>비지배주주 납입</t>
        </is>
      </c>
      <c r="O245" s="20" t="n">
        <v>139</v>
      </c>
      <c r="P245" s="20" t="n">
        <v>0</v>
      </c>
      <c r="R245" s="20" t="n">
        <v>0</v>
      </c>
      <c r="S245" s="20" t="n">
        <v>111</v>
      </c>
      <c r="T245" s="20" t="n">
        <v>0</v>
      </c>
    </row>
    <row r="246">
      <c r="A246" s="18" t="inlineStr">
        <is>
          <t>Payments From Changes In Investments In Capital Of Subsidiaries And Associates That Do Not Result In Change In Scope Of Consolidation Fin CF</t>
        </is>
      </c>
      <c r="S246" s="20" t="n">
        <v>0</v>
      </c>
      <c r="T246" s="20" t="n">
        <v>-9393</v>
      </c>
      <c r="U246" s="20" t="n">
        <v>0</v>
      </c>
    </row>
    <row r="247">
      <c r="A247" s="18" t="inlineStr">
        <is>
          <t>기타</t>
        </is>
      </c>
      <c r="E247" s="20" t="n">
        <v>-0</v>
      </c>
      <c r="I247" s="20" t="n">
        <v>-3</v>
      </c>
      <c r="M247" s="20" t="n">
        <v>-418</v>
      </c>
      <c r="O247" s="20" t="n">
        <v>-0</v>
      </c>
      <c r="P247" s="20" t="n">
        <v>-1</v>
      </c>
      <c r="Q247" s="20" t="n">
        <v>-39</v>
      </c>
      <c r="R247" s="20" t="n">
        <v>-1</v>
      </c>
      <c r="S247" s="20" t="n">
        <v>-0</v>
      </c>
      <c r="T247" s="20" t="n">
        <v>-30</v>
      </c>
      <c r="U247" s="20" t="n">
        <v>-70</v>
      </c>
      <c r="V247" s="20" t="n">
        <v>-0</v>
      </c>
      <c r="W247" s="20" t="n">
        <v>-3</v>
      </c>
      <c r="X247" s="20" t="n">
        <v>-418</v>
      </c>
    </row>
    <row r="248">
      <c r="A248" s="9" t="inlineStr">
        <is>
          <t>재무활동 현금흐름</t>
        </is>
      </c>
      <c r="E248" s="12" t="n">
        <v>-27746</v>
      </c>
      <c r="I248" s="12" t="n">
        <v>-10360</v>
      </c>
      <c r="M248" s="12" t="n">
        <v>-6353</v>
      </c>
      <c r="O248" s="12" t="n">
        <v>3262</v>
      </c>
      <c r="P248" s="12" t="n">
        <v>-6304</v>
      </c>
      <c r="Q248" s="12" t="n">
        <v>1489</v>
      </c>
      <c r="R248" s="12" t="n">
        <v>-5572</v>
      </c>
      <c r="S248" s="12" t="n">
        <v>1750</v>
      </c>
      <c r="T248" s="12" t="n">
        <v>-3451</v>
      </c>
      <c r="U248" s="12" t="n">
        <v>-22009</v>
      </c>
      <c r="V248" s="12" t="n">
        <v>-27746</v>
      </c>
      <c r="W248" s="12" t="n">
        <v>-10360</v>
      </c>
      <c r="X248" s="12" t="n">
        <v>-6353</v>
      </c>
    </row>
    <row r="249">
      <c r="A249" s="18" t="inlineStr">
        <is>
          <t>현금성자산 환산차이</t>
        </is>
      </c>
      <c r="E249" s="20" t="n">
        <v>-449</v>
      </c>
      <c r="I249" s="20" t="n">
        <v>-2230</v>
      </c>
      <c r="M249" s="20" t="n">
        <v>1186</v>
      </c>
      <c r="O249" s="20" t="n">
        <v>-1078</v>
      </c>
      <c r="P249" s="20" t="n">
        <v>-194</v>
      </c>
      <c r="Q249" s="20" t="n">
        <v>-357</v>
      </c>
      <c r="R249" s="20" t="n">
        <v>-175</v>
      </c>
      <c r="S249" s="20" t="n">
        <v>282</v>
      </c>
      <c r="T249" s="20" t="n">
        <v>738</v>
      </c>
      <c r="U249" s="20" t="n">
        <v>174</v>
      </c>
      <c r="V249" s="20" t="n">
        <v>-449</v>
      </c>
      <c r="W249" s="20" t="n">
        <v>-2230</v>
      </c>
      <c r="X249" s="20" t="n">
        <v>1186</v>
      </c>
    </row>
    <row r="250">
      <c r="A250" s="18" t="inlineStr">
        <is>
          <t>현금성자산 증감</t>
        </is>
      </c>
      <c r="E250" s="20" t="n">
        <v>12966</v>
      </c>
      <c r="I250" s="20" t="n">
        <v>-10995</v>
      </c>
      <c r="M250" s="20" t="n">
        <v>6944</v>
      </c>
      <c r="O250" s="20" t="n">
        <v>7460</v>
      </c>
      <c r="P250" s="20" t="n">
        <v>-8620</v>
      </c>
      <c r="Q250" s="20" t="n">
        <v>-4419</v>
      </c>
      <c r="R250" s="20" t="n">
        <v>1828</v>
      </c>
      <c r="S250" s="20" t="n">
        <v>151</v>
      </c>
      <c r="T250" s="20" t="n">
        <v>-2791</v>
      </c>
      <c r="U250" s="20" t="n">
        <v>3600</v>
      </c>
      <c r="V250" s="20" t="n">
        <v>12966</v>
      </c>
      <c r="W250" s="20" t="n">
        <v>-10995</v>
      </c>
      <c r="X250" s="20" t="n">
        <v>6944</v>
      </c>
    </row>
    <row r="251">
      <c r="A251" s="18" t="inlineStr">
        <is>
          <t>Increase Decrease In Cash And Cash Equivalents Resulting From AChange In Closing Dates Of Consolidated Subsidiaries CCE</t>
        </is>
      </c>
      <c r="E251" s="20" t="n">
        <v>979</v>
      </c>
      <c r="I251" s="20" t="n">
        <v>0</v>
      </c>
      <c r="U251" s="20" t="n">
        <v>0</v>
      </c>
      <c r="V251" s="20" t="n">
        <v>979</v>
      </c>
      <c r="W251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7241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135035</v>
      </c>
      <c r="D5" s="12" t="n">
        <v>135670</v>
      </c>
      <c r="E5" s="12" t="n">
        <v>133154</v>
      </c>
      <c r="F5" s="12" t="n">
        <v>153298</v>
      </c>
      <c r="G5" s="12" t="n">
        <v>156489</v>
      </c>
      <c r="H5" s="11" t="n">
        <v>135367</v>
      </c>
      <c r="I5" s="12" t="n">
        <v>152191</v>
      </c>
      <c r="J5" s="12" t="n">
        <v>153518</v>
      </c>
      <c r="K5" s="12" t="n">
        <v>146439</v>
      </c>
      <c r="L5" s="12" t="n">
        <v>153298</v>
      </c>
    </row>
    <row r="6">
      <c r="A6" s="18" t="inlineStr">
        <is>
          <t>현금및현금성자산</t>
        </is>
      </c>
      <c r="B6" s="10" t="n"/>
      <c r="C6" s="19" t="n">
        <v>22753</v>
      </c>
      <c r="D6" s="20" t="n">
        <v>15103</v>
      </c>
      <c r="E6" s="20" t="n">
        <v>20548</v>
      </c>
      <c r="F6" s="20" t="n">
        <v>21384</v>
      </c>
      <c r="G6" s="20" t="n">
        <v>24547</v>
      </c>
      <c r="H6" s="19" t="n">
        <v>6734</v>
      </c>
      <c r="I6" s="20" t="n">
        <v>10335</v>
      </c>
      <c r="J6" s="20" t="n">
        <v>25029</v>
      </c>
      <c r="K6" s="20" t="n">
        <v>13719</v>
      </c>
      <c r="L6" s="20" t="n">
        <v>21384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69907</v>
      </c>
      <c r="D8" s="20" t="n">
        <v>75863</v>
      </c>
      <c r="E8" s="20" t="n">
        <v>66228</v>
      </c>
      <c r="F8" s="20" t="n">
        <v>83996</v>
      </c>
      <c r="G8" s="20" t="n">
        <v>83336</v>
      </c>
      <c r="H8" s="19" t="n">
        <v>89219</v>
      </c>
      <c r="I8" s="20" t="n">
        <v>100906</v>
      </c>
      <c r="J8" s="20" t="n">
        <v>89572</v>
      </c>
      <c r="K8" s="20" t="n">
        <v>87220</v>
      </c>
      <c r="L8" s="20" t="n">
        <v>83996</v>
      </c>
    </row>
    <row r="9">
      <c r="A9" s="18" t="inlineStr">
        <is>
          <t>재고자산</t>
        </is>
      </c>
      <c r="B9" s="10" t="n"/>
      <c r="C9" s="19" t="n">
        <v>29005</v>
      </c>
      <c r="D9" s="20" t="n">
        <v>30120</v>
      </c>
      <c r="E9" s="20" t="n">
        <v>31002</v>
      </c>
      <c r="F9" s="20" t="n">
        <v>29144</v>
      </c>
      <c r="G9" s="20" t="n">
        <v>31828</v>
      </c>
      <c r="H9" s="19" t="n">
        <v>30050</v>
      </c>
      <c r="I9" s="20" t="n">
        <v>30343</v>
      </c>
      <c r="J9" s="20" t="n">
        <v>29108</v>
      </c>
      <c r="K9" s="20" t="n">
        <v>30213</v>
      </c>
      <c r="L9" s="20" t="n">
        <v>29144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166714</v>
      </c>
      <c r="D11" s="12" t="n">
        <v>171339</v>
      </c>
      <c r="E11" s="12" t="n">
        <v>176935</v>
      </c>
      <c r="F11" s="12" t="n">
        <v>181034</v>
      </c>
      <c r="G11" s="12" t="n">
        <v>179106</v>
      </c>
      <c r="H11" s="11" t="n">
        <v>174120</v>
      </c>
      <c r="I11" s="12" t="n">
        <v>167576</v>
      </c>
      <c r="J11" s="12" t="n">
        <v>181262</v>
      </c>
      <c r="K11" s="12" t="n">
        <v>167473</v>
      </c>
      <c r="L11" s="12" t="n">
        <v>181034</v>
      </c>
    </row>
    <row r="12">
      <c r="A12" s="18" t="inlineStr">
        <is>
          <t>유형자산</t>
        </is>
      </c>
      <c r="B12" s="10" t="n"/>
      <c r="C12" s="19" t="n">
        <v>131519</v>
      </c>
      <c r="D12" s="20" t="n">
        <v>133914</v>
      </c>
      <c r="E12" s="20" t="n">
        <v>136868</v>
      </c>
      <c r="F12" s="20" t="n">
        <v>139048</v>
      </c>
      <c r="G12" s="20" t="n">
        <v>138156</v>
      </c>
      <c r="H12" s="19" t="n">
        <v>143416</v>
      </c>
      <c r="I12" s="20" t="n">
        <v>139235</v>
      </c>
      <c r="J12" s="20" t="n">
        <v>136167</v>
      </c>
      <c r="K12" s="20" t="n">
        <v>131454</v>
      </c>
      <c r="L12" s="20" t="n">
        <v>139048</v>
      </c>
    </row>
    <row r="13">
      <c r="A13" s="18" t="inlineStr">
        <is>
          <t>무형자산</t>
        </is>
      </c>
      <c r="B13" s="10" t="n"/>
      <c r="C13" s="19" t="n">
        <v>1836</v>
      </c>
      <c r="D13" s="20" t="n">
        <v>1787</v>
      </c>
      <c r="E13" s="20" t="n">
        <v>1781</v>
      </c>
      <c r="F13" s="20" t="n">
        <v>1947</v>
      </c>
      <c r="G13" s="20" t="n">
        <v>1902</v>
      </c>
      <c r="H13" s="19" t="n">
        <v>1592</v>
      </c>
      <c r="I13" s="20" t="n">
        <v>1660</v>
      </c>
      <c r="J13" s="20" t="n">
        <v>1896</v>
      </c>
      <c r="K13" s="20" t="n">
        <v>1929</v>
      </c>
      <c r="L13" s="20" t="n">
        <v>1947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301750</v>
      </c>
      <c r="D16" s="12" t="n">
        <v>307009</v>
      </c>
      <c r="E16" s="12" t="n">
        <v>310089</v>
      </c>
      <c r="F16" s="12" t="n">
        <v>334332</v>
      </c>
      <c r="G16" s="12" t="n">
        <v>335596</v>
      </c>
      <c r="H16" s="11" t="n">
        <v>309487</v>
      </c>
      <c r="I16" s="12" t="n">
        <v>319768</v>
      </c>
      <c r="J16" s="12" t="n">
        <v>334780</v>
      </c>
      <c r="K16" s="12" t="n">
        <v>313913</v>
      </c>
      <c r="L16" s="12" t="n">
        <v>334332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127374</v>
      </c>
      <c r="D18" s="12" t="n">
        <v>135693</v>
      </c>
      <c r="E18" s="12" t="n">
        <v>122332</v>
      </c>
      <c r="F18" s="12" t="n">
        <v>138249</v>
      </c>
      <c r="G18" s="12" t="n">
        <v>139160</v>
      </c>
      <c r="H18" s="11" t="n">
        <v>145067</v>
      </c>
      <c r="I18" s="12" t="n">
        <v>147787</v>
      </c>
      <c r="J18" s="12" t="n">
        <v>137926</v>
      </c>
      <c r="K18" s="12" t="n">
        <v>138070</v>
      </c>
      <c r="L18" s="12" t="n">
        <v>138249</v>
      </c>
    </row>
    <row r="19">
      <c r="A19" s="18" t="inlineStr">
        <is>
          <t>매입채무</t>
        </is>
      </c>
      <c r="B19" s="10" t="n"/>
      <c r="C19" s="19" t="n">
        <v>71511</v>
      </c>
      <c r="D19" s="20" t="n">
        <v>72015</v>
      </c>
      <c r="E19" s="20" t="n">
        <v>69190</v>
      </c>
      <c r="F19" s="20" t="n">
        <v>79552</v>
      </c>
      <c r="G19" s="20" t="n">
        <v>80276</v>
      </c>
      <c r="H19" s="19" t="n">
        <v>73832</v>
      </c>
      <c r="I19" s="20" t="n">
        <v>96153</v>
      </c>
      <c r="J19" s="20" t="n">
        <v>86135</v>
      </c>
      <c r="K19" s="20" t="n">
        <v>84743</v>
      </c>
      <c r="L19" s="20" t="n">
        <v>79552</v>
      </c>
    </row>
    <row r="20">
      <c r="A20" s="18" t="inlineStr">
        <is>
          <t>단기차입금</t>
        </is>
      </c>
      <c r="B20" s="10" t="n"/>
      <c r="C20" s="19" t="n">
        <v>11101</v>
      </c>
      <c r="D20" s="20" t="n">
        <v>6052</v>
      </c>
      <c r="E20" s="20" t="n">
        <v>8208</v>
      </c>
      <c r="F20" s="20" t="n">
        <v>9603</v>
      </c>
      <c r="G20" s="20" t="n">
        <v>8069</v>
      </c>
      <c r="H20" s="19" t="n">
        <v>16335</v>
      </c>
      <c r="I20" s="20" t="n">
        <v>9464</v>
      </c>
      <c r="J20" s="20" t="n">
        <v>1105</v>
      </c>
      <c r="K20" s="20" t="n">
        <v>6891</v>
      </c>
      <c r="L20" s="20" t="n">
        <v>9603</v>
      </c>
    </row>
    <row r="21">
      <c r="A21" s="18" t="inlineStr">
        <is>
          <t>유동성장기부채</t>
        </is>
      </c>
      <c r="B21" s="10" t="n"/>
      <c r="C21" s="19" t="n">
        <v>13479</v>
      </c>
      <c r="D21" s="20" t="n">
        <v>23077</v>
      </c>
      <c r="E21" s="20" t="n">
        <v>12758</v>
      </c>
      <c r="F21" s="20" t="n">
        <v>12096</v>
      </c>
      <c r="G21" s="20" t="n">
        <v>11223</v>
      </c>
      <c r="H21" s="19" t="n">
        <v>25920</v>
      </c>
      <c r="I21" s="20" t="n">
        <v>13581</v>
      </c>
      <c r="J21" s="20" t="n">
        <v>11773</v>
      </c>
      <c r="K21" s="20" t="n">
        <v>13514</v>
      </c>
      <c r="L21" s="20" t="n">
        <v>12096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51225</v>
      </c>
      <c r="D23" s="12" t="n">
        <v>41586</v>
      </c>
      <c r="E23" s="12" t="n">
        <v>50306</v>
      </c>
      <c r="F23" s="12" t="n">
        <v>50231</v>
      </c>
      <c r="G23" s="12" t="n">
        <v>49977</v>
      </c>
      <c r="H23" s="11" t="n">
        <v>74406</v>
      </c>
      <c r="I23" s="12" t="n">
        <v>72233</v>
      </c>
      <c r="J23" s="12" t="n">
        <v>65951</v>
      </c>
      <c r="K23" s="12" t="n">
        <v>52677</v>
      </c>
      <c r="L23" s="12" t="n">
        <v>50231</v>
      </c>
    </row>
    <row r="24">
      <c r="A24" s="18" t="inlineStr">
        <is>
          <t>장기차입금</t>
        </is>
      </c>
      <c r="B24" s="10" t="n"/>
      <c r="C24" s="19" t="n">
        <v>26401</v>
      </c>
      <c r="D24" s="20" t="n">
        <v>16262</v>
      </c>
      <c r="E24" s="20" t="n">
        <v>24010</v>
      </c>
      <c r="F24" s="20" t="n">
        <v>25952</v>
      </c>
      <c r="G24" s="20" t="n">
        <v>25871</v>
      </c>
      <c r="H24" s="19" t="n">
        <v>43022</v>
      </c>
      <c r="I24" s="20" t="n">
        <v>51818</v>
      </c>
      <c r="J24" s="20" t="n">
        <v>41137</v>
      </c>
      <c r="K24" s="20" t="n">
        <v>27500</v>
      </c>
      <c r="L24" s="20" t="n">
        <v>25952</v>
      </c>
    </row>
    <row r="25">
      <c r="A25" s="18" t="inlineStr">
        <is>
          <t>사채</t>
        </is>
      </c>
      <c r="B25" s="10" t="n"/>
      <c r="C25" s="19" t="n">
        <v>6000</v>
      </c>
      <c r="D25" s="20" t="n">
        <v>6000</v>
      </c>
      <c r="E25" s="20" t="n">
        <v>6000</v>
      </c>
      <c r="F25" s="20" t="n">
        <v>6000</v>
      </c>
      <c r="G25" s="20" t="n">
        <v>6000</v>
      </c>
      <c r="H25" s="19" t="n">
        <v>12000</v>
      </c>
      <c r="I25" s="20" t="n">
        <v>6000</v>
      </c>
      <c r="J25" s="20" t="n">
        <v>6000</v>
      </c>
      <c r="K25" s="20" t="n">
        <v>6000</v>
      </c>
      <c r="L25" s="20" t="n">
        <v>6000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178599</v>
      </c>
      <c r="D27" s="12" t="n">
        <v>177280</v>
      </c>
      <c r="E27" s="12" t="n">
        <v>172639</v>
      </c>
      <c r="F27" s="12" t="n">
        <v>188481</v>
      </c>
      <c r="G27" s="12" t="n">
        <v>189137</v>
      </c>
      <c r="H27" s="11" t="n">
        <v>219473</v>
      </c>
      <c r="I27" s="12" t="n">
        <v>220021</v>
      </c>
      <c r="J27" s="12" t="n">
        <v>203878</v>
      </c>
      <c r="K27" s="12" t="n">
        <v>190747</v>
      </c>
      <c r="L27" s="12" t="n">
        <v>188481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117541</v>
      </c>
      <c r="D31" s="12" t="n">
        <v>123428</v>
      </c>
      <c r="E31" s="12" t="n">
        <v>130721</v>
      </c>
      <c r="F31" s="12" t="n">
        <v>138885</v>
      </c>
      <c r="G31" s="12" t="n">
        <v>139245</v>
      </c>
      <c r="H31" s="11" t="n">
        <v>84220</v>
      </c>
      <c r="I31" s="12" t="n">
        <v>94072</v>
      </c>
      <c r="J31" s="12" t="n">
        <v>124378</v>
      </c>
      <c r="K31" s="12" t="n">
        <v>117620</v>
      </c>
      <c r="L31" s="12" t="n">
        <v>138885</v>
      </c>
    </row>
    <row r="32">
      <c r="A32" s="18" t="inlineStr">
        <is>
          <t>자본금</t>
        </is>
      </c>
      <c r="B32" s="10" t="n"/>
      <c r="C32" s="19" t="n">
        <v>16820</v>
      </c>
      <c r="D32" s="20" t="n">
        <v>16820</v>
      </c>
      <c r="E32" s="20" t="n">
        <v>16820</v>
      </c>
      <c r="F32" s="20" t="n">
        <v>16820</v>
      </c>
      <c r="G32" s="20" t="n">
        <v>16820</v>
      </c>
      <c r="H32" s="19" t="n">
        <v>16820</v>
      </c>
      <c r="I32" s="20" t="n">
        <v>16820</v>
      </c>
      <c r="J32" s="20" t="n">
        <v>16820</v>
      </c>
      <c r="K32" s="20" t="n">
        <v>16820</v>
      </c>
      <c r="L32" s="20" t="n">
        <v>16820</v>
      </c>
    </row>
    <row r="33">
      <c r="A33" s="18" t="inlineStr">
        <is>
          <t>이익잉여금</t>
        </is>
      </c>
      <c r="B33" s="10" t="n"/>
      <c r="C33" s="19" t="n">
        <v>62526</v>
      </c>
      <c r="D33" s="20" t="n">
        <v>66302</v>
      </c>
      <c r="E33" s="20" t="n">
        <v>69038</v>
      </c>
      <c r="F33" s="20" t="n">
        <v>74241</v>
      </c>
      <c r="G33" s="20" t="n">
        <v>74662</v>
      </c>
      <c r="H33" s="19" t="n">
        <v>38961</v>
      </c>
      <c r="I33" s="20" t="n">
        <v>48641</v>
      </c>
      <c r="J33" s="20" t="n">
        <v>58893</v>
      </c>
      <c r="K33" s="20" t="n">
        <v>61790</v>
      </c>
      <c r="L33" s="20" t="n">
        <v>74241</v>
      </c>
    </row>
    <row r="34">
      <c r="A34" s="18" t="inlineStr">
        <is>
          <t>비지배지분</t>
        </is>
      </c>
      <c r="B34" s="10" t="n"/>
      <c r="C34" s="19" t="n">
        <v>5609</v>
      </c>
      <c r="D34" s="20" t="n">
        <v>6301</v>
      </c>
      <c r="E34" s="20" t="n">
        <v>6729</v>
      </c>
      <c r="F34" s="20" t="n">
        <v>6966</v>
      </c>
      <c r="G34" s="20" t="n">
        <v>7213</v>
      </c>
      <c r="H34" s="19" t="n">
        <v>5794</v>
      </c>
      <c r="I34" s="20" t="n">
        <v>5675</v>
      </c>
      <c r="J34" s="20" t="n">
        <v>6523</v>
      </c>
      <c r="K34" s="20" t="n">
        <v>5545</v>
      </c>
      <c r="L34" s="20" t="n">
        <v>6966</v>
      </c>
    </row>
    <row r="35">
      <c r="A35" s="9" t="inlineStr">
        <is>
          <t>자본총계</t>
        </is>
      </c>
      <c r="B35" s="10" t="n"/>
      <c r="C35" s="11" t="n">
        <v>123150</v>
      </c>
      <c r="D35" s="12" t="n">
        <v>129729</v>
      </c>
      <c r="E35" s="12" t="n">
        <v>137450</v>
      </c>
      <c r="F35" s="12" t="n">
        <v>145851</v>
      </c>
      <c r="G35" s="12" t="n">
        <v>146458</v>
      </c>
      <c r="H35" s="11" t="n">
        <v>90014</v>
      </c>
      <c r="I35" s="12" t="n">
        <v>99747</v>
      </c>
      <c r="J35" s="12" t="n">
        <v>130901</v>
      </c>
      <c r="K35" s="12" t="n">
        <v>123165</v>
      </c>
      <c r="L35" s="12" t="n">
        <v>145851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38644</v>
      </c>
      <c r="G37" s="12" t="n"/>
      <c r="H37" s="11" t="n">
        <v>35468</v>
      </c>
      <c r="I37" s="12" t="n">
        <v>47743</v>
      </c>
      <c r="J37" s="12" t="n">
        <v>57370</v>
      </c>
      <c r="K37" s="12" t="n">
        <v>24785</v>
      </c>
      <c r="L37" s="12" t="n">
        <v>38644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27900</v>
      </c>
      <c r="G38" s="20" t="n"/>
      <c r="H38" s="19" t="n">
        <v>35722</v>
      </c>
      <c r="I38" s="20" t="n">
        <v>24800</v>
      </c>
      <c r="J38" s="20" t="n">
        <v>15722</v>
      </c>
      <c r="K38" s="20" t="n">
        <v>25432</v>
      </c>
      <c r="L38" s="20" t="n">
        <v>27900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3665</v>
      </c>
      <c r="G40" s="20" t="n"/>
      <c r="H40" s="19" t="n">
        <v>895</v>
      </c>
      <c r="I40" s="20" t="n">
        <v>895</v>
      </c>
      <c r="J40" s="20" t="n">
        <v>2676</v>
      </c>
      <c r="K40" s="20" t="n">
        <v>3309</v>
      </c>
      <c r="L40" s="20" t="n">
        <v>3665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IFERROR(IF((IF(COUNT('연간'!G59:J59)&lt;4,"",SUM('연간'!G59:J59)))&lt;=0,"적자",C28/(IF(COUNT('연간'!G59:J59)&lt;4,"",SUM('연간'!G59:J59)))),"")</f>
        <v/>
      </c>
      <c r="D49" s="46">
        <f>IFERROR(IF((IF(COUNT('연간'!H59:K59)&lt;4,"",SUM('연간'!H59:K59)))&lt;=0,"적자",D28/(IF(COUNT('연간'!H59:K59)&lt;4,"",SUM('연간'!H59:K59)))),"")</f>
        <v/>
      </c>
      <c r="E49" s="46">
        <f>IFERROR(IF((IF(COUNT('연간'!I59:L59)&lt;4,"",SUM('연간'!I59:L59)))&lt;=0,"적자",E28/(IF(COUNT('연간'!I59:L59)&lt;4,"",SUM('연간'!I59:L59)))),"")</f>
        <v/>
      </c>
      <c r="F49" s="46">
        <f>IFERROR(IF((IF(COUNT('연간'!J59:M59)&lt;4,"",SUM('연간'!J59:M59)))&lt;=0,"적자",F28/(IF(COUNT('연간'!J59:M59)&lt;4,"",SUM('연간'!J59:M59)))),"")</f>
        <v/>
      </c>
      <c r="G49" s="46">
        <f>IFERROR(IF((IF(COUNT('연간'!K59:N59)&lt;4,"",SUM('연간'!K59:N59)))&lt;=0,"적자",G28/(IF(COUNT('연간'!K59:N59)&lt;4,"",SUM('연간'!K59:N59)))),"")</f>
        <v/>
      </c>
      <c r="H49" s="45">
        <f>IFERROR(IF(('연간'!T59)&lt;=0,"적자",H28/('연간'!T59)),"")</f>
        <v/>
      </c>
      <c r="I49" s="46">
        <f>IFERROR(IF(('연간'!U59)&lt;=0,"적자",I28/('연간'!U59)),"")</f>
        <v/>
      </c>
      <c r="J49" s="46">
        <f>IFERROR(IF(('연간'!V59)&lt;=0,"적자",J28/('연간'!V59)),"")</f>
        <v/>
      </c>
      <c r="K49" s="46">
        <f>IFERROR(IF(('연간'!W59)&lt;=0,"적자",K28/('연간'!W59)),"")</f>
        <v/>
      </c>
      <c r="L49" s="46">
        <f>IFERROR(IF(('연간'!X59)&lt;=0,"적자",L28/('연간'!X59)),"")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IFERROR((IF(COUNT('연간'!G59:J59)&lt;4,"",SUM('연간'!G59:J59)))/C31,"")</f>
        <v/>
      </c>
      <c r="D51" s="36">
        <f>IFERROR((IF(COUNT('연간'!H59:K59)&lt;4,"",SUM('연간'!H59:K59)))/D31,"")</f>
        <v/>
      </c>
      <c r="E51" s="36">
        <f>IFERROR((IF(COUNT('연간'!I59:L59)&lt;4,"",SUM('연간'!I59:L59)))/E31,"")</f>
        <v/>
      </c>
      <c r="F51" s="36">
        <f>IFERROR((IF(COUNT('연간'!J59:M59)&lt;4,"",SUM('연간'!J59:M59)))/F31,"")</f>
        <v/>
      </c>
      <c r="G51" s="36">
        <f>IFERROR((IF(COUNT('연간'!K59:N59)&lt;4,"",SUM('연간'!K59:N59)))/G31,"")</f>
        <v/>
      </c>
      <c r="H51" s="35">
        <f>IFERROR(('연간'!T59)/H31,"")</f>
        <v/>
      </c>
      <c r="I51" s="36">
        <f>IFERROR(('연간'!U59)/I31,"")</f>
        <v/>
      </c>
      <c r="J51" s="36">
        <f>IFERROR(('연간'!V59)/J31,"")</f>
        <v/>
      </c>
      <c r="K51" s="36">
        <f>IFERROR(('연간'!W59)/K31,"")</f>
        <v/>
      </c>
      <c r="L51" s="36">
        <f>IFERROR(('연간'!X59)/L31,"")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IFERROR((IF(COUNT('연간'!G58:J58)&lt;4,"",SUM('연간'!G58:J58)))/C16,"")</f>
        <v/>
      </c>
      <c r="D52" s="36">
        <f>IFERROR((IF(COUNT('연간'!H58:K58)&lt;4,"",SUM('연간'!H58:K58)))/D16,"")</f>
        <v/>
      </c>
      <c r="E52" s="36">
        <f>IFERROR((IF(COUNT('연간'!I58:L58)&lt;4,"",SUM('연간'!I58:L58)))/E16,"")</f>
        <v/>
      </c>
      <c r="F52" s="36">
        <f>IFERROR((IF(COUNT('연간'!J58:M58)&lt;4,"",SUM('연간'!J58:M58)))/F16,"")</f>
        <v/>
      </c>
      <c r="G52" s="36">
        <f>IFERROR((IF(COUNT('연간'!K58:N58)&lt;4,"",SUM('연간'!K58:N58)))/G16,"")</f>
        <v/>
      </c>
      <c r="H52" s="35">
        <f>IFERROR(('연간'!T58)/H16,"")</f>
        <v/>
      </c>
      <c r="I52" s="36">
        <f>IFERROR(('연간'!U58)/I16,"")</f>
        <v/>
      </c>
      <c r="J52" s="36">
        <f>IFERROR(('연간'!V58)/J16,"")</f>
        <v/>
      </c>
      <c r="K52" s="36">
        <f>IFERROR(('연간'!W58)/K16,"")</f>
        <v/>
      </c>
      <c r="L52" s="36">
        <f>IFERROR(('연간'!X58)/L16,"")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IFERROR((IF(COUNT('연간'!G27:J27)&lt;4,"",SUM('연간'!G27:J27)))/(IF(COUNT('연간'!G4:J4)&lt;4,"",SUM('연간'!G4:J4))),"")</f>
        <v/>
      </c>
      <c r="D54" s="36">
        <f>IFERROR((IF(COUNT('연간'!H27:K27)&lt;4,"",SUM('연간'!H27:K27)))/(IF(COUNT('연간'!H4:K4)&lt;4,"",SUM('연간'!H4:K4))),"")</f>
        <v/>
      </c>
      <c r="E54" s="36">
        <f>IFERROR((IF(COUNT('연간'!I27:L27)&lt;4,"",SUM('연간'!I27:L27)))/(IF(COUNT('연간'!I4:L4)&lt;4,"",SUM('연간'!I4:L4))),"")</f>
        <v/>
      </c>
      <c r="F54" s="36">
        <f>IFERROR((IF(COUNT('연간'!J27:M27)&lt;4,"",SUM('연간'!J27:M27)))/(IF(COUNT('연간'!J4:M4)&lt;4,"",SUM('연간'!J4:M4))),"")</f>
        <v/>
      </c>
      <c r="G54" s="36">
        <f>IFERROR((IF(COUNT('연간'!K27:N27)&lt;4,"",SUM('연간'!K27:N27)))/(IF(COUNT('연간'!K4:N4)&lt;4,"",SUM('연간'!K4:N4))),"")</f>
        <v/>
      </c>
      <c r="H54" s="35">
        <f>IFERROR(('연간'!T27)/('연간'!T4),"")</f>
        <v/>
      </c>
      <c r="I54" s="36">
        <f>IFERROR(('연간'!U27)/('연간'!U4),"")</f>
        <v/>
      </c>
      <c r="J54" s="36">
        <f>IFERROR(('연간'!V27)/('연간'!V4),"")</f>
        <v/>
      </c>
      <c r="K54" s="36">
        <f>IFERROR(('연간'!W27)/('연간'!W4),"")</f>
        <v/>
      </c>
      <c r="L54" s="36">
        <f>IFERROR(('연간'!X27)/('연간'!X4),"")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IFERROR((IF(COUNT('연간'!G58:J58)&lt;4,"",SUM('연간'!G58:J58)))/(IF(COUNT('연간'!G4:J4)&lt;4,"",SUM('연간'!G4:J4))),"")</f>
        <v/>
      </c>
      <c r="D56" s="36">
        <f>IFERROR((IF(COUNT('연간'!H58:K58)&lt;4,"",SUM('연간'!H58:K58)))/(IF(COUNT('연간'!H4:K4)&lt;4,"",SUM('연간'!H4:K4))),"")</f>
        <v/>
      </c>
      <c r="E56" s="36">
        <f>IFERROR((IF(COUNT('연간'!I58:L58)&lt;4,"",SUM('연간'!I58:L58)))/(IF(COUNT('연간'!I4:L4)&lt;4,"",SUM('연간'!I4:L4))),"")</f>
        <v/>
      </c>
      <c r="F56" s="36">
        <f>IFERROR((IF(COUNT('연간'!J58:M58)&lt;4,"",SUM('연간'!J58:M58)))/(IF(COUNT('연간'!J4:M4)&lt;4,"",SUM('연간'!J4:M4))),"")</f>
        <v/>
      </c>
      <c r="G56" s="36">
        <f>IFERROR((IF(COUNT('연간'!K58:N58)&lt;4,"",SUM('연간'!K58:N58)))/(IF(COUNT('연간'!K4:N4)&lt;4,"",SUM('연간'!K4:N4))),"")</f>
        <v/>
      </c>
      <c r="H56" s="35">
        <f>IFERROR(('연간'!T58)/('연간'!T4),"")</f>
        <v/>
      </c>
      <c r="I56" s="36">
        <f>IFERROR(('연간'!U58)/('연간'!U4),"")</f>
        <v/>
      </c>
      <c r="J56" s="36">
        <f>IFERROR(('연간'!V58)/('연간'!V4),"")</f>
        <v/>
      </c>
      <c r="K56" s="36">
        <f>IFERROR(('연간'!W58)/('연간'!W4),"")</f>
        <v/>
      </c>
      <c r="L56" s="36">
        <f>IFERROR(('연간'!X58)/('연간'!X4),"")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IFERROR(C9/(IF(COUNT('연간'!G26:J26)&lt;4,"",SUM('연간'!G26:J26)))*365,"")</f>
        <v/>
      </c>
      <c r="D60" s="48">
        <f>IFERROR(D9/(IF(COUNT('연간'!H26:K26)&lt;4,"",SUM('연간'!H26:K26)))*365,"")</f>
        <v/>
      </c>
      <c r="E60" s="48">
        <f>IFERROR(E9/(IF(COUNT('연간'!I26:L26)&lt;4,"",SUM('연간'!I26:L26)))*365,"")</f>
        <v/>
      </c>
      <c r="F60" s="48">
        <f>IFERROR(F9/(IF(COUNT('연간'!J26:M26)&lt;4,"",SUM('연간'!J26:M26)))*365,"")</f>
        <v/>
      </c>
      <c r="G60" s="48">
        <f>IFERROR(G9/(IF(COUNT('연간'!K26:N26)&lt;4,"",SUM('연간'!K26:N26)))*365,"")</f>
        <v/>
      </c>
      <c r="H60" s="47">
        <f>IFERROR(H9/('연간'!T26)*365,"")</f>
        <v/>
      </c>
      <c r="I60" s="48">
        <f>IFERROR(I9/('연간'!U26)*365,"")</f>
        <v/>
      </c>
      <c r="J60" s="48">
        <f>IFERROR(J9/('연간'!V26)*365,"")</f>
        <v/>
      </c>
      <c r="K60" s="48">
        <f>IFERROR(K9/('연간'!W26)*365,"")</f>
        <v/>
      </c>
      <c r="L60" s="48">
        <f>IFERROR(L9/('연간'!X26)*365,"")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IFERROR(C19/(IF(COUNT('연간'!G26:J26)&lt;4,"",SUM('연간'!G26:J26)))*365,"")</f>
        <v/>
      </c>
      <c r="D61" s="48">
        <f>IFERROR(D19/(IF(COUNT('연간'!H26:K26)&lt;4,"",SUM('연간'!H26:K26)))*365,"")</f>
        <v/>
      </c>
      <c r="E61" s="48">
        <f>IFERROR(E19/(IF(COUNT('연간'!I26:L26)&lt;4,"",SUM('연간'!I26:L26)))*365,"")</f>
        <v/>
      </c>
      <c r="F61" s="48">
        <f>IFERROR(F19/(IF(COUNT('연간'!J26:M26)&lt;4,"",SUM('연간'!J26:M26)))*365,"")</f>
        <v/>
      </c>
      <c r="G61" s="48">
        <f>IFERROR(G19/(IF(COUNT('연간'!K26:N26)&lt;4,"",SUM('연간'!K26:N26)))*365,"")</f>
        <v/>
      </c>
      <c r="H61" s="47">
        <f>IFERROR(H19/('연간'!T26)*365,"")</f>
        <v/>
      </c>
      <c r="I61" s="48">
        <f>IFERROR(I19/('연간'!U26)*365,"")</f>
        <v/>
      </c>
      <c r="J61" s="48">
        <f>IFERROR(J19/('연간'!V26)*365,"")</f>
        <v/>
      </c>
      <c r="K61" s="48">
        <f>IFERROR(K19/('연간'!W26)*365,"")</f>
        <v/>
      </c>
      <c r="L61" s="48">
        <f>IFERROR(L19/('연간'!X26)*365,"")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IF(C37="","",IFERROR(C37/(IF(COUNT('연간'!G58:J58)&lt;4,"",SUM('연간'!G58:J58))),""))</f>
        <v/>
      </c>
      <c r="D64" s="31">
        <f>IF(D37="","",IFERROR(D37/(IF(COUNT('연간'!H58:K58)&lt;4,"",SUM('연간'!H58:K58))),""))</f>
        <v/>
      </c>
      <c r="E64" s="31">
        <f>IF(E37="","",IFERROR(E37/(IF(COUNT('연간'!I58:L58)&lt;4,"",SUM('연간'!I58:L58))),""))</f>
        <v/>
      </c>
      <c r="F64" s="31">
        <f>IF(F37="","",IFERROR(F37/(IF(COUNT('연간'!J58:M58)&lt;4,"",SUM('연간'!J58:M58))),""))</f>
        <v/>
      </c>
      <c r="G64" s="31">
        <f>IF(G37="","",IFERROR(G37/(IF(COUNT('연간'!K58:N58)&lt;4,"",SUM('연간'!K58:N58))),""))</f>
        <v/>
      </c>
      <c r="H64" s="30">
        <f>IF(H37="","",IFERROR(H37/('연간'!T58),""))</f>
        <v/>
      </c>
      <c r="I64" s="31">
        <f>IF(I37="","",IFERROR(I37/('연간'!U58),""))</f>
        <v/>
      </c>
      <c r="J64" s="31">
        <f>IF(J37="","",IFERROR(J37/('연간'!V58),""))</f>
        <v/>
      </c>
      <c r="K64" s="31">
        <f>IF(K37="","",IFERROR(K37/('연간'!W58),""))</f>
        <v/>
      </c>
      <c r="L64" s="31">
        <f>IF(L37="","",IFERROR(L37/('연간'!X58),""))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IF(C40="","",IFERROR(C40/(IF(COUNT('연간'!G59:J59)&lt;4,"",SUM('연간'!G59:J59))),""))</f>
        <v/>
      </c>
      <c r="D67" s="36">
        <f>IF(D40="","",IFERROR(D40/(IF(COUNT('연간'!H59:K59)&lt;4,"",SUM('연간'!H59:K59))),""))</f>
        <v/>
      </c>
      <c r="E67" s="36">
        <f>IF(E40="","",IFERROR(E40/(IF(COUNT('연간'!I59:L59)&lt;4,"",SUM('연간'!I59:L59))),""))</f>
        <v/>
      </c>
      <c r="F67" s="36">
        <f>IF(F40="","",IFERROR(F40/(IF(COUNT('연간'!J59:M59)&lt;4,"",SUM('연간'!J59:M59))),""))</f>
        <v/>
      </c>
      <c r="G67" s="36">
        <f>IF(G40="","",IFERROR(G40/(IF(COUNT('연간'!K59:N59)&lt;4,"",SUM('연간'!K59:N59))),""))</f>
        <v/>
      </c>
      <c r="H67" s="35">
        <f>IF(H40="","",IFERROR(H40/('연간'!T59),""))</f>
        <v/>
      </c>
      <c r="I67" s="36">
        <f>IF(I40="","",IFERROR(I40/('연간'!U59),""))</f>
        <v/>
      </c>
      <c r="J67" s="36">
        <f>IF(J40="","",IFERROR(J40/('연간'!V59),""))</f>
        <v/>
      </c>
      <c r="K67" s="36">
        <f>IF(K40="","",IFERROR(K40/('연간'!W59),""))</f>
        <v/>
      </c>
      <c r="L67" s="36">
        <f>IF(L40="","",IFERROR(L40/('연간'!X59),""))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22753</v>
      </c>
      <c r="D71" s="20" t="n">
        <v>15103</v>
      </c>
      <c r="E71" s="20" t="n">
        <v>20548</v>
      </c>
      <c r="F71" s="20" t="n">
        <v>21384</v>
      </c>
      <c r="G71" s="20" t="n">
        <v>24547</v>
      </c>
      <c r="H71" s="20" t="n">
        <v>6734</v>
      </c>
      <c r="I71" s="20" t="n">
        <v>10335</v>
      </c>
      <c r="J71" s="20" t="n">
        <v>25029</v>
      </c>
      <c r="K71" s="20" t="n">
        <v>13719</v>
      </c>
      <c r="L71" s="20" t="n">
        <v>21384</v>
      </c>
    </row>
    <row r="72">
      <c r="A72" s="18" t="inlineStr">
        <is>
          <t>받을어음·매출채권</t>
        </is>
      </c>
      <c r="H72" s="20" t="n">
        <v>89219</v>
      </c>
      <c r="I72" s="20" t="n">
        <v>100906</v>
      </c>
      <c r="J72" s="20" t="n">
        <v>89572</v>
      </c>
      <c r="K72" s="20" t="n">
        <v>90253</v>
      </c>
    </row>
    <row r="73">
      <c r="A73" s="18" t="inlineStr">
        <is>
          <t>전자기록채권</t>
        </is>
      </c>
      <c r="C73" s="20" t="n">
        <v>3157</v>
      </c>
      <c r="D73" s="20" t="n">
        <v>3216</v>
      </c>
      <c r="E73" s="20" t="n">
        <v>4272</v>
      </c>
      <c r="F73" s="20" t="n">
        <v>4290</v>
      </c>
      <c r="G73" s="20" t="n">
        <v>4038</v>
      </c>
      <c r="K73" s="20" t="n">
        <v>3032</v>
      </c>
      <c r="L73" s="20" t="n">
        <v>4290</v>
      </c>
    </row>
    <row r="74">
      <c r="A74" s="18" t="inlineStr">
        <is>
          <t>매출채권</t>
        </is>
      </c>
      <c r="C74" s="20" t="n">
        <v>69907</v>
      </c>
      <c r="D74" s="20" t="n">
        <v>75863</v>
      </c>
      <c r="E74" s="20" t="n">
        <v>66228</v>
      </c>
      <c r="F74" s="20" t="n">
        <v>83996</v>
      </c>
      <c r="G74" s="20" t="n">
        <v>83336</v>
      </c>
      <c r="K74" s="20" t="n">
        <v>87220</v>
      </c>
      <c r="L74" s="20" t="n">
        <v>83996</v>
      </c>
    </row>
    <row r="75">
      <c r="A75" s="18" t="inlineStr">
        <is>
          <t>제품</t>
        </is>
      </c>
      <c r="C75" s="20" t="n">
        <v>5174</v>
      </c>
      <c r="D75" s="20" t="n">
        <v>4897</v>
      </c>
      <c r="E75" s="20" t="n">
        <v>5171</v>
      </c>
      <c r="F75" s="20" t="n">
        <v>5480</v>
      </c>
      <c r="G75" s="20" t="n">
        <v>5786</v>
      </c>
      <c r="H75" s="20" t="n">
        <v>6166</v>
      </c>
      <c r="I75" s="20" t="n">
        <v>7095</v>
      </c>
      <c r="J75" s="20" t="n">
        <v>6714</v>
      </c>
      <c r="K75" s="20" t="n">
        <v>5596</v>
      </c>
      <c r="L75" s="20" t="n">
        <v>5480</v>
      </c>
    </row>
    <row r="76">
      <c r="A76" s="18" t="inlineStr">
        <is>
          <t>재공품</t>
        </is>
      </c>
      <c r="C76" s="20" t="n">
        <v>16561</v>
      </c>
      <c r="D76" s="20" t="n">
        <v>17763</v>
      </c>
      <c r="E76" s="20" t="n">
        <v>17983</v>
      </c>
      <c r="F76" s="20" t="n">
        <v>15663</v>
      </c>
      <c r="G76" s="20" t="n">
        <v>18132</v>
      </c>
      <c r="H76" s="20" t="n">
        <v>16231</v>
      </c>
      <c r="I76" s="20" t="n">
        <v>15354</v>
      </c>
      <c r="J76" s="20" t="n">
        <v>15024</v>
      </c>
      <c r="K76" s="20" t="n">
        <v>17263</v>
      </c>
      <c r="L76" s="20" t="n">
        <v>15663</v>
      </c>
    </row>
    <row r="77">
      <c r="A77" s="18" t="inlineStr">
        <is>
          <t>원재료·저장품</t>
        </is>
      </c>
      <c r="C77" s="20" t="n">
        <v>7270</v>
      </c>
      <c r="D77" s="20" t="n">
        <v>7460</v>
      </c>
      <c r="E77" s="20" t="n">
        <v>7848</v>
      </c>
      <c r="F77" s="20" t="n">
        <v>8001</v>
      </c>
      <c r="G77" s="20" t="n">
        <v>7910</v>
      </c>
      <c r="H77" s="20" t="n">
        <v>7653</v>
      </c>
      <c r="I77" s="20" t="n">
        <v>7894</v>
      </c>
      <c r="J77" s="20" t="n">
        <v>7370</v>
      </c>
      <c r="K77" s="20" t="n">
        <v>7354</v>
      </c>
      <c r="L77" s="20" t="n">
        <v>8001</v>
      </c>
    </row>
    <row r="78">
      <c r="A78" s="18" t="inlineStr">
        <is>
          <t>기타</t>
        </is>
      </c>
      <c r="C78" s="20" t="n">
        <v>10210</v>
      </c>
      <c r="D78" s="20" t="n">
        <v>11363</v>
      </c>
      <c r="E78" s="20" t="n">
        <v>11101</v>
      </c>
      <c r="F78" s="20" t="n">
        <v>14480</v>
      </c>
      <c r="G78" s="20" t="n">
        <v>12737</v>
      </c>
      <c r="H78" s="20" t="n">
        <v>9360</v>
      </c>
      <c r="I78" s="20" t="n">
        <v>10605</v>
      </c>
      <c r="J78" s="20" t="n">
        <v>9805</v>
      </c>
      <c r="K78" s="20" t="n">
        <v>12251</v>
      </c>
      <c r="L78" s="20" t="n">
        <v>14480</v>
      </c>
    </row>
    <row r="79">
      <c r="A79" s="18" t="inlineStr">
        <is>
          <t>대손충당금</t>
        </is>
      </c>
      <c r="H79" s="20" t="n">
        <v>0</v>
      </c>
      <c r="I79" s="20" t="n">
        <v>0</v>
      </c>
      <c r="J79" s="20" t="n">
        <v>0</v>
      </c>
    </row>
    <row r="80">
      <c r="A80" s="9" t="inlineStr">
        <is>
          <t>유동자산 합계</t>
        </is>
      </c>
      <c r="C80" s="12" t="n">
        <v>135035</v>
      </c>
      <c r="D80" s="12" t="n">
        <v>135670</v>
      </c>
      <c r="E80" s="12" t="n">
        <v>133154</v>
      </c>
      <c r="F80" s="12" t="n">
        <v>153298</v>
      </c>
      <c r="G80" s="12" t="n">
        <v>156489</v>
      </c>
      <c r="H80" s="12" t="n">
        <v>135367</v>
      </c>
      <c r="I80" s="12" t="n">
        <v>152191</v>
      </c>
      <c r="J80" s="12" t="n">
        <v>153518</v>
      </c>
      <c r="K80" s="12" t="n">
        <v>146439</v>
      </c>
      <c r="L80" s="12" t="n">
        <v>153298</v>
      </c>
    </row>
    <row r="81">
      <c r="A81" s="18" t="inlineStr">
        <is>
          <t>건물·구축물</t>
        </is>
      </c>
      <c r="F81" s="20" t="n">
        <v>98743</v>
      </c>
      <c r="H81" s="20" t="n">
        <v>82922</v>
      </c>
      <c r="I81" s="20" t="n">
        <v>86423</v>
      </c>
      <c r="J81" s="20" t="n">
        <v>93108</v>
      </c>
      <c r="K81" s="20" t="n">
        <v>93730</v>
      </c>
      <c r="L81" s="20" t="n">
        <v>98743</v>
      </c>
    </row>
    <row r="82">
      <c r="A82" s="18" t="inlineStr">
        <is>
          <t>감가상각누계액</t>
        </is>
      </c>
      <c r="F82" s="20" t="n">
        <v>-63318</v>
      </c>
      <c r="H82" s="20" t="n">
        <v>-49343</v>
      </c>
      <c r="I82" s="20" t="n">
        <v>-52953</v>
      </c>
      <c r="J82" s="20" t="n">
        <v>-57359</v>
      </c>
      <c r="K82" s="20" t="n">
        <v>-59565</v>
      </c>
      <c r="L82" s="20" t="n">
        <v>-63318</v>
      </c>
    </row>
    <row r="83">
      <c r="A83" s="18" t="inlineStr">
        <is>
          <t>건물·구축물(순액)</t>
        </is>
      </c>
      <c r="C83" s="20" t="n">
        <v>33929</v>
      </c>
      <c r="D83" s="20" t="n">
        <v>34235</v>
      </c>
      <c r="E83" s="20" t="n">
        <v>34968</v>
      </c>
      <c r="F83" s="20" t="n">
        <v>35424</v>
      </c>
      <c r="G83" s="20" t="n">
        <v>36137</v>
      </c>
      <c r="H83" s="20" t="n">
        <v>33578</v>
      </c>
      <c r="I83" s="20" t="n">
        <v>33469</v>
      </c>
      <c r="J83" s="20" t="n">
        <v>35748</v>
      </c>
      <c r="K83" s="20" t="n">
        <v>34165</v>
      </c>
      <c r="L83" s="20" t="n">
        <v>35424</v>
      </c>
    </row>
    <row r="84">
      <c r="A84" s="18" t="inlineStr">
        <is>
          <t>기계장치·운반구</t>
        </is>
      </c>
      <c r="F84" s="20" t="n">
        <v>276441</v>
      </c>
      <c r="H84" s="20" t="n">
        <v>250083</v>
      </c>
      <c r="I84" s="20" t="n">
        <v>262533</v>
      </c>
      <c r="J84" s="20" t="n">
        <v>271653</v>
      </c>
      <c r="K84" s="20" t="n">
        <v>261882</v>
      </c>
      <c r="L84" s="20" t="n">
        <v>276441</v>
      </c>
    </row>
    <row r="85">
      <c r="A85" s="18" t="inlineStr">
        <is>
          <t>감가상각누계액</t>
        </is>
      </c>
      <c r="F85" s="20" t="n">
        <v>-222721</v>
      </c>
      <c r="H85" s="20" t="n">
        <v>-189638</v>
      </c>
      <c r="I85" s="20" t="n">
        <v>-200464</v>
      </c>
      <c r="J85" s="20" t="n">
        <v>-211742</v>
      </c>
      <c r="K85" s="20" t="n">
        <v>-214167</v>
      </c>
      <c r="L85" s="20" t="n">
        <v>-222721</v>
      </c>
    </row>
    <row r="86">
      <c r="A86" s="18" t="inlineStr">
        <is>
          <t>기계장치·운반구(순액)</t>
        </is>
      </c>
      <c r="C86" s="20" t="n">
        <v>46001</v>
      </c>
      <c r="D86" s="20" t="n">
        <v>47284</v>
      </c>
      <c r="E86" s="20" t="n">
        <v>48830</v>
      </c>
      <c r="F86" s="20" t="n">
        <v>53719</v>
      </c>
      <c r="G86" s="20" t="n">
        <v>51609</v>
      </c>
      <c r="H86" s="20" t="n">
        <v>60445</v>
      </c>
      <c r="I86" s="20" t="n">
        <v>62068</v>
      </c>
      <c r="J86" s="20" t="n">
        <v>59911</v>
      </c>
      <c r="K86" s="20" t="n">
        <v>47715</v>
      </c>
      <c r="L86" s="20" t="n">
        <v>53719</v>
      </c>
    </row>
    <row r="87">
      <c r="A87" s="18" t="inlineStr">
        <is>
          <t>공구·기구·비품</t>
        </is>
      </c>
      <c r="F87" s="20" t="n">
        <v>124296</v>
      </c>
      <c r="H87" s="20" t="n">
        <v>86500</v>
      </c>
      <c r="I87" s="20" t="n">
        <v>99080</v>
      </c>
      <c r="J87" s="20" t="n">
        <v>109378</v>
      </c>
      <c r="K87" s="20" t="n">
        <v>111918</v>
      </c>
      <c r="L87" s="20" t="n">
        <v>124296</v>
      </c>
    </row>
    <row r="88">
      <c r="A88" s="18" t="inlineStr">
        <is>
          <t>감가상각누계액</t>
        </is>
      </c>
      <c r="F88" s="20" t="n">
        <v>-110325</v>
      </c>
      <c r="H88" s="20" t="n">
        <v>-74459</v>
      </c>
      <c r="I88" s="20" t="n">
        <v>-84891</v>
      </c>
      <c r="J88" s="20" t="n">
        <v>-95852</v>
      </c>
      <c r="K88" s="20" t="n">
        <v>-103484</v>
      </c>
      <c r="L88" s="20" t="n">
        <v>-110325</v>
      </c>
    </row>
    <row r="89">
      <c r="A89" s="18" t="inlineStr">
        <is>
          <t>공구·기구·비품(순액)</t>
        </is>
      </c>
      <c r="C89" s="20" t="n">
        <v>7227</v>
      </c>
      <c r="D89" s="20" t="n">
        <v>6919</v>
      </c>
      <c r="E89" s="20" t="n">
        <v>10058</v>
      </c>
      <c r="F89" s="20" t="n">
        <v>13971</v>
      </c>
      <c r="G89" s="20" t="n">
        <v>12584</v>
      </c>
      <c r="H89" s="20" t="n">
        <v>12040</v>
      </c>
      <c r="I89" s="20" t="n">
        <v>14188</v>
      </c>
      <c r="J89" s="20" t="n">
        <v>13525</v>
      </c>
      <c r="K89" s="20" t="n">
        <v>8434</v>
      </c>
      <c r="L89" s="20" t="n">
        <v>13971</v>
      </c>
    </row>
    <row r="90">
      <c r="A90" s="18" t="inlineStr">
        <is>
          <t>토지</t>
        </is>
      </c>
      <c r="C90" s="20" t="n">
        <v>14961</v>
      </c>
      <c r="D90" s="20" t="n">
        <v>14992</v>
      </c>
      <c r="E90" s="20" t="n">
        <v>15106</v>
      </c>
      <c r="F90" s="20" t="n">
        <v>15119</v>
      </c>
      <c r="G90" s="20" t="n">
        <v>15154</v>
      </c>
      <c r="H90" s="20" t="n">
        <v>14537</v>
      </c>
      <c r="I90" s="20" t="n">
        <v>14618</v>
      </c>
      <c r="J90" s="20" t="n">
        <v>14853</v>
      </c>
      <c r="K90" s="20" t="n">
        <v>14951</v>
      </c>
      <c r="L90" s="20" t="n">
        <v>15119</v>
      </c>
    </row>
    <row r="91">
      <c r="A91" s="18" t="inlineStr">
        <is>
          <t>리스자산</t>
        </is>
      </c>
      <c r="F91" s="20" t="n">
        <v>19246</v>
      </c>
      <c r="H91" s="20" t="n">
        <v>17850</v>
      </c>
      <c r="I91" s="20" t="n">
        <v>17975</v>
      </c>
      <c r="J91" s="20" t="n">
        <v>18986</v>
      </c>
      <c r="K91" s="20" t="n">
        <v>19353</v>
      </c>
      <c r="L91" s="20" t="n">
        <v>19246</v>
      </c>
    </row>
    <row r="92">
      <c r="A92" s="18" t="inlineStr">
        <is>
          <t>감가상각누계액</t>
        </is>
      </c>
      <c r="F92" s="20" t="n">
        <v>-16052</v>
      </c>
      <c r="H92" s="20" t="n">
        <v>-16493</v>
      </c>
      <c r="I92" s="20" t="n">
        <v>-16459</v>
      </c>
      <c r="J92" s="20" t="n">
        <v>-16582</v>
      </c>
      <c r="K92" s="20" t="n">
        <v>-16122</v>
      </c>
      <c r="L92" s="20" t="n">
        <v>-16052</v>
      </c>
    </row>
    <row r="93">
      <c r="A93" s="18" t="inlineStr">
        <is>
          <t>리스자산(순액)</t>
        </is>
      </c>
      <c r="C93" s="20" t="n">
        <v>3308</v>
      </c>
      <c r="D93" s="20" t="n">
        <v>3327</v>
      </c>
      <c r="E93" s="20" t="n">
        <v>3286</v>
      </c>
      <c r="F93" s="20" t="n">
        <v>3194</v>
      </c>
      <c r="G93" s="20" t="n">
        <v>3234</v>
      </c>
      <c r="H93" s="20" t="n">
        <v>1357</v>
      </c>
      <c r="I93" s="20" t="n">
        <v>1515</v>
      </c>
      <c r="J93" s="20" t="n">
        <v>2403</v>
      </c>
      <c r="K93" s="20" t="n">
        <v>3230</v>
      </c>
      <c r="L93" s="20" t="n">
        <v>3194</v>
      </c>
    </row>
    <row r="94">
      <c r="A94" s="18" t="inlineStr">
        <is>
          <t>건설중인자산</t>
        </is>
      </c>
      <c r="C94" s="20" t="n">
        <v>26089</v>
      </c>
      <c r="D94" s="20" t="n">
        <v>27154</v>
      </c>
      <c r="E94" s="20" t="n">
        <v>24618</v>
      </c>
      <c r="F94" s="20" t="n">
        <v>17618</v>
      </c>
      <c r="G94" s="20" t="n">
        <v>19434</v>
      </c>
      <c r="H94" s="20" t="n">
        <v>21457</v>
      </c>
      <c r="I94" s="20" t="n">
        <v>13375</v>
      </c>
      <c r="J94" s="20" t="n">
        <v>9724</v>
      </c>
      <c r="K94" s="20" t="n">
        <v>22956</v>
      </c>
      <c r="L94" s="20" t="n">
        <v>17618</v>
      </c>
    </row>
    <row r="95">
      <c r="A95" s="18" t="inlineStr">
        <is>
          <t>유형자산 합계</t>
        </is>
      </c>
      <c r="C95" s="20" t="n">
        <v>131519</v>
      </c>
      <c r="D95" s="20" t="n">
        <v>133914</v>
      </c>
      <c r="E95" s="20" t="n">
        <v>136868</v>
      </c>
      <c r="F95" s="20" t="n">
        <v>139048</v>
      </c>
      <c r="G95" s="20" t="n">
        <v>138156</v>
      </c>
      <c r="H95" s="20" t="n">
        <v>143416</v>
      </c>
      <c r="I95" s="20" t="n">
        <v>139235</v>
      </c>
      <c r="J95" s="20" t="n">
        <v>136167</v>
      </c>
      <c r="K95" s="20" t="n">
        <v>131454</v>
      </c>
      <c r="L95" s="20" t="n">
        <v>139048</v>
      </c>
    </row>
    <row r="96">
      <c r="A96" s="18" t="inlineStr">
        <is>
          <t>소프트웨어</t>
        </is>
      </c>
      <c r="F96" s="20" t="n">
        <v>1870</v>
      </c>
      <c r="H96" s="20" t="n">
        <v>1570</v>
      </c>
      <c r="I96" s="20" t="n">
        <v>1637</v>
      </c>
      <c r="J96" s="20" t="n">
        <v>1810</v>
      </c>
      <c r="K96" s="20" t="n">
        <v>1852</v>
      </c>
      <c r="L96" s="20" t="n">
        <v>1870</v>
      </c>
    </row>
    <row r="97">
      <c r="A97" s="18" t="inlineStr">
        <is>
          <t>기타</t>
        </is>
      </c>
      <c r="F97" s="20" t="n">
        <v>76</v>
      </c>
      <c r="H97" s="20" t="n">
        <v>22</v>
      </c>
      <c r="I97" s="20" t="n">
        <v>22</v>
      </c>
      <c r="J97" s="20" t="n">
        <v>86</v>
      </c>
      <c r="K97" s="20" t="n">
        <v>77</v>
      </c>
      <c r="L97" s="20" t="n">
        <v>76</v>
      </c>
    </row>
    <row r="98">
      <c r="A98" s="18" t="inlineStr">
        <is>
          <t>무형자산</t>
        </is>
      </c>
      <c r="C98" s="20" t="n">
        <v>1836</v>
      </c>
      <c r="D98" s="20" t="n">
        <v>1787</v>
      </c>
      <c r="E98" s="20" t="n">
        <v>1781</v>
      </c>
      <c r="F98" s="20" t="n">
        <v>1947</v>
      </c>
      <c r="G98" s="20" t="n">
        <v>1902</v>
      </c>
      <c r="H98" s="20" t="n">
        <v>1592</v>
      </c>
      <c r="I98" s="20" t="n">
        <v>1660</v>
      </c>
      <c r="J98" s="20" t="n">
        <v>1896</v>
      </c>
      <c r="K98" s="20" t="n">
        <v>1929</v>
      </c>
      <c r="L98" s="20" t="n">
        <v>1947</v>
      </c>
    </row>
    <row r="99">
      <c r="A99" s="18" t="inlineStr">
        <is>
          <t>투자유가증권</t>
        </is>
      </c>
      <c r="C99" s="20" t="n">
        <v>19806</v>
      </c>
      <c r="D99" s="20" t="n">
        <v>22077</v>
      </c>
      <c r="E99" s="20" t="n">
        <v>24746</v>
      </c>
      <c r="F99" s="20" t="n">
        <v>24195</v>
      </c>
      <c r="G99" s="20" t="n">
        <v>23198</v>
      </c>
      <c r="H99" s="20" t="n">
        <v>17387</v>
      </c>
      <c r="I99" s="20" t="n">
        <v>16287</v>
      </c>
      <c r="J99" s="20" t="n">
        <v>26619</v>
      </c>
      <c r="K99" s="20" t="n">
        <v>20399</v>
      </c>
      <c r="L99" s="20" t="n">
        <v>24195</v>
      </c>
    </row>
    <row r="100">
      <c r="A100" s="18" t="inlineStr">
        <is>
          <t>장기대여금</t>
        </is>
      </c>
      <c r="C100" s="20" t="n">
        <v>31</v>
      </c>
      <c r="D100" s="20" t="n">
        <v>27</v>
      </c>
      <c r="E100" s="20" t="n">
        <v>25</v>
      </c>
      <c r="F100" s="20" t="n">
        <v>33</v>
      </c>
      <c r="G100" s="20" t="n">
        <v>32</v>
      </c>
      <c r="H100" s="20" t="n">
        <v>789</v>
      </c>
      <c r="I100" s="20" t="n">
        <v>37</v>
      </c>
      <c r="J100" s="20" t="n">
        <v>33</v>
      </c>
      <c r="K100" s="20" t="n">
        <v>32</v>
      </c>
      <c r="L100" s="20" t="n">
        <v>33</v>
      </c>
    </row>
    <row r="101">
      <c r="A101" s="18" t="inlineStr">
        <is>
          <t>퇴직급여자산</t>
        </is>
      </c>
      <c r="C101" s="20" t="n">
        <v>11999</v>
      </c>
      <c r="D101" s="20" t="n">
        <v>12017</v>
      </c>
      <c r="E101" s="20" t="n">
        <v>12029</v>
      </c>
      <c r="F101" s="20" t="n">
        <v>14370</v>
      </c>
      <c r="G101" s="20" t="n">
        <v>14435</v>
      </c>
      <c r="H101" s="20" t="n">
        <v>10068</v>
      </c>
      <c r="I101" s="20" t="n">
        <v>8700</v>
      </c>
      <c r="J101" s="20" t="n">
        <v>14592</v>
      </c>
      <c r="K101" s="20" t="n">
        <v>11980</v>
      </c>
      <c r="L101" s="20" t="n">
        <v>14370</v>
      </c>
    </row>
    <row r="102">
      <c r="A102" s="18" t="inlineStr">
        <is>
          <t>이연법인세자산</t>
        </is>
      </c>
      <c r="C102" s="20" t="n">
        <v>1185</v>
      </c>
      <c r="D102" s="20" t="n">
        <v>1193</v>
      </c>
      <c r="E102" s="20" t="n">
        <v>1173</v>
      </c>
      <c r="F102" s="20" t="n">
        <v>1107</v>
      </c>
      <c r="G102" s="20" t="n">
        <v>1064</v>
      </c>
      <c r="H102" s="20" t="n">
        <v>1127</v>
      </c>
      <c r="I102" s="20" t="n">
        <v>1226</v>
      </c>
      <c r="J102" s="20" t="n">
        <v>1535</v>
      </c>
      <c r="K102" s="20" t="n">
        <v>1316</v>
      </c>
      <c r="L102" s="20" t="n">
        <v>1107</v>
      </c>
    </row>
    <row r="103">
      <c r="A103" s="18" t="inlineStr">
        <is>
          <t>기타</t>
        </is>
      </c>
      <c r="C103" s="20" t="n">
        <v>567</v>
      </c>
      <c r="D103" s="20" t="n">
        <v>560</v>
      </c>
      <c r="E103" s="20" t="n">
        <v>560</v>
      </c>
      <c r="F103" s="20" t="n">
        <v>337</v>
      </c>
      <c r="G103" s="20" t="n">
        <v>321</v>
      </c>
      <c r="H103" s="20" t="n">
        <v>955</v>
      </c>
      <c r="I103" s="20" t="n">
        <v>461</v>
      </c>
      <c r="J103" s="20" t="n">
        <v>424</v>
      </c>
      <c r="K103" s="20" t="n">
        <v>599</v>
      </c>
      <c r="L103" s="20" t="n">
        <v>337</v>
      </c>
    </row>
    <row r="104">
      <c r="A104" s="18" t="inlineStr">
        <is>
          <t>대손충당금</t>
        </is>
      </c>
      <c r="C104" s="20" t="n">
        <v>-231</v>
      </c>
      <c r="D104" s="20" t="n">
        <v>-238</v>
      </c>
      <c r="E104" s="20" t="n">
        <v>-249</v>
      </c>
      <c r="F104" s="20" t="n">
        <v>-5</v>
      </c>
      <c r="G104" s="20" t="n">
        <v>-5</v>
      </c>
      <c r="H104" s="20" t="n">
        <v>-1217</v>
      </c>
      <c r="I104" s="20" t="n">
        <v>-34</v>
      </c>
      <c r="J104" s="20" t="n">
        <v>-8</v>
      </c>
      <c r="K104" s="20" t="n">
        <v>-239</v>
      </c>
      <c r="L104" s="20" t="n">
        <v>-5</v>
      </c>
    </row>
    <row r="105">
      <c r="A105" s="18" t="inlineStr">
        <is>
          <t>투자 및 기타자산 합계</t>
        </is>
      </c>
      <c r="C105" s="20" t="n">
        <v>33358</v>
      </c>
      <c r="D105" s="20" t="n">
        <v>35637</v>
      </c>
      <c r="E105" s="20" t="n">
        <v>38285</v>
      </c>
      <c r="F105" s="20" t="n">
        <v>40039</v>
      </c>
      <c r="G105" s="20" t="n">
        <v>39047</v>
      </c>
      <c r="H105" s="20" t="n">
        <v>29111</v>
      </c>
      <c r="I105" s="20" t="n">
        <v>26680</v>
      </c>
      <c r="J105" s="20" t="n">
        <v>43197</v>
      </c>
      <c r="K105" s="20" t="n">
        <v>34089</v>
      </c>
      <c r="L105" s="20" t="n">
        <v>40039</v>
      </c>
    </row>
    <row r="106">
      <c r="A106" s="9" t="inlineStr">
        <is>
          <t>비유동자산 합계</t>
        </is>
      </c>
      <c r="C106" s="12" t="n">
        <v>166714</v>
      </c>
      <c r="D106" s="12" t="n">
        <v>171339</v>
      </c>
      <c r="E106" s="12" t="n">
        <v>176935</v>
      </c>
      <c r="F106" s="12" t="n">
        <v>181034</v>
      </c>
      <c r="G106" s="12" t="n">
        <v>179106</v>
      </c>
      <c r="H106" s="12" t="n">
        <v>174120</v>
      </c>
      <c r="I106" s="12" t="n">
        <v>167576</v>
      </c>
      <c r="J106" s="12" t="n">
        <v>181262</v>
      </c>
      <c r="K106" s="12" t="n">
        <v>167473</v>
      </c>
      <c r="L106" s="12" t="n">
        <v>181034</v>
      </c>
    </row>
    <row r="107">
      <c r="A107" s="9" t="inlineStr">
        <is>
          <t>자산 합계</t>
        </is>
      </c>
      <c r="C107" s="12" t="n">
        <v>301750</v>
      </c>
      <c r="D107" s="12" t="n">
        <v>307009</v>
      </c>
      <c r="E107" s="12" t="n">
        <v>310089</v>
      </c>
      <c r="F107" s="12" t="n">
        <v>334332</v>
      </c>
      <c r="G107" s="12" t="n">
        <v>335596</v>
      </c>
      <c r="H107" s="12" t="n">
        <v>309487</v>
      </c>
      <c r="I107" s="12" t="n">
        <v>319768</v>
      </c>
      <c r="J107" s="12" t="n">
        <v>334780</v>
      </c>
      <c r="K107" s="12" t="n">
        <v>313913</v>
      </c>
      <c r="L107" s="12" t="n">
        <v>334332</v>
      </c>
    </row>
    <row r="108">
      <c r="A108" s="18" t="inlineStr">
        <is>
          <t>지급어음·매입채무</t>
        </is>
      </c>
      <c r="H108" s="20" t="n">
        <v>73832</v>
      </c>
      <c r="I108" s="20" t="n">
        <v>96153</v>
      </c>
      <c r="J108" s="20" t="n">
        <v>86135</v>
      </c>
      <c r="K108" s="20" t="n">
        <v>84743</v>
      </c>
    </row>
    <row r="109">
      <c r="A109" s="18" t="inlineStr">
        <is>
          <t>전자기록채무</t>
        </is>
      </c>
      <c r="C109" s="20" t="n">
        <v>2593</v>
      </c>
      <c r="D109" s="20" t="n">
        <v>2501</v>
      </c>
      <c r="E109" s="20" t="n">
        <v>2681</v>
      </c>
      <c r="F109" s="20" t="n">
        <v>2056</v>
      </c>
      <c r="G109" s="20" t="n">
        <v>2032</v>
      </c>
      <c r="H109" s="20" t="n">
        <v>4150</v>
      </c>
      <c r="I109" s="20" t="n">
        <v>5699</v>
      </c>
      <c r="J109" s="20" t="n">
        <v>3790</v>
      </c>
      <c r="K109" s="20" t="n">
        <v>2827</v>
      </c>
      <c r="L109" s="20" t="n">
        <v>2056</v>
      </c>
    </row>
    <row r="110">
      <c r="A110" s="18" t="inlineStr">
        <is>
          <t>1년 내 상환 예정 사채</t>
        </is>
      </c>
      <c r="H110" s="20" t="n">
        <v>0</v>
      </c>
      <c r="I110" s="20" t="n">
        <v>6000</v>
      </c>
      <c r="J110" s="20" t="n">
        <v>0</v>
      </c>
    </row>
    <row r="111">
      <c r="A111" s="18" t="inlineStr">
        <is>
          <t>매입채무</t>
        </is>
      </c>
      <c r="C111" s="20" t="n">
        <v>71511</v>
      </c>
      <c r="D111" s="20" t="n">
        <v>72015</v>
      </c>
      <c r="E111" s="20" t="n">
        <v>69190</v>
      </c>
      <c r="F111" s="20" t="n">
        <v>79552</v>
      </c>
      <c r="G111" s="20" t="n">
        <v>80276</v>
      </c>
      <c r="K111" s="20" t="n">
        <v>84743</v>
      </c>
      <c r="L111" s="20" t="n">
        <v>79552</v>
      </c>
    </row>
    <row r="112">
      <c r="A112" s="18" t="inlineStr">
        <is>
          <t>단기차입금</t>
        </is>
      </c>
      <c r="C112" s="20" t="n">
        <v>11101</v>
      </c>
      <c r="D112" s="20" t="n">
        <v>6052</v>
      </c>
      <c r="E112" s="20" t="n">
        <v>8208</v>
      </c>
      <c r="F112" s="20" t="n">
        <v>9603</v>
      </c>
      <c r="G112" s="20" t="n">
        <v>8069</v>
      </c>
      <c r="H112" s="20" t="n">
        <v>16335</v>
      </c>
      <c r="I112" s="20" t="n">
        <v>9464</v>
      </c>
      <c r="J112" s="20" t="n">
        <v>1105</v>
      </c>
      <c r="K112" s="20" t="n">
        <v>6891</v>
      </c>
      <c r="L112" s="20" t="n">
        <v>9603</v>
      </c>
    </row>
    <row r="113">
      <c r="A113" s="18" t="inlineStr">
        <is>
          <t>1년 내 상환 장기차입금</t>
        </is>
      </c>
      <c r="C113" s="20" t="n">
        <v>13479</v>
      </c>
      <c r="D113" s="20" t="n">
        <v>23077</v>
      </c>
      <c r="E113" s="20" t="n">
        <v>12758</v>
      </c>
      <c r="F113" s="20" t="n">
        <v>12096</v>
      </c>
      <c r="G113" s="20" t="n">
        <v>11223</v>
      </c>
      <c r="H113" s="20" t="n">
        <v>25920</v>
      </c>
      <c r="I113" s="20" t="n">
        <v>7581</v>
      </c>
      <c r="J113" s="20" t="n">
        <v>11773</v>
      </c>
      <c r="K113" s="20" t="n">
        <v>13514</v>
      </c>
      <c r="L113" s="20" t="n">
        <v>12096</v>
      </c>
    </row>
    <row r="114">
      <c r="A114" s="18" t="inlineStr">
        <is>
          <t>미지급법인세</t>
        </is>
      </c>
      <c r="C114" s="20" t="n">
        <v>2944</v>
      </c>
      <c r="D114" s="20" t="n">
        <v>3177</v>
      </c>
      <c r="E114" s="20" t="n">
        <v>2874</v>
      </c>
      <c r="F114" s="20" t="n">
        <v>2482</v>
      </c>
      <c r="G114" s="20" t="n">
        <v>2664</v>
      </c>
      <c r="H114" s="20" t="n">
        <v>773</v>
      </c>
      <c r="I114" s="20" t="n">
        <v>984</v>
      </c>
      <c r="J114" s="20" t="n">
        <v>2639</v>
      </c>
      <c r="K114" s="20" t="n">
        <v>3638</v>
      </c>
      <c r="L114" s="20" t="n">
        <v>2482</v>
      </c>
    </row>
    <row r="115">
      <c r="A115" s="18" t="inlineStr">
        <is>
          <t>미지급 소비세</t>
        </is>
      </c>
      <c r="C115" s="20" t="n">
        <v>1657</v>
      </c>
      <c r="D115" s="20" t="n">
        <v>1403</v>
      </c>
      <c r="E115" s="20" t="n">
        <v>1334</v>
      </c>
      <c r="F115" s="20" t="n">
        <v>1737</v>
      </c>
      <c r="G115" s="20" t="n">
        <v>1645</v>
      </c>
      <c r="H115" s="20" t="n">
        <v>1831</v>
      </c>
      <c r="I115" s="20" t="n">
        <v>1393</v>
      </c>
      <c r="J115" s="20" t="n">
        <v>2498</v>
      </c>
      <c r="K115" s="20" t="n">
        <v>1490</v>
      </c>
      <c r="L115" s="20" t="n">
        <v>1737</v>
      </c>
    </row>
    <row r="116">
      <c r="A116" s="18" t="inlineStr">
        <is>
          <t>임원 상여충당금</t>
        </is>
      </c>
      <c r="C116" s="20" t="n">
        <v>7</v>
      </c>
      <c r="D116" s="20" t="n">
        <v>15</v>
      </c>
      <c r="E116" s="20" t="n">
        <v>23</v>
      </c>
      <c r="F116" s="20" t="n">
        <v>56</v>
      </c>
      <c r="G116" s="20" t="n">
        <v>8</v>
      </c>
      <c r="H116" s="20" t="n">
        <v>33</v>
      </c>
      <c r="I116" s="20" t="n">
        <v>33</v>
      </c>
      <c r="J116" s="20" t="n">
        <v>32</v>
      </c>
      <c r="K116" s="20" t="n">
        <v>30</v>
      </c>
      <c r="L116" s="20" t="n">
        <v>56</v>
      </c>
    </row>
    <row r="117">
      <c r="A117" s="18" t="inlineStr">
        <is>
          <t>미지급비용</t>
        </is>
      </c>
      <c r="C117" s="20" t="n">
        <v>17126</v>
      </c>
      <c r="D117" s="20" t="n">
        <v>15120</v>
      </c>
      <c r="E117" s="20" t="n">
        <v>13134</v>
      </c>
      <c r="F117" s="20" t="n">
        <v>15942</v>
      </c>
      <c r="G117" s="20" t="n">
        <v>17952</v>
      </c>
      <c r="H117" s="20" t="n">
        <v>11904</v>
      </c>
      <c r="I117" s="20" t="n">
        <v>12909</v>
      </c>
      <c r="J117" s="20" t="n">
        <v>15576</v>
      </c>
      <c r="K117" s="20" t="n">
        <v>15582</v>
      </c>
      <c r="L117" s="20" t="n">
        <v>15942</v>
      </c>
    </row>
    <row r="118">
      <c r="A118" s="18" t="inlineStr">
        <is>
          <t>기타</t>
        </is>
      </c>
      <c r="C118" s="20" t="n">
        <v>6951</v>
      </c>
      <c r="D118" s="20" t="n">
        <v>12328</v>
      </c>
      <c r="E118" s="20" t="n">
        <v>12126</v>
      </c>
      <c r="F118" s="20" t="n">
        <v>14723</v>
      </c>
      <c r="G118" s="20" t="n">
        <v>15287</v>
      </c>
      <c r="H118" s="20" t="n">
        <v>10284</v>
      </c>
      <c r="I118" s="20" t="n">
        <v>7567</v>
      </c>
      <c r="J118" s="20" t="n">
        <v>14376</v>
      </c>
      <c r="K118" s="20" t="n">
        <v>9352</v>
      </c>
      <c r="L118" s="20" t="n">
        <v>14723</v>
      </c>
    </row>
    <row r="119">
      <c r="A119" s="9" t="inlineStr">
        <is>
          <t>유동부채 합계</t>
        </is>
      </c>
      <c r="C119" s="12" t="n">
        <v>127374</v>
      </c>
      <c r="D119" s="12" t="n">
        <v>135693</v>
      </c>
      <c r="E119" s="12" t="n">
        <v>122332</v>
      </c>
      <c r="F119" s="12" t="n">
        <v>138249</v>
      </c>
      <c r="G119" s="12" t="n">
        <v>139160</v>
      </c>
      <c r="H119" s="12" t="n">
        <v>145067</v>
      </c>
      <c r="I119" s="12" t="n">
        <v>147787</v>
      </c>
      <c r="J119" s="12" t="n">
        <v>137926</v>
      </c>
      <c r="K119" s="12" t="n">
        <v>138070</v>
      </c>
      <c r="L119" s="12" t="n">
        <v>138249</v>
      </c>
    </row>
    <row r="120">
      <c r="A120" s="18" t="inlineStr">
        <is>
          <t>사채</t>
        </is>
      </c>
      <c r="C120" s="20" t="n">
        <v>6000</v>
      </c>
      <c r="D120" s="20" t="n">
        <v>6000</v>
      </c>
      <c r="E120" s="20" t="n">
        <v>6000</v>
      </c>
      <c r="F120" s="20" t="n">
        <v>6000</v>
      </c>
      <c r="G120" s="20" t="n">
        <v>6000</v>
      </c>
      <c r="H120" s="20" t="n">
        <v>12000</v>
      </c>
      <c r="I120" s="20" t="n">
        <v>6000</v>
      </c>
      <c r="J120" s="20" t="n">
        <v>6000</v>
      </c>
      <c r="K120" s="20" t="n">
        <v>6000</v>
      </c>
      <c r="L120" s="20" t="n">
        <v>6000</v>
      </c>
    </row>
    <row r="121">
      <c r="A121" s="18" t="inlineStr">
        <is>
          <t>장기차입금</t>
        </is>
      </c>
      <c r="C121" s="20" t="n">
        <v>26401</v>
      </c>
      <c r="D121" s="20" t="n">
        <v>16262</v>
      </c>
      <c r="E121" s="20" t="n">
        <v>24010</v>
      </c>
      <c r="F121" s="20" t="n">
        <v>25952</v>
      </c>
      <c r="G121" s="20" t="n">
        <v>25871</v>
      </c>
      <c r="H121" s="20" t="n">
        <v>43022</v>
      </c>
      <c r="I121" s="20" t="n">
        <v>51818</v>
      </c>
      <c r="J121" s="20" t="n">
        <v>41137</v>
      </c>
      <c r="K121" s="20" t="n">
        <v>27500</v>
      </c>
      <c r="L121" s="20" t="n">
        <v>25952</v>
      </c>
    </row>
    <row r="122">
      <c r="A122" s="18" t="inlineStr">
        <is>
          <t>이연법인세부채</t>
        </is>
      </c>
      <c r="C122" s="20" t="n">
        <v>7515</v>
      </c>
      <c r="D122" s="20" t="n">
        <v>7910</v>
      </c>
      <c r="E122" s="20" t="n">
        <v>8831</v>
      </c>
      <c r="F122" s="20" t="n">
        <v>9910</v>
      </c>
      <c r="G122" s="20" t="n">
        <v>9580</v>
      </c>
      <c r="H122" s="20" t="n">
        <v>9246</v>
      </c>
      <c r="I122" s="20" t="n">
        <v>3117</v>
      </c>
      <c r="J122" s="20" t="n">
        <v>10191</v>
      </c>
      <c r="K122" s="20" t="n">
        <v>7941</v>
      </c>
      <c r="L122" s="20" t="n">
        <v>9910</v>
      </c>
    </row>
    <row r="123">
      <c r="A123" s="18" t="inlineStr">
        <is>
          <t>제품보증 충당금</t>
        </is>
      </c>
      <c r="C123" s="20" t="n">
        <v>318</v>
      </c>
      <c r="D123" s="20" t="n">
        <v>325</v>
      </c>
      <c r="E123" s="20" t="n">
        <v>325</v>
      </c>
      <c r="F123" s="20" t="n">
        <v>284</v>
      </c>
      <c r="G123" s="20" t="n">
        <v>284</v>
      </c>
      <c r="H123" s="20" t="n">
        <v>225</v>
      </c>
      <c r="I123" s="20" t="n">
        <v>274</v>
      </c>
      <c r="J123" s="20" t="n">
        <v>388</v>
      </c>
      <c r="K123" s="20" t="n">
        <v>318</v>
      </c>
      <c r="L123" s="20" t="n">
        <v>284</v>
      </c>
    </row>
    <row r="124">
      <c r="A124" s="18" t="inlineStr">
        <is>
          <t>Provision For Environmental Measures NCL</t>
        </is>
      </c>
      <c r="C124" s="20" t="n">
        <v>148</v>
      </c>
      <c r="D124" s="20" t="n">
        <v>148</v>
      </c>
      <c r="E124" s="20" t="n">
        <v>148</v>
      </c>
      <c r="F124" s="20" t="n">
        <v>153</v>
      </c>
      <c r="G124" s="20" t="n">
        <v>153</v>
      </c>
      <c r="J124" s="20" t="n">
        <v>0</v>
      </c>
      <c r="K124" s="20" t="n">
        <v>148</v>
      </c>
      <c r="L124" s="20" t="n">
        <v>153</v>
      </c>
    </row>
    <row r="125">
      <c r="A125" s="18" t="inlineStr">
        <is>
          <t>Provision For Decommissioning And Removal NCL</t>
        </is>
      </c>
      <c r="C125" s="20" t="n">
        <v>933</v>
      </c>
      <c r="D125" s="20" t="n">
        <v>933</v>
      </c>
      <c r="E125" s="20" t="n">
        <v>933</v>
      </c>
      <c r="F125" s="20" t="n">
        <v>503</v>
      </c>
      <c r="G125" s="20" t="n">
        <v>503</v>
      </c>
      <c r="I125" s="20" t="n">
        <v>0</v>
      </c>
      <c r="J125" s="20" t="n">
        <v>933</v>
      </c>
      <c r="K125" s="20" t="n">
        <v>933</v>
      </c>
      <c r="L125" s="20" t="n">
        <v>503</v>
      </c>
    </row>
    <row r="126">
      <c r="A126" s="18" t="inlineStr">
        <is>
          <t>퇴직급여부채</t>
        </is>
      </c>
      <c r="C126" s="20" t="n">
        <v>6858</v>
      </c>
      <c r="D126" s="20" t="n">
        <v>7018</v>
      </c>
      <c r="E126" s="20" t="n">
        <v>7100</v>
      </c>
      <c r="F126" s="20" t="n">
        <v>4576</v>
      </c>
      <c r="G126" s="20" t="n">
        <v>4664</v>
      </c>
      <c r="H126" s="20" t="n">
        <v>8645</v>
      </c>
      <c r="I126" s="20" t="n">
        <v>9619</v>
      </c>
      <c r="J126" s="20" t="n">
        <v>5057</v>
      </c>
      <c r="K126" s="20" t="n">
        <v>6762</v>
      </c>
      <c r="L126" s="20" t="n">
        <v>4576</v>
      </c>
    </row>
    <row r="127">
      <c r="A127" s="18" t="inlineStr">
        <is>
          <t>기타</t>
        </is>
      </c>
      <c r="C127" s="20" t="n">
        <v>3049</v>
      </c>
      <c r="D127" s="20" t="n">
        <v>2989</v>
      </c>
      <c r="E127" s="20" t="n">
        <v>2957</v>
      </c>
      <c r="F127" s="20" t="n">
        <v>2850</v>
      </c>
      <c r="G127" s="20" t="n">
        <v>2919</v>
      </c>
      <c r="H127" s="20" t="n">
        <v>1267</v>
      </c>
      <c r="I127" s="20" t="n">
        <v>1403</v>
      </c>
      <c r="J127" s="20" t="n">
        <v>2243</v>
      </c>
      <c r="K127" s="20" t="n">
        <v>3073</v>
      </c>
      <c r="L127" s="20" t="n">
        <v>2850</v>
      </c>
    </row>
    <row r="128">
      <c r="A128" s="9" t="inlineStr">
        <is>
          <t>비유동부채 합계</t>
        </is>
      </c>
      <c r="C128" s="12" t="n">
        <v>51225</v>
      </c>
      <c r="D128" s="12" t="n">
        <v>41586</v>
      </c>
      <c r="E128" s="12" t="n">
        <v>50306</v>
      </c>
      <c r="F128" s="12" t="n">
        <v>50231</v>
      </c>
      <c r="G128" s="12" t="n">
        <v>49977</v>
      </c>
      <c r="H128" s="12" t="n">
        <v>74406</v>
      </c>
      <c r="I128" s="12" t="n">
        <v>72233</v>
      </c>
      <c r="J128" s="12" t="n">
        <v>65951</v>
      </c>
      <c r="K128" s="12" t="n">
        <v>52677</v>
      </c>
      <c r="L128" s="12" t="n">
        <v>50231</v>
      </c>
    </row>
    <row r="129">
      <c r="A129" s="9" t="inlineStr">
        <is>
          <t>부채 합계</t>
        </is>
      </c>
      <c r="C129" s="12" t="n">
        <v>178599</v>
      </c>
      <c r="D129" s="12" t="n">
        <v>177280</v>
      </c>
      <c r="E129" s="12" t="n">
        <v>172639</v>
      </c>
      <c r="F129" s="12" t="n">
        <v>188481</v>
      </c>
      <c r="G129" s="12" t="n">
        <v>189137</v>
      </c>
      <c r="H129" s="12" t="n">
        <v>219473</v>
      </c>
      <c r="I129" s="12" t="n">
        <v>220021</v>
      </c>
      <c r="J129" s="12" t="n">
        <v>203878</v>
      </c>
      <c r="K129" s="12" t="n">
        <v>190747</v>
      </c>
      <c r="L129" s="12" t="n">
        <v>188481</v>
      </c>
    </row>
    <row r="130">
      <c r="A130" s="18" t="inlineStr">
        <is>
          <t>자본금</t>
        </is>
      </c>
      <c r="C130" s="20" t="n">
        <v>16820</v>
      </c>
      <c r="D130" s="20" t="n">
        <v>16820</v>
      </c>
      <c r="E130" s="20" t="n">
        <v>16820</v>
      </c>
      <c r="F130" s="20" t="n">
        <v>16820</v>
      </c>
      <c r="G130" s="20" t="n">
        <v>16820</v>
      </c>
      <c r="H130" s="20" t="n">
        <v>16820</v>
      </c>
      <c r="I130" s="20" t="n">
        <v>16820</v>
      </c>
      <c r="J130" s="20" t="n">
        <v>16820</v>
      </c>
      <c r="K130" s="20" t="n">
        <v>16820</v>
      </c>
      <c r="L130" s="20" t="n">
        <v>16820</v>
      </c>
    </row>
    <row r="131">
      <c r="A131" s="18" t="inlineStr">
        <is>
          <t>자본잉여금</t>
        </is>
      </c>
      <c r="C131" s="20" t="n">
        <v>9197</v>
      </c>
      <c r="D131" s="20" t="n">
        <v>9207</v>
      </c>
      <c r="E131" s="20" t="n">
        <v>9207</v>
      </c>
      <c r="F131" s="20" t="n">
        <v>9219</v>
      </c>
      <c r="G131" s="20" t="n">
        <v>9219</v>
      </c>
      <c r="H131" s="20" t="n">
        <v>9183</v>
      </c>
      <c r="I131" s="20" t="n">
        <v>9182</v>
      </c>
      <c r="J131" s="20" t="n">
        <v>9186</v>
      </c>
      <c r="K131" s="20" t="n">
        <v>9197</v>
      </c>
      <c r="L131" s="20" t="n">
        <v>9219</v>
      </c>
    </row>
    <row r="132">
      <c r="A132" s="18" t="inlineStr">
        <is>
          <t>이익잉여금</t>
        </is>
      </c>
      <c r="C132" s="20" t="n">
        <v>62526</v>
      </c>
      <c r="D132" s="20" t="n">
        <v>66302</v>
      </c>
      <c r="E132" s="20" t="n">
        <v>69038</v>
      </c>
      <c r="F132" s="20" t="n">
        <v>74241</v>
      </c>
      <c r="G132" s="20" t="n">
        <v>74662</v>
      </c>
      <c r="H132" s="20" t="n">
        <v>38961</v>
      </c>
      <c r="I132" s="20" t="n">
        <v>48641</v>
      </c>
      <c r="J132" s="20" t="n">
        <v>58893</v>
      </c>
      <c r="K132" s="20" t="n">
        <v>61790</v>
      </c>
      <c r="L132" s="20" t="n">
        <v>74241</v>
      </c>
    </row>
    <row r="133">
      <c r="A133" s="18" t="inlineStr">
        <is>
          <t>자기주식</t>
        </is>
      </c>
      <c r="C133" s="20" t="n">
        <v>-37</v>
      </c>
      <c r="D133" s="20" t="n">
        <v>-24</v>
      </c>
      <c r="E133" s="20" t="n">
        <v>-442</v>
      </c>
      <c r="F133" s="20" t="n">
        <v>-251</v>
      </c>
      <c r="G133" s="20" t="n">
        <v>-251</v>
      </c>
      <c r="H133" s="20" t="n">
        <v>-14</v>
      </c>
      <c r="I133" s="20" t="n">
        <v>-62</v>
      </c>
      <c r="J133" s="20" t="n">
        <v>-46</v>
      </c>
      <c r="K133" s="20" t="n">
        <v>-37</v>
      </c>
      <c r="L133" s="20" t="n">
        <v>-251</v>
      </c>
    </row>
    <row r="134">
      <c r="A134" s="9" t="inlineStr">
        <is>
          <t>주주자본 합계</t>
        </is>
      </c>
      <c r="C134" s="12" t="n">
        <v>88506</v>
      </c>
      <c r="D134" s="12" t="n">
        <v>92305</v>
      </c>
      <c r="E134" s="12" t="n">
        <v>94623</v>
      </c>
      <c r="F134" s="12" t="n">
        <v>100030</v>
      </c>
      <c r="G134" s="12" t="n">
        <v>100450</v>
      </c>
      <c r="H134" s="12" t="n">
        <v>64950</v>
      </c>
      <c r="I134" s="12" t="n">
        <v>74581</v>
      </c>
      <c r="J134" s="12" t="n">
        <v>84853</v>
      </c>
      <c r="K134" s="12" t="n">
        <v>87771</v>
      </c>
      <c r="L134" s="12" t="n">
        <v>100030</v>
      </c>
    </row>
    <row r="135">
      <c r="A135" s="18" t="inlineStr">
        <is>
          <t>기타유가증권 평가차액</t>
        </is>
      </c>
      <c r="C135" s="20" t="n">
        <v>9623</v>
      </c>
      <c r="D135" s="20" t="n">
        <v>11295</v>
      </c>
      <c r="E135" s="20" t="n">
        <v>13076</v>
      </c>
      <c r="F135" s="20" t="n">
        <v>12362</v>
      </c>
      <c r="G135" s="20" t="n">
        <v>11599</v>
      </c>
      <c r="H135" s="20" t="n">
        <v>7982</v>
      </c>
      <c r="I135" s="20" t="n">
        <v>7500</v>
      </c>
      <c r="J135" s="20" t="n">
        <v>14712</v>
      </c>
      <c r="K135" s="20" t="n">
        <v>10053</v>
      </c>
      <c r="L135" s="20" t="n">
        <v>12362</v>
      </c>
    </row>
    <row r="136">
      <c r="A136" s="18" t="inlineStr">
        <is>
          <t>해외사업환산조정</t>
        </is>
      </c>
      <c r="C136" s="20" t="n">
        <v>14449</v>
      </c>
      <c r="D136" s="20" t="n">
        <v>15033</v>
      </c>
      <c r="E136" s="20" t="n">
        <v>18392</v>
      </c>
      <c r="F136" s="20" t="n">
        <v>18825</v>
      </c>
      <c r="G136" s="20" t="n">
        <v>19705</v>
      </c>
      <c r="H136" s="20" t="n">
        <v>7300</v>
      </c>
      <c r="I136" s="20" t="n">
        <v>9802</v>
      </c>
      <c r="J136" s="20" t="n">
        <v>16094</v>
      </c>
      <c r="K136" s="20" t="n">
        <v>14665</v>
      </c>
      <c r="L136" s="20" t="n">
        <v>18825</v>
      </c>
    </row>
    <row r="137">
      <c r="A137" s="18" t="inlineStr">
        <is>
          <t>퇴직급여 조정누계액</t>
        </is>
      </c>
      <c r="C137" s="20" t="n">
        <v>4960</v>
      </c>
      <c r="D137" s="20" t="n">
        <v>4794</v>
      </c>
      <c r="E137" s="20" t="n">
        <v>4627</v>
      </c>
      <c r="F137" s="20" t="n">
        <v>7666</v>
      </c>
      <c r="G137" s="20" t="n">
        <v>7489</v>
      </c>
      <c r="H137" s="20" t="n">
        <v>3986</v>
      </c>
      <c r="I137" s="20" t="n">
        <v>2187</v>
      </c>
      <c r="J137" s="20" t="n">
        <v>8718</v>
      </c>
      <c r="K137" s="20" t="n">
        <v>5130</v>
      </c>
      <c r="L137" s="20" t="n">
        <v>7666</v>
      </c>
    </row>
    <row r="138">
      <c r="A138" s="18" t="inlineStr">
        <is>
          <t>기타포괄손익누계액 합계</t>
        </is>
      </c>
      <c r="C138" s="20" t="n">
        <v>29033</v>
      </c>
      <c r="D138" s="20" t="n">
        <v>31123</v>
      </c>
      <c r="E138" s="20" t="n">
        <v>36096</v>
      </c>
      <c r="F138" s="20" t="n">
        <v>38854</v>
      </c>
      <c r="G138" s="20" t="n">
        <v>38794</v>
      </c>
      <c r="H138" s="20" t="n">
        <v>19269</v>
      </c>
      <c r="I138" s="20" t="n">
        <v>19489</v>
      </c>
      <c r="J138" s="20" t="n">
        <v>39525</v>
      </c>
      <c r="K138" s="20" t="n">
        <v>29849</v>
      </c>
      <c r="L138" s="20" t="n">
        <v>38854</v>
      </c>
    </row>
    <row r="139">
      <c r="A139" s="18" t="inlineStr">
        <is>
          <t>비지배지분</t>
        </is>
      </c>
      <c r="C139" s="20" t="n">
        <v>5609</v>
      </c>
      <c r="D139" s="20" t="n">
        <v>6301</v>
      </c>
      <c r="E139" s="20" t="n">
        <v>6729</v>
      </c>
      <c r="F139" s="20" t="n">
        <v>6966</v>
      </c>
      <c r="G139" s="20" t="n">
        <v>7213</v>
      </c>
      <c r="H139" s="20" t="n">
        <v>5794</v>
      </c>
      <c r="I139" s="20" t="n">
        <v>5675</v>
      </c>
      <c r="J139" s="20" t="n">
        <v>6523</v>
      </c>
      <c r="K139" s="20" t="n">
        <v>5545</v>
      </c>
      <c r="L139" s="20" t="n">
        <v>6966</v>
      </c>
    </row>
    <row r="140">
      <c r="A140" s="9" t="inlineStr">
        <is>
          <t>순자산 합계</t>
        </is>
      </c>
      <c r="C140" s="12" t="n">
        <v>123150</v>
      </c>
      <c r="D140" s="12" t="n">
        <v>129729</v>
      </c>
      <c r="E140" s="12" t="n">
        <v>137450</v>
      </c>
      <c r="F140" s="12" t="n">
        <v>145851</v>
      </c>
      <c r="G140" s="12" t="n">
        <v>146458</v>
      </c>
      <c r="H140" s="12" t="n">
        <v>90014</v>
      </c>
      <c r="I140" s="12" t="n">
        <v>99747</v>
      </c>
      <c r="J140" s="12" t="n">
        <v>130901</v>
      </c>
      <c r="K140" s="12" t="n">
        <v>123165</v>
      </c>
      <c r="L140" s="12" t="n">
        <v>145851</v>
      </c>
    </row>
    <row r="141">
      <c r="A141" s="9" t="inlineStr">
        <is>
          <t>부채·순자산 합계</t>
        </is>
      </c>
      <c r="C141" s="12" t="n">
        <v>301750</v>
      </c>
      <c r="D141" s="12" t="n">
        <v>307009</v>
      </c>
      <c r="E141" s="12" t="n">
        <v>310089</v>
      </c>
      <c r="F141" s="12" t="n">
        <v>334332</v>
      </c>
      <c r="G141" s="12" t="n">
        <v>335596</v>
      </c>
      <c r="H141" s="12" t="n">
        <v>309487</v>
      </c>
      <c r="I141" s="12" t="n">
        <v>319768</v>
      </c>
      <c r="J141" s="12" t="n">
        <v>334780</v>
      </c>
      <c r="K141" s="12" t="n">
        <v>313913</v>
      </c>
      <c r="L141" s="12" t="n">
        <v>334332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https://www2.jpx.co.jp/disc/72410/140120260730503146.pdf</t>
        </is>
      </c>
    </row>
    <row r="5">
      <c r="A5" t="inlineStr">
        <is>
          <t>2026-04-27</t>
        </is>
      </c>
      <c r="B5" t="inlineStr">
        <is>
          <t>2026년 3월 결산기 연간 결산단신</t>
        </is>
      </c>
      <c r="C5" t="inlineStr">
        <is>
          <t>https://www2.jpx.co.jp/disc/72410/140120260424510888.pdf</t>
        </is>
      </c>
    </row>
    <row r="6">
      <c r="A6" t="inlineStr">
        <is>
          <t>2026-02-02</t>
        </is>
      </c>
      <c r="B6" t="inlineStr">
        <is>
          <t>2026년 3월 결산기 ３분기 결산단신</t>
        </is>
      </c>
      <c r="C6" t="inlineStr">
        <is>
          <t>https://www2.jpx.co.jp/disc/72410/140120260129542082.pdf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https://www2.jpx.co.jp/disc/72410/140120251030582182.pdf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https://www2.jpx.co.jp/disc/72410/140120250729522152.pdf</t>
        </is>
      </c>
    </row>
    <row r="9">
      <c r="A9" t="inlineStr">
        <is>
          <t>2025-04-24</t>
        </is>
      </c>
      <c r="B9" t="inlineStr">
        <is>
          <t>2025년 3월 결산기 연간 결산단신</t>
        </is>
      </c>
      <c r="C9" t="inlineStr">
        <is>
          <t>https://www2.jpx.co.jp/disc/72410/140120250424522903.pdf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https://www2.jpx.co.jp/disc/72410/140120250129557657.pdf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https://www2.jpx.co.jp/disc/72410/140120241030505646.pdf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https://www2.jpx.co.jp/disc/72410/140120240730557282.pdf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https://www2.jpx.co.jp/disc/72410/140120240425576542.pdf</t>
        </is>
      </c>
    </row>
    <row r="14">
      <c r="A14" t="inlineStr">
        <is>
          <t>2024-02-01</t>
        </is>
      </c>
      <c r="B14" t="inlineStr">
        <is>
          <t>2024년 3월 결산기 ３분기 결산단신</t>
        </is>
      </c>
      <c r="C14" t="inlineStr">
        <is>
          <t>https://www2.jpx.co.jp/disc/72410/140120240131523416.pdf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https://www2.jpx.co.jp/disc/72410/140120231027573302.pdf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https://www2.jpx.co.jp/disc/72410/140120230726526934.pdf</t>
        </is>
      </c>
    </row>
    <row r="17">
      <c r="A17" t="inlineStr">
        <is>
          <t>2023-04-26</t>
        </is>
      </c>
      <c r="B17" t="inlineStr">
        <is>
          <t>2023년 3월 결산기 연간 결산단신</t>
        </is>
      </c>
      <c r="C17" t="inlineStr">
        <is>
          <t>https://www2.jpx.co.jp/disc/72410/140120230407544241.pdf</t>
        </is>
      </c>
    </row>
    <row r="18">
      <c r="A18" t="inlineStr">
        <is>
          <t>2023-02-02</t>
        </is>
      </c>
      <c r="B18" t="inlineStr">
        <is>
          <t>2023년 3월 결산기 ３분기 결산단신</t>
        </is>
      </c>
      <c r="C18" t="inlineStr">
        <is>
          <t>https://www2.jpx.co.jp/disc/72410/140120230130595748.pdf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https://www2.jpx.co.jp/disc/72410/140120221027550366.pdf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https://www2.jpx.co.jp/disc/72410/140120220426528170.pdf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https://www2.jpx.co.jp/disc/72410/140120210422497958.pdf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https://www2.jpx.co.jp/disc/72410/140120200313479445.pdf</t>
        </is>
      </c>
    </row>
    <row r="23">
      <c r="A23" t="inlineStr">
        <is>
          <t>2019-04-25</t>
        </is>
      </c>
      <c r="B23" t="inlineStr">
        <is>
          <t>2019년 3월 결산기 연간 결산단신</t>
        </is>
      </c>
      <c r="C23" t="inlineStr">
        <is>
          <t>https://www2.jpx.co.jp/disc/72410/140120190306486627.pdf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https://www2.jpx.co.jp/disc/72410/140120180426421143.pdf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2026-10-25T10:57:08Z</dcterms:created>
  <dcterms:modified xmlns:dcterms="http://purl.org/dc/terms/" xmlns:xsi="http://www.w3.org/2001/XMLSchema-instance" xsi:type="dcterms:W3CDTF">2026-10-25T10:57:08Z</dcterms:modified>
</cp:coreProperties>
</file>