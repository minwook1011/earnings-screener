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7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화낙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197830</v>
      </c>
      <c r="D4" s="12" t="n">
        <v>198749</v>
      </c>
      <c r="E4" s="12" t="n">
        <v>195100</v>
      </c>
      <c r="F4" s="12" t="n">
        <v>192862</v>
      </c>
      <c r="G4" s="12" t="n">
        <v>197052</v>
      </c>
      <c r="H4" s="12" t="n">
        <v>212115</v>
      </c>
      <c r="I4" s="12" t="n">
        <v>196363</v>
      </c>
      <c r="J4" s="12" t="n">
        <v>211205</v>
      </c>
      <c r="K4" s="12" t="n">
        <v>215744</v>
      </c>
      <c r="L4" s="12" t="n">
        <v>234519</v>
      </c>
      <c r="M4" s="12" t="n">
        <v>231035</v>
      </c>
      <c r="N4" s="12" t="n">
        <v>242673</v>
      </c>
      <c r="O4" s="11" t="n">
        <v>536942</v>
      </c>
      <c r="P4" s="12" t="n">
        <v>726596</v>
      </c>
      <c r="Q4" s="12" t="n">
        <v>635568</v>
      </c>
      <c r="R4" s="12" t="n">
        <v>508252</v>
      </c>
      <c r="S4" s="12" t="n">
        <v>551287</v>
      </c>
      <c r="T4" s="12" t="n">
        <v>733008</v>
      </c>
      <c r="U4" s="12" t="n">
        <v>851956</v>
      </c>
      <c r="V4" s="12" t="n">
        <v>795274</v>
      </c>
      <c r="W4" s="12" t="n">
        <v>797129</v>
      </c>
      <c r="X4" s="12" t="n">
        <v>857831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123702</v>
      </c>
      <c r="D11" s="22" t="n">
        <v>129976</v>
      </c>
      <c r="E11" s="22" t="n">
        <v>127338</v>
      </c>
      <c r="F11" s="22" t="n">
        <v>116307</v>
      </c>
      <c r="G11" s="22" t="n">
        <v>128595</v>
      </c>
      <c r="H11" s="22" t="n">
        <v>129964</v>
      </c>
      <c r="I11" s="22" t="n">
        <v>119756</v>
      </c>
      <c r="J11" s="22" t="n">
        <v>132204</v>
      </c>
      <c r="K11" s="22" t="n">
        <v>137124</v>
      </c>
      <c r="L11" s="22" t="n">
        <v>140281</v>
      </c>
      <c r="M11" s="22" t="n">
        <v>139941</v>
      </c>
      <c r="N11" s="22" t="n">
        <v>140073</v>
      </c>
      <c r="O11" s="21" t="n">
        <v>303415</v>
      </c>
      <c r="P11" s="22" t="n">
        <v>398398</v>
      </c>
      <c r="Q11" s="22" t="n">
        <v>369761</v>
      </c>
      <c r="R11" s="22" t="n">
        <v>326095</v>
      </c>
      <c r="S11" s="22" t="n">
        <v>349327</v>
      </c>
      <c r="T11" s="22" t="n">
        <v>437374</v>
      </c>
      <c r="U11" s="22" t="n">
        <v>526549</v>
      </c>
      <c r="V11" s="22" t="n">
        <v>519430</v>
      </c>
      <c r="W11" s="22" t="n">
        <v>502204</v>
      </c>
      <c r="X11" s="22" t="n">
        <v>529365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33241</v>
      </c>
      <c r="D17" s="22" t="n">
        <v>34277</v>
      </c>
      <c r="E17" s="22" t="n">
        <v>34804</v>
      </c>
      <c r="F17" s="22" t="n">
        <v>33925</v>
      </c>
      <c r="G17" s="22" t="n">
        <v>33549</v>
      </c>
      <c r="H17" s="22" t="n">
        <v>33801</v>
      </c>
      <c r="I17" s="22" t="n">
        <v>34179</v>
      </c>
      <c r="J17" s="22" t="n">
        <v>35465</v>
      </c>
      <c r="K17" s="22" t="n">
        <v>36880</v>
      </c>
      <c r="L17" s="22" t="n">
        <v>38179</v>
      </c>
      <c r="M17" s="22" t="n">
        <v>37602</v>
      </c>
      <c r="N17" s="22" t="n">
        <v>39430</v>
      </c>
      <c r="O17" s="21" t="n">
        <v>80310</v>
      </c>
      <c r="P17" s="22" t="n">
        <v>98594</v>
      </c>
      <c r="Q17" s="22" t="n">
        <v>102510</v>
      </c>
      <c r="R17" s="22" t="n">
        <v>93807</v>
      </c>
      <c r="S17" s="22" t="n">
        <v>89446</v>
      </c>
      <c r="T17" s="22" t="n">
        <v>112394</v>
      </c>
      <c r="U17" s="22" t="n">
        <v>134048</v>
      </c>
      <c r="V17" s="22" t="n">
        <v>133925</v>
      </c>
      <c r="W17" s="22" t="n">
        <v>136079</v>
      </c>
      <c r="X17" s="22" t="n">
        <v>144703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40887</v>
      </c>
      <c r="D19" s="12" t="n">
        <v>34496</v>
      </c>
      <c r="E19" s="12" t="n">
        <v>32958</v>
      </c>
      <c r="F19" s="12" t="n">
        <v>42630</v>
      </c>
      <c r="G19" s="12" t="n">
        <v>34908</v>
      </c>
      <c r="H19" s="12" t="n">
        <v>48350</v>
      </c>
      <c r="I19" s="12" t="n">
        <v>42428</v>
      </c>
      <c r="J19" s="12" t="n">
        <v>43536</v>
      </c>
      <c r="K19" s="12" t="n">
        <v>41740</v>
      </c>
      <c r="L19" s="12" t="n">
        <v>56059</v>
      </c>
      <c r="M19" s="12" t="n">
        <v>53492</v>
      </c>
      <c r="N19" s="12" t="n">
        <v>63170</v>
      </c>
      <c r="O19" s="11" t="n">
        <v>153217</v>
      </c>
      <c r="P19" s="12" t="n">
        <v>229604</v>
      </c>
      <c r="Q19" s="12" t="n">
        <v>163297</v>
      </c>
      <c r="R19" s="12" t="n">
        <v>88350</v>
      </c>
      <c r="S19" s="12" t="n">
        <v>112514</v>
      </c>
      <c r="T19" s="12" t="n">
        <v>183240</v>
      </c>
      <c r="U19" s="12" t="n">
        <v>191359</v>
      </c>
      <c r="V19" s="12" t="n">
        <v>141919</v>
      </c>
      <c r="W19" s="12" t="n">
        <v>158846</v>
      </c>
      <c r="X19" s="12" t="n">
        <v>183763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/>
      <c r="P35" s="22" t="n">
        <v>0</v>
      </c>
      <c r="Q35" s="22" t="n">
        <v>25081</v>
      </c>
      <c r="R35" s="22" t="n">
        <v>0</v>
      </c>
      <c r="S35" s="22" t="n"/>
      <c r="T35" s="22" t="n"/>
      <c r="U35" s="22" t="n"/>
      <c r="V35" s="22" t="n"/>
      <c r="W35" s="22" t="n"/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1" t="n"/>
      <c r="P37" s="22" t="n"/>
      <c r="Q37" s="22" t="n">
        <v>0</v>
      </c>
      <c r="R37" s="22" t="n">
        <v>1973</v>
      </c>
      <c r="S37" s="22" t="n">
        <v>0</v>
      </c>
      <c r="T37" s="22" t="n">
        <v>478</v>
      </c>
      <c r="U37" s="22" t="n">
        <v>1224</v>
      </c>
      <c r="V37" s="22" t="n">
        <v>0</v>
      </c>
      <c r="W37" s="22" t="n"/>
      <c r="X37" s="22" t="n"/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8811</v>
      </c>
      <c r="D39" s="22" t="n">
        <v>12871</v>
      </c>
      <c r="E39" s="22" t="n">
        <v>8853</v>
      </c>
      <c r="F39" s="22" t="n">
        <v>12670</v>
      </c>
      <c r="G39" s="22" t="n">
        <v>10082</v>
      </c>
      <c r="H39" s="22" t="n">
        <v>10735</v>
      </c>
      <c r="I39" s="22" t="n">
        <v>9933</v>
      </c>
      <c r="J39" s="22" t="n">
        <v>13903</v>
      </c>
      <c r="K39" s="22" t="n">
        <v>10450</v>
      </c>
      <c r="L39" s="22" t="n">
        <v>13262</v>
      </c>
      <c r="M39" s="22" t="n">
        <v>15278</v>
      </c>
      <c r="N39" s="22" t="n">
        <v>18966</v>
      </c>
      <c r="O39" s="21" t="n">
        <v>17220</v>
      </c>
      <c r="P39" s="22" t="n">
        <v>24805</v>
      </c>
      <c r="Q39" s="22" t="n">
        <v>24170</v>
      </c>
      <c r="R39" s="22" t="n">
        <v>16790</v>
      </c>
      <c r="S39" s="22" t="n">
        <v>18397</v>
      </c>
      <c r="T39" s="22" t="n">
        <v>32274</v>
      </c>
      <c r="U39" s="22" t="n">
        <v>43225</v>
      </c>
      <c r="V39" s="22" t="n">
        <v>43263</v>
      </c>
      <c r="W39" s="22" t="n">
        <v>42340</v>
      </c>
      <c r="X39" s="22" t="n">
        <v>47548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705</v>
      </c>
      <c r="D41" s="22" t="n">
        <v>758</v>
      </c>
      <c r="E41" s="22" t="n">
        <v>682</v>
      </c>
      <c r="F41" s="22" t="n">
        <v>1649</v>
      </c>
      <c r="G41" s="22" t="n">
        <v>285</v>
      </c>
      <c r="H41" s="22" t="n">
        <v>1832</v>
      </c>
      <c r="I41" s="22" t="n">
        <v>809</v>
      </c>
      <c r="J41" s="22" t="n">
        <v>1086</v>
      </c>
      <c r="K41" s="22" t="n">
        <v>776</v>
      </c>
      <c r="L41" s="22" t="n">
        <v>1155</v>
      </c>
      <c r="M41" s="22" t="n">
        <v>577</v>
      </c>
      <c r="N41" s="22" t="n">
        <v>1284</v>
      </c>
      <c r="O41" s="21" t="n">
        <v>1608</v>
      </c>
      <c r="P41" s="22" t="n">
        <v>4884</v>
      </c>
      <c r="Q41" s="22" t="n">
        <v>4008</v>
      </c>
      <c r="R41" s="22" t="n">
        <v>2324</v>
      </c>
      <c r="S41" s="22" t="n">
        <v>2167</v>
      </c>
      <c r="T41" s="22" t="n">
        <v>2119</v>
      </c>
      <c r="U41" s="22" t="n">
        <v>3257</v>
      </c>
      <c r="V41" s="22" t="n">
        <v>3427</v>
      </c>
      <c r="W41" s="22" t="n">
        <v>4448</v>
      </c>
      <c r="X41" s="22" t="n">
        <v>3826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48993</v>
      </c>
      <c r="D43" s="12" t="n">
        <v>46609</v>
      </c>
      <c r="E43" s="12" t="n">
        <v>41129</v>
      </c>
      <c r="F43" s="12" t="n">
        <v>53651</v>
      </c>
      <c r="G43" s="12" t="n">
        <v>44705</v>
      </c>
      <c r="H43" s="12" t="n">
        <v>57253</v>
      </c>
      <c r="I43" s="12" t="n">
        <v>51552</v>
      </c>
      <c r="J43" s="12" t="n">
        <v>56353</v>
      </c>
      <c r="K43" s="12" t="n">
        <v>51414</v>
      </c>
      <c r="L43" s="12" t="n">
        <v>68166</v>
      </c>
      <c r="M43" s="12" t="n">
        <v>68193</v>
      </c>
      <c r="N43" s="12" t="n">
        <v>80852</v>
      </c>
      <c r="O43" s="11" t="n">
        <v>168829</v>
      </c>
      <c r="P43" s="12" t="n">
        <v>249525</v>
      </c>
      <c r="Q43" s="12" t="n">
        <v>208540</v>
      </c>
      <c r="R43" s="12" t="n">
        <v>100843</v>
      </c>
      <c r="S43" s="12" t="n">
        <v>128744</v>
      </c>
      <c r="T43" s="12" t="n">
        <v>212917</v>
      </c>
      <c r="U43" s="12" t="n">
        <v>230103</v>
      </c>
      <c r="V43" s="12" t="n">
        <v>181755</v>
      </c>
      <c r="W43" s="12" t="n">
        <v>196738</v>
      </c>
      <c r="X43" s="12" t="n">
        <v>227485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13957</v>
      </c>
      <c r="D45" s="22" t="n">
        <v>11205</v>
      </c>
      <c r="E45" s="22" t="n">
        <v>11349</v>
      </c>
      <c r="F45" s="22" t="n">
        <v>11640</v>
      </c>
      <c r="G45" s="22" t="n">
        <v>10881</v>
      </c>
      <c r="H45" s="22" t="n">
        <v>11521</v>
      </c>
      <c r="I45" s="22" t="n">
        <v>12939</v>
      </c>
      <c r="J45" s="22" t="n">
        <v>13614</v>
      </c>
      <c r="K45" s="22" t="n">
        <v>13812</v>
      </c>
      <c r="L45" s="22" t="n">
        <v>17723</v>
      </c>
      <c r="M45" s="22" t="n">
        <v>16284</v>
      </c>
      <c r="N45" s="22" t="n">
        <v>18022</v>
      </c>
      <c r="O45" s="21" t="n">
        <v>41052</v>
      </c>
      <c r="P45" s="22" t="n">
        <v>67088</v>
      </c>
      <c r="Q45" s="22" t="n">
        <v>53771</v>
      </c>
      <c r="R45" s="22" t="n">
        <v>26226</v>
      </c>
      <c r="S45" s="22" t="n">
        <v>32486</v>
      </c>
      <c r="T45" s="22" t="n">
        <v>54427</v>
      </c>
      <c r="U45" s="22" t="n">
        <v>56189</v>
      </c>
      <c r="V45" s="22" t="n">
        <v>46268</v>
      </c>
      <c r="W45" s="22" t="n">
        <v>45391</v>
      </c>
      <c r="X45" s="22" t="n">
        <v>58088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35036</v>
      </c>
      <c r="D47" s="12" t="n">
        <v>35404</v>
      </c>
      <c r="E47" s="12" t="n">
        <v>29780</v>
      </c>
      <c r="F47" s="12" t="n">
        <v>42011</v>
      </c>
      <c r="G47" s="12" t="n">
        <v>33824</v>
      </c>
      <c r="H47" s="12" t="n">
        <v>45732</v>
      </c>
      <c r="I47" s="12" t="n">
        <v>38613</v>
      </c>
      <c r="J47" s="12" t="n">
        <v>42739</v>
      </c>
      <c r="K47" s="12" t="n">
        <v>37602</v>
      </c>
      <c r="L47" s="12" t="n">
        <v>50443</v>
      </c>
      <c r="M47" s="12" t="n">
        <v>51909</v>
      </c>
      <c r="N47" s="12" t="n">
        <v>62830</v>
      </c>
      <c r="O47" s="11" t="n">
        <v>127777</v>
      </c>
      <c r="P47" s="12" t="n">
        <v>182437</v>
      </c>
      <c r="Q47" s="12" t="n">
        <v>154769</v>
      </c>
      <c r="R47" s="12" t="n">
        <v>74617</v>
      </c>
      <c r="S47" s="12" t="n">
        <v>96258</v>
      </c>
      <c r="T47" s="12" t="n">
        <v>158490</v>
      </c>
      <c r="U47" s="12" t="n">
        <v>173914</v>
      </c>
      <c r="V47" s="12" t="n">
        <v>135487</v>
      </c>
      <c r="W47" s="12" t="n">
        <v>151347</v>
      </c>
      <c r="X47" s="12" t="n">
        <v>169397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34403</v>
      </c>
      <c r="D49" s="12" t="n">
        <v>34819</v>
      </c>
      <c r="E49" s="12" t="n">
        <v>28803</v>
      </c>
      <c r="F49" s="12" t="n">
        <v>41119</v>
      </c>
      <c r="G49" s="12" t="n">
        <v>32862</v>
      </c>
      <c r="H49" s="12" t="n">
        <v>44773</v>
      </c>
      <c r="I49" s="12" t="n">
        <v>37844</v>
      </c>
      <c r="J49" s="12" t="n">
        <v>41976</v>
      </c>
      <c r="K49" s="12" t="n">
        <v>37042</v>
      </c>
      <c r="L49" s="12" t="n">
        <v>49681</v>
      </c>
      <c r="M49" s="12" t="n">
        <v>50981</v>
      </c>
      <c r="N49" s="12" t="n">
        <v>61595</v>
      </c>
      <c r="O49" s="11" t="n">
        <v>127697</v>
      </c>
      <c r="P49" s="12" t="n">
        <v>181957</v>
      </c>
      <c r="Q49" s="12" t="n">
        <v>154163</v>
      </c>
      <c r="R49" s="12" t="n">
        <v>73371</v>
      </c>
      <c r="S49" s="12" t="n">
        <v>94012</v>
      </c>
      <c r="T49" s="12" t="n">
        <v>155273</v>
      </c>
      <c r="U49" s="12" t="n">
        <v>170587</v>
      </c>
      <c r="V49" s="12" t="n">
        <v>133159</v>
      </c>
      <c r="W49" s="12" t="n">
        <v>147557</v>
      </c>
      <c r="X49" s="12" t="n">
        <v>166543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(2026.10.28)</t>
        </is>
      </c>
      <c r="B53" s="29" t="n">
        <v>5904</v>
      </c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>
        <v>982272430</v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 2026.10.28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197830</v>
      </c>
      <c r="D84" s="12" t="n">
        <v>198749</v>
      </c>
      <c r="E84" s="12" t="n">
        <v>195100</v>
      </c>
      <c r="F84" s="12" t="n">
        <v>192862</v>
      </c>
      <c r="G84" s="12" t="n">
        <v>197052</v>
      </c>
      <c r="H84" s="12" t="n">
        <v>212115</v>
      </c>
      <c r="I84" s="12" t="n">
        <v>196363</v>
      </c>
      <c r="J84" s="12" t="n">
        <v>211205</v>
      </c>
      <c r="K84" s="12" t="n">
        <v>215744</v>
      </c>
      <c r="L84" s="12" t="n">
        <v>234519</v>
      </c>
      <c r="M84" s="12" t="n">
        <v>231035</v>
      </c>
      <c r="N84" s="12" t="n">
        <v>242673</v>
      </c>
      <c r="T84" s="12" t="n">
        <v>192758</v>
      </c>
      <c r="U84" s="12" t="n">
        <v>215843</v>
      </c>
      <c r="V84" s="12" t="n">
        <v>198749</v>
      </c>
      <c r="W84" s="12" t="n">
        <v>212115</v>
      </c>
      <c r="X84" s="12" t="n">
        <v>234519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123702</v>
      </c>
      <c r="D86" s="22" t="n">
        <v>129976</v>
      </c>
      <c r="E86" s="22" t="n">
        <v>127338</v>
      </c>
      <c r="F86" s="22" t="n">
        <v>116307</v>
      </c>
      <c r="G86" s="22" t="n">
        <v>128595</v>
      </c>
      <c r="H86" s="22" t="n">
        <v>129964</v>
      </c>
      <c r="I86" s="22" t="n">
        <v>119756</v>
      </c>
      <c r="J86" s="22" t="n">
        <v>132204</v>
      </c>
      <c r="K86" s="22" t="n">
        <v>137124</v>
      </c>
      <c r="L86" s="22" t="n">
        <v>140281</v>
      </c>
      <c r="M86" s="22" t="n">
        <v>139941</v>
      </c>
      <c r="N86" s="22" t="n">
        <v>140073</v>
      </c>
      <c r="T86" s="22" t="n">
        <v>117958</v>
      </c>
      <c r="U86" s="22" t="n">
        <v>138938</v>
      </c>
      <c r="V86" s="22" t="n">
        <v>129976</v>
      </c>
      <c r="W86" s="22" t="n">
        <v>129964</v>
      </c>
      <c r="X86" s="22" t="n">
        <v>140281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74128</v>
      </c>
      <c r="D88" s="12" t="n">
        <v>68773</v>
      </c>
      <c r="E88" s="12" t="n">
        <v>67762</v>
      </c>
      <c r="F88" s="12" t="n">
        <v>76555</v>
      </c>
      <c r="G88" s="12" t="n">
        <v>68457</v>
      </c>
      <c r="H88" s="12" t="n">
        <v>82151</v>
      </c>
      <c r="I88" s="12" t="n">
        <v>76607</v>
      </c>
      <c r="J88" s="12" t="n">
        <v>79001</v>
      </c>
      <c r="K88" s="12" t="n">
        <v>78620</v>
      </c>
      <c r="L88" s="12" t="n">
        <v>94238</v>
      </c>
      <c r="M88" s="12" t="n">
        <v>91094</v>
      </c>
      <c r="N88" s="12" t="n">
        <v>102600</v>
      </c>
      <c r="T88" s="12" t="n">
        <v>74800</v>
      </c>
      <c r="U88" s="12" t="n">
        <v>76905</v>
      </c>
      <c r="V88" s="12" t="n">
        <v>68773</v>
      </c>
      <c r="W88" s="12" t="n">
        <v>82151</v>
      </c>
      <c r="X88" s="12" t="n">
        <v>94238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33241</v>
      </c>
      <c r="D90" s="22" t="n">
        <v>34277</v>
      </c>
      <c r="E90" s="22" t="n">
        <v>34804</v>
      </c>
      <c r="F90" s="22" t="n">
        <v>33925</v>
      </c>
      <c r="G90" s="22" t="n">
        <v>33549</v>
      </c>
      <c r="H90" s="22" t="n">
        <v>33801</v>
      </c>
      <c r="I90" s="22" t="n">
        <v>34179</v>
      </c>
      <c r="J90" s="22" t="n">
        <v>35465</v>
      </c>
      <c r="K90" s="22" t="n">
        <v>36880</v>
      </c>
      <c r="L90" s="22" t="n">
        <v>38179</v>
      </c>
      <c r="M90" s="22" t="n">
        <v>37602</v>
      </c>
      <c r="N90" s="22" t="n">
        <v>39430</v>
      </c>
      <c r="T90" s="22" t="n">
        <v>31506</v>
      </c>
      <c r="U90" s="22" t="n">
        <v>32704</v>
      </c>
      <c r="V90" s="22" t="n">
        <v>34277</v>
      </c>
      <c r="W90" s="22" t="n">
        <v>33801</v>
      </c>
      <c r="X90" s="22" t="n">
        <v>38179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40887</v>
      </c>
      <c r="D92" s="12" t="n">
        <v>34496</v>
      </c>
      <c r="E92" s="12" t="n">
        <v>32958</v>
      </c>
      <c r="F92" s="12" t="n">
        <v>42630</v>
      </c>
      <c r="G92" s="12" t="n">
        <v>34908</v>
      </c>
      <c r="H92" s="12" t="n">
        <v>48350</v>
      </c>
      <c r="I92" s="12" t="n">
        <v>42428</v>
      </c>
      <c r="J92" s="12" t="n">
        <v>43536</v>
      </c>
      <c r="K92" s="12" t="n">
        <v>41740</v>
      </c>
      <c r="L92" s="12" t="n">
        <v>56059</v>
      </c>
      <c r="M92" s="12" t="n">
        <v>53492</v>
      </c>
      <c r="N92" s="12" t="n">
        <v>63170</v>
      </c>
      <c r="T92" s="12" t="n">
        <v>43294</v>
      </c>
      <c r="U92" s="12" t="n">
        <v>44201</v>
      </c>
      <c r="V92" s="12" t="n">
        <v>34496</v>
      </c>
      <c r="W92" s="12" t="n">
        <v>48350</v>
      </c>
      <c r="X92" s="12" t="n">
        <v>56059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1145</v>
      </c>
      <c r="D95" s="22" t="n">
        <v>1271</v>
      </c>
      <c r="E95" s="22" t="n">
        <v>1629</v>
      </c>
      <c r="F95" s="22" t="n">
        <v>1776</v>
      </c>
      <c r="G95" s="22" t="n">
        <v>1888</v>
      </c>
      <c r="H95" s="22" t="n">
        <v>1829</v>
      </c>
      <c r="I95" s="22" t="n">
        <v>1869</v>
      </c>
      <c r="J95" s="22" t="n">
        <v>1950</v>
      </c>
      <c r="K95" s="22" t="n">
        <v>1736</v>
      </c>
      <c r="L95" s="22" t="n">
        <v>1982</v>
      </c>
      <c r="M95" s="22" t="n">
        <v>2249</v>
      </c>
      <c r="N95" s="22" t="n">
        <v>2903</v>
      </c>
      <c r="T95" s="22" t="n">
        <v>621</v>
      </c>
      <c r="U95" s="22" t="n">
        <v>971</v>
      </c>
      <c r="V95" s="22" t="n">
        <v>1271</v>
      </c>
      <c r="W95" s="22" t="n">
        <v>1829</v>
      </c>
      <c r="X95" s="22" t="n">
        <v>1982</v>
      </c>
    </row>
    <row r="96">
      <c r="A96" s="20" t="inlineStr">
        <is>
          <t>배당금수익</t>
        </is>
      </c>
      <c r="C96" s="22" t="n">
        <v>335</v>
      </c>
      <c r="D96" s="22" t="n">
        <v>207</v>
      </c>
      <c r="E96" s="22" t="n">
        <v>269</v>
      </c>
      <c r="F96" s="22" t="n">
        <v>1477</v>
      </c>
      <c r="G96" s="22" t="n">
        <v>398</v>
      </c>
      <c r="H96" s="22" t="n">
        <v>206</v>
      </c>
      <c r="I96" s="22" t="n">
        <v>296</v>
      </c>
      <c r="J96" s="22" t="n">
        <v>2325</v>
      </c>
      <c r="K96" s="22" t="n">
        <v>523</v>
      </c>
      <c r="L96" s="22" t="n">
        <v>226</v>
      </c>
      <c r="M96" s="22" t="n">
        <v>374</v>
      </c>
      <c r="N96" s="22" t="n">
        <v>2114</v>
      </c>
      <c r="T96" s="22" t="n">
        <v>190</v>
      </c>
      <c r="U96" s="22" t="n">
        <v>197</v>
      </c>
      <c r="V96" s="22" t="n">
        <v>207</v>
      </c>
      <c r="W96" s="22" t="n">
        <v>206</v>
      </c>
      <c r="X96" s="22" t="n">
        <v>226</v>
      </c>
    </row>
    <row r="97">
      <c r="A97" s="20" t="inlineStr">
        <is>
          <t>지분법이익</t>
        </is>
      </c>
      <c r="C97" s="22" t="n">
        <v>6302</v>
      </c>
      <c r="D97" s="22" t="n">
        <v>6880</v>
      </c>
      <c r="E97" s="22" t="n">
        <v>6186</v>
      </c>
      <c r="F97" s="22" t="n">
        <v>7756</v>
      </c>
      <c r="G97" s="22" t="n">
        <v>6840</v>
      </c>
      <c r="H97" s="22" t="n">
        <v>7258</v>
      </c>
      <c r="I97" s="22" t="n">
        <v>6688</v>
      </c>
      <c r="J97" s="22" t="n">
        <v>8037</v>
      </c>
      <c r="K97" s="22" t="n">
        <v>7332</v>
      </c>
      <c r="L97" s="22" t="n">
        <v>8474</v>
      </c>
      <c r="M97" s="22" t="n">
        <v>11371</v>
      </c>
      <c r="N97" s="22" t="n">
        <v>11606</v>
      </c>
      <c r="T97" s="22" t="n">
        <v>6813</v>
      </c>
      <c r="U97" s="22" t="n">
        <v>7988</v>
      </c>
      <c r="V97" s="22" t="n">
        <v>6880</v>
      </c>
      <c r="W97" s="22" t="n">
        <v>7258</v>
      </c>
      <c r="X97" s="22" t="n">
        <v>8474</v>
      </c>
    </row>
    <row r="98">
      <c r="A98" s="20" t="inlineStr">
        <is>
          <t>잡이익</t>
        </is>
      </c>
      <c r="C98" s="22" t="n">
        <v>1029</v>
      </c>
      <c r="D98" s="22" t="n">
        <v>4513</v>
      </c>
      <c r="E98" s="22" t="n">
        <v>769</v>
      </c>
      <c r="F98" s="22" t="n">
        <v>1661</v>
      </c>
      <c r="G98" s="22" t="n">
        <v>956</v>
      </c>
      <c r="H98" s="22" t="n">
        <v>1442</v>
      </c>
      <c r="I98" s="22" t="n">
        <v>1080</v>
      </c>
      <c r="J98" s="22" t="n">
        <v>1591</v>
      </c>
      <c r="K98" s="22" t="n">
        <v>859</v>
      </c>
      <c r="L98" s="22" t="n">
        <v>2580</v>
      </c>
      <c r="M98" s="22" t="n">
        <v>1284</v>
      </c>
      <c r="N98" s="22" t="n">
        <v>2343</v>
      </c>
      <c r="T98" s="22" t="n">
        <v>2011</v>
      </c>
      <c r="U98" s="22" t="n">
        <v>1655</v>
      </c>
      <c r="V98" s="22" t="n">
        <v>4513</v>
      </c>
      <c r="W98" s="22" t="n">
        <v>1442</v>
      </c>
      <c r="X98" s="22" t="n">
        <v>2580</v>
      </c>
    </row>
    <row r="99">
      <c r="A99" s="20" t="inlineStr">
        <is>
          <t>영업외수익 합계</t>
        </is>
      </c>
      <c r="C99" s="22" t="n">
        <v>8811</v>
      </c>
      <c r="D99" s="22" t="n">
        <v>12871</v>
      </c>
      <c r="E99" s="22" t="n">
        <v>8853</v>
      </c>
      <c r="F99" s="22" t="n">
        <v>12670</v>
      </c>
      <c r="G99" s="22" t="n">
        <v>10082</v>
      </c>
      <c r="H99" s="22" t="n">
        <v>10735</v>
      </c>
      <c r="I99" s="22" t="n">
        <v>9933</v>
      </c>
      <c r="J99" s="22" t="n">
        <v>13903</v>
      </c>
      <c r="K99" s="22" t="n">
        <v>10450</v>
      </c>
      <c r="L99" s="22" t="n">
        <v>13262</v>
      </c>
      <c r="M99" s="22" t="n">
        <v>15278</v>
      </c>
      <c r="N99" s="22" t="n">
        <v>18966</v>
      </c>
      <c r="T99" s="22" t="n">
        <v>9635</v>
      </c>
      <c r="U99" s="22" t="n">
        <v>10811</v>
      </c>
      <c r="V99" s="22" t="n">
        <v>12871</v>
      </c>
      <c r="W99" s="22" t="n">
        <v>10735</v>
      </c>
      <c r="X99" s="22" t="n">
        <v>13262</v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G100" s="17">
        <f>IF(OR(G99="",C99=""),"",IF(G99*C99&lt;=0,"",IFERROR(G99/C99-1,"")))</f>
        <v/>
      </c>
      <c r="H100" s="17">
        <f>IF(OR(H99="",D99=""),"",IF(H99*D99&lt;=0,"",IFERROR(H99/D99-1,"")))</f>
        <v/>
      </c>
      <c r="I100" s="17">
        <f>IF(OR(I99="",E99=""),"",IF(I99*E99&lt;=0,"",IFERROR(I99/E99-1,"")))</f>
        <v/>
      </c>
      <c r="J100" s="17">
        <f>IF(OR(J99="",F99=""),"",IF(J99*F99&lt;=0,"",IFERROR(J99/F99-1,"")))</f>
        <v/>
      </c>
      <c r="K100" s="17">
        <f>IF(OR(K99="",G99=""),"",IF(K99*G99&lt;=0,"",IFERROR(K99/G99-1,"")))</f>
        <v/>
      </c>
      <c r="L100" s="17">
        <f>IF(OR(L99="",H99=""),"",IF(L99*H99&lt;=0,"",IFERROR(L99/H99-1,"")))</f>
        <v/>
      </c>
      <c r="M100" s="17">
        <f>IF(OR(M99="",I99=""),"",IF(M99*I99&lt;=0,"",IFERROR(M99/I99-1,"")))</f>
        <v/>
      </c>
      <c r="N100" s="17">
        <f>IF(OR(N99="",J99=""),"",IF(N99*J99&lt;=0,"",IFERROR(N99/J99-1,"")))</f>
        <v/>
      </c>
      <c r="T100" s="17">
        <f>IF(OR(T99="",S99=""),"",IF(T99*S99&lt;=0,"",IFERROR(T99/S99-1,"")))</f>
        <v/>
      </c>
      <c r="U100" s="17">
        <f>IF(OR(U99="",T99=""),"",IF(U99*T99&lt;=0,"",IFERROR(U99/T99-1,"")))</f>
        <v/>
      </c>
      <c r="V100" s="17">
        <f>IF(OR(V99="",U99=""),"",IF(V99*U99&lt;=0,"",IFERROR(V99/U99-1,"")))</f>
        <v/>
      </c>
      <c r="W100" s="17">
        <f>IF(OR(W99="",V99=""),"",IF(W99*V99&lt;=0,"",IFERROR(W99/V99-1,"")))</f>
        <v/>
      </c>
      <c r="X100" s="17">
        <f>IF(OR(X99="",W99=""),"",IF(X99*W99&lt;=0,"",IFERROR(X99/W99-1,"")))</f>
        <v/>
      </c>
    </row>
    <row r="101">
      <c r="A101" s="20" t="inlineStr">
        <is>
          <t>고정자산 철거비용</t>
        </is>
      </c>
      <c r="C101" s="22" t="n">
        <v>287</v>
      </c>
      <c r="D101" s="22" t="n">
        <v>36</v>
      </c>
      <c r="E101" s="22" t="n">
        <v>125</v>
      </c>
      <c r="H101" s="22" t="n">
        <v>25</v>
      </c>
      <c r="I101" s="22" t="n">
        <v>178</v>
      </c>
      <c r="L101" s="22" t="n">
        <v>217</v>
      </c>
      <c r="M101" s="22" t="n">
        <v>132</v>
      </c>
      <c r="T101" s="22" t="n">
        <v>395</v>
      </c>
      <c r="U101" s="22" t="n">
        <v>675</v>
      </c>
      <c r="V101" s="22" t="n">
        <v>36</v>
      </c>
      <c r="W101" s="22" t="n">
        <v>25</v>
      </c>
      <c r="X101" s="22" t="n">
        <v>217</v>
      </c>
    </row>
    <row r="102">
      <c r="A102" s="20" t="inlineStr">
        <is>
          <t>순화폐성 포지션 손실</t>
        </is>
      </c>
      <c r="C102" s="22" t="n">
        <v>197</v>
      </c>
    </row>
    <row r="103">
      <c r="A103" s="20" t="inlineStr">
        <is>
          <t>기부금</t>
        </is>
      </c>
      <c r="E103" s="22" t="n">
        <v>242</v>
      </c>
      <c r="T103" s="22" t="n">
        <v>192</v>
      </c>
      <c r="U103" s="22" t="n">
        <v>71</v>
      </c>
    </row>
    <row r="104">
      <c r="A104" s="20" t="inlineStr">
        <is>
          <t>소송 화해금</t>
        </is>
      </c>
      <c r="T104" s="22" t="n">
        <v>0</v>
      </c>
      <c r="U104" s="22" t="n">
        <v>0</v>
      </c>
    </row>
    <row r="105">
      <c r="A105" s="20" t="inlineStr">
        <is>
          <t>고정자산 제각·매각손실</t>
        </is>
      </c>
      <c r="G105" s="22" t="n">
        <v>130</v>
      </c>
      <c r="H105" s="22" t="n">
        <v>85</v>
      </c>
      <c r="K105" s="22" t="n">
        <v>11</v>
      </c>
      <c r="L105" s="22" t="n">
        <v>61</v>
      </c>
      <c r="T105" s="22" t="n">
        <v>355</v>
      </c>
      <c r="U105" s="22" t="n">
        <v>526</v>
      </c>
      <c r="W105" s="22" t="n">
        <v>85</v>
      </c>
      <c r="X105" s="22" t="n">
        <v>61</v>
      </c>
    </row>
    <row r="106">
      <c r="A106" s="20" t="inlineStr">
        <is>
          <t>외환차손</t>
        </is>
      </c>
      <c r="E106" s="22" t="n">
        <v>84</v>
      </c>
      <c r="F106" s="22" t="n">
        <v>620</v>
      </c>
      <c r="I106" s="22" t="n">
        <v>397</v>
      </c>
      <c r="J106" s="22" t="n">
        <v>-75</v>
      </c>
    </row>
    <row r="107">
      <c r="A107" s="20" t="inlineStr">
        <is>
          <t>잡손실</t>
        </is>
      </c>
      <c r="C107" s="22" t="n">
        <v>-190</v>
      </c>
      <c r="D107" s="22" t="n">
        <v>387</v>
      </c>
      <c r="E107" s="22" t="n">
        <v>473</v>
      </c>
      <c r="F107" s="22" t="n">
        <v>1003</v>
      </c>
      <c r="G107" s="22" t="n">
        <v>64</v>
      </c>
      <c r="H107" s="22" t="n">
        <v>121</v>
      </c>
      <c r="I107" s="22" t="n">
        <v>631</v>
      </c>
      <c r="J107" s="22" t="n">
        <v>428</v>
      </c>
      <c r="K107" s="22" t="n">
        <v>87</v>
      </c>
      <c r="L107" s="22" t="n">
        <v>-38</v>
      </c>
      <c r="M107" s="22" t="n">
        <v>445</v>
      </c>
      <c r="N107" s="22" t="n">
        <v>1015</v>
      </c>
      <c r="T107" s="22" t="n">
        <v>126</v>
      </c>
      <c r="U107" s="22" t="n">
        <v>-377</v>
      </c>
      <c r="V107" s="22" t="n">
        <v>387</v>
      </c>
      <c r="W107" s="22" t="n">
        <v>121</v>
      </c>
      <c r="X107" s="22" t="n">
        <v>-38</v>
      </c>
    </row>
    <row r="108">
      <c r="A108" s="20" t="inlineStr">
        <is>
          <t>영업외비용 합계</t>
        </is>
      </c>
      <c r="C108" s="22" t="n">
        <v>705</v>
      </c>
      <c r="D108" s="22" t="n">
        <v>758</v>
      </c>
      <c r="E108" s="22" t="n">
        <v>682</v>
      </c>
      <c r="F108" s="22" t="n">
        <v>1649</v>
      </c>
      <c r="G108" s="22" t="n">
        <v>285</v>
      </c>
      <c r="H108" s="22" t="n">
        <v>1832</v>
      </c>
      <c r="I108" s="22" t="n">
        <v>809</v>
      </c>
      <c r="J108" s="22" t="n">
        <v>1086</v>
      </c>
      <c r="K108" s="22" t="n">
        <v>776</v>
      </c>
      <c r="L108" s="22" t="n">
        <v>1155</v>
      </c>
      <c r="M108" s="22" t="n">
        <v>577</v>
      </c>
      <c r="N108" s="22" t="n">
        <v>1284</v>
      </c>
      <c r="T108" s="22" t="n">
        <v>1068</v>
      </c>
      <c r="U108" s="22" t="n">
        <v>1480</v>
      </c>
      <c r="V108" s="22" t="n">
        <v>758</v>
      </c>
      <c r="W108" s="22" t="n">
        <v>1832</v>
      </c>
      <c r="X108" s="22" t="n">
        <v>1155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IF(OR(G108="",C108=""),"",IF(G108*C108&lt;=0,"",IFERROR(G108/C108-1,"")))</f>
        <v/>
      </c>
      <c r="H109" s="17">
        <f>IF(OR(H108="",D108=""),"",IF(H108*D108&lt;=0,"",IFERROR(H108/D108-1,"")))</f>
        <v/>
      </c>
      <c r="I109" s="17">
        <f>IF(OR(I108="",E108=""),"",IF(I108*E108&lt;=0,"",IFERROR(I108/E108-1,"")))</f>
        <v/>
      </c>
      <c r="J109" s="17">
        <f>IF(OR(J108="",F108=""),"",IF(J108*F108&lt;=0,"",IFERROR(J108/F108-1,"")))</f>
        <v/>
      </c>
      <c r="K109" s="17">
        <f>IF(OR(K108="",G108=""),"",IF(K108*G108&lt;=0,"",IFERROR(K108/G108-1,"")))</f>
        <v/>
      </c>
      <c r="L109" s="17">
        <f>IF(OR(L108="",H108=""),"",IF(L108*H108&lt;=0,"",IFERROR(L108/H108-1,"")))</f>
        <v/>
      </c>
      <c r="M109" s="17">
        <f>IF(OR(M108="",I108=""),"",IF(M108*I108&lt;=0,"",IFERROR(M108/I108-1,"")))</f>
        <v/>
      </c>
      <c r="N109" s="17">
        <f>IF(OR(N108="",J108=""),"",IF(N108*J108&lt;=0,"",IFERROR(N108/J108-1,"")))</f>
        <v/>
      </c>
      <c r="T109" s="17">
        <f>IF(OR(T108="",S108=""),"",IF(T108*S108&lt;=0,"",IFERROR(T108/S108-1,"")))</f>
        <v/>
      </c>
      <c r="U109" s="17">
        <f>IF(OR(U108="",T108=""),"",IF(U108*T108&lt;=0,"",IFERROR(U108/T108-1,"")))</f>
        <v/>
      </c>
      <c r="V109" s="17">
        <f>IF(OR(V108="",U108=""),"",IF(V108*U108&lt;=0,"",IFERROR(V108/U108-1,"")))</f>
        <v/>
      </c>
      <c r="W109" s="17">
        <f>IF(OR(W108="",V108=""),"",IF(W108*V108&lt;=0,"",IFERROR(W108/V108-1,"")))</f>
        <v/>
      </c>
      <c r="X109" s="17">
        <f>IF(OR(X108="",W108=""),"",IF(X108*W108&lt;=0,"",IFERROR(X108/W108-1,"")))</f>
        <v/>
      </c>
    </row>
    <row r="110">
      <c r="A110" s="9" t="inlineStr">
        <is>
          <t>경상이익</t>
        </is>
      </c>
      <c r="C110" s="12" t="n">
        <v>48993</v>
      </c>
      <c r="D110" s="12" t="n">
        <v>46609</v>
      </c>
      <c r="E110" s="12" t="n">
        <v>41129</v>
      </c>
      <c r="F110" s="12" t="n">
        <v>53651</v>
      </c>
      <c r="G110" s="12" t="n">
        <v>44705</v>
      </c>
      <c r="H110" s="12" t="n">
        <v>57253</v>
      </c>
      <c r="I110" s="12" t="n">
        <v>51552</v>
      </c>
      <c r="J110" s="12" t="n">
        <v>56353</v>
      </c>
      <c r="K110" s="12" t="n">
        <v>51414</v>
      </c>
      <c r="L110" s="12" t="n">
        <v>68166</v>
      </c>
      <c r="M110" s="12" t="n">
        <v>68193</v>
      </c>
      <c r="N110" s="12" t="n">
        <v>80852</v>
      </c>
      <c r="T110" s="12" t="n">
        <v>51861</v>
      </c>
      <c r="U110" s="12" t="n">
        <v>53532</v>
      </c>
      <c r="V110" s="12" t="n">
        <v>46609</v>
      </c>
      <c r="W110" s="12" t="n">
        <v>57253</v>
      </c>
      <c r="X110" s="12" t="n">
        <v>68166</v>
      </c>
    </row>
    <row r="111">
      <c r="A111" s="45" t="inlineStr">
        <is>
          <t>YoY</t>
        </is>
      </c>
      <c r="B111" s="3" t="inlineStr">
        <is>
          <t>전년 같은 분기·전년 대비</t>
        </is>
      </c>
      <c r="G111" s="17">
        <f>IF(OR(G110="",C110=""),"",IF(C110&lt;=0,"",IFERROR(G110/C110-1,"")))</f>
        <v/>
      </c>
      <c r="H111" s="17">
        <f>IF(OR(H110="",D110=""),"",IF(D110&lt;=0,"",IFERROR(H110/D110-1,"")))</f>
        <v/>
      </c>
      <c r="I111" s="17">
        <f>IF(OR(I110="",E110=""),"",IF(E110&lt;=0,"",IFERROR(I110/E110-1,"")))</f>
        <v/>
      </c>
      <c r="J111" s="17">
        <f>IF(OR(J110="",F110=""),"",IF(F110&lt;=0,"",IFERROR(J110/F110-1,"")))</f>
        <v/>
      </c>
      <c r="K111" s="17">
        <f>IF(OR(K110="",G110=""),"",IF(G110&lt;=0,"",IFERROR(K110/G110-1,"")))</f>
        <v/>
      </c>
      <c r="L111" s="17">
        <f>IF(OR(L110="",H110=""),"",IF(H110&lt;=0,"",IFERROR(L110/H110-1,"")))</f>
        <v/>
      </c>
      <c r="M111" s="17">
        <f>IF(OR(M110="",I110=""),"",IF(I110&lt;=0,"",IFERROR(M110/I110-1,"")))</f>
        <v/>
      </c>
      <c r="N111" s="17">
        <f>IF(OR(N110="",J110=""),"",IF(J110&lt;=0,"",IFERROR(N110/J110-1,"")))</f>
        <v/>
      </c>
      <c r="T111" s="17">
        <f>IF(OR(T110="",S110=""),"",IF(S110&lt;=0,"",IFERROR(T110/S110-1,"")))</f>
        <v/>
      </c>
      <c r="U111" s="17">
        <f>IF(OR(U110="",T110=""),"",IF(T110&lt;=0,"",IFERROR(U110/T110-1,"")))</f>
        <v/>
      </c>
      <c r="V111" s="17">
        <f>IF(OR(V110="",U110=""),"",IF(U110&lt;=0,"",IFERROR(V110/U110-1,"")))</f>
        <v/>
      </c>
      <c r="W111" s="17">
        <f>IF(OR(W110="",V110=""),"",IF(V110&lt;=0,"",IFERROR(W110/V110-1,"")))</f>
        <v/>
      </c>
      <c r="X111" s="17">
        <f>IF(OR(X110="",W110=""),"",IF(W110&lt;=0,"",IFERROR(X110/W110-1,"")))</f>
        <v/>
      </c>
    </row>
    <row r="112">
      <c r="A112" s="20" t="inlineStr">
        <is>
          <t>해외 자회사 송금사기 손실</t>
        </is>
      </c>
      <c r="T112" s="22" t="n">
        <v>-59</v>
      </c>
      <c r="U112" s="22" t="n">
        <v>0</v>
      </c>
    </row>
    <row r="113">
      <c r="A113" s="20" t="inlineStr">
        <is>
          <t>특별손실 합계</t>
        </is>
      </c>
      <c r="T113" s="22" t="n">
        <v>-59</v>
      </c>
      <c r="U113" s="22" t="n">
        <v>1224</v>
      </c>
    </row>
    <row r="114">
      <c r="A114" s="45" t="inlineStr">
        <is>
          <t>YoY</t>
        </is>
      </c>
      <c r="B114" s="3" t="inlineStr">
        <is>
          <t>전년 같은 분기·전년 대비</t>
        </is>
      </c>
      <c r="T114" s="17">
        <f>IF(OR(T113="",S113=""),"",IF(T113*S113&lt;=0,"",IFERROR(T113/S113-1,"")))</f>
        <v/>
      </c>
      <c r="U114" s="17">
        <f>IF(OR(U113="",T113=""),"",IF(U113*T113&lt;=0,"",IFERROR(U113/T113-1,"")))</f>
        <v/>
      </c>
    </row>
    <row r="115">
      <c r="A115" s="9" t="inlineStr">
        <is>
          <t>법인세차감전 순이익</t>
        </is>
      </c>
      <c r="C115" s="12" t="n">
        <v>48993</v>
      </c>
      <c r="D115" s="12" t="n">
        <v>46609</v>
      </c>
      <c r="E115" s="12" t="n">
        <v>41129</v>
      </c>
      <c r="F115" s="12" t="n">
        <v>53651</v>
      </c>
      <c r="G115" s="12" t="n">
        <v>44705</v>
      </c>
      <c r="H115" s="12" t="n">
        <v>57253</v>
      </c>
      <c r="I115" s="12" t="n">
        <v>51552</v>
      </c>
      <c r="J115" s="12" t="n">
        <v>56353</v>
      </c>
      <c r="K115" s="12" t="n">
        <v>51414</v>
      </c>
      <c r="L115" s="12" t="n">
        <v>68166</v>
      </c>
      <c r="M115" s="12" t="n">
        <v>68193</v>
      </c>
      <c r="N115" s="12" t="n">
        <v>80852</v>
      </c>
      <c r="T115" s="12" t="n">
        <v>51920</v>
      </c>
      <c r="U115" s="12" t="n">
        <v>52308</v>
      </c>
      <c r="V115" s="12" t="n">
        <v>46609</v>
      </c>
      <c r="W115" s="12" t="n">
        <v>57253</v>
      </c>
      <c r="X115" s="12" t="n">
        <v>68166</v>
      </c>
    </row>
    <row r="116">
      <c r="A116" s="45" t="inlineStr">
        <is>
          <t>YoY</t>
        </is>
      </c>
      <c r="B116" s="3" t="inlineStr">
        <is>
          <t>전년 같은 분기·전년 대비</t>
        </is>
      </c>
      <c r="G116" s="17">
        <f>IF(OR(G115="",C115=""),"",IF(C115&lt;=0,"",IFERROR(G115/C115-1,"")))</f>
        <v/>
      </c>
      <c r="H116" s="17">
        <f>IF(OR(H115="",D115=""),"",IF(D115&lt;=0,"",IFERROR(H115/D115-1,"")))</f>
        <v/>
      </c>
      <c r="I116" s="17">
        <f>IF(OR(I115="",E115=""),"",IF(E115&lt;=0,"",IFERROR(I115/E115-1,"")))</f>
        <v/>
      </c>
      <c r="J116" s="17">
        <f>IF(OR(J115="",F115=""),"",IF(F115&lt;=0,"",IFERROR(J115/F115-1,"")))</f>
        <v/>
      </c>
      <c r="K116" s="17">
        <f>IF(OR(K115="",G115=""),"",IF(G115&lt;=0,"",IFERROR(K115/G115-1,"")))</f>
        <v/>
      </c>
      <c r="L116" s="17">
        <f>IF(OR(L115="",H115=""),"",IF(H115&lt;=0,"",IFERROR(L115/H115-1,"")))</f>
        <v/>
      </c>
      <c r="M116" s="17">
        <f>IF(OR(M115="",I115=""),"",IF(I115&lt;=0,"",IFERROR(M115/I115-1,"")))</f>
        <v/>
      </c>
      <c r="N116" s="17">
        <f>IF(OR(N115="",J115=""),"",IF(J115&lt;=0,"",IFERROR(N115/J115-1,"")))</f>
        <v/>
      </c>
      <c r="T116" s="17">
        <f>IF(OR(T115="",S115=""),"",IF(S115&lt;=0,"",IFERROR(T115/S115-1,"")))</f>
        <v/>
      </c>
      <c r="U116" s="17">
        <f>IF(OR(U115="",T115=""),"",IF(T115&lt;=0,"",IFERROR(U115/T115-1,"")))</f>
        <v/>
      </c>
      <c r="V116" s="17">
        <f>IF(OR(V115="",U115=""),"",IF(U115&lt;=0,"",IFERROR(V115/U115-1,"")))</f>
        <v/>
      </c>
      <c r="W116" s="17">
        <f>IF(OR(W115="",V115=""),"",IF(V115&lt;=0,"",IFERROR(W115/V115-1,"")))</f>
        <v/>
      </c>
      <c r="X116" s="17">
        <f>IF(OR(X115="",W115=""),"",IF(W115&lt;=0,"",IFERROR(X115/W115-1,"")))</f>
        <v/>
      </c>
    </row>
    <row r="117">
      <c r="A117" s="20" t="inlineStr">
        <is>
          <t>법인세·주민세·사업세</t>
        </is>
      </c>
      <c r="C117" s="22" t="n">
        <v>6675</v>
      </c>
      <c r="D117" s="22" t="n">
        <v>10838</v>
      </c>
      <c r="E117" s="22" t="n">
        <v>9275</v>
      </c>
      <c r="F117" s="22" t="n">
        <v>14787</v>
      </c>
      <c r="G117" s="22" t="n">
        <v>11422</v>
      </c>
      <c r="H117" s="22" t="n">
        <v>10435</v>
      </c>
      <c r="I117" s="22" t="n">
        <v>12426</v>
      </c>
      <c r="J117" s="22" t="n">
        <v>16736</v>
      </c>
      <c r="K117" s="22" t="n">
        <v>11768</v>
      </c>
      <c r="L117" s="22" t="n">
        <v>11029</v>
      </c>
      <c r="M117" s="22" t="n">
        <v>13981</v>
      </c>
      <c r="N117" s="22" t="n">
        <v>19051</v>
      </c>
      <c r="T117" s="22" t="n">
        <v>17413</v>
      </c>
      <c r="U117" s="22" t="n">
        <v>14015</v>
      </c>
      <c r="V117" s="22" t="n">
        <v>10838</v>
      </c>
      <c r="W117" s="22" t="n">
        <v>10435</v>
      </c>
      <c r="X117" s="22" t="n">
        <v>11029</v>
      </c>
    </row>
    <row r="118">
      <c r="A118" s="20" t="inlineStr">
        <is>
          <t>과년도 법인세</t>
        </is>
      </c>
      <c r="D118" s="22" t="n">
        <v>0</v>
      </c>
      <c r="H118" s="22" t="n">
        <v>0</v>
      </c>
      <c r="U118" s="22" t="n">
        <v>0</v>
      </c>
      <c r="V118" s="22" t="n">
        <v>0</v>
      </c>
      <c r="W118" s="22" t="n">
        <v>0</v>
      </c>
    </row>
    <row r="119">
      <c r="A119" s="20" t="inlineStr">
        <is>
          <t>법인세 조정액</t>
        </is>
      </c>
      <c r="C119" s="22" t="n">
        <v>4070</v>
      </c>
      <c r="D119" s="22" t="n">
        <v>367</v>
      </c>
      <c r="E119" s="22" t="n">
        <v>2074</v>
      </c>
      <c r="F119" s="22" t="n">
        <v>-3147</v>
      </c>
      <c r="G119" s="22" t="n">
        <v>-541</v>
      </c>
      <c r="H119" s="22" t="n">
        <v>1086</v>
      </c>
      <c r="I119" s="22" t="n">
        <v>513</v>
      </c>
      <c r="J119" s="22" t="n">
        <v>-3122</v>
      </c>
      <c r="K119" s="22" t="n">
        <v>2044</v>
      </c>
      <c r="L119" s="22" t="n">
        <v>6694</v>
      </c>
      <c r="M119" s="22" t="n">
        <v>2303</v>
      </c>
      <c r="N119" s="22" t="n">
        <v>-1029</v>
      </c>
      <c r="T119" s="22" t="n">
        <v>-2769</v>
      </c>
      <c r="U119" s="22" t="n">
        <v>-3118</v>
      </c>
      <c r="V119" s="22" t="n">
        <v>367</v>
      </c>
      <c r="W119" s="22" t="n">
        <v>1086</v>
      </c>
      <c r="X119" s="22" t="n">
        <v>6694</v>
      </c>
    </row>
    <row r="120">
      <c r="A120" s="20" t="inlineStr">
        <is>
          <t>법인세 등 합계</t>
        </is>
      </c>
      <c r="C120" s="22" t="n">
        <v>13957</v>
      </c>
      <c r="D120" s="22" t="n">
        <v>11205</v>
      </c>
      <c r="E120" s="22" t="n">
        <v>11349</v>
      </c>
      <c r="F120" s="22" t="n">
        <v>11640</v>
      </c>
      <c r="G120" s="22" t="n">
        <v>10881</v>
      </c>
      <c r="H120" s="22" t="n">
        <v>11521</v>
      </c>
      <c r="I120" s="22" t="n">
        <v>12939</v>
      </c>
      <c r="J120" s="22" t="n">
        <v>13614</v>
      </c>
      <c r="K120" s="22" t="n">
        <v>13812</v>
      </c>
      <c r="L120" s="22" t="n">
        <v>17723</v>
      </c>
      <c r="M120" s="22" t="n">
        <v>16284</v>
      </c>
      <c r="N120" s="22" t="n">
        <v>18022</v>
      </c>
      <c r="T120" s="22" t="n">
        <v>14644</v>
      </c>
      <c r="U120" s="22" t="n">
        <v>10897</v>
      </c>
      <c r="V120" s="22" t="n">
        <v>11205</v>
      </c>
      <c r="W120" s="22" t="n">
        <v>11521</v>
      </c>
      <c r="X120" s="22" t="n">
        <v>17723</v>
      </c>
    </row>
    <row r="121">
      <c r="A121" s="45" t="inlineStr">
        <is>
          <t>YoY</t>
        </is>
      </c>
      <c r="B121" s="3" t="inlineStr">
        <is>
          <t>전년 같은 분기·전년 대비</t>
        </is>
      </c>
      <c r="G121" s="17">
        <f>IF(OR(G120="",C120=""),"",IF(G120*C120&lt;=0,"",IFERROR(G120/C120-1,"")))</f>
        <v/>
      </c>
      <c r="H121" s="17">
        <f>IF(OR(H120="",D120=""),"",IF(H120*D120&lt;=0,"",IFERROR(H120/D120-1,"")))</f>
        <v/>
      </c>
      <c r="I121" s="17">
        <f>IF(OR(I120="",E120=""),"",IF(I120*E120&lt;=0,"",IFERROR(I120/E120-1,"")))</f>
        <v/>
      </c>
      <c r="J121" s="17">
        <f>IF(OR(J120="",F120=""),"",IF(J120*F120&lt;=0,"",IFERROR(J120/F120-1,"")))</f>
        <v/>
      </c>
      <c r="K121" s="17">
        <f>IF(OR(K120="",G120=""),"",IF(K120*G120&lt;=0,"",IFERROR(K120/G120-1,"")))</f>
        <v/>
      </c>
      <c r="L121" s="17">
        <f>IF(OR(L120="",H120=""),"",IF(L120*H120&lt;=0,"",IFERROR(L120/H120-1,"")))</f>
        <v/>
      </c>
      <c r="M121" s="17">
        <f>IF(OR(M120="",I120=""),"",IF(M120*I120&lt;=0,"",IFERROR(M120/I120-1,"")))</f>
        <v/>
      </c>
      <c r="N121" s="17">
        <f>IF(OR(N120="",J120=""),"",IF(N120*J120&lt;=0,"",IFERROR(N120/J120-1,"")))</f>
        <v/>
      </c>
      <c r="T121" s="17">
        <f>IF(OR(T120="",S120=""),"",IF(T120*S120&lt;=0,"",IFERROR(T120/S120-1,"")))</f>
        <v/>
      </c>
      <c r="U121" s="17">
        <f>IF(OR(U120="",T120=""),"",IF(U120*T120&lt;=0,"",IFERROR(U120/T120-1,"")))</f>
        <v/>
      </c>
      <c r="V121" s="17">
        <f>IF(OR(V120="",U120=""),"",IF(V120*U120&lt;=0,"",IFERROR(V120/U120-1,"")))</f>
        <v/>
      </c>
      <c r="W121" s="17">
        <f>IF(OR(W120="",V120=""),"",IF(W120*V120&lt;=0,"",IFERROR(W120/V120-1,"")))</f>
        <v/>
      </c>
      <c r="X121" s="17">
        <f>IF(OR(X120="",W120=""),"",IF(X120*W120&lt;=0,"",IFERROR(X120/W120-1,"")))</f>
        <v/>
      </c>
    </row>
    <row r="122">
      <c r="A122" s="9" t="inlineStr">
        <is>
          <t>순이익</t>
        </is>
      </c>
      <c r="C122" s="12" t="n">
        <v>35036</v>
      </c>
      <c r="D122" s="12" t="n">
        <v>35404</v>
      </c>
      <c r="E122" s="12" t="n">
        <v>29780</v>
      </c>
      <c r="F122" s="12" t="n">
        <v>42011</v>
      </c>
      <c r="G122" s="12" t="n">
        <v>33824</v>
      </c>
      <c r="H122" s="12" t="n">
        <v>45732</v>
      </c>
      <c r="I122" s="12" t="n">
        <v>38613</v>
      </c>
      <c r="J122" s="12" t="n">
        <v>42739</v>
      </c>
      <c r="K122" s="12" t="n">
        <v>37602</v>
      </c>
      <c r="L122" s="12" t="n">
        <v>50443</v>
      </c>
      <c r="M122" s="12" t="n">
        <v>51909</v>
      </c>
      <c r="N122" s="12" t="n">
        <v>62830</v>
      </c>
      <c r="T122" s="12" t="n">
        <v>37276</v>
      </c>
      <c r="U122" s="12" t="n">
        <v>41411</v>
      </c>
      <c r="V122" s="12" t="n">
        <v>35404</v>
      </c>
      <c r="W122" s="12" t="n">
        <v>45732</v>
      </c>
      <c r="X122" s="12" t="n">
        <v>50443</v>
      </c>
    </row>
    <row r="123">
      <c r="A123" s="45" t="inlineStr">
        <is>
          <t>YoY</t>
        </is>
      </c>
      <c r="B123" s="3" t="inlineStr">
        <is>
          <t>전년 같은 분기·전년 대비</t>
        </is>
      </c>
      <c r="G123" s="17">
        <f>IF(OR(G122="",C122=""),"",IF(C122&lt;=0,"",IFERROR(G122/C122-1,"")))</f>
        <v/>
      </c>
      <c r="H123" s="17">
        <f>IF(OR(H122="",D122=""),"",IF(D122&lt;=0,"",IFERROR(H122/D122-1,"")))</f>
        <v/>
      </c>
      <c r="I123" s="17">
        <f>IF(OR(I122="",E122=""),"",IF(E122&lt;=0,"",IFERROR(I122/E122-1,"")))</f>
        <v/>
      </c>
      <c r="J123" s="17">
        <f>IF(OR(J122="",F122=""),"",IF(F122&lt;=0,"",IFERROR(J122/F122-1,"")))</f>
        <v/>
      </c>
      <c r="K123" s="17">
        <f>IF(OR(K122="",G122=""),"",IF(G122&lt;=0,"",IFERROR(K122/G122-1,"")))</f>
        <v/>
      </c>
      <c r="L123" s="17">
        <f>IF(OR(L122="",H122=""),"",IF(H122&lt;=0,"",IFERROR(L122/H122-1,"")))</f>
        <v/>
      </c>
      <c r="M123" s="17">
        <f>IF(OR(M122="",I122=""),"",IF(I122&lt;=0,"",IFERROR(M122/I122-1,"")))</f>
        <v/>
      </c>
      <c r="N123" s="17">
        <f>IF(OR(N122="",J122=""),"",IF(J122&lt;=0,"",IFERROR(N122/J122-1,"")))</f>
        <v/>
      </c>
      <c r="T123" s="17">
        <f>IF(OR(T122="",S122=""),"",IF(S122&lt;=0,"",IFERROR(T122/S122-1,"")))</f>
        <v/>
      </c>
      <c r="U123" s="17">
        <f>IF(OR(U122="",T122=""),"",IF(T122&lt;=0,"",IFERROR(U122/T122-1,"")))</f>
        <v/>
      </c>
      <c r="V123" s="17">
        <f>IF(OR(V122="",U122=""),"",IF(U122&lt;=0,"",IFERROR(V122/U122-1,"")))</f>
        <v/>
      </c>
      <c r="W123" s="17">
        <f>IF(OR(W122="",V122=""),"",IF(V122&lt;=0,"",IFERROR(W122/V122-1,"")))</f>
        <v/>
      </c>
      <c r="X123" s="17">
        <f>IF(OR(X122="",W122=""),"",IF(W122&lt;=0,"",IFERROR(X122/W122-1,"")))</f>
        <v/>
      </c>
    </row>
    <row r="124">
      <c r="A124" s="9" t="inlineStr">
        <is>
          <t>비지배주주 순이익</t>
        </is>
      </c>
      <c r="C124" s="12" t="n">
        <v>633</v>
      </c>
      <c r="D124" s="12" t="n">
        <v>585</v>
      </c>
      <c r="E124" s="12" t="n">
        <v>977</v>
      </c>
      <c r="F124" s="12" t="n">
        <v>892</v>
      </c>
      <c r="G124" s="12" t="n">
        <v>962</v>
      </c>
      <c r="H124" s="12" t="n">
        <v>959</v>
      </c>
      <c r="I124" s="12" t="n">
        <v>769</v>
      </c>
      <c r="J124" s="12" t="n">
        <v>763</v>
      </c>
      <c r="K124" s="12" t="n">
        <v>560</v>
      </c>
      <c r="L124" s="12" t="n">
        <v>762</v>
      </c>
      <c r="M124" s="12" t="n">
        <v>928</v>
      </c>
      <c r="N124" s="12" t="n">
        <v>1235</v>
      </c>
      <c r="T124" s="12" t="n">
        <v>775</v>
      </c>
      <c r="U124" s="12" t="n">
        <v>631</v>
      </c>
      <c r="V124" s="12" t="n">
        <v>585</v>
      </c>
      <c r="W124" s="12" t="n">
        <v>959</v>
      </c>
      <c r="X124" s="12" t="n">
        <v>762</v>
      </c>
    </row>
    <row r="125">
      <c r="A125" s="9" t="inlineStr">
        <is>
          <t>지배주주 순이익</t>
        </is>
      </c>
      <c r="C125" s="12" t="n">
        <v>34403</v>
      </c>
      <c r="D125" s="12" t="n">
        <v>34819</v>
      </c>
      <c r="E125" s="12" t="n">
        <v>28803</v>
      </c>
      <c r="F125" s="12" t="n">
        <v>41119</v>
      </c>
      <c r="G125" s="12" t="n">
        <v>32862</v>
      </c>
      <c r="H125" s="12" t="n">
        <v>44773</v>
      </c>
      <c r="I125" s="12" t="n">
        <v>37844</v>
      </c>
      <c r="J125" s="12" t="n">
        <v>41976</v>
      </c>
      <c r="K125" s="12" t="n">
        <v>37042</v>
      </c>
      <c r="L125" s="12" t="n">
        <v>49681</v>
      </c>
      <c r="M125" s="12" t="n">
        <v>50981</v>
      </c>
      <c r="N125" s="12" t="n">
        <v>61595</v>
      </c>
      <c r="T125" s="12" t="n">
        <v>36501</v>
      </c>
      <c r="U125" s="12" t="n">
        <v>40780</v>
      </c>
      <c r="V125" s="12" t="n">
        <v>34819</v>
      </c>
      <c r="W125" s="12" t="n">
        <v>44773</v>
      </c>
      <c r="X125" s="12" t="n">
        <v>49681</v>
      </c>
    </row>
    <row r="126">
      <c r="A126" s="45" t="inlineStr">
        <is>
          <t>YoY</t>
        </is>
      </c>
      <c r="B126" s="3" t="inlineStr">
        <is>
          <t>전년 같은 분기·전년 대비</t>
        </is>
      </c>
      <c r="G126" s="17">
        <f>IF(OR(G125="",C125=""),"",IF(C125&lt;=0,"",IFERROR(G125/C125-1,"")))</f>
        <v/>
      </c>
      <c r="H126" s="17">
        <f>IF(OR(H125="",D125=""),"",IF(D125&lt;=0,"",IFERROR(H125/D125-1,"")))</f>
        <v/>
      </c>
      <c r="I126" s="17">
        <f>IF(OR(I125="",E125=""),"",IF(E125&lt;=0,"",IFERROR(I125/E125-1,"")))</f>
        <v/>
      </c>
      <c r="J126" s="17">
        <f>IF(OR(J125="",F125=""),"",IF(F125&lt;=0,"",IFERROR(J125/F125-1,"")))</f>
        <v/>
      </c>
      <c r="K126" s="17">
        <f>IF(OR(K125="",G125=""),"",IF(G125&lt;=0,"",IFERROR(K125/G125-1,"")))</f>
        <v/>
      </c>
      <c r="L126" s="17">
        <f>IF(OR(L125="",H125=""),"",IF(H125&lt;=0,"",IFERROR(L125/H125-1,"")))</f>
        <v/>
      </c>
      <c r="M126" s="17">
        <f>IF(OR(M125="",I125=""),"",IF(I125&lt;=0,"",IFERROR(M125/I125-1,"")))</f>
        <v/>
      </c>
      <c r="N126" s="17">
        <f>IF(OR(N125="",J125=""),"",IF(J125&lt;=0,"",IFERROR(N125/J125-1,"")))</f>
        <v/>
      </c>
      <c r="T126" s="17">
        <f>IF(OR(T125="",S125=""),"",IF(S125&lt;=0,"",IFERROR(T125/S125-1,"")))</f>
        <v/>
      </c>
      <c r="U126" s="17">
        <f>IF(OR(U125="",T125=""),"",IF(T125&lt;=0,"",IFERROR(U125/T125-1,"")))</f>
        <v/>
      </c>
      <c r="V126" s="17">
        <f>IF(OR(V125="",U125=""),"",IF(U125&lt;=0,"",IFERROR(V125/U125-1,"")))</f>
        <v/>
      </c>
      <c r="W126" s="17">
        <f>IF(OR(W125="",V125=""),"",IF(V125&lt;=0,"",IFERROR(W125/V125-1,"")))</f>
        <v/>
      </c>
      <c r="X126" s="17">
        <f>IF(OR(X125="",W125=""),"",IF(W125&lt;=0,"",IFERROR(X125/W125-1,"")))</f>
        <v/>
      </c>
    </row>
    <row r="128">
      <c r="A128" s="18" t="inlineStr">
        <is>
          <t>포괄손익 · 전 항목</t>
        </is>
      </c>
      <c r="B128" s="44" t="inlineStr">
        <is>
          <t>분기 = 3개월 단독</t>
        </is>
      </c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</row>
    <row r="129">
      <c r="A129" s="5" t="inlineStr">
        <is>
          <t>항목</t>
        </is>
      </c>
      <c r="B129" s="5" t="inlineStr">
        <is>
          <t>참고</t>
        </is>
      </c>
      <c r="C129" s="5" t="inlineStr">
        <is>
          <t>2024.3Q</t>
        </is>
      </c>
      <c r="D129" s="5" t="inlineStr">
        <is>
          <t>2024.4Q</t>
        </is>
      </c>
      <c r="E129" s="5" t="inlineStr">
        <is>
          <t>2025.1Q</t>
        </is>
      </c>
      <c r="F129" s="5" t="inlineStr">
        <is>
          <t>2025.2Q</t>
        </is>
      </c>
      <c r="G129" s="5" t="inlineStr">
        <is>
          <t>2025.3Q</t>
        </is>
      </c>
      <c r="H129" s="5" t="inlineStr">
        <is>
          <t>2025.4Q</t>
        </is>
      </c>
      <c r="I129" s="5" t="inlineStr">
        <is>
          <t>2026.1Q</t>
        </is>
      </c>
      <c r="J129" s="5" t="inlineStr">
        <is>
          <t>2026.2Q</t>
        </is>
      </c>
      <c r="K129" s="5" t="inlineStr">
        <is>
          <t>2026.3Q</t>
        </is>
      </c>
      <c r="L129" s="5" t="inlineStr">
        <is>
          <t>2026.4Q</t>
        </is>
      </c>
      <c r="M129" s="5" t="inlineStr">
        <is>
          <t>2027.1Q</t>
        </is>
      </c>
      <c r="N129" s="5" t="inlineStr">
        <is>
          <t>2027.2Q</t>
        </is>
      </c>
      <c r="O129" s="5" t="inlineStr">
        <is>
          <t>2017</t>
        </is>
      </c>
      <c r="P129" s="5" t="inlineStr">
        <is>
          <t>2018</t>
        </is>
      </c>
      <c r="Q129" s="5" t="inlineStr">
        <is>
          <t>2019</t>
        </is>
      </c>
      <c r="R129" s="5" t="inlineStr">
        <is>
          <t>2020</t>
        </is>
      </c>
      <c r="S129" s="5" t="inlineStr">
        <is>
          <t>2021</t>
        </is>
      </c>
      <c r="T129" s="5" t="inlineStr">
        <is>
          <t>2022</t>
        </is>
      </c>
      <c r="U129" s="5" t="inlineStr">
        <is>
          <t>2023</t>
        </is>
      </c>
      <c r="V129" s="5" t="inlineStr">
        <is>
          <t>2024</t>
        </is>
      </c>
      <c r="W129" s="5" t="inlineStr">
        <is>
          <t>2025</t>
        </is>
      </c>
      <c r="X129" s="5" t="inlineStr">
        <is>
          <t>2026</t>
        </is>
      </c>
      <c r="Y129" s="5" t="inlineStr">
        <is>
          <t>2027(MW)</t>
        </is>
      </c>
      <c r="Z129" s="5" t="inlineStr">
        <is>
          <t>2028(MW)</t>
        </is>
      </c>
      <c r="AA129" s="5" t="inlineStr">
        <is>
          <t>2029(MW)</t>
        </is>
      </c>
      <c r="AB129" s="5" t="inlineStr">
        <is>
          <t>2030(MW)</t>
        </is>
      </c>
      <c r="AC129" s="5" t="inlineStr">
        <is>
          <t>2031(MW)</t>
        </is>
      </c>
    </row>
    <row r="130">
      <c r="A130" s="9" t="inlineStr">
        <is>
          <t>순이익</t>
        </is>
      </c>
      <c r="C130" s="12" t="n">
        <v>35036</v>
      </c>
      <c r="D130" s="12" t="n">
        <v>35404</v>
      </c>
      <c r="E130" s="12" t="n">
        <v>29780</v>
      </c>
      <c r="F130" s="12" t="n">
        <v>42011</v>
      </c>
      <c r="G130" s="12" t="n">
        <v>33824</v>
      </c>
      <c r="H130" s="12" t="n">
        <v>45732</v>
      </c>
      <c r="I130" s="12" t="n">
        <v>38613</v>
      </c>
      <c r="J130" s="12" t="n">
        <v>42739</v>
      </c>
      <c r="K130" s="12" t="n">
        <v>37602</v>
      </c>
      <c r="L130" s="12" t="n">
        <v>50443</v>
      </c>
      <c r="M130" s="12" t="n">
        <v>51909</v>
      </c>
      <c r="N130" s="12" t="n">
        <v>62830</v>
      </c>
      <c r="T130" s="12" t="n">
        <v>37276</v>
      </c>
      <c r="U130" s="12" t="n">
        <v>41411</v>
      </c>
      <c r="V130" s="12" t="n">
        <v>35404</v>
      </c>
      <c r="W130" s="12" t="n">
        <v>45732</v>
      </c>
      <c r="X130" s="12" t="n">
        <v>50443</v>
      </c>
    </row>
    <row r="131">
      <c r="A131" s="20" t="inlineStr">
        <is>
          <t>기타유가증권 평가차액</t>
        </is>
      </c>
      <c r="C131" s="22" t="n">
        <v>-1285</v>
      </c>
      <c r="D131" s="22" t="n">
        <v>7042</v>
      </c>
      <c r="E131" s="22" t="n">
        <v>-1227</v>
      </c>
      <c r="F131" s="22" t="n">
        <v>-2125</v>
      </c>
      <c r="G131" s="22" t="n">
        <v>1294</v>
      </c>
      <c r="H131" s="22" t="n">
        <v>-4888</v>
      </c>
      <c r="I131" s="22" t="n">
        <v>1134</v>
      </c>
      <c r="J131" s="22" t="n">
        <v>9402</v>
      </c>
      <c r="K131" s="22" t="n">
        <v>5228</v>
      </c>
      <c r="L131" s="22" t="n">
        <v>-1742</v>
      </c>
      <c r="M131" s="22" t="n">
        <v>14128</v>
      </c>
      <c r="N131" s="22" t="n">
        <v>-3039</v>
      </c>
      <c r="T131" s="22" t="n">
        <v>-921</v>
      </c>
      <c r="U131" s="22" t="n">
        <v>494</v>
      </c>
      <c r="V131" s="22" t="n">
        <v>7042</v>
      </c>
      <c r="W131" s="22" t="n">
        <v>-4888</v>
      </c>
      <c r="X131" s="22" t="n">
        <v>-1742</v>
      </c>
    </row>
    <row r="132">
      <c r="A132" s="20" t="inlineStr">
        <is>
          <t>해외사업환산조정</t>
        </is>
      </c>
      <c r="C132" s="22" t="n">
        <v>-14503</v>
      </c>
      <c r="D132" s="22" t="n">
        <v>25123</v>
      </c>
      <c r="E132" s="22" t="n">
        <v>30983</v>
      </c>
      <c r="F132" s="22" t="n">
        <v>-54700</v>
      </c>
      <c r="G132" s="22" t="n">
        <v>33513</v>
      </c>
      <c r="H132" s="22" t="n">
        <v>-24074</v>
      </c>
      <c r="I132" s="22" t="n">
        <v>3386</v>
      </c>
      <c r="J132" s="22" t="n">
        <v>10891</v>
      </c>
      <c r="K132" s="22" t="n">
        <v>26417</v>
      </c>
      <c r="L132" s="22" t="n">
        <v>2755</v>
      </c>
      <c r="M132" s="22" t="n">
        <v>8524</v>
      </c>
      <c r="N132" s="22" t="n">
        <v>-12477</v>
      </c>
      <c r="T132" s="22" t="n">
        <v>22148</v>
      </c>
      <c r="U132" s="22" t="n">
        <v>5004</v>
      </c>
      <c r="V132" s="22" t="n">
        <v>25123</v>
      </c>
      <c r="W132" s="22" t="n">
        <v>-24074</v>
      </c>
      <c r="X132" s="22" t="n">
        <v>2755</v>
      </c>
    </row>
    <row r="133">
      <c r="A133" s="20" t="inlineStr">
        <is>
          <t>퇴직급여 조정액</t>
        </is>
      </c>
      <c r="C133" s="22" t="n">
        <v>1161</v>
      </c>
      <c r="D133" s="22" t="n">
        <v>8782</v>
      </c>
      <c r="E133" s="22" t="n">
        <v>-97</v>
      </c>
      <c r="F133" s="22" t="n">
        <v>1538</v>
      </c>
      <c r="G133" s="22" t="n">
        <v>-426</v>
      </c>
      <c r="H133" s="22" t="n">
        <v>9670</v>
      </c>
      <c r="I133" s="22" t="n">
        <v>427</v>
      </c>
      <c r="J133" s="22" t="n">
        <v>-17</v>
      </c>
      <c r="K133" s="22" t="n">
        <v>-183</v>
      </c>
      <c r="L133" s="22" t="n">
        <v>8770</v>
      </c>
      <c r="M133" s="22" t="n">
        <v>-497</v>
      </c>
      <c r="N133" s="22" t="n">
        <v>-136</v>
      </c>
      <c r="T133" s="22" t="n">
        <v>660</v>
      </c>
      <c r="U133" s="22" t="n">
        <v>-2338</v>
      </c>
      <c r="V133" s="22" t="n">
        <v>8782</v>
      </c>
      <c r="W133" s="22" t="n">
        <v>9670</v>
      </c>
      <c r="X133" s="22" t="n">
        <v>8770</v>
      </c>
    </row>
    <row r="134">
      <c r="A134" s="20" t="inlineStr">
        <is>
          <t>지분법 적용회사 지분 해당액</t>
        </is>
      </c>
      <c r="C134" s="22" t="n">
        <v>4696</v>
      </c>
      <c r="D134" s="22" t="n">
        <v>-5231</v>
      </c>
      <c r="E134" s="22" t="n">
        <v>9897</v>
      </c>
      <c r="F134" s="22" t="n">
        <v>7399</v>
      </c>
      <c r="G134" s="22" t="n">
        <v>-13258</v>
      </c>
      <c r="H134" s="22" t="n">
        <v>9794</v>
      </c>
      <c r="I134" s="22" t="n">
        <v>-8634</v>
      </c>
      <c r="J134" s="22" t="n">
        <v>-3361</v>
      </c>
      <c r="K134" s="22" t="n">
        <v>5175</v>
      </c>
      <c r="L134" s="22" t="n">
        <v>10487</v>
      </c>
      <c r="M134" s="22" t="n">
        <v>6979</v>
      </c>
      <c r="N134" s="22" t="n">
        <v>4826</v>
      </c>
      <c r="T134" s="22" t="n">
        <v>4202</v>
      </c>
      <c r="U134" s="22" t="n">
        <v>-7749</v>
      </c>
      <c r="V134" s="22" t="n">
        <v>-5231</v>
      </c>
      <c r="W134" s="22" t="n">
        <v>9794</v>
      </c>
      <c r="X134" s="22" t="n">
        <v>10487</v>
      </c>
    </row>
    <row r="135">
      <c r="A135" s="20" t="inlineStr">
        <is>
          <t>기타포괄손익 합계</t>
        </is>
      </c>
      <c r="C135" s="22" t="n">
        <v>-9931</v>
      </c>
      <c r="D135" s="22" t="n">
        <v>35716</v>
      </c>
      <c r="E135" s="22" t="n">
        <v>39556</v>
      </c>
      <c r="F135" s="22" t="n">
        <v>-47888</v>
      </c>
      <c r="G135" s="22" t="n">
        <v>21123</v>
      </c>
      <c r="H135" s="22" t="n">
        <v>-9498</v>
      </c>
      <c r="I135" s="22" t="n">
        <v>-3687</v>
      </c>
      <c r="J135" s="22" t="n">
        <v>16915</v>
      </c>
      <c r="K135" s="22" t="n">
        <v>36637</v>
      </c>
      <c r="L135" s="22" t="n">
        <v>20270</v>
      </c>
      <c r="M135" s="22" t="n">
        <v>29134</v>
      </c>
      <c r="N135" s="22" t="n">
        <v>-10826</v>
      </c>
      <c r="T135" s="22" t="n">
        <v>26089</v>
      </c>
      <c r="U135" s="22" t="n">
        <v>-4589</v>
      </c>
      <c r="V135" s="22" t="n">
        <v>35716</v>
      </c>
      <c r="W135" s="22" t="n">
        <v>-9498</v>
      </c>
      <c r="X135" s="22" t="n">
        <v>20270</v>
      </c>
    </row>
    <row r="136">
      <c r="A136" s="9" t="inlineStr">
        <is>
          <t>포괄이익</t>
        </is>
      </c>
      <c r="C136" s="12" t="n">
        <v>25105</v>
      </c>
      <c r="D136" s="12" t="n">
        <v>71120</v>
      </c>
      <c r="E136" s="12" t="n">
        <v>69336</v>
      </c>
      <c r="F136" s="12" t="n">
        <v>-5877</v>
      </c>
      <c r="G136" s="12" t="n">
        <v>54947</v>
      </c>
      <c r="H136" s="12" t="n">
        <v>36234</v>
      </c>
      <c r="I136" s="12" t="n">
        <v>34926</v>
      </c>
      <c r="J136" s="12" t="n">
        <v>59654</v>
      </c>
      <c r="K136" s="12" t="n">
        <v>74239</v>
      </c>
      <c r="L136" s="12" t="n">
        <v>70713</v>
      </c>
      <c r="M136" s="12" t="n">
        <v>81043</v>
      </c>
      <c r="N136" s="12" t="n">
        <v>52004</v>
      </c>
      <c r="T136" s="12" t="n">
        <v>63365</v>
      </c>
      <c r="U136" s="12" t="n">
        <v>36822</v>
      </c>
      <c r="V136" s="12" t="n">
        <v>71120</v>
      </c>
      <c r="W136" s="12" t="n">
        <v>36234</v>
      </c>
      <c r="X136" s="12" t="n">
        <v>70713</v>
      </c>
    </row>
    <row r="137">
      <c r="A137" s="9" t="inlineStr">
        <is>
          <t>지배주주 포괄이익</t>
        </is>
      </c>
      <c r="C137" s="12" t="n">
        <v>24822</v>
      </c>
      <c r="D137" s="12" t="n">
        <v>69882</v>
      </c>
      <c r="E137" s="12" t="n">
        <v>67694</v>
      </c>
      <c r="F137" s="12" t="n">
        <v>-5626</v>
      </c>
      <c r="G137" s="12" t="n">
        <v>54944</v>
      </c>
      <c r="H137" s="12" t="n">
        <v>34439</v>
      </c>
      <c r="I137" s="12" t="n">
        <v>34308</v>
      </c>
      <c r="J137" s="12" t="n">
        <v>58484</v>
      </c>
      <c r="K137" s="12" t="n">
        <v>72749</v>
      </c>
      <c r="L137" s="12" t="n">
        <v>69600</v>
      </c>
      <c r="M137" s="12" t="n">
        <v>79669</v>
      </c>
      <c r="N137" s="12" t="n">
        <v>50673</v>
      </c>
      <c r="T137" s="12" t="n">
        <v>61867</v>
      </c>
      <c r="U137" s="12" t="n">
        <v>36156</v>
      </c>
      <c r="V137" s="12" t="n">
        <v>69882</v>
      </c>
      <c r="W137" s="12" t="n">
        <v>34439</v>
      </c>
      <c r="X137" s="12" t="n">
        <v>69600</v>
      </c>
    </row>
    <row r="138">
      <c r="A138" s="9" t="inlineStr">
        <is>
          <t>비지배주주 포괄이익</t>
        </is>
      </c>
      <c r="C138" s="12" t="n">
        <v>283</v>
      </c>
      <c r="D138" s="12" t="n">
        <v>1238</v>
      </c>
      <c r="E138" s="12" t="n">
        <v>1642</v>
      </c>
      <c r="F138" s="12" t="n">
        <v>-251</v>
      </c>
      <c r="G138" s="12" t="n">
        <v>3</v>
      </c>
      <c r="H138" s="12" t="n">
        <v>1795</v>
      </c>
      <c r="I138" s="12" t="n">
        <v>618</v>
      </c>
      <c r="J138" s="12" t="n">
        <v>1170</v>
      </c>
      <c r="K138" s="12" t="n">
        <v>1490</v>
      </c>
      <c r="L138" s="12" t="n">
        <v>1113</v>
      </c>
      <c r="M138" s="12" t="n">
        <v>1374</v>
      </c>
      <c r="N138" s="12" t="n">
        <v>1331</v>
      </c>
      <c r="T138" s="12" t="n">
        <v>1498</v>
      </c>
      <c r="U138" s="12" t="n">
        <v>666</v>
      </c>
      <c r="V138" s="12" t="n">
        <v>1238</v>
      </c>
      <c r="W138" s="12" t="n">
        <v>1795</v>
      </c>
      <c r="X138" s="12" t="n">
        <v>1113</v>
      </c>
    </row>
    <row r="140">
      <c r="A140" s="18" t="inlineStr">
        <is>
          <t>현금흐름표 · 전 항목</t>
        </is>
      </c>
      <c r="B140" s="44" t="inlineStr">
        <is>
          <t>분기 = 결산기 첫날부터 누계(공시 그대로)</t>
        </is>
      </c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</row>
    <row r="141">
      <c r="A141" s="5" t="inlineStr">
        <is>
          <t>항목</t>
        </is>
      </c>
      <c r="B141" s="5" t="inlineStr">
        <is>
          <t>참고</t>
        </is>
      </c>
      <c r="C141" s="5" t="inlineStr">
        <is>
          <t>2024.3Q</t>
        </is>
      </c>
      <c r="D141" s="5" t="inlineStr">
        <is>
          <t>2024.4Q</t>
        </is>
      </c>
      <c r="E141" s="5" t="inlineStr">
        <is>
          <t>2025.1Q</t>
        </is>
      </c>
      <c r="F141" s="5" t="inlineStr">
        <is>
          <t>2025.2Q</t>
        </is>
      </c>
      <c r="G141" s="5" t="inlineStr">
        <is>
          <t>2025.3Q</t>
        </is>
      </c>
      <c r="H141" s="5" t="inlineStr">
        <is>
          <t>2025.4Q</t>
        </is>
      </c>
      <c r="I141" s="5" t="inlineStr">
        <is>
          <t>2026.1Q</t>
        </is>
      </c>
      <c r="J141" s="5" t="inlineStr">
        <is>
          <t>2026.2Q</t>
        </is>
      </c>
      <c r="K141" s="5" t="inlineStr">
        <is>
          <t>2026.3Q</t>
        </is>
      </c>
      <c r="L141" s="5" t="inlineStr">
        <is>
          <t>2026.4Q</t>
        </is>
      </c>
      <c r="M141" s="5" t="inlineStr">
        <is>
          <t>2027.1Q</t>
        </is>
      </c>
      <c r="N141" s="5" t="inlineStr">
        <is>
          <t>2027.2Q</t>
        </is>
      </c>
      <c r="O141" s="5" t="inlineStr">
        <is>
          <t>2017</t>
        </is>
      </c>
      <c r="P141" s="5" t="inlineStr">
        <is>
          <t>2018</t>
        </is>
      </c>
      <c r="Q141" s="5" t="inlineStr">
        <is>
          <t>2019</t>
        </is>
      </c>
      <c r="R141" s="5" t="inlineStr">
        <is>
          <t>2020</t>
        </is>
      </c>
      <c r="S141" s="5" t="inlineStr">
        <is>
          <t>2021</t>
        </is>
      </c>
      <c r="T141" s="5" t="inlineStr">
        <is>
          <t>2022</t>
        </is>
      </c>
      <c r="U141" s="5" t="inlineStr">
        <is>
          <t>2023</t>
        </is>
      </c>
      <c r="V141" s="5" t="inlineStr">
        <is>
          <t>2024</t>
        </is>
      </c>
      <c r="W141" s="5" t="inlineStr">
        <is>
          <t>2025</t>
        </is>
      </c>
      <c r="X141" s="5" t="inlineStr">
        <is>
          <t>2026</t>
        </is>
      </c>
      <c r="Y141" s="5" t="inlineStr">
        <is>
          <t>2027(MW)</t>
        </is>
      </c>
      <c r="Z141" s="5" t="inlineStr">
        <is>
          <t>2028(MW)</t>
        </is>
      </c>
      <c r="AA141" s="5" t="inlineStr">
        <is>
          <t>2029(MW)</t>
        </is>
      </c>
      <c r="AB141" s="5" t="inlineStr">
        <is>
          <t>2030(MW)</t>
        </is>
      </c>
      <c r="AC141" s="5" t="inlineStr">
        <is>
          <t>2031(MW)</t>
        </is>
      </c>
    </row>
    <row r="142">
      <c r="A142" s="9" t="inlineStr">
        <is>
          <t>법인세차감전 순이익</t>
        </is>
      </c>
      <c r="D142" s="12" t="n">
        <v>181755</v>
      </c>
      <c r="F142" s="12" t="n">
        <v>94780</v>
      </c>
      <c r="H142" s="12" t="n">
        <v>196738</v>
      </c>
      <c r="J142" s="12" t="n">
        <v>107905</v>
      </c>
      <c r="L142" s="12" t="n">
        <v>227485</v>
      </c>
      <c r="N142" s="12" t="n">
        <v>149045</v>
      </c>
      <c r="O142" s="12" t="n">
        <v>168829</v>
      </c>
      <c r="P142" s="12" t="n">
        <v>249525</v>
      </c>
      <c r="Q142" s="12" t="n">
        <v>208540</v>
      </c>
      <c r="R142" s="12" t="n">
        <v>100843</v>
      </c>
      <c r="S142" s="12" t="n">
        <v>128744</v>
      </c>
      <c r="T142" s="12" t="n">
        <v>212917</v>
      </c>
      <c r="U142" s="12" t="n">
        <v>230103</v>
      </c>
      <c r="V142" s="12" t="n">
        <v>181755</v>
      </c>
      <c r="W142" s="12" t="n">
        <v>196738</v>
      </c>
      <c r="X142" s="12" t="n">
        <v>227485</v>
      </c>
    </row>
    <row r="143">
      <c r="A143" s="20" t="inlineStr">
        <is>
          <t>감가상각비</t>
        </is>
      </c>
      <c r="D143" s="22" t="n">
        <v>49001</v>
      </c>
      <c r="F143" s="22" t="n">
        <v>22655</v>
      </c>
      <c r="H143" s="22" t="n">
        <v>46448</v>
      </c>
      <c r="J143" s="22" t="n">
        <v>22601</v>
      </c>
      <c r="L143" s="22" t="n">
        <v>47782</v>
      </c>
      <c r="N143" s="22" t="n">
        <v>23147</v>
      </c>
      <c r="O143" s="22" t="n">
        <v>26530</v>
      </c>
      <c r="P143" s="22" t="n">
        <v>34190</v>
      </c>
      <c r="Q143" s="22" t="n">
        <v>39709</v>
      </c>
      <c r="R143" s="22" t="n">
        <v>45913</v>
      </c>
      <c r="S143" s="22" t="n">
        <v>45102</v>
      </c>
      <c r="T143" s="22" t="n">
        <v>47077</v>
      </c>
      <c r="U143" s="22" t="n">
        <v>49189</v>
      </c>
      <c r="V143" s="22" t="n">
        <v>49001</v>
      </c>
      <c r="W143" s="22" t="n">
        <v>46448</v>
      </c>
      <c r="X143" s="22" t="n">
        <v>47782</v>
      </c>
    </row>
    <row r="144">
      <c r="A144" s="20" t="inlineStr">
        <is>
          <t>손상차손</t>
        </is>
      </c>
      <c r="D144" s="22" t="n">
        <v>0</v>
      </c>
      <c r="Q144" s="22" t="n">
        <v>0</v>
      </c>
      <c r="R144" s="22" t="n">
        <v>1973</v>
      </c>
      <c r="S144" s="22" t="n">
        <v>0</v>
      </c>
      <c r="T144" s="22" t="n">
        <v>0</v>
      </c>
      <c r="U144" s="22" t="n">
        <v>1224</v>
      </c>
      <c r="V144" s="22" t="n">
        <v>0</v>
      </c>
    </row>
    <row r="145">
      <c r="A145" s="20" t="inlineStr">
        <is>
          <t>대손충당금 증감</t>
        </is>
      </c>
      <c r="D145" s="22" t="n">
        <v>-410</v>
      </c>
      <c r="F145" s="22" t="n">
        <v>227</v>
      </c>
      <c r="H145" s="22" t="n">
        <v>522</v>
      </c>
      <c r="J145" s="22" t="n">
        <v>-112</v>
      </c>
      <c r="L145" s="22" t="n">
        <v>30</v>
      </c>
      <c r="N145" s="22" t="n">
        <v>129</v>
      </c>
      <c r="O145" s="22" t="n">
        <v>-239</v>
      </c>
      <c r="P145" s="22" t="n">
        <v>462</v>
      </c>
      <c r="Q145" s="22" t="n">
        <v>-200</v>
      </c>
      <c r="R145" s="22" t="n">
        <v>-261</v>
      </c>
      <c r="S145" s="22" t="n">
        <v>-121</v>
      </c>
      <c r="T145" s="22" t="n">
        <v>195</v>
      </c>
      <c r="U145" s="22" t="n">
        <v>355</v>
      </c>
      <c r="V145" s="22" t="n">
        <v>-410</v>
      </c>
      <c r="W145" s="22" t="n">
        <v>522</v>
      </c>
      <c r="X145" s="22" t="n">
        <v>30</v>
      </c>
    </row>
    <row r="146">
      <c r="A146" s="20" t="inlineStr">
        <is>
          <t>퇴직급여부채 증감</t>
        </is>
      </c>
      <c r="D146" s="22" t="n">
        <v>-13496</v>
      </c>
      <c r="F146" s="22" t="n">
        <v>165</v>
      </c>
      <c r="H146" s="22" t="n">
        <v>-11159</v>
      </c>
      <c r="J146" s="22" t="n">
        <v>1016</v>
      </c>
      <c r="L146" s="22" t="n">
        <v>-11838</v>
      </c>
      <c r="N146" s="22" t="n">
        <v>-624</v>
      </c>
      <c r="O146" s="22" t="n">
        <v>3178</v>
      </c>
      <c r="P146" s="22" t="n">
        <v>-3840</v>
      </c>
      <c r="Q146" s="22" t="n">
        <v>-25320</v>
      </c>
      <c r="R146" s="22" t="n">
        <v>2762</v>
      </c>
      <c r="S146" s="22" t="n">
        <v>4252</v>
      </c>
      <c r="T146" s="22" t="n">
        <v>1851</v>
      </c>
      <c r="U146" s="22" t="n">
        <v>3053</v>
      </c>
      <c r="V146" s="22" t="n">
        <v>-13496</v>
      </c>
      <c r="W146" s="22" t="n">
        <v>-11159</v>
      </c>
      <c r="X146" s="22" t="n">
        <v>-11838</v>
      </c>
    </row>
    <row r="147">
      <c r="A147" s="20" t="inlineStr">
        <is>
          <t>퇴직급여자산 증감</t>
        </is>
      </c>
      <c r="D147" s="22" t="n">
        <v>4175</v>
      </c>
      <c r="F147" s="22" t="n">
        <v>1054</v>
      </c>
      <c r="H147" s="22" t="n">
        <v>544</v>
      </c>
      <c r="J147" s="22" t="n">
        <v>282</v>
      </c>
      <c r="L147" s="22" t="n">
        <v>652</v>
      </c>
      <c r="N147" s="22" t="n">
        <v>628</v>
      </c>
      <c r="P147" s="22" t="n">
        <v>0</v>
      </c>
      <c r="Q147" s="22" t="n">
        <v>-6732</v>
      </c>
      <c r="R147" s="22" t="n">
        <v>-7456</v>
      </c>
      <c r="S147" s="22" t="n">
        <v>9040</v>
      </c>
      <c r="T147" s="22" t="n">
        <v>-2232</v>
      </c>
      <c r="U147" s="22" t="n">
        <v>3105</v>
      </c>
      <c r="V147" s="22" t="n">
        <v>4175</v>
      </c>
      <c r="W147" s="22" t="n">
        <v>544</v>
      </c>
      <c r="X147" s="22" t="n">
        <v>652</v>
      </c>
    </row>
    <row r="148">
      <c r="A148" s="20" t="inlineStr">
        <is>
          <t>이자·배당금 수익</t>
        </is>
      </c>
      <c r="D148" s="22" t="n">
        <v>-6822</v>
      </c>
      <c r="F148" s="22" t="n">
        <v>-5151</v>
      </c>
      <c r="H148" s="22" t="n">
        <v>-9472</v>
      </c>
      <c r="J148" s="22" t="n">
        <v>-6440</v>
      </c>
      <c r="L148" s="22" t="n">
        <v>-10907</v>
      </c>
      <c r="N148" s="22" t="n">
        <v>-7640</v>
      </c>
      <c r="O148" s="22" t="n">
        <v>-3789</v>
      </c>
      <c r="P148" s="22" t="n">
        <v>-4793</v>
      </c>
      <c r="Q148" s="22" t="n">
        <v>-5705</v>
      </c>
      <c r="R148" s="22" t="n">
        <v>-5305</v>
      </c>
      <c r="S148" s="22" t="n">
        <v>-3427</v>
      </c>
      <c r="T148" s="22" t="n">
        <v>-3192</v>
      </c>
      <c r="U148" s="22" t="n">
        <v>-5761</v>
      </c>
      <c r="V148" s="22" t="n">
        <v>-6822</v>
      </c>
      <c r="W148" s="22" t="n">
        <v>-9472</v>
      </c>
      <c r="X148" s="22" t="n">
        <v>-10907</v>
      </c>
    </row>
    <row r="149">
      <c r="A149" s="20" t="inlineStr">
        <is>
          <t>지분법손익</t>
        </is>
      </c>
      <c r="D149" s="22" t="n">
        <v>-27540</v>
      </c>
      <c r="F149" s="22" t="n">
        <v>-13942</v>
      </c>
      <c r="H149" s="22" t="n">
        <v>-28040</v>
      </c>
      <c r="J149" s="22" t="n">
        <v>-14725</v>
      </c>
      <c r="L149" s="22" t="n">
        <v>-30531</v>
      </c>
      <c r="N149" s="22" t="n">
        <v>-22977</v>
      </c>
      <c r="O149" s="22" t="n">
        <v>-10022</v>
      </c>
      <c r="P149" s="22" t="n">
        <v>-16307</v>
      </c>
      <c r="Q149" s="22" t="n">
        <v>-14243</v>
      </c>
      <c r="R149" s="22" t="n">
        <v>-8752</v>
      </c>
      <c r="S149" s="22" t="n">
        <v>-11640</v>
      </c>
      <c r="T149" s="22" t="n">
        <v>-23126</v>
      </c>
      <c r="U149" s="22" t="n">
        <v>-32371</v>
      </c>
      <c r="V149" s="22" t="n">
        <v>-27540</v>
      </c>
      <c r="W149" s="22" t="n">
        <v>-28040</v>
      </c>
      <c r="X149" s="22" t="n">
        <v>-30531</v>
      </c>
    </row>
    <row r="150">
      <c r="A150" s="20" t="inlineStr">
        <is>
          <t>매출채권 증감</t>
        </is>
      </c>
      <c r="D150" s="22" t="n">
        <v>24798</v>
      </c>
      <c r="F150" s="22" t="n">
        <v>24618</v>
      </c>
      <c r="H150" s="22" t="n">
        <v>-4613</v>
      </c>
      <c r="J150" s="22" t="n">
        <v>4002</v>
      </c>
      <c r="L150" s="22" t="n">
        <v>-658</v>
      </c>
      <c r="N150" s="22" t="n">
        <v>11172</v>
      </c>
      <c r="O150" s="22" t="n">
        <v>-17386</v>
      </c>
      <c r="P150" s="22" t="n">
        <v>-51908</v>
      </c>
      <c r="Q150" s="22" t="n">
        <v>67500</v>
      </c>
      <c r="R150" s="22" t="n">
        <v>18358</v>
      </c>
      <c r="S150" s="22" t="n">
        <v>-37122</v>
      </c>
      <c r="T150" s="22" t="n">
        <v>-14498</v>
      </c>
      <c r="U150" s="22" t="n">
        <v>-3375</v>
      </c>
      <c r="V150" s="22" t="n">
        <v>24798</v>
      </c>
      <c r="W150" s="22" t="n">
        <v>-4613</v>
      </c>
      <c r="X150" s="22" t="n">
        <v>-658</v>
      </c>
    </row>
    <row r="151">
      <c r="A151" s="20" t="inlineStr">
        <is>
          <t>재고자산 증감</t>
        </is>
      </c>
      <c r="D151" s="22" t="n">
        <v>12556</v>
      </c>
      <c r="F151" s="22" t="n">
        <v>21561</v>
      </c>
      <c r="H151" s="22" t="n">
        <v>52489</v>
      </c>
      <c r="J151" s="22" t="n">
        <v>17597</v>
      </c>
      <c r="L151" s="22" t="n">
        <v>27869</v>
      </c>
      <c r="N151" s="22" t="n">
        <v>-11059</v>
      </c>
      <c r="O151" s="22" t="n">
        <v>-16519</v>
      </c>
      <c r="P151" s="22" t="n">
        <v>-31527</v>
      </c>
      <c r="Q151" s="22" t="n">
        <v>-6249</v>
      </c>
      <c r="R151" s="22" t="n">
        <v>10288</v>
      </c>
      <c r="S151" s="22" t="n">
        <v>-16828</v>
      </c>
      <c r="T151" s="22" t="n">
        <v>-74740</v>
      </c>
      <c r="U151" s="22" t="n">
        <v>-91119</v>
      </c>
      <c r="V151" s="22" t="n">
        <v>12556</v>
      </c>
      <c r="W151" s="22" t="n">
        <v>52489</v>
      </c>
      <c r="X151" s="22" t="n">
        <v>27869</v>
      </c>
    </row>
    <row r="152">
      <c r="A152" s="20" t="inlineStr">
        <is>
          <t>매입채무 증감</t>
        </is>
      </c>
      <c r="D152" s="22" t="n">
        <v>-18812</v>
      </c>
      <c r="F152" s="22" t="n">
        <v>-6785</v>
      </c>
      <c r="H152" s="22" t="n">
        <v>-4480</v>
      </c>
      <c r="J152" s="22" t="n">
        <v>8</v>
      </c>
      <c r="L152" s="22" t="n">
        <v>5468</v>
      </c>
      <c r="N152" s="22" t="n">
        <v>10067</v>
      </c>
      <c r="O152" s="22" t="n">
        <v>11292</v>
      </c>
      <c r="P152" s="22" t="n">
        <v>16875</v>
      </c>
      <c r="Q152" s="22" t="n">
        <v>-16393</v>
      </c>
      <c r="R152" s="22" t="n">
        <v>-8646</v>
      </c>
      <c r="S152" s="22" t="n">
        <v>15239</v>
      </c>
      <c r="T152" s="22" t="n">
        <v>2758</v>
      </c>
      <c r="U152" s="22" t="n">
        <v>4632</v>
      </c>
      <c r="V152" s="22" t="n">
        <v>-18812</v>
      </c>
      <c r="W152" s="22" t="n">
        <v>-4480</v>
      </c>
      <c r="X152" s="22" t="n">
        <v>5468</v>
      </c>
    </row>
    <row r="153">
      <c r="A153" s="20" t="inlineStr">
        <is>
          <t>기타</t>
        </is>
      </c>
      <c r="D153" s="22" t="n">
        <v>10761</v>
      </c>
      <c r="F153" s="22" t="n">
        <v>-8859</v>
      </c>
      <c r="H153" s="22" t="n">
        <v>13859</v>
      </c>
      <c r="J153" s="22" t="n">
        <v>-8623</v>
      </c>
      <c r="L153" s="22" t="n">
        <v>3890</v>
      </c>
      <c r="N153" s="22" t="n">
        <v>-1521</v>
      </c>
      <c r="O153" s="22" t="n">
        <v>-6470</v>
      </c>
      <c r="P153" s="22" t="n">
        <v>18369</v>
      </c>
      <c r="Q153" s="22" t="n">
        <v>3855</v>
      </c>
      <c r="R153" s="22" t="n">
        <v>14118</v>
      </c>
      <c r="S153" s="22" t="n">
        <v>-2985</v>
      </c>
      <c r="T153" s="22" t="n">
        <v>12445</v>
      </c>
      <c r="U153" s="22" t="n">
        <v>1027</v>
      </c>
      <c r="V153" s="22" t="n">
        <v>10761</v>
      </c>
      <c r="W153" s="22" t="n">
        <v>13859</v>
      </c>
      <c r="X153" s="22" t="n">
        <v>3890</v>
      </c>
    </row>
    <row r="154">
      <c r="A154" s="20" t="inlineStr">
        <is>
          <t>소계</t>
        </is>
      </c>
      <c r="D154" s="22" t="n">
        <v>215966</v>
      </c>
      <c r="F154" s="22" t="n">
        <v>130323</v>
      </c>
      <c r="H154" s="22" t="n">
        <v>252836</v>
      </c>
      <c r="J154" s="22" t="n">
        <v>123511</v>
      </c>
      <c r="L154" s="22" t="n">
        <v>259242</v>
      </c>
      <c r="N154" s="22" t="n">
        <v>150367</v>
      </c>
      <c r="O154" s="22" t="n">
        <v>155404</v>
      </c>
      <c r="P154" s="22" t="n">
        <v>211046</v>
      </c>
      <c r="Q154" s="22" t="n">
        <v>244762</v>
      </c>
      <c r="R154" s="22" t="n">
        <v>163835</v>
      </c>
      <c r="S154" s="22" t="n">
        <v>130254</v>
      </c>
      <c r="T154" s="22" t="n">
        <v>159455</v>
      </c>
      <c r="U154" s="22" t="n">
        <v>160062</v>
      </c>
      <c r="V154" s="22" t="n">
        <v>215966</v>
      </c>
      <c r="W154" s="22" t="n">
        <v>252836</v>
      </c>
      <c r="X154" s="22" t="n">
        <v>259242</v>
      </c>
    </row>
    <row r="155">
      <c r="A155" s="20" t="inlineStr">
        <is>
          <t>이자·배당금 수취</t>
        </is>
      </c>
      <c r="D155" s="22" t="n">
        <v>25227</v>
      </c>
      <c r="F155" s="22" t="n">
        <v>28878</v>
      </c>
      <c r="H155" s="22" t="n">
        <v>33198</v>
      </c>
      <c r="J155" s="22" t="n">
        <v>29780</v>
      </c>
      <c r="L155" s="22" t="n">
        <v>34318</v>
      </c>
      <c r="N155" s="22" t="n">
        <v>38898</v>
      </c>
      <c r="O155" s="22" t="n">
        <v>8562</v>
      </c>
      <c r="P155" s="22" t="n">
        <v>9818</v>
      </c>
      <c r="Q155" s="22" t="n">
        <v>13662</v>
      </c>
      <c r="R155" s="22" t="n">
        <v>11965</v>
      </c>
      <c r="S155" s="22" t="n">
        <v>7082</v>
      </c>
      <c r="T155" s="22" t="n">
        <v>8056</v>
      </c>
      <c r="U155" s="22" t="n">
        <v>17546</v>
      </c>
      <c r="V155" s="22" t="n">
        <v>25227</v>
      </c>
      <c r="W155" s="22" t="n">
        <v>33198</v>
      </c>
      <c r="X155" s="22" t="n">
        <v>34318</v>
      </c>
    </row>
    <row r="156">
      <c r="A156" s="20" t="inlineStr">
        <is>
          <t>법인세 납부</t>
        </is>
      </c>
      <c r="D156" s="22" t="n">
        <v>-71503</v>
      </c>
      <c r="F156" s="22" t="n">
        <v>-12528</v>
      </c>
      <c r="H156" s="22" t="n">
        <v>-32363</v>
      </c>
      <c r="J156" s="22" t="n">
        <v>-27025</v>
      </c>
      <c r="L156" s="22" t="n">
        <v>-46095</v>
      </c>
      <c r="N156" s="22" t="n">
        <v>-35039</v>
      </c>
      <c r="O156" s="22" t="n">
        <v>-43039</v>
      </c>
      <c r="P156" s="22" t="n">
        <v>-44983</v>
      </c>
      <c r="Q156" s="22" t="n">
        <v>-79985</v>
      </c>
      <c r="R156" s="22" t="n">
        <v>-29655</v>
      </c>
      <c r="S156" s="22" t="n">
        <v>-20153</v>
      </c>
      <c r="T156" s="22" t="n">
        <v>-43332</v>
      </c>
      <c r="U156" s="22" t="n">
        <v>-78480</v>
      </c>
      <c r="V156" s="22" t="n">
        <v>-71503</v>
      </c>
      <c r="W156" s="22" t="n">
        <v>-32363</v>
      </c>
      <c r="X156" s="22" t="n">
        <v>-46095</v>
      </c>
    </row>
    <row r="157">
      <c r="A157" s="20" t="inlineStr">
        <is>
          <t>기타</t>
        </is>
      </c>
      <c r="D157" s="22" t="n">
        <v>2074</v>
      </c>
      <c r="F157" s="22" t="n">
        <v>621</v>
      </c>
      <c r="H157" s="22" t="n">
        <v>1602</v>
      </c>
      <c r="J157" s="22" t="n">
        <v>1652</v>
      </c>
      <c r="L157" s="22" t="n">
        <v>3431</v>
      </c>
      <c r="N157" s="22" t="n">
        <v>1632</v>
      </c>
      <c r="O157" s="22" t="n">
        <v>786</v>
      </c>
      <c r="P157" s="22" t="n">
        <v>109</v>
      </c>
      <c r="Q157" s="22" t="n">
        <v>-701</v>
      </c>
      <c r="R157" s="22" t="n">
        <v>-1273</v>
      </c>
      <c r="S157" s="22" t="n">
        <v>813</v>
      </c>
      <c r="T157" s="22" t="n">
        <v>1402</v>
      </c>
      <c r="U157" s="22" t="n">
        <v>377</v>
      </c>
      <c r="V157" s="22" t="n">
        <v>2074</v>
      </c>
      <c r="W157" s="22" t="n">
        <v>1602</v>
      </c>
      <c r="X157" s="22" t="n">
        <v>3431</v>
      </c>
    </row>
    <row r="158">
      <c r="A158" s="9" t="inlineStr">
        <is>
          <t>영업활동 현금흐름</t>
        </is>
      </c>
      <c r="D158" s="12" t="n">
        <v>171764</v>
      </c>
      <c r="F158" s="12" t="n">
        <v>147294</v>
      </c>
      <c r="H158" s="12" t="n">
        <v>255273</v>
      </c>
      <c r="J158" s="12" t="n">
        <v>127918</v>
      </c>
      <c r="L158" s="12" t="n">
        <v>250896</v>
      </c>
      <c r="N158" s="12" t="n">
        <v>155858</v>
      </c>
      <c r="O158" s="12" t="n">
        <v>121713</v>
      </c>
      <c r="P158" s="12" t="n">
        <v>175990</v>
      </c>
      <c r="Q158" s="12" t="n">
        <v>177738</v>
      </c>
      <c r="R158" s="12" t="n">
        <v>144872</v>
      </c>
      <c r="S158" s="12" t="n">
        <v>117996</v>
      </c>
      <c r="T158" s="12" t="n">
        <v>125581</v>
      </c>
      <c r="U158" s="12" t="n">
        <v>99505</v>
      </c>
      <c r="V158" s="12" t="n">
        <v>171764</v>
      </c>
      <c r="W158" s="12" t="n">
        <v>255273</v>
      </c>
      <c r="X158" s="12" t="n">
        <v>250896</v>
      </c>
    </row>
    <row r="159">
      <c r="A159" s="20" t="inlineStr">
        <is>
          <t>정기예금 예입</t>
        </is>
      </c>
      <c r="D159" s="22" t="n">
        <v>-9290</v>
      </c>
      <c r="F159" s="22" t="n">
        <v>-80000</v>
      </c>
      <c r="H159" s="22" t="n">
        <v>-120000</v>
      </c>
      <c r="J159" s="22" t="n">
        <v>-125855</v>
      </c>
      <c r="L159" s="22" t="n">
        <v>-321477</v>
      </c>
      <c r="N159" s="22" t="n">
        <v>-239563</v>
      </c>
      <c r="O159" s="22" t="n">
        <v>0</v>
      </c>
      <c r="P159" s="22" t="n">
        <v>-21426</v>
      </c>
      <c r="Q159" s="22" t="n">
        <v>-60142</v>
      </c>
      <c r="R159" s="22" t="n">
        <v>-32248</v>
      </c>
      <c r="S159" s="22" t="n">
        <v>-31849</v>
      </c>
      <c r="T159" s="22" t="n">
        <v>-29199</v>
      </c>
      <c r="U159" s="22" t="n">
        <v>-70000</v>
      </c>
      <c r="V159" s="22" t="n">
        <v>-9290</v>
      </c>
      <c r="W159" s="22" t="n">
        <v>-120000</v>
      </c>
      <c r="X159" s="22" t="n">
        <v>-321477</v>
      </c>
    </row>
    <row r="160">
      <c r="A160" s="20" t="inlineStr">
        <is>
          <t>정기예금 인출</t>
        </is>
      </c>
      <c r="D160" s="22" t="n">
        <v>50000</v>
      </c>
      <c r="F160" s="22" t="n">
        <v>3462</v>
      </c>
      <c r="H160" s="22" t="n">
        <v>27526</v>
      </c>
      <c r="J160" s="22" t="n">
        <v>90000</v>
      </c>
      <c r="L160" s="22" t="n">
        <v>286914</v>
      </c>
      <c r="N160" s="22" t="n">
        <v>141702</v>
      </c>
      <c r="P160" s="22" t="n">
        <v>0</v>
      </c>
      <c r="Q160" s="22" t="n">
        <v>67357</v>
      </c>
      <c r="R160" s="22" t="n">
        <v>28672</v>
      </c>
      <c r="S160" s="22" t="n">
        <v>40021</v>
      </c>
      <c r="T160" s="22" t="n">
        <v>12012</v>
      </c>
      <c r="U160" s="22" t="n">
        <v>44483</v>
      </c>
      <c r="V160" s="22" t="n">
        <v>50000</v>
      </c>
      <c r="W160" s="22" t="n">
        <v>27526</v>
      </c>
      <c r="X160" s="22" t="n">
        <v>286914</v>
      </c>
    </row>
    <row r="161">
      <c r="A161" s="20" t="inlineStr">
        <is>
          <t>유형자산 취득(설비투자)</t>
        </is>
      </c>
      <c r="D161" s="22" t="n">
        <v>-53884</v>
      </c>
      <c r="F161" s="22" t="n">
        <v>-21361</v>
      </c>
      <c r="H161" s="22" t="n">
        <v>-40805</v>
      </c>
      <c r="J161" s="22" t="n">
        <v>-10151</v>
      </c>
      <c r="L161" s="22" t="n">
        <v>-21181</v>
      </c>
      <c r="N161" s="22" t="n">
        <v>-16603</v>
      </c>
      <c r="O161" s="22" t="n">
        <v>-87509</v>
      </c>
      <c r="P161" s="22" t="n">
        <v>-103016</v>
      </c>
      <c r="Q161" s="22" t="n">
        <v>-125324</v>
      </c>
      <c r="R161" s="22" t="n">
        <v>-75429</v>
      </c>
      <c r="S161" s="22" t="n">
        <v>-21768</v>
      </c>
      <c r="T161" s="22" t="n">
        <v>-34363</v>
      </c>
      <c r="U161" s="22" t="n">
        <v>-47066</v>
      </c>
      <c r="V161" s="22" t="n">
        <v>-53884</v>
      </c>
      <c r="W161" s="22" t="n">
        <v>-40805</v>
      </c>
      <c r="X161" s="22" t="n">
        <v>-21181</v>
      </c>
    </row>
    <row r="162">
      <c r="A162" s="20" t="inlineStr">
        <is>
          <t>기타</t>
        </is>
      </c>
      <c r="D162" s="22" t="n">
        <v>-389</v>
      </c>
      <c r="F162" s="22" t="n">
        <v>-1157</v>
      </c>
      <c r="H162" s="22" t="n">
        <v>-805</v>
      </c>
      <c r="J162" s="22" t="n">
        <v>-717</v>
      </c>
      <c r="L162" s="22" t="n">
        <v>-693</v>
      </c>
      <c r="N162" s="22" t="n">
        <v>-1259</v>
      </c>
      <c r="O162" s="22" t="n">
        <v>-1053</v>
      </c>
      <c r="P162" s="22" t="n">
        <v>-5815</v>
      </c>
      <c r="Q162" s="22" t="n">
        <v>-5234</v>
      </c>
      <c r="R162" s="22" t="n">
        <v>-5314</v>
      </c>
      <c r="S162" s="22" t="n">
        <v>-3174</v>
      </c>
      <c r="T162" s="22" t="n">
        <v>-2379</v>
      </c>
      <c r="U162" s="22" t="n">
        <v>-5415</v>
      </c>
      <c r="V162" s="22" t="n">
        <v>-389</v>
      </c>
      <c r="W162" s="22" t="n">
        <v>-805</v>
      </c>
      <c r="X162" s="22" t="n">
        <v>-693</v>
      </c>
    </row>
    <row r="163">
      <c r="A163" s="9" t="inlineStr">
        <is>
          <t>투자활동 현금흐름</t>
        </is>
      </c>
      <c r="D163" s="12" t="n">
        <v>-13563</v>
      </c>
      <c r="F163" s="12" t="n">
        <v>-99056</v>
      </c>
      <c r="H163" s="12" t="n">
        <v>-134084</v>
      </c>
      <c r="J163" s="12" t="n">
        <v>-46723</v>
      </c>
      <c r="L163" s="12" t="n">
        <v>-56437</v>
      </c>
      <c r="N163" s="12" t="n">
        <v>-115723</v>
      </c>
      <c r="O163" s="12" t="n">
        <v>-88562</v>
      </c>
      <c r="P163" s="12" t="n">
        <v>-130257</v>
      </c>
      <c r="Q163" s="12" t="n">
        <v>-123343</v>
      </c>
      <c r="R163" s="12" t="n">
        <v>-84319</v>
      </c>
      <c r="S163" s="12" t="n">
        <v>-16770</v>
      </c>
      <c r="T163" s="12" t="n">
        <v>-53929</v>
      </c>
      <c r="U163" s="12" t="n">
        <v>-77998</v>
      </c>
      <c r="V163" s="12" t="n">
        <v>-13563</v>
      </c>
      <c r="W163" s="12" t="n">
        <v>-134084</v>
      </c>
      <c r="X163" s="12" t="n">
        <v>-56437</v>
      </c>
    </row>
    <row r="164">
      <c r="A164" s="20" t="inlineStr">
        <is>
          <t>자기주식 취득</t>
        </is>
      </c>
      <c r="D164" s="22" t="n">
        <v>-28391</v>
      </c>
      <c r="F164" s="22" t="n">
        <v>-40261</v>
      </c>
      <c r="H164" s="22" t="n">
        <v>-49555</v>
      </c>
      <c r="J164" s="22" t="n">
        <v>-665</v>
      </c>
      <c r="L164" s="22" t="n">
        <v>-553</v>
      </c>
      <c r="N164" s="22" t="n">
        <v>-50011</v>
      </c>
      <c r="O164" s="22" t="n">
        <v>-13481</v>
      </c>
      <c r="P164" s="22" t="n">
        <v>-442</v>
      </c>
      <c r="Q164" s="22" t="n">
        <v>-183</v>
      </c>
      <c r="R164" s="22" t="n">
        <v>-36870</v>
      </c>
      <c r="S164" s="22" t="n">
        <v>-283</v>
      </c>
      <c r="T164" s="22" t="n">
        <v>-234</v>
      </c>
      <c r="U164" s="22" t="n">
        <v>-24436</v>
      </c>
      <c r="V164" s="22" t="n">
        <v>-28391</v>
      </c>
      <c r="W164" s="22" t="n">
        <v>-49555</v>
      </c>
      <c r="X164" s="22" t="n">
        <v>-553</v>
      </c>
    </row>
    <row r="165">
      <c r="A165" s="20" t="inlineStr">
        <is>
          <t>배당금 지급</t>
        </is>
      </c>
      <c r="D165" s="22" t="n">
        <v>-90096</v>
      </c>
      <c r="F165" s="22" t="n">
        <v>-41493</v>
      </c>
      <c r="H165" s="22" t="n">
        <v>-83133</v>
      </c>
      <c r="J165" s="22" t="n">
        <v>-46554</v>
      </c>
      <c r="L165" s="22" t="n">
        <v>-94459</v>
      </c>
      <c r="N165" s="22" t="n">
        <v>-52018</v>
      </c>
      <c r="O165" s="22" t="n">
        <v>-76505</v>
      </c>
      <c r="P165" s="22" t="n">
        <v>-92003</v>
      </c>
      <c r="Q165" s="22" t="n">
        <v>-173571</v>
      </c>
      <c r="R165" s="22" t="n">
        <v>-102546</v>
      </c>
      <c r="S165" s="22" t="n">
        <v>-50484</v>
      </c>
      <c r="T165" s="22" t="n">
        <v>-86799</v>
      </c>
      <c r="U165" s="22" t="n">
        <v>-96485</v>
      </c>
      <c r="V165" s="22" t="n">
        <v>-90096</v>
      </c>
      <c r="W165" s="22" t="n">
        <v>-83133</v>
      </c>
      <c r="X165" s="22" t="n">
        <v>-94459</v>
      </c>
    </row>
    <row r="166">
      <c r="A166" s="20" t="inlineStr">
        <is>
          <t>자기주식 취득 예탁금 증감</t>
        </is>
      </c>
      <c r="F166" s="22" t="n">
        <v>0</v>
      </c>
      <c r="J166" s="22" t="n">
        <v>-10000</v>
      </c>
      <c r="N166" s="22" t="n">
        <v>0</v>
      </c>
    </row>
    <row r="167">
      <c r="A167" s="20" t="inlineStr">
        <is>
          <t>기타</t>
        </is>
      </c>
      <c r="D167" s="22" t="n">
        <v>-4027</v>
      </c>
      <c r="F167" s="22" t="n">
        <v>-2737</v>
      </c>
      <c r="H167" s="22" t="n">
        <v>-3930</v>
      </c>
      <c r="J167" s="22" t="n">
        <v>-2528</v>
      </c>
      <c r="L167" s="22" t="n">
        <v>-3586</v>
      </c>
      <c r="N167" s="22" t="n">
        <v>-3683</v>
      </c>
      <c r="O167" s="22" t="n">
        <v>-281</v>
      </c>
      <c r="P167" s="22" t="n">
        <v>-652</v>
      </c>
      <c r="Q167" s="22" t="n">
        <v>886</v>
      </c>
      <c r="R167" s="22" t="n">
        <v>-1310</v>
      </c>
      <c r="S167" s="22" t="n">
        <v>-2365</v>
      </c>
      <c r="T167" s="22" t="n">
        <v>-2121</v>
      </c>
      <c r="U167" s="22" t="n">
        <v>-7003</v>
      </c>
      <c r="V167" s="22" t="n">
        <v>-4027</v>
      </c>
      <c r="W167" s="22" t="n">
        <v>-3930</v>
      </c>
      <c r="X167" s="22" t="n">
        <v>-3586</v>
      </c>
    </row>
    <row r="168">
      <c r="A168" s="9" t="inlineStr">
        <is>
          <t>재무활동 현금흐름</t>
        </is>
      </c>
      <c r="D168" s="12" t="n">
        <v>-122514</v>
      </c>
      <c r="F168" s="12" t="n">
        <v>-84491</v>
      </c>
      <c r="H168" s="12" t="n">
        <v>-136618</v>
      </c>
      <c r="J168" s="12" t="n">
        <v>-59747</v>
      </c>
      <c r="L168" s="12" t="n">
        <v>-98598</v>
      </c>
      <c r="N168" s="12" t="n">
        <v>-105712</v>
      </c>
      <c r="O168" s="12" t="n">
        <v>-90267</v>
      </c>
      <c r="P168" s="12" t="n">
        <v>-93097</v>
      </c>
      <c r="Q168" s="12" t="n">
        <v>-172868</v>
      </c>
      <c r="R168" s="12" t="n">
        <v>-140726</v>
      </c>
      <c r="S168" s="12" t="n">
        <v>-53132</v>
      </c>
      <c r="T168" s="12" t="n">
        <v>-89154</v>
      </c>
      <c r="U168" s="12" t="n">
        <v>-127924</v>
      </c>
      <c r="V168" s="12" t="n">
        <v>-122514</v>
      </c>
      <c r="W168" s="12" t="n">
        <v>-136618</v>
      </c>
      <c r="X168" s="12" t="n">
        <v>-98598</v>
      </c>
    </row>
    <row r="169">
      <c r="A169" s="20" t="inlineStr">
        <is>
          <t>현금성자산 환산차이</t>
        </is>
      </c>
      <c r="D169" s="22" t="n">
        <v>14241</v>
      </c>
      <c r="F169" s="22" t="n">
        <v>-9489</v>
      </c>
      <c r="H169" s="22" t="n">
        <v>-9361</v>
      </c>
      <c r="J169" s="22" t="n">
        <v>5835</v>
      </c>
      <c r="L169" s="22" t="n">
        <v>17123</v>
      </c>
      <c r="N169" s="22" t="n">
        <v>1687</v>
      </c>
      <c r="O169" s="22" t="n">
        <v>215</v>
      </c>
      <c r="P169" s="22" t="n">
        <v>-2283</v>
      </c>
      <c r="Q169" s="22" t="n">
        <v>-580</v>
      </c>
      <c r="R169" s="22" t="n">
        <v>-12533</v>
      </c>
      <c r="S169" s="22" t="n">
        <v>14465</v>
      </c>
      <c r="T169" s="22" t="n">
        <v>14238</v>
      </c>
      <c r="U169" s="22" t="n">
        <v>8715</v>
      </c>
      <c r="V169" s="22" t="n">
        <v>14241</v>
      </c>
      <c r="W169" s="22" t="n">
        <v>-9361</v>
      </c>
      <c r="X169" s="22" t="n">
        <v>17123</v>
      </c>
    </row>
    <row r="170">
      <c r="A170" s="20" t="inlineStr">
        <is>
          <t>현금성자산 증감</t>
        </is>
      </c>
      <c r="D170" s="22" t="n">
        <v>49928</v>
      </c>
      <c r="F170" s="22" t="n">
        <v>-45742</v>
      </c>
      <c r="H170" s="22" t="n">
        <v>-24790</v>
      </c>
      <c r="J170" s="22" t="n">
        <v>27283</v>
      </c>
      <c r="L170" s="22" t="n">
        <v>112984</v>
      </c>
      <c r="N170" s="22" t="n">
        <v>-63890</v>
      </c>
      <c r="O170" s="22" t="n">
        <v>-56901</v>
      </c>
      <c r="P170" s="22" t="n">
        <v>-49647</v>
      </c>
      <c r="Q170" s="22" t="n">
        <v>-119053</v>
      </c>
      <c r="R170" s="22" t="n">
        <v>-92706</v>
      </c>
      <c r="S170" s="22" t="n">
        <v>62559</v>
      </c>
      <c r="T170" s="22" t="n">
        <v>-3264</v>
      </c>
      <c r="U170" s="22" t="n">
        <v>-97702</v>
      </c>
      <c r="V170" s="22" t="n">
        <v>49928</v>
      </c>
      <c r="W170" s="22" t="n">
        <v>-24790</v>
      </c>
      <c r="X170" s="22" t="n">
        <v>112984</v>
      </c>
    </row>
    <row r="171">
      <c r="A171" s="20" t="inlineStr">
        <is>
          <t>비연결 자회사 합병에 따른 현금성자산 증가</t>
        </is>
      </c>
      <c r="O171" s="22" t="n">
        <v>0</v>
      </c>
      <c r="P171" s="22" t="n">
        <v>789</v>
      </c>
      <c r="Q171" s="22" t="n">
        <v>864</v>
      </c>
      <c r="R171" s="22" t="n">
        <v>0</v>
      </c>
      <c r="S171" s="22" t="n">
        <v>352</v>
      </c>
      <c r="T171" s="22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화낙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1143446</v>
      </c>
      <c r="D5" s="12" t="n">
        <v>1170150</v>
      </c>
      <c r="E5" s="12" t="n">
        <v>1237026</v>
      </c>
      <c r="F5" s="12" t="n">
        <v>1257618</v>
      </c>
      <c r="G5" s="12" t="n">
        <v>1274131</v>
      </c>
      <c r="H5" s="11" t="n">
        <v>1014946</v>
      </c>
      <c r="I5" s="12" t="n">
        <v>1061740</v>
      </c>
      <c r="J5" s="12" t="n">
        <v>1076265</v>
      </c>
      <c r="K5" s="12" t="n">
        <v>1085787</v>
      </c>
      <c r="L5" s="12" t="n">
        <v>1237026</v>
      </c>
    </row>
    <row r="6">
      <c r="A6" s="20" t="inlineStr">
        <is>
          <t>현금및현금성자산</t>
        </is>
      </c>
      <c r="B6" s="10" t="n"/>
      <c r="C6" s="21" t="n">
        <v>638633</v>
      </c>
      <c r="D6" s="22" t="n">
        <v>661188</v>
      </c>
      <c r="E6" s="22" t="n">
        <v>718071</v>
      </c>
      <c r="F6" s="22" t="n">
        <v>721468</v>
      </c>
      <c r="G6" s="22" t="n">
        <v>746285</v>
      </c>
      <c r="H6" s="21" t="n">
        <v>423515</v>
      </c>
      <c r="I6" s="22" t="n">
        <v>512528</v>
      </c>
      <c r="J6" s="22" t="n">
        <v>522979</v>
      </c>
      <c r="K6" s="22" t="n">
        <v>590504</v>
      </c>
      <c r="L6" s="22" t="n">
        <v>718071</v>
      </c>
    </row>
    <row r="7">
      <c r="A7" s="20" t="inlineStr">
        <is>
          <t>단기금융상품</t>
        </is>
      </c>
      <c r="B7" s="10" t="n"/>
      <c r="C7" s="21" t="n">
        <v>30800</v>
      </c>
      <c r="D7" s="22" t="n">
        <v>35700</v>
      </c>
      <c r="E7" s="22" t="n">
        <v>35800</v>
      </c>
      <c r="F7" s="22" t="n">
        <v>40800</v>
      </c>
      <c r="G7" s="22" t="n">
        <v>40800</v>
      </c>
      <c r="H7" s="21" t="n">
        <v>177700</v>
      </c>
      <c r="I7" s="22" t="n">
        <v>16700</v>
      </c>
      <c r="J7" s="22" t="n">
        <v>16100</v>
      </c>
      <c r="K7" s="22" t="n">
        <v>16000</v>
      </c>
      <c r="L7" s="22" t="n">
        <v>35800</v>
      </c>
    </row>
    <row r="8">
      <c r="A8" s="20" t="inlineStr">
        <is>
          <t>매출채권</t>
        </is>
      </c>
      <c r="B8" s="10" t="n"/>
      <c r="C8" s="21" t="n">
        <v>132825</v>
      </c>
      <c r="D8" s="22" t="n">
        <v>136745</v>
      </c>
      <c r="E8" s="22" t="n">
        <v>148933</v>
      </c>
      <c r="F8" s="22" t="n">
        <v>145168</v>
      </c>
      <c r="G8" s="22" t="n">
        <v>139896</v>
      </c>
      <c r="H8" s="21" t="n">
        <v>124488</v>
      </c>
      <c r="I8" s="22" t="n">
        <v>137961</v>
      </c>
      <c r="J8" s="22" t="n">
        <v>136931</v>
      </c>
      <c r="K8" s="22" t="n">
        <v>135920</v>
      </c>
      <c r="L8" s="22" t="n">
        <v>148933</v>
      </c>
    </row>
    <row r="9">
      <c r="A9" s="20" t="inlineStr">
        <is>
          <t>재고자산</t>
        </is>
      </c>
      <c r="B9" s="10" t="n"/>
      <c r="C9" s="21" t="n">
        <v>292574</v>
      </c>
      <c r="D9" s="22" t="n">
        <v>298082</v>
      </c>
      <c r="E9" s="22" t="n">
        <v>292186</v>
      </c>
      <c r="F9" s="22" t="n">
        <v>291462</v>
      </c>
      <c r="G9" s="22" t="n">
        <v>300712</v>
      </c>
      <c r="H9" s="21" t="n">
        <v>249564</v>
      </c>
      <c r="I9" s="22" t="n">
        <v>350577</v>
      </c>
      <c r="J9" s="22" t="n">
        <v>362546</v>
      </c>
      <c r="K9" s="22" t="n">
        <v>306439</v>
      </c>
      <c r="L9" s="22" t="n">
        <v>292186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837583</v>
      </c>
      <c r="D11" s="12" t="n">
        <v>853415</v>
      </c>
      <c r="E11" s="12" t="n">
        <v>853674</v>
      </c>
      <c r="F11" s="12" t="n">
        <v>851099</v>
      </c>
      <c r="G11" s="12" t="n">
        <v>860602</v>
      </c>
      <c r="H11" s="11" t="n">
        <v>769018</v>
      </c>
      <c r="I11" s="12" t="n">
        <v>811796</v>
      </c>
      <c r="J11" s="12" t="n">
        <v>849772</v>
      </c>
      <c r="K11" s="12" t="n">
        <v>851244</v>
      </c>
      <c r="L11" s="12" t="n">
        <v>853674</v>
      </c>
    </row>
    <row r="12">
      <c r="A12" s="20" t="inlineStr">
        <is>
          <t>유형자산</t>
        </is>
      </c>
      <c r="B12" s="10" t="n"/>
      <c r="C12" s="21" t="n">
        <v>597391</v>
      </c>
      <c r="D12" s="22" t="n">
        <v>597350</v>
      </c>
      <c r="E12" s="22" t="n">
        <v>591416</v>
      </c>
      <c r="F12" s="22" t="n">
        <v>589734</v>
      </c>
      <c r="G12" s="22" t="n">
        <v>585366</v>
      </c>
      <c r="H12" s="21" t="n">
        <v>578133</v>
      </c>
      <c r="I12" s="22" t="n">
        <v>588696</v>
      </c>
      <c r="J12" s="22" t="n">
        <v>607755</v>
      </c>
      <c r="K12" s="22" t="n">
        <v>604266</v>
      </c>
      <c r="L12" s="22" t="n">
        <v>591416</v>
      </c>
    </row>
    <row r="13">
      <c r="A13" s="20" t="inlineStr">
        <is>
          <t>무형자산</t>
        </is>
      </c>
      <c r="B13" s="10" t="n"/>
      <c r="C13" s="21" t="n">
        <v>8676</v>
      </c>
      <c r="D13" s="22" t="n">
        <v>8527</v>
      </c>
      <c r="E13" s="22" t="n">
        <v>8542</v>
      </c>
      <c r="F13" s="22" t="n">
        <v>8419</v>
      </c>
      <c r="G13" s="22" t="n">
        <v>8498</v>
      </c>
      <c r="H13" s="21" t="n">
        <v>8933</v>
      </c>
      <c r="I13" s="22" t="n">
        <v>10855</v>
      </c>
      <c r="J13" s="22" t="n">
        <v>9823</v>
      </c>
      <c r="K13" s="22" t="n">
        <v>8800</v>
      </c>
      <c r="L13" s="22" t="n">
        <v>8542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1981029</v>
      </c>
      <c r="D16" s="12" t="n">
        <v>2023565</v>
      </c>
      <c r="E16" s="12" t="n">
        <v>2090700</v>
      </c>
      <c r="F16" s="12" t="n">
        <v>2108717</v>
      </c>
      <c r="G16" s="12" t="n">
        <v>2134733</v>
      </c>
      <c r="H16" s="11" t="n">
        <v>1783964</v>
      </c>
      <c r="I16" s="12" t="n">
        <v>1873536</v>
      </c>
      <c r="J16" s="12" t="n">
        <v>1926037</v>
      </c>
      <c r="K16" s="12" t="n">
        <v>1937031</v>
      </c>
      <c r="L16" s="12" t="n">
        <v>2090700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154606</v>
      </c>
      <c r="D18" s="12" t="n">
        <v>170597</v>
      </c>
      <c r="E18" s="12" t="n">
        <v>179457</v>
      </c>
      <c r="F18" s="12" t="n">
        <v>171296</v>
      </c>
      <c r="G18" s="12" t="n">
        <v>196033</v>
      </c>
      <c r="H18" s="11" t="n">
        <v>177602</v>
      </c>
      <c r="I18" s="12" t="n">
        <v>183955</v>
      </c>
      <c r="J18" s="12" t="n">
        <v>156890</v>
      </c>
      <c r="K18" s="12" t="n">
        <v>157586</v>
      </c>
      <c r="L18" s="12" t="n">
        <v>179457</v>
      </c>
    </row>
    <row r="19">
      <c r="A19" s="20" t="inlineStr">
        <is>
          <t>매입채무</t>
        </is>
      </c>
      <c r="B19" s="10" t="n"/>
      <c r="C19" s="21" t="n">
        <v>39101</v>
      </c>
      <c r="D19" s="22" t="n">
        <v>55867</v>
      </c>
      <c r="E19" s="22" t="n">
        <v>46262</v>
      </c>
      <c r="F19" s="22" t="n">
        <v>51820</v>
      </c>
      <c r="G19" s="22" t="n">
        <v>56132</v>
      </c>
      <c r="H19" s="21" t="n">
        <v>49473</v>
      </c>
      <c r="I19" s="22" t="n">
        <v>56935</v>
      </c>
      <c r="J19" s="22" t="n">
        <v>42938</v>
      </c>
      <c r="K19" s="22" t="n">
        <v>37454</v>
      </c>
      <c r="L19" s="22" t="n">
        <v>46262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40537</v>
      </c>
      <c r="D23" s="12" t="n">
        <v>40743</v>
      </c>
      <c r="E23" s="12" t="n">
        <v>28296</v>
      </c>
      <c r="F23" s="12" t="n">
        <v>27579</v>
      </c>
      <c r="G23" s="12" t="n">
        <v>26682</v>
      </c>
      <c r="H23" s="11" t="n">
        <v>56483</v>
      </c>
      <c r="I23" s="12" t="n">
        <v>62026</v>
      </c>
      <c r="J23" s="12" t="n">
        <v>49947</v>
      </c>
      <c r="K23" s="12" t="n">
        <v>39555</v>
      </c>
      <c r="L23" s="12" t="n">
        <v>28296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195143</v>
      </c>
      <c r="D27" s="12" t="n">
        <v>211340</v>
      </c>
      <c r="E27" s="12" t="n">
        <v>207753</v>
      </c>
      <c r="F27" s="12" t="n">
        <v>198875</v>
      </c>
      <c r="G27" s="12" t="n">
        <v>222715</v>
      </c>
      <c r="H27" s="11" t="n">
        <v>234085</v>
      </c>
      <c r="I27" s="12" t="n">
        <v>245981</v>
      </c>
      <c r="J27" s="12" t="n">
        <v>206837</v>
      </c>
      <c r="K27" s="12" t="n">
        <v>197141</v>
      </c>
      <c r="L27" s="12" t="n">
        <v>207753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1770428</v>
      </c>
      <c r="D31" s="12" t="n">
        <v>1795274</v>
      </c>
      <c r="E31" s="12" t="n">
        <v>1864871</v>
      </c>
      <c r="F31" s="12" t="n">
        <v>1892500</v>
      </c>
      <c r="G31" s="12" t="n">
        <v>1893342</v>
      </c>
      <c r="H31" s="11" t="n">
        <v>1535809</v>
      </c>
      <c r="I31" s="12" t="n">
        <v>1615376</v>
      </c>
      <c r="J31" s="12" t="n">
        <v>1705556</v>
      </c>
      <c r="K31" s="12" t="n">
        <v>1724545</v>
      </c>
      <c r="L31" s="12" t="n">
        <v>1864871</v>
      </c>
    </row>
    <row r="32">
      <c r="A32" s="20" t="inlineStr">
        <is>
          <t>자본금</t>
        </is>
      </c>
      <c r="B32" s="10" t="n"/>
      <c r="C32" s="21" t="n">
        <v>69014</v>
      </c>
      <c r="D32" s="22" t="n">
        <v>69014</v>
      </c>
      <c r="E32" s="22" t="n">
        <v>69014</v>
      </c>
      <c r="F32" s="22" t="n">
        <v>69014</v>
      </c>
      <c r="G32" s="22" t="n">
        <v>69014</v>
      </c>
      <c r="H32" s="21" t="n">
        <v>69014</v>
      </c>
      <c r="I32" s="22" t="n">
        <v>69014</v>
      </c>
      <c r="J32" s="22" t="n">
        <v>69014</v>
      </c>
      <c r="K32" s="22" t="n">
        <v>69014</v>
      </c>
      <c r="L32" s="22" t="n">
        <v>69014</v>
      </c>
    </row>
    <row r="33">
      <c r="A33" s="20" t="inlineStr">
        <is>
          <t>이익잉여금</t>
        </is>
      </c>
      <c r="B33" s="10" t="n"/>
      <c r="C33" s="21" t="n">
        <v>1582626</v>
      </c>
      <c r="D33" s="22" t="n">
        <v>1571769</v>
      </c>
      <c r="E33" s="22" t="n">
        <v>1621450</v>
      </c>
      <c r="F33" s="22" t="n">
        <v>1620087</v>
      </c>
      <c r="G33" s="22" t="n">
        <v>1681783</v>
      </c>
      <c r="H33" s="21" t="n">
        <v>1441559</v>
      </c>
      <c r="I33" s="22" t="n">
        <v>1515662</v>
      </c>
      <c r="J33" s="22" t="n">
        <v>1540398</v>
      </c>
      <c r="K33" s="22" t="n">
        <v>1585779</v>
      </c>
      <c r="L33" s="22" t="n">
        <v>1621450</v>
      </c>
    </row>
    <row r="34">
      <c r="A34" s="20" t="inlineStr">
        <is>
          <t>비지배지분</t>
        </is>
      </c>
      <c r="B34" s="10" t="n"/>
      <c r="C34" s="21" t="n">
        <v>15458</v>
      </c>
      <c r="D34" s="22" t="n">
        <v>16951</v>
      </c>
      <c r="E34" s="22" t="n">
        <v>18076</v>
      </c>
      <c r="F34" s="22" t="n">
        <v>17342</v>
      </c>
      <c r="G34" s="22" t="n">
        <v>18676</v>
      </c>
      <c r="H34" s="21" t="n">
        <v>14070</v>
      </c>
      <c r="I34" s="22" t="n">
        <v>12179</v>
      </c>
      <c r="J34" s="22" t="n">
        <v>13644</v>
      </c>
      <c r="K34" s="22" t="n">
        <v>15345</v>
      </c>
      <c r="L34" s="22" t="n">
        <v>18076</v>
      </c>
    </row>
    <row r="35">
      <c r="A35" s="9" t="inlineStr">
        <is>
          <t>자본총계</t>
        </is>
      </c>
      <c r="B35" s="10" t="n"/>
      <c r="C35" s="11" t="n">
        <v>1785886</v>
      </c>
      <c r="D35" s="12" t="n">
        <v>1812225</v>
      </c>
      <c r="E35" s="12" t="n">
        <v>1882947</v>
      </c>
      <c r="F35" s="12" t="n">
        <v>1909842</v>
      </c>
      <c r="G35" s="12" t="n">
        <v>1912018</v>
      </c>
      <c r="H35" s="11" t="n">
        <v>1549879</v>
      </c>
      <c r="I35" s="12" t="n">
        <v>1627555</v>
      </c>
      <c r="J35" s="12" t="n">
        <v>1719200</v>
      </c>
      <c r="K35" s="12" t="n">
        <v>1739890</v>
      </c>
      <c r="L35" s="12" t="n">
        <v>1882947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235897</v>
      </c>
      <c r="D37" s="12" t="n"/>
      <c r="E37" s="12" t="n">
        <v>250896</v>
      </c>
      <c r="F37" s="12" t="n"/>
      <c r="G37" s="12" t="n">
        <v>278836</v>
      </c>
      <c r="H37" s="11" t="n">
        <v>125581</v>
      </c>
      <c r="I37" s="12" t="n">
        <v>99505</v>
      </c>
      <c r="J37" s="12" t="n">
        <v>171764</v>
      </c>
      <c r="K37" s="12" t="n">
        <v>255273</v>
      </c>
      <c r="L37" s="12" t="n">
        <v>250896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29595</v>
      </c>
      <c r="D38" s="22" t="n"/>
      <c r="E38" s="22" t="n">
        <v>21181</v>
      </c>
      <c r="F38" s="22" t="n"/>
      <c r="G38" s="22" t="n">
        <v>27633</v>
      </c>
      <c r="H38" s="21" t="n">
        <v>34363</v>
      </c>
      <c r="I38" s="22" t="n">
        <v>47066</v>
      </c>
      <c r="J38" s="22" t="n">
        <v>53884</v>
      </c>
      <c r="K38" s="22" t="n">
        <v>40805</v>
      </c>
      <c r="L38" s="22" t="n">
        <v>21181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88194</v>
      </c>
      <c r="D40" s="22" t="n"/>
      <c r="E40" s="22" t="n">
        <v>94459</v>
      </c>
      <c r="F40" s="22" t="n"/>
      <c r="G40" s="22" t="n">
        <v>99923</v>
      </c>
      <c r="H40" s="21" t="n">
        <v>86799</v>
      </c>
      <c r="I40" s="22" t="n">
        <v>96485</v>
      </c>
      <c r="J40" s="22" t="n">
        <v>90096</v>
      </c>
      <c r="K40" s="22" t="n">
        <v>83133</v>
      </c>
      <c r="L40" s="22" t="n">
        <v>94459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638633</v>
      </c>
      <c r="D71" s="22" t="n">
        <v>661188</v>
      </c>
      <c r="E71" s="22" t="n">
        <v>718071</v>
      </c>
      <c r="F71" s="22" t="n">
        <v>721468</v>
      </c>
      <c r="G71" s="22" t="n">
        <v>746285</v>
      </c>
      <c r="H71" s="22" t="n">
        <v>423515</v>
      </c>
      <c r="I71" s="22" t="n">
        <v>512528</v>
      </c>
      <c r="J71" s="22" t="n">
        <v>522979</v>
      </c>
      <c r="K71" s="22" t="n">
        <v>590504</v>
      </c>
      <c r="L71" s="22" t="n">
        <v>718071</v>
      </c>
    </row>
    <row r="72">
      <c r="A72" s="20" t="inlineStr">
        <is>
          <t>받을어음·매출채권</t>
        </is>
      </c>
      <c r="H72" s="22" t="n">
        <v>150195</v>
      </c>
    </row>
    <row r="73">
      <c r="A73" s="20" t="inlineStr">
        <is>
          <t>받을어음</t>
        </is>
      </c>
      <c r="C73" s="22" t="n">
        <v>20237</v>
      </c>
      <c r="D73" s="22" t="n">
        <v>20059</v>
      </c>
      <c r="E73" s="22" t="n">
        <v>5631</v>
      </c>
      <c r="F73" s="22" t="n">
        <v>4906</v>
      </c>
      <c r="G73" s="22" t="n">
        <v>5248</v>
      </c>
      <c r="H73" s="22" t="n">
        <v>25707</v>
      </c>
      <c r="I73" s="22" t="n">
        <v>24824</v>
      </c>
      <c r="J73" s="22" t="n">
        <v>18990</v>
      </c>
      <c r="K73" s="22" t="n">
        <v>20517</v>
      </c>
      <c r="L73" s="22" t="n">
        <v>5631</v>
      </c>
    </row>
    <row r="74">
      <c r="A74" s="20" t="inlineStr">
        <is>
          <t>전자기록채권</t>
        </is>
      </c>
      <c r="E74" s="22" t="n">
        <v>16211</v>
      </c>
      <c r="F74" s="22" t="n">
        <v>16430</v>
      </c>
      <c r="G74" s="22" t="n">
        <v>16998</v>
      </c>
      <c r="L74" s="22" t="n">
        <v>16211</v>
      </c>
    </row>
    <row r="75">
      <c r="A75" s="20" t="inlineStr">
        <is>
          <t>매출채권</t>
        </is>
      </c>
      <c r="C75" s="22" t="n">
        <v>132825</v>
      </c>
      <c r="D75" s="22" t="n">
        <v>136745</v>
      </c>
      <c r="E75" s="22" t="n">
        <v>148933</v>
      </c>
      <c r="F75" s="22" t="n">
        <v>145168</v>
      </c>
      <c r="G75" s="22" t="n">
        <v>139896</v>
      </c>
      <c r="H75" s="22" t="n">
        <v>124488</v>
      </c>
      <c r="I75" s="22" t="n">
        <v>137961</v>
      </c>
      <c r="J75" s="22" t="n">
        <v>136931</v>
      </c>
      <c r="K75" s="22" t="n">
        <v>135920</v>
      </c>
      <c r="L75" s="22" t="n">
        <v>148933</v>
      </c>
    </row>
    <row r="76">
      <c r="A76" s="20" t="inlineStr">
        <is>
          <t>유가증권</t>
        </is>
      </c>
      <c r="C76" s="22" t="n">
        <v>30800</v>
      </c>
      <c r="D76" s="22" t="n">
        <v>35700</v>
      </c>
      <c r="E76" s="22" t="n">
        <v>35800</v>
      </c>
      <c r="F76" s="22" t="n">
        <v>40800</v>
      </c>
      <c r="G76" s="22" t="n">
        <v>40800</v>
      </c>
      <c r="H76" s="22" t="n">
        <v>177700</v>
      </c>
      <c r="I76" s="22" t="n">
        <v>16700</v>
      </c>
      <c r="J76" s="22" t="n">
        <v>16100</v>
      </c>
      <c r="K76" s="22" t="n">
        <v>16000</v>
      </c>
      <c r="L76" s="22" t="n">
        <v>35800</v>
      </c>
    </row>
    <row r="77">
      <c r="A77" s="20" t="inlineStr">
        <is>
          <t>상품·제품</t>
        </is>
      </c>
      <c r="C77" s="22" t="n">
        <v>120416</v>
      </c>
      <c r="D77" s="22" t="n">
        <v>128524</v>
      </c>
      <c r="E77" s="22" t="n">
        <v>128770</v>
      </c>
      <c r="F77" s="22" t="n">
        <v>126622</v>
      </c>
      <c r="G77" s="22" t="n">
        <v>124574</v>
      </c>
      <c r="H77" s="22" t="n">
        <v>114228</v>
      </c>
      <c r="I77" s="22" t="n">
        <v>157888</v>
      </c>
      <c r="J77" s="22" t="n">
        <v>147545</v>
      </c>
      <c r="K77" s="22" t="n">
        <v>116143</v>
      </c>
      <c r="L77" s="22" t="n">
        <v>128770</v>
      </c>
    </row>
    <row r="78">
      <c r="A78" s="20" t="inlineStr">
        <is>
          <t>재공품</t>
        </is>
      </c>
      <c r="C78" s="22" t="n">
        <v>78004</v>
      </c>
      <c r="D78" s="22" t="n">
        <v>77692</v>
      </c>
      <c r="E78" s="22" t="n">
        <v>78986</v>
      </c>
      <c r="F78" s="22" t="n">
        <v>82380</v>
      </c>
      <c r="G78" s="22" t="n">
        <v>94001</v>
      </c>
      <c r="H78" s="22" t="n">
        <v>80006</v>
      </c>
      <c r="I78" s="22" t="n">
        <v>92098</v>
      </c>
      <c r="J78" s="22" t="n">
        <v>91929</v>
      </c>
      <c r="K78" s="22" t="n">
        <v>83219</v>
      </c>
      <c r="L78" s="22" t="n">
        <v>78986</v>
      </c>
    </row>
    <row r="79">
      <c r="A79" s="20" t="inlineStr">
        <is>
          <t>원재료·저장품</t>
        </is>
      </c>
      <c r="C79" s="22" t="n">
        <v>94154</v>
      </c>
      <c r="D79" s="22" t="n">
        <v>91866</v>
      </c>
      <c r="E79" s="22" t="n">
        <v>84430</v>
      </c>
      <c r="F79" s="22" t="n">
        <v>82460</v>
      </c>
      <c r="G79" s="22" t="n">
        <v>82137</v>
      </c>
      <c r="H79" s="22" t="n">
        <v>55330</v>
      </c>
      <c r="I79" s="22" t="n">
        <v>100591</v>
      </c>
      <c r="J79" s="22" t="n">
        <v>123072</v>
      </c>
      <c r="K79" s="22" t="n">
        <v>107077</v>
      </c>
      <c r="L79" s="22" t="n">
        <v>84430</v>
      </c>
    </row>
    <row r="80">
      <c r="A80" s="20" t="inlineStr">
        <is>
          <t>기타</t>
        </is>
      </c>
      <c r="C80" s="22" t="n">
        <v>30375</v>
      </c>
      <c r="D80" s="22" t="n">
        <v>20554</v>
      </c>
      <c r="E80" s="22" t="n">
        <v>22428</v>
      </c>
      <c r="F80" s="22" t="n">
        <v>39743</v>
      </c>
      <c r="G80" s="22" t="n">
        <v>26504</v>
      </c>
      <c r="H80" s="22" t="n">
        <v>14996</v>
      </c>
      <c r="I80" s="22" t="n">
        <v>20549</v>
      </c>
      <c r="J80" s="22" t="n">
        <v>20206</v>
      </c>
      <c r="K80" s="22" t="n">
        <v>18396</v>
      </c>
      <c r="L80" s="22" t="n">
        <v>22428</v>
      </c>
    </row>
    <row r="81">
      <c r="A81" s="20" t="inlineStr">
        <is>
          <t>대손충당금</t>
        </is>
      </c>
      <c r="C81" s="22" t="n">
        <v>-1998</v>
      </c>
      <c r="D81" s="22" t="n">
        <v>-2178</v>
      </c>
      <c r="E81" s="22" t="n">
        <v>-2234</v>
      </c>
      <c r="F81" s="22" t="n">
        <v>-2359</v>
      </c>
      <c r="G81" s="22" t="n">
        <v>-2312</v>
      </c>
      <c r="H81" s="22" t="n">
        <v>-1024</v>
      </c>
      <c r="I81" s="22" t="n">
        <v>-1399</v>
      </c>
      <c r="J81" s="22" t="n">
        <v>-1487</v>
      </c>
      <c r="K81" s="22" t="n">
        <v>-1989</v>
      </c>
      <c r="L81" s="22" t="n">
        <v>-2234</v>
      </c>
    </row>
    <row r="82">
      <c r="A82" s="9" t="inlineStr">
        <is>
          <t>유동자산 합계</t>
        </is>
      </c>
      <c r="C82" s="12" t="n">
        <v>1143446</v>
      </c>
      <c r="D82" s="12" t="n">
        <v>1170150</v>
      </c>
      <c r="E82" s="12" t="n">
        <v>1237026</v>
      </c>
      <c r="F82" s="12" t="n">
        <v>1257618</v>
      </c>
      <c r="G82" s="12" t="n">
        <v>1274131</v>
      </c>
      <c r="H82" s="12" t="n">
        <v>1014946</v>
      </c>
      <c r="I82" s="12" t="n">
        <v>1061740</v>
      </c>
      <c r="J82" s="12" t="n">
        <v>1076265</v>
      </c>
      <c r="K82" s="12" t="n">
        <v>1085787</v>
      </c>
      <c r="L82" s="12" t="n">
        <v>1237026</v>
      </c>
    </row>
    <row r="83">
      <c r="A83" s="20" t="inlineStr">
        <is>
          <t>건물·구축물(순액)</t>
        </is>
      </c>
      <c r="C83" s="22" t="n">
        <v>329832</v>
      </c>
      <c r="D83" s="22" t="n">
        <v>341917</v>
      </c>
      <c r="E83" s="22" t="n">
        <v>338990</v>
      </c>
      <c r="F83" s="22" t="n">
        <v>335997</v>
      </c>
      <c r="G83" s="22" t="n">
        <v>333248</v>
      </c>
      <c r="H83" s="22" t="n">
        <v>326459</v>
      </c>
      <c r="I83" s="22" t="n">
        <v>325102</v>
      </c>
      <c r="J83" s="22" t="n">
        <v>326373</v>
      </c>
      <c r="K83" s="22" t="n">
        <v>325311</v>
      </c>
      <c r="L83" s="22" t="n">
        <v>338990</v>
      </c>
    </row>
    <row r="84">
      <c r="A84" s="20" t="inlineStr">
        <is>
          <t>기계장치·운반구(순액)</t>
        </is>
      </c>
      <c r="E84" s="22" t="n">
        <v>46010</v>
      </c>
      <c r="H84" s="22" t="n">
        <v>56665</v>
      </c>
      <c r="I84" s="22" t="n">
        <v>55089</v>
      </c>
      <c r="J84" s="22" t="n">
        <v>49653</v>
      </c>
      <c r="K84" s="22" t="n">
        <v>48706</v>
      </c>
      <c r="L84" s="22" t="n">
        <v>46010</v>
      </c>
    </row>
    <row r="85">
      <c r="A85" s="20" t="inlineStr">
        <is>
          <t>토지</t>
        </is>
      </c>
      <c r="C85" s="22" t="n">
        <v>164070</v>
      </c>
      <c r="D85" s="22" t="n">
        <v>165227</v>
      </c>
      <c r="E85" s="22" t="n">
        <v>165049</v>
      </c>
      <c r="F85" s="22" t="n">
        <v>165346</v>
      </c>
      <c r="G85" s="22" t="n">
        <v>167651</v>
      </c>
      <c r="H85" s="22" t="n">
        <v>155369</v>
      </c>
      <c r="I85" s="22" t="n">
        <v>158055</v>
      </c>
      <c r="J85" s="22" t="n">
        <v>163593</v>
      </c>
      <c r="K85" s="22" t="n">
        <v>163164</v>
      </c>
      <c r="L85" s="22" t="n">
        <v>165049</v>
      </c>
    </row>
    <row r="86">
      <c r="A86" s="20" t="inlineStr">
        <is>
          <t>건설중인자산</t>
        </is>
      </c>
      <c r="E86" s="22" t="n">
        <v>21959</v>
      </c>
      <c r="H86" s="22" t="n">
        <v>24292</v>
      </c>
      <c r="I86" s="22" t="n">
        <v>33102</v>
      </c>
      <c r="J86" s="22" t="n">
        <v>49285</v>
      </c>
      <c r="K86" s="22" t="n">
        <v>47971</v>
      </c>
      <c r="L86" s="22" t="n">
        <v>21959</v>
      </c>
    </row>
    <row r="87">
      <c r="A87" s="20" t="inlineStr">
        <is>
          <t>기타(순액)</t>
        </is>
      </c>
      <c r="C87" s="22" t="n">
        <v>103489</v>
      </c>
      <c r="D87" s="22" t="n">
        <v>90206</v>
      </c>
      <c r="E87" s="22" t="n">
        <v>87377</v>
      </c>
      <c r="F87" s="22" t="n">
        <v>88391</v>
      </c>
      <c r="G87" s="22" t="n">
        <v>84467</v>
      </c>
      <c r="H87" s="22" t="n">
        <v>15348</v>
      </c>
      <c r="I87" s="22" t="n">
        <v>17348</v>
      </c>
      <c r="J87" s="22" t="n">
        <v>18851</v>
      </c>
      <c r="K87" s="22" t="n">
        <v>19114</v>
      </c>
      <c r="L87" s="22" t="n">
        <v>87377</v>
      </c>
    </row>
    <row r="88">
      <c r="A88" s="20" t="inlineStr">
        <is>
          <t>유형자산 합계</t>
        </is>
      </c>
      <c r="C88" s="22" t="n">
        <v>597391</v>
      </c>
      <c r="D88" s="22" t="n">
        <v>597350</v>
      </c>
      <c r="E88" s="22" t="n">
        <v>591416</v>
      </c>
      <c r="F88" s="22" t="n">
        <v>589734</v>
      </c>
      <c r="G88" s="22" t="n">
        <v>585366</v>
      </c>
      <c r="H88" s="22" t="n">
        <v>578133</v>
      </c>
      <c r="I88" s="22" t="n">
        <v>588696</v>
      </c>
      <c r="J88" s="22" t="n">
        <v>607755</v>
      </c>
      <c r="K88" s="22" t="n">
        <v>604266</v>
      </c>
      <c r="L88" s="22" t="n">
        <v>591416</v>
      </c>
    </row>
    <row r="89">
      <c r="A89" s="20" t="inlineStr">
        <is>
          <t>무형자산</t>
        </is>
      </c>
      <c r="C89" s="22" t="n">
        <v>8676</v>
      </c>
      <c r="D89" s="22" t="n">
        <v>8527</v>
      </c>
      <c r="E89" s="22" t="n">
        <v>8542</v>
      </c>
      <c r="F89" s="22" t="n">
        <v>8419</v>
      </c>
      <c r="G89" s="22" t="n">
        <v>8498</v>
      </c>
      <c r="H89" s="22" t="n">
        <v>8933</v>
      </c>
      <c r="I89" s="22" t="n">
        <v>10855</v>
      </c>
      <c r="J89" s="22" t="n">
        <v>9823</v>
      </c>
      <c r="K89" s="22" t="n">
        <v>8800</v>
      </c>
      <c r="L89" s="22" t="n">
        <v>8542</v>
      </c>
    </row>
    <row r="90">
      <c r="A90" s="20" t="inlineStr">
        <is>
          <t>투자유가증권</t>
        </is>
      </c>
      <c r="C90" s="22" t="n">
        <v>187180</v>
      </c>
      <c r="D90" s="22" t="n">
        <v>207119</v>
      </c>
      <c r="E90" s="22" t="n">
        <v>223287</v>
      </c>
      <c r="F90" s="22" t="n">
        <v>231110</v>
      </c>
      <c r="G90" s="22" t="n">
        <v>242860</v>
      </c>
      <c r="H90" s="22" t="n">
        <v>135709</v>
      </c>
      <c r="I90" s="22" t="n">
        <v>159500</v>
      </c>
      <c r="J90" s="22" t="n">
        <v>184434</v>
      </c>
      <c r="K90" s="22" t="n">
        <v>192214</v>
      </c>
      <c r="L90" s="22" t="n">
        <v>223287</v>
      </c>
    </row>
    <row r="91">
      <c r="A91" s="20" t="inlineStr">
        <is>
          <t>이연법인세자산</t>
        </is>
      </c>
      <c r="E91" s="22" t="n">
        <v>28425</v>
      </c>
      <c r="H91" s="22" t="n">
        <v>34607</v>
      </c>
      <c r="I91" s="22" t="n">
        <v>46461</v>
      </c>
      <c r="J91" s="22" t="n">
        <v>44825</v>
      </c>
      <c r="K91" s="22" t="n">
        <v>43542</v>
      </c>
      <c r="L91" s="22" t="n">
        <v>28425</v>
      </c>
    </row>
    <row r="92">
      <c r="A92" s="20" t="inlineStr">
        <is>
          <t>퇴직급여자산</t>
        </is>
      </c>
      <c r="E92" s="22" t="n">
        <v>1310</v>
      </c>
      <c r="H92" s="22" t="n">
        <v>7809</v>
      </c>
      <c r="I92" s="22" t="n">
        <v>5444</v>
      </c>
      <c r="J92" s="22" t="n">
        <v>1785</v>
      </c>
      <c r="K92" s="22" t="n">
        <v>1220</v>
      </c>
      <c r="L92" s="22" t="n">
        <v>1310</v>
      </c>
    </row>
    <row r="93">
      <c r="A93" s="20" t="inlineStr">
        <is>
          <t>기타</t>
        </is>
      </c>
      <c r="C93" s="22" t="n">
        <v>44383</v>
      </c>
      <c r="D93" s="22" t="n">
        <v>40467</v>
      </c>
      <c r="E93" s="22" t="n">
        <v>30477</v>
      </c>
      <c r="F93" s="22" t="n">
        <v>21884</v>
      </c>
      <c r="G93" s="22" t="n">
        <v>23930</v>
      </c>
      <c r="H93" s="22" t="n">
        <v>4252</v>
      </c>
      <c r="I93" s="22" t="n">
        <v>1302</v>
      </c>
      <c r="J93" s="22" t="n">
        <v>1254</v>
      </c>
      <c r="K93" s="22" t="n">
        <v>1296</v>
      </c>
      <c r="L93" s="22" t="n">
        <v>30477</v>
      </c>
    </row>
    <row r="94">
      <c r="A94" s="20" t="inlineStr">
        <is>
          <t>대손충당금</t>
        </is>
      </c>
      <c r="C94" s="22" t="n">
        <v>-47</v>
      </c>
      <c r="D94" s="22" t="n">
        <v>-48</v>
      </c>
      <c r="E94" s="22" t="n">
        <v>-48</v>
      </c>
      <c r="F94" s="22" t="n">
        <v>-48</v>
      </c>
      <c r="G94" s="22" t="n">
        <v>-52</v>
      </c>
      <c r="H94" s="22" t="n">
        <v>-425</v>
      </c>
      <c r="I94" s="22" t="n">
        <v>-462</v>
      </c>
      <c r="J94" s="22" t="n">
        <v>-104</v>
      </c>
      <c r="K94" s="22" t="n">
        <v>-94</v>
      </c>
      <c r="L94" s="22" t="n">
        <v>-48</v>
      </c>
    </row>
    <row r="95">
      <c r="A95" s="20" t="inlineStr">
        <is>
          <t>투자 및 기타자산 합계</t>
        </is>
      </c>
      <c r="C95" s="22" t="n">
        <v>231516</v>
      </c>
      <c r="D95" s="22" t="n">
        <v>247538</v>
      </c>
      <c r="E95" s="22" t="n">
        <v>253716</v>
      </c>
      <c r="F95" s="22" t="n">
        <v>252946</v>
      </c>
      <c r="G95" s="22" t="n">
        <v>266738</v>
      </c>
      <c r="H95" s="22" t="n">
        <v>181952</v>
      </c>
      <c r="I95" s="22" t="n">
        <v>212245</v>
      </c>
      <c r="J95" s="22" t="n">
        <v>232194</v>
      </c>
      <c r="K95" s="22" t="n">
        <v>238178</v>
      </c>
      <c r="L95" s="22" t="n">
        <v>253716</v>
      </c>
    </row>
    <row r="96">
      <c r="A96" s="9" t="inlineStr">
        <is>
          <t>비유동자산 합계</t>
        </is>
      </c>
      <c r="C96" s="12" t="n">
        <v>837583</v>
      </c>
      <c r="D96" s="12" t="n">
        <v>853415</v>
      </c>
      <c r="E96" s="12" t="n">
        <v>853674</v>
      </c>
      <c r="F96" s="12" t="n">
        <v>851099</v>
      </c>
      <c r="G96" s="12" t="n">
        <v>860602</v>
      </c>
      <c r="H96" s="12" t="n">
        <v>769018</v>
      </c>
      <c r="I96" s="12" t="n">
        <v>811796</v>
      </c>
      <c r="J96" s="12" t="n">
        <v>849772</v>
      </c>
      <c r="K96" s="12" t="n">
        <v>851244</v>
      </c>
      <c r="L96" s="12" t="n">
        <v>853674</v>
      </c>
    </row>
    <row r="97">
      <c r="A97" s="9" t="inlineStr">
        <is>
          <t>자산 합계</t>
        </is>
      </c>
      <c r="C97" s="12" t="n">
        <v>1981029</v>
      </c>
      <c r="D97" s="12" t="n">
        <v>2023565</v>
      </c>
      <c r="E97" s="12" t="n">
        <v>2090700</v>
      </c>
      <c r="F97" s="12" t="n">
        <v>2108717</v>
      </c>
      <c r="G97" s="12" t="n">
        <v>2134733</v>
      </c>
      <c r="H97" s="12" t="n">
        <v>1783964</v>
      </c>
      <c r="I97" s="12" t="n">
        <v>1873536</v>
      </c>
      <c r="J97" s="12" t="n">
        <v>1926037</v>
      </c>
      <c r="K97" s="12" t="n">
        <v>1937031</v>
      </c>
      <c r="L97" s="12" t="n">
        <v>2090700</v>
      </c>
    </row>
    <row r="98">
      <c r="A98" s="20" t="inlineStr">
        <is>
          <t>지급어음·매입채무</t>
        </is>
      </c>
      <c r="C98" s="22" t="n">
        <v>39101</v>
      </c>
      <c r="D98" s="22" t="n">
        <v>55867</v>
      </c>
      <c r="E98" s="22" t="n">
        <v>46262</v>
      </c>
      <c r="F98" s="22" t="n">
        <v>51820</v>
      </c>
      <c r="G98" s="22" t="n">
        <v>56132</v>
      </c>
      <c r="H98" s="22" t="n">
        <v>49473</v>
      </c>
      <c r="I98" s="22" t="n">
        <v>56935</v>
      </c>
      <c r="J98" s="22" t="n">
        <v>42938</v>
      </c>
      <c r="K98" s="22" t="n">
        <v>37454</v>
      </c>
      <c r="L98" s="22" t="n">
        <v>46262</v>
      </c>
    </row>
    <row r="99">
      <c r="A99" s="20" t="inlineStr">
        <is>
          <t>미지급법인세</t>
        </is>
      </c>
      <c r="C99" s="22" t="n">
        <v>21220</v>
      </c>
      <c r="D99" s="22" t="n">
        <v>16737</v>
      </c>
      <c r="E99" s="22" t="n">
        <v>25694</v>
      </c>
      <c r="F99" s="22" t="n">
        <v>8158</v>
      </c>
      <c r="G99" s="22" t="n">
        <v>23912</v>
      </c>
      <c r="H99" s="22" t="n">
        <v>37572</v>
      </c>
      <c r="I99" s="22" t="n">
        <v>25736</v>
      </c>
      <c r="J99" s="22" t="n">
        <v>5490</v>
      </c>
      <c r="K99" s="22" t="n">
        <v>19005</v>
      </c>
      <c r="L99" s="22" t="n">
        <v>25694</v>
      </c>
    </row>
    <row r="100">
      <c r="A100" s="20" t="inlineStr">
        <is>
          <t>애프터서비스 충당금</t>
        </is>
      </c>
      <c r="C100" s="22" t="n">
        <v>8572</v>
      </c>
      <c r="D100" s="22" t="n">
        <v>8969</v>
      </c>
      <c r="E100" s="22" t="n">
        <v>8870</v>
      </c>
      <c r="F100" s="22" t="n">
        <v>9320</v>
      </c>
      <c r="G100" s="22" t="n">
        <v>10026</v>
      </c>
      <c r="H100" s="22" t="n">
        <v>10739</v>
      </c>
      <c r="I100" s="22" t="n">
        <v>11222</v>
      </c>
      <c r="J100" s="22" t="n">
        <v>10021</v>
      </c>
      <c r="K100" s="22" t="n">
        <v>9085</v>
      </c>
      <c r="L100" s="22" t="n">
        <v>8870</v>
      </c>
    </row>
    <row r="101">
      <c r="A101" s="20" t="inlineStr">
        <is>
          <t>기타</t>
        </is>
      </c>
      <c r="C101" s="22" t="n">
        <v>85713</v>
      </c>
      <c r="D101" s="22" t="n">
        <v>89024</v>
      </c>
      <c r="E101" s="22" t="n">
        <v>98631</v>
      </c>
      <c r="F101" s="22" t="n">
        <v>101998</v>
      </c>
      <c r="G101" s="22" t="n">
        <v>105963</v>
      </c>
      <c r="H101" s="22" t="n">
        <v>79818</v>
      </c>
      <c r="I101" s="22" t="n">
        <v>90062</v>
      </c>
      <c r="J101" s="22" t="n">
        <v>98441</v>
      </c>
      <c r="K101" s="22" t="n">
        <v>92042</v>
      </c>
      <c r="L101" s="22" t="n">
        <v>98631</v>
      </c>
    </row>
    <row r="102">
      <c r="A102" s="9" t="inlineStr">
        <is>
          <t>유동부채 합계</t>
        </is>
      </c>
      <c r="C102" s="12" t="n">
        <v>154606</v>
      </c>
      <c r="D102" s="12" t="n">
        <v>170597</v>
      </c>
      <c r="E102" s="12" t="n">
        <v>179457</v>
      </c>
      <c r="F102" s="12" t="n">
        <v>171296</v>
      </c>
      <c r="G102" s="12" t="n">
        <v>196033</v>
      </c>
      <c r="H102" s="12" t="n">
        <v>177602</v>
      </c>
      <c r="I102" s="12" t="n">
        <v>183955</v>
      </c>
      <c r="J102" s="12" t="n">
        <v>156890</v>
      </c>
      <c r="K102" s="12" t="n">
        <v>157586</v>
      </c>
      <c r="L102" s="12" t="n">
        <v>179457</v>
      </c>
    </row>
    <row r="103">
      <c r="A103" s="20" t="inlineStr">
        <is>
          <t>퇴직급여부채</t>
        </is>
      </c>
      <c r="C103" s="22" t="n">
        <v>32642</v>
      </c>
      <c r="D103" s="22" t="n">
        <v>32915</v>
      </c>
      <c r="E103" s="22" t="n">
        <v>20191</v>
      </c>
      <c r="F103" s="22" t="n">
        <v>19536</v>
      </c>
      <c r="G103" s="22" t="n">
        <v>19386</v>
      </c>
      <c r="H103" s="22" t="n">
        <v>51693</v>
      </c>
      <c r="I103" s="22" t="n">
        <v>55201</v>
      </c>
      <c r="J103" s="22" t="n">
        <v>42437</v>
      </c>
      <c r="K103" s="22" t="n">
        <v>31208</v>
      </c>
      <c r="L103" s="22" t="n">
        <v>20191</v>
      </c>
    </row>
    <row r="104">
      <c r="A104" s="20" t="inlineStr">
        <is>
          <t>기타</t>
        </is>
      </c>
      <c r="C104" s="22" t="n">
        <v>7895</v>
      </c>
      <c r="D104" s="22" t="n">
        <v>7828</v>
      </c>
      <c r="E104" s="22" t="n">
        <v>8105</v>
      </c>
      <c r="F104" s="22" t="n">
        <v>8043</v>
      </c>
      <c r="G104" s="22" t="n">
        <v>7296</v>
      </c>
      <c r="H104" s="22" t="n">
        <v>4790</v>
      </c>
      <c r="I104" s="22" t="n">
        <v>6825</v>
      </c>
      <c r="J104" s="22" t="n">
        <v>7510</v>
      </c>
      <c r="K104" s="22" t="n">
        <v>8347</v>
      </c>
      <c r="L104" s="22" t="n">
        <v>8105</v>
      </c>
    </row>
    <row r="105">
      <c r="A105" s="9" t="inlineStr">
        <is>
          <t>비유동부채 합계</t>
        </is>
      </c>
      <c r="C105" s="12" t="n">
        <v>40537</v>
      </c>
      <c r="D105" s="12" t="n">
        <v>40743</v>
      </c>
      <c r="E105" s="12" t="n">
        <v>28296</v>
      </c>
      <c r="F105" s="12" t="n">
        <v>27579</v>
      </c>
      <c r="G105" s="12" t="n">
        <v>26682</v>
      </c>
      <c r="H105" s="12" t="n">
        <v>56483</v>
      </c>
      <c r="I105" s="12" t="n">
        <v>62026</v>
      </c>
      <c r="J105" s="12" t="n">
        <v>49947</v>
      </c>
      <c r="K105" s="12" t="n">
        <v>39555</v>
      </c>
      <c r="L105" s="12" t="n">
        <v>28296</v>
      </c>
    </row>
    <row r="106">
      <c r="A106" s="9" t="inlineStr">
        <is>
          <t>부채 합계</t>
        </is>
      </c>
      <c r="C106" s="12" t="n">
        <v>195143</v>
      </c>
      <c r="D106" s="12" t="n">
        <v>211340</v>
      </c>
      <c r="E106" s="12" t="n">
        <v>207753</v>
      </c>
      <c r="F106" s="12" t="n">
        <v>198875</v>
      </c>
      <c r="G106" s="12" t="n">
        <v>222715</v>
      </c>
      <c r="H106" s="12" t="n">
        <v>234085</v>
      </c>
      <c r="I106" s="12" t="n">
        <v>245981</v>
      </c>
      <c r="J106" s="12" t="n">
        <v>206837</v>
      </c>
      <c r="K106" s="12" t="n">
        <v>197141</v>
      </c>
      <c r="L106" s="12" t="n">
        <v>207753</v>
      </c>
    </row>
    <row r="107">
      <c r="A107" s="20" t="inlineStr">
        <is>
          <t>자본금</t>
        </is>
      </c>
      <c r="C107" s="22" t="n">
        <v>69014</v>
      </c>
      <c r="D107" s="22" t="n">
        <v>69014</v>
      </c>
      <c r="E107" s="22" t="n">
        <v>69014</v>
      </c>
      <c r="F107" s="22" t="n">
        <v>69014</v>
      </c>
      <c r="G107" s="22" t="n">
        <v>69014</v>
      </c>
      <c r="H107" s="22" t="n">
        <v>69014</v>
      </c>
      <c r="I107" s="22" t="n">
        <v>69014</v>
      </c>
      <c r="J107" s="22" t="n">
        <v>69014</v>
      </c>
      <c r="K107" s="22" t="n">
        <v>69014</v>
      </c>
      <c r="L107" s="22" t="n">
        <v>69014</v>
      </c>
    </row>
    <row r="108">
      <c r="A108" s="20" t="inlineStr">
        <is>
          <t>자본잉여금</t>
        </is>
      </c>
      <c r="C108" s="22" t="n">
        <v>95995</v>
      </c>
      <c r="D108" s="22" t="n">
        <v>95995</v>
      </c>
      <c r="E108" s="22" t="n">
        <v>95995</v>
      </c>
      <c r="F108" s="22" t="n">
        <v>95995</v>
      </c>
      <c r="G108" s="22" t="n">
        <v>95995</v>
      </c>
      <c r="H108" s="22" t="n">
        <v>96082</v>
      </c>
      <c r="I108" s="22" t="n">
        <v>96265</v>
      </c>
      <c r="J108" s="22" t="n">
        <v>95995</v>
      </c>
      <c r="K108" s="22" t="n">
        <v>95995</v>
      </c>
      <c r="L108" s="22" t="n">
        <v>95995</v>
      </c>
    </row>
    <row r="109">
      <c r="A109" s="20" t="inlineStr">
        <is>
          <t>이익잉여금</t>
        </is>
      </c>
      <c r="C109" s="22" t="n">
        <v>1582626</v>
      </c>
      <c r="D109" s="22" t="n">
        <v>1571769</v>
      </c>
      <c r="E109" s="22" t="n">
        <v>1621450</v>
      </c>
      <c r="F109" s="22" t="n">
        <v>1620087</v>
      </c>
      <c r="G109" s="22" t="n">
        <v>1681783</v>
      </c>
      <c r="H109" s="22" t="n">
        <v>1441559</v>
      </c>
      <c r="I109" s="22" t="n">
        <v>1515662</v>
      </c>
      <c r="J109" s="22" t="n">
        <v>1540398</v>
      </c>
      <c r="K109" s="22" t="n">
        <v>1585779</v>
      </c>
      <c r="L109" s="22" t="n">
        <v>1621450</v>
      </c>
    </row>
    <row r="110">
      <c r="A110" s="20" t="inlineStr">
        <is>
          <t>자기주식</t>
        </is>
      </c>
      <c r="C110" s="22" t="n">
        <v>-137795</v>
      </c>
      <c r="D110" s="22" t="n">
        <v>-137799</v>
      </c>
      <c r="E110" s="22" t="n">
        <v>-137802</v>
      </c>
      <c r="F110" s="22" t="n">
        <v>-137498</v>
      </c>
      <c r="G110" s="22" t="n">
        <v>-187430</v>
      </c>
      <c r="H110" s="22" t="n">
        <v>-105950</v>
      </c>
      <c r="I110" s="22" t="n">
        <v>-130206</v>
      </c>
      <c r="J110" s="22" t="n">
        <v>-143573</v>
      </c>
      <c r="K110" s="22" t="n">
        <v>-173859</v>
      </c>
      <c r="L110" s="22" t="n">
        <v>-137802</v>
      </c>
    </row>
    <row r="111">
      <c r="A111" s="9" t="inlineStr">
        <is>
          <t>주주자본 합계</t>
        </is>
      </c>
      <c r="C111" s="12" t="n">
        <v>1609840</v>
      </c>
      <c r="D111" s="12" t="n">
        <v>1598979</v>
      </c>
      <c r="E111" s="12" t="n">
        <v>1648657</v>
      </c>
      <c r="F111" s="12" t="n">
        <v>1647598</v>
      </c>
      <c r="G111" s="12" t="n">
        <v>1659362</v>
      </c>
      <c r="H111" s="12" t="n">
        <v>1500705</v>
      </c>
      <c r="I111" s="12" t="n">
        <v>1550735</v>
      </c>
      <c r="J111" s="12" t="n">
        <v>1561834</v>
      </c>
      <c r="K111" s="12" t="n">
        <v>1576929</v>
      </c>
      <c r="L111" s="12" t="n">
        <v>1648657</v>
      </c>
    </row>
    <row r="112">
      <c r="A112" s="20" t="inlineStr">
        <is>
          <t>기타유가증권 평가차액</t>
        </is>
      </c>
      <c r="C112" s="22" t="n">
        <v>25331</v>
      </c>
      <c r="D112" s="22" t="n">
        <v>30559</v>
      </c>
      <c r="E112" s="22" t="n">
        <v>28817</v>
      </c>
      <c r="F112" s="22" t="n">
        <v>42945</v>
      </c>
      <c r="G112" s="22" t="n">
        <v>39906</v>
      </c>
      <c r="H112" s="22" t="n">
        <v>15204</v>
      </c>
      <c r="I112" s="22" t="n">
        <v>13718</v>
      </c>
      <c r="J112" s="22" t="n">
        <v>21740</v>
      </c>
      <c r="K112" s="22" t="n">
        <v>14795</v>
      </c>
      <c r="L112" s="22" t="n">
        <v>28817</v>
      </c>
    </row>
    <row r="113">
      <c r="A113" s="20" t="inlineStr">
        <is>
          <t>해외사업환산조정</t>
        </is>
      </c>
      <c r="C113" s="22" t="n">
        <v>129934</v>
      </c>
      <c r="D113" s="22" t="n">
        <v>160596</v>
      </c>
      <c r="E113" s="22" t="n">
        <v>173487</v>
      </c>
      <c r="F113" s="22" t="n">
        <v>188544</v>
      </c>
      <c r="G113" s="22" t="n">
        <v>180793</v>
      </c>
      <c r="H113" s="22" t="n">
        <v>36087</v>
      </c>
      <c r="I113" s="22" t="n">
        <v>67937</v>
      </c>
      <c r="J113" s="22" t="n">
        <v>127754</v>
      </c>
      <c r="K113" s="22" t="n">
        <v>127908</v>
      </c>
      <c r="L113" s="22" t="n">
        <v>173487</v>
      </c>
    </row>
    <row r="114">
      <c r="A114" s="20" t="inlineStr">
        <is>
          <t>퇴직급여 조정누계액</t>
        </is>
      </c>
      <c r="C114" s="22" t="n">
        <v>5323</v>
      </c>
      <c r="D114" s="22" t="n">
        <v>5140</v>
      </c>
      <c r="E114" s="22" t="n">
        <v>13910</v>
      </c>
      <c r="F114" s="22" t="n">
        <v>13413</v>
      </c>
      <c r="G114" s="22" t="n">
        <v>13281</v>
      </c>
      <c r="H114" s="22" t="n">
        <v>-16187</v>
      </c>
      <c r="I114" s="22" t="n">
        <v>-17014</v>
      </c>
      <c r="J114" s="22" t="n">
        <v>-5772</v>
      </c>
      <c r="K114" s="22" t="n">
        <v>4913</v>
      </c>
      <c r="L114" s="22" t="n">
        <v>13910</v>
      </c>
    </row>
    <row r="115">
      <c r="A115" s="20" t="inlineStr">
        <is>
          <t>기타포괄손익누계액 합계</t>
        </is>
      </c>
      <c r="C115" s="22" t="n">
        <v>160588</v>
      </c>
      <c r="D115" s="22" t="n">
        <v>196295</v>
      </c>
      <c r="E115" s="22" t="n">
        <v>216214</v>
      </c>
      <c r="F115" s="22" t="n">
        <v>244902</v>
      </c>
      <c r="G115" s="22" t="n">
        <v>233980</v>
      </c>
      <c r="H115" s="22" t="n">
        <v>35104</v>
      </c>
      <c r="I115" s="22" t="n">
        <v>64641</v>
      </c>
      <c r="J115" s="22" t="n">
        <v>143722</v>
      </c>
      <c r="K115" s="22" t="n">
        <v>147616</v>
      </c>
      <c r="L115" s="22" t="n">
        <v>216214</v>
      </c>
    </row>
    <row r="116">
      <c r="A116" s="20" t="inlineStr">
        <is>
          <t>비지배지분</t>
        </is>
      </c>
      <c r="C116" s="22" t="n">
        <v>15458</v>
      </c>
      <c r="D116" s="22" t="n">
        <v>16951</v>
      </c>
      <c r="E116" s="22" t="n">
        <v>18076</v>
      </c>
      <c r="F116" s="22" t="n">
        <v>17342</v>
      </c>
      <c r="G116" s="22" t="n">
        <v>18676</v>
      </c>
      <c r="H116" s="22" t="n">
        <v>14070</v>
      </c>
      <c r="I116" s="22" t="n">
        <v>12179</v>
      </c>
      <c r="J116" s="22" t="n">
        <v>13644</v>
      </c>
      <c r="K116" s="22" t="n">
        <v>15345</v>
      </c>
      <c r="L116" s="22" t="n">
        <v>18076</v>
      </c>
    </row>
    <row r="117">
      <c r="A117" s="9" t="inlineStr">
        <is>
          <t>순자산 합계</t>
        </is>
      </c>
      <c r="C117" s="12" t="n">
        <v>1785886</v>
      </c>
      <c r="D117" s="12" t="n">
        <v>1812225</v>
      </c>
      <c r="E117" s="12" t="n">
        <v>1882947</v>
      </c>
      <c r="F117" s="12" t="n">
        <v>1909842</v>
      </c>
      <c r="G117" s="12" t="n">
        <v>1912018</v>
      </c>
      <c r="H117" s="12" t="n">
        <v>1549879</v>
      </c>
      <c r="I117" s="12" t="n">
        <v>1627555</v>
      </c>
      <c r="J117" s="12" t="n">
        <v>1719200</v>
      </c>
      <c r="K117" s="12" t="n">
        <v>1739890</v>
      </c>
      <c r="L117" s="12" t="n">
        <v>1882947</v>
      </c>
    </row>
    <row r="118">
      <c r="A118" s="9" t="inlineStr">
        <is>
          <t>부채·순자산 합계</t>
        </is>
      </c>
      <c r="C118" s="12" t="n">
        <v>1981029</v>
      </c>
      <c r="D118" s="12" t="n">
        <v>2023565</v>
      </c>
      <c r="E118" s="12" t="n">
        <v>2090700</v>
      </c>
      <c r="F118" s="12" t="n">
        <v>2108717</v>
      </c>
      <c r="G118" s="12" t="n">
        <v>2134733</v>
      </c>
      <c r="H118" s="12" t="n">
        <v>1783964</v>
      </c>
      <c r="I118" s="12" t="n">
        <v>1873536</v>
      </c>
      <c r="J118" s="12" t="n">
        <v>1926037</v>
      </c>
      <c r="K118" s="12" t="n">
        <v>1937031</v>
      </c>
      <c r="L118" s="12" t="n">
        <v>2090700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52" t="inlineStr">
        <is>
          <t>화낙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상반기 가이던스 직전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</row>
    <row r="5">
      <c r="A5" s="55" t="inlineStr">
        <is>
          <t>항목</t>
        </is>
      </c>
      <c r="B5" s="55" t="inlineStr">
        <is>
          <t>값</t>
        </is>
      </c>
      <c r="K5" s="55" t="inlineStr">
        <is>
          <t>출처</t>
        </is>
      </c>
    </row>
    <row r="6">
      <c r="A6" s="56" t="inlineStr">
        <is>
          <t>매출</t>
        </is>
      </c>
      <c r="B6" s="57" t="n">
        <v>4660</v>
      </c>
      <c r="K6" s="58" t="inlineStr">
        <is>
          <t>7/31 상반기 예상. Q2 함의치 = 상반기 예상 − 1Q 실적 → 매출 2349.7·영업이익 509.1·순이익 493.2</t>
        </is>
      </c>
    </row>
    <row r="7">
      <c r="A7" s="56" t="inlineStr">
        <is>
          <t>영업이익</t>
        </is>
      </c>
      <c r="B7" s="57" t="n">
        <v>1044</v>
      </c>
    </row>
    <row r="8">
      <c r="A8" s="56" t="inlineStr">
        <is>
          <t>순이익</t>
        </is>
      </c>
      <c r="B8" s="57" t="n">
        <v>1003</v>
      </c>
    </row>
    <row r="10">
      <c r="A10" s="54" t="inlineStr">
        <is>
          <t>컨센서스 · 3Q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</row>
    <row r="11">
      <c r="A11" s="55" t="inlineStr">
        <is>
          <t>항목</t>
        </is>
      </c>
      <c r="B11" s="55" t="inlineStr">
        <is>
          <t>값</t>
        </is>
      </c>
      <c r="K11" s="55" t="inlineStr">
        <is>
          <t>출처</t>
        </is>
      </c>
    </row>
    <row r="12">
      <c r="A12" s="56" t="inlineStr">
        <is>
          <t>매출</t>
        </is>
      </c>
      <c r="B12" s="59" t="n">
        <v>2509.3</v>
      </c>
      <c r="K12" s="58" t="inlineStr">
        <is>
          <t>야후 파이낸스(jp_consensus) 2026-10-23 · 컨센 FY27은 10/23 가이던스 상향 전 숫자가 대부분 — 가이던스(EPS 246)가 컨센(231)보다 높음</t>
        </is>
      </c>
    </row>
    <row r="13">
      <c r="A13" s="56" t="inlineStr">
        <is>
          <t>EPS</t>
        </is>
      </c>
      <c r="B13" s="59" t="n">
        <v>61.17</v>
      </c>
    </row>
    <row r="14">
      <c r="A14" s="56" t="inlineStr">
        <is>
          <t>EPS 애널리스트 수</t>
        </is>
      </c>
      <c r="B14" s="57" t="n">
        <v>3</v>
      </c>
    </row>
    <row r="15">
      <c r="A15" s="56" t="inlineStr">
        <is>
          <t>매출 애널리스트 수</t>
        </is>
      </c>
      <c r="B15" s="57" t="n">
        <v>6</v>
      </c>
    </row>
    <row r="17">
      <c r="A17" s="54" t="inlineStr">
        <is>
          <t>컨센서스 · 4Q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</row>
    <row r="18">
      <c r="A18" s="55" t="inlineStr">
        <is>
          <t>항목</t>
        </is>
      </c>
      <c r="B18" s="55" t="inlineStr">
        <is>
          <t>값</t>
        </is>
      </c>
      <c r="K18" s="55" t="inlineStr">
        <is>
          <t>출처</t>
        </is>
      </c>
    </row>
    <row r="19">
      <c r="A19" s="56" t="inlineStr">
        <is>
          <t>매출</t>
        </is>
      </c>
      <c r="B19" s="59" t="n">
        <v>2672.4</v>
      </c>
      <c r="K19" s="58" t="inlineStr">
        <is>
          <t>야후 파이낸스(jp_consensus) 2026-10-23 · 컨센 FY27은 10/23 가이던스 상향 전 숫자가 대부분 — 가이던스(EPS 246)가 컨센(231)보다 높음</t>
        </is>
      </c>
    </row>
    <row r="20">
      <c r="A20" s="56" t="inlineStr">
        <is>
          <t>EPS</t>
        </is>
      </c>
      <c r="B20" s="59" t="n">
        <v>62.87</v>
      </c>
    </row>
    <row r="22">
      <c r="A22" s="54" t="inlineStr">
        <is>
          <t>컨센서스 · fy27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>
      <c r="A23" s="55" t="inlineStr">
        <is>
          <t>항목</t>
        </is>
      </c>
      <c r="B23" s="55" t="inlineStr">
        <is>
          <t>값</t>
        </is>
      </c>
      <c r="K23" s="55" t="inlineStr">
        <is>
          <t>출처</t>
        </is>
      </c>
    </row>
    <row r="24">
      <c r="A24" s="56" t="inlineStr">
        <is>
          <t>매출</t>
        </is>
      </c>
      <c r="B24" s="59" t="n">
        <v>9860.700000000001</v>
      </c>
      <c r="K24" s="58" t="inlineStr">
        <is>
          <t>야후 파이낸스(jp_consensus) 2026-10-23 · 컨센 FY27은 10/23 가이던스 상향 전 숫자가 대부분 — 가이던스(EPS 246)가 컨센(231)보다 높음</t>
        </is>
      </c>
    </row>
    <row r="25">
      <c r="A25" s="56" t="inlineStr">
        <is>
          <t>EPS</t>
        </is>
      </c>
      <c r="B25" s="59" t="n">
        <v>230.86</v>
      </c>
    </row>
    <row r="26">
      <c r="A26" s="56" t="inlineStr">
        <is>
          <t>애널리스트 수</t>
        </is>
      </c>
      <c r="B26" s="57" t="n">
        <v>12</v>
      </c>
    </row>
    <row r="27">
      <c r="A27" s="56" t="inlineStr">
        <is>
          <t>90일 전 EPS</t>
        </is>
      </c>
      <c r="B27" s="59" t="n">
        <v>213.95</v>
      </c>
    </row>
    <row r="29">
      <c r="A29" s="54" t="inlineStr">
        <is>
          <t>컨센서스 · fy28</t>
        </is>
      </c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</row>
    <row r="30">
      <c r="A30" s="55" t="inlineStr">
        <is>
          <t>항목</t>
        </is>
      </c>
      <c r="B30" s="55" t="inlineStr">
        <is>
          <t>값</t>
        </is>
      </c>
      <c r="K30" s="55" t="inlineStr">
        <is>
          <t>출처</t>
        </is>
      </c>
    </row>
    <row r="31">
      <c r="A31" s="56" t="inlineStr">
        <is>
          <t>매출</t>
        </is>
      </c>
      <c r="B31" s="59" t="n">
        <v>10418.9</v>
      </c>
      <c r="K31" s="58" t="inlineStr">
        <is>
          <t>야후 파이낸스(jp_consensus) 2026-10-23 · 컨센 FY27은 10/23 가이던스 상향 전 숫자가 대부분 — 가이던스(EPS 246)가 컨센(231)보다 높음</t>
        </is>
      </c>
    </row>
    <row r="32">
      <c r="A32" s="56" t="inlineStr">
        <is>
          <t>EPS</t>
        </is>
      </c>
      <c r="B32" s="59" t="n">
        <v>241.13</v>
      </c>
    </row>
    <row r="33">
      <c r="A33" s="56" t="inlineStr">
        <is>
          <t>애널리스트 수</t>
        </is>
      </c>
      <c r="B33" s="57" t="n">
        <v>19</v>
      </c>
    </row>
    <row r="34">
      <c r="A34" s="56" t="inlineStr">
        <is>
          <t>90일 전 EPS</t>
        </is>
      </c>
      <c r="B34" s="59" t="n">
        <v>228.81</v>
      </c>
    </row>
    <row r="36">
      <c r="A36" s="54" t="inlineStr">
        <is>
          <t>컨센서스 · 목표주가</t>
        </is>
      </c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</row>
    <row r="37">
      <c r="A37" s="55" t="inlineStr">
        <is>
          <t>항목</t>
        </is>
      </c>
      <c r="B37" s="55" t="inlineStr">
        <is>
          <t>값</t>
        </is>
      </c>
      <c r="K37" s="55" t="inlineStr">
        <is>
          <t>출처</t>
        </is>
      </c>
    </row>
    <row r="38">
      <c r="A38" s="56" t="inlineStr">
        <is>
          <t>평균</t>
        </is>
      </c>
      <c r="B38" s="57" t="n">
        <v>7296</v>
      </c>
      <c r="K38" s="58" t="inlineStr">
        <is>
          <t>야후 파이낸스(jp_consensus) 2026-10-23 · 컨센 FY27은 10/23 가이던스 상향 전 숫자가 대부분 — 가이던스(EPS 246)가 컨센(231)보다 높음</t>
        </is>
      </c>
    </row>
    <row r="39">
      <c r="A39" s="56" t="inlineStr">
        <is>
          <t>중앙값</t>
        </is>
      </c>
      <c r="B39" s="57" t="n">
        <v>7300</v>
      </c>
    </row>
    <row r="40">
      <c r="A40" s="56" t="inlineStr">
        <is>
          <t>최고</t>
        </is>
      </c>
      <c r="B40" s="57" t="n">
        <v>8700</v>
      </c>
    </row>
    <row r="41">
      <c r="A41" s="56" t="inlineStr">
        <is>
          <t>최저</t>
        </is>
      </c>
      <c r="B41" s="57" t="n">
        <v>4900</v>
      </c>
    </row>
    <row r="42">
      <c r="A42" s="56" t="inlineStr">
        <is>
          <t>애널리스트 수</t>
        </is>
      </c>
      <c r="B42" s="57" t="n">
        <v>18</v>
      </c>
    </row>
    <row r="44">
      <c r="A44" s="54" t="inlineStr">
        <is>
          <t>부문별 매출</t>
        </is>
      </c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</row>
    <row r="45">
      <c r="A45" s="55" t="inlineStr">
        <is>
          <t>항목</t>
        </is>
      </c>
      <c r="B45" s="55" t="inlineStr">
        <is>
          <t>24.7~9</t>
        </is>
      </c>
      <c r="C45" s="55" t="inlineStr">
        <is>
          <t>24.10~12</t>
        </is>
      </c>
      <c r="D45" s="55" t="inlineStr">
        <is>
          <t>25.1~3</t>
        </is>
      </c>
      <c r="E45" s="55" t="inlineStr">
        <is>
          <t>25.4~6</t>
        </is>
      </c>
      <c r="F45" s="55" t="inlineStr">
        <is>
          <t>25.7~9</t>
        </is>
      </c>
      <c r="G45" s="55" t="inlineStr">
        <is>
          <t>25.10~12</t>
        </is>
      </c>
      <c r="H45" s="55" t="inlineStr">
        <is>
          <t>26.1~3</t>
        </is>
      </c>
      <c r="I45" s="55" t="inlineStr">
        <is>
          <t>26.4~6</t>
        </is>
      </c>
      <c r="J45" s="55" t="inlineStr">
        <is>
          <t>26.7~9</t>
        </is>
      </c>
      <c r="K45" s="55" t="inlineStr">
        <is>
          <t>출처</t>
        </is>
      </c>
    </row>
    <row r="46">
      <c r="A46" s="56" t="inlineStr">
        <is>
          <t>FA</t>
        </is>
      </c>
      <c r="B46" s="57" t="n">
        <v>514</v>
      </c>
      <c r="C46" s="57" t="n">
        <v>480</v>
      </c>
      <c r="D46" s="57" t="n">
        <v>474</v>
      </c>
      <c r="E46" s="57" t="n">
        <v>497</v>
      </c>
      <c r="F46" s="57" t="n">
        <v>542</v>
      </c>
      <c r="G46" s="57" t="n">
        <v>498</v>
      </c>
      <c r="H46" s="57" t="n">
        <v>548</v>
      </c>
      <c r="I46" s="57" t="n">
        <v>574</v>
      </c>
      <c r="J46" s="57" t="n">
        <v>625</v>
      </c>
      <c r="K46" s="58" t="inlineStr">
        <is>
          <t>설명회 자료 부문별 매출(억 엔)</t>
        </is>
      </c>
    </row>
    <row r="47">
      <c r="A47" s="56" t="inlineStr">
        <is>
          <t>로봇</t>
        </is>
      </c>
      <c r="B47" s="57" t="n">
        <v>790</v>
      </c>
      <c r="C47" s="57" t="n">
        <v>793</v>
      </c>
      <c r="D47" s="57" t="n">
        <v>872</v>
      </c>
      <c r="E47" s="57" t="n">
        <v>810</v>
      </c>
      <c r="F47" s="57" t="n">
        <v>916</v>
      </c>
      <c r="G47" s="57" t="n">
        <v>966</v>
      </c>
      <c r="H47" s="57" t="n">
        <v>1094</v>
      </c>
      <c r="I47" s="57" t="n">
        <v>961</v>
      </c>
      <c r="J47" s="57" t="n">
        <v>982</v>
      </c>
    </row>
    <row r="48">
      <c r="A48" s="56" t="inlineStr">
        <is>
          <t>로보머신</t>
        </is>
      </c>
      <c r="B48" s="57" t="n">
        <v>278</v>
      </c>
      <c r="C48" s="57" t="n">
        <v>359</v>
      </c>
      <c r="D48" s="57" t="n">
        <v>448</v>
      </c>
      <c r="E48" s="57" t="n">
        <v>339</v>
      </c>
      <c r="F48" s="57" t="n">
        <v>296</v>
      </c>
      <c r="G48" s="57" t="n">
        <v>330</v>
      </c>
      <c r="H48" s="57" t="n">
        <v>331</v>
      </c>
      <c r="I48" s="57" t="n">
        <v>417</v>
      </c>
      <c r="J48" s="57" t="n">
        <v>416</v>
      </c>
    </row>
    <row r="49">
      <c r="A49" s="56" t="inlineStr">
        <is>
          <t>서비스</t>
        </is>
      </c>
      <c r="B49" s="57" t="n">
        <v>347</v>
      </c>
      <c r="C49" s="57" t="n">
        <v>339</v>
      </c>
      <c r="D49" s="57" t="n">
        <v>328</v>
      </c>
      <c r="E49" s="57" t="n">
        <v>318</v>
      </c>
      <c r="F49" s="57" t="n">
        <v>358</v>
      </c>
      <c r="G49" s="57" t="n">
        <v>363</v>
      </c>
      <c r="H49" s="57" t="n">
        <v>372</v>
      </c>
      <c r="I49" s="57" t="n">
        <v>359</v>
      </c>
      <c r="J49" s="57" t="n">
        <v>403</v>
      </c>
    </row>
    <row r="51">
      <c r="A51" s="54" t="inlineStr">
        <is>
          <t>수주</t>
        </is>
      </c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</row>
    <row r="52">
      <c r="A52" s="55" t="inlineStr">
        <is>
          <t>항목</t>
        </is>
      </c>
      <c r="B52" s="55" t="inlineStr">
        <is>
          <t>24.7~9</t>
        </is>
      </c>
      <c r="C52" s="55" t="inlineStr">
        <is>
          <t>24.10~12</t>
        </is>
      </c>
      <c r="D52" s="55" t="inlineStr">
        <is>
          <t>25.1~3</t>
        </is>
      </c>
      <c r="E52" s="55" t="inlineStr">
        <is>
          <t>25.4~6</t>
        </is>
      </c>
      <c r="F52" s="55" t="inlineStr">
        <is>
          <t>25.7~9</t>
        </is>
      </c>
      <c r="G52" s="55" t="inlineStr">
        <is>
          <t>25.10~12</t>
        </is>
      </c>
      <c r="H52" s="55" t="inlineStr">
        <is>
          <t>26.1~3</t>
        </is>
      </c>
      <c r="I52" s="55" t="inlineStr">
        <is>
          <t>26.4~6</t>
        </is>
      </c>
      <c r="J52" s="55" t="inlineStr">
        <is>
          <t>26.7~9</t>
        </is>
      </c>
      <c r="K52" s="55" t="inlineStr">
        <is>
          <t>출처</t>
        </is>
      </c>
    </row>
    <row r="53">
      <c r="A53" s="56" t="inlineStr">
        <is>
          <t>합계</t>
        </is>
      </c>
      <c r="B53" s="57" t="n">
        <v>1857</v>
      </c>
      <c r="C53" s="57" t="n">
        <v>2011</v>
      </c>
      <c r="D53" s="57" t="n">
        <v>2114</v>
      </c>
      <c r="E53" s="57" t="n">
        <v>2059</v>
      </c>
      <c r="F53" s="57" t="n">
        <v>2053</v>
      </c>
      <c r="G53" s="57" t="n">
        <v>2202</v>
      </c>
      <c r="H53" s="57" t="n">
        <v>2520</v>
      </c>
      <c r="I53" s="57" t="n">
        <v>2819</v>
      </c>
      <c r="J53" s="57" t="n">
        <v>3060</v>
      </c>
      <c r="K53" s="58" t="inlineStr">
        <is>
          <t>설명회 자료 부문별 수주고(억 엔)</t>
        </is>
      </c>
    </row>
    <row r="54">
      <c r="A54" s="56" t="inlineStr">
        <is>
          <t>FA</t>
        </is>
      </c>
      <c r="B54" s="57" t="n">
        <v>494</v>
      </c>
      <c r="C54" s="57" t="n">
        <v>473</v>
      </c>
      <c r="D54" s="57" t="n">
        <v>507</v>
      </c>
      <c r="E54" s="57" t="n">
        <v>550</v>
      </c>
      <c r="F54" s="57" t="n">
        <v>488</v>
      </c>
      <c r="G54" s="57" t="n">
        <v>547</v>
      </c>
      <c r="H54" s="57" t="n">
        <v>711</v>
      </c>
      <c r="I54" s="57" t="n">
        <v>902</v>
      </c>
      <c r="J54" s="57" t="n">
        <v>1122</v>
      </c>
    </row>
    <row r="55">
      <c r="A55" s="56" t="inlineStr">
        <is>
          <t>로봇</t>
        </is>
      </c>
      <c r="B55" s="57" t="n">
        <v>663</v>
      </c>
      <c r="C55" s="57" t="n">
        <v>817</v>
      </c>
      <c r="D55" s="57" t="n">
        <v>909</v>
      </c>
      <c r="E55" s="57" t="n">
        <v>906</v>
      </c>
      <c r="F55" s="57" t="n">
        <v>918</v>
      </c>
      <c r="G55" s="57" t="n">
        <v>988</v>
      </c>
      <c r="H55" s="57" t="n">
        <v>1006</v>
      </c>
      <c r="I55" s="57" t="n">
        <v>979</v>
      </c>
      <c r="J55" s="57" t="n">
        <v>1034</v>
      </c>
    </row>
    <row r="56">
      <c r="A56" s="56" t="inlineStr">
        <is>
          <t>로보머신</t>
        </is>
      </c>
      <c r="B56" s="57" t="n">
        <v>361</v>
      </c>
      <c r="C56" s="57" t="n">
        <v>388</v>
      </c>
      <c r="D56" s="57" t="n">
        <v>375</v>
      </c>
      <c r="E56" s="57" t="n">
        <v>290</v>
      </c>
      <c r="F56" s="57" t="n">
        <v>297</v>
      </c>
      <c r="G56" s="57" t="n">
        <v>308</v>
      </c>
      <c r="H56" s="57" t="n">
        <v>438</v>
      </c>
      <c r="I56" s="57" t="n">
        <v>576</v>
      </c>
      <c r="J56" s="57" t="n">
        <v>512</v>
      </c>
    </row>
    <row r="57">
      <c r="A57" s="56" t="inlineStr">
        <is>
          <t>서비스</t>
        </is>
      </c>
      <c r="B57" s="57" t="n">
        <v>340</v>
      </c>
      <c r="C57" s="57" t="n">
        <v>333</v>
      </c>
      <c r="D57" s="57" t="n">
        <v>323</v>
      </c>
      <c r="E57" s="57" t="n">
        <v>312</v>
      </c>
      <c r="F57" s="57" t="n">
        <v>351</v>
      </c>
      <c r="G57" s="57" t="n">
        <v>359</v>
      </c>
      <c r="H57" s="57" t="n">
        <v>365</v>
      </c>
      <c r="I57" s="57" t="n">
        <v>363</v>
      </c>
      <c r="J57" s="57" t="n">
        <v>393</v>
      </c>
    </row>
    <row r="59">
      <c r="A59" s="54" t="inlineStr">
        <is>
          <t>수주 지역별 26Q2 YoY</t>
        </is>
      </c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</row>
    <row r="60">
      <c r="A60" s="55" t="inlineStr">
        <is>
          <t>항목</t>
        </is>
      </c>
      <c r="B60" s="55" t="inlineStr">
        <is>
          <t>값</t>
        </is>
      </c>
      <c r="K60" s="55" t="inlineStr">
        <is>
          <t>출처</t>
        </is>
      </c>
    </row>
    <row r="61">
      <c r="A61" s="56" t="inlineStr">
        <is>
          <t>전체</t>
        </is>
      </c>
      <c r="B61" s="59" t="n">
        <v>49</v>
      </c>
      <c r="K61" s="58" t="inlineStr">
        <is>
          <t>2단계 보고서 자료(회사 설명회 자료·공시)</t>
        </is>
      </c>
    </row>
    <row r="62">
      <c r="A62" s="56" t="inlineStr">
        <is>
          <t>아시아(중국 외)</t>
        </is>
      </c>
      <c r="B62" s="59" t="n">
        <v>111.9</v>
      </c>
    </row>
    <row r="63">
      <c r="A63" s="56" t="inlineStr">
        <is>
          <t>중국</t>
        </is>
      </c>
      <c r="B63" s="59" t="n">
        <v>79.8</v>
      </c>
    </row>
    <row r="64">
      <c r="A64" s="56" t="inlineStr">
        <is>
          <t>일본</t>
        </is>
      </c>
      <c r="B64" s="59" t="n">
        <v>54.3</v>
      </c>
    </row>
    <row r="65">
      <c r="A65" s="56" t="inlineStr">
        <is>
          <t>미주</t>
        </is>
      </c>
      <c r="B65" s="59" t="n">
        <v>15</v>
      </c>
    </row>
    <row r="66">
      <c r="A66" s="56" t="inlineStr">
        <is>
          <t>유럽</t>
        </is>
      </c>
      <c r="B66" s="59" t="n">
        <v>5.3</v>
      </c>
    </row>
    <row r="68">
      <c r="A68" s="54" t="inlineStr">
        <is>
          <t>매출 지역별 26Q2 · 비중</t>
        </is>
      </c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</row>
    <row r="69">
      <c r="A69" s="55" t="inlineStr">
        <is>
          <t>항목</t>
        </is>
      </c>
      <c r="B69" s="55" t="inlineStr">
        <is>
          <t>값</t>
        </is>
      </c>
      <c r="K69" s="55" t="inlineStr">
        <is>
          <t>출처</t>
        </is>
      </c>
    </row>
    <row r="70">
      <c r="A70" s="56" t="inlineStr">
        <is>
          <t>미주</t>
        </is>
      </c>
      <c r="B70" s="59" t="n">
        <v>27.8</v>
      </c>
      <c r="K70" s="58" t="inlineStr">
        <is>
          <t>2단계 보고서 자료(회사 설명회 자료·공시)</t>
        </is>
      </c>
    </row>
    <row r="71">
      <c r="A71" s="56" t="inlineStr">
        <is>
          <t>중국</t>
        </is>
      </c>
      <c r="B71" s="59" t="n">
        <v>27.4</v>
      </c>
    </row>
    <row r="72">
      <c r="A72" s="56" t="inlineStr">
        <is>
          <t>유럽</t>
        </is>
      </c>
      <c r="B72" s="59" t="n">
        <v>15.9</v>
      </c>
    </row>
    <row r="73">
      <c r="A73" s="56" t="inlineStr">
        <is>
          <t>아시아(중국 외)</t>
        </is>
      </c>
      <c r="B73" s="59" t="n">
        <v>14.7</v>
      </c>
    </row>
    <row r="74">
      <c r="A74" s="56" t="inlineStr">
        <is>
          <t>일본</t>
        </is>
      </c>
      <c r="B74" s="59" t="n">
        <v>13.1</v>
      </c>
    </row>
    <row r="75">
      <c r="A75" s="56" t="inlineStr">
        <is>
          <t>기타</t>
        </is>
      </c>
      <c r="B75" s="59" t="n">
        <v>1.1</v>
      </c>
    </row>
    <row r="77">
      <c r="A77" s="54" t="inlineStr">
        <is>
          <t>매출 지역별 26Q2 · YoY</t>
        </is>
      </c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</row>
    <row r="78">
      <c r="A78" s="55" t="inlineStr">
        <is>
          <t>항목</t>
        </is>
      </c>
      <c r="B78" s="55" t="inlineStr">
        <is>
          <t>값</t>
        </is>
      </c>
      <c r="K78" s="55" t="inlineStr">
        <is>
          <t>출처</t>
        </is>
      </c>
    </row>
    <row r="79">
      <c r="A79" s="56" t="inlineStr">
        <is>
          <t>미주</t>
        </is>
      </c>
      <c r="B79" s="59" t="n">
        <v>12.9</v>
      </c>
      <c r="K79" s="58" t="inlineStr">
        <is>
          <t>2단계 보고서 자료(회사 설명회 자료·공시)</t>
        </is>
      </c>
    </row>
    <row r="80">
      <c r="A80" s="56" t="inlineStr">
        <is>
          <t>중국</t>
        </is>
      </c>
      <c r="B80" s="59" t="n">
        <v>20.8</v>
      </c>
    </row>
    <row r="81">
      <c r="A81" s="56" t="inlineStr">
        <is>
          <t>유럽</t>
        </is>
      </c>
      <c r="B81" s="59" t="n">
        <v>5.7</v>
      </c>
    </row>
    <row r="82">
      <c r="A82" s="56" t="inlineStr">
        <is>
          <t>아시아(중국 외)</t>
        </is>
      </c>
      <c r="B82" s="59" t="n">
        <v>17.2</v>
      </c>
    </row>
    <row r="83">
      <c r="A83" s="56" t="inlineStr">
        <is>
          <t>일본</t>
        </is>
      </c>
      <c r="B83" s="59" t="n">
        <v>17.1</v>
      </c>
    </row>
    <row r="85">
      <c r="A85" s="54" t="inlineStr">
        <is>
          <t>영업이익 증감 요인 상반기 YoY</t>
        </is>
      </c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</row>
    <row r="86">
      <c r="A86" s="55" t="inlineStr">
        <is>
          <t>항목</t>
        </is>
      </c>
      <c r="B86" s="55" t="inlineStr">
        <is>
          <t>값</t>
        </is>
      </c>
      <c r="K86" s="55" t="inlineStr">
        <is>
          <t>출처</t>
        </is>
      </c>
    </row>
    <row r="87">
      <c r="A87" s="56" t="inlineStr">
        <is>
          <t>전년 상반기</t>
        </is>
      </c>
      <c r="B87" s="57" t="n">
        <v>860</v>
      </c>
      <c r="K87" s="58" t="inlineStr">
        <is>
          <t>2단계 보고서 자료(회사 설명회 자료·공시)</t>
        </is>
      </c>
    </row>
    <row r="88">
      <c r="A88" s="56" t="inlineStr">
        <is>
          <t>매출 증가</t>
        </is>
      </c>
      <c r="B88" s="57" t="n">
        <v>235</v>
      </c>
    </row>
    <row r="89">
      <c r="A89" s="56" t="inlineStr">
        <is>
          <t>원가 차이</t>
        </is>
      </c>
      <c r="B89" s="57" t="n">
        <v>27</v>
      </c>
    </row>
    <row r="90">
      <c r="A90" s="56" t="inlineStr">
        <is>
          <t>미실현이익</t>
        </is>
      </c>
      <c r="B90" s="57" t="n">
        <v>17</v>
      </c>
    </row>
    <row r="91">
      <c r="A91" s="56" t="inlineStr">
        <is>
          <t>판관비</t>
        </is>
      </c>
      <c r="B91" s="57" t="n">
        <v>-37</v>
      </c>
    </row>
    <row r="92">
      <c r="A92" s="56" t="inlineStr">
        <is>
          <t>기타</t>
        </is>
      </c>
      <c r="B92" s="57" t="n">
        <v>65</v>
      </c>
    </row>
    <row r="93">
      <c r="A93" s="56" t="inlineStr">
        <is>
          <t>당기 상반기</t>
        </is>
      </c>
      <c r="B93" s="57" t="n">
        <v>1167</v>
      </c>
    </row>
    <row r="95">
      <c r="A95" s="54" t="inlineStr">
        <is>
          <t>영업이익 증감 요인 QoQ</t>
        </is>
      </c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</row>
    <row r="96">
      <c r="A96" s="55" t="inlineStr">
        <is>
          <t>항목</t>
        </is>
      </c>
      <c r="B96" s="55" t="inlineStr">
        <is>
          <t>값</t>
        </is>
      </c>
      <c r="K96" s="55" t="inlineStr">
        <is>
          <t>출처</t>
        </is>
      </c>
    </row>
    <row r="97">
      <c r="A97" s="56" t="inlineStr">
        <is>
          <t>1Q</t>
        </is>
      </c>
      <c r="B97" s="57" t="n">
        <v>535</v>
      </c>
      <c r="K97" s="58" t="inlineStr">
        <is>
          <t>2단계 보고서 자료(회사 설명회 자료·공시)</t>
        </is>
      </c>
    </row>
    <row r="98">
      <c r="A98" s="56" t="inlineStr">
        <is>
          <t>매출 증가</t>
        </is>
      </c>
      <c r="B98" s="57" t="n">
        <v>105</v>
      </c>
    </row>
    <row r="99">
      <c r="A99" s="56" t="inlineStr">
        <is>
          <t>원가 차이</t>
        </is>
      </c>
      <c r="B99" s="57" t="n">
        <v>-18</v>
      </c>
    </row>
    <row r="100">
      <c r="A100" s="56" t="inlineStr">
        <is>
          <t>미실현이익</t>
        </is>
      </c>
      <c r="B100" s="57" t="n">
        <v>28</v>
      </c>
    </row>
    <row r="101">
      <c r="A101" s="56" t="inlineStr">
        <is>
          <t>판관비</t>
        </is>
      </c>
      <c r="B101" s="57" t="n">
        <v>-19</v>
      </c>
    </row>
    <row r="102">
      <c r="A102" s="56" t="inlineStr">
        <is>
          <t>기타</t>
        </is>
      </c>
      <c r="B102" s="57" t="n">
        <v>1</v>
      </c>
    </row>
    <row r="103">
      <c r="A103" s="56" t="inlineStr">
        <is>
          <t>2Q</t>
        </is>
      </c>
      <c r="B103" s="57" t="n">
        <v>632</v>
      </c>
    </row>
    <row r="105">
      <c r="A105" s="54" t="inlineStr">
        <is>
          <t>환율 · 2Q 26</t>
        </is>
      </c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</row>
    <row r="106">
      <c r="A106" s="55" t="inlineStr">
        <is>
          <t>항목</t>
        </is>
      </c>
      <c r="B106" s="55" t="inlineStr">
        <is>
          <t>값</t>
        </is>
      </c>
      <c r="K106" s="55" t="inlineStr">
        <is>
          <t>출처</t>
        </is>
      </c>
    </row>
    <row r="107">
      <c r="A107" s="56" t="inlineStr">
        <is>
          <t>달러</t>
        </is>
      </c>
      <c r="B107" s="59" t="n">
        <v>159.25</v>
      </c>
      <c r="K107" s="58" t="inlineStr">
        <is>
          <t>2단계 보고서 자료(회사 설명회 자료·공시)</t>
        </is>
      </c>
    </row>
    <row r="108">
      <c r="A108" s="56" t="inlineStr">
        <is>
          <t>유로</t>
        </is>
      </c>
      <c r="B108" s="59" t="n">
        <v>183.32</v>
      </c>
    </row>
    <row r="110">
      <c r="A110" s="54" t="inlineStr">
        <is>
          <t>환율 · 2Q 25</t>
        </is>
      </c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</row>
    <row r="111">
      <c r="A111" s="55" t="inlineStr">
        <is>
          <t>항목</t>
        </is>
      </c>
      <c r="B111" s="55" t="inlineStr">
        <is>
          <t>값</t>
        </is>
      </c>
      <c r="K111" s="55" t="inlineStr">
        <is>
          <t>출처</t>
        </is>
      </c>
    </row>
    <row r="112">
      <c r="A112" s="56" t="inlineStr">
        <is>
          <t>달러</t>
        </is>
      </c>
      <c r="B112" s="59" t="n">
        <v>147.48</v>
      </c>
      <c r="K112" s="58" t="inlineStr">
        <is>
          <t>2단계 보고서 자료(회사 설명회 자료·공시)</t>
        </is>
      </c>
    </row>
    <row r="113">
      <c r="A113" s="56" t="inlineStr">
        <is>
          <t>유로</t>
        </is>
      </c>
      <c r="B113" s="59" t="n">
        <v>172.32</v>
      </c>
    </row>
    <row r="115">
      <c r="A115" s="54" t="inlineStr">
        <is>
          <t>환율 · 하반기 assume</t>
        </is>
      </c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</row>
    <row r="116">
      <c r="A116" s="55" t="inlineStr">
        <is>
          <t>항목</t>
        </is>
      </c>
      <c r="B116" s="55" t="inlineStr">
        <is>
          <t>값</t>
        </is>
      </c>
      <c r="K116" s="55" t="inlineStr">
        <is>
          <t>출처</t>
        </is>
      </c>
    </row>
    <row r="117">
      <c r="A117" s="56" t="inlineStr">
        <is>
          <t>달러</t>
        </is>
      </c>
      <c r="B117" s="57" t="n">
        <v>150</v>
      </c>
      <c r="K117" s="58" t="inlineStr">
        <is>
          <t>2단계 보고서 자료(회사 설명회 자료·공시)</t>
        </is>
      </c>
    </row>
    <row r="118">
      <c r="A118" s="56" t="inlineStr">
        <is>
          <t>유로</t>
        </is>
      </c>
      <c r="B118" s="57" t="n">
        <v>175</v>
      </c>
    </row>
    <row r="120">
      <c r="A120" s="54" t="inlineStr">
        <is>
          <t>가이던스 FY3 27 · latest 2026-10-23</t>
        </is>
      </c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</row>
    <row r="121">
      <c r="A121" s="55" t="inlineStr">
        <is>
          <t>항목</t>
        </is>
      </c>
      <c r="B121" s="55" t="inlineStr">
        <is>
          <t>값</t>
        </is>
      </c>
      <c r="K121" s="55" t="inlineStr">
        <is>
          <t>출처</t>
        </is>
      </c>
    </row>
    <row r="122">
      <c r="A122" s="56" t="inlineStr">
        <is>
          <t>매출</t>
        </is>
      </c>
      <c r="B122" s="57" t="n">
        <v>10137</v>
      </c>
      <c r="K122" s="58" t="inlineStr">
        <is>
          <t>2단계 보고서 자료(회사 설명회 자료·공시)</t>
        </is>
      </c>
    </row>
    <row r="123">
      <c r="A123" s="56" t="inlineStr">
        <is>
          <t>영업이익</t>
        </is>
      </c>
      <c r="B123" s="57" t="n">
        <v>2407</v>
      </c>
    </row>
    <row r="124">
      <c r="A124" s="56" t="inlineStr">
        <is>
          <t>ordinary</t>
        </is>
      </c>
      <c r="B124" s="57" t="n">
        <v>3088</v>
      </c>
    </row>
    <row r="125">
      <c r="A125" s="56" t="inlineStr">
        <is>
          <t>순이익</t>
        </is>
      </c>
      <c r="B125" s="57" t="n">
        <v>2283</v>
      </c>
    </row>
    <row r="126">
      <c r="A126" s="56" t="inlineStr">
        <is>
          <t>EPS</t>
        </is>
      </c>
      <c r="B126" s="59" t="n">
        <v>246.01</v>
      </c>
    </row>
    <row r="128">
      <c r="A128" s="54" t="inlineStr">
        <is>
          <t>가이던스 FY3 27 · 하반기 implied</t>
        </is>
      </c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</row>
    <row r="129">
      <c r="A129" s="55" t="inlineStr">
        <is>
          <t>항목</t>
        </is>
      </c>
      <c r="B129" s="55" t="inlineStr">
        <is>
          <t>값</t>
        </is>
      </c>
      <c r="K129" s="55" t="inlineStr">
        <is>
          <t>출처</t>
        </is>
      </c>
    </row>
    <row r="130">
      <c r="A130" s="56" t="inlineStr">
        <is>
          <t>매출</t>
        </is>
      </c>
      <c r="B130" s="59" t="n">
        <v>5399.92</v>
      </c>
      <c r="K130" s="58" t="inlineStr">
        <is>
          <t>2단계 보고서 자료(회사 설명회 자료·공시)</t>
        </is>
      </c>
    </row>
    <row r="131">
      <c r="A131" s="56" t="inlineStr">
        <is>
          <t>영업이익</t>
        </is>
      </c>
      <c r="B131" s="59" t="n">
        <v>1240.38</v>
      </c>
    </row>
    <row r="132">
      <c r="A132" s="56" t="inlineStr">
        <is>
          <t>순이익</t>
        </is>
      </c>
      <c r="B132" s="59" t="n">
        <v>1157.24</v>
      </c>
    </row>
    <row r="134">
      <c r="A134" s="54" t="inlineStr">
        <is>
          <t>가이던스 history FY3 27</t>
        </is>
      </c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</row>
    <row r="135">
      <c r="A135" s="55" t="inlineStr">
        <is>
          <t>항목</t>
        </is>
      </c>
      <c r="B135" s="55" t="inlineStr">
        <is>
          <t>매출</t>
        </is>
      </c>
      <c r="C135" s="55" t="inlineStr">
        <is>
          <t>영업이익</t>
        </is>
      </c>
      <c r="D135" s="55" t="inlineStr">
        <is>
          <t>순이익</t>
        </is>
      </c>
      <c r="E135" s="55" t="inlineStr">
        <is>
          <t>EPS</t>
        </is>
      </c>
      <c r="K135" s="55" t="inlineStr">
        <is>
          <t>출처</t>
        </is>
      </c>
    </row>
    <row r="136">
      <c r="A136" s="56" t="inlineStr">
        <is>
          <t>2026-04-24</t>
        </is>
      </c>
      <c r="B136" s="57" t="n">
        <v>9096</v>
      </c>
      <c r="C136" s="57" t="n">
        <v>2122</v>
      </c>
      <c r="D136" s="57" t="n">
        <v>1849</v>
      </c>
      <c r="E136" s="59" t="n">
        <v>198.14</v>
      </c>
      <c r="K136" s="58" t="inlineStr">
        <is>
          <t>2단계 보고서 자료(회사 설명회 자료·공시)</t>
        </is>
      </c>
    </row>
    <row r="137">
      <c r="A137" s="56" t="inlineStr">
        <is>
          <t>2026-07-31</t>
        </is>
      </c>
      <c r="B137" s="57" t="n">
        <v>9481</v>
      </c>
      <c r="C137" s="57" t="n">
        <v>2180</v>
      </c>
      <c r="D137" s="57" t="n">
        <v>1980</v>
      </c>
      <c r="E137" s="59" t="n">
        <v>212.18</v>
      </c>
    </row>
    <row r="138">
      <c r="A138" s="56" t="inlineStr">
        <is>
          <t>2026-10-23</t>
        </is>
      </c>
      <c r="B138" s="57" t="n">
        <v>10137</v>
      </c>
      <c r="C138" s="57" t="n">
        <v>2407</v>
      </c>
      <c r="D138" s="57" t="n">
        <v>2283</v>
      </c>
      <c r="E138" s="59" t="n">
        <v>246.01</v>
      </c>
    </row>
    <row r="140">
      <c r="A140" s="54" t="inlineStr">
        <is>
          <t>가이던스 history past</t>
        </is>
      </c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</row>
    <row r="141">
      <c r="A141" s="55" t="inlineStr">
        <is>
          <t>항목</t>
        </is>
      </c>
      <c r="B141" s="55" t="inlineStr">
        <is>
          <t>initial 매출</t>
        </is>
      </c>
      <c r="C141" s="55" t="inlineStr">
        <is>
          <t>initial 영업이익</t>
        </is>
      </c>
      <c r="D141" s="55" t="inlineStr">
        <is>
          <t>실적 매출</t>
        </is>
      </c>
      <c r="E141" s="55" t="inlineStr">
        <is>
          <t>실적 영업이익</t>
        </is>
      </c>
      <c r="K141" s="55" t="inlineStr">
        <is>
          <t>출처</t>
        </is>
      </c>
    </row>
    <row r="142">
      <c r="A142" s="56" t="inlineStr">
        <is>
          <t>FY3/18</t>
        </is>
      </c>
      <c r="B142" s="57" t="n">
        <v>5698</v>
      </c>
      <c r="C142" s="57" t="n">
        <v>1555</v>
      </c>
      <c r="D142" s="57" t="n">
        <v>7266</v>
      </c>
      <c r="E142" s="57" t="n">
        <v>2296</v>
      </c>
      <c r="K142" s="58" t="inlineStr">
        <is>
          <t>2단계 보고서 자료(회사 설명회 자료·공시)</t>
        </is>
      </c>
    </row>
    <row r="143">
      <c r="A143" s="56" t="inlineStr">
        <is>
          <t>FY3/19</t>
        </is>
      </c>
      <c r="B143" s="57" t="n">
        <v>6342</v>
      </c>
      <c r="C143" s="57" t="n">
        <v>1517</v>
      </c>
      <c r="D143" s="57" t="n">
        <v>6356</v>
      </c>
      <c r="E143" s="57" t="n">
        <v>1633</v>
      </c>
    </row>
    <row r="144">
      <c r="A144" s="56" t="inlineStr">
        <is>
          <t>FY3/20</t>
        </is>
      </c>
      <c r="B144" s="57" t="n">
        <v>5369</v>
      </c>
      <c r="C144" s="57" t="n">
        <v>757</v>
      </c>
      <c r="D144" s="57" t="n">
        <v>5083</v>
      </c>
      <c r="E144" s="57" t="n">
        <v>884</v>
      </c>
    </row>
    <row r="145">
      <c r="A145" s="56" t="inlineStr">
        <is>
          <t>FY3/22</t>
        </is>
      </c>
      <c r="B145" s="57" t="n">
        <v>6571</v>
      </c>
      <c r="C145" s="57" t="n">
        <v>1484</v>
      </c>
      <c r="D145" s="57" t="n">
        <v>7330</v>
      </c>
      <c r="E145" s="57" t="n">
        <v>1832</v>
      </c>
    </row>
    <row r="146">
      <c r="A146" s="56" t="inlineStr">
        <is>
          <t>FY3/23</t>
        </is>
      </c>
      <c r="B146" s="57" t="n">
        <v>8255</v>
      </c>
      <c r="C146" s="57" t="n">
        <v>1973</v>
      </c>
      <c r="D146" s="57" t="n">
        <v>8520</v>
      </c>
      <c r="E146" s="57" t="n">
        <v>1914</v>
      </c>
    </row>
    <row r="147">
      <c r="A147" s="56" t="inlineStr">
        <is>
          <t>FY3/24</t>
        </is>
      </c>
      <c r="B147" s="57" t="n">
        <v>8195</v>
      </c>
      <c r="C147" s="57" t="n">
        <v>1563</v>
      </c>
      <c r="D147" s="57" t="n">
        <v>7953</v>
      </c>
      <c r="E147" s="57" t="n">
        <v>1419</v>
      </c>
    </row>
    <row r="148">
      <c r="A148" s="56" t="inlineStr">
        <is>
          <t>FY3/25</t>
        </is>
      </c>
      <c r="B148" s="57" t="n">
        <v>7464</v>
      </c>
      <c r="C148" s="57" t="n">
        <v>1210</v>
      </c>
      <c r="D148" s="57" t="n">
        <v>7971</v>
      </c>
      <c r="E148" s="57" t="n">
        <v>1588</v>
      </c>
    </row>
    <row r="149">
      <c r="A149" s="56" t="inlineStr">
        <is>
          <t>FY3/26</t>
        </is>
      </c>
      <c r="B149" s="60" t="n"/>
      <c r="C149" s="60" t="n"/>
      <c r="D149" s="57" t="n">
        <v>8578</v>
      </c>
      <c r="E149" s="57" t="n">
        <v>1838</v>
      </c>
    </row>
    <row r="150">
      <c r="A150" s="56" t="inlineStr">
        <is>
          <t>FY3/27</t>
        </is>
      </c>
      <c r="B150" s="57" t="n">
        <v>9096</v>
      </c>
      <c r="C150" s="57" t="n">
        <v>2122</v>
      </c>
      <c r="D150" s="60" t="n"/>
      <c r="E150" s="6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2026-10-23</t>
        </is>
      </c>
      <c r="B4" t="inlineStr">
        <is>
          <t>2027년 3월 결산기 2분기 결산단신</t>
        </is>
      </c>
      <c r="C4" t="inlineStr">
        <is>
          <t>https://www2.jpx.co.jp/disc/69540/140120261021553848.pdf</t>
        </is>
      </c>
    </row>
    <row r="5">
      <c r="A5" t="inlineStr">
        <is>
          <t>2026-07-31</t>
        </is>
      </c>
      <c r="B5" t="inlineStr">
        <is>
          <t>2027년 3월 결산기 1분기 결산단신</t>
        </is>
      </c>
      <c r="C5" t="inlineStr">
        <is>
          <t>https://www2.jpx.co.jp/disc/69540/140120260730504181.pdf</t>
        </is>
      </c>
    </row>
    <row r="6">
      <c r="A6" t="inlineStr">
        <is>
          <t>2026-04-24</t>
        </is>
      </c>
      <c r="B6" t="inlineStr">
        <is>
          <t>2026년 3월 결산기 연간 결산단신</t>
        </is>
      </c>
      <c r="C6" t="inlineStr">
        <is>
          <t>https://www2.jpx.co.jp/disc/69540/140120260417505759.pdf</t>
        </is>
      </c>
    </row>
    <row r="7">
      <c r="A7" t="inlineStr">
        <is>
          <t>2026-01-26</t>
        </is>
      </c>
      <c r="B7" t="inlineStr">
        <is>
          <t>2026년 3월 결산기 3분기 결산단신</t>
        </is>
      </c>
      <c r="C7" t="inlineStr">
        <is>
          <t>https://www2.jpx.co.jp/disc/69540/140120260123537752.pdf</t>
        </is>
      </c>
    </row>
    <row r="8">
      <c r="A8" t="inlineStr">
        <is>
          <t>2025-10-31</t>
        </is>
      </c>
      <c r="B8" t="inlineStr">
        <is>
          <t>2026년 3월 결산기 2분기 결산단신</t>
        </is>
      </c>
      <c r="C8" t="inlineStr">
        <is>
          <t>https://www2.jpx.co.jp/disc/69540/140120251030583686.pdf</t>
        </is>
      </c>
    </row>
    <row r="9">
      <c r="A9" t="inlineStr">
        <is>
          <t>2025-07-25</t>
        </is>
      </c>
      <c r="B9" t="inlineStr">
        <is>
          <t>2026년 3월 결산기 1분기 결산단신</t>
        </is>
      </c>
      <c r="C9" t="inlineStr">
        <is>
          <t>https://www2.jpx.co.jp/disc/69540/140120250725520327.pdf</t>
        </is>
      </c>
    </row>
    <row r="10">
      <c r="A10" t="inlineStr">
        <is>
          <t>2025-04-23</t>
        </is>
      </c>
      <c r="B10" t="inlineStr">
        <is>
          <t>2025년 3월 결산기 연간 결산단신</t>
        </is>
      </c>
      <c r="C10" t="inlineStr">
        <is>
          <t>https://www2.jpx.co.jp/disc/69540/140120250417517689.pdf</t>
        </is>
      </c>
    </row>
    <row r="11">
      <c r="A11" t="inlineStr">
        <is>
          <t>2025-01-27</t>
        </is>
      </c>
      <c r="B11" t="inlineStr">
        <is>
          <t>2025년 3월 결산기 3분기 결산단신</t>
        </is>
      </c>
      <c r="C11" t="inlineStr">
        <is>
          <t>https://www2.jpx.co.jp/disc/69540/140120250123554488.pdf</t>
        </is>
      </c>
    </row>
    <row r="12">
      <c r="A12" t="inlineStr">
        <is>
          <t>2024-10-25</t>
        </is>
      </c>
      <c r="B12" t="inlineStr">
        <is>
          <t>2025년 3월 결산기 2분기 결산단신</t>
        </is>
      </c>
      <c r="C12" t="inlineStr">
        <is>
          <t>https://www2.jpx.co.jp/disc/69540/140120241022500956.pdf</t>
        </is>
      </c>
    </row>
    <row r="13">
      <c r="A13" t="inlineStr">
        <is>
          <t>2024-07-29</t>
        </is>
      </c>
      <c r="B13" t="inlineStr">
        <is>
          <t>2025년 3월 결산기 1분기 결산단신</t>
        </is>
      </c>
      <c r="C13" t="inlineStr">
        <is>
          <t>https://www2.jpx.co.jp/disc/69540/140120240716549300.pdf</t>
        </is>
      </c>
    </row>
    <row r="14">
      <c r="A14" t="inlineStr">
        <is>
          <t>2024-04-24</t>
        </is>
      </c>
      <c r="B14" t="inlineStr">
        <is>
          <t>2024년 3월 결산기 연간 결산단신</t>
        </is>
      </c>
      <c r="C14" t="inlineStr">
        <is>
          <t>https://www2.jpx.co.jp/disc/69540/140120240422573909.pdf</t>
        </is>
      </c>
    </row>
    <row r="15">
      <c r="A15" t="inlineStr">
        <is>
          <t>2024-01-26</t>
        </is>
      </c>
      <c r="B15" t="inlineStr">
        <is>
          <t>2024년 3월 결산기 3분기 결산단신</t>
        </is>
      </c>
      <c r="C15" t="inlineStr">
        <is>
          <t>https://www2.jpx.co.jp/disc/69540/140120240117516335.pdf</t>
        </is>
      </c>
    </row>
    <row r="16">
      <c r="A16" t="inlineStr">
        <is>
          <t>2023-10-31</t>
        </is>
      </c>
      <c r="B16" t="inlineStr">
        <is>
          <t>2024년 3월 결산기 2분기 결산단신</t>
        </is>
      </c>
      <c r="C16" t="inlineStr">
        <is>
          <t>https://www2.jpx.co.jp/disc/69540/140120231027573489.pdf</t>
        </is>
      </c>
    </row>
    <row r="17">
      <c r="A17" t="inlineStr">
        <is>
          <t>2023-07-28</t>
        </is>
      </c>
      <c r="B17" t="inlineStr">
        <is>
          <t>2024년 3월 결산기 1분기 결산단신</t>
        </is>
      </c>
      <c r="C17" t="inlineStr">
        <is>
          <t>https://www2.jpx.co.jp/disc/69540/140120230721525425.pdf</t>
        </is>
      </c>
    </row>
    <row r="18">
      <c r="A18" t="inlineStr">
        <is>
          <t>2023-04-26</t>
        </is>
      </c>
      <c r="B18" t="inlineStr">
        <is>
          <t>2023년 3월 결산기 연간 결산단신</t>
        </is>
      </c>
      <c r="C18" t="inlineStr">
        <is>
          <t>https://www2.jpx.co.jp/disc/69540/140120230425552136.pdf</t>
        </is>
      </c>
    </row>
    <row r="19">
      <c r="A19" t="inlineStr">
        <is>
          <t>2023-01-27</t>
        </is>
      </c>
      <c r="B19" t="inlineStr">
        <is>
          <t>2023년 3월 결산기 3분기 결산단신</t>
        </is>
      </c>
      <c r="C19" t="inlineStr">
        <is>
          <t>https://www2.jpx.co.jp/disc/69540/140120221219580711.pdf</t>
        </is>
      </c>
    </row>
    <row r="20">
      <c r="A20" t="inlineStr">
        <is>
          <t>2022-04-26</t>
        </is>
      </c>
      <c r="B20" t="inlineStr">
        <is>
          <t>2022년 3월 결산기 연간 결산단신</t>
        </is>
      </c>
      <c r="C20" t="inlineStr">
        <is>
          <t>https://www2.jpx.co.jp/disc/69540/140120220421525579.pdf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https://www2.jpx.co.jp/disc/69540/140120210422498310.pdf</t>
        </is>
      </c>
    </row>
    <row r="22">
      <c r="A22" t="inlineStr">
        <is>
          <t>2020-04-24</t>
        </is>
      </c>
      <c r="B22" t="inlineStr">
        <is>
          <t>2020년 3월 결산기 연간 결산단신</t>
        </is>
      </c>
      <c r="C22" t="inlineStr">
        <is>
          <t>https://www2.jpx.co.jp/disc/69540/140120200423498399.pdf</t>
        </is>
      </c>
    </row>
    <row r="23">
      <c r="A23" t="inlineStr">
        <is>
          <t>2019-04-24</t>
        </is>
      </c>
      <c r="B23" t="inlineStr">
        <is>
          <t>2019년 3월 결산기 연간 결산단신</t>
        </is>
      </c>
      <c r="C23" t="inlineStr">
        <is>
          <t>https://www2.jpx.co.jp/disc/69540/140120190418406273.pdf</t>
        </is>
      </c>
    </row>
    <row r="24">
      <c r="A24" t="inlineStr">
        <is>
          <t>2018-04-26</t>
        </is>
      </c>
      <c r="B24" t="inlineStr">
        <is>
          <t>2018년 3월 결산기 연간 결산단신</t>
        </is>
      </c>
      <c r="C24" t="inlineStr">
        <is>
          <t>https://www2.jpx.co.jp/disc/69540/140120180319492414.pdf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2026-10-28T06:59:19Z</dcterms:created>
  <dcterms:modified xmlns:dcterms="http://purl.org/dc/terms/" xmlns:xsi="http://www.w3.org/2001/XMLSchema-instance" xsi:type="dcterms:W3CDTF">2026-10-28T06:59:19Z</dcterms:modified>
</cp:coreProperties>
</file>