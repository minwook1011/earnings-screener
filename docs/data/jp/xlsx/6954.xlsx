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손익계산서" sheetId="1" state="visible" r:id="rId1"/>
    <sheet xmlns:r="http://schemas.openxmlformats.org/officeDocument/2006/relationships" name="포괄손익" sheetId="2" state="visible" r:id="rId2"/>
    <sheet xmlns:r="http://schemas.openxmlformats.org/officeDocument/2006/relationships" name="재무상태표" sheetId="3" state="visible" r:id="rId3"/>
    <sheet xmlns:r="http://schemas.openxmlformats.org/officeDocument/2006/relationships" name="현금흐름표" sheetId="4" state="visible" r:id="rId4"/>
    <sheet xmlns:r="http://schemas.openxmlformats.org/officeDocument/2006/relationships" name="섹터 데이터" sheetId="5" state="visible" r:id="rId5"/>
    <sheet xmlns:r="http://schemas.openxmlformats.org/officeDocument/2006/relationships" name="출처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\(#,##0.0\);&quot;-&quot;"/>
    <numFmt numFmtId="165" formatCode="0.0%;\-0.0%;&quot;-&quot;"/>
  </numFmts>
  <fonts count="9">
    <font>
      <name val="Calibri"/>
      <family val="2"/>
      <color theme="1"/>
      <sz val="11"/>
      <scheme val="minor"/>
    </font>
    <font>
      <name val="맑은 고딕"/>
      <b val="1"/>
      <sz val="20"/>
    </font>
    <font>
      <name val="맑은 고딕"/>
      <color rgb="FFFF0000"/>
      <sz val="9"/>
    </font>
    <font>
      <name val="맑은 고딕"/>
      <color rgb="FF808080"/>
      <sz val="9"/>
    </font>
    <font>
      <name val="맑은 고딕"/>
      <b val="1"/>
      <sz val="10"/>
    </font>
    <font>
      <name val="맑은 고딕"/>
      <b val="1"/>
      <sz val="11"/>
    </font>
    <font>
      <name val="맑은 고딕"/>
      <color rgb="FF808080"/>
      <sz val="11"/>
    </font>
    <font>
      <name val="맑은 고딕"/>
      <sz val="11"/>
    </font>
    <font>
      <name val="맑은 고딕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808080"/>
      </patternFill>
    </fill>
  </fills>
  <borders count="2">
    <border>
      <left/>
      <right/>
      <top/>
      <bottom/>
      <diagonal/>
    </border>
    <border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7" fillId="0" borderId="0" pivotButton="0" quotePrefix="0" xfId="0"/>
    <xf numFmtId="3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40" customWidth="1" min="31" max="31"/>
  </cols>
  <sheetData>
    <row r="1">
      <c r="A1" s="1" t="inlineStr">
        <is>
          <t>화낙 손익계산서</t>
        </is>
      </c>
    </row>
    <row r="2">
      <c r="A2" s="2" t="inlineStr">
        <is>
          <t>결산기 기준(27.2Q = 2027년 결산기 2분기) · 3월 결산 · 연결 · 분기 단독(누계 차분)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22.3Q</t>
        </is>
      </c>
      <c r="D3" s="4" t="inlineStr">
        <is>
          <t>22.4Q</t>
        </is>
      </c>
      <c r="E3" s="4" t="inlineStr">
        <is>
          <t>23.1Q</t>
        </is>
      </c>
      <c r="F3" s="4" t="inlineStr">
        <is>
          <t>23.2Q</t>
        </is>
      </c>
      <c r="G3" s="4" t="inlineStr">
        <is>
          <t>23.3Q</t>
        </is>
      </c>
      <c r="H3" s="4" t="inlineStr">
        <is>
          <t>23.4Q</t>
        </is>
      </c>
      <c r="I3" s="4" t="inlineStr">
        <is>
          <t>24.1Q</t>
        </is>
      </c>
      <c r="J3" s="4" t="inlineStr">
        <is>
          <t>24.2Q</t>
        </is>
      </c>
      <c r="K3" s="4" t="inlineStr">
        <is>
          <t>24.3Q</t>
        </is>
      </c>
      <c r="L3" s="4" t="inlineStr">
        <is>
          <t>24.4Q</t>
        </is>
      </c>
      <c r="M3" s="4" t="inlineStr">
        <is>
          <t>25.1Q</t>
        </is>
      </c>
      <c r="N3" s="4" t="inlineStr">
        <is>
          <t>25.2Q</t>
        </is>
      </c>
      <c r="O3" s="4" t="inlineStr">
        <is>
          <t>25.3Q</t>
        </is>
      </c>
      <c r="P3" s="4" t="inlineStr">
        <is>
          <t>25.4Q</t>
        </is>
      </c>
      <c r="Q3" s="4" t="inlineStr">
        <is>
          <t>26.1Q</t>
        </is>
      </c>
      <c r="R3" s="4" t="inlineStr">
        <is>
          <t>26.2Q</t>
        </is>
      </c>
      <c r="S3" s="4" t="inlineStr">
        <is>
          <t>26.3Q</t>
        </is>
      </c>
      <c r="T3" s="4" t="inlineStr">
        <is>
          <t>26.4Q</t>
        </is>
      </c>
      <c r="U3" s="4" t="inlineStr">
        <is>
          <t>27.1Q</t>
        </is>
      </c>
      <c r="V3" s="4" t="inlineStr">
        <is>
          <t>27.2Q</t>
        </is>
      </c>
      <c r="W3" s="4" t="inlineStr">
        <is>
          <t>FY19</t>
        </is>
      </c>
      <c r="X3" s="4" t="inlineStr">
        <is>
          <t>FY20</t>
        </is>
      </c>
      <c r="Y3" s="4" t="inlineStr">
        <is>
          <t>FY21</t>
        </is>
      </c>
      <c r="Z3" s="4" t="inlineStr">
        <is>
          <t>FY22</t>
        </is>
      </c>
      <c r="AA3" s="4" t="inlineStr">
        <is>
          <t>FY23</t>
        </is>
      </c>
      <c r="AB3" s="4" t="inlineStr">
        <is>
          <t>FY24</t>
        </is>
      </c>
      <c r="AC3" s="4" t="inlineStr">
        <is>
          <t>FY25</t>
        </is>
      </c>
      <c r="AD3" s="4" t="inlineStr">
        <is>
          <t>FY26</t>
        </is>
      </c>
      <c r="AE3" s="4" t="inlineStr">
        <is>
          <t>출처</t>
        </is>
      </c>
    </row>
    <row r="4">
      <c r="A4" s="5" t="inlineStr">
        <is>
          <t>매출액</t>
        </is>
      </c>
      <c r="C4" s="6" t="n">
        <v>1887.6</v>
      </c>
      <c r="D4" s="6" t="n">
        <v>1927.58</v>
      </c>
      <c r="E4" s="6" t="n">
        <v>2115.63</v>
      </c>
      <c r="F4" s="6" t="n">
        <v>2045.65</v>
      </c>
      <c r="G4" s="6" t="n">
        <v>2199.85</v>
      </c>
      <c r="H4" s="6" t="n">
        <v>2158.43</v>
      </c>
      <c r="I4" s="6" t="n">
        <v>2017.71</v>
      </c>
      <c r="J4" s="6" t="n">
        <v>1969.24</v>
      </c>
      <c r="K4" s="6" t="n">
        <v>1978.3</v>
      </c>
      <c r="L4" s="6" t="n">
        <v>1987.49</v>
      </c>
      <c r="M4" s="6" t="n">
        <v>1951</v>
      </c>
      <c r="N4" s="6" t="n">
        <v>1928.62</v>
      </c>
      <c r="O4" s="6" t="n">
        <v>1970.52</v>
      </c>
      <c r="P4" s="6" t="n">
        <v>2121.15</v>
      </c>
      <c r="Q4" s="6" t="n">
        <v>1963.63</v>
      </c>
      <c r="R4" s="6" t="n">
        <v>2112.05</v>
      </c>
      <c r="S4" s="6" t="n">
        <v>2157.44</v>
      </c>
      <c r="T4" s="6" t="n">
        <v>2345.19</v>
      </c>
      <c r="U4" s="6" t="n">
        <v>2310.35</v>
      </c>
      <c r="V4" s="6" t="n">
        <v>2426.73</v>
      </c>
      <c r="W4" s="6" t="n">
        <v>6355.68</v>
      </c>
      <c r="X4" s="6" t="n">
        <v>5082.52</v>
      </c>
      <c r="Y4" s="6" t="n">
        <v>5512.87</v>
      </c>
      <c r="Z4" s="6" t="n">
        <v>7330.08</v>
      </c>
      <c r="AA4" s="6" t="n">
        <v>8519.559999999999</v>
      </c>
      <c r="AB4" s="6" t="n">
        <v>7952.74</v>
      </c>
      <c r="AC4" s="6" t="n">
        <v>7971.29</v>
      </c>
      <c r="AD4" s="6" t="n">
        <v>8578.309999999999</v>
      </c>
      <c r="AE4" s="7" t="inlineStr">
        <is>
          <t>결산단신 XBRL(거래소 공시, TDnet·JPX 보관소). 쓴 문서: 2026-10-23, 2026-07-31, 2026-04-24, 2026-01-26 외 26건 — '출처' 시트에 전부</t>
        </is>
      </c>
    </row>
    <row r="5">
      <c r="A5" s="8" t="inlineStr">
        <is>
          <t>YoY</t>
        </is>
      </c>
      <c r="G5" s="9">
        <f>IF(OR(G4="",C4=""),"",IFERROR(G4/C4-1,""))</f>
        <v/>
      </c>
      <c r="H5" s="9">
        <f>IF(OR(H4="",D4=""),"",IFERROR(H4/D4-1,""))</f>
        <v/>
      </c>
      <c r="I5" s="9">
        <f>IF(OR(I4="",E4=""),"",IFERROR(I4/E4-1,""))</f>
        <v/>
      </c>
      <c r="J5" s="9">
        <f>IF(OR(J4="",F4=""),"",IFERROR(J4/F4-1,""))</f>
        <v/>
      </c>
      <c r="K5" s="9">
        <f>IF(OR(K4="",G4=""),"",IFERROR(K4/G4-1,""))</f>
        <v/>
      </c>
      <c r="L5" s="9">
        <f>IF(OR(L4="",H4=""),"",IFERROR(L4/H4-1,""))</f>
        <v/>
      </c>
      <c r="M5" s="9">
        <f>IF(OR(M4="",I4=""),"",IFERROR(M4/I4-1,""))</f>
        <v/>
      </c>
      <c r="N5" s="9">
        <f>IF(OR(N4="",J4=""),"",IFERROR(N4/J4-1,""))</f>
        <v/>
      </c>
      <c r="O5" s="9">
        <f>IF(OR(O4="",K4=""),"",IFERROR(O4/K4-1,""))</f>
        <v/>
      </c>
      <c r="P5" s="9">
        <f>IF(OR(P4="",L4=""),"",IFERROR(P4/L4-1,""))</f>
        <v/>
      </c>
      <c r="Q5" s="9">
        <f>IF(OR(Q4="",M4=""),"",IFERROR(Q4/M4-1,""))</f>
        <v/>
      </c>
      <c r="R5" s="9">
        <f>IF(OR(R4="",N4=""),"",IFERROR(R4/N4-1,""))</f>
        <v/>
      </c>
      <c r="S5" s="9">
        <f>IF(OR(S4="",O4=""),"",IFERROR(S4/O4-1,""))</f>
        <v/>
      </c>
      <c r="T5" s="9">
        <f>IF(OR(T4="",P4=""),"",IFERROR(T4/P4-1,""))</f>
        <v/>
      </c>
      <c r="U5" s="9">
        <f>IF(OR(U4="",Q4=""),"",IFERROR(U4/Q4-1,""))</f>
        <v/>
      </c>
      <c r="V5" s="9">
        <f>IF(OR(V4="",R4=""),"",IFERROR(V4/R4-1,""))</f>
        <v/>
      </c>
      <c r="X5" s="9">
        <f>IF(OR(X4="",W4=""),"",IFERROR(X4/W4-1,""))</f>
        <v/>
      </c>
      <c r="Y5" s="9">
        <f>IF(OR(Y4="",X4=""),"",IFERROR(Y4/X4-1,""))</f>
        <v/>
      </c>
      <c r="Z5" s="9">
        <f>IF(OR(Z4="",Y4=""),"",IFERROR(Z4/Y4-1,""))</f>
        <v/>
      </c>
      <c r="AA5" s="9">
        <f>IF(OR(AA4="",Z4=""),"",IFERROR(AA4/Z4-1,""))</f>
        <v/>
      </c>
      <c r="AB5" s="9">
        <f>IF(OR(AB4="",AA4=""),"",IFERROR(AB4/AA4-1,""))</f>
        <v/>
      </c>
      <c r="AC5" s="9">
        <f>IF(OR(AC4="",AB4=""),"",IFERROR(AC4/AB4-1,""))</f>
        <v/>
      </c>
      <c r="AD5" s="9">
        <f>IF(OR(AD4="",AC4=""),"",IFERROR(AD4/AC4-1,""))</f>
        <v/>
      </c>
    </row>
    <row r="6">
      <c r="A6" s="5" t="inlineStr">
        <is>
          <t>매출원가</t>
        </is>
      </c>
      <c r="C6" s="6" t="n">
        <v>1140.19</v>
      </c>
      <c r="D6" s="6" t="n">
        <v>1179.58</v>
      </c>
      <c r="E6" s="6" t="n">
        <v>1296.43</v>
      </c>
      <c r="F6" s="6" t="n">
        <v>1253.64</v>
      </c>
      <c r="G6" s="6" t="n">
        <v>1326.04</v>
      </c>
      <c r="H6" s="6" t="n">
        <v>1389.38</v>
      </c>
      <c r="I6" s="6" t="n">
        <v>1360.58</v>
      </c>
      <c r="J6" s="6" t="n">
        <v>1296.94</v>
      </c>
      <c r="K6" s="6" t="n">
        <v>1237.02</v>
      </c>
      <c r="L6" s="6" t="n">
        <v>1299.76</v>
      </c>
      <c r="M6" s="6" t="n">
        <v>1273.38</v>
      </c>
      <c r="N6" s="6" t="n">
        <v>1163.07</v>
      </c>
      <c r="O6" s="6" t="n">
        <v>1285.95</v>
      </c>
      <c r="P6" s="6" t="n">
        <v>1299.64</v>
      </c>
      <c r="Q6" s="6" t="n">
        <v>1197.56</v>
      </c>
      <c r="R6" s="6" t="n">
        <v>1322.04</v>
      </c>
      <c r="S6" s="6" t="n">
        <v>1371.24</v>
      </c>
      <c r="T6" s="6" t="n">
        <v>1402.81</v>
      </c>
      <c r="U6" s="6" t="n">
        <v>1399.41</v>
      </c>
      <c r="V6" s="6" t="n">
        <v>1400.73</v>
      </c>
      <c r="W6" s="6" t="n">
        <v>3697.61</v>
      </c>
      <c r="X6" s="6" t="n">
        <v>3260.95</v>
      </c>
      <c r="Y6" s="6" t="n">
        <v>3493.27</v>
      </c>
      <c r="Z6" s="6" t="n">
        <v>4373.74</v>
      </c>
      <c r="AA6" s="6" t="n">
        <v>5265.49</v>
      </c>
      <c r="AB6" s="6" t="n">
        <v>5194.3</v>
      </c>
      <c r="AC6" s="6" t="n">
        <v>5022.04</v>
      </c>
      <c r="AD6" s="6" t="n">
        <v>5293.65</v>
      </c>
    </row>
    <row r="7">
      <c r="A7" s="5" t="inlineStr">
        <is>
          <t>매출총이익</t>
        </is>
      </c>
      <c r="C7" s="6" t="n">
        <v>747.41</v>
      </c>
      <c r="D7" s="6" t="n">
        <v>748</v>
      </c>
      <c r="E7" s="6" t="n">
        <v>819.2</v>
      </c>
      <c r="F7" s="6" t="n">
        <v>792.01</v>
      </c>
      <c r="G7" s="6" t="n">
        <v>873.8099999999999</v>
      </c>
      <c r="H7" s="6" t="n">
        <v>769.05</v>
      </c>
      <c r="I7" s="6" t="n">
        <v>657.13</v>
      </c>
      <c r="J7" s="6" t="n">
        <v>672.3</v>
      </c>
      <c r="K7" s="6" t="n">
        <v>741.28</v>
      </c>
      <c r="L7" s="6" t="n">
        <v>687.73</v>
      </c>
      <c r="M7" s="6" t="n">
        <v>677.62</v>
      </c>
      <c r="N7" s="6" t="n">
        <v>765.55</v>
      </c>
      <c r="O7" s="6" t="n">
        <v>684.5700000000001</v>
      </c>
      <c r="P7" s="6" t="n">
        <v>821.51</v>
      </c>
      <c r="Q7" s="6" t="n">
        <v>766.0700000000001</v>
      </c>
      <c r="R7" s="6" t="n">
        <v>790.01</v>
      </c>
      <c r="S7" s="6" t="n">
        <v>786.2</v>
      </c>
      <c r="T7" s="6" t="n">
        <v>942.38</v>
      </c>
      <c r="U7" s="6" t="n">
        <v>910.9400000000001</v>
      </c>
      <c r="V7" s="6" t="n">
        <v>1026</v>
      </c>
      <c r="W7" s="6" t="n">
        <v>2658.07</v>
      </c>
      <c r="X7" s="6" t="n">
        <v>1821.57</v>
      </c>
      <c r="Y7" s="6" t="n">
        <v>2019.6</v>
      </c>
      <c r="Z7" s="6" t="n">
        <v>2956.34</v>
      </c>
      <c r="AA7" s="6" t="n">
        <v>3254.07</v>
      </c>
      <c r="AB7" s="6" t="n">
        <v>2758.44</v>
      </c>
      <c r="AC7" s="6" t="n">
        <v>2949.25</v>
      </c>
      <c r="AD7" s="6" t="n">
        <v>3284.66</v>
      </c>
    </row>
    <row r="8">
      <c r="A8" s="8" t="inlineStr">
        <is>
          <t>매출총이익률</t>
        </is>
      </c>
      <c r="C8" s="9">
        <f>IF(OR(C7="",C4=""),"",IFERROR(C7/C4,""))</f>
        <v/>
      </c>
      <c r="D8" s="9">
        <f>IF(OR(D7="",D4=""),"",IFERROR(D7/D4,""))</f>
        <v/>
      </c>
      <c r="E8" s="9">
        <f>IF(OR(E7="",E4=""),"",IFERROR(E7/E4,""))</f>
        <v/>
      </c>
      <c r="F8" s="9">
        <f>IF(OR(F7="",F4=""),"",IFERROR(F7/F4,""))</f>
        <v/>
      </c>
      <c r="G8" s="9">
        <f>IF(OR(G7="",G4=""),"",IFERROR(G7/G4,""))</f>
        <v/>
      </c>
      <c r="H8" s="9">
        <f>IF(OR(H7="",H4=""),"",IFERROR(H7/H4,""))</f>
        <v/>
      </c>
      <c r="I8" s="9">
        <f>IF(OR(I7="",I4=""),"",IFERROR(I7/I4,""))</f>
        <v/>
      </c>
      <c r="J8" s="9">
        <f>IF(OR(J7="",J4=""),"",IFERROR(J7/J4,""))</f>
        <v/>
      </c>
      <c r="K8" s="9">
        <f>IF(OR(K7="",K4=""),"",IFERROR(K7/K4,""))</f>
        <v/>
      </c>
      <c r="L8" s="9">
        <f>IF(OR(L7="",L4=""),"",IFERROR(L7/L4,""))</f>
        <v/>
      </c>
      <c r="M8" s="9">
        <f>IF(OR(M7="",M4=""),"",IFERROR(M7/M4,""))</f>
        <v/>
      </c>
      <c r="N8" s="9">
        <f>IF(OR(N7="",N4=""),"",IFERROR(N7/N4,""))</f>
        <v/>
      </c>
      <c r="O8" s="9">
        <f>IF(OR(O7="",O4=""),"",IFERROR(O7/O4,""))</f>
        <v/>
      </c>
      <c r="P8" s="9">
        <f>IF(OR(P7="",P4=""),"",IFERROR(P7/P4,""))</f>
        <v/>
      </c>
      <c r="Q8" s="9">
        <f>IF(OR(Q7="",Q4=""),"",IFERROR(Q7/Q4,""))</f>
        <v/>
      </c>
      <c r="R8" s="9">
        <f>IF(OR(R7="",R4=""),"",IFERROR(R7/R4,""))</f>
        <v/>
      </c>
      <c r="S8" s="9">
        <f>IF(OR(S7="",S4=""),"",IFERROR(S7/S4,""))</f>
        <v/>
      </c>
      <c r="T8" s="9">
        <f>IF(OR(T7="",T4=""),"",IFERROR(T7/T4,""))</f>
        <v/>
      </c>
      <c r="U8" s="9">
        <f>IF(OR(U7="",U4=""),"",IFERROR(U7/U4,""))</f>
        <v/>
      </c>
      <c r="V8" s="9">
        <f>IF(OR(V7="",V4=""),"",IFERROR(V7/V4,""))</f>
        <v/>
      </c>
      <c r="W8" s="9">
        <f>IF(OR(W7="",W4=""),"",IFERROR(W7/W4,""))</f>
        <v/>
      </c>
      <c r="X8" s="9">
        <f>IF(OR(X7="",X4=""),"",IFERROR(X7/X4,""))</f>
        <v/>
      </c>
      <c r="Y8" s="9">
        <f>IF(OR(Y7="",Y4=""),"",IFERROR(Y7/Y4,""))</f>
        <v/>
      </c>
      <c r="Z8" s="9">
        <f>IF(OR(Z7="",Z4=""),"",IFERROR(Z7/Z4,""))</f>
        <v/>
      </c>
      <c r="AA8" s="9">
        <f>IF(OR(AA7="",AA4=""),"",IFERROR(AA7/AA4,""))</f>
        <v/>
      </c>
      <c r="AB8" s="9">
        <f>IF(OR(AB7="",AB4=""),"",IFERROR(AB7/AB4,""))</f>
        <v/>
      </c>
      <c r="AC8" s="9">
        <f>IF(OR(AC7="",AC4=""),"",IFERROR(AC7/AC4,""))</f>
        <v/>
      </c>
      <c r="AD8" s="9">
        <f>IF(OR(AD7="",AD4=""),"",IFERROR(AD7/AD4,""))</f>
        <v/>
      </c>
    </row>
    <row r="9">
      <c r="A9" s="10" t="inlineStr">
        <is>
          <t>판매비와 관리비</t>
        </is>
      </c>
      <c r="C9" s="11" t="n">
        <v>287.17</v>
      </c>
      <c r="D9" s="11" t="n">
        <v>315.06</v>
      </c>
      <c r="E9" s="11" t="n">
        <v>321.63</v>
      </c>
      <c r="F9" s="11" t="n">
        <v>342.87</v>
      </c>
      <c r="G9" s="11" t="n">
        <v>348.94</v>
      </c>
      <c r="H9" s="11" t="n">
        <v>327.04</v>
      </c>
      <c r="I9" s="11" t="n">
        <v>331.19</v>
      </c>
      <c r="J9" s="11" t="n">
        <v>332.88</v>
      </c>
      <c r="K9" s="11" t="n">
        <v>332.41</v>
      </c>
      <c r="L9" s="11" t="n">
        <v>342.77</v>
      </c>
      <c r="M9" s="11" t="n">
        <v>348.04</v>
      </c>
      <c r="N9" s="11" t="n">
        <v>339.25</v>
      </c>
      <c r="O9" s="11" t="n">
        <v>335.49</v>
      </c>
      <c r="P9" s="11" t="n">
        <v>338.01</v>
      </c>
      <c r="Q9" s="11" t="n">
        <v>341.79</v>
      </c>
      <c r="R9" s="11" t="n">
        <v>354.65</v>
      </c>
      <c r="S9" s="11" t="n">
        <v>368.8</v>
      </c>
      <c r="T9" s="11" t="n">
        <v>381.79</v>
      </c>
      <c r="U9" s="11" t="n">
        <v>376.02</v>
      </c>
      <c r="V9" s="11" t="n">
        <v>394.3</v>
      </c>
      <c r="W9" s="11" t="n">
        <v>1025.1</v>
      </c>
      <c r="X9" s="11" t="n">
        <v>938.0700000000001</v>
      </c>
      <c r="Y9" s="11" t="n">
        <v>894.46</v>
      </c>
      <c r="Z9" s="11" t="n">
        <v>1123.94</v>
      </c>
      <c r="AA9" s="11" t="n">
        <v>1340.48</v>
      </c>
      <c r="AB9" s="11" t="n">
        <v>1339.25</v>
      </c>
      <c r="AC9" s="11" t="n">
        <v>1360.79</v>
      </c>
      <c r="AD9" s="11" t="n">
        <v>1447.03</v>
      </c>
    </row>
    <row r="10">
      <c r="A10" s="5" t="inlineStr">
        <is>
          <t>영업이익</t>
        </is>
      </c>
      <c r="C10" s="6" t="n">
        <v>460.24</v>
      </c>
      <c r="D10" s="6" t="n">
        <v>432.94</v>
      </c>
      <c r="E10" s="6" t="n">
        <v>497.57</v>
      </c>
      <c r="F10" s="6" t="n">
        <v>449.14</v>
      </c>
      <c r="G10" s="6" t="n">
        <v>524.87</v>
      </c>
      <c r="H10" s="6" t="n">
        <v>442.01</v>
      </c>
      <c r="I10" s="6" t="n">
        <v>325.94</v>
      </c>
      <c r="J10" s="6" t="n">
        <v>339.42</v>
      </c>
      <c r="K10" s="6" t="n">
        <v>408.87</v>
      </c>
      <c r="L10" s="6" t="n">
        <v>344.96</v>
      </c>
      <c r="M10" s="6" t="n">
        <v>329.58</v>
      </c>
      <c r="N10" s="6" t="n">
        <v>426.3</v>
      </c>
      <c r="O10" s="6" t="n">
        <v>349.08</v>
      </c>
      <c r="P10" s="6" t="n">
        <v>483.5</v>
      </c>
      <c r="Q10" s="6" t="n">
        <v>424.28</v>
      </c>
      <c r="R10" s="6" t="n">
        <v>435.36</v>
      </c>
      <c r="S10" s="6" t="n">
        <v>417.4</v>
      </c>
      <c r="T10" s="6" t="n">
        <v>560.59</v>
      </c>
      <c r="U10" s="6" t="n">
        <v>534.92</v>
      </c>
      <c r="V10" s="6" t="n">
        <v>631.7</v>
      </c>
      <c r="W10" s="6" t="n">
        <v>1632.97</v>
      </c>
      <c r="X10" s="6" t="n">
        <v>883.5</v>
      </c>
      <c r="Y10" s="6" t="n">
        <v>1125.14</v>
      </c>
      <c r="Z10" s="6" t="n">
        <v>1832.4</v>
      </c>
      <c r="AA10" s="6" t="n">
        <v>1913.59</v>
      </c>
      <c r="AB10" s="6" t="n">
        <v>1419.19</v>
      </c>
      <c r="AC10" s="6" t="n">
        <v>1588.46</v>
      </c>
      <c r="AD10" s="6" t="n">
        <v>1837.63</v>
      </c>
    </row>
    <row r="11">
      <c r="A11" s="8" t="inlineStr">
        <is>
          <t>영업이익률</t>
        </is>
      </c>
      <c r="C11" s="9">
        <f>IF(OR(C10="",C4=""),"",IFERROR(C10/C4,""))</f>
        <v/>
      </c>
      <c r="D11" s="9">
        <f>IF(OR(D10="",D4=""),"",IFERROR(D10/D4,""))</f>
        <v/>
      </c>
      <c r="E11" s="9">
        <f>IF(OR(E10="",E4=""),"",IFERROR(E10/E4,""))</f>
        <v/>
      </c>
      <c r="F11" s="9">
        <f>IF(OR(F10="",F4=""),"",IFERROR(F10/F4,""))</f>
        <v/>
      </c>
      <c r="G11" s="9">
        <f>IF(OR(G10="",G4=""),"",IFERROR(G10/G4,""))</f>
        <v/>
      </c>
      <c r="H11" s="9">
        <f>IF(OR(H10="",H4=""),"",IFERROR(H10/H4,""))</f>
        <v/>
      </c>
      <c r="I11" s="9">
        <f>IF(OR(I10="",I4=""),"",IFERROR(I10/I4,""))</f>
        <v/>
      </c>
      <c r="J11" s="9">
        <f>IF(OR(J10="",J4=""),"",IFERROR(J10/J4,""))</f>
        <v/>
      </c>
      <c r="K11" s="9">
        <f>IF(OR(K10="",K4=""),"",IFERROR(K10/K4,""))</f>
        <v/>
      </c>
      <c r="L11" s="9">
        <f>IF(OR(L10="",L4=""),"",IFERROR(L10/L4,""))</f>
        <v/>
      </c>
      <c r="M11" s="9">
        <f>IF(OR(M10="",M4=""),"",IFERROR(M10/M4,""))</f>
        <v/>
      </c>
      <c r="N11" s="9">
        <f>IF(OR(N10="",N4=""),"",IFERROR(N10/N4,""))</f>
        <v/>
      </c>
      <c r="O11" s="9">
        <f>IF(OR(O10="",O4=""),"",IFERROR(O10/O4,""))</f>
        <v/>
      </c>
      <c r="P11" s="9">
        <f>IF(OR(P10="",P4=""),"",IFERROR(P10/P4,""))</f>
        <v/>
      </c>
      <c r="Q11" s="9">
        <f>IF(OR(Q10="",Q4=""),"",IFERROR(Q10/Q4,""))</f>
        <v/>
      </c>
      <c r="R11" s="9">
        <f>IF(OR(R10="",R4=""),"",IFERROR(R10/R4,""))</f>
        <v/>
      </c>
      <c r="S11" s="9">
        <f>IF(OR(S10="",S4=""),"",IFERROR(S10/S4,""))</f>
        <v/>
      </c>
      <c r="T11" s="9">
        <f>IF(OR(T10="",T4=""),"",IFERROR(T10/T4,""))</f>
        <v/>
      </c>
      <c r="U11" s="9">
        <f>IF(OR(U10="",U4=""),"",IFERROR(U10/U4,""))</f>
        <v/>
      </c>
      <c r="V11" s="9">
        <f>IF(OR(V10="",V4=""),"",IFERROR(V10/V4,""))</f>
        <v/>
      </c>
      <c r="W11" s="9">
        <f>IF(OR(W10="",W4=""),"",IFERROR(W10/W4,""))</f>
        <v/>
      </c>
      <c r="X11" s="9">
        <f>IF(OR(X10="",X4=""),"",IFERROR(X10/X4,""))</f>
        <v/>
      </c>
      <c r="Y11" s="9">
        <f>IF(OR(Y10="",Y4=""),"",IFERROR(Y10/Y4,""))</f>
        <v/>
      </c>
      <c r="Z11" s="9">
        <f>IF(OR(Z10="",Z4=""),"",IFERROR(Z10/Z4,""))</f>
        <v/>
      </c>
      <c r="AA11" s="9">
        <f>IF(OR(AA10="",AA4=""),"",IFERROR(AA10/AA4,""))</f>
        <v/>
      </c>
      <c r="AB11" s="9">
        <f>IF(OR(AB10="",AB4=""),"",IFERROR(AB10/AB4,""))</f>
        <v/>
      </c>
      <c r="AC11" s="9">
        <f>IF(OR(AC10="",AC4=""),"",IFERROR(AC10/AC4,""))</f>
        <v/>
      </c>
      <c r="AD11" s="9">
        <f>IF(OR(AD10="",AD4=""),"",IFERROR(AD10/AD4,""))</f>
        <v/>
      </c>
    </row>
    <row r="12">
      <c r="A12" s="8" t="inlineStr">
        <is>
          <t>YoY</t>
        </is>
      </c>
      <c r="G12" s="9">
        <f>IF(OR(G10="",C10=""),"",IFERROR(G10/C10-1,""))</f>
        <v/>
      </c>
      <c r="H12" s="9">
        <f>IF(OR(H10="",D10=""),"",IFERROR(H10/D10-1,""))</f>
        <v/>
      </c>
      <c r="I12" s="9">
        <f>IF(OR(I10="",E10=""),"",IFERROR(I10/E10-1,""))</f>
        <v/>
      </c>
      <c r="J12" s="9">
        <f>IF(OR(J10="",F10=""),"",IFERROR(J10/F10-1,""))</f>
        <v/>
      </c>
      <c r="K12" s="9">
        <f>IF(OR(K10="",G10=""),"",IFERROR(K10/G10-1,""))</f>
        <v/>
      </c>
      <c r="L12" s="9">
        <f>IF(OR(L10="",H10=""),"",IFERROR(L10/H10-1,""))</f>
        <v/>
      </c>
      <c r="M12" s="9">
        <f>IF(OR(M10="",I10=""),"",IFERROR(M10/I10-1,""))</f>
        <v/>
      </c>
      <c r="N12" s="9">
        <f>IF(OR(N10="",J10=""),"",IFERROR(N10/J10-1,""))</f>
        <v/>
      </c>
      <c r="O12" s="9">
        <f>IF(OR(O10="",K10=""),"",IFERROR(O10/K10-1,""))</f>
        <v/>
      </c>
      <c r="P12" s="9">
        <f>IF(OR(P10="",L10=""),"",IFERROR(P10/L10-1,""))</f>
        <v/>
      </c>
      <c r="Q12" s="9">
        <f>IF(OR(Q10="",M10=""),"",IFERROR(Q10/M10-1,""))</f>
        <v/>
      </c>
      <c r="R12" s="9">
        <f>IF(OR(R10="",N10=""),"",IFERROR(R10/N10-1,""))</f>
        <v/>
      </c>
      <c r="S12" s="9">
        <f>IF(OR(S10="",O10=""),"",IFERROR(S10/O10-1,""))</f>
        <v/>
      </c>
      <c r="T12" s="9">
        <f>IF(OR(T10="",P10=""),"",IFERROR(T10/P10-1,""))</f>
        <v/>
      </c>
      <c r="U12" s="9">
        <f>IF(OR(U10="",Q10=""),"",IFERROR(U10/Q10-1,""))</f>
        <v/>
      </c>
      <c r="V12" s="9">
        <f>IF(OR(V10="",R10=""),"",IFERROR(V10/R10-1,""))</f>
        <v/>
      </c>
      <c r="X12" s="9">
        <f>IF(OR(X10="",W10=""),"",IFERROR(X10/W10-1,""))</f>
        <v/>
      </c>
      <c r="Y12" s="9">
        <f>IF(OR(Y10="",X10=""),"",IFERROR(Y10/X10-1,""))</f>
        <v/>
      </c>
      <c r="Z12" s="9">
        <f>IF(OR(Z10="",Y10=""),"",IFERROR(Z10/Y10-1,""))</f>
        <v/>
      </c>
      <c r="AA12" s="9">
        <f>IF(OR(AA10="",Z10=""),"",IFERROR(AA10/Z10-1,""))</f>
        <v/>
      </c>
      <c r="AB12" s="9">
        <f>IF(OR(AB10="",AA10=""),"",IFERROR(AB10/AA10-1,""))</f>
        <v/>
      </c>
      <c r="AC12" s="9">
        <f>IF(OR(AC10="",AB10=""),"",IFERROR(AC10/AB10-1,""))</f>
        <v/>
      </c>
      <c r="AD12" s="9">
        <f>IF(OR(AD10="",AC10=""),"",IFERROR(AD10/AC10-1,""))</f>
        <v/>
      </c>
    </row>
    <row r="13">
      <c r="A13" s="10" t="inlineStr">
        <is>
          <t>이자수익</t>
        </is>
      </c>
      <c r="C13" s="11" t="n">
        <v>5.26</v>
      </c>
      <c r="D13" s="11" t="n">
        <v>6.21</v>
      </c>
      <c r="E13" s="11" t="n">
        <v>8.06</v>
      </c>
      <c r="F13" s="11" t="n">
        <v>9.279999999999999</v>
      </c>
      <c r="G13" s="11" t="n">
        <v>11.35</v>
      </c>
      <c r="H13" s="11" t="n">
        <v>9.710000000000001</v>
      </c>
      <c r="I13" s="11" t="n">
        <v>9.69</v>
      </c>
      <c r="J13" s="11" t="n">
        <v>11.64</v>
      </c>
      <c r="K13" s="11" t="n">
        <v>11.45</v>
      </c>
      <c r="L13" s="11" t="n">
        <v>12.71</v>
      </c>
      <c r="M13" s="11" t="n">
        <v>16.29</v>
      </c>
      <c r="N13" s="11" t="n">
        <v>17.76</v>
      </c>
      <c r="O13" s="11" t="n">
        <v>18.88</v>
      </c>
      <c r="P13" s="11" t="n">
        <v>18.29</v>
      </c>
      <c r="Q13" s="11" t="n">
        <v>18.69</v>
      </c>
      <c r="R13" s="11" t="n">
        <v>19.5</v>
      </c>
      <c r="S13" s="11" t="n">
        <v>17.36</v>
      </c>
      <c r="T13" s="11" t="n">
        <v>19.82</v>
      </c>
      <c r="U13" s="11" t="n">
        <v>22.49</v>
      </c>
      <c r="V13" s="11" t="n">
        <v>29.03</v>
      </c>
      <c r="W13" s="11" t="n">
        <v>41.95</v>
      </c>
      <c r="X13" s="11" t="n">
        <v>38.61</v>
      </c>
      <c r="Y13" s="11" t="n">
        <v>20.88</v>
      </c>
      <c r="Z13" s="11" t="n">
        <v>20.55</v>
      </c>
      <c r="AA13" s="11" t="n">
        <v>38.4</v>
      </c>
      <c r="AB13" s="11" t="n">
        <v>45.49</v>
      </c>
      <c r="AC13" s="11" t="n">
        <v>71.22</v>
      </c>
      <c r="AD13" s="11" t="n">
        <v>75.37</v>
      </c>
    </row>
    <row r="14">
      <c r="A14" s="10" t="inlineStr">
        <is>
          <t>배당금수익</t>
        </is>
      </c>
      <c r="C14" s="11" t="n">
        <v>2.22</v>
      </c>
      <c r="D14" s="11" t="n">
        <v>1.9</v>
      </c>
      <c r="E14" s="11" t="n">
        <v>2.65</v>
      </c>
      <c r="F14" s="11" t="n">
        <v>12.17</v>
      </c>
      <c r="G14" s="11" t="n">
        <v>2.42</v>
      </c>
      <c r="H14" s="11" t="n">
        <v>1.97</v>
      </c>
      <c r="I14" s="11" t="n">
        <v>2.73</v>
      </c>
      <c r="J14" s="11" t="n">
        <v>14.58</v>
      </c>
      <c r="K14" s="11" t="n">
        <v>3.35</v>
      </c>
      <c r="L14" s="11" t="n">
        <v>2.07</v>
      </c>
      <c r="M14" s="11" t="n">
        <v>2.69</v>
      </c>
      <c r="N14" s="11" t="n">
        <v>14.77</v>
      </c>
      <c r="O14" s="11" t="n">
        <v>3.98</v>
      </c>
      <c r="P14" s="11" t="n">
        <v>2.06</v>
      </c>
      <c r="Q14" s="11" t="n">
        <v>2.96</v>
      </c>
      <c r="R14" s="11" t="n">
        <v>23.25</v>
      </c>
      <c r="S14" s="11" t="n">
        <v>5.23</v>
      </c>
      <c r="T14" s="11" t="n">
        <v>2.26</v>
      </c>
      <c r="U14" s="11" t="n">
        <v>3.74</v>
      </c>
      <c r="V14" s="11" t="n">
        <v>21.14</v>
      </c>
      <c r="W14" s="11" t="n">
        <v>15.1</v>
      </c>
      <c r="X14" s="11" t="n">
        <v>14.44</v>
      </c>
      <c r="Y14" s="11" t="n">
        <v>13.39</v>
      </c>
      <c r="Z14" s="11" t="n">
        <v>11.37</v>
      </c>
      <c r="AA14" s="11" t="n">
        <v>19.21</v>
      </c>
      <c r="AB14" s="11" t="n">
        <v>22.73</v>
      </c>
      <c r="AC14" s="11" t="n">
        <v>23.5</v>
      </c>
      <c r="AD14" s="11" t="n">
        <v>33.7</v>
      </c>
    </row>
    <row r="15">
      <c r="A15" s="10" t="inlineStr">
        <is>
          <t>지분법이익</t>
        </is>
      </c>
      <c r="C15" s="11" t="n">
        <v>58.68</v>
      </c>
      <c r="D15" s="11" t="n">
        <v>68.13</v>
      </c>
      <c r="E15" s="11" t="n">
        <v>77.90000000000001</v>
      </c>
      <c r="F15" s="11" t="n">
        <v>80.26000000000001</v>
      </c>
      <c r="G15" s="11" t="n">
        <v>85.67</v>
      </c>
      <c r="H15" s="11" t="n">
        <v>79.88</v>
      </c>
      <c r="I15" s="11" t="n">
        <v>66.84</v>
      </c>
      <c r="J15" s="11" t="n">
        <v>76.73999999999999</v>
      </c>
      <c r="K15" s="11" t="n">
        <v>63.02</v>
      </c>
      <c r="L15" s="11" t="n">
        <v>68.8</v>
      </c>
      <c r="M15" s="11" t="n">
        <v>61.86</v>
      </c>
      <c r="N15" s="11" t="n">
        <v>77.56</v>
      </c>
      <c r="O15" s="11" t="n">
        <v>68.40000000000001</v>
      </c>
      <c r="P15" s="11" t="n">
        <v>72.58</v>
      </c>
      <c r="Q15" s="11" t="n">
        <v>66.88</v>
      </c>
      <c r="R15" s="11" t="n">
        <v>80.37</v>
      </c>
      <c r="S15" s="11" t="n">
        <v>73.31999999999999</v>
      </c>
      <c r="T15" s="11" t="n">
        <v>84.73999999999999</v>
      </c>
      <c r="U15" s="11" t="n">
        <v>113.71</v>
      </c>
      <c r="V15" s="11" t="n">
        <v>116.06</v>
      </c>
      <c r="W15" s="11" t="n">
        <v>142.43</v>
      </c>
      <c r="X15" s="11" t="n">
        <v>87.52</v>
      </c>
      <c r="Y15" s="11" t="n">
        <v>116.4</v>
      </c>
      <c r="Z15" s="11" t="n">
        <v>231.26</v>
      </c>
      <c r="AA15" s="11" t="n">
        <v>323.71</v>
      </c>
      <c r="AB15" s="11" t="n">
        <v>275.4</v>
      </c>
      <c r="AC15" s="11" t="n">
        <v>280.4</v>
      </c>
      <c r="AD15" s="11" t="n">
        <v>305.31</v>
      </c>
    </row>
    <row r="16">
      <c r="A16" s="10" t="inlineStr">
        <is>
          <t>잡이익</t>
        </is>
      </c>
      <c r="C16" s="11" t="n">
        <v>16.19</v>
      </c>
      <c r="D16" s="11" t="n">
        <v>20.11</v>
      </c>
      <c r="E16" s="11" t="n">
        <v>12.48</v>
      </c>
      <c r="F16" s="11" t="n">
        <v>14.6</v>
      </c>
      <c r="G16" s="11" t="n">
        <v>7.3</v>
      </c>
      <c r="H16" s="11" t="n">
        <v>16.55</v>
      </c>
      <c r="I16" s="11" t="n">
        <v>18.68</v>
      </c>
      <c r="J16" s="11" t="n">
        <v>14.91</v>
      </c>
      <c r="K16" s="11" t="n">
        <v>10.29</v>
      </c>
      <c r="L16" s="11" t="n">
        <v>45.13</v>
      </c>
      <c r="M16" s="11" t="n">
        <v>7.69</v>
      </c>
      <c r="N16" s="11" t="n">
        <v>16.61</v>
      </c>
      <c r="O16" s="11" t="n">
        <v>9.56</v>
      </c>
      <c r="P16" s="11" t="n">
        <v>14.42</v>
      </c>
      <c r="Q16" s="11" t="n">
        <v>10.8</v>
      </c>
      <c r="R16" s="11" t="n">
        <v>15.91</v>
      </c>
      <c r="S16" s="11" t="n">
        <v>8.59</v>
      </c>
      <c r="T16" s="11" t="n">
        <v>25.8</v>
      </c>
      <c r="U16" s="11" t="n">
        <v>12.84</v>
      </c>
      <c r="V16" s="11" t="n">
        <v>23.43</v>
      </c>
      <c r="W16" s="11" t="n">
        <v>42.22</v>
      </c>
      <c r="X16" s="11" t="n">
        <v>27.33</v>
      </c>
      <c r="Y16" s="11" t="n">
        <v>33.3</v>
      </c>
      <c r="Z16" s="11" t="n">
        <v>59.56</v>
      </c>
      <c r="AA16" s="11" t="n">
        <v>50.93</v>
      </c>
      <c r="AB16" s="11" t="n">
        <v>89.01000000000001</v>
      </c>
      <c r="AC16" s="11" t="n">
        <v>48.28</v>
      </c>
      <c r="AD16" s="11" t="n">
        <v>61.1</v>
      </c>
    </row>
    <row r="17">
      <c r="A17" s="5" t="inlineStr">
        <is>
          <t>영업외수익 합계</t>
        </is>
      </c>
      <c r="C17" s="6" t="n">
        <v>82.34999999999999</v>
      </c>
      <c r="D17" s="6" t="n">
        <v>96.34999999999999</v>
      </c>
      <c r="E17" s="6" t="n">
        <v>101.09</v>
      </c>
      <c r="F17" s="6" t="n">
        <v>116.31</v>
      </c>
      <c r="G17" s="6" t="n">
        <v>106.74</v>
      </c>
      <c r="H17" s="6" t="n">
        <v>108.11</v>
      </c>
      <c r="I17" s="6" t="n">
        <v>97.94</v>
      </c>
      <c r="J17" s="6" t="n">
        <v>117.87</v>
      </c>
      <c r="K17" s="6" t="n">
        <v>88.11</v>
      </c>
      <c r="L17" s="6" t="n">
        <v>128.71</v>
      </c>
      <c r="M17" s="6" t="n">
        <v>88.53</v>
      </c>
      <c r="N17" s="6" t="n">
        <v>126.7</v>
      </c>
      <c r="O17" s="6" t="n">
        <v>100.82</v>
      </c>
      <c r="P17" s="6" t="n">
        <v>107.35</v>
      </c>
      <c r="Q17" s="6" t="n">
        <v>99.33</v>
      </c>
      <c r="R17" s="6" t="n">
        <v>139.03</v>
      </c>
      <c r="S17" s="6" t="n">
        <v>104.5</v>
      </c>
      <c r="T17" s="6" t="n">
        <v>132.62</v>
      </c>
      <c r="U17" s="6" t="n">
        <v>152.78</v>
      </c>
      <c r="V17" s="6" t="n">
        <v>189.66</v>
      </c>
      <c r="W17" s="6" t="n">
        <v>241.7</v>
      </c>
      <c r="X17" s="6" t="n">
        <v>167.9</v>
      </c>
      <c r="Y17" s="6" t="n">
        <v>183.97</v>
      </c>
      <c r="Z17" s="6" t="n">
        <v>322.74</v>
      </c>
      <c r="AA17" s="6" t="n">
        <v>432.25</v>
      </c>
      <c r="AB17" s="6" t="n">
        <v>432.63</v>
      </c>
      <c r="AC17" s="6" t="n">
        <v>423.4</v>
      </c>
      <c r="AD17" s="6" t="n">
        <v>475.48</v>
      </c>
    </row>
    <row r="18">
      <c r="A18" s="10" t="inlineStr">
        <is>
          <t>투자유가증권 평가손실</t>
        </is>
      </c>
      <c r="W18" s="11" t="n">
        <v>0.47</v>
      </c>
      <c r="X18" s="11" t="n">
        <v>4.54</v>
      </c>
      <c r="Y18" s="11" t="n">
        <v>7.72</v>
      </c>
      <c r="AB18" s="11" t="n">
        <v>0</v>
      </c>
      <c r="AC18" s="11" t="n">
        <v>11.01</v>
      </c>
      <c r="AD18" s="11" t="n">
        <v>4.49</v>
      </c>
    </row>
    <row r="19">
      <c r="A19" s="10" t="inlineStr">
        <is>
          <t>고정자산 철거비용</t>
        </is>
      </c>
      <c r="C19" s="11" t="n">
        <v>0.78</v>
      </c>
      <c r="E19" s="11" t="n">
        <v>1.54</v>
      </c>
      <c r="F19" s="11" t="n">
        <v>1.75</v>
      </c>
      <c r="G19" s="11" t="n">
        <v>2.83</v>
      </c>
      <c r="I19" s="11" t="n">
        <v>3.39</v>
      </c>
      <c r="J19" s="11" t="n">
        <v>2.69</v>
      </c>
      <c r="K19" s="11" t="n">
        <v>2.87</v>
      </c>
      <c r="M19" s="11" t="n">
        <v>1.25</v>
      </c>
      <c r="Q19" s="11" t="n">
        <v>1.78</v>
      </c>
      <c r="U19" s="11" t="n">
        <v>1.32</v>
      </c>
    </row>
    <row r="20">
      <c r="A20" s="10" t="inlineStr">
        <is>
          <t>순화폐성 포지션 손실</t>
        </is>
      </c>
      <c r="G20" s="11" t="n">
        <v>0</v>
      </c>
      <c r="K20" s="11" t="n">
        <v>1.97</v>
      </c>
    </row>
    <row r="21">
      <c r="A21" s="10" t="inlineStr">
        <is>
          <t>고정자산 제각·매각손실</t>
        </is>
      </c>
      <c r="C21" s="11" t="n">
        <v>0.2</v>
      </c>
      <c r="D21" s="11" t="n">
        <v>3.55</v>
      </c>
      <c r="E21" s="11" t="n">
        <v>0.02</v>
      </c>
      <c r="F21" s="11" t="n">
        <v>1.86</v>
      </c>
      <c r="G21" s="11" t="n">
        <v>4.68</v>
      </c>
      <c r="H21" s="11" t="n">
        <v>5.26</v>
      </c>
      <c r="I21" s="11" t="n">
        <v>1.75</v>
      </c>
      <c r="O21" s="11" t="n">
        <v>1.3</v>
      </c>
      <c r="P21" s="11" t="n">
        <v>0.85</v>
      </c>
      <c r="S21" s="11" t="n">
        <v>0.11</v>
      </c>
      <c r="T21" s="11" t="n">
        <v>0.61</v>
      </c>
      <c r="Y21" s="11" t="n">
        <v>0.85</v>
      </c>
      <c r="Z21" s="11" t="n">
        <v>4.1</v>
      </c>
      <c r="AA21" s="11" t="n">
        <v>11.82</v>
      </c>
      <c r="AB21" s="11" t="n">
        <v>5.64</v>
      </c>
      <c r="AC21" s="11" t="n">
        <v>3.66</v>
      </c>
      <c r="AD21" s="11" t="n">
        <v>9.08</v>
      </c>
    </row>
    <row r="22">
      <c r="A22" s="10" t="inlineStr">
        <is>
          <t>순화폐성 포지션 손실</t>
        </is>
      </c>
      <c r="AA22" s="11" t="n">
        <v>0</v>
      </c>
      <c r="AB22" s="11" t="n">
        <v>9.43</v>
      </c>
    </row>
    <row r="23">
      <c r="A23" s="10" t="inlineStr">
        <is>
          <t>외환차손</t>
        </is>
      </c>
      <c r="M23" s="11" t="n">
        <v>0.84</v>
      </c>
      <c r="N23" s="11" t="n">
        <v>6.2</v>
      </c>
      <c r="Q23" s="11" t="n">
        <v>3.97</v>
      </c>
      <c r="R23" s="11" t="n">
        <v>-0.75</v>
      </c>
      <c r="AB23" s="11" t="n">
        <v>0</v>
      </c>
      <c r="AC23" s="11" t="n">
        <v>4.54</v>
      </c>
    </row>
    <row r="24">
      <c r="A24" s="10" t="inlineStr">
        <is>
          <t>고정자산 철거비용</t>
        </is>
      </c>
      <c r="W24" s="11" t="n">
        <v>19.55</v>
      </c>
      <c r="X24" s="11" t="n">
        <v>9.710000000000001</v>
      </c>
      <c r="Y24" s="11" t="n">
        <v>5.23</v>
      </c>
      <c r="Z24" s="11" t="n">
        <v>6.44</v>
      </c>
      <c r="AA24" s="11" t="n">
        <v>12.87</v>
      </c>
      <c r="AB24" s="11" t="n">
        <v>9.31</v>
      </c>
      <c r="AC24" s="11" t="n">
        <v>8.199999999999999</v>
      </c>
      <c r="AD24" s="11" t="n">
        <v>8.949999999999999</v>
      </c>
    </row>
    <row r="25">
      <c r="A25" s="10" t="inlineStr">
        <is>
          <t>기부금</t>
        </is>
      </c>
      <c r="C25" s="11" t="n">
        <v>0.75</v>
      </c>
      <c r="D25" s="11" t="n">
        <v>1.92</v>
      </c>
      <c r="H25" s="11" t="n">
        <v>0.71</v>
      </c>
      <c r="I25" s="11" t="n">
        <v>1.04</v>
      </c>
      <c r="M25" s="11" t="n">
        <v>2.42</v>
      </c>
      <c r="W25" s="11" t="n">
        <v>2.92</v>
      </c>
      <c r="X25" s="11" t="n">
        <v>3</v>
      </c>
      <c r="Y25" s="11" t="n">
        <v>4.81</v>
      </c>
      <c r="Z25" s="11" t="n">
        <v>3.97</v>
      </c>
      <c r="AA25" s="11" t="n">
        <v>3.07</v>
      </c>
      <c r="AB25" s="11" t="n">
        <v>3.35</v>
      </c>
      <c r="AC25" s="11" t="n">
        <v>5</v>
      </c>
      <c r="AD25" s="11" t="n">
        <v>4.66</v>
      </c>
    </row>
    <row r="26">
      <c r="A26" s="10" t="inlineStr">
        <is>
          <t>소송 화해금</t>
        </is>
      </c>
      <c r="D26" s="11" t="n">
        <v>0</v>
      </c>
      <c r="H26" s="11" t="n">
        <v>0</v>
      </c>
      <c r="Y26" s="11" t="n">
        <v>0</v>
      </c>
      <c r="Z26" s="11" t="n">
        <v>2.88</v>
      </c>
      <c r="AA26" s="11" t="n">
        <v>0</v>
      </c>
    </row>
    <row r="27">
      <c r="A27" s="10" t="inlineStr">
        <is>
          <t>잡손실</t>
        </is>
      </c>
      <c r="C27" s="11" t="n">
        <v>-0.44</v>
      </c>
      <c r="D27" s="11" t="n">
        <v>1.26</v>
      </c>
      <c r="E27" s="11" t="n">
        <v>1.72</v>
      </c>
      <c r="F27" s="11" t="n">
        <v>3.63</v>
      </c>
      <c r="G27" s="11" t="n">
        <v>6.3</v>
      </c>
      <c r="H27" s="11" t="n">
        <v>-3.77</v>
      </c>
      <c r="I27" s="11" t="n">
        <v>6.09</v>
      </c>
      <c r="J27" s="11" t="n">
        <v>13.55</v>
      </c>
      <c r="K27" s="11" t="n">
        <v>-1.9</v>
      </c>
      <c r="L27" s="11" t="n">
        <v>3.87</v>
      </c>
      <c r="M27" s="11" t="n">
        <v>4.73</v>
      </c>
      <c r="N27" s="11" t="n">
        <v>10.03</v>
      </c>
      <c r="O27" s="11" t="n">
        <v>0.64</v>
      </c>
      <c r="P27" s="11" t="n">
        <v>1.21</v>
      </c>
      <c r="Q27" s="11" t="n">
        <v>6.31</v>
      </c>
      <c r="R27" s="11" t="n">
        <v>4.28</v>
      </c>
      <c r="S27" s="11" t="n">
        <v>0.87</v>
      </c>
      <c r="T27" s="11" t="n">
        <v>-0.38</v>
      </c>
      <c r="U27" s="11" t="n">
        <v>4.45</v>
      </c>
      <c r="V27" s="11" t="n">
        <v>10.15</v>
      </c>
      <c r="W27" s="11" t="n">
        <v>17.14</v>
      </c>
      <c r="X27" s="11" t="n">
        <v>5.99</v>
      </c>
      <c r="Y27" s="11" t="n">
        <v>10.78</v>
      </c>
      <c r="Z27" s="11" t="n">
        <v>3.8</v>
      </c>
      <c r="AA27" s="11" t="n">
        <v>7.88</v>
      </c>
      <c r="AB27" s="11" t="n">
        <v>21.61</v>
      </c>
      <c r="AC27" s="11" t="n">
        <v>16.61</v>
      </c>
      <c r="AD27" s="11" t="n">
        <v>11.08</v>
      </c>
    </row>
    <row r="28">
      <c r="A28" s="10" t="inlineStr">
        <is>
          <t>영업외비용 합계</t>
        </is>
      </c>
      <c r="C28" s="11" t="n">
        <v>5.47</v>
      </c>
      <c r="D28" s="11" t="n">
        <v>10.68</v>
      </c>
      <c r="E28" s="11" t="n">
        <v>3.28</v>
      </c>
      <c r="F28" s="11" t="n">
        <v>5.36</v>
      </c>
      <c r="G28" s="11" t="n">
        <v>9.130000000000001</v>
      </c>
      <c r="H28" s="11" t="n">
        <v>14.8</v>
      </c>
      <c r="I28" s="11" t="n">
        <v>7.13</v>
      </c>
      <c r="J28" s="11" t="n">
        <v>12.51</v>
      </c>
      <c r="K28" s="11" t="n">
        <v>7.05</v>
      </c>
      <c r="L28" s="11" t="n">
        <v>7.58</v>
      </c>
      <c r="M28" s="11" t="n">
        <v>6.82</v>
      </c>
      <c r="N28" s="11" t="n">
        <v>16.49</v>
      </c>
      <c r="O28" s="11" t="n">
        <v>2.85</v>
      </c>
      <c r="P28" s="11" t="n">
        <v>18.32</v>
      </c>
      <c r="Q28" s="11" t="n">
        <v>8.09</v>
      </c>
      <c r="R28" s="11" t="n">
        <v>10.86</v>
      </c>
      <c r="S28" s="11" t="n">
        <v>7.76</v>
      </c>
      <c r="T28" s="11" t="n">
        <v>11.55</v>
      </c>
      <c r="U28" s="11" t="n">
        <v>5.77</v>
      </c>
      <c r="V28" s="11" t="n">
        <v>12.84</v>
      </c>
      <c r="W28" s="11" t="n">
        <v>40.08</v>
      </c>
      <c r="X28" s="11" t="n">
        <v>23.24</v>
      </c>
      <c r="Y28" s="11" t="n">
        <v>21.67</v>
      </c>
      <c r="Z28" s="11" t="n">
        <v>21.19</v>
      </c>
      <c r="AA28" s="11" t="n">
        <v>32.57</v>
      </c>
      <c r="AB28" s="11" t="n">
        <v>34.27</v>
      </c>
      <c r="AC28" s="11" t="n">
        <v>44.48</v>
      </c>
      <c r="AD28" s="11" t="n">
        <v>38.26</v>
      </c>
    </row>
    <row r="29">
      <c r="A29" s="5" t="inlineStr">
        <is>
          <t>경상이익</t>
        </is>
      </c>
      <c r="C29" s="6" t="n">
        <v>537.12</v>
      </c>
      <c r="D29" s="6" t="n">
        <v>518.61</v>
      </c>
      <c r="E29" s="6" t="n">
        <v>595.38</v>
      </c>
      <c r="F29" s="6" t="n">
        <v>560.09</v>
      </c>
      <c r="G29" s="6" t="n">
        <v>622.48</v>
      </c>
      <c r="H29" s="6" t="n">
        <v>535.3200000000001</v>
      </c>
      <c r="I29" s="6" t="n">
        <v>416.75</v>
      </c>
      <c r="J29" s="6" t="n">
        <v>444.78</v>
      </c>
      <c r="K29" s="6" t="n">
        <v>489.93</v>
      </c>
      <c r="L29" s="6" t="n">
        <v>466.09</v>
      </c>
      <c r="M29" s="6" t="n">
        <v>411.29</v>
      </c>
      <c r="N29" s="6" t="n">
        <v>536.51</v>
      </c>
      <c r="O29" s="6" t="n">
        <v>447.05</v>
      </c>
      <c r="P29" s="6" t="n">
        <v>572.53</v>
      </c>
      <c r="Q29" s="6" t="n">
        <v>515.52</v>
      </c>
      <c r="R29" s="6" t="n">
        <v>563.53</v>
      </c>
      <c r="S29" s="6" t="n">
        <v>514.14</v>
      </c>
      <c r="T29" s="6" t="n">
        <v>681.66</v>
      </c>
      <c r="U29" s="6" t="n">
        <v>681.9299999999999</v>
      </c>
      <c r="V29" s="6" t="n">
        <v>808.52</v>
      </c>
      <c r="W29" s="6" t="n">
        <v>1834.59</v>
      </c>
      <c r="X29" s="6" t="n">
        <v>1028.16</v>
      </c>
      <c r="Y29" s="6" t="n">
        <v>1287.44</v>
      </c>
      <c r="Z29" s="6" t="n">
        <v>2133.95</v>
      </c>
      <c r="AA29" s="6" t="n">
        <v>2313.27</v>
      </c>
      <c r="AB29" s="6" t="n">
        <v>1817.55</v>
      </c>
      <c r="AC29" s="6" t="n">
        <v>1967.38</v>
      </c>
      <c r="AD29" s="6" t="n">
        <v>2274.85</v>
      </c>
    </row>
    <row r="30">
      <c r="A30" s="8" t="inlineStr">
        <is>
          <t>경상이익률</t>
        </is>
      </c>
      <c r="C30" s="9">
        <f>IF(OR(C29="",C4=""),"",IFERROR(C29/C4,""))</f>
        <v/>
      </c>
      <c r="D30" s="9">
        <f>IF(OR(D29="",D4=""),"",IFERROR(D29/D4,""))</f>
        <v/>
      </c>
      <c r="E30" s="9">
        <f>IF(OR(E29="",E4=""),"",IFERROR(E29/E4,""))</f>
        <v/>
      </c>
      <c r="F30" s="9">
        <f>IF(OR(F29="",F4=""),"",IFERROR(F29/F4,""))</f>
        <v/>
      </c>
      <c r="G30" s="9">
        <f>IF(OR(G29="",G4=""),"",IFERROR(G29/G4,""))</f>
        <v/>
      </c>
      <c r="H30" s="9">
        <f>IF(OR(H29="",H4=""),"",IFERROR(H29/H4,""))</f>
        <v/>
      </c>
      <c r="I30" s="9">
        <f>IF(OR(I29="",I4=""),"",IFERROR(I29/I4,""))</f>
        <v/>
      </c>
      <c r="J30" s="9">
        <f>IF(OR(J29="",J4=""),"",IFERROR(J29/J4,""))</f>
        <v/>
      </c>
      <c r="K30" s="9">
        <f>IF(OR(K29="",K4=""),"",IFERROR(K29/K4,""))</f>
        <v/>
      </c>
      <c r="L30" s="9">
        <f>IF(OR(L29="",L4=""),"",IFERROR(L29/L4,""))</f>
        <v/>
      </c>
      <c r="M30" s="9">
        <f>IF(OR(M29="",M4=""),"",IFERROR(M29/M4,""))</f>
        <v/>
      </c>
      <c r="N30" s="9">
        <f>IF(OR(N29="",N4=""),"",IFERROR(N29/N4,""))</f>
        <v/>
      </c>
      <c r="O30" s="9">
        <f>IF(OR(O29="",O4=""),"",IFERROR(O29/O4,""))</f>
        <v/>
      </c>
      <c r="P30" s="9">
        <f>IF(OR(P29="",P4=""),"",IFERROR(P29/P4,""))</f>
        <v/>
      </c>
      <c r="Q30" s="9">
        <f>IF(OR(Q29="",Q4=""),"",IFERROR(Q29/Q4,""))</f>
        <v/>
      </c>
      <c r="R30" s="9">
        <f>IF(OR(R29="",R4=""),"",IFERROR(R29/R4,""))</f>
        <v/>
      </c>
      <c r="S30" s="9">
        <f>IF(OR(S29="",S4=""),"",IFERROR(S29/S4,""))</f>
        <v/>
      </c>
      <c r="T30" s="9">
        <f>IF(OR(T29="",T4=""),"",IFERROR(T29/T4,""))</f>
        <v/>
      </c>
      <c r="U30" s="9">
        <f>IF(OR(U29="",U4=""),"",IFERROR(U29/U4,""))</f>
        <v/>
      </c>
      <c r="V30" s="9">
        <f>IF(OR(V29="",V4=""),"",IFERROR(V29/V4,""))</f>
        <v/>
      </c>
      <c r="W30" s="9">
        <f>IF(OR(W29="",W4=""),"",IFERROR(W29/W4,""))</f>
        <v/>
      </c>
      <c r="X30" s="9">
        <f>IF(OR(X29="",X4=""),"",IFERROR(X29/X4,""))</f>
        <v/>
      </c>
      <c r="Y30" s="9">
        <f>IF(OR(Y29="",Y4=""),"",IFERROR(Y29/Y4,""))</f>
        <v/>
      </c>
      <c r="Z30" s="9">
        <f>IF(OR(Z29="",Z4=""),"",IFERROR(Z29/Z4,""))</f>
        <v/>
      </c>
      <c r="AA30" s="9">
        <f>IF(OR(AA29="",AA4=""),"",IFERROR(AA29/AA4,""))</f>
        <v/>
      </c>
      <c r="AB30" s="9">
        <f>IF(OR(AB29="",AB4=""),"",IFERROR(AB29/AB4,""))</f>
        <v/>
      </c>
      <c r="AC30" s="9">
        <f>IF(OR(AC29="",AC4=""),"",IFERROR(AC29/AC4,""))</f>
        <v/>
      </c>
      <c r="AD30" s="9">
        <f>IF(OR(AD29="",AD4=""),"",IFERROR(AD29/AD4,""))</f>
        <v/>
      </c>
    </row>
    <row r="31">
      <c r="A31" s="10" t="inlineStr">
        <is>
          <t>후생연금기금 대행반환이익</t>
        </is>
      </c>
      <c r="W31" s="11" t="n">
        <v>250.81</v>
      </c>
      <c r="X31" s="11" t="n">
        <v>0</v>
      </c>
    </row>
    <row r="32">
      <c r="A32" s="10" t="inlineStr">
        <is>
          <t>특별이익 합계</t>
        </is>
      </c>
      <c r="W32" s="11" t="n">
        <v>250.81</v>
      </c>
      <c r="X32" s="11" t="n">
        <v>0</v>
      </c>
    </row>
    <row r="33">
      <c r="A33" s="10" t="inlineStr">
        <is>
          <t>해외 자회사 송금사기 손실</t>
        </is>
      </c>
      <c r="C33" s="11" t="n">
        <v>-0.01</v>
      </c>
      <c r="E33" s="11" t="n">
        <v>0</v>
      </c>
      <c r="F33" s="11" t="n">
        <v>0</v>
      </c>
      <c r="G33" s="11" t="n">
        <v>0</v>
      </c>
    </row>
    <row r="34">
      <c r="A34" s="10" t="inlineStr">
        <is>
          <t>해외 자회사 송금사기 손실</t>
        </is>
      </c>
      <c r="Y34" s="11" t="n">
        <v>0</v>
      </c>
      <c r="Z34" s="11" t="n">
        <v>4.78</v>
      </c>
      <c r="AA34" s="11" t="n">
        <v>0</v>
      </c>
    </row>
    <row r="35">
      <c r="A35" s="10" t="inlineStr">
        <is>
          <t>손상차손</t>
        </is>
      </c>
      <c r="W35" s="11" t="n">
        <v>0</v>
      </c>
      <c r="X35" s="11" t="n">
        <v>19.73</v>
      </c>
      <c r="Y35" s="11" t="n">
        <v>0</v>
      </c>
      <c r="Z35" s="11" t="n">
        <v>0</v>
      </c>
      <c r="AA35" s="11" t="n">
        <v>12.24</v>
      </c>
      <c r="AB35" s="11" t="n">
        <v>0</v>
      </c>
    </row>
    <row r="36">
      <c r="A36" s="10" t="inlineStr">
        <is>
          <t>특별손실 합계</t>
        </is>
      </c>
      <c r="C36" s="11" t="n">
        <v>-0.01</v>
      </c>
      <c r="D36" s="11" t="n">
        <v>-0.59</v>
      </c>
      <c r="E36" s="11" t="n">
        <v>0</v>
      </c>
      <c r="F36" s="11" t="n">
        <v>0</v>
      </c>
      <c r="G36" s="11" t="n">
        <v>0</v>
      </c>
      <c r="H36" s="11" t="n">
        <v>12.24</v>
      </c>
      <c r="W36" s="11" t="n">
        <v>0</v>
      </c>
      <c r="X36" s="11" t="n">
        <v>19.73</v>
      </c>
      <c r="Y36" s="11" t="n">
        <v>0</v>
      </c>
      <c r="Z36" s="11" t="n">
        <v>4.78</v>
      </c>
      <c r="AA36" s="11" t="n">
        <v>12.24</v>
      </c>
      <c r="AB36" s="11" t="n">
        <v>0</v>
      </c>
    </row>
    <row r="37">
      <c r="A37" s="10" t="inlineStr">
        <is>
          <t>법인세차감전 순이익</t>
        </is>
      </c>
      <c r="C37" s="11" t="n">
        <v>537.13</v>
      </c>
      <c r="D37" s="11" t="n">
        <v>519.2</v>
      </c>
      <c r="E37" s="11" t="n">
        <v>595.38</v>
      </c>
      <c r="F37" s="11" t="n">
        <v>560.09</v>
      </c>
      <c r="G37" s="11" t="n">
        <v>622.48</v>
      </c>
      <c r="H37" s="11" t="n">
        <v>523.08</v>
      </c>
      <c r="I37" s="11" t="n">
        <v>416.75</v>
      </c>
      <c r="J37" s="11" t="n">
        <v>444.78</v>
      </c>
      <c r="K37" s="11" t="n">
        <v>489.93</v>
      </c>
      <c r="L37" s="11" t="n">
        <v>466.09</v>
      </c>
      <c r="M37" s="11" t="n">
        <v>411.29</v>
      </c>
      <c r="N37" s="11" t="n">
        <v>536.51</v>
      </c>
      <c r="O37" s="11" t="n">
        <v>447.05</v>
      </c>
      <c r="P37" s="11" t="n">
        <v>572.53</v>
      </c>
      <c r="Q37" s="11" t="n">
        <v>515.52</v>
      </c>
      <c r="R37" s="11" t="n">
        <v>563.53</v>
      </c>
      <c r="S37" s="11" t="n">
        <v>514.14</v>
      </c>
      <c r="T37" s="11" t="n">
        <v>681.66</v>
      </c>
      <c r="U37" s="11" t="n">
        <v>681.9299999999999</v>
      </c>
      <c r="V37" s="11" t="n">
        <v>808.52</v>
      </c>
      <c r="W37" s="11" t="n">
        <v>2085.4</v>
      </c>
      <c r="X37" s="11" t="n">
        <v>1008.43</v>
      </c>
      <c r="Y37" s="11" t="n">
        <v>1287.44</v>
      </c>
      <c r="Z37" s="11" t="n">
        <v>2129.17</v>
      </c>
      <c r="AA37" s="11" t="n">
        <v>2301.03</v>
      </c>
      <c r="AB37" s="11" t="n">
        <v>1817.55</v>
      </c>
      <c r="AC37" s="11" t="n">
        <v>1967.38</v>
      </c>
      <c r="AD37" s="11" t="n">
        <v>2274.85</v>
      </c>
    </row>
    <row r="38">
      <c r="A38" s="10" t="inlineStr">
        <is>
          <t>법인세·주민세·사업세</t>
        </is>
      </c>
      <c r="C38" s="11" t="n">
        <v>105.75</v>
      </c>
      <c r="D38" s="11" t="n">
        <v>174.13</v>
      </c>
      <c r="E38" s="11" t="n">
        <v>153.08</v>
      </c>
      <c r="F38" s="11" t="n">
        <v>184.31</v>
      </c>
      <c r="G38" s="11" t="n">
        <v>190.99</v>
      </c>
      <c r="H38" s="11" t="n">
        <v>140.15</v>
      </c>
      <c r="I38" s="11" t="n">
        <v>117.49</v>
      </c>
      <c r="J38" s="11" t="n">
        <v>191.51</v>
      </c>
      <c r="K38" s="11" t="n">
        <v>66.75</v>
      </c>
      <c r="L38" s="11" t="n">
        <v>108.38</v>
      </c>
      <c r="M38" s="11" t="n">
        <v>92.75</v>
      </c>
      <c r="N38" s="11" t="n">
        <v>147.87</v>
      </c>
      <c r="O38" s="11" t="n">
        <v>114.22</v>
      </c>
      <c r="P38" s="11" t="n">
        <v>104.35</v>
      </c>
      <c r="Q38" s="11" t="n">
        <v>124.26</v>
      </c>
      <c r="R38" s="11" t="n">
        <v>167.36</v>
      </c>
      <c r="S38" s="11" t="n">
        <v>117.68</v>
      </c>
      <c r="T38" s="11" t="n">
        <v>110.29</v>
      </c>
      <c r="U38" s="11" t="n">
        <v>139.81</v>
      </c>
      <c r="V38" s="11" t="n">
        <v>190.51</v>
      </c>
      <c r="W38" s="11" t="n">
        <v>489.77</v>
      </c>
      <c r="X38" s="11" t="n">
        <v>244.5</v>
      </c>
      <c r="Y38" s="11" t="n">
        <v>323.85</v>
      </c>
      <c r="Z38" s="11" t="n">
        <v>577.21</v>
      </c>
      <c r="AA38" s="11" t="n">
        <v>668.53</v>
      </c>
      <c r="AB38" s="11" t="n">
        <v>484.13</v>
      </c>
      <c r="AC38" s="11" t="n">
        <v>459.19</v>
      </c>
      <c r="AD38" s="11" t="n">
        <v>519.59</v>
      </c>
    </row>
    <row r="39">
      <c r="A39" s="10" t="inlineStr">
        <is>
          <t>과년도 법인세</t>
        </is>
      </c>
      <c r="H39" s="11" t="n">
        <v>0</v>
      </c>
      <c r="L39" s="11" t="n">
        <v>0</v>
      </c>
      <c r="P39" s="11" t="n">
        <v>0</v>
      </c>
      <c r="AA39" s="11" t="n">
        <v>0</v>
      </c>
      <c r="AB39" s="11" t="n">
        <v>32.12</v>
      </c>
      <c r="AC39" s="11" t="n">
        <v>0</v>
      </c>
    </row>
    <row r="40">
      <c r="A40" s="10" t="inlineStr">
        <is>
          <t>법인세 조정액</t>
        </is>
      </c>
      <c r="C40" s="11" t="n">
        <v>22.51</v>
      </c>
      <c r="D40" s="11" t="n">
        <v>-27.69</v>
      </c>
      <c r="E40" s="11" t="n">
        <v>11.18</v>
      </c>
      <c r="F40" s="11" t="n">
        <v>-53.58</v>
      </c>
      <c r="G40" s="11" t="n">
        <v>-33.06</v>
      </c>
      <c r="H40" s="11" t="n">
        <v>-31.18</v>
      </c>
      <c r="I40" s="11" t="n">
        <v>-9.869999999999999</v>
      </c>
      <c r="J40" s="11" t="n">
        <v>-88.06999999999999</v>
      </c>
      <c r="K40" s="11" t="n">
        <v>40.7</v>
      </c>
      <c r="L40" s="11" t="n">
        <v>3.67</v>
      </c>
      <c r="M40" s="11" t="n">
        <v>20.74</v>
      </c>
      <c r="N40" s="11" t="n">
        <v>-31.47</v>
      </c>
      <c r="O40" s="11" t="n">
        <v>-5.41</v>
      </c>
      <c r="P40" s="11" t="n">
        <v>10.86</v>
      </c>
      <c r="Q40" s="11" t="n">
        <v>5.13</v>
      </c>
      <c r="R40" s="11" t="n">
        <v>-31.22</v>
      </c>
      <c r="S40" s="11" t="n">
        <v>20.44</v>
      </c>
      <c r="T40" s="11" t="n">
        <v>66.94</v>
      </c>
      <c r="U40" s="11" t="n">
        <v>23.03</v>
      </c>
      <c r="V40" s="11" t="n">
        <v>-10.29</v>
      </c>
      <c r="W40" s="11" t="n">
        <v>47.94</v>
      </c>
      <c r="X40" s="11" t="n">
        <v>17.76</v>
      </c>
      <c r="Y40" s="11" t="n">
        <v>1.01</v>
      </c>
      <c r="Z40" s="11" t="n">
        <v>-32.94</v>
      </c>
      <c r="AA40" s="11" t="n">
        <v>-106.64</v>
      </c>
      <c r="AB40" s="11" t="n">
        <v>-53.57</v>
      </c>
      <c r="AC40" s="11" t="n">
        <v>-5.28</v>
      </c>
      <c r="AD40" s="11" t="n">
        <v>61.29</v>
      </c>
    </row>
    <row r="41">
      <c r="A41" s="10" t="inlineStr">
        <is>
          <t>법인세 등 합계</t>
        </is>
      </c>
      <c r="C41" s="11" t="n">
        <v>128.26</v>
      </c>
      <c r="D41" s="11" t="n">
        <v>146.44</v>
      </c>
      <c r="E41" s="11" t="n">
        <v>164.26</v>
      </c>
      <c r="F41" s="11" t="n">
        <v>130.73</v>
      </c>
      <c r="G41" s="11" t="n">
        <v>157.93</v>
      </c>
      <c r="H41" s="11" t="n">
        <v>108.97</v>
      </c>
      <c r="I41" s="11" t="n">
        <v>107.62</v>
      </c>
      <c r="J41" s="11" t="n">
        <v>103.44</v>
      </c>
      <c r="K41" s="11" t="n">
        <v>139.57</v>
      </c>
      <c r="L41" s="11" t="n">
        <v>112.05</v>
      </c>
      <c r="M41" s="11" t="n">
        <v>113.49</v>
      </c>
      <c r="N41" s="11" t="n">
        <v>116.4</v>
      </c>
      <c r="O41" s="11" t="n">
        <v>108.81</v>
      </c>
      <c r="P41" s="11" t="n">
        <v>115.21</v>
      </c>
      <c r="Q41" s="11" t="n">
        <v>129.39</v>
      </c>
      <c r="R41" s="11" t="n">
        <v>136.14</v>
      </c>
      <c r="S41" s="11" t="n">
        <v>138.12</v>
      </c>
      <c r="T41" s="11" t="n">
        <v>177.23</v>
      </c>
      <c r="U41" s="11" t="n">
        <v>162.84</v>
      </c>
      <c r="V41" s="11" t="n">
        <v>180.22</v>
      </c>
      <c r="W41" s="11" t="n">
        <v>537.71</v>
      </c>
      <c r="X41" s="11" t="n">
        <v>262.26</v>
      </c>
      <c r="Y41" s="11" t="n">
        <v>324.86</v>
      </c>
      <c r="Z41" s="11" t="n">
        <v>544.27</v>
      </c>
      <c r="AA41" s="11" t="n">
        <v>561.89</v>
      </c>
      <c r="AB41" s="11" t="n">
        <v>462.68</v>
      </c>
      <c r="AC41" s="11" t="n">
        <v>453.91</v>
      </c>
      <c r="AD41" s="11" t="n">
        <v>580.88</v>
      </c>
    </row>
    <row r="42">
      <c r="A42" s="5" t="inlineStr">
        <is>
          <t>순이익</t>
        </is>
      </c>
      <c r="C42" s="6" t="n">
        <v>408.87</v>
      </c>
      <c r="D42" s="6" t="n">
        <v>372.76</v>
      </c>
      <c r="E42" s="6" t="n">
        <v>431.12</v>
      </c>
      <c r="F42" s="6" t="n">
        <v>429.36</v>
      </c>
      <c r="G42" s="6" t="n">
        <v>464.55</v>
      </c>
      <c r="H42" s="6" t="n">
        <v>414.11</v>
      </c>
      <c r="I42" s="6" t="n">
        <v>309.13</v>
      </c>
      <c r="J42" s="6" t="n">
        <v>341.34</v>
      </c>
      <c r="K42" s="6" t="n">
        <v>350.36</v>
      </c>
      <c r="L42" s="6" t="n">
        <v>354.04</v>
      </c>
      <c r="M42" s="6" t="n">
        <v>297.8</v>
      </c>
      <c r="N42" s="6" t="n">
        <v>420.11</v>
      </c>
      <c r="O42" s="6" t="n">
        <v>338.24</v>
      </c>
      <c r="P42" s="6" t="n">
        <v>457.32</v>
      </c>
      <c r="Q42" s="6" t="n">
        <v>386.13</v>
      </c>
      <c r="R42" s="6" t="n">
        <v>427.39</v>
      </c>
      <c r="S42" s="6" t="n">
        <v>376.02</v>
      </c>
      <c r="T42" s="6" t="n">
        <v>504.43</v>
      </c>
      <c r="U42" s="6" t="n">
        <v>519.09</v>
      </c>
      <c r="V42" s="6" t="n">
        <v>628.3</v>
      </c>
      <c r="W42" s="6" t="n">
        <v>1547.69</v>
      </c>
      <c r="X42" s="6" t="n">
        <v>746.17</v>
      </c>
      <c r="Y42" s="6" t="n">
        <v>962.58</v>
      </c>
      <c r="Z42" s="6" t="n">
        <v>1584.9</v>
      </c>
      <c r="AA42" s="6" t="n">
        <v>1739.14</v>
      </c>
      <c r="AB42" s="6" t="n">
        <v>1354.87</v>
      </c>
      <c r="AC42" s="6" t="n">
        <v>1513.47</v>
      </c>
      <c r="AD42" s="6" t="n">
        <v>1693.97</v>
      </c>
    </row>
    <row r="43">
      <c r="A43" s="5" t="inlineStr">
        <is>
          <t>비지배주주 순이익</t>
        </is>
      </c>
      <c r="C43" s="6" t="n">
        <v>7.64</v>
      </c>
      <c r="D43" s="6" t="n">
        <v>7.75</v>
      </c>
      <c r="E43" s="6" t="n">
        <v>9.9</v>
      </c>
      <c r="F43" s="6" t="n">
        <v>8.44</v>
      </c>
      <c r="G43" s="6" t="n">
        <v>8.619999999999999</v>
      </c>
      <c r="H43" s="6" t="n">
        <v>6.31</v>
      </c>
      <c r="I43" s="6" t="n">
        <v>5.89</v>
      </c>
      <c r="J43" s="6" t="n">
        <v>5.21</v>
      </c>
      <c r="K43" s="6" t="n">
        <v>6.33</v>
      </c>
      <c r="L43" s="6" t="n">
        <v>5.85</v>
      </c>
      <c r="M43" s="6" t="n">
        <v>9.77</v>
      </c>
      <c r="N43" s="6" t="n">
        <v>8.92</v>
      </c>
      <c r="O43" s="6" t="n">
        <v>9.619999999999999</v>
      </c>
      <c r="P43" s="6" t="n">
        <v>9.59</v>
      </c>
      <c r="Q43" s="6" t="n">
        <v>7.69</v>
      </c>
      <c r="R43" s="6" t="n">
        <v>7.63</v>
      </c>
      <c r="S43" s="6" t="n">
        <v>5.6</v>
      </c>
      <c r="T43" s="6" t="n">
        <v>7.62</v>
      </c>
      <c r="U43" s="6" t="n">
        <v>9.279999999999999</v>
      </c>
      <c r="V43" s="6" t="n">
        <v>12.35</v>
      </c>
      <c r="W43" s="6" t="n">
        <v>6.06</v>
      </c>
      <c r="X43" s="6" t="n">
        <v>12.46</v>
      </c>
      <c r="Y43" s="6" t="n">
        <v>22.46</v>
      </c>
      <c r="Z43" s="6" t="n">
        <v>32.17</v>
      </c>
      <c r="AA43" s="6" t="n">
        <v>33.27</v>
      </c>
      <c r="AB43" s="6" t="n">
        <v>23.28</v>
      </c>
      <c r="AC43" s="6" t="n">
        <v>37.9</v>
      </c>
      <c r="AD43" s="6" t="n">
        <v>28.54</v>
      </c>
    </row>
    <row r="44">
      <c r="A44" s="5" t="inlineStr">
        <is>
          <t>지배주주 순이익</t>
        </is>
      </c>
      <c r="C44" s="6" t="n">
        <v>401.23</v>
      </c>
      <c r="D44" s="6" t="n">
        <v>365.01</v>
      </c>
      <c r="E44" s="6" t="n">
        <v>421.22</v>
      </c>
      <c r="F44" s="6" t="n">
        <v>420.92</v>
      </c>
      <c r="G44" s="6" t="n">
        <v>455.93</v>
      </c>
      <c r="H44" s="6" t="n">
        <v>407.8</v>
      </c>
      <c r="I44" s="6" t="n">
        <v>303.24</v>
      </c>
      <c r="J44" s="6" t="n">
        <v>336.13</v>
      </c>
      <c r="K44" s="6" t="n">
        <v>344.03</v>
      </c>
      <c r="L44" s="6" t="n">
        <v>348.19</v>
      </c>
      <c r="M44" s="6" t="n">
        <v>288.03</v>
      </c>
      <c r="N44" s="6" t="n">
        <v>411.19</v>
      </c>
      <c r="O44" s="6" t="n">
        <v>328.62</v>
      </c>
      <c r="P44" s="6" t="n">
        <v>447.73</v>
      </c>
      <c r="Q44" s="6" t="n">
        <v>378.44</v>
      </c>
      <c r="R44" s="6" t="n">
        <v>419.76</v>
      </c>
      <c r="S44" s="6" t="n">
        <v>370.42</v>
      </c>
      <c r="T44" s="6" t="n">
        <v>496.81</v>
      </c>
      <c r="U44" s="6" t="n">
        <v>509.81</v>
      </c>
      <c r="V44" s="6" t="n">
        <v>615.95</v>
      </c>
      <c r="W44" s="6" t="n">
        <v>1541.63</v>
      </c>
      <c r="X44" s="6" t="n">
        <v>733.71</v>
      </c>
      <c r="Y44" s="6" t="n">
        <v>940.12</v>
      </c>
      <c r="Z44" s="6" t="n">
        <v>1552.73</v>
      </c>
      <c r="AA44" s="6" t="n">
        <v>1705.87</v>
      </c>
      <c r="AB44" s="6" t="n">
        <v>1331.59</v>
      </c>
      <c r="AC44" s="6" t="n">
        <v>1475.57</v>
      </c>
      <c r="AD44" s="6" t="n">
        <v>1665.43</v>
      </c>
    </row>
    <row r="45">
      <c r="A45" s="8" t="inlineStr">
        <is>
          <t>순이익률</t>
        </is>
      </c>
      <c r="C45" s="9">
        <f>IF(OR(C44="",C4=""),"",IFERROR(C44/C4,""))</f>
        <v/>
      </c>
      <c r="D45" s="9">
        <f>IF(OR(D44="",D4=""),"",IFERROR(D44/D4,""))</f>
        <v/>
      </c>
      <c r="E45" s="9">
        <f>IF(OR(E44="",E4=""),"",IFERROR(E44/E4,""))</f>
        <v/>
      </c>
      <c r="F45" s="9">
        <f>IF(OR(F44="",F4=""),"",IFERROR(F44/F4,""))</f>
        <v/>
      </c>
      <c r="G45" s="9">
        <f>IF(OR(G44="",G4=""),"",IFERROR(G44/G4,""))</f>
        <v/>
      </c>
      <c r="H45" s="9">
        <f>IF(OR(H44="",H4=""),"",IFERROR(H44/H4,""))</f>
        <v/>
      </c>
      <c r="I45" s="9">
        <f>IF(OR(I44="",I4=""),"",IFERROR(I44/I4,""))</f>
        <v/>
      </c>
      <c r="J45" s="9">
        <f>IF(OR(J44="",J4=""),"",IFERROR(J44/J4,""))</f>
        <v/>
      </c>
      <c r="K45" s="9">
        <f>IF(OR(K44="",K4=""),"",IFERROR(K44/K4,""))</f>
        <v/>
      </c>
      <c r="L45" s="9">
        <f>IF(OR(L44="",L4=""),"",IFERROR(L44/L4,""))</f>
        <v/>
      </c>
      <c r="M45" s="9">
        <f>IF(OR(M44="",M4=""),"",IFERROR(M44/M4,""))</f>
        <v/>
      </c>
      <c r="N45" s="9">
        <f>IF(OR(N44="",N4=""),"",IFERROR(N44/N4,""))</f>
        <v/>
      </c>
      <c r="O45" s="9">
        <f>IF(OR(O44="",O4=""),"",IFERROR(O44/O4,""))</f>
        <v/>
      </c>
      <c r="P45" s="9">
        <f>IF(OR(P44="",P4=""),"",IFERROR(P44/P4,""))</f>
        <v/>
      </c>
      <c r="Q45" s="9">
        <f>IF(OR(Q44="",Q4=""),"",IFERROR(Q44/Q4,""))</f>
        <v/>
      </c>
      <c r="R45" s="9">
        <f>IF(OR(R44="",R4=""),"",IFERROR(R44/R4,""))</f>
        <v/>
      </c>
      <c r="S45" s="9">
        <f>IF(OR(S44="",S4=""),"",IFERROR(S44/S4,""))</f>
        <v/>
      </c>
      <c r="T45" s="9">
        <f>IF(OR(T44="",T4=""),"",IFERROR(T44/T4,""))</f>
        <v/>
      </c>
      <c r="U45" s="9">
        <f>IF(OR(U44="",U4=""),"",IFERROR(U44/U4,""))</f>
        <v/>
      </c>
      <c r="V45" s="9">
        <f>IF(OR(V44="",V4=""),"",IFERROR(V44/V4,""))</f>
        <v/>
      </c>
      <c r="W45" s="9">
        <f>IF(OR(W44="",W4=""),"",IFERROR(W44/W4,""))</f>
        <v/>
      </c>
      <c r="X45" s="9">
        <f>IF(OR(X44="",X4=""),"",IFERROR(X44/X4,""))</f>
        <v/>
      </c>
      <c r="Y45" s="9">
        <f>IF(OR(Y44="",Y4=""),"",IFERROR(Y44/Y4,""))</f>
        <v/>
      </c>
      <c r="Z45" s="9">
        <f>IF(OR(Z44="",Z4=""),"",IFERROR(Z44/Z4,""))</f>
        <v/>
      </c>
      <c r="AA45" s="9">
        <f>IF(OR(AA44="",AA4=""),"",IFERROR(AA44/AA4,""))</f>
        <v/>
      </c>
      <c r="AB45" s="9">
        <f>IF(OR(AB44="",AB4=""),"",IFERROR(AB44/AB4,""))</f>
        <v/>
      </c>
      <c r="AC45" s="9">
        <f>IF(OR(AC44="",AC4=""),"",IFERROR(AC44/AC4,""))</f>
        <v/>
      </c>
      <c r="AD45" s="9">
        <f>IF(OR(AD44="",AD4=""),"",IFERROR(AD44/AD4,""))</f>
        <v/>
      </c>
    </row>
    <row r="46">
      <c r="A46" s="8" t="inlineStr">
        <is>
          <t>YoY</t>
        </is>
      </c>
      <c r="G46" s="9">
        <f>IF(OR(G44="",C44=""),"",IFERROR(G44/C44-1,""))</f>
        <v/>
      </c>
      <c r="H46" s="9">
        <f>IF(OR(H44="",D44=""),"",IFERROR(H44/D44-1,""))</f>
        <v/>
      </c>
      <c r="I46" s="9">
        <f>IF(OR(I44="",E44=""),"",IFERROR(I44/E44-1,""))</f>
        <v/>
      </c>
      <c r="J46" s="9">
        <f>IF(OR(J44="",F44=""),"",IFERROR(J44/F44-1,""))</f>
        <v/>
      </c>
      <c r="K46" s="9">
        <f>IF(OR(K44="",G44=""),"",IFERROR(K44/G44-1,""))</f>
        <v/>
      </c>
      <c r="L46" s="9">
        <f>IF(OR(L44="",H44=""),"",IFERROR(L44/H44-1,""))</f>
        <v/>
      </c>
      <c r="M46" s="9">
        <f>IF(OR(M44="",I44=""),"",IFERROR(M44/I44-1,""))</f>
        <v/>
      </c>
      <c r="N46" s="9">
        <f>IF(OR(N44="",J44=""),"",IFERROR(N44/J44-1,""))</f>
        <v/>
      </c>
      <c r="O46" s="9">
        <f>IF(OR(O44="",K44=""),"",IFERROR(O44/K44-1,""))</f>
        <v/>
      </c>
      <c r="P46" s="9">
        <f>IF(OR(P44="",L44=""),"",IFERROR(P44/L44-1,""))</f>
        <v/>
      </c>
      <c r="Q46" s="9">
        <f>IF(OR(Q44="",M44=""),"",IFERROR(Q44/M44-1,""))</f>
        <v/>
      </c>
      <c r="R46" s="9">
        <f>IF(OR(R44="",N44=""),"",IFERROR(R44/N44-1,""))</f>
        <v/>
      </c>
      <c r="S46" s="9">
        <f>IF(OR(S44="",O44=""),"",IFERROR(S44/O44-1,""))</f>
        <v/>
      </c>
      <c r="T46" s="9">
        <f>IF(OR(T44="",P44=""),"",IFERROR(T44/P44-1,""))</f>
        <v/>
      </c>
      <c r="U46" s="9">
        <f>IF(OR(U44="",Q44=""),"",IFERROR(U44/Q44-1,""))</f>
        <v/>
      </c>
      <c r="V46" s="9">
        <f>IF(OR(V44="",R44=""),"",IFERROR(V44/R44-1,""))</f>
        <v/>
      </c>
      <c r="X46" s="9">
        <f>IF(OR(X44="",W44=""),"",IFERROR(X44/W44-1,""))</f>
        <v/>
      </c>
      <c r="Y46" s="9">
        <f>IF(OR(Y44="",X44=""),"",IFERROR(Y44/X44-1,""))</f>
        <v/>
      </c>
      <c r="Z46" s="9">
        <f>IF(OR(Z44="",Y44=""),"",IFERROR(Z44/Y44-1,""))</f>
        <v/>
      </c>
      <c r="AA46" s="9">
        <f>IF(OR(AA44="",Z44=""),"",IFERROR(AA44/Z44-1,""))</f>
        <v/>
      </c>
      <c r="AB46" s="9">
        <f>IF(OR(AB44="",AA44=""),"",IFERROR(AB44/AA44-1,""))</f>
        <v/>
      </c>
      <c r="AC46" s="9">
        <f>IF(OR(AC44="",AB44=""),"",IFERROR(AC44/AB44-1,""))</f>
        <v/>
      </c>
      <c r="AD46" s="9">
        <f>IF(OR(AD44="",AC44=""),"",IFERROR(AD44/AC44-1,""))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12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40" customWidth="1" min="31" max="31"/>
  </cols>
  <sheetData>
    <row r="1">
      <c r="A1" s="1" t="inlineStr">
        <is>
          <t>화낙 포괄손익</t>
        </is>
      </c>
    </row>
    <row r="2">
      <c r="A2" s="2" t="inlineStr">
        <is>
          <t>결산기 기준(27.2Q = 2027년 결산기 2분기) · 3월 결산 · 연결 · 분기 단독(누계 차분)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22.3Q</t>
        </is>
      </c>
      <c r="D3" s="4" t="inlineStr">
        <is>
          <t>22.4Q</t>
        </is>
      </c>
      <c r="E3" s="4" t="inlineStr">
        <is>
          <t>23.1Q</t>
        </is>
      </c>
      <c r="F3" s="4" t="inlineStr">
        <is>
          <t>23.2Q</t>
        </is>
      </c>
      <c r="G3" s="4" t="inlineStr">
        <is>
          <t>23.3Q</t>
        </is>
      </c>
      <c r="H3" s="4" t="inlineStr">
        <is>
          <t>23.4Q</t>
        </is>
      </c>
      <c r="I3" s="4" t="inlineStr">
        <is>
          <t>24.1Q</t>
        </is>
      </c>
      <c r="J3" s="4" t="inlineStr">
        <is>
          <t>24.2Q</t>
        </is>
      </c>
      <c r="K3" s="4" t="inlineStr">
        <is>
          <t>24.3Q</t>
        </is>
      </c>
      <c r="L3" s="4" t="inlineStr">
        <is>
          <t>24.4Q</t>
        </is>
      </c>
      <c r="M3" s="4" t="inlineStr">
        <is>
          <t>25.1Q</t>
        </is>
      </c>
      <c r="N3" s="4" t="inlineStr">
        <is>
          <t>25.2Q</t>
        </is>
      </c>
      <c r="O3" s="4" t="inlineStr">
        <is>
          <t>25.3Q</t>
        </is>
      </c>
      <c r="P3" s="4" t="inlineStr">
        <is>
          <t>25.4Q</t>
        </is>
      </c>
      <c r="Q3" s="4" t="inlineStr">
        <is>
          <t>26.1Q</t>
        </is>
      </c>
      <c r="R3" s="4" t="inlineStr">
        <is>
          <t>26.2Q</t>
        </is>
      </c>
      <c r="S3" s="4" t="inlineStr">
        <is>
          <t>26.3Q</t>
        </is>
      </c>
      <c r="T3" s="4" t="inlineStr">
        <is>
          <t>26.4Q</t>
        </is>
      </c>
      <c r="U3" s="4" t="inlineStr">
        <is>
          <t>27.1Q</t>
        </is>
      </c>
      <c r="V3" s="4" t="inlineStr">
        <is>
          <t>27.2Q</t>
        </is>
      </c>
      <c r="W3" s="4" t="inlineStr">
        <is>
          <t>FY19</t>
        </is>
      </c>
      <c r="X3" s="4" t="inlineStr">
        <is>
          <t>FY20</t>
        </is>
      </c>
      <c r="Y3" s="4" t="inlineStr">
        <is>
          <t>FY21</t>
        </is>
      </c>
      <c r="Z3" s="4" t="inlineStr">
        <is>
          <t>FY22</t>
        </is>
      </c>
      <c r="AA3" s="4" t="inlineStr">
        <is>
          <t>FY23</t>
        </is>
      </c>
      <c r="AB3" s="4" t="inlineStr">
        <is>
          <t>FY24</t>
        </is>
      </c>
      <c r="AC3" s="4" t="inlineStr">
        <is>
          <t>FY25</t>
        </is>
      </c>
      <c r="AD3" s="4" t="inlineStr">
        <is>
          <t>FY26</t>
        </is>
      </c>
      <c r="AE3" s="4" t="inlineStr">
        <is>
          <t>출처</t>
        </is>
      </c>
    </row>
    <row r="4">
      <c r="A4" s="5" t="inlineStr">
        <is>
          <t>순이익</t>
        </is>
      </c>
      <c r="C4" s="6" t="n">
        <v>408.87</v>
      </c>
      <c r="D4" s="6" t="n">
        <v>372.76</v>
      </c>
      <c r="E4" s="6" t="n">
        <v>431.12</v>
      </c>
      <c r="F4" s="6" t="n">
        <v>429.36</v>
      </c>
      <c r="G4" s="6" t="n">
        <v>464.55</v>
      </c>
      <c r="H4" s="6" t="n">
        <v>414.11</v>
      </c>
      <c r="I4" s="6" t="n">
        <v>309.13</v>
      </c>
      <c r="J4" s="6" t="n">
        <v>341.34</v>
      </c>
      <c r="K4" s="6" t="n">
        <v>350.36</v>
      </c>
      <c r="L4" s="6" t="n">
        <v>354.04</v>
      </c>
      <c r="M4" s="6" t="n">
        <v>297.8</v>
      </c>
      <c r="N4" s="6" t="n">
        <v>420.11</v>
      </c>
      <c r="O4" s="6" t="n">
        <v>338.24</v>
      </c>
      <c r="P4" s="6" t="n">
        <v>457.32</v>
      </c>
      <c r="Q4" s="6" t="n">
        <v>386.13</v>
      </c>
      <c r="R4" s="6" t="n">
        <v>427.39</v>
      </c>
      <c r="S4" s="6" t="n">
        <v>376.02</v>
      </c>
      <c r="T4" s="6" t="n">
        <v>504.43</v>
      </c>
      <c r="U4" s="6" t="n">
        <v>519.09</v>
      </c>
      <c r="V4" s="6" t="n">
        <v>628.3</v>
      </c>
      <c r="W4" s="6" t="n">
        <v>1547.69</v>
      </c>
      <c r="X4" s="6" t="n">
        <v>746.17</v>
      </c>
      <c r="Y4" s="6" t="n">
        <v>962.58</v>
      </c>
      <c r="Z4" s="6" t="n">
        <v>1584.9</v>
      </c>
      <c r="AA4" s="6" t="n">
        <v>1739.14</v>
      </c>
      <c r="AB4" s="6" t="n">
        <v>1354.87</v>
      </c>
      <c r="AC4" s="6" t="n">
        <v>1513.47</v>
      </c>
      <c r="AD4" s="6" t="n">
        <v>1693.97</v>
      </c>
      <c r="AE4" s="7" t="inlineStr">
        <is>
          <t>결산단신 XBRL(거래소 공시, TDnet·JPX 보관소). 쓴 문서: 2026-10-23, 2026-07-31, 2026-04-24, 2026-01-26 외 26건 — '출처' 시트에 전부</t>
        </is>
      </c>
    </row>
    <row r="5">
      <c r="A5" s="10" t="inlineStr">
        <is>
          <t>기타유가증권 평가차액</t>
        </is>
      </c>
      <c r="C5" s="11" t="n">
        <v>-1.27</v>
      </c>
      <c r="D5" s="11" t="n">
        <v>-9.210000000000001</v>
      </c>
      <c r="E5" s="11" t="n">
        <v>-12.06</v>
      </c>
      <c r="F5" s="11" t="n">
        <v>-12.61</v>
      </c>
      <c r="G5" s="11" t="n">
        <v>4.87</v>
      </c>
      <c r="H5" s="11" t="n">
        <v>4.94</v>
      </c>
      <c r="I5" s="11" t="n">
        <v>22.91</v>
      </c>
      <c r="J5" s="11" t="n">
        <v>-0.26</v>
      </c>
      <c r="K5" s="11" t="n">
        <v>-12.85</v>
      </c>
      <c r="L5" s="11" t="n">
        <v>70.42</v>
      </c>
      <c r="M5" s="11" t="n">
        <v>-12.27</v>
      </c>
      <c r="N5" s="11" t="n">
        <v>-21.25</v>
      </c>
      <c r="O5" s="11" t="n">
        <v>12.94</v>
      </c>
      <c r="P5" s="11" t="n">
        <v>-48.88</v>
      </c>
      <c r="Q5" s="11" t="n">
        <v>11.34</v>
      </c>
      <c r="R5" s="11" t="n">
        <v>94.02</v>
      </c>
      <c r="S5" s="11" t="n">
        <v>52.28</v>
      </c>
      <c r="T5" s="11" t="n">
        <v>-17.42</v>
      </c>
      <c r="U5" s="11" t="n">
        <v>141.28</v>
      </c>
      <c r="V5" s="11" t="n">
        <v>-30.39</v>
      </c>
      <c r="W5" s="11" t="n">
        <v>-39.79</v>
      </c>
      <c r="X5" s="11" t="n">
        <v>-40.53</v>
      </c>
      <c r="Y5" s="11" t="n">
        <v>118.52</v>
      </c>
      <c r="Z5" s="11" t="n">
        <v>-17.06</v>
      </c>
      <c r="AA5" s="11" t="n">
        <v>-14.86</v>
      </c>
      <c r="AB5" s="11" t="n">
        <v>80.22</v>
      </c>
      <c r="AC5" s="11" t="n">
        <v>-69.45999999999999</v>
      </c>
      <c r="AD5" s="11" t="n">
        <v>140.22</v>
      </c>
    </row>
    <row r="6">
      <c r="A6" s="10" t="inlineStr">
        <is>
          <t>해외사업환산조정</t>
        </is>
      </c>
      <c r="C6" s="11" t="n">
        <v>90.20999999999999</v>
      </c>
      <c r="D6" s="11" t="n">
        <v>221.48</v>
      </c>
      <c r="E6" s="11" t="n">
        <v>352.75</v>
      </c>
      <c r="F6" s="11" t="n">
        <v>64.31</v>
      </c>
      <c r="G6" s="11" t="n">
        <v>-204.33</v>
      </c>
      <c r="H6" s="11" t="n">
        <v>50.04</v>
      </c>
      <c r="I6" s="11" t="n">
        <v>359.55</v>
      </c>
      <c r="J6" s="11" t="n">
        <v>89.53</v>
      </c>
      <c r="K6" s="11" t="n">
        <v>-145.03</v>
      </c>
      <c r="L6" s="11" t="n">
        <v>251.23</v>
      </c>
      <c r="M6" s="11" t="n">
        <v>309.83</v>
      </c>
      <c r="N6" s="11" t="n">
        <v>-547</v>
      </c>
      <c r="O6" s="11" t="n">
        <v>335.13</v>
      </c>
      <c r="P6" s="11" t="n">
        <v>-240.74</v>
      </c>
      <c r="Q6" s="11" t="n">
        <v>33.86</v>
      </c>
      <c r="R6" s="11" t="n">
        <v>108.91</v>
      </c>
      <c r="S6" s="11" t="n">
        <v>264.17</v>
      </c>
      <c r="T6" s="11" t="n">
        <v>27.55</v>
      </c>
      <c r="U6" s="11" t="n">
        <v>85.23999999999999</v>
      </c>
      <c r="V6" s="11" t="n">
        <v>-124.77</v>
      </c>
      <c r="W6" s="11" t="n">
        <v>-19.46</v>
      </c>
      <c r="X6" s="11" t="n">
        <v>-186.34</v>
      </c>
      <c r="Y6" s="11" t="n">
        <v>220.72</v>
      </c>
      <c r="Z6" s="11" t="n">
        <v>309.69</v>
      </c>
      <c r="AA6" s="11" t="n">
        <v>262.77</v>
      </c>
      <c r="AB6" s="11" t="n">
        <v>555.28</v>
      </c>
      <c r="AC6" s="11" t="n">
        <v>-142.78</v>
      </c>
      <c r="AD6" s="11" t="n">
        <v>434.49</v>
      </c>
    </row>
    <row r="7">
      <c r="A7" s="10" t="inlineStr">
        <is>
          <t>퇴직급여 조정액</t>
        </is>
      </c>
      <c r="C7" s="11" t="n">
        <v>4.9</v>
      </c>
      <c r="D7" s="11" t="n">
        <v>6.6</v>
      </c>
      <c r="E7" s="11" t="n">
        <v>-0.06</v>
      </c>
      <c r="F7" s="11" t="n">
        <v>2.98</v>
      </c>
      <c r="G7" s="11" t="n">
        <v>12.19</v>
      </c>
      <c r="H7" s="11" t="n">
        <v>-23.38</v>
      </c>
      <c r="I7" s="11" t="n">
        <v>7.79</v>
      </c>
      <c r="J7" s="11" t="n">
        <v>5.2</v>
      </c>
      <c r="K7" s="11" t="n">
        <v>11.61</v>
      </c>
      <c r="L7" s="11" t="n">
        <v>87.81999999999999</v>
      </c>
      <c r="M7" s="11" t="n">
        <v>-0.97</v>
      </c>
      <c r="N7" s="11" t="n">
        <v>15.38</v>
      </c>
      <c r="O7" s="11" t="n">
        <v>-4.26</v>
      </c>
      <c r="P7" s="11" t="n">
        <v>96.7</v>
      </c>
      <c r="Q7" s="11" t="n">
        <v>4.27</v>
      </c>
      <c r="R7" s="11" t="n">
        <v>-0.17</v>
      </c>
      <c r="S7" s="11" t="n">
        <v>-1.83</v>
      </c>
      <c r="T7" s="11" t="n">
        <v>87.7</v>
      </c>
      <c r="U7" s="11" t="n">
        <v>-4.97</v>
      </c>
      <c r="V7" s="11" t="n">
        <v>-1.36</v>
      </c>
      <c r="W7" s="11" t="n">
        <v>47.8</v>
      </c>
      <c r="X7" s="11" t="n">
        <v>74.08</v>
      </c>
      <c r="Y7" s="11" t="n">
        <v>-66.72</v>
      </c>
      <c r="Z7" s="11" t="n">
        <v>24.14</v>
      </c>
      <c r="AA7" s="11" t="n">
        <v>-8.27</v>
      </c>
      <c r="AB7" s="11" t="n">
        <v>112.42</v>
      </c>
      <c r="AC7" s="11" t="n">
        <v>106.85</v>
      </c>
      <c r="AD7" s="11" t="n">
        <v>89.97</v>
      </c>
    </row>
    <row r="8">
      <c r="A8" s="10" t="inlineStr">
        <is>
          <t>지분법 적용회사 지분 해당액</t>
        </is>
      </c>
      <c r="C8" s="11" t="n">
        <v>7.62</v>
      </c>
      <c r="D8" s="11" t="n">
        <v>42.02</v>
      </c>
      <c r="E8" s="11" t="n">
        <v>75.68000000000001</v>
      </c>
      <c r="F8" s="11" t="n">
        <v>62.56</v>
      </c>
      <c r="G8" s="11" t="n">
        <v>-3.13</v>
      </c>
      <c r="H8" s="11" t="n">
        <v>-77.48999999999999</v>
      </c>
      <c r="I8" s="11" t="n">
        <v>20.66</v>
      </c>
      <c r="J8" s="11" t="n">
        <v>38.99</v>
      </c>
      <c r="K8" s="11" t="n">
        <v>46.96</v>
      </c>
      <c r="L8" s="11" t="n">
        <v>-52.31</v>
      </c>
      <c r="M8" s="11" t="n">
        <v>98.97</v>
      </c>
      <c r="N8" s="11" t="n">
        <v>73.98999999999999</v>
      </c>
      <c r="O8" s="11" t="n">
        <v>-132.58</v>
      </c>
      <c r="P8" s="11" t="n">
        <v>97.94</v>
      </c>
      <c r="Q8" s="11" t="n">
        <v>-86.34</v>
      </c>
      <c r="R8" s="11" t="n">
        <v>-33.61</v>
      </c>
      <c r="S8" s="11" t="n">
        <v>51.75</v>
      </c>
      <c r="T8" s="11" t="n">
        <v>104.87</v>
      </c>
      <c r="U8" s="11" t="n">
        <v>69.79000000000001</v>
      </c>
      <c r="V8" s="11" t="n">
        <v>48.26</v>
      </c>
      <c r="W8" s="11" t="n">
        <v>-42.67</v>
      </c>
      <c r="X8" s="11" t="n">
        <v>-19.61</v>
      </c>
      <c r="Y8" s="11" t="n">
        <v>5.69</v>
      </c>
      <c r="Z8" s="11" t="n">
        <v>110.9</v>
      </c>
      <c r="AA8" s="11" t="n">
        <v>57.62</v>
      </c>
      <c r="AB8" s="11" t="n">
        <v>54.3</v>
      </c>
      <c r="AC8" s="11" t="n">
        <v>138.32</v>
      </c>
      <c r="AD8" s="11" t="n">
        <v>36.67</v>
      </c>
    </row>
    <row r="9">
      <c r="A9" s="10" t="inlineStr">
        <is>
          <t>기타포괄손익 합계</t>
        </is>
      </c>
      <c r="C9" s="11" t="n">
        <v>101.46</v>
      </c>
      <c r="D9" s="11" t="n">
        <v>260.89</v>
      </c>
      <c r="E9" s="11" t="n">
        <v>416.31</v>
      </c>
      <c r="F9" s="11" t="n">
        <v>117.24</v>
      </c>
      <c r="G9" s="11" t="n">
        <v>-190.4</v>
      </c>
      <c r="H9" s="11" t="n">
        <v>-45.89</v>
      </c>
      <c r="I9" s="11" t="n">
        <v>410.91</v>
      </c>
      <c r="J9" s="11" t="n">
        <v>133.46</v>
      </c>
      <c r="K9" s="11" t="n">
        <v>-99.31</v>
      </c>
      <c r="L9" s="11" t="n">
        <v>357.16</v>
      </c>
      <c r="M9" s="11" t="n">
        <v>395.56</v>
      </c>
      <c r="N9" s="11" t="n">
        <v>-478.88</v>
      </c>
      <c r="O9" s="11" t="n">
        <v>211.23</v>
      </c>
      <c r="P9" s="11" t="n">
        <v>-94.98</v>
      </c>
      <c r="Q9" s="11" t="n">
        <v>-36.87</v>
      </c>
      <c r="R9" s="11" t="n">
        <v>169.15</v>
      </c>
      <c r="S9" s="11" t="n">
        <v>366.37</v>
      </c>
      <c r="T9" s="11" t="n">
        <v>202.7</v>
      </c>
      <c r="U9" s="11" t="n">
        <v>291.34</v>
      </c>
      <c r="V9" s="11" t="n">
        <v>-108.26</v>
      </c>
      <c r="W9" s="11" t="n">
        <v>-54.12</v>
      </c>
      <c r="X9" s="11" t="n">
        <v>-172.4</v>
      </c>
      <c r="Y9" s="11" t="n">
        <v>278.21</v>
      </c>
      <c r="Z9" s="11" t="n">
        <v>427.67</v>
      </c>
      <c r="AA9" s="11" t="n">
        <v>297.26</v>
      </c>
      <c r="AB9" s="11" t="n">
        <v>802.22</v>
      </c>
      <c r="AC9" s="11" t="n">
        <v>32.93</v>
      </c>
      <c r="AD9" s="11" t="n">
        <v>701.35</v>
      </c>
    </row>
    <row r="10">
      <c r="A10" s="10" t="inlineStr">
        <is>
          <t>포괄이익</t>
        </is>
      </c>
      <c r="C10" s="11" t="n">
        <v>510.33</v>
      </c>
      <c r="D10" s="11" t="n">
        <v>633.65</v>
      </c>
      <c r="E10" s="11" t="n">
        <v>847.4299999999999</v>
      </c>
      <c r="F10" s="11" t="n">
        <v>546.6</v>
      </c>
      <c r="G10" s="11" t="n">
        <v>274.15</v>
      </c>
      <c r="H10" s="11" t="n">
        <v>368.22</v>
      </c>
      <c r="I10" s="11" t="n">
        <v>720.04</v>
      </c>
      <c r="J10" s="11" t="n">
        <v>474.8</v>
      </c>
      <c r="K10" s="11" t="n">
        <v>251.05</v>
      </c>
      <c r="L10" s="11" t="n">
        <v>711.2</v>
      </c>
      <c r="M10" s="11" t="n">
        <v>693.36</v>
      </c>
      <c r="N10" s="11" t="n">
        <v>-58.77</v>
      </c>
      <c r="O10" s="11" t="n">
        <v>549.47</v>
      </c>
      <c r="P10" s="11" t="n">
        <v>362.34</v>
      </c>
      <c r="Q10" s="11" t="n">
        <v>349.26</v>
      </c>
      <c r="R10" s="11" t="n">
        <v>596.54</v>
      </c>
      <c r="S10" s="11" t="n">
        <v>742.39</v>
      </c>
      <c r="T10" s="11" t="n">
        <v>707.13</v>
      </c>
      <c r="U10" s="11" t="n">
        <v>810.4299999999999</v>
      </c>
      <c r="V10" s="11" t="n">
        <v>520.04</v>
      </c>
      <c r="W10" s="11" t="n">
        <v>1493.57</v>
      </c>
      <c r="X10" s="11" t="n">
        <v>573.77</v>
      </c>
      <c r="Y10" s="11" t="n">
        <v>1240.79</v>
      </c>
      <c r="Z10" s="11" t="n">
        <v>2012.57</v>
      </c>
      <c r="AA10" s="11" t="n">
        <v>2036.4</v>
      </c>
      <c r="AB10" s="11" t="n">
        <v>2157.09</v>
      </c>
      <c r="AC10" s="11" t="n">
        <v>1546.4</v>
      </c>
      <c r="AD10" s="11" t="n">
        <v>2395.32</v>
      </c>
    </row>
    <row r="11">
      <c r="A11" s="10" t="inlineStr">
        <is>
          <t>지배주주 포괄이익</t>
        </is>
      </c>
      <c r="C11" s="11" t="n">
        <v>498.42</v>
      </c>
      <c r="D11" s="11" t="n">
        <v>618.67</v>
      </c>
      <c r="E11" s="11" t="n">
        <v>830.5</v>
      </c>
      <c r="F11" s="11" t="n">
        <v>540.74</v>
      </c>
      <c r="G11" s="11" t="n">
        <v>268.44</v>
      </c>
      <c r="H11" s="11" t="n">
        <v>361.56</v>
      </c>
      <c r="I11" s="11" t="n">
        <v>709.0599999999999</v>
      </c>
      <c r="J11" s="11" t="n">
        <v>466.3</v>
      </c>
      <c r="K11" s="11" t="n">
        <v>248.22</v>
      </c>
      <c r="L11" s="11" t="n">
        <v>698.8200000000001</v>
      </c>
      <c r="M11" s="11" t="n">
        <v>676.9400000000001</v>
      </c>
      <c r="N11" s="11" t="n">
        <v>-56.26</v>
      </c>
      <c r="O11" s="11" t="n">
        <v>549.4400000000001</v>
      </c>
      <c r="P11" s="11" t="n">
        <v>344.39</v>
      </c>
      <c r="Q11" s="11" t="n">
        <v>343.08</v>
      </c>
      <c r="R11" s="11" t="n">
        <v>584.84</v>
      </c>
      <c r="S11" s="11" t="n">
        <v>727.49</v>
      </c>
      <c r="T11" s="11" t="n">
        <v>696</v>
      </c>
      <c r="U11" s="11" t="n">
        <v>796.6900000000001</v>
      </c>
      <c r="V11" s="11" t="n">
        <v>506.73</v>
      </c>
      <c r="W11" s="11" t="n">
        <v>1489.06</v>
      </c>
      <c r="X11" s="11" t="n">
        <v>567.96</v>
      </c>
      <c r="Y11" s="11" t="n">
        <v>1209.51</v>
      </c>
      <c r="Z11" s="11" t="n">
        <v>1969.17</v>
      </c>
      <c r="AA11" s="11" t="n">
        <v>2001.24</v>
      </c>
      <c r="AB11" s="11" t="n">
        <v>2122.4</v>
      </c>
      <c r="AC11" s="11" t="n">
        <v>1514.51</v>
      </c>
      <c r="AD11" s="11" t="n">
        <v>2351.41</v>
      </c>
    </row>
    <row r="12">
      <c r="A12" s="10" t="inlineStr">
        <is>
          <t>비지배주주 포괄이익</t>
        </is>
      </c>
      <c r="C12" s="11" t="n">
        <v>11.91</v>
      </c>
      <c r="D12" s="11" t="n">
        <v>14.98</v>
      </c>
      <c r="E12" s="11" t="n">
        <v>16.93</v>
      </c>
      <c r="F12" s="11" t="n">
        <v>5.86</v>
      </c>
      <c r="G12" s="11" t="n">
        <v>5.71</v>
      </c>
      <c r="H12" s="11" t="n">
        <v>6.66</v>
      </c>
      <c r="I12" s="11" t="n">
        <v>10.98</v>
      </c>
      <c r="J12" s="11" t="n">
        <v>8.5</v>
      </c>
      <c r="K12" s="11" t="n">
        <v>2.83</v>
      </c>
      <c r="L12" s="11" t="n">
        <v>12.38</v>
      </c>
      <c r="M12" s="11" t="n">
        <v>16.42</v>
      </c>
      <c r="N12" s="11" t="n">
        <v>-2.51</v>
      </c>
      <c r="O12" s="11" t="n">
        <v>0.03</v>
      </c>
      <c r="P12" s="11" t="n">
        <v>17.95</v>
      </c>
      <c r="Q12" s="11" t="n">
        <v>6.18</v>
      </c>
      <c r="R12" s="11" t="n">
        <v>11.7</v>
      </c>
      <c r="S12" s="11" t="n">
        <v>14.9</v>
      </c>
      <c r="T12" s="11" t="n">
        <v>11.13</v>
      </c>
      <c r="U12" s="11" t="n">
        <v>13.74</v>
      </c>
      <c r="V12" s="11" t="n">
        <v>13.31</v>
      </c>
      <c r="W12" s="11" t="n">
        <v>4.51</v>
      </c>
      <c r="X12" s="11" t="n">
        <v>5.81</v>
      </c>
      <c r="Y12" s="11" t="n">
        <v>31.28</v>
      </c>
      <c r="Z12" s="11" t="n">
        <v>43.4</v>
      </c>
      <c r="AA12" s="11" t="n">
        <v>35.16</v>
      </c>
      <c r="AB12" s="11" t="n">
        <v>34.69</v>
      </c>
      <c r="AC12" s="11" t="n">
        <v>31.89</v>
      </c>
      <c r="AD12" s="11" t="n">
        <v>43.91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5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40" customWidth="1" min="31" max="31"/>
  </cols>
  <sheetData>
    <row r="1">
      <c r="A1" s="1" t="inlineStr">
        <is>
          <t>화낙 재무상태표</t>
        </is>
      </c>
    </row>
    <row r="2">
      <c r="A2" s="2" t="inlineStr">
        <is>
          <t>결산기 기준(27.2Q = 2027년 결산기 2분기) · 3월 결산 · 연결 · 분기 말 잔액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22.3Q</t>
        </is>
      </c>
      <c r="D3" s="4" t="inlineStr">
        <is>
          <t>22.4Q</t>
        </is>
      </c>
      <c r="E3" s="4" t="inlineStr">
        <is>
          <t>23.1Q</t>
        </is>
      </c>
      <c r="F3" s="4" t="inlineStr">
        <is>
          <t>23.2Q</t>
        </is>
      </c>
      <c r="G3" s="4" t="inlineStr">
        <is>
          <t>23.3Q</t>
        </is>
      </c>
      <c r="H3" s="4" t="inlineStr">
        <is>
          <t>23.4Q</t>
        </is>
      </c>
      <c r="I3" s="4" t="inlineStr">
        <is>
          <t>24.1Q</t>
        </is>
      </c>
      <c r="J3" s="4" t="inlineStr">
        <is>
          <t>24.2Q</t>
        </is>
      </c>
      <c r="K3" s="4" t="inlineStr">
        <is>
          <t>24.3Q</t>
        </is>
      </c>
      <c r="L3" s="4" t="inlineStr">
        <is>
          <t>24.4Q</t>
        </is>
      </c>
      <c r="M3" s="4" t="inlineStr">
        <is>
          <t>25.1Q</t>
        </is>
      </c>
      <c r="N3" s="4" t="inlineStr">
        <is>
          <t>25.2Q</t>
        </is>
      </c>
      <c r="O3" s="4" t="inlineStr">
        <is>
          <t>25.3Q</t>
        </is>
      </c>
      <c r="P3" s="4" t="inlineStr">
        <is>
          <t>25.4Q</t>
        </is>
      </c>
      <c r="Q3" s="4" t="inlineStr">
        <is>
          <t>26.1Q</t>
        </is>
      </c>
      <c r="R3" s="4" t="inlineStr">
        <is>
          <t>26.2Q</t>
        </is>
      </c>
      <c r="S3" s="4" t="inlineStr">
        <is>
          <t>26.3Q</t>
        </is>
      </c>
      <c r="T3" s="4" t="inlineStr">
        <is>
          <t>26.4Q</t>
        </is>
      </c>
      <c r="U3" s="4" t="inlineStr">
        <is>
          <t>27.1Q</t>
        </is>
      </c>
      <c r="V3" s="4" t="inlineStr">
        <is>
          <t>27.2Q</t>
        </is>
      </c>
      <c r="W3" s="4" t="inlineStr">
        <is>
          <t>FY19</t>
        </is>
      </c>
      <c r="X3" s="4" t="inlineStr">
        <is>
          <t>FY20</t>
        </is>
      </c>
      <c r="Y3" s="4" t="inlineStr">
        <is>
          <t>FY21</t>
        </is>
      </c>
      <c r="Z3" s="4" t="inlineStr">
        <is>
          <t>FY22</t>
        </is>
      </c>
      <c r="AA3" s="4" t="inlineStr">
        <is>
          <t>FY23</t>
        </is>
      </c>
      <c r="AB3" s="4" t="inlineStr">
        <is>
          <t>FY24</t>
        </is>
      </c>
      <c r="AC3" s="4" t="inlineStr">
        <is>
          <t>FY25</t>
        </is>
      </c>
      <c r="AD3" s="4" t="inlineStr">
        <is>
          <t>FY26</t>
        </is>
      </c>
      <c r="AE3" s="4" t="inlineStr">
        <is>
          <t>출처</t>
        </is>
      </c>
    </row>
    <row r="4">
      <c r="A4" s="10" t="inlineStr">
        <is>
          <t>현금 및 예금</t>
        </is>
      </c>
      <c r="C4" s="11" t="n">
        <v>4398.86</v>
      </c>
      <c r="D4" s="11" t="n">
        <v>4235.15</v>
      </c>
      <c r="E4" s="11" t="n">
        <v>4179.27</v>
      </c>
      <c r="F4" s="11" t="n">
        <v>4387.39</v>
      </c>
      <c r="G4" s="11" t="n">
        <v>5156.99</v>
      </c>
      <c r="H4" s="11" t="n">
        <v>5125.28</v>
      </c>
      <c r="I4" s="11" t="n">
        <v>4817.23</v>
      </c>
      <c r="J4" s="11" t="n">
        <v>5166.08</v>
      </c>
      <c r="K4" s="11" t="n">
        <v>4611.79</v>
      </c>
      <c r="L4" s="11" t="n">
        <v>5229.79</v>
      </c>
      <c r="M4" s="11" t="n">
        <v>5626.03</v>
      </c>
      <c r="N4" s="11" t="n">
        <v>5530.2</v>
      </c>
      <c r="O4" s="11" t="n">
        <v>5625.54</v>
      </c>
      <c r="P4" s="11" t="n">
        <v>5905.04</v>
      </c>
      <c r="Q4" s="11" t="n">
        <v>5721.55</v>
      </c>
      <c r="R4" s="11" t="n">
        <v>6386.33</v>
      </c>
      <c r="S4" s="11" t="n">
        <v>6611.88</v>
      </c>
      <c r="T4" s="11" t="n">
        <v>7180.71</v>
      </c>
      <c r="U4" s="11" t="n">
        <v>7214.68</v>
      </c>
      <c r="V4" s="11" t="n">
        <v>7462.85</v>
      </c>
      <c r="W4" s="11" t="n">
        <v>6071.55</v>
      </c>
      <c r="X4" s="11" t="n">
        <v>4058.61</v>
      </c>
      <c r="Y4" s="11" t="n">
        <v>4297.84</v>
      </c>
      <c r="Z4" s="11" t="n">
        <v>4235.15</v>
      </c>
      <c r="AA4" s="11" t="n">
        <v>5125.28</v>
      </c>
      <c r="AB4" s="11" t="n">
        <v>5229.79</v>
      </c>
      <c r="AC4" s="11" t="n">
        <v>5905.04</v>
      </c>
      <c r="AD4" s="11" t="n">
        <v>7180.71</v>
      </c>
      <c r="AE4" s="7" t="inlineStr">
        <is>
          <t>결산단신 XBRL(거래소 공시, TDnet·JPX 보관소). 쓴 문서: 2026-10-23, 2026-07-31, 2026-04-24, 2026-01-26 외 26건 — '출처' 시트에 전부</t>
        </is>
      </c>
    </row>
    <row r="5">
      <c r="A5" s="10" t="inlineStr">
        <is>
          <t>받을어음·매출채권</t>
        </is>
      </c>
      <c r="C5" s="11" t="n">
        <v>1344.44</v>
      </c>
      <c r="D5" s="11" t="n">
        <v>1501.95</v>
      </c>
      <c r="W5" s="11" t="n">
        <v>1062.04</v>
      </c>
      <c r="X5" s="11" t="n">
        <v>852.66</v>
      </c>
      <c r="Y5" s="11" t="n">
        <v>1281.71</v>
      </c>
      <c r="Z5" s="11" t="n">
        <v>1501.95</v>
      </c>
    </row>
    <row r="6">
      <c r="A6" s="10" t="inlineStr">
        <is>
          <t>받을어음</t>
        </is>
      </c>
      <c r="D6" s="11" t="n">
        <v>257.07</v>
      </c>
      <c r="E6" s="11" t="n">
        <v>265.29</v>
      </c>
      <c r="F6" s="11" t="n">
        <v>261.1</v>
      </c>
      <c r="G6" s="11" t="n">
        <v>247.7</v>
      </c>
      <c r="H6" s="11" t="n">
        <v>248.24</v>
      </c>
      <c r="I6" s="11" t="n">
        <v>236.66</v>
      </c>
      <c r="J6" s="11" t="n">
        <v>219.59</v>
      </c>
      <c r="K6" s="11" t="n">
        <v>201.44</v>
      </c>
      <c r="L6" s="11" t="n">
        <v>189.9</v>
      </c>
      <c r="M6" s="11" t="n">
        <v>207.15</v>
      </c>
      <c r="N6" s="11" t="n">
        <v>184.61</v>
      </c>
      <c r="O6" s="11" t="n">
        <v>212.65</v>
      </c>
      <c r="P6" s="11" t="n">
        <v>205.17</v>
      </c>
      <c r="Q6" s="11" t="n">
        <v>210.57</v>
      </c>
      <c r="R6" s="11" t="n">
        <v>202.37</v>
      </c>
      <c r="S6" s="11" t="n">
        <v>200.59</v>
      </c>
      <c r="T6" s="11" t="n">
        <v>56.31</v>
      </c>
      <c r="U6" s="11" t="n">
        <v>49.06</v>
      </c>
      <c r="V6" s="11" t="n">
        <v>52.48</v>
      </c>
      <c r="Z6" s="11" t="n">
        <v>257.07</v>
      </c>
      <c r="AA6" s="11" t="n">
        <v>248.24</v>
      </c>
      <c r="AB6" s="11" t="n">
        <v>189.9</v>
      </c>
      <c r="AC6" s="11" t="n">
        <v>205.17</v>
      </c>
      <c r="AD6" s="11" t="n">
        <v>56.31</v>
      </c>
    </row>
    <row r="7">
      <c r="A7" s="10" t="inlineStr">
        <is>
          <t>전자기록채권</t>
        </is>
      </c>
      <c r="T7" s="11" t="n">
        <v>162.11</v>
      </c>
      <c r="U7" s="11" t="n">
        <v>164.3</v>
      </c>
      <c r="V7" s="11" t="n">
        <v>169.98</v>
      </c>
      <c r="AD7" s="11" t="n">
        <v>162.11</v>
      </c>
    </row>
    <row r="8">
      <c r="A8" s="10" t="inlineStr">
        <is>
          <t>매출채권</t>
        </is>
      </c>
      <c r="D8" s="11" t="n">
        <v>1244.88</v>
      </c>
      <c r="E8" s="11" t="n">
        <v>1412</v>
      </c>
      <c r="F8" s="11" t="n">
        <v>1305.93</v>
      </c>
      <c r="G8" s="11" t="n">
        <v>1306.13</v>
      </c>
      <c r="H8" s="11" t="n">
        <v>1379.61</v>
      </c>
      <c r="I8" s="11" t="n">
        <v>1323.47</v>
      </c>
      <c r="J8" s="11" t="n">
        <v>1261.48</v>
      </c>
      <c r="K8" s="11" t="n">
        <v>1249.73</v>
      </c>
      <c r="L8" s="11" t="n">
        <v>1369.31</v>
      </c>
      <c r="M8" s="11" t="n">
        <v>1247.99</v>
      </c>
      <c r="N8" s="11" t="n">
        <v>1125.29</v>
      </c>
      <c r="O8" s="11" t="n">
        <v>1173.83</v>
      </c>
      <c r="P8" s="11" t="n">
        <v>1359.2</v>
      </c>
      <c r="Q8" s="11" t="n">
        <v>1308.79</v>
      </c>
      <c r="R8" s="11" t="n">
        <v>1328.25</v>
      </c>
      <c r="S8" s="11" t="n">
        <v>1367.45</v>
      </c>
      <c r="T8" s="11" t="n">
        <v>1489.33</v>
      </c>
      <c r="U8" s="11" t="n">
        <v>1451.68</v>
      </c>
      <c r="V8" s="11" t="n">
        <v>1398.96</v>
      </c>
      <c r="Z8" s="11" t="n">
        <v>1244.88</v>
      </c>
      <c r="AA8" s="11" t="n">
        <v>1379.61</v>
      </c>
      <c r="AB8" s="11" t="n">
        <v>1369.31</v>
      </c>
      <c r="AC8" s="11" t="n">
        <v>1359.2</v>
      </c>
      <c r="AD8" s="11" t="n">
        <v>1489.33</v>
      </c>
    </row>
    <row r="9">
      <c r="A9" s="10" t="inlineStr">
        <is>
          <t>유가증권</t>
        </is>
      </c>
      <c r="C9" s="11" t="n">
        <v>1573</v>
      </c>
      <c r="D9" s="11" t="n">
        <v>1777</v>
      </c>
      <c r="E9" s="11" t="n">
        <v>1371</v>
      </c>
      <c r="F9" s="11" t="n">
        <v>1372</v>
      </c>
      <c r="G9" s="11" t="n">
        <v>171</v>
      </c>
      <c r="H9" s="11" t="n">
        <v>167</v>
      </c>
      <c r="I9" s="11" t="n">
        <v>163</v>
      </c>
      <c r="J9" s="11" t="n">
        <v>161</v>
      </c>
      <c r="K9" s="11" t="n">
        <v>161</v>
      </c>
      <c r="L9" s="11" t="n">
        <v>161</v>
      </c>
      <c r="M9" s="11" t="n">
        <v>161</v>
      </c>
      <c r="N9" s="11" t="n">
        <v>163</v>
      </c>
      <c r="O9" s="11" t="n">
        <v>165</v>
      </c>
      <c r="P9" s="11" t="n">
        <v>160</v>
      </c>
      <c r="Q9" s="11" t="n">
        <v>308</v>
      </c>
      <c r="R9" s="11" t="n">
        <v>308</v>
      </c>
      <c r="S9" s="11" t="n">
        <v>357</v>
      </c>
      <c r="T9" s="11" t="n">
        <v>358</v>
      </c>
      <c r="U9" s="11" t="n">
        <v>408</v>
      </c>
      <c r="V9" s="11" t="n">
        <v>408</v>
      </c>
      <c r="W9" s="11" t="n">
        <v>150</v>
      </c>
      <c r="X9" s="11" t="n">
        <v>1267</v>
      </c>
      <c r="Y9" s="11" t="n">
        <v>1570</v>
      </c>
      <c r="Z9" s="11" t="n">
        <v>1777</v>
      </c>
      <c r="AA9" s="11" t="n">
        <v>167</v>
      </c>
      <c r="AB9" s="11" t="n">
        <v>161</v>
      </c>
      <c r="AC9" s="11" t="n">
        <v>160</v>
      </c>
      <c r="AD9" s="11" t="n">
        <v>358</v>
      </c>
    </row>
    <row r="10">
      <c r="A10" s="10" t="inlineStr">
        <is>
          <t>상품·제품</t>
        </is>
      </c>
      <c r="C10" s="11" t="n">
        <v>972.4</v>
      </c>
      <c r="D10" s="11" t="n">
        <v>1142.28</v>
      </c>
      <c r="E10" s="11" t="n">
        <v>1355.43</v>
      </c>
      <c r="F10" s="11" t="n">
        <v>1537.75</v>
      </c>
      <c r="G10" s="11" t="n">
        <v>1538.67</v>
      </c>
      <c r="H10" s="11" t="n">
        <v>1578.88</v>
      </c>
      <c r="I10" s="11" t="n">
        <v>1739.96</v>
      </c>
      <c r="J10" s="11" t="n">
        <v>1713.87</v>
      </c>
      <c r="K10" s="11" t="n">
        <v>1551.16</v>
      </c>
      <c r="L10" s="11" t="n">
        <v>1475.45</v>
      </c>
      <c r="M10" s="11" t="n">
        <v>1477.14</v>
      </c>
      <c r="N10" s="11" t="n">
        <v>1266.83</v>
      </c>
      <c r="O10" s="11" t="n">
        <v>1261.6</v>
      </c>
      <c r="P10" s="11" t="n">
        <v>1161.43</v>
      </c>
      <c r="Q10" s="11" t="n">
        <v>1202.35</v>
      </c>
      <c r="R10" s="11" t="n">
        <v>1204.16</v>
      </c>
      <c r="S10" s="11" t="n">
        <v>1285.24</v>
      </c>
      <c r="T10" s="11" t="n">
        <v>1287.7</v>
      </c>
      <c r="U10" s="11" t="n">
        <v>1266.22</v>
      </c>
      <c r="V10" s="11" t="n">
        <v>1245.74</v>
      </c>
      <c r="W10" s="11" t="n">
        <v>710.42</v>
      </c>
      <c r="X10" s="11" t="n">
        <v>651.22</v>
      </c>
      <c r="Y10" s="11" t="n">
        <v>812.53</v>
      </c>
      <c r="Z10" s="11" t="n">
        <v>1142.28</v>
      </c>
      <c r="AA10" s="11" t="n">
        <v>1578.88</v>
      </c>
      <c r="AB10" s="11" t="n">
        <v>1475.45</v>
      </c>
      <c r="AC10" s="11" t="n">
        <v>1161.43</v>
      </c>
      <c r="AD10" s="11" t="n">
        <v>1287.7</v>
      </c>
    </row>
    <row r="11">
      <c r="A11" s="10" t="inlineStr">
        <is>
          <t>재공품</t>
        </is>
      </c>
      <c r="C11" s="11" t="n">
        <v>708.04</v>
      </c>
      <c r="D11" s="11" t="n">
        <v>800.0599999999999</v>
      </c>
      <c r="E11" s="11" t="n">
        <v>791.62</v>
      </c>
      <c r="F11" s="11" t="n">
        <v>891.13</v>
      </c>
      <c r="G11" s="11" t="n">
        <v>882.98</v>
      </c>
      <c r="H11" s="11" t="n">
        <v>920.98</v>
      </c>
      <c r="I11" s="11" t="n">
        <v>960.15</v>
      </c>
      <c r="J11" s="11" t="n">
        <v>976.84</v>
      </c>
      <c r="K11" s="11" t="n">
        <v>936.26</v>
      </c>
      <c r="L11" s="11" t="n">
        <v>919.29</v>
      </c>
      <c r="M11" s="11" t="n">
        <v>895.89</v>
      </c>
      <c r="N11" s="11" t="n">
        <v>879.8200000000001</v>
      </c>
      <c r="O11" s="11" t="n">
        <v>886.92</v>
      </c>
      <c r="P11" s="11" t="n">
        <v>832.1900000000001</v>
      </c>
      <c r="Q11" s="11" t="n">
        <v>812.23</v>
      </c>
      <c r="R11" s="11" t="n">
        <v>780.04</v>
      </c>
      <c r="S11" s="11" t="n">
        <v>776.92</v>
      </c>
      <c r="T11" s="11" t="n">
        <v>789.86</v>
      </c>
      <c r="U11" s="11" t="n">
        <v>823.8</v>
      </c>
      <c r="V11" s="11" t="n">
        <v>940.01</v>
      </c>
      <c r="W11" s="11" t="n">
        <v>551.74</v>
      </c>
      <c r="X11" s="11" t="n">
        <v>519.79</v>
      </c>
      <c r="Y11" s="11" t="n">
        <v>520.08</v>
      </c>
      <c r="Z11" s="11" t="n">
        <v>800.0599999999999</v>
      </c>
      <c r="AA11" s="11" t="n">
        <v>920.98</v>
      </c>
      <c r="AB11" s="11" t="n">
        <v>919.29</v>
      </c>
      <c r="AC11" s="11" t="n">
        <v>832.1900000000001</v>
      </c>
      <c r="AD11" s="11" t="n">
        <v>789.86</v>
      </c>
    </row>
    <row r="12">
      <c r="A12" s="10" t="inlineStr">
        <is>
          <t>원재료·저장품</t>
        </is>
      </c>
      <c r="C12" s="11" t="n">
        <v>488.44</v>
      </c>
      <c r="D12" s="11" t="n">
        <v>553.3</v>
      </c>
      <c r="E12" s="11" t="n">
        <v>630.98</v>
      </c>
      <c r="F12" s="11" t="n">
        <v>739.52</v>
      </c>
      <c r="G12" s="11" t="n">
        <v>890.76</v>
      </c>
      <c r="H12" s="11" t="n">
        <v>1005.91</v>
      </c>
      <c r="I12" s="11" t="n">
        <v>1076.5</v>
      </c>
      <c r="J12" s="11" t="n">
        <v>1183.18</v>
      </c>
      <c r="K12" s="11" t="n">
        <v>1226.88</v>
      </c>
      <c r="L12" s="11" t="n">
        <v>1230.72</v>
      </c>
      <c r="M12" s="11" t="n">
        <v>1194.58</v>
      </c>
      <c r="N12" s="11" t="n">
        <v>1180.21</v>
      </c>
      <c r="O12" s="11" t="n">
        <v>1164.68</v>
      </c>
      <c r="P12" s="11" t="n">
        <v>1070.77</v>
      </c>
      <c r="Q12" s="11" t="n">
        <v>998.37</v>
      </c>
      <c r="R12" s="11" t="n">
        <v>941.54</v>
      </c>
      <c r="S12" s="11" t="n">
        <v>918.66</v>
      </c>
      <c r="T12" s="11" t="n">
        <v>844.3</v>
      </c>
      <c r="U12" s="11" t="n">
        <v>824.6</v>
      </c>
      <c r="V12" s="11" t="n">
        <v>821.37</v>
      </c>
      <c r="W12" s="11" t="n">
        <v>299.3</v>
      </c>
      <c r="X12" s="11" t="n">
        <v>254.5</v>
      </c>
      <c r="Y12" s="11" t="n">
        <v>310.07</v>
      </c>
      <c r="Z12" s="11" t="n">
        <v>553.3</v>
      </c>
      <c r="AA12" s="11" t="n">
        <v>1005.91</v>
      </c>
      <c r="AB12" s="11" t="n">
        <v>1230.72</v>
      </c>
      <c r="AC12" s="11" t="n">
        <v>1070.77</v>
      </c>
      <c r="AD12" s="11" t="n">
        <v>844.3</v>
      </c>
    </row>
    <row r="13">
      <c r="A13" s="10" t="inlineStr">
        <is>
          <t>기타</t>
        </is>
      </c>
      <c r="C13" s="11" t="n">
        <v>146.24</v>
      </c>
      <c r="D13" s="11" t="n">
        <v>149.96</v>
      </c>
      <c r="E13" s="11" t="n">
        <v>197.54</v>
      </c>
      <c r="F13" s="11" t="n">
        <v>215.99</v>
      </c>
      <c r="G13" s="11" t="n">
        <v>212.69</v>
      </c>
      <c r="H13" s="11" t="n">
        <v>205.49</v>
      </c>
      <c r="I13" s="11" t="n">
        <v>231.97</v>
      </c>
      <c r="J13" s="11" t="n">
        <v>211.89</v>
      </c>
      <c r="K13" s="11" t="n">
        <v>270.34</v>
      </c>
      <c r="L13" s="11" t="n">
        <v>202.06</v>
      </c>
      <c r="M13" s="11" t="n">
        <v>267.21</v>
      </c>
      <c r="N13" s="11" t="n">
        <v>231.26</v>
      </c>
      <c r="O13" s="11" t="n">
        <v>198.18</v>
      </c>
      <c r="P13" s="11" t="n">
        <v>183.96</v>
      </c>
      <c r="Q13" s="11" t="n">
        <v>265.6</v>
      </c>
      <c r="R13" s="11" t="n">
        <v>303.75</v>
      </c>
      <c r="S13" s="11" t="n">
        <v>205.54</v>
      </c>
      <c r="T13" s="11" t="n">
        <v>224.28</v>
      </c>
      <c r="U13" s="11" t="n">
        <v>397.43</v>
      </c>
      <c r="V13" s="11" t="n">
        <v>265.04</v>
      </c>
      <c r="W13" s="11" t="n">
        <v>243.02</v>
      </c>
      <c r="X13" s="11" t="n">
        <v>108.33</v>
      </c>
      <c r="Y13" s="11" t="n">
        <v>112.53</v>
      </c>
      <c r="Z13" s="11" t="n">
        <v>149.96</v>
      </c>
      <c r="AA13" s="11" t="n">
        <v>205.49</v>
      </c>
      <c r="AB13" s="11" t="n">
        <v>202.06</v>
      </c>
      <c r="AC13" s="11" t="n">
        <v>183.96</v>
      </c>
      <c r="AD13" s="11" t="n">
        <v>224.28</v>
      </c>
    </row>
    <row r="14">
      <c r="A14" s="10" t="inlineStr">
        <is>
          <t>대손충당금</t>
        </is>
      </c>
      <c r="C14" s="11" t="n">
        <v>-9.24</v>
      </c>
      <c r="D14" s="11" t="n">
        <v>-10.24</v>
      </c>
      <c r="E14" s="11" t="n">
        <v>-11.9</v>
      </c>
      <c r="F14" s="11" t="n">
        <v>-11.84</v>
      </c>
      <c r="G14" s="11" t="n">
        <v>-14.22</v>
      </c>
      <c r="H14" s="11" t="n">
        <v>-13.99</v>
      </c>
      <c r="I14" s="11" t="n">
        <v>-14.42</v>
      </c>
      <c r="J14" s="11" t="n">
        <v>-14.78</v>
      </c>
      <c r="K14" s="11" t="n">
        <v>-14.1</v>
      </c>
      <c r="L14" s="11" t="n">
        <v>-14.87</v>
      </c>
      <c r="M14" s="11" t="n">
        <v>-15.98</v>
      </c>
      <c r="N14" s="11" t="n">
        <v>-16.62</v>
      </c>
      <c r="O14" s="11" t="n">
        <v>-18.14</v>
      </c>
      <c r="P14" s="11" t="n">
        <v>-19.89</v>
      </c>
      <c r="Q14" s="11" t="n">
        <v>-18.45</v>
      </c>
      <c r="R14" s="11" t="n">
        <v>-19.98</v>
      </c>
      <c r="S14" s="11" t="n">
        <v>-21.78</v>
      </c>
      <c r="T14" s="11" t="n">
        <v>-22.34</v>
      </c>
      <c r="U14" s="11" t="n">
        <v>-23.59</v>
      </c>
      <c r="V14" s="11" t="n">
        <v>-23.12</v>
      </c>
      <c r="W14" s="11" t="n">
        <v>-11.23</v>
      </c>
      <c r="X14" s="11" t="n">
        <v>-8.31</v>
      </c>
      <c r="Y14" s="11" t="n">
        <v>-7.82</v>
      </c>
      <c r="Z14" s="11" t="n">
        <v>-10.24</v>
      </c>
      <c r="AA14" s="11" t="n">
        <v>-13.99</v>
      </c>
      <c r="AB14" s="11" t="n">
        <v>-14.87</v>
      </c>
      <c r="AC14" s="11" t="n">
        <v>-19.89</v>
      </c>
      <c r="AD14" s="11" t="n">
        <v>-22.34</v>
      </c>
    </row>
    <row r="15">
      <c r="A15" s="10" t="inlineStr">
        <is>
          <t>유동자산 합계</t>
        </is>
      </c>
      <c r="C15" s="11" t="n">
        <v>9622.18</v>
      </c>
      <c r="D15" s="11" t="n">
        <v>10149.46</v>
      </c>
      <c r="E15" s="11" t="n">
        <v>10191.23</v>
      </c>
      <c r="F15" s="11" t="n">
        <v>10698.97</v>
      </c>
      <c r="G15" s="11" t="n">
        <v>10392.7</v>
      </c>
      <c r="H15" s="11" t="n">
        <v>10617.4</v>
      </c>
      <c r="I15" s="11" t="n">
        <v>10534.52</v>
      </c>
      <c r="J15" s="11" t="n">
        <v>10879.15</v>
      </c>
      <c r="K15" s="11" t="n">
        <v>10194.5</v>
      </c>
      <c r="L15" s="11" t="n">
        <v>10762.65</v>
      </c>
      <c r="M15" s="11" t="n">
        <v>11061.01</v>
      </c>
      <c r="N15" s="11" t="n">
        <v>10544.6</v>
      </c>
      <c r="O15" s="11" t="n">
        <v>10670.26</v>
      </c>
      <c r="P15" s="11" t="n">
        <v>10857.87</v>
      </c>
      <c r="Q15" s="11" t="n">
        <v>10809.01</v>
      </c>
      <c r="R15" s="11" t="n">
        <v>11434.46</v>
      </c>
      <c r="S15" s="11" t="n">
        <v>11701.5</v>
      </c>
      <c r="T15" s="11" t="n">
        <v>12370.26</v>
      </c>
      <c r="U15" s="11" t="n">
        <v>12576.18</v>
      </c>
      <c r="V15" s="11" t="n">
        <v>12741.31</v>
      </c>
      <c r="W15" s="11" t="n">
        <v>9076.84</v>
      </c>
      <c r="X15" s="11" t="n">
        <v>7703.8</v>
      </c>
      <c r="Y15" s="11" t="n">
        <v>8896.940000000001</v>
      </c>
      <c r="Z15" s="11" t="n">
        <v>10149.46</v>
      </c>
      <c r="AA15" s="11" t="n">
        <v>10617.4</v>
      </c>
      <c r="AB15" s="11" t="n">
        <v>10762.65</v>
      </c>
      <c r="AC15" s="11" t="n">
        <v>10857.87</v>
      </c>
      <c r="AD15" s="11" t="n">
        <v>12370.26</v>
      </c>
    </row>
    <row r="16">
      <c r="A16" s="10" t="inlineStr">
        <is>
          <t>건물·구축물(순액)</t>
        </is>
      </c>
      <c r="C16" s="11" t="n">
        <v>3149.9</v>
      </c>
      <c r="D16" s="11" t="n">
        <v>3264.59</v>
      </c>
      <c r="E16" s="11" t="n">
        <v>3296.03</v>
      </c>
      <c r="F16" s="11" t="n">
        <v>3258.09</v>
      </c>
      <c r="G16" s="11" t="n">
        <v>3228.99</v>
      </c>
      <c r="H16" s="11" t="n">
        <v>3251.02</v>
      </c>
      <c r="I16" s="11" t="n">
        <v>3267.58</v>
      </c>
      <c r="J16" s="11" t="n">
        <v>3259.83</v>
      </c>
      <c r="K16" s="11" t="n">
        <v>3261.04</v>
      </c>
      <c r="L16" s="11" t="n">
        <v>3263.73</v>
      </c>
      <c r="M16" s="11" t="n">
        <v>3249.65</v>
      </c>
      <c r="N16" s="11" t="n">
        <v>3282.81</v>
      </c>
      <c r="O16" s="11" t="n">
        <v>3271.9</v>
      </c>
      <c r="P16" s="11" t="n">
        <v>3253.11</v>
      </c>
      <c r="Q16" s="11" t="n">
        <v>3333.94</v>
      </c>
      <c r="R16" s="11" t="n">
        <v>3298.32</v>
      </c>
      <c r="S16" s="11" t="n">
        <v>3419.17</v>
      </c>
      <c r="T16" s="11" t="n">
        <v>3389.9</v>
      </c>
      <c r="U16" s="11" t="n">
        <v>3359.97</v>
      </c>
      <c r="V16" s="11" t="n">
        <v>3332.48</v>
      </c>
      <c r="W16" s="11" t="n">
        <v>3011.79</v>
      </c>
      <c r="X16" s="11" t="n">
        <v>3100.6</v>
      </c>
      <c r="Y16" s="11" t="n">
        <v>3091.13</v>
      </c>
      <c r="Z16" s="11" t="n">
        <v>3264.59</v>
      </c>
      <c r="AA16" s="11" t="n">
        <v>3251.02</v>
      </c>
      <c r="AB16" s="11" t="n">
        <v>3263.73</v>
      </c>
      <c r="AC16" s="11" t="n">
        <v>3253.11</v>
      </c>
      <c r="AD16" s="11" t="n">
        <v>3389.9</v>
      </c>
    </row>
    <row r="17">
      <c r="A17" s="10" t="inlineStr">
        <is>
          <t>기계장치·운반구(순액)</t>
        </is>
      </c>
      <c r="D17" s="11" t="n">
        <v>566.65</v>
      </c>
      <c r="H17" s="11" t="n">
        <v>550.89</v>
      </c>
      <c r="L17" s="11" t="n">
        <v>496.53</v>
      </c>
      <c r="P17" s="11" t="n">
        <v>487.06</v>
      </c>
      <c r="T17" s="11" t="n">
        <v>460.1</v>
      </c>
      <c r="W17" s="11" t="n">
        <v>558.23</v>
      </c>
      <c r="X17" s="11" t="n">
        <v>602.16</v>
      </c>
      <c r="Y17" s="11" t="n">
        <v>598.63</v>
      </c>
      <c r="Z17" s="11" t="n">
        <v>566.65</v>
      </c>
      <c r="AA17" s="11" t="n">
        <v>550.89</v>
      </c>
      <c r="AB17" s="11" t="n">
        <v>496.53</v>
      </c>
      <c r="AC17" s="11" t="n">
        <v>487.06</v>
      </c>
      <c r="AD17" s="11" t="n">
        <v>460.1</v>
      </c>
    </row>
    <row r="18">
      <c r="A18" s="10" t="inlineStr">
        <is>
          <t>토지</t>
        </is>
      </c>
      <c r="C18" s="11" t="n">
        <v>1544.85</v>
      </c>
      <c r="D18" s="11" t="n">
        <v>1553.69</v>
      </c>
      <c r="E18" s="11" t="n">
        <v>1567.67</v>
      </c>
      <c r="F18" s="11" t="n">
        <v>1567.77</v>
      </c>
      <c r="G18" s="11" t="n">
        <v>1574.17</v>
      </c>
      <c r="H18" s="11" t="n">
        <v>1580.55</v>
      </c>
      <c r="I18" s="11" t="n">
        <v>1599.01</v>
      </c>
      <c r="J18" s="11" t="n">
        <v>1602</v>
      </c>
      <c r="K18" s="11" t="n">
        <v>1618.44</v>
      </c>
      <c r="L18" s="11" t="n">
        <v>1635.93</v>
      </c>
      <c r="M18" s="11" t="n">
        <v>1650.16</v>
      </c>
      <c r="N18" s="11" t="n">
        <v>1630.74</v>
      </c>
      <c r="O18" s="11" t="n">
        <v>1641.57</v>
      </c>
      <c r="P18" s="11" t="n">
        <v>1631.64</v>
      </c>
      <c r="Q18" s="11" t="n">
        <v>1637.01</v>
      </c>
      <c r="R18" s="11" t="n">
        <v>1640.7</v>
      </c>
      <c r="S18" s="11" t="n">
        <v>1652.27</v>
      </c>
      <c r="T18" s="11" t="n">
        <v>1650.49</v>
      </c>
      <c r="U18" s="11" t="n">
        <v>1653.46</v>
      </c>
      <c r="V18" s="11" t="n">
        <v>1676.51</v>
      </c>
      <c r="W18" s="11" t="n">
        <v>1458.85</v>
      </c>
      <c r="X18" s="11" t="n">
        <v>1460.85</v>
      </c>
      <c r="Y18" s="11" t="n">
        <v>1483.89</v>
      </c>
      <c r="Z18" s="11" t="n">
        <v>1553.69</v>
      </c>
      <c r="AA18" s="11" t="n">
        <v>1580.55</v>
      </c>
      <c r="AB18" s="11" t="n">
        <v>1635.93</v>
      </c>
      <c r="AC18" s="11" t="n">
        <v>1631.64</v>
      </c>
      <c r="AD18" s="11" t="n">
        <v>1650.49</v>
      </c>
    </row>
    <row r="19">
      <c r="A19" s="10" t="inlineStr">
        <is>
          <t>건설중인자산</t>
        </is>
      </c>
      <c r="D19" s="11" t="n">
        <v>242.92</v>
      </c>
      <c r="H19" s="11" t="n">
        <v>331.02</v>
      </c>
      <c r="L19" s="11" t="n">
        <v>492.85</v>
      </c>
      <c r="P19" s="11" t="n">
        <v>479.71</v>
      </c>
      <c r="T19" s="11" t="n">
        <v>219.59</v>
      </c>
      <c r="W19" s="11" t="n">
        <v>567.15</v>
      </c>
      <c r="X19" s="11" t="n">
        <v>654.58</v>
      </c>
      <c r="Y19" s="11" t="n">
        <v>444.08</v>
      </c>
      <c r="Z19" s="11" t="n">
        <v>242.92</v>
      </c>
      <c r="AA19" s="11" t="n">
        <v>331.02</v>
      </c>
      <c r="AB19" s="11" t="n">
        <v>492.85</v>
      </c>
      <c r="AC19" s="11" t="n">
        <v>479.71</v>
      </c>
      <c r="AD19" s="11" t="n">
        <v>219.59</v>
      </c>
    </row>
    <row r="20">
      <c r="A20" s="10" t="inlineStr">
        <is>
          <t>기타(순액)</t>
        </is>
      </c>
      <c r="C20" s="11" t="n">
        <v>953.91</v>
      </c>
      <c r="D20" s="11" t="n">
        <v>153.48</v>
      </c>
      <c r="E20" s="11" t="n">
        <v>963.41</v>
      </c>
      <c r="F20" s="11" t="n">
        <v>1036.63</v>
      </c>
      <c r="G20" s="11" t="n">
        <v>1064.1</v>
      </c>
      <c r="H20" s="11" t="n">
        <v>173.48</v>
      </c>
      <c r="I20" s="11" t="n">
        <v>1118.35</v>
      </c>
      <c r="J20" s="11" t="n">
        <v>1149.1</v>
      </c>
      <c r="K20" s="11" t="n">
        <v>1138.24</v>
      </c>
      <c r="L20" s="11" t="n">
        <v>188.51</v>
      </c>
      <c r="M20" s="11" t="n">
        <v>1252.94</v>
      </c>
      <c r="N20" s="11" t="n">
        <v>1126.3</v>
      </c>
      <c r="O20" s="11" t="n">
        <v>1171.22</v>
      </c>
      <c r="P20" s="11" t="n">
        <v>191.14</v>
      </c>
      <c r="Q20" s="11" t="n">
        <v>1037.19</v>
      </c>
      <c r="R20" s="11" t="n">
        <v>1034.89</v>
      </c>
      <c r="S20" s="11" t="n">
        <v>902.0599999999999</v>
      </c>
      <c r="T20" s="11" t="n">
        <v>873.77</v>
      </c>
      <c r="U20" s="11" t="n">
        <v>883.91</v>
      </c>
      <c r="V20" s="11" t="n">
        <v>844.67</v>
      </c>
      <c r="W20" s="11" t="n">
        <v>149.74</v>
      </c>
      <c r="X20" s="11" t="n">
        <v>153.17</v>
      </c>
      <c r="Y20" s="11" t="n">
        <v>150.73</v>
      </c>
      <c r="Z20" s="11" t="n">
        <v>153.48</v>
      </c>
      <c r="AA20" s="11" t="n">
        <v>173.48</v>
      </c>
      <c r="AB20" s="11" t="n">
        <v>188.51</v>
      </c>
      <c r="AC20" s="11" t="n">
        <v>191.14</v>
      </c>
      <c r="AD20" s="11" t="n">
        <v>873.77</v>
      </c>
    </row>
    <row r="21">
      <c r="A21" s="10" t="inlineStr">
        <is>
          <t>유형자산 합계</t>
        </is>
      </c>
      <c r="C21" s="11" t="n">
        <v>5648.66</v>
      </c>
      <c r="D21" s="11" t="n">
        <v>5781.33</v>
      </c>
      <c r="E21" s="11" t="n">
        <v>5827.11</v>
      </c>
      <c r="F21" s="11" t="n">
        <v>5862.49</v>
      </c>
      <c r="G21" s="11" t="n">
        <v>5867.26</v>
      </c>
      <c r="H21" s="11" t="n">
        <v>5886.96</v>
      </c>
      <c r="I21" s="11" t="n">
        <v>5984.94</v>
      </c>
      <c r="J21" s="11" t="n">
        <v>6010.93</v>
      </c>
      <c r="K21" s="11" t="n">
        <v>6017.72</v>
      </c>
      <c r="L21" s="11" t="n">
        <v>6077.55</v>
      </c>
      <c r="M21" s="11" t="n">
        <v>6152.75</v>
      </c>
      <c r="N21" s="11" t="n">
        <v>6039.85</v>
      </c>
      <c r="O21" s="11" t="n">
        <v>6084.69</v>
      </c>
      <c r="P21" s="11" t="n">
        <v>6042.66</v>
      </c>
      <c r="Q21" s="11" t="n">
        <v>6008.14</v>
      </c>
      <c r="R21" s="11" t="n">
        <v>5973.91</v>
      </c>
      <c r="S21" s="11" t="n">
        <v>5973.5</v>
      </c>
      <c r="T21" s="11" t="n">
        <v>5914.16</v>
      </c>
      <c r="U21" s="11" t="n">
        <v>5897.34</v>
      </c>
      <c r="V21" s="11" t="n">
        <v>5853.66</v>
      </c>
      <c r="W21" s="11" t="n">
        <v>5745.76</v>
      </c>
      <c r="X21" s="11" t="n">
        <v>5971.36</v>
      </c>
      <c r="Y21" s="11" t="n">
        <v>5768.46</v>
      </c>
      <c r="Z21" s="11" t="n">
        <v>5781.33</v>
      </c>
      <c r="AA21" s="11" t="n">
        <v>5886.96</v>
      </c>
      <c r="AB21" s="11" t="n">
        <v>6077.55</v>
      </c>
      <c r="AC21" s="11" t="n">
        <v>6042.66</v>
      </c>
      <c r="AD21" s="11" t="n">
        <v>5914.16</v>
      </c>
    </row>
    <row r="22">
      <c r="A22" s="10" t="inlineStr">
        <is>
          <t>무형자산</t>
        </is>
      </c>
      <c r="C22" s="11" t="n">
        <v>87.59999999999999</v>
      </c>
      <c r="D22" s="11" t="n">
        <v>89.33</v>
      </c>
      <c r="E22" s="11" t="n">
        <v>91.15000000000001</v>
      </c>
      <c r="F22" s="11" t="n">
        <v>89.59</v>
      </c>
      <c r="G22" s="11" t="n">
        <v>80.81</v>
      </c>
      <c r="H22" s="11" t="n">
        <v>108.55</v>
      </c>
      <c r="I22" s="11" t="n">
        <v>107.41</v>
      </c>
      <c r="J22" s="11" t="n">
        <v>106.38</v>
      </c>
      <c r="K22" s="11" t="n">
        <v>99.98999999999999</v>
      </c>
      <c r="L22" s="11" t="n">
        <v>98.23</v>
      </c>
      <c r="M22" s="11" t="n">
        <v>94.73999999999999</v>
      </c>
      <c r="N22" s="11" t="n">
        <v>91</v>
      </c>
      <c r="O22" s="11" t="n">
        <v>89.42</v>
      </c>
      <c r="P22" s="11" t="n">
        <v>88</v>
      </c>
      <c r="Q22" s="11" t="n">
        <v>87.34999999999999</v>
      </c>
      <c r="R22" s="11" t="n">
        <v>86.76000000000001</v>
      </c>
      <c r="S22" s="11" t="n">
        <v>85.27</v>
      </c>
      <c r="T22" s="11" t="n">
        <v>85.42</v>
      </c>
      <c r="U22" s="11" t="n">
        <v>84.19</v>
      </c>
      <c r="V22" s="11" t="n">
        <v>84.98</v>
      </c>
      <c r="W22" s="11" t="n">
        <v>96.03</v>
      </c>
      <c r="X22" s="11" t="n">
        <v>102.19</v>
      </c>
      <c r="Y22" s="11" t="n">
        <v>99.52</v>
      </c>
      <c r="Z22" s="11" t="n">
        <v>89.33</v>
      </c>
      <c r="AA22" s="11" t="n">
        <v>108.55</v>
      </c>
      <c r="AB22" s="11" t="n">
        <v>98.23</v>
      </c>
      <c r="AC22" s="11" t="n">
        <v>88</v>
      </c>
      <c r="AD22" s="11" t="n">
        <v>85.42</v>
      </c>
    </row>
    <row r="23">
      <c r="A23" s="10" t="inlineStr">
        <is>
          <t>투자유가증권</t>
        </is>
      </c>
      <c r="C23" s="11" t="n">
        <v>1266.61</v>
      </c>
      <c r="D23" s="11" t="n">
        <v>1357.09</v>
      </c>
      <c r="E23" s="11" t="n">
        <v>1372.59</v>
      </c>
      <c r="F23" s="11" t="n">
        <v>1523.02</v>
      </c>
      <c r="G23" s="11" t="n">
        <v>1600.48</v>
      </c>
      <c r="H23" s="11" t="n">
        <v>1595</v>
      </c>
      <c r="I23" s="11" t="n">
        <v>1522.17</v>
      </c>
      <c r="J23" s="11" t="n">
        <v>1636.58</v>
      </c>
      <c r="K23" s="11" t="n">
        <v>1719.62</v>
      </c>
      <c r="L23" s="11" t="n">
        <v>1844.34</v>
      </c>
      <c r="M23" s="11" t="n">
        <v>1745.7</v>
      </c>
      <c r="N23" s="11" t="n">
        <v>1866.84</v>
      </c>
      <c r="O23" s="11" t="n">
        <v>1831.98</v>
      </c>
      <c r="P23" s="11" t="n">
        <v>1922.14</v>
      </c>
      <c r="Q23" s="11" t="n">
        <v>1685.36</v>
      </c>
      <c r="R23" s="11" t="n">
        <v>1871.8</v>
      </c>
      <c r="S23" s="11" t="n">
        <v>2071.19</v>
      </c>
      <c r="T23" s="11" t="n">
        <v>2232.87</v>
      </c>
      <c r="U23" s="11" t="n">
        <v>2311.1</v>
      </c>
      <c r="V23" s="11" t="n">
        <v>2428.6</v>
      </c>
      <c r="W23" s="11" t="n">
        <v>866.74</v>
      </c>
      <c r="X23" s="11" t="n">
        <v>833.37</v>
      </c>
      <c r="Y23" s="11" t="n">
        <v>1092.12</v>
      </c>
      <c r="Z23" s="11" t="n">
        <v>1357.09</v>
      </c>
      <c r="AA23" s="11" t="n">
        <v>1595</v>
      </c>
      <c r="AB23" s="11" t="n">
        <v>1844.34</v>
      </c>
      <c r="AC23" s="11" t="n">
        <v>1922.14</v>
      </c>
      <c r="AD23" s="11" t="n">
        <v>2232.87</v>
      </c>
    </row>
    <row r="24">
      <c r="A24" s="10" t="inlineStr">
        <is>
          <t>이연법인세자산</t>
        </is>
      </c>
      <c r="D24" s="11" t="n">
        <v>346.07</v>
      </c>
      <c r="H24" s="11" t="n">
        <v>464.61</v>
      </c>
      <c r="L24" s="11" t="n">
        <v>448.25</v>
      </c>
      <c r="P24" s="11" t="n">
        <v>435.42</v>
      </c>
      <c r="T24" s="11" t="n">
        <v>284.25</v>
      </c>
      <c r="W24" s="11" t="n">
        <v>365.52</v>
      </c>
      <c r="X24" s="11" t="n">
        <v>339.12</v>
      </c>
      <c r="Y24" s="11" t="n">
        <v>311.41</v>
      </c>
      <c r="Z24" s="11" t="n">
        <v>346.07</v>
      </c>
      <c r="AA24" s="11" t="n">
        <v>464.61</v>
      </c>
      <c r="AB24" s="11" t="n">
        <v>448.25</v>
      </c>
      <c r="AC24" s="11" t="n">
        <v>435.42</v>
      </c>
      <c r="AD24" s="11" t="n">
        <v>284.25</v>
      </c>
    </row>
    <row r="25">
      <c r="A25" s="10" t="inlineStr">
        <is>
          <t>퇴직급여자산</t>
        </is>
      </c>
      <c r="D25" s="11" t="n">
        <v>78.09</v>
      </c>
      <c r="H25" s="11" t="n">
        <v>54.44</v>
      </c>
      <c r="L25" s="11" t="n">
        <v>17.85</v>
      </c>
      <c r="P25" s="11" t="n">
        <v>12.2</v>
      </c>
      <c r="T25" s="11" t="n">
        <v>13.1</v>
      </c>
      <c r="W25" s="11" t="n">
        <v>67.37</v>
      </c>
      <c r="X25" s="11" t="n">
        <v>139.68</v>
      </c>
      <c r="Y25" s="11" t="n">
        <v>47.72</v>
      </c>
      <c r="Z25" s="11" t="n">
        <v>78.09</v>
      </c>
      <c r="AA25" s="11" t="n">
        <v>54.44</v>
      </c>
      <c r="AB25" s="11" t="n">
        <v>17.85</v>
      </c>
      <c r="AC25" s="11" t="n">
        <v>12.2</v>
      </c>
      <c r="AD25" s="11" t="n">
        <v>13.1</v>
      </c>
    </row>
    <row r="26">
      <c r="A26" s="10" t="inlineStr">
        <is>
          <t>기타</t>
        </is>
      </c>
      <c r="C26" s="11" t="n">
        <v>413.86</v>
      </c>
      <c r="D26" s="11" t="n">
        <v>42.52</v>
      </c>
      <c r="E26" s="11" t="n">
        <v>468.19</v>
      </c>
      <c r="F26" s="11" t="n">
        <v>496.24</v>
      </c>
      <c r="G26" s="11" t="n">
        <v>504.21</v>
      </c>
      <c r="H26" s="11" t="n">
        <v>13.02</v>
      </c>
      <c r="I26" s="11" t="n">
        <v>536.87</v>
      </c>
      <c r="J26" s="11" t="n">
        <v>634.14</v>
      </c>
      <c r="K26" s="11" t="n">
        <v>577.1</v>
      </c>
      <c r="L26" s="11" t="n">
        <v>12.54</v>
      </c>
      <c r="M26" s="11" t="n">
        <v>472.45</v>
      </c>
      <c r="N26" s="11" t="n">
        <v>483.56</v>
      </c>
      <c r="O26" s="11" t="n">
        <v>492.91</v>
      </c>
      <c r="P26" s="11" t="n">
        <v>12.96</v>
      </c>
      <c r="Q26" s="11" t="n">
        <v>445.55</v>
      </c>
      <c r="R26" s="11" t="n">
        <v>443.83</v>
      </c>
      <c r="S26" s="11" t="n">
        <v>404.67</v>
      </c>
      <c r="T26" s="11" t="n">
        <v>304.77</v>
      </c>
      <c r="U26" s="11" t="n">
        <v>218.84</v>
      </c>
      <c r="V26" s="11" t="n">
        <v>239.3</v>
      </c>
      <c r="W26" s="11" t="n">
        <v>39.7</v>
      </c>
      <c r="X26" s="11" t="n">
        <v>40.03</v>
      </c>
      <c r="Y26" s="11" t="n">
        <v>39.98</v>
      </c>
      <c r="Z26" s="11" t="n">
        <v>42.52</v>
      </c>
      <c r="AA26" s="11" t="n">
        <v>13.02</v>
      </c>
      <c r="AB26" s="11" t="n">
        <v>12.54</v>
      </c>
      <c r="AC26" s="11" t="n">
        <v>12.96</v>
      </c>
      <c r="AD26" s="11" t="n">
        <v>304.77</v>
      </c>
    </row>
    <row r="27">
      <c r="A27" s="10" t="inlineStr">
        <is>
          <t>대손충당금</t>
        </is>
      </c>
      <c r="C27" s="11" t="n">
        <v>-4.23</v>
      </c>
      <c r="D27" s="11" t="n">
        <v>-4.25</v>
      </c>
      <c r="E27" s="11" t="n">
        <v>-4.27</v>
      </c>
      <c r="F27" s="11" t="n">
        <v>-4.25</v>
      </c>
      <c r="G27" s="11" t="n">
        <v>-4.63</v>
      </c>
      <c r="H27" s="11" t="n">
        <v>-4.62</v>
      </c>
      <c r="I27" s="11" t="n">
        <v>-4.68</v>
      </c>
      <c r="J27" s="11" t="n">
        <v>-4.69</v>
      </c>
      <c r="K27" s="11" t="n">
        <v>-1.02</v>
      </c>
      <c r="L27" s="11" t="n">
        <v>-1.04</v>
      </c>
      <c r="M27" s="11" t="n">
        <v>-1.08</v>
      </c>
      <c r="N27" s="11" t="n">
        <v>-1</v>
      </c>
      <c r="O27" s="11" t="n">
        <v>-0.99</v>
      </c>
      <c r="P27" s="11" t="n">
        <v>-0.9399999999999999</v>
      </c>
      <c r="Q27" s="11" t="n">
        <v>-0.47</v>
      </c>
      <c r="R27" s="11" t="n">
        <v>-0.47</v>
      </c>
      <c r="S27" s="11" t="n">
        <v>-0.48</v>
      </c>
      <c r="T27" s="11" t="n">
        <v>-0.48</v>
      </c>
      <c r="U27" s="11" t="n">
        <v>-0.48</v>
      </c>
      <c r="V27" s="11" t="n">
        <v>-0.52</v>
      </c>
      <c r="W27" s="11" t="n">
        <v>-4.56</v>
      </c>
      <c r="X27" s="11" t="n">
        <v>-4.56</v>
      </c>
      <c r="Y27" s="11" t="n">
        <v>-4.24</v>
      </c>
      <c r="Z27" s="11" t="n">
        <v>-4.25</v>
      </c>
      <c r="AA27" s="11" t="n">
        <v>-4.62</v>
      </c>
      <c r="AB27" s="11" t="n">
        <v>-1.04</v>
      </c>
      <c r="AC27" s="11" t="n">
        <v>-0.9399999999999999</v>
      </c>
      <c r="AD27" s="11" t="n">
        <v>-0.48</v>
      </c>
    </row>
    <row r="28">
      <c r="A28" s="10" t="inlineStr">
        <is>
          <t>투자 및 기타자산 합계</t>
        </is>
      </c>
      <c r="C28" s="11" t="n">
        <v>1676.24</v>
      </c>
      <c r="D28" s="11" t="n">
        <v>1819.52</v>
      </c>
      <c r="E28" s="11" t="n">
        <v>1836.51</v>
      </c>
      <c r="F28" s="11" t="n">
        <v>2015.01</v>
      </c>
      <c r="G28" s="11" t="n">
        <v>2100.06</v>
      </c>
      <c r="H28" s="11" t="n">
        <v>2122.45</v>
      </c>
      <c r="I28" s="11" t="n">
        <v>2054.36</v>
      </c>
      <c r="J28" s="11" t="n">
        <v>2266.03</v>
      </c>
      <c r="K28" s="11" t="n">
        <v>2295.7</v>
      </c>
      <c r="L28" s="11" t="n">
        <v>2321.94</v>
      </c>
      <c r="M28" s="11" t="n">
        <v>2217.07</v>
      </c>
      <c r="N28" s="11" t="n">
        <v>2349.4</v>
      </c>
      <c r="O28" s="11" t="n">
        <v>2323.9</v>
      </c>
      <c r="P28" s="11" t="n">
        <v>2381.78</v>
      </c>
      <c r="Q28" s="11" t="n">
        <v>2130.44</v>
      </c>
      <c r="R28" s="11" t="n">
        <v>2315.16</v>
      </c>
      <c r="S28" s="11" t="n">
        <v>2475.38</v>
      </c>
      <c r="T28" s="11" t="n">
        <v>2537.16</v>
      </c>
      <c r="U28" s="11" t="n">
        <v>2529.46</v>
      </c>
      <c r="V28" s="11" t="n">
        <v>2667.38</v>
      </c>
      <c r="W28" s="11" t="n">
        <v>1334.77</v>
      </c>
      <c r="X28" s="11" t="n">
        <v>1347.64</v>
      </c>
      <c r="Y28" s="11" t="n">
        <v>1486.99</v>
      </c>
      <c r="Z28" s="11" t="n">
        <v>1819.52</v>
      </c>
      <c r="AA28" s="11" t="n">
        <v>2122.45</v>
      </c>
      <c r="AB28" s="11" t="n">
        <v>2321.94</v>
      </c>
      <c r="AC28" s="11" t="n">
        <v>2381.78</v>
      </c>
      <c r="AD28" s="11" t="n">
        <v>2537.16</v>
      </c>
    </row>
    <row r="29">
      <c r="A29" s="10" t="inlineStr">
        <is>
          <t>비유동자산 합계</t>
        </is>
      </c>
      <c r="C29" s="11" t="n">
        <v>7412.5</v>
      </c>
      <c r="D29" s="11" t="n">
        <v>7690.18</v>
      </c>
      <c r="E29" s="11" t="n">
        <v>7754.77</v>
      </c>
      <c r="F29" s="11" t="n">
        <v>7967.09</v>
      </c>
      <c r="G29" s="11" t="n">
        <v>8048.13</v>
      </c>
      <c r="H29" s="11" t="n">
        <v>8117.96</v>
      </c>
      <c r="I29" s="11" t="n">
        <v>8146.71</v>
      </c>
      <c r="J29" s="11" t="n">
        <v>8383.34</v>
      </c>
      <c r="K29" s="11" t="n">
        <v>8413.41</v>
      </c>
      <c r="L29" s="11" t="n">
        <v>8497.719999999999</v>
      </c>
      <c r="M29" s="11" t="n">
        <v>8464.559999999999</v>
      </c>
      <c r="N29" s="11" t="n">
        <v>8480.25</v>
      </c>
      <c r="O29" s="11" t="n">
        <v>8498.01</v>
      </c>
      <c r="P29" s="11" t="n">
        <v>8512.440000000001</v>
      </c>
      <c r="Q29" s="11" t="n">
        <v>8225.93</v>
      </c>
      <c r="R29" s="11" t="n">
        <v>8375.83</v>
      </c>
      <c r="S29" s="11" t="n">
        <v>8534.15</v>
      </c>
      <c r="T29" s="11" t="n">
        <v>8536.74</v>
      </c>
      <c r="U29" s="11" t="n">
        <v>8510.99</v>
      </c>
      <c r="V29" s="11" t="n">
        <v>8606.02</v>
      </c>
      <c r="W29" s="11" t="n">
        <v>7176.56</v>
      </c>
      <c r="X29" s="11" t="n">
        <v>7421.19</v>
      </c>
      <c r="Y29" s="11" t="n">
        <v>7354.97</v>
      </c>
      <c r="Z29" s="11" t="n">
        <v>7690.18</v>
      </c>
      <c r="AA29" s="11" t="n">
        <v>8117.96</v>
      </c>
      <c r="AB29" s="11" t="n">
        <v>8497.719999999999</v>
      </c>
      <c r="AC29" s="11" t="n">
        <v>8512.440000000001</v>
      </c>
      <c r="AD29" s="11" t="n">
        <v>8536.74</v>
      </c>
    </row>
    <row r="30">
      <c r="A30" s="10" t="inlineStr">
        <is>
          <t>자산 합계</t>
        </is>
      </c>
      <c r="C30" s="11" t="n">
        <v>17034.68</v>
      </c>
      <c r="D30" s="11" t="n">
        <v>17839.64</v>
      </c>
      <c r="E30" s="11" t="n">
        <v>17946</v>
      </c>
      <c r="F30" s="11" t="n">
        <v>18666.06</v>
      </c>
      <c r="G30" s="11" t="n">
        <v>18440.83</v>
      </c>
      <c r="H30" s="11" t="n">
        <v>18735.36</v>
      </c>
      <c r="I30" s="11" t="n">
        <v>18681.23</v>
      </c>
      <c r="J30" s="11" t="n">
        <v>19262.49</v>
      </c>
      <c r="K30" s="11" t="n">
        <v>18607.91</v>
      </c>
      <c r="L30" s="11" t="n">
        <v>19260.37</v>
      </c>
      <c r="M30" s="11" t="n">
        <v>19525.57</v>
      </c>
      <c r="N30" s="11" t="n">
        <v>19024.85</v>
      </c>
      <c r="O30" s="11" t="n">
        <v>19168.27</v>
      </c>
      <c r="P30" s="11" t="n">
        <v>19370.31</v>
      </c>
      <c r="Q30" s="11" t="n">
        <v>19034.94</v>
      </c>
      <c r="R30" s="11" t="n">
        <v>19810.29</v>
      </c>
      <c r="S30" s="11" t="n">
        <v>20235.65</v>
      </c>
      <c r="T30" s="11" t="n">
        <v>20907</v>
      </c>
      <c r="U30" s="11" t="n">
        <v>21087.17</v>
      </c>
      <c r="V30" s="11" t="n">
        <v>21347.33</v>
      </c>
      <c r="W30" s="11" t="n">
        <v>16253.4</v>
      </c>
      <c r="X30" s="11" t="n">
        <v>15124.99</v>
      </c>
      <c r="Y30" s="11" t="n">
        <v>16251.91</v>
      </c>
      <c r="Z30" s="11" t="n">
        <v>17839.64</v>
      </c>
      <c r="AA30" s="11" t="n">
        <v>18735.36</v>
      </c>
      <c r="AB30" s="11" t="n">
        <v>19260.37</v>
      </c>
      <c r="AC30" s="11" t="n">
        <v>19370.31</v>
      </c>
      <c r="AD30" s="11" t="n">
        <v>20907</v>
      </c>
    </row>
    <row r="31">
      <c r="A31" s="10" t="inlineStr">
        <is>
          <t>지급어음·매입채무</t>
        </is>
      </c>
      <c r="C31" s="11" t="n">
        <v>605.9</v>
      </c>
      <c r="D31" s="11" t="n">
        <v>494.73</v>
      </c>
      <c r="E31" s="11" t="n">
        <v>505.53</v>
      </c>
      <c r="F31" s="11" t="n">
        <v>566.5599999999999</v>
      </c>
      <c r="G31" s="11" t="n">
        <v>751.11</v>
      </c>
      <c r="H31" s="11" t="n">
        <v>569.35</v>
      </c>
      <c r="I31" s="11" t="n">
        <v>535.28</v>
      </c>
      <c r="J31" s="11" t="n">
        <v>555.4400000000001</v>
      </c>
      <c r="K31" s="11" t="n">
        <v>474.57</v>
      </c>
      <c r="L31" s="11" t="n">
        <v>429.38</v>
      </c>
      <c r="M31" s="11" t="n">
        <v>433.83</v>
      </c>
      <c r="N31" s="11" t="n">
        <v>342.99</v>
      </c>
      <c r="O31" s="11" t="n">
        <v>450.65</v>
      </c>
      <c r="P31" s="11" t="n">
        <v>374.54</v>
      </c>
      <c r="Q31" s="11" t="n">
        <v>382.56</v>
      </c>
      <c r="R31" s="11" t="n">
        <v>391.01</v>
      </c>
      <c r="S31" s="11" t="n">
        <v>558.67</v>
      </c>
      <c r="T31" s="11" t="n">
        <v>462.62</v>
      </c>
      <c r="U31" s="11" t="n">
        <v>518.2</v>
      </c>
      <c r="V31" s="11" t="n">
        <v>561.3200000000001</v>
      </c>
      <c r="W31" s="11" t="n">
        <v>365.67</v>
      </c>
      <c r="X31" s="11" t="n">
        <v>269.74</v>
      </c>
      <c r="Y31" s="11" t="n">
        <v>440.15</v>
      </c>
      <c r="Z31" s="11" t="n">
        <v>494.73</v>
      </c>
      <c r="AA31" s="11" t="n">
        <v>569.35</v>
      </c>
      <c r="AB31" s="11" t="n">
        <v>429.38</v>
      </c>
      <c r="AC31" s="11" t="n">
        <v>374.54</v>
      </c>
      <c r="AD31" s="11" t="n">
        <v>462.62</v>
      </c>
    </row>
    <row r="32">
      <c r="A32" s="10" t="inlineStr">
        <is>
          <t>미지급법인세</t>
        </is>
      </c>
      <c r="C32" s="11" t="n">
        <v>224.34</v>
      </c>
      <c r="D32" s="11" t="n">
        <v>375.72</v>
      </c>
      <c r="E32" s="11" t="n">
        <v>183.54</v>
      </c>
      <c r="F32" s="11" t="n">
        <v>268.08</v>
      </c>
      <c r="G32" s="11" t="n">
        <v>154.31</v>
      </c>
      <c r="H32" s="11" t="n">
        <v>257.36</v>
      </c>
      <c r="I32" s="11" t="n">
        <v>144.72</v>
      </c>
      <c r="J32" s="11" t="n">
        <v>201.3</v>
      </c>
      <c r="K32" s="11" t="n">
        <v>62.88</v>
      </c>
      <c r="L32" s="11" t="n">
        <v>54.9</v>
      </c>
      <c r="M32" s="11" t="n">
        <v>73.48999999999999</v>
      </c>
      <c r="N32" s="11" t="n">
        <v>167.3</v>
      </c>
      <c r="O32" s="11" t="n">
        <v>125.34</v>
      </c>
      <c r="P32" s="11" t="n">
        <v>190.05</v>
      </c>
      <c r="Q32" s="11" t="n">
        <v>66.97</v>
      </c>
      <c r="R32" s="11" t="n">
        <v>212.2</v>
      </c>
      <c r="S32" s="11" t="n">
        <v>167.37</v>
      </c>
      <c r="T32" s="11" t="n">
        <v>256.94</v>
      </c>
      <c r="U32" s="11" t="n">
        <v>81.58</v>
      </c>
      <c r="V32" s="11" t="n">
        <v>239.12</v>
      </c>
      <c r="W32" s="11" t="n">
        <v>150.07</v>
      </c>
      <c r="X32" s="11" t="n">
        <v>92.7</v>
      </c>
      <c r="Y32" s="11" t="n">
        <v>221.31</v>
      </c>
      <c r="Z32" s="11" t="n">
        <v>375.72</v>
      </c>
      <c r="AA32" s="11" t="n">
        <v>257.36</v>
      </c>
      <c r="AB32" s="11" t="n">
        <v>54.9</v>
      </c>
      <c r="AC32" s="11" t="n">
        <v>190.05</v>
      </c>
      <c r="AD32" s="11" t="n">
        <v>256.94</v>
      </c>
    </row>
    <row r="33">
      <c r="A33" s="10" t="inlineStr">
        <is>
          <t>애프터서비스 충당금</t>
        </is>
      </c>
      <c r="D33" s="11" t="n">
        <v>107.39</v>
      </c>
      <c r="H33" s="11" t="n">
        <v>112.22</v>
      </c>
      <c r="L33" s="11" t="n">
        <v>100.21</v>
      </c>
      <c r="P33" s="11" t="n">
        <v>90.84999999999999</v>
      </c>
      <c r="T33" s="11" t="n">
        <v>88.7</v>
      </c>
      <c r="W33" s="11" t="n">
        <v>82.15000000000001</v>
      </c>
      <c r="X33" s="11" t="n">
        <v>83.06</v>
      </c>
      <c r="Y33" s="11" t="n">
        <v>88.59999999999999</v>
      </c>
      <c r="Z33" s="11" t="n">
        <v>107.39</v>
      </c>
      <c r="AA33" s="11" t="n">
        <v>112.22</v>
      </c>
      <c r="AB33" s="11" t="n">
        <v>100.21</v>
      </c>
      <c r="AC33" s="11" t="n">
        <v>90.84999999999999</v>
      </c>
      <c r="AD33" s="11" t="n">
        <v>88.7</v>
      </c>
    </row>
    <row r="34">
      <c r="A34" s="10" t="inlineStr">
        <is>
          <t>애프터서비스 충당금</t>
        </is>
      </c>
      <c r="C34" s="11" t="n">
        <v>93.98999999999999</v>
      </c>
      <c r="D34" s="11" t="n">
        <v>107.39</v>
      </c>
      <c r="E34" s="11" t="n">
        <v>110.61</v>
      </c>
      <c r="F34" s="11" t="n">
        <v>115.88</v>
      </c>
      <c r="G34" s="11" t="n">
        <v>117.09</v>
      </c>
      <c r="H34" s="11" t="n">
        <v>112.22</v>
      </c>
      <c r="I34" s="11" t="n">
        <v>116.12</v>
      </c>
      <c r="J34" s="11" t="n">
        <v>113.79</v>
      </c>
      <c r="K34" s="11" t="n">
        <v>110.35</v>
      </c>
      <c r="L34" s="11" t="n">
        <v>100.21</v>
      </c>
      <c r="M34" s="11" t="n">
        <v>105.17</v>
      </c>
      <c r="O34" s="11" t="n">
        <v>97.06999999999999</v>
      </c>
      <c r="P34" s="11" t="n">
        <v>90.84999999999999</v>
      </c>
      <c r="Q34" s="11" t="n">
        <v>87.67</v>
      </c>
      <c r="S34" s="11" t="n">
        <v>89.69</v>
      </c>
      <c r="T34" s="11" t="n">
        <v>88.7</v>
      </c>
      <c r="U34" s="11" t="n">
        <v>93.2</v>
      </c>
      <c r="W34" s="11" t="n">
        <v>82.15000000000001</v>
      </c>
      <c r="X34" s="11" t="n">
        <v>83.06</v>
      </c>
      <c r="Y34" s="11" t="n">
        <v>88.59999999999999</v>
      </c>
      <c r="Z34" s="11" t="n">
        <v>107.39</v>
      </c>
      <c r="AA34" s="11" t="n">
        <v>112.22</v>
      </c>
      <c r="AB34" s="11" t="n">
        <v>100.21</v>
      </c>
      <c r="AC34" s="11" t="n">
        <v>90.84999999999999</v>
      </c>
      <c r="AD34" s="11" t="n">
        <v>88.7</v>
      </c>
    </row>
    <row r="35">
      <c r="A35" s="10" t="inlineStr">
        <is>
          <t>애프터서비스 충당금</t>
        </is>
      </c>
      <c r="L35" s="11" t="n">
        <v>100.21</v>
      </c>
      <c r="N35" s="11" t="n">
        <v>93.73</v>
      </c>
      <c r="P35" s="11" t="n">
        <v>90.84999999999999</v>
      </c>
      <c r="R35" s="11" t="n">
        <v>85.72</v>
      </c>
      <c r="T35" s="11" t="n">
        <v>88.7</v>
      </c>
      <c r="V35" s="11" t="n">
        <v>100.26</v>
      </c>
      <c r="AB35" s="11" t="n">
        <v>100.21</v>
      </c>
      <c r="AC35" s="11" t="n">
        <v>90.84999999999999</v>
      </c>
      <c r="AD35" s="11" t="n">
        <v>88.7</v>
      </c>
    </row>
    <row r="36">
      <c r="A36" s="10" t="inlineStr">
        <is>
          <t>기타</t>
        </is>
      </c>
      <c r="C36" s="11" t="n">
        <v>691.77</v>
      </c>
      <c r="D36" s="11" t="n">
        <v>798.1799999999999</v>
      </c>
      <c r="E36" s="11" t="n">
        <v>800.59</v>
      </c>
      <c r="F36" s="11" t="n">
        <v>815.01</v>
      </c>
      <c r="G36" s="11" t="n">
        <v>884.99</v>
      </c>
      <c r="H36" s="11" t="n">
        <v>900.62</v>
      </c>
      <c r="I36" s="11" t="n">
        <v>838.21</v>
      </c>
      <c r="J36" s="11" t="n">
        <v>863.58</v>
      </c>
      <c r="K36" s="11" t="n">
        <v>809.29</v>
      </c>
      <c r="L36" s="11" t="n">
        <v>984.41</v>
      </c>
      <c r="M36" s="11" t="n">
        <v>953.22</v>
      </c>
      <c r="N36" s="11" t="n">
        <v>922.33</v>
      </c>
      <c r="O36" s="11" t="n">
        <v>940.37</v>
      </c>
      <c r="P36" s="11" t="n">
        <v>920.42</v>
      </c>
      <c r="Q36" s="11" t="n">
        <v>839.5599999999999</v>
      </c>
      <c r="R36" s="11" t="n">
        <v>857.13</v>
      </c>
      <c r="S36" s="11" t="n">
        <v>890.24</v>
      </c>
      <c r="T36" s="11" t="n">
        <v>986.3099999999999</v>
      </c>
      <c r="U36" s="11" t="n">
        <v>1019.98</v>
      </c>
      <c r="V36" s="11" t="n">
        <v>1059.63</v>
      </c>
      <c r="W36" s="11" t="n">
        <v>752.78</v>
      </c>
      <c r="X36" s="11" t="n">
        <v>564.13</v>
      </c>
      <c r="Y36" s="11" t="n">
        <v>601.12</v>
      </c>
      <c r="Z36" s="11" t="n">
        <v>798.1799999999999</v>
      </c>
      <c r="AA36" s="11" t="n">
        <v>900.62</v>
      </c>
      <c r="AB36" s="11" t="n">
        <v>984.41</v>
      </c>
      <c r="AC36" s="11" t="n">
        <v>920.42</v>
      </c>
      <c r="AD36" s="11" t="n">
        <v>986.3099999999999</v>
      </c>
    </row>
    <row r="37">
      <c r="A37" s="10" t="inlineStr">
        <is>
          <t>유동부채 합계</t>
        </is>
      </c>
      <c r="C37" s="11" t="n">
        <v>1616</v>
      </c>
      <c r="D37" s="11" t="n">
        <v>1776.02</v>
      </c>
      <c r="E37" s="11" t="n">
        <v>1600.27</v>
      </c>
      <c r="F37" s="11" t="n">
        <v>1765.53</v>
      </c>
      <c r="G37" s="11" t="n">
        <v>1907.5</v>
      </c>
      <c r="H37" s="11" t="n">
        <v>1839.55</v>
      </c>
      <c r="I37" s="11" t="n">
        <v>1634.33</v>
      </c>
      <c r="J37" s="11" t="n">
        <v>1734.11</v>
      </c>
      <c r="K37" s="11" t="n">
        <v>1457.09</v>
      </c>
      <c r="L37" s="11" t="n">
        <v>1568.9</v>
      </c>
      <c r="M37" s="11" t="n">
        <v>1565.71</v>
      </c>
      <c r="N37" s="11" t="n">
        <v>1526.35</v>
      </c>
      <c r="O37" s="11" t="n">
        <v>1613.43</v>
      </c>
      <c r="P37" s="11" t="n">
        <v>1575.86</v>
      </c>
      <c r="Q37" s="11" t="n">
        <v>1376.76</v>
      </c>
      <c r="R37" s="11" t="n">
        <v>1546.06</v>
      </c>
      <c r="S37" s="11" t="n">
        <v>1705.97</v>
      </c>
      <c r="T37" s="11" t="n">
        <v>1794.57</v>
      </c>
      <c r="U37" s="11" t="n">
        <v>1712.96</v>
      </c>
      <c r="V37" s="11" t="n">
        <v>1960.33</v>
      </c>
      <c r="W37" s="11" t="n">
        <v>1350.67</v>
      </c>
      <c r="X37" s="11" t="n">
        <v>1009.63</v>
      </c>
      <c r="Y37" s="11" t="n">
        <v>1351.18</v>
      </c>
      <c r="Z37" s="11" t="n">
        <v>1776.02</v>
      </c>
      <c r="AA37" s="11" t="n">
        <v>1839.55</v>
      </c>
      <c r="AB37" s="11" t="n">
        <v>1568.9</v>
      </c>
      <c r="AC37" s="11" t="n">
        <v>1575.86</v>
      </c>
      <c r="AD37" s="11" t="n">
        <v>1794.57</v>
      </c>
    </row>
    <row r="38">
      <c r="A38" s="10" t="inlineStr">
        <is>
          <t>퇴직급여부채</t>
        </is>
      </c>
      <c r="C38" s="11" t="n">
        <v>504.18</v>
      </c>
      <c r="D38" s="11" t="n">
        <v>516.9299999999999</v>
      </c>
      <c r="E38" s="11" t="n">
        <v>523.9299999999999</v>
      </c>
      <c r="F38" s="11" t="n">
        <v>530.15</v>
      </c>
      <c r="G38" s="11" t="n">
        <v>529.22</v>
      </c>
      <c r="H38" s="11" t="n">
        <v>552.01</v>
      </c>
      <c r="I38" s="11" t="n">
        <v>557.88</v>
      </c>
      <c r="J38" s="11" t="n">
        <v>560.77</v>
      </c>
      <c r="K38" s="11" t="n">
        <v>559.49</v>
      </c>
      <c r="L38" s="11" t="n">
        <v>424.37</v>
      </c>
      <c r="M38" s="11" t="n">
        <v>428.12</v>
      </c>
      <c r="N38" s="11" t="n">
        <v>424.02</v>
      </c>
      <c r="O38" s="11" t="n">
        <v>429.71</v>
      </c>
      <c r="P38" s="11" t="n">
        <v>312.08</v>
      </c>
      <c r="Q38" s="11" t="n">
        <v>321.05</v>
      </c>
      <c r="R38" s="11" t="n">
        <v>326.42</v>
      </c>
      <c r="S38" s="11" t="n">
        <v>329.15</v>
      </c>
      <c r="T38" s="11" t="n">
        <v>201.91</v>
      </c>
      <c r="U38" s="11" t="n">
        <v>195.36</v>
      </c>
      <c r="V38" s="11" t="n">
        <v>193.86</v>
      </c>
      <c r="W38" s="11" t="n">
        <v>420.97</v>
      </c>
      <c r="X38" s="11" t="n">
        <v>446.52</v>
      </c>
      <c r="Y38" s="11" t="n">
        <v>493.79</v>
      </c>
      <c r="Z38" s="11" t="n">
        <v>516.9299999999999</v>
      </c>
      <c r="AA38" s="11" t="n">
        <v>552.01</v>
      </c>
      <c r="AB38" s="11" t="n">
        <v>424.37</v>
      </c>
      <c r="AC38" s="11" t="n">
        <v>312.08</v>
      </c>
      <c r="AD38" s="11" t="n">
        <v>201.91</v>
      </c>
    </row>
    <row r="39">
      <c r="A39" s="10" t="inlineStr">
        <is>
          <t>기타</t>
        </is>
      </c>
      <c r="C39" s="11" t="n">
        <v>48.95</v>
      </c>
      <c r="D39" s="11" t="n">
        <v>47.9</v>
      </c>
      <c r="E39" s="11" t="n">
        <v>59.87</v>
      </c>
      <c r="F39" s="11" t="n">
        <v>58.51</v>
      </c>
      <c r="G39" s="11" t="n">
        <v>57.31</v>
      </c>
      <c r="H39" s="11" t="n">
        <v>68.25</v>
      </c>
      <c r="I39" s="11" t="n">
        <v>82.27</v>
      </c>
      <c r="J39" s="11" t="n">
        <v>80.72</v>
      </c>
      <c r="K39" s="11" t="n">
        <v>74.88</v>
      </c>
      <c r="L39" s="11" t="n">
        <v>75.09999999999999</v>
      </c>
      <c r="M39" s="11" t="n">
        <v>76.15000000000001</v>
      </c>
      <c r="N39" s="11" t="n">
        <v>77.90000000000001</v>
      </c>
      <c r="O39" s="11" t="n">
        <v>81.23</v>
      </c>
      <c r="P39" s="11" t="n">
        <v>83.47</v>
      </c>
      <c r="Q39" s="11" t="n">
        <v>76.69</v>
      </c>
      <c r="R39" s="11" t="n">
        <v>78.95</v>
      </c>
      <c r="S39" s="11" t="n">
        <v>78.28</v>
      </c>
      <c r="T39" s="11" t="n">
        <v>81.05</v>
      </c>
      <c r="U39" s="11" t="n">
        <v>80.43000000000001</v>
      </c>
      <c r="V39" s="11" t="n">
        <v>72.95999999999999</v>
      </c>
      <c r="W39" s="11" t="n">
        <v>30.3</v>
      </c>
      <c r="X39" s="11" t="n">
        <v>40.19</v>
      </c>
      <c r="Y39" s="11" t="n">
        <v>51.4</v>
      </c>
      <c r="Z39" s="11" t="n">
        <v>47.9</v>
      </c>
      <c r="AA39" s="11" t="n">
        <v>68.25</v>
      </c>
      <c r="AB39" s="11" t="n">
        <v>75.09999999999999</v>
      </c>
      <c r="AC39" s="11" t="n">
        <v>83.47</v>
      </c>
      <c r="AD39" s="11" t="n">
        <v>81.05</v>
      </c>
    </row>
    <row r="40">
      <c r="A40" s="10" t="inlineStr">
        <is>
          <t>비유동부채 합계</t>
        </is>
      </c>
      <c r="C40" s="11" t="n">
        <v>553.13</v>
      </c>
      <c r="D40" s="11" t="n">
        <v>564.83</v>
      </c>
      <c r="E40" s="11" t="n">
        <v>583.8</v>
      </c>
      <c r="F40" s="11" t="n">
        <v>588.66</v>
      </c>
      <c r="G40" s="11" t="n">
        <v>586.53</v>
      </c>
      <c r="H40" s="11" t="n">
        <v>620.26</v>
      </c>
      <c r="I40" s="11" t="n">
        <v>640.15</v>
      </c>
      <c r="J40" s="11" t="n">
        <v>641.49</v>
      </c>
      <c r="K40" s="11" t="n">
        <v>634.37</v>
      </c>
      <c r="L40" s="11" t="n">
        <v>499.47</v>
      </c>
      <c r="M40" s="11" t="n">
        <v>504.27</v>
      </c>
      <c r="N40" s="11" t="n">
        <v>501.92</v>
      </c>
      <c r="O40" s="11" t="n">
        <v>510.94</v>
      </c>
      <c r="P40" s="11" t="n">
        <v>395.55</v>
      </c>
      <c r="Q40" s="11" t="n">
        <v>397.74</v>
      </c>
      <c r="R40" s="11" t="n">
        <v>405.37</v>
      </c>
      <c r="S40" s="11" t="n">
        <v>407.43</v>
      </c>
      <c r="T40" s="11" t="n">
        <v>282.96</v>
      </c>
      <c r="U40" s="11" t="n">
        <v>275.79</v>
      </c>
      <c r="V40" s="11" t="n">
        <v>266.82</v>
      </c>
      <c r="W40" s="11" t="n">
        <v>451.27</v>
      </c>
      <c r="X40" s="11" t="n">
        <v>486.71</v>
      </c>
      <c r="Y40" s="11" t="n">
        <v>545.1900000000001</v>
      </c>
      <c r="Z40" s="11" t="n">
        <v>564.83</v>
      </c>
      <c r="AA40" s="11" t="n">
        <v>620.26</v>
      </c>
      <c r="AB40" s="11" t="n">
        <v>499.47</v>
      </c>
      <c r="AC40" s="11" t="n">
        <v>395.55</v>
      </c>
      <c r="AD40" s="11" t="n">
        <v>282.96</v>
      </c>
    </row>
    <row r="41">
      <c r="A41" s="10" t="inlineStr">
        <is>
          <t>부채 합계</t>
        </is>
      </c>
      <c r="C41" s="11" t="n">
        <v>2169.13</v>
      </c>
      <c r="D41" s="11" t="n">
        <v>2340.85</v>
      </c>
      <c r="E41" s="11" t="n">
        <v>2184.07</v>
      </c>
      <c r="F41" s="11" t="n">
        <v>2354.19</v>
      </c>
      <c r="G41" s="11" t="n">
        <v>2494.03</v>
      </c>
      <c r="H41" s="11" t="n">
        <v>2459.81</v>
      </c>
      <c r="I41" s="11" t="n">
        <v>2274.48</v>
      </c>
      <c r="J41" s="11" t="n">
        <v>2375.6</v>
      </c>
      <c r="K41" s="11" t="n">
        <v>2091.46</v>
      </c>
      <c r="L41" s="11" t="n">
        <v>2068.37</v>
      </c>
      <c r="M41" s="11" t="n">
        <v>2069.98</v>
      </c>
      <c r="N41" s="11" t="n">
        <v>2028.27</v>
      </c>
      <c r="O41" s="11" t="n">
        <v>2124.37</v>
      </c>
      <c r="P41" s="11" t="n">
        <v>1971.41</v>
      </c>
      <c r="Q41" s="11" t="n">
        <v>1774.5</v>
      </c>
      <c r="R41" s="11" t="n">
        <v>1951.43</v>
      </c>
      <c r="S41" s="11" t="n">
        <v>2113.4</v>
      </c>
      <c r="T41" s="11" t="n">
        <v>2077.53</v>
      </c>
      <c r="U41" s="11" t="n">
        <v>1988.75</v>
      </c>
      <c r="V41" s="11" t="n">
        <v>2227.15</v>
      </c>
      <c r="W41" s="11" t="n">
        <v>1801.94</v>
      </c>
      <c r="X41" s="11" t="n">
        <v>1496.34</v>
      </c>
      <c r="Y41" s="11" t="n">
        <v>1896.37</v>
      </c>
      <c r="Z41" s="11" t="n">
        <v>2340.85</v>
      </c>
      <c r="AA41" s="11" t="n">
        <v>2459.81</v>
      </c>
      <c r="AB41" s="11" t="n">
        <v>2068.37</v>
      </c>
      <c r="AC41" s="11" t="n">
        <v>1971.41</v>
      </c>
      <c r="AD41" s="11" t="n">
        <v>2077.53</v>
      </c>
    </row>
    <row r="42">
      <c r="A42" s="10" t="inlineStr">
        <is>
          <t>자본금</t>
        </is>
      </c>
      <c r="C42" s="11" t="n">
        <v>690.14</v>
      </c>
      <c r="D42" s="11" t="n">
        <v>690.14</v>
      </c>
      <c r="E42" s="11" t="n">
        <v>690.14</v>
      </c>
      <c r="F42" s="11" t="n">
        <v>690.14</v>
      </c>
      <c r="G42" s="11" t="n">
        <v>690.14</v>
      </c>
      <c r="H42" s="11" t="n">
        <v>690.14</v>
      </c>
      <c r="I42" s="11" t="n">
        <v>690.14</v>
      </c>
      <c r="J42" s="11" t="n">
        <v>690.14</v>
      </c>
      <c r="K42" s="11" t="n">
        <v>690.14</v>
      </c>
      <c r="L42" s="11" t="n">
        <v>690.14</v>
      </c>
      <c r="M42" s="11" t="n">
        <v>690.14</v>
      </c>
      <c r="N42" s="11" t="n">
        <v>690.14</v>
      </c>
      <c r="O42" s="11" t="n">
        <v>690.14</v>
      </c>
      <c r="P42" s="11" t="n">
        <v>690.14</v>
      </c>
      <c r="Q42" s="11" t="n">
        <v>690.14</v>
      </c>
      <c r="R42" s="11" t="n">
        <v>690.14</v>
      </c>
      <c r="S42" s="11" t="n">
        <v>690.14</v>
      </c>
      <c r="T42" s="11" t="n">
        <v>690.14</v>
      </c>
      <c r="U42" s="11" t="n">
        <v>690.14</v>
      </c>
      <c r="V42" s="11" t="n">
        <v>690.14</v>
      </c>
      <c r="W42" s="11" t="n">
        <v>690.14</v>
      </c>
      <c r="X42" s="11" t="n">
        <v>690.14</v>
      </c>
      <c r="Y42" s="11" t="n">
        <v>690.14</v>
      </c>
      <c r="Z42" s="11" t="n">
        <v>690.14</v>
      </c>
      <c r="AA42" s="11" t="n">
        <v>690.14</v>
      </c>
      <c r="AB42" s="11" t="n">
        <v>690.14</v>
      </c>
      <c r="AC42" s="11" t="n">
        <v>690.14</v>
      </c>
      <c r="AD42" s="11" t="n">
        <v>690.14</v>
      </c>
    </row>
    <row r="43">
      <c r="A43" s="10" t="inlineStr">
        <is>
          <t>자본잉여금</t>
        </is>
      </c>
      <c r="C43" s="11" t="n">
        <v>962.15</v>
      </c>
      <c r="D43" s="11" t="n">
        <v>960.8200000000001</v>
      </c>
      <c r="E43" s="11" t="n">
        <v>960.8200000000001</v>
      </c>
      <c r="F43" s="11" t="n">
        <v>962.63</v>
      </c>
      <c r="G43" s="11" t="n">
        <v>962.64</v>
      </c>
      <c r="H43" s="11" t="n">
        <v>962.65</v>
      </c>
      <c r="I43" s="11" t="n">
        <v>959.95</v>
      </c>
      <c r="J43" s="11" t="n">
        <v>961.45</v>
      </c>
      <c r="K43" s="11" t="n">
        <v>959.95</v>
      </c>
      <c r="L43" s="11" t="n">
        <v>959.95</v>
      </c>
      <c r="M43" s="11" t="n">
        <v>959.95</v>
      </c>
      <c r="N43" s="11" t="n">
        <v>959.95</v>
      </c>
      <c r="O43" s="11" t="n">
        <v>959.95</v>
      </c>
      <c r="P43" s="11" t="n">
        <v>959.95</v>
      </c>
      <c r="Q43" s="11" t="n">
        <v>959.95</v>
      </c>
      <c r="R43" s="11" t="n">
        <v>959.95</v>
      </c>
      <c r="S43" s="11" t="n">
        <v>959.95</v>
      </c>
      <c r="T43" s="11" t="n">
        <v>959.95</v>
      </c>
      <c r="U43" s="11" t="n">
        <v>959.95</v>
      </c>
      <c r="V43" s="11" t="n">
        <v>959.95</v>
      </c>
      <c r="W43" s="11" t="n">
        <v>962.65</v>
      </c>
      <c r="X43" s="11" t="n">
        <v>962.65</v>
      </c>
      <c r="Y43" s="11" t="n">
        <v>959.95</v>
      </c>
      <c r="Z43" s="11" t="n">
        <v>960.8200000000001</v>
      </c>
      <c r="AA43" s="11" t="n">
        <v>962.65</v>
      </c>
      <c r="AB43" s="11" t="n">
        <v>959.95</v>
      </c>
      <c r="AC43" s="11" t="n">
        <v>959.95</v>
      </c>
      <c r="AD43" s="11" t="n">
        <v>959.95</v>
      </c>
    </row>
    <row r="44">
      <c r="A44" s="10" t="inlineStr">
        <is>
          <t>이익잉여금</t>
        </is>
      </c>
      <c r="C44" s="11" t="n">
        <v>14049.25</v>
      </c>
      <c r="D44" s="11" t="n">
        <v>14415.59</v>
      </c>
      <c r="E44" s="11" t="n">
        <v>14377.06</v>
      </c>
      <c r="F44" s="11" t="n">
        <v>14797.97</v>
      </c>
      <c r="G44" s="11" t="n">
        <v>14748.82</v>
      </c>
      <c r="H44" s="11" t="n">
        <v>15156.62</v>
      </c>
      <c r="I44" s="11" t="n">
        <v>14744.9</v>
      </c>
      <c r="J44" s="11" t="n">
        <v>15093.37</v>
      </c>
      <c r="K44" s="11" t="n">
        <v>15055.79</v>
      </c>
      <c r="L44" s="11" t="n">
        <v>15403.98</v>
      </c>
      <c r="M44" s="11" t="n">
        <v>15085.68</v>
      </c>
      <c r="N44" s="11" t="n">
        <v>15497.89</v>
      </c>
      <c r="O44" s="11" t="n">
        <v>15410.06</v>
      </c>
      <c r="P44" s="11" t="n">
        <v>15857.79</v>
      </c>
      <c r="Q44" s="11" t="n">
        <v>15405.81</v>
      </c>
      <c r="R44" s="11" t="n">
        <v>15826.26</v>
      </c>
      <c r="S44" s="11" t="n">
        <v>15717.69</v>
      </c>
      <c r="T44" s="11" t="n">
        <v>16214.5</v>
      </c>
      <c r="U44" s="11" t="n">
        <v>16200.87</v>
      </c>
      <c r="V44" s="11" t="n">
        <v>16817.83</v>
      </c>
      <c r="W44" s="11" t="n">
        <v>13804.39</v>
      </c>
      <c r="X44" s="11" t="n">
        <v>13511.22</v>
      </c>
      <c r="Y44" s="11" t="n">
        <v>13730.18</v>
      </c>
      <c r="Z44" s="11" t="n">
        <v>14415.59</v>
      </c>
      <c r="AA44" s="11" t="n">
        <v>15156.62</v>
      </c>
      <c r="AB44" s="11" t="n">
        <v>15403.98</v>
      </c>
      <c r="AC44" s="11" t="n">
        <v>15857.79</v>
      </c>
      <c r="AD44" s="11" t="n">
        <v>16214.5</v>
      </c>
    </row>
    <row r="45">
      <c r="A45" s="10" t="inlineStr">
        <is>
          <t>자기주식</t>
        </is>
      </c>
      <c r="C45" s="11" t="n">
        <v>-1059.14</v>
      </c>
      <c r="D45" s="11" t="n">
        <v>-1059.5</v>
      </c>
      <c r="E45" s="11" t="n">
        <v>-1161.61</v>
      </c>
      <c r="F45" s="11" t="n">
        <v>-1160.22</v>
      </c>
      <c r="G45" s="11" t="n">
        <v>-1262.51</v>
      </c>
      <c r="H45" s="11" t="n">
        <v>-1302.06</v>
      </c>
      <c r="I45" s="11" t="n">
        <v>-1153.3</v>
      </c>
      <c r="J45" s="11" t="n">
        <v>-1161.79</v>
      </c>
      <c r="K45" s="11" t="n">
        <v>-1400.15</v>
      </c>
      <c r="L45" s="11" t="n">
        <v>-1435.73</v>
      </c>
      <c r="M45" s="11" t="n">
        <v>-1244.38</v>
      </c>
      <c r="N45" s="11" t="n">
        <v>-1645.65</v>
      </c>
      <c r="O45" s="11" t="n">
        <v>-1738.57</v>
      </c>
      <c r="P45" s="11" t="n">
        <v>-1738.59</v>
      </c>
      <c r="Q45" s="11" t="n">
        <v>-1379.1</v>
      </c>
      <c r="R45" s="11" t="n">
        <v>-1377.95</v>
      </c>
      <c r="S45" s="11" t="n">
        <v>-1377.99</v>
      </c>
      <c r="T45" s="11" t="n">
        <v>-1378.02</v>
      </c>
      <c r="U45" s="11" t="n">
        <v>-1374.98</v>
      </c>
      <c r="V45" s="11" t="n">
        <v>-1874.3</v>
      </c>
      <c r="W45" s="11" t="n">
        <v>-910.4</v>
      </c>
      <c r="X45" s="11" t="n">
        <v>-1278.22</v>
      </c>
      <c r="Y45" s="11" t="n">
        <v>-1060.08</v>
      </c>
      <c r="Z45" s="11" t="n">
        <v>-1059.5</v>
      </c>
      <c r="AA45" s="11" t="n">
        <v>-1302.06</v>
      </c>
      <c r="AB45" s="11" t="n">
        <v>-1435.73</v>
      </c>
      <c r="AC45" s="11" t="n">
        <v>-1738.59</v>
      </c>
      <c r="AD45" s="11" t="n">
        <v>-1378.02</v>
      </c>
    </row>
    <row r="46">
      <c r="A46" s="10" t="inlineStr">
        <is>
          <t>주주자본 합계</t>
        </is>
      </c>
      <c r="C46" s="11" t="n">
        <v>14642.4</v>
      </c>
      <c r="D46" s="11" t="n">
        <v>15007.05</v>
      </c>
      <c r="E46" s="11" t="n">
        <v>14866.41</v>
      </c>
      <c r="F46" s="11" t="n">
        <v>15290.52</v>
      </c>
      <c r="G46" s="11" t="n">
        <v>15139.09</v>
      </c>
      <c r="H46" s="11" t="n">
        <v>15507.35</v>
      </c>
      <c r="I46" s="11" t="n">
        <v>15241.69</v>
      </c>
      <c r="J46" s="11" t="n">
        <v>15583.17</v>
      </c>
      <c r="K46" s="11" t="n">
        <v>15305.73</v>
      </c>
      <c r="L46" s="11" t="n">
        <v>15618.34</v>
      </c>
      <c r="M46" s="11" t="n">
        <v>15491.39</v>
      </c>
      <c r="N46" s="11" t="n">
        <v>15502.33</v>
      </c>
      <c r="O46" s="11" t="n">
        <v>15321.58</v>
      </c>
      <c r="P46" s="11" t="n">
        <v>15769.29</v>
      </c>
      <c r="Q46" s="11" t="n">
        <v>15676.8</v>
      </c>
      <c r="R46" s="11" t="n">
        <v>16098.4</v>
      </c>
      <c r="S46" s="11" t="n">
        <v>15989.79</v>
      </c>
      <c r="T46" s="11" t="n">
        <v>16486.57</v>
      </c>
      <c r="U46" s="11" t="n">
        <v>16475.98</v>
      </c>
      <c r="V46" s="11" t="n">
        <v>16593.62</v>
      </c>
      <c r="W46" s="11" t="n">
        <v>14546.78</v>
      </c>
      <c r="X46" s="11" t="n">
        <v>13885.79</v>
      </c>
      <c r="Y46" s="11" t="n">
        <v>14320.19</v>
      </c>
      <c r="Z46" s="11" t="n">
        <v>15007.05</v>
      </c>
      <c r="AA46" s="11" t="n">
        <v>15507.35</v>
      </c>
      <c r="AB46" s="11" t="n">
        <v>15618.34</v>
      </c>
      <c r="AC46" s="11" t="n">
        <v>15769.29</v>
      </c>
      <c r="AD46" s="11" t="n">
        <v>16486.57</v>
      </c>
    </row>
    <row r="47">
      <c r="A47" s="10" t="inlineStr">
        <is>
          <t>기타유가증권 평가차액</t>
        </is>
      </c>
      <c r="C47" s="11" t="n">
        <v>161.25</v>
      </c>
      <c r="D47" s="11" t="n">
        <v>152.04</v>
      </c>
      <c r="E47" s="11" t="n">
        <v>139.99</v>
      </c>
      <c r="F47" s="11" t="n">
        <v>127.37</v>
      </c>
      <c r="G47" s="11" t="n">
        <v>132.25</v>
      </c>
      <c r="H47" s="11" t="n">
        <v>137.18</v>
      </c>
      <c r="I47" s="11" t="n">
        <v>160.09</v>
      </c>
      <c r="J47" s="11" t="n">
        <v>159.83</v>
      </c>
      <c r="K47" s="11" t="n">
        <v>146.98</v>
      </c>
      <c r="L47" s="11" t="n">
        <v>217.4</v>
      </c>
      <c r="M47" s="11" t="n">
        <v>205.13</v>
      </c>
      <c r="N47" s="11" t="n">
        <v>183.88</v>
      </c>
      <c r="O47" s="11" t="n">
        <v>196.82</v>
      </c>
      <c r="P47" s="11" t="n">
        <v>147.95</v>
      </c>
      <c r="Q47" s="11" t="n">
        <v>159.29</v>
      </c>
      <c r="R47" s="11" t="n">
        <v>253.31</v>
      </c>
      <c r="S47" s="11" t="n">
        <v>305.59</v>
      </c>
      <c r="T47" s="11" t="n">
        <v>288.17</v>
      </c>
      <c r="U47" s="11" t="n">
        <v>429.45</v>
      </c>
      <c r="V47" s="11" t="n">
        <v>399.06</v>
      </c>
      <c r="W47" s="11" t="n">
        <v>91.11</v>
      </c>
      <c r="X47" s="11" t="n">
        <v>50.58</v>
      </c>
      <c r="Y47" s="11" t="n">
        <v>169.1</v>
      </c>
      <c r="Z47" s="11" t="n">
        <v>152.04</v>
      </c>
      <c r="AA47" s="11" t="n">
        <v>137.18</v>
      </c>
      <c r="AB47" s="11" t="n">
        <v>217.4</v>
      </c>
      <c r="AC47" s="11" t="n">
        <v>147.95</v>
      </c>
      <c r="AD47" s="11" t="n">
        <v>288.17</v>
      </c>
    </row>
    <row r="48">
      <c r="A48" s="10" t="inlineStr">
        <is>
          <t>해외사업환산조정</t>
        </is>
      </c>
      <c r="C48" s="11" t="n">
        <v>104.59</v>
      </c>
      <c r="D48" s="11" t="n">
        <v>360.87</v>
      </c>
      <c r="E48" s="11" t="n">
        <v>782.27</v>
      </c>
      <c r="F48" s="11" t="n">
        <v>911.85</v>
      </c>
      <c r="G48" s="11" t="n">
        <v>707.16</v>
      </c>
      <c r="H48" s="11" t="n">
        <v>679.37</v>
      </c>
      <c r="I48" s="11" t="n">
        <v>1054.49</v>
      </c>
      <c r="J48" s="11" t="n">
        <v>1179.73</v>
      </c>
      <c r="K48" s="11" t="n">
        <v>1085.15</v>
      </c>
      <c r="L48" s="11" t="n">
        <v>1277.54</v>
      </c>
      <c r="M48" s="11" t="n">
        <v>1679.69</v>
      </c>
      <c r="N48" s="11" t="n">
        <v>1218.11</v>
      </c>
      <c r="O48" s="11" t="n">
        <v>1421.2</v>
      </c>
      <c r="P48" s="11" t="n">
        <v>1279.08</v>
      </c>
      <c r="Q48" s="11" t="n">
        <v>1228.1</v>
      </c>
      <c r="R48" s="11" t="n">
        <v>1299.34</v>
      </c>
      <c r="S48" s="11" t="n">
        <v>1605.96</v>
      </c>
      <c r="T48" s="11" t="n">
        <v>1734.87</v>
      </c>
      <c r="U48" s="11" t="n">
        <v>1885.44</v>
      </c>
      <c r="V48" s="11" t="n">
        <v>1807.93</v>
      </c>
      <c r="W48" s="11" t="n">
        <v>-66.77</v>
      </c>
      <c r="X48" s="11" t="n">
        <v>-266.08</v>
      </c>
      <c r="Y48" s="11" t="n">
        <v>-48.49</v>
      </c>
      <c r="Z48" s="11" t="n">
        <v>360.87</v>
      </c>
      <c r="AA48" s="11" t="n">
        <v>679.37</v>
      </c>
      <c r="AB48" s="11" t="n">
        <v>1277.54</v>
      </c>
      <c r="AC48" s="11" t="n">
        <v>1279.08</v>
      </c>
      <c r="AD48" s="11" t="n">
        <v>1734.87</v>
      </c>
    </row>
    <row r="49">
      <c r="A49" s="10" t="inlineStr">
        <is>
          <t>퇴직급여 조정누계액</t>
        </is>
      </c>
      <c r="C49" s="11" t="n">
        <v>-168.46</v>
      </c>
      <c r="D49" s="11" t="n">
        <v>-161.87</v>
      </c>
      <c r="E49" s="11" t="n">
        <v>-161.94</v>
      </c>
      <c r="F49" s="11" t="n">
        <v>-158.95</v>
      </c>
      <c r="G49" s="11" t="n">
        <v>-146.76</v>
      </c>
      <c r="H49" s="11" t="n">
        <v>-170.14</v>
      </c>
      <c r="I49" s="11" t="n">
        <v>-162.35</v>
      </c>
      <c r="J49" s="11" t="n">
        <v>-157.15</v>
      </c>
      <c r="K49" s="11" t="n">
        <v>-145.54</v>
      </c>
      <c r="L49" s="11" t="n">
        <v>-57.72</v>
      </c>
      <c r="M49" s="11" t="n">
        <v>-58.69</v>
      </c>
      <c r="N49" s="11" t="n">
        <v>-43.31</v>
      </c>
      <c r="O49" s="11" t="n">
        <v>-47.57</v>
      </c>
      <c r="P49" s="11" t="n">
        <v>49.13</v>
      </c>
      <c r="Q49" s="11" t="n">
        <v>53.4</v>
      </c>
      <c r="R49" s="11" t="n">
        <v>53.23</v>
      </c>
      <c r="S49" s="11" t="n">
        <v>51.4</v>
      </c>
      <c r="T49" s="11" t="n">
        <v>139.1</v>
      </c>
      <c r="U49" s="11" t="n">
        <v>134.13</v>
      </c>
      <c r="V49" s="11" t="n">
        <v>132.81</v>
      </c>
      <c r="W49" s="11" t="n">
        <v>-193.37</v>
      </c>
      <c r="X49" s="11" t="n">
        <v>-119.29</v>
      </c>
      <c r="Y49" s="11" t="n">
        <v>-186.01</v>
      </c>
      <c r="Z49" s="11" t="n">
        <v>-161.87</v>
      </c>
      <c r="AA49" s="11" t="n">
        <v>-170.14</v>
      </c>
      <c r="AB49" s="11" t="n">
        <v>-57.72</v>
      </c>
      <c r="AC49" s="11" t="n">
        <v>49.13</v>
      </c>
      <c r="AD49" s="11" t="n">
        <v>139.1</v>
      </c>
    </row>
    <row r="50">
      <c r="A50" s="10" t="inlineStr">
        <is>
          <t>기타포괄손익누계액 합계</t>
        </is>
      </c>
      <c r="C50" s="11" t="n">
        <v>97.38</v>
      </c>
      <c r="D50" s="11" t="n">
        <v>351.04</v>
      </c>
      <c r="E50" s="11" t="n">
        <v>760.3200000000001</v>
      </c>
      <c r="F50" s="11" t="n">
        <v>880.27</v>
      </c>
      <c r="G50" s="11" t="n">
        <v>692.65</v>
      </c>
      <c r="H50" s="11" t="n">
        <v>646.41</v>
      </c>
      <c r="I50" s="11" t="n">
        <v>1052.23</v>
      </c>
      <c r="J50" s="11" t="n">
        <v>1182.41</v>
      </c>
      <c r="K50" s="11" t="n">
        <v>1086.59</v>
      </c>
      <c r="L50" s="11" t="n">
        <v>1437.22</v>
      </c>
      <c r="M50" s="11" t="n">
        <v>1826.13</v>
      </c>
      <c r="N50" s="11" t="n">
        <v>1358.68</v>
      </c>
      <c r="O50" s="11" t="n">
        <v>1570.45</v>
      </c>
      <c r="P50" s="11" t="n">
        <v>1476.16</v>
      </c>
      <c r="Q50" s="11" t="n">
        <v>1440.79</v>
      </c>
      <c r="R50" s="11" t="n">
        <v>1605.88</v>
      </c>
      <c r="S50" s="11" t="n">
        <v>1962.95</v>
      </c>
      <c r="T50" s="11" t="n">
        <v>2162.14</v>
      </c>
      <c r="U50" s="11" t="n">
        <v>2449.02</v>
      </c>
      <c r="V50" s="11" t="n">
        <v>2339.8</v>
      </c>
      <c r="W50" s="11" t="n">
        <v>-169.03</v>
      </c>
      <c r="X50" s="11" t="n">
        <v>-334.79</v>
      </c>
      <c r="Y50" s="11" t="n">
        <v>-65.40000000000001</v>
      </c>
      <c r="Z50" s="11" t="n">
        <v>351.04</v>
      </c>
      <c r="AA50" s="11" t="n">
        <v>646.41</v>
      </c>
      <c r="AB50" s="11" t="n">
        <v>1437.22</v>
      </c>
      <c r="AC50" s="11" t="n">
        <v>1476.16</v>
      </c>
      <c r="AD50" s="11" t="n">
        <v>2162.14</v>
      </c>
    </row>
    <row r="51">
      <c r="A51" s="10" t="inlineStr">
        <is>
          <t>비지배지분</t>
        </is>
      </c>
      <c r="C51" s="11" t="n">
        <v>125.77</v>
      </c>
      <c r="D51" s="11" t="n">
        <v>140.7</v>
      </c>
      <c r="E51" s="11" t="n">
        <v>135.2</v>
      </c>
      <c r="F51" s="11" t="n">
        <v>141.08</v>
      </c>
      <c r="G51" s="11" t="n">
        <v>115.06</v>
      </c>
      <c r="H51" s="11" t="n">
        <v>121.79</v>
      </c>
      <c r="I51" s="11" t="n">
        <v>112.83</v>
      </c>
      <c r="J51" s="11" t="n">
        <v>121.31</v>
      </c>
      <c r="K51" s="11" t="n">
        <v>124.13</v>
      </c>
      <c r="L51" s="11" t="n">
        <v>136.44</v>
      </c>
      <c r="M51" s="11" t="n">
        <v>138.07</v>
      </c>
      <c r="N51" s="11" t="n">
        <v>135.57</v>
      </c>
      <c r="O51" s="11" t="n">
        <v>151.87</v>
      </c>
      <c r="P51" s="11" t="n">
        <v>153.45</v>
      </c>
      <c r="Q51" s="11" t="n">
        <v>142.85</v>
      </c>
      <c r="R51" s="11" t="n">
        <v>154.58</v>
      </c>
      <c r="S51" s="11" t="n">
        <v>169.51</v>
      </c>
      <c r="T51" s="11" t="n">
        <v>180.76</v>
      </c>
      <c r="U51" s="11" t="n">
        <v>173.42</v>
      </c>
      <c r="V51" s="11" t="n">
        <v>186.76</v>
      </c>
      <c r="W51" s="11" t="n">
        <v>73.70999999999999</v>
      </c>
      <c r="X51" s="11" t="n">
        <v>77.65000000000001</v>
      </c>
      <c r="Y51" s="11" t="n">
        <v>100.75</v>
      </c>
      <c r="Z51" s="11" t="n">
        <v>140.7</v>
      </c>
      <c r="AA51" s="11" t="n">
        <v>121.79</v>
      </c>
      <c r="AB51" s="11" t="n">
        <v>136.44</v>
      </c>
      <c r="AC51" s="11" t="n">
        <v>153.45</v>
      </c>
      <c r="AD51" s="11" t="n">
        <v>180.76</v>
      </c>
    </row>
    <row r="52">
      <c r="A52" s="10" t="inlineStr">
        <is>
          <t>순자산 합계</t>
        </is>
      </c>
      <c r="C52" s="11" t="n">
        <v>14865.55</v>
      </c>
      <c r="D52" s="11" t="n">
        <v>15498.79</v>
      </c>
      <c r="E52" s="11" t="n">
        <v>15761.93</v>
      </c>
      <c r="F52" s="11" t="n">
        <v>16311.87</v>
      </c>
      <c r="G52" s="11" t="n">
        <v>15946.8</v>
      </c>
      <c r="H52" s="11" t="n">
        <v>16275.55</v>
      </c>
      <c r="I52" s="11" t="n">
        <v>16406.75</v>
      </c>
      <c r="J52" s="11" t="n">
        <v>16886.89</v>
      </c>
      <c r="K52" s="11" t="n">
        <v>16516.45</v>
      </c>
      <c r="L52" s="11" t="n">
        <v>17192</v>
      </c>
      <c r="M52" s="11" t="n">
        <v>17455.59</v>
      </c>
      <c r="N52" s="11" t="n">
        <v>16996.58</v>
      </c>
      <c r="O52" s="11" t="n">
        <v>17043.9</v>
      </c>
      <c r="P52" s="11" t="n">
        <v>17398.9</v>
      </c>
      <c r="Q52" s="11" t="n">
        <v>17260.44</v>
      </c>
      <c r="R52" s="11" t="n">
        <v>17858.86</v>
      </c>
      <c r="S52" s="11" t="n">
        <v>18122.25</v>
      </c>
      <c r="T52" s="11" t="n">
        <v>18829.47</v>
      </c>
      <c r="U52" s="11" t="n">
        <v>19098.42</v>
      </c>
      <c r="V52" s="11" t="n">
        <v>19120.18</v>
      </c>
      <c r="W52" s="11" t="n">
        <v>14451.46</v>
      </c>
      <c r="X52" s="11" t="n">
        <v>13628.65</v>
      </c>
      <c r="Y52" s="11" t="n">
        <v>14355.54</v>
      </c>
      <c r="Z52" s="11" t="n">
        <v>15498.79</v>
      </c>
      <c r="AA52" s="11" t="n">
        <v>16275.55</v>
      </c>
      <c r="AB52" s="11" t="n">
        <v>17192</v>
      </c>
      <c r="AC52" s="11" t="n">
        <v>17398.9</v>
      </c>
      <c r="AD52" s="11" t="n">
        <v>18829.47</v>
      </c>
    </row>
    <row r="53">
      <c r="A53" s="10" t="inlineStr">
        <is>
          <t>부채·순자산 합계</t>
        </is>
      </c>
      <c r="C53" s="11" t="n">
        <v>17034.68</v>
      </c>
      <c r="D53" s="11" t="n">
        <v>17839.64</v>
      </c>
      <c r="E53" s="11" t="n">
        <v>17946</v>
      </c>
      <c r="F53" s="11" t="n">
        <v>18666.06</v>
      </c>
      <c r="G53" s="11" t="n">
        <v>18440.83</v>
      </c>
      <c r="H53" s="11" t="n">
        <v>18735.36</v>
      </c>
      <c r="I53" s="11" t="n">
        <v>18681.23</v>
      </c>
      <c r="J53" s="11" t="n">
        <v>19262.49</v>
      </c>
      <c r="K53" s="11" t="n">
        <v>18607.91</v>
      </c>
      <c r="L53" s="11" t="n">
        <v>19260.37</v>
      </c>
      <c r="M53" s="11" t="n">
        <v>19525.57</v>
      </c>
      <c r="N53" s="11" t="n">
        <v>19024.85</v>
      </c>
      <c r="O53" s="11" t="n">
        <v>19168.27</v>
      </c>
      <c r="P53" s="11" t="n">
        <v>19370.31</v>
      </c>
      <c r="Q53" s="11" t="n">
        <v>19034.94</v>
      </c>
      <c r="R53" s="11" t="n">
        <v>19810.29</v>
      </c>
      <c r="S53" s="11" t="n">
        <v>20235.65</v>
      </c>
      <c r="T53" s="11" t="n">
        <v>20907</v>
      </c>
      <c r="U53" s="11" t="n">
        <v>21087.17</v>
      </c>
      <c r="V53" s="11" t="n">
        <v>21347.33</v>
      </c>
      <c r="W53" s="11" t="n">
        <v>16253.4</v>
      </c>
      <c r="X53" s="11" t="n">
        <v>15124.99</v>
      </c>
      <c r="Y53" s="11" t="n">
        <v>16251.91</v>
      </c>
      <c r="Z53" s="11" t="n">
        <v>17839.64</v>
      </c>
      <c r="AA53" s="11" t="n">
        <v>18735.36</v>
      </c>
      <c r="AB53" s="11" t="n">
        <v>19260.37</v>
      </c>
      <c r="AC53" s="11" t="n">
        <v>19370.31</v>
      </c>
      <c r="AD53" s="11" t="n">
        <v>20907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3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40" customWidth="1" min="31" max="31"/>
  </cols>
  <sheetData>
    <row r="1">
      <c r="A1" s="1" t="inlineStr">
        <is>
          <t>화낙 현금흐름표</t>
        </is>
      </c>
    </row>
    <row r="2">
      <c r="A2" s="2" t="inlineStr">
        <is>
          <t>결산기 기준(27.2Q = 2027년 결산기 2분기) · 3월 결산 · 연결 · 누계(그 분기까지)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22.3Q</t>
        </is>
      </c>
      <c r="D3" s="4" t="inlineStr">
        <is>
          <t>22.4Q</t>
        </is>
      </c>
      <c r="E3" s="4" t="inlineStr">
        <is>
          <t>23.1Q</t>
        </is>
      </c>
      <c r="F3" s="4" t="inlineStr">
        <is>
          <t>23.2Q</t>
        </is>
      </c>
      <c r="G3" s="4" t="inlineStr">
        <is>
          <t>23.3Q</t>
        </is>
      </c>
      <c r="H3" s="4" t="inlineStr">
        <is>
          <t>23.4Q</t>
        </is>
      </c>
      <c r="I3" s="4" t="inlineStr">
        <is>
          <t>24.1Q</t>
        </is>
      </c>
      <c r="J3" s="4" t="inlineStr">
        <is>
          <t>24.2Q</t>
        </is>
      </c>
      <c r="K3" s="4" t="inlineStr">
        <is>
          <t>24.3Q</t>
        </is>
      </c>
      <c r="L3" s="4" t="inlineStr">
        <is>
          <t>24.4Q</t>
        </is>
      </c>
      <c r="M3" s="4" t="inlineStr">
        <is>
          <t>25.1Q</t>
        </is>
      </c>
      <c r="N3" s="4" t="inlineStr">
        <is>
          <t>25.2Q</t>
        </is>
      </c>
      <c r="O3" s="4" t="inlineStr">
        <is>
          <t>25.3Q</t>
        </is>
      </c>
      <c r="P3" s="4" t="inlineStr">
        <is>
          <t>25.4Q</t>
        </is>
      </c>
      <c r="Q3" s="4" t="inlineStr">
        <is>
          <t>26.1Q</t>
        </is>
      </c>
      <c r="R3" s="4" t="inlineStr">
        <is>
          <t>26.2Q</t>
        </is>
      </c>
      <c r="S3" s="4" t="inlineStr">
        <is>
          <t>26.3Q</t>
        </is>
      </c>
      <c r="T3" s="4" t="inlineStr">
        <is>
          <t>26.4Q</t>
        </is>
      </c>
      <c r="U3" s="4" t="inlineStr">
        <is>
          <t>27.1Q</t>
        </is>
      </c>
      <c r="V3" s="4" t="inlineStr">
        <is>
          <t>27.2Q</t>
        </is>
      </c>
      <c r="W3" s="4" t="inlineStr">
        <is>
          <t>FY19</t>
        </is>
      </c>
      <c r="X3" s="4" t="inlineStr">
        <is>
          <t>FY20</t>
        </is>
      </c>
      <c r="Y3" s="4" t="inlineStr">
        <is>
          <t>FY21</t>
        </is>
      </c>
      <c r="Z3" s="4" t="inlineStr">
        <is>
          <t>FY22</t>
        </is>
      </c>
      <c r="AA3" s="4" t="inlineStr">
        <is>
          <t>FY23</t>
        </is>
      </c>
      <c r="AB3" s="4" t="inlineStr">
        <is>
          <t>FY24</t>
        </is>
      </c>
      <c r="AC3" s="4" t="inlineStr">
        <is>
          <t>FY25</t>
        </is>
      </c>
      <c r="AD3" s="4" t="inlineStr">
        <is>
          <t>FY26</t>
        </is>
      </c>
      <c r="AE3" s="4" t="inlineStr">
        <is>
          <t>출처</t>
        </is>
      </c>
    </row>
    <row r="4">
      <c r="A4" s="10" t="inlineStr">
        <is>
          <t>법인세차감전 순이익</t>
        </is>
      </c>
      <c r="D4" s="11" t="n">
        <v>2129.17</v>
      </c>
      <c r="F4" s="11" t="n">
        <v>1155.47</v>
      </c>
      <c r="H4" s="11" t="n">
        <v>2301.03</v>
      </c>
      <c r="J4" s="11" t="n">
        <v>861.53</v>
      </c>
      <c r="L4" s="11" t="n">
        <v>1817.55</v>
      </c>
      <c r="N4" s="11" t="n">
        <v>947.8</v>
      </c>
      <c r="P4" s="11" t="n">
        <v>1967.38</v>
      </c>
      <c r="R4" s="11" t="n">
        <v>1079.05</v>
      </c>
      <c r="T4" s="11" t="n">
        <v>2274.85</v>
      </c>
      <c r="V4" s="11" t="n">
        <v>1490.45</v>
      </c>
      <c r="W4" s="11" t="n">
        <v>2085.4</v>
      </c>
      <c r="X4" s="11" t="n">
        <v>1008.43</v>
      </c>
      <c r="Y4" s="11" t="n">
        <v>1287.44</v>
      </c>
      <c r="Z4" s="11" t="n">
        <v>2129.17</v>
      </c>
      <c r="AA4" s="11" t="n">
        <v>2301.03</v>
      </c>
      <c r="AB4" s="11" t="n">
        <v>1817.55</v>
      </c>
      <c r="AC4" s="11" t="n">
        <v>1967.38</v>
      </c>
      <c r="AD4" s="11" t="n">
        <v>2274.85</v>
      </c>
      <c r="AE4" s="7" t="inlineStr">
        <is>
          <t>결산단신 XBRL(거래소 공시, TDnet·JPX 보관소). 쓴 문서: 2026-10-23, 2026-07-31, 2026-04-24, 2026-01-26 외 26건 — '출처' 시트에 전부</t>
        </is>
      </c>
    </row>
    <row r="5">
      <c r="A5" s="10" t="inlineStr">
        <is>
          <t>감가상각비</t>
        </is>
      </c>
      <c r="D5" s="11" t="n">
        <v>470.77</v>
      </c>
      <c r="F5" s="11" t="n">
        <v>240.07</v>
      </c>
      <c r="H5" s="11" t="n">
        <v>491.89</v>
      </c>
      <c r="J5" s="11" t="n">
        <v>233.46</v>
      </c>
      <c r="L5" s="11" t="n">
        <v>490.01</v>
      </c>
      <c r="N5" s="11" t="n">
        <v>226.55</v>
      </c>
      <c r="P5" s="11" t="n">
        <v>464.48</v>
      </c>
      <c r="R5" s="11" t="n">
        <v>226.01</v>
      </c>
      <c r="T5" s="11" t="n">
        <v>477.82</v>
      </c>
      <c r="V5" s="11" t="n">
        <v>231.47</v>
      </c>
      <c r="W5" s="11" t="n">
        <v>397.09</v>
      </c>
      <c r="X5" s="11" t="n">
        <v>459.13</v>
      </c>
      <c r="Y5" s="11" t="n">
        <v>451.02</v>
      </c>
      <c r="Z5" s="11" t="n">
        <v>470.77</v>
      </c>
      <c r="AA5" s="11" t="n">
        <v>491.89</v>
      </c>
      <c r="AB5" s="11" t="n">
        <v>490.01</v>
      </c>
      <c r="AC5" s="11" t="n">
        <v>464.48</v>
      </c>
      <c r="AD5" s="11" t="n">
        <v>477.82</v>
      </c>
    </row>
    <row r="6">
      <c r="A6" s="10" t="inlineStr">
        <is>
          <t>손상차손</t>
        </is>
      </c>
      <c r="D6" s="11" t="n">
        <v>0</v>
      </c>
      <c r="H6" s="11" t="n">
        <v>12.24</v>
      </c>
      <c r="L6" s="11" t="n">
        <v>0</v>
      </c>
      <c r="W6" s="11" t="n">
        <v>0</v>
      </c>
      <c r="X6" s="11" t="n">
        <v>19.73</v>
      </c>
      <c r="Y6" s="11" t="n">
        <v>0</v>
      </c>
      <c r="Z6" s="11" t="n">
        <v>0</v>
      </c>
      <c r="AA6" s="11" t="n">
        <v>12.24</v>
      </c>
      <c r="AB6" s="11" t="n">
        <v>0</v>
      </c>
    </row>
    <row r="7">
      <c r="A7" s="10" t="inlineStr">
        <is>
          <t>대손충당금 증감</t>
        </is>
      </c>
      <c r="D7" s="11" t="n">
        <v>1.95</v>
      </c>
      <c r="F7" s="11" t="n">
        <v>0.96</v>
      </c>
      <c r="H7" s="11" t="n">
        <v>3.55</v>
      </c>
      <c r="J7" s="11" t="n">
        <v>-0.23</v>
      </c>
      <c r="L7" s="11" t="n">
        <v>-4.1</v>
      </c>
      <c r="N7" s="11" t="n">
        <v>2.27</v>
      </c>
      <c r="P7" s="11" t="n">
        <v>5.22</v>
      </c>
      <c r="R7" s="11" t="n">
        <v>-1.12</v>
      </c>
      <c r="T7" s="11" t="n">
        <v>0.3</v>
      </c>
      <c r="V7" s="11" t="n">
        <v>1.29</v>
      </c>
      <c r="W7" s="11" t="n">
        <v>-2</v>
      </c>
      <c r="X7" s="11" t="n">
        <v>-2.61</v>
      </c>
      <c r="Y7" s="11" t="n">
        <v>-1.21</v>
      </c>
      <c r="Z7" s="11" t="n">
        <v>1.95</v>
      </c>
      <c r="AA7" s="11" t="n">
        <v>3.55</v>
      </c>
      <c r="AB7" s="11" t="n">
        <v>-4.1</v>
      </c>
      <c r="AC7" s="11" t="n">
        <v>5.22</v>
      </c>
      <c r="AD7" s="11" t="n">
        <v>0.3</v>
      </c>
    </row>
    <row r="8">
      <c r="A8" s="10" t="inlineStr">
        <is>
          <t>퇴직급여부채 증감</t>
        </is>
      </c>
      <c r="D8" s="11" t="n">
        <v>18.51</v>
      </c>
      <c r="F8" s="11" t="n">
        <v>7.77</v>
      </c>
      <c r="H8" s="11" t="n">
        <v>30.53</v>
      </c>
      <c r="J8" s="11" t="n">
        <v>3.54</v>
      </c>
      <c r="L8" s="11" t="n">
        <v>-134.96</v>
      </c>
      <c r="N8" s="11" t="n">
        <v>1.65</v>
      </c>
      <c r="P8" s="11" t="n">
        <v>-111.59</v>
      </c>
      <c r="R8" s="11" t="n">
        <v>10.16</v>
      </c>
      <c r="T8" s="11" t="n">
        <v>-118.38</v>
      </c>
      <c r="V8" s="11" t="n">
        <v>-6.24</v>
      </c>
      <c r="W8" s="11" t="n">
        <v>-253.2</v>
      </c>
      <c r="X8" s="11" t="n">
        <v>27.62</v>
      </c>
      <c r="Y8" s="11" t="n">
        <v>42.52</v>
      </c>
      <c r="Z8" s="11" t="n">
        <v>18.51</v>
      </c>
      <c r="AA8" s="11" t="n">
        <v>30.53</v>
      </c>
      <c r="AB8" s="11" t="n">
        <v>-134.96</v>
      </c>
      <c r="AC8" s="11" t="n">
        <v>-111.59</v>
      </c>
      <c r="AD8" s="11" t="n">
        <v>-118.38</v>
      </c>
    </row>
    <row r="9">
      <c r="A9" s="10" t="inlineStr">
        <is>
          <t>퇴직급여자산 증감</t>
        </is>
      </c>
      <c r="D9" s="11" t="n">
        <v>-22.32</v>
      </c>
      <c r="F9" s="11" t="n">
        <v>9.15</v>
      </c>
      <c r="H9" s="11" t="n">
        <v>31.05</v>
      </c>
      <c r="J9" s="11" t="n">
        <v>12.45</v>
      </c>
      <c r="L9" s="11" t="n">
        <v>41.75</v>
      </c>
      <c r="N9" s="11" t="n">
        <v>10.54</v>
      </c>
      <c r="P9" s="11" t="n">
        <v>5.44</v>
      </c>
      <c r="R9" s="11" t="n">
        <v>2.82</v>
      </c>
      <c r="T9" s="11" t="n">
        <v>6.52</v>
      </c>
      <c r="V9" s="11" t="n">
        <v>6.28</v>
      </c>
      <c r="W9" s="11" t="n">
        <v>-67.31999999999999</v>
      </c>
      <c r="X9" s="11" t="n">
        <v>-74.56</v>
      </c>
      <c r="Y9" s="11" t="n">
        <v>90.40000000000001</v>
      </c>
      <c r="Z9" s="11" t="n">
        <v>-22.32</v>
      </c>
      <c r="AA9" s="11" t="n">
        <v>31.05</v>
      </c>
      <c r="AB9" s="11" t="n">
        <v>41.75</v>
      </c>
      <c r="AC9" s="11" t="n">
        <v>5.44</v>
      </c>
      <c r="AD9" s="11" t="n">
        <v>6.52</v>
      </c>
    </row>
    <row r="10">
      <c r="A10" s="10" t="inlineStr">
        <is>
          <t>이자·배당금 수익</t>
        </is>
      </c>
      <c r="D10" s="11" t="n">
        <v>-31.92</v>
      </c>
      <c r="F10" s="11" t="n">
        <v>-32.16</v>
      </c>
      <c r="H10" s="11" t="n">
        <v>-57.61</v>
      </c>
      <c r="J10" s="11" t="n">
        <v>-38.64</v>
      </c>
      <c r="L10" s="11" t="n">
        <v>-68.22</v>
      </c>
      <c r="N10" s="11" t="n">
        <v>-51.51</v>
      </c>
      <c r="P10" s="11" t="n">
        <v>-94.72</v>
      </c>
      <c r="R10" s="11" t="n">
        <v>-64.40000000000001</v>
      </c>
      <c r="T10" s="11" t="n">
        <v>-109.07</v>
      </c>
      <c r="V10" s="11" t="n">
        <v>-76.40000000000001</v>
      </c>
      <c r="W10" s="11" t="n">
        <v>-57.05</v>
      </c>
      <c r="X10" s="11" t="n">
        <v>-53.05</v>
      </c>
      <c r="Y10" s="11" t="n">
        <v>-34.27</v>
      </c>
      <c r="Z10" s="11" t="n">
        <v>-31.92</v>
      </c>
      <c r="AA10" s="11" t="n">
        <v>-57.61</v>
      </c>
      <c r="AB10" s="11" t="n">
        <v>-68.22</v>
      </c>
      <c r="AC10" s="11" t="n">
        <v>-94.72</v>
      </c>
      <c r="AD10" s="11" t="n">
        <v>-109.07</v>
      </c>
    </row>
    <row r="11">
      <c r="A11" s="10" t="inlineStr">
        <is>
          <t>지분법손익</t>
        </is>
      </c>
      <c r="D11" s="11" t="n">
        <v>-231.26</v>
      </c>
      <c r="F11" s="11" t="n">
        <v>-158.16</v>
      </c>
      <c r="H11" s="11" t="n">
        <v>-323.71</v>
      </c>
      <c r="J11" s="11" t="n">
        <v>-143.58</v>
      </c>
      <c r="L11" s="11" t="n">
        <v>-275.4</v>
      </c>
      <c r="N11" s="11" t="n">
        <v>-139.42</v>
      </c>
      <c r="P11" s="11" t="n">
        <v>-280.4</v>
      </c>
      <c r="R11" s="11" t="n">
        <v>-147.25</v>
      </c>
      <c r="T11" s="11" t="n">
        <v>-305.31</v>
      </c>
      <c r="V11" s="11" t="n">
        <v>-229.77</v>
      </c>
      <c r="W11" s="11" t="n">
        <v>-142.43</v>
      </c>
      <c r="X11" s="11" t="n">
        <v>-87.52</v>
      </c>
      <c r="Y11" s="11" t="n">
        <v>-116.4</v>
      </c>
      <c r="Z11" s="11" t="n">
        <v>-231.26</v>
      </c>
      <c r="AA11" s="11" t="n">
        <v>-323.71</v>
      </c>
      <c r="AB11" s="11" t="n">
        <v>-275.4</v>
      </c>
      <c r="AC11" s="11" t="n">
        <v>-280.4</v>
      </c>
      <c r="AD11" s="11" t="n">
        <v>-305.31</v>
      </c>
    </row>
    <row r="12">
      <c r="A12" s="10" t="inlineStr">
        <is>
          <t>매출채권 증감</t>
        </is>
      </c>
      <c r="D12" s="11" t="n">
        <v>-144.98</v>
      </c>
      <c r="F12" s="11" t="n">
        <v>40.64</v>
      </c>
      <c r="H12" s="11" t="n">
        <v>-33.75</v>
      </c>
      <c r="J12" s="11" t="n">
        <v>246.57</v>
      </c>
      <c r="L12" s="11" t="n">
        <v>247.98</v>
      </c>
      <c r="N12" s="11" t="n">
        <v>246.18</v>
      </c>
      <c r="P12" s="11" t="n">
        <v>-46.13</v>
      </c>
      <c r="R12" s="11" t="n">
        <v>40.02</v>
      </c>
      <c r="T12" s="11" t="n">
        <v>-6.58</v>
      </c>
      <c r="V12" s="11" t="n">
        <v>111.72</v>
      </c>
      <c r="W12" s="11" t="n">
        <v>675</v>
      </c>
      <c r="X12" s="11" t="n">
        <v>183.58</v>
      </c>
      <c r="Y12" s="11" t="n">
        <v>-371.22</v>
      </c>
      <c r="Z12" s="11" t="n">
        <v>-144.98</v>
      </c>
      <c r="AA12" s="11" t="n">
        <v>-33.75</v>
      </c>
      <c r="AB12" s="11" t="n">
        <v>247.98</v>
      </c>
      <c r="AC12" s="11" t="n">
        <v>-46.13</v>
      </c>
      <c r="AD12" s="11" t="n">
        <v>-6.58</v>
      </c>
    </row>
    <row r="13">
      <c r="A13" s="10" t="inlineStr">
        <is>
          <t>재고자산 증감</t>
        </is>
      </c>
      <c r="D13" s="11" t="n">
        <v>-747.4</v>
      </c>
      <c r="F13" s="11" t="n">
        <v>-493.83</v>
      </c>
      <c r="H13" s="11" t="n">
        <v>-911.1900000000001</v>
      </c>
      <c r="J13" s="11" t="n">
        <v>-150.92</v>
      </c>
      <c r="L13" s="11" t="n">
        <v>125.56</v>
      </c>
      <c r="N13" s="11" t="n">
        <v>215.61</v>
      </c>
      <c r="P13" s="11" t="n">
        <v>524.89</v>
      </c>
      <c r="R13" s="11" t="n">
        <v>175.97</v>
      </c>
      <c r="T13" s="11" t="n">
        <v>278.69</v>
      </c>
      <c r="V13" s="11" t="n">
        <v>-110.59</v>
      </c>
      <c r="W13" s="11" t="n">
        <v>-62.49</v>
      </c>
      <c r="X13" s="11" t="n">
        <v>102.88</v>
      </c>
      <c r="Y13" s="11" t="n">
        <v>-168.28</v>
      </c>
      <c r="Z13" s="11" t="n">
        <v>-747.4</v>
      </c>
      <c r="AA13" s="11" t="n">
        <v>-911.1900000000001</v>
      </c>
      <c r="AB13" s="11" t="n">
        <v>125.56</v>
      </c>
      <c r="AC13" s="11" t="n">
        <v>524.89</v>
      </c>
      <c r="AD13" s="11" t="n">
        <v>278.69</v>
      </c>
    </row>
    <row r="14">
      <c r="A14" s="10" t="inlineStr">
        <is>
          <t>매입채무 증감</t>
        </is>
      </c>
      <c r="D14" s="11" t="n">
        <v>27.58</v>
      </c>
      <c r="F14" s="11" t="n">
        <v>38.94</v>
      </c>
      <c r="H14" s="11" t="n">
        <v>46.32</v>
      </c>
      <c r="J14" s="11" t="n">
        <v>-57.85</v>
      </c>
      <c r="L14" s="11" t="n">
        <v>-188.12</v>
      </c>
      <c r="N14" s="11" t="n">
        <v>-67.84999999999999</v>
      </c>
      <c r="P14" s="11" t="n">
        <v>-44.8</v>
      </c>
      <c r="R14" s="11" t="n">
        <v>0.08</v>
      </c>
      <c r="T14" s="11" t="n">
        <v>54.68</v>
      </c>
      <c r="V14" s="11" t="n">
        <v>100.67</v>
      </c>
      <c r="W14" s="11" t="n">
        <v>-163.93</v>
      </c>
      <c r="X14" s="11" t="n">
        <v>-86.45999999999999</v>
      </c>
      <c r="Y14" s="11" t="n">
        <v>152.39</v>
      </c>
      <c r="Z14" s="11" t="n">
        <v>27.58</v>
      </c>
      <c r="AA14" s="11" t="n">
        <v>46.32</v>
      </c>
      <c r="AB14" s="11" t="n">
        <v>-188.12</v>
      </c>
      <c r="AC14" s="11" t="n">
        <v>-44.8</v>
      </c>
      <c r="AD14" s="11" t="n">
        <v>54.68</v>
      </c>
    </row>
    <row r="15">
      <c r="A15" s="10" t="inlineStr">
        <is>
          <t>기타</t>
        </is>
      </c>
      <c r="D15" s="11" t="n">
        <v>124.45</v>
      </c>
      <c r="F15" s="11" t="n">
        <v>-62.77</v>
      </c>
      <c r="H15" s="11" t="n">
        <v>10.27</v>
      </c>
      <c r="J15" s="11" t="n">
        <v>-63.97</v>
      </c>
      <c r="L15" s="11" t="n">
        <v>107.61</v>
      </c>
      <c r="N15" s="11" t="n">
        <v>-88.59</v>
      </c>
      <c r="P15" s="11" t="n">
        <v>138.59</v>
      </c>
      <c r="R15" s="11" t="n">
        <v>-86.23</v>
      </c>
      <c r="T15" s="11" t="n">
        <v>38.9</v>
      </c>
      <c r="V15" s="11" t="n">
        <v>-15.21</v>
      </c>
      <c r="W15" s="11" t="n">
        <v>38.55</v>
      </c>
      <c r="X15" s="11" t="n">
        <v>141.18</v>
      </c>
      <c r="Y15" s="11" t="n">
        <v>-29.85</v>
      </c>
      <c r="Z15" s="11" t="n">
        <v>124.45</v>
      </c>
      <c r="AA15" s="11" t="n">
        <v>10.27</v>
      </c>
      <c r="AB15" s="11" t="n">
        <v>107.61</v>
      </c>
      <c r="AC15" s="11" t="n">
        <v>138.59</v>
      </c>
      <c r="AD15" s="11" t="n">
        <v>38.9</v>
      </c>
    </row>
    <row r="16">
      <c r="A16" s="10" t="inlineStr">
        <is>
          <t>소계</t>
        </is>
      </c>
      <c r="D16" s="11" t="n">
        <v>1594.55</v>
      </c>
      <c r="F16" s="11" t="n">
        <v>746.08</v>
      </c>
      <c r="H16" s="11" t="n">
        <v>1600.62</v>
      </c>
      <c r="J16" s="11" t="n">
        <v>902.36</v>
      </c>
      <c r="L16" s="11" t="n">
        <v>2159.66</v>
      </c>
      <c r="N16" s="11" t="n">
        <v>1303.23</v>
      </c>
      <c r="P16" s="11" t="n">
        <v>2528.36</v>
      </c>
      <c r="R16" s="11" t="n">
        <v>1235.11</v>
      </c>
      <c r="T16" s="11" t="n">
        <v>2592.42</v>
      </c>
      <c r="V16" s="11" t="n">
        <v>1503.67</v>
      </c>
      <c r="W16" s="11" t="n">
        <v>2447.62</v>
      </c>
      <c r="X16" s="11" t="n">
        <v>1638.35</v>
      </c>
      <c r="Y16" s="11" t="n">
        <v>1302.54</v>
      </c>
      <c r="Z16" s="11" t="n">
        <v>1594.55</v>
      </c>
      <c r="AA16" s="11" t="n">
        <v>1600.62</v>
      </c>
      <c r="AB16" s="11" t="n">
        <v>2159.66</v>
      </c>
      <c r="AC16" s="11" t="n">
        <v>2528.36</v>
      </c>
      <c r="AD16" s="11" t="n">
        <v>2592.42</v>
      </c>
    </row>
    <row r="17">
      <c r="A17" s="10" t="inlineStr">
        <is>
          <t>이자·배당금 수취</t>
        </is>
      </c>
      <c r="D17" s="11" t="n">
        <v>80.56</v>
      </c>
      <c r="F17" s="11" t="n">
        <v>148.14</v>
      </c>
      <c r="H17" s="11" t="n">
        <v>175.46</v>
      </c>
      <c r="J17" s="11" t="n">
        <v>222.9</v>
      </c>
      <c r="L17" s="11" t="n">
        <v>252.27</v>
      </c>
      <c r="N17" s="11" t="n">
        <v>288.78</v>
      </c>
      <c r="P17" s="11" t="n">
        <v>331.98</v>
      </c>
      <c r="R17" s="11" t="n">
        <v>297.8</v>
      </c>
      <c r="T17" s="11" t="n">
        <v>343.18</v>
      </c>
      <c r="V17" s="11" t="n">
        <v>388.98</v>
      </c>
      <c r="W17" s="11" t="n">
        <v>136.62</v>
      </c>
      <c r="X17" s="11" t="n">
        <v>119.65</v>
      </c>
      <c r="Y17" s="11" t="n">
        <v>70.81999999999999</v>
      </c>
      <c r="Z17" s="11" t="n">
        <v>80.56</v>
      </c>
      <c r="AA17" s="11" t="n">
        <v>175.46</v>
      </c>
      <c r="AB17" s="11" t="n">
        <v>252.27</v>
      </c>
      <c r="AC17" s="11" t="n">
        <v>331.98</v>
      </c>
      <c r="AD17" s="11" t="n">
        <v>343.18</v>
      </c>
    </row>
    <row r="18">
      <c r="A18" s="10" t="inlineStr">
        <is>
          <t>법인세 납부</t>
        </is>
      </c>
      <c r="D18" s="11" t="n">
        <v>-433.32</v>
      </c>
      <c r="F18" s="11" t="n">
        <v>-444.4</v>
      </c>
      <c r="H18" s="11" t="n">
        <v>-784.8</v>
      </c>
      <c r="J18" s="11" t="n">
        <v>-371.49</v>
      </c>
      <c r="L18" s="11" t="n">
        <v>-715.03</v>
      </c>
      <c r="N18" s="11" t="n">
        <v>-125.28</v>
      </c>
      <c r="P18" s="11" t="n">
        <v>-323.63</v>
      </c>
      <c r="R18" s="11" t="n">
        <v>-270.25</v>
      </c>
      <c r="T18" s="11" t="n">
        <v>-460.95</v>
      </c>
      <c r="V18" s="11" t="n">
        <v>-350.39</v>
      </c>
      <c r="W18" s="11" t="n">
        <v>-799.85</v>
      </c>
      <c r="X18" s="11" t="n">
        <v>-296.55</v>
      </c>
      <c r="Y18" s="11" t="n">
        <v>-201.53</v>
      </c>
      <c r="Z18" s="11" t="n">
        <v>-433.32</v>
      </c>
      <c r="AA18" s="11" t="n">
        <v>-784.8</v>
      </c>
      <c r="AB18" s="11" t="n">
        <v>-715.03</v>
      </c>
      <c r="AC18" s="11" t="n">
        <v>-323.63</v>
      </c>
      <c r="AD18" s="11" t="n">
        <v>-460.95</v>
      </c>
    </row>
    <row r="19">
      <c r="A19" s="10" t="inlineStr">
        <is>
          <t>기타</t>
        </is>
      </c>
      <c r="D19" s="11" t="n">
        <v>14.02</v>
      </c>
      <c r="F19" s="11" t="n">
        <v>11.26</v>
      </c>
      <c r="H19" s="11" t="n">
        <v>3.77</v>
      </c>
      <c r="J19" s="11" t="n">
        <v>-1.65</v>
      </c>
      <c r="L19" s="11" t="n">
        <v>20.74</v>
      </c>
      <c r="N19" s="11" t="n">
        <v>6.21</v>
      </c>
      <c r="P19" s="11" t="n">
        <v>16.02</v>
      </c>
      <c r="R19" s="11" t="n">
        <v>16.52</v>
      </c>
      <c r="T19" s="11" t="n">
        <v>34.31</v>
      </c>
      <c r="V19" s="11" t="n">
        <v>16.32</v>
      </c>
      <c r="W19" s="11" t="n">
        <v>-7.01</v>
      </c>
      <c r="X19" s="11" t="n">
        <v>-12.73</v>
      </c>
      <c r="Y19" s="11" t="n">
        <v>8.130000000000001</v>
      </c>
      <c r="Z19" s="11" t="n">
        <v>14.02</v>
      </c>
      <c r="AA19" s="11" t="n">
        <v>3.77</v>
      </c>
      <c r="AB19" s="11" t="n">
        <v>20.74</v>
      </c>
      <c r="AC19" s="11" t="n">
        <v>16.02</v>
      </c>
      <c r="AD19" s="11" t="n">
        <v>34.31</v>
      </c>
    </row>
    <row r="20">
      <c r="A20" s="10" t="inlineStr">
        <is>
          <t>영업활동 현금흐름</t>
        </is>
      </c>
      <c r="D20" s="11" t="n">
        <v>1255.81</v>
      </c>
      <c r="F20" s="11" t="n">
        <v>461.08</v>
      </c>
      <c r="H20" s="11" t="n">
        <v>995.05</v>
      </c>
      <c r="J20" s="11" t="n">
        <v>752.12</v>
      </c>
      <c r="L20" s="11" t="n">
        <v>1717.64</v>
      </c>
      <c r="N20" s="11" t="n">
        <v>1472.94</v>
      </c>
      <c r="P20" s="11" t="n">
        <v>2552.73</v>
      </c>
      <c r="R20" s="11" t="n">
        <v>1279.18</v>
      </c>
      <c r="T20" s="11" t="n">
        <v>2508.96</v>
      </c>
      <c r="V20" s="11" t="n">
        <v>1558.58</v>
      </c>
      <c r="W20" s="11" t="n">
        <v>1777.38</v>
      </c>
      <c r="X20" s="11" t="n">
        <v>1448.72</v>
      </c>
      <c r="Y20" s="11" t="n">
        <v>1179.96</v>
      </c>
      <c r="Z20" s="11" t="n">
        <v>1255.81</v>
      </c>
      <c r="AA20" s="11" t="n">
        <v>995.05</v>
      </c>
      <c r="AB20" s="11" t="n">
        <v>1717.64</v>
      </c>
      <c r="AC20" s="11" t="n">
        <v>2552.73</v>
      </c>
      <c r="AD20" s="11" t="n">
        <v>2508.96</v>
      </c>
    </row>
    <row r="21">
      <c r="A21" s="10" t="inlineStr">
        <is>
          <t>정기예금 예입</t>
        </is>
      </c>
      <c r="D21" s="11" t="n">
        <v>-291.99</v>
      </c>
      <c r="F21" s="11" t="n">
        <v>-11.64</v>
      </c>
      <c r="H21" s="11" t="n">
        <v>-700</v>
      </c>
      <c r="J21" s="11" t="n">
        <v>-60.13</v>
      </c>
      <c r="L21" s="11" t="n">
        <v>-92.90000000000001</v>
      </c>
      <c r="N21" s="11" t="n">
        <v>-800</v>
      </c>
      <c r="P21" s="11" t="n">
        <v>-1200</v>
      </c>
      <c r="R21" s="11" t="n">
        <v>-1258.55</v>
      </c>
      <c r="T21" s="11" t="n">
        <v>-3214.77</v>
      </c>
      <c r="V21" s="11" t="n">
        <v>-2395.63</v>
      </c>
      <c r="W21" s="11" t="n">
        <v>-601.42</v>
      </c>
      <c r="X21" s="11" t="n">
        <v>-322.48</v>
      </c>
      <c r="Y21" s="11" t="n">
        <v>-318.49</v>
      </c>
      <c r="Z21" s="11" t="n">
        <v>-291.99</v>
      </c>
      <c r="AA21" s="11" t="n">
        <v>-700</v>
      </c>
      <c r="AB21" s="11" t="n">
        <v>-92.90000000000001</v>
      </c>
      <c r="AC21" s="11" t="n">
        <v>-1200</v>
      </c>
      <c r="AD21" s="11" t="n">
        <v>-3214.77</v>
      </c>
    </row>
    <row r="22">
      <c r="A22" s="10" t="inlineStr">
        <is>
          <t>정기예금 인출</t>
        </is>
      </c>
      <c r="D22" s="11" t="n">
        <v>120.12</v>
      </c>
      <c r="F22" s="11" t="n">
        <v>0</v>
      </c>
      <c r="H22" s="11" t="n">
        <v>444.83</v>
      </c>
      <c r="J22" s="11" t="n">
        <v>0</v>
      </c>
      <c r="L22" s="11" t="n">
        <v>500</v>
      </c>
      <c r="N22" s="11" t="n">
        <v>34.62</v>
      </c>
      <c r="P22" s="11" t="n">
        <v>275.26</v>
      </c>
      <c r="R22" s="11" t="n">
        <v>900</v>
      </c>
      <c r="T22" s="11" t="n">
        <v>2869.14</v>
      </c>
      <c r="V22" s="11" t="n">
        <v>1417.02</v>
      </c>
      <c r="W22" s="11" t="n">
        <v>673.5700000000001</v>
      </c>
      <c r="X22" s="11" t="n">
        <v>286.72</v>
      </c>
      <c r="Y22" s="11" t="n">
        <v>400.21</v>
      </c>
      <c r="Z22" s="11" t="n">
        <v>120.12</v>
      </c>
      <c r="AA22" s="11" t="n">
        <v>444.83</v>
      </c>
      <c r="AB22" s="11" t="n">
        <v>500</v>
      </c>
      <c r="AC22" s="11" t="n">
        <v>275.26</v>
      </c>
      <c r="AD22" s="11" t="n">
        <v>2869.14</v>
      </c>
    </row>
    <row r="23">
      <c r="A23" s="10" t="inlineStr">
        <is>
          <t>유형자산 취득(설비투자)</t>
        </is>
      </c>
      <c r="D23" s="11" t="n">
        <v>-343.63</v>
      </c>
      <c r="F23" s="11" t="n">
        <v>-231.28</v>
      </c>
      <c r="H23" s="11" t="n">
        <v>-470.66</v>
      </c>
      <c r="J23" s="11" t="n">
        <v>-249.32</v>
      </c>
      <c r="L23" s="11" t="n">
        <v>-538.84</v>
      </c>
      <c r="N23" s="11" t="n">
        <v>-213.61</v>
      </c>
      <c r="P23" s="11" t="n">
        <v>-408.05</v>
      </c>
      <c r="R23" s="11" t="n">
        <v>-101.51</v>
      </c>
      <c r="T23" s="11" t="n">
        <v>-211.81</v>
      </c>
      <c r="V23" s="11" t="n">
        <v>-166.03</v>
      </c>
      <c r="W23" s="11" t="n">
        <v>-1253.24</v>
      </c>
      <c r="X23" s="11" t="n">
        <v>-754.29</v>
      </c>
      <c r="Y23" s="11" t="n">
        <v>-217.68</v>
      </c>
      <c r="Z23" s="11" t="n">
        <v>-343.63</v>
      </c>
      <c r="AA23" s="11" t="n">
        <v>-470.66</v>
      </c>
      <c r="AB23" s="11" t="n">
        <v>-538.84</v>
      </c>
      <c r="AC23" s="11" t="n">
        <v>-408.05</v>
      </c>
      <c r="AD23" s="11" t="n">
        <v>-211.81</v>
      </c>
    </row>
    <row r="24">
      <c r="A24" s="10" t="inlineStr">
        <is>
          <t>기타</t>
        </is>
      </c>
      <c r="D24" s="11" t="n">
        <v>-23.79</v>
      </c>
      <c r="F24" s="11" t="n">
        <v>-18.01</v>
      </c>
      <c r="H24" s="11" t="n">
        <v>-54.15</v>
      </c>
      <c r="J24" s="11" t="n">
        <v>-28.18</v>
      </c>
      <c r="L24" s="11" t="n">
        <v>-3.89</v>
      </c>
      <c r="N24" s="11" t="n">
        <v>-11.57</v>
      </c>
      <c r="P24" s="11" t="n">
        <v>-8.050000000000001</v>
      </c>
      <c r="R24" s="11" t="n">
        <v>-7.17</v>
      </c>
      <c r="T24" s="11" t="n">
        <v>-6.93</v>
      </c>
      <c r="V24" s="11" t="n">
        <v>-12.59</v>
      </c>
      <c r="W24" s="11" t="n">
        <v>-52.34</v>
      </c>
      <c r="X24" s="11" t="n">
        <v>-53.14</v>
      </c>
      <c r="Y24" s="11" t="n">
        <v>-31.74</v>
      </c>
      <c r="Z24" s="11" t="n">
        <v>-23.79</v>
      </c>
      <c r="AA24" s="11" t="n">
        <v>-54.15</v>
      </c>
      <c r="AB24" s="11" t="n">
        <v>-3.89</v>
      </c>
      <c r="AC24" s="11" t="n">
        <v>-8.050000000000001</v>
      </c>
      <c r="AD24" s="11" t="n">
        <v>-6.93</v>
      </c>
    </row>
    <row r="25">
      <c r="A25" s="10" t="inlineStr">
        <is>
          <t>투자활동 현금흐름</t>
        </is>
      </c>
      <c r="D25" s="11" t="n">
        <v>-539.29</v>
      </c>
      <c r="F25" s="11" t="n">
        <v>-260.93</v>
      </c>
      <c r="H25" s="11" t="n">
        <v>-779.98</v>
      </c>
      <c r="J25" s="11" t="n">
        <v>-337.63</v>
      </c>
      <c r="L25" s="11" t="n">
        <v>-135.63</v>
      </c>
      <c r="N25" s="11" t="n">
        <v>-990.5599999999999</v>
      </c>
      <c r="P25" s="11" t="n">
        <v>-1340.84</v>
      </c>
      <c r="R25" s="11" t="n">
        <v>-467.23</v>
      </c>
      <c r="T25" s="11" t="n">
        <v>-564.37</v>
      </c>
      <c r="V25" s="11" t="n">
        <v>-1157.23</v>
      </c>
      <c r="W25" s="11" t="n">
        <v>-1233.43</v>
      </c>
      <c r="X25" s="11" t="n">
        <v>-843.1900000000001</v>
      </c>
      <c r="Y25" s="11" t="n">
        <v>-167.7</v>
      </c>
      <c r="Z25" s="11" t="n">
        <v>-539.29</v>
      </c>
      <c r="AA25" s="11" t="n">
        <v>-779.98</v>
      </c>
      <c r="AB25" s="11" t="n">
        <v>-135.63</v>
      </c>
      <c r="AC25" s="11" t="n">
        <v>-1340.84</v>
      </c>
      <c r="AD25" s="11" t="n">
        <v>-564.37</v>
      </c>
    </row>
    <row r="26">
      <c r="A26" s="10" t="inlineStr">
        <is>
          <t>자기주식 취득</t>
        </is>
      </c>
      <c r="D26" s="11" t="n">
        <v>-2.34</v>
      </c>
      <c r="F26" s="11" t="n">
        <v>-102.52</v>
      </c>
      <c r="H26" s="11" t="n">
        <v>-244.36</v>
      </c>
      <c r="J26" s="11" t="n">
        <v>-9.960000000000001</v>
      </c>
      <c r="L26" s="11" t="n">
        <v>-283.91</v>
      </c>
      <c r="N26" s="11" t="n">
        <v>-402.61</v>
      </c>
      <c r="P26" s="11" t="n">
        <v>-495.55</v>
      </c>
      <c r="R26" s="11" t="n">
        <v>-6.65</v>
      </c>
      <c r="T26" s="11" t="n">
        <v>-5.53</v>
      </c>
      <c r="V26" s="11" t="n">
        <v>-500.11</v>
      </c>
      <c r="W26" s="11" t="n">
        <v>-1.83</v>
      </c>
      <c r="X26" s="11" t="n">
        <v>-368.7</v>
      </c>
      <c r="Y26" s="11" t="n">
        <v>-2.83</v>
      </c>
      <c r="Z26" s="11" t="n">
        <v>-2.34</v>
      </c>
      <c r="AA26" s="11" t="n">
        <v>-244.36</v>
      </c>
      <c r="AB26" s="11" t="n">
        <v>-283.91</v>
      </c>
      <c r="AC26" s="11" t="n">
        <v>-495.55</v>
      </c>
      <c r="AD26" s="11" t="n">
        <v>-5.53</v>
      </c>
    </row>
    <row r="27">
      <c r="A27" s="10" t="inlineStr">
        <is>
          <t>배당금 지급</t>
        </is>
      </c>
      <c r="D27" s="11" t="n">
        <v>-867.99</v>
      </c>
      <c r="F27" s="11" t="n">
        <v>-460.15</v>
      </c>
      <c r="H27" s="11" t="n">
        <v>-964.85</v>
      </c>
      <c r="J27" s="11" t="n">
        <v>-517.45</v>
      </c>
      <c r="L27" s="11" t="n">
        <v>-900.96</v>
      </c>
      <c r="N27" s="11" t="n">
        <v>-414.93</v>
      </c>
      <c r="P27" s="11" t="n">
        <v>-831.33</v>
      </c>
      <c r="R27" s="11" t="n">
        <v>-465.54</v>
      </c>
      <c r="T27" s="11" t="n">
        <v>-944.59</v>
      </c>
      <c r="V27" s="11" t="n">
        <v>-520.1799999999999</v>
      </c>
      <c r="W27" s="11" t="n">
        <v>-1735.71</v>
      </c>
      <c r="X27" s="11" t="n">
        <v>-1025.46</v>
      </c>
      <c r="Y27" s="11" t="n">
        <v>-504.84</v>
      </c>
      <c r="Z27" s="11" t="n">
        <v>-867.99</v>
      </c>
      <c r="AA27" s="11" t="n">
        <v>-964.85</v>
      </c>
      <c r="AB27" s="11" t="n">
        <v>-900.96</v>
      </c>
      <c r="AC27" s="11" t="n">
        <v>-831.33</v>
      </c>
      <c r="AD27" s="11" t="n">
        <v>-944.59</v>
      </c>
    </row>
    <row r="28">
      <c r="A28" s="10" t="inlineStr">
        <is>
          <t>자기주식 취득 예탁금 증감</t>
        </is>
      </c>
      <c r="N28" s="11" t="n">
        <v>0</v>
      </c>
      <c r="R28" s="11" t="n">
        <v>-100</v>
      </c>
      <c r="V28" s="11" t="n">
        <v>0</v>
      </c>
    </row>
    <row r="29">
      <c r="A29" s="10" t="inlineStr">
        <is>
          <t>기타</t>
        </is>
      </c>
      <c r="D29" s="11" t="n">
        <v>-21.21</v>
      </c>
      <c r="F29" s="11" t="n">
        <v>-31.96</v>
      </c>
      <c r="H29" s="11" t="n">
        <v>-70.03</v>
      </c>
      <c r="J29" s="11" t="n">
        <v>-29.62</v>
      </c>
      <c r="L29" s="11" t="n">
        <v>-40.27</v>
      </c>
      <c r="N29" s="11" t="n">
        <v>-27.37</v>
      </c>
      <c r="P29" s="11" t="n">
        <v>-39.3</v>
      </c>
      <c r="R29" s="11" t="n">
        <v>-25.28</v>
      </c>
      <c r="T29" s="11" t="n">
        <v>-35.86</v>
      </c>
      <c r="V29" s="11" t="n">
        <v>-36.83</v>
      </c>
      <c r="W29" s="11" t="n">
        <v>8.859999999999999</v>
      </c>
      <c r="X29" s="11" t="n">
        <v>-13.1</v>
      </c>
      <c r="Y29" s="11" t="n">
        <v>-23.65</v>
      </c>
      <c r="Z29" s="11" t="n">
        <v>-21.21</v>
      </c>
      <c r="AA29" s="11" t="n">
        <v>-70.03</v>
      </c>
      <c r="AB29" s="11" t="n">
        <v>-40.27</v>
      </c>
      <c r="AC29" s="11" t="n">
        <v>-39.3</v>
      </c>
      <c r="AD29" s="11" t="n">
        <v>-35.86</v>
      </c>
    </row>
    <row r="30">
      <c r="A30" s="10" t="inlineStr">
        <is>
          <t>재무활동 현금흐름</t>
        </is>
      </c>
      <c r="D30" s="11" t="n">
        <v>-891.54</v>
      </c>
      <c r="F30" s="11" t="n">
        <v>-594.63</v>
      </c>
      <c r="H30" s="11" t="n">
        <v>-1279.24</v>
      </c>
      <c r="J30" s="11" t="n">
        <v>-557.03</v>
      </c>
      <c r="L30" s="11" t="n">
        <v>-1225.14</v>
      </c>
      <c r="N30" s="11" t="n">
        <v>-844.91</v>
      </c>
      <c r="P30" s="11" t="n">
        <v>-1366.18</v>
      </c>
      <c r="R30" s="11" t="n">
        <v>-597.47</v>
      </c>
      <c r="T30" s="11" t="n">
        <v>-985.98</v>
      </c>
      <c r="V30" s="11" t="n">
        <v>-1057.12</v>
      </c>
      <c r="W30" s="11" t="n">
        <v>-1728.68</v>
      </c>
      <c r="X30" s="11" t="n">
        <v>-1407.26</v>
      </c>
      <c r="Y30" s="11" t="n">
        <v>-531.3200000000001</v>
      </c>
      <c r="Z30" s="11" t="n">
        <v>-891.54</v>
      </c>
      <c r="AA30" s="11" t="n">
        <v>-1279.24</v>
      </c>
      <c r="AB30" s="11" t="n">
        <v>-1225.14</v>
      </c>
      <c r="AC30" s="11" t="n">
        <v>-1366.18</v>
      </c>
      <c r="AD30" s="11" t="n">
        <v>-985.98</v>
      </c>
    </row>
    <row r="31">
      <c r="A31" s="10" t="inlineStr">
        <is>
          <t>현금성자산 환산차이</t>
        </is>
      </c>
      <c r="D31" s="11" t="n">
        <v>142.38</v>
      </c>
      <c r="F31" s="11" t="n">
        <v>123.17</v>
      </c>
      <c r="H31" s="11" t="n">
        <v>87.15000000000001</v>
      </c>
      <c r="J31" s="11" t="n">
        <v>111.71</v>
      </c>
      <c r="L31" s="11" t="n">
        <v>142.41</v>
      </c>
      <c r="N31" s="11" t="n">
        <v>-94.89</v>
      </c>
      <c r="P31" s="11" t="n">
        <v>-93.61</v>
      </c>
      <c r="R31" s="11" t="n">
        <v>58.35</v>
      </c>
      <c r="T31" s="11" t="n">
        <v>171.23</v>
      </c>
      <c r="V31" s="11" t="n">
        <v>16.87</v>
      </c>
      <c r="W31" s="11" t="n">
        <v>-5.8</v>
      </c>
      <c r="X31" s="11" t="n">
        <v>-125.33</v>
      </c>
      <c r="Y31" s="11" t="n">
        <v>144.65</v>
      </c>
      <c r="Z31" s="11" t="n">
        <v>142.38</v>
      </c>
      <c r="AA31" s="11" t="n">
        <v>87.15000000000001</v>
      </c>
      <c r="AB31" s="11" t="n">
        <v>142.41</v>
      </c>
      <c r="AC31" s="11" t="n">
        <v>-93.61</v>
      </c>
      <c r="AD31" s="11" t="n">
        <v>171.23</v>
      </c>
    </row>
    <row r="32">
      <c r="A32" s="10" t="inlineStr">
        <is>
          <t>현금성자산 증감</t>
        </is>
      </c>
      <c r="D32" s="11" t="n">
        <v>-32.64</v>
      </c>
      <c r="F32" s="11" t="n">
        <v>-271.31</v>
      </c>
      <c r="H32" s="11" t="n">
        <v>-977.02</v>
      </c>
      <c r="J32" s="11" t="n">
        <v>-30.83</v>
      </c>
      <c r="L32" s="11" t="n">
        <v>499.28</v>
      </c>
      <c r="N32" s="11" t="n">
        <v>-457.42</v>
      </c>
      <c r="P32" s="11" t="n">
        <v>-247.9</v>
      </c>
      <c r="R32" s="11" t="n">
        <v>272.83</v>
      </c>
      <c r="T32" s="11" t="n">
        <v>1129.84</v>
      </c>
      <c r="V32" s="11" t="n">
        <v>-638.9</v>
      </c>
      <c r="W32" s="11" t="n">
        <v>-1190.53</v>
      </c>
      <c r="X32" s="11" t="n">
        <v>-927.0599999999999</v>
      </c>
      <c r="Y32" s="11" t="n">
        <v>625.59</v>
      </c>
      <c r="Z32" s="11" t="n">
        <v>-32.64</v>
      </c>
      <c r="AA32" s="11" t="n">
        <v>-977.02</v>
      </c>
      <c r="AB32" s="11" t="n">
        <v>499.28</v>
      </c>
      <c r="AC32" s="11" t="n">
        <v>-247.9</v>
      </c>
      <c r="AD32" s="11" t="n">
        <v>1129.84</v>
      </c>
    </row>
    <row r="33">
      <c r="A33" s="10" t="inlineStr">
        <is>
          <t>비연결 자회사 합병에 따른 현금성자산 증가</t>
        </is>
      </c>
      <c r="D33" s="11" t="n">
        <v>0</v>
      </c>
      <c r="W33" s="11" t="n">
        <v>8.640000000000001</v>
      </c>
      <c r="X33" s="11" t="n">
        <v>0</v>
      </c>
      <c r="Y33" s="11" t="n">
        <v>3.52</v>
      </c>
      <c r="Z33" s="1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5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44" customWidth="1" min="11" max="11"/>
  </cols>
  <sheetData>
    <row r="1">
      <c r="A1" s="1" t="inlineStr">
        <is>
          <t>화낙 섹터·사업 데이터</t>
        </is>
      </c>
    </row>
    <row r="2">
      <c r="A2" s="2" t="inlineStr">
        <is>
          <t>2단계 보고서를 만들 때 모은 자료 · 월차 · 출처는 맨 오른쪽</t>
        </is>
      </c>
    </row>
    <row r="4">
      <c r="A4" s="12" t="inlineStr">
        <is>
          <t>상반기 가이던스 직전</t>
        </is>
      </c>
      <c r="B4" s="12" t="n"/>
      <c r="C4" s="12" t="n"/>
      <c r="D4" s="12" t="n"/>
      <c r="E4" s="12" t="n"/>
      <c r="F4" s="12" t="n"/>
      <c r="G4" s="12" t="n"/>
      <c r="H4" s="12" t="n"/>
      <c r="I4" s="12" t="n"/>
      <c r="J4" s="12" t="n"/>
      <c r="K4" s="12" t="n"/>
    </row>
    <row r="5">
      <c r="A5" s="13" t="inlineStr">
        <is>
          <t>항목</t>
        </is>
      </c>
      <c r="B5" s="13" t="inlineStr">
        <is>
          <t>값</t>
        </is>
      </c>
      <c r="K5" s="13" t="inlineStr">
        <is>
          <t>출처</t>
        </is>
      </c>
    </row>
    <row r="6">
      <c r="A6" s="14" t="inlineStr">
        <is>
          <t>매출</t>
        </is>
      </c>
      <c r="B6" s="15" t="n">
        <v>4660</v>
      </c>
      <c r="K6" s="3" t="inlineStr">
        <is>
          <t>7/31 상반기 예상. Q2 함의치 = 상반기 예상 − 1Q 실적 → 매출 2349.7·영업이익 509.1·순이익 493.2</t>
        </is>
      </c>
    </row>
    <row r="7">
      <c r="A7" s="14" t="inlineStr">
        <is>
          <t>영업이익</t>
        </is>
      </c>
      <c r="B7" s="15" t="n">
        <v>1044</v>
      </c>
    </row>
    <row r="8">
      <c r="A8" s="14" t="inlineStr">
        <is>
          <t>순이익</t>
        </is>
      </c>
      <c r="B8" s="15" t="n">
        <v>1003</v>
      </c>
    </row>
    <row r="10">
      <c r="A10" s="12" t="inlineStr">
        <is>
          <t>컨센서스 · 3Q</t>
        </is>
      </c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3" t="inlineStr">
        <is>
          <t>항목</t>
        </is>
      </c>
      <c r="B11" s="13" t="inlineStr">
        <is>
          <t>값</t>
        </is>
      </c>
      <c r="K11" s="13" t="inlineStr">
        <is>
          <t>출처</t>
        </is>
      </c>
    </row>
    <row r="12">
      <c r="A12" s="14" t="inlineStr">
        <is>
          <t>매출</t>
        </is>
      </c>
      <c r="B12" s="11" t="n">
        <v>2509.3</v>
      </c>
      <c r="K12" s="3" t="inlineStr">
        <is>
          <t>야후 파이낸스(jp_consensus) 2026-10-23 · 컨센 FY27은 10/23 가이던스 상향 전 숫자가 대부분 — 가이던스(EPS 246)가 컨센(231)보다 높음</t>
        </is>
      </c>
    </row>
    <row r="13">
      <c r="A13" s="14" t="inlineStr">
        <is>
          <t>EPS</t>
        </is>
      </c>
      <c r="B13" s="11" t="n">
        <v>61.17</v>
      </c>
    </row>
    <row r="14">
      <c r="A14" s="14" t="inlineStr">
        <is>
          <t>EPS 애널리스트 수</t>
        </is>
      </c>
      <c r="B14" s="15" t="n">
        <v>3</v>
      </c>
    </row>
    <row r="15">
      <c r="A15" s="14" t="inlineStr">
        <is>
          <t>매출 애널리스트 수</t>
        </is>
      </c>
      <c r="B15" s="15" t="n">
        <v>6</v>
      </c>
    </row>
    <row r="17">
      <c r="A17" s="12" t="inlineStr">
        <is>
          <t>컨센서스 · 4Q</t>
        </is>
      </c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</row>
    <row r="18">
      <c r="A18" s="13" t="inlineStr">
        <is>
          <t>항목</t>
        </is>
      </c>
      <c r="B18" s="13" t="inlineStr">
        <is>
          <t>값</t>
        </is>
      </c>
      <c r="K18" s="13" t="inlineStr">
        <is>
          <t>출처</t>
        </is>
      </c>
    </row>
    <row r="19">
      <c r="A19" s="14" t="inlineStr">
        <is>
          <t>매출</t>
        </is>
      </c>
      <c r="B19" s="11" t="n">
        <v>2672.4</v>
      </c>
      <c r="K19" s="3" t="inlineStr">
        <is>
          <t>야후 파이낸스(jp_consensus) 2026-10-23 · 컨센 FY27은 10/23 가이던스 상향 전 숫자가 대부분 — 가이던스(EPS 246)가 컨센(231)보다 높음</t>
        </is>
      </c>
    </row>
    <row r="20">
      <c r="A20" s="14" t="inlineStr">
        <is>
          <t>EPS</t>
        </is>
      </c>
      <c r="B20" s="11" t="n">
        <v>62.87</v>
      </c>
    </row>
    <row r="22">
      <c r="A22" s="12" t="inlineStr">
        <is>
          <t>컨센서스 · fy27</t>
        </is>
      </c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3" t="inlineStr">
        <is>
          <t>항목</t>
        </is>
      </c>
      <c r="B23" s="13" t="inlineStr">
        <is>
          <t>값</t>
        </is>
      </c>
      <c r="K23" s="13" t="inlineStr">
        <is>
          <t>출처</t>
        </is>
      </c>
    </row>
    <row r="24">
      <c r="A24" s="14" t="inlineStr">
        <is>
          <t>매출</t>
        </is>
      </c>
      <c r="B24" s="11" t="n">
        <v>9860.700000000001</v>
      </c>
      <c r="K24" s="3" t="inlineStr">
        <is>
          <t>야후 파이낸스(jp_consensus) 2026-10-23 · 컨센 FY27은 10/23 가이던스 상향 전 숫자가 대부분 — 가이던스(EPS 246)가 컨센(231)보다 높음</t>
        </is>
      </c>
    </row>
    <row r="25">
      <c r="A25" s="14" t="inlineStr">
        <is>
          <t>EPS</t>
        </is>
      </c>
      <c r="B25" s="11" t="n">
        <v>230.86</v>
      </c>
    </row>
    <row r="26">
      <c r="A26" s="14" t="inlineStr">
        <is>
          <t>애널리스트 수</t>
        </is>
      </c>
      <c r="B26" s="15" t="n">
        <v>12</v>
      </c>
    </row>
    <row r="27">
      <c r="A27" s="14" t="inlineStr">
        <is>
          <t>90일 전 EPS</t>
        </is>
      </c>
      <c r="B27" s="11" t="n">
        <v>213.95</v>
      </c>
    </row>
    <row r="29">
      <c r="A29" s="12" t="inlineStr">
        <is>
          <t>컨센서스 · fy28</t>
        </is>
      </c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</row>
    <row r="30">
      <c r="A30" s="13" t="inlineStr">
        <is>
          <t>항목</t>
        </is>
      </c>
      <c r="B30" s="13" t="inlineStr">
        <is>
          <t>값</t>
        </is>
      </c>
      <c r="K30" s="13" t="inlineStr">
        <is>
          <t>출처</t>
        </is>
      </c>
    </row>
    <row r="31">
      <c r="A31" s="14" t="inlineStr">
        <is>
          <t>매출</t>
        </is>
      </c>
      <c r="B31" s="11" t="n">
        <v>10418.9</v>
      </c>
      <c r="K31" s="3" t="inlineStr">
        <is>
          <t>야후 파이낸스(jp_consensus) 2026-10-23 · 컨센 FY27은 10/23 가이던스 상향 전 숫자가 대부분 — 가이던스(EPS 246)가 컨센(231)보다 높음</t>
        </is>
      </c>
    </row>
    <row r="32">
      <c r="A32" s="14" t="inlineStr">
        <is>
          <t>EPS</t>
        </is>
      </c>
      <c r="B32" s="11" t="n">
        <v>241.13</v>
      </c>
    </row>
    <row r="33">
      <c r="A33" s="14" t="inlineStr">
        <is>
          <t>애널리스트 수</t>
        </is>
      </c>
      <c r="B33" s="15" t="n">
        <v>19</v>
      </c>
    </row>
    <row r="34">
      <c r="A34" s="14" t="inlineStr">
        <is>
          <t>90일 전 EPS</t>
        </is>
      </c>
      <c r="B34" s="11" t="n">
        <v>228.81</v>
      </c>
    </row>
    <row r="36">
      <c r="A36" s="12" t="inlineStr">
        <is>
          <t>컨센서스 · 목표주가</t>
        </is>
      </c>
      <c r="B36" s="12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</row>
    <row r="37">
      <c r="A37" s="13" t="inlineStr">
        <is>
          <t>항목</t>
        </is>
      </c>
      <c r="B37" s="13" t="inlineStr">
        <is>
          <t>값</t>
        </is>
      </c>
      <c r="K37" s="13" t="inlineStr">
        <is>
          <t>출처</t>
        </is>
      </c>
    </row>
    <row r="38">
      <c r="A38" s="14" t="inlineStr">
        <is>
          <t>평균</t>
        </is>
      </c>
      <c r="B38" s="15" t="n">
        <v>7296</v>
      </c>
      <c r="K38" s="3" t="inlineStr">
        <is>
          <t>야후 파이낸스(jp_consensus) 2026-10-23 · 컨센 FY27은 10/23 가이던스 상향 전 숫자가 대부분 — 가이던스(EPS 246)가 컨센(231)보다 높음</t>
        </is>
      </c>
    </row>
    <row r="39">
      <c r="A39" s="14" t="inlineStr">
        <is>
          <t>중앙값</t>
        </is>
      </c>
      <c r="B39" s="15" t="n">
        <v>7300</v>
      </c>
    </row>
    <row r="40">
      <c r="A40" s="14" t="inlineStr">
        <is>
          <t>최고</t>
        </is>
      </c>
      <c r="B40" s="15" t="n">
        <v>8700</v>
      </c>
    </row>
    <row r="41">
      <c r="A41" s="14" t="inlineStr">
        <is>
          <t>최저</t>
        </is>
      </c>
      <c r="B41" s="15" t="n">
        <v>4900</v>
      </c>
    </row>
    <row r="42">
      <c r="A42" s="14" t="inlineStr">
        <is>
          <t>애널리스트 수</t>
        </is>
      </c>
      <c r="B42" s="15" t="n">
        <v>18</v>
      </c>
    </row>
    <row r="44">
      <c r="A44" s="12" t="inlineStr">
        <is>
          <t>부문별 매출</t>
        </is>
      </c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</row>
    <row r="45">
      <c r="A45" s="13" t="inlineStr">
        <is>
          <t>항목</t>
        </is>
      </c>
      <c r="B45" s="13" t="inlineStr">
        <is>
          <t>24.7~9</t>
        </is>
      </c>
      <c r="C45" s="13" t="inlineStr">
        <is>
          <t>24.10~12</t>
        </is>
      </c>
      <c r="D45" s="13" t="inlineStr">
        <is>
          <t>25.1~3</t>
        </is>
      </c>
      <c r="E45" s="13" t="inlineStr">
        <is>
          <t>25.4~6</t>
        </is>
      </c>
      <c r="F45" s="13" t="inlineStr">
        <is>
          <t>25.7~9</t>
        </is>
      </c>
      <c r="G45" s="13" t="inlineStr">
        <is>
          <t>25.10~12</t>
        </is>
      </c>
      <c r="H45" s="13" t="inlineStr">
        <is>
          <t>26.1~3</t>
        </is>
      </c>
      <c r="I45" s="13" t="inlineStr">
        <is>
          <t>26.4~6</t>
        </is>
      </c>
      <c r="J45" s="13" t="inlineStr">
        <is>
          <t>26.7~9</t>
        </is>
      </c>
      <c r="K45" s="13" t="inlineStr">
        <is>
          <t>출처</t>
        </is>
      </c>
    </row>
    <row r="46">
      <c r="A46" s="14" t="inlineStr">
        <is>
          <t>FA</t>
        </is>
      </c>
      <c r="B46" s="15" t="n">
        <v>514</v>
      </c>
      <c r="C46" s="15" t="n">
        <v>480</v>
      </c>
      <c r="D46" s="15" t="n">
        <v>474</v>
      </c>
      <c r="E46" s="15" t="n">
        <v>497</v>
      </c>
      <c r="F46" s="15" t="n">
        <v>542</v>
      </c>
      <c r="G46" s="15" t="n">
        <v>498</v>
      </c>
      <c r="H46" s="15" t="n">
        <v>548</v>
      </c>
      <c r="I46" s="15" t="n">
        <v>574</v>
      </c>
      <c r="J46" s="15" t="n">
        <v>625</v>
      </c>
      <c r="K46" s="3" t="inlineStr">
        <is>
          <t>설명회 자료 부문별 매출(억 엔)</t>
        </is>
      </c>
    </row>
    <row r="47">
      <c r="A47" s="14" t="inlineStr">
        <is>
          <t>로봇</t>
        </is>
      </c>
      <c r="B47" s="15" t="n">
        <v>790</v>
      </c>
      <c r="C47" s="15" t="n">
        <v>793</v>
      </c>
      <c r="D47" s="15" t="n">
        <v>872</v>
      </c>
      <c r="E47" s="15" t="n">
        <v>810</v>
      </c>
      <c r="F47" s="15" t="n">
        <v>916</v>
      </c>
      <c r="G47" s="15" t="n">
        <v>966</v>
      </c>
      <c r="H47" s="15" t="n">
        <v>1094</v>
      </c>
      <c r="I47" s="15" t="n">
        <v>961</v>
      </c>
      <c r="J47" s="15" t="n">
        <v>982</v>
      </c>
    </row>
    <row r="48">
      <c r="A48" s="14" t="inlineStr">
        <is>
          <t>로보머신</t>
        </is>
      </c>
      <c r="B48" s="15" t="n">
        <v>278</v>
      </c>
      <c r="C48" s="15" t="n">
        <v>359</v>
      </c>
      <c r="D48" s="15" t="n">
        <v>448</v>
      </c>
      <c r="E48" s="15" t="n">
        <v>339</v>
      </c>
      <c r="F48" s="15" t="n">
        <v>296</v>
      </c>
      <c r="G48" s="15" t="n">
        <v>330</v>
      </c>
      <c r="H48" s="15" t="n">
        <v>331</v>
      </c>
      <c r="I48" s="15" t="n">
        <v>417</v>
      </c>
      <c r="J48" s="15" t="n">
        <v>416</v>
      </c>
    </row>
    <row r="49">
      <c r="A49" s="14" t="inlineStr">
        <is>
          <t>서비스</t>
        </is>
      </c>
      <c r="B49" s="15" t="n">
        <v>347</v>
      </c>
      <c r="C49" s="15" t="n">
        <v>339</v>
      </c>
      <c r="D49" s="15" t="n">
        <v>328</v>
      </c>
      <c r="E49" s="15" t="n">
        <v>318</v>
      </c>
      <c r="F49" s="15" t="n">
        <v>358</v>
      </c>
      <c r="G49" s="15" t="n">
        <v>363</v>
      </c>
      <c r="H49" s="15" t="n">
        <v>372</v>
      </c>
      <c r="I49" s="15" t="n">
        <v>359</v>
      </c>
      <c r="J49" s="15" t="n">
        <v>403</v>
      </c>
    </row>
    <row r="51">
      <c r="A51" s="12" t="inlineStr">
        <is>
          <t>수주</t>
        </is>
      </c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>
      <c r="A52" s="13" t="inlineStr">
        <is>
          <t>항목</t>
        </is>
      </c>
      <c r="B52" s="13" t="inlineStr">
        <is>
          <t>24.7~9</t>
        </is>
      </c>
      <c r="C52" s="13" t="inlineStr">
        <is>
          <t>24.10~12</t>
        </is>
      </c>
      <c r="D52" s="13" t="inlineStr">
        <is>
          <t>25.1~3</t>
        </is>
      </c>
      <c r="E52" s="13" t="inlineStr">
        <is>
          <t>25.4~6</t>
        </is>
      </c>
      <c r="F52" s="13" t="inlineStr">
        <is>
          <t>25.7~9</t>
        </is>
      </c>
      <c r="G52" s="13" t="inlineStr">
        <is>
          <t>25.10~12</t>
        </is>
      </c>
      <c r="H52" s="13" t="inlineStr">
        <is>
          <t>26.1~3</t>
        </is>
      </c>
      <c r="I52" s="13" t="inlineStr">
        <is>
          <t>26.4~6</t>
        </is>
      </c>
      <c r="J52" s="13" t="inlineStr">
        <is>
          <t>26.7~9</t>
        </is>
      </c>
      <c r="K52" s="13" t="inlineStr">
        <is>
          <t>출처</t>
        </is>
      </c>
    </row>
    <row r="53">
      <c r="A53" s="14" t="inlineStr">
        <is>
          <t>합계</t>
        </is>
      </c>
      <c r="B53" s="15" t="n">
        <v>1857</v>
      </c>
      <c r="C53" s="15" t="n">
        <v>2011</v>
      </c>
      <c r="D53" s="15" t="n">
        <v>2114</v>
      </c>
      <c r="E53" s="15" t="n">
        <v>2059</v>
      </c>
      <c r="F53" s="15" t="n">
        <v>2053</v>
      </c>
      <c r="G53" s="15" t="n">
        <v>2202</v>
      </c>
      <c r="H53" s="15" t="n">
        <v>2520</v>
      </c>
      <c r="I53" s="15" t="n">
        <v>2819</v>
      </c>
      <c r="J53" s="15" t="n">
        <v>3060</v>
      </c>
      <c r="K53" s="3" t="inlineStr">
        <is>
          <t>설명회 자료 부문별 수주고(억 엔)</t>
        </is>
      </c>
    </row>
    <row r="54">
      <c r="A54" s="14" t="inlineStr">
        <is>
          <t>FA</t>
        </is>
      </c>
      <c r="B54" s="15" t="n">
        <v>494</v>
      </c>
      <c r="C54" s="15" t="n">
        <v>473</v>
      </c>
      <c r="D54" s="15" t="n">
        <v>507</v>
      </c>
      <c r="E54" s="15" t="n">
        <v>550</v>
      </c>
      <c r="F54" s="15" t="n">
        <v>488</v>
      </c>
      <c r="G54" s="15" t="n">
        <v>547</v>
      </c>
      <c r="H54" s="15" t="n">
        <v>711</v>
      </c>
      <c r="I54" s="15" t="n">
        <v>902</v>
      </c>
      <c r="J54" s="15" t="n">
        <v>1122</v>
      </c>
    </row>
    <row r="55">
      <c r="A55" s="14" t="inlineStr">
        <is>
          <t>로봇</t>
        </is>
      </c>
      <c r="B55" s="15" t="n">
        <v>663</v>
      </c>
      <c r="C55" s="15" t="n">
        <v>817</v>
      </c>
      <c r="D55" s="15" t="n">
        <v>909</v>
      </c>
      <c r="E55" s="15" t="n">
        <v>906</v>
      </c>
      <c r="F55" s="15" t="n">
        <v>918</v>
      </c>
      <c r="G55" s="15" t="n">
        <v>988</v>
      </c>
      <c r="H55" s="15" t="n">
        <v>1006</v>
      </c>
      <c r="I55" s="15" t="n">
        <v>979</v>
      </c>
      <c r="J55" s="15" t="n">
        <v>1034</v>
      </c>
    </row>
    <row r="56">
      <c r="A56" s="14" t="inlineStr">
        <is>
          <t>로보머신</t>
        </is>
      </c>
      <c r="B56" s="15" t="n">
        <v>361</v>
      </c>
      <c r="C56" s="15" t="n">
        <v>388</v>
      </c>
      <c r="D56" s="15" t="n">
        <v>375</v>
      </c>
      <c r="E56" s="15" t="n">
        <v>290</v>
      </c>
      <c r="F56" s="15" t="n">
        <v>297</v>
      </c>
      <c r="G56" s="15" t="n">
        <v>308</v>
      </c>
      <c r="H56" s="15" t="n">
        <v>438</v>
      </c>
      <c r="I56" s="15" t="n">
        <v>576</v>
      </c>
      <c r="J56" s="15" t="n">
        <v>512</v>
      </c>
    </row>
    <row r="57">
      <c r="A57" s="14" t="inlineStr">
        <is>
          <t>서비스</t>
        </is>
      </c>
      <c r="B57" s="15" t="n">
        <v>340</v>
      </c>
      <c r="C57" s="15" t="n">
        <v>333</v>
      </c>
      <c r="D57" s="15" t="n">
        <v>323</v>
      </c>
      <c r="E57" s="15" t="n">
        <v>312</v>
      </c>
      <c r="F57" s="15" t="n">
        <v>351</v>
      </c>
      <c r="G57" s="15" t="n">
        <v>359</v>
      </c>
      <c r="H57" s="15" t="n">
        <v>365</v>
      </c>
      <c r="I57" s="15" t="n">
        <v>363</v>
      </c>
      <c r="J57" s="15" t="n">
        <v>393</v>
      </c>
    </row>
    <row r="59">
      <c r="A59" s="12" t="inlineStr">
        <is>
          <t>수주 지역별 26Q2 YoY</t>
        </is>
      </c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>
      <c r="A60" s="13" t="inlineStr">
        <is>
          <t>항목</t>
        </is>
      </c>
      <c r="B60" s="13" t="inlineStr">
        <is>
          <t>값</t>
        </is>
      </c>
      <c r="K60" s="13" t="inlineStr">
        <is>
          <t>출처</t>
        </is>
      </c>
    </row>
    <row r="61">
      <c r="A61" s="14" t="inlineStr">
        <is>
          <t>전체</t>
        </is>
      </c>
      <c r="B61" s="11" t="n">
        <v>49</v>
      </c>
      <c r="K61" s="3" t="inlineStr">
        <is>
          <t>2단계 보고서 자료(회사 설명회 자료·공시)</t>
        </is>
      </c>
    </row>
    <row r="62">
      <c r="A62" s="14" t="inlineStr">
        <is>
          <t>아시아(중국 외)</t>
        </is>
      </c>
      <c r="B62" s="11" t="n">
        <v>111.9</v>
      </c>
    </row>
    <row r="63">
      <c r="A63" s="14" t="inlineStr">
        <is>
          <t>중국</t>
        </is>
      </c>
      <c r="B63" s="11" t="n">
        <v>79.8</v>
      </c>
    </row>
    <row r="64">
      <c r="A64" s="14" t="inlineStr">
        <is>
          <t>일본</t>
        </is>
      </c>
      <c r="B64" s="11" t="n">
        <v>54.3</v>
      </c>
    </row>
    <row r="65">
      <c r="A65" s="14" t="inlineStr">
        <is>
          <t>미주</t>
        </is>
      </c>
      <c r="B65" s="11" t="n">
        <v>15</v>
      </c>
    </row>
    <row r="66">
      <c r="A66" s="14" t="inlineStr">
        <is>
          <t>유럽</t>
        </is>
      </c>
      <c r="B66" s="11" t="n">
        <v>5.3</v>
      </c>
    </row>
    <row r="68">
      <c r="A68" s="12" t="inlineStr">
        <is>
          <t>매출 지역별 26Q2 · 비중</t>
        </is>
      </c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>
      <c r="A69" s="13" t="inlineStr">
        <is>
          <t>항목</t>
        </is>
      </c>
      <c r="B69" s="13" t="inlineStr">
        <is>
          <t>값</t>
        </is>
      </c>
      <c r="K69" s="13" t="inlineStr">
        <is>
          <t>출처</t>
        </is>
      </c>
    </row>
    <row r="70">
      <c r="A70" s="14" t="inlineStr">
        <is>
          <t>미주</t>
        </is>
      </c>
      <c r="B70" s="11" t="n">
        <v>27.8</v>
      </c>
      <c r="K70" s="3" t="inlineStr">
        <is>
          <t>2단계 보고서 자료(회사 설명회 자료·공시)</t>
        </is>
      </c>
    </row>
    <row r="71">
      <c r="A71" s="14" t="inlineStr">
        <is>
          <t>중국</t>
        </is>
      </c>
      <c r="B71" s="11" t="n">
        <v>27.4</v>
      </c>
    </row>
    <row r="72">
      <c r="A72" s="14" t="inlineStr">
        <is>
          <t>유럽</t>
        </is>
      </c>
      <c r="B72" s="11" t="n">
        <v>15.9</v>
      </c>
    </row>
    <row r="73">
      <c r="A73" s="14" t="inlineStr">
        <is>
          <t>아시아(중국 외)</t>
        </is>
      </c>
      <c r="B73" s="11" t="n">
        <v>14.7</v>
      </c>
    </row>
    <row r="74">
      <c r="A74" s="14" t="inlineStr">
        <is>
          <t>일본</t>
        </is>
      </c>
      <c r="B74" s="11" t="n">
        <v>13.1</v>
      </c>
    </row>
    <row r="75">
      <c r="A75" s="14" t="inlineStr">
        <is>
          <t>기타</t>
        </is>
      </c>
      <c r="B75" s="11" t="n">
        <v>1.1</v>
      </c>
    </row>
    <row r="77">
      <c r="A77" s="12" t="inlineStr">
        <is>
          <t>매출 지역별 26Q2 · YoY</t>
        </is>
      </c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>
      <c r="A78" s="13" t="inlineStr">
        <is>
          <t>항목</t>
        </is>
      </c>
      <c r="B78" s="13" t="inlineStr">
        <is>
          <t>값</t>
        </is>
      </c>
      <c r="K78" s="13" t="inlineStr">
        <is>
          <t>출처</t>
        </is>
      </c>
    </row>
    <row r="79">
      <c r="A79" s="14" t="inlineStr">
        <is>
          <t>미주</t>
        </is>
      </c>
      <c r="B79" s="11" t="n">
        <v>12.9</v>
      </c>
      <c r="K79" s="3" t="inlineStr">
        <is>
          <t>2단계 보고서 자료(회사 설명회 자료·공시)</t>
        </is>
      </c>
    </row>
    <row r="80">
      <c r="A80" s="14" t="inlineStr">
        <is>
          <t>중국</t>
        </is>
      </c>
      <c r="B80" s="11" t="n">
        <v>20.8</v>
      </c>
    </row>
    <row r="81">
      <c r="A81" s="14" t="inlineStr">
        <is>
          <t>유럽</t>
        </is>
      </c>
      <c r="B81" s="11" t="n">
        <v>5.7</v>
      </c>
    </row>
    <row r="82">
      <c r="A82" s="14" t="inlineStr">
        <is>
          <t>아시아(중국 외)</t>
        </is>
      </c>
      <c r="B82" s="11" t="n">
        <v>17.2</v>
      </c>
    </row>
    <row r="83">
      <c r="A83" s="14" t="inlineStr">
        <is>
          <t>일본</t>
        </is>
      </c>
      <c r="B83" s="11" t="n">
        <v>17.1</v>
      </c>
    </row>
    <row r="85">
      <c r="A85" s="12" t="inlineStr">
        <is>
          <t>영업이익 증감 요인 상반기 YoY</t>
        </is>
      </c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>
      <c r="A86" s="13" t="inlineStr">
        <is>
          <t>항목</t>
        </is>
      </c>
      <c r="B86" s="13" t="inlineStr">
        <is>
          <t>값</t>
        </is>
      </c>
      <c r="K86" s="13" t="inlineStr">
        <is>
          <t>출처</t>
        </is>
      </c>
    </row>
    <row r="87">
      <c r="A87" s="14" t="inlineStr">
        <is>
          <t>전년 상반기</t>
        </is>
      </c>
      <c r="B87" s="15" t="n">
        <v>860</v>
      </c>
      <c r="K87" s="3" t="inlineStr">
        <is>
          <t>2단계 보고서 자료(회사 설명회 자료·공시)</t>
        </is>
      </c>
    </row>
    <row r="88">
      <c r="A88" s="14" t="inlineStr">
        <is>
          <t>매출 증가</t>
        </is>
      </c>
      <c r="B88" s="15" t="n">
        <v>235</v>
      </c>
    </row>
    <row r="89">
      <c r="A89" s="14" t="inlineStr">
        <is>
          <t>원가 차이</t>
        </is>
      </c>
      <c r="B89" s="15" t="n">
        <v>27</v>
      </c>
    </row>
    <row r="90">
      <c r="A90" s="14" t="inlineStr">
        <is>
          <t>미실현이익</t>
        </is>
      </c>
      <c r="B90" s="15" t="n">
        <v>17</v>
      </c>
    </row>
    <row r="91">
      <c r="A91" s="14" t="inlineStr">
        <is>
          <t>판관비</t>
        </is>
      </c>
      <c r="B91" s="15" t="n">
        <v>-37</v>
      </c>
    </row>
    <row r="92">
      <c r="A92" s="14" t="inlineStr">
        <is>
          <t>기타</t>
        </is>
      </c>
      <c r="B92" s="15" t="n">
        <v>65</v>
      </c>
    </row>
    <row r="93">
      <c r="A93" s="14" t="inlineStr">
        <is>
          <t>당기 상반기</t>
        </is>
      </c>
      <c r="B93" s="15" t="n">
        <v>1167</v>
      </c>
    </row>
    <row r="95">
      <c r="A95" s="12" t="inlineStr">
        <is>
          <t>영업이익 증감 요인 QoQ</t>
        </is>
      </c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>
      <c r="A96" s="13" t="inlineStr">
        <is>
          <t>항목</t>
        </is>
      </c>
      <c r="B96" s="13" t="inlineStr">
        <is>
          <t>값</t>
        </is>
      </c>
      <c r="K96" s="13" t="inlineStr">
        <is>
          <t>출처</t>
        </is>
      </c>
    </row>
    <row r="97">
      <c r="A97" s="14" t="inlineStr">
        <is>
          <t>1Q</t>
        </is>
      </c>
      <c r="B97" s="15" t="n">
        <v>535</v>
      </c>
      <c r="K97" s="3" t="inlineStr">
        <is>
          <t>2단계 보고서 자료(회사 설명회 자료·공시)</t>
        </is>
      </c>
    </row>
    <row r="98">
      <c r="A98" s="14" t="inlineStr">
        <is>
          <t>매출 증가</t>
        </is>
      </c>
      <c r="B98" s="15" t="n">
        <v>105</v>
      </c>
    </row>
    <row r="99">
      <c r="A99" s="14" t="inlineStr">
        <is>
          <t>원가 차이</t>
        </is>
      </c>
      <c r="B99" s="15" t="n">
        <v>-18</v>
      </c>
    </row>
    <row r="100">
      <c r="A100" s="14" t="inlineStr">
        <is>
          <t>미실현이익</t>
        </is>
      </c>
      <c r="B100" s="15" t="n">
        <v>28</v>
      </c>
    </row>
    <row r="101">
      <c r="A101" s="14" t="inlineStr">
        <is>
          <t>판관비</t>
        </is>
      </c>
      <c r="B101" s="15" t="n">
        <v>-19</v>
      </c>
    </row>
    <row r="102">
      <c r="A102" s="14" t="inlineStr">
        <is>
          <t>기타</t>
        </is>
      </c>
      <c r="B102" s="15" t="n">
        <v>1</v>
      </c>
    </row>
    <row r="103">
      <c r="A103" s="14" t="inlineStr">
        <is>
          <t>2Q</t>
        </is>
      </c>
      <c r="B103" s="15" t="n">
        <v>632</v>
      </c>
    </row>
    <row r="105">
      <c r="A105" s="12" t="inlineStr">
        <is>
          <t>환율 · 2Q 26</t>
        </is>
      </c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>
      <c r="A106" s="13" t="inlineStr">
        <is>
          <t>항목</t>
        </is>
      </c>
      <c r="B106" s="13" t="inlineStr">
        <is>
          <t>값</t>
        </is>
      </c>
      <c r="K106" s="13" t="inlineStr">
        <is>
          <t>출처</t>
        </is>
      </c>
    </row>
    <row r="107">
      <c r="A107" s="14" t="inlineStr">
        <is>
          <t>달러</t>
        </is>
      </c>
      <c r="B107" s="11" t="n">
        <v>159.25</v>
      </c>
      <c r="K107" s="3" t="inlineStr">
        <is>
          <t>2단계 보고서 자료(회사 설명회 자료·공시)</t>
        </is>
      </c>
    </row>
    <row r="108">
      <c r="A108" s="14" t="inlineStr">
        <is>
          <t>유로</t>
        </is>
      </c>
      <c r="B108" s="11" t="n">
        <v>183.32</v>
      </c>
    </row>
    <row r="110">
      <c r="A110" s="12" t="inlineStr">
        <is>
          <t>환율 · 2Q 25</t>
        </is>
      </c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>
      <c r="A111" s="13" t="inlineStr">
        <is>
          <t>항목</t>
        </is>
      </c>
      <c r="B111" s="13" t="inlineStr">
        <is>
          <t>값</t>
        </is>
      </c>
      <c r="K111" s="13" t="inlineStr">
        <is>
          <t>출처</t>
        </is>
      </c>
    </row>
    <row r="112">
      <c r="A112" s="14" t="inlineStr">
        <is>
          <t>달러</t>
        </is>
      </c>
      <c r="B112" s="11" t="n">
        <v>147.48</v>
      </c>
      <c r="K112" s="3" t="inlineStr">
        <is>
          <t>2단계 보고서 자료(회사 설명회 자료·공시)</t>
        </is>
      </c>
    </row>
    <row r="113">
      <c r="A113" s="14" t="inlineStr">
        <is>
          <t>유로</t>
        </is>
      </c>
      <c r="B113" s="11" t="n">
        <v>172.32</v>
      </c>
    </row>
    <row r="115">
      <c r="A115" s="12" t="inlineStr">
        <is>
          <t>환율 · 하반기 assume</t>
        </is>
      </c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>
      <c r="A116" s="13" t="inlineStr">
        <is>
          <t>항목</t>
        </is>
      </c>
      <c r="B116" s="13" t="inlineStr">
        <is>
          <t>값</t>
        </is>
      </c>
      <c r="K116" s="13" t="inlineStr">
        <is>
          <t>출처</t>
        </is>
      </c>
    </row>
    <row r="117">
      <c r="A117" s="14" t="inlineStr">
        <is>
          <t>달러</t>
        </is>
      </c>
      <c r="B117" s="15" t="n">
        <v>150</v>
      </c>
      <c r="K117" s="3" t="inlineStr">
        <is>
          <t>2단계 보고서 자료(회사 설명회 자료·공시)</t>
        </is>
      </c>
    </row>
    <row r="118">
      <c r="A118" s="14" t="inlineStr">
        <is>
          <t>유로</t>
        </is>
      </c>
      <c r="B118" s="15" t="n">
        <v>175</v>
      </c>
    </row>
    <row r="120">
      <c r="A120" s="12" t="inlineStr">
        <is>
          <t>가이던스 FY3 27 · latest 2026-10-23</t>
        </is>
      </c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>
      <c r="A121" s="13" t="inlineStr">
        <is>
          <t>항목</t>
        </is>
      </c>
      <c r="B121" s="13" t="inlineStr">
        <is>
          <t>값</t>
        </is>
      </c>
      <c r="K121" s="13" t="inlineStr">
        <is>
          <t>출처</t>
        </is>
      </c>
    </row>
    <row r="122">
      <c r="A122" s="14" t="inlineStr">
        <is>
          <t>매출</t>
        </is>
      </c>
      <c r="B122" s="15" t="n">
        <v>10137</v>
      </c>
      <c r="K122" s="3" t="inlineStr">
        <is>
          <t>2단계 보고서 자료(회사 설명회 자료·공시)</t>
        </is>
      </c>
    </row>
    <row r="123">
      <c r="A123" s="14" t="inlineStr">
        <is>
          <t>영업이익</t>
        </is>
      </c>
      <c r="B123" s="15" t="n">
        <v>2407</v>
      </c>
    </row>
    <row r="124">
      <c r="A124" s="14" t="inlineStr">
        <is>
          <t>ordinary</t>
        </is>
      </c>
      <c r="B124" s="15" t="n">
        <v>3088</v>
      </c>
    </row>
    <row r="125">
      <c r="A125" s="14" t="inlineStr">
        <is>
          <t>순이익</t>
        </is>
      </c>
      <c r="B125" s="15" t="n">
        <v>2283</v>
      </c>
    </row>
    <row r="126">
      <c r="A126" s="14" t="inlineStr">
        <is>
          <t>EPS</t>
        </is>
      </c>
      <c r="B126" s="11" t="n">
        <v>246.01</v>
      </c>
    </row>
    <row r="128">
      <c r="A128" s="12" t="inlineStr">
        <is>
          <t>가이던스 FY3 27 · 하반기 implied</t>
        </is>
      </c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>
      <c r="A129" s="13" t="inlineStr">
        <is>
          <t>항목</t>
        </is>
      </c>
      <c r="B129" s="13" t="inlineStr">
        <is>
          <t>값</t>
        </is>
      </c>
      <c r="K129" s="13" t="inlineStr">
        <is>
          <t>출처</t>
        </is>
      </c>
    </row>
    <row r="130">
      <c r="A130" s="14" t="inlineStr">
        <is>
          <t>매출</t>
        </is>
      </c>
      <c r="B130" s="11" t="n">
        <v>5399.92</v>
      </c>
      <c r="K130" s="3" t="inlineStr">
        <is>
          <t>2단계 보고서 자료(회사 설명회 자료·공시)</t>
        </is>
      </c>
    </row>
    <row r="131">
      <c r="A131" s="14" t="inlineStr">
        <is>
          <t>영업이익</t>
        </is>
      </c>
      <c r="B131" s="11" t="n">
        <v>1240.38</v>
      </c>
    </row>
    <row r="132">
      <c r="A132" s="14" t="inlineStr">
        <is>
          <t>순이익</t>
        </is>
      </c>
      <c r="B132" s="11" t="n">
        <v>1157.24</v>
      </c>
    </row>
    <row r="134">
      <c r="A134" s="12" t="inlineStr">
        <is>
          <t>가이던스 history FY3 27</t>
        </is>
      </c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>
      <c r="A135" s="13" t="inlineStr">
        <is>
          <t>항목</t>
        </is>
      </c>
      <c r="B135" s="13" t="inlineStr">
        <is>
          <t>매출</t>
        </is>
      </c>
      <c r="C135" s="13" t="inlineStr">
        <is>
          <t>영업이익</t>
        </is>
      </c>
      <c r="D135" s="13" t="inlineStr">
        <is>
          <t>순이익</t>
        </is>
      </c>
      <c r="E135" s="13" t="inlineStr">
        <is>
          <t>EPS</t>
        </is>
      </c>
      <c r="K135" s="13" t="inlineStr">
        <is>
          <t>출처</t>
        </is>
      </c>
    </row>
    <row r="136">
      <c r="A136" s="14" t="inlineStr">
        <is>
          <t>2026-04-24</t>
        </is>
      </c>
      <c r="B136" s="15" t="n">
        <v>9096</v>
      </c>
      <c r="C136" s="15" t="n">
        <v>2122</v>
      </c>
      <c r="D136" s="15" t="n">
        <v>1849</v>
      </c>
      <c r="E136" s="11" t="n">
        <v>198.14</v>
      </c>
      <c r="K136" s="3" t="inlineStr">
        <is>
          <t>2단계 보고서 자료(회사 설명회 자료·공시)</t>
        </is>
      </c>
    </row>
    <row r="137">
      <c r="A137" s="14" t="inlineStr">
        <is>
          <t>2026-07-31</t>
        </is>
      </c>
      <c r="B137" s="15" t="n">
        <v>9481</v>
      </c>
      <c r="C137" s="15" t="n">
        <v>2180</v>
      </c>
      <c r="D137" s="15" t="n">
        <v>1980</v>
      </c>
      <c r="E137" s="11" t="n">
        <v>212.18</v>
      </c>
    </row>
    <row r="138">
      <c r="A138" s="14" t="inlineStr">
        <is>
          <t>2026-10-23</t>
        </is>
      </c>
      <c r="B138" s="15" t="n">
        <v>10137</v>
      </c>
      <c r="C138" s="15" t="n">
        <v>2407</v>
      </c>
      <c r="D138" s="15" t="n">
        <v>2283</v>
      </c>
      <c r="E138" s="11" t="n">
        <v>246.01</v>
      </c>
    </row>
    <row r="140">
      <c r="A140" s="12" t="inlineStr">
        <is>
          <t>가이던스 history past</t>
        </is>
      </c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>
      <c r="A141" s="13" t="inlineStr">
        <is>
          <t>항목</t>
        </is>
      </c>
      <c r="B141" s="13" t="inlineStr">
        <is>
          <t>initial 매출</t>
        </is>
      </c>
      <c r="C141" s="13" t="inlineStr">
        <is>
          <t>initial 영업이익</t>
        </is>
      </c>
      <c r="D141" s="13" t="inlineStr">
        <is>
          <t>실적 매출</t>
        </is>
      </c>
      <c r="E141" s="13" t="inlineStr">
        <is>
          <t>실적 영업이익</t>
        </is>
      </c>
      <c r="K141" s="13" t="inlineStr">
        <is>
          <t>출처</t>
        </is>
      </c>
    </row>
    <row r="142">
      <c r="A142" s="14" t="inlineStr">
        <is>
          <t>FY3/18</t>
        </is>
      </c>
      <c r="B142" s="15" t="n">
        <v>5698</v>
      </c>
      <c r="C142" s="15" t="n">
        <v>1555</v>
      </c>
      <c r="D142" s="15" t="n">
        <v>7266</v>
      </c>
      <c r="E142" s="15" t="n">
        <v>2296</v>
      </c>
      <c r="K142" s="3" t="inlineStr">
        <is>
          <t>2단계 보고서 자료(회사 설명회 자료·공시)</t>
        </is>
      </c>
    </row>
    <row r="143">
      <c r="A143" s="14" t="inlineStr">
        <is>
          <t>FY3/19</t>
        </is>
      </c>
      <c r="B143" s="15" t="n">
        <v>6342</v>
      </c>
      <c r="C143" s="15" t="n">
        <v>1517</v>
      </c>
      <c r="D143" s="15" t="n">
        <v>6356</v>
      </c>
      <c r="E143" s="15" t="n">
        <v>1633</v>
      </c>
    </row>
    <row r="144">
      <c r="A144" s="14" t="inlineStr">
        <is>
          <t>FY3/20</t>
        </is>
      </c>
      <c r="B144" s="15" t="n">
        <v>5369</v>
      </c>
      <c r="C144" s="15" t="n">
        <v>757</v>
      </c>
      <c r="D144" s="15" t="n">
        <v>5083</v>
      </c>
      <c r="E144" s="15" t="n">
        <v>884</v>
      </c>
    </row>
    <row r="145">
      <c r="A145" s="14" t="inlineStr">
        <is>
          <t>FY3/22</t>
        </is>
      </c>
      <c r="B145" s="15" t="n">
        <v>6571</v>
      </c>
      <c r="C145" s="15" t="n">
        <v>1484</v>
      </c>
      <c r="D145" s="15" t="n">
        <v>7330</v>
      </c>
      <c r="E145" s="15" t="n">
        <v>1832</v>
      </c>
    </row>
    <row r="146">
      <c r="A146" s="14" t="inlineStr">
        <is>
          <t>FY3/23</t>
        </is>
      </c>
      <c r="B146" s="15" t="n">
        <v>8255</v>
      </c>
      <c r="C146" s="15" t="n">
        <v>1973</v>
      </c>
      <c r="D146" s="15" t="n">
        <v>8520</v>
      </c>
      <c r="E146" s="15" t="n">
        <v>1914</v>
      </c>
    </row>
    <row r="147">
      <c r="A147" s="14" t="inlineStr">
        <is>
          <t>FY3/24</t>
        </is>
      </c>
      <c r="B147" s="15" t="n">
        <v>8195</v>
      </c>
      <c r="C147" s="15" t="n">
        <v>1563</v>
      </c>
      <c r="D147" s="15" t="n">
        <v>7953</v>
      </c>
      <c r="E147" s="15" t="n">
        <v>1419</v>
      </c>
    </row>
    <row r="148">
      <c r="A148" s="14" t="inlineStr">
        <is>
          <t>FY3/25</t>
        </is>
      </c>
      <c r="B148" s="15" t="n">
        <v>7464</v>
      </c>
      <c r="C148" s="15" t="n">
        <v>1210</v>
      </c>
      <c r="D148" s="15" t="n">
        <v>7971</v>
      </c>
      <c r="E148" s="15" t="n">
        <v>1588</v>
      </c>
    </row>
    <row r="149">
      <c r="A149" s="14" t="inlineStr">
        <is>
          <t>FY3/26</t>
        </is>
      </c>
      <c r="B149" s="16" t="n"/>
      <c r="C149" s="16" t="n"/>
      <c r="D149" s="15" t="n">
        <v>8578</v>
      </c>
      <c r="E149" s="15" t="n">
        <v>1838</v>
      </c>
    </row>
    <row r="150">
      <c r="A150" s="14" t="inlineStr">
        <is>
          <t>FY3/27</t>
        </is>
      </c>
      <c r="B150" s="15" t="n">
        <v>9096</v>
      </c>
      <c r="C150" s="15" t="n">
        <v>2122</v>
      </c>
      <c r="D150" s="16" t="n"/>
      <c r="E150" s="1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1" t="inlineStr">
        <is>
          <t>출처 · 쓴 결산단신</t>
        </is>
      </c>
    </row>
    <row r="3">
      <c r="A3" s="17" t="inlineStr">
        <is>
          <t>공시일</t>
        </is>
      </c>
      <c r="B3" s="17" t="inlineStr">
        <is>
          <t>문서</t>
        </is>
      </c>
      <c r="C3" s="17" t="inlineStr">
        <is>
          <t>PDF</t>
        </is>
      </c>
    </row>
    <row r="4">
      <c r="A4" t="inlineStr">
        <is>
          <t>2026-10-23</t>
        </is>
      </c>
      <c r="B4" t="inlineStr">
        <is>
          <t>2027년 3월 결산기 2분기 결산단신</t>
        </is>
      </c>
      <c r="C4" t="inlineStr">
        <is>
          <t>https://www2.jpx.co.jp/disc/69540/140120261021553848.pdf</t>
        </is>
      </c>
    </row>
    <row r="5">
      <c r="A5" t="inlineStr">
        <is>
          <t>2026-07-31</t>
        </is>
      </c>
      <c r="B5" t="inlineStr">
        <is>
          <t>2027년 3월 결산기 1분기 결산단신</t>
        </is>
      </c>
      <c r="C5" t="inlineStr">
        <is>
          <t>https://www2.jpx.co.jp/disc/69540/140120260730504181.pdf</t>
        </is>
      </c>
    </row>
    <row r="6">
      <c r="A6" t="inlineStr">
        <is>
          <t>2026-04-24</t>
        </is>
      </c>
      <c r="B6" t="inlineStr">
        <is>
          <t>2026년 3월 결산기 연간 결산단신</t>
        </is>
      </c>
      <c r="C6" t="inlineStr">
        <is>
          <t>https://www2.jpx.co.jp/disc/69540/140120260417505759.pdf</t>
        </is>
      </c>
    </row>
    <row r="7">
      <c r="A7" t="inlineStr">
        <is>
          <t>2026-01-26</t>
        </is>
      </c>
      <c r="B7" t="inlineStr">
        <is>
          <t>2026년 3월 결산기 3분기 결산단신</t>
        </is>
      </c>
      <c r="C7" t="inlineStr">
        <is>
          <t>https://www2.jpx.co.jp/disc/69540/140120260123537752.pdf</t>
        </is>
      </c>
    </row>
    <row r="8">
      <c r="A8" t="inlineStr">
        <is>
          <t>2025-10-31</t>
        </is>
      </c>
      <c r="B8" t="inlineStr">
        <is>
          <t>2026년 3월 결산기 2분기 결산단신</t>
        </is>
      </c>
      <c r="C8" t="inlineStr">
        <is>
          <t>https://www2.jpx.co.jp/disc/69540/140120251030583686.pdf</t>
        </is>
      </c>
    </row>
    <row r="9">
      <c r="A9" t="inlineStr">
        <is>
          <t>2025-07-25</t>
        </is>
      </c>
      <c r="B9" t="inlineStr">
        <is>
          <t>2026년 3월 결산기 1분기 결산단신</t>
        </is>
      </c>
      <c r="C9" t="inlineStr">
        <is>
          <t>https://www2.jpx.co.jp/disc/69540/140120250725520327.pdf</t>
        </is>
      </c>
    </row>
    <row r="10">
      <c r="A10" t="inlineStr">
        <is>
          <t>2025-04-23</t>
        </is>
      </c>
      <c r="B10" t="inlineStr">
        <is>
          <t>2025년 3월 결산기 연간 결산단신</t>
        </is>
      </c>
      <c r="C10" t="inlineStr">
        <is>
          <t>https://www2.jpx.co.jp/disc/69540/140120250417517689.pdf</t>
        </is>
      </c>
    </row>
    <row r="11">
      <c r="A11" t="inlineStr">
        <is>
          <t>2025-01-27</t>
        </is>
      </c>
      <c r="B11" t="inlineStr">
        <is>
          <t>2025년 3월 결산기 3분기 결산단신</t>
        </is>
      </c>
      <c r="C11" t="inlineStr">
        <is>
          <t>https://www2.jpx.co.jp/disc/69540/140120250123554488.pdf</t>
        </is>
      </c>
    </row>
    <row r="12">
      <c r="A12" t="inlineStr">
        <is>
          <t>2024-10-25</t>
        </is>
      </c>
      <c r="B12" t="inlineStr">
        <is>
          <t>2025년 3월 결산기 2분기 결산단신</t>
        </is>
      </c>
      <c r="C12" t="inlineStr">
        <is>
          <t>https://www2.jpx.co.jp/disc/69540/140120241022500956.pdf</t>
        </is>
      </c>
    </row>
    <row r="13">
      <c r="A13" t="inlineStr">
        <is>
          <t>2024-07-29</t>
        </is>
      </c>
      <c r="B13" t="inlineStr">
        <is>
          <t>2025년 3월 결산기 1분기 결산단신</t>
        </is>
      </c>
      <c r="C13" t="inlineStr">
        <is>
          <t>https://www2.jpx.co.jp/disc/69540/140120240716549300.pdf</t>
        </is>
      </c>
    </row>
    <row r="14">
      <c r="A14" t="inlineStr">
        <is>
          <t>2024-04-24</t>
        </is>
      </c>
      <c r="B14" t="inlineStr">
        <is>
          <t>2024년 3월 결산기 연간 결산단신</t>
        </is>
      </c>
      <c r="C14" t="inlineStr">
        <is>
          <t>https://www2.jpx.co.jp/disc/69540/140120240422573909.pdf</t>
        </is>
      </c>
    </row>
    <row r="15">
      <c r="A15" t="inlineStr">
        <is>
          <t>2024-01-26</t>
        </is>
      </c>
      <c r="B15" t="inlineStr">
        <is>
          <t>2024년 3월 결산기 3분기 결산단신</t>
        </is>
      </c>
      <c r="C15" t="inlineStr">
        <is>
          <t>https://www2.jpx.co.jp/disc/69540/140120240117516335.pdf</t>
        </is>
      </c>
    </row>
    <row r="16">
      <c r="A16" t="inlineStr">
        <is>
          <t>2023-10-31</t>
        </is>
      </c>
      <c r="B16" t="inlineStr">
        <is>
          <t>2024년 3월 결산기 2분기 결산단신</t>
        </is>
      </c>
      <c r="C16" t="inlineStr">
        <is>
          <t>https://www2.jpx.co.jp/disc/69540/140120231027573489.pdf</t>
        </is>
      </c>
    </row>
    <row r="17">
      <c r="A17" t="inlineStr">
        <is>
          <t>2023-07-28</t>
        </is>
      </c>
      <c r="B17" t="inlineStr">
        <is>
          <t>2024년 3월 결산기 1분기 결산단신</t>
        </is>
      </c>
      <c r="C17" t="inlineStr">
        <is>
          <t>https://www2.jpx.co.jp/disc/69540/140120230721525425.pdf</t>
        </is>
      </c>
    </row>
    <row r="18">
      <c r="A18" t="inlineStr">
        <is>
          <t>2023-04-26</t>
        </is>
      </c>
      <c r="B18" t="inlineStr">
        <is>
          <t>2023년 3월 결산기 연간 결산단신</t>
        </is>
      </c>
      <c r="C18" t="inlineStr">
        <is>
          <t>https://www2.jpx.co.jp/disc/69540/140120230425552136.pdf</t>
        </is>
      </c>
    </row>
    <row r="19">
      <c r="A19" t="inlineStr">
        <is>
          <t>2023-01-27</t>
        </is>
      </c>
      <c r="B19" t="inlineStr">
        <is>
          <t>2023년 3월 결산기 3분기 결산단신</t>
        </is>
      </c>
      <c r="C19" t="inlineStr">
        <is>
          <t>https://www2.jpx.co.jp/disc/69540/140120221219580711.pdf</t>
        </is>
      </c>
    </row>
    <row r="20">
      <c r="A20" t="inlineStr">
        <is>
          <t>2022-10-27</t>
        </is>
      </c>
      <c r="B20" t="inlineStr">
        <is>
          <t>2023년 3월 결산기 2분기 결산단신</t>
        </is>
      </c>
      <c r="C20" t="inlineStr">
        <is>
          <t>https://www2.jpx.co.jp/disc/69540/140120221021547378.pdf</t>
        </is>
      </c>
    </row>
    <row r="21">
      <c r="A21" t="inlineStr">
        <is>
          <t>2022-07-27</t>
        </is>
      </c>
      <c r="B21" t="inlineStr">
        <is>
          <t>2023년 3월 결산기 1분기 결산단신</t>
        </is>
      </c>
      <c r="C21" t="inlineStr">
        <is>
          <t>https://www2.jpx.co.jp/disc/69540/140120220722503579.pdf</t>
        </is>
      </c>
    </row>
    <row r="22">
      <c r="A22" t="inlineStr">
        <is>
          <t>2022-04-26</t>
        </is>
      </c>
      <c r="B22" t="inlineStr">
        <is>
          <t>2022년 3월 결산기 연간 결산단신</t>
        </is>
      </c>
      <c r="C22" t="inlineStr">
        <is>
          <t>https://www2.jpx.co.jp/disc/69540/140120220421525579.pdf</t>
        </is>
      </c>
    </row>
    <row r="23">
      <c r="A23" t="inlineStr">
        <is>
          <t>2022-01-26</t>
        </is>
      </c>
      <c r="B23" t="inlineStr">
        <is>
          <t>2022년 3월 결산기 3분기 결산단신</t>
        </is>
      </c>
      <c r="C23" t="inlineStr">
        <is>
          <t>https://www2.jpx.co.jp/disc/69540/140120220105564169.pdf</t>
        </is>
      </c>
    </row>
    <row r="24">
      <c r="A24" t="inlineStr">
        <is>
          <t>2021-10-27</t>
        </is>
      </c>
      <c r="B24" t="inlineStr">
        <is>
          <t>2022년 3월 결산기 2분기 결산단신</t>
        </is>
      </c>
      <c r="C24" t="inlineStr">
        <is>
          <t>https://www2.jpx.co.jp/disc/69540/140120211013410167.pdf</t>
        </is>
      </c>
    </row>
    <row r="25">
      <c r="A25" t="inlineStr">
        <is>
          <t>2021-07-29</t>
        </is>
      </c>
      <c r="B25" t="inlineStr">
        <is>
          <t>2022년 3월 결산기 1분기 결산단신</t>
        </is>
      </c>
      <c r="C25" t="inlineStr">
        <is>
          <t>https://www2.jpx.co.jp/disc/69540/140120210713465632.pdf</t>
        </is>
      </c>
    </row>
    <row r="26">
      <c r="A26" t="inlineStr">
        <is>
          <t>2021-04-27</t>
        </is>
      </c>
      <c r="B26" t="inlineStr">
        <is>
          <t>2021년 3월 결산기 연간 결산단신</t>
        </is>
      </c>
      <c r="C26" t="inlineStr">
        <is>
          <t>https://www2.jpx.co.jp/disc/69540/140120210422498310.pdf</t>
        </is>
      </c>
    </row>
    <row r="27">
      <c r="A27" t="inlineStr">
        <is>
          <t>2021-01-27</t>
        </is>
      </c>
      <c r="B27" t="inlineStr">
        <is>
          <t>2021년 3월 결산기 3분기 결산단신</t>
        </is>
      </c>
      <c r="C27" t="inlineStr">
        <is>
          <t>https://www2.jpx.co.jp/disc/69540/140120210105441134.pdf</t>
        </is>
      </c>
    </row>
    <row r="28">
      <c r="A28" t="inlineStr">
        <is>
          <t>2020-10-29</t>
        </is>
      </c>
      <c r="B28" t="inlineStr">
        <is>
          <t>2021년 3월 결산기 2분기 결산단신</t>
        </is>
      </c>
      <c r="C28" t="inlineStr">
        <is>
          <t>https://www2.jpx.co.jp/disc/69540/140120201012402682.pdf</t>
        </is>
      </c>
    </row>
    <row r="29">
      <c r="A29" t="inlineStr">
        <is>
          <t>2020-07-28</t>
        </is>
      </c>
      <c r="B29" t="inlineStr">
        <is>
          <t>2021년 3월 결산기 1분기 결산단신</t>
        </is>
      </c>
      <c r="C29" t="inlineStr">
        <is>
          <t>https://www2.jpx.co.jp/disc/69540/140120200708459697.pdf</t>
        </is>
      </c>
    </row>
    <row r="30">
      <c r="A30" t="inlineStr">
        <is>
          <t>2020-04-24</t>
        </is>
      </c>
      <c r="B30" t="inlineStr">
        <is>
          <t>2020년 3월 결산기 연간 결산단신</t>
        </is>
      </c>
      <c r="C30" t="inlineStr">
        <is>
          <t>https://www2.jpx.co.jp/disc/69540/140120200423498399.pdf</t>
        </is>
      </c>
    </row>
    <row r="31">
      <c r="A31" t="inlineStr">
        <is>
          <t>2020-01-29</t>
        </is>
      </c>
      <c r="B31" t="inlineStr">
        <is>
          <t>2020년 3월 결산기 3분기 결산단신</t>
        </is>
      </c>
      <c r="C31" t="inlineStr">
        <is>
          <t>https://www2.jpx.co.jp/disc/69540/140120200114446683.pdf</t>
        </is>
      </c>
    </row>
    <row r="32">
      <c r="A32" t="inlineStr">
        <is>
          <t>2019-10-28</t>
        </is>
      </c>
      <c r="B32" t="inlineStr">
        <is>
          <t>2020년 3월 결산기 2분기 결산단신</t>
        </is>
      </c>
      <c r="C32" t="inlineStr">
        <is>
          <t>https://www2.jpx.co.jp/disc/69540/140120191008405805.pdf</t>
        </is>
      </c>
    </row>
    <row r="33">
      <c r="A33" t="inlineStr">
        <is>
          <t>2019-07-29</t>
        </is>
      </c>
      <c r="B33" t="inlineStr">
        <is>
          <t>2020년 3월 결산기 1분기 결산단신</t>
        </is>
      </c>
      <c r="C33" t="inlineStr">
        <is>
          <t>https://www2.jpx.co.jp/disc/69540/140120190711470799.pdf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2026-10-25T06:59:19Z</dcterms:created>
  <dcterms:modified xmlns:dcterms="http://purl.org/dc/terms/" xmlns:xsi="http://www.w3.org/2001/XMLSchema-instance" xsi:type="dcterms:W3CDTF">2026-10-25T06:59:19Z</dcterms:modified>
</cp:coreProperties>
</file>