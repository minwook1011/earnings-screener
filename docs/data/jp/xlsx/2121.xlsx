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4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2121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41241</v>
      </c>
      <c r="D4" s="12" t="n">
        <v>41659</v>
      </c>
      <c r="E4" s="12" t="n">
        <v>30087</v>
      </c>
      <c r="F4" s="12" t="n">
        <v>38733</v>
      </c>
      <c r="G4" s="12" t="n">
        <v>41532</v>
      </c>
      <c r="H4" s="12" t="n">
        <v>44495</v>
      </c>
      <c r="I4" s="12" t="n">
        <v>31323</v>
      </c>
      <c r="J4" s="12" t="n">
        <v>36105</v>
      </c>
      <c r="K4" s="12" t="n">
        <v>48997</v>
      </c>
      <c r="L4" s="12" t="n">
        <v>54944</v>
      </c>
      <c r="M4" s="12" t="n">
        <v>47073</v>
      </c>
      <c r="N4" s="12" t="n">
        <v>48947</v>
      </c>
      <c r="O4" s="11" t="n">
        <v>207161</v>
      </c>
      <c r="P4" s="12" t="n">
        <v>189094</v>
      </c>
      <c r="Q4" s="12" t="n">
        <v>144032</v>
      </c>
      <c r="R4" s="12" t="n">
        <v>112171</v>
      </c>
      <c r="S4" s="12" t="n">
        <v>119319</v>
      </c>
      <c r="T4" s="12" t="n">
        <v>146867</v>
      </c>
      <c r="U4" s="12" t="n">
        <v>146868</v>
      </c>
      <c r="V4" s="12" t="n">
        <v>146868</v>
      </c>
      <c r="W4" s="12" t="n">
        <v>154847</v>
      </c>
      <c r="X4" s="12" t="n">
        <v>171369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DigitalEntertainmentBusinessReportableSegmentMember</t>
        </is>
      </c>
      <c r="B7" s="10" t="n"/>
      <c r="C7" s="19" t="n">
        <v>26691</v>
      </c>
      <c r="D7" s="20" t="n">
        <v>29088</v>
      </c>
      <c r="E7" s="20" t="n">
        <v>18135</v>
      </c>
      <c r="F7" s="20" t="n">
        <v>22004</v>
      </c>
      <c r="G7" s="20" t="n">
        <v>25316</v>
      </c>
      <c r="H7" s="20" t="n">
        <v>28627</v>
      </c>
      <c r="I7" s="20" t="n">
        <v>16076</v>
      </c>
      <c r="J7" s="20" t="n">
        <v>19616</v>
      </c>
      <c r="K7" s="20" t="n">
        <v>21993</v>
      </c>
      <c r="L7" s="20" t="n">
        <v>26204</v>
      </c>
      <c r="M7" s="20" t="n">
        <v>19532</v>
      </c>
      <c r="N7" s="20" t="n">
        <v>24071</v>
      </c>
      <c r="O7" s="19" t="n"/>
      <c r="P7" s="20" t="n"/>
      <c r="Q7" s="20" t="n"/>
      <c r="R7" s="20" t="n"/>
      <c r="S7" s="20" t="n"/>
      <c r="T7" s="20" t="n"/>
      <c r="U7" s="20" t="n"/>
      <c r="V7" s="20" t="n">
        <v>98830</v>
      </c>
      <c r="W7" s="20" t="n">
        <v>94082</v>
      </c>
      <c r="X7" s="20" t="n">
        <v>83889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SportsBusinessReportableSegmentMember</t>
        </is>
      </c>
      <c r="B10" s="10" t="n"/>
      <c r="C10" s="19" t="n">
        <v>8409</v>
      </c>
      <c r="D10" s="20" t="n">
        <v>9457</v>
      </c>
      <c r="E10" s="20" t="n">
        <v>8583</v>
      </c>
      <c r="F10" s="20" t="n">
        <v>9653</v>
      </c>
      <c r="G10" s="20" t="n">
        <v>10158</v>
      </c>
      <c r="H10" s="20" t="n">
        <v>11812</v>
      </c>
      <c r="I10" s="20" t="n">
        <v>11143</v>
      </c>
      <c r="J10" s="20" t="n">
        <v>10834</v>
      </c>
      <c r="K10" s="20" t="n">
        <v>20400</v>
      </c>
      <c r="L10" s="20" t="n">
        <v>23471</v>
      </c>
      <c r="M10" s="20" t="n">
        <v>21673</v>
      </c>
      <c r="N10" s="20" t="n">
        <v>19299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32916</v>
      </c>
      <c r="W10" s="20" t="n">
        <v>40206</v>
      </c>
      <c r="X10" s="20" t="n">
        <v>65848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LifestyleBusinessReportableSegmentMember</t>
        </is>
      </c>
      <c r="B13" s="10" t="n"/>
      <c r="C13" s="19" t="n">
        <v>6131</v>
      </c>
      <c r="D13" s="20" t="n">
        <v>2737</v>
      </c>
      <c r="E13" s="20" t="n">
        <v>2736</v>
      </c>
      <c r="F13" s="20" t="n">
        <v>2719</v>
      </c>
      <c r="G13" s="20" t="n">
        <v>5943</v>
      </c>
      <c r="H13" s="20" t="n">
        <v>3397</v>
      </c>
      <c r="I13" s="20" t="n">
        <v>3505</v>
      </c>
      <c r="J13" s="20" t="n">
        <v>3589</v>
      </c>
      <c r="K13" s="20" t="n">
        <v>5599</v>
      </c>
      <c r="L13" s="20" t="n">
        <v>4466</v>
      </c>
      <c r="M13" s="20" t="n">
        <v>4363</v>
      </c>
      <c r="N13" s="20" t="n">
        <v>4067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13418</v>
      </c>
      <c r="W13" s="20" t="n">
        <v>14795</v>
      </c>
      <c r="X13" s="20" t="n">
        <v>17159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InvestmentBusinessReportableSegmentMember</t>
        </is>
      </c>
      <c r="B16" s="10" t="n"/>
      <c r="C16" s="19" t="n">
        <v>-28</v>
      </c>
      <c r="D16" s="20" t="n">
        <v>355</v>
      </c>
      <c r="E16" s="20" t="n">
        <v>614</v>
      </c>
      <c r="F16" s="20" t="n">
        <v>4339</v>
      </c>
      <c r="G16" s="20" t="n">
        <v>99</v>
      </c>
      <c r="H16" s="20" t="n">
        <v>644</v>
      </c>
      <c r="I16" s="20" t="n">
        <v>582</v>
      </c>
      <c r="J16" s="20" t="n">
        <v>2055</v>
      </c>
      <c r="K16" s="20" t="n">
        <v>999</v>
      </c>
      <c r="L16" s="20" t="n">
        <v>804</v>
      </c>
      <c r="M16" s="20" t="n">
        <v>1502</v>
      </c>
      <c r="N16" s="20" t="n">
        <v>1511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1472</v>
      </c>
      <c r="W16" s="20" t="n">
        <v>5696</v>
      </c>
      <c r="X16" s="20" t="n">
        <v>4440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EntityTotalMember</t>
        </is>
      </c>
      <c r="B19" s="10" t="n"/>
      <c r="C19" s="19" t="n"/>
      <c r="D19" s="20" t="n"/>
      <c r="E19" s="20" t="n">
        <v>30087</v>
      </c>
      <c r="F19" s="20" t="n"/>
      <c r="G19" s="20" t="n"/>
      <c r="H19" s="20" t="n"/>
      <c r="I19" s="20" t="n">
        <v>31323</v>
      </c>
      <c r="J19" s="20" t="n"/>
      <c r="K19" s="20" t="n"/>
      <c r="L19" s="20" t="n"/>
      <c r="M19" s="20" t="n">
        <v>47073</v>
      </c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12343</v>
      </c>
      <c r="D23" s="20" t="n">
        <v>11205</v>
      </c>
      <c r="E23" s="20" t="n">
        <v>10087</v>
      </c>
      <c r="F23" s="20" t="n">
        <v>13166</v>
      </c>
      <c r="G23" s="20" t="n">
        <v>12493</v>
      </c>
      <c r="H23" s="20" t="n">
        <v>13057</v>
      </c>
      <c r="I23" s="20" t="n">
        <v>11307</v>
      </c>
      <c r="J23" s="20" t="n">
        <v>11280</v>
      </c>
      <c r="K23" s="20" t="n">
        <v>16832</v>
      </c>
      <c r="L23" s="20" t="n">
        <v>18360</v>
      </c>
      <c r="M23" s="20" t="n">
        <v>17014</v>
      </c>
      <c r="N23" s="20" t="n">
        <v>16192</v>
      </c>
      <c r="O23" s="19" t="n">
        <v>24147</v>
      </c>
      <c r="P23" s="20" t="n">
        <v>23050</v>
      </c>
      <c r="Q23" s="20" t="n">
        <v>20224</v>
      </c>
      <c r="R23" s="20" t="n">
        <v>21292</v>
      </c>
      <c r="S23" s="20" t="n">
        <v>26009</v>
      </c>
      <c r="T23" s="20" t="n">
        <v>41746</v>
      </c>
      <c r="U23" s="20" t="n">
        <v>44238</v>
      </c>
      <c r="V23" s="20" t="n">
        <v>44238</v>
      </c>
      <c r="W23" s="20" t="n">
        <v>48803</v>
      </c>
      <c r="X23" s="20" t="n">
        <v>57779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18" t="inlineStr">
        <is>
          <t>매출총이익</t>
        </is>
      </c>
      <c r="B25" s="10" t="n"/>
      <c r="C25" s="19">
        <f>IF(OR(C4="",C23=""),"",IFERROR(C4-C23,""))</f>
        <v/>
      </c>
      <c r="D25" s="20">
        <f>IF(OR(D4="",D23=""),"",IFERROR(D4-D23,""))</f>
        <v/>
      </c>
      <c r="E25" s="20">
        <f>IF(OR(E4="",E23=""),"",IFERROR(E4-E23,""))</f>
        <v/>
      </c>
      <c r="F25" s="20">
        <f>IF(OR(F4="",F23=""),"",IFERROR(F4-F23,""))</f>
        <v/>
      </c>
      <c r="G25" s="20">
        <f>IF(OR(G4="",G23=""),"",IFERROR(G4-G23,""))</f>
        <v/>
      </c>
      <c r="H25" s="20">
        <f>IF(OR(H4="",H23=""),"",IFERROR(H4-H23,""))</f>
        <v/>
      </c>
      <c r="I25" s="20">
        <f>IF(OR(I4="",I23=""),"",IFERROR(I4-I23,""))</f>
        <v/>
      </c>
      <c r="J25" s="20">
        <f>IF(OR(J4="",J23=""),"",IFERROR(J4-J23,""))</f>
        <v/>
      </c>
      <c r="K25" s="20">
        <f>IF(OR(K4="",K23=""),"",IFERROR(K4-K23,""))</f>
        <v/>
      </c>
      <c r="L25" s="20">
        <f>IF(OR(L4="",L23=""),"",IFERROR(L4-L23,""))</f>
        <v/>
      </c>
      <c r="M25" s="20">
        <f>IF(OR(M4="",M23=""),"",IFERROR(M4-M23,""))</f>
        <v/>
      </c>
      <c r="N25" s="20">
        <f>IF(OR(N4="",N23=""),"",IFERROR(N4-N23,""))</f>
        <v/>
      </c>
      <c r="O25" s="19">
        <f>IF(OR(O4="",O23=""),"",IFERROR(O4-O23,""))</f>
        <v/>
      </c>
      <c r="P25" s="20">
        <f>IF(OR(P4="",P23=""),"",IFERROR(P4-P23,""))</f>
        <v/>
      </c>
      <c r="Q25" s="20">
        <f>IF(OR(Q4="",Q23=""),"",IFERROR(Q4-Q23,""))</f>
        <v/>
      </c>
      <c r="R25" s="20">
        <f>IF(OR(R4="",R23=""),"",IFERROR(R4-R23,""))</f>
        <v/>
      </c>
      <c r="S25" s="20">
        <f>IF(OR(S4="",S23=""),"",IFERROR(S4-S23,""))</f>
        <v/>
      </c>
      <c r="T25" s="20">
        <f>IF(OR(T4="",T23=""),"",IFERROR(T4-T23,""))</f>
        <v/>
      </c>
      <c r="U25" s="20">
        <f>IF(OR(U4="",U23=""),"",IFERROR(U4-U23,""))</f>
        <v/>
      </c>
      <c r="V25" s="20">
        <f>IF(OR(V4="",V23=""),"",IFERROR(V4-V23,""))</f>
        <v/>
      </c>
      <c r="W25" s="20">
        <f>IF(OR(W4="",W23=""),"",IFERROR(W4-W23,""))</f>
        <v/>
      </c>
      <c r="X25" s="20">
        <f>IF(OR(X4="",X23=""),"",IFERROR(X4-X23,""))</f>
        <v/>
      </c>
      <c r="Y25" s="19" t="n"/>
      <c r="Z25" s="20" t="n"/>
      <c r="AA25" s="20" t="n"/>
      <c r="AB25" s="20" t="n"/>
      <c r="AC25" s="20" t="n"/>
    </row>
    <row r="26">
      <c r="A26" s="13" t="inlineStr">
        <is>
          <t>GPM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IF(OR(G25="",C25=""),"",IF(C25&lt;=0,"",IFERROR(G25/C25-1,"")))</f>
        <v/>
      </c>
      <c r="H27" s="15">
        <f>IF(OR(H25="",D25=""),"",IF(D25&lt;=0,"",IFERROR(H25/D25-1,"")))</f>
        <v/>
      </c>
      <c r="I27" s="15">
        <f>IF(OR(I25="",E25=""),"",IF(E25&lt;=0,"",IFERROR(I25/E25-1,"")))</f>
        <v/>
      </c>
      <c r="J27" s="15">
        <f>IF(OR(J25="",F25=""),"",IF(F25&lt;=0,"",IFERROR(J25/F25-1,"")))</f>
        <v/>
      </c>
      <c r="K27" s="15">
        <f>IF(OR(K25="",G25=""),"",IF(G25&lt;=0,"",IFERROR(K25/G25-1,"")))</f>
        <v/>
      </c>
      <c r="L27" s="15">
        <f>IF(OR(L25="",H25=""),"",IF(H25&lt;=0,"",IFERROR(L25/H25-1,"")))</f>
        <v/>
      </c>
      <c r="M27" s="15">
        <f>IF(OR(M25="",I25=""),"",IF(I25&lt;=0,"",IFERROR(M25/I25-1,"")))</f>
        <v/>
      </c>
      <c r="N27" s="15">
        <f>IF(OR(N25="",J25=""),"",IF(J25&lt;=0,"",IFERROR(N25/J25-1,"")))</f>
        <v/>
      </c>
      <c r="O27" s="14" t="n"/>
      <c r="P27" s="15">
        <f>IF(OR(P25="",O25=""),"",IF(O25&lt;=0,"",IFERROR(P25/O25-1,"")))</f>
        <v/>
      </c>
      <c r="Q27" s="15">
        <f>IF(OR(Q25="",P25=""),"",IF(P25&lt;=0,"",IFERROR(Q25/P25-1,"")))</f>
        <v/>
      </c>
      <c r="R27" s="15">
        <f>IF(OR(R25="",Q25=""),"",IF(Q25&lt;=0,"",IFERROR(R25/Q25-1,"")))</f>
        <v/>
      </c>
      <c r="S27" s="15">
        <f>IF(OR(S25="",R25=""),"",IF(R25&lt;=0,"",IFERROR(S25/R25-1,"")))</f>
        <v/>
      </c>
      <c r="T27" s="15">
        <f>IF(OR(T25="",S25=""),"",IF(S25&lt;=0,"",IFERROR(T25/S25-1,"")))</f>
        <v/>
      </c>
      <c r="U27" s="15">
        <f>IF(OR(U25="",T25=""),"",IF(T25&lt;=0,"",IFERROR(U25/T25-1,"")))</f>
        <v/>
      </c>
      <c r="V27" s="15">
        <f>IF(OR(V25="",U25=""),"",IF(U25&lt;=0,"",IFERROR(V25/U25-1,"")))</f>
        <v/>
      </c>
      <c r="W27" s="15">
        <f>IF(OR(W25="",V25=""),"",IF(V25&lt;=0,"",IFERROR(W25/V25-1,"")))</f>
        <v/>
      </c>
      <c r="X27" s="15">
        <f>IF(OR(X25="",W25=""),"",IF(W25&lt;=0,"",IFERROR(X25/W25-1,"")))</f>
        <v/>
      </c>
      <c r="Y27" s="14">
        <f>IF(OR(Y25="",X25=""),"",IF(X25&lt;=0,"",IFERROR(Y25/X25-1,"")))</f>
        <v/>
      </c>
      <c r="Z27" s="15">
        <f>IF(OR(Z25="",Y25=""),"",IF(Y25&lt;=0,"",IFERROR(Z25/Y25-1,"")))</f>
        <v/>
      </c>
      <c r="AA27" s="15">
        <f>IF(OR(AA25="",Z25=""),"",IF(Z25&lt;=0,"",IFERROR(AA25/Z25-1,"")))</f>
        <v/>
      </c>
      <c r="AB27" s="15">
        <f>IF(OR(AB25="",AA25=""),"",IF(AA25&lt;=0,"",IFERROR(AB25/AA25-1,"")))</f>
        <v/>
      </c>
      <c r="AC27" s="15">
        <f>IF(OR(AC25="",AB25=""),"",IF(AB25&lt;=0,"",IFERROR(AC25/AB25-1,"")))</f>
        <v/>
      </c>
    </row>
    <row r="28">
      <c r="A28" s="23" t="inlineStr">
        <is>
          <t>판매관리비</t>
        </is>
      </c>
      <c r="B28" s="23" t="n"/>
      <c r="C28" s="24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</row>
    <row r="29">
      <c r="A29" s="18" t="inlineStr">
        <is>
          <t>전체 판관비</t>
        </is>
      </c>
      <c r="B29" s="10" t="n"/>
      <c r="C29" s="19" t="n">
        <v>22234</v>
      </c>
      <c r="D29" s="20" t="n">
        <v>21752</v>
      </c>
      <c r="E29" s="20" t="n">
        <v>17212</v>
      </c>
      <c r="F29" s="20" t="n">
        <v>19606</v>
      </c>
      <c r="G29" s="20" t="n">
        <v>20757</v>
      </c>
      <c r="H29" s="20" t="n">
        <v>21868</v>
      </c>
      <c r="I29" s="20" t="n">
        <v>17338</v>
      </c>
      <c r="J29" s="20" t="n">
        <v>20288</v>
      </c>
      <c r="K29" s="20" t="n">
        <v>26210</v>
      </c>
      <c r="L29" s="20" t="n">
        <v>27498</v>
      </c>
      <c r="M29" s="20" t="n">
        <v>24629</v>
      </c>
      <c r="N29" s="20" t="n">
        <v>25602</v>
      </c>
      <c r="O29" s="19" t="n">
        <v>94004</v>
      </c>
      <c r="P29" s="20" t="n">
        <v>93683</v>
      </c>
      <c r="Q29" s="20" t="n">
        <v>82774</v>
      </c>
      <c r="R29" s="20" t="n">
        <v>73730</v>
      </c>
      <c r="S29" s="20" t="n">
        <v>70381</v>
      </c>
      <c r="T29" s="20" t="n">
        <v>80301</v>
      </c>
      <c r="U29" s="20" t="n">
        <v>83452</v>
      </c>
      <c r="V29" s="20" t="n">
        <v>83452</v>
      </c>
      <c r="W29" s="20" t="n">
        <v>79443</v>
      </c>
      <c r="X29" s="20" t="n">
        <v>91334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6664</v>
      </c>
      <c r="D31" s="12" t="n">
        <v>8702</v>
      </c>
      <c r="E31" s="12" t="n">
        <v>2787</v>
      </c>
      <c r="F31" s="12" t="n">
        <v>5961</v>
      </c>
      <c r="G31" s="12" t="n">
        <v>8282</v>
      </c>
      <c r="H31" s="12" t="n">
        <v>9570</v>
      </c>
      <c r="I31" s="12" t="n">
        <v>2677</v>
      </c>
      <c r="J31" s="12" t="n">
        <v>4537</v>
      </c>
      <c r="K31" s="12" t="n">
        <v>5954</v>
      </c>
      <c r="L31" s="12" t="n">
        <v>9088</v>
      </c>
      <c r="M31" s="12" t="n">
        <v>5428</v>
      </c>
      <c r="N31" s="12" t="n">
        <v>7154</v>
      </c>
      <c r="O31" s="11" t="n">
        <v>89008</v>
      </c>
      <c r="P31" s="12" t="n">
        <v>72359</v>
      </c>
      <c r="Q31" s="12" t="n">
        <v>41033</v>
      </c>
      <c r="R31" s="12" t="n">
        <v>17147</v>
      </c>
      <c r="S31" s="12" t="n">
        <v>22928</v>
      </c>
      <c r="T31" s="12" t="n">
        <v>24820</v>
      </c>
      <c r="U31" s="12" t="n">
        <v>19177</v>
      </c>
      <c r="V31" s="12" t="n">
        <v>19177</v>
      </c>
      <c r="W31" s="12" t="n">
        <v>26600</v>
      </c>
      <c r="X31" s="12" t="n">
        <v>22256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IF(O29="","",O29)</f>
        <v/>
      </c>
      <c r="P35" s="12">
        <f>IF(P29="","",P29)</f>
        <v/>
      </c>
      <c r="Q35" s="12">
        <f>IF(Q29="","",Q29)</f>
        <v/>
      </c>
      <c r="R35" s="12">
        <f>IF(R29="","",R29)</f>
        <v/>
      </c>
      <c r="S35" s="12">
        <f>IF(S29="","",S29)</f>
        <v/>
      </c>
      <c r="T35" s="12">
        <f>IF(T29="","",T29)</f>
        <v/>
      </c>
      <c r="U35" s="12">
        <f>IF(U29="","",U29)</f>
        <v/>
      </c>
      <c r="V35" s="12">
        <f>IF(V29="","",V29)</f>
        <v/>
      </c>
      <c r="W35" s="12">
        <f>IF(W29="","",W29)</f>
        <v/>
      </c>
      <c r="X35" s="12">
        <f>IF(X29="","",X29)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>
        <v>8</v>
      </c>
      <c r="D47" s="20" t="n">
        <v>33</v>
      </c>
      <c r="E47" s="20" t="n">
        <v>89</v>
      </c>
      <c r="F47" s="20" t="n">
        <v>315</v>
      </c>
      <c r="G47" s="20" t="n">
        <v>79</v>
      </c>
      <c r="H47" s="20" t="n">
        <v>8</v>
      </c>
      <c r="I47" s="20" t="n">
        <v>277</v>
      </c>
      <c r="J47" s="20" t="n">
        <v>218</v>
      </c>
      <c r="K47" s="20" t="n">
        <v>3</v>
      </c>
      <c r="L47" s="20" t="n">
        <v>41</v>
      </c>
      <c r="M47" s="20" t="n">
        <v>2</v>
      </c>
      <c r="N47" s="20" t="n">
        <v>238</v>
      </c>
      <c r="O47" s="19" t="n">
        <v>21</v>
      </c>
      <c r="P47" s="20" t="n">
        <v>348</v>
      </c>
      <c r="Q47" s="20" t="n">
        <v>856</v>
      </c>
      <c r="R47" s="20" t="n">
        <v>101</v>
      </c>
      <c r="S47" s="20" t="n">
        <v>903</v>
      </c>
      <c r="T47" s="20" t="n">
        <v>0</v>
      </c>
      <c r="U47" s="20" t="n">
        <v>48</v>
      </c>
      <c r="V47" s="20" t="n">
        <v>48</v>
      </c>
      <c r="W47" s="20" t="n">
        <v>491</v>
      </c>
      <c r="X47" s="20" t="n">
        <v>539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>
        <v>2</v>
      </c>
      <c r="D49" s="20" t="n">
        <v>2952</v>
      </c>
      <c r="E49" s="20" t="n">
        <v>1</v>
      </c>
      <c r="F49" s="20" t="n">
        <v>154</v>
      </c>
      <c r="G49" s="20" t="n">
        <v>372</v>
      </c>
      <c r="H49" s="20" t="n">
        <v>41</v>
      </c>
      <c r="I49" s="20" t="n">
        <v>26</v>
      </c>
      <c r="J49" s="20" t="n">
        <v>31</v>
      </c>
      <c r="K49" s="20" t="n">
        <v>75</v>
      </c>
      <c r="L49" s="20" t="n">
        <v>222</v>
      </c>
      <c r="M49" s="20" t="n">
        <v>7</v>
      </c>
      <c r="N49" s="20" t="n">
        <v>104</v>
      </c>
      <c r="O49" s="19" t="n">
        <v>1065</v>
      </c>
      <c r="P49" s="20" t="n">
        <v>8145</v>
      </c>
      <c r="Q49" s="20" t="n">
        <v>2912</v>
      </c>
      <c r="R49" s="20" t="n">
        <v>1039</v>
      </c>
      <c r="S49" s="20" t="n">
        <v>721</v>
      </c>
      <c r="T49" s="20" t="n">
        <v>6996</v>
      </c>
      <c r="U49" s="20" t="n">
        <v>3087</v>
      </c>
      <c r="V49" s="20" t="n">
        <v>3087</v>
      </c>
      <c r="W49" s="20" t="n">
        <v>568</v>
      </c>
      <c r="X49" s="20" t="n">
        <v>354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-45</v>
      </c>
      <c r="D51" s="20" t="n">
        <v>212</v>
      </c>
      <c r="E51" s="20" t="n">
        <v>533</v>
      </c>
      <c r="F51" s="20" t="n">
        <v>-21</v>
      </c>
      <c r="G51" s="20" t="n">
        <v>71</v>
      </c>
      <c r="H51" s="20" t="n">
        <v>99</v>
      </c>
      <c r="I51" s="20" t="n">
        <v>96</v>
      </c>
      <c r="J51" s="20" t="n">
        <v>561</v>
      </c>
      <c r="K51" s="20" t="n">
        <v>1656</v>
      </c>
      <c r="L51" s="20" t="n">
        <v>1565</v>
      </c>
      <c r="M51" s="20" t="n">
        <v>578</v>
      </c>
      <c r="N51" s="20" t="n">
        <v>-34</v>
      </c>
      <c r="O51" s="19" t="n">
        <v>37</v>
      </c>
      <c r="P51" s="20" t="n">
        <v>559</v>
      </c>
      <c r="Q51" s="20" t="n">
        <v>219</v>
      </c>
      <c r="R51" s="20" t="n">
        <v>237</v>
      </c>
      <c r="S51" s="20" t="n">
        <v>271</v>
      </c>
      <c r="T51" s="20" t="n">
        <v>257</v>
      </c>
      <c r="U51" s="20" t="n">
        <v>725</v>
      </c>
      <c r="V51" s="20" t="n">
        <v>725</v>
      </c>
      <c r="W51" s="20" t="n">
        <v>682</v>
      </c>
      <c r="X51" s="20" t="n">
        <v>3878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2203</v>
      </c>
      <c r="D53" s="20" t="n">
        <v>1421</v>
      </c>
      <c r="E53" s="20" t="n">
        <v>58</v>
      </c>
      <c r="F53" s="20" t="n">
        <v>186</v>
      </c>
      <c r="G53" s="20" t="n">
        <v>634</v>
      </c>
      <c r="H53" s="20" t="n">
        <v>-108</v>
      </c>
      <c r="I53" s="20" t="n">
        <v>750</v>
      </c>
      <c r="J53" s="20" t="n">
        <v>-94</v>
      </c>
      <c r="K53" s="20" t="n">
        <v>-265</v>
      </c>
      <c r="L53" s="20" t="n">
        <v>1042</v>
      </c>
      <c r="M53" s="20" t="n">
        <v>353</v>
      </c>
      <c r="N53" s="20" t="n">
        <v>704</v>
      </c>
      <c r="O53" s="19" t="n">
        <v>573</v>
      </c>
      <c r="P53" s="20" t="n">
        <v>202</v>
      </c>
      <c r="Q53" s="20" t="n">
        <v>132</v>
      </c>
      <c r="R53" s="20" t="n">
        <v>469</v>
      </c>
      <c r="S53" s="20" t="n">
        <v>181</v>
      </c>
      <c r="T53" s="20" t="n">
        <v>6826</v>
      </c>
      <c r="U53" s="20" t="n">
        <v>4233</v>
      </c>
      <c r="V53" s="20" t="n">
        <v>4233</v>
      </c>
      <c r="W53" s="20" t="n">
        <v>770</v>
      </c>
      <c r="X53" s="20" t="n">
        <v>1433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4423</v>
      </c>
      <c r="D55" s="12" t="n">
        <v>4574</v>
      </c>
      <c r="E55" s="12" t="n">
        <v>3352</v>
      </c>
      <c r="F55" s="12" t="n">
        <v>5912</v>
      </c>
      <c r="G55" s="12" t="n">
        <v>7427</v>
      </c>
      <c r="H55" s="12" t="n">
        <v>9743</v>
      </c>
      <c r="I55" s="12" t="n">
        <v>2274</v>
      </c>
      <c r="J55" s="12" t="n">
        <v>5380</v>
      </c>
      <c r="K55" s="12" t="n">
        <v>7802</v>
      </c>
      <c r="L55" s="12" t="n">
        <v>9429</v>
      </c>
      <c r="M55" s="12" t="n">
        <v>5647</v>
      </c>
      <c r="N55" s="12" t="n">
        <v>6552</v>
      </c>
      <c r="O55" s="11" t="n">
        <v>87428</v>
      </c>
      <c r="P55" s="12" t="n">
        <v>64920</v>
      </c>
      <c r="Q55" s="12" t="n">
        <v>39063</v>
      </c>
      <c r="R55" s="12" t="n">
        <v>15978</v>
      </c>
      <c r="S55" s="12" t="n">
        <v>23201</v>
      </c>
      <c r="T55" s="12" t="n">
        <v>11254</v>
      </c>
      <c r="U55" s="12" t="n">
        <v>12630</v>
      </c>
      <c r="V55" s="12" t="n">
        <v>12630</v>
      </c>
      <c r="W55" s="12" t="n">
        <v>26434</v>
      </c>
      <c r="X55" s="12" t="n">
        <v>24885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3" t="inlineStr">
        <is>
          <t>YoY</t>
        </is>
      </c>
      <c r="B56" s="10" t="n"/>
      <c r="C56" s="14" t="n"/>
      <c r="D56" s="15" t="n"/>
      <c r="E56" s="15" t="n"/>
      <c r="F56" s="15" t="n"/>
      <c r="G56" s="15">
        <f>IF(OR(G55="",C55=""),"",IF(C55&lt;=0,"",IFERROR(G55/C55-1,"")))</f>
        <v/>
      </c>
      <c r="H56" s="15">
        <f>IF(OR(H55="",D55=""),"",IF(D55&lt;=0,"",IFERROR(H55/D55-1,"")))</f>
        <v/>
      </c>
      <c r="I56" s="15">
        <f>IF(OR(I55="",E55=""),"",IF(E55&lt;=0,"",IFERROR(I55/E55-1,"")))</f>
        <v/>
      </c>
      <c r="J56" s="15">
        <f>IF(OR(J55="",F55=""),"",IF(F55&lt;=0,"",IFERROR(J55/F55-1,"")))</f>
        <v/>
      </c>
      <c r="K56" s="15">
        <f>IF(OR(K55="",G55=""),"",IF(G55&lt;=0,"",IFERROR(K55/G55-1,"")))</f>
        <v/>
      </c>
      <c r="L56" s="15">
        <f>IF(OR(L55="",H55=""),"",IF(H55&lt;=0,"",IFERROR(L55/H55-1,"")))</f>
        <v/>
      </c>
      <c r="M56" s="15">
        <f>IF(OR(M55="",I55=""),"",IF(I55&lt;=0,"",IFERROR(M55/I55-1,"")))</f>
        <v/>
      </c>
      <c r="N56" s="15">
        <f>IF(OR(N55="",J55=""),"",IF(J55&lt;=0,"",IFERROR(N55/J55-1,"")))</f>
        <v/>
      </c>
      <c r="O56" s="14" t="n"/>
      <c r="P56" s="15">
        <f>IF(OR(P55="",O55=""),"",IF(O55&lt;=0,"",IFERROR(P55/O55-1,"")))</f>
        <v/>
      </c>
      <c r="Q56" s="15">
        <f>IF(OR(Q55="",P55=""),"",IF(P55&lt;=0,"",IFERROR(Q55/P55-1,"")))</f>
        <v/>
      </c>
      <c r="R56" s="15">
        <f>IF(OR(R55="",Q55=""),"",IF(Q55&lt;=0,"",IFERROR(R55/Q55-1,"")))</f>
        <v/>
      </c>
      <c r="S56" s="15">
        <f>IF(OR(S55="",R55=""),"",IF(R55&lt;=0,"",IFERROR(S55/R55-1,"")))</f>
        <v/>
      </c>
      <c r="T56" s="15">
        <f>IF(OR(T55="",S55=""),"",IF(S55&lt;=0,"",IFERROR(T55/S55-1,"")))</f>
        <v/>
      </c>
      <c r="U56" s="15">
        <f>IF(OR(U55="",T55=""),"",IF(T55&lt;=0,"",IFERROR(U55/T55-1,"")))</f>
        <v/>
      </c>
      <c r="V56" s="15">
        <f>IF(OR(V55="",U55=""),"",IF(U55&lt;=0,"",IFERROR(V55/U55-1,"")))</f>
        <v/>
      </c>
      <c r="W56" s="15">
        <f>IF(OR(W55="",V55=""),"",IF(V55&lt;=0,"",IFERROR(W55/V55-1,"")))</f>
        <v/>
      </c>
      <c r="X56" s="15">
        <f>IF(OR(X55="",W55=""),"",IF(W55&lt;=0,"",IFERROR(X55/W55-1,"")))</f>
        <v/>
      </c>
      <c r="Y56" s="14">
        <f>IF(OR(Y55="",X55=""),"",IF(X55&lt;=0,"",IFERROR(Y55/X55-1,"")))</f>
        <v/>
      </c>
      <c r="Z56" s="15">
        <f>IF(OR(Z55="",Y55=""),"",IF(Y55&lt;=0,"",IFERROR(Z55/Y55-1,"")))</f>
        <v/>
      </c>
      <c r="AA56" s="15">
        <f>IF(OR(AA55="",Z55=""),"",IF(Z55&lt;=0,"",IFERROR(AA55/Z55-1,"")))</f>
        <v/>
      </c>
      <c r="AB56" s="15">
        <f>IF(OR(AB55="",AA55=""),"",IF(AA55&lt;=0,"",IFERROR(AB55/AA55-1,"")))</f>
        <v/>
      </c>
      <c r="AC56" s="15">
        <f>IF(OR(AC55="",AB55=""),"",IF(AB55&lt;=0,"",IFERROR(AC55/AB55-1,"")))</f>
        <v/>
      </c>
    </row>
    <row r="57">
      <c r="A57" s="18" t="inlineStr">
        <is>
          <t>법인세비용(수익)</t>
        </is>
      </c>
      <c r="B57" s="10" t="n"/>
      <c r="C57" s="19" t="n">
        <v>2003</v>
      </c>
      <c r="D57" s="20" t="n">
        <v>2308</v>
      </c>
      <c r="E57" s="20" t="n">
        <v>1067</v>
      </c>
      <c r="F57" s="20" t="n">
        <v>2750</v>
      </c>
      <c r="G57" s="20" t="n">
        <v>2261</v>
      </c>
      <c r="H57" s="20" t="n">
        <v>2710</v>
      </c>
      <c r="I57" s="20" t="n">
        <v>802</v>
      </c>
      <c r="J57" s="20" t="n">
        <v>1833</v>
      </c>
      <c r="K57" s="20" t="n">
        <v>2252</v>
      </c>
      <c r="L57" s="20" t="n">
        <v>3445</v>
      </c>
      <c r="M57" s="20" t="n">
        <v>339</v>
      </c>
      <c r="N57" s="20" t="n">
        <v>2985</v>
      </c>
      <c r="O57" s="19" t="n">
        <v>27562</v>
      </c>
      <c r="P57" s="20" t="n">
        <v>23132</v>
      </c>
      <c r="Q57" s="20" t="n">
        <v>12542</v>
      </c>
      <c r="R57" s="20" t="n">
        <v>5216</v>
      </c>
      <c r="S57" s="20" t="n">
        <v>7509</v>
      </c>
      <c r="T57" s="20" t="n">
        <v>5348</v>
      </c>
      <c r="U57" s="20" t="n">
        <v>5689</v>
      </c>
      <c r="V57" s="20" t="n">
        <v>5689</v>
      </c>
      <c r="W57" s="20" t="n">
        <v>8788</v>
      </c>
      <c r="X57" s="20" t="n">
        <v>8332</v>
      </c>
      <c r="Y57" s="19">
        <f>IF(OR(Y55="",Y58=""),"",IFERROR(MAX(Y55,0)*Y58,""))</f>
        <v/>
      </c>
      <c r="Z57" s="20">
        <f>IF(OR(Z55="",Z58=""),"",IFERROR(MAX(Z55,0)*Z58,""))</f>
        <v/>
      </c>
      <c r="AA57" s="20">
        <f>IF(OR(AA55="",AA58=""),"",IFERROR(MAX(AA55,0)*AA58,""))</f>
        <v/>
      </c>
      <c r="AB57" s="20">
        <f>IF(OR(AB55="",AB58=""),"",IFERROR(MAX(AB55,0)*AB58,""))</f>
        <v/>
      </c>
      <c r="AC57" s="20">
        <f>IF(OR(AC55="",AC58=""),"",IFERROR(MAX(AC55,0)*AC58,""))</f>
        <v/>
      </c>
    </row>
    <row r="58">
      <c r="A58" s="13" t="inlineStr">
        <is>
          <t>법인세율</t>
        </is>
      </c>
      <c r="B58" s="10" t="inlineStr">
        <is>
          <t>MW 기본 30%</t>
        </is>
      </c>
      <c r="C58" s="14">
        <f>IF(OR(C57="",C55=""),"",IFERROR(C57/C55,""))</f>
        <v/>
      </c>
      <c r="D58" s="15">
        <f>IF(OR(D57="",D55=""),"",IFERROR(D57/D55,""))</f>
        <v/>
      </c>
      <c r="E58" s="15">
        <f>IF(OR(E57="",E55=""),"",IFERROR(E57/E55,""))</f>
        <v/>
      </c>
      <c r="F58" s="15">
        <f>IF(OR(F57="",F55=""),"",IFERROR(F57/F55,""))</f>
        <v/>
      </c>
      <c r="G58" s="15">
        <f>IF(OR(G57="",G55=""),"",IFERROR(G57/G55,""))</f>
        <v/>
      </c>
      <c r="H58" s="15">
        <f>IF(OR(H57="",H55=""),"",IFERROR(H57/H55,""))</f>
        <v/>
      </c>
      <c r="I58" s="15">
        <f>IF(OR(I57="",I55=""),"",IFERROR(I57/I55,""))</f>
        <v/>
      </c>
      <c r="J58" s="15">
        <f>IF(OR(J57="",J55=""),"",IFERROR(J57/J55,""))</f>
        <v/>
      </c>
      <c r="K58" s="15">
        <f>IF(OR(K57="",K55=""),"",IFERROR(K57/K55,""))</f>
        <v/>
      </c>
      <c r="L58" s="15">
        <f>IF(OR(L57="",L55=""),"",IFERROR(L57/L55,""))</f>
        <v/>
      </c>
      <c r="M58" s="15">
        <f>IF(OR(M57="",M55=""),"",IFERROR(M57/M55,""))</f>
        <v/>
      </c>
      <c r="N58" s="15">
        <f>IF(OR(N57="",N55=""),"",IFERROR(N57/N55,""))</f>
        <v/>
      </c>
      <c r="O58" s="14">
        <f>IF(OR(O57="",O55=""),"",IFERROR(O57/O55,""))</f>
        <v/>
      </c>
      <c r="P58" s="15">
        <f>IF(OR(P57="",P55=""),"",IFERROR(P57/P55,""))</f>
        <v/>
      </c>
      <c r="Q58" s="15">
        <f>IF(OR(Q57="",Q55=""),"",IFERROR(Q57/Q55,""))</f>
        <v/>
      </c>
      <c r="R58" s="15">
        <f>IF(OR(R57="",R55=""),"",IFERROR(R57/R55,""))</f>
        <v/>
      </c>
      <c r="S58" s="15">
        <f>IF(OR(S57="",S55=""),"",IFERROR(S57/S55,""))</f>
        <v/>
      </c>
      <c r="T58" s="15">
        <f>IF(OR(T57="",T55=""),"",IFERROR(T57/T55,""))</f>
        <v/>
      </c>
      <c r="U58" s="15">
        <f>IF(OR(U57="",U55=""),"",IFERROR(U57/U55,""))</f>
        <v/>
      </c>
      <c r="V58" s="15">
        <f>IF(OR(V57="",V55=""),"",IFERROR(V57/V55,""))</f>
        <v/>
      </c>
      <c r="W58" s="15">
        <f>IF(OR(W57="",W55=""),"",IFERROR(W57/W55,""))</f>
        <v/>
      </c>
      <c r="X58" s="15">
        <f>IF(OR(X57="",X55=""),"",IFERROR(X57/X55,""))</f>
        <v/>
      </c>
      <c r="Y58" s="25" t="n">
        <v>0.3</v>
      </c>
      <c r="Z58" s="26" t="n">
        <v>0.3</v>
      </c>
      <c r="AA58" s="26" t="n">
        <v>0.3</v>
      </c>
      <c r="AB58" s="26" t="n">
        <v>0.3</v>
      </c>
      <c r="AC58" s="26" t="n">
        <v>0.3</v>
      </c>
    </row>
    <row r="59">
      <c r="A59" s="9" t="inlineStr">
        <is>
          <t>당기순이익(손실)</t>
        </is>
      </c>
      <c r="B59" s="10" t="n"/>
      <c r="C59" s="11" t="n">
        <v>2419</v>
      </c>
      <c r="D59" s="12" t="n">
        <v>2266</v>
      </c>
      <c r="E59" s="12" t="n">
        <v>2284</v>
      </c>
      <c r="F59" s="12" t="n">
        <v>3163</v>
      </c>
      <c r="G59" s="12" t="n">
        <v>5166</v>
      </c>
      <c r="H59" s="12" t="n">
        <v>7032</v>
      </c>
      <c r="I59" s="12" t="n">
        <v>1472</v>
      </c>
      <c r="J59" s="12" t="n">
        <v>3546</v>
      </c>
      <c r="K59" s="12" t="n">
        <v>5551</v>
      </c>
      <c r="L59" s="12" t="n">
        <v>5983</v>
      </c>
      <c r="M59" s="12" t="n">
        <v>5308</v>
      </c>
      <c r="N59" s="12" t="n">
        <v>3567</v>
      </c>
      <c r="O59" s="11" t="n">
        <v>59866</v>
      </c>
      <c r="P59" s="12" t="n">
        <v>41788</v>
      </c>
      <c r="Q59" s="12" t="n">
        <v>26520</v>
      </c>
      <c r="R59" s="12" t="n">
        <v>10761</v>
      </c>
      <c r="S59" s="12" t="n">
        <v>15692</v>
      </c>
      <c r="T59" s="12" t="n">
        <v>5905</v>
      </c>
      <c r="U59" s="12" t="n">
        <v>6940</v>
      </c>
      <c r="V59" s="12" t="n">
        <v>6940</v>
      </c>
      <c r="W59" s="12" t="n">
        <v>17645</v>
      </c>
      <c r="X59" s="12" t="n">
        <v>16552</v>
      </c>
      <c r="Y59" s="11">
        <f>IF(OR(Y55=""),"",IFERROR(Y55-Y57,""))</f>
        <v/>
      </c>
      <c r="Z59" s="12">
        <f>IF(OR(Z55=""),"",IFERROR(Z55-Z57,""))</f>
        <v/>
      </c>
      <c r="AA59" s="12">
        <f>IF(OR(AA55=""),"",IFERROR(AA55-AA57,""))</f>
        <v/>
      </c>
      <c r="AB59" s="12">
        <f>IF(OR(AB55=""),"",IFERROR(AB55-AB57,""))</f>
        <v/>
      </c>
      <c r="AC59" s="12">
        <f>IF(OR(AC55=""),"",IFERROR(AC55-AC57,""))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IF(OR(G59="",C59=""),"",IF(C59&lt;=0,"",IFERROR(G59/C59-1,"")))</f>
        <v/>
      </c>
      <c r="H60" s="15">
        <f>IF(OR(H59="",D59=""),"",IF(D59&lt;=0,"",IFERROR(H59/D59-1,"")))</f>
        <v/>
      </c>
      <c r="I60" s="15">
        <f>IF(OR(I59="",E59=""),"",IF(E59&lt;=0,"",IFERROR(I59/E59-1,"")))</f>
        <v/>
      </c>
      <c r="J60" s="15">
        <f>IF(OR(J59="",F59=""),"",IF(F59&lt;=0,"",IFERROR(J59/F59-1,"")))</f>
        <v/>
      </c>
      <c r="K60" s="15">
        <f>IF(OR(K59="",G59=""),"",IF(G59&lt;=0,"",IFERROR(K59/G59-1,"")))</f>
        <v/>
      </c>
      <c r="L60" s="15">
        <f>IF(OR(L59="",H59=""),"",IF(H59&lt;=0,"",IFERROR(L59/H59-1,"")))</f>
        <v/>
      </c>
      <c r="M60" s="15">
        <f>IF(OR(M59="",I59=""),"",IF(I59&lt;=0,"",IFERROR(M59/I59-1,"")))</f>
        <v/>
      </c>
      <c r="N60" s="15">
        <f>IF(OR(N59="",J59=""),"",IF(J59&lt;=0,"",IFERROR(N59/J59-1,"")))</f>
        <v/>
      </c>
      <c r="O60" s="14" t="n"/>
      <c r="P60" s="15">
        <f>IF(OR(P59="",O59=""),"",IF(O59&lt;=0,"",IFERROR(P59/O59-1,"")))</f>
        <v/>
      </c>
      <c r="Q60" s="15">
        <f>IF(OR(Q59="",P59=""),"",IF(P59&lt;=0,"",IFERROR(Q59/P59-1,"")))</f>
        <v/>
      </c>
      <c r="R60" s="15">
        <f>IF(OR(R59="",Q59=""),"",IF(Q59&lt;=0,"",IFERROR(R59/Q59-1,"")))</f>
        <v/>
      </c>
      <c r="S60" s="15">
        <f>IF(OR(S59="",R59=""),"",IF(R59&lt;=0,"",IFERROR(S59/R59-1,"")))</f>
        <v/>
      </c>
      <c r="T60" s="15">
        <f>IF(OR(T59="",S59=""),"",IF(S59&lt;=0,"",IFERROR(T59/S59-1,"")))</f>
        <v/>
      </c>
      <c r="U60" s="15">
        <f>IF(OR(U59="",T59=""),"",IF(T59&lt;=0,"",IFERROR(U59/T59-1,"")))</f>
        <v/>
      </c>
      <c r="V60" s="15">
        <f>IF(OR(V59="",U59=""),"",IF(U59&lt;=0,"",IFERROR(V59/U59-1,"")))</f>
        <v/>
      </c>
      <c r="W60" s="15">
        <f>IF(OR(W59="",V59=""),"",IF(V59&lt;=0,"",IFERROR(W59/V59-1,"")))</f>
        <v/>
      </c>
      <c r="X60" s="15">
        <f>IF(OR(X59="",W59=""),"",IF(W59&lt;=0,"",IFERROR(X59/W59-1,"")))</f>
        <v/>
      </c>
      <c r="Y60" s="14">
        <f>IF(OR(Y59="",X59=""),"",IF(X59&lt;=0,"",IFERROR(Y59/X59-1,"")))</f>
        <v/>
      </c>
      <c r="Z60" s="15">
        <f>IF(OR(Z59="",Y59=""),"",IF(Y59&lt;=0,"",IFERROR(Z59/Y59-1,"")))</f>
        <v/>
      </c>
      <c r="AA60" s="15">
        <f>IF(OR(AA59="",Z59=""),"",IF(Z59&lt;=0,"",IFERROR(AA59/Z59-1,"")))</f>
        <v/>
      </c>
      <c r="AB60" s="15">
        <f>IF(OR(AB59="",AA59=""),"",IF(AA59&lt;=0,"",IFERROR(AB59/AA59-1,"")))</f>
        <v/>
      </c>
      <c r="AC60" s="15">
        <f>IF(OR(AC59="",AB59=""),"",IF(AB59&lt;=0,"",IFERROR(AC59/AB59-1,"")))</f>
        <v/>
      </c>
    </row>
    <row r="61">
      <c r="A61" s="9" t="inlineStr">
        <is>
          <t>지배주주 순이익</t>
        </is>
      </c>
      <c r="B61" s="10" t="n"/>
      <c r="C61" s="11" t="n">
        <v>2417</v>
      </c>
      <c r="D61" s="12" t="n">
        <v>2415</v>
      </c>
      <c r="E61" s="12" t="n">
        <v>2235</v>
      </c>
      <c r="F61" s="12" t="n">
        <v>2992</v>
      </c>
      <c r="G61" s="12" t="n">
        <v>5189</v>
      </c>
      <c r="H61" s="12" t="n">
        <v>7185</v>
      </c>
      <c r="I61" s="12" t="n">
        <v>1414</v>
      </c>
      <c r="J61" s="12" t="n">
        <v>3488</v>
      </c>
      <c r="K61" s="12" t="n">
        <v>5660</v>
      </c>
      <c r="L61" s="12" t="n">
        <v>6708</v>
      </c>
      <c r="M61" s="12" t="n">
        <v>5825</v>
      </c>
      <c r="N61" s="12" t="n">
        <v>4053</v>
      </c>
      <c r="O61" s="11" t="n">
        <v>59867</v>
      </c>
      <c r="P61" s="12" t="n">
        <v>41788</v>
      </c>
      <c r="Q61" s="12" t="n">
        <v>26521</v>
      </c>
      <c r="R61" s="12" t="n">
        <v>10760</v>
      </c>
      <c r="S61" s="12" t="n">
        <v>15692</v>
      </c>
      <c r="T61" s="12" t="n">
        <v>5161</v>
      </c>
      <c r="U61" s="12" t="n">
        <v>7082</v>
      </c>
      <c r="V61" s="12" t="n">
        <v>7082</v>
      </c>
      <c r="W61" s="12" t="n">
        <v>17601</v>
      </c>
      <c r="X61" s="12" t="n">
        <v>17270</v>
      </c>
      <c r="Y61" s="11">
        <f>IF(OR(Y59="",Y62=""),"",IFERROR(Y59*Y62,""))</f>
        <v/>
      </c>
      <c r="Z61" s="12">
        <f>IF(OR(Z59="",Z62=""),"",IFERROR(Z59*Z62,""))</f>
        <v/>
      </c>
      <c r="AA61" s="12">
        <f>IF(OR(AA59="",AA62=""),"",IFERROR(AA59*AA62,""))</f>
        <v/>
      </c>
      <c r="AB61" s="12">
        <f>IF(OR(AB59="",AB62=""),"",IFERROR(AB59*AB62,""))</f>
        <v/>
      </c>
      <c r="AC61" s="12">
        <f>IF(OR(AC59="",AC62=""),"",IFERROR(AC59*AC62,""))</f>
        <v/>
      </c>
    </row>
    <row r="62">
      <c r="A62" s="13" t="inlineStr">
        <is>
          <t>지배주주 순이익률</t>
        </is>
      </c>
      <c r="B62" s="10" t="inlineStr">
        <is>
          <t>MW 기본 100%</t>
        </is>
      </c>
      <c r="C62" s="14">
        <f>IF(OR(C61="",C59=""),"",IFERROR(C61/C59,""))</f>
        <v/>
      </c>
      <c r="D62" s="15">
        <f>IF(OR(D61="",D59=""),"",IFERROR(D61/D59,""))</f>
        <v/>
      </c>
      <c r="E62" s="15">
        <f>IF(OR(E61="",E59=""),"",IFERROR(E61/E59,""))</f>
        <v/>
      </c>
      <c r="F62" s="15">
        <f>IF(OR(F61="",F59=""),"",IFERROR(F61/F59,""))</f>
        <v/>
      </c>
      <c r="G62" s="15">
        <f>IF(OR(G61="",G59=""),"",IFERROR(G61/G59,""))</f>
        <v/>
      </c>
      <c r="H62" s="15">
        <f>IF(OR(H61="",H59=""),"",IFERROR(H61/H59,""))</f>
        <v/>
      </c>
      <c r="I62" s="15">
        <f>IF(OR(I61="",I59=""),"",IFERROR(I61/I59,""))</f>
        <v/>
      </c>
      <c r="J62" s="15">
        <f>IF(OR(J61="",J59=""),"",IFERROR(J61/J59,""))</f>
        <v/>
      </c>
      <c r="K62" s="15">
        <f>IF(OR(K61="",K59=""),"",IFERROR(K61/K59,""))</f>
        <v/>
      </c>
      <c r="L62" s="15">
        <f>IF(OR(L61="",L59=""),"",IFERROR(L61/L59,""))</f>
        <v/>
      </c>
      <c r="M62" s="15">
        <f>IF(OR(M61="",M59=""),"",IFERROR(M61/M59,""))</f>
        <v/>
      </c>
      <c r="N62" s="15">
        <f>IF(OR(N61="",N59=""),"",IFERROR(N61/N59,""))</f>
        <v/>
      </c>
      <c r="O62" s="14">
        <f>IF(OR(O61="",O59=""),"",IFERROR(O61/O59,""))</f>
        <v/>
      </c>
      <c r="P62" s="15">
        <f>IF(OR(P61="",P59=""),"",IFERROR(P61/P59,""))</f>
        <v/>
      </c>
      <c r="Q62" s="15">
        <f>IF(OR(Q61="",Q59=""),"",IFERROR(Q61/Q59,""))</f>
        <v/>
      </c>
      <c r="R62" s="15">
        <f>IF(OR(R61="",R59=""),"",IFERROR(R61/R59,""))</f>
        <v/>
      </c>
      <c r="S62" s="15">
        <f>IF(OR(S61="",S59=""),"",IFERROR(S61/S59,""))</f>
        <v/>
      </c>
      <c r="T62" s="15">
        <f>IF(OR(T61="",T59=""),"",IFERROR(T61/T59,""))</f>
        <v/>
      </c>
      <c r="U62" s="15">
        <f>IF(OR(U61="",U59=""),"",IFERROR(U61/U59,""))</f>
        <v/>
      </c>
      <c r="V62" s="15">
        <f>IF(OR(V61="",V59=""),"",IFERROR(V61/V59,""))</f>
        <v/>
      </c>
      <c r="W62" s="15">
        <f>IF(OR(W61="",W59=""),"",IFERROR(W61/W59,""))</f>
        <v/>
      </c>
      <c r="X62" s="15">
        <f>IF(OR(X61="",X59=""),"",IFERROR(X61/X59,""))</f>
        <v/>
      </c>
      <c r="Y62" s="25" t="n">
        <v>1</v>
      </c>
      <c r="Z62" s="26" t="n">
        <v>1</v>
      </c>
      <c r="AA62" s="26" t="n">
        <v>1</v>
      </c>
      <c r="AB62" s="26" t="n">
        <v>1</v>
      </c>
      <c r="AC62" s="26" t="n">
        <v>1</v>
      </c>
    </row>
    <row r="63">
      <c r="A63" s="13" t="inlineStr">
        <is>
          <t>지배주주 순이익 YoY</t>
        </is>
      </c>
      <c r="B63" s="10" t="n"/>
      <c r="C63" s="14" t="n"/>
      <c r="D63" s="15" t="n"/>
      <c r="E63" s="15" t="n"/>
      <c r="F63" s="15" t="n"/>
      <c r="G63" s="15">
        <f>IF(OR(G61="",C61=""),"",IF(C61&lt;=0,"",IFERROR(G61/C61-1,"")))</f>
        <v/>
      </c>
      <c r="H63" s="15">
        <f>IF(OR(H61="",D61=""),"",IF(D61&lt;=0,"",IFERROR(H61/D61-1,"")))</f>
        <v/>
      </c>
      <c r="I63" s="15">
        <f>IF(OR(I61="",E61=""),"",IF(E61&lt;=0,"",IFERROR(I61/E61-1,"")))</f>
        <v/>
      </c>
      <c r="J63" s="15">
        <f>IF(OR(J61="",F61=""),"",IF(F61&lt;=0,"",IFERROR(J61/F61-1,"")))</f>
        <v/>
      </c>
      <c r="K63" s="15">
        <f>IF(OR(K61="",G61=""),"",IF(G61&lt;=0,"",IFERROR(K61/G61-1,"")))</f>
        <v/>
      </c>
      <c r="L63" s="15">
        <f>IF(OR(L61="",H61=""),"",IF(H61&lt;=0,"",IFERROR(L61/H61-1,"")))</f>
        <v/>
      </c>
      <c r="M63" s="15">
        <f>IF(OR(M61="",I61=""),"",IF(I61&lt;=0,"",IFERROR(M61/I61-1,"")))</f>
        <v/>
      </c>
      <c r="N63" s="15">
        <f>IF(OR(N61="",J61=""),"",IF(J61&lt;=0,"",IFERROR(N61/J61-1,"")))</f>
        <v/>
      </c>
      <c r="O63" s="14" t="n"/>
      <c r="P63" s="15">
        <f>IF(OR(P61="",O61=""),"",IF(O61&lt;=0,"",IFERROR(P61/O61-1,"")))</f>
        <v/>
      </c>
      <c r="Q63" s="15">
        <f>IF(OR(Q61="",P61=""),"",IF(P61&lt;=0,"",IFERROR(Q61/P61-1,"")))</f>
        <v/>
      </c>
      <c r="R63" s="15">
        <f>IF(OR(R61="",Q61=""),"",IF(Q61&lt;=0,"",IFERROR(R61/Q61-1,"")))</f>
        <v/>
      </c>
      <c r="S63" s="15">
        <f>IF(OR(S61="",R61=""),"",IF(R61&lt;=0,"",IFERROR(S61/R61-1,"")))</f>
        <v/>
      </c>
      <c r="T63" s="15">
        <f>IF(OR(T61="",S61=""),"",IF(S61&lt;=0,"",IFERROR(T61/S61-1,"")))</f>
        <v/>
      </c>
      <c r="U63" s="15">
        <f>IF(OR(U61="",T61=""),"",IF(T61&lt;=0,"",IFERROR(U61/T61-1,"")))</f>
        <v/>
      </c>
      <c r="V63" s="15">
        <f>IF(OR(V61="",U61=""),"",IF(U61&lt;=0,"",IFERROR(V61/U61-1,"")))</f>
        <v/>
      </c>
      <c r="W63" s="15">
        <f>IF(OR(W61="",V61=""),"",IF(V61&lt;=0,"",IFERROR(W61/V61-1,"")))</f>
        <v/>
      </c>
      <c r="X63" s="15">
        <f>IF(OR(X61="",W61=""),"",IF(W61&lt;=0,"",IFERROR(X61/W61-1,"")))</f>
        <v/>
      </c>
      <c r="Y63" s="14">
        <f>IF(OR(Y61="",X61=""),"",IF(X61&lt;=0,"",IFERROR(Y61/X61-1,"")))</f>
        <v/>
      </c>
      <c r="Z63" s="15">
        <f>IF(OR(Z61="",Y61=""),"",IF(Y61&lt;=0,"",IFERROR(Z61/Y61-1,"")))</f>
        <v/>
      </c>
      <c r="AA63" s="15">
        <f>IF(OR(AA61="",Z61=""),"",IF(Z61&lt;=0,"",IFERROR(AA61/Z61-1,"")))</f>
        <v/>
      </c>
      <c r="AB63" s="15">
        <f>IF(OR(AB61="",AA61=""),"",IF(AA61&lt;=0,"",IFERROR(AB61/AA61-1,"")))</f>
        <v/>
      </c>
      <c r="AC63" s="15">
        <f>IF(OR(AC61="",AB61=""),"",IF(AB61&lt;=0,"",IFERROR(AC61/AB61-1,"")))</f>
        <v/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()</t>
        </is>
      </c>
      <c r="B65" s="27" t="n"/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/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IF(O32="","",O32)</f>
        <v/>
      </c>
      <c r="P68" s="15">
        <f>IF(P32="","",P32)</f>
        <v/>
      </c>
      <c r="Q68" s="15">
        <f>IF(Q32="","",Q32)</f>
        <v/>
      </c>
      <c r="R68" s="15">
        <f>IF(R32="","",R32)</f>
        <v/>
      </c>
      <c r="S68" s="15">
        <f>IF(S32="","",S32)</f>
        <v/>
      </c>
      <c r="T68" s="15">
        <f>IF(T32="","",T32)</f>
        <v/>
      </c>
      <c r="U68" s="15">
        <f>IF(U32="","",U32)</f>
        <v/>
      </c>
      <c r="V68" s="15">
        <f>IF(V32="","",V32)</f>
        <v/>
      </c>
      <c r="W68" s="15">
        <f>IF(W32="","",W32)</f>
        <v/>
      </c>
      <c r="X68" s="15">
        <f>IF(X32="","",X32)</f>
        <v/>
      </c>
      <c r="Y68" s="14">
        <f>IF(Y32="","",Y32)</f>
        <v/>
      </c>
      <c r="Z68" s="15">
        <f>IF(Z32="","",Z32)</f>
        <v/>
      </c>
      <c r="AA68" s="15">
        <f>IF(AA32="","",AA32)</f>
        <v/>
      </c>
      <c r="AB68" s="15">
        <f>IF(AB32="","",AB32)</f>
        <v/>
      </c>
      <c r="AC68" s="15">
        <f>IF(AC32="","",AC32)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IF(OR(P61="",O61=""),"",IFERROR(P61/O61-1,""))</f>
        <v/>
      </c>
      <c r="Q69" s="15">
        <f>IF(OR(Q61="",P61=""),"",IFERROR(Q61/P61-1,""))</f>
        <v/>
      </c>
      <c r="R69" s="15">
        <f>IF(OR(R61="",Q61=""),"",IFERROR(R61/Q61-1,""))</f>
        <v/>
      </c>
      <c r="S69" s="15">
        <f>IF(OR(S61="",R61=""),"",IFERROR(S61/R61-1,""))</f>
        <v/>
      </c>
      <c r="T69" s="15">
        <f>IF(OR(T61="",S61=""),"",IFERROR(T61/S61-1,""))</f>
        <v/>
      </c>
      <c r="U69" s="15">
        <f>IF(OR(U61="",T61=""),"",IFERROR(U61/T61-1,""))</f>
        <v/>
      </c>
      <c r="V69" s="15">
        <f>IF(OR(V61="",U61=""),"",IFERROR(V61/U61-1,""))</f>
        <v/>
      </c>
      <c r="W69" s="15">
        <f>IF(OR(W61="",V61=""),"",IFERROR(W61/V61-1,""))</f>
        <v/>
      </c>
      <c r="X69" s="15">
        <f>IF(OR(X61="",W61=""),"",IFERROR(X61/W61-1,""))</f>
        <v/>
      </c>
      <c r="Y69" s="14">
        <f>IF(OR(Y61="",X61=""),"",IFERROR(Y61/X61-1,""))</f>
        <v/>
      </c>
      <c r="Z69" s="15">
        <f>IF(OR(Z61="",Y61=""),"",IFERROR(Z61/Y61-1,""))</f>
        <v/>
      </c>
      <c r="AA69" s="15">
        <f>IF(OR(AA61="",Z61=""),"",IFERROR(AA61/Z61-1,""))</f>
        <v/>
      </c>
      <c r="AB69" s="15">
        <f>IF(OR(AB61="",AA61=""),"",IFERROR(AB61/AA61-1,""))</f>
        <v/>
      </c>
      <c r="AC69" s="15">
        <f>IF(OR(AC61="",AB61=""),"",IFERROR(AC61/AB61-1,""))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IF(OR($B$67="",X61=""),"",IFERROR($B$67/X61,""))</f>
        <v/>
      </c>
      <c r="Y70" s="30">
        <f>IF(OR($B$67="",Y61=""),"",IFERROR($B$67/Y61,""))</f>
        <v/>
      </c>
      <c r="Z70" s="31">
        <f>IF(OR($B$67="",Z61=""),"",IFERROR($B$67/Z61,""))</f>
        <v/>
      </c>
      <c r="AA70" s="31">
        <f>IF(OR($B$67="",AA61=""),"",IFERROR($B$67/AA61,""))</f>
        <v/>
      </c>
      <c r="AB70" s="31">
        <f>IF(OR($B$67="",AB61=""),"",IFERROR($B$67/AB61,""))</f>
        <v/>
      </c>
      <c r="AC70" s="31">
        <f>IF(OR($B$67="",AC61=""),"",IFERROR($B$67/AC61,""))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IF(OR(O61="",$B$66=""),"",IFERROR(O61*1000000.0/$B$66,""))</f>
        <v/>
      </c>
      <c r="P72" s="29">
        <f>IF(OR(P61="",$B$66=""),"",IFERROR(P61*1000000.0/$B$66,""))</f>
        <v/>
      </c>
      <c r="Q72" s="29">
        <f>IF(OR(Q61="",$B$66=""),"",IFERROR(Q61*1000000.0/$B$66,""))</f>
        <v/>
      </c>
      <c r="R72" s="29">
        <f>IF(OR(R61="",$B$66=""),"",IFERROR(R61*1000000.0/$B$66,""))</f>
        <v/>
      </c>
      <c r="S72" s="29">
        <f>IF(OR(S61="",$B$66=""),"",IFERROR(S61*1000000.0/$B$66,""))</f>
        <v/>
      </c>
      <c r="T72" s="29">
        <f>IF(OR(T61="",$B$66=""),"",IFERROR(T61*1000000.0/$B$66,""))</f>
        <v/>
      </c>
      <c r="U72" s="29">
        <f>IF(OR(U61="",$B$66=""),"",IFERROR(U61*1000000.0/$B$66,""))</f>
        <v/>
      </c>
      <c r="V72" s="29">
        <f>IF(OR(V61="",$B$66=""),"",IFERROR(V61*1000000.0/$B$66,""))</f>
        <v/>
      </c>
      <c r="W72" s="29">
        <f>IF(OR(W61="",$B$66=""),"",IFERROR(W61*1000000.0/$B$66,""))</f>
        <v/>
      </c>
      <c r="X72" s="29">
        <f>IF(OR(X61="",$B$66=""),"",IFERROR(X61*1000000.0/$B$66,""))</f>
        <v/>
      </c>
      <c r="Y72" s="28">
        <f>IF(OR(Y61="",$B$66=""),"",IFERROR(Y61*1000000.0/$B$66,""))</f>
        <v/>
      </c>
      <c r="Z72" s="29">
        <f>IF(OR(Z61="",$B$66=""),"",IFERROR(Z61*1000000.0/$B$66,""))</f>
        <v/>
      </c>
      <c r="AA72" s="29">
        <f>IF(OR(AA61="",$B$66=""),"",IFERROR(AA61*1000000.0/$B$66,""))</f>
        <v/>
      </c>
      <c r="AB72" s="29">
        <f>IF(OR(AB61="",$B$66=""),"",IFERROR(AB61*1000000.0/$B$66,""))</f>
        <v/>
      </c>
      <c r="AC72" s="29">
        <f>IF(OR(AC61="",$B$66=""),"",IFERROR(AC61*1000000.0/$B$66,""))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IF(OR(Y61="",Y71=""),"",IFERROR(Y61*Y71,""))</f>
        <v/>
      </c>
      <c r="Z84" s="20">
        <f>IF(OR(Z61="",Z71=""),"",IFERROR(Z61*Z71,""))</f>
        <v/>
      </c>
      <c r="AA84" s="20">
        <f>IF(OR(AA61="",AA71=""),"",IFERROR(AA61*AA71,""))</f>
        <v/>
      </c>
      <c r="AB84" s="20">
        <f>IF(OR(AB61="",AB71=""),"",IFERROR(AB61*AB71,""))</f>
        <v/>
      </c>
      <c r="AC84" s="20">
        <f>IF(OR(AC61="",AC71=""),"",IFERROR(AC61*AC71,""))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2024.3Q</t>
        </is>
      </c>
      <c r="D95" s="5" t="inlineStr">
        <is>
          <t>2024.4Q</t>
        </is>
      </c>
      <c r="E95" s="5" t="inlineStr">
        <is>
          <t>2025.1Q</t>
        </is>
      </c>
      <c r="F95" s="5" t="inlineStr">
        <is>
          <t>2025.2Q</t>
        </is>
      </c>
      <c r="G95" s="5" t="inlineStr">
        <is>
          <t>2025.3Q</t>
        </is>
      </c>
      <c r="H95" s="5" t="inlineStr">
        <is>
          <t>2025.4Q</t>
        </is>
      </c>
      <c r="I95" s="5" t="inlineStr">
        <is>
          <t>2026.1Q</t>
        </is>
      </c>
      <c r="J95" s="5" t="inlineStr">
        <is>
          <t>2026.2Q</t>
        </is>
      </c>
      <c r="K95" s="5" t="inlineStr">
        <is>
          <t>2026.3Q</t>
        </is>
      </c>
      <c r="L95" s="5" t="inlineStr">
        <is>
          <t>2026.4Q</t>
        </is>
      </c>
      <c r="M95" s="5" t="inlineStr">
        <is>
          <t>2027.1Q</t>
        </is>
      </c>
      <c r="N95" s="5" t="inlineStr">
        <is>
          <t>2027.2Q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9" t="inlineStr">
        <is>
          <t>매출액</t>
        </is>
      </c>
      <c r="C96" s="12" t="n">
        <v>41241</v>
      </c>
      <c r="D96" s="12" t="n">
        <v>41659</v>
      </c>
      <c r="E96" s="12" t="n">
        <v>30087</v>
      </c>
      <c r="F96" s="12" t="n">
        <v>38733</v>
      </c>
      <c r="G96" s="12" t="n">
        <v>41532</v>
      </c>
      <c r="H96" s="12" t="n">
        <v>44495</v>
      </c>
      <c r="I96" s="12" t="n">
        <v>31323</v>
      </c>
      <c r="J96" s="12" t="n">
        <v>36105</v>
      </c>
      <c r="K96" s="12" t="n">
        <v>48997</v>
      </c>
      <c r="L96" s="12" t="n">
        <v>54944</v>
      </c>
      <c r="M96" s="12" t="n">
        <v>47073</v>
      </c>
      <c r="N96" s="12" t="n">
        <v>48947</v>
      </c>
      <c r="T96" s="12" t="n">
        <v>62725</v>
      </c>
      <c r="U96" s="12" t="n">
        <v>42066</v>
      </c>
      <c r="V96" s="12" t="n">
        <v>41659</v>
      </c>
      <c r="W96" s="12" t="n">
        <v>44495</v>
      </c>
      <c r="X96" s="12" t="n">
        <v>54944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T97" s="15">
        <f>IF(OR(T96="",S96=""),"",IF(S96&lt;=0,"",IFERROR(T96/S96-1,"")))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매출원가</t>
        </is>
      </c>
      <c r="C98" s="20" t="n">
        <v>12343</v>
      </c>
      <c r="D98" s="20" t="n">
        <v>11205</v>
      </c>
      <c r="E98" s="20" t="n">
        <v>10087</v>
      </c>
      <c r="F98" s="20" t="n">
        <v>13166</v>
      </c>
      <c r="G98" s="20" t="n">
        <v>12493</v>
      </c>
      <c r="H98" s="20" t="n">
        <v>13057</v>
      </c>
      <c r="I98" s="20" t="n">
        <v>11307</v>
      </c>
      <c r="J98" s="20" t="n">
        <v>11280</v>
      </c>
      <c r="K98" s="20" t="n">
        <v>16832</v>
      </c>
      <c r="L98" s="20" t="n">
        <v>18360</v>
      </c>
      <c r="M98" s="20" t="n">
        <v>17014</v>
      </c>
      <c r="N98" s="20" t="n">
        <v>16192</v>
      </c>
      <c r="T98" s="20" t="n">
        <v>19833</v>
      </c>
      <c r="U98" s="20" t="n">
        <v>15563</v>
      </c>
      <c r="V98" s="20" t="n">
        <v>11205</v>
      </c>
      <c r="W98" s="20" t="n">
        <v>13057</v>
      </c>
      <c r="X98" s="20" t="n">
        <v>18360</v>
      </c>
    </row>
    <row r="99">
      <c r="A99" s="43" t="inlineStr">
        <is>
          <t>YoY</t>
        </is>
      </c>
      <c r="B99" s="3" t="inlineStr">
        <is>
          <t>전년 같은 분기·전년 대비</t>
        </is>
      </c>
      <c r="G99" s="15">
        <f>IF(OR(G98="",C98=""),"",IF(G98*C98&lt;=0,"",IFERROR(G98/C98-1,"")))</f>
        <v/>
      </c>
      <c r="H99" s="15">
        <f>IF(OR(H98="",D98=""),"",IF(H98*D98&lt;=0,"",IFERROR(H98/D98-1,"")))</f>
        <v/>
      </c>
      <c r="I99" s="15">
        <f>IF(OR(I98="",E98=""),"",IF(I98*E98&lt;=0,"",IFERROR(I98/E98-1,"")))</f>
        <v/>
      </c>
      <c r="J99" s="15">
        <f>IF(OR(J98="",F98=""),"",IF(J98*F98&lt;=0,"",IFERROR(J98/F98-1,"")))</f>
        <v/>
      </c>
      <c r="K99" s="15">
        <f>IF(OR(K98="",G98=""),"",IF(K98*G98&lt;=0,"",IFERROR(K98/G98-1,"")))</f>
        <v/>
      </c>
      <c r="L99" s="15">
        <f>IF(OR(L98="",H98=""),"",IF(L98*H98&lt;=0,"",IFERROR(L98/H98-1,"")))</f>
        <v/>
      </c>
      <c r="M99" s="15">
        <f>IF(OR(M98="",I98=""),"",IF(M98*I98&lt;=0,"",IFERROR(M98/I98-1,"")))</f>
        <v/>
      </c>
      <c r="N99" s="15">
        <f>IF(OR(N98="",J98=""),"",IF(N98*J98&lt;=0,"",IFERROR(N98/J98-1,"")))</f>
        <v/>
      </c>
      <c r="T99" s="15">
        <f>IF(OR(T98="",S98=""),"",IF(T98*S98&lt;=0,"",IFERROR(T98/S98-1,"")))</f>
        <v/>
      </c>
      <c r="U99" s="15">
        <f>IF(OR(U98="",T98=""),"",IF(U98*T98&lt;=0,"",IFERROR(U98/T98-1,"")))</f>
        <v/>
      </c>
      <c r="V99" s="15">
        <f>IF(OR(V98="",U98=""),"",IF(V98*U98&lt;=0,"",IFERROR(V98/U98-1,"")))</f>
        <v/>
      </c>
      <c r="W99" s="15">
        <f>IF(OR(W98="",V98=""),"",IF(W98*V98&lt;=0,"",IFERROR(W98/V98-1,"")))</f>
        <v/>
      </c>
      <c r="X99" s="15">
        <f>IF(OR(X98="",W98=""),"",IF(X98*W98&lt;=0,"",IFERROR(X98/W98-1,"")))</f>
        <v/>
      </c>
    </row>
    <row r="100">
      <c r="A100" s="9" t="inlineStr">
        <is>
          <t>매출총이익</t>
        </is>
      </c>
      <c r="C100" s="12" t="n">
        <v>28899</v>
      </c>
      <c r="D100" s="12" t="n">
        <v>30453</v>
      </c>
      <c r="E100" s="12" t="n">
        <v>19999</v>
      </c>
      <c r="F100" s="12" t="n">
        <v>25568</v>
      </c>
      <c r="G100" s="12" t="n">
        <v>29039</v>
      </c>
      <c r="H100" s="12" t="n">
        <v>31437</v>
      </c>
      <c r="I100" s="12" t="n">
        <v>20015</v>
      </c>
      <c r="J100" s="12" t="n">
        <v>24826</v>
      </c>
      <c r="K100" s="12" t="n">
        <v>32164</v>
      </c>
      <c r="L100" s="12" t="n">
        <v>36585</v>
      </c>
      <c r="M100" s="12" t="n">
        <v>30058</v>
      </c>
      <c r="N100" s="12" t="n">
        <v>32756</v>
      </c>
      <c r="T100" s="12" t="n">
        <v>42893</v>
      </c>
      <c r="U100" s="12" t="n">
        <v>26503</v>
      </c>
      <c r="V100" s="12" t="n">
        <v>30453</v>
      </c>
      <c r="W100" s="12" t="n">
        <v>31437</v>
      </c>
      <c r="X100" s="12" t="n">
        <v>36585</v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IF(OR(G100="",C100=""),"",IF(C100&lt;=0,"",IFERROR(G100/C100-1,"")))</f>
        <v/>
      </c>
      <c r="H101" s="15">
        <f>IF(OR(H100="",D100=""),"",IF(D100&lt;=0,"",IFERROR(H100/D100-1,"")))</f>
        <v/>
      </c>
      <c r="I101" s="15">
        <f>IF(OR(I100="",E100=""),"",IF(E100&lt;=0,"",IFERROR(I100/E100-1,"")))</f>
        <v/>
      </c>
      <c r="J101" s="15">
        <f>IF(OR(J100="",F100=""),"",IF(F100&lt;=0,"",IFERROR(J100/F100-1,"")))</f>
        <v/>
      </c>
      <c r="K101" s="15">
        <f>IF(OR(K100="",G100=""),"",IF(G100&lt;=0,"",IFERROR(K100/G100-1,"")))</f>
        <v/>
      </c>
      <c r="L101" s="15">
        <f>IF(OR(L100="",H100=""),"",IF(H100&lt;=0,"",IFERROR(L100/H100-1,"")))</f>
        <v/>
      </c>
      <c r="M101" s="15">
        <f>IF(OR(M100="",I100=""),"",IF(I100&lt;=0,"",IFERROR(M100/I100-1,"")))</f>
        <v/>
      </c>
      <c r="N101" s="15">
        <f>IF(OR(N100="",J100=""),"",IF(J100&lt;=0,"",IFERROR(N100/J100-1,"")))</f>
        <v/>
      </c>
      <c r="T101" s="15">
        <f>IF(OR(T100="",S100=""),"",IF(S100&lt;=0,"",IFERROR(T100/S100-1,"")))</f>
        <v/>
      </c>
      <c r="U101" s="15">
        <f>IF(OR(U100="",T100=""),"",IF(T100&lt;=0,"",IFERROR(U100/T100-1,"")))</f>
        <v/>
      </c>
      <c r="V101" s="15">
        <f>IF(OR(V100="",U100=""),"",IF(U100&lt;=0,"",IFERROR(V100/U100-1,"")))</f>
        <v/>
      </c>
      <c r="W101" s="15">
        <f>IF(OR(W100="",V100=""),"",IF(V100&lt;=0,"",IFERROR(W100/V100-1,"")))</f>
        <v/>
      </c>
      <c r="X101" s="15">
        <f>IF(OR(X100="",W100=""),"",IF(W100&lt;=0,"",IFERROR(X100/W100-1,"")))</f>
        <v/>
      </c>
    </row>
    <row r="102">
      <c r="A102" s="18" t="inlineStr">
        <is>
          <t>판매비와 관리비</t>
        </is>
      </c>
      <c r="C102" s="20" t="n">
        <v>22234</v>
      </c>
      <c r="D102" s="20" t="n">
        <v>21752</v>
      </c>
      <c r="E102" s="20" t="n">
        <v>17212</v>
      </c>
      <c r="F102" s="20" t="n">
        <v>19606</v>
      </c>
      <c r="G102" s="20" t="n">
        <v>20757</v>
      </c>
      <c r="H102" s="20" t="n">
        <v>21868</v>
      </c>
      <c r="I102" s="20" t="n">
        <v>17338</v>
      </c>
      <c r="J102" s="20" t="n">
        <v>20288</v>
      </c>
      <c r="K102" s="20" t="n">
        <v>26210</v>
      </c>
      <c r="L102" s="20" t="n">
        <v>27498</v>
      </c>
      <c r="M102" s="20" t="n">
        <v>24629</v>
      </c>
      <c r="N102" s="20" t="n">
        <v>25602</v>
      </c>
      <c r="T102" s="20" t="n">
        <v>29447</v>
      </c>
      <c r="U102" s="20" t="n">
        <v>26399</v>
      </c>
      <c r="V102" s="20" t="n">
        <v>21752</v>
      </c>
      <c r="W102" s="20" t="n">
        <v>21868</v>
      </c>
      <c r="X102" s="20" t="n">
        <v>27498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IF(OR(G102="",C102=""),"",IF(G102*C102&lt;=0,"",IFERROR(G102/C102-1,"")))</f>
        <v/>
      </c>
      <c r="H103" s="15">
        <f>IF(OR(H102="",D102=""),"",IF(H102*D102&lt;=0,"",IFERROR(H102/D102-1,"")))</f>
        <v/>
      </c>
      <c r="I103" s="15">
        <f>IF(OR(I102="",E102=""),"",IF(I102*E102&lt;=0,"",IFERROR(I102/E102-1,"")))</f>
        <v/>
      </c>
      <c r="J103" s="15">
        <f>IF(OR(J102="",F102=""),"",IF(J102*F102&lt;=0,"",IFERROR(J102/F102-1,"")))</f>
        <v/>
      </c>
      <c r="K103" s="15">
        <f>IF(OR(K102="",G102=""),"",IF(K102*G102&lt;=0,"",IFERROR(K102/G102-1,"")))</f>
        <v/>
      </c>
      <c r="L103" s="15">
        <f>IF(OR(L102="",H102=""),"",IF(L102*H102&lt;=0,"",IFERROR(L102/H102-1,"")))</f>
        <v/>
      </c>
      <c r="M103" s="15">
        <f>IF(OR(M102="",I102=""),"",IF(M102*I102&lt;=0,"",IFERROR(M102/I102-1,"")))</f>
        <v/>
      </c>
      <c r="N103" s="15">
        <f>IF(OR(N102="",J102=""),"",IF(N102*J102&lt;=0,"",IFERROR(N102/J102-1,"")))</f>
        <v/>
      </c>
      <c r="T103" s="15">
        <f>IF(OR(T102="",S102=""),"",IF(T102*S102&lt;=0,"",IFERROR(T102/S102-1,"")))</f>
        <v/>
      </c>
      <c r="U103" s="15">
        <f>IF(OR(U102="",T102=""),"",IF(U102*T102&lt;=0,"",IFERROR(U102/T102-1,"")))</f>
        <v/>
      </c>
      <c r="V103" s="15">
        <f>IF(OR(V102="",U102=""),"",IF(V102*U102&lt;=0,"",IFERROR(V102/U102-1,"")))</f>
        <v/>
      </c>
      <c r="W103" s="15">
        <f>IF(OR(W102="",V102=""),"",IF(W102*V102&lt;=0,"",IFERROR(W102/V102-1,"")))</f>
        <v/>
      </c>
      <c r="X103" s="15">
        <f>IF(OR(X102="",W102=""),"",IF(X102*W102&lt;=0,"",IFERROR(X102/W102-1,"")))</f>
        <v/>
      </c>
    </row>
    <row r="104">
      <c r="A104" s="9" t="inlineStr">
        <is>
          <t>영업이익</t>
        </is>
      </c>
      <c r="C104" s="12" t="n">
        <v>6664</v>
      </c>
      <c r="D104" s="12" t="n">
        <v>8702</v>
      </c>
      <c r="E104" s="12" t="n">
        <v>2787</v>
      </c>
      <c r="F104" s="12" t="n">
        <v>5961</v>
      </c>
      <c r="G104" s="12" t="n">
        <v>8282</v>
      </c>
      <c r="H104" s="12" t="n">
        <v>9570</v>
      </c>
      <c r="I104" s="12" t="n">
        <v>2677</v>
      </c>
      <c r="J104" s="12" t="n">
        <v>4537</v>
      </c>
      <c r="K104" s="12" t="n">
        <v>5954</v>
      </c>
      <c r="L104" s="12" t="n">
        <v>9088</v>
      </c>
      <c r="M104" s="12" t="n">
        <v>5428</v>
      </c>
      <c r="N104" s="12" t="n">
        <v>7154</v>
      </c>
      <c r="T104" s="12" t="n">
        <v>13446</v>
      </c>
      <c r="U104" s="12" t="n">
        <v>104</v>
      </c>
      <c r="V104" s="12" t="n">
        <v>8702</v>
      </c>
      <c r="W104" s="12" t="n">
        <v>9570</v>
      </c>
      <c r="X104" s="12" t="n">
        <v>9088</v>
      </c>
    </row>
    <row r="105">
      <c r="A105" s="43" t="inlineStr">
        <is>
          <t>OPM</t>
        </is>
      </c>
      <c r="B105" s="3" t="inlineStr">
        <is>
          <t>영업이익 ÷ 매출</t>
        </is>
      </c>
      <c r="C105" s="15">
        <f>IF(OR(C104="",C96=""),"",IF(C96&lt;=0,"",IFERROR(C104/C96,"")))</f>
        <v/>
      </c>
      <c r="D105" s="15">
        <f>IF(OR(D104="",D96=""),"",IF(D96&lt;=0,"",IFERROR(D104/D96,"")))</f>
        <v/>
      </c>
      <c r="E105" s="15">
        <f>IF(OR(E104="",E96=""),"",IF(E96&lt;=0,"",IFERROR(E104/E96,"")))</f>
        <v/>
      </c>
      <c r="F105" s="15">
        <f>IF(OR(F104="",F96=""),"",IF(F96&lt;=0,"",IFERROR(F104/F96,"")))</f>
        <v/>
      </c>
      <c r="G105" s="15">
        <f>IF(OR(G104="",G96=""),"",IF(G96&lt;=0,"",IFERROR(G104/G96,"")))</f>
        <v/>
      </c>
      <c r="H105" s="15">
        <f>IF(OR(H104="",H96=""),"",IF(H96&lt;=0,"",IFERROR(H104/H96,"")))</f>
        <v/>
      </c>
      <c r="I105" s="15">
        <f>IF(OR(I104="",I96=""),"",IF(I96&lt;=0,"",IFERROR(I104/I96,"")))</f>
        <v/>
      </c>
      <c r="J105" s="15">
        <f>IF(OR(J104="",J96=""),"",IF(J96&lt;=0,"",IFERROR(J104/J96,"")))</f>
        <v/>
      </c>
      <c r="K105" s="15">
        <f>IF(OR(K104="",K96=""),"",IF(K96&lt;=0,"",IFERROR(K104/K96,"")))</f>
        <v/>
      </c>
      <c r="L105" s="15">
        <f>IF(OR(L104="",L96=""),"",IF(L96&lt;=0,"",IFERROR(L104/L96,"")))</f>
        <v/>
      </c>
      <c r="M105" s="15">
        <f>IF(OR(M104="",M96=""),"",IF(M96&lt;=0,"",IFERROR(M104/M96,"")))</f>
        <v/>
      </c>
      <c r="N105" s="15">
        <f>IF(OR(N104="",N96=""),"",IF(N96&lt;=0,"",IFERROR(N104/N96,"")))</f>
        <v/>
      </c>
      <c r="T105" s="15">
        <f>IF(OR(T104="",T96=""),"",IF(T96&lt;=0,"",IFERROR(T104/T96,"")))</f>
        <v/>
      </c>
      <c r="U105" s="15">
        <f>IF(OR(U104="",U96=""),"",IF(U96&lt;=0,"",IFERROR(U104/U96,"")))</f>
        <v/>
      </c>
      <c r="V105" s="15">
        <f>IF(OR(V104="",V96=""),"",IF(V96&lt;=0,"",IFERROR(V104/V96,"")))</f>
        <v/>
      </c>
      <c r="W105" s="15">
        <f>IF(OR(W104="",W96=""),"",IF(W96&lt;=0,"",IFERROR(W104/W96,"")))</f>
        <v/>
      </c>
      <c r="X105" s="15">
        <f>IF(OR(X104="",X96=""),"",IF(X96&lt;=0,"",IFERROR(X104/X96,"")))</f>
        <v/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IF(OR(G104="",C104=""),"",IF(C104&lt;=0,"",IFERROR(G104/C104-1,"")))</f>
        <v/>
      </c>
      <c r="H106" s="15">
        <f>IF(OR(H104="",D104=""),"",IF(D104&lt;=0,"",IFERROR(H104/D104-1,"")))</f>
        <v/>
      </c>
      <c r="I106" s="15">
        <f>IF(OR(I104="",E104=""),"",IF(E104&lt;=0,"",IFERROR(I104/E104-1,"")))</f>
        <v/>
      </c>
      <c r="J106" s="15">
        <f>IF(OR(J104="",F104=""),"",IF(F104&lt;=0,"",IFERROR(J104/F104-1,"")))</f>
        <v/>
      </c>
      <c r="K106" s="15">
        <f>IF(OR(K104="",G104=""),"",IF(G104&lt;=0,"",IFERROR(K104/G104-1,"")))</f>
        <v/>
      </c>
      <c r="L106" s="15">
        <f>IF(OR(L104="",H104=""),"",IF(H104&lt;=0,"",IFERROR(L104/H104-1,"")))</f>
        <v/>
      </c>
      <c r="M106" s="15">
        <f>IF(OR(M104="",I104=""),"",IF(I104&lt;=0,"",IFERROR(M104/I104-1,"")))</f>
        <v/>
      </c>
      <c r="N106" s="15">
        <f>IF(OR(N104="",J104=""),"",IF(J104&lt;=0,"",IFERROR(N104/J104-1,"")))</f>
        <v/>
      </c>
      <c r="T106" s="15">
        <f>IF(OR(T104="",S104=""),"",IF(S104&lt;=0,"",IFERROR(T104/S104-1,"")))</f>
        <v/>
      </c>
      <c r="U106" s="15">
        <f>IF(OR(U104="",T104=""),"",IF(T104&lt;=0,"",IFERROR(U104/T104-1,"")))</f>
        <v/>
      </c>
      <c r="V106" s="15">
        <f>IF(OR(V104="",U104=""),"",IF(U104&lt;=0,"",IFERROR(V104/U104-1,"")))</f>
        <v/>
      </c>
      <c r="W106" s="15">
        <f>IF(OR(W104="",V104=""),"",IF(V104&lt;=0,"",IFERROR(W104/V104-1,"")))</f>
        <v/>
      </c>
      <c r="X106" s="15">
        <f>IF(OR(X104="",W104=""),"",IF(W104&lt;=0,"",IFERROR(X104/W104-1,"")))</f>
        <v/>
      </c>
    </row>
    <row r="107">
      <c r="A107" s="18" t="inlineStr">
        <is>
          <t>이자수익</t>
        </is>
      </c>
      <c r="C107" s="20" t="n">
        <v>1</v>
      </c>
      <c r="D107" s="20" t="n">
        <v>5</v>
      </c>
      <c r="E107" s="20" t="n">
        <v>4</v>
      </c>
      <c r="F107" s="20" t="n">
        <v>24</v>
      </c>
      <c r="G107" s="20" t="n">
        <v>6</v>
      </c>
      <c r="H107" s="20" t="n">
        <v>33</v>
      </c>
      <c r="I107" s="20" t="n">
        <v>14</v>
      </c>
      <c r="J107" s="20" t="n">
        <v>72</v>
      </c>
      <c r="K107" s="20" t="n">
        <v>73</v>
      </c>
      <c r="L107" s="20" t="n">
        <v>152</v>
      </c>
      <c r="M107" s="20" t="n">
        <v>98</v>
      </c>
      <c r="N107" s="20" t="n">
        <v>260</v>
      </c>
      <c r="T107" s="20" t="n">
        <v>10</v>
      </c>
      <c r="U107" s="20" t="n">
        <v>12</v>
      </c>
      <c r="V107" s="20" t="n">
        <v>5</v>
      </c>
      <c r="W107" s="20" t="n">
        <v>33</v>
      </c>
      <c r="X107" s="20" t="n">
        <v>152</v>
      </c>
    </row>
    <row r="108">
      <c r="A108" s="18" t="inlineStr">
        <is>
          <t>배당금수익</t>
        </is>
      </c>
      <c r="C108" s="20" t="n">
        <v>0</v>
      </c>
      <c r="D108" s="20" t="n">
        <v>0</v>
      </c>
      <c r="E108" s="20" t="n">
        <v>0</v>
      </c>
      <c r="F108" s="20" t="n">
        <v>7</v>
      </c>
      <c r="G108" s="20" t="n">
        <v>12</v>
      </c>
      <c r="H108" s="20" t="n">
        <v>20</v>
      </c>
      <c r="I108" s="20" t="n">
        <v>24</v>
      </c>
      <c r="J108" s="20" t="n">
        <v>25</v>
      </c>
      <c r="K108" s="20" t="n">
        <v>25</v>
      </c>
      <c r="L108" s="20" t="n">
        <v>23</v>
      </c>
      <c r="M108" s="20" t="n">
        <v>21</v>
      </c>
      <c r="N108" s="20" t="n">
        <v>24</v>
      </c>
      <c r="V108" s="20" t="n">
        <v>0</v>
      </c>
      <c r="W108" s="20" t="n">
        <v>20</v>
      </c>
      <c r="X108" s="20" t="n">
        <v>23</v>
      </c>
    </row>
    <row r="109">
      <c r="A109" s="18" t="inlineStr">
        <is>
          <t>보전금 수익</t>
        </is>
      </c>
      <c r="E109" s="20" t="n">
        <v>0</v>
      </c>
      <c r="I109" s="20" t="n">
        <v>21</v>
      </c>
    </row>
    <row r="110">
      <c r="A110" s="18" t="inlineStr">
        <is>
          <t>외환차익</t>
        </is>
      </c>
      <c r="C110" s="20" t="n">
        <v>-82</v>
      </c>
      <c r="D110" s="20" t="n">
        <v>169</v>
      </c>
      <c r="E110" s="20" t="n">
        <v>237</v>
      </c>
      <c r="F110" s="20" t="n">
        <v>-237</v>
      </c>
      <c r="G110" s="20" t="n">
        <v>152</v>
      </c>
      <c r="H110" s="20" t="n">
        <v>-149</v>
      </c>
      <c r="I110" s="20" t="n">
        <v>0</v>
      </c>
      <c r="J110" s="20" t="n">
        <v>326</v>
      </c>
      <c r="K110" s="20" t="n">
        <v>1113</v>
      </c>
      <c r="L110" s="20" t="n">
        <v>830</v>
      </c>
      <c r="M110" s="20" t="n">
        <v>400</v>
      </c>
      <c r="N110" s="20" t="n">
        <v>-400</v>
      </c>
      <c r="T110" s="20" t="n">
        <v>-41</v>
      </c>
      <c r="U110" s="20" t="n">
        <v>478</v>
      </c>
      <c r="V110" s="20" t="n">
        <v>169</v>
      </c>
      <c r="W110" s="20" t="n">
        <v>-149</v>
      </c>
      <c r="X110" s="20" t="n">
        <v>830</v>
      </c>
    </row>
    <row r="111">
      <c r="A111" s="18" t="inlineStr">
        <is>
          <t>지분법이익</t>
        </is>
      </c>
      <c r="E111" s="20" t="n">
        <v>267</v>
      </c>
      <c r="F111" s="20" t="n">
        <v>-135</v>
      </c>
      <c r="I111" s="20" t="n">
        <v>0</v>
      </c>
      <c r="J111" s="20" t="n">
        <v>0</v>
      </c>
    </row>
    <row r="112">
      <c r="A112" s="18" t="inlineStr">
        <is>
          <t>사업 양도 이익</t>
        </is>
      </c>
      <c r="C112" s="20" t="n">
        <v>0</v>
      </c>
      <c r="D112" s="20" t="n">
        <v>0</v>
      </c>
      <c r="G112" s="20" t="n">
        <v>0</v>
      </c>
      <c r="H112" s="20" t="n">
        <v>0</v>
      </c>
      <c r="V112" s="20" t="n">
        <v>0</v>
      </c>
      <c r="W112" s="20" t="n">
        <v>0</v>
      </c>
    </row>
    <row r="113">
      <c r="A113" s="18" t="inlineStr">
        <is>
          <t>기타</t>
        </is>
      </c>
      <c r="C113" s="20" t="n">
        <v>35</v>
      </c>
      <c r="D113" s="20" t="n">
        <v>-42</v>
      </c>
      <c r="E113" s="20" t="n">
        <v>24</v>
      </c>
      <c r="F113" s="20" t="n">
        <v>320</v>
      </c>
      <c r="G113" s="20" t="n">
        <v>32</v>
      </c>
      <c r="H113" s="20" t="n">
        <v>48</v>
      </c>
      <c r="I113" s="20" t="n">
        <v>57</v>
      </c>
      <c r="J113" s="20" t="n">
        <v>137</v>
      </c>
      <c r="K113" s="20" t="n">
        <v>446</v>
      </c>
      <c r="L113" s="20" t="n">
        <v>-168</v>
      </c>
      <c r="M113" s="20" t="n">
        <v>56</v>
      </c>
      <c r="N113" s="20" t="n">
        <v>84</v>
      </c>
      <c r="T113" s="20" t="n">
        <v>-89</v>
      </c>
      <c r="U113" s="20" t="n">
        <v>-78</v>
      </c>
      <c r="V113" s="20" t="n">
        <v>-42</v>
      </c>
      <c r="W113" s="20" t="n">
        <v>48</v>
      </c>
      <c r="X113" s="20" t="n">
        <v>-168</v>
      </c>
    </row>
    <row r="114">
      <c r="A114" s="18" t="inlineStr">
        <is>
          <t>영업외수익 합계</t>
        </is>
      </c>
      <c r="C114" s="20" t="n">
        <v>-45</v>
      </c>
      <c r="D114" s="20" t="n">
        <v>212</v>
      </c>
      <c r="E114" s="20" t="n">
        <v>533</v>
      </c>
      <c r="F114" s="20" t="n">
        <v>-21</v>
      </c>
      <c r="G114" s="20" t="n">
        <v>71</v>
      </c>
      <c r="H114" s="20" t="n">
        <v>99</v>
      </c>
      <c r="I114" s="20" t="n">
        <v>96</v>
      </c>
      <c r="J114" s="20" t="n">
        <v>561</v>
      </c>
      <c r="K114" s="20" t="n">
        <v>1656</v>
      </c>
      <c r="L114" s="20" t="n">
        <v>1565</v>
      </c>
      <c r="M114" s="20" t="n">
        <v>578</v>
      </c>
      <c r="N114" s="20" t="n">
        <v>-34</v>
      </c>
      <c r="T114" s="20" t="n">
        <v>-19</v>
      </c>
      <c r="U114" s="20" t="n">
        <v>532</v>
      </c>
      <c r="V114" s="20" t="n">
        <v>212</v>
      </c>
      <c r="W114" s="20" t="n">
        <v>99</v>
      </c>
      <c r="X114" s="20" t="n">
        <v>1565</v>
      </c>
    </row>
    <row r="115">
      <c r="A115" s="43" t="inlineStr">
        <is>
          <t>YoY</t>
        </is>
      </c>
      <c r="B115" s="3" t="inlineStr">
        <is>
          <t>전년 같은 분기·전년 대비</t>
        </is>
      </c>
      <c r="G115" s="15">
        <f>IF(OR(G114="",C114=""),"",IF(G114*C114&lt;=0,"",IFERROR(G114/C114-1,"")))</f>
        <v/>
      </c>
      <c r="H115" s="15">
        <f>IF(OR(H114="",D114=""),"",IF(H114*D114&lt;=0,"",IFERROR(H114/D114-1,"")))</f>
        <v/>
      </c>
      <c r="I115" s="15">
        <f>IF(OR(I114="",E114=""),"",IF(I114*E114&lt;=0,"",IFERROR(I114/E114-1,"")))</f>
        <v/>
      </c>
      <c r="J115" s="15">
        <f>IF(OR(J114="",F114=""),"",IF(J114*F114&lt;=0,"",IFERROR(J114/F114-1,"")))</f>
        <v/>
      </c>
      <c r="K115" s="15">
        <f>IF(OR(K114="",G114=""),"",IF(K114*G114&lt;=0,"",IFERROR(K114/G114-1,"")))</f>
        <v/>
      </c>
      <c r="L115" s="15">
        <f>IF(OR(L114="",H114=""),"",IF(L114*H114&lt;=0,"",IFERROR(L114/H114-1,"")))</f>
        <v/>
      </c>
      <c r="M115" s="15">
        <f>IF(OR(M114="",I114=""),"",IF(M114*I114&lt;=0,"",IFERROR(M114/I114-1,"")))</f>
        <v/>
      </c>
      <c r="N115" s="15">
        <f>IF(OR(N114="",J114=""),"",IF(N114*J114&lt;=0,"",IFERROR(N114/J114-1,"")))</f>
        <v/>
      </c>
      <c r="T115" s="15">
        <f>IF(OR(T114="",S114=""),"",IF(T114*S114&lt;=0,"",IFERROR(T114/S114-1,"")))</f>
        <v/>
      </c>
      <c r="U115" s="15">
        <f>IF(OR(U114="",T114=""),"",IF(U114*T114&lt;=0,"",IFERROR(U114/T114-1,"")))</f>
        <v/>
      </c>
      <c r="V115" s="15">
        <f>IF(OR(V114="",U114=""),"",IF(V114*U114&lt;=0,"",IFERROR(V114/U114-1,"")))</f>
        <v/>
      </c>
      <c r="W115" s="15">
        <f>IF(OR(W114="",V114=""),"",IF(W114*V114&lt;=0,"",IFERROR(W114/V114-1,"")))</f>
        <v/>
      </c>
      <c r="X115" s="15">
        <f>IF(OR(X114="",W114=""),"",IF(X114*W114&lt;=0,"",IFERROR(X114/W114-1,"")))</f>
        <v/>
      </c>
    </row>
    <row r="116">
      <c r="A116" s="18" t="inlineStr">
        <is>
          <t>이자비용</t>
        </is>
      </c>
      <c r="C116" s="20" t="n">
        <v>14</v>
      </c>
      <c r="D116" s="20" t="n">
        <v>15</v>
      </c>
      <c r="E116" s="20" t="n">
        <v>17</v>
      </c>
      <c r="F116" s="20" t="n">
        <v>30</v>
      </c>
      <c r="G116" s="20" t="n">
        <v>29</v>
      </c>
      <c r="H116" s="20" t="n">
        <v>35</v>
      </c>
      <c r="I116" s="20" t="n">
        <v>38</v>
      </c>
      <c r="J116" s="20" t="n">
        <v>64</v>
      </c>
      <c r="K116" s="20" t="n">
        <v>57</v>
      </c>
      <c r="L116" s="20" t="n">
        <v>289</v>
      </c>
      <c r="M116" s="20" t="n">
        <v>177</v>
      </c>
      <c r="N116" s="20" t="n">
        <v>194</v>
      </c>
      <c r="T116" s="20" t="n">
        <v>15</v>
      </c>
      <c r="U116" s="20" t="n">
        <v>13</v>
      </c>
      <c r="V116" s="20" t="n">
        <v>15</v>
      </c>
      <c r="W116" s="20" t="n">
        <v>35</v>
      </c>
      <c r="X116" s="20" t="n">
        <v>289</v>
      </c>
    </row>
    <row r="117">
      <c r="A117" s="18" t="inlineStr">
        <is>
          <t>지분법손실</t>
        </is>
      </c>
      <c r="C117" s="20" t="n">
        <v>1460</v>
      </c>
      <c r="D117" s="20" t="n">
        <v>1109</v>
      </c>
      <c r="E117" s="20" t="n">
        <v>0</v>
      </c>
      <c r="F117" s="20" t="n">
        <v>0</v>
      </c>
      <c r="G117" s="20" t="n">
        <v>376</v>
      </c>
      <c r="H117" s="20" t="n">
        <v>-376</v>
      </c>
      <c r="I117" s="20" t="n">
        <v>584</v>
      </c>
      <c r="J117" s="20" t="n">
        <v>-176</v>
      </c>
      <c r="K117" s="20" t="n">
        <v>-371</v>
      </c>
      <c r="M117" s="20" t="n">
        <v>159</v>
      </c>
      <c r="N117" s="20" t="n">
        <v>80</v>
      </c>
      <c r="T117" s="20" t="n">
        <v>6462</v>
      </c>
      <c r="U117" s="20" t="n">
        <v>-3179</v>
      </c>
      <c r="V117" s="20" t="n">
        <v>1109</v>
      </c>
      <c r="W117" s="20" t="n">
        <v>-376</v>
      </c>
    </row>
    <row r="118">
      <c r="A118" s="18" t="inlineStr">
        <is>
          <t>Donation For Disaster Relief NOE</t>
        </is>
      </c>
      <c r="E118" s="20" t="n">
        <v>18</v>
      </c>
    </row>
    <row r="119">
      <c r="A119" s="18" t="inlineStr">
        <is>
          <t>Consumption Tax Difference NOE</t>
        </is>
      </c>
      <c r="E119" s="20" t="n">
        <v>18</v>
      </c>
    </row>
    <row r="120">
      <c r="A120" s="18" t="inlineStr">
        <is>
          <t>대손충당금 전입</t>
        </is>
      </c>
      <c r="C120" s="20" t="n">
        <v>0</v>
      </c>
      <c r="D120" s="20" t="n">
        <v>0</v>
      </c>
      <c r="G120" s="20" t="n">
        <v>0</v>
      </c>
      <c r="H120" s="20" t="n">
        <v>0</v>
      </c>
      <c r="V120" s="20" t="n">
        <v>0</v>
      </c>
      <c r="W120" s="20" t="n">
        <v>0</v>
      </c>
    </row>
    <row r="121">
      <c r="A121" s="18" t="inlineStr">
        <is>
          <t>외환차손</t>
        </is>
      </c>
      <c r="C121" s="20" t="n">
        <v>0</v>
      </c>
      <c r="E121" s="20" t="n">
        <v>0</v>
      </c>
      <c r="F121" s="20" t="n">
        <v>1</v>
      </c>
      <c r="I121" s="20" t="n">
        <v>29</v>
      </c>
      <c r="J121" s="20" t="n">
        <v>-29</v>
      </c>
      <c r="M121" s="20" t="n">
        <v>0</v>
      </c>
      <c r="N121" s="20" t="n">
        <v>112</v>
      </c>
      <c r="T121" s="20" t="n">
        <v>69</v>
      </c>
      <c r="U121" s="20" t="n">
        <v>-45</v>
      </c>
    </row>
    <row r="122">
      <c r="A122" s="18" t="inlineStr">
        <is>
          <t>기타</t>
        </is>
      </c>
      <c r="C122" s="20" t="n">
        <v>-5</v>
      </c>
      <c r="D122" s="20" t="n">
        <v>101</v>
      </c>
      <c r="E122" s="20" t="n">
        <v>40</v>
      </c>
      <c r="F122" s="20" t="n">
        <v>155</v>
      </c>
      <c r="G122" s="20" t="n">
        <v>229</v>
      </c>
      <c r="H122" s="20" t="n">
        <v>104</v>
      </c>
      <c r="I122" s="20" t="n">
        <v>98</v>
      </c>
      <c r="J122" s="20" t="n">
        <v>48</v>
      </c>
      <c r="K122" s="20" t="n">
        <v>-31</v>
      </c>
      <c r="L122" s="20" t="n">
        <v>289</v>
      </c>
      <c r="M122" s="20" t="n">
        <v>17</v>
      </c>
      <c r="N122" s="20" t="n">
        <v>317</v>
      </c>
      <c r="T122" s="20" t="n">
        <v>57</v>
      </c>
      <c r="U122" s="20" t="n">
        <v>122</v>
      </c>
      <c r="V122" s="20" t="n">
        <v>101</v>
      </c>
      <c r="W122" s="20" t="n">
        <v>104</v>
      </c>
      <c r="X122" s="20" t="n">
        <v>289</v>
      </c>
    </row>
    <row r="123">
      <c r="A123" s="18" t="inlineStr">
        <is>
          <t>영업외비용 합계</t>
        </is>
      </c>
      <c r="C123" s="20" t="n">
        <v>2203</v>
      </c>
      <c r="D123" s="20" t="n">
        <v>1421</v>
      </c>
      <c r="E123" s="20" t="n">
        <v>58</v>
      </c>
      <c r="F123" s="20" t="n">
        <v>186</v>
      </c>
      <c r="G123" s="20" t="n">
        <v>634</v>
      </c>
      <c r="H123" s="20" t="n">
        <v>-108</v>
      </c>
      <c r="I123" s="20" t="n">
        <v>750</v>
      </c>
      <c r="J123" s="20" t="n">
        <v>-94</v>
      </c>
      <c r="K123" s="20" t="n">
        <v>-265</v>
      </c>
      <c r="L123" s="20" t="n">
        <v>1042</v>
      </c>
      <c r="M123" s="20" t="n">
        <v>353</v>
      </c>
      <c r="N123" s="20" t="n">
        <v>704</v>
      </c>
      <c r="T123" s="20" t="n">
        <v>6604</v>
      </c>
      <c r="U123" s="20" t="n">
        <v>-2159</v>
      </c>
      <c r="V123" s="20" t="n">
        <v>1421</v>
      </c>
      <c r="W123" s="20" t="n">
        <v>-108</v>
      </c>
      <c r="X123" s="20" t="n">
        <v>1042</v>
      </c>
    </row>
    <row r="124">
      <c r="A124" s="43" t="inlineStr">
        <is>
          <t>YoY</t>
        </is>
      </c>
      <c r="B124" s="3" t="inlineStr">
        <is>
          <t>전년 같은 분기·전년 대비</t>
        </is>
      </c>
      <c r="G124" s="15">
        <f>IF(OR(G123="",C123=""),"",IF(G123*C123&lt;=0,"",IFERROR(G123/C123-1,"")))</f>
        <v/>
      </c>
      <c r="H124" s="15">
        <f>IF(OR(H123="",D123=""),"",IF(H123*D123&lt;=0,"",IFERROR(H123/D123-1,"")))</f>
        <v/>
      </c>
      <c r="I124" s="15">
        <f>IF(OR(I123="",E123=""),"",IF(I123*E123&lt;=0,"",IFERROR(I123/E123-1,"")))</f>
        <v/>
      </c>
      <c r="J124" s="15">
        <f>IF(OR(J123="",F123=""),"",IF(J123*F123&lt;=0,"",IFERROR(J123/F123-1,"")))</f>
        <v/>
      </c>
      <c r="K124" s="15">
        <f>IF(OR(K123="",G123=""),"",IF(K123*G123&lt;=0,"",IFERROR(K123/G123-1,"")))</f>
        <v/>
      </c>
      <c r="L124" s="15">
        <f>IF(OR(L123="",H123=""),"",IF(L123*H123&lt;=0,"",IFERROR(L123/H123-1,"")))</f>
        <v/>
      </c>
      <c r="M124" s="15">
        <f>IF(OR(M123="",I123=""),"",IF(M123*I123&lt;=0,"",IFERROR(M123/I123-1,"")))</f>
        <v/>
      </c>
      <c r="N124" s="15">
        <f>IF(OR(N123="",J123=""),"",IF(N123*J123&lt;=0,"",IFERROR(N123/J123-1,"")))</f>
        <v/>
      </c>
      <c r="T124" s="15">
        <f>IF(OR(T123="",S123=""),"",IF(T123*S123&lt;=0,"",IFERROR(T123/S123-1,"")))</f>
        <v/>
      </c>
      <c r="U124" s="15">
        <f>IF(OR(U123="",T123=""),"",IF(U123*T123&lt;=0,"",IFERROR(U123/T123-1,"")))</f>
        <v/>
      </c>
      <c r="V124" s="15">
        <f>IF(OR(V123="",U123=""),"",IF(V123*U123&lt;=0,"",IFERROR(V123/U123-1,"")))</f>
        <v/>
      </c>
      <c r="W124" s="15">
        <f>IF(OR(W123="",V123=""),"",IF(W123*V123&lt;=0,"",IFERROR(W123/V123-1,"")))</f>
        <v/>
      </c>
      <c r="X124" s="15">
        <f>IF(OR(X123="",W123=""),"",IF(X123*W123&lt;=0,"",IFERROR(X123/W123-1,"")))</f>
        <v/>
      </c>
    </row>
    <row r="125">
      <c r="A125" s="9" t="inlineStr">
        <is>
          <t>경상이익</t>
        </is>
      </c>
      <c r="C125" s="12" t="n">
        <v>4416</v>
      </c>
      <c r="D125" s="12" t="n">
        <v>7493</v>
      </c>
      <c r="E125" s="12" t="n">
        <v>3263</v>
      </c>
      <c r="F125" s="12" t="n">
        <v>5753</v>
      </c>
      <c r="G125" s="12" t="n">
        <v>7719</v>
      </c>
      <c r="H125" s="12" t="n">
        <v>9776</v>
      </c>
      <c r="I125" s="12" t="n">
        <v>2023</v>
      </c>
      <c r="J125" s="12" t="n">
        <v>5192</v>
      </c>
      <c r="K125" s="12" t="n">
        <v>7875</v>
      </c>
      <c r="L125" s="12" t="n">
        <v>9610</v>
      </c>
      <c r="M125" s="12" t="n">
        <v>5652</v>
      </c>
      <c r="N125" s="12" t="n">
        <v>6418</v>
      </c>
      <c r="T125" s="12" t="n">
        <v>6822</v>
      </c>
      <c r="U125" s="12" t="n">
        <v>2796</v>
      </c>
      <c r="V125" s="12" t="n">
        <v>7493</v>
      </c>
      <c r="W125" s="12" t="n">
        <v>9776</v>
      </c>
      <c r="X125" s="12" t="n">
        <v>9610</v>
      </c>
    </row>
    <row r="126">
      <c r="A126" s="43" t="inlineStr">
        <is>
          <t>YoY</t>
        </is>
      </c>
      <c r="B126" s="3" t="inlineStr">
        <is>
          <t>전년 같은 분기·전년 대비</t>
        </is>
      </c>
      <c r="G126" s="15">
        <f>IF(OR(G125="",C125=""),"",IF(C125&lt;=0,"",IFERROR(G125/C125-1,"")))</f>
        <v/>
      </c>
      <c r="H126" s="15">
        <f>IF(OR(H125="",D125=""),"",IF(D125&lt;=0,"",IFERROR(H125/D125-1,"")))</f>
        <v/>
      </c>
      <c r="I126" s="15">
        <f>IF(OR(I125="",E125=""),"",IF(E125&lt;=0,"",IFERROR(I125/E125-1,"")))</f>
        <v/>
      </c>
      <c r="J126" s="15">
        <f>IF(OR(J125="",F125=""),"",IF(F125&lt;=0,"",IFERROR(J125/F125-1,"")))</f>
        <v/>
      </c>
      <c r="K126" s="15">
        <f>IF(OR(K125="",G125=""),"",IF(G125&lt;=0,"",IFERROR(K125/G125-1,"")))</f>
        <v/>
      </c>
      <c r="L126" s="15">
        <f>IF(OR(L125="",H125=""),"",IF(H125&lt;=0,"",IFERROR(L125/H125-1,"")))</f>
        <v/>
      </c>
      <c r="M126" s="15">
        <f>IF(OR(M125="",I125=""),"",IF(I125&lt;=0,"",IFERROR(M125/I125-1,"")))</f>
        <v/>
      </c>
      <c r="N126" s="15">
        <f>IF(OR(N125="",J125=""),"",IF(J125&lt;=0,"",IFERROR(N125/J125-1,"")))</f>
        <v/>
      </c>
      <c r="T126" s="15">
        <f>IF(OR(T125="",S125=""),"",IF(S125&lt;=0,"",IFERROR(T125/S125-1,"")))</f>
        <v/>
      </c>
      <c r="U126" s="15">
        <f>IF(OR(U125="",T125=""),"",IF(T125&lt;=0,"",IFERROR(U125/T125-1,"")))</f>
        <v/>
      </c>
      <c r="V126" s="15">
        <f>IF(OR(V125="",U125=""),"",IF(U125&lt;=0,"",IFERROR(V125/U125-1,"")))</f>
        <v/>
      </c>
      <c r="W126" s="15">
        <f>IF(OR(W125="",V125=""),"",IF(V125&lt;=0,"",IFERROR(W125/V125-1,"")))</f>
        <v/>
      </c>
      <c r="X126" s="15">
        <f>IF(OR(X125="",W125=""),"",IF(W125&lt;=0,"",IFERROR(X125/W125-1,"")))</f>
        <v/>
      </c>
    </row>
    <row r="127">
      <c r="A127" s="18" t="inlineStr">
        <is>
          <t>고정자산 매각이익</t>
        </is>
      </c>
      <c r="C127" s="20" t="n">
        <v>2</v>
      </c>
      <c r="D127" s="20" t="n">
        <v>3</v>
      </c>
      <c r="E127" s="20" t="n">
        <v>0</v>
      </c>
      <c r="F127" s="20" t="n">
        <v>6</v>
      </c>
      <c r="G127" s="20" t="n">
        <v>4</v>
      </c>
      <c r="H127" s="20" t="n">
        <v>7</v>
      </c>
      <c r="I127" s="20" t="n">
        <v>2</v>
      </c>
      <c r="J127" s="20" t="n">
        <v>4</v>
      </c>
      <c r="K127" s="20" t="n">
        <v>2</v>
      </c>
      <c r="L127" s="20" t="n">
        <v>0</v>
      </c>
      <c r="M127" s="20" t="n">
        <v>0</v>
      </c>
      <c r="N127" s="20" t="n">
        <v>0</v>
      </c>
      <c r="T127" s="20" t="n">
        <v>0</v>
      </c>
      <c r="U127" s="20" t="n">
        <v>11</v>
      </c>
      <c r="V127" s="20" t="n">
        <v>3</v>
      </c>
      <c r="W127" s="20" t="n">
        <v>7</v>
      </c>
      <c r="X127" s="20" t="n">
        <v>0</v>
      </c>
    </row>
    <row r="128">
      <c r="A128" s="18" t="inlineStr">
        <is>
          <t>투자유가증권 상환이익</t>
        </is>
      </c>
      <c r="C128" s="20" t="n">
        <v>0</v>
      </c>
      <c r="D128" s="20" t="n">
        <v>0</v>
      </c>
      <c r="G128" s="20" t="n">
        <v>0</v>
      </c>
      <c r="H128" s="20" t="n">
        <v>58</v>
      </c>
      <c r="V128" s="20" t="n">
        <v>0</v>
      </c>
      <c r="W128" s="20" t="n">
        <v>58</v>
      </c>
    </row>
    <row r="129">
      <c r="A129" s="18" t="inlineStr">
        <is>
          <t>관계회사 주식 매각이익</t>
        </is>
      </c>
      <c r="E129" s="20" t="n">
        <v>0</v>
      </c>
      <c r="F129" s="20" t="n">
        <v>0</v>
      </c>
      <c r="G129" s="20" t="n">
        <v>0</v>
      </c>
      <c r="H129" s="20" t="n">
        <v>0</v>
      </c>
      <c r="I129" s="20" t="n">
        <v>273</v>
      </c>
      <c r="J129" s="20" t="n">
        <v>0</v>
      </c>
      <c r="K129" s="20" t="n">
        <v>0</v>
      </c>
      <c r="L129" s="20" t="n">
        <v>0</v>
      </c>
      <c r="W129" s="20" t="n">
        <v>0</v>
      </c>
      <c r="X129" s="20" t="n">
        <v>0</v>
      </c>
    </row>
    <row r="130">
      <c r="A130" s="18" t="inlineStr">
        <is>
          <t>신주예약권 환입이익</t>
        </is>
      </c>
      <c r="D130" s="20" t="n">
        <v>0</v>
      </c>
      <c r="I130" s="20" t="n">
        <v>0</v>
      </c>
      <c r="M130" s="20" t="n">
        <v>2</v>
      </c>
      <c r="U130" s="20" t="n">
        <v>6</v>
      </c>
      <c r="V130" s="20" t="n">
        <v>0</v>
      </c>
    </row>
    <row r="131">
      <c r="A131" s="18" t="inlineStr">
        <is>
          <t>대손충당금 환입</t>
        </is>
      </c>
      <c r="C131" s="20" t="n">
        <v>0</v>
      </c>
      <c r="D131" s="20" t="n">
        <v>0</v>
      </c>
      <c r="G131" s="20" t="n">
        <v>0</v>
      </c>
      <c r="H131" s="20" t="n">
        <v>0</v>
      </c>
      <c r="K131" s="20" t="n">
        <v>0</v>
      </c>
      <c r="L131" s="20" t="n">
        <v>0</v>
      </c>
      <c r="V131" s="20" t="n">
        <v>0</v>
      </c>
      <c r="W131" s="20" t="n">
        <v>0</v>
      </c>
      <c r="X131" s="20" t="n">
        <v>0</v>
      </c>
    </row>
    <row r="132">
      <c r="A132" s="18" t="inlineStr">
        <is>
          <t>단계적 취득 차익</t>
        </is>
      </c>
      <c r="C132" s="20" t="n">
        <v>0</v>
      </c>
      <c r="D132" s="20" t="n">
        <v>0</v>
      </c>
      <c r="E132" s="20" t="n">
        <v>89</v>
      </c>
      <c r="F132" s="20" t="n">
        <v>0</v>
      </c>
      <c r="G132" s="20" t="n">
        <v>0</v>
      </c>
      <c r="H132" s="20" t="n">
        <v>0</v>
      </c>
      <c r="V132" s="20" t="n">
        <v>0</v>
      </c>
      <c r="W132" s="20" t="n">
        <v>0</v>
      </c>
    </row>
    <row r="133">
      <c r="A133" s="18" t="inlineStr">
        <is>
          <t>기타</t>
        </is>
      </c>
      <c r="C133" s="20" t="n">
        <v>6</v>
      </c>
      <c r="D133" s="20" t="n">
        <v>-6</v>
      </c>
      <c r="E133" s="20" t="n">
        <v>89</v>
      </c>
      <c r="F133" s="20" t="n">
        <v>98</v>
      </c>
      <c r="G133" s="20" t="n">
        <v>75</v>
      </c>
      <c r="H133" s="20" t="n">
        <v>1</v>
      </c>
      <c r="I133" s="20" t="n">
        <v>273</v>
      </c>
      <c r="J133" s="20" t="n">
        <v>6</v>
      </c>
      <c r="K133" s="20" t="n">
        <v>-273</v>
      </c>
      <c r="L133" s="20" t="n">
        <v>40</v>
      </c>
      <c r="M133" s="20" t="n">
        <v>0</v>
      </c>
      <c r="N133" s="20" t="n">
        <v>30</v>
      </c>
      <c r="U133" s="20" t="n">
        <v>0</v>
      </c>
      <c r="V133" s="20" t="n">
        <v>-6</v>
      </c>
      <c r="W133" s="20" t="n">
        <v>1</v>
      </c>
      <c r="X133" s="20" t="n">
        <v>40</v>
      </c>
    </row>
    <row r="134">
      <c r="A134" s="18" t="inlineStr">
        <is>
          <t>특별이익 합계</t>
        </is>
      </c>
      <c r="C134" s="20" t="n">
        <v>8</v>
      </c>
      <c r="D134" s="20" t="n">
        <v>33</v>
      </c>
      <c r="E134" s="20" t="n">
        <v>89</v>
      </c>
      <c r="F134" s="20" t="n">
        <v>315</v>
      </c>
      <c r="G134" s="20" t="n">
        <v>79</v>
      </c>
      <c r="H134" s="20" t="n">
        <v>8</v>
      </c>
      <c r="I134" s="20" t="n">
        <v>277</v>
      </c>
      <c r="J134" s="20" t="n">
        <v>218</v>
      </c>
      <c r="K134" s="20" t="n">
        <v>3</v>
      </c>
      <c r="L134" s="20" t="n">
        <v>41</v>
      </c>
      <c r="M134" s="20" t="n">
        <v>2</v>
      </c>
      <c r="N134" s="20" t="n">
        <v>238</v>
      </c>
      <c r="T134" s="20" t="n">
        <v>0</v>
      </c>
      <c r="U134" s="20" t="n">
        <v>48</v>
      </c>
      <c r="V134" s="20" t="n">
        <v>33</v>
      </c>
      <c r="W134" s="20" t="n">
        <v>8</v>
      </c>
      <c r="X134" s="20" t="n">
        <v>41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IF(OR(G134="",C134=""),"",IF(G134*C134&lt;=0,"",IFERROR(G134/C134-1,"")))</f>
        <v/>
      </c>
      <c r="H135" s="15">
        <f>IF(OR(H134="",D134=""),"",IF(H134*D134&lt;=0,"",IFERROR(H134/D134-1,"")))</f>
        <v/>
      </c>
      <c r="I135" s="15">
        <f>IF(OR(I134="",E134=""),"",IF(I134*E134&lt;=0,"",IFERROR(I134/E134-1,"")))</f>
        <v/>
      </c>
      <c r="J135" s="15">
        <f>IF(OR(J134="",F134=""),"",IF(J134*F134&lt;=0,"",IFERROR(J134/F134-1,"")))</f>
        <v/>
      </c>
      <c r="K135" s="15">
        <f>IF(OR(K134="",G134=""),"",IF(K134*G134&lt;=0,"",IFERROR(K134/G134-1,"")))</f>
        <v/>
      </c>
      <c r="L135" s="15">
        <f>IF(OR(L134="",H134=""),"",IF(L134*H134&lt;=0,"",IFERROR(L134/H134-1,"")))</f>
        <v/>
      </c>
      <c r="M135" s="15">
        <f>IF(OR(M134="",I134=""),"",IF(M134*I134&lt;=0,"",IFERROR(M134/I134-1,"")))</f>
        <v/>
      </c>
      <c r="N135" s="15">
        <f>IF(OR(N134="",J134=""),"",IF(N134*J134&lt;=0,"",IFERROR(N134/J134-1,"")))</f>
        <v/>
      </c>
      <c r="T135" s="15">
        <f>IF(OR(T134="",S134=""),"",IF(T134*S134&lt;=0,"",IFERROR(T134/S134-1,"")))</f>
        <v/>
      </c>
      <c r="U135" s="15">
        <f>IF(OR(U134="",T134=""),"",IF(U134*T134&lt;=0,"",IFERROR(U134/T134-1,"")))</f>
        <v/>
      </c>
      <c r="V135" s="15">
        <f>IF(OR(V134="",U134=""),"",IF(V134*U134&lt;=0,"",IFERROR(V134/U134-1,"")))</f>
        <v/>
      </c>
      <c r="W135" s="15">
        <f>IF(OR(W134="",V134=""),"",IF(W134*V134&lt;=0,"",IFERROR(W134/V134-1,"")))</f>
        <v/>
      </c>
      <c r="X135" s="15">
        <f>IF(OR(X134="",W134=""),"",IF(X134*W134&lt;=0,"",IFERROR(X134/W134-1,"")))</f>
        <v/>
      </c>
    </row>
    <row r="136">
      <c r="A136" s="18" t="inlineStr">
        <is>
          <t>해약 위약금</t>
        </is>
      </c>
      <c r="T136" s="20" t="n">
        <v>0</v>
      </c>
      <c r="U136" s="20" t="n">
        <v>0</v>
      </c>
    </row>
    <row r="137">
      <c r="A137" s="18" t="inlineStr">
        <is>
          <t>사업 철수 손실</t>
        </is>
      </c>
      <c r="C137" s="20" t="n">
        <v>0</v>
      </c>
      <c r="T137" s="20" t="n">
        <v>4408</v>
      </c>
      <c r="U137" s="20" t="n">
        <v>-4468</v>
      </c>
    </row>
    <row r="138">
      <c r="A138" s="18" t="inlineStr">
        <is>
          <t>고정자산 제각·매각손실</t>
        </is>
      </c>
      <c r="C138" s="20" t="n">
        <v>2</v>
      </c>
      <c r="D138" s="20" t="n">
        <v>4</v>
      </c>
      <c r="E138" s="20" t="n">
        <v>1</v>
      </c>
      <c r="F138" s="20" t="n">
        <v>0</v>
      </c>
      <c r="G138" s="20" t="n">
        <v>8</v>
      </c>
      <c r="H138" s="20" t="n">
        <v>5</v>
      </c>
      <c r="I138" s="20" t="n">
        <v>26</v>
      </c>
      <c r="J138" s="20" t="n">
        <v>7</v>
      </c>
      <c r="K138" s="20" t="n">
        <v>14</v>
      </c>
      <c r="L138" s="20" t="n">
        <v>33</v>
      </c>
      <c r="M138" s="20" t="n">
        <v>2</v>
      </c>
      <c r="N138" s="20" t="n">
        <v>2</v>
      </c>
      <c r="T138" s="20" t="n">
        <v>38</v>
      </c>
      <c r="U138" s="20" t="n">
        <v>5</v>
      </c>
      <c r="V138" s="20" t="n">
        <v>4</v>
      </c>
      <c r="W138" s="20" t="n">
        <v>5</v>
      </c>
      <c r="X138" s="20" t="n">
        <v>33</v>
      </c>
    </row>
    <row r="139">
      <c r="A139" s="18" t="inlineStr">
        <is>
          <t>손상차손</t>
        </is>
      </c>
      <c r="D139" s="20" t="n">
        <v>269</v>
      </c>
      <c r="H139" s="20" t="n">
        <v>0</v>
      </c>
      <c r="I139" s="20" t="n">
        <v>0</v>
      </c>
      <c r="J139" s="20" t="n">
        <v>0</v>
      </c>
      <c r="K139" s="20" t="n">
        <v>0</v>
      </c>
      <c r="L139" s="20" t="n">
        <v>104</v>
      </c>
      <c r="M139" s="20" t="n">
        <v>5</v>
      </c>
      <c r="N139" s="20" t="n">
        <v>0</v>
      </c>
      <c r="U139" s="20" t="n">
        <v>269</v>
      </c>
      <c r="V139" s="20" t="n">
        <v>269</v>
      </c>
      <c r="W139" s="20" t="n">
        <v>0</v>
      </c>
      <c r="X139" s="20" t="n">
        <v>104</v>
      </c>
    </row>
    <row r="140">
      <c r="A140" s="18" t="inlineStr">
        <is>
          <t>투자유가증권 평가손실</t>
        </is>
      </c>
      <c r="C140" s="20" t="n">
        <v>0</v>
      </c>
      <c r="D140" s="20" t="n">
        <v>2677</v>
      </c>
      <c r="G140" s="20" t="n">
        <v>0</v>
      </c>
      <c r="H140" s="20" t="n">
        <v>0</v>
      </c>
      <c r="V140" s="20" t="n">
        <v>2677</v>
      </c>
      <c r="W140" s="20" t="n">
        <v>0</v>
      </c>
    </row>
    <row r="141">
      <c r="A141" s="18" t="inlineStr">
        <is>
          <t>대손충당금 전입</t>
        </is>
      </c>
      <c r="C141" s="20" t="n">
        <v>0</v>
      </c>
      <c r="D141" s="20" t="n">
        <v>0</v>
      </c>
      <c r="E141" s="20" t="n">
        <v>0</v>
      </c>
      <c r="F141" s="20" t="n">
        <v>0</v>
      </c>
      <c r="G141" s="20" t="n">
        <v>0</v>
      </c>
      <c r="H141" s="20" t="n">
        <v>0</v>
      </c>
      <c r="T141" s="20" t="n">
        <v>1129</v>
      </c>
      <c r="U141" s="20" t="n">
        <v>-998</v>
      </c>
      <c r="V141" s="20" t="n">
        <v>0</v>
      </c>
      <c r="W141" s="20" t="n">
        <v>0</v>
      </c>
    </row>
    <row r="142">
      <c r="A142" s="18" t="inlineStr">
        <is>
          <t>관계회사 주식 매각손실</t>
        </is>
      </c>
      <c r="C142" s="20" t="n">
        <v>0</v>
      </c>
      <c r="T142" s="20" t="n">
        <v>875</v>
      </c>
      <c r="U142" s="20" t="n">
        <v>-875</v>
      </c>
    </row>
    <row r="143">
      <c r="A143" s="18" t="inlineStr">
        <is>
          <t>영업권 상각</t>
        </is>
      </c>
      <c r="D143" s="20" t="n">
        <v>0</v>
      </c>
      <c r="H143" s="20" t="n">
        <v>37</v>
      </c>
      <c r="V143" s="20" t="n">
        <v>0</v>
      </c>
      <c r="W143" s="20" t="n">
        <v>37</v>
      </c>
    </row>
    <row r="144">
      <c r="A144" s="18" t="inlineStr">
        <is>
          <t>지분변동 손실</t>
        </is>
      </c>
      <c r="C144" s="20" t="n">
        <v>0</v>
      </c>
      <c r="D144" s="20" t="n">
        <v>0</v>
      </c>
      <c r="G144" s="20" t="n">
        <v>0</v>
      </c>
      <c r="H144" s="20" t="n">
        <v>0</v>
      </c>
      <c r="K144" s="20" t="n">
        <v>51</v>
      </c>
      <c r="L144" s="20" t="n">
        <v>0</v>
      </c>
      <c r="V144" s="20" t="n">
        <v>0</v>
      </c>
      <c r="W144" s="20" t="n">
        <v>0</v>
      </c>
      <c r="X144" s="20" t="n">
        <v>0</v>
      </c>
    </row>
    <row r="145">
      <c r="A145" s="18" t="inlineStr">
        <is>
          <t>기타</t>
        </is>
      </c>
      <c r="C145" s="20" t="n">
        <v>0</v>
      </c>
      <c r="D145" s="20" t="n">
        <v>1</v>
      </c>
      <c r="E145" s="20" t="n">
        <v>0</v>
      </c>
      <c r="F145" s="20" t="n">
        <v>0</v>
      </c>
      <c r="G145" s="20" t="n">
        <v>445</v>
      </c>
      <c r="H145" s="20" t="n">
        <v>36</v>
      </c>
      <c r="I145" s="20" t="n">
        <v>0</v>
      </c>
      <c r="J145" s="20" t="n">
        <v>0</v>
      </c>
      <c r="K145" s="20" t="n">
        <v>10</v>
      </c>
      <c r="L145" s="20" t="n">
        <v>0</v>
      </c>
      <c r="V145" s="20" t="n">
        <v>1</v>
      </c>
      <c r="W145" s="20" t="n">
        <v>36</v>
      </c>
      <c r="X145" s="20" t="n">
        <v>0</v>
      </c>
    </row>
    <row r="146">
      <c r="A146" s="18" t="inlineStr">
        <is>
          <t>특별손실 합계</t>
        </is>
      </c>
      <c r="C146" s="20" t="n">
        <v>2</v>
      </c>
      <c r="D146" s="20" t="n">
        <v>2952</v>
      </c>
      <c r="E146" s="20" t="n">
        <v>1</v>
      </c>
      <c r="F146" s="20" t="n">
        <v>154</v>
      </c>
      <c r="G146" s="20" t="n">
        <v>372</v>
      </c>
      <c r="H146" s="20" t="n">
        <v>41</v>
      </c>
      <c r="I146" s="20" t="n">
        <v>26</v>
      </c>
      <c r="J146" s="20" t="n">
        <v>31</v>
      </c>
      <c r="K146" s="20" t="n">
        <v>75</v>
      </c>
      <c r="L146" s="20" t="n">
        <v>222</v>
      </c>
      <c r="M146" s="20" t="n">
        <v>7</v>
      </c>
      <c r="N146" s="20" t="n">
        <v>104</v>
      </c>
      <c r="T146" s="20" t="n">
        <v>6771</v>
      </c>
      <c r="U146" s="20" t="n">
        <v>-3391</v>
      </c>
      <c r="V146" s="20" t="n">
        <v>2952</v>
      </c>
      <c r="W146" s="20" t="n">
        <v>41</v>
      </c>
      <c r="X146" s="20" t="n">
        <v>222</v>
      </c>
    </row>
    <row r="147">
      <c r="A147" s="43" t="inlineStr">
        <is>
          <t>YoY</t>
        </is>
      </c>
      <c r="B147" s="3" t="inlineStr">
        <is>
          <t>전년 같은 분기·전년 대비</t>
        </is>
      </c>
      <c r="G147" s="15">
        <f>IF(OR(G146="",C146=""),"",IF(G146*C146&lt;=0,"",IFERROR(G146/C146-1,"")))</f>
        <v/>
      </c>
      <c r="H147" s="15">
        <f>IF(OR(H146="",D146=""),"",IF(H146*D146&lt;=0,"",IFERROR(H146/D146-1,"")))</f>
        <v/>
      </c>
      <c r="I147" s="15">
        <f>IF(OR(I146="",E146=""),"",IF(I146*E146&lt;=0,"",IFERROR(I146/E146-1,"")))</f>
        <v/>
      </c>
      <c r="J147" s="15">
        <f>IF(OR(J146="",F146=""),"",IF(J146*F146&lt;=0,"",IFERROR(J146/F146-1,"")))</f>
        <v/>
      </c>
      <c r="K147" s="15">
        <f>IF(OR(K146="",G146=""),"",IF(K146*G146&lt;=0,"",IFERROR(K146/G146-1,"")))</f>
        <v/>
      </c>
      <c r="L147" s="15">
        <f>IF(OR(L146="",H146=""),"",IF(L146*H146&lt;=0,"",IFERROR(L146/H146-1,"")))</f>
        <v/>
      </c>
      <c r="M147" s="15">
        <f>IF(OR(M146="",I146=""),"",IF(M146*I146&lt;=0,"",IFERROR(M146/I146-1,"")))</f>
        <v/>
      </c>
      <c r="N147" s="15">
        <f>IF(OR(N146="",J146=""),"",IF(N146*J146&lt;=0,"",IFERROR(N146/J146-1,"")))</f>
        <v/>
      </c>
      <c r="T147" s="15">
        <f>IF(OR(T146="",S146=""),"",IF(T146*S146&lt;=0,"",IFERROR(T146/S146-1,"")))</f>
        <v/>
      </c>
      <c r="U147" s="15">
        <f>IF(OR(U146="",T146=""),"",IF(U146*T146&lt;=0,"",IFERROR(U146/T146-1,"")))</f>
        <v/>
      </c>
      <c r="V147" s="15">
        <f>IF(OR(V146="",U146=""),"",IF(V146*U146&lt;=0,"",IFERROR(V146/U146-1,"")))</f>
        <v/>
      </c>
      <c r="W147" s="15">
        <f>IF(OR(W146="",V146=""),"",IF(W146*V146&lt;=0,"",IFERROR(W146/V146-1,"")))</f>
        <v/>
      </c>
      <c r="X147" s="15">
        <f>IF(OR(X146="",W146=""),"",IF(X146*W146&lt;=0,"",IFERROR(X146/W146-1,"")))</f>
        <v/>
      </c>
    </row>
    <row r="148">
      <c r="A148" s="9" t="inlineStr">
        <is>
          <t>법인세차감전 순이익</t>
        </is>
      </c>
      <c r="C148" s="12" t="n">
        <v>4423</v>
      </c>
      <c r="D148" s="12" t="n">
        <v>4574</v>
      </c>
      <c r="E148" s="12" t="n">
        <v>3352</v>
      </c>
      <c r="F148" s="12" t="n">
        <v>5912</v>
      </c>
      <c r="G148" s="12" t="n">
        <v>7427</v>
      </c>
      <c r="H148" s="12" t="n">
        <v>9743</v>
      </c>
      <c r="I148" s="12" t="n">
        <v>2274</v>
      </c>
      <c r="J148" s="12" t="n">
        <v>5380</v>
      </c>
      <c r="K148" s="12" t="n">
        <v>7802</v>
      </c>
      <c r="L148" s="12" t="n">
        <v>9429</v>
      </c>
      <c r="M148" s="12" t="n">
        <v>5647</v>
      </c>
      <c r="N148" s="12" t="n">
        <v>6552</v>
      </c>
      <c r="T148" s="12" t="n">
        <v>51</v>
      </c>
      <c r="U148" s="12" t="n">
        <v>6235</v>
      </c>
      <c r="V148" s="12" t="n">
        <v>4574</v>
      </c>
      <c r="W148" s="12" t="n">
        <v>9743</v>
      </c>
      <c r="X148" s="12" t="n">
        <v>9429</v>
      </c>
    </row>
    <row r="149">
      <c r="A149" s="43" t="inlineStr">
        <is>
          <t>YoY</t>
        </is>
      </c>
      <c r="B149" s="3" t="inlineStr">
        <is>
          <t>전년 같은 분기·전년 대비</t>
        </is>
      </c>
      <c r="G149" s="15">
        <f>IF(OR(G148="",C148=""),"",IF(C148&lt;=0,"",IFERROR(G148/C148-1,"")))</f>
        <v/>
      </c>
      <c r="H149" s="15">
        <f>IF(OR(H148="",D148=""),"",IF(D148&lt;=0,"",IFERROR(H148/D148-1,"")))</f>
        <v/>
      </c>
      <c r="I149" s="15">
        <f>IF(OR(I148="",E148=""),"",IF(E148&lt;=0,"",IFERROR(I148/E148-1,"")))</f>
        <v/>
      </c>
      <c r="J149" s="15">
        <f>IF(OR(J148="",F148=""),"",IF(F148&lt;=0,"",IFERROR(J148/F148-1,"")))</f>
        <v/>
      </c>
      <c r="K149" s="15">
        <f>IF(OR(K148="",G148=""),"",IF(G148&lt;=0,"",IFERROR(K148/G148-1,"")))</f>
        <v/>
      </c>
      <c r="L149" s="15">
        <f>IF(OR(L148="",H148=""),"",IF(H148&lt;=0,"",IFERROR(L148/H148-1,"")))</f>
        <v/>
      </c>
      <c r="M149" s="15">
        <f>IF(OR(M148="",I148=""),"",IF(I148&lt;=0,"",IFERROR(M148/I148-1,"")))</f>
        <v/>
      </c>
      <c r="N149" s="15">
        <f>IF(OR(N148="",J148=""),"",IF(J148&lt;=0,"",IFERROR(N148/J148-1,"")))</f>
        <v/>
      </c>
      <c r="T149" s="15">
        <f>IF(OR(T148="",S148=""),"",IF(S148&lt;=0,"",IFERROR(T148/S148-1,"")))</f>
        <v/>
      </c>
      <c r="U149" s="15">
        <f>IF(OR(U148="",T148=""),"",IF(T148&lt;=0,"",IFERROR(U148/T148-1,"")))</f>
        <v/>
      </c>
      <c r="V149" s="15">
        <f>IF(OR(V148="",U148=""),"",IF(U148&lt;=0,"",IFERROR(V148/U148-1,"")))</f>
        <v/>
      </c>
      <c r="W149" s="15">
        <f>IF(OR(W148="",V148=""),"",IF(V148&lt;=0,"",IFERROR(W148/V148-1,"")))</f>
        <v/>
      </c>
      <c r="X149" s="15">
        <f>IF(OR(X148="",W148=""),"",IF(W148&lt;=0,"",IFERROR(X148/W148-1,"")))</f>
        <v/>
      </c>
    </row>
    <row r="150">
      <c r="A150" s="18" t="inlineStr">
        <is>
          <t>법인세·주민세·사업세</t>
        </is>
      </c>
      <c r="C150" s="20" t="n">
        <v>1028</v>
      </c>
      <c r="D150" s="20" t="n">
        <v>1749</v>
      </c>
      <c r="E150" s="20" t="n">
        <v>103</v>
      </c>
      <c r="F150" s="20" t="n">
        <v>3176</v>
      </c>
      <c r="G150" s="20" t="n">
        <v>2318</v>
      </c>
      <c r="H150" s="20" t="n">
        <v>3786</v>
      </c>
      <c r="I150" s="20" t="n">
        <v>252</v>
      </c>
      <c r="J150" s="20" t="n">
        <v>1841</v>
      </c>
      <c r="K150" s="20" t="n">
        <v>2024</v>
      </c>
      <c r="L150" s="20" t="n">
        <v>4432</v>
      </c>
      <c r="M150" s="20" t="n">
        <v>1895</v>
      </c>
      <c r="N150" s="20" t="n">
        <v>4267</v>
      </c>
      <c r="T150" s="20" t="n">
        <v>3302</v>
      </c>
      <c r="U150" s="20" t="n">
        <v>-1876</v>
      </c>
      <c r="V150" s="20" t="n">
        <v>1749</v>
      </c>
      <c r="W150" s="20" t="n">
        <v>3786</v>
      </c>
      <c r="X150" s="20" t="n">
        <v>4432</v>
      </c>
    </row>
    <row r="151">
      <c r="A151" s="18" t="inlineStr">
        <is>
          <t>법인세 조정액</t>
        </is>
      </c>
      <c r="C151" s="20" t="n">
        <v>974</v>
      </c>
      <c r="D151" s="20" t="n">
        <v>560</v>
      </c>
      <c r="E151" s="20" t="n">
        <v>963</v>
      </c>
      <c r="F151" s="20" t="n">
        <v>-425</v>
      </c>
      <c r="G151" s="20" t="n">
        <v>-58</v>
      </c>
      <c r="H151" s="20" t="n">
        <v>-1074</v>
      </c>
      <c r="I151" s="20" t="n">
        <v>549</v>
      </c>
      <c r="J151" s="20" t="n">
        <v>-7</v>
      </c>
      <c r="K151" s="20" t="n">
        <v>227</v>
      </c>
      <c r="L151" s="20" t="n">
        <v>-985</v>
      </c>
      <c r="M151" s="20" t="n">
        <v>-1555</v>
      </c>
      <c r="N151" s="20" t="n">
        <v>-1283</v>
      </c>
      <c r="T151" s="20" t="n">
        <v>-1805</v>
      </c>
      <c r="U151" s="20" t="n">
        <v>3955</v>
      </c>
      <c r="V151" s="20" t="n">
        <v>560</v>
      </c>
      <c r="W151" s="20" t="n">
        <v>-1074</v>
      </c>
      <c r="X151" s="20" t="n">
        <v>-985</v>
      </c>
    </row>
    <row r="152">
      <c r="A152" s="18" t="inlineStr">
        <is>
          <t>법인세 등 합계</t>
        </is>
      </c>
      <c r="C152" s="20" t="n">
        <v>2003</v>
      </c>
      <c r="D152" s="20" t="n">
        <v>2308</v>
      </c>
      <c r="E152" s="20" t="n">
        <v>1067</v>
      </c>
      <c r="F152" s="20" t="n">
        <v>2750</v>
      </c>
      <c r="G152" s="20" t="n">
        <v>2261</v>
      </c>
      <c r="H152" s="20" t="n">
        <v>2710</v>
      </c>
      <c r="I152" s="20" t="n">
        <v>802</v>
      </c>
      <c r="J152" s="20" t="n">
        <v>1833</v>
      </c>
      <c r="K152" s="20" t="n">
        <v>2252</v>
      </c>
      <c r="L152" s="20" t="n">
        <v>3445</v>
      </c>
      <c r="M152" s="20" t="n">
        <v>339</v>
      </c>
      <c r="N152" s="20" t="n">
        <v>2985</v>
      </c>
      <c r="T152" s="20" t="n">
        <v>1496</v>
      </c>
      <c r="U152" s="20" t="n">
        <v>2079</v>
      </c>
      <c r="V152" s="20" t="n">
        <v>2308</v>
      </c>
      <c r="W152" s="20" t="n">
        <v>2710</v>
      </c>
      <c r="X152" s="20" t="n">
        <v>3445</v>
      </c>
    </row>
    <row r="153">
      <c r="A153" s="43" t="inlineStr">
        <is>
          <t>YoY</t>
        </is>
      </c>
      <c r="B153" s="3" t="inlineStr">
        <is>
          <t>전년 같은 분기·전년 대비</t>
        </is>
      </c>
      <c r="G153" s="15">
        <f>IF(OR(G152="",C152=""),"",IF(G152*C152&lt;=0,"",IFERROR(G152/C152-1,"")))</f>
        <v/>
      </c>
      <c r="H153" s="15">
        <f>IF(OR(H152="",D152=""),"",IF(H152*D152&lt;=0,"",IFERROR(H152/D152-1,"")))</f>
        <v/>
      </c>
      <c r="I153" s="15">
        <f>IF(OR(I152="",E152=""),"",IF(I152*E152&lt;=0,"",IFERROR(I152/E152-1,"")))</f>
        <v/>
      </c>
      <c r="J153" s="15">
        <f>IF(OR(J152="",F152=""),"",IF(J152*F152&lt;=0,"",IFERROR(J152/F152-1,"")))</f>
        <v/>
      </c>
      <c r="K153" s="15">
        <f>IF(OR(K152="",G152=""),"",IF(K152*G152&lt;=0,"",IFERROR(K152/G152-1,"")))</f>
        <v/>
      </c>
      <c r="L153" s="15">
        <f>IF(OR(L152="",H152=""),"",IF(L152*H152&lt;=0,"",IFERROR(L152/H152-1,"")))</f>
        <v/>
      </c>
      <c r="M153" s="15">
        <f>IF(OR(M152="",I152=""),"",IF(M152*I152&lt;=0,"",IFERROR(M152/I152-1,"")))</f>
        <v/>
      </c>
      <c r="N153" s="15">
        <f>IF(OR(N152="",J152=""),"",IF(N152*J152&lt;=0,"",IFERROR(N152/J152-1,"")))</f>
        <v/>
      </c>
      <c r="T153" s="15">
        <f>IF(OR(T152="",S152=""),"",IF(T152*S152&lt;=0,"",IFERROR(T152/S152-1,"")))</f>
        <v/>
      </c>
      <c r="U153" s="15">
        <f>IF(OR(U152="",T152=""),"",IF(U152*T152&lt;=0,"",IFERROR(U152/T152-1,"")))</f>
        <v/>
      </c>
      <c r="V153" s="15">
        <f>IF(OR(V152="",U152=""),"",IF(V152*U152&lt;=0,"",IFERROR(V152/U152-1,"")))</f>
        <v/>
      </c>
      <c r="W153" s="15">
        <f>IF(OR(W152="",V152=""),"",IF(W152*V152&lt;=0,"",IFERROR(W152/V152-1,"")))</f>
        <v/>
      </c>
      <c r="X153" s="15">
        <f>IF(OR(X152="",W152=""),"",IF(X152*W152&lt;=0,"",IFERROR(X152/W152-1,"")))</f>
        <v/>
      </c>
    </row>
    <row r="154">
      <c r="A154" s="9" t="inlineStr">
        <is>
          <t>순이익</t>
        </is>
      </c>
      <c r="C154" s="12" t="n">
        <v>2419</v>
      </c>
      <c r="D154" s="12" t="n">
        <v>2266</v>
      </c>
      <c r="E154" s="12" t="n">
        <v>2284</v>
      </c>
      <c r="F154" s="12" t="n">
        <v>3163</v>
      </c>
      <c r="G154" s="12" t="n">
        <v>5166</v>
      </c>
      <c r="H154" s="12" t="n">
        <v>7032</v>
      </c>
      <c r="I154" s="12" t="n">
        <v>1472</v>
      </c>
      <c r="J154" s="12" t="n">
        <v>3546</v>
      </c>
      <c r="K154" s="12" t="n">
        <v>5551</v>
      </c>
      <c r="L154" s="12" t="n">
        <v>5983</v>
      </c>
      <c r="M154" s="12" t="n">
        <v>5308</v>
      </c>
      <c r="N154" s="12" t="n">
        <v>3567</v>
      </c>
      <c r="T154" s="12" t="n">
        <v>-1445</v>
      </c>
      <c r="U154" s="12" t="n">
        <v>4155</v>
      </c>
      <c r="V154" s="12" t="n">
        <v>2266</v>
      </c>
      <c r="W154" s="12" t="n">
        <v>7032</v>
      </c>
      <c r="X154" s="12" t="n">
        <v>5983</v>
      </c>
    </row>
    <row r="155">
      <c r="A155" s="43" t="inlineStr">
        <is>
          <t>YoY</t>
        </is>
      </c>
      <c r="B155" s="3" t="inlineStr">
        <is>
          <t>전년 같은 분기·전년 대비</t>
        </is>
      </c>
      <c r="G155" s="15">
        <f>IF(OR(G154="",C154=""),"",IF(C154&lt;=0,"",IFERROR(G154/C154-1,"")))</f>
        <v/>
      </c>
      <c r="H155" s="15">
        <f>IF(OR(H154="",D154=""),"",IF(D154&lt;=0,"",IFERROR(H154/D154-1,"")))</f>
        <v/>
      </c>
      <c r="I155" s="15">
        <f>IF(OR(I154="",E154=""),"",IF(E154&lt;=0,"",IFERROR(I154/E154-1,"")))</f>
        <v/>
      </c>
      <c r="J155" s="15">
        <f>IF(OR(J154="",F154=""),"",IF(F154&lt;=0,"",IFERROR(J154/F154-1,"")))</f>
        <v/>
      </c>
      <c r="K155" s="15">
        <f>IF(OR(K154="",G154=""),"",IF(G154&lt;=0,"",IFERROR(K154/G154-1,"")))</f>
        <v/>
      </c>
      <c r="L155" s="15">
        <f>IF(OR(L154="",H154=""),"",IF(H154&lt;=0,"",IFERROR(L154/H154-1,"")))</f>
        <v/>
      </c>
      <c r="M155" s="15">
        <f>IF(OR(M154="",I154=""),"",IF(I154&lt;=0,"",IFERROR(M154/I154-1,"")))</f>
        <v/>
      </c>
      <c r="N155" s="15">
        <f>IF(OR(N154="",J154=""),"",IF(J154&lt;=0,"",IFERROR(N154/J154-1,"")))</f>
        <v/>
      </c>
      <c r="T155" s="15">
        <f>IF(OR(T154="",S154=""),"",IF(S154&lt;=0,"",IFERROR(T154/S154-1,"")))</f>
        <v/>
      </c>
      <c r="U155" s="15">
        <f>IF(OR(U154="",T154=""),"",IF(T154&lt;=0,"",IFERROR(U154/T154-1,"")))</f>
        <v/>
      </c>
      <c r="V155" s="15">
        <f>IF(OR(V154="",U154=""),"",IF(U154&lt;=0,"",IFERROR(V154/U154-1,"")))</f>
        <v/>
      </c>
      <c r="W155" s="15">
        <f>IF(OR(W154="",V154=""),"",IF(V154&lt;=0,"",IFERROR(W154/V154-1,"")))</f>
        <v/>
      </c>
      <c r="X155" s="15">
        <f>IF(OR(X154="",W154=""),"",IF(W154&lt;=0,"",IFERROR(X154/W154-1,"")))</f>
        <v/>
      </c>
    </row>
    <row r="156">
      <c r="A156" s="9" t="inlineStr">
        <is>
          <t>비지배주주 순손익</t>
        </is>
      </c>
      <c r="C156" s="12" t="n">
        <v>2</v>
      </c>
      <c r="D156" s="12" t="n">
        <v>-147</v>
      </c>
      <c r="E156" s="12" t="n">
        <v>49</v>
      </c>
      <c r="F156" s="12" t="n">
        <v>171</v>
      </c>
      <c r="G156" s="12" t="n">
        <v>-23</v>
      </c>
      <c r="H156" s="12" t="n">
        <v>-154</v>
      </c>
      <c r="I156" s="12" t="n">
        <v>57</v>
      </c>
      <c r="J156" s="12" t="n">
        <v>59</v>
      </c>
      <c r="K156" s="12" t="n">
        <v>-110</v>
      </c>
      <c r="L156" s="12" t="n">
        <v>-724</v>
      </c>
      <c r="M156" s="12" t="n">
        <v>-516</v>
      </c>
      <c r="N156" s="12" t="n">
        <v>-487</v>
      </c>
      <c r="T156" s="12" t="n">
        <v>822</v>
      </c>
      <c r="U156" s="12" t="n">
        <v>-905</v>
      </c>
      <c r="V156" s="12" t="n">
        <v>-147</v>
      </c>
      <c r="W156" s="12" t="n">
        <v>-154</v>
      </c>
      <c r="X156" s="12" t="n">
        <v>-724</v>
      </c>
    </row>
    <row r="157">
      <c r="A157" s="9" t="inlineStr">
        <is>
          <t>지배주주 순이익</t>
        </is>
      </c>
      <c r="C157" s="12" t="n">
        <v>2417</v>
      </c>
      <c r="D157" s="12" t="n">
        <v>2415</v>
      </c>
      <c r="E157" s="12" t="n">
        <v>2235</v>
      </c>
      <c r="F157" s="12" t="n">
        <v>2992</v>
      </c>
      <c r="G157" s="12" t="n">
        <v>5189</v>
      </c>
      <c r="H157" s="12" t="n">
        <v>7185</v>
      </c>
      <c r="I157" s="12" t="n">
        <v>1414</v>
      </c>
      <c r="J157" s="12" t="n">
        <v>3488</v>
      </c>
      <c r="K157" s="12" t="n">
        <v>5660</v>
      </c>
      <c r="L157" s="12" t="n">
        <v>6708</v>
      </c>
      <c r="M157" s="12" t="n">
        <v>5825</v>
      </c>
      <c r="N157" s="12" t="n">
        <v>4053</v>
      </c>
      <c r="T157" s="12" t="n">
        <v>-2267</v>
      </c>
      <c r="U157" s="12" t="n">
        <v>5062</v>
      </c>
      <c r="V157" s="12" t="n">
        <v>2415</v>
      </c>
      <c r="W157" s="12" t="n">
        <v>7185</v>
      </c>
      <c r="X157" s="12" t="n">
        <v>6708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H158" s="15">
        <f>IF(OR(H157="",D157=""),"",IF(D157&lt;=0,"",IFERROR(H157/D157-1,"")))</f>
        <v/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K158" s="15">
        <f>IF(OR(K157="",G157=""),"",IF(G157&lt;=0,"",IFERROR(K157/G157-1,"")))</f>
        <v/>
      </c>
      <c r="L158" s="15">
        <f>IF(OR(L157="",H157=""),"",IF(H157&lt;=0,"",IFERROR(L157/H157-1,"")))</f>
        <v/>
      </c>
      <c r="M158" s="15">
        <f>IF(OR(M157="",I157=""),"",IF(I157&lt;=0,"",IFERROR(M157/I157-1,"")))</f>
        <v/>
      </c>
      <c r="N158" s="15">
        <f>IF(OR(N157="",J157=""),"",IF(J157&lt;=0,"",IFERROR(N157/J157-1,"")))</f>
        <v/>
      </c>
      <c r="T158" s="15">
        <f>IF(OR(T157="",S157=""),"",IF(S157&lt;=0,"",IFERROR(T157/S157-1,"")))</f>
        <v/>
      </c>
      <c r="U158" s="15">
        <f>IF(OR(U157="",T157=""),"",IF(T157&lt;=0,"",IFERROR(U157/T157-1,"")))</f>
        <v/>
      </c>
      <c r="V158" s="15">
        <f>IF(OR(V157="",U157=""),"",IF(U157&lt;=0,"",IFERROR(V157/U157-1,"")))</f>
        <v/>
      </c>
      <c r="W158" s="15">
        <f>IF(OR(W157="",V157=""),"",IF(V157&lt;=0,"",IFERROR(W157/V157-1,"")))</f>
        <v/>
      </c>
      <c r="X158" s="15">
        <f>IF(OR(X157="",W157=""),"",IF(W157&lt;=0,"",IFERROR(X157/W157-1,"")))</f>
        <v/>
      </c>
    </row>
    <row r="160">
      <c r="A160" s="16" t="inlineStr">
        <is>
          <t>포괄손익 · 전 항목</t>
        </is>
      </c>
      <c r="B160" s="42" t="inlineStr">
        <is>
          <t>분기 = 3개월 단독</t>
        </is>
      </c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</row>
    <row r="161">
      <c r="A161" s="5" t="inlineStr">
        <is>
          <t>항목</t>
        </is>
      </c>
      <c r="B161" s="5" t="inlineStr">
        <is>
          <t>참고</t>
        </is>
      </c>
      <c r="C161" s="5" t="inlineStr">
        <is>
          <t>2024.3Q</t>
        </is>
      </c>
      <c r="D161" s="5" t="inlineStr">
        <is>
          <t>2024.4Q</t>
        </is>
      </c>
      <c r="E161" s="5" t="inlineStr">
        <is>
          <t>2025.1Q</t>
        </is>
      </c>
      <c r="F161" s="5" t="inlineStr">
        <is>
          <t>2025.2Q</t>
        </is>
      </c>
      <c r="G161" s="5" t="inlineStr">
        <is>
          <t>2025.3Q</t>
        </is>
      </c>
      <c r="H161" s="5" t="inlineStr">
        <is>
          <t>2025.4Q</t>
        </is>
      </c>
      <c r="I161" s="5" t="inlineStr">
        <is>
          <t>2026.1Q</t>
        </is>
      </c>
      <c r="J161" s="5" t="inlineStr">
        <is>
          <t>2026.2Q</t>
        </is>
      </c>
      <c r="K161" s="5" t="inlineStr">
        <is>
          <t>2026.3Q</t>
        </is>
      </c>
      <c r="L161" s="5" t="inlineStr">
        <is>
          <t>2026.4Q</t>
        </is>
      </c>
      <c r="M161" s="5" t="inlineStr">
        <is>
          <t>2027.1Q</t>
        </is>
      </c>
      <c r="N161" s="5" t="inlineStr">
        <is>
          <t>2027.2Q</t>
        </is>
      </c>
      <c r="O161" s="5" t="inlineStr">
        <is>
          <t>2017</t>
        </is>
      </c>
      <c r="P161" s="5" t="inlineStr">
        <is>
          <t>2018</t>
        </is>
      </c>
      <c r="Q161" s="5" t="inlineStr">
        <is>
          <t>2019</t>
        </is>
      </c>
      <c r="R161" s="5" t="inlineStr">
        <is>
          <t>2020</t>
        </is>
      </c>
      <c r="S161" s="5" t="inlineStr">
        <is>
          <t>2021</t>
        </is>
      </c>
      <c r="T161" s="5" t="inlineStr">
        <is>
          <t>2022</t>
        </is>
      </c>
      <c r="U161" s="5" t="inlineStr">
        <is>
          <t>2023</t>
        </is>
      </c>
      <c r="V161" s="5" t="inlineStr">
        <is>
          <t>2024</t>
        </is>
      </c>
      <c r="W161" s="5" t="inlineStr">
        <is>
          <t>2025</t>
        </is>
      </c>
      <c r="X161" s="5" t="inlineStr">
        <is>
          <t>2026</t>
        </is>
      </c>
      <c r="Y161" s="5" t="inlineStr">
        <is>
          <t>2027(MW)</t>
        </is>
      </c>
      <c r="Z161" s="5" t="inlineStr">
        <is>
          <t>2028(MW)</t>
        </is>
      </c>
      <c r="AA161" s="5" t="inlineStr">
        <is>
          <t>2029(MW)</t>
        </is>
      </c>
      <c r="AB161" s="5" t="inlineStr">
        <is>
          <t>2030(MW)</t>
        </is>
      </c>
      <c r="AC161" s="5" t="inlineStr">
        <is>
          <t>2031(MW)</t>
        </is>
      </c>
    </row>
    <row r="162">
      <c r="A162" s="9" t="inlineStr">
        <is>
          <t>순이익</t>
        </is>
      </c>
      <c r="C162" s="12" t="n">
        <v>2419</v>
      </c>
      <c r="D162" s="12" t="n">
        <v>2266</v>
      </c>
      <c r="E162" s="12" t="n">
        <v>2284</v>
      </c>
      <c r="F162" s="12" t="n">
        <v>3163</v>
      </c>
      <c r="G162" s="12" t="n">
        <v>5166</v>
      </c>
      <c r="H162" s="12" t="n">
        <v>7032</v>
      </c>
      <c r="I162" s="12" t="n">
        <v>1472</v>
      </c>
      <c r="J162" s="12" t="n">
        <v>3546</v>
      </c>
      <c r="K162" s="12" t="n">
        <v>5551</v>
      </c>
      <c r="L162" s="12" t="n">
        <v>5983</v>
      </c>
      <c r="M162" s="12" t="n">
        <v>5308</v>
      </c>
      <c r="N162" s="12" t="n">
        <v>3567</v>
      </c>
      <c r="T162" s="12" t="n">
        <v>-1445</v>
      </c>
      <c r="U162" s="12" t="n">
        <v>4155</v>
      </c>
      <c r="V162" s="12" t="n">
        <v>2266</v>
      </c>
      <c r="W162" s="12" t="n">
        <v>7032</v>
      </c>
      <c r="X162" s="12" t="n">
        <v>5983</v>
      </c>
    </row>
    <row r="163">
      <c r="A163" s="18" t="inlineStr">
        <is>
          <t>기타유가증권 평가차액</t>
        </is>
      </c>
      <c r="C163" s="20" t="n">
        <v>-26</v>
      </c>
      <c r="D163" s="20" t="n">
        <v>-40</v>
      </c>
      <c r="E163" s="20" t="n">
        <v>-47</v>
      </c>
      <c r="F163" s="20" t="n">
        <v>2562</v>
      </c>
      <c r="G163" s="20" t="n">
        <v>573</v>
      </c>
      <c r="H163" s="20" t="n">
        <v>-393</v>
      </c>
      <c r="I163" s="20" t="n">
        <v>1145</v>
      </c>
      <c r="J163" s="20" t="n">
        <v>-1093</v>
      </c>
      <c r="K163" s="20" t="n">
        <v>-353</v>
      </c>
      <c r="L163" s="20" t="n">
        <v>-111</v>
      </c>
      <c r="M163" s="20" t="n">
        <v>440</v>
      </c>
      <c r="N163" s="20" t="n">
        <v>-529</v>
      </c>
      <c r="T163" s="20" t="n">
        <v>250</v>
      </c>
      <c r="U163" s="20" t="n">
        <v>66</v>
      </c>
      <c r="V163" s="20" t="n">
        <v>-40</v>
      </c>
      <c r="W163" s="20" t="n">
        <v>-393</v>
      </c>
      <c r="X163" s="20" t="n">
        <v>-111</v>
      </c>
    </row>
    <row r="164">
      <c r="A164" s="18" t="inlineStr">
        <is>
          <t>해외사업환산조정</t>
        </is>
      </c>
      <c r="C164" s="20" t="n">
        <v>-106</v>
      </c>
      <c r="D164" s="20" t="n">
        <v>118</v>
      </c>
      <c r="E164" s="20" t="n">
        <v>129</v>
      </c>
      <c r="F164" s="20" t="n">
        <v>-214</v>
      </c>
      <c r="G164" s="20" t="n">
        <v>244</v>
      </c>
      <c r="H164" s="20" t="n">
        <v>-79</v>
      </c>
      <c r="I164" s="20" t="n">
        <v>-102</v>
      </c>
      <c r="J164" s="20" t="n">
        <v>202</v>
      </c>
      <c r="K164" s="20" t="n">
        <v>1701</v>
      </c>
      <c r="L164" s="20" t="n">
        <v>1079</v>
      </c>
      <c r="M164" s="20" t="n">
        <v>393</v>
      </c>
      <c r="N164" s="20" t="n">
        <v>-253</v>
      </c>
      <c r="T164" s="20" t="n">
        <v>175</v>
      </c>
      <c r="U164" s="20" t="n">
        <v>49</v>
      </c>
      <c r="V164" s="20" t="n">
        <v>118</v>
      </c>
      <c r="W164" s="20" t="n">
        <v>-79</v>
      </c>
      <c r="X164" s="20" t="n">
        <v>1079</v>
      </c>
    </row>
    <row r="165">
      <c r="A165" s="18" t="inlineStr">
        <is>
          <t>지분법 적용회사 지분 해당액</t>
        </is>
      </c>
      <c r="C165" s="20" t="n">
        <v>1</v>
      </c>
      <c r="D165" s="20" t="n">
        <v>-3</v>
      </c>
      <c r="E165" s="20" t="n">
        <v>51</v>
      </c>
      <c r="F165" s="20" t="n">
        <v>-43</v>
      </c>
      <c r="G165" s="20" t="n">
        <v>-8</v>
      </c>
      <c r="H165" s="20" t="n">
        <v>7</v>
      </c>
      <c r="I165" s="20" t="n">
        <v>-4</v>
      </c>
      <c r="J165" s="20" t="n">
        <v>-2</v>
      </c>
      <c r="K165" s="20" t="n">
        <v>1</v>
      </c>
      <c r="L165" s="20" t="n">
        <v>4</v>
      </c>
      <c r="M165" s="20" t="n">
        <v>1</v>
      </c>
      <c r="N165" s="20" t="n">
        <v>-10</v>
      </c>
      <c r="T165" s="20" t="n">
        <v>4</v>
      </c>
      <c r="U165" s="20" t="n">
        <v>-6</v>
      </c>
      <c r="V165" s="20" t="n">
        <v>-3</v>
      </c>
      <c r="W165" s="20" t="n">
        <v>7</v>
      </c>
      <c r="X165" s="20" t="n">
        <v>4</v>
      </c>
    </row>
    <row r="166">
      <c r="A166" s="18" t="inlineStr">
        <is>
          <t>기타포괄손익 합계</t>
        </is>
      </c>
      <c r="C166" s="20" t="n">
        <v>-131</v>
      </c>
      <c r="D166" s="20" t="n">
        <v>72</v>
      </c>
      <c r="E166" s="20" t="n">
        <v>133</v>
      </c>
      <c r="F166" s="20" t="n">
        <v>2304</v>
      </c>
      <c r="G166" s="20" t="n">
        <v>810</v>
      </c>
      <c r="H166" s="20" t="n">
        <v>-464</v>
      </c>
      <c r="I166" s="20" t="n">
        <v>1038</v>
      </c>
      <c r="J166" s="20" t="n">
        <v>-893</v>
      </c>
      <c r="K166" s="20" t="n">
        <v>1349</v>
      </c>
      <c r="L166" s="20" t="n">
        <v>971</v>
      </c>
      <c r="M166" s="20" t="n">
        <v>835</v>
      </c>
      <c r="N166" s="20" t="n">
        <v>-795</v>
      </c>
      <c r="T166" s="20" t="n">
        <v>428</v>
      </c>
      <c r="U166" s="20" t="n">
        <v>107</v>
      </c>
      <c r="V166" s="20" t="n">
        <v>72</v>
      </c>
      <c r="W166" s="20" t="n">
        <v>-464</v>
      </c>
      <c r="X166" s="20" t="n">
        <v>971</v>
      </c>
    </row>
    <row r="167">
      <c r="A167" s="9" t="inlineStr">
        <is>
          <t>포괄이익</t>
        </is>
      </c>
      <c r="C167" s="12" t="n">
        <v>2289</v>
      </c>
      <c r="D167" s="12" t="n">
        <v>2338</v>
      </c>
      <c r="E167" s="12" t="n">
        <v>2418</v>
      </c>
      <c r="F167" s="12" t="n">
        <v>5467</v>
      </c>
      <c r="G167" s="12" t="n">
        <v>5975</v>
      </c>
      <c r="H167" s="12" t="n">
        <v>6569</v>
      </c>
      <c r="I167" s="12" t="n">
        <v>2511</v>
      </c>
      <c r="J167" s="12" t="n">
        <v>2653</v>
      </c>
      <c r="K167" s="12" t="n">
        <v>6900</v>
      </c>
      <c r="L167" s="12" t="n">
        <v>6954</v>
      </c>
      <c r="M167" s="12" t="n">
        <v>6143</v>
      </c>
      <c r="N167" s="12" t="n">
        <v>2773</v>
      </c>
      <c r="T167" s="12" t="n">
        <v>-1016</v>
      </c>
      <c r="U167" s="12" t="n">
        <v>4263</v>
      </c>
      <c r="V167" s="12" t="n">
        <v>2338</v>
      </c>
      <c r="W167" s="12" t="n">
        <v>6569</v>
      </c>
      <c r="X167" s="12" t="n">
        <v>6954</v>
      </c>
    </row>
    <row r="168">
      <c r="A168" s="9" t="inlineStr">
        <is>
          <t>지배주주 포괄이익</t>
        </is>
      </c>
      <c r="C168" s="12" t="n">
        <v>2287</v>
      </c>
      <c r="D168" s="12" t="n">
        <v>2487</v>
      </c>
      <c r="E168" s="12" t="n">
        <v>2368</v>
      </c>
      <c r="F168" s="12" t="n">
        <v>5297</v>
      </c>
      <c r="G168" s="12" t="n">
        <v>5998</v>
      </c>
      <c r="H168" s="12" t="n">
        <v>6722</v>
      </c>
      <c r="I168" s="12" t="n">
        <v>2454</v>
      </c>
      <c r="J168" s="12" t="n">
        <v>2594</v>
      </c>
      <c r="K168" s="12" t="n">
        <v>7008</v>
      </c>
      <c r="L168" s="12" t="n">
        <v>7682</v>
      </c>
      <c r="M168" s="12" t="n">
        <v>6649</v>
      </c>
      <c r="N168" s="12" t="n">
        <v>3268</v>
      </c>
      <c r="T168" s="12" t="n">
        <v>-1839</v>
      </c>
      <c r="U168" s="12" t="n">
        <v>5170</v>
      </c>
      <c r="V168" s="12" t="n">
        <v>2487</v>
      </c>
      <c r="W168" s="12" t="n">
        <v>6722</v>
      </c>
      <c r="X168" s="12" t="n">
        <v>7682</v>
      </c>
    </row>
    <row r="169">
      <c r="A169" s="9" t="inlineStr">
        <is>
          <t>비지배주주 포괄이익</t>
        </is>
      </c>
      <c r="C169" s="12" t="n">
        <v>3</v>
      </c>
      <c r="D169" s="12" t="n">
        <v>-148</v>
      </c>
      <c r="E169" s="12" t="n">
        <v>49</v>
      </c>
      <c r="F169" s="12" t="n">
        <v>171</v>
      </c>
      <c r="G169" s="12" t="n">
        <v>-23</v>
      </c>
      <c r="H169" s="12" t="n">
        <v>-154</v>
      </c>
      <c r="I169" s="12" t="n">
        <v>57</v>
      </c>
      <c r="J169" s="12" t="n">
        <v>59</v>
      </c>
      <c r="K169" s="12" t="n">
        <v>-109</v>
      </c>
      <c r="L169" s="12" t="n">
        <v>-727</v>
      </c>
      <c r="M169" s="12" t="n">
        <v>-506</v>
      </c>
      <c r="N169" s="12" t="n">
        <v>-495</v>
      </c>
      <c r="T169" s="12" t="n">
        <v>822</v>
      </c>
      <c r="U169" s="12" t="n">
        <v>-905</v>
      </c>
      <c r="V169" s="12" t="n">
        <v>-148</v>
      </c>
      <c r="W169" s="12" t="n">
        <v>-154</v>
      </c>
      <c r="X169" s="12" t="n">
        <v>-727</v>
      </c>
    </row>
    <row r="171">
      <c r="A171" s="16" t="inlineStr">
        <is>
          <t>부문 · 전 항목</t>
        </is>
      </c>
      <c r="B171" s="42" t="inlineStr">
        <is>
          <t>부문 · 항목</t>
        </is>
      </c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</row>
    <row r="172">
      <c r="A172" s="5" t="inlineStr">
        <is>
          <t>항목</t>
        </is>
      </c>
      <c r="B172" s="5" t="inlineStr">
        <is>
          <t>참고</t>
        </is>
      </c>
      <c r="C172" s="5" t="inlineStr">
        <is>
          <t>2024.3Q</t>
        </is>
      </c>
      <c r="D172" s="5" t="inlineStr">
        <is>
          <t>2024.4Q</t>
        </is>
      </c>
      <c r="E172" s="5" t="inlineStr">
        <is>
          <t>2025.1Q</t>
        </is>
      </c>
      <c r="F172" s="5" t="inlineStr">
        <is>
          <t>2025.2Q</t>
        </is>
      </c>
      <c r="G172" s="5" t="inlineStr">
        <is>
          <t>2025.3Q</t>
        </is>
      </c>
      <c r="H172" s="5" t="inlineStr">
        <is>
          <t>2025.4Q</t>
        </is>
      </c>
      <c r="I172" s="5" t="inlineStr">
        <is>
          <t>2026.1Q</t>
        </is>
      </c>
      <c r="J172" s="5" t="inlineStr">
        <is>
          <t>2026.2Q</t>
        </is>
      </c>
      <c r="K172" s="5" t="inlineStr">
        <is>
          <t>2026.3Q</t>
        </is>
      </c>
      <c r="L172" s="5" t="inlineStr">
        <is>
          <t>2026.4Q</t>
        </is>
      </c>
      <c r="M172" s="5" t="inlineStr">
        <is>
          <t>2027.1Q</t>
        </is>
      </c>
      <c r="N172" s="5" t="inlineStr">
        <is>
          <t>2027.2Q</t>
        </is>
      </c>
      <c r="O172" s="5" t="inlineStr">
        <is>
          <t>2017</t>
        </is>
      </c>
      <c r="P172" s="5" t="inlineStr">
        <is>
          <t>2018</t>
        </is>
      </c>
      <c r="Q172" s="5" t="inlineStr">
        <is>
          <t>2019</t>
        </is>
      </c>
      <c r="R172" s="5" t="inlineStr">
        <is>
          <t>2020</t>
        </is>
      </c>
      <c r="S172" s="5" t="inlineStr">
        <is>
          <t>2021</t>
        </is>
      </c>
      <c r="T172" s="5" t="inlineStr">
        <is>
          <t>2022</t>
        </is>
      </c>
      <c r="U172" s="5" t="inlineStr">
        <is>
          <t>2023</t>
        </is>
      </c>
      <c r="V172" s="5" t="inlineStr">
        <is>
          <t>2024</t>
        </is>
      </c>
      <c r="W172" s="5" t="inlineStr">
        <is>
          <t>2025</t>
        </is>
      </c>
      <c r="X172" s="5" t="inlineStr">
        <is>
          <t>2026</t>
        </is>
      </c>
      <c r="Y172" s="5" t="inlineStr">
        <is>
          <t>2027(MW)</t>
        </is>
      </c>
      <c r="Z172" s="5" t="inlineStr">
        <is>
          <t>2028(MW)</t>
        </is>
      </c>
      <c r="AA172" s="5" t="inlineStr">
        <is>
          <t>2029(MW)</t>
        </is>
      </c>
      <c r="AB172" s="5" t="inlineStr">
        <is>
          <t>2030(MW)</t>
        </is>
      </c>
      <c r="AC172" s="5" t="inlineStr">
        <is>
          <t>2031(MW)</t>
        </is>
      </c>
    </row>
    <row r="173">
      <c r="A173" s="18" t="inlineStr">
        <is>
          <t>DigitalEntertainmentBusinessReportableSegmentMember · 외부 고객 매출</t>
        </is>
      </c>
      <c r="C173" s="20" t="n">
        <v>26691</v>
      </c>
      <c r="D173" s="20" t="n">
        <v>29088</v>
      </c>
      <c r="E173" s="20" t="n">
        <v>18135</v>
      </c>
      <c r="F173" s="20" t="n">
        <v>22004</v>
      </c>
      <c r="G173" s="20" t="n">
        <v>25316</v>
      </c>
      <c r="H173" s="20" t="n">
        <v>28627</v>
      </c>
      <c r="I173" s="20" t="n">
        <v>16076</v>
      </c>
      <c r="J173" s="20" t="n">
        <v>19616</v>
      </c>
      <c r="K173" s="20" t="n">
        <v>21993</v>
      </c>
      <c r="L173" s="20" t="n">
        <v>26204</v>
      </c>
      <c r="M173" s="20" t="n">
        <v>19532</v>
      </c>
      <c r="N173" s="20" t="n">
        <v>24071</v>
      </c>
      <c r="V173" s="20" t="n">
        <v>29088</v>
      </c>
      <c r="W173" s="20" t="n">
        <v>28627</v>
      </c>
      <c r="X173" s="20" t="n">
        <v>26204</v>
      </c>
    </row>
    <row r="174">
      <c r="A174" s="43" t="inlineStr">
        <is>
          <t>YoY</t>
        </is>
      </c>
      <c r="B174" s="3" t="inlineStr">
        <is>
          <t>전년 같은 분기·전년 대비</t>
        </is>
      </c>
      <c r="G174" s="15">
        <f>IF(OR(G173="",C173=""),"",IF(C173&lt;=0,"",IFERROR(G173/C173-1,"")))</f>
        <v/>
      </c>
      <c r="H174" s="15">
        <f>IF(OR(H173="",D173=""),"",IF(D173&lt;=0,"",IFERROR(H173/D173-1,"")))</f>
        <v/>
      </c>
      <c r="I174" s="15">
        <f>IF(OR(I173="",E173=""),"",IF(E173&lt;=0,"",IFERROR(I173/E173-1,"")))</f>
        <v/>
      </c>
      <c r="J174" s="15">
        <f>IF(OR(J173="",F173=""),"",IF(F173&lt;=0,"",IFERROR(J173/F173-1,"")))</f>
        <v/>
      </c>
      <c r="K174" s="15">
        <f>IF(OR(K173="",G173=""),"",IF(G173&lt;=0,"",IFERROR(K173/G173-1,"")))</f>
        <v/>
      </c>
      <c r="L174" s="15">
        <f>IF(OR(L173="",H173=""),"",IF(H173&lt;=0,"",IFERROR(L173/H173-1,"")))</f>
        <v/>
      </c>
      <c r="M174" s="15">
        <f>IF(OR(M173="",I173=""),"",IF(I173&lt;=0,"",IFERROR(M173/I173-1,"")))</f>
        <v/>
      </c>
      <c r="N174" s="15">
        <f>IF(OR(N173="",J173=""),"",IF(J173&lt;=0,"",IFERROR(N173/J173-1,"")))</f>
        <v/>
      </c>
      <c r="V174" s="15">
        <f>IF(OR(V173="",U173=""),"",IF(U173&lt;=0,"",IFERROR(V173/U173-1,"")))</f>
        <v/>
      </c>
      <c r="W174" s="15">
        <f>IF(OR(W173="",V173=""),"",IF(V173&lt;=0,"",IFERROR(W173/V173-1,"")))</f>
        <v/>
      </c>
      <c r="X174" s="15">
        <f>IF(OR(X173="",W173=""),"",IF(W173&lt;=0,"",IFERROR(X173/W173-1,"")))</f>
        <v/>
      </c>
    </row>
    <row r="175">
      <c r="A175" s="18" t="inlineStr">
        <is>
          <t>SportsBusinessReportableSegmentMember · 외부 고객 매출</t>
        </is>
      </c>
      <c r="C175" s="20" t="n">
        <v>8409</v>
      </c>
      <c r="D175" s="20" t="n">
        <v>9457</v>
      </c>
      <c r="E175" s="20" t="n">
        <v>8583</v>
      </c>
      <c r="F175" s="20" t="n">
        <v>9653</v>
      </c>
      <c r="G175" s="20" t="n">
        <v>10158</v>
      </c>
      <c r="H175" s="20" t="n">
        <v>11812</v>
      </c>
      <c r="I175" s="20" t="n">
        <v>11143</v>
      </c>
      <c r="J175" s="20" t="n">
        <v>10834</v>
      </c>
      <c r="K175" s="20" t="n">
        <v>20400</v>
      </c>
      <c r="L175" s="20" t="n">
        <v>23471</v>
      </c>
      <c r="M175" s="20" t="n">
        <v>21673</v>
      </c>
      <c r="N175" s="20" t="n">
        <v>19299</v>
      </c>
      <c r="V175" s="20" t="n">
        <v>9457</v>
      </c>
      <c r="W175" s="20" t="n">
        <v>11812</v>
      </c>
      <c r="X175" s="20" t="n">
        <v>23471</v>
      </c>
    </row>
    <row r="176">
      <c r="A176" s="43" t="inlineStr">
        <is>
          <t>YoY</t>
        </is>
      </c>
      <c r="B176" s="3" t="inlineStr">
        <is>
          <t>전년 같은 분기·전년 대비</t>
        </is>
      </c>
      <c r="G176" s="15">
        <f>IF(OR(G175="",C175=""),"",IF(C175&lt;=0,"",IFERROR(G175/C175-1,"")))</f>
        <v/>
      </c>
      <c r="H176" s="15">
        <f>IF(OR(H175="",D175=""),"",IF(D175&lt;=0,"",IFERROR(H175/D175-1,"")))</f>
        <v/>
      </c>
      <c r="I176" s="15">
        <f>IF(OR(I175="",E175=""),"",IF(E175&lt;=0,"",IFERROR(I175/E175-1,"")))</f>
        <v/>
      </c>
      <c r="J176" s="15">
        <f>IF(OR(J175="",F175=""),"",IF(F175&lt;=0,"",IFERROR(J175/F175-1,"")))</f>
        <v/>
      </c>
      <c r="K176" s="15">
        <f>IF(OR(K175="",G175=""),"",IF(G175&lt;=0,"",IFERROR(K175/G175-1,"")))</f>
        <v/>
      </c>
      <c r="L176" s="15">
        <f>IF(OR(L175="",H175=""),"",IF(H175&lt;=0,"",IFERROR(L175/H175-1,"")))</f>
        <v/>
      </c>
      <c r="M176" s="15">
        <f>IF(OR(M175="",I175=""),"",IF(I175&lt;=0,"",IFERROR(M175/I175-1,"")))</f>
        <v/>
      </c>
      <c r="N176" s="15">
        <f>IF(OR(N175="",J175=""),"",IF(J175&lt;=0,"",IFERROR(N175/J175-1,"")))</f>
        <v/>
      </c>
      <c r="V176" s="15">
        <f>IF(OR(V175="",U175=""),"",IF(U175&lt;=0,"",IFERROR(V175/U175-1,"")))</f>
        <v/>
      </c>
      <c r="W176" s="15">
        <f>IF(OR(W175="",V175=""),"",IF(V175&lt;=0,"",IFERROR(W175/V175-1,"")))</f>
        <v/>
      </c>
      <c r="X176" s="15">
        <f>IF(OR(X175="",W175=""),"",IF(W175&lt;=0,"",IFERROR(X175/W175-1,"")))</f>
        <v/>
      </c>
    </row>
    <row r="177">
      <c r="A177" s="18" t="inlineStr">
        <is>
          <t>LifestyleBusinessReportableSegmentMember · 외부 고객 매출</t>
        </is>
      </c>
      <c r="C177" s="20" t="n">
        <v>6131</v>
      </c>
      <c r="D177" s="20" t="n">
        <v>2737</v>
      </c>
      <c r="E177" s="20" t="n">
        <v>2736</v>
      </c>
      <c r="F177" s="20" t="n">
        <v>2719</v>
      </c>
      <c r="G177" s="20" t="n">
        <v>5943</v>
      </c>
      <c r="H177" s="20" t="n">
        <v>3397</v>
      </c>
      <c r="I177" s="20" t="n">
        <v>3505</v>
      </c>
      <c r="J177" s="20" t="n">
        <v>3589</v>
      </c>
      <c r="K177" s="20" t="n">
        <v>5599</v>
      </c>
      <c r="L177" s="20" t="n">
        <v>4466</v>
      </c>
      <c r="M177" s="20" t="n">
        <v>4363</v>
      </c>
      <c r="N177" s="20" t="n">
        <v>4067</v>
      </c>
      <c r="V177" s="20" t="n">
        <v>2737</v>
      </c>
      <c r="W177" s="20" t="n">
        <v>3397</v>
      </c>
      <c r="X177" s="20" t="n">
        <v>4466</v>
      </c>
    </row>
    <row r="178">
      <c r="A178" s="43" t="inlineStr">
        <is>
          <t>YoY</t>
        </is>
      </c>
      <c r="B178" s="3" t="inlineStr">
        <is>
          <t>전년 같은 분기·전년 대비</t>
        </is>
      </c>
      <c r="G178" s="15">
        <f>IF(OR(G177="",C177=""),"",IF(C177&lt;=0,"",IFERROR(G177/C177-1,"")))</f>
        <v/>
      </c>
      <c r="H178" s="15">
        <f>IF(OR(H177="",D177=""),"",IF(D177&lt;=0,"",IFERROR(H177/D177-1,"")))</f>
        <v/>
      </c>
      <c r="I178" s="15">
        <f>IF(OR(I177="",E177=""),"",IF(E177&lt;=0,"",IFERROR(I177/E177-1,"")))</f>
        <v/>
      </c>
      <c r="J178" s="15">
        <f>IF(OR(J177="",F177=""),"",IF(F177&lt;=0,"",IFERROR(J177/F177-1,"")))</f>
        <v/>
      </c>
      <c r="K178" s="15">
        <f>IF(OR(K177="",G177=""),"",IF(G177&lt;=0,"",IFERROR(K177/G177-1,"")))</f>
        <v/>
      </c>
      <c r="L178" s="15">
        <f>IF(OR(L177="",H177=""),"",IF(H177&lt;=0,"",IFERROR(L177/H177-1,"")))</f>
        <v/>
      </c>
      <c r="M178" s="15">
        <f>IF(OR(M177="",I177=""),"",IF(I177&lt;=0,"",IFERROR(M177/I177-1,"")))</f>
        <v/>
      </c>
      <c r="N178" s="15">
        <f>IF(OR(N177="",J177=""),"",IF(J177&lt;=0,"",IFERROR(N177/J177-1,"")))</f>
        <v/>
      </c>
      <c r="V178" s="15">
        <f>IF(OR(V177="",U177=""),"",IF(U177&lt;=0,"",IFERROR(V177/U177-1,"")))</f>
        <v/>
      </c>
      <c r="W178" s="15">
        <f>IF(OR(W177="",V177=""),"",IF(V177&lt;=0,"",IFERROR(W177/V177-1,"")))</f>
        <v/>
      </c>
      <c r="X178" s="15">
        <f>IF(OR(X177="",W177=""),"",IF(W177&lt;=0,"",IFERROR(X177/W177-1,"")))</f>
        <v/>
      </c>
    </row>
    <row r="179">
      <c r="A179" s="18" t="inlineStr">
        <is>
          <t>InvestmentBusinessReportableSegmentMember · 외부 고객 매출</t>
        </is>
      </c>
      <c r="C179" s="20" t="n">
        <v>-28</v>
      </c>
      <c r="D179" s="20" t="n">
        <v>355</v>
      </c>
      <c r="E179" s="20" t="n">
        <v>614</v>
      </c>
      <c r="F179" s="20" t="n">
        <v>4339</v>
      </c>
      <c r="G179" s="20" t="n">
        <v>99</v>
      </c>
      <c r="H179" s="20" t="n">
        <v>644</v>
      </c>
      <c r="I179" s="20" t="n">
        <v>582</v>
      </c>
      <c r="J179" s="20" t="n">
        <v>2055</v>
      </c>
      <c r="K179" s="20" t="n">
        <v>999</v>
      </c>
      <c r="L179" s="20" t="n">
        <v>804</v>
      </c>
      <c r="M179" s="20" t="n">
        <v>1502</v>
      </c>
      <c r="N179" s="20" t="n">
        <v>1511</v>
      </c>
      <c r="V179" s="20" t="n">
        <v>355</v>
      </c>
      <c r="W179" s="20" t="n">
        <v>644</v>
      </c>
      <c r="X179" s="20" t="n">
        <v>804</v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IF(OR(G179="",C179=""),"",IF(C179&lt;=0,"",IFERROR(G179/C179-1,"")))</f>
        <v/>
      </c>
      <c r="H180" s="15">
        <f>IF(OR(H179="",D179=""),"",IF(D179&lt;=0,"",IFERROR(H179/D179-1,"")))</f>
        <v/>
      </c>
      <c r="I180" s="15">
        <f>IF(OR(I179="",E179=""),"",IF(E179&lt;=0,"",IFERROR(I179/E179-1,"")))</f>
        <v/>
      </c>
      <c r="J180" s="15">
        <f>IF(OR(J179="",F179=""),"",IF(F179&lt;=0,"",IFERROR(J179/F179-1,"")))</f>
        <v/>
      </c>
      <c r="K180" s="15">
        <f>IF(OR(K179="",G179=""),"",IF(G179&lt;=0,"",IFERROR(K179/G179-1,"")))</f>
        <v/>
      </c>
      <c r="L180" s="15">
        <f>IF(OR(L179="",H179=""),"",IF(H179&lt;=0,"",IFERROR(L179/H179-1,"")))</f>
        <v/>
      </c>
      <c r="M180" s="15">
        <f>IF(OR(M179="",I179=""),"",IF(I179&lt;=0,"",IFERROR(M179/I179-1,"")))</f>
        <v/>
      </c>
      <c r="N180" s="15">
        <f>IF(OR(N179="",J179=""),"",IF(J179&lt;=0,"",IFERROR(N179/J179-1,"")))</f>
        <v/>
      </c>
      <c r="V180" s="15">
        <f>IF(OR(V179="",U179=""),"",IF(U179&lt;=0,"",IFERROR(V179/U179-1,"")))</f>
        <v/>
      </c>
      <c r="W180" s="15">
        <f>IF(OR(W179="",V179=""),"",IF(V179&lt;=0,"",IFERROR(W179/V179-1,"")))</f>
        <v/>
      </c>
      <c r="X180" s="15">
        <f>IF(OR(X179="",W179=""),"",IF(W179&lt;=0,"",IFERROR(X179/W179-1,"")))</f>
        <v/>
      </c>
    </row>
    <row r="181">
      <c r="A181" s="18" t="inlineStr">
        <is>
          <t>합계 · 외부 고객 매출</t>
        </is>
      </c>
      <c r="E181" s="20" t="n">
        <v>30069</v>
      </c>
      <c r="I181" s="20" t="n">
        <v>31306</v>
      </c>
      <c r="M181" s="20" t="n">
        <v>47073</v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I182" s="15">
        <f>IF(OR(I181="",E181=""),"",IF(E181&lt;=0,"",IFERROR(I181/E181-1,"")))</f>
        <v/>
      </c>
      <c r="M182" s="15">
        <f>IF(OR(M181="",I181=""),"",IF(I181&lt;=0,"",IFERROR(M181/I181-1,"")))</f>
        <v/>
      </c>
    </row>
    <row r="183">
      <c r="A183" s="18" t="inlineStr">
        <is>
          <t>보고부문 합계 · 외부 고객 매출</t>
        </is>
      </c>
      <c r="C183" s="20" t="n">
        <v>41203</v>
      </c>
      <c r="D183" s="20" t="n">
        <v>41637</v>
      </c>
      <c r="G183" s="20" t="n">
        <v>41516</v>
      </c>
      <c r="H183" s="20" t="n">
        <v>44479</v>
      </c>
      <c r="K183" s="20" t="n">
        <v>48992</v>
      </c>
      <c r="L183" s="20" t="n">
        <v>54945</v>
      </c>
      <c r="V183" s="20" t="n">
        <v>41637</v>
      </c>
      <c r="W183" s="20" t="n">
        <v>44479</v>
      </c>
      <c r="X183" s="20" t="n">
        <v>54945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IF(OR(G183="",C183=""),"",IF(C183&lt;=0,"",IFERROR(G183/C183-1,"")))</f>
        <v/>
      </c>
      <c r="H184" s="15">
        <f>IF(OR(H183="",D183=""),"",IF(D183&lt;=0,"",IFERROR(H183/D183-1,"")))</f>
        <v/>
      </c>
      <c r="K184" s="15">
        <f>IF(OR(K183="",G183=""),"",IF(G183&lt;=0,"",IFERROR(K183/G183-1,"")))</f>
        <v/>
      </c>
      <c r="L184" s="15">
        <f>IF(OR(L183="",H183=""),"",IF(H183&lt;=0,"",IFERROR(L183/H183-1,"")))</f>
        <v/>
      </c>
      <c r="V184" s="15">
        <f>IF(OR(V183="",U183=""),"",IF(U183&lt;=0,"",IFERROR(V183/U183-1,"")))</f>
        <v/>
      </c>
      <c r="W184" s="15">
        <f>IF(OR(W183="",V183=""),"",IF(V183&lt;=0,"",IFERROR(W183/V183-1,"")))</f>
        <v/>
      </c>
      <c r="X184" s="15">
        <f>IF(OR(X183="",W183=""),"",IF(W183&lt;=0,"",IFERROR(X183/W183-1,"")))</f>
        <v/>
      </c>
    </row>
    <row r="185">
      <c r="A185" s="18" t="inlineStr">
        <is>
          <t>조정액 · 외부 고객 매출</t>
        </is>
      </c>
      <c r="C185" s="20" t="n">
        <v>38</v>
      </c>
      <c r="D185" s="20" t="n">
        <v>22</v>
      </c>
      <c r="E185" s="20" t="n">
        <v>17</v>
      </c>
      <c r="F185" s="20" t="n">
        <v>18</v>
      </c>
      <c r="G185" s="20" t="n">
        <v>16</v>
      </c>
      <c r="H185" s="20" t="n">
        <v>15</v>
      </c>
      <c r="I185" s="20" t="n">
        <v>16</v>
      </c>
      <c r="J185" s="20" t="n">
        <v>10</v>
      </c>
      <c r="K185" s="20" t="n">
        <v>6</v>
      </c>
      <c r="L185" s="20" t="n">
        <v>-1</v>
      </c>
      <c r="M185" s="20" t="n">
        <v>0</v>
      </c>
      <c r="N185" s="20" t="n">
        <v>0</v>
      </c>
      <c r="V185" s="20" t="n">
        <v>22</v>
      </c>
      <c r="W185" s="20" t="n">
        <v>15</v>
      </c>
      <c r="X185" s="20" t="n">
        <v>-1</v>
      </c>
    </row>
    <row r="186">
      <c r="A186" s="18" t="inlineStr">
        <is>
          <t>EntityTotalMember · 외부 고객 매출</t>
        </is>
      </c>
      <c r="E186" s="20" t="n">
        <v>30087</v>
      </c>
      <c r="I186" s="20" t="n">
        <v>31323</v>
      </c>
      <c r="M186" s="20" t="n">
        <v>47073</v>
      </c>
    </row>
    <row r="187">
      <c r="A187" s="9" t="inlineStr">
        <is>
          <t>외부 고객 매출</t>
        </is>
      </c>
      <c r="C187" s="12" t="n">
        <v>41241</v>
      </c>
      <c r="D187" s="12" t="n">
        <v>41659</v>
      </c>
      <c r="E187" s="12" t="n">
        <v>30087</v>
      </c>
      <c r="F187" s="12" t="n">
        <v>38733</v>
      </c>
      <c r="G187" s="12" t="n">
        <v>41532</v>
      </c>
      <c r="H187" s="12" t="n">
        <v>44495</v>
      </c>
      <c r="V187" s="12" t="n">
        <v>41659</v>
      </c>
      <c r="W187" s="12" t="n">
        <v>44495</v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G188" s="15">
        <f>IF(OR(G187="",C187=""),"",IF(C187&lt;=0,"",IFERROR(G187/C187-1,"")))</f>
        <v/>
      </c>
      <c r="H188" s="15">
        <f>IF(OR(H187="",D187=""),"",IF(D187&lt;=0,"",IFERROR(H187/D187-1,"")))</f>
        <v/>
      </c>
      <c r="V188" s="15">
        <f>IF(OR(V187="",U187=""),"",IF(U187&lt;=0,"",IFERROR(V187/U187-1,"")))</f>
        <v/>
      </c>
      <c r="W188" s="15">
        <f>IF(OR(W187="",V187=""),"",IF(V187&lt;=0,"",IFERROR(W187/V187-1,"")))</f>
        <v/>
      </c>
    </row>
    <row r="189">
      <c r="A189" s="18" t="inlineStr">
        <is>
          <t>DigitalEntertainmentBusinessReportableSegmentMember · 부문 간 내부매출·대체</t>
        </is>
      </c>
      <c r="C189" s="20" t="n">
        <v>0</v>
      </c>
      <c r="D189" s="20" t="n">
        <v>0</v>
      </c>
      <c r="E189" s="20" t="n">
        <v>0</v>
      </c>
      <c r="F189" s="20" t="n">
        <v>0</v>
      </c>
      <c r="G189" s="20" t="n">
        <v>0</v>
      </c>
      <c r="H189" s="20" t="n">
        <v>0</v>
      </c>
      <c r="I189" s="20" t="n">
        <v>0</v>
      </c>
      <c r="J189" s="20" t="n">
        <v>0</v>
      </c>
      <c r="K189" s="20" t="n">
        <v>0</v>
      </c>
      <c r="L189" s="20" t="n">
        <v>0</v>
      </c>
      <c r="M189" s="20" t="n">
        <v>0</v>
      </c>
      <c r="N189" s="20" t="n">
        <v>0</v>
      </c>
      <c r="V189" s="20" t="n">
        <v>0</v>
      </c>
      <c r="W189" s="20" t="n">
        <v>0</v>
      </c>
      <c r="X189" s="20" t="n">
        <v>0</v>
      </c>
    </row>
    <row r="190">
      <c r="A190" s="18" t="inlineStr">
        <is>
          <t>SportsBusinessReportableSegmentMember · 부문 간 내부매출·대체</t>
        </is>
      </c>
      <c r="C190" s="20" t="n">
        <v>0</v>
      </c>
      <c r="D190" s="20" t="n">
        <v>0</v>
      </c>
      <c r="E190" s="20" t="n">
        <v>0</v>
      </c>
      <c r="F190" s="20" t="n">
        <v>0</v>
      </c>
      <c r="G190" s="20" t="n">
        <v>0</v>
      </c>
      <c r="H190" s="20" t="n">
        <v>0</v>
      </c>
      <c r="I190" s="20" t="n">
        <v>0</v>
      </c>
      <c r="J190" s="20" t="n">
        <v>0</v>
      </c>
      <c r="K190" s="20" t="n">
        <v>0</v>
      </c>
      <c r="L190" s="20" t="n">
        <v>0</v>
      </c>
      <c r="M190" s="20" t="n">
        <v>0</v>
      </c>
      <c r="N190" s="20" t="n">
        <v>0</v>
      </c>
      <c r="V190" s="20" t="n">
        <v>0</v>
      </c>
      <c r="W190" s="20" t="n">
        <v>0</v>
      </c>
      <c r="X190" s="20" t="n">
        <v>0</v>
      </c>
    </row>
    <row r="191">
      <c r="A191" s="18" t="inlineStr">
        <is>
          <t>LifestyleBusinessReportableSegmentMember · 부문 간 내부매출·대체</t>
        </is>
      </c>
      <c r="C191" s="20" t="n">
        <v>0</v>
      </c>
      <c r="D191" s="20" t="n">
        <v>0</v>
      </c>
      <c r="E191" s="20" t="n">
        <v>0</v>
      </c>
      <c r="F191" s="20" t="n">
        <v>0</v>
      </c>
      <c r="G191" s="20" t="n">
        <v>0</v>
      </c>
      <c r="H191" s="20" t="n">
        <v>0</v>
      </c>
      <c r="I191" s="20" t="n">
        <v>0</v>
      </c>
      <c r="J191" s="20" t="n">
        <v>0</v>
      </c>
      <c r="K191" s="20" t="n">
        <v>0</v>
      </c>
      <c r="L191" s="20" t="n">
        <v>0</v>
      </c>
      <c r="M191" s="20" t="n">
        <v>0</v>
      </c>
      <c r="N191" s="20" t="n">
        <v>0</v>
      </c>
      <c r="V191" s="20" t="n">
        <v>0</v>
      </c>
      <c r="W191" s="20" t="n">
        <v>0</v>
      </c>
      <c r="X191" s="20" t="n">
        <v>0</v>
      </c>
    </row>
    <row r="192">
      <c r="A192" s="18" t="inlineStr">
        <is>
          <t>InvestmentBusinessReportableSegmentMember · 부문 간 내부매출·대체</t>
        </is>
      </c>
      <c r="C192" s="20" t="n">
        <v>0</v>
      </c>
      <c r="D192" s="20" t="n">
        <v>0</v>
      </c>
      <c r="E192" s="20" t="n">
        <v>0</v>
      </c>
      <c r="F192" s="20" t="n">
        <v>0</v>
      </c>
      <c r="G192" s="20" t="n">
        <v>0</v>
      </c>
      <c r="H192" s="20" t="n">
        <v>0</v>
      </c>
      <c r="I192" s="20" t="n">
        <v>0</v>
      </c>
      <c r="J192" s="20" t="n">
        <v>0</v>
      </c>
      <c r="K192" s="20" t="n">
        <v>0</v>
      </c>
      <c r="L192" s="20" t="n">
        <v>0</v>
      </c>
      <c r="M192" s="20" t="n">
        <v>0</v>
      </c>
      <c r="N192" s="20" t="n">
        <v>0</v>
      </c>
      <c r="V192" s="20" t="n">
        <v>0</v>
      </c>
      <c r="W192" s="20" t="n">
        <v>0</v>
      </c>
      <c r="X192" s="20" t="n">
        <v>0</v>
      </c>
    </row>
    <row r="193">
      <c r="A193" s="18" t="inlineStr">
        <is>
          <t>합계 · 부문 간 내부매출·대체</t>
        </is>
      </c>
      <c r="E193" s="20" t="n">
        <v>0</v>
      </c>
      <c r="I193" s="20" t="n">
        <v>0</v>
      </c>
      <c r="M193" s="20" t="n">
        <v>0</v>
      </c>
    </row>
    <row r="194">
      <c r="A194" s="18" t="inlineStr">
        <is>
          <t>보고부문 합계 · 부문 간 내부매출·대체</t>
        </is>
      </c>
      <c r="C194" s="20" t="n">
        <v>0</v>
      </c>
      <c r="D194" s="20" t="n">
        <v>0</v>
      </c>
      <c r="G194" s="20" t="n">
        <v>0</v>
      </c>
      <c r="H194" s="20" t="n">
        <v>0</v>
      </c>
      <c r="K194" s="20" t="n">
        <v>0</v>
      </c>
      <c r="L194" s="20" t="n">
        <v>0</v>
      </c>
      <c r="V194" s="20" t="n">
        <v>0</v>
      </c>
      <c r="W194" s="20" t="n">
        <v>0</v>
      </c>
      <c r="X194" s="20" t="n">
        <v>0</v>
      </c>
    </row>
    <row r="195">
      <c r="A195" s="18" t="inlineStr">
        <is>
          <t>조정액 · 부문 간 내부매출·대체</t>
        </is>
      </c>
      <c r="C195" s="20" t="n">
        <v>0</v>
      </c>
      <c r="D195" s="20" t="n">
        <v>0</v>
      </c>
      <c r="E195" s="20" t="n">
        <v>0</v>
      </c>
      <c r="F195" s="20" t="n">
        <v>0</v>
      </c>
      <c r="G195" s="20" t="n">
        <v>0</v>
      </c>
      <c r="H195" s="20" t="n">
        <v>0</v>
      </c>
      <c r="I195" s="20" t="n">
        <v>0</v>
      </c>
      <c r="J195" s="20" t="n">
        <v>-0</v>
      </c>
      <c r="K195" s="20" t="n">
        <v>0</v>
      </c>
      <c r="L195" s="20" t="n">
        <v>0</v>
      </c>
      <c r="M195" s="20" t="n">
        <v>-0</v>
      </c>
      <c r="N195" s="20" t="n">
        <v>0</v>
      </c>
      <c r="V195" s="20" t="n">
        <v>0</v>
      </c>
      <c r="W195" s="20" t="n">
        <v>0</v>
      </c>
      <c r="X195" s="20" t="n">
        <v>0</v>
      </c>
    </row>
    <row r="196">
      <c r="A196" s="18" t="inlineStr">
        <is>
          <t>EntityTotalMember · 부문 간 내부매출·대체</t>
        </is>
      </c>
      <c r="E196" s="20" t="n">
        <v>0</v>
      </c>
      <c r="I196" s="20" t="n">
        <v>0</v>
      </c>
      <c r="M196" s="20" t="n">
        <v>0</v>
      </c>
    </row>
    <row r="197">
      <c r="A197" s="18" t="inlineStr">
        <is>
          <t>부문 간 내부매출·대체</t>
        </is>
      </c>
      <c r="C197" s="20" t="n">
        <v>0</v>
      </c>
      <c r="D197" s="20" t="n">
        <v>0</v>
      </c>
      <c r="E197" s="20" t="n">
        <v>0</v>
      </c>
      <c r="F197" s="20" t="n">
        <v>0</v>
      </c>
      <c r="G197" s="20" t="n">
        <v>0</v>
      </c>
      <c r="H197" s="20" t="n">
        <v>0</v>
      </c>
      <c r="V197" s="20" t="n">
        <v>0</v>
      </c>
      <c r="W197" s="20" t="n">
        <v>0</v>
      </c>
    </row>
    <row r="198">
      <c r="A198" s="18" t="inlineStr">
        <is>
          <t>DigitalEntertainmentBusinessReportableSegmentMember · 계</t>
        </is>
      </c>
      <c r="C198" s="20" t="n">
        <v>26691</v>
      </c>
      <c r="D198" s="20" t="n">
        <v>29088</v>
      </c>
      <c r="E198" s="20" t="n">
        <v>18135</v>
      </c>
      <c r="F198" s="20" t="n">
        <v>22004</v>
      </c>
      <c r="G198" s="20" t="n">
        <v>25316</v>
      </c>
      <c r="H198" s="20" t="n">
        <v>28627</v>
      </c>
      <c r="I198" s="20" t="n">
        <v>16076</v>
      </c>
      <c r="J198" s="20" t="n">
        <v>19616</v>
      </c>
      <c r="K198" s="20" t="n">
        <v>21993</v>
      </c>
      <c r="L198" s="20" t="n">
        <v>26204</v>
      </c>
      <c r="M198" s="20" t="n">
        <v>19532</v>
      </c>
      <c r="N198" s="20" t="n">
        <v>24071</v>
      </c>
      <c r="V198" s="20" t="n">
        <v>29088</v>
      </c>
      <c r="W198" s="20" t="n">
        <v>28627</v>
      </c>
      <c r="X198" s="20" t="n">
        <v>26204</v>
      </c>
    </row>
    <row r="199">
      <c r="A199" s="43" t="inlineStr">
        <is>
          <t>YoY</t>
        </is>
      </c>
      <c r="B199" s="3" t="inlineStr">
        <is>
          <t>전년 같은 분기·전년 대비</t>
        </is>
      </c>
      <c r="G199" s="15">
        <f>IF(OR(G198="",C198=""),"",IF(C198&lt;=0,"",IFERROR(G198/C198-1,"")))</f>
        <v/>
      </c>
      <c r="H199" s="15">
        <f>IF(OR(H198="",D198=""),"",IF(D198&lt;=0,"",IFERROR(H198/D198-1,"")))</f>
        <v/>
      </c>
      <c r="I199" s="15">
        <f>IF(OR(I198="",E198=""),"",IF(E198&lt;=0,"",IFERROR(I198/E198-1,"")))</f>
        <v/>
      </c>
      <c r="J199" s="15">
        <f>IF(OR(J198="",F198=""),"",IF(F198&lt;=0,"",IFERROR(J198/F198-1,"")))</f>
        <v/>
      </c>
      <c r="K199" s="15">
        <f>IF(OR(K198="",G198=""),"",IF(G198&lt;=0,"",IFERROR(K198/G198-1,"")))</f>
        <v/>
      </c>
      <c r="L199" s="15">
        <f>IF(OR(L198="",H198=""),"",IF(H198&lt;=0,"",IFERROR(L198/H198-1,"")))</f>
        <v/>
      </c>
      <c r="M199" s="15">
        <f>IF(OR(M198="",I198=""),"",IF(I198&lt;=0,"",IFERROR(M198/I198-1,"")))</f>
        <v/>
      </c>
      <c r="N199" s="15">
        <f>IF(OR(N198="",J198=""),"",IF(J198&lt;=0,"",IFERROR(N198/J198-1,"")))</f>
        <v/>
      </c>
      <c r="V199" s="15">
        <f>IF(OR(V198="",U198=""),"",IF(U198&lt;=0,"",IFERROR(V198/U198-1,"")))</f>
        <v/>
      </c>
      <c r="W199" s="15">
        <f>IF(OR(W198="",V198=""),"",IF(V198&lt;=0,"",IFERROR(W198/V198-1,"")))</f>
        <v/>
      </c>
      <c r="X199" s="15">
        <f>IF(OR(X198="",W198=""),"",IF(W198&lt;=0,"",IFERROR(X198/W198-1,"")))</f>
        <v/>
      </c>
    </row>
    <row r="200">
      <c r="A200" s="18" t="inlineStr">
        <is>
          <t>SportsBusinessReportableSegmentMember · 계</t>
        </is>
      </c>
      <c r="C200" s="20" t="n">
        <v>8409</v>
      </c>
      <c r="D200" s="20" t="n">
        <v>9457</v>
      </c>
      <c r="E200" s="20" t="n">
        <v>8583</v>
      </c>
      <c r="F200" s="20" t="n">
        <v>9653</v>
      </c>
      <c r="G200" s="20" t="n">
        <v>10158</v>
      </c>
      <c r="H200" s="20" t="n">
        <v>11812</v>
      </c>
      <c r="I200" s="20" t="n">
        <v>11143</v>
      </c>
      <c r="J200" s="20" t="n">
        <v>10834</v>
      </c>
      <c r="K200" s="20" t="n">
        <v>20400</v>
      </c>
      <c r="L200" s="20" t="n">
        <v>23471</v>
      </c>
      <c r="M200" s="20" t="n">
        <v>21673</v>
      </c>
      <c r="N200" s="20" t="n">
        <v>19299</v>
      </c>
      <c r="V200" s="20" t="n">
        <v>9457</v>
      </c>
      <c r="W200" s="20" t="n">
        <v>11812</v>
      </c>
      <c r="X200" s="20" t="n">
        <v>23471</v>
      </c>
    </row>
    <row r="201">
      <c r="A201" s="43" t="inlineStr">
        <is>
          <t>YoY</t>
        </is>
      </c>
      <c r="B201" s="3" t="inlineStr">
        <is>
          <t>전년 같은 분기·전년 대비</t>
        </is>
      </c>
      <c r="G201" s="15">
        <f>IF(OR(G200="",C200=""),"",IF(C200&lt;=0,"",IFERROR(G200/C200-1,"")))</f>
        <v/>
      </c>
      <c r="H201" s="15">
        <f>IF(OR(H200="",D200=""),"",IF(D200&lt;=0,"",IFERROR(H200/D200-1,"")))</f>
        <v/>
      </c>
      <c r="I201" s="15">
        <f>IF(OR(I200="",E200=""),"",IF(E200&lt;=0,"",IFERROR(I200/E200-1,"")))</f>
        <v/>
      </c>
      <c r="J201" s="15">
        <f>IF(OR(J200="",F200=""),"",IF(F200&lt;=0,"",IFERROR(J200/F200-1,"")))</f>
        <v/>
      </c>
      <c r="K201" s="15">
        <f>IF(OR(K200="",G200=""),"",IF(G200&lt;=0,"",IFERROR(K200/G200-1,"")))</f>
        <v/>
      </c>
      <c r="L201" s="15">
        <f>IF(OR(L200="",H200=""),"",IF(H200&lt;=0,"",IFERROR(L200/H200-1,"")))</f>
        <v/>
      </c>
      <c r="M201" s="15">
        <f>IF(OR(M200="",I200=""),"",IF(I200&lt;=0,"",IFERROR(M200/I200-1,"")))</f>
        <v/>
      </c>
      <c r="N201" s="15">
        <f>IF(OR(N200="",J200=""),"",IF(J200&lt;=0,"",IFERROR(N200/J200-1,"")))</f>
        <v/>
      </c>
      <c r="V201" s="15">
        <f>IF(OR(V200="",U200=""),"",IF(U200&lt;=0,"",IFERROR(V200/U200-1,"")))</f>
        <v/>
      </c>
      <c r="W201" s="15">
        <f>IF(OR(W200="",V200=""),"",IF(V200&lt;=0,"",IFERROR(W200/V200-1,"")))</f>
        <v/>
      </c>
      <c r="X201" s="15">
        <f>IF(OR(X200="",W200=""),"",IF(W200&lt;=0,"",IFERROR(X200/W200-1,"")))</f>
        <v/>
      </c>
    </row>
    <row r="202">
      <c r="A202" s="18" t="inlineStr">
        <is>
          <t>LifestyleBusinessReportableSegmentMember · 계</t>
        </is>
      </c>
      <c r="C202" s="20" t="n">
        <v>6131</v>
      </c>
      <c r="D202" s="20" t="n">
        <v>2737</v>
      </c>
      <c r="E202" s="20" t="n">
        <v>2736</v>
      </c>
      <c r="F202" s="20" t="n">
        <v>2719</v>
      </c>
      <c r="G202" s="20" t="n">
        <v>5943</v>
      </c>
      <c r="H202" s="20" t="n">
        <v>3397</v>
      </c>
      <c r="I202" s="20" t="n">
        <v>3505</v>
      </c>
      <c r="J202" s="20" t="n">
        <v>3589</v>
      </c>
      <c r="K202" s="20" t="n">
        <v>5599</v>
      </c>
      <c r="L202" s="20" t="n">
        <v>4466</v>
      </c>
      <c r="M202" s="20" t="n">
        <v>4363</v>
      </c>
      <c r="N202" s="20" t="n">
        <v>4067</v>
      </c>
      <c r="V202" s="20" t="n">
        <v>2737</v>
      </c>
      <c r="W202" s="20" t="n">
        <v>3397</v>
      </c>
      <c r="X202" s="20" t="n">
        <v>4466</v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G203" s="15">
        <f>IF(OR(G202="",C202=""),"",IF(C202&lt;=0,"",IFERROR(G202/C202-1,"")))</f>
        <v/>
      </c>
      <c r="H203" s="15">
        <f>IF(OR(H202="",D202=""),"",IF(D202&lt;=0,"",IFERROR(H202/D202-1,"")))</f>
        <v/>
      </c>
      <c r="I203" s="15">
        <f>IF(OR(I202="",E202=""),"",IF(E202&lt;=0,"",IFERROR(I202/E202-1,"")))</f>
        <v/>
      </c>
      <c r="J203" s="15">
        <f>IF(OR(J202="",F202=""),"",IF(F202&lt;=0,"",IFERROR(J202/F202-1,"")))</f>
        <v/>
      </c>
      <c r="K203" s="15">
        <f>IF(OR(K202="",G202=""),"",IF(G202&lt;=0,"",IFERROR(K202/G202-1,"")))</f>
        <v/>
      </c>
      <c r="L203" s="15">
        <f>IF(OR(L202="",H202=""),"",IF(H202&lt;=0,"",IFERROR(L202/H202-1,"")))</f>
        <v/>
      </c>
      <c r="M203" s="15">
        <f>IF(OR(M202="",I202=""),"",IF(I202&lt;=0,"",IFERROR(M202/I202-1,"")))</f>
        <v/>
      </c>
      <c r="N203" s="15">
        <f>IF(OR(N202="",J202=""),"",IF(J202&lt;=0,"",IFERROR(N202/J202-1,"")))</f>
        <v/>
      </c>
      <c r="V203" s="15">
        <f>IF(OR(V202="",U202=""),"",IF(U202&lt;=0,"",IFERROR(V202/U202-1,"")))</f>
        <v/>
      </c>
      <c r="W203" s="15">
        <f>IF(OR(W202="",V202=""),"",IF(V202&lt;=0,"",IFERROR(W202/V202-1,"")))</f>
        <v/>
      </c>
      <c r="X203" s="15">
        <f>IF(OR(X202="",W202=""),"",IF(W202&lt;=0,"",IFERROR(X202/W202-1,"")))</f>
        <v/>
      </c>
    </row>
    <row r="204">
      <c r="A204" s="18" t="inlineStr">
        <is>
          <t>InvestmentBusinessReportableSegmentMember · 계</t>
        </is>
      </c>
      <c r="C204" s="20" t="n">
        <v>-28</v>
      </c>
      <c r="D204" s="20" t="n">
        <v>355</v>
      </c>
      <c r="E204" s="20" t="n">
        <v>614</v>
      </c>
      <c r="F204" s="20" t="n">
        <v>4339</v>
      </c>
      <c r="G204" s="20" t="n">
        <v>99</v>
      </c>
      <c r="H204" s="20" t="n">
        <v>644</v>
      </c>
      <c r="I204" s="20" t="n">
        <v>582</v>
      </c>
      <c r="J204" s="20" t="n">
        <v>2055</v>
      </c>
      <c r="K204" s="20" t="n">
        <v>999</v>
      </c>
      <c r="L204" s="20" t="n">
        <v>804</v>
      </c>
      <c r="M204" s="20" t="n">
        <v>1502</v>
      </c>
      <c r="N204" s="20" t="n">
        <v>1511</v>
      </c>
      <c r="V204" s="20" t="n">
        <v>355</v>
      </c>
      <c r="W204" s="20" t="n">
        <v>644</v>
      </c>
      <c r="X204" s="20" t="n">
        <v>804</v>
      </c>
    </row>
    <row r="205">
      <c r="A205" s="43" t="inlineStr">
        <is>
          <t>YoY</t>
        </is>
      </c>
      <c r="B205" s="3" t="inlineStr">
        <is>
          <t>전년 같은 분기·전년 대비</t>
        </is>
      </c>
      <c r="G205" s="15">
        <f>IF(OR(G204="",C204=""),"",IF(C204&lt;=0,"",IFERROR(G204/C204-1,"")))</f>
        <v/>
      </c>
      <c r="H205" s="15">
        <f>IF(OR(H204="",D204=""),"",IF(D204&lt;=0,"",IFERROR(H204/D204-1,"")))</f>
        <v/>
      </c>
      <c r="I205" s="15">
        <f>IF(OR(I204="",E204=""),"",IF(E204&lt;=0,"",IFERROR(I204/E204-1,"")))</f>
        <v/>
      </c>
      <c r="J205" s="15">
        <f>IF(OR(J204="",F204=""),"",IF(F204&lt;=0,"",IFERROR(J204/F204-1,"")))</f>
        <v/>
      </c>
      <c r="K205" s="15">
        <f>IF(OR(K204="",G204=""),"",IF(G204&lt;=0,"",IFERROR(K204/G204-1,"")))</f>
        <v/>
      </c>
      <c r="L205" s="15">
        <f>IF(OR(L204="",H204=""),"",IF(H204&lt;=0,"",IFERROR(L204/H204-1,"")))</f>
        <v/>
      </c>
      <c r="M205" s="15">
        <f>IF(OR(M204="",I204=""),"",IF(I204&lt;=0,"",IFERROR(M204/I204-1,"")))</f>
        <v/>
      </c>
      <c r="N205" s="15">
        <f>IF(OR(N204="",J204=""),"",IF(J204&lt;=0,"",IFERROR(N204/J204-1,"")))</f>
        <v/>
      </c>
      <c r="V205" s="15">
        <f>IF(OR(V204="",U204=""),"",IF(U204&lt;=0,"",IFERROR(V204/U204-1,"")))</f>
        <v/>
      </c>
      <c r="W205" s="15">
        <f>IF(OR(W204="",V204=""),"",IF(V204&lt;=0,"",IFERROR(W204/V204-1,"")))</f>
        <v/>
      </c>
      <c r="X205" s="15">
        <f>IF(OR(X204="",W204=""),"",IF(W204&lt;=0,"",IFERROR(X204/W204-1,"")))</f>
        <v/>
      </c>
    </row>
    <row r="206">
      <c r="A206" s="18" t="inlineStr">
        <is>
          <t>합계 · 계</t>
        </is>
      </c>
      <c r="E206" s="20" t="n">
        <v>30069</v>
      </c>
      <c r="I206" s="20" t="n">
        <v>31306</v>
      </c>
      <c r="M206" s="20" t="n">
        <v>47073</v>
      </c>
    </row>
    <row r="207">
      <c r="A207" s="43" t="inlineStr">
        <is>
          <t>YoY</t>
        </is>
      </c>
      <c r="B207" s="3" t="inlineStr">
        <is>
          <t>전년 같은 분기·전년 대비</t>
        </is>
      </c>
      <c r="I207" s="15">
        <f>IF(OR(I206="",E206=""),"",IF(E206&lt;=0,"",IFERROR(I206/E206-1,"")))</f>
        <v/>
      </c>
      <c r="M207" s="15">
        <f>IF(OR(M206="",I206=""),"",IF(I206&lt;=0,"",IFERROR(M206/I206-1,"")))</f>
        <v/>
      </c>
    </row>
    <row r="208">
      <c r="A208" s="18" t="inlineStr">
        <is>
          <t>보고부문 합계 · 계</t>
        </is>
      </c>
      <c r="C208" s="20" t="n">
        <v>41203</v>
      </c>
      <c r="D208" s="20" t="n">
        <v>41637</v>
      </c>
      <c r="G208" s="20" t="n">
        <v>41516</v>
      </c>
      <c r="H208" s="20" t="n">
        <v>44479</v>
      </c>
      <c r="K208" s="20" t="n">
        <v>48992</v>
      </c>
      <c r="L208" s="20" t="n">
        <v>54945</v>
      </c>
      <c r="V208" s="20" t="n">
        <v>41637</v>
      </c>
      <c r="W208" s="20" t="n">
        <v>44479</v>
      </c>
      <c r="X208" s="20" t="n">
        <v>54945</v>
      </c>
    </row>
    <row r="209">
      <c r="A209" s="43" t="inlineStr">
        <is>
          <t>YoY</t>
        </is>
      </c>
      <c r="B209" s="3" t="inlineStr">
        <is>
          <t>전년 같은 분기·전년 대비</t>
        </is>
      </c>
      <c r="G209" s="15">
        <f>IF(OR(G208="",C208=""),"",IF(C208&lt;=0,"",IFERROR(G208/C208-1,"")))</f>
        <v/>
      </c>
      <c r="H209" s="15">
        <f>IF(OR(H208="",D208=""),"",IF(D208&lt;=0,"",IFERROR(H208/D208-1,"")))</f>
        <v/>
      </c>
      <c r="K209" s="15">
        <f>IF(OR(K208="",G208=""),"",IF(G208&lt;=0,"",IFERROR(K208/G208-1,"")))</f>
        <v/>
      </c>
      <c r="L209" s="15">
        <f>IF(OR(L208="",H208=""),"",IF(H208&lt;=0,"",IFERROR(L208/H208-1,"")))</f>
        <v/>
      </c>
      <c r="V209" s="15">
        <f>IF(OR(V208="",U208=""),"",IF(U208&lt;=0,"",IFERROR(V208/U208-1,"")))</f>
        <v/>
      </c>
      <c r="W209" s="15">
        <f>IF(OR(W208="",V208=""),"",IF(V208&lt;=0,"",IFERROR(W208/V208-1,"")))</f>
        <v/>
      </c>
      <c r="X209" s="15">
        <f>IF(OR(X208="",W208=""),"",IF(W208&lt;=0,"",IFERROR(X208/W208-1,"")))</f>
        <v/>
      </c>
    </row>
    <row r="210">
      <c r="A210" s="18" t="inlineStr">
        <is>
          <t>조정액 · 계</t>
        </is>
      </c>
      <c r="C210" s="20" t="n">
        <v>38</v>
      </c>
      <c r="D210" s="20" t="n">
        <v>22</v>
      </c>
      <c r="E210" s="20" t="n">
        <v>17</v>
      </c>
      <c r="F210" s="20" t="n">
        <v>18</v>
      </c>
      <c r="G210" s="20" t="n">
        <v>16</v>
      </c>
      <c r="H210" s="20" t="n">
        <v>15</v>
      </c>
      <c r="I210" s="20" t="n">
        <v>16</v>
      </c>
      <c r="J210" s="20" t="n">
        <v>10</v>
      </c>
      <c r="K210" s="20" t="n">
        <v>6</v>
      </c>
      <c r="L210" s="20" t="n">
        <v>-1</v>
      </c>
      <c r="M210" s="20" t="n">
        <v>0</v>
      </c>
      <c r="N210" s="20" t="n">
        <v>0</v>
      </c>
      <c r="V210" s="20" t="n">
        <v>22</v>
      </c>
      <c r="W210" s="20" t="n">
        <v>15</v>
      </c>
      <c r="X210" s="20" t="n">
        <v>-1</v>
      </c>
    </row>
    <row r="211">
      <c r="A211" s="18" t="inlineStr">
        <is>
          <t>EntityTotalMember · 계</t>
        </is>
      </c>
      <c r="E211" s="20" t="n">
        <v>30087</v>
      </c>
      <c r="I211" s="20" t="n">
        <v>31323</v>
      </c>
      <c r="M211" s="20" t="n">
        <v>47073</v>
      </c>
    </row>
    <row r="212">
      <c r="A212" s="9" t="inlineStr">
        <is>
          <t>계</t>
        </is>
      </c>
      <c r="C212" s="12" t="n">
        <v>41241</v>
      </c>
      <c r="D212" s="12" t="n">
        <v>41659</v>
      </c>
      <c r="E212" s="12" t="n">
        <v>30087</v>
      </c>
      <c r="F212" s="12" t="n">
        <v>38733</v>
      </c>
      <c r="G212" s="12" t="n">
        <v>41532</v>
      </c>
      <c r="H212" s="12" t="n">
        <v>44495</v>
      </c>
      <c r="V212" s="12" t="n">
        <v>41659</v>
      </c>
      <c r="W212" s="12" t="n">
        <v>44495</v>
      </c>
    </row>
    <row r="213">
      <c r="A213" s="43" t="inlineStr">
        <is>
          <t>YoY</t>
        </is>
      </c>
      <c r="B213" s="3" t="inlineStr">
        <is>
          <t>전년 같은 분기·전년 대비</t>
        </is>
      </c>
      <c r="G213" s="15">
        <f>IF(OR(G212="",C212=""),"",IF(C212&lt;=0,"",IFERROR(G212/C212-1,"")))</f>
        <v/>
      </c>
      <c r="H213" s="15">
        <f>IF(OR(H212="",D212=""),"",IF(D212&lt;=0,"",IFERROR(H212/D212-1,"")))</f>
        <v/>
      </c>
      <c r="V213" s="15">
        <f>IF(OR(V212="",U212=""),"",IF(U212&lt;=0,"",IFERROR(V212/U212-1,"")))</f>
        <v/>
      </c>
      <c r="W213" s="15">
        <f>IF(OR(W212="",V212=""),"",IF(V212&lt;=0,"",IFERROR(W212/V212-1,"")))</f>
        <v/>
      </c>
    </row>
    <row r="214">
      <c r="A214" s="18" t="inlineStr">
        <is>
          <t>DigitalEntertainmentBusinessReportableSegmentMember · 부문 이익</t>
        </is>
      </c>
      <c r="C214" s="20" t="n">
        <v>10797</v>
      </c>
      <c r="D214" s="20" t="n">
        <v>14283</v>
      </c>
      <c r="E214" s="20" t="n">
        <v>7890</v>
      </c>
      <c r="F214" s="20" t="n">
        <v>8285</v>
      </c>
      <c r="G214" s="20" t="n">
        <v>12304</v>
      </c>
      <c r="H214" s="20" t="n">
        <v>15808</v>
      </c>
      <c r="I214" s="20" t="n">
        <v>7801</v>
      </c>
      <c r="J214" s="20" t="n">
        <v>8770</v>
      </c>
      <c r="K214" s="20" t="n">
        <v>10478</v>
      </c>
      <c r="L214" s="20" t="n">
        <v>16001</v>
      </c>
      <c r="M214" s="20" t="n">
        <v>10881</v>
      </c>
      <c r="N214" s="20" t="n">
        <v>13490</v>
      </c>
      <c r="V214" s="20" t="n">
        <v>14283</v>
      </c>
      <c r="W214" s="20" t="n">
        <v>15808</v>
      </c>
      <c r="X214" s="20" t="n">
        <v>16001</v>
      </c>
    </row>
    <row r="215">
      <c r="A215" s="43" t="inlineStr">
        <is>
          <t>OPM</t>
        </is>
      </c>
      <c r="B215" s="3" t="inlineStr">
        <is>
          <t>영업이익 ÷ 매출</t>
        </is>
      </c>
      <c r="C215" s="15">
        <f>IF(OR(C214="",C198=""),"",IF(C198&lt;=0,"",IFERROR(C214/C198,"")))</f>
        <v/>
      </c>
      <c r="D215" s="15">
        <f>IF(OR(D214="",D198=""),"",IF(D198&lt;=0,"",IFERROR(D214/D198,"")))</f>
        <v/>
      </c>
      <c r="E215" s="15">
        <f>IF(OR(E214="",E198=""),"",IF(E198&lt;=0,"",IFERROR(E214/E198,"")))</f>
        <v/>
      </c>
      <c r="F215" s="15">
        <f>IF(OR(F214="",F198=""),"",IF(F198&lt;=0,"",IFERROR(F214/F198,"")))</f>
        <v/>
      </c>
      <c r="G215" s="15">
        <f>IF(OR(G214="",G198=""),"",IF(G198&lt;=0,"",IFERROR(G214/G198,"")))</f>
        <v/>
      </c>
      <c r="H215" s="15">
        <f>IF(OR(H214="",H198=""),"",IF(H198&lt;=0,"",IFERROR(H214/H198,"")))</f>
        <v/>
      </c>
      <c r="I215" s="15">
        <f>IF(OR(I214="",I198=""),"",IF(I198&lt;=0,"",IFERROR(I214/I198,"")))</f>
        <v/>
      </c>
      <c r="J215" s="15">
        <f>IF(OR(J214="",J198=""),"",IF(J198&lt;=0,"",IFERROR(J214/J198,"")))</f>
        <v/>
      </c>
      <c r="K215" s="15">
        <f>IF(OR(K214="",K198=""),"",IF(K198&lt;=0,"",IFERROR(K214/K198,"")))</f>
        <v/>
      </c>
      <c r="L215" s="15">
        <f>IF(OR(L214="",L198=""),"",IF(L198&lt;=0,"",IFERROR(L214/L198,"")))</f>
        <v/>
      </c>
      <c r="M215" s="15">
        <f>IF(OR(M214="",M198=""),"",IF(M198&lt;=0,"",IFERROR(M214/M198,"")))</f>
        <v/>
      </c>
      <c r="N215" s="15">
        <f>IF(OR(N214="",N198=""),"",IF(N198&lt;=0,"",IFERROR(N214/N198,"")))</f>
        <v/>
      </c>
      <c r="V215" s="15">
        <f>IF(OR(V214="",V198=""),"",IF(V198&lt;=0,"",IFERROR(V214/V198,"")))</f>
        <v/>
      </c>
      <c r="W215" s="15">
        <f>IF(OR(W214="",W198=""),"",IF(W198&lt;=0,"",IFERROR(W214/W198,"")))</f>
        <v/>
      </c>
      <c r="X215" s="15">
        <f>IF(OR(X214="",X198=""),"",IF(X198&lt;=0,"",IFERROR(X214/X198,"")))</f>
        <v/>
      </c>
    </row>
    <row r="216">
      <c r="A216" s="43" t="inlineStr">
        <is>
          <t>YoY</t>
        </is>
      </c>
      <c r="B216" s="3" t="inlineStr">
        <is>
          <t>전년 같은 분기·전년 대비</t>
        </is>
      </c>
      <c r="G216" s="15">
        <f>IF(OR(G214="",C214=""),"",IF(C214&lt;=0,"",IFERROR(G214/C214-1,"")))</f>
        <v/>
      </c>
      <c r="H216" s="15">
        <f>IF(OR(H214="",D214=""),"",IF(D214&lt;=0,"",IFERROR(H214/D214-1,"")))</f>
        <v/>
      </c>
      <c r="I216" s="15">
        <f>IF(OR(I214="",E214=""),"",IF(E214&lt;=0,"",IFERROR(I214/E214-1,"")))</f>
        <v/>
      </c>
      <c r="J216" s="15">
        <f>IF(OR(J214="",F214=""),"",IF(F214&lt;=0,"",IFERROR(J214/F214-1,"")))</f>
        <v/>
      </c>
      <c r="K216" s="15">
        <f>IF(OR(K214="",G214=""),"",IF(G214&lt;=0,"",IFERROR(K214/G214-1,"")))</f>
        <v/>
      </c>
      <c r="L216" s="15">
        <f>IF(OR(L214="",H214=""),"",IF(H214&lt;=0,"",IFERROR(L214/H214-1,"")))</f>
        <v/>
      </c>
      <c r="M216" s="15">
        <f>IF(OR(M214="",I214=""),"",IF(I214&lt;=0,"",IFERROR(M214/I214-1,"")))</f>
        <v/>
      </c>
      <c r="N216" s="15">
        <f>IF(OR(N214="",J214=""),"",IF(J214&lt;=0,"",IFERROR(N214/J214-1,"")))</f>
        <v/>
      </c>
      <c r="V216" s="15">
        <f>IF(OR(V214="",U214=""),"",IF(U214&lt;=0,"",IFERROR(V214/U214-1,"")))</f>
        <v/>
      </c>
      <c r="W216" s="15">
        <f>IF(OR(W214="",V214=""),"",IF(V214&lt;=0,"",IFERROR(W214/V214-1,"")))</f>
        <v/>
      </c>
      <c r="X216" s="15">
        <f>IF(OR(X214="",W214=""),"",IF(W214&lt;=0,"",IFERROR(X214/W214-1,"")))</f>
        <v/>
      </c>
    </row>
    <row r="217">
      <c r="A217" s="18" t="inlineStr">
        <is>
          <t>SportsBusinessReportableSegmentMember · 부문 이익</t>
        </is>
      </c>
      <c r="C217" s="20" t="n">
        <v>-17</v>
      </c>
      <c r="D217" s="20" t="n">
        <v>768</v>
      </c>
      <c r="E217" s="20" t="n">
        <v>-160</v>
      </c>
      <c r="F217" s="20" t="n">
        <v>878</v>
      </c>
      <c r="G217" s="20" t="n">
        <v>395</v>
      </c>
      <c r="H217" s="20" t="n">
        <v>886</v>
      </c>
      <c r="I217" s="20" t="n">
        <v>604</v>
      </c>
      <c r="J217" s="20" t="n">
        <v>-163</v>
      </c>
      <c r="K217" s="20" t="n">
        <v>1477</v>
      </c>
      <c r="L217" s="20" t="n">
        <v>3170</v>
      </c>
      <c r="M217" s="20" t="n">
        <v>1258</v>
      </c>
      <c r="N217" s="20" t="n">
        <v>1481</v>
      </c>
      <c r="V217" s="20" t="n">
        <v>768</v>
      </c>
      <c r="W217" s="20" t="n">
        <v>886</v>
      </c>
      <c r="X217" s="20" t="n">
        <v>3170</v>
      </c>
    </row>
    <row r="218">
      <c r="A218" s="43" t="inlineStr">
        <is>
          <t>OPM</t>
        </is>
      </c>
      <c r="B218" s="3" t="inlineStr">
        <is>
          <t>영업이익 ÷ 매출</t>
        </is>
      </c>
      <c r="C218" s="15">
        <f>IF(OR(C217="",C200=""),"",IF(C200&lt;=0,"",IFERROR(C217/C200,"")))</f>
        <v/>
      </c>
      <c r="D218" s="15">
        <f>IF(OR(D217="",D200=""),"",IF(D200&lt;=0,"",IFERROR(D217/D200,"")))</f>
        <v/>
      </c>
      <c r="E218" s="15">
        <f>IF(OR(E217="",E200=""),"",IF(E200&lt;=0,"",IFERROR(E217/E200,"")))</f>
        <v/>
      </c>
      <c r="F218" s="15">
        <f>IF(OR(F217="",F200=""),"",IF(F200&lt;=0,"",IFERROR(F217/F200,"")))</f>
        <v/>
      </c>
      <c r="G218" s="15">
        <f>IF(OR(G217="",G200=""),"",IF(G200&lt;=0,"",IFERROR(G217/G200,"")))</f>
        <v/>
      </c>
      <c r="H218" s="15">
        <f>IF(OR(H217="",H200=""),"",IF(H200&lt;=0,"",IFERROR(H217/H200,"")))</f>
        <v/>
      </c>
      <c r="I218" s="15">
        <f>IF(OR(I217="",I200=""),"",IF(I200&lt;=0,"",IFERROR(I217/I200,"")))</f>
        <v/>
      </c>
      <c r="J218" s="15">
        <f>IF(OR(J217="",J200=""),"",IF(J200&lt;=0,"",IFERROR(J217/J200,"")))</f>
        <v/>
      </c>
      <c r="K218" s="15">
        <f>IF(OR(K217="",K200=""),"",IF(K200&lt;=0,"",IFERROR(K217/K200,"")))</f>
        <v/>
      </c>
      <c r="L218" s="15">
        <f>IF(OR(L217="",L200=""),"",IF(L200&lt;=0,"",IFERROR(L217/L200,"")))</f>
        <v/>
      </c>
      <c r="M218" s="15">
        <f>IF(OR(M217="",M200=""),"",IF(M200&lt;=0,"",IFERROR(M217/M200,"")))</f>
        <v/>
      </c>
      <c r="N218" s="15">
        <f>IF(OR(N217="",N200=""),"",IF(N200&lt;=0,"",IFERROR(N217/N200,"")))</f>
        <v/>
      </c>
      <c r="V218" s="15">
        <f>IF(OR(V217="",V200=""),"",IF(V200&lt;=0,"",IFERROR(V217/V200,"")))</f>
        <v/>
      </c>
      <c r="W218" s="15">
        <f>IF(OR(W217="",W200=""),"",IF(W200&lt;=0,"",IFERROR(W217/W200,"")))</f>
        <v/>
      </c>
      <c r="X218" s="15">
        <f>IF(OR(X217="",X200=""),"",IF(X200&lt;=0,"",IFERROR(X217/X200,"")))</f>
        <v/>
      </c>
    </row>
    <row r="219">
      <c r="A219" s="43" t="inlineStr">
        <is>
          <t>YoY</t>
        </is>
      </c>
      <c r="B219" s="3" t="inlineStr">
        <is>
          <t>전년 같은 분기·전년 대비</t>
        </is>
      </c>
      <c r="G219" s="15">
        <f>IF(OR(G217="",C217=""),"",IF(C217&lt;=0,"",IFERROR(G217/C217-1,"")))</f>
        <v/>
      </c>
      <c r="H219" s="15">
        <f>IF(OR(H217="",D217=""),"",IF(D217&lt;=0,"",IFERROR(H217/D217-1,"")))</f>
        <v/>
      </c>
      <c r="I219" s="15">
        <f>IF(OR(I217="",E217=""),"",IF(E217&lt;=0,"",IFERROR(I217/E217-1,"")))</f>
        <v/>
      </c>
      <c r="J219" s="15">
        <f>IF(OR(J217="",F217=""),"",IF(F217&lt;=0,"",IFERROR(J217/F217-1,"")))</f>
        <v/>
      </c>
      <c r="K219" s="15">
        <f>IF(OR(K217="",G217=""),"",IF(G217&lt;=0,"",IFERROR(K217/G217-1,"")))</f>
        <v/>
      </c>
      <c r="L219" s="15">
        <f>IF(OR(L217="",H217=""),"",IF(H217&lt;=0,"",IFERROR(L217/H217-1,"")))</f>
        <v/>
      </c>
      <c r="M219" s="15">
        <f>IF(OR(M217="",I217=""),"",IF(I217&lt;=0,"",IFERROR(M217/I217-1,"")))</f>
        <v/>
      </c>
      <c r="N219" s="15">
        <f>IF(OR(N217="",J217=""),"",IF(J217&lt;=0,"",IFERROR(N217/J217-1,"")))</f>
        <v/>
      </c>
      <c r="V219" s="15">
        <f>IF(OR(V217="",U217=""),"",IF(U217&lt;=0,"",IFERROR(V217/U217-1,"")))</f>
        <v/>
      </c>
      <c r="W219" s="15">
        <f>IF(OR(W217="",V217=""),"",IF(V217&lt;=0,"",IFERROR(W217/V217-1,"")))</f>
        <v/>
      </c>
      <c r="X219" s="15">
        <f>IF(OR(X217="",W217=""),"",IF(W217&lt;=0,"",IFERROR(X217/W217-1,"")))</f>
        <v/>
      </c>
    </row>
    <row r="220">
      <c r="A220" s="18" t="inlineStr">
        <is>
          <t>LifestyleBusinessReportableSegmentMember · 부문 이익</t>
        </is>
      </c>
      <c r="C220" s="20" t="n">
        <v>747</v>
      </c>
      <c r="D220" s="20" t="n">
        <v>-747</v>
      </c>
      <c r="E220" s="20" t="n">
        <v>-301</v>
      </c>
      <c r="F220" s="20" t="n">
        <v>-212</v>
      </c>
      <c r="G220" s="20" t="n">
        <v>1008</v>
      </c>
      <c r="H220" s="20" t="n">
        <v>-623</v>
      </c>
      <c r="I220" s="20" t="n">
        <v>-69</v>
      </c>
      <c r="J220" s="20" t="n">
        <v>141</v>
      </c>
      <c r="K220" s="20" t="n">
        <v>1079</v>
      </c>
      <c r="L220" s="20" t="n">
        <v>-275</v>
      </c>
      <c r="M220" s="20" t="n">
        <v>261</v>
      </c>
      <c r="N220" s="20" t="n">
        <v>644</v>
      </c>
      <c r="V220" s="20" t="n">
        <v>-747</v>
      </c>
      <c r="W220" s="20" t="n">
        <v>-623</v>
      </c>
      <c r="X220" s="20" t="n">
        <v>-275</v>
      </c>
    </row>
    <row r="221">
      <c r="A221" s="43" t="inlineStr">
        <is>
          <t>OPM</t>
        </is>
      </c>
      <c r="B221" s="3" t="inlineStr">
        <is>
          <t>영업이익 ÷ 매출</t>
        </is>
      </c>
      <c r="C221" s="15">
        <f>IF(OR(C220="",C202=""),"",IF(C202&lt;=0,"",IFERROR(C220/C202,"")))</f>
        <v/>
      </c>
      <c r="D221" s="15">
        <f>IF(OR(D220="",D202=""),"",IF(D202&lt;=0,"",IFERROR(D220/D202,"")))</f>
        <v/>
      </c>
      <c r="E221" s="15">
        <f>IF(OR(E220="",E202=""),"",IF(E202&lt;=0,"",IFERROR(E220/E202,"")))</f>
        <v/>
      </c>
      <c r="F221" s="15">
        <f>IF(OR(F220="",F202=""),"",IF(F202&lt;=0,"",IFERROR(F220/F202,"")))</f>
        <v/>
      </c>
      <c r="G221" s="15">
        <f>IF(OR(G220="",G202=""),"",IF(G202&lt;=0,"",IFERROR(G220/G202,"")))</f>
        <v/>
      </c>
      <c r="H221" s="15">
        <f>IF(OR(H220="",H202=""),"",IF(H202&lt;=0,"",IFERROR(H220/H202,"")))</f>
        <v/>
      </c>
      <c r="I221" s="15">
        <f>IF(OR(I220="",I202=""),"",IF(I202&lt;=0,"",IFERROR(I220/I202,"")))</f>
        <v/>
      </c>
      <c r="J221" s="15">
        <f>IF(OR(J220="",J202=""),"",IF(J202&lt;=0,"",IFERROR(J220/J202,"")))</f>
        <v/>
      </c>
      <c r="K221" s="15">
        <f>IF(OR(K220="",K202=""),"",IF(K202&lt;=0,"",IFERROR(K220/K202,"")))</f>
        <v/>
      </c>
      <c r="L221" s="15">
        <f>IF(OR(L220="",L202=""),"",IF(L202&lt;=0,"",IFERROR(L220/L202,"")))</f>
        <v/>
      </c>
      <c r="M221" s="15">
        <f>IF(OR(M220="",M202=""),"",IF(M202&lt;=0,"",IFERROR(M220/M202,"")))</f>
        <v/>
      </c>
      <c r="N221" s="15">
        <f>IF(OR(N220="",N202=""),"",IF(N202&lt;=0,"",IFERROR(N220/N202,"")))</f>
        <v/>
      </c>
      <c r="V221" s="15">
        <f>IF(OR(V220="",V202=""),"",IF(V202&lt;=0,"",IFERROR(V220/V202,"")))</f>
        <v/>
      </c>
      <c r="W221" s="15">
        <f>IF(OR(W220="",W202=""),"",IF(W202&lt;=0,"",IFERROR(W220/W202,"")))</f>
        <v/>
      </c>
      <c r="X221" s="15">
        <f>IF(OR(X220="",X202=""),"",IF(X202&lt;=0,"",IFERROR(X220/X202,"")))</f>
        <v/>
      </c>
    </row>
    <row r="222">
      <c r="A222" s="43" t="inlineStr">
        <is>
          <t>YoY</t>
        </is>
      </c>
      <c r="B222" s="3" t="inlineStr">
        <is>
          <t>전년 같은 분기·전년 대비</t>
        </is>
      </c>
      <c r="G222" s="15">
        <f>IF(OR(G220="",C220=""),"",IF(C220&lt;=0,"",IFERROR(G220/C220-1,"")))</f>
        <v/>
      </c>
      <c r="H222" s="15">
        <f>IF(OR(H220="",D220=""),"",IF(D220&lt;=0,"",IFERROR(H220/D220-1,"")))</f>
        <v/>
      </c>
      <c r="I222" s="15">
        <f>IF(OR(I220="",E220=""),"",IF(E220&lt;=0,"",IFERROR(I220/E220-1,"")))</f>
        <v/>
      </c>
      <c r="J222" s="15">
        <f>IF(OR(J220="",F220=""),"",IF(F220&lt;=0,"",IFERROR(J220/F220-1,"")))</f>
        <v/>
      </c>
      <c r="K222" s="15">
        <f>IF(OR(K220="",G220=""),"",IF(G220&lt;=0,"",IFERROR(K220/G220-1,"")))</f>
        <v/>
      </c>
      <c r="L222" s="15">
        <f>IF(OR(L220="",H220=""),"",IF(H220&lt;=0,"",IFERROR(L220/H220-1,"")))</f>
        <v/>
      </c>
      <c r="M222" s="15">
        <f>IF(OR(M220="",I220=""),"",IF(I220&lt;=0,"",IFERROR(M220/I220-1,"")))</f>
        <v/>
      </c>
      <c r="N222" s="15">
        <f>IF(OR(N220="",J220=""),"",IF(J220&lt;=0,"",IFERROR(N220/J220-1,"")))</f>
        <v/>
      </c>
      <c r="V222" s="15">
        <f>IF(OR(V220="",U220=""),"",IF(U220&lt;=0,"",IFERROR(V220/U220-1,"")))</f>
        <v/>
      </c>
      <c r="W222" s="15">
        <f>IF(OR(W220="",V220=""),"",IF(V220&lt;=0,"",IFERROR(W220/V220-1,"")))</f>
        <v/>
      </c>
      <c r="X222" s="15">
        <f>IF(OR(X220="",W220=""),"",IF(W220&lt;=0,"",IFERROR(X220/W220-1,"")))</f>
        <v/>
      </c>
    </row>
    <row r="223">
      <c r="A223" s="18" t="inlineStr">
        <is>
          <t>InvestmentBusinessReportableSegmentMember · 부문 이익</t>
        </is>
      </c>
      <c r="C223" s="20" t="n">
        <v>-346</v>
      </c>
      <c r="D223" s="20" t="n">
        <v>-247</v>
      </c>
      <c r="E223" s="20" t="n">
        <v>288</v>
      </c>
      <c r="F223" s="20" t="n">
        <v>2119</v>
      </c>
      <c r="G223" s="20" t="n">
        <v>179</v>
      </c>
      <c r="H223" s="20" t="n">
        <v>-605</v>
      </c>
      <c r="I223" s="20" t="n">
        <v>-39</v>
      </c>
      <c r="J223" s="20" t="n">
        <v>1504</v>
      </c>
      <c r="K223" s="20" t="n">
        <v>-82</v>
      </c>
      <c r="L223" s="20" t="n">
        <v>-382</v>
      </c>
      <c r="M223" s="20" t="n">
        <v>860</v>
      </c>
      <c r="N223" s="20" t="n">
        <v>26</v>
      </c>
      <c r="V223" s="20" t="n">
        <v>-247</v>
      </c>
      <c r="W223" s="20" t="n">
        <v>-605</v>
      </c>
      <c r="X223" s="20" t="n">
        <v>-382</v>
      </c>
    </row>
    <row r="224">
      <c r="A224" s="43" t="inlineStr">
        <is>
          <t>OPM</t>
        </is>
      </c>
      <c r="B224" s="3" t="inlineStr">
        <is>
          <t>영업이익 ÷ 매출</t>
        </is>
      </c>
      <c r="C224" s="15">
        <f>IF(OR(C223="",C204=""),"",IF(C204&lt;=0,"",IFERROR(C223/C204,"")))</f>
        <v/>
      </c>
      <c r="D224" s="15">
        <f>IF(OR(D223="",D204=""),"",IF(D204&lt;=0,"",IFERROR(D223/D204,"")))</f>
        <v/>
      </c>
      <c r="E224" s="15">
        <f>IF(OR(E223="",E204=""),"",IF(E204&lt;=0,"",IFERROR(E223/E204,"")))</f>
        <v/>
      </c>
      <c r="F224" s="15">
        <f>IF(OR(F223="",F204=""),"",IF(F204&lt;=0,"",IFERROR(F223/F204,"")))</f>
        <v/>
      </c>
      <c r="G224" s="15">
        <f>IF(OR(G223="",G204=""),"",IF(G204&lt;=0,"",IFERROR(G223/G204,"")))</f>
        <v/>
      </c>
      <c r="H224" s="15">
        <f>IF(OR(H223="",H204=""),"",IF(H204&lt;=0,"",IFERROR(H223/H204,"")))</f>
        <v/>
      </c>
      <c r="I224" s="15">
        <f>IF(OR(I223="",I204=""),"",IF(I204&lt;=0,"",IFERROR(I223/I204,"")))</f>
        <v/>
      </c>
      <c r="J224" s="15">
        <f>IF(OR(J223="",J204=""),"",IF(J204&lt;=0,"",IFERROR(J223/J204,"")))</f>
        <v/>
      </c>
      <c r="K224" s="15">
        <f>IF(OR(K223="",K204=""),"",IF(K204&lt;=0,"",IFERROR(K223/K204,"")))</f>
        <v/>
      </c>
      <c r="L224" s="15">
        <f>IF(OR(L223="",L204=""),"",IF(L204&lt;=0,"",IFERROR(L223/L204,"")))</f>
        <v/>
      </c>
      <c r="M224" s="15">
        <f>IF(OR(M223="",M204=""),"",IF(M204&lt;=0,"",IFERROR(M223/M204,"")))</f>
        <v/>
      </c>
      <c r="N224" s="15">
        <f>IF(OR(N223="",N204=""),"",IF(N204&lt;=0,"",IFERROR(N223/N204,"")))</f>
        <v/>
      </c>
      <c r="V224" s="15">
        <f>IF(OR(V223="",V204=""),"",IF(V204&lt;=0,"",IFERROR(V223/V204,"")))</f>
        <v/>
      </c>
      <c r="W224" s="15">
        <f>IF(OR(W223="",W204=""),"",IF(W204&lt;=0,"",IFERROR(W223/W204,"")))</f>
        <v/>
      </c>
      <c r="X224" s="15">
        <f>IF(OR(X223="",X204=""),"",IF(X204&lt;=0,"",IFERROR(X223/X204,"")))</f>
        <v/>
      </c>
    </row>
    <row r="225">
      <c r="A225" s="43" t="inlineStr">
        <is>
          <t>YoY</t>
        </is>
      </c>
      <c r="B225" s="3" t="inlineStr">
        <is>
          <t>전년 같은 분기·전년 대비</t>
        </is>
      </c>
      <c r="G225" s="15">
        <f>IF(OR(G223="",C223=""),"",IF(C223&lt;=0,"",IFERROR(G223/C223-1,"")))</f>
        <v/>
      </c>
      <c r="H225" s="15">
        <f>IF(OR(H223="",D223=""),"",IF(D223&lt;=0,"",IFERROR(H223/D223-1,"")))</f>
        <v/>
      </c>
      <c r="I225" s="15">
        <f>IF(OR(I223="",E223=""),"",IF(E223&lt;=0,"",IFERROR(I223/E223-1,"")))</f>
        <v/>
      </c>
      <c r="J225" s="15">
        <f>IF(OR(J223="",F223=""),"",IF(F223&lt;=0,"",IFERROR(J223/F223-1,"")))</f>
        <v/>
      </c>
      <c r="K225" s="15">
        <f>IF(OR(K223="",G223=""),"",IF(G223&lt;=0,"",IFERROR(K223/G223-1,"")))</f>
        <v/>
      </c>
      <c r="L225" s="15">
        <f>IF(OR(L223="",H223=""),"",IF(H223&lt;=0,"",IFERROR(L223/H223-1,"")))</f>
        <v/>
      </c>
      <c r="M225" s="15">
        <f>IF(OR(M223="",I223=""),"",IF(I223&lt;=0,"",IFERROR(M223/I223-1,"")))</f>
        <v/>
      </c>
      <c r="N225" s="15">
        <f>IF(OR(N223="",J223=""),"",IF(J223&lt;=0,"",IFERROR(N223/J223-1,"")))</f>
        <v/>
      </c>
      <c r="V225" s="15">
        <f>IF(OR(V223="",U223=""),"",IF(U223&lt;=0,"",IFERROR(V223/U223-1,"")))</f>
        <v/>
      </c>
      <c r="W225" s="15">
        <f>IF(OR(W223="",V223=""),"",IF(V223&lt;=0,"",IFERROR(W223/V223-1,"")))</f>
        <v/>
      </c>
      <c r="X225" s="15">
        <f>IF(OR(X223="",W223=""),"",IF(W223&lt;=0,"",IFERROR(X223/W223-1,"")))</f>
        <v/>
      </c>
    </row>
    <row r="226">
      <c r="A226" s="18" t="inlineStr">
        <is>
          <t>합계 · 부문 이익(손실)</t>
        </is>
      </c>
      <c r="E226" s="20" t="n">
        <v>7716</v>
      </c>
      <c r="I226" s="20" t="n">
        <v>8297</v>
      </c>
      <c r="M226" s="20" t="n">
        <v>13261</v>
      </c>
    </row>
    <row r="227">
      <c r="A227" s="43" t="inlineStr">
        <is>
          <t>OPM</t>
        </is>
      </c>
      <c r="B227" s="3" t="inlineStr">
        <is>
          <t>영업이익 ÷ 매출</t>
        </is>
      </c>
      <c r="E227" s="15">
        <f>IF(OR(E226="",E206=""),"",IF(E206&lt;=0,"",IFERROR(E226/E206,"")))</f>
        <v/>
      </c>
      <c r="I227" s="15">
        <f>IF(OR(I226="",I206=""),"",IF(I206&lt;=0,"",IFERROR(I226/I206,"")))</f>
        <v/>
      </c>
      <c r="M227" s="15">
        <f>IF(OR(M226="",M206=""),"",IF(M206&lt;=0,"",IFERROR(M226/M206,"")))</f>
        <v/>
      </c>
    </row>
    <row r="228">
      <c r="A228" s="43" t="inlineStr">
        <is>
          <t>YoY</t>
        </is>
      </c>
      <c r="B228" s="3" t="inlineStr">
        <is>
          <t>전년 같은 분기·전년 대비</t>
        </is>
      </c>
      <c r="I228" s="15">
        <f>IF(OR(I226="",E226=""),"",IF(E226&lt;=0,"",IFERROR(I226/E226-1,"")))</f>
        <v/>
      </c>
      <c r="M228" s="15">
        <f>IF(OR(M226="",I226=""),"",IF(I226&lt;=0,"",IFERROR(M226/I226-1,"")))</f>
        <v/>
      </c>
    </row>
    <row r="229">
      <c r="A229" s="18" t="inlineStr">
        <is>
          <t>보고부문 합계 · 부문 이익</t>
        </is>
      </c>
      <c r="C229" s="20" t="n">
        <v>11183</v>
      </c>
      <c r="D229" s="20" t="n">
        <v>14055</v>
      </c>
      <c r="G229" s="20" t="n">
        <v>13886</v>
      </c>
      <c r="H229" s="20" t="n">
        <v>15465</v>
      </c>
      <c r="K229" s="20" t="n">
        <v>12952</v>
      </c>
      <c r="L229" s="20" t="n">
        <v>18514</v>
      </c>
      <c r="V229" s="20" t="n">
        <v>14055</v>
      </c>
      <c r="W229" s="20" t="n">
        <v>15465</v>
      </c>
      <c r="X229" s="20" t="n">
        <v>18514</v>
      </c>
    </row>
    <row r="230">
      <c r="A230" s="43" t="inlineStr">
        <is>
          <t>OPM</t>
        </is>
      </c>
      <c r="B230" s="3" t="inlineStr">
        <is>
          <t>영업이익 ÷ 매출</t>
        </is>
      </c>
      <c r="C230" s="15">
        <f>IF(OR(C229="",C208=""),"",IF(C208&lt;=0,"",IFERROR(C229/C208,"")))</f>
        <v/>
      </c>
      <c r="D230" s="15">
        <f>IF(OR(D229="",D208=""),"",IF(D208&lt;=0,"",IFERROR(D229/D208,"")))</f>
        <v/>
      </c>
      <c r="G230" s="15">
        <f>IF(OR(G229="",G208=""),"",IF(G208&lt;=0,"",IFERROR(G229/G208,"")))</f>
        <v/>
      </c>
      <c r="H230" s="15">
        <f>IF(OR(H229="",H208=""),"",IF(H208&lt;=0,"",IFERROR(H229/H208,"")))</f>
        <v/>
      </c>
      <c r="K230" s="15">
        <f>IF(OR(K229="",K208=""),"",IF(K208&lt;=0,"",IFERROR(K229/K208,"")))</f>
        <v/>
      </c>
      <c r="L230" s="15">
        <f>IF(OR(L229="",L208=""),"",IF(L208&lt;=0,"",IFERROR(L229/L208,"")))</f>
        <v/>
      </c>
      <c r="V230" s="15">
        <f>IF(OR(V229="",V208=""),"",IF(V208&lt;=0,"",IFERROR(V229/V208,"")))</f>
        <v/>
      </c>
      <c r="W230" s="15">
        <f>IF(OR(W229="",W208=""),"",IF(W208&lt;=0,"",IFERROR(W229/W208,"")))</f>
        <v/>
      </c>
      <c r="X230" s="15">
        <f>IF(OR(X229="",X208=""),"",IF(X208&lt;=0,"",IFERROR(X229/X208,"")))</f>
        <v/>
      </c>
    </row>
    <row r="231">
      <c r="A231" s="43" t="inlineStr">
        <is>
          <t>YoY</t>
        </is>
      </c>
      <c r="B231" s="3" t="inlineStr">
        <is>
          <t>전년 같은 분기·전년 대비</t>
        </is>
      </c>
      <c r="G231" s="15">
        <f>IF(OR(G229="",C229=""),"",IF(C229&lt;=0,"",IFERROR(G229/C229-1,"")))</f>
        <v/>
      </c>
      <c r="H231" s="15">
        <f>IF(OR(H229="",D229=""),"",IF(D229&lt;=0,"",IFERROR(H229/D229-1,"")))</f>
        <v/>
      </c>
      <c r="K231" s="15">
        <f>IF(OR(K229="",G229=""),"",IF(G229&lt;=0,"",IFERROR(K229/G229-1,"")))</f>
        <v/>
      </c>
      <c r="L231" s="15">
        <f>IF(OR(L229="",H229=""),"",IF(H229&lt;=0,"",IFERROR(L229/H229-1,"")))</f>
        <v/>
      </c>
      <c r="V231" s="15">
        <f>IF(OR(V229="",U229=""),"",IF(U229&lt;=0,"",IFERROR(V229/U229-1,"")))</f>
        <v/>
      </c>
      <c r="W231" s="15">
        <f>IF(OR(W229="",V229=""),"",IF(V229&lt;=0,"",IFERROR(W229/V229-1,"")))</f>
        <v/>
      </c>
      <c r="X231" s="15">
        <f>IF(OR(X229="",W229=""),"",IF(W229&lt;=0,"",IFERROR(X229/W229-1,"")))</f>
        <v/>
      </c>
    </row>
    <row r="232">
      <c r="A232" s="18" t="inlineStr">
        <is>
          <t>조정액 · 부문 이익</t>
        </is>
      </c>
      <c r="C232" s="20" t="n">
        <v>-4518</v>
      </c>
      <c r="D232" s="20" t="n">
        <v>-5354</v>
      </c>
      <c r="E232" s="20" t="n">
        <v>-4928</v>
      </c>
      <c r="F232" s="20" t="n">
        <v>-5111</v>
      </c>
      <c r="G232" s="20" t="n">
        <v>-5605</v>
      </c>
      <c r="H232" s="20" t="n">
        <v>-5895</v>
      </c>
      <c r="I232" s="20" t="n">
        <v>-5620</v>
      </c>
      <c r="J232" s="20" t="n">
        <v>-5717</v>
      </c>
      <c r="K232" s="20" t="n">
        <v>-6997</v>
      </c>
      <c r="L232" s="20" t="n">
        <v>-9427</v>
      </c>
      <c r="M232" s="20" t="n">
        <v>-7832</v>
      </c>
      <c r="N232" s="20" t="n">
        <v>-8489</v>
      </c>
      <c r="V232" s="20" t="n">
        <v>-5354</v>
      </c>
      <c r="W232" s="20" t="n">
        <v>-5895</v>
      </c>
      <c r="X232" s="20" t="n">
        <v>-9427</v>
      </c>
    </row>
    <row r="233">
      <c r="A233" s="18" t="inlineStr">
        <is>
          <t>EntityTotalMember · 부문 이익(손실)</t>
        </is>
      </c>
      <c r="E233" s="20" t="n">
        <v>2787</v>
      </c>
      <c r="I233" s="20" t="n">
        <v>2677</v>
      </c>
      <c r="M233" s="20" t="n">
        <v>5428</v>
      </c>
    </row>
    <row r="234">
      <c r="A234" s="9" t="inlineStr">
        <is>
          <t>부문 이익</t>
        </is>
      </c>
      <c r="C234" s="12" t="n">
        <v>6664</v>
      </c>
      <c r="D234" s="12" t="n">
        <v>8702</v>
      </c>
      <c r="E234" s="12" t="n">
        <v>2787</v>
      </c>
      <c r="F234" s="12" t="n">
        <v>5961</v>
      </c>
      <c r="G234" s="12" t="n">
        <v>8282</v>
      </c>
      <c r="H234" s="12" t="n">
        <v>9570</v>
      </c>
      <c r="V234" s="12" t="n">
        <v>8702</v>
      </c>
      <c r="W234" s="12" t="n">
        <v>9570</v>
      </c>
    </row>
    <row r="235">
      <c r="A235" s="43" t="inlineStr">
        <is>
          <t>OPM</t>
        </is>
      </c>
      <c r="B235" s="3" t="inlineStr">
        <is>
          <t>영업이익 ÷ 매출</t>
        </is>
      </c>
      <c r="C235" s="15">
        <f>IF(OR(C234="",C187=""),"",IF(C187&lt;=0,"",IFERROR(C234/C187,"")))</f>
        <v/>
      </c>
      <c r="D235" s="15">
        <f>IF(OR(D234="",D187=""),"",IF(D187&lt;=0,"",IFERROR(D234/D187,"")))</f>
        <v/>
      </c>
      <c r="E235" s="15">
        <f>IF(OR(E234="",E187=""),"",IF(E187&lt;=0,"",IFERROR(E234/E187,"")))</f>
        <v/>
      </c>
      <c r="F235" s="15">
        <f>IF(OR(F234="",F187=""),"",IF(F187&lt;=0,"",IFERROR(F234/F187,"")))</f>
        <v/>
      </c>
      <c r="G235" s="15">
        <f>IF(OR(G234="",G187=""),"",IF(G187&lt;=0,"",IFERROR(G234/G187,"")))</f>
        <v/>
      </c>
      <c r="H235" s="15">
        <f>IF(OR(H234="",H187=""),"",IF(H187&lt;=0,"",IFERROR(H234/H187,"")))</f>
        <v/>
      </c>
      <c r="V235" s="15">
        <f>IF(OR(V234="",V187=""),"",IF(V187&lt;=0,"",IFERROR(V234/V187,"")))</f>
        <v/>
      </c>
      <c r="W235" s="15">
        <f>IF(OR(W234="",W187=""),"",IF(W187&lt;=0,"",IFERROR(W234/W187,"")))</f>
        <v/>
      </c>
    </row>
    <row r="236">
      <c r="A236" s="43" t="inlineStr">
        <is>
          <t>YoY</t>
        </is>
      </c>
      <c r="B236" s="3" t="inlineStr">
        <is>
          <t>전년 같은 분기·전년 대비</t>
        </is>
      </c>
      <c r="G236" s="15">
        <f>IF(OR(G234="",C234=""),"",IF(C234&lt;=0,"",IFERROR(G234/C234-1,"")))</f>
        <v/>
      </c>
      <c r="H236" s="15">
        <f>IF(OR(H234="",D234=""),"",IF(D234&lt;=0,"",IFERROR(H234/D234-1,"")))</f>
        <v/>
      </c>
      <c r="V236" s="15">
        <f>IF(OR(V234="",U234=""),"",IF(U234&lt;=0,"",IFERROR(V234/U234-1,"")))</f>
        <v/>
      </c>
      <c r="W236" s="15">
        <f>IF(OR(W234="",V234=""),"",IF(V234&lt;=0,"",IFERROR(W234/V234-1,"")))</f>
        <v/>
      </c>
    </row>
    <row r="237">
      <c r="A237" s="18" t="inlineStr">
        <is>
          <t>DigitalEntertainmentBusinessReportableSegmentMember · 감가상각비</t>
        </is>
      </c>
      <c r="C237" s="20" t="n">
        <v>18</v>
      </c>
      <c r="D237" s="20" t="n">
        <v>54</v>
      </c>
      <c r="E237" s="20" t="n">
        <v>39</v>
      </c>
      <c r="F237" s="20" t="n">
        <v>41</v>
      </c>
      <c r="G237" s="20" t="n">
        <v>39</v>
      </c>
      <c r="H237" s="20" t="n">
        <v>68</v>
      </c>
      <c r="I237" s="20" t="n">
        <v>50</v>
      </c>
      <c r="J237" s="20" t="n">
        <v>51</v>
      </c>
      <c r="K237" s="20" t="n">
        <v>50</v>
      </c>
      <c r="L237" s="20" t="n">
        <v>52</v>
      </c>
      <c r="M237" s="20" t="n">
        <v>41</v>
      </c>
      <c r="N237" s="20" t="n">
        <v>40</v>
      </c>
      <c r="V237" s="20" t="n">
        <v>54</v>
      </c>
      <c r="W237" s="20" t="n">
        <v>68</v>
      </c>
      <c r="X237" s="20" t="n">
        <v>52</v>
      </c>
    </row>
    <row r="238">
      <c r="A238" s="18" t="inlineStr">
        <is>
          <t>SportsBusinessReportableSegmentMember · 감가상각비</t>
        </is>
      </c>
      <c r="C238" s="20" t="n">
        <v>388</v>
      </c>
      <c r="D238" s="20" t="n">
        <v>411</v>
      </c>
      <c r="E238" s="20" t="n">
        <v>470</v>
      </c>
      <c r="F238" s="20" t="n">
        <v>552</v>
      </c>
      <c r="G238" s="20" t="n">
        <v>557</v>
      </c>
      <c r="H238" s="20" t="n">
        <v>754</v>
      </c>
      <c r="I238" s="20" t="n">
        <v>552</v>
      </c>
      <c r="J238" s="20" t="n">
        <v>596</v>
      </c>
      <c r="K238" s="20" t="n">
        <v>1377</v>
      </c>
      <c r="L238" s="20" t="n">
        <v>3168</v>
      </c>
      <c r="M238" s="20" t="n">
        <v>2237</v>
      </c>
      <c r="N238" s="20" t="n">
        <v>2198</v>
      </c>
      <c r="V238" s="20" t="n">
        <v>411</v>
      </c>
      <c r="W238" s="20" t="n">
        <v>754</v>
      </c>
      <c r="X238" s="20" t="n">
        <v>3168</v>
      </c>
    </row>
    <row r="239">
      <c r="A239" s="18" t="inlineStr">
        <is>
          <t>LifestyleBusinessReportableSegmentMember · 감가상각비</t>
        </is>
      </c>
      <c r="C239" s="20" t="n">
        <v>58</v>
      </c>
      <c r="D239" s="20" t="n">
        <v>60</v>
      </c>
      <c r="E239" s="20" t="n">
        <v>58</v>
      </c>
      <c r="F239" s="20" t="n">
        <v>53</v>
      </c>
      <c r="G239" s="20" t="n">
        <v>53</v>
      </c>
      <c r="H239" s="20" t="n">
        <v>51</v>
      </c>
      <c r="I239" s="20" t="n">
        <v>50</v>
      </c>
      <c r="J239" s="20" t="n">
        <v>51</v>
      </c>
      <c r="K239" s="20" t="n">
        <v>49</v>
      </c>
      <c r="L239" s="20" t="n">
        <v>47</v>
      </c>
      <c r="M239" s="20" t="n">
        <v>44</v>
      </c>
      <c r="N239" s="20" t="n">
        <v>45</v>
      </c>
      <c r="V239" s="20" t="n">
        <v>60</v>
      </c>
      <c r="W239" s="20" t="n">
        <v>51</v>
      </c>
      <c r="X239" s="20" t="n">
        <v>47</v>
      </c>
    </row>
    <row r="240">
      <c r="A240" s="18" t="inlineStr">
        <is>
          <t>InvestmentBusinessReportableSegmentMember · 감가상각비</t>
        </is>
      </c>
      <c r="C240" s="20" t="n">
        <v>0</v>
      </c>
      <c r="D240" s="20" t="n">
        <v>0</v>
      </c>
      <c r="E240" s="20" t="n">
        <v>0</v>
      </c>
      <c r="F240" s="20" t="n">
        <v>0</v>
      </c>
      <c r="G240" s="20" t="n">
        <v>0</v>
      </c>
      <c r="H240" s="20" t="n">
        <v>0</v>
      </c>
      <c r="I240" s="20" t="n">
        <v>0</v>
      </c>
      <c r="J240" s="20" t="n">
        <v>0</v>
      </c>
      <c r="K240" s="20" t="n">
        <v>0</v>
      </c>
      <c r="L240" s="20" t="n">
        <v>0</v>
      </c>
      <c r="M240" s="20" t="n">
        <v>0</v>
      </c>
      <c r="N240" s="20" t="n">
        <v>0</v>
      </c>
      <c r="V240" s="20" t="n">
        <v>0</v>
      </c>
      <c r="W240" s="20" t="n">
        <v>0</v>
      </c>
      <c r="X240" s="20" t="n">
        <v>0</v>
      </c>
    </row>
    <row r="241">
      <c r="A241" s="18" t="inlineStr">
        <is>
          <t>합계 · 감가상각비</t>
        </is>
      </c>
      <c r="E241" s="20" t="n">
        <v>568</v>
      </c>
      <c r="I241" s="20" t="n">
        <v>653</v>
      </c>
      <c r="M241" s="20" t="n">
        <v>2324</v>
      </c>
    </row>
    <row r="242">
      <c r="A242" s="18" t="inlineStr">
        <is>
          <t>보고부문 합계 · 감가상각비</t>
        </is>
      </c>
      <c r="C242" s="20" t="n">
        <v>464</v>
      </c>
      <c r="D242" s="20" t="n">
        <v>525</v>
      </c>
      <c r="G242" s="20" t="n">
        <v>649</v>
      </c>
      <c r="H242" s="20" t="n">
        <v>873</v>
      </c>
      <c r="K242" s="20" t="n">
        <v>1476</v>
      </c>
      <c r="L242" s="20" t="n">
        <v>3267</v>
      </c>
      <c r="V242" s="20" t="n">
        <v>525</v>
      </c>
      <c r="W242" s="20" t="n">
        <v>873</v>
      </c>
      <c r="X242" s="20" t="n">
        <v>3267</v>
      </c>
    </row>
    <row r="243">
      <c r="A243" s="18" t="inlineStr">
        <is>
          <t>조정액 · 감가상각비</t>
        </is>
      </c>
      <c r="C243" s="20" t="n">
        <v>273</v>
      </c>
      <c r="D243" s="20" t="n">
        <v>257</v>
      </c>
      <c r="E243" s="20" t="n">
        <v>223</v>
      </c>
      <c r="F243" s="20" t="n">
        <v>230</v>
      </c>
      <c r="G243" s="20" t="n">
        <v>243</v>
      </c>
      <c r="H243" s="20" t="n">
        <v>244</v>
      </c>
      <c r="I243" s="20" t="n">
        <v>191</v>
      </c>
      <c r="J243" s="20" t="n">
        <v>198</v>
      </c>
      <c r="K243" s="20" t="n">
        <v>201</v>
      </c>
      <c r="L243" s="20" t="n">
        <v>214</v>
      </c>
      <c r="M243" s="20" t="n">
        <v>172</v>
      </c>
      <c r="N243" s="20" t="n">
        <v>195</v>
      </c>
      <c r="V243" s="20" t="n">
        <v>257</v>
      </c>
      <c r="W243" s="20" t="n">
        <v>244</v>
      </c>
      <c r="X243" s="20" t="n">
        <v>214</v>
      </c>
    </row>
    <row r="244">
      <c r="A244" s="18" t="inlineStr">
        <is>
          <t>EntityTotalMember · 감가상각비</t>
        </is>
      </c>
      <c r="E244" s="20" t="n">
        <v>792</v>
      </c>
      <c r="I244" s="20" t="n">
        <v>845</v>
      </c>
      <c r="M244" s="20" t="n">
        <v>2496</v>
      </c>
    </row>
    <row r="245">
      <c r="A245" s="18" t="inlineStr">
        <is>
          <t>감가상각비</t>
        </is>
      </c>
      <c r="C245" s="20" t="n">
        <v>737</v>
      </c>
      <c r="D245" s="20" t="n">
        <v>781</v>
      </c>
      <c r="E245" s="20" t="n">
        <v>792</v>
      </c>
      <c r="F245" s="20" t="n">
        <v>875</v>
      </c>
      <c r="G245" s="20" t="n">
        <v>892</v>
      </c>
      <c r="H245" s="20" t="n">
        <v>1117</v>
      </c>
      <c r="V245" s="20" t="n">
        <v>781</v>
      </c>
      <c r="W245" s="20" t="n">
        <v>1117</v>
      </c>
    </row>
    <row r="246">
      <c r="A246" s="18" t="inlineStr">
        <is>
          <t>DigitalEntertainmentBusinessReportableSegmentMember · 영업권 상각</t>
        </is>
      </c>
      <c r="C246" s="20" t="n">
        <v>0</v>
      </c>
      <c r="D246" s="20" t="n">
        <v>0</v>
      </c>
      <c r="E246" s="20" t="n">
        <v>0</v>
      </c>
      <c r="F246" s="20" t="n">
        <v>0</v>
      </c>
      <c r="G246" s="20" t="n">
        <v>0</v>
      </c>
      <c r="H246" s="20" t="n">
        <v>0</v>
      </c>
      <c r="I246" s="20" t="n">
        <v>0</v>
      </c>
      <c r="J246" s="20" t="n">
        <v>0</v>
      </c>
      <c r="K246" s="20" t="n">
        <v>0</v>
      </c>
      <c r="L246" s="20" t="n">
        <v>0</v>
      </c>
      <c r="M246" s="20" t="n">
        <v>0</v>
      </c>
      <c r="N246" s="20" t="n">
        <v>0</v>
      </c>
      <c r="V246" s="20" t="n">
        <v>0</v>
      </c>
      <c r="W246" s="20" t="n">
        <v>0</v>
      </c>
      <c r="X246" s="20" t="n">
        <v>0</v>
      </c>
    </row>
    <row r="247">
      <c r="A247" s="18" t="inlineStr">
        <is>
          <t>SportsBusinessReportableSegmentMember · 영업권 상각</t>
        </is>
      </c>
      <c r="C247" s="20" t="n">
        <v>240</v>
      </c>
      <c r="D247" s="20" t="n">
        <v>239</v>
      </c>
      <c r="E247" s="20" t="n">
        <v>239</v>
      </c>
      <c r="F247" s="20" t="n">
        <v>239</v>
      </c>
      <c r="G247" s="20" t="n">
        <v>240</v>
      </c>
      <c r="H247" s="20" t="n">
        <v>235</v>
      </c>
      <c r="I247" s="20" t="n">
        <v>234</v>
      </c>
      <c r="J247" s="20" t="n">
        <v>235</v>
      </c>
      <c r="K247" s="20" t="n">
        <v>662</v>
      </c>
      <c r="L247" s="20" t="n">
        <v>548</v>
      </c>
      <c r="M247" s="20" t="n">
        <v>628</v>
      </c>
      <c r="N247" s="20" t="n">
        <v>626</v>
      </c>
      <c r="V247" s="20" t="n">
        <v>239</v>
      </c>
      <c r="W247" s="20" t="n">
        <v>235</v>
      </c>
      <c r="X247" s="20" t="n">
        <v>548</v>
      </c>
    </row>
    <row r="248">
      <c r="A248" s="18" t="inlineStr">
        <is>
          <t>LifestyleBusinessReportableSegmentMember · 영업권 상각</t>
        </is>
      </c>
      <c r="C248" s="20" t="n">
        <v>95</v>
      </c>
      <c r="D248" s="20" t="n">
        <v>95</v>
      </c>
      <c r="E248" s="20" t="n">
        <v>95</v>
      </c>
      <c r="F248" s="20" t="n">
        <v>120</v>
      </c>
      <c r="G248" s="20" t="n">
        <v>119</v>
      </c>
      <c r="H248" s="20" t="n">
        <v>130</v>
      </c>
      <c r="I248" s="20" t="n">
        <v>81</v>
      </c>
      <c r="J248" s="20" t="n">
        <v>82</v>
      </c>
      <c r="K248" s="20" t="n">
        <v>82</v>
      </c>
      <c r="L248" s="20" t="n">
        <v>96</v>
      </c>
      <c r="M248" s="20" t="n">
        <v>83</v>
      </c>
      <c r="N248" s="20" t="n">
        <v>84</v>
      </c>
      <c r="V248" s="20" t="n">
        <v>95</v>
      </c>
      <c r="W248" s="20" t="n">
        <v>130</v>
      </c>
      <c r="X248" s="20" t="n">
        <v>96</v>
      </c>
    </row>
    <row r="249">
      <c r="A249" s="18" t="inlineStr">
        <is>
          <t>InvestmentBusinessReportableSegmentMember · 영업권 상각</t>
        </is>
      </c>
      <c r="C249" s="20" t="n">
        <v>0</v>
      </c>
      <c r="D249" s="20" t="n">
        <v>0</v>
      </c>
      <c r="E249" s="20" t="n">
        <v>0</v>
      </c>
      <c r="F249" s="20" t="n">
        <v>0</v>
      </c>
      <c r="G249" s="20" t="n">
        <v>0</v>
      </c>
      <c r="H249" s="20" t="n">
        <v>0</v>
      </c>
      <c r="I249" s="20" t="n">
        <v>0</v>
      </c>
      <c r="J249" s="20" t="n">
        <v>0</v>
      </c>
      <c r="K249" s="20" t="n">
        <v>0</v>
      </c>
      <c r="L249" s="20" t="n">
        <v>0</v>
      </c>
      <c r="M249" s="20" t="n">
        <v>0</v>
      </c>
      <c r="N249" s="20" t="n">
        <v>27</v>
      </c>
      <c r="V249" s="20" t="n">
        <v>0</v>
      </c>
      <c r="W249" s="20" t="n">
        <v>0</v>
      </c>
      <c r="X249" s="20" t="n">
        <v>0</v>
      </c>
    </row>
    <row r="250">
      <c r="A250" s="18" t="inlineStr">
        <is>
          <t>합계 · 영업권 상각</t>
        </is>
      </c>
      <c r="E250" s="20" t="n">
        <v>334</v>
      </c>
      <c r="I250" s="20" t="n">
        <v>316</v>
      </c>
      <c r="M250" s="20" t="n">
        <v>712</v>
      </c>
    </row>
    <row r="251">
      <c r="A251" s="18" t="inlineStr">
        <is>
          <t>보고부문 합계 · 영업권 상각</t>
        </is>
      </c>
      <c r="C251" s="20" t="n">
        <v>334</v>
      </c>
      <c r="D251" s="20" t="n">
        <v>335</v>
      </c>
      <c r="G251" s="20" t="n">
        <v>360</v>
      </c>
      <c r="H251" s="20" t="n">
        <v>364</v>
      </c>
      <c r="K251" s="20" t="n">
        <v>744</v>
      </c>
      <c r="L251" s="20" t="n">
        <v>645</v>
      </c>
      <c r="V251" s="20" t="n">
        <v>335</v>
      </c>
      <c r="W251" s="20" t="n">
        <v>364</v>
      </c>
      <c r="X251" s="20" t="n">
        <v>645</v>
      </c>
    </row>
    <row r="252">
      <c r="A252" s="18" t="inlineStr">
        <is>
          <t>조정액 · 영업권 상각</t>
        </is>
      </c>
      <c r="C252" s="20" t="n">
        <v>0</v>
      </c>
      <c r="D252" s="20" t="n">
        <v>0</v>
      </c>
      <c r="E252" s="20" t="n">
        <v>0</v>
      </c>
      <c r="F252" s="20" t="n">
        <v>0</v>
      </c>
      <c r="G252" s="20" t="n">
        <v>0</v>
      </c>
      <c r="H252" s="20" t="n">
        <v>0</v>
      </c>
      <c r="I252" s="20" t="n">
        <v>0</v>
      </c>
      <c r="J252" s="20" t="n">
        <v>0</v>
      </c>
      <c r="K252" s="20" t="n">
        <v>0</v>
      </c>
      <c r="L252" s="20" t="n">
        <v>0</v>
      </c>
      <c r="M252" s="20" t="n">
        <v>0</v>
      </c>
      <c r="N252" s="20" t="n">
        <v>0</v>
      </c>
      <c r="V252" s="20" t="n">
        <v>0</v>
      </c>
      <c r="W252" s="20" t="n">
        <v>0</v>
      </c>
      <c r="X252" s="20" t="n">
        <v>0</v>
      </c>
    </row>
    <row r="253">
      <c r="A253" s="18" t="inlineStr">
        <is>
          <t>EntityTotalMember · 영업권 상각</t>
        </is>
      </c>
      <c r="E253" s="20" t="n">
        <v>334</v>
      </c>
      <c r="I253" s="20" t="n">
        <v>316</v>
      </c>
      <c r="M253" s="20" t="n">
        <v>712</v>
      </c>
    </row>
    <row r="254">
      <c r="A254" s="18" t="inlineStr">
        <is>
          <t>영업권 상각</t>
        </is>
      </c>
      <c r="C254" s="20" t="n">
        <v>334</v>
      </c>
      <c r="D254" s="20" t="n">
        <v>335</v>
      </c>
      <c r="E254" s="20" t="n">
        <v>334</v>
      </c>
      <c r="F254" s="20" t="n">
        <v>359</v>
      </c>
      <c r="G254" s="20" t="n">
        <v>360</v>
      </c>
      <c r="H254" s="20" t="n">
        <v>364</v>
      </c>
      <c r="V254" s="20" t="n">
        <v>335</v>
      </c>
      <c r="W254" s="20" t="n">
        <v>364</v>
      </c>
    </row>
    <row r="256">
      <c r="A256" s="16" t="inlineStr">
        <is>
          <t>현금흐름표 · 전 항목</t>
        </is>
      </c>
      <c r="B256" s="42" t="inlineStr">
        <is>
          <t>분기 = 결산기 첫날부터 누계(공시 그대로)</t>
        </is>
      </c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</row>
    <row r="257">
      <c r="A257" s="5" t="inlineStr">
        <is>
          <t>항목</t>
        </is>
      </c>
      <c r="B257" s="5" t="inlineStr">
        <is>
          <t>참고</t>
        </is>
      </c>
      <c r="C257" s="5" t="inlineStr">
        <is>
          <t>2024.3Q</t>
        </is>
      </c>
      <c r="D257" s="5" t="inlineStr">
        <is>
          <t>2024.4Q</t>
        </is>
      </c>
      <c r="E257" s="5" t="inlineStr">
        <is>
          <t>2025.1Q</t>
        </is>
      </c>
      <c r="F257" s="5" t="inlineStr">
        <is>
          <t>2025.2Q</t>
        </is>
      </c>
      <c r="G257" s="5" t="inlineStr">
        <is>
          <t>2025.3Q</t>
        </is>
      </c>
      <c r="H257" s="5" t="inlineStr">
        <is>
          <t>2025.4Q</t>
        </is>
      </c>
      <c r="I257" s="5" t="inlineStr">
        <is>
          <t>2026.1Q</t>
        </is>
      </c>
      <c r="J257" s="5" t="inlineStr">
        <is>
          <t>2026.2Q</t>
        </is>
      </c>
      <c r="K257" s="5" t="inlineStr">
        <is>
          <t>2026.3Q</t>
        </is>
      </c>
      <c r="L257" s="5" t="inlineStr">
        <is>
          <t>2026.4Q</t>
        </is>
      </c>
      <c r="M257" s="5" t="inlineStr">
        <is>
          <t>2027.1Q</t>
        </is>
      </c>
      <c r="N257" s="5" t="inlineStr">
        <is>
          <t>2027.2Q</t>
        </is>
      </c>
      <c r="O257" s="5" t="inlineStr">
        <is>
          <t>2017</t>
        </is>
      </c>
      <c r="P257" s="5" t="inlineStr">
        <is>
          <t>2018</t>
        </is>
      </c>
      <c r="Q257" s="5" t="inlineStr">
        <is>
          <t>2019</t>
        </is>
      </c>
      <c r="R257" s="5" t="inlineStr">
        <is>
          <t>2020</t>
        </is>
      </c>
      <c r="S257" s="5" t="inlineStr">
        <is>
          <t>2021</t>
        </is>
      </c>
      <c r="T257" s="5" t="inlineStr">
        <is>
          <t>2022</t>
        </is>
      </c>
      <c r="U257" s="5" t="inlineStr">
        <is>
          <t>2023</t>
        </is>
      </c>
      <c r="V257" s="5" t="inlineStr">
        <is>
          <t>2024</t>
        </is>
      </c>
      <c r="W257" s="5" t="inlineStr">
        <is>
          <t>2025</t>
        </is>
      </c>
      <c r="X257" s="5" t="inlineStr">
        <is>
          <t>2026</t>
        </is>
      </c>
      <c r="Y257" s="5" t="inlineStr">
        <is>
          <t>2027(MW)</t>
        </is>
      </c>
      <c r="Z257" s="5" t="inlineStr">
        <is>
          <t>2028(MW)</t>
        </is>
      </c>
      <c r="AA257" s="5" t="inlineStr">
        <is>
          <t>2029(MW)</t>
        </is>
      </c>
      <c r="AB257" s="5" t="inlineStr">
        <is>
          <t>2030(MW)</t>
        </is>
      </c>
      <c r="AC257" s="5" t="inlineStr">
        <is>
          <t>2031(MW)</t>
        </is>
      </c>
    </row>
    <row r="258">
      <c r="A258" s="9" t="inlineStr">
        <is>
          <t>법인세차감전 순이익</t>
        </is>
      </c>
      <c r="C258" s="12" t="n">
        <v>8056</v>
      </c>
      <c r="D258" s="12" t="n">
        <v>12630</v>
      </c>
      <c r="E258" s="12" t="n">
        <v>3352</v>
      </c>
      <c r="F258" s="12" t="n">
        <v>9264</v>
      </c>
      <c r="G258" s="12" t="n">
        <v>16691</v>
      </c>
      <c r="H258" s="12" t="n">
        <v>26434</v>
      </c>
      <c r="I258" s="12" t="n">
        <v>2274</v>
      </c>
      <c r="J258" s="12" t="n">
        <v>7654</v>
      </c>
      <c r="K258" s="12" t="n">
        <v>15456</v>
      </c>
      <c r="L258" s="12" t="n">
        <v>24885</v>
      </c>
      <c r="M258" s="12" t="n">
        <v>5647</v>
      </c>
      <c r="N258" s="12" t="n">
        <v>12199</v>
      </c>
      <c r="O258" s="12" t="n">
        <v>87428</v>
      </c>
      <c r="P258" s="12" t="n">
        <v>64920</v>
      </c>
      <c r="Q258" s="12" t="n">
        <v>39063</v>
      </c>
      <c r="R258" s="12" t="n">
        <v>15978</v>
      </c>
      <c r="S258" s="12" t="n">
        <v>23201</v>
      </c>
      <c r="T258" s="12" t="n">
        <v>11254</v>
      </c>
      <c r="U258" s="12" t="n">
        <v>12630</v>
      </c>
      <c r="V258" s="12" t="n">
        <v>12630</v>
      </c>
      <c r="W258" s="12" t="n">
        <v>26434</v>
      </c>
      <c r="X258" s="12" t="n">
        <v>24885</v>
      </c>
    </row>
    <row r="259">
      <c r="A259" s="18" t="inlineStr">
        <is>
          <t>감가상각비</t>
        </is>
      </c>
      <c r="C259" s="20" t="n">
        <v>1031</v>
      </c>
      <c r="D259" s="20" t="n">
        <v>1445</v>
      </c>
      <c r="E259" s="20" t="n">
        <v>417</v>
      </c>
      <c r="F259" s="20" t="n">
        <v>919</v>
      </c>
      <c r="G259" s="20" t="n">
        <v>1440</v>
      </c>
      <c r="H259" s="20" t="n">
        <v>2187</v>
      </c>
      <c r="I259" s="20" t="n">
        <v>487</v>
      </c>
      <c r="J259" s="20" t="n">
        <v>1023</v>
      </c>
      <c r="K259" s="20" t="n">
        <v>1698</v>
      </c>
      <c r="L259" s="20" t="n">
        <v>2400</v>
      </c>
      <c r="M259" s="20" t="n">
        <v>543</v>
      </c>
      <c r="N259" s="20" t="n">
        <v>1222</v>
      </c>
      <c r="O259" s="20" t="n">
        <v>375</v>
      </c>
      <c r="P259" s="20" t="n">
        <v>783</v>
      </c>
      <c r="Q259" s="20" t="n">
        <v>1058</v>
      </c>
      <c r="R259" s="20" t="n">
        <v>1482</v>
      </c>
      <c r="S259" s="20" t="n">
        <v>1466</v>
      </c>
      <c r="T259" s="20" t="n">
        <v>1529</v>
      </c>
      <c r="U259" s="20" t="n">
        <v>1445</v>
      </c>
      <c r="V259" s="20" t="n">
        <v>1445</v>
      </c>
      <c r="W259" s="20" t="n">
        <v>2187</v>
      </c>
      <c r="X259" s="20" t="n">
        <v>2400</v>
      </c>
    </row>
    <row r="260">
      <c r="A260" s="18" t="inlineStr">
        <is>
          <t>Depreciation Of Intangible Assets Ope CF</t>
        </is>
      </c>
      <c r="C260" s="20" t="n">
        <v>1168</v>
      </c>
      <c r="D260" s="20" t="n">
        <v>1535</v>
      </c>
      <c r="E260" s="20" t="n">
        <v>373</v>
      </c>
      <c r="F260" s="20" t="n">
        <v>745</v>
      </c>
      <c r="G260" s="20" t="n">
        <v>1119</v>
      </c>
      <c r="H260" s="20" t="n">
        <v>1488</v>
      </c>
      <c r="I260" s="20" t="n">
        <v>357</v>
      </c>
      <c r="J260" s="20" t="n">
        <v>717</v>
      </c>
      <c r="K260" s="20" t="n">
        <v>1719</v>
      </c>
      <c r="L260" s="20" t="n">
        <v>4499</v>
      </c>
      <c r="M260" s="20" t="n">
        <v>1952</v>
      </c>
      <c r="N260" s="20" t="n">
        <v>3751</v>
      </c>
      <c r="Q260" s="20" t="n">
        <v>0</v>
      </c>
      <c r="R260" s="20" t="n">
        <v>816</v>
      </c>
      <c r="S260" s="20" t="n">
        <v>1658</v>
      </c>
      <c r="T260" s="20" t="n">
        <v>1839</v>
      </c>
      <c r="U260" s="20" t="n">
        <v>1535</v>
      </c>
      <c r="V260" s="20" t="n">
        <v>1535</v>
      </c>
      <c r="W260" s="20" t="n">
        <v>1488</v>
      </c>
      <c r="X260" s="20" t="n">
        <v>4499</v>
      </c>
    </row>
    <row r="261">
      <c r="A261" s="18" t="inlineStr">
        <is>
          <t>손상차손</t>
        </is>
      </c>
      <c r="D261" s="20" t="n">
        <v>269</v>
      </c>
      <c r="H261" s="20" t="n">
        <v>0</v>
      </c>
      <c r="J261" s="20" t="n">
        <v>0</v>
      </c>
      <c r="L261" s="20" t="n">
        <v>104</v>
      </c>
      <c r="N261" s="20" t="n">
        <v>5</v>
      </c>
      <c r="O261" s="20" t="n">
        <v>3</v>
      </c>
      <c r="P261" s="20" t="n">
        <v>131</v>
      </c>
      <c r="Q261" s="20" t="n">
        <v>349</v>
      </c>
      <c r="R261" s="20" t="n">
        <v>216</v>
      </c>
      <c r="S261" s="20" t="n">
        <v>29</v>
      </c>
      <c r="T261" s="20" t="n">
        <v>508</v>
      </c>
      <c r="U261" s="20" t="n">
        <v>269</v>
      </c>
      <c r="V261" s="20" t="n">
        <v>269</v>
      </c>
      <c r="W261" s="20" t="n">
        <v>0</v>
      </c>
      <c r="X261" s="20" t="n">
        <v>104</v>
      </c>
    </row>
    <row r="262">
      <c r="A262" s="18" t="inlineStr">
        <is>
          <t>사업양도 손익</t>
        </is>
      </c>
      <c r="C262" s="20" t="n">
        <v>0</v>
      </c>
      <c r="D262" s="20" t="n">
        <v>0</v>
      </c>
      <c r="F262" s="20" t="n">
        <v>-181</v>
      </c>
      <c r="G262" s="20" t="n">
        <v>-181</v>
      </c>
      <c r="H262" s="20" t="n">
        <v>-181</v>
      </c>
      <c r="V262" s="20" t="n">
        <v>0</v>
      </c>
      <c r="W262" s="20" t="n">
        <v>-181</v>
      </c>
    </row>
    <row r="263">
      <c r="A263" s="18" t="inlineStr">
        <is>
          <t>사업 철수 손실</t>
        </is>
      </c>
      <c r="C263" s="20" t="n">
        <v>733</v>
      </c>
      <c r="D263" s="20" t="n">
        <v>930</v>
      </c>
      <c r="G263" s="20" t="n">
        <v>0</v>
      </c>
      <c r="H263" s="20" t="n">
        <v>47</v>
      </c>
      <c r="P263" s="20" t="n">
        <v>0</v>
      </c>
      <c r="Q263" s="20" t="n">
        <v>310</v>
      </c>
      <c r="R263" s="20" t="n">
        <v>147</v>
      </c>
      <c r="S263" s="20" t="n">
        <v>0</v>
      </c>
      <c r="T263" s="20" t="n">
        <v>4408</v>
      </c>
      <c r="U263" s="20" t="n">
        <v>930</v>
      </c>
      <c r="V263" s="20" t="n">
        <v>930</v>
      </c>
      <c r="W263" s="20" t="n">
        <v>47</v>
      </c>
    </row>
    <row r="264">
      <c r="A264" s="18" t="inlineStr">
        <is>
          <t>신주예약권 환입이익</t>
        </is>
      </c>
      <c r="C264" s="20" t="n">
        <v>-6</v>
      </c>
      <c r="D264" s="20" t="n">
        <v>-6</v>
      </c>
      <c r="H264" s="20" t="n">
        <v>-17</v>
      </c>
      <c r="T264" s="20" t="n">
        <v>0</v>
      </c>
      <c r="U264" s="20" t="n">
        <v>-6</v>
      </c>
      <c r="V264" s="20" t="n">
        <v>-6</v>
      </c>
      <c r="W264" s="20" t="n">
        <v>-17</v>
      </c>
    </row>
    <row r="265">
      <c r="A265" s="18" t="inlineStr">
        <is>
          <t>영업권 상각</t>
        </is>
      </c>
      <c r="C265" s="20" t="n">
        <v>1003</v>
      </c>
      <c r="D265" s="20" t="n">
        <v>1338</v>
      </c>
      <c r="E265" s="20" t="n">
        <v>334</v>
      </c>
      <c r="F265" s="20" t="n">
        <v>693</v>
      </c>
      <c r="G265" s="20" t="n">
        <v>1413</v>
      </c>
      <c r="H265" s="20" t="n">
        <v>1813</v>
      </c>
      <c r="I265" s="20" t="n">
        <v>316</v>
      </c>
      <c r="J265" s="20" t="n">
        <v>632</v>
      </c>
      <c r="K265" s="20" t="n">
        <v>1376</v>
      </c>
      <c r="L265" s="20" t="n">
        <v>2021</v>
      </c>
      <c r="M265" s="20" t="n">
        <v>712</v>
      </c>
      <c r="N265" s="20" t="n">
        <v>1449</v>
      </c>
      <c r="O265" s="20" t="n">
        <v>1679</v>
      </c>
      <c r="P265" s="20" t="n">
        <v>8683</v>
      </c>
      <c r="Q265" s="20" t="n">
        <v>0</v>
      </c>
      <c r="R265" s="20" t="n">
        <v>622</v>
      </c>
      <c r="S265" s="20" t="n">
        <v>1063</v>
      </c>
      <c r="T265" s="20" t="n">
        <v>1293</v>
      </c>
      <c r="U265" s="20" t="n">
        <v>1338</v>
      </c>
      <c r="V265" s="20" t="n">
        <v>1338</v>
      </c>
      <c r="W265" s="20" t="n">
        <v>1813</v>
      </c>
      <c r="X265" s="20" t="n">
        <v>2021</v>
      </c>
    </row>
    <row r="266">
      <c r="A266" s="18" t="inlineStr">
        <is>
          <t>대손충당금 증감</t>
        </is>
      </c>
      <c r="C266" s="20" t="n">
        <v>-3</v>
      </c>
      <c r="D266" s="20" t="n">
        <v>-4</v>
      </c>
      <c r="E266" s="20" t="n">
        <v>2</v>
      </c>
      <c r="F266" s="20" t="n">
        <v>-128</v>
      </c>
      <c r="G266" s="20" t="n">
        <v>-0</v>
      </c>
      <c r="H266" s="20" t="n">
        <v>-136</v>
      </c>
      <c r="I266" s="20" t="n">
        <v>3</v>
      </c>
      <c r="J266" s="20" t="n">
        <v>5</v>
      </c>
      <c r="K266" s="20" t="n">
        <v>-327</v>
      </c>
      <c r="L266" s="20" t="n">
        <v>0</v>
      </c>
      <c r="M266" s="20" t="n">
        <v>-2</v>
      </c>
      <c r="N266" s="20" t="n">
        <v>20</v>
      </c>
      <c r="O266" s="20" t="n">
        <v>-4</v>
      </c>
      <c r="P266" s="20" t="n">
        <v>9</v>
      </c>
      <c r="Q266" s="20" t="n">
        <v>10</v>
      </c>
      <c r="R266" s="20" t="n">
        <v>17</v>
      </c>
      <c r="S266" s="20" t="n">
        <v>1</v>
      </c>
      <c r="T266" s="20" t="n">
        <v>-4</v>
      </c>
      <c r="U266" s="20" t="n">
        <v>-4</v>
      </c>
      <c r="V266" s="20" t="n">
        <v>-4</v>
      </c>
      <c r="W266" s="20" t="n">
        <v>-136</v>
      </c>
      <c r="X266" s="20" t="n">
        <v>0</v>
      </c>
    </row>
    <row r="267">
      <c r="A267" s="18" t="inlineStr">
        <is>
          <t>상여충당금 증감</t>
        </is>
      </c>
      <c r="C267" s="20" t="n">
        <v>-2271</v>
      </c>
      <c r="D267" s="20" t="n">
        <v>-1018</v>
      </c>
      <c r="E267" s="20" t="n">
        <v>-1077</v>
      </c>
      <c r="F267" s="20" t="n">
        <v>-610</v>
      </c>
      <c r="G267" s="20" t="n">
        <v>-1179</v>
      </c>
      <c r="H267" s="20" t="n">
        <v>-13</v>
      </c>
      <c r="I267" s="20" t="n">
        <v>-940</v>
      </c>
      <c r="J267" s="20" t="n">
        <v>-389</v>
      </c>
      <c r="K267" s="20" t="n">
        <v>-871</v>
      </c>
      <c r="L267" s="20" t="n">
        <v>69</v>
      </c>
      <c r="M267" s="20" t="n">
        <v>-887</v>
      </c>
      <c r="N267" s="20" t="n">
        <v>-553</v>
      </c>
      <c r="O267" s="20" t="n">
        <v>649</v>
      </c>
      <c r="P267" s="20" t="n">
        <v>-610</v>
      </c>
      <c r="Q267" s="20" t="n">
        <v>-76</v>
      </c>
      <c r="R267" s="20" t="n">
        <v>386</v>
      </c>
      <c r="S267" s="20" t="n">
        <v>473</v>
      </c>
      <c r="T267" s="20" t="n">
        <v>1378</v>
      </c>
      <c r="U267" s="20" t="n">
        <v>-1018</v>
      </c>
      <c r="V267" s="20" t="n">
        <v>-1018</v>
      </c>
      <c r="W267" s="20" t="n">
        <v>-13</v>
      </c>
      <c r="X267" s="20" t="n">
        <v>69</v>
      </c>
    </row>
    <row r="268">
      <c r="A268" s="18" t="inlineStr">
        <is>
          <t>이자수익</t>
        </is>
      </c>
      <c r="O268" s="20" t="n">
        <v>-2</v>
      </c>
      <c r="P268" s="20" t="n">
        <v>-3</v>
      </c>
      <c r="Q268" s="20" t="n">
        <v>-4</v>
      </c>
      <c r="R268" s="20" t="n">
        <v>-1</v>
      </c>
    </row>
    <row r="269">
      <c r="A269" s="18" t="inlineStr">
        <is>
          <t>Refunded Consumption Taxes Ope CF</t>
        </is>
      </c>
      <c r="O269" s="20" t="n">
        <v>-15</v>
      </c>
      <c r="P269" s="20" t="n">
        <v>0</v>
      </c>
    </row>
    <row r="270">
      <c r="A270" s="18" t="inlineStr">
        <is>
          <t>이자·배당금 수익</t>
        </is>
      </c>
      <c r="C270" s="20" t="n">
        <v>-13</v>
      </c>
      <c r="D270" s="20" t="n">
        <v>-18</v>
      </c>
      <c r="E270" s="20" t="n">
        <v>-4</v>
      </c>
      <c r="F270" s="20" t="n">
        <v>-35</v>
      </c>
      <c r="G270" s="20" t="n">
        <v>-54</v>
      </c>
      <c r="H270" s="20" t="n">
        <v>-106</v>
      </c>
      <c r="I270" s="20" t="n">
        <v>-39</v>
      </c>
      <c r="J270" s="20" t="n">
        <v>-136</v>
      </c>
      <c r="K270" s="20" t="n">
        <v>-234</v>
      </c>
      <c r="L270" s="20" t="n">
        <v>-409</v>
      </c>
      <c r="M270" s="20" t="n">
        <v>-120</v>
      </c>
      <c r="N270" s="20" t="n">
        <v>-403</v>
      </c>
      <c r="R270" s="20" t="n">
        <v>-1</v>
      </c>
      <c r="S270" s="20" t="n">
        <v>-8</v>
      </c>
      <c r="T270" s="20" t="n">
        <v>-10</v>
      </c>
      <c r="U270" s="20" t="n">
        <v>-18</v>
      </c>
      <c r="V270" s="20" t="n">
        <v>-18</v>
      </c>
      <c r="W270" s="20" t="n">
        <v>-106</v>
      </c>
      <c r="X270" s="20" t="n">
        <v>-409</v>
      </c>
    </row>
    <row r="271">
      <c r="A271" s="18" t="inlineStr">
        <is>
          <t>외환차손익</t>
        </is>
      </c>
      <c r="C271" s="20" t="n">
        <v>-82</v>
      </c>
      <c r="D271" s="20" t="n">
        <v>-163</v>
      </c>
      <c r="E271" s="20" t="n">
        <v>-145</v>
      </c>
      <c r="F271" s="20" t="n">
        <v>2</v>
      </c>
      <c r="G271" s="20" t="n">
        <v>110</v>
      </c>
      <c r="H271" s="20" t="n">
        <v>151</v>
      </c>
      <c r="I271" s="20" t="n">
        <v>-20</v>
      </c>
      <c r="J271" s="20" t="n">
        <v>-216</v>
      </c>
      <c r="K271" s="20" t="n">
        <v>-774</v>
      </c>
      <c r="L271" s="20" t="n">
        <v>-1121</v>
      </c>
      <c r="M271" s="20" t="n">
        <v>-331</v>
      </c>
      <c r="N271" s="20" t="n">
        <v>-37</v>
      </c>
      <c r="O271" s="20" t="n">
        <v>0</v>
      </c>
      <c r="P271" s="20" t="n">
        <v>11</v>
      </c>
      <c r="Q271" s="20" t="n">
        <v>-9</v>
      </c>
      <c r="R271" s="20" t="n">
        <v>4</v>
      </c>
      <c r="S271" s="20" t="n">
        <v>-10</v>
      </c>
      <c r="T271" s="20" t="n">
        <v>-59</v>
      </c>
      <c r="U271" s="20" t="n">
        <v>-163</v>
      </c>
      <c r="V271" s="20" t="n">
        <v>-163</v>
      </c>
      <c r="W271" s="20" t="n">
        <v>151</v>
      </c>
      <c r="X271" s="20" t="n">
        <v>-1121</v>
      </c>
    </row>
    <row r="272">
      <c r="A272" s="18" t="inlineStr">
        <is>
          <t>이자비용</t>
        </is>
      </c>
      <c r="C272" s="20" t="n">
        <v>42</v>
      </c>
      <c r="D272" s="20" t="n">
        <v>57</v>
      </c>
      <c r="E272" s="20" t="n">
        <v>17</v>
      </c>
      <c r="F272" s="20" t="n">
        <v>47</v>
      </c>
      <c r="G272" s="20" t="n">
        <v>76</v>
      </c>
      <c r="H272" s="20" t="n">
        <v>111</v>
      </c>
      <c r="I272" s="20" t="n">
        <v>38</v>
      </c>
      <c r="J272" s="20" t="n">
        <v>102</v>
      </c>
      <c r="K272" s="20" t="n">
        <v>159</v>
      </c>
      <c r="L272" s="20" t="n">
        <v>448</v>
      </c>
      <c r="M272" s="20" t="n">
        <v>177</v>
      </c>
      <c r="N272" s="20" t="n">
        <v>371</v>
      </c>
      <c r="O272" s="20" t="n">
        <v>0</v>
      </c>
      <c r="P272" s="20" t="n">
        <v>0</v>
      </c>
      <c r="Q272" s="20" t="n">
        <v>0</v>
      </c>
      <c r="R272" s="20" t="n">
        <v>10</v>
      </c>
      <c r="S272" s="20" t="n">
        <v>26</v>
      </c>
      <c r="T272" s="20" t="n">
        <v>59</v>
      </c>
      <c r="U272" s="20" t="n">
        <v>57</v>
      </c>
      <c r="V272" s="20" t="n">
        <v>57</v>
      </c>
      <c r="W272" s="20" t="n">
        <v>111</v>
      </c>
      <c r="X272" s="20" t="n">
        <v>448</v>
      </c>
    </row>
    <row r="273">
      <c r="A273" s="18" t="inlineStr">
        <is>
          <t>지분법손익</t>
        </is>
      </c>
      <c r="C273" s="20" t="n">
        <v>1936</v>
      </c>
      <c r="D273" s="20" t="n">
        <v>3045</v>
      </c>
      <c r="E273" s="20" t="n">
        <v>-267</v>
      </c>
      <c r="F273" s="20" t="n">
        <v>-132</v>
      </c>
      <c r="G273" s="20" t="n">
        <v>376</v>
      </c>
      <c r="H273" s="20" t="n">
        <v>-148</v>
      </c>
      <c r="I273" s="20" t="n">
        <v>584</v>
      </c>
      <c r="J273" s="20" t="n">
        <v>408</v>
      </c>
      <c r="K273" s="20" t="n">
        <v>37</v>
      </c>
      <c r="L273" s="20" t="n">
        <v>-31</v>
      </c>
      <c r="M273" s="20" t="n">
        <v>159</v>
      </c>
      <c r="N273" s="20" t="n">
        <v>239</v>
      </c>
      <c r="S273" s="20" t="n">
        <v>0</v>
      </c>
      <c r="T273" s="20" t="n">
        <v>6604</v>
      </c>
      <c r="U273" s="20" t="n">
        <v>3045</v>
      </c>
      <c r="V273" s="20" t="n">
        <v>3045</v>
      </c>
      <c r="W273" s="20" t="n">
        <v>-148</v>
      </c>
      <c r="X273" s="20" t="n">
        <v>-31</v>
      </c>
    </row>
    <row r="274">
      <c r="A274" s="18" t="inlineStr">
        <is>
          <t>투자사업조합 운용 손익(△는 이익)</t>
        </is>
      </c>
      <c r="O274" s="20" t="n">
        <v>235</v>
      </c>
      <c r="P274" s="20" t="n">
        <v>-493</v>
      </c>
      <c r="Q274" s="20" t="n">
        <v>-17</v>
      </c>
      <c r="R274" s="20" t="n">
        <v>400</v>
      </c>
      <c r="S274" s="20" t="n">
        <v>88</v>
      </c>
      <c r="T274" s="20" t="n">
        <v>-1155</v>
      </c>
    </row>
    <row r="275">
      <c r="A275" s="18" t="inlineStr">
        <is>
          <t>대손충당금 환입</t>
        </is>
      </c>
      <c r="C275" s="20" t="n">
        <v>-0</v>
      </c>
      <c r="D275" s="20" t="n">
        <v>-0</v>
      </c>
      <c r="F275" s="20" t="n">
        <v>-210</v>
      </c>
      <c r="G275" s="20" t="n">
        <v>-210</v>
      </c>
      <c r="H275" s="20" t="n">
        <v>-210</v>
      </c>
      <c r="J275" s="20" t="n">
        <v>-210</v>
      </c>
      <c r="K275" s="20" t="n">
        <v>-210</v>
      </c>
      <c r="L275" s="20" t="n">
        <v>-904</v>
      </c>
      <c r="N275" s="20" t="n">
        <v>-251</v>
      </c>
      <c r="V275" s="20" t="n">
        <v>-0</v>
      </c>
      <c r="W275" s="20" t="n">
        <v>-210</v>
      </c>
      <c r="X275" s="20" t="n">
        <v>-904</v>
      </c>
    </row>
    <row r="276">
      <c r="A276" s="18" t="inlineStr">
        <is>
          <t>대손충당금 전입</t>
        </is>
      </c>
      <c r="C276" s="20" t="n">
        <v>131</v>
      </c>
      <c r="D276" s="20" t="n">
        <v>131</v>
      </c>
      <c r="E276" s="20" t="n">
        <v>0</v>
      </c>
      <c r="F276" s="20" t="n">
        <v>135</v>
      </c>
      <c r="G276" s="20" t="n">
        <v>135</v>
      </c>
      <c r="H276" s="20" t="n">
        <v>135</v>
      </c>
      <c r="J276" s="20" t="n">
        <v>0</v>
      </c>
      <c r="T276" s="20" t="n">
        <v>1129</v>
      </c>
      <c r="U276" s="20" t="n">
        <v>131</v>
      </c>
      <c r="V276" s="20" t="n">
        <v>131</v>
      </c>
      <c r="W276" s="20" t="n">
        <v>135</v>
      </c>
    </row>
    <row r="277">
      <c r="A277" s="18" t="inlineStr">
        <is>
          <t>지급수수료</t>
        </is>
      </c>
      <c r="H277" s="20" t="n">
        <v>131</v>
      </c>
      <c r="L277" s="20" t="n">
        <v>581</v>
      </c>
      <c r="O277" s="20" t="n">
        <v>332</v>
      </c>
      <c r="P277" s="20" t="n">
        <v>196</v>
      </c>
      <c r="Q277" s="20" t="n">
        <v>197</v>
      </c>
      <c r="R277" s="20" t="n">
        <v>0</v>
      </c>
      <c r="W277" s="20" t="n">
        <v>131</v>
      </c>
      <c r="X277" s="20" t="n">
        <v>581</v>
      </c>
    </row>
    <row r="278">
      <c r="A278" s="18" t="inlineStr">
        <is>
          <t>Burden Charge Payment Ope CF</t>
        </is>
      </c>
      <c r="H278" s="20" t="n">
        <v>0</v>
      </c>
      <c r="L278" s="20" t="n">
        <v>83</v>
      </c>
      <c r="W278" s="20" t="n">
        <v>0</v>
      </c>
      <c r="X278" s="20" t="n">
        <v>83</v>
      </c>
    </row>
    <row r="279">
      <c r="A279" s="18" t="inlineStr">
        <is>
          <t>고정자산 제각·매각손익</t>
        </is>
      </c>
      <c r="C279" s="20" t="n">
        <v>-4</v>
      </c>
      <c r="D279" s="20" t="n">
        <v>-3</v>
      </c>
      <c r="E279" s="20" t="n">
        <v>0</v>
      </c>
      <c r="F279" s="20" t="n">
        <v>-4</v>
      </c>
      <c r="G279" s="20" t="n">
        <v>-1</v>
      </c>
      <c r="H279" s="20" t="n">
        <v>-3</v>
      </c>
      <c r="I279" s="20" t="n">
        <v>23</v>
      </c>
      <c r="J279" s="20" t="n">
        <v>27</v>
      </c>
      <c r="K279" s="20" t="n">
        <v>38</v>
      </c>
      <c r="L279" s="20" t="n">
        <v>72</v>
      </c>
      <c r="N279" s="20" t="n">
        <v>3</v>
      </c>
      <c r="O279" s="20" t="n">
        <v>8</v>
      </c>
      <c r="P279" s="20" t="n">
        <v>22</v>
      </c>
      <c r="Q279" s="20" t="n">
        <v>18</v>
      </c>
      <c r="R279" s="20" t="n">
        <v>51</v>
      </c>
      <c r="S279" s="20" t="n">
        <v>43</v>
      </c>
      <c r="T279" s="20" t="n">
        <v>72</v>
      </c>
      <c r="U279" s="20" t="n">
        <v>-3</v>
      </c>
      <c r="V279" s="20" t="n">
        <v>-3</v>
      </c>
      <c r="W279" s="20" t="n">
        <v>-3</v>
      </c>
      <c r="X279" s="20" t="n">
        <v>72</v>
      </c>
    </row>
    <row r="280">
      <c r="A280" s="18" t="inlineStr">
        <is>
          <t>투자유가증권 상환손익</t>
        </is>
      </c>
      <c r="C280" s="20" t="n">
        <v>0</v>
      </c>
      <c r="D280" s="20" t="n">
        <v>0</v>
      </c>
      <c r="F280" s="20" t="n">
        <v>-98</v>
      </c>
      <c r="G280" s="20" t="n">
        <v>-98</v>
      </c>
      <c r="H280" s="20" t="n">
        <v>-156</v>
      </c>
      <c r="K280" s="20" t="n">
        <v>0</v>
      </c>
      <c r="V280" s="20" t="n">
        <v>0</v>
      </c>
      <c r="W280" s="20" t="n">
        <v>-156</v>
      </c>
    </row>
    <row r="281">
      <c r="A281" s="18" t="inlineStr">
        <is>
          <t>관계회사 주식 매각손익</t>
        </is>
      </c>
      <c r="C281" s="20" t="n">
        <v>0</v>
      </c>
      <c r="D281" s="20" t="n">
        <v>-30</v>
      </c>
      <c r="E281" s="20" t="n">
        <v>0</v>
      </c>
      <c r="F281" s="20" t="n">
        <v>0</v>
      </c>
      <c r="G281" s="20" t="n">
        <v>0</v>
      </c>
      <c r="H281" s="20" t="n">
        <v>0</v>
      </c>
      <c r="I281" s="20" t="n">
        <v>-273</v>
      </c>
      <c r="J281" s="20" t="n">
        <v>-273</v>
      </c>
      <c r="K281" s="20" t="n">
        <v>-273</v>
      </c>
      <c r="L281" s="20" t="n">
        <v>-273</v>
      </c>
      <c r="O281" s="20" t="n">
        <v>171</v>
      </c>
      <c r="P281" s="20" t="n">
        <v>0</v>
      </c>
      <c r="Q281" s="20" t="n">
        <v>-642</v>
      </c>
      <c r="R281" s="20" t="n">
        <v>0</v>
      </c>
      <c r="T281" s="20" t="n">
        <v>875</v>
      </c>
      <c r="U281" s="20" t="n">
        <v>-30</v>
      </c>
      <c r="V281" s="20" t="n">
        <v>-30</v>
      </c>
      <c r="W281" s="20" t="n">
        <v>0</v>
      </c>
      <c r="X281" s="20" t="n">
        <v>-273</v>
      </c>
    </row>
    <row r="282">
      <c r="A282" s="18" t="inlineStr">
        <is>
          <t>지분변동손익</t>
        </is>
      </c>
      <c r="C282" s="20" t="n">
        <v>0</v>
      </c>
      <c r="D282" s="20" t="n">
        <v>0</v>
      </c>
      <c r="F282" s="20" t="n">
        <v>72</v>
      </c>
      <c r="G282" s="20" t="n">
        <v>72</v>
      </c>
      <c r="H282" s="20" t="n">
        <v>72</v>
      </c>
      <c r="J282" s="20" t="n">
        <v>23</v>
      </c>
      <c r="K282" s="20" t="n">
        <v>74</v>
      </c>
      <c r="L282" s="20" t="n">
        <v>74</v>
      </c>
      <c r="N282" s="20" t="n">
        <v>69</v>
      </c>
      <c r="V282" s="20" t="n">
        <v>0</v>
      </c>
      <c r="W282" s="20" t="n">
        <v>72</v>
      </c>
      <c r="X282" s="20" t="n">
        <v>74</v>
      </c>
    </row>
    <row r="283">
      <c r="A283" s="18" t="inlineStr">
        <is>
          <t>단계적 취득 차손익</t>
        </is>
      </c>
      <c r="C283" s="20" t="n">
        <v>0</v>
      </c>
      <c r="D283" s="20" t="n">
        <v>0</v>
      </c>
      <c r="F283" s="20" t="n">
        <v>-89</v>
      </c>
      <c r="G283" s="20" t="n">
        <v>-89</v>
      </c>
      <c r="H283" s="20" t="n">
        <v>-89</v>
      </c>
      <c r="S283" s="20" t="n">
        <v>0</v>
      </c>
      <c r="T283" s="20" t="n">
        <v>132</v>
      </c>
      <c r="U283" s="20" t="n">
        <v>0</v>
      </c>
      <c r="V283" s="20" t="n">
        <v>0</v>
      </c>
      <c r="W283" s="20" t="n">
        <v>-89</v>
      </c>
    </row>
    <row r="284">
      <c r="A284" s="18" t="inlineStr">
        <is>
          <t>투자유가증권 평가손익</t>
        </is>
      </c>
      <c r="C284" s="20" t="n">
        <v>0</v>
      </c>
      <c r="D284" s="20" t="n">
        <v>2677</v>
      </c>
      <c r="F284" s="20" t="n">
        <v>81</v>
      </c>
      <c r="G284" s="20" t="n">
        <v>81</v>
      </c>
      <c r="H284" s="20" t="n">
        <v>81</v>
      </c>
      <c r="J284" s="20" t="n">
        <v>0</v>
      </c>
      <c r="N284" s="20" t="n">
        <v>28</v>
      </c>
      <c r="O284" s="20" t="n">
        <v>861</v>
      </c>
      <c r="P284" s="20" t="n">
        <v>391</v>
      </c>
      <c r="Q284" s="20" t="n">
        <v>524</v>
      </c>
      <c r="R284" s="20" t="n">
        <v>0</v>
      </c>
      <c r="S284" s="20" t="n">
        <v>524</v>
      </c>
      <c r="T284" s="20" t="n">
        <v>1</v>
      </c>
      <c r="U284" s="20" t="n">
        <v>2677</v>
      </c>
      <c r="V284" s="20" t="n">
        <v>2677</v>
      </c>
      <c r="W284" s="20" t="n">
        <v>81</v>
      </c>
    </row>
    <row r="285">
      <c r="A285" s="18" t="inlineStr">
        <is>
          <t>투자유가증권 매각손익</t>
        </is>
      </c>
      <c r="O285" s="20" t="n">
        <v>0</v>
      </c>
      <c r="P285" s="20" t="n">
        <v>-346</v>
      </c>
      <c r="Q285" s="20" t="n">
        <v>-212</v>
      </c>
      <c r="R285" s="20" t="n">
        <v>0</v>
      </c>
      <c r="S285" s="20" t="n">
        <v>-903</v>
      </c>
      <c r="T285" s="20" t="n">
        <v>-2054</v>
      </c>
    </row>
    <row r="286">
      <c r="A286" s="18" t="inlineStr">
        <is>
          <t>Loss Gain On Liquidation Of Investment Securities Ope CF</t>
        </is>
      </c>
      <c r="S286" s="20" t="n">
        <v>0</v>
      </c>
      <c r="T286" s="20" t="n">
        <v>-51</v>
      </c>
    </row>
    <row r="287">
      <c r="A287" s="18" t="inlineStr">
        <is>
          <t>부의 영업권 발생이익</t>
        </is>
      </c>
      <c r="S287" s="20" t="n">
        <v>0</v>
      </c>
      <c r="T287" s="20" t="n">
        <v>-145</v>
      </c>
      <c r="U287" s="20" t="n">
        <v>0</v>
      </c>
    </row>
    <row r="288">
      <c r="A288" s="18" t="inlineStr">
        <is>
          <t>매출채권 증감</t>
        </is>
      </c>
      <c r="C288" s="20" t="n">
        <v>-4802</v>
      </c>
      <c r="D288" s="20" t="n">
        <v>522</v>
      </c>
      <c r="E288" s="20" t="n">
        <v>1325</v>
      </c>
      <c r="F288" s="20" t="n">
        <v>-489</v>
      </c>
      <c r="G288" s="20" t="n">
        <v>-7029</v>
      </c>
      <c r="H288" s="20" t="n">
        <v>-2570</v>
      </c>
      <c r="I288" s="20" t="n">
        <v>2720</v>
      </c>
      <c r="J288" s="20" t="n">
        <v>1246</v>
      </c>
      <c r="K288" s="20" t="n">
        <v>-6233</v>
      </c>
      <c r="L288" s="20" t="n">
        <v>8</v>
      </c>
      <c r="M288" s="20" t="n">
        <v>221</v>
      </c>
      <c r="N288" s="20" t="n">
        <v>-907</v>
      </c>
      <c r="O288" s="20" t="n">
        <v>-3280</v>
      </c>
      <c r="P288" s="20" t="n">
        <v>4482</v>
      </c>
      <c r="Q288" s="20" t="n">
        <v>2389</v>
      </c>
      <c r="R288" s="20" t="n">
        <v>-4371</v>
      </c>
      <c r="S288" s="20" t="n">
        <v>2548</v>
      </c>
      <c r="T288" s="20" t="n">
        <v>-2490</v>
      </c>
      <c r="U288" s="20" t="n">
        <v>522</v>
      </c>
      <c r="V288" s="20" t="n">
        <v>522</v>
      </c>
      <c r="W288" s="20" t="n">
        <v>-2570</v>
      </c>
      <c r="X288" s="20" t="n">
        <v>8</v>
      </c>
    </row>
    <row r="289">
      <c r="A289" s="18" t="inlineStr">
        <is>
          <t>영업투자유가증권 증감액</t>
        </is>
      </c>
      <c r="C289" s="20" t="n">
        <v>-3026</v>
      </c>
      <c r="D289" s="20" t="n">
        <v>-4041</v>
      </c>
      <c r="E289" s="20" t="n">
        <v>-1018</v>
      </c>
      <c r="F289" s="20" t="n">
        <v>-48</v>
      </c>
      <c r="G289" s="20" t="n">
        <v>-2018</v>
      </c>
      <c r="H289" s="20" t="n">
        <v>-2782</v>
      </c>
      <c r="I289" s="20" t="n">
        <v>-784</v>
      </c>
      <c r="J289" s="20" t="n">
        <v>-793</v>
      </c>
      <c r="K289" s="20" t="n">
        <v>-349</v>
      </c>
      <c r="L289" s="20" t="n">
        <v>-939</v>
      </c>
      <c r="M289" s="20" t="n">
        <v>-224</v>
      </c>
      <c r="N289" s="20" t="n">
        <v>498</v>
      </c>
      <c r="T289" s="20" t="n">
        <v>-5095</v>
      </c>
      <c r="U289" s="20" t="n">
        <v>-4041</v>
      </c>
      <c r="V289" s="20" t="n">
        <v>-4041</v>
      </c>
      <c r="W289" s="20" t="n">
        <v>-2782</v>
      </c>
      <c r="X289" s="20" t="n">
        <v>-939</v>
      </c>
    </row>
    <row r="290">
      <c r="A290" s="18" t="inlineStr">
        <is>
          <t>재고자산 증감</t>
        </is>
      </c>
      <c r="C290" s="20" t="n">
        <v>-0</v>
      </c>
      <c r="D290" s="20" t="n">
        <v>-54</v>
      </c>
      <c r="E290" s="20" t="n">
        <v>13</v>
      </c>
      <c r="F290" s="20" t="n">
        <v>40</v>
      </c>
      <c r="G290" s="20" t="n">
        <v>28</v>
      </c>
      <c r="H290" s="20" t="n">
        <v>-44</v>
      </c>
      <c r="J290" s="20" t="n">
        <v>-1032</v>
      </c>
      <c r="O290" s="20" t="n">
        <v>-221</v>
      </c>
      <c r="P290" s="20" t="n">
        <v>-362</v>
      </c>
      <c r="Q290" s="20" t="n">
        <v>355</v>
      </c>
      <c r="R290" s="20" t="n">
        <v>117</v>
      </c>
      <c r="S290" s="20" t="n">
        <v>99</v>
      </c>
      <c r="T290" s="20" t="n">
        <v>215</v>
      </c>
      <c r="U290" s="20" t="n">
        <v>-54</v>
      </c>
      <c r="V290" s="20" t="n">
        <v>-54</v>
      </c>
      <c r="W290" s="20" t="n">
        <v>-44</v>
      </c>
    </row>
    <row r="291">
      <c r="A291" s="18" t="inlineStr">
        <is>
          <t>선급금 증감</t>
        </is>
      </c>
      <c r="E291" s="20" t="n">
        <v>-6066</v>
      </c>
      <c r="F291" s="20" t="n">
        <v>-2735</v>
      </c>
      <c r="G291" s="20" t="n">
        <v>-559</v>
      </c>
      <c r="I291" s="20" t="n">
        <v>-8064</v>
      </c>
      <c r="J291" s="20" t="n">
        <v>-3500</v>
      </c>
      <c r="K291" s="20" t="n">
        <v>-83</v>
      </c>
    </row>
    <row r="292">
      <c r="A292" s="18" t="inlineStr">
        <is>
          <t>미수금 증감</t>
        </is>
      </c>
      <c r="H292" s="20" t="n">
        <v>1153</v>
      </c>
      <c r="L292" s="20" t="n">
        <v>-1421</v>
      </c>
      <c r="W292" s="20" t="n">
        <v>1153</v>
      </c>
      <c r="X292" s="20" t="n">
        <v>-1421</v>
      </c>
    </row>
    <row r="293">
      <c r="A293" s="18" t="inlineStr">
        <is>
          <t>미지급금 증감</t>
        </is>
      </c>
      <c r="C293" s="20" t="n">
        <v>-275</v>
      </c>
      <c r="D293" s="20" t="n">
        <v>-2402</v>
      </c>
      <c r="E293" s="20" t="n">
        <v>-911</v>
      </c>
      <c r="F293" s="20" t="n">
        <v>-1372</v>
      </c>
      <c r="G293" s="20" t="n">
        <v>2610</v>
      </c>
      <c r="H293" s="20" t="n">
        <v>-813</v>
      </c>
      <c r="I293" s="20" t="n">
        <v>259</v>
      </c>
      <c r="J293" s="20" t="n">
        <v>2026</v>
      </c>
      <c r="K293" s="20" t="n">
        <v>5298</v>
      </c>
      <c r="L293" s="20" t="n">
        <v>3318</v>
      </c>
      <c r="M293" s="20" t="n">
        <v>-1264</v>
      </c>
      <c r="N293" s="20" t="n">
        <v>-1352</v>
      </c>
      <c r="O293" s="20" t="n">
        <v>99</v>
      </c>
      <c r="P293" s="20" t="n">
        <v>958</v>
      </c>
      <c r="Q293" s="20" t="n">
        <v>373</v>
      </c>
      <c r="R293" s="20" t="n">
        <v>662</v>
      </c>
      <c r="S293" s="20" t="n">
        <v>717</v>
      </c>
      <c r="T293" s="20" t="n">
        <v>1084</v>
      </c>
      <c r="U293" s="20" t="n">
        <v>-2402</v>
      </c>
      <c r="V293" s="20" t="n">
        <v>-2402</v>
      </c>
      <c r="W293" s="20" t="n">
        <v>-813</v>
      </c>
      <c r="X293" s="20" t="n">
        <v>3318</v>
      </c>
    </row>
    <row r="294">
      <c r="A294" s="18" t="inlineStr">
        <is>
          <t>미지급 소비세 증감</t>
        </is>
      </c>
      <c r="C294" s="20" t="n">
        <v>-1289</v>
      </c>
      <c r="D294" s="20" t="n">
        <v>-994</v>
      </c>
      <c r="E294" s="20" t="n">
        <v>248</v>
      </c>
      <c r="F294" s="20" t="n">
        <v>-31</v>
      </c>
      <c r="G294" s="20" t="n">
        <v>364</v>
      </c>
      <c r="H294" s="20" t="n">
        <v>1640</v>
      </c>
      <c r="I294" s="20" t="n">
        <v>-1280</v>
      </c>
      <c r="J294" s="20" t="n">
        <v>-1896</v>
      </c>
      <c r="K294" s="20" t="n">
        <v>-1636</v>
      </c>
      <c r="L294" s="20" t="n">
        <v>-1253</v>
      </c>
      <c r="M294" s="20" t="n">
        <v>548</v>
      </c>
      <c r="N294" s="20" t="n">
        <v>641</v>
      </c>
      <c r="O294" s="20" t="n">
        <v>-4847</v>
      </c>
      <c r="P294" s="20" t="n">
        <v>-769</v>
      </c>
      <c r="Q294" s="20" t="n">
        <v>-101</v>
      </c>
      <c r="R294" s="20" t="n">
        <v>0</v>
      </c>
      <c r="S294" s="20" t="n">
        <v>1638</v>
      </c>
      <c r="T294" s="20" t="n">
        <v>1768</v>
      </c>
      <c r="U294" s="20" t="n">
        <v>-994</v>
      </c>
      <c r="V294" s="20" t="n">
        <v>-994</v>
      </c>
      <c r="W294" s="20" t="n">
        <v>1640</v>
      </c>
      <c r="X294" s="20" t="n">
        <v>-1253</v>
      </c>
    </row>
    <row r="295">
      <c r="A295" s="18" t="inlineStr">
        <is>
          <t>계약부채 증감</t>
        </is>
      </c>
      <c r="C295" s="20" t="n">
        <v>2407</v>
      </c>
    </row>
    <row r="296">
      <c r="A296" s="18" t="inlineStr">
        <is>
          <t>계약부채 증감</t>
        </is>
      </c>
      <c r="C296" s="20" t="n">
        <v>2407</v>
      </c>
      <c r="F296" s="20" t="n">
        <v>1715</v>
      </c>
      <c r="G296" s="20" t="n">
        <v>2702</v>
      </c>
      <c r="I296" s="20" t="n">
        <v>729</v>
      </c>
      <c r="J296" s="20" t="n">
        <v>1700</v>
      </c>
      <c r="K296" s="20" t="n">
        <v>2715</v>
      </c>
      <c r="M296" s="20" t="n">
        <v>937</v>
      </c>
      <c r="N296" s="20" t="n">
        <v>2624</v>
      </c>
    </row>
    <row r="297">
      <c r="A297" s="18" t="inlineStr">
        <is>
          <t>예수금 증감</t>
        </is>
      </c>
      <c r="C297" s="20" t="n">
        <v>1809</v>
      </c>
      <c r="F297" s="20" t="n">
        <v>-236</v>
      </c>
      <c r="G297" s="20" t="n">
        <v>38</v>
      </c>
      <c r="H297" s="20" t="n">
        <v>-30</v>
      </c>
      <c r="I297" s="20" t="n">
        <v>-404</v>
      </c>
      <c r="J297" s="20" t="n">
        <v>-1614</v>
      </c>
      <c r="L297" s="20" t="n">
        <v>-2000</v>
      </c>
      <c r="M297" s="20" t="n">
        <v>418</v>
      </c>
      <c r="N297" s="20" t="n">
        <v>164</v>
      </c>
      <c r="W297" s="20" t="n">
        <v>-30</v>
      </c>
      <c r="X297" s="20" t="n">
        <v>-2000</v>
      </c>
    </row>
    <row r="298">
      <c r="A298" s="18" t="inlineStr">
        <is>
          <t>기타 자산 증감</t>
        </is>
      </c>
      <c r="C298" s="20" t="n">
        <v>516</v>
      </c>
      <c r="D298" s="20" t="n">
        <v>289</v>
      </c>
      <c r="E298" s="20" t="n">
        <v>-1152</v>
      </c>
      <c r="F298" s="20" t="n">
        <v>1418</v>
      </c>
      <c r="G298" s="20" t="n">
        <v>-1163</v>
      </c>
      <c r="H298" s="20" t="n">
        <v>1112</v>
      </c>
      <c r="I298" s="20" t="n">
        <v>-11068</v>
      </c>
      <c r="J298" s="20" t="n">
        <v>-2151</v>
      </c>
      <c r="K298" s="20" t="n">
        <v>-5620</v>
      </c>
      <c r="M298" s="20" t="n">
        <v>-1209</v>
      </c>
      <c r="S298" s="20" t="n">
        <v>355</v>
      </c>
      <c r="T298" s="20" t="n">
        <v>-6613</v>
      </c>
      <c r="U298" s="20" t="n">
        <v>289</v>
      </c>
      <c r="V298" s="20" t="n">
        <v>289</v>
      </c>
      <c r="W298" s="20" t="n">
        <v>1112</v>
      </c>
    </row>
    <row r="299">
      <c r="A299" s="18" t="inlineStr">
        <is>
          <t>기타</t>
        </is>
      </c>
      <c r="C299" s="20" t="n">
        <v>105</v>
      </c>
      <c r="D299" s="20" t="n">
        <v>1339</v>
      </c>
      <c r="E299" s="20" t="n">
        <v>1608</v>
      </c>
      <c r="F299" s="20" t="n">
        <v>-785</v>
      </c>
      <c r="G299" s="20" t="n">
        <v>262</v>
      </c>
      <c r="H299" s="20" t="n">
        <v>1064</v>
      </c>
      <c r="I299" s="20" t="n">
        <v>40</v>
      </c>
      <c r="J299" s="20" t="n">
        <v>-7158</v>
      </c>
      <c r="K299" s="20" t="n">
        <v>-1089</v>
      </c>
      <c r="L299" s="20" t="n">
        <v>921</v>
      </c>
      <c r="M299" s="20" t="n">
        <v>-87</v>
      </c>
      <c r="N299" s="20" t="n">
        <v>1161</v>
      </c>
      <c r="O299" s="20" t="n">
        <v>1448</v>
      </c>
      <c r="P299" s="20" t="n">
        <v>-3117</v>
      </c>
      <c r="Q299" s="20" t="n">
        <v>-4614</v>
      </c>
      <c r="R299" s="20" t="n">
        <v>3423</v>
      </c>
      <c r="S299" s="20" t="n">
        <v>3010</v>
      </c>
      <c r="T299" s="20" t="n">
        <v>1076</v>
      </c>
      <c r="U299" s="20" t="n">
        <v>1339</v>
      </c>
      <c r="V299" s="20" t="n">
        <v>1339</v>
      </c>
      <c r="W299" s="20" t="n">
        <v>1064</v>
      </c>
      <c r="X299" s="20" t="n">
        <v>921</v>
      </c>
    </row>
    <row r="300">
      <c r="A300" s="18" t="inlineStr">
        <is>
          <t>소계</t>
        </is>
      </c>
      <c r="C300" s="20" t="n">
        <v>7172</v>
      </c>
      <c r="D300" s="20" t="n">
        <v>17475</v>
      </c>
      <c r="E300" s="20" t="n">
        <v>-2962</v>
      </c>
      <c r="F300" s="20" t="n">
        <v>8316</v>
      </c>
      <c r="G300" s="20" t="n">
        <v>14924</v>
      </c>
      <c r="H300" s="20" t="n">
        <v>29436</v>
      </c>
      <c r="I300" s="20" t="n">
        <v>-6725</v>
      </c>
      <c r="J300" s="20" t="n">
        <v>3152</v>
      </c>
      <c r="K300" s="20" t="n">
        <v>10871</v>
      </c>
      <c r="L300" s="20" t="n">
        <v>31132</v>
      </c>
      <c r="M300" s="20" t="n">
        <v>7190</v>
      </c>
      <c r="N300" s="20" t="n">
        <v>20946</v>
      </c>
      <c r="O300" s="20" t="n">
        <v>84923</v>
      </c>
      <c r="P300" s="20" t="n">
        <v>74888</v>
      </c>
      <c r="Q300" s="20" t="n">
        <v>38975</v>
      </c>
      <c r="R300" s="20" t="n">
        <v>19967</v>
      </c>
      <c r="S300" s="20" t="n">
        <v>36027</v>
      </c>
      <c r="T300" s="20" t="n">
        <v>20827</v>
      </c>
      <c r="U300" s="20" t="n">
        <v>17475</v>
      </c>
      <c r="V300" s="20" t="n">
        <v>17475</v>
      </c>
      <c r="W300" s="20" t="n">
        <v>29436</v>
      </c>
      <c r="X300" s="20" t="n">
        <v>31132</v>
      </c>
    </row>
    <row r="301">
      <c r="A301" s="18" t="inlineStr">
        <is>
          <t>이자 수취</t>
        </is>
      </c>
      <c r="D301" s="20" t="n">
        <v>12</v>
      </c>
      <c r="H301" s="20" t="n">
        <v>92</v>
      </c>
      <c r="L301" s="20" t="n">
        <v>462</v>
      </c>
      <c r="O301" s="20" t="n">
        <v>0</v>
      </c>
      <c r="P301" s="20" t="n">
        <v>1</v>
      </c>
      <c r="Q301" s="20" t="n">
        <v>2</v>
      </c>
      <c r="R301" s="20" t="n">
        <v>5</v>
      </c>
      <c r="S301" s="20" t="n">
        <v>8</v>
      </c>
      <c r="T301" s="20" t="n">
        <v>10</v>
      </c>
      <c r="U301" s="20" t="n">
        <v>12</v>
      </c>
      <c r="V301" s="20" t="n">
        <v>12</v>
      </c>
      <c r="W301" s="20" t="n">
        <v>92</v>
      </c>
      <c r="X301" s="20" t="n">
        <v>462</v>
      </c>
    </row>
    <row r="302">
      <c r="A302" s="18" t="inlineStr">
        <is>
          <t>이자·배당금 수취</t>
        </is>
      </c>
      <c r="C302" s="20" t="n">
        <v>13</v>
      </c>
      <c r="E302" s="20" t="n">
        <v>1</v>
      </c>
      <c r="F302" s="20" t="n">
        <v>46</v>
      </c>
      <c r="G302" s="20" t="n">
        <v>59</v>
      </c>
      <c r="I302" s="20" t="n">
        <v>80</v>
      </c>
      <c r="J302" s="20" t="n">
        <v>176</v>
      </c>
      <c r="K302" s="20" t="n">
        <v>279</v>
      </c>
      <c r="M302" s="20" t="n">
        <v>119</v>
      </c>
      <c r="N302" s="20" t="n">
        <v>353</v>
      </c>
    </row>
    <row r="303">
      <c r="A303" s="18" t="inlineStr">
        <is>
          <t>이자 지급</t>
        </is>
      </c>
      <c r="C303" s="20" t="n">
        <v>-40</v>
      </c>
      <c r="D303" s="20" t="n">
        <v>-53</v>
      </c>
      <c r="E303" s="20" t="n">
        <v>-17</v>
      </c>
      <c r="F303" s="20" t="n">
        <v>-46</v>
      </c>
      <c r="G303" s="20" t="n">
        <v>-73</v>
      </c>
      <c r="H303" s="20" t="n">
        <v>-106</v>
      </c>
      <c r="I303" s="20" t="n">
        <v>-41</v>
      </c>
      <c r="J303" s="20" t="n">
        <v>-103</v>
      </c>
      <c r="K303" s="20" t="n">
        <v>-162</v>
      </c>
      <c r="L303" s="20" t="n">
        <v>-464</v>
      </c>
      <c r="M303" s="20" t="n">
        <v>-174</v>
      </c>
      <c r="N303" s="20" t="n">
        <v>-362</v>
      </c>
      <c r="O303" s="20" t="n">
        <v>-0</v>
      </c>
      <c r="P303" s="20" t="n">
        <v>-0</v>
      </c>
      <c r="Q303" s="20" t="n">
        <v>-0</v>
      </c>
      <c r="R303" s="20" t="n">
        <v>-10</v>
      </c>
      <c r="S303" s="20" t="n">
        <v>-28</v>
      </c>
      <c r="T303" s="20" t="n">
        <v>-59</v>
      </c>
      <c r="U303" s="20" t="n">
        <v>-53</v>
      </c>
      <c r="V303" s="20" t="n">
        <v>-53</v>
      </c>
      <c r="W303" s="20" t="n">
        <v>-106</v>
      </c>
      <c r="X303" s="20" t="n">
        <v>-464</v>
      </c>
    </row>
    <row r="304">
      <c r="A304" s="18" t="inlineStr">
        <is>
          <t>법인세 납부·환급</t>
        </is>
      </c>
      <c r="C304" s="20" t="n">
        <v>-7873</v>
      </c>
      <c r="E304" s="20" t="n">
        <v>-609</v>
      </c>
      <c r="F304" s="20" t="n">
        <v>224</v>
      </c>
      <c r="G304" s="20" t="n">
        <v>-1177</v>
      </c>
      <c r="I304" s="20" t="n">
        <v>-7205</v>
      </c>
      <c r="J304" s="20" t="n">
        <v>-7307</v>
      </c>
      <c r="K304" s="20" t="n">
        <v>-11349</v>
      </c>
    </row>
    <row r="305">
      <c r="A305" s="18" t="inlineStr">
        <is>
          <t>법인세 납부</t>
        </is>
      </c>
      <c r="C305" s="20" t="n">
        <v>-7873</v>
      </c>
      <c r="D305" s="20" t="n">
        <v>-8253</v>
      </c>
      <c r="E305" s="20" t="n">
        <v>-609</v>
      </c>
      <c r="H305" s="20" t="n">
        <v>-1944</v>
      </c>
      <c r="I305" s="20" t="n">
        <v>-7205</v>
      </c>
      <c r="J305" s="20" t="n">
        <v>-7307</v>
      </c>
      <c r="L305" s="20" t="n">
        <v>-11842</v>
      </c>
      <c r="M305" s="20" t="n">
        <v>-3808</v>
      </c>
      <c r="N305" s="20" t="n">
        <v>-3965</v>
      </c>
      <c r="O305" s="20" t="n">
        <v>-43621</v>
      </c>
      <c r="P305" s="20" t="n">
        <v>-24915</v>
      </c>
      <c r="Q305" s="20" t="n">
        <v>-20863</v>
      </c>
      <c r="R305" s="20" t="n">
        <v>-2170</v>
      </c>
      <c r="S305" s="20" t="n">
        <v>-1220</v>
      </c>
      <c r="T305" s="20" t="n">
        <v>-5027</v>
      </c>
      <c r="U305" s="20" t="n">
        <v>-8253</v>
      </c>
      <c r="V305" s="20" t="n">
        <v>-8253</v>
      </c>
      <c r="W305" s="20" t="n">
        <v>-1944</v>
      </c>
      <c r="X305" s="20" t="n">
        <v>-11842</v>
      </c>
    </row>
    <row r="306">
      <c r="A306" s="18" t="inlineStr">
        <is>
          <t>특별퇴직금 지급액</t>
        </is>
      </c>
      <c r="R306" s="20" t="n">
        <v>0</v>
      </c>
      <c r="S306" s="20" t="n">
        <v>-113</v>
      </c>
      <c r="T306" s="20" t="n">
        <v>0</v>
      </c>
    </row>
    <row r="307">
      <c r="A307" s="9" t="inlineStr">
        <is>
          <t>영업활동 현금흐름</t>
        </is>
      </c>
      <c r="C307" s="12" t="n">
        <v>-727</v>
      </c>
      <c r="D307" s="12" t="n">
        <v>9181</v>
      </c>
      <c r="E307" s="12" t="n">
        <v>-3589</v>
      </c>
      <c r="F307" s="12" t="n">
        <v>8541</v>
      </c>
      <c r="G307" s="12" t="n">
        <v>13733</v>
      </c>
      <c r="H307" s="12" t="n">
        <v>27476</v>
      </c>
      <c r="I307" s="12" t="n">
        <v>-13892</v>
      </c>
      <c r="J307" s="12" t="n">
        <v>-4082</v>
      </c>
      <c r="K307" s="12" t="n">
        <v>-361</v>
      </c>
      <c r="L307" s="12" t="n">
        <v>19287</v>
      </c>
      <c r="M307" s="12" t="n">
        <v>3326</v>
      </c>
      <c r="N307" s="12" t="n">
        <v>16971</v>
      </c>
      <c r="O307" s="12" t="n">
        <v>41303</v>
      </c>
      <c r="P307" s="12" t="n">
        <v>49975</v>
      </c>
      <c r="Q307" s="12" t="n">
        <v>18113</v>
      </c>
      <c r="R307" s="12" t="n">
        <v>17792</v>
      </c>
      <c r="S307" s="12" t="n">
        <v>34672</v>
      </c>
      <c r="T307" s="12" t="n">
        <v>15751</v>
      </c>
      <c r="U307" s="12" t="n">
        <v>9181</v>
      </c>
      <c r="V307" s="12" t="n">
        <v>9181</v>
      </c>
      <c r="W307" s="12" t="n">
        <v>27476</v>
      </c>
      <c r="X307" s="12" t="n">
        <v>19287</v>
      </c>
    </row>
    <row r="308">
      <c r="A308" s="18" t="inlineStr">
        <is>
          <t>정기예금 예입</t>
        </is>
      </c>
      <c r="C308" s="20" t="n">
        <v>0</v>
      </c>
      <c r="D308" s="20" t="n">
        <v>0</v>
      </c>
      <c r="H308" s="20" t="n">
        <v>-5081</v>
      </c>
      <c r="I308" s="20" t="n">
        <v>0</v>
      </c>
      <c r="J308" s="20" t="n">
        <v>-580</v>
      </c>
      <c r="L308" s="20" t="n">
        <v>-500</v>
      </c>
      <c r="M308" s="20" t="n">
        <v>-600</v>
      </c>
      <c r="N308" s="20" t="n">
        <v>-600</v>
      </c>
      <c r="T308" s="20" t="n">
        <v>-19</v>
      </c>
      <c r="U308" s="20" t="n">
        <v>0</v>
      </c>
      <c r="V308" s="20" t="n">
        <v>0</v>
      </c>
      <c r="W308" s="20" t="n">
        <v>-5081</v>
      </c>
      <c r="X308" s="20" t="n">
        <v>-500</v>
      </c>
    </row>
    <row r="309">
      <c r="A309" s="18" t="inlineStr">
        <is>
          <t>유형자산 취득(설비투자)</t>
        </is>
      </c>
      <c r="C309" s="20" t="n">
        <v>-1699</v>
      </c>
      <c r="O309" s="20" t="n">
        <v>-606</v>
      </c>
      <c r="P309" s="20" t="n">
        <v>-1329</v>
      </c>
      <c r="Q309" s="20" t="n">
        <v>-3512</v>
      </c>
      <c r="R309" s="20" t="n">
        <v>-9381</v>
      </c>
      <c r="S309" s="20" t="n">
        <v>-4110</v>
      </c>
      <c r="T309" s="20" t="n">
        <v>-1963</v>
      </c>
      <c r="U309" s="20" t="n">
        <v>-2993</v>
      </c>
    </row>
    <row r="310">
      <c r="A310" s="18" t="inlineStr">
        <is>
          <t>무형자산 취득</t>
        </is>
      </c>
      <c r="C310" s="20" t="n">
        <v>-319</v>
      </c>
      <c r="O310" s="20" t="n">
        <v>-46</v>
      </c>
      <c r="P310" s="20" t="n">
        <v>-331</v>
      </c>
      <c r="Q310" s="20" t="n">
        <v>-253</v>
      </c>
      <c r="R310" s="20" t="n">
        <v>-553</v>
      </c>
      <c r="S310" s="20" t="n">
        <v>-688</v>
      </c>
      <c r="T310" s="20" t="n">
        <v>-586</v>
      </c>
      <c r="U310" s="20" t="n">
        <v>-468</v>
      </c>
    </row>
    <row r="311">
      <c r="A311" s="18" t="inlineStr">
        <is>
          <t>무형자산 매각 수입</t>
        </is>
      </c>
      <c r="Q311" s="20" t="n">
        <v>0</v>
      </c>
      <c r="R311" s="20" t="n">
        <v>15</v>
      </c>
      <c r="S311" s="20" t="n">
        <v>0</v>
      </c>
      <c r="T311" s="20" t="n">
        <v>27</v>
      </c>
      <c r="U311" s="20" t="n">
        <v>0</v>
      </c>
    </row>
    <row r="312">
      <c r="A312" s="18" t="inlineStr">
        <is>
          <t>정기예금 인출</t>
        </is>
      </c>
      <c r="H312" s="20" t="n">
        <v>0</v>
      </c>
      <c r="I312" s="20" t="n">
        <v>79</v>
      </c>
      <c r="J312" s="20" t="n">
        <v>79</v>
      </c>
      <c r="L312" s="20" t="n">
        <v>2579</v>
      </c>
      <c r="M312" s="20" t="n">
        <v>3000</v>
      </c>
      <c r="N312" s="20" t="n">
        <v>3000</v>
      </c>
      <c r="Q312" s="20" t="n">
        <v>0</v>
      </c>
      <c r="R312" s="20" t="n">
        <v>302</v>
      </c>
      <c r="S312" s="20" t="n">
        <v>0</v>
      </c>
      <c r="W312" s="20" t="n">
        <v>0</v>
      </c>
      <c r="X312" s="20" t="n">
        <v>2579</v>
      </c>
    </row>
    <row r="313">
      <c r="A313" s="18" t="inlineStr">
        <is>
          <t>고정자산 취득</t>
        </is>
      </c>
      <c r="C313" s="20" t="n">
        <v>-2018</v>
      </c>
      <c r="D313" s="20" t="n">
        <v>-3462</v>
      </c>
      <c r="E313" s="20" t="n">
        <v>-2607</v>
      </c>
      <c r="F313" s="20" t="n">
        <v>-4010</v>
      </c>
      <c r="G313" s="20" t="n">
        <v>-5617</v>
      </c>
      <c r="H313" s="20" t="n">
        <v>-6483</v>
      </c>
      <c r="I313" s="20" t="n">
        <v>-4358</v>
      </c>
      <c r="J313" s="20" t="n">
        <v>-5089</v>
      </c>
      <c r="K313" s="20" t="n">
        <v>-8765</v>
      </c>
      <c r="L313" s="20" t="n">
        <v>-9792</v>
      </c>
      <c r="M313" s="20" t="n">
        <v>-2642</v>
      </c>
      <c r="N313" s="20" t="n">
        <v>-3759</v>
      </c>
      <c r="V313" s="20" t="n">
        <v>-3462</v>
      </c>
      <c r="W313" s="20" t="n">
        <v>-6483</v>
      </c>
      <c r="X313" s="20" t="n">
        <v>-9792</v>
      </c>
    </row>
    <row r="314">
      <c r="A314" s="18" t="inlineStr">
        <is>
          <t>투자유가증권 상환</t>
        </is>
      </c>
      <c r="C314" s="20" t="n">
        <v>0</v>
      </c>
      <c r="D314" s="20" t="n">
        <v>0</v>
      </c>
      <c r="F314" s="20" t="n">
        <v>1333</v>
      </c>
      <c r="G314" s="20" t="n">
        <v>1333</v>
      </c>
      <c r="H314" s="20" t="n">
        <v>1391</v>
      </c>
      <c r="J314" s="20" t="n">
        <v>0</v>
      </c>
      <c r="K314" s="20" t="n">
        <v>0</v>
      </c>
      <c r="V314" s="20" t="n">
        <v>0</v>
      </c>
      <c r="W314" s="20" t="n">
        <v>1391</v>
      </c>
    </row>
    <row r="315">
      <c r="A315" s="18" t="inlineStr">
        <is>
          <t>투자유가증권 취득</t>
        </is>
      </c>
      <c r="C315" s="20" t="n">
        <v>-1366</v>
      </c>
      <c r="D315" s="20" t="n">
        <v>-2734</v>
      </c>
      <c r="E315" s="20" t="n">
        <v>-4</v>
      </c>
      <c r="F315" s="20" t="n">
        <v>-4</v>
      </c>
      <c r="G315" s="20" t="n">
        <v>-32</v>
      </c>
      <c r="H315" s="20" t="n">
        <v>-47</v>
      </c>
      <c r="I315" s="20" t="n">
        <v>-181</v>
      </c>
      <c r="J315" s="20" t="n">
        <v>-181</v>
      </c>
      <c r="K315" s="20" t="n">
        <v>-181</v>
      </c>
      <c r="M315" s="20" t="n">
        <v>-981</v>
      </c>
      <c r="N315" s="20" t="n">
        <v>-13491</v>
      </c>
      <c r="O315" s="20" t="n">
        <v>-1093</v>
      </c>
      <c r="P315" s="20" t="n">
        <v>-1644</v>
      </c>
      <c r="Q315" s="20" t="n">
        <v>-3238</v>
      </c>
      <c r="R315" s="20" t="n">
        <v>-4545</v>
      </c>
      <c r="S315" s="20" t="n">
        <v>-4534</v>
      </c>
      <c r="T315" s="20" t="n">
        <v>-3421</v>
      </c>
      <c r="U315" s="20" t="n">
        <v>-2734</v>
      </c>
      <c r="V315" s="20" t="n">
        <v>-2734</v>
      </c>
      <c r="W315" s="20" t="n">
        <v>-47</v>
      </c>
    </row>
    <row r="316">
      <c r="A316" s="18" t="inlineStr">
        <is>
          <t>투자유가증권 매각</t>
        </is>
      </c>
      <c r="O316" s="20" t="n">
        <v>0</v>
      </c>
      <c r="P316" s="20" t="n">
        <v>445</v>
      </c>
      <c r="Q316" s="20" t="n">
        <v>285</v>
      </c>
      <c r="R316" s="20" t="n">
        <v>100</v>
      </c>
      <c r="S316" s="20" t="n">
        <v>1097</v>
      </c>
      <c r="T316" s="20" t="n">
        <v>2473</v>
      </c>
    </row>
    <row r="317">
      <c r="A317" s="18" t="inlineStr">
        <is>
          <t>Proceeds From Share Of Profits On Investment Securities Inv CF</t>
        </is>
      </c>
      <c r="O317" s="20" t="n">
        <v>239</v>
      </c>
      <c r="P317" s="20" t="n">
        <v>750</v>
      </c>
      <c r="Q317" s="20" t="n">
        <v>282</v>
      </c>
      <c r="R317" s="20" t="n">
        <v>329</v>
      </c>
      <c r="S317" s="20" t="n">
        <v>790</v>
      </c>
      <c r="T317" s="20" t="n">
        <v>2137</v>
      </c>
    </row>
    <row r="318">
      <c r="A318" s="18" t="inlineStr">
        <is>
          <t>투자유가증권 환급 수입</t>
        </is>
      </c>
      <c r="O318" s="20" t="n">
        <v>0</v>
      </c>
      <c r="P318" s="20" t="n">
        <v>75</v>
      </c>
      <c r="Q318" s="20" t="n">
        <v>0</v>
      </c>
    </row>
    <row r="319">
      <c r="A319" s="18" t="inlineStr">
        <is>
          <t>사업양수 지출</t>
        </is>
      </c>
      <c r="Q319" s="20" t="n">
        <v>0</v>
      </c>
      <c r="R319" s="20" t="n">
        <v>-1030</v>
      </c>
      <c r="S319" s="20" t="n">
        <v>0</v>
      </c>
    </row>
    <row r="320">
      <c r="A320" s="18" t="inlineStr">
        <is>
          <t>관계회사 주식 매각</t>
        </is>
      </c>
      <c r="E320" s="20" t="n">
        <v>0</v>
      </c>
      <c r="F320" s="20" t="n">
        <v>0</v>
      </c>
      <c r="G320" s="20" t="n">
        <v>0</v>
      </c>
      <c r="H320" s="20" t="n">
        <v>0</v>
      </c>
      <c r="I320" s="20" t="n">
        <v>609</v>
      </c>
      <c r="J320" s="20" t="n">
        <v>609</v>
      </c>
      <c r="K320" s="20" t="n">
        <v>609</v>
      </c>
      <c r="L320" s="20" t="n">
        <v>609</v>
      </c>
      <c r="M320" s="20" t="n">
        <v>0</v>
      </c>
      <c r="W320" s="20" t="n">
        <v>0</v>
      </c>
      <c r="X320" s="20" t="n">
        <v>609</v>
      </c>
    </row>
    <row r="321">
      <c r="A321" s="18" t="inlineStr">
        <is>
          <t>대여</t>
        </is>
      </c>
      <c r="C321" s="20" t="n">
        <v>-1800</v>
      </c>
      <c r="D321" s="20" t="n">
        <v>-1800</v>
      </c>
      <c r="E321" s="20" t="n">
        <v>-4000</v>
      </c>
      <c r="F321" s="20" t="n">
        <v>-4000</v>
      </c>
      <c r="G321" s="20" t="n">
        <v>-4000</v>
      </c>
      <c r="H321" s="20" t="n">
        <v>-4000</v>
      </c>
      <c r="I321" s="20" t="n">
        <v>0</v>
      </c>
      <c r="J321" s="20" t="n">
        <v>0</v>
      </c>
      <c r="K321" s="20" t="n">
        <v>0</v>
      </c>
      <c r="L321" s="20" t="n">
        <v>0</v>
      </c>
      <c r="T321" s="20" t="n">
        <v>-1200</v>
      </c>
      <c r="U321" s="20" t="n">
        <v>-1800</v>
      </c>
      <c r="V321" s="20" t="n">
        <v>-1800</v>
      </c>
      <c r="W321" s="20" t="n">
        <v>-4000</v>
      </c>
      <c r="X321" s="20" t="n">
        <v>0</v>
      </c>
    </row>
    <row r="322">
      <c r="A322" s="18" t="inlineStr">
        <is>
          <t>대여금 회수</t>
        </is>
      </c>
      <c r="C322" s="20" t="n">
        <v>1200</v>
      </c>
      <c r="D322" s="20" t="n">
        <v>1200</v>
      </c>
      <c r="E322" s="20" t="n">
        <v>0</v>
      </c>
      <c r="F322" s="20" t="n">
        <v>210</v>
      </c>
      <c r="G322" s="20" t="n">
        <v>210</v>
      </c>
      <c r="H322" s="20" t="n">
        <v>210</v>
      </c>
      <c r="I322" s="20" t="n">
        <v>200</v>
      </c>
      <c r="J322" s="20" t="n">
        <v>410</v>
      </c>
      <c r="K322" s="20" t="n">
        <v>410</v>
      </c>
      <c r="L322" s="20" t="n">
        <v>1210</v>
      </c>
      <c r="P322" s="20" t="n">
        <v>0</v>
      </c>
      <c r="Q322" s="20" t="n">
        <v>307</v>
      </c>
      <c r="R322" s="20" t="n">
        <v>0</v>
      </c>
      <c r="T322" s="20" t="n">
        <v>640</v>
      </c>
      <c r="U322" s="20" t="n">
        <v>1200</v>
      </c>
      <c r="V322" s="20" t="n">
        <v>1200</v>
      </c>
      <c r="W322" s="20" t="n">
        <v>210</v>
      </c>
      <c r="X322" s="20" t="n">
        <v>1210</v>
      </c>
    </row>
    <row r="323">
      <c r="A323" s="18" t="inlineStr">
        <is>
          <t>보증금 납입</t>
        </is>
      </c>
      <c r="C323" s="20" t="n">
        <v>-60</v>
      </c>
      <c r="E323" s="20" t="n">
        <v>-501</v>
      </c>
      <c r="F323" s="20" t="n">
        <v>-508</v>
      </c>
      <c r="G323" s="20" t="n">
        <v>-508</v>
      </c>
      <c r="O323" s="20" t="n">
        <v>-173</v>
      </c>
      <c r="P323" s="20" t="n">
        <v>-3573</v>
      </c>
      <c r="Q323" s="20" t="n">
        <v>-158</v>
      </c>
      <c r="R323" s="20" t="n">
        <v>0</v>
      </c>
    </row>
    <row r="324">
      <c r="A324" s="18" t="inlineStr">
        <is>
          <t>보증금 회수</t>
        </is>
      </c>
      <c r="C324" s="20" t="n">
        <v>8</v>
      </c>
      <c r="E324" s="20" t="n">
        <v>42</v>
      </c>
      <c r="F324" s="20" t="n">
        <v>94</v>
      </c>
      <c r="G324" s="20" t="n">
        <v>95</v>
      </c>
    </row>
    <row r="325">
      <c r="A325" s="18" t="inlineStr">
        <is>
          <t>임차보증금·보증금 납입</t>
        </is>
      </c>
      <c r="D325" s="20" t="n">
        <v>-105</v>
      </c>
      <c r="H325" s="20" t="n">
        <v>-535</v>
      </c>
      <c r="Q325" s="20" t="n">
        <v>0</v>
      </c>
      <c r="R325" s="20" t="n">
        <v>-121</v>
      </c>
      <c r="S325" s="20" t="n">
        <v>-1174</v>
      </c>
      <c r="T325" s="20" t="n">
        <v>-83</v>
      </c>
      <c r="U325" s="20" t="n">
        <v>-105</v>
      </c>
      <c r="V325" s="20" t="n">
        <v>-105</v>
      </c>
      <c r="W325" s="20" t="n">
        <v>-535</v>
      </c>
    </row>
    <row r="326">
      <c r="A326" s="18" t="inlineStr">
        <is>
          <t>임차보증금·보증금 회수</t>
        </is>
      </c>
      <c r="D326" s="20" t="n">
        <v>8</v>
      </c>
      <c r="H326" s="20" t="n">
        <v>105</v>
      </c>
      <c r="R326" s="20" t="n">
        <v>10</v>
      </c>
      <c r="S326" s="20" t="n">
        <v>1414</v>
      </c>
      <c r="T326" s="20" t="n">
        <v>61</v>
      </c>
      <c r="U326" s="20" t="n">
        <v>8</v>
      </c>
      <c r="V326" s="20" t="n">
        <v>8</v>
      </c>
      <c r="W326" s="20" t="n">
        <v>105</v>
      </c>
    </row>
    <row r="327">
      <c r="A327" s="18" t="inlineStr">
        <is>
          <t>사업양도 수입</t>
        </is>
      </c>
      <c r="C327" s="20" t="n">
        <v>0</v>
      </c>
      <c r="D327" s="20" t="n">
        <v>0</v>
      </c>
      <c r="F327" s="20" t="n">
        <v>181</v>
      </c>
      <c r="G327" s="20" t="n">
        <v>181</v>
      </c>
      <c r="H327" s="20" t="n">
        <v>181</v>
      </c>
      <c r="V327" s="20" t="n">
        <v>0</v>
      </c>
      <c r="W327" s="20" t="n">
        <v>181</v>
      </c>
    </row>
    <row r="328">
      <c r="A328" s="18" t="inlineStr">
        <is>
          <t>연결범위 변경 자회사 주식 취득</t>
        </is>
      </c>
      <c r="C328" s="20" t="n">
        <v>0</v>
      </c>
      <c r="D328" s="20" t="n">
        <v>0</v>
      </c>
      <c r="E328" s="20" t="n">
        <v>-255</v>
      </c>
      <c r="F328" s="20" t="n">
        <v>-255</v>
      </c>
      <c r="G328" s="20" t="n">
        <v>-255</v>
      </c>
      <c r="H328" s="20" t="n">
        <v>-255</v>
      </c>
      <c r="I328" s="20" t="n">
        <v>0</v>
      </c>
      <c r="J328" s="20" t="n">
        <v>-25533</v>
      </c>
      <c r="K328" s="20" t="n">
        <v>-25533</v>
      </c>
      <c r="L328" s="20" t="n">
        <v>-25533</v>
      </c>
      <c r="N328" s="20" t="n">
        <v>-486</v>
      </c>
      <c r="O328" s="20" t="n">
        <v>-94</v>
      </c>
      <c r="P328" s="20" t="n">
        <v>0</v>
      </c>
      <c r="Q328" s="20" t="n">
        <v>-4553</v>
      </c>
      <c r="R328" s="20" t="n">
        <v>-15825</v>
      </c>
      <c r="S328" s="20" t="n">
        <v>0</v>
      </c>
      <c r="T328" s="20" t="n">
        <v>-469</v>
      </c>
      <c r="U328" s="20" t="n">
        <v>0</v>
      </c>
      <c r="V328" s="20" t="n">
        <v>0</v>
      </c>
      <c r="W328" s="20" t="n">
        <v>-255</v>
      </c>
      <c r="X328" s="20" t="n">
        <v>-25533</v>
      </c>
    </row>
    <row r="329">
      <c r="A329" s="18" t="inlineStr">
        <is>
          <t>연결범위 변경 자회사 주식 취득(수입)</t>
        </is>
      </c>
      <c r="C329" s="20" t="n">
        <v>0</v>
      </c>
      <c r="J329" s="20" t="n">
        <v>0</v>
      </c>
      <c r="N329" s="20" t="n">
        <v>33</v>
      </c>
      <c r="S329" s="20" t="n">
        <v>0</v>
      </c>
      <c r="T329" s="20" t="n">
        <v>3</v>
      </c>
      <c r="U329" s="20" t="n">
        <v>0</v>
      </c>
    </row>
    <row r="330">
      <c r="A330" s="18" t="inlineStr">
        <is>
          <t>연결범위 변경 자회사 주식 매각(지출)</t>
        </is>
      </c>
      <c r="C330" s="20" t="n">
        <v>0</v>
      </c>
      <c r="O330" s="20" t="n">
        <v>-200</v>
      </c>
      <c r="P330" s="20" t="n">
        <v>0</v>
      </c>
      <c r="Q330" s="20" t="n">
        <v>-24</v>
      </c>
      <c r="R330" s="20" t="n">
        <v>0</v>
      </c>
      <c r="T330" s="20" t="n">
        <v>-921</v>
      </c>
      <c r="U330" s="20" t="n">
        <v>0</v>
      </c>
    </row>
    <row r="331">
      <c r="A331" s="18" t="inlineStr">
        <is>
          <t>연결범위 변경 자회사 주식 매각</t>
        </is>
      </c>
      <c r="P331" s="20" t="n">
        <v>0</v>
      </c>
      <c r="Q331" s="20" t="n">
        <v>49</v>
      </c>
      <c r="R331" s="20" t="n">
        <v>0</v>
      </c>
    </row>
    <row r="332">
      <c r="A332" s="18" t="inlineStr">
        <is>
          <t>Proceeds From Purchase Of Investments In Capital Of Subsidiaries And Associates Resulting In Change In Scope Of Consolidation Inv CF</t>
        </is>
      </c>
      <c r="J332" s="20" t="n">
        <v>0</v>
      </c>
      <c r="N332" s="20" t="n">
        <v>666</v>
      </c>
    </row>
    <row r="333">
      <c r="A333" s="18" t="inlineStr">
        <is>
          <t>기타</t>
        </is>
      </c>
      <c r="C333" s="20" t="n">
        <v>8</v>
      </c>
      <c r="D333" s="20" t="n">
        <v>41</v>
      </c>
      <c r="E333" s="20" t="n">
        <v>-458</v>
      </c>
      <c r="F333" s="20" t="n">
        <v>-220</v>
      </c>
      <c r="G333" s="20" t="n">
        <v>-386</v>
      </c>
      <c r="H333" s="20" t="n">
        <v>1119</v>
      </c>
      <c r="I333" s="20" t="n">
        <v>210</v>
      </c>
      <c r="J333" s="20" t="n">
        <v>1044</v>
      </c>
      <c r="K333" s="20" t="n">
        <v>-393</v>
      </c>
      <c r="L333" s="20" t="n">
        <v>-123</v>
      </c>
      <c r="M333" s="20" t="n">
        <v>-25</v>
      </c>
      <c r="N333" s="20" t="n">
        <v>-320</v>
      </c>
      <c r="O333" s="20" t="n">
        <v>22</v>
      </c>
      <c r="P333" s="20" t="n">
        <v>7</v>
      </c>
      <c r="Q333" s="20" t="n">
        <v>3</v>
      </c>
      <c r="R333" s="20" t="n">
        <v>16</v>
      </c>
      <c r="S333" s="20" t="n">
        <v>46</v>
      </c>
      <c r="T333" s="20" t="n">
        <v>608</v>
      </c>
      <c r="U333" s="20" t="n">
        <v>41</v>
      </c>
      <c r="V333" s="20" t="n">
        <v>41</v>
      </c>
      <c r="W333" s="20" t="n">
        <v>1119</v>
      </c>
      <c r="X333" s="20" t="n">
        <v>-123</v>
      </c>
    </row>
    <row r="334">
      <c r="A334" s="9" t="inlineStr">
        <is>
          <t>투자활동 현금흐름</t>
        </is>
      </c>
      <c r="C334" s="12" t="n">
        <v>-4029</v>
      </c>
      <c r="D334" s="12" t="n">
        <v>-6852</v>
      </c>
      <c r="E334" s="12" t="n">
        <v>-7324</v>
      </c>
      <c r="F334" s="12" t="n">
        <v>-6947</v>
      </c>
      <c r="G334" s="12" t="n">
        <v>-8748</v>
      </c>
      <c r="H334" s="12" t="n">
        <v>-14490</v>
      </c>
      <c r="I334" s="12" t="n">
        <v>-3640</v>
      </c>
      <c r="J334" s="12" t="n">
        <v>-30262</v>
      </c>
      <c r="K334" s="12" t="n">
        <v>-33855</v>
      </c>
      <c r="L334" s="12" t="n">
        <v>-31552</v>
      </c>
      <c r="M334" s="12" t="n">
        <v>-1249</v>
      </c>
      <c r="N334" s="12" t="n">
        <v>-14957</v>
      </c>
      <c r="O334" s="12" t="n">
        <v>-1950</v>
      </c>
      <c r="P334" s="12" t="n">
        <v>-5601</v>
      </c>
      <c r="Q334" s="12" t="n">
        <v>-10811</v>
      </c>
      <c r="R334" s="12" t="n">
        <v>-30683</v>
      </c>
      <c r="S334" s="12" t="n">
        <v>-7159</v>
      </c>
      <c r="T334" s="12" t="n">
        <v>-7350</v>
      </c>
      <c r="U334" s="12" t="n">
        <v>-6852</v>
      </c>
      <c r="V334" s="12" t="n">
        <v>-6852</v>
      </c>
      <c r="W334" s="12" t="n">
        <v>-14490</v>
      </c>
      <c r="X334" s="12" t="n">
        <v>-31552</v>
      </c>
    </row>
    <row r="335">
      <c r="A335" s="18" t="inlineStr">
        <is>
          <t>단기차입금 순증감</t>
        </is>
      </c>
      <c r="C335" s="20" t="n">
        <v>1504</v>
      </c>
      <c r="D335" s="20" t="n">
        <v>204</v>
      </c>
      <c r="E335" s="20" t="n">
        <v>980</v>
      </c>
      <c r="F335" s="20" t="n">
        <v>981</v>
      </c>
      <c r="G335" s="20" t="n">
        <v>1782</v>
      </c>
      <c r="H335" s="20" t="n">
        <v>781</v>
      </c>
      <c r="I335" s="20" t="n">
        <v>49</v>
      </c>
      <c r="J335" s="20" t="n">
        <v>20449</v>
      </c>
      <c r="K335" s="20" t="n">
        <v>28750</v>
      </c>
      <c r="L335" s="20" t="n">
        <v>-150</v>
      </c>
      <c r="M335" s="20" t="n">
        <v>0</v>
      </c>
      <c r="N335" s="20" t="n">
        <v>0</v>
      </c>
      <c r="Q335" s="20" t="n">
        <v>0</v>
      </c>
      <c r="R335" s="20" t="n">
        <v>287</v>
      </c>
      <c r="S335" s="20" t="n">
        <v>250</v>
      </c>
      <c r="T335" s="20" t="n">
        <v>203</v>
      </c>
      <c r="U335" s="20" t="n">
        <v>204</v>
      </c>
      <c r="V335" s="20" t="n">
        <v>204</v>
      </c>
      <c r="W335" s="20" t="n">
        <v>781</v>
      </c>
      <c r="X335" s="20" t="n">
        <v>-150</v>
      </c>
    </row>
    <row r="336">
      <c r="A336" s="18" t="inlineStr">
        <is>
          <t>장기차입</t>
        </is>
      </c>
      <c r="C336" s="20" t="n">
        <v>0</v>
      </c>
      <c r="D336" s="20" t="n">
        <v>0</v>
      </c>
      <c r="E336" s="20" t="n">
        <v>0</v>
      </c>
      <c r="F336" s="20" t="n">
        <v>4700</v>
      </c>
      <c r="G336" s="20" t="n">
        <v>9400</v>
      </c>
      <c r="H336" s="20" t="n">
        <v>9429</v>
      </c>
      <c r="I336" s="20" t="n">
        <v>1400</v>
      </c>
      <c r="J336" s="20" t="n">
        <v>1400</v>
      </c>
      <c r="K336" s="20" t="n">
        <v>4300</v>
      </c>
      <c r="L336" s="20" t="n">
        <v>35200</v>
      </c>
      <c r="M336" s="20" t="n">
        <v>0</v>
      </c>
      <c r="N336" s="20" t="n">
        <v>2300</v>
      </c>
      <c r="Q336" s="20" t="n">
        <v>0</v>
      </c>
      <c r="R336" s="20" t="n">
        <v>2486</v>
      </c>
      <c r="S336" s="20" t="n">
        <v>6090</v>
      </c>
      <c r="T336" s="20" t="n">
        <v>35</v>
      </c>
      <c r="U336" s="20" t="n">
        <v>0</v>
      </c>
      <c r="V336" s="20" t="n">
        <v>0</v>
      </c>
      <c r="W336" s="20" t="n">
        <v>9429</v>
      </c>
      <c r="X336" s="20" t="n">
        <v>35200</v>
      </c>
    </row>
    <row r="337">
      <c r="A337" s="18" t="inlineStr">
        <is>
          <t>장기차입금 상환</t>
        </is>
      </c>
      <c r="C337" s="20" t="n">
        <v>-424</v>
      </c>
      <c r="D337" s="20" t="n">
        <v>-558</v>
      </c>
      <c r="E337" s="20" t="n">
        <v>-132</v>
      </c>
      <c r="F337" s="20" t="n">
        <v>-268</v>
      </c>
      <c r="G337" s="20" t="n">
        <v>-5100</v>
      </c>
      <c r="H337" s="20" t="n">
        <v>-5261</v>
      </c>
      <c r="I337" s="20" t="n">
        <v>-131</v>
      </c>
      <c r="J337" s="20" t="n">
        <v>-262</v>
      </c>
      <c r="K337" s="20" t="n">
        <v>-393</v>
      </c>
      <c r="L337" s="20" t="n">
        <v>-2352</v>
      </c>
      <c r="M337" s="20" t="n">
        <v>-900</v>
      </c>
      <c r="N337" s="20" t="n">
        <v>-1799</v>
      </c>
      <c r="O337" s="20" t="n">
        <v>0</v>
      </c>
      <c r="P337" s="20" t="n">
        <v>-10</v>
      </c>
      <c r="Q337" s="20" t="n">
        <v>0</v>
      </c>
      <c r="R337" s="20" t="n">
        <v>-26</v>
      </c>
      <c r="S337" s="20" t="n">
        <v>-1037</v>
      </c>
      <c r="T337" s="20" t="n">
        <v>-540</v>
      </c>
      <c r="U337" s="20" t="n">
        <v>-558</v>
      </c>
      <c r="V337" s="20" t="n">
        <v>-558</v>
      </c>
      <c r="W337" s="20" t="n">
        <v>-5261</v>
      </c>
      <c r="X337" s="20" t="n">
        <v>-2352</v>
      </c>
    </row>
    <row r="338">
      <c r="A338" s="18" t="inlineStr">
        <is>
          <t>자기주식 처분</t>
        </is>
      </c>
      <c r="O338" s="20" t="n">
        <v>4</v>
      </c>
      <c r="P338" s="20" t="n">
        <v>0</v>
      </c>
      <c r="Q338" s="20" t="n">
        <v>0</v>
      </c>
      <c r="R338" s="20" t="n">
        <v>0</v>
      </c>
    </row>
    <row r="339">
      <c r="A339" s="18" t="inlineStr">
        <is>
          <t>연결범위 변경 없는 자회사 주식 취득</t>
        </is>
      </c>
      <c r="C339" s="20" t="n">
        <v>0</v>
      </c>
      <c r="D339" s="20" t="n">
        <v>0</v>
      </c>
      <c r="E339" s="20" t="n">
        <v>-23</v>
      </c>
      <c r="F339" s="20" t="n">
        <v>-53</v>
      </c>
      <c r="G339" s="20" t="n">
        <v>-55</v>
      </c>
      <c r="H339" s="20" t="n">
        <v>-201</v>
      </c>
      <c r="I339" s="20" t="n">
        <v>-3</v>
      </c>
      <c r="J339" s="20" t="n">
        <v>-4</v>
      </c>
      <c r="K339" s="20" t="n">
        <v>-34</v>
      </c>
      <c r="Q339" s="20" t="n">
        <v>0</v>
      </c>
      <c r="R339" s="20" t="n">
        <v>-196</v>
      </c>
      <c r="S339" s="20" t="n">
        <v>-177</v>
      </c>
      <c r="T339" s="20" t="n">
        <v>0</v>
      </c>
      <c r="V339" s="20" t="n">
        <v>0</v>
      </c>
      <c r="W339" s="20" t="n">
        <v>-201</v>
      </c>
    </row>
    <row r="340">
      <c r="A340" s="18" t="inlineStr">
        <is>
          <t>자기주식 취득</t>
        </is>
      </c>
      <c r="C340" s="20" t="n">
        <v>-7522</v>
      </c>
      <c r="D340" s="20" t="n">
        <v>-7522</v>
      </c>
      <c r="E340" s="20" t="n">
        <v>-1229</v>
      </c>
      <c r="F340" s="20" t="n">
        <v>-4538</v>
      </c>
      <c r="G340" s="20" t="n">
        <v>-6687</v>
      </c>
      <c r="H340" s="20" t="n">
        <v>-7480</v>
      </c>
      <c r="I340" s="20" t="n">
        <v>-1492</v>
      </c>
      <c r="J340" s="20" t="n">
        <v>-6061</v>
      </c>
      <c r="K340" s="20" t="n">
        <v>-9504</v>
      </c>
      <c r="L340" s="20" t="n">
        <v>-9504</v>
      </c>
      <c r="M340" s="20" t="n">
        <v>0</v>
      </c>
      <c r="N340" s="20" t="n">
        <v>0</v>
      </c>
      <c r="O340" s="20" t="n">
        <v>-20332</v>
      </c>
      <c r="P340" s="20" t="n">
        <v>-10195</v>
      </c>
      <c r="Q340" s="20" t="n">
        <v>-10111</v>
      </c>
      <c r="R340" s="20" t="n">
        <v>0</v>
      </c>
      <c r="S340" s="20" t="n">
        <v>0</v>
      </c>
      <c r="T340" s="20" t="n">
        <v>-0</v>
      </c>
      <c r="U340" s="20" t="n">
        <v>-7522</v>
      </c>
      <c r="V340" s="20" t="n">
        <v>-7522</v>
      </c>
      <c r="W340" s="20" t="n">
        <v>-7480</v>
      </c>
      <c r="X340" s="20" t="n">
        <v>-9504</v>
      </c>
    </row>
    <row r="341">
      <c r="A341" s="18" t="inlineStr">
        <is>
          <t>배당금 지급</t>
        </is>
      </c>
      <c r="C341" s="20" t="n">
        <v>-7451</v>
      </c>
      <c r="D341" s="20" t="n">
        <v>-7875</v>
      </c>
      <c r="E341" s="20" t="n">
        <v>-3428</v>
      </c>
      <c r="F341" s="20" t="n">
        <v>-3867</v>
      </c>
      <c r="G341" s="20" t="n">
        <v>-7231</v>
      </c>
      <c r="H341" s="20" t="n">
        <v>-7648</v>
      </c>
      <c r="I341" s="20" t="n">
        <v>-3900</v>
      </c>
      <c r="J341" s="20" t="n">
        <v>-4403</v>
      </c>
      <c r="K341" s="20" t="n">
        <v>-7934</v>
      </c>
      <c r="L341" s="20" t="n">
        <v>-8378</v>
      </c>
      <c r="M341" s="20" t="n">
        <v>-3443</v>
      </c>
      <c r="N341" s="20" t="n">
        <v>-3905</v>
      </c>
      <c r="O341" s="20" t="n">
        <v>-11057</v>
      </c>
      <c r="P341" s="20" t="n">
        <v>-12239</v>
      </c>
      <c r="Q341" s="20" t="n">
        <v>-8965</v>
      </c>
      <c r="R341" s="20" t="n">
        <v>-8663</v>
      </c>
      <c r="S341" s="20" t="n">
        <v>-8287</v>
      </c>
      <c r="T341" s="20" t="n">
        <v>-8087</v>
      </c>
      <c r="U341" s="20" t="n">
        <v>-7875</v>
      </c>
      <c r="V341" s="20" t="n">
        <v>-7875</v>
      </c>
      <c r="W341" s="20" t="n">
        <v>-7648</v>
      </c>
      <c r="X341" s="20" t="n">
        <v>-8378</v>
      </c>
    </row>
    <row r="342">
      <c r="A342" s="18" t="inlineStr">
        <is>
          <t>기타</t>
        </is>
      </c>
      <c r="C342" s="20" t="n">
        <v>9</v>
      </c>
      <c r="D342" s="20" t="n">
        <v>21</v>
      </c>
      <c r="E342" s="20" t="n">
        <v>4</v>
      </c>
      <c r="F342" s="20" t="n">
        <v>-13</v>
      </c>
      <c r="G342" s="20" t="n">
        <v>-0</v>
      </c>
      <c r="H342" s="20" t="n">
        <v>-198</v>
      </c>
      <c r="I342" s="20" t="n">
        <v>-2</v>
      </c>
      <c r="J342" s="20" t="n">
        <v>7</v>
      </c>
      <c r="K342" s="20" t="n">
        <v>-10</v>
      </c>
      <c r="L342" s="20" t="n">
        <v>-652</v>
      </c>
      <c r="M342" s="20" t="n">
        <v>-5</v>
      </c>
      <c r="N342" s="20" t="n">
        <v>-103</v>
      </c>
      <c r="O342" s="20" t="n">
        <v>-0</v>
      </c>
      <c r="P342" s="20" t="n">
        <v>-1</v>
      </c>
      <c r="Q342" s="20" t="n">
        <v>-1</v>
      </c>
      <c r="R342" s="20" t="n">
        <v>27</v>
      </c>
      <c r="S342" s="20" t="n">
        <v>19</v>
      </c>
      <c r="T342" s="20" t="n">
        <v>98</v>
      </c>
      <c r="U342" s="20" t="n">
        <v>21</v>
      </c>
      <c r="V342" s="20" t="n">
        <v>21</v>
      </c>
      <c r="W342" s="20" t="n">
        <v>-198</v>
      </c>
      <c r="X342" s="20" t="n">
        <v>-652</v>
      </c>
    </row>
    <row r="343">
      <c r="A343" s="9" t="inlineStr">
        <is>
          <t>재무활동 현금흐름</t>
        </is>
      </c>
      <c r="C343" s="12" t="n">
        <v>-13884</v>
      </c>
      <c r="D343" s="12" t="n">
        <v>-15730</v>
      </c>
      <c r="E343" s="12" t="n">
        <v>-3829</v>
      </c>
      <c r="F343" s="12" t="n">
        <v>-3058</v>
      </c>
      <c r="G343" s="12" t="n">
        <v>-7893</v>
      </c>
      <c r="H343" s="12" t="n">
        <v>-10378</v>
      </c>
      <c r="I343" s="12" t="n">
        <v>-4077</v>
      </c>
      <c r="J343" s="12" t="n">
        <v>11129</v>
      </c>
      <c r="K343" s="12" t="n">
        <v>15171</v>
      </c>
      <c r="L343" s="12" t="n">
        <v>14161</v>
      </c>
      <c r="M343" s="12" t="n">
        <v>-4349</v>
      </c>
      <c r="N343" s="12" t="n">
        <v>-3508</v>
      </c>
      <c r="O343" s="12" t="n">
        <v>-31386</v>
      </c>
      <c r="P343" s="12" t="n">
        <v>-22447</v>
      </c>
      <c r="Q343" s="12" t="n">
        <v>-19079</v>
      </c>
      <c r="R343" s="12" t="n">
        <v>-6085</v>
      </c>
      <c r="S343" s="12" t="n">
        <v>-3141</v>
      </c>
      <c r="T343" s="12" t="n">
        <v>-8326</v>
      </c>
      <c r="U343" s="12" t="n">
        <v>-15730</v>
      </c>
      <c r="V343" s="12" t="n">
        <v>-15730</v>
      </c>
      <c r="W343" s="12" t="n">
        <v>-10378</v>
      </c>
      <c r="X343" s="12" t="n">
        <v>14161</v>
      </c>
    </row>
    <row r="344">
      <c r="A344" s="18" t="inlineStr">
        <is>
          <t>현금성자산 환산차이</t>
        </is>
      </c>
      <c r="C344" s="20" t="n">
        <v>228</v>
      </c>
      <c r="D344" s="20" t="n">
        <v>386</v>
      </c>
      <c r="E344" s="20" t="n">
        <v>246</v>
      </c>
      <c r="F344" s="20" t="n">
        <v>-94</v>
      </c>
      <c r="G344" s="20" t="n">
        <v>54</v>
      </c>
      <c r="H344" s="20" t="n">
        <v>-123</v>
      </c>
      <c r="I344" s="20" t="n">
        <v>-119</v>
      </c>
      <c r="J344" s="20" t="n">
        <v>331</v>
      </c>
      <c r="K344" s="20" t="n">
        <v>1039</v>
      </c>
      <c r="L344" s="20" t="n">
        <v>1120</v>
      </c>
      <c r="M344" s="20" t="n">
        <v>293</v>
      </c>
      <c r="N344" s="20" t="n">
        <v>-124</v>
      </c>
      <c r="O344" s="20" t="n">
        <v>-3</v>
      </c>
      <c r="P344" s="20" t="n">
        <v>-14</v>
      </c>
      <c r="Q344" s="20" t="n">
        <v>3</v>
      </c>
      <c r="R344" s="20" t="n">
        <v>-14</v>
      </c>
      <c r="S344" s="20" t="n">
        <v>14</v>
      </c>
      <c r="T344" s="20" t="n">
        <v>195</v>
      </c>
      <c r="U344" s="20" t="n">
        <v>386</v>
      </c>
      <c r="V344" s="20" t="n">
        <v>386</v>
      </c>
      <c r="W344" s="20" t="n">
        <v>-123</v>
      </c>
      <c r="X344" s="20" t="n">
        <v>1120</v>
      </c>
    </row>
    <row r="345">
      <c r="A345" s="18" t="inlineStr">
        <is>
          <t>현금성자산 증감</t>
        </is>
      </c>
      <c r="C345" s="20" t="n">
        <v>-18412</v>
      </c>
      <c r="D345" s="20" t="n">
        <v>-13014</v>
      </c>
      <c r="E345" s="20" t="n">
        <v>-14496</v>
      </c>
      <c r="F345" s="20" t="n">
        <v>-1558</v>
      </c>
      <c r="G345" s="20" t="n">
        <v>-2854</v>
      </c>
      <c r="H345" s="20" t="n">
        <v>2485</v>
      </c>
      <c r="I345" s="20" t="n">
        <v>-21729</v>
      </c>
      <c r="J345" s="20" t="n">
        <v>-22883</v>
      </c>
      <c r="K345" s="20" t="n">
        <v>-18005</v>
      </c>
      <c r="L345" s="20" t="n">
        <v>3016</v>
      </c>
      <c r="M345" s="20" t="n">
        <v>-1978</v>
      </c>
      <c r="N345" s="20" t="n">
        <v>-1619</v>
      </c>
      <c r="O345" s="20" t="n">
        <v>7961</v>
      </c>
      <c r="P345" s="20" t="n">
        <v>21912</v>
      </c>
      <c r="Q345" s="20" t="n">
        <v>-11773</v>
      </c>
      <c r="R345" s="20" t="n">
        <v>-18990</v>
      </c>
      <c r="S345" s="20" t="n">
        <v>24384</v>
      </c>
      <c r="T345" s="20" t="n">
        <v>269</v>
      </c>
      <c r="U345" s="20" t="n">
        <v>-13014</v>
      </c>
      <c r="V345" s="20" t="n">
        <v>-13014</v>
      </c>
      <c r="W345" s="20" t="n">
        <v>2485</v>
      </c>
      <c r="X345" s="20" t="n">
        <v>3016</v>
      </c>
    </row>
    <row r="346">
      <c r="A346" s="18" t="inlineStr">
        <is>
          <t>연결 제외 현금성자산 감소</t>
        </is>
      </c>
      <c r="S346" s="20" t="n">
        <v>0</v>
      </c>
      <c r="T346" s="20" t="n">
        <v>-112</v>
      </c>
      <c r="U346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2121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155470</v>
      </c>
      <c r="D5" s="12" t="n">
        <v>168796</v>
      </c>
      <c r="E5" s="12" t="n">
        <v>176340</v>
      </c>
      <c r="F5" s="12" t="n">
        <v>178020</v>
      </c>
      <c r="G5" s="12" t="n">
        <v>177549</v>
      </c>
      <c r="H5" s="11" t="n">
        <v>162907</v>
      </c>
      <c r="I5" s="12" t="n">
        <v>154236</v>
      </c>
      <c r="J5" s="12" t="n">
        <v>154236</v>
      </c>
      <c r="K5" s="12" t="n">
        <v>169931</v>
      </c>
      <c r="L5" s="12" t="n">
        <v>176340</v>
      </c>
    </row>
    <row r="6">
      <c r="A6" s="18" t="inlineStr">
        <is>
          <t>현금및현금성자산</t>
        </is>
      </c>
      <c r="B6" s="10" t="n"/>
      <c r="C6" s="19" t="n">
        <v>88260</v>
      </c>
      <c r="D6" s="20" t="n">
        <v>93157</v>
      </c>
      <c r="E6" s="20" t="n">
        <v>111560</v>
      </c>
      <c r="F6" s="20" t="n">
        <v>106680</v>
      </c>
      <c r="G6" s="20" t="n">
        <v>107097</v>
      </c>
      <c r="H6" s="19" t="n">
        <v>118922</v>
      </c>
      <c r="I6" s="20" t="n">
        <v>105910</v>
      </c>
      <c r="J6" s="20" t="n">
        <v>105910</v>
      </c>
      <c r="K6" s="20" t="n">
        <v>110666</v>
      </c>
      <c r="L6" s="20" t="n">
        <v>111560</v>
      </c>
    </row>
    <row r="7">
      <c r="A7" s="18" t="inlineStr">
        <is>
          <t>단기금융상품</t>
        </is>
      </c>
      <c r="B7" s="10" t="n"/>
      <c r="C7" s="19" t="n">
        <v>2835</v>
      </c>
      <c r="D7" s="20" t="n">
        <v>2734</v>
      </c>
      <c r="E7" s="20" t="n">
        <v>2853</v>
      </c>
      <c r="F7" s="20" t="n">
        <v>2755</v>
      </c>
      <c r="G7" s="20" t="n">
        <v>3197</v>
      </c>
      <c r="H7" s="19" t="n"/>
      <c r="I7" s="20" t="n"/>
      <c r="J7" s="20" t="n">
        <v>0</v>
      </c>
      <c r="K7" s="20" t="n">
        <v>2807</v>
      </c>
      <c r="L7" s="20" t="n">
        <v>2853</v>
      </c>
    </row>
    <row r="8">
      <c r="A8" s="18" t="inlineStr">
        <is>
          <t>매출채권</t>
        </is>
      </c>
      <c r="B8" s="10" t="n"/>
      <c r="C8" s="19" t="n">
        <v>14566</v>
      </c>
      <c r="D8" s="20" t="n">
        <v>22050</v>
      </c>
      <c r="E8" s="20" t="n">
        <v>15811</v>
      </c>
      <c r="F8" s="20" t="n">
        <v>15591</v>
      </c>
      <c r="G8" s="20" t="n">
        <v>16719</v>
      </c>
      <c r="H8" s="19" t="n">
        <v>13736</v>
      </c>
      <c r="I8" s="20" t="n">
        <v>13227</v>
      </c>
      <c r="J8" s="20" t="n">
        <v>13227</v>
      </c>
      <c r="K8" s="20" t="n">
        <v>15812</v>
      </c>
      <c r="L8" s="20" t="n">
        <v>15811</v>
      </c>
    </row>
    <row r="9">
      <c r="A9" s="18" t="inlineStr">
        <is>
          <t>재고자산</t>
        </is>
      </c>
      <c r="B9" s="10" t="n"/>
      <c r="C9" s="19" t="n">
        <v>700</v>
      </c>
      <c r="D9" s="20" t="n">
        <v>816</v>
      </c>
      <c r="E9" s="20" t="n">
        <v>985</v>
      </c>
      <c r="F9" s="20" t="n">
        <v>1034</v>
      </c>
      <c r="G9" s="20" t="n">
        <v>1145</v>
      </c>
      <c r="H9" s="19" t="n">
        <v>484</v>
      </c>
      <c r="I9" s="20" t="n">
        <v>566</v>
      </c>
      <c r="J9" s="20" t="n">
        <v>566</v>
      </c>
      <c r="K9" s="20" t="n">
        <v>622</v>
      </c>
      <c r="L9" s="20" t="n">
        <v>985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91633</v>
      </c>
      <c r="D11" s="12" t="n">
        <v>93491</v>
      </c>
      <c r="E11" s="12" t="n">
        <v>104064</v>
      </c>
      <c r="F11" s="12" t="n">
        <v>104808</v>
      </c>
      <c r="G11" s="12" t="n">
        <v>117059</v>
      </c>
      <c r="H11" s="11" t="n">
        <v>59413</v>
      </c>
      <c r="I11" s="12" t="n">
        <v>53105</v>
      </c>
      <c r="J11" s="12" t="n">
        <v>53105</v>
      </c>
      <c r="K11" s="12" t="n">
        <v>55612</v>
      </c>
      <c r="L11" s="12" t="n">
        <v>104064</v>
      </c>
    </row>
    <row r="12">
      <c r="A12" s="18" t="inlineStr">
        <is>
          <t>유형자산</t>
        </is>
      </c>
      <c r="B12" s="10" t="n"/>
      <c r="C12" s="19" t="n">
        <v>23352</v>
      </c>
      <c r="D12" s="20" t="n">
        <v>25104</v>
      </c>
      <c r="E12" s="20" t="n">
        <v>25180</v>
      </c>
      <c r="F12" s="20" t="n">
        <v>25679</v>
      </c>
      <c r="G12" s="20" t="n">
        <v>26281</v>
      </c>
      <c r="H12" s="19" t="n">
        <v>15114</v>
      </c>
      <c r="I12" s="20" t="n">
        <v>17532</v>
      </c>
      <c r="J12" s="20" t="n">
        <v>17532</v>
      </c>
      <c r="K12" s="20" t="n">
        <v>20020</v>
      </c>
      <c r="L12" s="20" t="n">
        <v>25180</v>
      </c>
    </row>
    <row r="13">
      <c r="A13" s="18" t="inlineStr">
        <is>
          <t>무형자산</t>
        </is>
      </c>
      <c r="B13" s="10" t="n"/>
      <c r="C13" s="19" t="n">
        <v>48850</v>
      </c>
      <c r="D13" s="20" t="n">
        <v>50089</v>
      </c>
      <c r="E13" s="20" t="n">
        <v>60551</v>
      </c>
      <c r="F13" s="20" t="n">
        <v>59321</v>
      </c>
      <c r="G13" s="20" t="n">
        <v>57076</v>
      </c>
      <c r="H13" s="19" t="n">
        <v>19410</v>
      </c>
      <c r="I13" s="20" t="n">
        <v>16961</v>
      </c>
      <c r="J13" s="20" t="n">
        <v>16961</v>
      </c>
      <c r="K13" s="20" t="n">
        <v>14793</v>
      </c>
      <c r="L13" s="20" t="n">
        <v>60551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247104</v>
      </c>
      <c r="D16" s="12" t="n">
        <v>262287</v>
      </c>
      <c r="E16" s="12" t="n">
        <v>280405</v>
      </c>
      <c r="F16" s="12" t="n">
        <v>282828</v>
      </c>
      <c r="G16" s="12" t="n">
        <v>294609</v>
      </c>
      <c r="H16" s="11" t="n">
        <v>222321</v>
      </c>
      <c r="I16" s="12" t="n">
        <v>207342</v>
      </c>
      <c r="J16" s="12" t="n">
        <v>207342</v>
      </c>
      <c r="K16" s="12" t="n">
        <v>225544</v>
      </c>
      <c r="L16" s="12" t="n">
        <v>280405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52197</v>
      </c>
      <c r="D18" s="12" t="n">
        <v>65087</v>
      </c>
      <c r="E18" s="12" t="n">
        <v>40022</v>
      </c>
      <c r="F18" s="12" t="n">
        <v>37572</v>
      </c>
      <c r="G18" s="12" t="n">
        <v>44050</v>
      </c>
      <c r="H18" s="11" t="n">
        <v>29244</v>
      </c>
      <c r="I18" s="12" t="n">
        <v>22992</v>
      </c>
      <c r="J18" s="12" t="n">
        <v>22992</v>
      </c>
      <c r="K18" s="12" t="n">
        <v>31380</v>
      </c>
      <c r="L18" s="12" t="n">
        <v>40022</v>
      </c>
    </row>
    <row r="19">
      <c r="A19" s="18" t="inlineStr">
        <is>
          <t>매입채무</t>
        </is>
      </c>
      <c r="B19" s="10" t="n"/>
      <c r="C19" s="19" t="n"/>
      <c r="D19" s="20" t="n"/>
      <c r="E19" s="20" t="n"/>
      <c r="F19" s="20" t="n"/>
      <c r="G19" s="20" t="n"/>
      <c r="H19" s="19" t="n"/>
      <c r="I19" s="20" t="n"/>
      <c r="J19" s="20" t="n"/>
      <c r="K19" s="20" t="n"/>
      <c r="L19" s="20" t="n"/>
    </row>
    <row r="20">
      <c r="A20" s="18" t="inlineStr">
        <is>
          <t>단기차입금</t>
        </is>
      </c>
      <c r="B20" s="10" t="n"/>
      <c r="C20" s="19" t="n">
        <v>21175</v>
      </c>
      <c r="D20" s="20" t="n">
        <v>29722</v>
      </c>
      <c r="E20" s="20" t="n">
        <v>4927</v>
      </c>
      <c r="F20" s="20" t="n">
        <v>4872</v>
      </c>
      <c r="G20" s="20" t="n">
        <v>4829</v>
      </c>
      <c r="H20" s="19" t="n">
        <v>912</v>
      </c>
      <c r="I20" s="20" t="n">
        <v>1090</v>
      </c>
      <c r="J20" s="20" t="n">
        <v>1090</v>
      </c>
      <c r="K20" s="20" t="n">
        <v>1865</v>
      </c>
      <c r="L20" s="20" t="n">
        <v>4927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18818</v>
      </c>
      <c r="D23" s="12" t="n">
        <v>21657</v>
      </c>
      <c r="E23" s="12" t="n">
        <v>50916</v>
      </c>
      <c r="F23" s="12" t="n">
        <v>49881</v>
      </c>
      <c r="G23" s="12" t="n">
        <v>50787</v>
      </c>
      <c r="H23" s="11" t="n">
        <v>9613</v>
      </c>
      <c r="I23" s="12" t="n">
        <v>8619</v>
      </c>
      <c r="J23" s="12" t="n">
        <v>8619</v>
      </c>
      <c r="K23" s="12" t="n">
        <v>12829</v>
      </c>
      <c r="L23" s="12" t="n">
        <v>50916</v>
      </c>
    </row>
    <row r="24">
      <c r="A24" s="18" t="inlineStr">
        <is>
          <t>장기차입금</t>
        </is>
      </c>
      <c r="B24" s="10" t="n"/>
      <c r="C24" s="19" t="n">
        <v>12865</v>
      </c>
      <c r="D24" s="20" t="n">
        <v>15387</v>
      </c>
      <c r="E24" s="20" t="n">
        <v>40223</v>
      </c>
      <c r="F24" s="20" t="n">
        <v>39377</v>
      </c>
      <c r="G24" s="20" t="n">
        <v>40820</v>
      </c>
      <c r="H24" s="19" t="n">
        <v>6873</v>
      </c>
      <c r="I24" s="20" t="n">
        <v>6341</v>
      </c>
      <c r="J24" s="20" t="n">
        <v>6341</v>
      </c>
      <c r="K24" s="20" t="n">
        <v>10587</v>
      </c>
      <c r="L24" s="20" t="n">
        <v>40223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71015</v>
      </c>
      <c r="D27" s="12" t="n">
        <v>86745</v>
      </c>
      <c r="E27" s="12" t="n">
        <v>90939</v>
      </c>
      <c r="F27" s="12" t="n">
        <v>87453</v>
      </c>
      <c r="G27" s="12" t="n">
        <v>94838</v>
      </c>
      <c r="H27" s="11" t="n">
        <v>38857</v>
      </c>
      <c r="I27" s="12" t="n">
        <v>31611</v>
      </c>
      <c r="J27" s="12" t="n">
        <v>31611</v>
      </c>
      <c r="K27" s="12" t="n">
        <v>44210</v>
      </c>
      <c r="L27" s="12" t="n">
        <v>90939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174206</v>
      </c>
      <c r="D31" s="12" t="n">
        <v>173807</v>
      </c>
      <c r="E31" s="12" t="n">
        <v>181493</v>
      </c>
      <c r="F31" s="12" t="n">
        <v>187799</v>
      </c>
      <c r="G31" s="12" t="n">
        <v>191618</v>
      </c>
      <c r="H31" s="11" t="n">
        <v>181012</v>
      </c>
      <c r="I31" s="12" t="n">
        <v>173412</v>
      </c>
      <c r="J31" s="12" t="n">
        <v>173412</v>
      </c>
      <c r="K31" s="12" t="n">
        <v>178981</v>
      </c>
      <c r="L31" s="12" t="n">
        <v>181493</v>
      </c>
    </row>
    <row r="32">
      <c r="A32" s="18" t="inlineStr">
        <is>
          <t>자본금</t>
        </is>
      </c>
      <c r="B32" s="10" t="n"/>
      <c r="C32" s="19" t="n">
        <v>9698</v>
      </c>
      <c r="D32" s="20" t="n">
        <v>9698</v>
      </c>
      <c r="E32" s="20" t="n">
        <v>9698</v>
      </c>
      <c r="F32" s="20" t="n">
        <v>9698</v>
      </c>
      <c r="G32" s="20" t="n">
        <v>9698</v>
      </c>
      <c r="H32" s="19" t="n">
        <v>9698</v>
      </c>
      <c r="I32" s="20" t="n">
        <v>9698</v>
      </c>
      <c r="J32" s="20" t="n">
        <v>9698</v>
      </c>
      <c r="K32" s="20" t="n">
        <v>9698</v>
      </c>
      <c r="L32" s="20" t="n">
        <v>9698</v>
      </c>
    </row>
    <row r="33">
      <c r="A33" s="18" t="inlineStr">
        <is>
          <t>이익잉여금</t>
        </is>
      </c>
      <c r="B33" s="10" t="n"/>
      <c r="C33" s="19" t="n">
        <v>166360</v>
      </c>
      <c r="D33" s="20" t="n">
        <v>168048</v>
      </c>
      <c r="E33" s="20" t="n">
        <v>174756</v>
      </c>
      <c r="F33" s="20" t="n">
        <v>168100</v>
      </c>
      <c r="G33" s="20" t="n">
        <v>172078</v>
      </c>
      <c r="H33" s="19" t="n">
        <v>177655</v>
      </c>
      <c r="I33" s="20" t="n">
        <v>163190</v>
      </c>
      <c r="J33" s="20" t="n">
        <v>163190</v>
      </c>
      <c r="K33" s="20" t="n">
        <v>173149</v>
      </c>
      <c r="L33" s="20" t="n">
        <v>174756</v>
      </c>
    </row>
    <row r="34">
      <c r="A34" s="18" t="inlineStr">
        <is>
          <t>비지배지분</t>
        </is>
      </c>
      <c r="B34" s="10" t="n"/>
      <c r="C34" s="19" t="n">
        <v>983</v>
      </c>
      <c r="D34" s="20" t="n">
        <v>837</v>
      </c>
      <c r="E34" s="20" t="n">
        <v>7077</v>
      </c>
      <c r="F34" s="20" t="n">
        <v>6682</v>
      </c>
      <c r="G34" s="20" t="n">
        <v>7259</v>
      </c>
      <c r="H34" s="19" t="n">
        <v>1324</v>
      </c>
      <c r="I34" s="20" t="n">
        <v>1209</v>
      </c>
      <c r="J34" s="20" t="n">
        <v>1209</v>
      </c>
      <c r="K34" s="20" t="n">
        <v>1270</v>
      </c>
      <c r="L34" s="20" t="n">
        <v>7077</v>
      </c>
    </row>
    <row r="35">
      <c r="A35" s="9" t="inlineStr">
        <is>
          <t>자본총계</t>
        </is>
      </c>
      <c r="B35" s="10" t="n"/>
      <c r="C35" s="11" t="n">
        <v>176088</v>
      </c>
      <c r="D35" s="12" t="n">
        <v>175541</v>
      </c>
      <c r="E35" s="12" t="n">
        <v>189466</v>
      </c>
      <c r="F35" s="12" t="n">
        <v>195375</v>
      </c>
      <c r="G35" s="12" t="n">
        <v>199770</v>
      </c>
      <c r="H35" s="11" t="n">
        <v>183463</v>
      </c>
      <c r="I35" s="12" t="n">
        <v>175730</v>
      </c>
      <c r="J35" s="12" t="n">
        <v>175730</v>
      </c>
      <c r="K35" s="12" t="n">
        <v>181333</v>
      </c>
      <c r="L35" s="12" t="n">
        <v>189466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14853</v>
      </c>
      <c r="D37" s="12" t="n">
        <v>13382</v>
      </c>
      <c r="E37" s="12" t="n">
        <v>19287</v>
      </c>
      <c r="F37" s="12" t="n">
        <v>36505</v>
      </c>
      <c r="G37" s="12" t="n">
        <v>40340</v>
      </c>
      <c r="H37" s="11" t="n">
        <v>15751</v>
      </c>
      <c r="I37" s="12" t="n">
        <v>9181</v>
      </c>
      <c r="J37" s="12" t="n">
        <v>9181</v>
      </c>
      <c r="K37" s="12" t="n">
        <v>27476</v>
      </c>
      <c r="L37" s="12" t="n">
        <v>19287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/>
      <c r="G38" s="20" t="n"/>
      <c r="H38" s="19" t="n">
        <v>2549</v>
      </c>
      <c r="I38" s="20" t="n">
        <v>3461</v>
      </c>
      <c r="J38" s="20" t="n"/>
      <c r="K38" s="20" t="n"/>
      <c r="L38" s="20" t="n"/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8184</v>
      </c>
      <c r="D40" s="20" t="n">
        <v>8351</v>
      </c>
      <c r="E40" s="20" t="n">
        <v>8378</v>
      </c>
      <c r="F40" s="20" t="n">
        <v>7921</v>
      </c>
      <c r="G40" s="20" t="n">
        <v>7880</v>
      </c>
      <c r="H40" s="19" t="n">
        <v>8087</v>
      </c>
      <c r="I40" s="20" t="n">
        <v>7875</v>
      </c>
      <c r="J40" s="20" t="n">
        <v>7875</v>
      </c>
      <c r="K40" s="20" t="n">
        <v>7648</v>
      </c>
      <c r="L40" s="20" t="n">
        <v>8378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IFERROR(IF((IF(COUNT('연간'!G61:J61)&lt;4,"",SUM('연간'!G61:J61)))&lt;=0,"적자",C28/(IF(COUNT('연간'!G61:J61)&lt;4,"",SUM('연간'!G61:J61)))),"")</f>
        <v/>
      </c>
      <c r="D49" s="47">
        <f>IFERROR(IF((IF(COUNT('연간'!H61:K61)&lt;4,"",SUM('연간'!H61:K61)))&lt;=0,"적자",D28/(IF(COUNT('연간'!H61:K61)&lt;4,"",SUM('연간'!H61:K61)))),"")</f>
        <v/>
      </c>
      <c r="E49" s="47">
        <f>IFERROR(IF((IF(COUNT('연간'!I61:L61)&lt;4,"",SUM('연간'!I61:L61)))&lt;=0,"적자",E28/(IF(COUNT('연간'!I61:L61)&lt;4,"",SUM('연간'!I61:L61)))),"")</f>
        <v/>
      </c>
      <c r="F49" s="47">
        <f>IFERROR(IF((IF(COUNT('연간'!J61:M61)&lt;4,"",SUM('연간'!J61:M61)))&lt;=0,"적자",F28/(IF(COUNT('연간'!J61:M61)&lt;4,"",SUM('연간'!J61:M61)))),"")</f>
        <v/>
      </c>
      <c r="G49" s="47">
        <f>IFERROR(IF((IF(COUNT('연간'!K61:N61)&lt;4,"",SUM('연간'!K61:N61)))&lt;=0,"적자",G28/(IF(COUNT('연간'!K61:N61)&lt;4,"",SUM('연간'!K61:N61)))),"")</f>
        <v/>
      </c>
      <c r="H49" s="46">
        <f>IFERROR(IF(('연간'!T61)&lt;=0,"적자",H28/('연간'!T61)),"")</f>
        <v/>
      </c>
      <c r="I49" s="47">
        <f>IFERROR(IF(('연간'!U61)&lt;=0,"적자",I28/('연간'!U61)),"")</f>
        <v/>
      </c>
      <c r="J49" s="47">
        <f>IFERROR(IF(('연간'!V61)&lt;=0,"적자",J28/('연간'!V61)),"")</f>
        <v/>
      </c>
      <c r="K49" s="47">
        <f>IFERROR(IF(('연간'!W61)&lt;=0,"적자",K28/('연간'!W61)),"")</f>
        <v/>
      </c>
      <c r="L49" s="47">
        <f>IFERROR(IF(('연간'!X61)&lt;=0,"적자",L28/('연간'!X61)),"")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IFERROR((IF(COUNT('연간'!G61:J61)&lt;4,"",SUM('연간'!G61:J61)))/C31,"")</f>
        <v/>
      </c>
      <c r="D51" s="36">
        <f>IFERROR((IF(COUNT('연간'!H61:K61)&lt;4,"",SUM('연간'!H61:K61)))/D31,"")</f>
        <v/>
      </c>
      <c r="E51" s="36">
        <f>IFERROR((IF(COUNT('연간'!I61:L61)&lt;4,"",SUM('연간'!I61:L61)))/E31,"")</f>
        <v/>
      </c>
      <c r="F51" s="36">
        <f>IFERROR((IF(COUNT('연간'!J61:M61)&lt;4,"",SUM('연간'!J61:M61)))/F31,"")</f>
        <v/>
      </c>
      <c r="G51" s="36">
        <f>IFERROR((IF(COUNT('연간'!K61:N61)&lt;4,"",SUM('연간'!K61:N61)))/G31,"")</f>
        <v/>
      </c>
      <c r="H51" s="35">
        <f>IFERROR(('연간'!T61)/H31,"")</f>
        <v/>
      </c>
      <c r="I51" s="36">
        <f>IFERROR(('연간'!U61)/I31,"")</f>
        <v/>
      </c>
      <c r="J51" s="36">
        <f>IFERROR(('연간'!V61)/J31,"")</f>
        <v/>
      </c>
      <c r="K51" s="36">
        <f>IFERROR(('연간'!W61)/K31,"")</f>
        <v/>
      </c>
      <c r="L51" s="36">
        <f>IFERROR(('연간'!X61)/L31,"")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IFERROR((IF(COUNT('연간'!G59:J59)&lt;4,"",SUM('연간'!G59:J59)))/C16,"")</f>
        <v/>
      </c>
      <c r="D52" s="36">
        <f>IFERROR((IF(COUNT('연간'!H59:K59)&lt;4,"",SUM('연간'!H59:K59)))/D16,"")</f>
        <v/>
      </c>
      <c r="E52" s="36">
        <f>IFERROR((IF(COUNT('연간'!I59:L59)&lt;4,"",SUM('연간'!I59:L59)))/E16,"")</f>
        <v/>
      </c>
      <c r="F52" s="36">
        <f>IFERROR((IF(COUNT('연간'!J59:M59)&lt;4,"",SUM('연간'!J59:M59)))/F16,"")</f>
        <v/>
      </c>
      <c r="G52" s="36">
        <f>IFERROR((IF(COUNT('연간'!K59:N59)&lt;4,"",SUM('연간'!K59:N59)))/G16,"")</f>
        <v/>
      </c>
      <c r="H52" s="35">
        <f>IFERROR(('연간'!T59)/H16,"")</f>
        <v/>
      </c>
      <c r="I52" s="36">
        <f>IFERROR(('연간'!U59)/I16,"")</f>
        <v/>
      </c>
      <c r="J52" s="36">
        <f>IFERROR(('연간'!V59)/J16,"")</f>
        <v/>
      </c>
      <c r="K52" s="36">
        <f>IFERROR(('연간'!W59)/K16,"")</f>
        <v/>
      </c>
      <c r="L52" s="36">
        <f>IFERROR(('연간'!X59)/L16,"")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IFERROR((IF(COUNT('연간'!G25:J25)&lt;4,"",SUM('연간'!G25:J25)))/(IF(COUNT('연간'!G4:J4)&lt;4,"",SUM('연간'!G4:J4))),"")</f>
        <v/>
      </c>
      <c r="D54" s="36">
        <f>IFERROR((IF(COUNT('연간'!H25:K25)&lt;4,"",SUM('연간'!H25:K25)))/(IF(COUNT('연간'!H4:K4)&lt;4,"",SUM('연간'!H4:K4))),"")</f>
        <v/>
      </c>
      <c r="E54" s="36">
        <f>IFERROR((IF(COUNT('연간'!I25:L25)&lt;4,"",SUM('연간'!I25:L25)))/(IF(COUNT('연간'!I4:L4)&lt;4,"",SUM('연간'!I4:L4))),"")</f>
        <v/>
      </c>
      <c r="F54" s="36">
        <f>IFERROR((IF(COUNT('연간'!J25:M25)&lt;4,"",SUM('연간'!J25:M25)))/(IF(COUNT('연간'!J4:M4)&lt;4,"",SUM('연간'!J4:M4))),"")</f>
        <v/>
      </c>
      <c r="G54" s="36">
        <f>IFERROR((IF(COUNT('연간'!K25:N25)&lt;4,"",SUM('연간'!K25:N25)))/(IF(COUNT('연간'!K4:N4)&lt;4,"",SUM('연간'!K4:N4))),"")</f>
        <v/>
      </c>
      <c r="H54" s="35">
        <f>IFERROR(('연간'!T25)/('연간'!T4),"")</f>
        <v/>
      </c>
      <c r="I54" s="36">
        <f>IFERROR(('연간'!U25)/('연간'!U4),"")</f>
        <v/>
      </c>
      <c r="J54" s="36">
        <f>IFERROR(('연간'!V25)/('연간'!V4),"")</f>
        <v/>
      </c>
      <c r="K54" s="36">
        <f>IFERROR(('연간'!W25)/('연간'!W4),"")</f>
        <v/>
      </c>
      <c r="L54" s="36">
        <f>IFERROR(('연간'!X25)/('연간'!X4),"")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IFERROR((IF(COUNT('연간'!G59:J59)&lt;4,"",SUM('연간'!G59:J59)))/(IF(COUNT('연간'!G4:J4)&lt;4,"",SUM('연간'!G4:J4))),"")</f>
        <v/>
      </c>
      <c r="D56" s="36">
        <f>IFERROR((IF(COUNT('연간'!H59:K59)&lt;4,"",SUM('연간'!H59:K59)))/(IF(COUNT('연간'!H4:K4)&lt;4,"",SUM('연간'!H4:K4))),"")</f>
        <v/>
      </c>
      <c r="E56" s="36">
        <f>IFERROR((IF(COUNT('연간'!I59:L59)&lt;4,"",SUM('연간'!I59:L59)))/(IF(COUNT('연간'!I4:L4)&lt;4,"",SUM('연간'!I4:L4))),"")</f>
        <v/>
      </c>
      <c r="F56" s="36">
        <f>IFERROR((IF(COUNT('연간'!J59:M59)&lt;4,"",SUM('연간'!J59:M59)))/(IF(COUNT('연간'!J4:M4)&lt;4,"",SUM('연간'!J4:M4))),"")</f>
        <v/>
      </c>
      <c r="G56" s="36">
        <f>IFERROR((IF(COUNT('연간'!K59:N59)&lt;4,"",SUM('연간'!K59:N59)))/(IF(COUNT('연간'!K4:N4)&lt;4,"",SUM('연간'!K4:N4))),"")</f>
        <v/>
      </c>
      <c r="H56" s="35">
        <f>IFERROR(('연간'!T59)/('연간'!T4),"")</f>
        <v/>
      </c>
      <c r="I56" s="36">
        <f>IFERROR(('연간'!U59)/('연간'!U4),"")</f>
        <v/>
      </c>
      <c r="J56" s="36">
        <f>IFERROR(('연간'!V59)/('연간'!V4),"")</f>
        <v/>
      </c>
      <c r="K56" s="36">
        <f>IFERROR(('연간'!W59)/('연간'!W4),"")</f>
        <v/>
      </c>
      <c r="L56" s="36">
        <f>IFERROR(('연간'!X59)/('연간'!X4),"")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IF(C37="","",IFERROR(C37/(IF(COUNT('연간'!G59:J59)&lt;4,"",SUM('연간'!G59:J59))),""))</f>
        <v/>
      </c>
      <c r="D64" s="31">
        <f>IF(D37="","",IFERROR(D37/(IF(COUNT('연간'!H59:K59)&lt;4,"",SUM('연간'!H59:K59))),""))</f>
        <v/>
      </c>
      <c r="E64" s="31">
        <f>IF(E37="","",IFERROR(E37/(IF(COUNT('연간'!I59:L59)&lt;4,"",SUM('연간'!I59:L59))),""))</f>
        <v/>
      </c>
      <c r="F64" s="31">
        <f>IF(F37="","",IFERROR(F37/(IF(COUNT('연간'!J59:M59)&lt;4,"",SUM('연간'!J59:M59))),""))</f>
        <v/>
      </c>
      <c r="G64" s="31">
        <f>IF(G37="","",IFERROR(G37/(IF(COUNT('연간'!K59:N59)&lt;4,"",SUM('연간'!K59:N59))),""))</f>
        <v/>
      </c>
      <c r="H64" s="30">
        <f>IF(H37="","",IFERROR(H37/('연간'!T59),""))</f>
        <v/>
      </c>
      <c r="I64" s="31">
        <f>IF(I37="","",IFERROR(I37/('연간'!U59),""))</f>
        <v/>
      </c>
      <c r="J64" s="31">
        <f>IF(J37="","",IFERROR(J37/('연간'!V59),""))</f>
        <v/>
      </c>
      <c r="K64" s="31">
        <f>IF(K37="","",IFERROR(K37/('연간'!W59),""))</f>
        <v/>
      </c>
      <c r="L64" s="31">
        <f>IF(L37="","",IFERROR(L37/('연간'!X59),""))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IF(C40="","",IFERROR(C40/(IF(COUNT('연간'!G61:J61)&lt;4,"",SUM('연간'!G61:J61))),""))</f>
        <v/>
      </c>
      <c r="D67" s="36">
        <f>IF(D40="","",IFERROR(D40/(IF(COUNT('연간'!H61:K61)&lt;4,"",SUM('연간'!H61:K61))),""))</f>
        <v/>
      </c>
      <c r="E67" s="36">
        <f>IF(E40="","",IFERROR(E40/(IF(COUNT('연간'!I61:L61)&lt;4,"",SUM('연간'!I61:L61))),""))</f>
        <v/>
      </c>
      <c r="F67" s="36">
        <f>IF(F40="","",IFERROR(F40/(IF(COUNT('연간'!J61:M61)&lt;4,"",SUM('연간'!J61:M61))),""))</f>
        <v/>
      </c>
      <c r="G67" s="36">
        <f>IF(G40="","",IFERROR(G40/(IF(COUNT('연간'!K61:N61)&lt;4,"",SUM('연간'!K61:N61))),""))</f>
        <v/>
      </c>
      <c r="H67" s="35">
        <f>IF(H40="","",IFERROR(H40/('연간'!T61),""))</f>
        <v/>
      </c>
      <c r="I67" s="36">
        <f>IF(I40="","",IFERROR(I40/('연간'!U61),""))</f>
        <v/>
      </c>
      <c r="J67" s="36">
        <f>IF(J40="","",IFERROR(J40/('연간'!V61),""))</f>
        <v/>
      </c>
      <c r="K67" s="36">
        <f>IF(K40="","",IFERROR(K40/('연간'!W61),""))</f>
        <v/>
      </c>
      <c r="L67" s="36">
        <f>IF(L40="","",IFERROR(L40/('연간'!X61),""))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88260</v>
      </c>
      <c r="D71" s="20" t="n">
        <v>93157</v>
      </c>
      <c r="E71" s="20" t="n">
        <v>111560</v>
      </c>
      <c r="F71" s="20" t="n">
        <v>106680</v>
      </c>
      <c r="G71" s="20" t="n">
        <v>107097</v>
      </c>
      <c r="H71" s="20" t="n">
        <v>118922</v>
      </c>
      <c r="I71" s="20" t="n">
        <v>105910</v>
      </c>
      <c r="J71" s="20" t="n">
        <v>105910</v>
      </c>
      <c r="K71" s="20" t="n">
        <v>110666</v>
      </c>
      <c r="L71" s="20" t="n">
        <v>111560</v>
      </c>
    </row>
    <row r="72">
      <c r="A72" s="18" t="inlineStr">
        <is>
          <t>받을어음·매출채권</t>
        </is>
      </c>
      <c r="C72" s="20" t="n">
        <v>14566</v>
      </c>
      <c r="D72" s="20" t="n">
        <v>22050</v>
      </c>
      <c r="E72" s="20" t="n">
        <v>15811</v>
      </c>
      <c r="F72" s="20" t="n">
        <v>15591</v>
      </c>
      <c r="G72" s="20" t="n">
        <v>16719</v>
      </c>
      <c r="H72" s="20" t="n">
        <v>13736</v>
      </c>
      <c r="I72" s="20" t="n">
        <v>13227</v>
      </c>
      <c r="J72" s="20" t="n">
        <v>13227</v>
      </c>
      <c r="K72" s="20" t="n">
        <v>15812</v>
      </c>
      <c r="L72" s="20" t="n">
        <v>15811</v>
      </c>
    </row>
    <row r="73">
      <c r="A73" s="18" t="inlineStr">
        <is>
          <t>영업투자유가증권</t>
        </is>
      </c>
      <c r="C73" s="20" t="n">
        <v>31483</v>
      </c>
      <c r="D73" s="20" t="n">
        <v>31462</v>
      </c>
      <c r="E73" s="20" t="n">
        <v>31898</v>
      </c>
      <c r="F73" s="20" t="n">
        <v>37935</v>
      </c>
      <c r="G73" s="20" t="n">
        <v>37034</v>
      </c>
      <c r="H73" s="20" t="n">
        <v>19514</v>
      </c>
      <c r="I73" s="20" t="n">
        <v>23620</v>
      </c>
      <c r="J73" s="20" t="n">
        <v>23620</v>
      </c>
      <c r="K73" s="20" t="n">
        <v>30571</v>
      </c>
      <c r="L73" s="20" t="n">
        <v>31898</v>
      </c>
    </row>
    <row r="74">
      <c r="A74" s="18" t="inlineStr">
        <is>
          <t>유가증권</t>
        </is>
      </c>
      <c r="C74" s="20" t="n">
        <v>2835</v>
      </c>
      <c r="D74" s="20" t="n">
        <v>2734</v>
      </c>
      <c r="E74" s="20" t="n">
        <v>2853</v>
      </c>
      <c r="F74" s="20" t="n">
        <v>2755</v>
      </c>
      <c r="G74" s="20" t="n">
        <v>3197</v>
      </c>
      <c r="J74" s="20" t="n">
        <v>0</v>
      </c>
      <c r="K74" s="20" t="n">
        <v>2807</v>
      </c>
      <c r="L74" s="20" t="n">
        <v>2853</v>
      </c>
    </row>
    <row r="75">
      <c r="A75" s="18" t="inlineStr">
        <is>
          <t>상품</t>
        </is>
      </c>
      <c r="C75" s="20" t="n">
        <v>700</v>
      </c>
      <c r="D75" s="20" t="n">
        <v>816</v>
      </c>
      <c r="E75" s="20" t="n">
        <v>985</v>
      </c>
      <c r="F75" s="20" t="n">
        <v>1034</v>
      </c>
      <c r="G75" s="20" t="n">
        <v>1145</v>
      </c>
      <c r="H75" s="20" t="n">
        <v>484</v>
      </c>
      <c r="I75" s="20" t="n">
        <v>566</v>
      </c>
      <c r="J75" s="20" t="n">
        <v>566</v>
      </c>
      <c r="K75" s="20" t="n">
        <v>622</v>
      </c>
      <c r="L75" s="20" t="n">
        <v>985</v>
      </c>
    </row>
    <row r="76">
      <c r="A76" s="18" t="inlineStr">
        <is>
          <t>미수 소비세</t>
        </is>
      </c>
      <c r="H76" s="20" t="n">
        <v>456</v>
      </c>
      <c r="I76" s="20" t="n">
        <v>10</v>
      </c>
    </row>
    <row r="77">
      <c r="A77" s="18" t="inlineStr">
        <is>
          <t>기타</t>
        </is>
      </c>
      <c r="C77" s="20" t="n">
        <v>17870</v>
      </c>
      <c r="D77" s="20" t="n">
        <v>18830</v>
      </c>
      <c r="E77" s="20" t="n">
        <v>13484</v>
      </c>
      <c r="F77" s="20" t="n">
        <v>14278</v>
      </c>
      <c r="G77" s="20" t="n">
        <v>12627</v>
      </c>
      <c r="H77" s="20" t="n">
        <v>10284</v>
      </c>
      <c r="I77" s="20" t="n">
        <v>11152</v>
      </c>
      <c r="J77" s="20" t="n">
        <v>11152</v>
      </c>
      <c r="K77" s="20" t="n">
        <v>9692</v>
      </c>
      <c r="L77" s="20" t="n">
        <v>13484</v>
      </c>
    </row>
    <row r="78">
      <c r="A78" s="18" t="inlineStr">
        <is>
          <t>대손충당금</t>
        </is>
      </c>
      <c r="C78" s="20" t="n">
        <v>-246</v>
      </c>
      <c r="D78" s="20" t="n">
        <v>-254</v>
      </c>
      <c r="E78" s="20" t="n">
        <v>-252</v>
      </c>
      <c r="F78" s="20" t="n">
        <v>-255</v>
      </c>
      <c r="G78" s="20" t="n">
        <v>-271</v>
      </c>
      <c r="H78" s="20" t="n">
        <v>-35</v>
      </c>
      <c r="I78" s="20" t="n">
        <v>-241</v>
      </c>
      <c r="J78" s="20" t="n">
        <v>-241</v>
      </c>
      <c r="K78" s="20" t="n">
        <v>-241</v>
      </c>
      <c r="L78" s="20" t="n">
        <v>-252</v>
      </c>
    </row>
    <row r="79">
      <c r="A79" s="9" t="inlineStr">
        <is>
          <t>유동자산 합계</t>
        </is>
      </c>
      <c r="C79" s="12" t="n">
        <v>155470</v>
      </c>
      <c r="D79" s="12" t="n">
        <v>168796</v>
      </c>
      <c r="E79" s="12" t="n">
        <v>176340</v>
      </c>
      <c r="F79" s="12" t="n">
        <v>178020</v>
      </c>
      <c r="G79" s="12" t="n">
        <v>177549</v>
      </c>
      <c r="H79" s="12" t="n">
        <v>162907</v>
      </c>
      <c r="I79" s="12" t="n">
        <v>154236</v>
      </c>
      <c r="J79" s="12" t="n">
        <v>154236</v>
      </c>
      <c r="K79" s="12" t="n">
        <v>169931</v>
      </c>
      <c r="L79" s="12" t="n">
        <v>176340</v>
      </c>
    </row>
    <row r="80">
      <c r="A80" s="18" t="inlineStr">
        <is>
          <t>건물</t>
        </is>
      </c>
      <c r="H80" s="20" t="n">
        <v>10707</v>
      </c>
      <c r="I80" s="20" t="n">
        <v>10845</v>
      </c>
      <c r="J80" s="20" t="n">
        <v>10845</v>
      </c>
      <c r="K80" s="20" t="n">
        <v>12217</v>
      </c>
    </row>
    <row r="81">
      <c r="A81" s="18" t="inlineStr">
        <is>
          <t>감가상각누계액</t>
        </is>
      </c>
      <c r="H81" s="20" t="n">
        <v>-1182</v>
      </c>
      <c r="I81" s="20" t="n">
        <v>-1670</v>
      </c>
      <c r="J81" s="20" t="n">
        <v>-1670</v>
      </c>
      <c r="K81" s="20" t="n">
        <v>-2461</v>
      </c>
    </row>
    <row r="82">
      <c r="A82" s="18" t="inlineStr">
        <is>
          <t>건물(순액)</t>
        </is>
      </c>
      <c r="H82" s="20" t="n">
        <v>9525</v>
      </c>
      <c r="I82" s="20" t="n">
        <v>9174</v>
      </c>
      <c r="J82" s="20" t="n">
        <v>9174</v>
      </c>
      <c r="K82" s="20" t="n">
        <v>9755</v>
      </c>
    </row>
    <row r="83">
      <c r="A83" s="18" t="inlineStr">
        <is>
          <t>건물·구축물</t>
        </is>
      </c>
      <c r="E83" s="20" t="n">
        <v>21911</v>
      </c>
      <c r="K83" s="20" t="n">
        <v>12342</v>
      </c>
      <c r="L83" s="20" t="n">
        <v>21911</v>
      </c>
    </row>
    <row r="84">
      <c r="A84" s="18" t="inlineStr">
        <is>
          <t>감가상각누계액</t>
        </is>
      </c>
      <c r="E84" s="20" t="n">
        <v>-3532</v>
      </c>
      <c r="K84" s="20" t="n">
        <v>-2495</v>
      </c>
      <c r="L84" s="20" t="n">
        <v>-3532</v>
      </c>
    </row>
    <row r="85">
      <c r="A85" s="18" t="inlineStr">
        <is>
          <t>건물·구축물(순액)</t>
        </is>
      </c>
      <c r="E85" s="20" t="n">
        <v>18378</v>
      </c>
      <c r="K85" s="20" t="n">
        <v>9847</v>
      </c>
      <c r="L85" s="20" t="n">
        <v>18378</v>
      </c>
    </row>
    <row r="86">
      <c r="A86" s="18" t="inlineStr">
        <is>
          <t>공구·기구·비품</t>
        </is>
      </c>
      <c r="E86" s="20" t="n">
        <v>9673</v>
      </c>
      <c r="H86" s="20" t="n">
        <v>6433</v>
      </c>
      <c r="I86" s="20" t="n">
        <v>6926</v>
      </c>
      <c r="J86" s="20" t="n">
        <v>6926</v>
      </c>
      <c r="K86" s="20" t="n">
        <v>8635</v>
      </c>
      <c r="L86" s="20" t="n">
        <v>9673</v>
      </c>
    </row>
    <row r="87">
      <c r="A87" s="18" t="inlineStr">
        <is>
          <t>감가상각누계액</t>
        </is>
      </c>
      <c r="E87" s="20" t="n">
        <v>-6500</v>
      </c>
      <c r="H87" s="20" t="n">
        <v>-4206</v>
      </c>
      <c r="I87" s="20" t="n">
        <v>-4605</v>
      </c>
      <c r="J87" s="20" t="n">
        <v>-4605</v>
      </c>
      <c r="K87" s="20" t="n">
        <v>-5343</v>
      </c>
      <c r="L87" s="20" t="n">
        <v>-6500</v>
      </c>
    </row>
    <row r="88">
      <c r="A88" s="18" t="inlineStr">
        <is>
          <t>공구·기구·비품(순액)</t>
        </is>
      </c>
      <c r="E88" s="20" t="n">
        <v>3173</v>
      </c>
      <c r="H88" s="20" t="n">
        <v>2226</v>
      </c>
      <c r="I88" s="20" t="n">
        <v>2321</v>
      </c>
      <c r="J88" s="20" t="n">
        <v>2321</v>
      </c>
      <c r="K88" s="20" t="n">
        <v>3291</v>
      </c>
      <c r="L88" s="20" t="n">
        <v>3173</v>
      </c>
    </row>
    <row r="89">
      <c r="A89" s="18" t="inlineStr">
        <is>
          <t>토지</t>
        </is>
      </c>
      <c r="E89" s="20" t="n">
        <v>2699</v>
      </c>
      <c r="H89" s="20" t="n">
        <v>2699</v>
      </c>
      <c r="I89" s="20" t="n">
        <v>2699</v>
      </c>
      <c r="J89" s="20" t="n">
        <v>2699</v>
      </c>
      <c r="K89" s="20" t="n">
        <v>2699</v>
      </c>
      <c r="L89" s="20" t="n">
        <v>2699</v>
      </c>
    </row>
    <row r="90">
      <c r="A90" s="18" t="inlineStr">
        <is>
          <t>건설중인자산</t>
        </is>
      </c>
      <c r="E90" s="20" t="n">
        <v>754</v>
      </c>
      <c r="H90" s="20" t="n">
        <v>643</v>
      </c>
      <c r="I90" s="20" t="n">
        <v>3303</v>
      </c>
      <c r="J90" s="20" t="n">
        <v>3303</v>
      </c>
      <c r="K90" s="20" t="n">
        <v>4162</v>
      </c>
      <c r="L90" s="20" t="n">
        <v>754</v>
      </c>
    </row>
    <row r="91">
      <c r="A91" s="18" t="inlineStr">
        <is>
          <t>기타</t>
        </is>
      </c>
      <c r="E91" s="20" t="n">
        <v>675</v>
      </c>
      <c r="H91" s="20" t="n">
        <v>37</v>
      </c>
      <c r="I91" s="20" t="n">
        <v>56</v>
      </c>
      <c r="J91" s="20" t="n">
        <v>56</v>
      </c>
      <c r="K91" s="20" t="n">
        <v>27</v>
      </c>
      <c r="L91" s="20" t="n">
        <v>675</v>
      </c>
    </row>
    <row r="92">
      <c r="A92" s="18" t="inlineStr">
        <is>
          <t>감가상각누계액</t>
        </is>
      </c>
      <c r="E92" s="20" t="n">
        <v>-499</v>
      </c>
      <c r="H92" s="20" t="n">
        <v>-18</v>
      </c>
      <c r="I92" s="20" t="n">
        <v>-22</v>
      </c>
      <c r="J92" s="20" t="n">
        <v>-22</v>
      </c>
      <c r="K92" s="20" t="n">
        <v>-7</v>
      </c>
      <c r="L92" s="20" t="n">
        <v>-499</v>
      </c>
    </row>
    <row r="93">
      <c r="A93" s="18" t="inlineStr">
        <is>
          <t>기타(순액)</t>
        </is>
      </c>
      <c r="E93" s="20" t="n">
        <v>175</v>
      </c>
      <c r="H93" s="20" t="n">
        <v>19</v>
      </c>
      <c r="I93" s="20" t="n">
        <v>34</v>
      </c>
      <c r="J93" s="20" t="n">
        <v>34</v>
      </c>
      <c r="K93" s="20" t="n">
        <v>19</v>
      </c>
      <c r="L93" s="20" t="n">
        <v>175</v>
      </c>
    </row>
    <row r="94">
      <c r="A94" s="18" t="inlineStr">
        <is>
          <t>유형자산</t>
        </is>
      </c>
      <c r="C94" s="20" t="n">
        <v>23352</v>
      </c>
      <c r="D94" s="20" t="n">
        <v>25104</v>
      </c>
      <c r="E94" s="20" t="n">
        <v>25180</v>
      </c>
      <c r="F94" s="20" t="n">
        <v>25679</v>
      </c>
      <c r="G94" s="20" t="n">
        <v>26281</v>
      </c>
      <c r="H94" s="20" t="n">
        <v>15114</v>
      </c>
      <c r="I94" s="20" t="n">
        <v>17532</v>
      </c>
      <c r="J94" s="20" t="n">
        <v>17532</v>
      </c>
      <c r="K94" s="20" t="n">
        <v>20020</v>
      </c>
      <c r="L94" s="20" t="n">
        <v>25180</v>
      </c>
    </row>
    <row r="95">
      <c r="A95" s="18" t="inlineStr">
        <is>
          <t>영업권</t>
        </is>
      </c>
      <c r="C95" s="20" t="n">
        <v>26463</v>
      </c>
      <c r="D95" s="20" t="n">
        <v>27108</v>
      </c>
      <c r="E95" s="20" t="n">
        <v>23827</v>
      </c>
      <c r="F95" s="20" t="n">
        <v>23421</v>
      </c>
      <c r="G95" s="20" t="n">
        <v>22878</v>
      </c>
      <c r="H95" s="20" t="n">
        <v>9806</v>
      </c>
      <c r="I95" s="20" t="n">
        <v>8467</v>
      </c>
      <c r="J95" s="20" t="n">
        <v>8467</v>
      </c>
      <c r="K95" s="20" t="n">
        <v>7265</v>
      </c>
      <c r="L95" s="20" t="n">
        <v>23827</v>
      </c>
    </row>
    <row r="96">
      <c r="A96" s="18" t="inlineStr">
        <is>
          <t>고객관계자산</t>
        </is>
      </c>
      <c r="C96" s="20" t="n">
        <v>12251</v>
      </c>
      <c r="D96" s="20" t="n">
        <v>12482</v>
      </c>
      <c r="E96" s="20" t="n">
        <v>14033</v>
      </c>
      <c r="F96" s="20" t="n">
        <v>13799</v>
      </c>
      <c r="G96" s="20" t="n">
        <v>13243</v>
      </c>
      <c r="H96" s="20" t="n">
        <v>5638</v>
      </c>
      <c r="I96" s="20" t="n">
        <v>4960</v>
      </c>
      <c r="J96" s="20" t="n">
        <v>4960</v>
      </c>
      <c r="K96" s="20" t="n">
        <v>4284</v>
      </c>
      <c r="L96" s="20" t="n">
        <v>14033</v>
      </c>
    </row>
    <row r="97">
      <c r="A97" s="18" t="inlineStr">
        <is>
          <t>상표권</t>
        </is>
      </c>
      <c r="C97" s="20" t="n">
        <v>6575</v>
      </c>
      <c r="D97" s="20" t="n">
        <v>6791</v>
      </c>
      <c r="E97" s="20" t="n">
        <v>7738</v>
      </c>
      <c r="F97" s="20" t="n">
        <v>7692</v>
      </c>
      <c r="G97" s="20" t="n">
        <v>7455</v>
      </c>
      <c r="H97" s="20" t="n">
        <v>2467</v>
      </c>
      <c r="I97" s="20" t="n">
        <v>2198</v>
      </c>
      <c r="J97" s="20" t="n">
        <v>2198</v>
      </c>
      <c r="K97" s="20" t="n">
        <v>1937</v>
      </c>
      <c r="L97" s="20" t="n">
        <v>7738</v>
      </c>
    </row>
    <row r="98">
      <c r="A98" s="18" t="inlineStr">
        <is>
          <t>소프트웨어</t>
        </is>
      </c>
      <c r="E98" s="20" t="n">
        <v>14657</v>
      </c>
      <c r="F98" s="20" t="n">
        <v>13630</v>
      </c>
      <c r="G98" s="20" t="n">
        <v>12543</v>
      </c>
      <c r="K98" s="20" t="n">
        <v>1213</v>
      </c>
      <c r="L98" s="20" t="n">
        <v>14657</v>
      </c>
    </row>
    <row r="99">
      <c r="A99" s="18" t="inlineStr">
        <is>
          <t>기타</t>
        </is>
      </c>
      <c r="C99" s="20" t="n">
        <v>3559</v>
      </c>
      <c r="D99" s="20" t="n">
        <v>3707</v>
      </c>
      <c r="E99" s="20" t="n">
        <v>293</v>
      </c>
      <c r="F99" s="20" t="n">
        <v>778</v>
      </c>
      <c r="G99" s="20" t="n">
        <v>955</v>
      </c>
      <c r="H99" s="20" t="n">
        <v>1498</v>
      </c>
      <c r="I99" s="20" t="n">
        <v>1335</v>
      </c>
      <c r="J99" s="20" t="n">
        <v>1335</v>
      </c>
      <c r="K99" s="20" t="n">
        <v>92</v>
      </c>
      <c r="L99" s="20" t="n">
        <v>293</v>
      </c>
    </row>
    <row r="100">
      <c r="A100" s="18" t="inlineStr">
        <is>
          <t>무형자산 합계</t>
        </is>
      </c>
      <c r="C100" s="20" t="n">
        <v>48850</v>
      </c>
      <c r="D100" s="20" t="n">
        <v>50089</v>
      </c>
      <c r="E100" s="20" t="n">
        <v>60551</v>
      </c>
      <c r="F100" s="20" t="n">
        <v>59321</v>
      </c>
      <c r="G100" s="20" t="n">
        <v>57076</v>
      </c>
      <c r="H100" s="20" t="n">
        <v>19410</v>
      </c>
      <c r="I100" s="20" t="n">
        <v>16961</v>
      </c>
      <c r="J100" s="20" t="n">
        <v>16961</v>
      </c>
      <c r="K100" s="20" t="n">
        <v>14793</v>
      </c>
      <c r="L100" s="20" t="n">
        <v>60551</v>
      </c>
    </row>
    <row r="101">
      <c r="A101" s="18" t="inlineStr">
        <is>
          <t>투자유가증권</t>
        </is>
      </c>
      <c r="C101" s="20" t="n">
        <v>5364</v>
      </c>
      <c r="D101" s="20" t="n">
        <v>4655</v>
      </c>
      <c r="E101" s="20" t="n">
        <v>4618</v>
      </c>
      <c r="F101" s="20" t="n">
        <v>5413</v>
      </c>
      <c r="G101" s="20" t="n">
        <v>17763</v>
      </c>
      <c r="H101" s="20" t="n">
        <v>10313</v>
      </c>
      <c r="I101" s="20" t="n">
        <v>7391</v>
      </c>
      <c r="J101" s="20" t="n">
        <v>7391</v>
      </c>
      <c r="K101" s="20" t="n">
        <v>6023</v>
      </c>
      <c r="L101" s="20" t="n">
        <v>4618</v>
      </c>
    </row>
    <row r="102">
      <c r="A102" s="18" t="inlineStr">
        <is>
          <t>장기대여금</t>
        </is>
      </c>
      <c r="C102" s="20" t="n">
        <v>7054</v>
      </c>
      <c r="D102" s="20" t="n">
        <v>6659</v>
      </c>
      <c r="E102" s="20" t="n">
        <v>5616</v>
      </c>
      <c r="F102" s="20" t="n">
        <v>5611</v>
      </c>
      <c r="G102" s="20" t="n">
        <v>5220</v>
      </c>
      <c r="H102" s="20" t="n">
        <v>3405</v>
      </c>
      <c r="I102" s="20" t="n">
        <v>2745</v>
      </c>
      <c r="J102" s="20" t="n">
        <v>2745</v>
      </c>
      <c r="K102" s="20" t="n">
        <v>7540</v>
      </c>
      <c r="L102" s="20" t="n">
        <v>5616</v>
      </c>
    </row>
    <row r="103">
      <c r="A103" s="18" t="inlineStr">
        <is>
          <t>이연법인세자산</t>
        </is>
      </c>
      <c r="C103" s="20" t="n">
        <v>2422</v>
      </c>
      <c r="D103" s="20" t="n">
        <v>2351</v>
      </c>
      <c r="E103" s="20" t="n">
        <v>3053</v>
      </c>
      <c r="F103" s="20" t="n">
        <v>2617</v>
      </c>
      <c r="G103" s="20" t="n">
        <v>3756</v>
      </c>
      <c r="H103" s="20" t="n">
        <v>6963</v>
      </c>
      <c r="I103" s="20" t="n">
        <v>4452</v>
      </c>
      <c r="J103" s="20" t="n">
        <v>4452</v>
      </c>
      <c r="K103" s="20" t="n">
        <v>3328</v>
      </c>
      <c r="L103" s="20" t="n">
        <v>3053</v>
      </c>
    </row>
    <row r="104">
      <c r="A104" s="18" t="inlineStr">
        <is>
          <t>기타</t>
        </is>
      </c>
      <c r="C104" s="20" t="n">
        <v>6184</v>
      </c>
      <c r="D104" s="20" t="n">
        <v>5818</v>
      </c>
      <c r="E104" s="20" t="n">
        <v>5878</v>
      </c>
      <c r="F104" s="20" t="n">
        <v>6992</v>
      </c>
      <c r="G104" s="20" t="n">
        <v>7401</v>
      </c>
      <c r="H104" s="20" t="n">
        <v>5353</v>
      </c>
      <c r="I104" s="20" t="n">
        <v>5090</v>
      </c>
      <c r="J104" s="20" t="n">
        <v>5090</v>
      </c>
      <c r="K104" s="20" t="n">
        <v>5789</v>
      </c>
      <c r="L104" s="20" t="n">
        <v>5878</v>
      </c>
    </row>
    <row r="105">
      <c r="A105" s="18" t="inlineStr">
        <is>
          <t>대손충당금</t>
        </is>
      </c>
      <c r="C105" s="20" t="n">
        <v>-1594</v>
      </c>
      <c r="D105" s="20" t="n">
        <v>-1187</v>
      </c>
      <c r="E105" s="20" t="n">
        <v>-834</v>
      </c>
      <c r="F105" s="20" t="n">
        <v>-829</v>
      </c>
      <c r="G105" s="20" t="n">
        <v>-439</v>
      </c>
      <c r="H105" s="20" t="n">
        <v>-1147</v>
      </c>
      <c r="I105" s="20" t="n">
        <v>-1067</v>
      </c>
      <c r="J105" s="20" t="n">
        <v>-1067</v>
      </c>
      <c r="K105" s="20" t="n">
        <v>-1883</v>
      </c>
      <c r="L105" s="20" t="n">
        <v>-834</v>
      </c>
    </row>
    <row r="106">
      <c r="A106" s="18" t="inlineStr">
        <is>
          <t>투자 및 기타자산 합계</t>
        </is>
      </c>
      <c r="C106" s="20" t="n">
        <v>19430</v>
      </c>
      <c r="D106" s="20" t="n">
        <v>18297</v>
      </c>
      <c r="E106" s="20" t="n">
        <v>18332</v>
      </c>
      <c r="F106" s="20" t="n">
        <v>19806</v>
      </c>
      <c r="G106" s="20" t="n">
        <v>33702</v>
      </c>
      <c r="H106" s="20" t="n">
        <v>24889</v>
      </c>
      <c r="I106" s="20" t="n">
        <v>18611</v>
      </c>
      <c r="J106" s="20" t="n">
        <v>18611</v>
      </c>
      <c r="K106" s="20" t="n">
        <v>20798</v>
      </c>
      <c r="L106" s="20" t="n">
        <v>18332</v>
      </c>
    </row>
    <row r="107">
      <c r="A107" s="9" t="inlineStr">
        <is>
          <t>비유동자산 합계</t>
        </is>
      </c>
      <c r="C107" s="12" t="n">
        <v>91633</v>
      </c>
      <c r="D107" s="12" t="n">
        <v>93491</v>
      </c>
      <c r="E107" s="12" t="n">
        <v>104064</v>
      </c>
      <c r="F107" s="12" t="n">
        <v>104808</v>
      </c>
      <c r="G107" s="12" t="n">
        <v>117059</v>
      </c>
      <c r="H107" s="12" t="n">
        <v>59413</v>
      </c>
      <c r="I107" s="12" t="n">
        <v>53105</v>
      </c>
      <c r="J107" s="12" t="n">
        <v>53105</v>
      </c>
      <c r="K107" s="12" t="n">
        <v>55612</v>
      </c>
      <c r="L107" s="12" t="n">
        <v>104064</v>
      </c>
    </row>
    <row r="108">
      <c r="A108" s="9" t="inlineStr">
        <is>
          <t>자산 합계</t>
        </is>
      </c>
      <c r="C108" s="12" t="n">
        <v>247104</v>
      </c>
      <c r="D108" s="12" t="n">
        <v>262287</v>
      </c>
      <c r="E108" s="12" t="n">
        <v>280405</v>
      </c>
      <c r="F108" s="12" t="n">
        <v>282828</v>
      </c>
      <c r="G108" s="12" t="n">
        <v>294609</v>
      </c>
      <c r="H108" s="12" t="n">
        <v>222321</v>
      </c>
      <c r="I108" s="12" t="n">
        <v>207342</v>
      </c>
      <c r="J108" s="12" t="n">
        <v>207342</v>
      </c>
      <c r="K108" s="12" t="n">
        <v>225544</v>
      </c>
      <c r="L108" s="12" t="n">
        <v>280405</v>
      </c>
    </row>
    <row r="109">
      <c r="A109" s="18" t="inlineStr">
        <is>
          <t>단기차입금</t>
        </is>
      </c>
      <c r="C109" s="20" t="n">
        <v>21175</v>
      </c>
      <c r="D109" s="20" t="n">
        <v>29722</v>
      </c>
      <c r="E109" s="20" t="n">
        <v>4927</v>
      </c>
      <c r="F109" s="20" t="n">
        <v>4872</v>
      </c>
      <c r="G109" s="20" t="n">
        <v>4829</v>
      </c>
      <c r="H109" s="20" t="n">
        <v>912</v>
      </c>
      <c r="I109" s="20" t="n">
        <v>1090</v>
      </c>
      <c r="J109" s="20" t="n">
        <v>1090</v>
      </c>
      <c r="K109" s="20" t="n">
        <v>1865</v>
      </c>
      <c r="L109" s="20" t="n">
        <v>4927</v>
      </c>
    </row>
    <row r="110">
      <c r="A110" s="18" t="inlineStr">
        <is>
          <t>미지급금</t>
        </is>
      </c>
      <c r="C110" s="20" t="n">
        <v>13913</v>
      </c>
      <c r="D110" s="20" t="n">
        <v>18095</v>
      </c>
      <c r="E110" s="20" t="n">
        <v>16490</v>
      </c>
      <c r="F110" s="20" t="n">
        <v>14635</v>
      </c>
      <c r="G110" s="20" t="n">
        <v>14904</v>
      </c>
      <c r="H110" s="20" t="n">
        <v>13606</v>
      </c>
      <c r="I110" s="20" t="n">
        <v>12101</v>
      </c>
      <c r="J110" s="20" t="n">
        <v>12101</v>
      </c>
      <c r="K110" s="20" t="n">
        <v>10143</v>
      </c>
      <c r="L110" s="20" t="n">
        <v>16490</v>
      </c>
    </row>
    <row r="111">
      <c r="A111" s="18" t="inlineStr">
        <is>
          <t>미지급법인세</t>
        </is>
      </c>
      <c r="C111" s="20" t="n">
        <v>2250</v>
      </c>
      <c r="D111" s="20" t="n">
        <v>840</v>
      </c>
      <c r="E111" s="20" t="n">
        <v>4209</v>
      </c>
      <c r="F111" s="20" t="n">
        <v>2291</v>
      </c>
      <c r="G111" s="20" t="n">
        <v>6498</v>
      </c>
      <c r="H111" s="20" t="n">
        <v>4677</v>
      </c>
      <c r="I111" s="20" t="n">
        <v>958</v>
      </c>
      <c r="J111" s="20" t="n">
        <v>958</v>
      </c>
      <c r="K111" s="20" t="n">
        <v>7686</v>
      </c>
      <c r="L111" s="20" t="n">
        <v>4209</v>
      </c>
    </row>
    <row r="112">
      <c r="A112" s="18" t="inlineStr">
        <is>
          <t>미지급 소비세</t>
        </is>
      </c>
      <c r="C112" s="20" t="n">
        <v>322</v>
      </c>
      <c r="D112" s="20" t="n">
        <v>587</v>
      </c>
      <c r="E112" s="20" t="n">
        <v>971</v>
      </c>
      <c r="F112" s="20" t="n">
        <v>1521</v>
      </c>
      <c r="G112" s="20" t="n">
        <v>1613</v>
      </c>
      <c r="H112" s="20" t="n">
        <v>1571</v>
      </c>
      <c r="I112" s="20" t="n">
        <v>576</v>
      </c>
      <c r="J112" s="20" t="n">
        <v>576</v>
      </c>
      <c r="K112" s="20" t="n">
        <v>2203</v>
      </c>
      <c r="L112" s="20" t="n">
        <v>971</v>
      </c>
    </row>
    <row r="113">
      <c r="A113" s="18" t="inlineStr">
        <is>
          <t>상여충당금</t>
        </is>
      </c>
      <c r="C113" s="20" t="n">
        <v>1646</v>
      </c>
      <c r="D113" s="20" t="n">
        <v>1186</v>
      </c>
      <c r="E113" s="20" t="n">
        <v>2124</v>
      </c>
      <c r="F113" s="20" t="n">
        <v>1237</v>
      </c>
      <c r="G113" s="20" t="n">
        <v>1570</v>
      </c>
      <c r="H113" s="20" t="n">
        <v>2847</v>
      </c>
      <c r="I113" s="20" t="n">
        <v>1830</v>
      </c>
      <c r="J113" s="20" t="n">
        <v>1830</v>
      </c>
      <c r="K113" s="20" t="n">
        <v>1816</v>
      </c>
      <c r="L113" s="20" t="n">
        <v>2124</v>
      </c>
    </row>
    <row r="114">
      <c r="A114" s="18" t="inlineStr">
        <is>
          <t>기타</t>
        </is>
      </c>
      <c r="C114" s="20" t="n">
        <v>12889</v>
      </c>
      <c r="D114" s="20" t="n">
        <v>14655</v>
      </c>
      <c r="E114" s="20" t="n">
        <v>11300</v>
      </c>
      <c r="F114" s="20" t="n">
        <v>13014</v>
      </c>
      <c r="G114" s="20" t="n">
        <v>14632</v>
      </c>
      <c r="H114" s="20" t="n">
        <v>5629</v>
      </c>
      <c r="I114" s="20" t="n">
        <v>6436</v>
      </c>
      <c r="J114" s="20" t="n">
        <v>6436</v>
      </c>
      <c r="K114" s="20" t="n">
        <v>7664</v>
      </c>
      <c r="L114" s="20" t="n">
        <v>11300</v>
      </c>
    </row>
    <row r="115">
      <c r="A115" s="9" t="inlineStr">
        <is>
          <t>유동부채 합계</t>
        </is>
      </c>
      <c r="C115" s="12" t="n">
        <v>52197</v>
      </c>
      <c r="D115" s="12" t="n">
        <v>65087</v>
      </c>
      <c r="E115" s="12" t="n">
        <v>40022</v>
      </c>
      <c r="F115" s="12" t="n">
        <v>37572</v>
      </c>
      <c r="G115" s="12" t="n">
        <v>44050</v>
      </c>
      <c r="H115" s="12" t="n">
        <v>29244</v>
      </c>
      <c r="I115" s="12" t="n">
        <v>22992</v>
      </c>
      <c r="J115" s="12" t="n">
        <v>22992</v>
      </c>
      <c r="K115" s="12" t="n">
        <v>31380</v>
      </c>
      <c r="L115" s="12" t="n">
        <v>40022</v>
      </c>
    </row>
    <row r="116">
      <c r="A116" s="18" t="inlineStr">
        <is>
          <t>장기차입금</t>
        </is>
      </c>
      <c r="C116" s="20" t="n">
        <v>12865</v>
      </c>
      <c r="D116" s="20" t="n">
        <v>15387</v>
      </c>
      <c r="E116" s="20" t="n">
        <v>40223</v>
      </c>
      <c r="F116" s="20" t="n">
        <v>39377</v>
      </c>
      <c r="G116" s="20" t="n">
        <v>40820</v>
      </c>
      <c r="H116" s="20" t="n">
        <v>6873</v>
      </c>
      <c r="I116" s="20" t="n">
        <v>6341</v>
      </c>
      <c r="J116" s="20" t="n">
        <v>6341</v>
      </c>
      <c r="K116" s="20" t="n">
        <v>10587</v>
      </c>
      <c r="L116" s="20" t="n">
        <v>40223</v>
      </c>
    </row>
    <row r="117">
      <c r="A117" s="18" t="inlineStr">
        <is>
          <t>이연법인세부채</t>
        </is>
      </c>
      <c r="C117" s="20" t="n">
        <v>5158</v>
      </c>
      <c r="D117" s="20" t="n">
        <v>5426</v>
      </c>
      <c r="E117" s="20" t="n">
        <v>9937</v>
      </c>
      <c r="F117" s="20" t="n">
        <v>9920</v>
      </c>
      <c r="G117" s="20" t="n">
        <v>9174</v>
      </c>
      <c r="H117" s="20" t="n">
        <v>2506</v>
      </c>
      <c r="I117" s="20" t="n">
        <v>2121</v>
      </c>
      <c r="J117" s="20" t="n">
        <v>2121</v>
      </c>
      <c r="K117" s="20" t="n">
        <v>1632</v>
      </c>
      <c r="L117" s="20" t="n">
        <v>9937</v>
      </c>
    </row>
    <row r="118">
      <c r="A118" s="18" t="inlineStr">
        <is>
          <t>기타</t>
        </is>
      </c>
      <c r="C118" s="20" t="n">
        <v>794</v>
      </c>
      <c r="D118" s="20" t="n">
        <v>844</v>
      </c>
      <c r="E118" s="20" t="n">
        <v>755</v>
      </c>
      <c r="F118" s="20" t="n">
        <v>582</v>
      </c>
      <c r="G118" s="20" t="n">
        <v>792</v>
      </c>
      <c r="H118" s="20" t="n">
        <v>234</v>
      </c>
      <c r="I118" s="20" t="n">
        <v>156</v>
      </c>
      <c r="J118" s="20" t="n">
        <v>156</v>
      </c>
      <c r="K118" s="20" t="n">
        <v>609</v>
      </c>
      <c r="L118" s="20" t="n">
        <v>755</v>
      </c>
    </row>
    <row r="119">
      <c r="A119" s="9" t="inlineStr">
        <is>
          <t>비유동부채 합계</t>
        </is>
      </c>
      <c r="C119" s="12" t="n">
        <v>18818</v>
      </c>
      <c r="D119" s="12" t="n">
        <v>21657</v>
      </c>
      <c r="E119" s="12" t="n">
        <v>50916</v>
      </c>
      <c r="F119" s="12" t="n">
        <v>49881</v>
      </c>
      <c r="G119" s="12" t="n">
        <v>50787</v>
      </c>
      <c r="H119" s="12" t="n">
        <v>9613</v>
      </c>
      <c r="I119" s="12" t="n">
        <v>8619</v>
      </c>
      <c r="J119" s="12" t="n">
        <v>8619</v>
      </c>
      <c r="K119" s="12" t="n">
        <v>12829</v>
      </c>
      <c r="L119" s="12" t="n">
        <v>50916</v>
      </c>
    </row>
    <row r="120">
      <c r="A120" s="9" t="inlineStr">
        <is>
          <t>부채 합계</t>
        </is>
      </c>
      <c r="C120" s="12" t="n">
        <v>71015</v>
      </c>
      <c r="D120" s="12" t="n">
        <v>86745</v>
      </c>
      <c r="E120" s="12" t="n">
        <v>90939</v>
      </c>
      <c r="F120" s="12" t="n">
        <v>87453</v>
      </c>
      <c r="G120" s="12" t="n">
        <v>94838</v>
      </c>
      <c r="H120" s="12" t="n">
        <v>38857</v>
      </c>
      <c r="I120" s="12" t="n">
        <v>31611</v>
      </c>
      <c r="J120" s="12" t="n">
        <v>31611</v>
      </c>
      <c r="K120" s="12" t="n">
        <v>44210</v>
      </c>
      <c r="L120" s="12" t="n">
        <v>90939</v>
      </c>
    </row>
    <row r="121">
      <c r="A121" s="18" t="inlineStr">
        <is>
          <t>자본금</t>
        </is>
      </c>
      <c r="C121" s="20" t="n">
        <v>9698</v>
      </c>
      <c r="D121" s="20" t="n">
        <v>9698</v>
      </c>
      <c r="E121" s="20" t="n">
        <v>9698</v>
      </c>
      <c r="F121" s="20" t="n">
        <v>9698</v>
      </c>
      <c r="G121" s="20" t="n">
        <v>9698</v>
      </c>
      <c r="H121" s="20" t="n">
        <v>9698</v>
      </c>
      <c r="I121" s="20" t="n">
        <v>9698</v>
      </c>
      <c r="J121" s="20" t="n">
        <v>9698</v>
      </c>
      <c r="K121" s="20" t="n">
        <v>9698</v>
      </c>
      <c r="L121" s="20" t="n">
        <v>9698</v>
      </c>
    </row>
    <row r="122">
      <c r="A122" s="18" t="inlineStr">
        <is>
          <t>자본잉여금</t>
        </is>
      </c>
      <c r="C122" s="20" t="n">
        <v>9670</v>
      </c>
      <c r="D122" s="20" t="n">
        <v>9670</v>
      </c>
      <c r="E122" s="20" t="n">
        <v>9675</v>
      </c>
      <c r="F122" s="20" t="n">
        <v>9674</v>
      </c>
      <c r="G122" s="20" t="n">
        <v>9675</v>
      </c>
      <c r="H122" s="20" t="n">
        <v>9662</v>
      </c>
      <c r="I122" s="20" t="n">
        <v>9662</v>
      </c>
      <c r="J122" s="20" t="n">
        <v>9662</v>
      </c>
      <c r="K122" s="20" t="n">
        <v>9669</v>
      </c>
      <c r="L122" s="20" t="n">
        <v>9675</v>
      </c>
    </row>
    <row r="123">
      <c r="A123" s="18" t="inlineStr">
        <is>
          <t>이익잉여금</t>
        </is>
      </c>
      <c r="C123" s="20" t="n">
        <v>166360</v>
      </c>
      <c r="D123" s="20" t="n">
        <v>168048</v>
      </c>
      <c r="E123" s="20" t="n">
        <v>174756</v>
      </c>
      <c r="F123" s="20" t="n">
        <v>168100</v>
      </c>
      <c r="G123" s="20" t="n">
        <v>172078</v>
      </c>
      <c r="H123" s="20" t="n">
        <v>177655</v>
      </c>
      <c r="I123" s="20" t="n">
        <v>163190</v>
      </c>
      <c r="J123" s="20" t="n">
        <v>163190</v>
      </c>
      <c r="K123" s="20" t="n">
        <v>173149</v>
      </c>
      <c r="L123" s="20" t="n">
        <v>174756</v>
      </c>
    </row>
    <row r="124">
      <c r="A124" s="18" t="inlineStr">
        <is>
          <t>자기주식</t>
        </is>
      </c>
      <c r="C124" s="20" t="n">
        <v>-15623</v>
      </c>
      <c r="D124" s="20" t="n">
        <v>-19060</v>
      </c>
      <c r="E124" s="20" t="n">
        <v>-19060</v>
      </c>
      <c r="F124" s="20" t="n">
        <v>-10486</v>
      </c>
      <c r="G124" s="20" t="n">
        <v>-9860</v>
      </c>
      <c r="H124" s="20" t="n">
        <v>-16900</v>
      </c>
      <c r="I124" s="20" t="n">
        <v>-10310</v>
      </c>
      <c r="J124" s="20" t="n">
        <v>-10310</v>
      </c>
      <c r="K124" s="20" t="n">
        <v>-17491</v>
      </c>
      <c r="L124" s="20" t="n">
        <v>-19060</v>
      </c>
    </row>
    <row r="125">
      <c r="A125" s="9" t="inlineStr">
        <is>
          <t>주주자본 합계</t>
        </is>
      </c>
      <c r="C125" s="12" t="n">
        <v>170106</v>
      </c>
      <c r="D125" s="12" t="n">
        <v>168357</v>
      </c>
      <c r="E125" s="12" t="n">
        <v>175070</v>
      </c>
      <c r="F125" s="12" t="n">
        <v>176988</v>
      </c>
      <c r="G125" s="12" t="n">
        <v>181593</v>
      </c>
      <c r="H125" s="12" t="n">
        <v>180116</v>
      </c>
      <c r="I125" s="12" t="n">
        <v>172240</v>
      </c>
      <c r="J125" s="12" t="n">
        <v>172240</v>
      </c>
      <c r="K125" s="12" t="n">
        <v>175026</v>
      </c>
      <c r="L125" s="12" t="n">
        <v>175070</v>
      </c>
    </row>
    <row r="126">
      <c r="A126" s="18" t="inlineStr">
        <is>
          <t>기타유가증권 평가차액</t>
        </is>
      </c>
      <c r="C126" s="20" t="n">
        <v>3115</v>
      </c>
      <c r="D126" s="20" t="n">
        <v>2764</v>
      </c>
      <c r="E126" s="20" t="n">
        <v>2656</v>
      </c>
      <c r="F126" s="20" t="n">
        <v>6661</v>
      </c>
      <c r="G126" s="20" t="n">
        <v>6120</v>
      </c>
      <c r="H126" s="20" t="n">
        <v>383</v>
      </c>
      <c r="I126" s="20" t="n">
        <v>366</v>
      </c>
      <c r="J126" s="20" t="n">
        <v>366</v>
      </c>
      <c r="K126" s="20" t="n">
        <v>3070</v>
      </c>
      <c r="L126" s="20" t="n">
        <v>2656</v>
      </c>
    </row>
    <row r="127">
      <c r="A127" s="18" t="inlineStr">
        <is>
          <t>해외사업환산조정</t>
        </is>
      </c>
      <c r="C127" s="20" t="n">
        <v>984</v>
      </c>
      <c r="D127" s="20" t="n">
        <v>2684</v>
      </c>
      <c r="E127" s="20" t="n">
        <v>3765</v>
      </c>
      <c r="F127" s="20" t="n">
        <v>4148</v>
      </c>
      <c r="G127" s="20" t="n">
        <v>3903</v>
      </c>
      <c r="H127" s="20" t="n">
        <v>510</v>
      </c>
      <c r="I127" s="20" t="n">
        <v>803</v>
      </c>
      <c r="J127" s="20" t="n">
        <v>803</v>
      </c>
      <c r="K127" s="20" t="n">
        <v>883</v>
      </c>
      <c r="L127" s="20" t="n">
        <v>3765</v>
      </c>
    </row>
    <row r="128">
      <c r="A128" s="18" t="inlineStr">
        <is>
          <t>기타포괄손익누계액 합계</t>
        </is>
      </c>
      <c r="C128" s="20" t="n">
        <v>4100</v>
      </c>
      <c r="D128" s="20" t="n">
        <v>5449</v>
      </c>
      <c r="E128" s="20" t="n">
        <v>6422</v>
      </c>
      <c r="F128" s="20" t="n">
        <v>10810</v>
      </c>
      <c r="G128" s="20" t="n">
        <v>10024</v>
      </c>
      <c r="H128" s="20" t="n">
        <v>893</v>
      </c>
      <c r="I128" s="20" t="n">
        <v>1170</v>
      </c>
      <c r="J128" s="20" t="n">
        <v>1170</v>
      </c>
      <c r="K128" s="20" t="n">
        <v>3954</v>
      </c>
      <c r="L128" s="20" t="n">
        <v>6422</v>
      </c>
    </row>
    <row r="129">
      <c r="A129" s="18" t="inlineStr">
        <is>
          <t>신주예약권</t>
        </is>
      </c>
      <c r="C129" s="20" t="n">
        <v>899</v>
      </c>
      <c r="D129" s="20" t="n">
        <v>897</v>
      </c>
      <c r="E129" s="20" t="n">
        <v>896</v>
      </c>
      <c r="F129" s="20" t="n">
        <v>894</v>
      </c>
      <c r="G129" s="20" t="n">
        <v>893</v>
      </c>
      <c r="H129" s="20" t="n">
        <v>1127</v>
      </c>
      <c r="I129" s="20" t="n">
        <v>1109</v>
      </c>
      <c r="J129" s="20" t="n">
        <v>1109</v>
      </c>
      <c r="K129" s="20" t="n">
        <v>1082</v>
      </c>
      <c r="L129" s="20" t="n">
        <v>896</v>
      </c>
    </row>
    <row r="130">
      <c r="A130" s="18" t="inlineStr">
        <is>
          <t>비지배지분</t>
        </is>
      </c>
      <c r="C130" s="20" t="n">
        <v>983</v>
      </c>
      <c r="D130" s="20" t="n">
        <v>837</v>
      </c>
      <c r="E130" s="20" t="n">
        <v>7077</v>
      </c>
      <c r="F130" s="20" t="n">
        <v>6682</v>
      </c>
      <c r="G130" s="20" t="n">
        <v>7259</v>
      </c>
      <c r="H130" s="20" t="n">
        <v>1324</v>
      </c>
      <c r="I130" s="20" t="n">
        <v>1209</v>
      </c>
      <c r="J130" s="20" t="n">
        <v>1209</v>
      </c>
      <c r="K130" s="20" t="n">
        <v>1270</v>
      </c>
      <c r="L130" s="20" t="n">
        <v>7077</v>
      </c>
    </row>
    <row r="131">
      <c r="A131" s="9" t="inlineStr">
        <is>
          <t>순자산 합계</t>
        </is>
      </c>
      <c r="C131" s="12" t="n">
        <v>176088</v>
      </c>
      <c r="D131" s="12" t="n">
        <v>175541</v>
      </c>
      <c r="E131" s="12" t="n">
        <v>189466</v>
      </c>
      <c r="F131" s="12" t="n">
        <v>195375</v>
      </c>
      <c r="G131" s="12" t="n">
        <v>199770</v>
      </c>
      <c r="H131" s="12" t="n">
        <v>183463</v>
      </c>
      <c r="I131" s="12" t="n">
        <v>175730</v>
      </c>
      <c r="J131" s="12" t="n">
        <v>175730</v>
      </c>
      <c r="K131" s="12" t="n">
        <v>181333</v>
      </c>
      <c r="L131" s="12" t="n">
        <v>189466</v>
      </c>
    </row>
    <row r="132">
      <c r="A132" s="9" t="inlineStr">
        <is>
          <t>부채·순자산 합계</t>
        </is>
      </c>
      <c r="C132" s="12" t="n">
        <v>247104</v>
      </c>
      <c r="D132" s="12" t="n">
        <v>262287</v>
      </c>
      <c r="E132" s="12" t="n">
        <v>280405</v>
      </c>
      <c r="F132" s="12" t="n">
        <v>282828</v>
      </c>
      <c r="G132" s="12" t="n">
        <v>294609</v>
      </c>
      <c r="H132" s="12" t="n">
        <v>222321</v>
      </c>
      <c r="I132" s="12" t="n">
        <v>207342</v>
      </c>
      <c r="J132" s="12" t="n">
        <v>207342</v>
      </c>
      <c r="K132" s="12" t="n">
        <v>225544</v>
      </c>
      <c r="L132" s="12" t="n">
        <v>280405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https://www2.jpx.co.jp/disc/21210/140120261029559918.pdf</t>
        </is>
      </c>
    </row>
    <row r="5">
      <c r="A5" t="inlineStr">
        <is>
          <t>2026-07-31</t>
        </is>
      </c>
      <c r="B5" t="inlineStr">
        <is>
          <t>2027년 3월 결산기 １분기 결산단신</t>
        </is>
      </c>
      <c r="C5" t="inlineStr">
        <is>
          <t>https://www2.jpx.co.jp/disc/21210/140120260730503888.pdf</t>
        </is>
      </c>
    </row>
    <row r="6">
      <c r="A6" t="inlineStr">
        <is>
          <t>2026-05-15</t>
        </is>
      </c>
      <c r="B6" t="inlineStr">
        <is>
          <t>2026년 3월 결산기 연간 결산단신</t>
        </is>
      </c>
      <c r="C6" t="inlineStr">
        <is>
          <t>https://www2.jpx.co.jp/disc/21210/140120260514535353.pdf</t>
        </is>
      </c>
    </row>
    <row r="7">
      <c r="A7" t="inlineStr">
        <is>
          <t>2026-01-30</t>
        </is>
      </c>
      <c r="B7" t="inlineStr">
        <is>
          <t>2026년 3월 결산기 ３분기 결산단신</t>
        </is>
      </c>
      <c r="C7" t="inlineStr">
        <is>
          <t>https://www2.jpx.co.jp/disc/21210/140120260128540599.pdf</t>
        </is>
      </c>
    </row>
    <row r="8">
      <c r="A8" t="inlineStr">
        <is>
          <t>2025-11-14</t>
        </is>
      </c>
      <c r="B8" t="inlineStr">
        <is>
          <t>2026년 3월 결산기 ２분기 결산단신</t>
        </is>
      </c>
      <c r="C8" t="inlineStr">
        <is>
          <t>https://www2.jpx.co.jp/disc/21210/140120251113500539.pdf</t>
        </is>
      </c>
    </row>
    <row r="9">
      <c r="A9" t="inlineStr">
        <is>
          <t>2025-07-31</t>
        </is>
      </c>
      <c r="B9" t="inlineStr">
        <is>
          <t>2026년 3월 결산기 １분기 결산단신</t>
        </is>
      </c>
      <c r="C9" t="inlineStr">
        <is>
          <t>https://www2.jpx.co.jp/disc/21210/140120250729523085.pdf</t>
        </is>
      </c>
    </row>
    <row r="10">
      <c r="A10" t="inlineStr">
        <is>
          <t>2025-05-14</t>
        </is>
      </c>
      <c r="B10" t="inlineStr">
        <is>
          <t>2025년 3월 결산기 연간 결산단신</t>
        </is>
      </c>
      <c r="C10" t="inlineStr">
        <is>
          <t>https://www2.jpx.co.jp/disc/21210/140120250512542298.pdf</t>
        </is>
      </c>
    </row>
    <row r="11">
      <c r="A11" t="inlineStr">
        <is>
          <t>2025-02-13</t>
        </is>
      </c>
      <c r="B11" t="inlineStr">
        <is>
          <t>2025년 3월 결산기 ３분기 결산단신</t>
        </is>
      </c>
      <c r="C11" t="inlineStr">
        <is>
          <t>https://www2.jpx.co.jp/disc/21210/140120250212571623.pdf</t>
        </is>
      </c>
    </row>
    <row r="12">
      <c r="A12" t="inlineStr">
        <is>
          <t>2025-01-14</t>
        </is>
      </c>
      <c r="B12" t="inlineStr">
        <is>
          <t>2025년 3월 결산기 ２분기 결산단신</t>
        </is>
      </c>
      <c r="C12" t="inlineStr">
        <is>
          <t>https://www2.jpx.co.jp/disc/21210/140120250109548523.pdf</t>
        </is>
      </c>
    </row>
    <row r="13">
      <c r="A13" t="inlineStr">
        <is>
          <t>2024-08-13</t>
        </is>
      </c>
      <c r="B13" t="inlineStr">
        <is>
          <t>2025년 3월 결산기 １분기 결산단신</t>
        </is>
      </c>
      <c r="C13" t="inlineStr">
        <is>
          <t>https://www2.jpx.co.jp/disc/21210/140120240807565635.pdf</t>
        </is>
      </c>
    </row>
    <row r="14">
      <c r="A14" t="inlineStr">
        <is>
          <t>2024-05-10</t>
        </is>
      </c>
      <c r="B14" t="inlineStr">
        <is>
          <t>2024년 3월 결산기 연간 결산단신</t>
        </is>
      </c>
      <c r="C14" t="inlineStr">
        <is>
          <t>https://www2.jpx.co.jp/disc/21210/140120240508585107.pdf</t>
        </is>
      </c>
    </row>
    <row r="15">
      <c r="A15" t="inlineStr">
        <is>
          <t>2024-02-09</t>
        </is>
      </c>
      <c r="B15" t="inlineStr">
        <is>
          <t>2024년 3월 결산기 ３분기 결산단신</t>
        </is>
      </c>
      <c r="C15" t="inlineStr">
        <is>
          <t>https://www2.jpx.co.jp/disc/21210/140120240208530011.pdf</t>
        </is>
      </c>
    </row>
    <row r="16">
      <c r="A16" t="inlineStr">
        <is>
          <t>2023-11-10</t>
        </is>
      </c>
      <c r="B16" t="inlineStr">
        <is>
          <t>2024년 3월 결산기 ２분기 결산단신</t>
        </is>
      </c>
      <c r="C16" t="inlineStr">
        <is>
          <t>https://www2.jpx.co.jp/disc/21210/140120231107580639.pdf</t>
        </is>
      </c>
    </row>
    <row r="17">
      <c r="A17" t="inlineStr">
        <is>
          <t>2023-08-04</t>
        </is>
      </c>
      <c r="B17" t="inlineStr">
        <is>
          <t>2024년 3월 결산기 １분기 결산단신</t>
        </is>
      </c>
      <c r="C17" t="inlineStr">
        <is>
          <t>https://www2.jpx.co.jp/disc/21210/140120230727527842.pdf</t>
        </is>
      </c>
    </row>
    <row r="18">
      <c r="A18" t="inlineStr">
        <is>
          <t>2023-05-12</t>
        </is>
      </c>
      <c r="B18" t="inlineStr">
        <is>
          <t>2023년 3월 결산기 연간 결산단신</t>
        </is>
      </c>
      <c r="C18" t="inlineStr">
        <is>
          <t>https://www2.jpx.co.jp/disc/21210/140120230511565704.pdf</t>
        </is>
      </c>
    </row>
    <row r="19">
      <c r="A19" t="inlineStr">
        <is>
          <t>2023-02-10</t>
        </is>
      </c>
      <c r="B19" t="inlineStr">
        <is>
          <t>2023년 3월 결산기 ３분기 결산단신</t>
        </is>
      </c>
      <c r="C19" t="inlineStr">
        <is>
          <t>https://www2.jpx.co.jp/disc/21210/140120230209504515.pdf</t>
        </is>
      </c>
    </row>
    <row r="20">
      <c r="A20" t="inlineStr">
        <is>
          <t>2022-05-13</t>
        </is>
      </c>
      <c r="B20" t="inlineStr">
        <is>
          <t>2022년 3월 결산기 연간 결산단신</t>
        </is>
      </c>
      <c r="C20" t="inlineStr">
        <is>
          <t>https://www2.jpx.co.jp/disc/21210/140120220512544608.pdf</t>
        </is>
      </c>
    </row>
    <row r="21">
      <c r="A21" t="inlineStr">
        <is>
          <t>2021-05-07</t>
        </is>
      </c>
      <c r="B21" t="inlineStr">
        <is>
          <t>2021년 3월 결산기 연간 결산단신</t>
        </is>
      </c>
      <c r="C21" t="inlineStr">
        <is>
          <t>https://www2.jpx.co.jp/disc/21210/140120210505405436.pdf</t>
        </is>
      </c>
    </row>
    <row r="22">
      <c r="A22" t="inlineStr">
        <is>
          <t>2020-05-15</t>
        </is>
      </c>
      <c r="B22" t="inlineStr">
        <is>
          <t>2020년 3월 결산기 연간 결산단신</t>
        </is>
      </c>
      <c r="C22" t="inlineStr">
        <is>
          <t>https://www2.jpx.co.jp/disc/21210/140120200514414463.pdf</t>
        </is>
      </c>
    </row>
    <row r="23">
      <c r="A23" t="inlineStr">
        <is>
          <t>2019-05-10</t>
        </is>
      </c>
      <c r="B23" t="inlineStr">
        <is>
          <t>2019년 3월 결산기 연간 결산단신</t>
        </is>
      </c>
      <c r="C23" t="inlineStr">
        <is>
          <t>https://www2.jpx.co.jp/disc/21210/140120190510420308.pdf</t>
        </is>
      </c>
    </row>
    <row r="24">
      <c r="A24" t="inlineStr">
        <is>
          <t>2018-05-10</t>
        </is>
      </c>
      <c r="B24" t="inlineStr">
        <is>
          <t>연간 결산단신</t>
        </is>
      </c>
      <c r="C24" t="inlineStr">
        <is>
          <t>https://www2.jpx.co.jp/disc/21210/140120180510432068.pdf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2026-10-30T06:55:37Z</dcterms:created>
  <dcterms:modified xmlns:dcterms="http://purl.org/dc/terms/" xmlns:xsi="http://www.w3.org/2001/XMLSchema-instance" xsi:type="dcterms:W3CDTF">2026-10-30T06:55:37Z</dcterms:modified>
</cp:coreProperties>
</file>