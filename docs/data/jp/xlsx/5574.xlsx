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손익계산서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현금흐름표" sheetId="3" state="visible" r:id="rId3"/>
    <sheet xmlns:r="http://schemas.openxmlformats.org/officeDocument/2006/relationships" name="섹터 데이터" sheetId="4" state="visible" r:id="rId4"/>
    <sheet xmlns:r="http://schemas.openxmlformats.org/officeDocument/2006/relationships" name="출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\(#,##0.0\);&quot;-&quot;"/>
    <numFmt numFmtId="165" formatCode="0.0%;\-0.0%;&quot;-&quot;"/>
  </numFmts>
  <fonts count="9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color rgb="FFFF0000"/>
      <sz val="9"/>
    </font>
    <font>
      <name val="맑은 고딕"/>
      <color rgb="FF808080"/>
      <sz val="9"/>
    </font>
    <font>
      <name val="맑은 고딕"/>
      <b val="1"/>
      <sz val="10"/>
    </font>
    <font>
      <name val="맑은 고딕"/>
      <b val="1"/>
      <sz val="11"/>
    </font>
    <font>
      <name val="맑은 고딕"/>
      <color rgb="FF808080"/>
      <sz val="11"/>
    </font>
    <font>
      <name val="맑은 고딕"/>
      <sz val="11"/>
    </font>
    <font>
      <name val="맑은 고딕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164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7" fillId="0" borderId="0" pivotButton="0" quotePrefix="0" xfId="0"/>
    <xf numFmtId="3" fontId="7" fillId="0" borderId="0" applyAlignment="1" pivotButton="0" quotePrefix="0" xfId="0">
      <alignment horizontal="center"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40" customWidth="1" min="26" max="26"/>
  </cols>
  <sheetData>
    <row r="1">
      <c r="A1" s="1" t="inlineStr">
        <is>
          <t>ABEJA 손익계산서</t>
        </is>
      </c>
    </row>
    <row r="2">
      <c r="A2" s="2" t="inlineStr">
        <is>
          <t>결산기 기준(27.2Q = 2027년 결산기 2분기) · 8월 결산 · 연결 · 분기 단독(누계 차분)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21.4Q</t>
        </is>
      </c>
      <c r="D3" s="4" t="inlineStr">
        <is>
          <t>22.4Q</t>
        </is>
      </c>
      <c r="E3" s="4" t="inlineStr">
        <is>
          <t>23.2Q</t>
        </is>
      </c>
      <c r="F3" s="4" t="inlineStr">
        <is>
          <t>23.3Q</t>
        </is>
      </c>
      <c r="G3" s="4" t="inlineStr">
        <is>
          <t>23.4Q</t>
        </is>
      </c>
      <c r="H3" s="4" t="inlineStr">
        <is>
          <t>24.1Q</t>
        </is>
      </c>
      <c r="I3" s="4" t="inlineStr">
        <is>
          <t>24.2Q</t>
        </is>
      </c>
      <c r="J3" s="4" t="inlineStr">
        <is>
          <t>24.3Q</t>
        </is>
      </c>
      <c r="K3" s="4" t="inlineStr">
        <is>
          <t>24.4Q</t>
        </is>
      </c>
      <c r="L3" s="4" t="inlineStr">
        <is>
          <t>25.1Q</t>
        </is>
      </c>
      <c r="M3" s="4" t="inlineStr">
        <is>
          <t>25.2Q</t>
        </is>
      </c>
      <c r="N3" s="4" t="inlineStr">
        <is>
          <t>25.3Q</t>
        </is>
      </c>
      <c r="O3" s="4" t="inlineStr">
        <is>
          <t>25.4Q</t>
        </is>
      </c>
      <c r="P3" s="4" t="inlineStr">
        <is>
          <t>26.1Q</t>
        </is>
      </c>
      <c r="Q3" s="4" t="inlineStr">
        <is>
          <t>26.2Q</t>
        </is>
      </c>
      <c r="R3" s="4" t="inlineStr">
        <is>
          <t>26.3Q</t>
        </is>
      </c>
      <c r="S3" s="4" t="inlineStr">
        <is>
          <t>26.4Q</t>
        </is>
      </c>
      <c r="T3" s="4" t="inlineStr">
        <is>
          <t>FY21</t>
        </is>
      </c>
      <c r="U3" s="4" t="inlineStr">
        <is>
          <t>FY22</t>
        </is>
      </c>
      <c r="V3" s="4" t="inlineStr">
        <is>
          <t>FY23</t>
        </is>
      </c>
      <c r="W3" s="4" t="inlineStr">
        <is>
          <t>FY24</t>
        </is>
      </c>
      <c r="X3" s="4" t="inlineStr">
        <is>
          <t>FY25</t>
        </is>
      </c>
      <c r="Y3" s="4" t="inlineStr">
        <is>
          <t>FY26</t>
        </is>
      </c>
      <c r="Z3" s="4" t="inlineStr">
        <is>
          <t>출처</t>
        </is>
      </c>
    </row>
    <row r="4">
      <c r="A4" s="5" t="inlineStr">
        <is>
          <t>매출액</t>
        </is>
      </c>
      <c r="F4" s="6" t="n">
        <v>6.9314</v>
      </c>
      <c r="G4" s="6" t="n">
        <v>6.7466</v>
      </c>
      <c r="H4" s="6" t="n">
        <v>6.5337</v>
      </c>
      <c r="I4" s="6" t="n">
        <v>7.713</v>
      </c>
      <c r="J4" s="6" t="n">
        <v>6.2073</v>
      </c>
      <c r="K4" s="6" t="n">
        <v>7.2085</v>
      </c>
      <c r="L4" s="6" t="n">
        <v>7.6872</v>
      </c>
      <c r="M4" s="6" t="n">
        <v>10.3923</v>
      </c>
      <c r="N4" s="6" t="n">
        <v>8.851900000000001</v>
      </c>
      <c r="O4" s="6" t="n">
        <v>8.922700000000001</v>
      </c>
      <c r="P4" s="6" t="n">
        <v>11.9857</v>
      </c>
      <c r="Q4" s="6" t="n">
        <v>11.5261</v>
      </c>
      <c r="R4" s="6" t="n">
        <v>10.1783</v>
      </c>
      <c r="S4" s="6" t="n">
        <v>12.0875</v>
      </c>
      <c r="U4" s="6" t="n">
        <v>19.7823</v>
      </c>
      <c r="V4" s="6" t="n">
        <v>27.7547</v>
      </c>
      <c r="W4" s="6" t="n">
        <v>27.6625</v>
      </c>
      <c r="X4" s="6" t="n">
        <v>35.8541</v>
      </c>
      <c r="Y4" s="6" t="n">
        <v>45.7776</v>
      </c>
      <c r="Z4" s="7" t="inlineStr">
        <is>
          <t>결산단신 XBRL(거래소 공시, TDnet·JPX 보관소). 쓴 문서: 2026-10-15, 2026-07-15, 2026-04-14, 2026-01-14 외 10건 — '출처' 시트에 전부</t>
        </is>
      </c>
    </row>
    <row r="5">
      <c r="A5" s="8" t="inlineStr">
        <is>
          <t>YoY</t>
        </is>
      </c>
      <c r="G5" s="9">
        <f>IF(OR(G4="",C4=""),"",IFERROR(G4/C4-1,""))</f>
        <v/>
      </c>
      <c r="H5" s="9">
        <f>IF(OR(H4="",D4=""),"",IFERROR(H4/D4-1,""))</f>
        <v/>
      </c>
      <c r="I5" s="9">
        <f>IF(OR(I4="",E4=""),"",IFERROR(I4/E4-1,""))</f>
        <v/>
      </c>
      <c r="J5" s="9">
        <f>IF(OR(J4="",F4=""),"",IFERROR(J4/F4-1,""))</f>
        <v/>
      </c>
      <c r="K5" s="9">
        <f>IF(OR(K4="",G4=""),"",IFERROR(K4/G4-1,""))</f>
        <v/>
      </c>
      <c r="L5" s="9">
        <f>IF(OR(L4="",H4=""),"",IFERROR(L4/H4-1,""))</f>
        <v/>
      </c>
      <c r="M5" s="9">
        <f>IF(OR(M4="",I4=""),"",IFERROR(M4/I4-1,""))</f>
        <v/>
      </c>
      <c r="N5" s="9">
        <f>IF(OR(N4="",J4=""),"",IFERROR(N4/J4-1,""))</f>
        <v/>
      </c>
      <c r="O5" s="9">
        <f>IF(OR(O4="",K4=""),"",IFERROR(O4/K4-1,""))</f>
        <v/>
      </c>
      <c r="P5" s="9">
        <f>IF(OR(P4="",L4=""),"",IFERROR(P4/L4-1,""))</f>
        <v/>
      </c>
      <c r="Q5" s="9">
        <f>IF(OR(Q4="",M4=""),"",IFERROR(Q4/M4-1,""))</f>
        <v/>
      </c>
      <c r="R5" s="9">
        <f>IF(OR(R4="",N4=""),"",IFERROR(R4/N4-1,""))</f>
        <v/>
      </c>
      <c r="S5" s="9">
        <f>IF(OR(S4="",O4=""),"",IFERROR(S4/O4-1,""))</f>
        <v/>
      </c>
      <c r="U5" s="9">
        <f>IF(OR(U4="",T4=""),"",IFERROR(U4/T4-1,""))</f>
        <v/>
      </c>
      <c r="V5" s="9">
        <f>IF(OR(V4="",U4=""),"",IFERROR(V4/U4-1,""))</f>
        <v/>
      </c>
      <c r="W5" s="9">
        <f>IF(OR(W4="",V4=""),"",IFERROR(W4/V4-1,""))</f>
        <v/>
      </c>
      <c r="X5" s="9">
        <f>IF(OR(X4="",W4=""),"",IFERROR(X4/W4-1,""))</f>
        <v/>
      </c>
      <c r="Y5" s="9">
        <f>IF(OR(Y4="",X4=""),"",IFERROR(Y4/X4-1,""))</f>
        <v/>
      </c>
    </row>
    <row r="6">
      <c r="A6" s="5" t="inlineStr">
        <is>
          <t>매출원가</t>
        </is>
      </c>
      <c r="F6" s="6" t="n">
        <v>2.9855</v>
      </c>
      <c r="G6" s="6" t="n">
        <v>2.3526</v>
      </c>
      <c r="H6" s="6" t="n">
        <v>2.3383</v>
      </c>
      <c r="I6" s="6" t="n">
        <v>2.5023</v>
      </c>
      <c r="J6" s="6" t="n">
        <v>2.0779</v>
      </c>
      <c r="K6" s="6" t="n">
        <v>2.3011</v>
      </c>
      <c r="L6" s="6" t="n">
        <v>2.819</v>
      </c>
      <c r="M6" s="6" t="n">
        <v>4.0516</v>
      </c>
      <c r="N6" s="6" t="n">
        <v>3.2026</v>
      </c>
      <c r="O6" s="6" t="n">
        <v>3.4179</v>
      </c>
      <c r="P6" s="6" t="n">
        <v>4.9374</v>
      </c>
      <c r="Q6" s="6" t="n">
        <v>4.9906</v>
      </c>
      <c r="R6" s="6" t="n">
        <v>3.5356</v>
      </c>
      <c r="S6" s="6" t="n">
        <v>4.3906</v>
      </c>
      <c r="U6" s="6" t="n">
        <v>7.9637</v>
      </c>
      <c r="V6" s="6" t="n">
        <v>10.4902</v>
      </c>
      <c r="W6" s="6" t="n">
        <v>9.2196</v>
      </c>
      <c r="X6" s="6" t="n">
        <v>13.4911</v>
      </c>
      <c r="Y6" s="6" t="n">
        <v>17.8543</v>
      </c>
    </row>
    <row r="7">
      <c r="A7" s="5" t="inlineStr">
        <is>
          <t>매출총이익</t>
        </is>
      </c>
      <c r="F7" s="6" t="n">
        <v>3.9459</v>
      </c>
      <c r="G7" s="6" t="n">
        <v>4.394</v>
      </c>
      <c r="H7" s="6" t="n">
        <v>4.1954</v>
      </c>
      <c r="I7" s="6" t="n">
        <v>5.2108</v>
      </c>
      <c r="J7" s="6" t="n">
        <v>4.1294</v>
      </c>
      <c r="K7" s="6" t="n">
        <v>4.9074</v>
      </c>
      <c r="L7" s="6" t="n">
        <v>4.8683</v>
      </c>
      <c r="M7" s="6" t="n">
        <v>6.3407</v>
      </c>
      <c r="N7" s="6" t="n">
        <v>5.6493</v>
      </c>
      <c r="O7" s="6" t="n">
        <v>5.5048</v>
      </c>
      <c r="P7" s="6" t="n">
        <v>7.0483</v>
      </c>
      <c r="Q7" s="6" t="n">
        <v>6.5355</v>
      </c>
      <c r="R7" s="6" t="n">
        <v>6.6427</v>
      </c>
      <c r="S7" s="6" t="n">
        <v>7.6969</v>
      </c>
      <c r="U7" s="6" t="n">
        <v>11.8186</v>
      </c>
      <c r="V7" s="6" t="n">
        <v>17.2644</v>
      </c>
      <c r="W7" s="6" t="n">
        <v>18.4429</v>
      </c>
      <c r="X7" s="6" t="n">
        <v>22.363</v>
      </c>
      <c r="Y7" s="6" t="n">
        <v>27.9233</v>
      </c>
    </row>
    <row r="8">
      <c r="A8" s="8" t="inlineStr">
        <is>
          <t>매출총이익률</t>
        </is>
      </c>
      <c r="C8" s="9">
        <f>IF(OR(C7="",C4=""),"",IFERROR(C7/C4,""))</f>
        <v/>
      </c>
      <c r="D8" s="9">
        <f>IF(OR(D7="",D4=""),"",IFERROR(D7/D4,""))</f>
        <v/>
      </c>
      <c r="E8" s="9">
        <f>IF(OR(E7="",E4=""),"",IFERROR(E7/E4,""))</f>
        <v/>
      </c>
      <c r="F8" s="9">
        <f>IF(OR(F7="",F4=""),"",IFERROR(F7/F4,""))</f>
        <v/>
      </c>
      <c r="G8" s="9">
        <f>IF(OR(G7="",G4=""),"",IFERROR(G7/G4,""))</f>
        <v/>
      </c>
      <c r="H8" s="9">
        <f>IF(OR(H7="",H4=""),"",IFERROR(H7/H4,""))</f>
        <v/>
      </c>
      <c r="I8" s="9">
        <f>IF(OR(I7="",I4=""),"",IFERROR(I7/I4,""))</f>
        <v/>
      </c>
      <c r="J8" s="9">
        <f>IF(OR(J7="",J4=""),"",IFERROR(J7/J4,""))</f>
        <v/>
      </c>
      <c r="K8" s="9">
        <f>IF(OR(K7="",K4=""),"",IFERROR(K7/K4,""))</f>
        <v/>
      </c>
      <c r="L8" s="9">
        <f>IF(OR(L7="",L4=""),"",IFERROR(L7/L4,""))</f>
        <v/>
      </c>
      <c r="M8" s="9">
        <f>IF(OR(M7="",M4=""),"",IFERROR(M7/M4,""))</f>
        <v/>
      </c>
      <c r="N8" s="9">
        <f>IF(OR(N7="",N4=""),"",IFERROR(N7/N4,""))</f>
        <v/>
      </c>
      <c r="O8" s="9">
        <f>IF(OR(O7="",O4=""),"",IFERROR(O7/O4,""))</f>
        <v/>
      </c>
      <c r="P8" s="9">
        <f>IF(OR(P7="",P4=""),"",IFERROR(P7/P4,""))</f>
        <v/>
      </c>
      <c r="Q8" s="9">
        <f>IF(OR(Q7="",Q4=""),"",IFERROR(Q7/Q4,""))</f>
        <v/>
      </c>
      <c r="R8" s="9">
        <f>IF(OR(R7="",R4=""),"",IFERROR(R7/R4,""))</f>
        <v/>
      </c>
      <c r="S8" s="9">
        <f>IF(OR(S7="",S4=""),"",IFERROR(S7/S4,""))</f>
        <v/>
      </c>
      <c r="T8" s="9">
        <f>IF(OR(T7="",T4=""),"",IFERROR(T7/T4,""))</f>
        <v/>
      </c>
      <c r="U8" s="9">
        <f>IF(OR(U7="",U4=""),"",IFERROR(U7/U4,""))</f>
        <v/>
      </c>
      <c r="V8" s="9">
        <f>IF(OR(V7="",V4=""),"",IFERROR(V7/V4,""))</f>
        <v/>
      </c>
      <c r="W8" s="9">
        <f>IF(OR(W7="",W4=""),"",IFERROR(W7/W4,""))</f>
        <v/>
      </c>
      <c r="X8" s="9">
        <f>IF(OR(X7="",X4=""),"",IFERROR(X7/X4,""))</f>
        <v/>
      </c>
      <c r="Y8" s="9">
        <f>IF(OR(Y7="",Y4=""),"",IFERROR(Y7/Y4,""))</f>
        <v/>
      </c>
    </row>
    <row r="9">
      <c r="A9" s="10" t="inlineStr">
        <is>
          <t>판매비와 관리비</t>
        </is>
      </c>
      <c r="F9" s="11" t="n">
        <v>3.6128</v>
      </c>
      <c r="G9" s="11" t="n">
        <v>4.1545</v>
      </c>
      <c r="H9" s="11" t="n">
        <v>3.6278</v>
      </c>
      <c r="I9" s="11" t="n">
        <v>3.7558</v>
      </c>
      <c r="J9" s="11" t="n">
        <v>4.237</v>
      </c>
      <c r="K9" s="11" t="n">
        <v>3.9188</v>
      </c>
      <c r="L9" s="11" t="n">
        <v>3.9221</v>
      </c>
      <c r="M9" s="11" t="n">
        <v>4.387</v>
      </c>
      <c r="N9" s="11" t="n">
        <v>4.5533</v>
      </c>
      <c r="O9" s="11" t="n">
        <v>5.0417</v>
      </c>
      <c r="P9" s="11" t="n">
        <v>4.8557</v>
      </c>
      <c r="Q9" s="11" t="n">
        <v>4.882</v>
      </c>
      <c r="R9" s="11" t="n">
        <v>4.8204</v>
      </c>
      <c r="S9" s="11" t="n">
        <v>6.2589</v>
      </c>
      <c r="U9" s="11" t="n">
        <v>13.4536</v>
      </c>
      <c r="V9" s="11" t="n">
        <v>13.2365</v>
      </c>
      <c r="W9" s="11" t="n">
        <v>15.5395</v>
      </c>
      <c r="X9" s="11" t="n">
        <v>17.9041</v>
      </c>
      <c r="Y9" s="11" t="n">
        <v>20.817</v>
      </c>
    </row>
    <row r="10">
      <c r="A10" s="5" t="inlineStr">
        <is>
          <t>영업이익</t>
        </is>
      </c>
      <c r="F10" s="6" t="n">
        <v>0.3331</v>
      </c>
      <c r="G10" s="6" t="n">
        <v>0.2395</v>
      </c>
      <c r="H10" s="6" t="n">
        <v>0.5675</v>
      </c>
      <c r="I10" s="6" t="n">
        <v>1.4549</v>
      </c>
      <c r="J10" s="6" t="n">
        <v>-0.1076</v>
      </c>
      <c r="K10" s="6" t="n">
        <v>0.9886</v>
      </c>
      <c r="L10" s="6" t="n">
        <v>0.9461000000000001</v>
      </c>
      <c r="M10" s="6" t="n">
        <v>1.9537</v>
      </c>
      <c r="N10" s="6" t="n">
        <v>1.0961</v>
      </c>
      <c r="O10" s="6" t="n">
        <v>0.463</v>
      </c>
      <c r="P10" s="6" t="n">
        <v>2.1926</v>
      </c>
      <c r="Q10" s="6" t="n">
        <v>1.6534</v>
      </c>
      <c r="R10" s="6" t="n">
        <v>1.8222</v>
      </c>
      <c r="S10" s="6" t="n">
        <v>1.438</v>
      </c>
      <c r="U10" s="6" t="n">
        <v>-1.635</v>
      </c>
      <c r="V10" s="6" t="n">
        <v>4.0279</v>
      </c>
      <c r="W10" s="6" t="n">
        <v>2.9034</v>
      </c>
      <c r="X10" s="6" t="n">
        <v>4.4589</v>
      </c>
      <c r="Y10" s="6" t="n">
        <v>7.1063</v>
      </c>
    </row>
    <row r="11">
      <c r="A11" s="8" t="inlineStr">
        <is>
          <t>영업이익률</t>
        </is>
      </c>
      <c r="C11" s="9">
        <f>IF(OR(C10="",C4=""),"",IFERROR(C10/C4,""))</f>
        <v/>
      </c>
      <c r="D11" s="9">
        <f>IF(OR(D10="",D4=""),"",IFERROR(D10/D4,""))</f>
        <v/>
      </c>
      <c r="E11" s="9">
        <f>IF(OR(E10="",E4=""),"",IFERROR(E10/E4,""))</f>
        <v/>
      </c>
      <c r="F11" s="9">
        <f>IF(OR(F10="",F4=""),"",IFERROR(F10/F4,""))</f>
        <v/>
      </c>
      <c r="G11" s="9">
        <f>IF(OR(G10="",G4=""),"",IFERROR(G10/G4,""))</f>
        <v/>
      </c>
      <c r="H11" s="9">
        <f>IF(OR(H10="",H4=""),"",IFERROR(H10/H4,""))</f>
        <v/>
      </c>
      <c r="I11" s="9">
        <f>IF(OR(I10="",I4=""),"",IFERROR(I10/I4,""))</f>
        <v/>
      </c>
      <c r="J11" s="9">
        <f>IF(OR(J10="",J4=""),"",IFERROR(J10/J4,""))</f>
        <v/>
      </c>
      <c r="K11" s="9">
        <f>IF(OR(K10="",K4=""),"",IFERROR(K10/K4,""))</f>
        <v/>
      </c>
      <c r="L11" s="9">
        <f>IF(OR(L10="",L4=""),"",IFERROR(L10/L4,""))</f>
        <v/>
      </c>
      <c r="M11" s="9">
        <f>IF(OR(M10="",M4=""),"",IFERROR(M10/M4,""))</f>
        <v/>
      </c>
      <c r="N11" s="9">
        <f>IF(OR(N10="",N4=""),"",IFERROR(N10/N4,""))</f>
        <v/>
      </c>
      <c r="O11" s="9">
        <f>IF(OR(O10="",O4=""),"",IFERROR(O10/O4,""))</f>
        <v/>
      </c>
      <c r="P11" s="9">
        <f>IF(OR(P10="",P4=""),"",IFERROR(P10/P4,""))</f>
        <v/>
      </c>
      <c r="Q11" s="9">
        <f>IF(OR(Q10="",Q4=""),"",IFERROR(Q10/Q4,""))</f>
        <v/>
      </c>
      <c r="R11" s="9">
        <f>IF(OR(R10="",R4=""),"",IFERROR(R10/R4,""))</f>
        <v/>
      </c>
      <c r="S11" s="9">
        <f>IF(OR(S10="",S4=""),"",IFERROR(S10/S4,""))</f>
        <v/>
      </c>
      <c r="T11" s="9">
        <f>IF(OR(T10="",T4=""),"",IFERROR(T10/T4,""))</f>
        <v/>
      </c>
      <c r="U11" s="9">
        <f>IF(OR(U10="",U4=""),"",IFERROR(U10/U4,""))</f>
        <v/>
      </c>
      <c r="V11" s="9">
        <f>IF(OR(V10="",V4=""),"",IFERROR(V10/V4,""))</f>
        <v/>
      </c>
      <c r="W11" s="9">
        <f>IF(OR(W10="",W4=""),"",IFERROR(W10/W4,""))</f>
        <v/>
      </c>
      <c r="X11" s="9">
        <f>IF(OR(X10="",X4=""),"",IFERROR(X10/X4,""))</f>
        <v/>
      </c>
      <c r="Y11" s="9">
        <f>IF(OR(Y10="",Y4=""),"",IFERROR(Y10/Y4,""))</f>
        <v/>
      </c>
    </row>
    <row r="12">
      <c r="A12" s="8" t="inlineStr">
        <is>
          <t>YoY</t>
        </is>
      </c>
      <c r="G12" s="9">
        <f>IF(OR(G10="",C10=""),"",IFERROR(G10/C10-1,""))</f>
        <v/>
      </c>
      <c r="H12" s="9">
        <f>IF(OR(H10="",D10=""),"",IFERROR(H10/D10-1,""))</f>
        <v/>
      </c>
      <c r="I12" s="9">
        <f>IF(OR(I10="",E10=""),"",IFERROR(I10/E10-1,""))</f>
        <v/>
      </c>
      <c r="J12" s="9">
        <f>IF(OR(J10="",F10=""),"",IFERROR(J10/F10-1,""))</f>
        <v/>
      </c>
      <c r="K12" s="9">
        <f>IF(OR(K10="",G10=""),"",IFERROR(K10/G10-1,""))</f>
        <v/>
      </c>
      <c r="L12" s="9">
        <f>IF(OR(L10="",H10=""),"",IFERROR(L10/H10-1,""))</f>
        <v/>
      </c>
      <c r="M12" s="9">
        <f>IF(OR(M10="",I10=""),"",IFERROR(M10/I10-1,""))</f>
        <v/>
      </c>
      <c r="N12" s="9">
        <f>IF(OR(N10="",J10=""),"",IFERROR(N10/J10-1,""))</f>
        <v/>
      </c>
      <c r="O12" s="9">
        <f>IF(OR(O10="",K10=""),"",IFERROR(O10/K10-1,""))</f>
        <v/>
      </c>
      <c r="P12" s="9">
        <f>IF(OR(P10="",L10=""),"",IFERROR(P10/L10-1,""))</f>
        <v/>
      </c>
      <c r="Q12" s="9">
        <f>IF(OR(Q10="",M10=""),"",IFERROR(Q10/M10-1,""))</f>
        <v/>
      </c>
      <c r="R12" s="9">
        <f>IF(OR(R10="",N10=""),"",IFERROR(R10/N10-1,""))</f>
        <v/>
      </c>
      <c r="S12" s="9">
        <f>IF(OR(S10="",O10=""),"",IFERROR(S10/O10-1,""))</f>
        <v/>
      </c>
      <c r="U12" s="9">
        <f>IF(OR(U10="",T10=""),"",IFERROR(U10/T10-1,""))</f>
        <v/>
      </c>
      <c r="V12" s="9">
        <f>IF(OR(V10="",U10=""),"",IFERROR(V10/U10-1,""))</f>
        <v/>
      </c>
      <c r="W12" s="9">
        <f>IF(OR(W10="",V10=""),"",IFERROR(W10/V10-1,""))</f>
        <v/>
      </c>
      <c r="X12" s="9">
        <f>IF(OR(X10="",W10=""),"",IFERROR(X10/W10-1,""))</f>
        <v/>
      </c>
      <c r="Y12" s="9">
        <f>IF(OR(Y10="",X10=""),"",IFERROR(Y10/X10-1,""))</f>
        <v/>
      </c>
    </row>
    <row r="13">
      <c r="A13" s="10" t="inlineStr">
        <is>
          <t>이자수익</t>
        </is>
      </c>
      <c r="F13" s="11" t="n">
        <v>0</v>
      </c>
      <c r="G13" s="11" t="n">
        <v>0.0001</v>
      </c>
      <c r="J13" s="11" t="n">
        <v>0</v>
      </c>
      <c r="K13" s="11" t="n">
        <v>0.0028</v>
      </c>
      <c r="N13" s="11" t="n">
        <v>0</v>
      </c>
      <c r="O13" s="11" t="n">
        <v>0.0392</v>
      </c>
      <c r="R13" s="11" t="n">
        <v>0</v>
      </c>
      <c r="S13" s="11" t="n">
        <v>0.0626</v>
      </c>
      <c r="U13" s="11" t="n">
        <v>0.0002</v>
      </c>
      <c r="V13" s="11" t="n">
        <v>0.0002</v>
      </c>
      <c r="W13" s="11" t="n">
        <v>0.003</v>
      </c>
      <c r="X13" s="11" t="n">
        <v>0.0536</v>
      </c>
      <c r="Y13" s="11" t="n">
        <v>0.1092</v>
      </c>
    </row>
    <row r="14">
      <c r="A14" s="10" t="inlineStr">
        <is>
          <t>배당금수익</t>
        </is>
      </c>
      <c r="O14" s="11" t="n">
        <v>0</v>
      </c>
      <c r="S14" s="11" t="n">
        <v>0</v>
      </c>
      <c r="X14" s="11" t="n">
        <v>0</v>
      </c>
      <c r="Y14" s="11" t="n">
        <v>0.0924</v>
      </c>
    </row>
    <row r="15">
      <c r="A15" s="10" t="inlineStr">
        <is>
          <t>수수료 수익</t>
        </is>
      </c>
      <c r="F15" s="11" t="n">
        <v>0.0041</v>
      </c>
      <c r="G15" s="11" t="n">
        <v>0.0075</v>
      </c>
      <c r="H15" s="11" t="n">
        <v>0.0038</v>
      </c>
      <c r="I15" s="11" t="n">
        <v>0.0032</v>
      </c>
      <c r="J15" s="11" t="n">
        <v>0.0014</v>
      </c>
      <c r="K15" s="11" t="n">
        <v>0.0015</v>
      </c>
      <c r="L15" s="11" t="n">
        <v>0.0063</v>
      </c>
      <c r="M15" s="11" t="n">
        <v>0.0044</v>
      </c>
      <c r="N15" s="11" t="n">
        <v>0.0019</v>
      </c>
      <c r="O15" s="11" t="n">
        <v>0.0027</v>
      </c>
      <c r="P15" s="11" t="n">
        <v>0.002</v>
      </c>
      <c r="Q15" s="11" t="n">
        <v>0.0044</v>
      </c>
      <c r="R15" s="11" t="n">
        <v>0.0066</v>
      </c>
      <c r="S15" s="11" t="n">
        <v>0.0213</v>
      </c>
      <c r="V15" s="11" t="n">
        <v>0.0116</v>
      </c>
      <c r="W15" s="11" t="n">
        <v>0.009900000000000001</v>
      </c>
      <c r="X15" s="11" t="n">
        <v>0.0153</v>
      </c>
      <c r="Y15" s="11" t="n">
        <v>0.0343</v>
      </c>
    </row>
    <row r="16">
      <c r="A16" s="10" t="inlineStr">
        <is>
          <t>수탁연구 수입</t>
        </is>
      </c>
      <c r="F16" s="11" t="n">
        <v>0</v>
      </c>
      <c r="J16" s="11" t="n">
        <v>0</v>
      </c>
    </row>
    <row r="17">
      <c r="A17" s="10" t="inlineStr">
        <is>
          <t>수탁연구 수입</t>
        </is>
      </c>
      <c r="U17" s="11" t="n">
        <v>0.1976</v>
      </c>
      <c r="V17" s="11" t="n">
        <v>0.198</v>
      </c>
      <c r="W17" s="11" t="n">
        <v>0</v>
      </c>
    </row>
    <row r="18">
      <c r="A18" s="10" t="inlineStr">
        <is>
          <t>파생상품 평가이익</t>
        </is>
      </c>
      <c r="X18" s="11" t="n">
        <v>0</v>
      </c>
      <c r="Y18" s="11" t="n">
        <v>0.2455</v>
      </c>
    </row>
    <row r="19">
      <c r="A19" s="10" t="inlineStr">
        <is>
          <t>기타</t>
        </is>
      </c>
      <c r="F19" s="11" t="n">
        <v>0.001</v>
      </c>
      <c r="G19" s="11" t="n">
        <v>-0.005</v>
      </c>
      <c r="H19" s="11" t="n">
        <v>0.0025</v>
      </c>
      <c r="I19" s="11" t="n">
        <v>0.0017</v>
      </c>
      <c r="J19" s="11" t="n">
        <v>0.0016</v>
      </c>
      <c r="K19" s="11" t="n">
        <v>0.0011</v>
      </c>
      <c r="L19" s="11" t="n">
        <v>0.001</v>
      </c>
      <c r="M19" s="11" t="n">
        <v>0.0074</v>
      </c>
      <c r="N19" s="11" t="n">
        <v>0.0011</v>
      </c>
      <c r="O19" s="11" t="n">
        <v>0.0012</v>
      </c>
      <c r="P19" s="11" t="n">
        <v>0.0034</v>
      </c>
      <c r="Q19" s="11" t="n">
        <v>0.0052</v>
      </c>
      <c r="R19" s="11" t="n">
        <v>0.0046</v>
      </c>
      <c r="S19" s="11" t="n">
        <v>0.0163</v>
      </c>
      <c r="U19" s="11" t="n">
        <v>0.0212</v>
      </c>
      <c r="V19" s="11" t="n">
        <v>0.0136</v>
      </c>
      <c r="W19" s="11" t="n">
        <v>0.0069</v>
      </c>
      <c r="X19" s="11" t="n">
        <v>0.0107</v>
      </c>
      <c r="Y19" s="11" t="n">
        <v>0.0295</v>
      </c>
    </row>
    <row r="20">
      <c r="A20" s="5" t="inlineStr">
        <is>
          <t>영업외수익 합계</t>
        </is>
      </c>
      <c r="F20" s="6" t="n">
        <v>0.0051</v>
      </c>
      <c r="G20" s="6" t="n">
        <v>0.0026</v>
      </c>
      <c r="H20" s="6" t="n">
        <v>0.0063</v>
      </c>
      <c r="I20" s="6" t="n">
        <v>0.0051</v>
      </c>
      <c r="J20" s="6" t="n">
        <v>0.0029</v>
      </c>
      <c r="K20" s="6" t="n">
        <v>0.0054</v>
      </c>
      <c r="L20" s="6" t="n">
        <v>0.0073</v>
      </c>
      <c r="M20" s="6" t="n">
        <v>0.0262</v>
      </c>
      <c r="N20" s="6" t="n">
        <v>0.003</v>
      </c>
      <c r="O20" s="6" t="n">
        <v>0.0431</v>
      </c>
      <c r="P20" s="6" t="n">
        <v>0.0054</v>
      </c>
      <c r="Q20" s="6" t="n">
        <v>0.0562</v>
      </c>
      <c r="R20" s="6" t="n">
        <v>0.1036</v>
      </c>
      <c r="S20" s="6" t="n">
        <v>0.3457</v>
      </c>
      <c r="U20" s="6" t="n">
        <v>0.219</v>
      </c>
      <c r="V20" s="6" t="n">
        <v>0.2234</v>
      </c>
      <c r="W20" s="6" t="n">
        <v>0.0198</v>
      </c>
      <c r="X20" s="6" t="n">
        <v>0.0796</v>
      </c>
      <c r="Y20" s="6" t="n">
        <v>0.5109</v>
      </c>
    </row>
    <row r="21">
      <c r="A21" s="10" t="inlineStr">
        <is>
          <t>이자비용</t>
        </is>
      </c>
      <c r="F21" s="11" t="n">
        <v>0.0008</v>
      </c>
      <c r="G21" s="11" t="n">
        <v>0.0008</v>
      </c>
      <c r="H21" s="11" t="n">
        <v>0.0008</v>
      </c>
      <c r="I21" s="11" t="n">
        <v>0.0008</v>
      </c>
      <c r="J21" s="11" t="n">
        <v>0.0008</v>
      </c>
      <c r="K21" s="11" t="n">
        <v>0.0005</v>
      </c>
      <c r="L21" s="11" t="n">
        <v>0</v>
      </c>
      <c r="M21" s="11" t="n">
        <v>0</v>
      </c>
      <c r="N21" s="11" t="n">
        <v>0</v>
      </c>
      <c r="O21" s="11" t="n">
        <v>0</v>
      </c>
      <c r="R21" s="11" t="n">
        <v>0</v>
      </c>
      <c r="S21" s="11" t="n">
        <v>0</v>
      </c>
      <c r="U21" s="11" t="n">
        <v>0.0032</v>
      </c>
      <c r="V21" s="11" t="n">
        <v>0.0032</v>
      </c>
      <c r="W21" s="11" t="n">
        <v>0.0029</v>
      </c>
      <c r="X21" s="11" t="n">
        <v>0</v>
      </c>
      <c r="Y21" s="11" t="n">
        <v>0.0023</v>
      </c>
    </row>
    <row r="22">
      <c r="A22" s="10" t="inlineStr">
        <is>
          <t>외환차손</t>
        </is>
      </c>
      <c r="H22" s="11" t="n">
        <v>0.0002</v>
      </c>
      <c r="I22" s="11" t="n">
        <v>0</v>
      </c>
      <c r="J22" s="11" t="n">
        <v>0</v>
      </c>
      <c r="K22" s="11" t="n">
        <v>0.0014</v>
      </c>
      <c r="L22" s="11" t="n">
        <v>0.0047</v>
      </c>
      <c r="M22" s="11" t="n">
        <v>0.0012</v>
      </c>
      <c r="N22" s="11" t="n">
        <v>-0.0001</v>
      </c>
      <c r="O22" s="11" t="n">
        <v>0.0005</v>
      </c>
      <c r="P22" s="11" t="n">
        <v>0.0027</v>
      </c>
      <c r="Q22" s="11" t="n">
        <v>0.001</v>
      </c>
      <c r="R22" s="11" t="n">
        <v>0.0002</v>
      </c>
      <c r="S22" s="11" t="n">
        <v>0.0009</v>
      </c>
      <c r="U22" s="11" t="n">
        <v>0.2334</v>
      </c>
      <c r="V22" s="11" t="n">
        <v>0.0208</v>
      </c>
      <c r="W22" s="11" t="n">
        <v>0.0016</v>
      </c>
      <c r="X22" s="11" t="n">
        <v>0.0063</v>
      </c>
      <c r="Y22" s="11" t="n">
        <v>0.0047</v>
      </c>
    </row>
    <row r="23">
      <c r="A23" s="10" t="inlineStr">
        <is>
          <t>주식교부비</t>
        </is>
      </c>
      <c r="F23" s="11" t="n">
        <v>0.0453</v>
      </c>
      <c r="G23" s="11" t="n">
        <v>0.1994</v>
      </c>
      <c r="H23" s="11" t="n">
        <v>0.0037</v>
      </c>
      <c r="I23" s="11" t="n">
        <v>0.007</v>
      </c>
      <c r="J23" s="11" t="n">
        <v>0.0012</v>
      </c>
      <c r="K23" s="11" t="n">
        <v>0.0032</v>
      </c>
      <c r="L23" s="11" t="n">
        <v>0.0015</v>
      </c>
      <c r="M23" s="11" t="n">
        <v>0.0021</v>
      </c>
      <c r="N23" s="11" t="n">
        <v>0.0005999999999999999</v>
      </c>
      <c r="O23" s="11" t="n">
        <v>0.007</v>
      </c>
      <c r="P23" s="11" t="n">
        <v>0.0027</v>
      </c>
      <c r="Q23" s="11" t="n">
        <v>0.003</v>
      </c>
      <c r="R23" s="11" t="n">
        <v>0.0005999999999999999</v>
      </c>
      <c r="S23" s="11" t="n">
        <v>0.0023</v>
      </c>
      <c r="U23" s="11" t="n">
        <v>0</v>
      </c>
      <c r="V23" s="11" t="n">
        <v>0.2447</v>
      </c>
      <c r="W23" s="11" t="n">
        <v>0.0151</v>
      </c>
      <c r="X23" s="11" t="n">
        <v>0.0113</v>
      </c>
      <c r="Y23" s="11" t="n">
        <v>0.008699999999999999</v>
      </c>
    </row>
    <row r="24">
      <c r="A24" s="10" t="inlineStr">
        <is>
          <t>수탁연구 비용</t>
        </is>
      </c>
      <c r="F24" s="11" t="n">
        <v>0</v>
      </c>
      <c r="J24" s="11" t="n">
        <v>0</v>
      </c>
    </row>
    <row r="25">
      <c r="A25" s="10" t="inlineStr">
        <is>
          <t>수탁연구 비용</t>
        </is>
      </c>
      <c r="U25" s="11" t="n">
        <v>0.165</v>
      </c>
      <c r="V25" s="11" t="n">
        <v>0.165</v>
      </c>
      <c r="W25" s="11" t="n">
        <v>0</v>
      </c>
    </row>
    <row r="26">
      <c r="A26" s="10" t="inlineStr">
        <is>
          <t>기타</t>
        </is>
      </c>
      <c r="F26" s="11" t="n">
        <v>-0.0094</v>
      </c>
      <c r="G26" s="11" t="n">
        <v>-0.0182</v>
      </c>
      <c r="H26" s="11" t="n">
        <v>0</v>
      </c>
      <c r="I26" s="11" t="n">
        <v>0</v>
      </c>
      <c r="J26" s="11" t="n">
        <v>0.0368</v>
      </c>
      <c r="K26" s="11" t="n">
        <v>0</v>
      </c>
      <c r="L26" s="11" t="n">
        <v>0</v>
      </c>
      <c r="M26" s="11" t="n">
        <v>0.0011</v>
      </c>
      <c r="N26" s="11" t="n">
        <v>0</v>
      </c>
      <c r="O26" s="11" t="n">
        <v>-0</v>
      </c>
      <c r="P26" s="11" t="n">
        <v>0</v>
      </c>
      <c r="Q26" s="11" t="n">
        <v>0</v>
      </c>
      <c r="R26" s="11" t="n">
        <v>0</v>
      </c>
      <c r="S26" s="11" t="n">
        <v>0.003</v>
      </c>
      <c r="U26" s="11" t="n">
        <v>0</v>
      </c>
      <c r="V26" s="11" t="n">
        <v>0.02</v>
      </c>
      <c r="W26" s="11" t="n">
        <v>0.0368</v>
      </c>
      <c r="X26" s="11" t="n">
        <v>0.0011</v>
      </c>
      <c r="Y26" s="11" t="n">
        <v>0.003</v>
      </c>
    </row>
    <row r="27">
      <c r="A27" s="10" t="inlineStr">
        <is>
          <t>영업외비용 합계</t>
        </is>
      </c>
      <c r="F27" s="11" t="n">
        <v>0.0367</v>
      </c>
      <c r="G27" s="11" t="n">
        <v>0.2028</v>
      </c>
      <c r="H27" s="11" t="n">
        <v>0.0047</v>
      </c>
      <c r="I27" s="11" t="n">
        <v>0.0078</v>
      </c>
      <c r="J27" s="11" t="n">
        <v>0.0388</v>
      </c>
      <c r="K27" s="11" t="n">
        <v>0.0051</v>
      </c>
      <c r="L27" s="11" t="n">
        <v>0.0062</v>
      </c>
      <c r="M27" s="11" t="n">
        <v>0.0045</v>
      </c>
      <c r="N27" s="11" t="n">
        <v>0.0005</v>
      </c>
      <c r="O27" s="11" t="n">
        <v>0.0075</v>
      </c>
      <c r="P27" s="11" t="n">
        <v>0.0054</v>
      </c>
      <c r="Q27" s="11" t="n">
        <v>0.0063</v>
      </c>
      <c r="R27" s="11" t="n">
        <v>0.0008</v>
      </c>
      <c r="S27" s="11" t="n">
        <v>0.0062</v>
      </c>
      <c r="U27" s="11" t="n">
        <v>0.4016</v>
      </c>
      <c r="V27" s="11" t="n">
        <v>0.4538</v>
      </c>
      <c r="W27" s="11" t="n">
        <v>0.0565</v>
      </c>
      <c r="X27" s="11" t="n">
        <v>0.0187</v>
      </c>
      <c r="Y27" s="11" t="n">
        <v>0.0187</v>
      </c>
    </row>
    <row r="28">
      <c r="A28" s="5" t="inlineStr">
        <is>
          <t>경상이익</t>
        </is>
      </c>
      <c r="F28" s="6" t="n">
        <v>0.3015</v>
      </c>
      <c r="G28" s="6" t="n">
        <v>0.0393</v>
      </c>
      <c r="H28" s="6" t="n">
        <v>0.5692</v>
      </c>
      <c r="I28" s="6" t="n">
        <v>1.4522</v>
      </c>
      <c r="J28" s="6" t="n">
        <v>-0.1436</v>
      </c>
      <c r="K28" s="6" t="n">
        <v>0.9889</v>
      </c>
      <c r="L28" s="6" t="n">
        <v>0.9472</v>
      </c>
      <c r="M28" s="6" t="n">
        <v>1.9754</v>
      </c>
      <c r="N28" s="6" t="n">
        <v>1.0986</v>
      </c>
      <c r="O28" s="6" t="n">
        <v>0.4987</v>
      </c>
      <c r="P28" s="6" t="n">
        <v>2.1926</v>
      </c>
      <c r="Q28" s="6" t="n">
        <v>1.7034</v>
      </c>
      <c r="R28" s="6" t="n">
        <v>1.925</v>
      </c>
      <c r="S28" s="6" t="n">
        <v>1.7775</v>
      </c>
      <c r="U28" s="6" t="n">
        <v>-1.8176</v>
      </c>
      <c r="V28" s="6" t="n">
        <v>3.7976</v>
      </c>
      <c r="W28" s="6" t="n">
        <v>2.8667</v>
      </c>
      <c r="X28" s="6" t="n">
        <v>4.5198</v>
      </c>
      <c r="Y28" s="6" t="n">
        <v>7.5985</v>
      </c>
    </row>
    <row r="29">
      <c r="A29" s="8" t="inlineStr">
        <is>
          <t>경상이익률</t>
        </is>
      </c>
      <c r="C29" s="9">
        <f>IF(OR(C28="",C4=""),"",IFERROR(C28/C4,""))</f>
        <v/>
      </c>
      <c r="D29" s="9">
        <f>IF(OR(D28="",D4=""),"",IFERROR(D28/D4,""))</f>
        <v/>
      </c>
      <c r="E29" s="9">
        <f>IF(OR(E28="",E4=""),"",IFERROR(E28/E4,""))</f>
        <v/>
      </c>
      <c r="F29" s="9">
        <f>IF(OR(F28="",F4=""),"",IFERROR(F28/F4,""))</f>
        <v/>
      </c>
      <c r="G29" s="9">
        <f>IF(OR(G28="",G4=""),"",IFERROR(G28/G4,""))</f>
        <v/>
      </c>
      <c r="H29" s="9">
        <f>IF(OR(H28="",H4=""),"",IFERROR(H28/H4,""))</f>
        <v/>
      </c>
      <c r="I29" s="9">
        <f>IF(OR(I28="",I4=""),"",IFERROR(I28/I4,""))</f>
        <v/>
      </c>
      <c r="J29" s="9">
        <f>IF(OR(J28="",J4=""),"",IFERROR(J28/J4,""))</f>
        <v/>
      </c>
      <c r="K29" s="9">
        <f>IF(OR(K28="",K4=""),"",IFERROR(K28/K4,""))</f>
        <v/>
      </c>
      <c r="L29" s="9">
        <f>IF(OR(L28="",L4=""),"",IFERROR(L28/L4,""))</f>
        <v/>
      </c>
      <c r="M29" s="9">
        <f>IF(OR(M28="",M4=""),"",IFERROR(M28/M4,""))</f>
        <v/>
      </c>
      <c r="N29" s="9">
        <f>IF(OR(N28="",N4=""),"",IFERROR(N28/N4,""))</f>
        <v/>
      </c>
      <c r="O29" s="9">
        <f>IF(OR(O28="",O4=""),"",IFERROR(O28/O4,""))</f>
        <v/>
      </c>
      <c r="P29" s="9">
        <f>IF(OR(P28="",P4=""),"",IFERROR(P28/P4,""))</f>
        <v/>
      </c>
      <c r="Q29" s="9">
        <f>IF(OR(Q28="",Q4=""),"",IFERROR(Q28/Q4,""))</f>
        <v/>
      </c>
      <c r="R29" s="9">
        <f>IF(OR(R28="",R4=""),"",IFERROR(R28/R4,""))</f>
        <v/>
      </c>
      <c r="S29" s="9">
        <f>IF(OR(S28="",S4=""),"",IFERROR(S28/S4,""))</f>
        <v/>
      </c>
      <c r="T29" s="9">
        <f>IF(OR(T28="",T4=""),"",IFERROR(T28/T4,""))</f>
        <v/>
      </c>
      <c r="U29" s="9">
        <f>IF(OR(U28="",U4=""),"",IFERROR(U28/U4,""))</f>
        <v/>
      </c>
      <c r="V29" s="9">
        <f>IF(OR(V28="",V4=""),"",IFERROR(V28/V4,""))</f>
        <v/>
      </c>
      <c r="W29" s="9">
        <f>IF(OR(W28="",W4=""),"",IFERROR(W28/W4,""))</f>
        <v/>
      </c>
      <c r="X29" s="9">
        <f>IF(OR(X28="",X4=""),"",IFERROR(X28/X4,""))</f>
        <v/>
      </c>
      <c r="Y29" s="9">
        <f>IF(OR(Y28="",Y4=""),"",IFERROR(Y28/Y4,""))</f>
        <v/>
      </c>
    </row>
    <row r="30">
      <c r="A30" s="10" t="inlineStr">
        <is>
          <t>신주예약권 환입이익</t>
        </is>
      </c>
      <c r="U30" s="11" t="n">
        <v>0.0175</v>
      </c>
      <c r="V30" s="11" t="n">
        <v>0</v>
      </c>
    </row>
    <row r="31">
      <c r="A31" s="10" t="inlineStr">
        <is>
          <t>특별이익 합계</t>
        </is>
      </c>
      <c r="U31" s="11" t="n">
        <v>0.0175</v>
      </c>
      <c r="V31" s="11" t="n">
        <v>0</v>
      </c>
    </row>
    <row r="32">
      <c r="A32" s="10" t="inlineStr">
        <is>
          <t>손상차손</t>
        </is>
      </c>
      <c r="U32" s="11" t="n">
        <v>0.1406</v>
      </c>
      <c r="V32" s="11" t="n">
        <v>0</v>
      </c>
    </row>
    <row r="33">
      <c r="A33" s="10" t="inlineStr">
        <is>
          <t>특별손실 합계</t>
        </is>
      </c>
      <c r="U33" s="11" t="n">
        <v>0.1406</v>
      </c>
      <c r="V33" s="11" t="n">
        <v>0</v>
      </c>
    </row>
    <row r="34">
      <c r="A34" s="10" t="inlineStr">
        <is>
          <t>법인세차감전 순이익</t>
        </is>
      </c>
      <c r="F34" s="11" t="n">
        <v>0.3015</v>
      </c>
      <c r="G34" s="11" t="n">
        <v>0.0393</v>
      </c>
      <c r="H34" s="11" t="n">
        <v>0.5692</v>
      </c>
      <c r="I34" s="11" t="n">
        <v>1.4522</v>
      </c>
      <c r="J34" s="11" t="n">
        <v>-0.1436</v>
      </c>
      <c r="K34" s="11" t="n">
        <v>0.9889</v>
      </c>
      <c r="L34" s="11" t="n">
        <v>0.9472</v>
      </c>
      <c r="M34" s="11" t="n">
        <v>1.9754</v>
      </c>
      <c r="N34" s="11" t="n">
        <v>1.0986</v>
      </c>
      <c r="O34" s="11" t="n">
        <v>0.4987</v>
      </c>
      <c r="P34" s="11" t="n">
        <v>2.1926</v>
      </c>
      <c r="Q34" s="11" t="n">
        <v>1.7034</v>
      </c>
      <c r="R34" s="11" t="n">
        <v>1.925</v>
      </c>
      <c r="S34" s="11" t="n">
        <v>1.7775</v>
      </c>
      <c r="U34" s="11" t="n">
        <v>-1.9407</v>
      </c>
      <c r="V34" s="11" t="n">
        <v>3.7976</v>
      </c>
      <c r="W34" s="11" t="n">
        <v>2.8667</v>
      </c>
      <c r="X34" s="11" t="n">
        <v>4.5198</v>
      </c>
      <c r="Y34" s="11" t="n">
        <v>7.5985</v>
      </c>
    </row>
    <row r="35">
      <c r="A35" s="10" t="inlineStr">
        <is>
          <t>법인세·주민세·사업세</t>
        </is>
      </c>
      <c r="G35" s="11" t="n">
        <v>0.8693</v>
      </c>
      <c r="U35" s="11" t="n">
        <v>0.0229</v>
      </c>
      <c r="V35" s="11" t="n">
        <v>0.8865</v>
      </c>
      <c r="W35" s="11" t="n">
        <v>0.3297</v>
      </c>
      <c r="X35" s="11" t="n">
        <v>0.7098</v>
      </c>
      <c r="Y35" s="11" t="n">
        <v>1.3622</v>
      </c>
    </row>
    <row r="36">
      <c r="A36" s="10" t="inlineStr">
        <is>
          <t>법인세 조정액</t>
        </is>
      </c>
      <c r="U36" s="11" t="n">
        <v>0</v>
      </c>
      <c r="V36" s="11" t="n">
        <v>-1.305</v>
      </c>
      <c r="W36" s="11" t="n">
        <v>0.3499</v>
      </c>
      <c r="X36" s="11" t="n">
        <v>-0.6727</v>
      </c>
      <c r="Y36" s="11" t="n">
        <v>-4.4228</v>
      </c>
    </row>
    <row r="37">
      <c r="A37" s="10" t="inlineStr">
        <is>
          <t>법인세 등 합계</t>
        </is>
      </c>
      <c r="F37" s="11" t="n">
        <v>0.0057</v>
      </c>
      <c r="G37" s="11" t="n">
        <v>-0.4356</v>
      </c>
      <c r="H37" s="11" t="n">
        <v>0.0922</v>
      </c>
      <c r="I37" s="11" t="n">
        <v>0.2252</v>
      </c>
      <c r="J37" s="11" t="n">
        <v>0.0285</v>
      </c>
      <c r="K37" s="11" t="n">
        <v>0.3336</v>
      </c>
      <c r="L37" s="11" t="n">
        <v>0.0936</v>
      </c>
      <c r="M37" s="11" t="n">
        <v>0.386</v>
      </c>
      <c r="N37" s="11" t="n">
        <v>0.0057</v>
      </c>
      <c r="O37" s="11" t="n">
        <v>-0.4482</v>
      </c>
      <c r="P37" s="11" t="n">
        <v>0.3719</v>
      </c>
      <c r="Q37" s="11" t="n">
        <v>0.1618</v>
      </c>
      <c r="R37" s="11" t="n">
        <v>-1.8477</v>
      </c>
      <c r="S37" s="11" t="n">
        <v>-1.7465</v>
      </c>
      <c r="U37" s="11" t="n">
        <v>0.0229</v>
      </c>
      <c r="V37" s="11" t="n">
        <v>-0.4184</v>
      </c>
      <c r="W37" s="11" t="n">
        <v>0.6796</v>
      </c>
      <c r="X37" s="11" t="n">
        <v>0.0371</v>
      </c>
      <c r="Y37" s="11" t="n">
        <v>-3.0606</v>
      </c>
    </row>
    <row r="38">
      <c r="A38" s="5" t="inlineStr">
        <is>
          <t>순이익</t>
        </is>
      </c>
      <c r="F38" s="6" t="n">
        <v>0.2958</v>
      </c>
      <c r="G38" s="6" t="n">
        <v>0.4748</v>
      </c>
      <c r="H38" s="6" t="n">
        <v>0.4769</v>
      </c>
      <c r="I38" s="6" t="n">
        <v>1.227</v>
      </c>
      <c r="J38" s="6" t="n">
        <v>-0.1721</v>
      </c>
      <c r="K38" s="6" t="n">
        <v>0.6553</v>
      </c>
      <c r="L38" s="6" t="n">
        <v>0.8536</v>
      </c>
      <c r="M38" s="6" t="n">
        <v>1.5894</v>
      </c>
      <c r="N38" s="6" t="n">
        <v>1.0929</v>
      </c>
      <c r="O38" s="6" t="n">
        <v>0.9468</v>
      </c>
      <c r="P38" s="6" t="n">
        <v>1.8208</v>
      </c>
      <c r="Q38" s="6" t="n">
        <v>1.5415</v>
      </c>
      <c r="R38" s="6" t="n">
        <v>3.7727</v>
      </c>
      <c r="S38" s="6" t="n">
        <v>3.524</v>
      </c>
      <c r="U38" s="6" t="n">
        <v>-1.9637</v>
      </c>
      <c r="V38" s="6" t="n">
        <v>4.216</v>
      </c>
      <c r="W38" s="6" t="n">
        <v>2.1871</v>
      </c>
      <c r="X38" s="6" t="n">
        <v>4.4827</v>
      </c>
      <c r="Y38" s="6" t="n">
        <v>10.6591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40" customWidth="1" min="26" max="26"/>
  </cols>
  <sheetData>
    <row r="1">
      <c r="A1" s="1" t="inlineStr">
        <is>
          <t>ABEJA 재무상태표</t>
        </is>
      </c>
    </row>
    <row r="2">
      <c r="A2" s="2" t="inlineStr">
        <is>
          <t>결산기 기준(27.2Q = 2027년 결산기 2분기) · 8월 결산 · 연결 · 분기 말 잔액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21.4Q</t>
        </is>
      </c>
      <c r="D3" s="4" t="inlineStr">
        <is>
          <t>22.4Q</t>
        </is>
      </c>
      <c r="E3" s="4" t="inlineStr">
        <is>
          <t>23.2Q</t>
        </is>
      </c>
      <c r="F3" s="4" t="inlineStr">
        <is>
          <t>23.3Q</t>
        </is>
      </c>
      <c r="G3" s="4" t="inlineStr">
        <is>
          <t>23.4Q</t>
        </is>
      </c>
      <c r="H3" s="4" t="inlineStr">
        <is>
          <t>24.1Q</t>
        </is>
      </c>
      <c r="I3" s="4" t="inlineStr">
        <is>
          <t>24.2Q</t>
        </is>
      </c>
      <c r="J3" s="4" t="inlineStr">
        <is>
          <t>24.3Q</t>
        </is>
      </c>
      <c r="K3" s="4" t="inlineStr">
        <is>
          <t>24.4Q</t>
        </is>
      </c>
      <c r="L3" s="4" t="inlineStr">
        <is>
          <t>25.1Q</t>
        </is>
      </c>
      <c r="M3" s="4" t="inlineStr">
        <is>
          <t>25.2Q</t>
        </is>
      </c>
      <c r="N3" s="4" t="inlineStr">
        <is>
          <t>25.3Q</t>
        </is>
      </c>
      <c r="O3" s="4" t="inlineStr">
        <is>
          <t>25.4Q</t>
        </is>
      </c>
      <c r="P3" s="4" t="inlineStr">
        <is>
          <t>26.1Q</t>
        </is>
      </c>
      <c r="Q3" s="4" t="inlineStr">
        <is>
          <t>26.2Q</t>
        </is>
      </c>
      <c r="R3" s="4" t="inlineStr">
        <is>
          <t>26.3Q</t>
        </is>
      </c>
      <c r="S3" s="4" t="inlineStr">
        <is>
          <t>26.4Q</t>
        </is>
      </c>
      <c r="T3" s="4" t="inlineStr">
        <is>
          <t>FY21</t>
        </is>
      </c>
      <c r="U3" s="4" t="inlineStr">
        <is>
          <t>FY22</t>
        </is>
      </c>
      <c r="V3" s="4" t="inlineStr">
        <is>
          <t>FY23</t>
        </is>
      </c>
      <c r="W3" s="4" t="inlineStr">
        <is>
          <t>FY24</t>
        </is>
      </c>
      <c r="X3" s="4" t="inlineStr">
        <is>
          <t>FY25</t>
        </is>
      </c>
      <c r="Y3" s="4" t="inlineStr">
        <is>
          <t>FY26</t>
        </is>
      </c>
      <c r="Z3" s="4" t="inlineStr">
        <is>
          <t>출처</t>
        </is>
      </c>
    </row>
    <row r="4">
      <c r="A4" s="10" t="inlineStr">
        <is>
          <t>현금 및 예금</t>
        </is>
      </c>
      <c r="D4" s="11" t="n">
        <v>18.4454</v>
      </c>
      <c r="F4" s="11" t="n">
        <v>23.0685</v>
      </c>
      <c r="G4" s="11" t="n">
        <v>35.4053</v>
      </c>
      <c r="H4" s="11" t="n">
        <v>33.4948</v>
      </c>
      <c r="I4" s="11" t="n">
        <v>35.298</v>
      </c>
      <c r="J4" s="11" t="n">
        <v>34.4034</v>
      </c>
      <c r="K4" s="11" t="n">
        <v>28.6891</v>
      </c>
      <c r="L4" s="11" t="n">
        <v>29.7778</v>
      </c>
      <c r="M4" s="11" t="n">
        <v>36.5063</v>
      </c>
      <c r="N4" s="11" t="n">
        <v>42.4324</v>
      </c>
      <c r="O4" s="11" t="n">
        <v>45.8602</v>
      </c>
      <c r="P4" s="11" t="n">
        <v>42.5778</v>
      </c>
      <c r="Q4" s="11" t="n">
        <v>42.4911</v>
      </c>
      <c r="R4" s="11" t="n">
        <v>43.0215</v>
      </c>
      <c r="S4" s="11" t="n">
        <v>44.2346</v>
      </c>
      <c r="U4" s="11" t="n">
        <v>18.4454</v>
      </c>
      <c r="V4" s="11" t="n">
        <v>35.4053</v>
      </c>
      <c r="W4" s="11" t="n">
        <v>28.6891</v>
      </c>
      <c r="X4" s="11" t="n">
        <v>45.8602</v>
      </c>
      <c r="Y4" s="11" t="n">
        <v>44.2346</v>
      </c>
      <c r="Z4" s="7" t="inlineStr">
        <is>
          <t>결산단신 XBRL(거래소 공시, TDnet·JPX 보관소). 쓴 문서: 2026-10-15, 2026-07-15, 2026-04-14, 2026-01-14 외 10건 — '출처' 시트에 전부</t>
        </is>
      </c>
    </row>
    <row r="5">
      <c r="A5" s="10" t="inlineStr">
        <is>
          <t>매출채권·계약자산</t>
        </is>
      </c>
      <c r="K5" s="11" t="n">
        <v>4.5284</v>
      </c>
      <c r="M5" s="11" t="n">
        <v>8.015599999999999</v>
      </c>
      <c r="O5" s="11" t="n">
        <v>4.6307</v>
      </c>
      <c r="Q5" s="11" t="n">
        <v>5.6777</v>
      </c>
      <c r="W5" s="11" t="n">
        <v>4.5284</v>
      </c>
      <c r="X5" s="11" t="n">
        <v>4.6307</v>
      </c>
    </row>
    <row r="6">
      <c r="A6" s="10" t="inlineStr">
        <is>
          <t>매출채권·계약자산</t>
        </is>
      </c>
      <c r="D6" s="11" t="n">
        <v>1.5101</v>
      </c>
      <c r="F6" s="11" t="n">
        <v>1.7668</v>
      </c>
      <c r="G6" s="11" t="n">
        <v>3.5728</v>
      </c>
      <c r="H6" s="11" t="n">
        <v>4.2009</v>
      </c>
      <c r="I6" s="11" t="n">
        <v>5.0715</v>
      </c>
      <c r="J6" s="11" t="n">
        <v>3.1316</v>
      </c>
      <c r="K6" s="11" t="n">
        <v>4.5284</v>
      </c>
      <c r="L6" s="11" t="n">
        <v>5.0914</v>
      </c>
      <c r="N6" s="11" t="n">
        <v>3.5972</v>
      </c>
      <c r="O6" s="11" t="n">
        <v>4.6307</v>
      </c>
      <c r="P6" s="11" t="n">
        <v>6.4384</v>
      </c>
      <c r="R6" s="11" t="n">
        <v>5.321</v>
      </c>
      <c r="U6" s="11" t="n">
        <v>1.5101</v>
      </c>
      <c r="V6" s="11" t="n">
        <v>3.5728</v>
      </c>
      <c r="W6" s="11" t="n">
        <v>4.5284</v>
      </c>
      <c r="X6" s="11" t="n">
        <v>4.6307</v>
      </c>
    </row>
    <row r="7">
      <c r="A7" s="10" t="inlineStr">
        <is>
          <t>매출채권·계약자산</t>
        </is>
      </c>
      <c r="D7" s="11" t="n">
        <v>1.5101</v>
      </c>
      <c r="G7" s="11" t="n">
        <v>3.5728</v>
      </c>
      <c r="K7" s="11" t="n">
        <v>4.5284</v>
      </c>
      <c r="O7" s="11" t="n">
        <v>4.6307</v>
      </c>
      <c r="S7" s="11" t="n">
        <v>8.472099999999999</v>
      </c>
      <c r="U7" s="11" t="n">
        <v>1.5101</v>
      </c>
      <c r="V7" s="11" t="n">
        <v>3.5728</v>
      </c>
      <c r="W7" s="11" t="n">
        <v>4.5284</v>
      </c>
      <c r="X7" s="11" t="n">
        <v>4.6307</v>
      </c>
      <c r="Y7" s="11" t="n">
        <v>8.472099999999999</v>
      </c>
    </row>
    <row r="8">
      <c r="A8" s="10" t="inlineStr">
        <is>
          <t>재공품</t>
        </is>
      </c>
      <c r="D8" s="11" t="n">
        <v>0.7037</v>
      </c>
      <c r="F8" s="11" t="n">
        <v>0.1699</v>
      </c>
      <c r="G8" s="11" t="n">
        <v>0.0575</v>
      </c>
      <c r="H8" s="11" t="n">
        <v>0.1057</v>
      </c>
      <c r="I8" s="11" t="n">
        <v>0.07630000000000001</v>
      </c>
      <c r="J8" s="11" t="n">
        <v>0.1562</v>
      </c>
      <c r="K8" s="11" t="n">
        <v>0.0545</v>
      </c>
      <c r="L8" s="11" t="n">
        <v>0.0423</v>
      </c>
      <c r="M8" s="11" t="n">
        <v>0.1307</v>
      </c>
      <c r="N8" s="11" t="n">
        <v>0.03</v>
      </c>
      <c r="O8" s="11" t="n">
        <v>0.1299</v>
      </c>
      <c r="P8" s="11" t="n">
        <v>0.2264</v>
      </c>
      <c r="Q8" s="11" t="n">
        <v>0.1217</v>
      </c>
      <c r="R8" s="11" t="n">
        <v>0.3037</v>
      </c>
      <c r="S8" s="11" t="n">
        <v>0.1107</v>
      </c>
      <c r="U8" s="11" t="n">
        <v>0.7037</v>
      </c>
      <c r="V8" s="11" t="n">
        <v>0.0575</v>
      </c>
      <c r="W8" s="11" t="n">
        <v>0.0545</v>
      </c>
      <c r="X8" s="11" t="n">
        <v>0.1299</v>
      </c>
      <c r="Y8" s="11" t="n">
        <v>0.1107</v>
      </c>
    </row>
    <row r="9">
      <c r="A9" s="10" t="inlineStr">
        <is>
          <t>저장품</t>
        </is>
      </c>
      <c r="D9" s="11" t="n">
        <v>0.006</v>
      </c>
      <c r="F9" s="11" t="n">
        <v>0.0359</v>
      </c>
      <c r="G9" s="11" t="n">
        <v>0.0478</v>
      </c>
      <c r="H9" s="11" t="n">
        <v>0.0263</v>
      </c>
      <c r="I9" s="11" t="n">
        <v>0.0227</v>
      </c>
      <c r="J9" s="11" t="n">
        <v>0.0103</v>
      </c>
      <c r="K9" s="11" t="n">
        <v>0.0459</v>
      </c>
      <c r="L9" s="11" t="n">
        <v>0.0441</v>
      </c>
      <c r="M9" s="11" t="n">
        <v>0.0541</v>
      </c>
      <c r="N9" s="11" t="n">
        <v>0.0617</v>
      </c>
      <c r="O9" s="11" t="n">
        <v>0.024</v>
      </c>
      <c r="P9" s="11" t="n">
        <v>0.0262</v>
      </c>
      <c r="Q9" s="11" t="n">
        <v>0.0158</v>
      </c>
      <c r="R9" s="11" t="n">
        <v>0.0049</v>
      </c>
      <c r="S9" s="11" t="n">
        <v>0.0057</v>
      </c>
      <c r="U9" s="11" t="n">
        <v>0.006</v>
      </c>
      <c r="V9" s="11" t="n">
        <v>0.0478</v>
      </c>
      <c r="W9" s="11" t="n">
        <v>0.0459</v>
      </c>
      <c r="X9" s="11" t="n">
        <v>0.024</v>
      </c>
      <c r="Y9" s="11" t="n">
        <v>0.0057</v>
      </c>
    </row>
    <row r="10">
      <c r="A10" s="10" t="inlineStr">
        <is>
          <t>선급비용</t>
        </is>
      </c>
      <c r="D10" s="11" t="n">
        <v>0.6975</v>
      </c>
      <c r="G10" s="11" t="n">
        <v>0.5798</v>
      </c>
      <c r="K10" s="11" t="n">
        <v>0.6508</v>
      </c>
      <c r="O10" s="11" t="n">
        <v>0.3965</v>
      </c>
      <c r="S10" s="11" t="n">
        <v>0.6054</v>
      </c>
      <c r="U10" s="11" t="n">
        <v>0.6975</v>
      </c>
      <c r="V10" s="11" t="n">
        <v>0.5798</v>
      </c>
      <c r="W10" s="11" t="n">
        <v>0.6508</v>
      </c>
      <c r="X10" s="11" t="n">
        <v>0.3965</v>
      </c>
      <c r="Y10" s="11" t="n">
        <v>0.6054</v>
      </c>
    </row>
    <row r="11">
      <c r="A11" s="10" t="inlineStr">
        <is>
          <t>미수금</t>
        </is>
      </c>
      <c r="G11" s="11" t="n">
        <v>0.0049</v>
      </c>
      <c r="J11" s="11" t="n">
        <v>6.8486</v>
      </c>
      <c r="K11" s="11" t="n">
        <v>6.8522</v>
      </c>
      <c r="L11" s="11" t="n">
        <v>6.9348</v>
      </c>
      <c r="M11" s="11" t="n">
        <v>0.5347</v>
      </c>
      <c r="N11" s="11" t="n">
        <v>0.6561</v>
      </c>
      <c r="O11" s="11" t="n">
        <v>0.011</v>
      </c>
      <c r="P11" s="11" t="n">
        <v>0.4189</v>
      </c>
      <c r="Q11" s="11" t="n">
        <v>0.8024</v>
      </c>
      <c r="R11" s="11" t="n">
        <v>0.8287</v>
      </c>
      <c r="S11" s="11" t="n">
        <v>0.0985</v>
      </c>
      <c r="V11" s="11" t="n">
        <v>0.0049</v>
      </c>
      <c r="W11" s="11" t="n">
        <v>6.8522</v>
      </c>
      <c r="X11" s="11" t="n">
        <v>0.011</v>
      </c>
      <c r="Y11" s="11" t="n">
        <v>0.0985</v>
      </c>
    </row>
    <row r="12">
      <c r="A12" s="10" t="inlineStr">
        <is>
          <t>기타</t>
        </is>
      </c>
      <c r="D12" s="11" t="n">
        <v>0.1751</v>
      </c>
      <c r="F12" s="11" t="n">
        <v>0.6885</v>
      </c>
      <c r="G12" s="11" t="n">
        <v>0.0536</v>
      </c>
      <c r="H12" s="11" t="n">
        <v>0.7553</v>
      </c>
      <c r="I12" s="11" t="n">
        <v>2.5928</v>
      </c>
      <c r="J12" s="11" t="n">
        <v>1.0225</v>
      </c>
      <c r="K12" s="11" t="n">
        <v>0.2764</v>
      </c>
      <c r="L12" s="11" t="n">
        <v>1.1378</v>
      </c>
      <c r="M12" s="11" t="n">
        <v>0.5858</v>
      </c>
      <c r="N12" s="11" t="n">
        <v>0.846</v>
      </c>
      <c r="O12" s="11" t="n">
        <v>0.0005</v>
      </c>
      <c r="P12" s="11" t="n">
        <v>0.8176</v>
      </c>
      <c r="Q12" s="11" t="n">
        <v>0.8270999999999999</v>
      </c>
      <c r="R12" s="11" t="n">
        <v>0.8262</v>
      </c>
      <c r="S12" s="11" t="n">
        <v>0.8528</v>
      </c>
      <c r="U12" s="11" t="n">
        <v>0.1751</v>
      </c>
      <c r="V12" s="11" t="n">
        <v>0.0536</v>
      </c>
      <c r="W12" s="11" t="n">
        <v>0.2764</v>
      </c>
      <c r="X12" s="11" t="n">
        <v>0.0005</v>
      </c>
      <c r="Y12" s="11" t="n">
        <v>0.8528</v>
      </c>
    </row>
    <row r="13">
      <c r="A13" s="10" t="inlineStr">
        <is>
          <t>대손충당금</t>
        </is>
      </c>
      <c r="D13" s="11" t="n">
        <v>-0.01</v>
      </c>
      <c r="F13" s="11" t="n">
        <v>-0.0105</v>
      </c>
      <c r="G13" s="11" t="n">
        <v>-0.0074</v>
      </c>
      <c r="H13" s="11" t="n">
        <v>-0.0074</v>
      </c>
      <c r="I13" s="11" t="n">
        <v>-0.0074</v>
      </c>
      <c r="J13" s="11" t="n">
        <v>-0.0074</v>
      </c>
      <c r="K13" s="11" t="n">
        <v>-0.0074</v>
      </c>
      <c r="L13" s="11" t="n">
        <v>-0.0074</v>
      </c>
      <c r="M13" s="11" t="n">
        <v>-0.0074</v>
      </c>
      <c r="N13" s="11" t="n">
        <v>-0.0074</v>
      </c>
      <c r="O13" s="11" t="n">
        <v>-0.0074</v>
      </c>
      <c r="P13" s="11" t="n">
        <v>-0.0074</v>
      </c>
      <c r="Q13" s="11" t="n">
        <v>-0.0074</v>
      </c>
      <c r="R13" s="11" t="n">
        <v>-0.0074</v>
      </c>
      <c r="S13" s="11" t="n">
        <v>-0.0074</v>
      </c>
      <c r="U13" s="11" t="n">
        <v>-0.01</v>
      </c>
      <c r="V13" s="11" t="n">
        <v>-0.0074</v>
      </c>
      <c r="W13" s="11" t="n">
        <v>-0.0074</v>
      </c>
      <c r="X13" s="11" t="n">
        <v>-0.0074</v>
      </c>
      <c r="Y13" s="11" t="n">
        <v>-0.0074</v>
      </c>
    </row>
    <row r="14">
      <c r="A14" s="10" t="inlineStr">
        <is>
          <t>유동자산 합계</t>
        </is>
      </c>
      <c r="D14" s="11" t="n">
        <v>21.5277</v>
      </c>
      <c r="F14" s="11" t="n">
        <v>25.7192</v>
      </c>
      <c r="G14" s="11" t="n">
        <v>39.7143</v>
      </c>
      <c r="H14" s="11" t="n">
        <v>38.5756</v>
      </c>
      <c r="I14" s="11" t="n">
        <v>43.0539</v>
      </c>
      <c r="J14" s="11" t="n">
        <v>45.5653</v>
      </c>
      <c r="K14" s="11" t="n">
        <v>41.0899</v>
      </c>
      <c r="L14" s="11" t="n">
        <v>43.0208</v>
      </c>
      <c r="M14" s="11" t="n">
        <v>45.8197</v>
      </c>
      <c r="N14" s="11" t="n">
        <v>47.6161</v>
      </c>
      <c r="O14" s="11" t="n">
        <v>51.0455</v>
      </c>
      <c r="P14" s="11" t="n">
        <v>50.498</v>
      </c>
      <c r="Q14" s="11" t="n">
        <v>49.9285</v>
      </c>
      <c r="R14" s="11" t="n">
        <v>50.2986</v>
      </c>
      <c r="S14" s="11" t="n">
        <v>54.3724</v>
      </c>
      <c r="U14" s="11" t="n">
        <v>21.5277</v>
      </c>
      <c r="V14" s="11" t="n">
        <v>39.7143</v>
      </c>
      <c r="W14" s="11" t="n">
        <v>41.0899</v>
      </c>
      <c r="X14" s="11" t="n">
        <v>51.0455</v>
      </c>
      <c r="Y14" s="11" t="n">
        <v>54.3724</v>
      </c>
    </row>
    <row r="15">
      <c r="A15" s="10" t="inlineStr">
        <is>
          <t>공구·기구·비품</t>
        </is>
      </c>
      <c r="D15" s="11" t="n">
        <v>0.2638</v>
      </c>
      <c r="F15" s="11" t="n">
        <v>0.0064</v>
      </c>
      <c r="G15" s="11" t="n">
        <v>0.0064</v>
      </c>
      <c r="H15" s="11" t="n">
        <v>0.0416</v>
      </c>
      <c r="I15" s="11" t="n">
        <v>0.0776</v>
      </c>
      <c r="J15" s="11" t="n">
        <v>0.1279</v>
      </c>
      <c r="K15" s="11" t="n">
        <v>0.1429</v>
      </c>
      <c r="L15" s="11" t="n">
        <v>0.1643</v>
      </c>
      <c r="M15" s="11" t="n">
        <v>0.2338</v>
      </c>
      <c r="N15" s="11" t="n">
        <v>0.2682</v>
      </c>
      <c r="O15" s="11" t="n">
        <v>0.3022</v>
      </c>
      <c r="P15" s="11" t="n">
        <v>0.3176</v>
      </c>
      <c r="Q15" s="11" t="n">
        <v>0.384</v>
      </c>
      <c r="R15" s="11" t="n">
        <v>0.4401</v>
      </c>
      <c r="S15" s="11" t="n">
        <v>0.5065</v>
      </c>
      <c r="U15" s="11" t="n">
        <v>0.2638</v>
      </c>
      <c r="V15" s="11" t="n">
        <v>0.0064</v>
      </c>
      <c r="W15" s="11" t="n">
        <v>0.1429</v>
      </c>
      <c r="X15" s="11" t="n">
        <v>0.3022</v>
      </c>
      <c r="Y15" s="11" t="n">
        <v>0.5065</v>
      </c>
    </row>
    <row r="16">
      <c r="A16" s="10" t="inlineStr">
        <is>
          <t>감가상각누계액</t>
        </is>
      </c>
      <c r="D16" s="11" t="n">
        <v>-0.2638</v>
      </c>
      <c r="F16" s="11" t="n">
        <v>-0.0003</v>
      </c>
      <c r="G16" s="11" t="n">
        <v>-0.0011</v>
      </c>
      <c r="H16" s="11" t="n">
        <v>-0.0056</v>
      </c>
      <c r="I16" s="11" t="n">
        <v>-0.014</v>
      </c>
      <c r="J16" s="11" t="n">
        <v>-0.0274</v>
      </c>
      <c r="K16" s="11" t="n">
        <v>-0.0444</v>
      </c>
      <c r="L16" s="11" t="n">
        <v>-0.0577</v>
      </c>
      <c r="M16" s="11" t="n">
        <v>-0.07779999999999999</v>
      </c>
      <c r="N16" s="11" t="n">
        <v>-0.1042</v>
      </c>
      <c r="O16" s="11" t="n">
        <v>-0.1334</v>
      </c>
      <c r="P16" s="11" t="n">
        <v>-0.1551</v>
      </c>
      <c r="Q16" s="11" t="n">
        <v>-0.1856</v>
      </c>
      <c r="R16" s="11" t="n">
        <v>-0.2211</v>
      </c>
      <c r="S16" s="11" t="n">
        <v>-0.2611</v>
      </c>
      <c r="U16" s="11" t="n">
        <v>-0.2638</v>
      </c>
      <c r="V16" s="11" t="n">
        <v>-0.0011</v>
      </c>
      <c r="W16" s="11" t="n">
        <v>-0.0444</v>
      </c>
      <c r="X16" s="11" t="n">
        <v>-0.1334</v>
      </c>
      <c r="Y16" s="11" t="n">
        <v>-0.2611</v>
      </c>
    </row>
    <row r="17">
      <c r="A17" s="10" t="inlineStr">
        <is>
          <t>공구·기구·비품(순액)</t>
        </is>
      </c>
      <c r="D17" s="11" t="n">
        <v>0</v>
      </c>
      <c r="F17" s="11" t="n">
        <v>0.0061</v>
      </c>
      <c r="G17" s="11" t="n">
        <v>0.0053</v>
      </c>
      <c r="H17" s="11" t="n">
        <v>0.036</v>
      </c>
      <c r="I17" s="11" t="n">
        <v>0.0636</v>
      </c>
      <c r="J17" s="11" t="n">
        <v>0.1005</v>
      </c>
      <c r="K17" s="11" t="n">
        <v>0.0984</v>
      </c>
      <c r="L17" s="11" t="n">
        <v>0.1065</v>
      </c>
      <c r="M17" s="11" t="n">
        <v>0.1559</v>
      </c>
      <c r="N17" s="11" t="n">
        <v>0.164</v>
      </c>
      <c r="O17" s="11" t="n">
        <v>0.1687</v>
      </c>
      <c r="P17" s="11" t="n">
        <v>0.1625</v>
      </c>
      <c r="Q17" s="11" t="n">
        <v>0.1983</v>
      </c>
      <c r="R17" s="11" t="n">
        <v>0.219</v>
      </c>
      <c r="S17" s="11" t="n">
        <v>0.2454</v>
      </c>
      <c r="U17" s="11" t="n">
        <v>0</v>
      </c>
      <c r="V17" s="11" t="n">
        <v>0.0053</v>
      </c>
      <c r="W17" s="11" t="n">
        <v>0.0984</v>
      </c>
      <c r="X17" s="11" t="n">
        <v>0.1687</v>
      </c>
      <c r="Y17" s="11" t="n">
        <v>0.2454</v>
      </c>
    </row>
    <row r="18">
      <c r="A18" s="10" t="inlineStr">
        <is>
          <t>유형자산 합계</t>
        </is>
      </c>
      <c r="D18" s="11" t="n">
        <v>0</v>
      </c>
      <c r="F18" s="11" t="n">
        <v>0.0061</v>
      </c>
      <c r="G18" s="11" t="n">
        <v>0.0053</v>
      </c>
      <c r="H18" s="11" t="n">
        <v>0.036</v>
      </c>
      <c r="I18" s="11" t="n">
        <v>0.0636</v>
      </c>
      <c r="J18" s="11" t="n">
        <v>0.1005</v>
      </c>
      <c r="K18" s="11" t="n">
        <v>0.0984</v>
      </c>
      <c r="L18" s="11" t="n">
        <v>0.1065</v>
      </c>
      <c r="M18" s="11" t="n">
        <v>0.1559</v>
      </c>
      <c r="N18" s="11" t="n">
        <v>0.164</v>
      </c>
      <c r="O18" s="11" t="n">
        <v>0.1687</v>
      </c>
      <c r="P18" s="11" t="n">
        <v>0.1625</v>
      </c>
      <c r="Q18" s="11" t="n">
        <v>0.1983</v>
      </c>
      <c r="R18" s="11" t="n">
        <v>0.219</v>
      </c>
      <c r="S18" s="11" t="n">
        <v>0.2454</v>
      </c>
      <c r="U18" s="11" t="n">
        <v>0</v>
      </c>
      <c r="V18" s="11" t="n">
        <v>0.0053</v>
      </c>
      <c r="W18" s="11" t="n">
        <v>0.0984</v>
      </c>
      <c r="X18" s="11" t="n">
        <v>0.1687</v>
      </c>
      <c r="Y18" s="11" t="n">
        <v>0.2454</v>
      </c>
    </row>
    <row r="19">
      <c r="A19" s="10" t="inlineStr">
        <is>
          <t>소프트웨어</t>
        </is>
      </c>
      <c r="G19" s="11" t="n">
        <v>0</v>
      </c>
      <c r="I19" s="11" t="n">
        <v>0.064</v>
      </c>
      <c r="J19" s="11" t="n">
        <v>0.0607</v>
      </c>
      <c r="K19" s="11" t="n">
        <v>0.1848</v>
      </c>
      <c r="L19" s="11" t="n">
        <v>0.1748</v>
      </c>
      <c r="M19" s="11" t="n">
        <v>0.1648</v>
      </c>
      <c r="N19" s="11" t="n">
        <v>0.1549</v>
      </c>
      <c r="O19" s="11" t="n">
        <v>0.1449</v>
      </c>
      <c r="P19" s="11" t="n">
        <v>0.1349</v>
      </c>
      <c r="Q19" s="11" t="n">
        <v>0.125</v>
      </c>
      <c r="R19" s="11" t="n">
        <v>0.115</v>
      </c>
      <c r="S19" s="11" t="n">
        <v>0.105</v>
      </c>
      <c r="V19" s="11" t="n">
        <v>0</v>
      </c>
      <c r="W19" s="11" t="n">
        <v>0.1848</v>
      </c>
      <c r="X19" s="11" t="n">
        <v>0.1449</v>
      </c>
      <c r="Y19" s="11" t="n">
        <v>0.105</v>
      </c>
    </row>
    <row r="20">
      <c r="A20" s="10" t="inlineStr">
        <is>
          <t>기타</t>
        </is>
      </c>
      <c r="G20" s="11" t="n">
        <v>0</v>
      </c>
      <c r="H20" s="11" t="n">
        <v>0.0183</v>
      </c>
      <c r="I20" s="11" t="n">
        <v>0.0335</v>
      </c>
      <c r="J20" s="11" t="n">
        <v>0.0335</v>
      </c>
      <c r="V20" s="11" t="n">
        <v>0</v>
      </c>
    </row>
    <row r="21">
      <c r="A21" s="10" t="inlineStr">
        <is>
          <t>무형자산 합계</t>
        </is>
      </c>
      <c r="G21" s="11" t="n">
        <v>0</v>
      </c>
      <c r="H21" s="11" t="n">
        <v>0.0183</v>
      </c>
      <c r="I21" s="11" t="n">
        <v>0.09760000000000001</v>
      </c>
      <c r="J21" s="11" t="n">
        <v>0.09420000000000001</v>
      </c>
      <c r="K21" s="11" t="n">
        <v>0.1848</v>
      </c>
      <c r="L21" s="11" t="n">
        <v>0.1748</v>
      </c>
      <c r="M21" s="11" t="n">
        <v>0.1648</v>
      </c>
      <c r="N21" s="11" t="n">
        <v>0.1549</v>
      </c>
      <c r="O21" s="11" t="n">
        <v>0.1449</v>
      </c>
      <c r="P21" s="11" t="n">
        <v>0.1349</v>
      </c>
      <c r="Q21" s="11" t="n">
        <v>0.125</v>
      </c>
      <c r="R21" s="11" t="n">
        <v>0.115</v>
      </c>
      <c r="S21" s="11" t="n">
        <v>0.105</v>
      </c>
      <c r="V21" s="11" t="n">
        <v>0</v>
      </c>
      <c r="W21" s="11" t="n">
        <v>0.1848</v>
      </c>
      <c r="X21" s="11" t="n">
        <v>0.1449</v>
      </c>
      <c r="Y21" s="11" t="n">
        <v>0.105</v>
      </c>
    </row>
    <row r="22">
      <c r="A22" s="10" t="inlineStr">
        <is>
          <t>투자유가증권</t>
        </is>
      </c>
      <c r="O22" s="11" t="n">
        <v>0</v>
      </c>
      <c r="Q22" s="11" t="n">
        <v>3.5568</v>
      </c>
      <c r="R22" s="11" t="n">
        <v>3.7539</v>
      </c>
      <c r="S22" s="11" t="n">
        <v>3.8093</v>
      </c>
      <c r="X22" s="11" t="n">
        <v>0</v>
      </c>
      <c r="Y22" s="11" t="n">
        <v>3.8093</v>
      </c>
    </row>
    <row r="23">
      <c r="A23" s="10" t="inlineStr">
        <is>
          <t>이연법인세자산</t>
        </is>
      </c>
      <c r="D23" s="11" t="n">
        <v>0</v>
      </c>
      <c r="G23" s="11" t="n">
        <v>1.305</v>
      </c>
      <c r="H23" s="11" t="n">
        <v>1.305</v>
      </c>
      <c r="I23" s="11" t="n">
        <v>1.305</v>
      </c>
      <c r="J23" s="11" t="n">
        <v>1.305</v>
      </c>
      <c r="K23" s="11" t="n">
        <v>0.9550999999999999</v>
      </c>
      <c r="L23" s="11" t="n">
        <v>0.9550999999999999</v>
      </c>
      <c r="M23" s="11" t="n">
        <v>0.9550999999999999</v>
      </c>
      <c r="N23" s="11" t="n">
        <v>0.9550999999999999</v>
      </c>
      <c r="O23" s="11" t="n">
        <v>1.6278</v>
      </c>
      <c r="P23" s="11" t="n">
        <v>1.6278</v>
      </c>
      <c r="Q23" s="11" t="n">
        <v>1.5291</v>
      </c>
      <c r="R23" s="11" t="n">
        <v>4.5837</v>
      </c>
      <c r="S23" s="11" t="n">
        <v>5.8723</v>
      </c>
      <c r="U23" s="11" t="n">
        <v>0</v>
      </c>
      <c r="V23" s="11" t="n">
        <v>1.305</v>
      </c>
      <c r="W23" s="11" t="n">
        <v>0.9550999999999999</v>
      </c>
      <c r="X23" s="11" t="n">
        <v>1.6278</v>
      </c>
      <c r="Y23" s="11" t="n">
        <v>5.8723</v>
      </c>
    </row>
    <row r="24">
      <c r="A24" s="10" t="inlineStr">
        <is>
          <t>기타</t>
        </is>
      </c>
      <c r="D24" s="11" t="n">
        <v>0.0703</v>
      </c>
      <c r="G24" s="11" t="n">
        <v>0.0703</v>
      </c>
      <c r="H24" s="11" t="n">
        <v>0.0703</v>
      </c>
      <c r="I24" s="11" t="n">
        <v>0.07000000000000001</v>
      </c>
      <c r="J24" s="11" t="n">
        <v>0.07000000000000001</v>
      </c>
      <c r="K24" s="11" t="n">
        <v>0.07000000000000001</v>
      </c>
      <c r="L24" s="11" t="n">
        <v>0.07000000000000001</v>
      </c>
      <c r="M24" s="11" t="n">
        <v>0.07000000000000001</v>
      </c>
      <c r="N24" s="11" t="n">
        <v>0.07000000000000001</v>
      </c>
      <c r="O24" s="11" t="n">
        <v>0.1948</v>
      </c>
      <c r="P24" s="11" t="n">
        <v>0.1948</v>
      </c>
      <c r="Q24" s="11" t="n">
        <v>0.1948</v>
      </c>
      <c r="R24" s="11" t="n">
        <v>0.1948</v>
      </c>
      <c r="S24" s="11" t="n">
        <v>0.3261</v>
      </c>
      <c r="U24" s="11" t="n">
        <v>0.0703</v>
      </c>
      <c r="V24" s="11" t="n">
        <v>0.0703</v>
      </c>
      <c r="W24" s="11" t="n">
        <v>0.07000000000000001</v>
      </c>
      <c r="X24" s="11" t="n">
        <v>0.1948</v>
      </c>
      <c r="Y24" s="11" t="n">
        <v>0.3261</v>
      </c>
    </row>
    <row r="25">
      <c r="A25" s="10" t="inlineStr">
        <is>
          <t>투자 및 기타자산 합계</t>
        </is>
      </c>
      <c r="D25" s="11" t="n">
        <v>0.0703</v>
      </c>
      <c r="F25" s="11" t="n">
        <v>0.0703</v>
      </c>
      <c r="G25" s="11" t="n">
        <v>1.3752</v>
      </c>
      <c r="H25" s="11" t="n">
        <v>1.3752</v>
      </c>
      <c r="I25" s="11" t="n">
        <v>1.3749</v>
      </c>
      <c r="J25" s="11" t="n">
        <v>1.3749</v>
      </c>
      <c r="K25" s="11" t="n">
        <v>1.0251</v>
      </c>
      <c r="L25" s="11" t="n">
        <v>1.0251</v>
      </c>
      <c r="M25" s="11" t="n">
        <v>1.0251</v>
      </c>
      <c r="N25" s="11" t="n">
        <v>1.0251</v>
      </c>
      <c r="O25" s="11" t="n">
        <v>1.8227</v>
      </c>
      <c r="P25" s="11" t="n">
        <v>1.8227</v>
      </c>
      <c r="Q25" s="11" t="n">
        <v>5.2808</v>
      </c>
      <c r="R25" s="11" t="n">
        <v>8.532500000000001</v>
      </c>
      <c r="S25" s="11" t="n">
        <v>10.0077</v>
      </c>
      <c r="U25" s="11" t="n">
        <v>0.0703</v>
      </c>
      <c r="V25" s="11" t="n">
        <v>1.3752</v>
      </c>
      <c r="W25" s="11" t="n">
        <v>1.0251</v>
      </c>
      <c r="X25" s="11" t="n">
        <v>1.8227</v>
      </c>
      <c r="Y25" s="11" t="n">
        <v>10.0077</v>
      </c>
    </row>
    <row r="26">
      <c r="A26" s="10" t="inlineStr">
        <is>
          <t>비유동자산 합계</t>
        </is>
      </c>
      <c r="D26" s="11" t="n">
        <v>0.0703</v>
      </c>
      <c r="F26" s="11" t="n">
        <v>0.0764</v>
      </c>
      <c r="G26" s="11" t="n">
        <v>1.3806</v>
      </c>
      <c r="H26" s="11" t="n">
        <v>1.4295</v>
      </c>
      <c r="I26" s="11" t="n">
        <v>1.5362</v>
      </c>
      <c r="J26" s="11" t="n">
        <v>1.5697</v>
      </c>
      <c r="K26" s="11" t="n">
        <v>1.3083</v>
      </c>
      <c r="L26" s="11" t="n">
        <v>1.3064</v>
      </c>
      <c r="M26" s="11" t="n">
        <v>1.3459</v>
      </c>
      <c r="N26" s="11" t="n">
        <v>1.344</v>
      </c>
      <c r="O26" s="11" t="n">
        <v>2.1363</v>
      </c>
      <c r="P26" s="11" t="n">
        <v>2.1201</v>
      </c>
      <c r="Q26" s="11" t="n">
        <v>5.604</v>
      </c>
      <c r="R26" s="11" t="n">
        <v>8.8665</v>
      </c>
      <c r="S26" s="11" t="n">
        <v>10.3581</v>
      </c>
      <c r="U26" s="11" t="n">
        <v>0.0703</v>
      </c>
      <c r="V26" s="11" t="n">
        <v>1.3806</v>
      </c>
      <c r="W26" s="11" t="n">
        <v>1.3083</v>
      </c>
      <c r="X26" s="11" t="n">
        <v>2.1363</v>
      </c>
      <c r="Y26" s="11" t="n">
        <v>10.3581</v>
      </c>
    </row>
    <row r="27">
      <c r="A27" s="10" t="inlineStr">
        <is>
          <t>자산 합계</t>
        </is>
      </c>
      <c r="D27" s="11" t="n">
        <v>21.598</v>
      </c>
      <c r="F27" s="11" t="n">
        <v>25.7956</v>
      </c>
      <c r="G27" s="11" t="n">
        <v>41.0949</v>
      </c>
      <c r="H27" s="11" t="n">
        <v>40.0051</v>
      </c>
      <c r="I27" s="11" t="n">
        <v>44.5901</v>
      </c>
      <c r="J27" s="11" t="n">
        <v>47.1349</v>
      </c>
      <c r="K27" s="11" t="n">
        <v>42.3982</v>
      </c>
      <c r="L27" s="11" t="n">
        <v>44.3273</v>
      </c>
      <c r="M27" s="11" t="n">
        <v>47.1656</v>
      </c>
      <c r="N27" s="11" t="n">
        <v>48.9601</v>
      </c>
      <c r="O27" s="11" t="n">
        <v>53.1817</v>
      </c>
      <c r="P27" s="11" t="n">
        <v>52.6181</v>
      </c>
      <c r="Q27" s="11" t="n">
        <v>55.5326</v>
      </c>
      <c r="R27" s="11" t="n">
        <v>59.1651</v>
      </c>
      <c r="S27" s="11" t="n">
        <v>64.73050000000001</v>
      </c>
      <c r="U27" s="11" t="n">
        <v>21.598</v>
      </c>
      <c r="V27" s="11" t="n">
        <v>41.0949</v>
      </c>
      <c r="W27" s="11" t="n">
        <v>42.3982</v>
      </c>
      <c r="X27" s="11" t="n">
        <v>53.1817</v>
      </c>
      <c r="Y27" s="11" t="n">
        <v>64.73050000000001</v>
      </c>
    </row>
    <row r="28">
      <c r="A28" s="10" t="inlineStr">
        <is>
          <t>매입채무</t>
        </is>
      </c>
      <c r="D28" s="11" t="n">
        <v>0.0032</v>
      </c>
      <c r="F28" s="11" t="n">
        <v>0.0146</v>
      </c>
      <c r="G28" s="11" t="n">
        <v>0</v>
      </c>
      <c r="H28" s="11" t="n">
        <v>0.008200000000000001</v>
      </c>
      <c r="I28" s="11" t="n">
        <v>0.0053</v>
      </c>
      <c r="J28" s="11" t="n">
        <v>0.001</v>
      </c>
      <c r="K28" s="11" t="n">
        <v>0.0002</v>
      </c>
      <c r="L28" s="11" t="n">
        <v>0.0043</v>
      </c>
      <c r="M28" s="11" t="n">
        <v>0.0003</v>
      </c>
      <c r="N28" s="11" t="n">
        <v>0.0134</v>
      </c>
      <c r="O28" s="11" t="n">
        <v>0.005</v>
      </c>
      <c r="P28" s="11" t="n">
        <v>0.0005999999999999999</v>
      </c>
      <c r="Q28" s="11" t="n">
        <v>0.005</v>
      </c>
      <c r="R28" s="11" t="n">
        <v>0.0016</v>
      </c>
      <c r="S28" s="11" t="n">
        <v>0.0072</v>
      </c>
      <c r="U28" s="11" t="n">
        <v>0.0032</v>
      </c>
      <c r="V28" s="11" t="n">
        <v>0</v>
      </c>
      <c r="W28" s="11" t="n">
        <v>0.0002</v>
      </c>
      <c r="X28" s="11" t="n">
        <v>0.005</v>
      </c>
      <c r="Y28" s="11" t="n">
        <v>0.0072</v>
      </c>
    </row>
    <row r="29">
      <c r="A29" s="10" t="inlineStr">
        <is>
          <t>미지급금</t>
        </is>
      </c>
      <c r="D29" s="11" t="n">
        <v>1.7844</v>
      </c>
      <c r="F29" s="11" t="n">
        <v>1.2158</v>
      </c>
      <c r="G29" s="11" t="n">
        <v>1.1423</v>
      </c>
      <c r="H29" s="11" t="n">
        <v>1.1865</v>
      </c>
      <c r="I29" s="11" t="n">
        <v>2.9496</v>
      </c>
      <c r="J29" s="11" t="n">
        <v>6.3821</v>
      </c>
      <c r="K29" s="11" t="n">
        <v>0.8782</v>
      </c>
      <c r="L29" s="11" t="n">
        <v>1.5003</v>
      </c>
      <c r="M29" s="11" t="n">
        <v>1.3425</v>
      </c>
      <c r="N29" s="11" t="n">
        <v>0.8573</v>
      </c>
      <c r="O29" s="11" t="n">
        <v>1.5981</v>
      </c>
      <c r="P29" s="11" t="n">
        <v>1.7447</v>
      </c>
      <c r="Q29" s="11" t="n">
        <v>2.1915</v>
      </c>
      <c r="R29" s="11" t="n">
        <v>1.4497</v>
      </c>
      <c r="S29" s="11" t="n">
        <v>3.03</v>
      </c>
      <c r="U29" s="11" t="n">
        <v>1.7844</v>
      </c>
      <c r="V29" s="11" t="n">
        <v>1.1423</v>
      </c>
      <c r="W29" s="11" t="n">
        <v>0.8782</v>
      </c>
      <c r="X29" s="11" t="n">
        <v>1.5981</v>
      </c>
      <c r="Y29" s="11" t="n">
        <v>3.03</v>
      </c>
    </row>
    <row r="30">
      <c r="A30" s="10" t="inlineStr">
        <is>
          <t>미지급비용</t>
        </is>
      </c>
      <c r="D30" s="11" t="n">
        <v>0.2194</v>
      </c>
      <c r="G30" s="11" t="n">
        <v>0.4491</v>
      </c>
      <c r="K30" s="11" t="n">
        <v>0.5578</v>
      </c>
      <c r="O30" s="11" t="n">
        <v>0.6827</v>
      </c>
      <c r="S30" s="11" t="n">
        <v>0.5878</v>
      </c>
      <c r="U30" s="11" t="n">
        <v>0.2194</v>
      </c>
      <c r="V30" s="11" t="n">
        <v>0.4491</v>
      </c>
      <c r="W30" s="11" t="n">
        <v>0.5578</v>
      </c>
      <c r="X30" s="11" t="n">
        <v>0.6827</v>
      </c>
      <c r="Y30" s="11" t="n">
        <v>0.5878</v>
      </c>
    </row>
    <row r="31">
      <c r="A31" s="10" t="inlineStr">
        <is>
          <t>미지급법인세</t>
        </is>
      </c>
      <c r="D31" s="11" t="n">
        <v>0</v>
      </c>
      <c r="F31" s="11" t="n">
        <v>0.0172</v>
      </c>
      <c r="G31" s="11" t="n">
        <v>1.2065</v>
      </c>
      <c r="H31" s="11" t="n">
        <v>0.1744</v>
      </c>
      <c r="I31" s="11" t="n">
        <v>0.4858</v>
      </c>
      <c r="J31" s="11" t="n">
        <v>0</v>
      </c>
      <c r="K31" s="11" t="n">
        <v>0.017</v>
      </c>
      <c r="L31" s="11" t="n">
        <v>0.184</v>
      </c>
      <c r="M31" s="11" t="n">
        <v>0.6587</v>
      </c>
      <c r="N31" s="11" t="n">
        <v>0.4634</v>
      </c>
      <c r="O31" s="11" t="n">
        <v>0.7407</v>
      </c>
      <c r="P31" s="11" t="n">
        <v>0.4916</v>
      </c>
      <c r="Q31" s="11" t="n">
        <v>0.7449</v>
      </c>
      <c r="R31" s="11" t="n">
        <v>1.586</v>
      </c>
      <c r="S31" s="11" t="n">
        <v>1.2492</v>
      </c>
      <c r="U31" s="11" t="n">
        <v>0</v>
      </c>
      <c r="V31" s="11" t="n">
        <v>1.2065</v>
      </c>
      <c r="W31" s="11" t="n">
        <v>0.017</v>
      </c>
      <c r="X31" s="11" t="n">
        <v>0.7407</v>
      </c>
      <c r="Y31" s="11" t="n">
        <v>1.2492</v>
      </c>
    </row>
    <row r="32">
      <c r="A32" s="10" t="inlineStr">
        <is>
          <t>계약부채</t>
        </is>
      </c>
      <c r="D32" s="11" t="n">
        <v>0.3638</v>
      </c>
      <c r="G32" s="11" t="n">
        <v>0.2677</v>
      </c>
      <c r="K32" s="11" t="n">
        <v>0.415</v>
      </c>
      <c r="O32" s="11" t="n">
        <v>1.7394</v>
      </c>
      <c r="S32" s="11" t="n">
        <v>0.2583</v>
      </c>
      <c r="U32" s="11" t="n">
        <v>0.3638</v>
      </c>
      <c r="V32" s="11" t="n">
        <v>0.2677</v>
      </c>
      <c r="W32" s="11" t="n">
        <v>0.415</v>
      </c>
      <c r="X32" s="11" t="n">
        <v>1.7394</v>
      </c>
      <c r="Y32" s="11" t="n">
        <v>0.2583</v>
      </c>
    </row>
    <row r="33">
      <c r="A33" s="10" t="inlineStr">
        <is>
          <t>예수금</t>
        </is>
      </c>
      <c r="D33" s="11" t="n">
        <v>0.1746</v>
      </c>
      <c r="G33" s="11" t="n">
        <v>0.1755</v>
      </c>
      <c r="K33" s="11" t="n">
        <v>0.3503</v>
      </c>
      <c r="O33" s="11" t="n">
        <v>0.3638</v>
      </c>
      <c r="S33" s="11" t="n">
        <v>0.252</v>
      </c>
      <c r="U33" s="11" t="n">
        <v>0.1746</v>
      </c>
      <c r="V33" s="11" t="n">
        <v>0.1755</v>
      </c>
      <c r="W33" s="11" t="n">
        <v>0.3503</v>
      </c>
      <c r="X33" s="11" t="n">
        <v>0.3638</v>
      </c>
      <c r="Y33" s="11" t="n">
        <v>0.252</v>
      </c>
    </row>
    <row r="34">
      <c r="A34" s="10" t="inlineStr">
        <is>
          <t>상여충당금</t>
        </is>
      </c>
      <c r="D34" s="11" t="n">
        <v>0</v>
      </c>
      <c r="F34" s="11" t="n">
        <v>0.5241</v>
      </c>
      <c r="G34" s="11" t="n">
        <v>1.2414</v>
      </c>
      <c r="H34" s="11" t="n">
        <v>0.5677</v>
      </c>
      <c r="I34" s="11" t="n">
        <v>1.1335</v>
      </c>
      <c r="J34" s="11" t="n">
        <v>0.6531</v>
      </c>
      <c r="K34" s="11" t="n">
        <v>1.1685</v>
      </c>
      <c r="L34" s="11" t="n">
        <v>0.6686</v>
      </c>
      <c r="M34" s="11" t="n">
        <v>1.6789</v>
      </c>
      <c r="N34" s="11" t="n">
        <v>0.6951000000000001</v>
      </c>
      <c r="O34" s="11" t="n">
        <v>1.5766</v>
      </c>
      <c r="P34" s="11" t="n">
        <v>0.7123</v>
      </c>
      <c r="Q34" s="11" t="n">
        <v>1.5721</v>
      </c>
      <c r="R34" s="11" t="n">
        <v>0.8541</v>
      </c>
      <c r="S34" s="11" t="n">
        <v>1.8369</v>
      </c>
      <c r="U34" s="11" t="n">
        <v>0</v>
      </c>
      <c r="V34" s="11" t="n">
        <v>1.2414</v>
      </c>
      <c r="W34" s="11" t="n">
        <v>1.1685</v>
      </c>
      <c r="X34" s="11" t="n">
        <v>1.5766</v>
      </c>
      <c r="Y34" s="11" t="n">
        <v>1.8369</v>
      </c>
    </row>
    <row r="35">
      <c r="A35" s="10" t="inlineStr">
        <is>
          <t>1년 내 상환 장기차입금</t>
        </is>
      </c>
      <c r="D35" s="11" t="n">
        <v>0</v>
      </c>
      <c r="G35" s="11" t="n">
        <v>0.8</v>
      </c>
      <c r="H35" s="11" t="n">
        <v>0.8</v>
      </c>
      <c r="I35" s="11" t="n">
        <v>0.8</v>
      </c>
      <c r="J35" s="11" t="n">
        <v>0.8</v>
      </c>
      <c r="K35" s="11" t="n">
        <v>0</v>
      </c>
      <c r="U35" s="11" t="n">
        <v>0</v>
      </c>
      <c r="V35" s="11" t="n">
        <v>0.8</v>
      </c>
      <c r="W35" s="11" t="n">
        <v>0</v>
      </c>
    </row>
    <row r="36">
      <c r="A36" s="10" t="inlineStr">
        <is>
          <t>임원 상여충당금</t>
        </is>
      </c>
      <c r="K36" s="11" t="n">
        <v>0</v>
      </c>
      <c r="M36" s="11" t="n">
        <v>0.2026</v>
      </c>
      <c r="N36" s="11" t="n">
        <v>0.2658</v>
      </c>
      <c r="O36" s="11" t="n">
        <v>0.5148</v>
      </c>
      <c r="P36" s="11" t="n">
        <v>0</v>
      </c>
      <c r="Q36" s="11" t="n">
        <v>0.1287</v>
      </c>
      <c r="R36" s="11" t="n">
        <v>0.1554</v>
      </c>
      <c r="S36" s="11" t="n">
        <v>0.3147</v>
      </c>
      <c r="W36" s="11" t="n">
        <v>0</v>
      </c>
      <c r="X36" s="11" t="n">
        <v>0.5148</v>
      </c>
      <c r="Y36" s="11" t="n">
        <v>0.3147</v>
      </c>
    </row>
    <row r="37">
      <c r="A37" s="10" t="inlineStr">
        <is>
          <t>기타</t>
        </is>
      </c>
      <c r="D37" s="11" t="n">
        <v>0.3154</v>
      </c>
      <c r="F37" s="11" t="n">
        <v>1.5457</v>
      </c>
      <c r="G37" s="11" t="n">
        <v>1.0036</v>
      </c>
      <c r="H37" s="11" t="n">
        <v>1.1317</v>
      </c>
      <c r="I37" s="11" t="n">
        <v>0.9723000000000001</v>
      </c>
      <c r="J37" s="11" t="n">
        <v>1.1562</v>
      </c>
      <c r="K37" s="11" t="n">
        <v>0.0307</v>
      </c>
      <c r="L37" s="11" t="n">
        <v>1.9239</v>
      </c>
      <c r="M37" s="11" t="n">
        <v>1.6207</v>
      </c>
      <c r="N37" s="11" t="n">
        <v>3.0684</v>
      </c>
      <c r="O37" s="11" t="n">
        <v>1.2433</v>
      </c>
      <c r="P37" s="11" t="n">
        <v>2.7206</v>
      </c>
      <c r="Q37" s="11" t="n">
        <v>2.0055</v>
      </c>
      <c r="R37" s="11" t="n">
        <v>2.1707</v>
      </c>
      <c r="S37" s="11" t="n">
        <v>0.549</v>
      </c>
      <c r="U37" s="11" t="n">
        <v>0.3154</v>
      </c>
      <c r="V37" s="11" t="n">
        <v>1.0036</v>
      </c>
      <c r="W37" s="11" t="n">
        <v>0.0307</v>
      </c>
      <c r="X37" s="11" t="n">
        <v>1.2433</v>
      </c>
      <c r="Y37" s="11" t="n">
        <v>0.549</v>
      </c>
    </row>
    <row r="38">
      <c r="A38" s="10" t="inlineStr">
        <is>
          <t>유동부채 합계</t>
        </is>
      </c>
      <c r="D38" s="11" t="n">
        <v>2.8609</v>
      </c>
      <c r="F38" s="11" t="n">
        <v>3.3174</v>
      </c>
      <c r="G38" s="11" t="n">
        <v>6.2861</v>
      </c>
      <c r="H38" s="11" t="n">
        <v>3.8685</v>
      </c>
      <c r="I38" s="11" t="n">
        <v>6.3464</v>
      </c>
      <c r="J38" s="11" t="n">
        <v>8.9924</v>
      </c>
      <c r="K38" s="11" t="n">
        <v>3.4176</v>
      </c>
      <c r="L38" s="11" t="n">
        <v>4.2811</v>
      </c>
      <c r="M38" s="11" t="n">
        <v>5.5039</v>
      </c>
      <c r="N38" s="11" t="n">
        <v>5.3635</v>
      </c>
      <c r="O38" s="11" t="n">
        <v>8.464399999999999</v>
      </c>
      <c r="P38" s="11" t="n">
        <v>5.6698</v>
      </c>
      <c r="Q38" s="11" t="n">
        <v>6.6476</v>
      </c>
      <c r="R38" s="11" t="n">
        <v>6.2175</v>
      </c>
      <c r="S38" s="11" t="n">
        <v>8.085000000000001</v>
      </c>
      <c r="U38" s="11" t="n">
        <v>2.8609</v>
      </c>
      <c r="V38" s="11" t="n">
        <v>6.2861</v>
      </c>
      <c r="W38" s="11" t="n">
        <v>3.4176</v>
      </c>
      <c r="X38" s="11" t="n">
        <v>8.464399999999999</v>
      </c>
      <c r="Y38" s="11" t="n">
        <v>8.085000000000001</v>
      </c>
    </row>
    <row r="39">
      <c r="A39" s="10" t="inlineStr">
        <is>
          <t>장기차입금</t>
        </is>
      </c>
      <c r="D39" s="11" t="n">
        <v>0.8</v>
      </c>
      <c r="F39" s="11" t="n">
        <v>0.8</v>
      </c>
      <c r="G39" s="11" t="n">
        <v>0</v>
      </c>
      <c r="U39" s="11" t="n">
        <v>0.8</v>
      </c>
      <c r="V39" s="11" t="n">
        <v>0</v>
      </c>
    </row>
    <row r="40">
      <c r="A40" s="10" t="inlineStr">
        <is>
          <t>비유동부채 합계</t>
        </is>
      </c>
      <c r="D40" s="11" t="n">
        <v>0.8</v>
      </c>
      <c r="F40" s="11" t="n">
        <v>0.8</v>
      </c>
      <c r="G40" s="11" t="n">
        <v>0</v>
      </c>
      <c r="U40" s="11" t="n">
        <v>0.8</v>
      </c>
      <c r="V40" s="11" t="n">
        <v>0</v>
      </c>
    </row>
    <row r="41">
      <c r="A41" s="10" t="inlineStr">
        <is>
          <t>부채 합계</t>
        </is>
      </c>
      <c r="D41" s="11" t="n">
        <v>3.6609</v>
      </c>
      <c r="F41" s="11" t="n">
        <v>4.1174</v>
      </c>
      <c r="G41" s="11" t="n">
        <v>6.2861</v>
      </c>
      <c r="H41" s="11" t="n">
        <v>3.8685</v>
      </c>
      <c r="I41" s="11" t="n">
        <v>6.3464</v>
      </c>
      <c r="J41" s="11" t="n">
        <v>8.9924</v>
      </c>
      <c r="K41" s="11" t="n">
        <v>3.4176</v>
      </c>
      <c r="L41" s="11" t="n">
        <v>4.2811</v>
      </c>
      <c r="M41" s="11" t="n">
        <v>5.5039</v>
      </c>
      <c r="N41" s="11" t="n">
        <v>5.3635</v>
      </c>
      <c r="O41" s="11" t="n">
        <v>8.464399999999999</v>
      </c>
      <c r="P41" s="11" t="n">
        <v>5.6698</v>
      </c>
      <c r="Q41" s="11" t="n">
        <v>6.6476</v>
      </c>
      <c r="R41" s="11" t="n">
        <v>6.2175</v>
      </c>
      <c r="S41" s="11" t="n">
        <v>8.085000000000001</v>
      </c>
      <c r="U41" s="11" t="n">
        <v>3.6609</v>
      </c>
      <c r="V41" s="11" t="n">
        <v>6.2861</v>
      </c>
      <c r="W41" s="11" t="n">
        <v>3.4176</v>
      </c>
      <c r="X41" s="11" t="n">
        <v>8.464399999999999</v>
      </c>
      <c r="Y41" s="11" t="n">
        <v>8.085000000000001</v>
      </c>
    </row>
    <row r="42">
      <c r="A42" s="10" t="inlineStr">
        <is>
          <t>자본금</t>
        </is>
      </c>
      <c r="D42" s="11" t="n">
        <v>1</v>
      </c>
      <c r="F42" s="11" t="n">
        <v>1</v>
      </c>
      <c r="G42" s="11" t="n">
        <v>7.3279</v>
      </c>
      <c r="H42" s="11" t="n">
        <v>7.7533</v>
      </c>
      <c r="I42" s="11" t="n">
        <v>8.194800000000001</v>
      </c>
      <c r="J42" s="11" t="n">
        <v>8.230499999999999</v>
      </c>
      <c r="K42" s="11" t="n">
        <v>8.322800000000001</v>
      </c>
      <c r="L42" s="11" t="n">
        <v>8.4316</v>
      </c>
      <c r="M42" s="11" t="n">
        <v>8.4451</v>
      </c>
      <c r="N42" s="11" t="n">
        <v>8.871600000000001</v>
      </c>
      <c r="O42" s="11" t="n">
        <v>8.9594</v>
      </c>
      <c r="P42" s="11" t="n">
        <v>9.1677</v>
      </c>
      <c r="Q42" s="11" t="n">
        <v>9.258100000000001</v>
      </c>
      <c r="R42" s="11" t="n">
        <v>9.335599999999999</v>
      </c>
      <c r="S42" s="11" t="n">
        <v>9.404299999999999</v>
      </c>
      <c r="U42" s="11" t="n">
        <v>1</v>
      </c>
      <c r="V42" s="11" t="n">
        <v>7.3279</v>
      </c>
      <c r="W42" s="11" t="n">
        <v>8.322800000000001</v>
      </c>
      <c r="X42" s="11" t="n">
        <v>8.9594</v>
      </c>
      <c r="Y42" s="11" t="n">
        <v>9.404299999999999</v>
      </c>
    </row>
    <row r="43">
      <c r="A43" s="10" t="inlineStr">
        <is>
          <t>자본준비금</t>
        </is>
      </c>
      <c r="D43" s="11" t="n">
        <v>0</v>
      </c>
      <c r="G43" s="11" t="n">
        <v>6.3279</v>
      </c>
      <c r="K43" s="11" t="n">
        <v>7.3228</v>
      </c>
      <c r="O43" s="11" t="n">
        <v>7.9594</v>
      </c>
      <c r="S43" s="11" t="n">
        <v>8.404299999999999</v>
      </c>
      <c r="U43" s="11" t="n">
        <v>0</v>
      </c>
      <c r="V43" s="11" t="n">
        <v>6.3279</v>
      </c>
      <c r="W43" s="11" t="n">
        <v>7.3228</v>
      </c>
      <c r="X43" s="11" t="n">
        <v>7.9594</v>
      </c>
      <c r="Y43" s="11" t="n">
        <v>8.404299999999999</v>
      </c>
    </row>
    <row r="44">
      <c r="A44" s="10" t="inlineStr">
        <is>
          <t>기타자본잉여금</t>
        </is>
      </c>
      <c r="D44" s="11" t="n">
        <v>18.8358</v>
      </c>
      <c r="G44" s="11" t="n">
        <v>18.8358</v>
      </c>
      <c r="K44" s="11" t="n">
        <v>18.8358</v>
      </c>
      <c r="O44" s="11" t="n">
        <v>18.8358</v>
      </c>
      <c r="S44" s="11" t="n">
        <v>18.8358</v>
      </c>
      <c r="U44" s="11" t="n">
        <v>18.8358</v>
      </c>
      <c r="V44" s="11" t="n">
        <v>18.8358</v>
      </c>
      <c r="W44" s="11" t="n">
        <v>18.8358</v>
      </c>
      <c r="X44" s="11" t="n">
        <v>18.8358</v>
      </c>
      <c r="Y44" s="11" t="n">
        <v>18.8358</v>
      </c>
    </row>
    <row r="45">
      <c r="A45" s="10" t="inlineStr">
        <is>
          <t>자본잉여금 합계</t>
        </is>
      </c>
      <c r="D45" s="11" t="n">
        <v>18.8358</v>
      </c>
      <c r="F45" s="11" t="n">
        <v>18.8358</v>
      </c>
      <c r="G45" s="11" t="n">
        <v>25.1637</v>
      </c>
      <c r="H45" s="11" t="n">
        <v>25.589</v>
      </c>
      <c r="I45" s="11" t="n">
        <v>26.0306</v>
      </c>
      <c r="J45" s="11" t="n">
        <v>26.0663</v>
      </c>
      <c r="K45" s="11" t="n">
        <v>26.1586</v>
      </c>
      <c r="L45" s="11" t="n">
        <v>26.2673</v>
      </c>
      <c r="M45" s="11" t="n">
        <v>26.2808</v>
      </c>
      <c r="N45" s="11" t="n">
        <v>26.7074</v>
      </c>
      <c r="O45" s="11" t="n">
        <v>26.7951</v>
      </c>
      <c r="P45" s="11" t="n">
        <v>27.0035</v>
      </c>
      <c r="Q45" s="11" t="n">
        <v>27.0939</v>
      </c>
      <c r="R45" s="11" t="n">
        <v>27.1714</v>
      </c>
      <c r="S45" s="11" t="n">
        <v>27.24</v>
      </c>
      <c r="U45" s="11" t="n">
        <v>18.8358</v>
      </c>
      <c r="V45" s="11" t="n">
        <v>25.1637</v>
      </c>
      <c r="W45" s="11" t="n">
        <v>26.1586</v>
      </c>
      <c r="X45" s="11" t="n">
        <v>26.7951</v>
      </c>
      <c r="Y45" s="11" t="n">
        <v>27.24</v>
      </c>
    </row>
    <row r="46">
      <c r="A46" s="10" t="inlineStr">
        <is>
          <t>이월이익잉여금</t>
        </is>
      </c>
      <c r="D46" s="11" t="n">
        <v>-1.9437</v>
      </c>
      <c r="G46" s="11" t="n">
        <v>2.2723</v>
      </c>
      <c r="K46" s="11" t="n">
        <v>4.4595</v>
      </c>
      <c r="O46" s="11" t="n">
        <v>8.9421</v>
      </c>
      <c r="S46" s="11" t="n">
        <v>19.6012</v>
      </c>
      <c r="U46" s="11" t="n">
        <v>-1.9437</v>
      </c>
      <c r="V46" s="11" t="n">
        <v>2.2723</v>
      </c>
      <c r="W46" s="11" t="n">
        <v>4.4595</v>
      </c>
      <c r="X46" s="11" t="n">
        <v>8.9421</v>
      </c>
      <c r="Y46" s="11" t="n">
        <v>19.6012</v>
      </c>
    </row>
    <row r="47">
      <c r="A47" s="10" t="inlineStr">
        <is>
          <t>이익잉여금 합계</t>
        </is>
      </c>
      <c r="D47" s="11" t="n">
        <v>-1.9437</v>
      </c>
      <c r="F47" s="11" t="n">
        <v>1.7975</v>
      </c>
      <c r="G47" s="11" t="n">
        <v>2.2723</v>
      </c>
      <c r="H47" s="11" t="n">
        <v>2.7493</v>
      </c>
      <c r="I47" s="11" t="n">
        <v>3.9763</v>
      </c>
      <c r="J47" s="11" t="n">
        <v>3.8041</v>
      </c>
      <c r="K47" s="11" t="n">
        <v>4.4595</v>
      </c>
      <c r="L47" s="11" t="n">
        <v>5.313</v>
      </c>
      <c r="M47" s="11" t="n">
        <v>6.9024</v>
      </c>
      <c r="N47" s="11" t="n">
        <v>7.9953</v>
      </c>
      <c r="O47" s="11" t="n">
        <v>8.9421</v>
      </c>
      <c r="P47" s="11" t="n">
        <v>10.7629</v>
      </c>
      <c r="Q47" s="11" t="n">
        <v>12.3045</v>
      </c>
      <c r="R47" s="11" t="n">
        <v>16.0772</v>
      </c>
      <c r="S47" s="11" t="n">
        <v>19.6012</v>
      </c>
      <c r="U47" s="11" t="n">
        <v>-1.9437</v>
      </c>
      <c r="V47" s="11" t="n">
        <v>2.2723</v>
      </c>
      <c r="W47" s="11" t="n">
        <v>4.4595</v>
      </c>
      <c r="X47" s="11" t="n">
        <v>8.9421</v>
      </c>
      <c r="Y47" s="11" t="n">
        <v>19.6012</v>
      </c>
    </row>
    <row r="48">
      <c r="A48" s="10" t="inlineStr">
        <is>
          <t>자기주식</t>
        </is>
      </c>
      <c r="K48" s="11" t="n">
        <v>0</v>
      </c>
      <c r="L48" s="11" t="n">
        <v>-0.0007</v>
      </c>
      <c r="M48" s="11" t="n">
        <v>-0.0015</v>
      </c>
      <c r="N48" s="11" t="n">
        <v>-0.0015</v>
      </c>
      <c r="O48" s="11" t="n">
        <v>-0.0027</v>
      </c>
      <c r="P48" s="11" t="n">
        <v>-0.0027</v>
      </c>
      <c r="Q48" s="11" t="n">
        <v>-0.0027</v>
      </c>
      <c r="R48" s="11" t="n">
        <v>-0.0027</v>
      </c>
      <c r="S48" s="11" t="n">
        <v>-0.0034</v>
      </c>
      <c r="W48" s="11" t="n">
        <v>0</v>
      </c>
      <c r="X48" s="11" t="n">
        <v>-0.0027</v>
      </c>
      <c r="Y48" s="11" t="n">
        <v>-0.0034</v>
      </c>
    </row>
    <row r="49">
      <c r="A49" s="10" t="inlineStr">
        <is>
          <t>주주자본 합계</t>
        </is>
      </c>
      <c r="D49" s="11" t="n">
        <v>17.8921</v>
      </c>
      <c r="F49" s="11" t="n">
        <v>21.6332</v>
      </c>
      <c r="G49" s="11" t="n">
        <v>34.7638</v>
      </c>
      <c r="H49" s="11" t="n">
        <v>36.0916</v>
      </c>
      <c r="I49" s="11" t="n">
        <v>38.2017</v>
      </c>
      <c r="J49" s="11" t="n">
        <v>38.1009</v>
      </c>
      <c r="K49" s="11" t="n">
        <v>38.9409</v>
      </c>
      <c r="L49" s="11" t="n">
        <v>40.0113</v>
      </c>
      <c r="M49" s="11" t="n">
        <v>41.6268</v>
      </c>
      <c r="N49" s="11" t="n">
        <v>43.5728</v>
      </c>
      <c r="O49" s="11" t="n">
        <v>44.6939</v>
      </c>
      <c r="P49" s="11" t="n">
        <v>46.9314</v>
      </c>
      <c r="Q49" s="11" t="n">
        <v>48.6538</v>
      </c>
      <c r="R49" s="11" t="n">
        <v>52.5816</v>
      </c>
      <c r="S49" s="11" t="n">
        <v>56.2421</v>
      </c>
      <c r="U49" s="11" t="n">
        <v>17.8921</v>
      </c>
      <c r="V49" s="11" t="n">
        <v>34.7638</v>
      </c>
      <c r="W49" s="11" t="n">
        <v>38.9409</v>
      </c>
      <c r="X49" s="11" t="n">
        <v>44.6939</v>
      </c>
      <c r="Y49" s="11" t="n">
        <v>56.2421</v>
      </c>
    </row>
    <row r="50">
      <c r="A50" s="10" t="inlineStr">
        <is>
          <t>기타유가증권 평가차액</t>
        </is>
      </c>
      <c r="O50" s="11" t="n">
        <v>0</v>
      </c>
      <c r="Q50" s="11" t="n">
        <v>0.2146</v>
      </c>
      <c r="R50" s="11" t="n">
        <v>0.3495</v>
      </c>
      <c r="S50" s="11" t="n">
        <v>0.3875</v>
      </c>
      <c r="X50" s="11" t="n">
        <v>0</v>
      </c>
      <c r="Y50" s="11" t="n">
        <v>0.3875</v>
      </c>
    </row>
    <row r="51">
      <c r="A51" s="10" t="inlineStr">
        <is>
          <t>평가·환산차액 합계</t>
        </is>
      </c>
      <c r="O51" s="11" t="n">
        <v>0</v>
      </c>
      <c r="Q51" s="11" t="n">
        <v>0.2146</v>
      </c>
      <c r="R51" s="11" t="n">
        <v>0.3495</v>
      </c>
      <c r="S51" s="11" t="n">
        <v>0.3875</v>
      </c>
      <c r="X51" s="11" t="n">
        <v>0</v>
      </c>
      <c r="Y51" s="11" t="n">
        <v>0.3875</v>
      </c>
    </row>
    <row r="52">
      <c r="A52" s="10" t="inlineStr">
        <is>
          <t>신주예약권</t>
        </is>
      </c>
      <c r="D52" s="11" t="n">
        <v>0.045</v>
      </c>
      <c r="F52" s="11" t="n">
        <v>0.045</v>
      </c>
      <c r="G52" s="11" t="n">
        <v>0.045</v>
      </c>
      <c r="H52" s="11" t="n">
        <v>0.045</v>
      </c>
      <c r="I52" s="11" t="n">
        <v>0.0419</v>
      </c>
      <c r="J52" s="11" t="n">
        <v>0.0416</v>
      </c>
      <c r="K52" s="11" t="n">
        <v>0.0397</v>
      </c>
      <c r="L52" s="11" t="n">
        <v>0.0349</v>
      </c>
      <c r="M52" s="11" t="n">
        <v>0.0349</v>
      </c>
      <c r="N52" s="11" t="n">
        <v>0.0237</v>
      </c>
      <c r="O52" s="11" t="n">
        <v>0.0234</v>
      </c>
      <c r="P52" s="11" t="n">
        <v>0.017</v>
      </c>
      <c r="Q52" s="11" t="n">
        <v>0.0166</v>
      </c>
      <c r="R52" s="11" t="n">
        <v>0.0165</v>
      </c>
      <c r="S52" s="11" t="n">
        <v>0.0159</v>
      </c>
      <c r="U52" s="11" t="n">
        <v>0.045</v>
      </c>
      <c r="V52" s="11" t="n">
        <v>0.045</v>
      </c>
      <c r="W52" s="11" t="n">
        <v>0.0397</v>
      </c>
      <c r="X52" s="11" t="n">
        <v>0.0234</v>
      </c>
      <c r="Y52" s="11" t="n">
        <v>0.0159</v>
      </c>
    </row>
    <row r="53">
      <c r="A53" s="10" t="inlineStr">
        <is>
          <t>순자산 합계</t>
        </is>
      </c>
      <c r="D53" s="11" t="n">
        <v>17.9371</v>
      </c>
      <c r="F53" s="11" t="n">
        <v>21.6782</v>
      </c>
      <c r="G53" s="11" t="n">
        <v>34.8088</v>
      </c>
      <c r="H53" s="11" t="n">
        <v>36.1366</v>
      </c>
      <c r="I53" s="11" t="n">
        <v>38.2436</v>
      </c>
      <c r="J53" s="11" t="n">
        <v>38.1426</v>
      </c>
      <c r="K53" s="11" t="n">
        <v>38.9806</v>
      </c>
      <c r="L53" s="11" t="n">
        <v>40.0462</v>
      </c>
      <c r="M53" s="11" t="n">
        <v>41.6617</v>
      </c>
      <c r="N53" s="11" t="n">
        <v>43.5966</v>
      </c>
      <c r="O53" s="11" t="n">
        <v>44.7174</v>
      </c>
      <c r="P53" s="11" t="n">
        <v>46.9484</v>
      </c>
      <c r="Q53" s="11" t="n">
        <v>48.8849</v>
      </c>
      <c r="R53" s="11" t="n">
        <v>52.9476</v>
      </c>
      <c r="S53" s="11" t="n">
        <v>56.6454</v>
      </c>
      <c r="U53" s="11" t="n">
        <v>17.9371</v>
      </c>
      <c r="V53" s="11" t="n">
        <v>34.8088</v>
      </c>
      <c r="W53" s="11" t="n">
        <v>38.9806</v>
      </c>
      <c r="X53" s="11" t="n">
        <v>44.7174</v>
      </c>
      <c r="Y53" s="11" t="n">
        <v>56.6454</v>
      </c>
    </row>
    <row r="54">
      <c r="A54" s="10" t="inlineStr">
        <is>
          <t>부채·순자산 합계</t>
        </is>
      </c>
      <c r="D54" s="11" t="n">
        <v>21.598</v>
      </c>
      <c r="F54" s="11" t="n">
        <v>25.7956</v>
      </c>
      <c r="G54" s="11" t="n">
        <v>41.0949</v>
      </c>
      <c r="H54" s="11" t="n">
        <v>40.0051</v>
      </c>
      <c r="I54" s="11" t="n">
        <v>44.5901</v>
      </c>
      <c r="J54" s="11" t="n">
        <v>47.1349</v>
      </c>
      <c r="K54" s="11" t="n">
        <v>42.3982</v>
      </c>
      <c r="L54" s="11" t="n">
        <v>44.3273</v>
      </c>
      <c r="M54" s="11" t="n">
        <v>47.1656</v>
      </c>
      <c r="N54" s="11" t="n">
        <v>48.9601</v>
      </c>
      <c r="O54" s="11" t="n">
        <v>53.1817</v>
      </c>
      <c r="P54" s="11" t="n">
        <v>52.6181</v>
      </c>
      <c r="Q54" s="11" t="n">
        <v>55.5326</v>
      </c>
      <c r="R54" s="11" t="n">
        <v>59.1651</v>
      </c>
      <c r="S54" s="11" t="n">
        <v>64.73050000000001</v>
      </c>
      <c r="U54" s="11" t="n">
        <v>21.598</v>
      </c>
      <c r="V54" s="11" t="n">
        <v>41.0949</v>
      </c>
      <c r="W54" s="11" t="n">
        <v>42.3982</v>
      </c>
      <c r="X54" s="11" t="n">
        <v>53.1817</v>
      </c>
      <c r="Y54" s="11" t="n">
        <v>64.73050000000001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2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40" customWidth="1" min="26" max="26"/>
  </cols>
  <sheetData>
    <row r="1">
      <c r="A1" s="1" t="inlineStr">
        <is>
          <t>ABEJA 현금흐름표</t>
        </is>
      </c>
    </row>
    <row r="2">
      <c r="A2" s="2" t="inlineStr">
        <is>
          <t>결산기 기준(27.2Q = 2027년 결산기 2분기) · 8월 결산 · 연결 · 누계(그 분기까지) · 오른쪽 FY = 연간</t>
        </is>
      </c>
      <c r="B2" s="3" t="inlineStr">
        <is>
          <t>(단위: 억엔)</t>
        </is>
      </c>
    </row>
    <row r="3">
      <c r="A3" s="4" t="inlineStr">
        <is>
          <t>항목</t>
        </is>
      </c>
      <c r="B3" s="4" t="inlineStr">
        <is>
          <t>참고</t>
        </is>
      </c>
      <c r="C3" s="4" t="inlineStr">
        <is>
          <t>21.4Q</t>
        </is>
      </c>
      <c r="D3" s="4" t="inlineStr">
        <is>
          <t>22.4Q</t>
        </is>
      </c>
      <c r="E3" s="4" t="inlineStr">
        <is>
          <t>23.2Q</t>
        </is>
      </c>
      <c r="F3" s="4" t="inlineStr">
        <is>
          <t>23.3Q</t>
        </is>
      </c>
      <c r="G3" s="4" t="inlineStr">
        <is>
          <t>23.4Q</t>
        </is>
      </c>
      <c r="H3" s="4" t="inlineStr">
        <is>
          <t>24.1Q</t>
        </is>
      </c>
      <c r="I3" s="4" t="inlineStr">
        <is>
          <t>24.2Q</t>
        </is>
      </c>
      <c r="J3" s="4" t="inlineStr">
        <is>
          <t>24.3Q</t>
        </is>
      </c>
      <c r="K3" s="4" t="inlineStr">
        <is>
          <t>24.4Q</t>
        </is>
      </c>
      <c r="L3" s="4" t="inlineStr">
        <is>
          <t>25.1Q</t>
        </is>
      </c>
      <c r="M3" s="4" t="inlineStr">
        <is>
          <t>25.2Q</t>
        </is>
      </c>
      <c r="N3" s="4" t="inlineStr">
        <is>
          <t>25.3Q</t>
        </is>
      </c>
      <c r="O3" s="4" t="inlineStr">
        <is>
          <t>25.4Q</t>
        </is>
      </c>
      <c r="P3" s="4" t="inlineStr">
        <is>
          <t>26.1Q</t>
        </is>
      </c>
      <c r="Q3" s="4" t="inlineStr">
        <is>
          <t>26.2Q</t>
        </is>
      </c>
      <c r="R3" s="4" t="inlineStr">
        <is>
          <t>26.3Q</t>
        </is>
      </c>
      <c r="S3" s="4" t="inlineStr">
        <is>
          <t>26.4Q</t>
        </is>
      </c>
      <c r="T3" s="4" t="inlineStr">
        <is>
          <t>FY21</t>
        </is>
      </c>
      <c r="U3" s="4" t="inlineStr">
        <is>
          <t>FY22</t>
        </is>
      </c>
      <c r="V3" s="4" t="inlineStr">
        <is>
          <t>FY23</t>
        </is>
      </c>
      <c r="W3" s="4" t="inlineStr">
        <is>
          <t>FY24</t>
        </is>
      </c>
      <c r="X3" s="4" t="inlineStr">
        <is>
          <t>FY25</t>
        </is>
      </c>
      <c r="Y3" s="4" t="inlineStr">
        <is>
          <t>FY26</t>
        </is>
      </c>
      <c r="Z3" s="4" t="inlineStr">
        <is>
          <t>출처</t>
        </is>
      </c>
    </row>
    <row r="4">
      <c r="A4" s="10" t="inlineStr">
        <is>
          <t>법인세차감전 순이익</t>
        </is>
      </c>
      <c r="D4" s="11" t="n">
        <v>-1.9407</v>
      </c>
      <c r="E4" s="11" t="n">
        <v>3.4568</v>
      </c>
      <c r="G4" s="11" t="n">
        <v>3.7976</v>
      </c>
      <c r="I4" s="11" t="n">
        <v>2.0214</v>
      </c>
      <c r="K4" s="11" t="n">
        <v>2.8667</v>
      </c>
      <c r="M4" s="11" t="n">
        <v>2.9225</v>
      </c>
      <c r="O4" s="11" t="n">
        <v>4.5198</v>
      </c>
      <c r="Q4" s="11" t="n">
        <v>3.896</v>
      </c>
      <c r="S4" s="11" t="n">
        <v>7.5985</v>
      </c>
      <c r="U4" s="11" t="n">
        <v>-1.9407</v>
      </c>
      <c r="V4" s="11" t="n">
        <v>3.7976</v>
      </c>
      <c r="W4" s="11" t="n">
        <v>2.8667</v>
      </c>
      <c r="X4" s="11" t="n">
        <v>4.5198</v>
      </c>
      <c r="Y4" s="11" t="n">
        <v>7.5985</v>
      </c>
      <c r="Z4" s="7" t="inlineStr">
        <is>
          <t>결산단신 XBRL(거래소 공시, TDnet·JPX 보관소). 쓴 문서: 2026-10-15, 2026-07-15, 2026-04-14, 2026-01-14 외 10건 — '출처' 시트에 전부</t>
        </is>
      </c>
    </row>
    <row r="5">
      <c r="A5" s="10" t="inlineStr">
        <is>
          <t>감가상각비</t>
        </is>
      </c>
      <c r="D5" s="11" t="n">
        <v>0</v>
      </c>
      <c r="E5" s="11" t="n">
        <v>0</v>
      </c>
      <c r="G5" s="11" t="n">
        <v>0.0011</v>
      </c>
      <c r="I5" s="11" t="n">
        <v>0.0151</v>
      </c>
      <c r="K5" s="11" t="n">
        <v>0.058</v>
      </c>
      <c r="M5" s="11" t="n">
        <v>0.0533</v>
      </c>
      <c r="O5" s="11" t="n">
        <v>0.1289</v>
      </c>
      <c r="Q5" s="11" t="n">
        <v>0.0721</v>
      </c>
      <c r="S5" s="11" t="n">
        <v>0.1676</v>
      </c>
      <c r="U5" s="11" t="n">
        <v>0</v>
      </c>
      <c r="V5" s="11" t="n">
        <v>0.0011</v>
      </c>
      <c r="W5" s="11" t="n">
        <v>0.058</v>
      </c>
      <c r="X5" s="11" t="n">
        <v>0.1289</v>
      </c>
      <c r="Y5" s="11" t="n">
        <v>0.1676</v>
      </c>
    </row>
    <row r="6">
      <c r="A6" s="10" t="inlineStr">
        <is>
          <t>신주예약권 환입이익</t>
        </is>
      </c>
      <c r="D6" s="11" t="n">
        <v>-0.0175</v>
      </c>
      <c r="G6" s="11" t="n">
        <v>0</v>
      </c>
      <c r="U6" s="11" t="n">
        <v>-0.0175</v>
      </c>
      <c r="V6" s="11" t="n">
        <v>0</v>
      </c>
    </row>
    <row r="7">
      <c r="A7" s="10" t="inlineStr">
        <is>
          <t>대손충당금 증감</t>
        </is>
      </c>
      <c r="D7" s="11" t="n">
        <v>-0.005</v>
      </c>
      <c r="E7" s="11" t="n">
        <v>0.0034</v>
      </c>
      <c r="G7" s="11" t="n">
        <v>-0.0027</v>
      </c>
      <c r="I7" s="11" t="n">
        <v>0</v>
      </c>
      <c r="K7" s="11" t="n">
        <v>0</v>
      </c>
      <c r="U7" s="11" t="n">
        <v>-0.005</v>
      </c>
      <c r="V7" s="11" t="n">
        <v>-0.0027</v>
      </c>
      <c r="W7" s="11" t="n">
        <v>0</v>
      </c>
    </row>
    <row r="8">
      <c r="A8" s="10" t="inlineStr">
        <is>
          <t>주식보상비용</t>
        </is>
      </c>
      <c r="M8" s="11" t="n">
        <v>0</v>
      </c>
      <c r="O8" s="11" t="n">
        <v>0</v>
      </c>
      <c r="Q8" s="11" t="n">
        <v>0.0095</v>
      </c>
      <c r="S8" s="11" t="n">
        <v>0.0285</v>
      </c>
      <c r="X8" s="11" t="n">
        <v>0</v>
      </c>
      <c r="Y8" s="11" t="n">
        <v>0.0285</v>
      </c>
    </row>
    <row r="9">
      <c r="A9" s="10" t="inlineStr">
        <is>
          <t>상여충당금 증감</t>
        </is>
      </c>
      <c r="D9" s="11" t="n">
        <v>0</v>
      </c>
      <c r="E9" s="11" t="n">
        <v>0</v>
      </c>
      <c r="G9" s="11" t="n">
        <v>1.2414</v>
      </c>
      <c r="I9" s="11" t="n">
        <v>-0.1079</v>
      </c>
      <c r="K9" s="11" t="n">
        <v>-0.07290000000000001</v>
      </c>
      <c r="M9" s="11" t="n">
        <v>0.5104</v>
      </c>
      <c r="O9" s="11" t="n">
        <v>0.4081</v>
      </c>
      <c r="Q9" s="11" t="n">
        <v>-0.0045</v>
      </c>
      <c r="S9" s="11" t="n">
        <v>0.2603</v>
      </c>
      <c r="U9" s="11" t="n">
        <v>0</v>
      </c>
      <c r="V9" s="11" t="n">
        <v>1.2414</v>
      </c>
      <c r="W9" s="11" t="n">
        <v>-0.07290000000000001</v>
      </c>
      <c r="X9" s="11" t="n">
        <v>0.4081</v>
      </c>
      <c r="Y9" s="11" t="n">
        <v>0.2603</v>
      </c>
    </row>
    <row r="10">
      <c r="A10" s="10" t="inlineStr">
        <is>
          <t>수주손실 충당금 증감</t>
        </is>
      </c>
      <c r="D10" s="11" t="n">
        <v>-0.0447</v>
      </c>
      <c r="G10" s="11" t="n">
        <v>0</v>
      </c>
      <c r="U10" s="11" t="n">
        <v>-0.0447</v>
      </c>
      <c r="V10" s="11" t="n">
        <v>0</v>
      </c>
    </row>
    <row r="11">
      <c r="A11" s="10" t="inlineStr">
        <is>
          <t>임원 상여충당금 증감</t>
        </is>
      </c>
      <c r="I11" s="11" t="n">
        <v>0</v>
      </c>
      <c r="K11" s="11" t="n">
        <v>0</v>
      </c>
      <c r="M11" s="11" t="n">
        <v>0.2026</v>
      </c>
      <c r="O11" s="11" t="n">
        <v>0.5148</v>
      </c>
      <c r="Q11" s="11" t="n">
        <v>-0.3861</v>
      </c>
      <c r="S11" s="11" t="n">
        <v>-0.2001</v>
      </c>
      <c r="W11" s="11" t="n">
        <v>0</v>
      </c>
      <c r="X11" s="11" t="n">
        <v>0.5148</v>
      </c>
      <c r="Y11" s="11" t="n">
        <v>-0.2001</v>
      </c>
    </row>
    <row r="12">
      <c r="A12" s="10" t="inlineStr">
        <is>
          <t>이자수익</t>
        </is>
      </c>
      <c r="D12" s="11" t="n">
        <v>-0.0002</v>
      </c>
      <c r="E12" s="11" t="n">
        <v>-0.0001</v>
      </c>
      <c r="G12" s="11" t="n">
        <v>-0.0002</v>
      </c>
      <c r="I12" s="11" t="n">
        <v>-0.0002</v>
      </c>
      <c r="K12" s="11" t="n">
        <v>-0.003</v>
      </c>
      <c r="M12" s="11" t="n">
        <v>-0.0144</v>
      </c>
      <c r="O12" s="11" t="n">
        <v>-0.0536</v>
      </c>
      <c r="Q12" s="11" t="n">
        <v>-0.0466</v>
      </c>
      <c r="U12" s="11" t="n">
        <v>-0.0002</v>
      </c>
      <c r="V12" s="11" t="n">
        <v>-0.0002</v>
      </c>
      <c r="W12" s="11" t="n">
        <v>-0.003</v>
      </c>
      <c r="X12" s="11" t="n">
        <v>-0.0536</v>
      </c>
    </row>
    <row r="13">
      <c r="A13" s="10" t="inlineStr">
        <is>
          <t>이자·배당금 수익</t>
        </is>
      </c>
      <c r="O13" s="11" t="n">
        <v>-0.0536</v>
      </c>
      <c r="S13" s="11" t="n">
        <v>-0.2016</v>
      </c>
      <c r="X13" s="11" t="n">
        <v>-0.0536</v>
      </c>
      <c r="Y13" s="11" t="n">
        <v>-0.2016</v>
      </c>
    </row>
    <row r="14">
      <c r="A14" s="10" t="inlineStr">
        <is>
          <t>이자비용</t>
        </is>
      </c>
      <c r="D14" s="11" t="n">
        <v>0.0032</v>
      </c>
      <c r="E14" s="11" t="n">
        <v>0.0016</v>
      </c>
      <c r="G14" s="11" t="n">
        <v>0.0032</v>
      </c>
      <c r="I14" s="11" t="n">
        <v>0.0016</v>
      </c>
      <c r="K14" s="11" t="n">
        <v>0.0029</v>
      </c>
      <c r="M14" s="11" t="n">
        <v>0</v>
      </c>
      <c r="O14" s="11" t="n">
        <v>0</v>
      </c>
      <c r="Q14" s="11" t="n">
        <v>0.0023</v>
      </c>
      <c r="S14" s="11" t="n">
        <v>0.0023</v>
      </c>
      <c r="U14" s="11" t="n">
        <v>0.0032</v>
      </c>
      <c r="V14" s="11" t="n">
        <v>0.0032</v>
      </c>
      <c r="W14" s="11" t="n">
        <v>0.0029</v>
      </c>
      <c r="X14" s="11" t="n">
        <v>0</v>
      </c>
      <c r="Y14" s="11" t="n">
        <v>0.0023</v>
      </c>
    </row>
    <row r="15">
      <c r="A15" s="10" t="inlineStr">
        <is>
          <t>손상차손</t>
        </is>
      </c>
      <c r="D15" s="11" t="n">
        <v>0.1406</v>
      </c>
      <c r="G15" s="11" t="n">
        <v>0</v>
      </c>
      <c r="U15" s="11" t="n">
        <v>0.1406</v>
      </c>
      <c r="V15" s="11" t="n">
        <v>0</v>
      </c>
    </row>
    <row r="16">
      <c r="A16" s="10" t="inlineStr">
        <is>
          <t>주식교부비</t>
        </is>
      </c>
      <c r="D16" s="11" t="n">
        <v>0</v>
      </c>
      <c r="E16" s="11" t="n">
        <v>0</v>
      </c>
      <c r="G16" s="11" t="n">
        <v>0.2447</v>
      </c>
      <c r="I16" s="11" t="n">
        <v>0.0106</v>
      </c>
      <c r="K16" s="11" t="n">
        <v>0.0151</v>
      </c>
      <c r="M16" s="11" t="n">
        <v>0.0037</v>
      </c>
      <c r="O16" s="11" t="n">
        <v>0.0113</v>
      </c>
      <c r="Q16" s="11" t="n">
        <v>0.0057</v>
      </c>
      <c r="S16" s="11" t="n">
        <v>0.008699999999999999</v>
      </c>
      <c r="U16" s="11" t="n">
        <v>0</v>
      </c>
      <c r="V16" s="11" t="n">
        <v>0.2447</v>
      </c>
      <c r="W16" s="11" t="n">
        <v>0.0151</v>
      </c>
      <c r="X16" s="11" t="n">
        <v>0.0113</v>
      </c>
      <c r="Y16" s="11" t="n">
        <v>0.008699999999999999</v>
      </c>
    </row>
    <row r="17">
      <c r="A17" s="10" t="inlineStr">
        <is>
          <t>매출채권 증감</t>
        </is>
      </c>
      <c r="D17" s="11" t="n">
        <v>0.362</v>
      </c>
      <c r="E17" s="11" t="n">
        <v>-1.9562</v>
      </c>
      <c r="G17" s="11" t="n">
        <v>-2.0627</v>
      </c>
      <c r="I17" s="11" t="n">
        <v>-1.4986</v>
      </c>
      <c r="K17" s="11" t="n">
        <v>-0.9555</v>
      </c>
      <c r="M17" s="11" t="n">
        <v>-3.4872</v>
      </c>
      <c r="O17" s="11" t="n">
        <v>-0.1023</v>
      </c>
      <c r="Q17" s="11" t="n">
        <v>-1.047</v>
      </c>
      <c r="S17" s="11" t="n">
        <v>-3.8414</v>
      </c>
      <c r="U17" s="11" t="n">
        <v>0.362</v>
      </c>
      <c r="V17" s="11" t="n">
        <v>-2.0627</v>
      </c>
      <c r="W17" s="11" t="n">
        <v>-0.9555</v>
      </c>
      <c r="X17" s="11" t="n">
        <v>-0.1023</v>
      </c>
      <c r="Y17" s="11" t="n">
        <v>-3.8414</v>
      </c>
    </row>
    <row r="18">
      <c r="A18" s="10" t="inlineStr">
        <is>
          <t>재공품 증감</t>
        </is>
      </c>
      <c r="E18" s="11" t="n">
        <v>-0.0576</v>
      </c>
      <c r="I18" s="11" t="n">
        <v>-0.0188</v>
      </c>
    </row>
    <row r="19">
      <c r="A19" s="10" t="inlineStr">
        <is>
          <t>재공품 증감</t>
        </is>
      </c>
      <c r="I19" s="11" t="n">
        <v>-0.0188</v>
      </c>
      <c r="M19" s="11" t="n">
        <v>-0.0762</v>
      </c>
      <c r="Q19" s="11" t="n">
        <v>0.008200000000000001</v>
      </c>
    </row>
    <row r="20">
      <c r="A20" s="10" t="inlineStr">
        <is>
          <t>재고자산 증감</t>
        </is>
      </c>
      <c r="D20" s="11" t="n">
        <v>-0.4204</v>
      </c>
      <c r="G20" s="11" t="n">
        <v>0.6462</v>
      </c>
      <c r="K20" s="11" t="n">
        <v>0.003</v>
      </c>
      <c r="O20" s="11" t="n">
        <v>-0.07539999999999999</v>
      </c>
      <c r="S20" s="11" t="n">
        <v>0.0193</v>
      </c>
      <c r="U20" s="11" t="n">
        <v>-0.4204</v>
      </c>
      <c r="V20" s="11" t="n">
        <v>0.6462</v>
      </c>
      <c r="W20" s="11" t="n">
        <v>0.003</v>
      </c>
      <c r="X20" s="11" t="n">
        <v>-0.07539999999999999</v>
      </c>
      <c r="Y20" s="11" t="n">
        <v>0.0193</v>
      </c>
    </row>
    <row r="21">
      <c r="A21" s="10" t="inlineStr">
        <is>
          <t>저장품 증감</t>
        </is>
      </c>
      <c r="D21" s="11" t="n">
        <v>0.0589</v>
      </c>
      <c r="E21" s="11" t="n">
        <v>-0.0154</v>
      </c>
      <c r="G21" s="11" t="n">
        <v>-0.0418</v>
      </c>
      <c r="I21" s="11" t="n">
        <v>0.025</v>
      </c>
      <c r="K21" s="11" t="n">
        <v>0.0019</v>
      </c>
      <c r="M21" s="11" t="n">
        <v>-0.008200000000000001</v>
      </c>
      <c r="O21" s="11" t="n">
        <v>0.0218</v>
      </c>
      <c r="Q21" s="11" t="n">
        <v>0.008200000000000001</v>
      </c>
      <c r="S21" s="11" t="n">
        <v>0.0183</v>
      </c>
      <c r="U21" s="11" t="n">
        <v>0.0589</v>
      </c>
      <c r="V21" s="11" t="n">
        <v>-0.0418</v>
      </c>
      <c r="W21" s="11" t="n">
        <v>0.0019</v>
      </c>
      <c r="X21" s="11" t="n">
        <v>0.0218</v>
      </c>
      <c r="Y21" s="11" t="n">
        <v>0.0183</v>
      </c>
    </row>
    <row r="22">
      <c r="A22" s="10" t="inlineStr">
        <is>
          <t>미수금 증감</t>
        </is>
      </c>
      <c r="G22" s="11" t="n">
        <v>0.1111</v>
      </c>
      <c r="I22" s="11" t="n">
        <v>-1.823</v>
      </c>
      <c r="K22" s="11" t="n">
        <v>-6.8474</v>
      </c>
      <c r="M22" s="11" t="n">
        <v>6.3175</v>
      </c>
      <c r="O22" s="11" t="n">
        <v>6.8412</v>
      </c>
      <c r="Q22" s="11" t="n">
        <v>-0.7913</v>
      </c>
      <c r="S22" s="11" t="n">
        <v>-0.08740000000000001</v>
      </c>
      <c r="V22" s="11" t="n">
        <v>0.1111</v>
      </c>
      <c r="W22" s="11" t="n">
        <v>-6.8474</v>
      </c>
      <c r="X22" s="11" t="n">
        <v>6.8412</v>
      </c>
      <c r="Y22" s="11" t="n">
        <v>-0.08740000000000001</v>
      </c>
    </row>
    <row r="23">
      <c r="A23" s="10" t="inlineStr">
        <is>
          <t>매입채무 증감</t>
        </is>
      </c>
      <c r="D23" s="11" t="n">
        <v>-0.0277</v>
      </c>
      <c r="E23" s="11" t="n">
        <v>0.004</v>
      </c>
      <c r="G23" s="11" t="n">
        <v>-0.0032</v>
      </c>
      <c r="I23" s="11" t="n">
        <v>0.0053</v>
      </c>
      <c r="K23" s="11" t="n">
        <v>0.0002</v>
      </c>
      <c r="M23" s="11" t="n">
        <v>0.0002</v>
      </c>
      <c r="O23" s="11" t="n">
        <v>0.0048</v>
      </c>
      <c r="Q23" s="11" t="n">
        <v>-0</v>
      </c>
      <c r="S23" s="11" t="n">
        <v>0.0022</v>
      </c>
      <c r="U23" s="11" t="n">
        <v>-0.0277</v>
      </c>
      <c r="V23" s="11" t="n">
        <v>-0.0032</v>
      </c>
      <c r="W23" s="11" t="n">
        <v>0.0002</v>
      </c>
      <c r="X23" s="11" t="n">
        <v>0.0048</v>
      </c>
      <c r="Y23" s="11" t="n">
        <v>0.0022</v>
      </c>
    </row>
    <row r="24">
      <c r="A24" s="10" t="inlineStr">
        <is>
          <t>미지급금 증감</t>
        </is>
      </c>
      <c r="D24" s="11" t="n">
        <v>-0.1985</v>
      </c>
      <c r="E24" s="11" t="n">
        <v>-0.3977</v>
      </c>
      <c r="G24" s="11" t="n">
        <v>-0.6421</v>
      </c>
      <c r="I24" s="11" t="n">
        <v>1.8073</v>
      </c>
      <c r="K24" s="11" t="n">
        <v>-0.2641</v>
      </c>
      <c r="M24" s="11" t="n">
        <v>0.5672</v>
      </c>
      <c r="O24" s="11" t="n">
        <v>0.7199</v>
      </c>
      <c r="Q24" s="11" t="n">
        <v>0.5935</v>
      </c>
      <c r="S24" s="11" t="n">
        <v>1.3693</v>
      </c>
      <c r="U24" s="11" t="n">
        <v>-0.1985</v>
      </c>
      <c r="V24" s="11" t="n">
        <v>-0.6421</v>
      </c>
      <c r="W24" s="11" t="n">
        <v>-0.2641</v>
      </c>
      <c r="X24" s="11" t="n">
        <v>0.7199</v>
      </c>
      <c r="Y24" s="11" t="n">
        <v>1.3693</v>
      </c>
    </row>
    <row r="25">
      <c r="A25" s="10" t="inlineStr">
        <is>
          <t>계약부채 증감</t>
        </is>
      </c>
      <c r="K25" s="11" t="n">
        <v>0.1472</v>
      </c>
      <c r="M25" s="11" t="n">
        <v>-0.2137</v>
      </c>
      <c r="O25" s="11" t="n">
        <v>1.3245</v>
      </c>
      <c r="Q25" s="11" t="n">
        <v>-1.3225</v>
      </c>
      <c r="S25" s="11" t="n">
        <v>-1.4812</v>
      </c>
      <c r="W25" s="11" t="n">
        <v>0.1472</v>
      </c>
      <c r="X25" s="11" t="n">
        <v>1.3245</v>
      </c>
      <c r="Y25" s="11" t="n">
        <v>-1.4812</v>
      </c>
    </row>
    <row r="26">
      <c r="A26" s="10" t="inlineStr">
        <is>
          <t>미지급법인세(외형표준과세) 증감</t>
        </is>
      </c>
      <c r="D26" s="11" t="n">
        <v>-0.0709</v>
      </c>
      <c r="E26" s="11" t="n">
        <v>-0</v>
      </c>
      <c r="G26" s="11" t="n">
        <v>0.3201</v>
      </c>
      <c r="I26" s="11" t="n">
        <v>-0.1518</v>
      </c>
      <c r="K26" s="11" t="n">
        <v>-0.1891</v>
      </c>
      <c r="M26" s="11" t="n">
        <v>0.0478</v>
      </c>
      <c r="O26" s="11" t="n">
        <v>0.0707</v>
      </c>
      <c r="Q26" s="11" t="n">
        <v>0.0141</v>
      </c>
      <c r="S26" s="11" t="n">
        <v>0.0663</v>
      </c>
      <c r="U26" s="11" t="n">
        <v>-0.0709</v>
      </c>
      <c r="V26" s="11" t="n">
        <v>0.3201</v>
      </c>
      <c r="W26" s="11" t="n">
        <v>-0.1891</v>
      </c>
      <c r="X26" s="11" t="n">
        <v>0.0707</v>
      </c>
      <c r="Y26" s="11" t="n">
        <v>0.0663</v>
      </c>
    </row>
    <row r="27">
      <c r="A27" s="10" t="inlineStr">
        <is>
          <t>기타</t>
        </is>
      </c>
      <c r="D27" s="11" t="n">
        <v>-0.382</v>
      </c>
      <c r="E27" s="11" t="n">
        <v>0.2134</v>
      </c>
      <c r="G27" s="11" t="n">
        <v>1.0185</v>
      </c>
      <c r="I27" s="11" t="n">
        <v>-1.1049</v>
      </c>
      <c r="K27" s="11" t="n">
        <v>-1.0336</v>
      </c>
      <c r="M27" s="11" t="n">
        <v>0.7206</v>
      </c>
      <c r="O27" s="11" t="n">
        <v>1.8766</v>
      </c>
      <c r="Q27" s="11" t="n">
        <v>-1.0324</v>
      </c>
      <c r="S27" s="11" t="n">
        <v>-1.3876</v>
      </c>
      <c r="U27" s="11" t="n">
        <v>-0.382</v>
      </c>
      <c r="V27" s="11" t="n">
        <v>1.0185</v>
      </c>
      <c r="W27" s="11" t="n">
        <v>-1.0336</v>
      </c>
      <c r="X27" s="11" t="n">
        <v>1.8766</v>
      </c>
      <c r="Y27" s="11" t="n">
        <v>-1.3876</v>
      </c>
    </row>
    <row r="28">
      <c r="A28" s="10" t="inlineStr">
        <is>
          <t>소계</t>
        </is>
      </c>
      <c r="D28" s="11" t="n">
        <v>-2.543</v>
      </c>
      <c r="E28" s="11" t="n">
        <v>1.2522</v>
      </c>
      <c r="G28" s="11" t="n">
        <v>4.6312</v>
      </c>
      <c r="I28" s="11" t="n">
        <v>-0.8188</v>
      </c>
      <c r="K28" s="11" t="n">
        <v>-6.2704</v>
      </c>
      <c r="M28" s="11" t="n">
        <v>7.5462</v>
      </c>
      <c r="O28" s="11" t="n">
        <v>16.211</v>
      </c>
      <c r="Q28" s="11" t="n">
        <v>-0.0209</v>
      </c>
      <c r="S28" s="11" t="n">
        <v>2.342</v>
      </c>
      <c r="U28" s="11" t="n">
        <v>-2.543</v>
      </c>
      <c r="V28" s="11" t="n">
        <v>4.6312</v>
      </c>
      <c r="W28" s="11" t="n">
        <v>-6.2704</v>
      </c>
      <c r="X28" s="11" t="n">
        <v>16.211</v>
      </c>
      <c r="Y28" s="11" t="n">
        <v>2.342</v>
      </c>
    </row>
    <row r="29">
      <c r="A29" s="10" t="inlineStr">
        <is>
          <t>이자 수취</t>
        </is>
      </c>
      <c r="D29" s="11" t="n">
        <v>0.0002</v>
      </c>
      <c r="E29" s="11" t="n">
        <v>0.0001</v>
      </c>
      <c r="G29" s="11" t="n">
        <v>0.0002</v>
      </c>
      <c r="I29" s="11" t="n">
        <v>0.0002</v>
      </c>
      <c r="K29" s="11" t="n">
        <v>0.003</v>
      </c>
      <c r="M29" s="11" t="n">
        <v>0.0144</v>
      </c>
      <c r="O29" s="11" t="n">
        <v>0.0536</v>
      </c>
      <c r="Q29" s="11" t="n">
        <v>0.0466</v>
      </c>
      <c r="U29" s="11" t="n">
        <v>0.0002</v>
      </c>
      <c r="V29" s="11" t="n">
        <v>0.0002</v>
      </c>
      <c r="W29" s="11" t="n">
        <v>0.003</v>
      </c>
      <c r="X29" s="11" t="n">
        <v>0.0536</v>
      </c>
    </row>
    <row r="30">
      <c r="A30" s="10" t="inlineStr">
        <is>
          <t>이자·배당금 수취</t>
        </is>
      </c>
      <c r="O30" s="11" t="n">
        <v>0.0536</v>
      </c>
      <c r="S30" s="11" t="n">
        <v>0.2016</v>
      </c>
      <c r="X30" s="11" t="n">
        <v>0.0536</v>
      </c>
      <c r="Y30" s="11" t="n">
        <v>0.2016</v>
      </c>
    </row>
    <row r="31">
      <c r="A31" s="10" t="inlineStr">
        <is>
          <t>이자 지급</t>
        </is>
      </c>
      <c r="D31" s="11" t="n">
        <v>-0.0032</v>
      </c>
      <c r="E31" s="11" t="n">
        <v>-0.0016</v>
      </c>
      <c r="G31" s="11" t="n">
        <v>-0.0032</v>
      </c>
      <c r="I31" s="11" t="n">
        <v>-0.0016</v>
      </c>
      <c r="K31" s="11" t="n">
        <v>-0.0029</v>
      </c>
      <c r="M31" s="11" t="n">
        <v>0</v>
      </c>
      <c r="O31" s="11" t="n">
        <v>0</v>
      </c>
      <c r="Q31" s="11" t="n">
        <v>-0.0023</v>
      </c>
      <c r="S31" s="11" t="n">
        <v>-0.0023</v>
      </c>
      <c r="U31" s="11" t="n">
        <v>-0.0032</v>
      </c>
      <c r="V31" s="11" t="n">
        <v>-0.0032</v>
      </c>
      <c r="W31" s="11" t="n">
        <v>-0.0029</v>
      </c>
      <c r="X31" s="11" t="n">
        <v>0</v>
      </c>
      <c r="Y31" s="11" t="n">
        <v>-0.0023</v>
      </c>
    </row>
    <row r="32">
      <c r="A32" s="10" t="inlineStr">
        <is>
          <t>법인세 납부·환급</t>
        </is>
      </c>
      <c r="I32" s="11" t="n">
        <v>-0.8865</v>
      </c>
      <c r="M32" s="11" t="n">
        <v>0.113</v>
      </c>
      <c r="Q32" s="11" t="n">
        <v>-0.5365</v>
      </c>
    </row>
    <row r="33">
      <c r="A33" s="10" t="inlineStr">
        <is>
          <t>법인세 납부</t>
        </is>
      </c>
      <c r="D33" s="11" t="n">
        <v>-0.0229</v>
      </c>
      <c r="E33" s="11" t="n">
        <v>-0.0229</v>
      </c>
      <c r="G33" s="11" t="n">
        <v>-0.0229</v>
      </c>
      <c r="I33" s="11" t="n">
        <v>-0.8865</v>
      </c>
      <c r="K33" s="11" t="n">
        <v>-1.3297</v>
      </c>
      <c r="O33" s="11" t="n">
        <v>-0.0521</v>
      </c>
      <c r="S33" s="11" t="n">
        <v>-0.8892</v>
      </c>
      <c r="U33" s="11" t="n">
        <v>-0.0229</v>
      </c>
      <c r="V33" s="11" t="n">
        <v>-0.0229</v>
      </c>
      <c r="W33" s="11" t="n">
        <v>-1.3297</v>
      </c>
      <c r="X33" s="11" t="n">
        <v>-0.0521</v>
      </c>
      <c r="Y33" s="11" t="n">
        <v>-0.8892</v>
      </c>
    </row>
    <row r="34">
      <c r="A34" s="10" t="inlineStr">
        <is>
          <t>법인세 환급</t>
        </is>
      </c>
      <c r="D34" s="11" t="n">
        <v>0.0339</v>
      </c>
      <c r="G34" s="11" t="n">
        <v>0</v>
      </c>
      <c r="U34" s="11" t="n">
        <v>0.0339</v>
      </c>
      <c r="V34" s="11" t="n">
        <v>0</v>
      </c>
    </row>
    <row r="35">
      <c r="A35" s="10" t="inlineStr">
        <is>
          <t>영업활동 현금흐름</t>
        </is>
      </c>
      <c r="D35" s="11" t="n">
        <v>-2.5349</v>
      </c>
      <c r="E35" s="11" t="n">
        <v>1.2279</v>
      </c>
      <c r="G35" s="11" t="n">
        <v>4.6053</v>
      </c>
      <c r="I35" s="11" t="n">
        <v>-1.7067</v>
      </c>
      <c r="K35" s="11" t="n">
        <v>-7.6001</v>
      </c>
      <c r="M35" s="11" t="n">
        <v>7.6736</v>
      </c>
      <c r="O35" s="11" t="n">
        <v>16.2124</v>
      </c>
      <c r="Q35" s="11" t="n">
        <v>-0.5131</v>
      </c>
      <c r="S35" s="11" t="n">
        <v>1.6521</v>
      </c>
      <c r="U35" s="11" t="n">
        <v>-2.5349</v>
      </c>
      <c r="V35" s="11" t="n">
        <v>4.6053</v>
      </c>
      <c r="W35" s="11" t="n">
        <v>-7.6001</v>
      </c>
      <c r="X35" s="11" t="n">
        <v>16.2124</v>
      </c>
      <c r="Y35" s="11" t="n">
        <v>1.6521</v>
      </c>
    </row>
    <row r="36">
      <c r="A36" s="10" t="inlineStr">
        <is>
          <t>유형자산 취득(설비투자)</t>
        </is>
      </c>
      <c r="D36" s="11" t="n">
        <v>-0.1406</v>
      </c>
      <c r="E36" s="11" t="n">
        <v>0</v>
      </c>
      <c r="G36" s="11" t="n">
        <v>-0.0064</v>
      </c>
      <c r="I36" s="11" t="n">
        <v>-0.0712</v>
      </c>
      <c r="K36" s="11" t="n">
        <v>-0.1365</v>
      </c>
      <c r="M36" s="11" t="n">
        <v>-0.09089999999999999</v>
      </c>
      <c r="O36" s="11" t="n">
        <v>-0.1593</v>
      </c>
      <c r="Q36" s="11" t="n">
        <v>-0.0818</v>
      </c>
      <c r="S36" s="11" t="n">
        <v>-0.1417</v>
      </c>
      <c r="U36" s="11" t="n">
        <v>-0.1406</v>
      </c>
      <c r="V36" s="11" t="n">
        <v>-0.0064</v>
      </c>
      <c r="W36" s="11" t="n">
        <v>-0.1365</v>
      </c>
      <c r="X36" s="11" t="n">
        <v>-0.1593</v>
      </c>
      <c r="Y36" s="11" t="n">
        <v>-0.1417</v>
      </c>
    </row>
    <row r="37">
      <c r="A37" s="10" t="inlineStr">
        <is>
          <t>무형자산 취득</t>
        </is>
      </c>
      <c r="E37" s="11" t="n">
        <v>0</v>
      </c>
      <c r="G37" s="11" t="n">
        <v>0</v>
      </c>
      <c r="I37" s="11" t="n">
        <v>-0.0998</v>
      </c>
      <c r="K37" s="11" t="n">
        <v>-0.1995</v>
      </c>
      <c r="M37" s="11" t="n">
        <v>0</v>
      </c>
      <c r="O37" s="11" t="n">
        <v>0</v>
      </c>
      <c r="V37" s="11" t="n">
        <v>0</v>
      </c>
      <c r="W37" s="11" t="n">
        <v>-0.1995</v>
      </c>
      <c r="X37" s="11" t="n">
        <v>0</v>
      </c>
    </row>
    <row r="38">
      <c r="A38" s="10" t="inlineStr">
        <is>
          <t>종업원 대여금 회수</t>
        </is>
      </c>
      <c r="E38" s="11" t="n">
        <v>0</v>
      </c>
      <c r="G38" s="11" t="n">
        <v>0</v>
      </c>
      <c r="I38" s="11" t="n">
        <v>0.05</v>
      </c>
      <c r="K38" s="11" t="n">
        <v>0.05</v>
      </c>
      <c r="M38" s="11" t="n">
        <v>0</v>
      </c>
      <c r="O38" s="11" t="n">
        <v>0</v>
      </c>
      <c r="V38" s="11" t="n">
        <v>0</v>
      </c>
      <c r="W38" s="11" t="n">
        <v>0.05</v>
      </c>
      <c r="X38" s="11" t="n">
        <v>0</v>
      </c>
    </row>
    <row r="39">
      <c r="A39" s="10" t="inlineStr">
        <is>
          <t>종업원 대여</t>
        </is>
      </c>
      <c r="D39" s="11" t="n">
        <v>0</v>
      </c>
      <c r="G39" s="11" t="n">
        <v>-0.05</v>
      </c>
      <c r="K39" s="11" t="n">
        <v>0</v>
      </c>
      <c r="U39" s="11" t="n">
        <v>0</v>
      </c>
      <c r="V39" s="11" t="n">
        <v>-0.05</v>
      </c>
      <c r="W39" s="11" t="n">
        <v>0</v>
      </c>
    </row>
    <row r="40">
      <c r="A40" s="10" t="inlineStr">
        <is>
          <t>투자유가증권 취득</t>
        </is>
      </c>
      <c r="M40" s="11" t="n">
        <v>0</v>
      </c>
      <c r="O40" s="11" t="n">
        <v>0</v>
      </c>
      <c r="Q40" s="11" t="n">
        <v>-3.2435</v>
      </c>
      <c r="S40" s="11" t="n">
        <v>-3.2435</v>
      </c>
      <c r="X40" s="11" t="n">
        <v>0</v>
      </c>
      <c r="Y40" s="11" t="n">
        <v>-3.2435</v>
      </c>
    </row>
    <row r="41">
      <c r="A41" s="10" t="inlineStr">
        <is>
          <t>보증금 납입</t>
        </is>
      </c>
      <c r="K41" s="11" t="n">
        <v>0</v>
      </c>
      <c r="O41" s="11" t="n">
        <v>-0.1248</v>
      </c>
      <c r="S41" s="11" t="n">
        <v>-0.1312</v>
      </c>
      <c r="W41" s="11" t="n">
        <v>0</v>
      </c>
      <c r="X41" s="11" t="n">
        <v>-0.1248</v>
      </c>
      <c r="Y41" s="11" t="n">
        <v>-0.1312</v>
      </c>
    </row>
    <row r="42">
      <c r="A42" s="10" t="inlineStr">
        <is>
          <t>기타</t>
        </is>
      </c>
      <c r="E42" s="11" t="n">
        <v>0</v>
      </c>
      <c r="G42" s="11" t="n">
        <v>0</v>
      </c>
      <c r="I42" s="11" t="n">
        <v>0.0003</v>
      </c>
      <c r="K42" s="11" t="n">
        <v>0.0003</v>
      </c>
      <c r="M42" s="11" t="n">
        <v>0</v>
      </c>
      <c r="O42" s="11" t="n">
        <v>0</v>
      </c>
      <c r="Q42" s="11" t="n">
        <v>-0.0015</v>
      </c>
      <c r="S42" s="11" t="n">
        <v>-0.52</v>
      </c>
      <c r="V42" s="11" t="n">
        <v>0</v>
      </c>
      <c r="W42" s="11" t="n">
        <v>0.0003</v>
      </c>
      <c r="X42" s="11" t="n">
        <v>0</v>
      </c>
      <c r="Y42" s="11" t="n">
        <v>-0.52</v>
      </c>
    </row>
    <row r="43">
      <c r="A43" s="10" t="inlineStr">
        <is>
          <t>투자활동 현금흐름</t>
        </is>
      </c>
      <c r="D43" s="11" t="n">
        <v>-0.1406</v>
      </c>
      <c r="E43" s="11" t="n">
        <v>0</v>
      </c>
      <c r="G43" s="11" t="n">
        <v>-0.0564</v>
      </c>
      <c r="I43" s="11" t="n">
        <v>-0.1207</v>
      </c>
      <c r="K43" s="11" t="n">
        <v>-0.2857</v>
      </c>
      <c r="M43" s="11" t="n">
        <v>-0.09089999999999999</v>
      </c>
      <c r="O43" s="11" t="n">
        <v>-0.2841</v>
      </c>
      <c r="Q43" s="11" t="n">
        <v>-3.3269</v>
      </c>
      <c r="S43" s="11" t="n">
        <v>-4.0365</v>
      </c>
      <c r="U43" s="11" t="n">
        <v>-0.1406</v>
      </c>
      <c r="V43" s="11" t="n">
        <v>-0.0564</v>
      </c>
      <c r="W43" s="11" t="n">
        <v>-0.2857</v>
      </c>
      <c r="X43" s="11" t="n">
        <v>-0.2841</v>
      </c>
      <c r="Y43" s="11" t="n">
        <v>-4.0365</v>
      </c>
    </row>
    <row r="44">
      <c r="A44" s="10" t="inlineStr">
        <is>
          <t>신주예약권 발행</t>
        </is>
      </c>
      <c r="D44" s="11" t="n">
        <v>0.0396</v>
      </c>
      <c r="G44" s="11" t="n">
        <v>0</v>
      </c>
      <c r="U44" s="11" t="n">
        <v>0.0396</v>
      </c>
      <c r="V44" s="11" t="n">
        <v>0</v>
      </c>
    </row>
    <row r="45">
      <c r="A45" s="10" t="inlineStr">
        <is>
          <t>장기차입금 상환</t>
        </is>
      </c>
      <c r="G45" s="11" t="n">
        <v>0</v>
      </c>
      <c r="K45" s="11" t="n">
        <v>-0.8</v>
      </c>
      <c r="O45" s="11" t="n">
        <v>0</v>
      </c>
      <c r="V45" s="11" t="n">
        <v>0</v>
      </c>
      <c r="W45" s="11" t="n">
        <v>-0.8</v>
      </c>
      <c r="X45" s="11" t="n">
        <v>0</v>
      </c>
    </row>
    <row r="46">
      <c r="A46" s="10" t="inlineStr">
        <is>
          <t>주식 발행</t>
        </is>
      </c>
      <c r="D46" s="11" t="n">
        <v>0</v>
      </c>
      <c r="G46" s="11" t="n">
        <v>12.411</v>
      </c>
      <c r="K46" s="11" t="n">
        <v>0</v>
      </c>
      <c r="U46" s="11" t="n">
        <v>0</v>
      </c>
      <c r="V46" s="11" t="n">
        <v>12.411</v>
      </c>
      <c r="W46" s="11" t="n">
        <v>0</v>
      </c>
    </row>
    <row r="47">
      <c r="A47" s="10" t="inlineStr">
        <is>
          <t>단기차입</t>
        </is>
      </c>
      <c r="M47" s="11" t="n">
        <v>0</v>
      </c>
      <c r="O47" s="11" t="n">
        <v>0</v>
      </c>
      <c r="Q47" s="11" t="n">
        <v>1.5</v>
      </c>
      <c r="S47" s="11" t="n">
        <v>1.5</v>
      </c>
      <c r="X47" s="11" t="n">
        <v>0</v>
      </c>
      <c r="Y47" s="11" t="n">
        <v>1.5</v>
      </c>
    </row>
    <row r="48">
      <c r="A48" s="10" t="inlineStr">
        <is>
          <t>단기차입금 상환</t>
        </is>
      </c>
      <c r="M48" s="11" t="n">
        <v>0</v>
      </c>
      <c r="O48" s="11" t="n">
        <v>0</v>
      </c>
      <c r="Q48" s="11" t="n">
        <v>-1.5</v>
      </c>
      <c r="S48" s="11" t="n">
        <v>-1.5</v>
      </c>
      <c r="X48" s="11" t="n">
        <v>0</v>
      </c>
      <c r="Y48" s="11" t="n">
        <v>-1.5</v>
      </c>
    </row>
    <row r="49">
      <c r="A49" s="10" t="inlineStr">
        <is>
          <t>자기주식 취득</t>
        </is>
      </c>
      <c r="I49" s="11" t="n">
        <v>0</v>
      </c>
      <c r="K49" s="11" t="n">
        <v>0</v>
      </c>
      <c r="M49" s="11" t="n">
        <v>-0.0015</v>
      </c>
      <c r="O49" s="11" t="n">
        <v>-0.0027</v>
      </c>
      <c r="Q49" s="11" t="n">
        <v>0</v>
      </c>
      <c r="S49" s="11" t="n">
        <v>-0.0007</v>
      </c>
      <c r="W49" s="11" t="n">
        <v>0</v>
      </c>
      <c r="X49" s="11" t="n">
        <v>-0.0027</v>
      </c>
      <c r="Y49" s="11" t="n">
        <v>-0.0007</v>
      </c>
    </row>
    <row r="50">
      <c r="A50" s="10" t="inlineStr">
        <is>
          <t>신주예약권 행사에 따른 주식 발행</t>
        </is>
      </c>
      <c r="E50" s="11" t="n">
        <v>0</v>
      </c>
      <c r="G50" s="11" t="n">
        <v>0</v>
      </c>
      <c r="I50" s="11" t="n">
        <v>1.7202</v>
      </c>
      <c r="K50" s="11" t="n">
        <v>1.9695</v>
      </c>
      <c r="M50" s="11" t="n">
        <v>0.236</v>
      </c>
      <c r="O50" s="11" t="n">
        <v>1.2455</v>
      </c>
      <c r="Q50" s="11" t="n">
        <v>0.4709</v>
      </c>
      <c r="S50" s="11" t="n">
        <v>0.7595</v>
      </c>
      <c r="V50" s="11" t="n">
        <v>0</v>
      </c>
      <c r="W50" s="11" t="n">
        <v>1.9695</v>
      </c>
      <c r="X50" s="11" t="n">
        <v>1.2455</v>
      </c>
      <c r="Y50" s="11" t="n">
        <v>0.7595</v>
      </c>
    </row>
    <row r="51">
      <c r="A51" s="10" t="inlineStr">
        <is>
          <t>재무활동 현금흐름</t>
        </is>
      </c>
      <c r="D51" s="11" t="n">
        <v>0.0396</v>
      </c>
      <c r="E51" s="11" t="n">
        <v>0</v>
      </c>
      <c r="G51" s="11" t="n">
        <v>12.411</v>
      </c>
      <c r="I51" s="11" t="n">
        <v>1.7202</v>
      </c>
      <c r="K51" s="11" t="n">
        <v>1.1696</v>
      </c>
      <c r="M51" s="11" t="n">
        <v>0.2345</v>
      </c>
      <c r="O51" s="11" t="n">
        <v>1.2428</v>
      </c>
      <c r="Q51" s="11" t="n">
        <v>0.4709</v>
      </c>
      <c r="S51" s="11" t="n">
        <v>0.7588</v>
      </c>
      <c r="U51" s="11" t="n">
        <v>0.0396</v>
      </c>
      <c r="V51" s="11" t="n">
        <v>12.411</v>
      </c>
      <c r="W51" s="11" t="n">
        <v>1.1696</v>
      </c>
      <c r="X51" s="11" t="n">
        <v>1.2428</v>
      </c>
      <c r="Y51" s="11" t="n">
        <v>0.7588</v>
      </c>
    </row>
    <row r="52">
      <c r="A52" s="10" t="inlineStr">
        <is>
          <t>현금성자산 증감</t>
        </is>
      </c>
      <c r="D52" s="11" t="n">
        <v>-2.636</v>
      </c>
      <c r="E52" s="11" t="n">
        <v>1.2279</v>
      </c>
      <c r="G52" s="11" t="n">
        <v>16.96</v>
      </c>
      <c r="I52" s="11" t="n">
        <v>-0.1073</v>
      </c>
      <c r="K52" s="11" t="n">
        <v>-6.7162</v>
      </c>
      <c r="M52" s="11" t="n">
        <v>7.8172</v>
      </c>
      <c r="O52" s="11" t="n">
        <v>17.1711</v>
      </c>
      <c r="Q52" s="11" t="n">
        <v>-3.369</v>
      </c>
      <c r="S52" s="11" t="n">
        <v>-1.6256</v>
      </c>
      <c r="U52" s="11" t="n">
        <v>-2.636</v>
      </c>
      <c r="V52" s="11" t="n">
        <v>16.96</v>
      </c>
      <c r="W52" s="11" t="n">
        <v>-6.7162</v>
      </c>
      <c r="X52" s="11" t="n">
        <v>17.1711</v>
      </c>
      <c r="Y52" s="11" t="n">
        <v>-1.6256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44" customWidth="1" min="3" max="3"/>
  </cols>
  <sheetData>
    <row r="1">
      <c r="A1" s="1" t="inlineStr">
        <is>
          <t>ABEJA 섹터·사업 데이터</t>
        </is>
      </c>
    </row>
    <row r="2">
      <c r="A2" s="2" t="inlineStr">
        <is>
          <t>2단계 보고서를 만들 때 모은 자료 · 월차 · 출처는 맨 오른쪽</t>
        </is>
      </c>
    </row>
    <row r="4">
      <c r="A4" s="12" t="inlineStr">
        <is>
          <t>가이던스 history fy26 영업이익</t>
        </is>
      </c>
      <c r="B4" s="12" t="n"/>
      <c r="C4" s="12" t="n"/>
    </row>
    <row r="5">
      <c r="A5" s="13" t="inlineStr">
        <is>
          <t>항목</t>
        </is>
      </c>
      <c r="B5" s="13" t="inlineStr">
        <is>
          <t>값</t>
        </is>
      </c>
      <c r="C5" s="13" t="inlineStr">
        <is>
          <t>출처</t>
        </is>
      </c>
    </row>
    <row r="6">
      <c r="A6" s="14" t="inlineStr">
        <is>
          <t>25.10 최초</t>
        </is>
      </c>
      <c r="B6" s="11" t="n">
        <v>5</v>
      </c>
      <c r="C6" s="3" t="inlineStr">
        <is>
          <t>2단계 보고서 자료(회사 설명회 자료·공시)</t>
        </is>
      </c>
    </row>
    <row r="7">
      <c r="A7" s="14" t="inlineStr">
        <is>
          <t>26.4 상향</t>
        </is>
      </c>
      <c r="B7" s="11" t="n">
        <v>6</v>
      </c>
    </row>
    <row r="8">
      <c r="A8" s="14" t="inlineStr">
        <is>
          <t>26.7 상향</t>
        </is>
      </c>
      <c r="B8" s="11" t="n">
        <v>7.1</v>
      </c>
    </row>
    <row r="9">
      <c r="A9" s="14" t="inlineStr">
        <is>
          <t>실적</t>
        </is>
      </c>
      <c r="B9" s="11" t="n">
        <v>7.1</v>
      </c>
    </row>
    <row r="11">
      <c r="A11" s="12" t="inlineStr">
        <is>
          <t>가이던스 history fy26 매출</t>
        </is>
      </c>
      <c r="B11" s="12" t="n"/>
      <c r="C11" s="12" t="n"/>
    </row>
    <row r="12">
      <c r="A12" s="13" t="inlineStr">
        <is>
          <t>항목</t>
        </is>
      </c>
      <c r="B12" s="13" t="inlineStr">
        <is>
          <t>값</t>
        </is>
      </c>
      <c r="C12" s="13" t="inlineStr">
        <is>
          <t>출처</t>
        </is>
      </c>
    </row>
    <row r="13">
      <c r="A13" s="14" t="inlineStr">
        <is>
          <t>25.10 최초</t>
        </is>
      </c>
      <c r="B13" s="11" t="n">
        <v>44</v>
      </c>
      <c r="C13" s="3" t="inlineStr">
        <is>
          <t>2단계 보고서 자료(회사 설명회 자료·공시)</t>
        </is>
      </c>
    </row>
    <row r="14">
      <c r="A14" s="14" t="inlineStr">
        <is>
          <t>26.4</t>
        </is>
      </c>
      <c r="B14" s="11" t="n">
        <v>45</v>
      </c>
    </row>
    <row r="15">
      <c r="A15" s="14" t="inlineStr">
        <is>
          <t>26.7</t>
        </is>
      </c>
      <c r="B15" s="11" t="n">
        <v>45.5</v>
      </c>
    </row>
    <row r="16">
      <c r="A16" s="14" t="inlineStr">
        <is>
          <t>실적</t>
        </is>
      </c>
      <c r="B16" s="11" t="n">
        <v>45.77</v>
      </c>
    </row>
    <row r="18">
      <c r="A18" s="12" t="inlineStr">
        <is>
          <t>컨센서스</t>
        </is>
      </c>
      <c r="B18" s="12" t="n"/>
      <c r="C18" s="12" t="n"/>
    </row>
    <row r="19">
      <c r="A19" s="13" t="inlineStr">
        <is>
          <t>항목</t>
        </is>
      </c>
      <c r="B19" s="13" t="inlineStr">
        <is>
          <t>값</t>
        </is>
      </c>
      <c r="C19" s="13" t="inlineStr">
        <is>
          <t>출처</t>
        </is>
      </c>
    </row>
    <row r="20">
      <c r="A20" s="14" t="inlineStr">
        <is>
          <t>FY8/27 매출</t>
        </is>
      </c>
      <c r="B20" s="11" t="n">
        <v>54.1</v>
      </c>
      <c r="C20" s="3" t="inlineStr">
        <is>
          <t>2단계 보고서 자료(회사 설명회 자료·공시)</t>
        </is>
      </c>
    </row>
    <row r="21">
      <c r="A21" s="14" t="inlineStr">
        <is>
          <t>애널리스트</t>
        </is>
      </c>
      <c r="B21" s="15" t="n">
        <v>1</v>
      </c>
    </row>
    <row r="23">
      <c r="A23" s="12" t="inlineStr">
        <is>
          <t>4Q 증감 요인 vs 3Q</t>
        </is>
      </c>
      <c r="B23" s="12" t="n"/>
      <c r="C23" s="12" t="n"/>
    </row>
    <row r="24">
      <c r="A24" s="13" t="inlineStr">
        <is>
          <t>항목</t>
        </is>
      </c>
      <c r="B24" s="13" t="inlineStr">
        <is>
          <t>값</t>
        </is>
      </c>
      <c r="C24" s="13" t="inlineStr">
        <is>
          <t>출처</t>
        </is>
      </c>
    </row>
    <row r="25">
      <c r="A25" s="14" t="inlineStr">
        <is>
          <t>3Q 영업이익</t>
        </is>
      </c>
      <c r="B25" s="11" t="n">
        <v>1.82</v>
      </c>
      <c r="C25" s="3" t="inlineStr">
        <is>
          <t>2단계 보고서 자료(회사 설명회 자료·공시)</t>
        </is>
      </c>
    </row>
    <row r="26">
      <c r="A26" s="14" t="inlineStr">
        <is>
          <t>증수</t>
        </is>
      </c>
      <c r="B26" s="11" t="n">
        <v>1.9</v>
      </c>
    </row>
    <row r="27">
      <c r="A27" s="14" t="inlineStr">
        <is>
          <t>원가</t>
        </is>
      </c>
      <c r="B27" s="11" t="n">
        <v>-0.85</v>
      </c>
    </row>
    <row r="28">
      <c r="A28" s="14" t="inlineStr">
        <is>
          <t>인건비</t>
        </is>
      </c>
      <c r="B28" s="11" t="n">
        <v>-0.32</v>
      </c>
    </row>
    <row r="29">
      <c r="A29" s="14" t="inlineStr">
        <is>
          <t>채용교육비</t>
        </is>
      </c>
      <c r="B29" s="11" t="n">
        <v>-0.41</v>
      </c>
    </row>
    <row r="30">
      <c r="A30" s="14" t="inlineStr">
        <is>
          <t>업무위탁</t>
        </is>
      </c>
      <c r="B30" s="11" t="n">
        <v>-0.07000000000000001</v>
      </c>
    </row>
    <row r="31">
      <c r="A31" s="14" t="inlineStr">
        <is>
          <t>시스템</t>
        </is>
      </c>
      <c r="B31" s="11" t="n">
        <v>0</v>
      </c>
    </row>
    <row r="32">
      <c r="A32" s="14" t="inlineStr">
        <is>
          <t>기타(연구용 로봇 등)</t>
        </is>
      </c>
      <c r="B32" s="11" t="n">
        <v>-0.61</v>
      </c>
    </row>
    <row r="33">
      <c r="A33" s="14" t="inlineStr">
        <is>
          <t>4Q 영업이익</t>
        </is>
      </c>
      <c r="B33" s="11" t="n">
        <v>1.43</v>
      </c>
    </row>
    <row r="35">
      <c r="A35" s="12" t="inlineStr">
        <is>
          <t>FY 증감 요인</t>
        </is>
      </c>
      <c r="B35" s="12" t="n"/>
      <c r="C35" s="12" t="n"/>
    </row>
    <row r="36">
      <c r="A36" s="13" t="inlineStr">
        <is>
          <t>항목</t>
        </is>
      </c>
      <c r="B36" s="13" t="inlineStr">
        <is>
          <t>값</t>
        </is>
      </c>
      <c r="C36" s="13" t="inlineStr">
        <is>
          <t>출처</t>
        </is>
      </c>
    </row>
    <row r="37">
      <c r="A37" s="14" t="inlineStr">
        <is>
          <t>FY25 영업이익</t>
        </is>
      </c>
      <c r="B37" s="11" t="n">
        <v>4.45</v>
      </c>
      <c r="C37" s="3" t="inlineStr">
        <is>
          <t>2단계 보고서 자료(회사 설명회 자료·공시)</t>
        </is>
      </c>
    </row>
    <row r="38">
      <c r="A38" s="14" t="inlineStr">
        <is>
          <t>증수</t>
        </is>
      </c>
      <c r="B38" s="11" t="n">
        <v>9.92</v>
      </c>
    </row>
    <row r="39">
      <c r="A39" s="14" t="inlineStr">
        <is>
          <t>원가</t>
        </is>
      </c>
      <c r="B39" s="11" t="n">
        <v>-4.36</v>
      </c>
    </row>
    <row r="40">
      <c r="A40" s="14" t="inlineStr">
        <is>
          <t>매출총이익까지</t>
        </is>
      </c>
      <c r="B40" s="11" t="n">
        <v>5.56</v>
      </c>
    </row>
    <row r="41">
      <c r="A41" s="14" t="inlineStr">
        <is>
          <t>판관비</t>
        </is>
      </c>
      <c r="B41" s="11" t="n">
        <v>-2.91</v>
      </c>
    </row>
    <row r="42">
      <c r="A42" s="14" t="inlineStr">
        <is>
          <t>FY26</t>
        </is>
      </c>
      <c r="B42" s="11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1" t="inlineStr">
        <is>
          <t>출처 · 쓴 결산단신</t>
        </is>
      </c>
    </row>
    <row r="3">
      <c r="A3" s="16" t="inlineStr">
        <is>
          <t>공시일</t>
        </is>
      </c>
      <c r="B3" s="16" t="inlineStr">
        <is>
          <t>문서</t>
        </is>
      </c>
      <c r="C3" s="16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https://www2.jpx.co.jp/disc/55740/140120261015551317.pdf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https://www2.jpx.co.jp/disc/55740/140120260715594171.pdf</t>
        </is>
      </c>
    </row>
    <row r="6">
      <c r="A6" t="inlineStr">
        <is>
          <t>2026-04-14</t>
        </is>
      </c>
      <c r="B6" t="inlineStr">
        <is>
          <t>2026년 8월 결산기 ２분기 결산단신</t>
        </is>
      </c>
      <c r="C6" t="inlineStr">
        <is>
          <t>https://www2.jpx.co.jp/disc/55740/140120260414503576.pdf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https://www2.jpx.co.jp/disc/55740/140120260114533579.pdf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https://www2.jpx.co.jp/disc/55740/140120251015573952.pdf</t>
        </is>
      </c>
    </row>
    <row r="9">
      <c r="A9" t="inlineStr">
        <is>
          <t>2025-07-15</t>
        </is>
      </c>
      <c r="B9" t="inlineStr">
        <is>
          <t>2025년 8월 결산기 ３분기 결산단신</t>
        </is>
      </c>
      <c r="C9" t="inlineStr">
        <is>
          <t>https://www2.jpx.co.jp/disc/55740/140120250715514619.pdf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https://www2.jpx.co.jp/disc/55740/140120250414515322.pdf</t>
        </is>
      </c>
    </row>
    <row r="11">
      <c r="A11" t="inlineStr">
        <is>
          <t>2025-01-14</t>
        </is>
      </c>
      <c r="B11" t="inlineStr">
        <is>
          <t>2025년 8월 결산기 １분기 결산단신</t>
        </is>
      </c>
      <c r="C11" t="inlineStr">
        <is>
          <t>https://www2.jpx.co.jp/disc/55740/140120250114550336.pdf</t>
        </is>
      </c>
    </row>
    <row r="12">
      <c r="A12" t="inlineStr">
        <is>
          <t>2024-10-10</t>
        </is>
      </c>
      <c r="B12" t="inlineStr">
        <is>
          <t>2024년 8월 결산기 연간 결산단신</t>
        </is>
      </c>
      <c r="C12" t="inlineStr">
        <is>
          <t>https://www2.jpx.co.jp/disc/55740/140120241010596147.pdf</t>
        </is>
      </c>
    </row>
    <row r="13">
      <c r="A13" t="inlineStr">
        <is>
          <t>2024-07-11</t>
        </is>
      </c>
      <c r="B13" t="inlineStr">
        <is>
          <t>2024년 8월 결산기 ３분기 결산단신</t>
        </is>
      </c>
      <c r="C13" t="inlineStr">
        <is>
          <t>https://www2.jpx.co.jp/disc/55740/140120240711547434.pdf</t>
        </is>
      </c>
    </row>
    <row r="14">
      <c r="A14" t="inlineStr">
        <is>
          <t>2024-04-11</t>
        </is>
      </c>
      <c r="B14" t="inlineStr">
        <is>
          <t>2024년 8월 결산기 ２분기 결산단신</t>
        </is>
      </c>
      <c r="C14" t="inlineStr">
        <is>
          <t>https://www2.jpx.co.jp/disc/55740/140120240411569053.pdf</t>
        </is>
      </c>
    </row>
    <row r="15">
      <c r="A15" t="inlineStr">
        <is>
          <t>2024-01-11</t>
        </is>
      </c>
      <c r="B15" t="inlineStr">
        <is>
          <t>2024년 8월 결산기 １분기 결산단신</t>
        </is>
      </c>
      <c r="C15" t="inlineStr">
        <is>
          <t>https://www2.jpx.co.jp/disc/55740/140120240111513436.pdf</t>
        </is>
      </c>
    </row>
    <row r="16">
      <c r="A16" t="inlineStr">
        <is>
          <t>2023-10-12</t>
        </is>
      </c>
      <c r="B16" t="inlineStr">
        <is>
          <t>2023년 8월 결산기 연간 결산단신</t>
        </is>
      </c>
      <c r="C16" t="inlineStr">
        <is>
          <t>https://www2.jpx.co.jp/disc/55740/140120231012565566.pdf</t>
        </is>
      </c>
    </row>
    <row r="17">
      <c r="A17" t="inlineStr">
        <is>
          <t>2023-07-13</t>
        </is>
      </c>
      <c r="B17" t="inlineStr">
        <is>
          <t>2023년 8월 결산기 ３분기 결산단신</t>
        </is>
      </c>
      <c r="C17" t="inlineStr">
        <is>
          <t>https://www2.jpx.co.jp/disc/55740/140120230713521512.pdf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2026-10-25T06:59:10Z</dcterms:created>
  <dcterms:modified xmlns:dcterms="http://purl.org/dc/terms/" xmlns:xsi="http://www.w3.org/2001/XMLSchema-instance" xsi:type="dcterms:W3CDTF">2026-10-25T06:59:10Z</dcterms:modified>
</cp:coreProperties>
</file>