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ABEJA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653.37</v>
      </c>
      <c r="D4" s="12" t="n">
        <v>771.302</v>
      </c>
      <c r="E4" s="12" t="n">
        <v>620.729</v>
      </c>
      <c r="F4" s="12" t="n">
        <v>720.85</v>
      </c>
      <c r="G4" s="12" t="n">
        <v>768.723</v>
      </c>
      <c r="H4" s="12" t="n">
        <v>1039.228</v>
      </c>
      <c r="I4" s="12" t="n">
        <v>885.192</v>
      </c>
      <c r="J4" s="12" t="n">
        <v>892.266</v>
      </c>
      <c r="K4" s="12" t="n">
        <v>1198.567</v>
      </c>
      <c r="L4" s="12" t="n">
        <v>1152.611</v>
      </c>
      <c r="M4" s="12" t="n">
        <v>1017.828</v>
      </c>
      <c r="N4" s="12" t="n">
        <v>1208.753</v>
      </c>
      <c r="O4" s="11" t="n"/>
      <c r="P4" s="12" t="n"/>
      <c r="Q4" s="12" t="n"/>
      <c r="R4" s="12" t="n"/>
      <c r="S4" s="12" t="n"/>
      <c r="T4" s="12" t="n">
        <v>1978.23</v>
      </c>
      <c r="U4" s="12" t="n">
        <v>2775.469</v>
      </c>
      <c r="V4" s="12" t="n">
        <v>2766.251</v>
      </c>
      <c r="W4" s="12" t="n">
        <v>3585.409</v>
      </c>
      <c r="X4" s="12" t="n">
        <v>4577.759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233.833</v>
      </c>
      <c r="D11" s="22" t="n">
        <v>250.226</v>
      </c>
      <c r="E11" s="22" t="n">
        <v>207.791</v>
      </c>
      <c r="F11" s="22" t="n">
        <v>230.107</v>
      </c>
      <c r="G11" s="22" t="n">
        <v>281.897</v>
      </c>
      <c r="H11" s="22" t="n">
        <v>405.161</v>
      </c>
      <c r="I11" s="22" t="n">
        <v>320.26</v>
      </c>
      <c r="J11" s="22" t="n">
        <v>341.79</v>
      </c>
      <c r="K11" s="22" t="n">
        <v>493.737</v>
      </c>
      <c r="L11" s="22" t="n">
        <v>499.065</v>
      </c>
      <c r="M11" s="22" t="n">
        <v>353.561</v>
      </c>
      <c r="N11" s="22" t="n">
        <v>439.065</v>
      </c>
      <c r="O11" s="21" t="n"/>
      <c r="P11" s="22" t="n"/>
      <c r="Q11" s="22" t="n"/>
      <c r="R11" s="22" t="n"/>
      <c r="S11" s="22" t="n"/>
      <c r="T11" s="22" t="n">
        <v>796.3680000000001</v>
      </c>
      <c r="U11" s="22" t="n">
        <v>1049.024</v>
      </c>
      <c r="V11" s="22" t="n">
        <v>921.957</v>
      </c>
      <c r="W11" s="22" t="n">
        <v>1349.108</v>
      </c>
      <c r="X11" s="22" t="n">
        <v>1785.428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362.782</v>
      </c>
      <c r="D17" s="22" t="n">
        <v>375.582</v>
      </c>
      <c r="E17" s="22" t="n">
        <v>423.703</v>
      </c>
      <c r="F17" s="22" t="n">
        <v>391.885</v>
      </c>
      <c r="G17" s="22" t="n">
        <v>392.215</v>
      </c>
      <c r="H17" s="22" t="n">
        <v>438.701</v>
      </c>
      <c r="I17" s="22" t="n">
        <v>455.325</v>
      </c>
      <c r="J17" s="22" t="n">
        <v>504.173</v>
      </c>
      <c r="K17" s="22" t="n">
        <v>485.567</v>
      </c>
      <c r="L17" s="22" t="n">
        <v>488.203</v>
      </c>
      <c r="M17" s="22" t="n">
        <v>482.044</v>
      </c>
      <c r="N17" s="22" t="n">
        <v>625.888</v>
      </c>
      <c r="O17" s="21" t="n"/>
      <c r="P17" s="22" t="n"/>
      <c r="Q17" s="22" t="n"/>
      <c r="R17" s="22" t="n"/>
      <c r="S17" s="22" t="n"/>
      <c r="T17" s="22" t="n">
        <v>1345.365</v>
      </c>
      <c r="U17" s="22" t="n">
        <v>1323.655</v>
      </c>
      <c r="V17" s="22" t="n">
        <v>1553.952</v>
      </c>
      <c r="W17" s="22" t="n">
        <v>1790.414</v>
      </c>
      <c r="X17" s="22" t="n">
        <v>2081.702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56.754</v>
      </c>
      <c r="D19" s="12" t="n">
        <v>145.494</v>
      </c>
      <c r="E19" s="12" t="n">
        <v>-10.765</v>
      </c>
      <c r="F19" s="12" t="n">
        <v>98.858</v>
      </c>
      <c r="G19" s="12" t="n">
        <v>94.611</v>
      </c>
      <c r="H19" s="12" t="n">
        <v>195.365</v>
      </c>
      <c r="I19" s="12" t="n">
        <v>109.606</v>
      </c>
      <c r="J19" s="12" t="n">
        <v>46.304</v>
      </c>
      <c r="K19" s="12" t="n">
        <v>219.263</v>
      </c>
      <c r="L19" s="12" t="n">
        <v>165.342</v>
      </c>
      <c r="M19" s="12" t="n">
        <v>182.223</v>
      </c>
      <c r="N19" s="12" t="n">
        <v>143.801</v>
      </c>
      <c r="O19" s="11" t="n"/>
      <c r="P19" s="12" t="n"/>
      <c r="Q19" s="12" t="n"/>
      <c r="R19" s="12" t="n"/>
      <c r="S19" s="12" t="n"/>
      <c r="T19" s="12" t="n">
        <v>-163.502</v>
      </c>
      <c r="U19" s="12" t="n">
        <v>402.788</v>
      </c>
      <c r="V19" s="12" t="n">
        <v>290.341</v>
      </c>
      <c r="W19" s="12" t="n">
        <v>445.886</v>
      </c>
      <c r="X19" s="12" t="n">
        <v>710.629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/>
      <c r="S35" s="22" t="n"/>
      <c r="T35" s="22" t="n">
        <v>1.746</v>
      </c>
      <c r="U35" s="22" t="n">
        <v>0</v>
      </c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/>
      <c r="Q37" s="22" t="n"/>
      <c r="R37" s="22" t="n"/>
      <c r="S37" s="22" t="n"/>
      <c r="T37" s="22" t="n">
        <v>14.061</v>
      </c>
      <c r="U37" s="22" t="n">
        <v>0</v>
      </c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0.632</v>
      </c>
      <c r="D39" s="22" t="n">
        <v>0.507</v>
      </c>
      <c r="E39" s="22" t="n">
        <v>0.291</v>
      </c>
      <c r="F39" s="22" t="n">
        <v>0.545</v>
      </c>
      <c r="G39" s="22" t="n">
        <v>0.729</v>
      </c>
      <c r="H39" s="22" t="n">
        <v>2.621</v>
      </c>
      <c r="I39" s="22" t="n">
        <v>0.301</v>
      </c>
      <c r="J39" s="22" t="n">
        <v>4.312</v>
      </c>
      <c r="K39" s="22" t="n">
        <v>0.54</v>
      </c>
      <c r="L39" s="22" t="n">
        <v>5.623</v>
      </c>
      <c r="M39" s="22" t="n">
        <v>10.357</v>
      </c>
      <c r="N39" s="22" t="n">
        <v>34.573</v>
      </c>
      <c r="O39" s="21" t="n"/>
      <c r="P39" s="22" t="n"/>
      <c r="Q39" s="22" t="n"/>
      <c r="R39" s="22" t="n"/>
      <c r="S39" s="22" t="n"/>
      <c r="T39" s="22" t="n">
        <v>21.905</v>
      </c>
      <c r="U39" s="22" t="n">
        <v>22.344</v>
      </c>
      <c r="V39" s="22" t="n">
        <v>1.975</v>
      </c>
      <c r="W39" s="22" t="n">
        <v>7.963</v>
      </c>
      <c r="X39" s="22" t="n">
        <v>51.093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0.469</v>
      </c>
      <c r="D41" s="22" t="n">
        <v>0.779</v>
      </c>
      <c r="E41" s="22" t="n">
        <v>3.883</v>
      </c>
      <c r="F41" s="22" t="n">
        <v>0.514</v>
      </c>
      <c r="G41" s="22" t="n">
        <v>0.623</v>
      </c>
      <c r="H41" s="22" t="n">
        <v>0.45</v>
      </c>
      <c r="I41" s="22" t="n">
        <v>0.051</v>
      </c>
      <c r="J41" s="22" t="n">
        <v>0.747</v>
      </c>
      <c r="K41" s="22" t="n">
        <v>0.539</v>
      </c>
      <c r="L41" s="22" t="n">
        <v>0.629</v>
      </c>
      <c r="M41" s="22" t="n">
        <v>0.081</v>
      </c>
      <c r="N41" s="22" t="n">
        <v>0.623</v>
      </c>
      <c r="O41" s="21" t="n"/>
      <c r="P41" s="22" t="n"/>
      <c r="Q41" s="22" t="n"/>
      <c r="R41" s="22" t="n"/>
      <c r="S41" s="22" t="n"/>
      <c r="T41" s="22" t="n">
        <v>40.16</v>
      </c>
      <c r="U41" s="22" t="n">
        <v>45.376</v>
      </c>
      <c r="V41" s="22" t="n">
        <v>5.645</v>
      </c>
      <c r="W41" s="22" t="n">
        <v>1.871</v>
      </c>
      <c r="X41" s="22" t="n">
        <v>1.872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56.916</v>
      </c>
      <c r="D43" s="12" t="n">
        <v>145.224</v>
      </c>
      <c r="E43" s="12" t="n">
        <v>-14.359</v>
      </c>
      <c r="F43" s="12" t="n">
        <v>98.89100000000001</v>
      </c>
      <c r="G43" s="12" t="n">
        <v>94.717</v>
      </c>
      <c r="H43" s="12" t="n">
        <v>197.536</v>
      </c>
      <c r="I43" s="12" t="n">
        <v>109.857</v>
      </c>
      <c r="J43" s="12" t="n">
        <v>49.868</v>
      </c>
      <c r="K43" s="12" t="n">
        <v>219.264</v>
      </c>
      <c r="L43" s="12" t="n">
        <v>170.336</v>
      </c>
      <c r="M43" s="12" t="n">
        <v>192.499</v>
      </c>
      <c r="N43" s="12" t="n">
        <v>177.751</v>
      </c>
      <c r="O43" s="11" t="n"/>
      <c r="P43" s="12" t="n"/>
      <c r="Q43" s="12" t="n"/>
      <c r="R43" s="12" t="n"/>
      <c r="S43" s="12" t="n"/>
      <c r="T43" s="12" t="n">
        <v>-194.072</v>
      </c>
      <c r="U43" s="12" t="n">
        <v>379.757</v>
      </c>
      <c r="V43" s="12" t="n">
        <v>286.672</v>
      </c>
      <c r="W43" s="12" t="n">
        <v>451.978</v>
      </c>
      <c r="X43" s="12" t="n">
        <v>759.85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9.222</v>
      </c>
      <c r="D45" s="22" t="n">
        <v>22.523</v>
      </c>
      <c r="E45" s="22" t="n">
        <v>2.855</v>
      </c>
      <c r="F45" s="22" t="n">
        <v>33.359</v>
      </c>
      <c r="G45" s="22" t="n">
        <v>9.356999999999999</v>
      </c>
      <c r="H45" s="22" t="n">
        <v>38.602</v>
      </c>
      <c r="I45" s="22" t="n">
        <v>0.5669999999999999</v>
      </c>
      <c r="J45" s="22" t="n">
        <v>-44.816</v>
      </c>
      <c r="K45" s="22" t="n">
        <v>37.186</v>
      </c>
      <c r="L45" s="22" t="n">
        <v>16.18</v>
      </c>
      <c r="M45" s="22" t="n">
        <v>-184.773</v>
      </c>
      <c r="N45" s="22" t="n">
        <v>-174.648</v>
      </c>
      <c r="O45" s="21" t="n"/>
      <c r="P45" s="22" t="n"/>
      <c r="Q45" s="22" t="n"/>
      <c r="R45" s="22" t="n"/>
      <c r="S45" s="22" t="n"/>
      <c r="T45" s="22" t="n">
        <v>2.293</v>
      </c>
      <c r="U45" s="22" t="n">
        <v>-41.841</v>
      </c>
      <c r="V45" s="22" t="n">
        <v>67.959</v>
      </c>
      <c r="W45" s="22" t="n">
        <v>3.71</v>
      </c>
      <c r="X45" s="22" t="n">
        <v>-306.055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47.693</v>
      </c>
      <c r="D47" s="12" t="n">
        <v>122.701</v>
      </c>
      <c r="E47" s="12" t="n">
        <v>-17.214</v>
      </c>
      <c r="F47" s="12" t="n">
        <v>65.532</v>
      </c>
      <c r="G47" s="12" t="n">
        <v>85.35899999999999</v>
      </c>
      <c r="H47" s="12" t="n">
        <v>158.935</v>
      </c>
      <c r="I47" s="12" t="n">
        <v>109.289</v>
      </c>
      <c r="J47" s="12" t="n">
        <v>94.685</v>
      </c>
      <c r="K47" s="12" t="n">
        <v>182.078</v>
      </c>
      <c r="L47" s="12" t="n">
        <v>154.155</v>
      </c>
      <c r="M47" s="12" t="n">
        <v>377.274</v>
      </c>
      <c r="N47" s="12" t="n">
        <v>352.398</v>
      </c>
      <c r="O47" s="11" t="n"/>
      <c r="P47" s="12" t="n"/>
      <c r="Q47" s="12" t="n"/>
      <c r="R47" s="12" t="n"/>
      <c r="S47" s="12" t="n"/>
      <c r="T47" s="12" t="n">
        <v>-196.366</v>
      </c>
      <c r="U47" s="12" t="n">
        <v>421.598</v>
      </c>
      <c r="V47" s="12" t="n">
        <v>218.712</v>
      </c>
      <c r="W47" s="12" t="n">
        <v>448.268</v>
      </c>
      <c r="X47" s="12" t="n">
        <v>1065.905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47.693</v>
      </c>
      <c r="D49" s="12" t="n">
        <v>122.701</v>
      </c>
      <c r="E49" s="12" t="n">
        <v>-17.214</v>
      </c>
      <c r="F49" s="12" t="n">
        <v>65.532</v>
      </c>
      <c r="G49" s="12" t="n">
        <v>85.35899999999999</v>
      </c>
      <c r="H49" s="12" t="n">
        <v>158.935</v>
      </c>
      <c r="I49" s="12" t="n">
        <v>109.289</v>
      </c>
      <c r="J49" s="12" t="n">
        <v>94.685</v>
      </c>
      <c r="K49" s="12" t="n">
        <v>182.078</v>
      </c>
      <c r="L49" s="12" t="n">
        <v>154.155</v>
      </c>
      <c r="M49" s="12" t="n">
        <v>377.274</v>
      </c>
      <c r="N49" s="12" t="n">
        <v>352.398</v>
      </c>
      <c r="O49" s="11" t="n"/>
      <c r="P49" s="12" t="n"/>
      <c r="Q49" s="12" t="n"/>
      <c r="R49" s="12" t="n"/>
      <c r="S49" s="12" t="n"/>
      <c r="T49" s="12" t="n">
        <v>-196.366</v>
      </c>
      <c r="U49" s="12" t="n">
        <v>421.598</v>
      </c>
      <c r="V49" s="12" t="n">
        <v>218.712</v>
      </c>
      <c r="W49" s="12" t="n">
        <v>448.268</v>
      </c>
      <c r="X49" s="12" t="n">
        <v>1065.905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2441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10035957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653.37</v>
      </c>
      <c r="D84" s="12" t="n">
        <v>771.302</v>
      </c>
      <c r="E84" s="12" t="n">
        <v>620.729</v>
      </c>
      <c r="F84" s="12" t="n">
        <v>720.85</v>
      </c>
      <c r="G84" s="12" t="n">
        <v>768.723</v>
      </c>
      <c r="H84" s="12" t="n">
        <v>1039.228</v>
      </c>
      <c r="I84" s="12" t="n">
        <v>885.192</v>
      </c>
      <c r="J84" s="12" t="n">
        <v>892.266</v>
      </c>
      <c r="K84" s="12" t="n">
        <v>1198.567</v>
      </c>
      <c r="L84" s="12" t="n">
        <v>1152.611</v>
      </c>
      <c r="M84" s="12" t="n">
        <v>1017.828</v>
      </c>
      <c r="N84" s="12" t="n">
        <v>1208.753</v>
      </c>
      <c r="U84" s="12" t="n">
        <v>674.664</v>
      </c>
      <c r="V84" s="12" t="n">
        <v>720.85</v>
      </c>
      <c r="W84" s="12" t="n">
        <v>892.266</v>
      </c>
      <c r="X84" s="12" t="n">
        <v>1208.753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233.833</v>
      </c>
      <c r="D86" s="22" t="n">
        <v>250.226</v>
      </c>
      <c r="E86" s="22" t="n">
        <v>207.791</v>
      </c>
      <c r="F86" s="22" t="n">
        <v>230.107</v>
      </c>
      <c r="G86" s="22" t="n">
        <v>281.897</v>
      </c>
      <c r="H86" s="22" t="n">
        <v>405.161</v>
      </c>
      <c r="I86" s="22" t="n">
        <v>320.26</v>
      </c>
      <c r="J86" s="22" t="n">
        <v>341.79</v>
      </c>
      <c r="K86" s="22" t="n">
        <v>493.737</v>
      </c>
      <c r="L86" s="22" t="n">
        <v>499.065</v>
      </c>
      <c r="M86" s="22" t="n">
        <v>353.561</v>
      </c>
      <c r="N86" s="22" t="n">
        <v>439.065</v>
      </c>
      <c r="U86" s="22" t="n">
        <v>235.264</v>
      </c>
      <c r="V86" s="22" t="n">
        <v>230.107</v>
      </c>
      <c r="W86" s="22" t="n">
        <v>341.79</v>
      </c>
      <c r="X86" s="22" t="n">
        <v>439.065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419.536</v>
      </c>
      <c r="D88" s="12" t="n">
        <v>521.077</v>
      </c>
      <c r="E88" s="12" t="n">
        <v>412.937</v>
      </c>
      <c r="F88" s="12" t="n">
        <v>490.744</v>
      </c>
      <c r="G88" s="12" t="n">
        <v>486.826</v>
      </c>
      <c r="H88" s="12" t="n">
        <v>634.066</v>
      </c>
      <c r="I88" s="12" t="n">
        <v>564.932</v>
      </c>
      <c r="J88" s="12" t="n">
        <v>550.477</v>
      </c>
      <c r="K88" s="12" t="n">
        <v>704.83</v>
      </c>
      <c r="L88" s="12" t="n">
        <v>653.546</v>
      </c>
      <c r="M88" s="12" t="n">
        <v>664.266</v>
      </c>
      <c r="N88" s="12" t="n">
        <v>769.689</v>
      </c>
      <c r="U88" s="12" t="n">
        <v>439.399</v>
      </c>
      <c r="V88" s="12" t="n">
        <v>490.744</v>
      </c>
      <c r="W88" s="12" t="n">
        <v>550.477</v>
      </c>
      <c r="X88" s="12" t="n">
        <v>769.689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362.782</v>
      </c>
      <c r="D90" s="22" t="n">
        <v>375.582</v>
      </c>
      <c r="E90" s="22" t="n">
        <v>423.703</v>
      </c>
      <c r="F90" s="22" t="n">
        <v>391.885</v>
      </c>
      <c r="G90" s="22" t="n">
        <v>392.215</v>
      </c>
      <c r="H90" s="22" t="n">
        <v>438.701</v>
      </c>
      <c r="I90" s="22" t="n">
        <v>455.325</v>
      </c>
      <c r="J90" s="22" t="n">
        <v>504.173</v>
      </c>
      <c r="K90" s="22" t="n">
        <v>485.567</v>
      </c>
      <c r="L90" s="22" t="n">
        <v>488.203</v>
      </c>
      <c r="M90" s="22" t="n">
        <v>482.044</v>
      </c>
      <c r="N90" s="22" t="n">
        <v>625.888</v>
      </c>
      <c r="U90" s="22" t="n">
        <v>415.449</v>
      </c>
      <c r="V90" s="22" t="n">
        <v>391.885</v>
      </c>
      <c r="W90" s="22" t="n">
        <v>504.173</v>
      </c>
      <c r="X90" s="22" t="n">
        <v>625.888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56.754</v>
      </c>
      <c r="D92" s="12" t="n">
        <v>145.494</v>
      </c>
      <c r="E92" s="12" t="n">
        <v>-10.765</v>
      </c>
      <c r="F92" s="12" t="n">
        <v>98.858</v>
      </c>
      <c r="G92" s="12" t="n">
        <v>94.611</v>
      </c>
      <c r="H92" s="12" t="n">
        <v>195.365</v>
      </c>
      <c r="I92" s="12" t="n">
        <v>109.606</v>
      </c>
      <c r="J92" s="12" t="n">
        <v>46.304</v>
      </c>
      <c r="K92" s="12" t="n">
        <v>219.263</v>
      </c>
      <c r="L92" s="12" t="n">
        <v>165.342</v>
      </c>
      <c r="M92" s="12" t="n">
        <v>182.223</v>
      </c>
      <c r="N92" s="12" t="n">
        <v>143.801</v>
      </c>
      <c r="U92" s="12" t="n">
        <v>23.95</v>
      </c>
      <c r="V92" s="12" t="n">
        <v>98.858</v>
      </c>
      <c r="W92" s="12" t="n">
        <v>46.304</v>
      </c>
      <c r="X92" s="12" t="n">
        <v>143.801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E95" s="22" t="n">
        <v>0</v>
      </c>
      <c r="F95" s="22" t="n">
        <v>0.283</v>
      </c>
      <c r="I95" s="22" t="n">
        <v>0</v>
      </c>
      <c r="J95" s="22" t="n">
        <v>3.919</v>
      </c>
      <c r="M95" s="22" t="n">
        <v>0</v>
      </c>
      <c r="N95" s="22" t="n">
        <v>6.258</v>
      </c>
      <c r="U95" s="22" t="n">
        <v>0.013</v>
      </c>
      <c r="V95" s="22" t="n">
        <v>0.283</v>
      </c>
      <c r="W95" s="22" t="n">
        <v>3.919</v>
      </c>
      <c r="X95" s="22" t="n">
        <v>6.258</v>
      </c>
    </row>
    <row r="96">
      <c r="A96" s="20" t="inlineStr">
        <is>
          <t>배당금수익</t>
        </is>
      </c>
      <c r="J96" s="22" t="n">
        <v>0</v>
      </c>
      <c r="N96" s="22" t="n">
        <v>0</v>
      </c>
      <c r="W96" s="22" t="n">
        <v>0</v>
      </c>
      <c r="X96" s="22" t="n">
        <v>0</v>
      </c>
    </row>
    <row r="97">
      <c r="A97" s="20" t="inlineStr">
        <is>
          <t>수수료 수익</t>
        </is>
      </c>
      <c r="C97" s="22" t="n">
        <v>0.381</v>
      </c>
      <c r="D97" s="22" t="n">
        <v>0.323</v>
      </c>
      <c r="E97" s="22" t="n">
        <v>0.135</v>
      </c>
      <c r="F97" s="22" t="n">
        <v>0.149</v>
      </c>
      <c r="G97" s="22" t="n">
        <v>0.625</v>
      </c>
      <c r="H97" s="22" t="n">
        <v>0.438</v>
      </c>
      <c r="I97" s="22" t="n">
        <v>0.194</v>
      </c>
      <c r="J97" s="22" t="n">
        <v>0.271</v>
      </c>
      <c r="K97" s="22" t="n">
        <v>0.199</v>
      </c>
      <c r="L97" s="22" t="n">
        <v>0.439</v>
      </c>
      <c r="M97" s="22" t="n">
        <v>0.659</v>
      </c>
      <c r="N97" s="22" t="n">
        <v>2.134</v>
      </c>
      <c r="U97" s="22" t="n">
        <v>0.749</v>
      </c>
      <c r="V97" s="22" t="n">
        <v>0.149</v>
      </c>
      <c r="W97" s="22" t="n">
        <v>0.271</v>
      </c>
      <c r="X97" s="22" t="n">
        <v>2.134</v>
      </c>
    </row>
    <row r="98">
      <c r="A98" s="20" t="inlineStr">
        <is>
          <t>수탁연구 수입</t>
        </is>
      </c>
      <c r="E98" s="22" t="n">
        <v>0</v>
      </c>
      <c r="F98" s="22" t="n">
        <v>0</v>
      </c>
      <c r="U98" s="22" t="n">
        <v>0</v>
      </c>
      <c r="V98" s="22" t="n">
        <v>0</v>
      </c>
    </row>
    <row r="99">
      <c r="A99" s="20" t="inlineStr">
        <is>
          <t>기타</t>
        </is>
      </c>
      <c r="C99" s="22" t="n">
        <v>0.251</v>
      </c>
      <c r="D99" s="22" t="n">
        <v>0.166</v>
      </c>
      <c r="E99" s="22" t="n">
        <v>0.156</v>
      </c>
      <c r="F99" s="22" t="n">
        <v>0.112</v>
      </c>
      <c r="G99" s="22" t="n">
        <v>0.104</v>
      </c>
      <c r="H99" s="22" t="n">
        <v>0.743</v>
      </c>
      <c r="I99" s="22" t="n">
        <v>0.107</v>
      </c>
      <c r="J99" s="22" t="n">
        <v>0.121</v>
      </c>
      <c r="K99" s="22" t="n">
        <v>0.341</v>
      </c>
      <c r="L99" s="22" t="n">
        <v>0.519</v>
      </c>
      <c r="M99" s="22" t="n">
        <v>0.459</v>
      </c>
      <c r="N99" s="22" t="n">
        <v>1.634</v>
      </c>
      <c r="U99" s="22" t="n">
        <v>-0.505</v>
      </c>
      <c r="V99" s="22" t="n">
        <v>0.112</v>
      </c>
      <c r="W99" s="22" t="n">
        <v>0.121</v>
      </c>
      <c r="X99" s="22" t="n">
        <v>1.634</v>
      </c>
    </row>
    <row r="100">
      <c r="A100" s="20" t="inlineStr">
        <is>
          <t>영업외수익 합계</t>
        </is>
      </c>
      <c r="C100" s="22" t="n">
        <v>0.632</v>
      </c>
      <c r="D100" s="22" t="n">
        <v>0.507</v>
      </c>
      <c r="E100" s="22" t="n">
        <v>0.291</v>
      </c>
      <c r="F100" s="22" t="n">
        <v>0.545</v>
      </c>
      <c r="G100" s="22" t="n">
        <v>0.729</v>
      </c>
      <c r="H100" s="22" t="n">
        <v>2.621</v>
      </c>
      <c r="I100" s="22" t="n">
        <v>0.301</v>
      </c>
      <c r="J100" s="22" t="n">
        <v>4.312</v>
      </c>
      <c r="K100" s="22" t="n">
        <v>0.54</v>
      </c>
      <c r="L100" s="22" t="n">
        <v>5.623</v>
      </c>
      <c r="M100" s="22" t="n">
        <v>10.357</v>
      </c>
      <c r="N100" s="22" t="n">
        <v>34.573</v>
      </c>
      <c r="U100" s="22" t="n">
        <v>0.256</v>
      </c>
      <c r="V100" s="22" t="n">
        <v>0.545</v>
      </c>
      <c r="W100" s="22" t="n">
        <v>4.312</v>
      </c>
      <c r="X100" s="22" t="n">
        <v>34.573</v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IF(OR(G100="",C100=""),"",IF(G100*C100&lt;=0,"",IFERROR(G100/C100-1,"")))</f>
        <v/>
      </c>
      <c r="H101" s="17">
        <f>IF(OR(H100="",D100=""),"",IF(H100*D100&lt;=0,"",IFERROR(H100/D100-1,"")))</f>
        <v/>
      </c>
      <c r="I101" s="17">
        <f>IF(OR(I100="",E100=""),"",IF(I100*E100&lt;=0,"",IFERROR(I100/E100-1,"")))</f>
        <v/>
      </c>
      <c r="J101" s="17">
        <f>IF(OR(J100="",F100=""),"",IF(J100*F100&lt;=0,"",IFERROR(J100/F100-1,"")))</f>
        <v/>
      </c>
      <c r="K101" s="17">
        <f>IF(OR(K100="",G100=""),"",IF(K100*G100&lt;=0,"",IFERROR(K100/G100-1,"")))</f>
        <v/>
      </c>
      <c r="L101" s="17">
        <f>IF(OR(L100="",H100=""),"",IF(L100*H100&lt;=0,"",IFERROR(L100/H100-1,"")))</f>
        <v/>
      </c>
      <c r="M101" s="17">
        <f>IF(OR(M100="",I100=""),"",IF(M100*I100&lt;=0,"",IFERROR(M100/I100-1,"")))</f>
        <v/>
      </c>
      <c r="N101" s="17">
        <f>IF(OR(N100="",J100=""),"",IF(N100*J100&lt;=0,"",IFERROR(N100/J100-1,"")))</f>
        <v/>
      </c>
      <c r="U101" s="17">
        <f>IF(OR(U100="",T100=""),"",IF(U100*T100&lt;=0,"",IFERROR(U100/T100-1,"")))</f>
        <v/>
      </c>
      <c r="V101" s="17">
        <f>IF(OR(V100="",U100=""),"",IF(V100*U100&lt;=0,"",IFERROR(V100/U100-1,"")))</f>
        <v/>
      </c>
      <c r="W101" s="17">
        <f>IF(OR(W100="",V100=""),"",IF(W100*V100&lt;=0,"",IFERROR(W100/V100-1,"")))</f>
        <v/>
      </c>
      <c r="X101" s="17">
        <f>IF(OR(X100="",W100=""),"",IF(X100*W100&lt;=0,"",IFERROR(X100/W100-1,"")))</f>
        <v/>
      </c>
    </row>
    <row r="102">
      <c r="A102" s="20" t="inlineStr">
        <is>
          <t>이자비용</t>
        </is>
      </c>
      <c r="C102" s="22" t="n">
        <v>0.079</v>
      </c>
      <c r="D102" s="22" t="n">
        <v>0.08</v>
      </c>
      <c r="E102" s="22" t="n">
        <v>0.081</v>
      </c>
      <c r="F102" s="22" t="n">
        <v>0.053</v>
      </c>
      <c r="G102" s="22" t="n">
        <v>0</v>
      </c>
      <c r="H102" s="22" t="n">
        <v>0</v>
      </c>
      <c r="I102" s="22" t="n">
        <v>0</v>
      </c>
      <c r="J102" s="22" t="n">
        <v>0</v>
      </c>
      <c r="M102" s="22" t="n">
        <v>0</v>
      </c>
      <c r="N102" s="22" t="n">
        <v>0</v>
      </c>
      <c r="U102" s="22" t="n">
        <v>0.08</v>
      </c>
      <c r="V102" s="22" t="n">
        <v>0.053</v>
      </c>
      <c r="W102" s="22" t="n">
        <v>0</v>
      </c>
      <c r="X102" s="22" t="n">
        <v>0</v>
      </c>
    </row>
    <row r="103">
      <c r="A103" s="20" t="inlineStr">
        <is>
          <t>외환차손</t>
        </is>
      </c>
      <c r="C103" s="22" t="n">
        <v>0.023</v>
      </c>
      <c r="D103" s="22" t="n">
        <v>0</v>
      </c>
      <c r="E103" s="22" t="n">
        <v>0</v>
      </c>
      <c r="F103" s="22" t="n">
        <v>0.135</v>
      </c>
      <c r="G103" s="22" t="n">
        <v>0.467</v>
      </c>
      <c r="H103" s="22" t="n">
        <v>0.123</v>
      </c>
      <c r="I103" s="22" t="n">
        <v>-0.01</v>
      </c>
      <c r="J103" s="22" t="n">
        <v>0.048</v>
      </c>
      <c r="K103" s="22" t="n">
        <v>0.269</v>
      </c>
      <c r="L103" s="22" t="n">
        <v>0.097</v>
      </c>
      <c r="M103" s="22" t="n">
        <v>0.018</v>
      </c>
      <c r="N103" s="22" t="n">
        <v>0.09</v>
      </c>
      <c r="V103" s="22" t="n">
        <v>0.135</v>
      </c>
      <c r="W103" s="22" t="n">
        <v>0.048</v>
      </c>
      <c r="X103" s="22" t="n">
        <v>0.09</v>
      </c>
    </row>
    <row r="104">
      <c r="A104" s="20" t="inlineStr">
        <is>
          <t>주식교부비</t>
        </is>
      </c>
      <c r="C104" s="22" t="n">
        <v>0.366</v>
      </c>
      <c r="D104" s="22" t="n">
        <v>0.699</v>
      </c>
      <c r="E104" s="22" t="n">
        <v>0.12</v>
      </c>
      <c r="F104" s="22" t="n">
        <v>0.324</v>
      </c>
      <c r="G104" s="22" t="n">
        <v>0.155</v>
      </c>
      <c r="H104" s="22" t="n">
        <v>0.213</v>
      </c>
      <c r="I104" s="22" t="n">
        <v>0.061</v>
      </c>
      <c r="J104" s="22" t="n">
        <v>0.699</v>
      </c>
      <c r="K104" s="22" t="n">
        <v>0.27</v>
      </c>
      <c r="L104" s="22" t="n">
        <v>0.3</v>
      </c>
      <c r="M104" s="22" t="n">
        <v>0.062</v>
      </c>
      <c r="N104" s="22" t="n">
        <v>0.234</v>
      </c>
      <c r="U104" s="22" t="n">
        <v>19.94</v>
      </c>
      <c r="V104" s="22" t="n">
        <v>0.324</v>
      </c>
      <c r="W104" s="22" t="n">
        <v>0.699</v>
      </c>
      <c r="X104" s="22" t="n">
        <v>0.234</v>
      </c>
    </row>
    <row r="105">
      <c r="A105" s="20" t="inlineStr">
        <is>
          <t>수탁연구 비용</t>
        </is>
      </c>
      <c r="E105" s="22" t="n">
        <v>0</v>
      </c>
      <c r="F105" s="22" t="n">
        <v>0</v>
      </c>
      <c r="U105" s="22" t="n">
        <v>0</v>
      </c>
      <c r="V105" s="22" t="n">
        <v>0</v>
      </c>
    </row>
    <row r="106">
      <c r="A106" s="20" t="inlineStr">
        <is>
          <t>기타</t>
        </is>
      </c>
      <c r="C106" s="22" t="n">
        <v>0</v>
      </c>
      <c r="D106" s="22" t="n">
        <v>0</v>
      </c>
      <c r="E106" s="22" t="n">
        <v>3.682</v>
      </c>
      <c r="F106" s="22" t="n">
        <v>0</v>
      </c>
      <c r="G106" s="22" t="n">
        <v>0</v>
      </c>
      <c r="H106" s="22" t="n">
        <v>0.114</v>
      </c>
      <c r="I106" s="22" t="n">
        <v>0</v>
      </c>
      <c r="J106" s="22" t="n">
        <v>-0.001</v>
      </c>
      <c r="K106" s="22" t="n">
        <v>0</v>
      </c>
      <c r="L106" s="22" t="n">
        <v>0</v>
      </c>
      <c r="M106" s="22" t="n">
        <v>0</v>
      </c>
      <c r="N106" s="22" t="n">
        <v>0.3</v>
      </c>
      <c r="U106" s="22" t="n">
        <v>-1.822</v>
      </c>
      <c r="V106" s="22" t="n">
        <v>0</v>
      </c>
      <c r="W106" s="22" t="n">
        <v>-0.001</v>
      </c>
      <c r="X106" s="22" t="n">
        <v>0.3</v>
      </c>
    </row>
    <row r="107">
      <c r="A107" s="20" t="inlineStr">
        <is>
          <t>영업외비용 합계</t>
        </is>
      </c>
      <c r="C107" s="22" t="n">
        <v>0.469</v>
      </c>
      <c r="D107" s="22" t="n">
        <v>0.779</v>
      </c>
      <c r="E107" s="22" t="n">
        <v>3.883</v>
      </c>
      <c r="F107" s="22" t="n">
        <v>0.514</v>
      </c>
      <c r="G107" s="22" t="n">
        <v>0.623</v>
      </c>
      <c r="H107" s="22" t="n">
        <v>0.45</v>
      </c>
      <c r="I107" s="22" t="n">
        <v>0.051</v>
      </c>
      <c r="J107" s="22" t="n">
        <v>0.747</v>
      </c>
      <c r="K107" s="22" t="n">
        <v>0.539</v>
      </c>
      <c r="L107" s="22" t="n">
        <v>0.629</v>
      </c>
      <c r="M107" s="22" t="n">
        <v>0.081</v>
      </c>
      <c r="N107" s="22" t="n">
        <v>0.623</v>
      </c>
      <c r="U107" s="22" t="n">
        <v>20.282</v>
      </c>
      <c r="V107" s="22" t="n">
        <v>0.514</v>
      </c>
      <c r="W107" s="22" t="n">
        <v>0.747</v>
      </c>
      <c r="X107" s="22" t="n">
        <v>0.623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IF(OR(G107="",C107=""),"",IF(G107*C107&lt;=0,"",IFERROR(G107/C107-1,"")))</f>
        <v/>
      </c>
      <c r="H108" s="17">
        <f>IF(OR(H107="",D107=""),"",IF(H107*D107&lt;=0,"",IFERROR(H107/D107-1,"")))</f>
        <v/>
      </c>
      <c r="I108" s="17">
        <f>IF(OR(I107="",E107=""),"",IF(I107*E107&lt;=0,"",IFERROR(I107/E107-1,"")))</f>
        <v/>
      </c>
      <c r="J108" s="17">
        <f>IF(OR(J107="",F107=""),"",IF(J107*F107&lt;=0,"",IFERROR(J107/F107-1,"")))</f>
        <v/>
      </c>
      <c r="K108" s="17">
        <f>IF(OR(K107="",G107=""),"",IF(K107*G107&lt;=0,"",IFERROR(K107/G107-1,"")))</f>
        <v/>
      </c>
      <c r="L108" s="17">
        <f>IF(OR(L107="",H107=""),"",IF(L107*H107&lt;=0,"",IFERROR(L107/H107-1,"")))</f>
        <v/>
      </c>
      <c r="M108" s="17">
        <f>IF(OR(M107="",I107=""),"",IF(M107*I107&lt;=0,"",IFERROR(M107/I107-1,"")))</f>
        <v/>
      </c>
      <c r="N108" s="17">
        <f>IF(OR(N107="",J107=""),"",IF(N107*J107&lt;=0,"",IFERROR(N107/J107-1,"")))</f>
        <v/>
      </c>
      <c r="U108" s="17">
        <f>IF(OR(U107="",T107=""),"",IF(U107*T107&lt;=0,"",IFERROR(U107/T107-1,"")))</f>
        <v/>
      </c>
      <c r="V108" s="17">
        <f>IF(OR(V107="",U107=""),"",IF(V107*U107&lt;=0,"",IFERROR(V107/U107-1,"")))</f>
        <v/>
      </c>
      <c r="W108" s="17">
        <f>IF(OR(W107="",V107=""),"",IF(W107*V107&lt;=0,"",IFERROR(W107/V107-1,"")))</f>
        <v/>
      </c>
      <c r="X108" s="17">
        <f>IF(OR(X107="",W107=""),"",IF(X107*W107&lt;=0,"",IFERROR(X107/W107-1,"")))</f>
        <v/>
      </c>
    </row>
    <row r="109">
      <c r="A109" s="9" t="inlineStr">
        <is>
          <t>경상이익</t>
        </is>
      </c>
      <c r="C109" s="12" t="n">
        <v>56.916</v>
      </c>
      <c r="D109" s="12" t="n">
        <v>145.224</v>
      </c>
      <c r="E109" s="12" t="n">
        <v>-14.359</v>
      </c>
      <c r="F109" s="12" t="n">
        <v>98.89100000000001</v>
      </c>
      <c r="G109" s="12" t="n">
        <v>94.717</v>
      </c>
      <c r="H109" s="12" t="n">
        <v>197.536</v>
      </c>
      <c r="I109" s="12" t="n">
        <v>109.857</v>
      </c>
      <c r="J109" s="12" t="n">
        <v>49.868</v>
      </c>
      <c r="K109" s="12" t="n">
        <v>219.264</v>
      </c>
      <c r="L109" s="12" t="n">
        <v>170.336</v>
      </c>
      <c r="M109" s="12" t="n">
        <v>192.499</v>
      </c>
      <c r="N109" s="12" t="n">
        <v>177.751</v>
      </c>
      <c r="U109" s="12" t="n">
        <v>3.925</v>
      </c>
      <c r="V109" s="12" t="n">
        <v>98.89100000000001</v>
      </c>
      <c r="W109" s="12" t="n">
        <v>49.868</v>
      </c>
      <c r="X109" s="12" t="n">
        <v>177.751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U110" s="17">
        <f>IF(OR(U109="",T109=""),"",IF(T109&lt;=0,"",IFERROR(U109/T109-1,"")))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1">
      <c r="A111" s="9" t="inlineStr">
        <is>
          <t>법인세차감전 순이익</t>
        </is>
      </c>
      <c r="C111" s="12" t="n">
        <v>56.916</v>
      </c>
      <c r="D111" s="12" t="n">
        <v>145.224</v>
      </c>
      <c r="E111" s="12" t="n">
        <v>-14.359</v>
      </c>
      <c r="F111" s="12" t="n">
        <v>98.89100000000001</v>
      </c>
      <c r="G111" s="12" t="n">
        <v>94.717</v>
      </c>
      <c r="H111" s="12" t="n">
        <v>197.536</v>
      </c>
      <c r="I111" s="12" t="n">
        <v>109.857</v>
      </c>
      <c r="J111" s="12" t="n">
        <v>49.868</v>
      </c>
      <c r="K111" s="12" t="n">
        <v>219.264</v>
      </c>
      <c r="L111" s="12" t="n">
        <v>170.336</v>
      </c>
      <c r="M111" s="12" t="n">
        <v>192.499</v>
      </c>
      <c r="N111" s="12" t="n">
        <v>177.751</v>
      </c>
      <c r="U111" s="12" t="n">
        <v>3.925</v>
      </c>
      <c r="V111" s="12" t="n">
        <v>98.89100000000001</v>
      </c>
      <c r="W111" s="12" t="n">
        <v>49.868</v>
      </c>
      <c r="X111" s="12" t="n">
        <v>177.751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3">
      <c r="A113" s="20" t="inlineStr">
        <is>
          <t>법인세·주민세·사업세</t>
        </is>
      </c>
      <c r="U113" s="22" t="n">
        <v>86.935</v>
      </c>
    </row>
    <row r="114">
      <c r="A114" s="20" t="inlineStr">
        <is>
          <t>법인세 등 합계</t>
        </is>
      </c>
      <c r="C114" s="22" t="n">
        <v>9.222</v>
      </c>
      <c r="D114" s="22" t="n">
        <v>22.523</v>
      </c>
      <c r="E114" s="22" t="n">
        <v>2.855</v>
      </c>
      <c r="F114" s="22" t="n">
        <v>33.359</v>
      </c>
      <c r="G114" s="22" t="n">
        <v>9.356999999999999</v>
      </c>
      <c r="H114" s="22" t="n">
        <v>38.602</v>
      </c>
      <c r="I114" s="22" t="n">
        <v>0.5669999999999999</v>
      </c>
      <c r="J114" s="22" t="n">
        <v>-44.816</v>
      </c>
      <c r="K114" s="22" t="n">
        <v>37.186</v>
      </c>
      <c r="L114" s="22" t="n">
        <v>16.18</v>
      </c>
      <c r="M114" s="22" t="n">
        <v>-184.773</v>
      </c>
      <c r="N114" s="22" t="n">
        <v>-174.648</v>
      </c>
      <c r="U114" s="22" t="n">
        <v>-43.559</v>
      </c>
      <c r="V114" s="22" t="n">
        <v>33.359</v>
      </c>
      <c r="W114" s="22" t="n">
        <v>-44.816</v>
      </c>
      <c r="X114" s="22" t="n">
        <v>-174.648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IF(OR(G114="",C114=""),"",IF(G114*C114&lt;=0,"",IFERROR(G114/C114-1,"")))</f>
        <v/>
      </c>
      <c r="H115" s="17">
        <f>IF(OR(H114="",D114=""),"",IF(H114*D114&lt;=0,"",IFERROR(H114/D114-1,"")))</f>
        <v/>
      </c>
      <c r="I115" s="17">
        <f>IF(OR(I114="",E114=""),"",IF(I114*E114&lt;=0,"",IFERROR(I114/E114-1,"")))</f>
        <v/>
      </c>
      <c r="J115" s="17">
        <f>IF(OR(J114="",F114=""),"",IF(J114*F114&lt;=0,"",IFERROR(J114/F114-1,"")))</f>
        <v/>
      </c>
      <c r="K115" s="17">
        <f>IF(OR(K114="",G114=""),"",IF(K114*G114&lt;=0,"",IFERROR(K114/G114-1,"")))</f>
        <v/>
      </c>
      <c r="L115" s="17">
        <f>IF(OR(L114="",H114=""),"",IF(L114*H114&lt;=0,"",IFERROR(L114/H114-1,"")))</f>
        <v/>
      </c>
      <c r="M115" s="17">
        <f>IF(OR(M114="",I114=""),"",IF(M114*I114&lt;=0,"",IFERROR(M114/I114-1,"")))</f>
        <v/>
      </c>
      <c r="N115" s="17">
        <f>IF(OR(N114="",J114=""),"",IF(N114*J114&lt;=0,"",IFERROR(N114/J114-1,"")))</f>
        <v/>
      </c>
      <c r="U115" s="17">
        <f>IF(OR(U114="",T114=""),"",IF(U114*T114&lt;=0,"",IFERROR(U114/T114-1,"")))</f>
        <v/>
      </c>
      <c r="V115" s="17">
        <f>IF(OR(V114="",U114=""),"",IF(V114*U114&lt;=0,"",IFERROR(V114/U114-1,"")))</f>
        <v/>
      </c>
      <c r="W115" s="17">
        <f>IF(OR(W114="",V114=""),"",IF(W114*V114&lt;=0,"",IFERROR(W114/V114-1,"")))</f>
        <v/>
      </c>
      <c r="X115" s="17">
        <f>IF(OR(X114="",W114=""),"",IF(X114*W114&lt;=0,"",IFERROR(X114/W114-1,"")))</f>
        <v/>
      </c>
    </row>
    <row r="116">
      <c r="A116" s="9" t="inlineStr">
        <is>
          <t>순이익</t>
        </is>
      </c>
      <c r="C116" s="12" t="n">
        <v>47.693</v>
      </c>
      <c r="D116" s="12" t="n">
        <v>122.701</v>
      </c>
      <c r="E116" s="12" t="n">
        <v>-17.214</v>
      </c>
      <c r="F116" s="12" t="n">
        <v>65.532</v>
      </c>
      <c r="G116" s="12" t="n">
        <v>85.35899999999999</v>
      </c>
      <c r="H116" s="12" t="n">
        <v>158.935</v>
      </c>
      <c r="I116" s="12" t="n">
        <v>109.289</v>
      </c>
      <c r="J116" s="12" t="n">
        <v>94.685</v>
      </c>
      <c r="K116" s="12" t="n">
        <v>182.078</v>
      </c>
      <c r="L116" s="12" t="n">
        <v>154.155</v>
      </c>
      <c r="M116" s="12" t="n">
        <v>377.274</v>
      </c>
      <c r="N116" s="12" t="n">
        <v>352.398</v>
      </c>
      <c r="U116" s="12" t="n">
        <v>47.485</v>
      </c>
      <c r="V116" s="12" t="n">
        <v>65.532</v>
      </c>
      <c r="W116" s="12" t="n">
        <v>94.685</v>
      </c>
      <c r="X116" s="12" t="n">
        <v>352.398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IF(OR(G116="",C116=""),"",IF(C116&lt;=0,"",IFERROR(G116/C116-1,"")))</f>
        <v/>
      </c>
      <c r="H117" s="17">
        <f>IF(OR(H116="",D116=""),"",IF(D116&lt;=0,"",IFERROR(H116/D116-1,"")))</f>
        <v/>
      </c>
      <c r="I117" s="17">
        <f>IF(OR(I116="",E116=""),"",IF(E116&lt;=0,"",IFERROR(I116/E116-1,"")))</f>
        <v/>
      </c>
      <c r="J117" s="17">
        <f>IF(OR(J116="",F116=""),"",IF(F116&lt;=0,"",IFERROR(J116/F116-1,"")))</f>
        <v/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U117" s="17">
        <f>IF(OR(U116="",T116=""),"",IF(T116&lt;=0,"",IFERROR(U116/T116-1,"")))</f>
        <v/>
      </c>
      <c r="V117" s="17">
        <f>IF(OR(V116="",U116=""),"",IF(U116&lt;=0,"",IFERROR(V116/U116-1,"")))</f>
        <v/>
      </c>
      <c r="W117" s="17">
        <f>IF(OR(W116="",V116=""),"",IF(V116&lt;=0,"",IFERROR(W116/V116-1,"")))</f>
        <v/>
      </c>
      <c r="X117" s="17">
        <f>IF(OR(X116="",W116=""),"",IF(W116&lt;=0,"",IFERROR(X116/W116-1,"")))</f>
        <v/>
      </c>
    </row>
    <row r="119">
      <c r="A119" s="18" t="inlineStr">
        <is>
          <t>현금흐름표 · 전 항목</t>
        </is>
      </c>
      <c r="B119" s="44" t="inlineStr">
        <is>
          <t>분기 = 결산기 첫날부터 누계(공시 그대로)</t>
        </is>
      </c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18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2024.1Q</t>
        </is>
      </c>
      <c r="D120" s="5" t="inlineStr">
        <is>
          <t>2024.2Q</t>
        </is>
      </c>
      <c r="E120" s="5" t="inlineStr">
        <is>
          <t>2024.3Q</t>
        </is>
      </c>
      <c r="F120" s="5" t="inlineStr">
        <is>
          <t>2024.4Q</t>
        </is>
      </c>
      <c r="G120" s="5" t="inlineStr">
        <is>
          <t>2025.1Q</t>
        </is>
      </c>
      <c r="H120" s="5" t="inlineStr">
        <is>
          <t>2025.2Q</t>
        </is>
      </c>
      <c r="I120" s="5" t="inlineStr">
        <is>
          <t>2025.3Q</t>
        </is>
      </c>
      <c r="J120" s="5" t="inlineStr">
        <is>
          <t>2025.4Q</t>
        </is>
      </c>
      <c r="K120" s="5" t="inlineStr">
        <is>
          <t>2026.1Q</t>
        </is>
      </c>
      <c r="L120" s="5" t="inlineStr">
        <is>
          <t>2026.2Q</t>
        </is>
      </c>
      <c r="M120" s="5" t="inlineStr">
        <is>
          <t>2026.3Q</t>
        </is>
      </c>
      <c r="N120" s="5" t="inlineStr">
        <is>
          <t>2026.4Q</t>
        </is>
      </c>
      <c r="O120" s="5" t="inlineStr">
        <is>
          <t>2017</t>
        </is>
      </c>
      <c r="P120" s="5" t="inlineStr">
        <is>
          <t>2018</t>
        </is>
      </c>
      <c r="Q120" s="5" t="inlineStr">
        <is>
          <t>2019</t>
        </is>
      </c>
      <c r="R120" s="5" t="inlineStr">
        <is>
          <t>2020</t>
        </is>
      </c>
      <c r="S120" s="5" t="inlineStr">
        <is>
          <t>2021</t>
        </is>
      </c>
      <c r="T120" s="5" t="inlineStr">
        <is>
          <t>2022</t>
        </is>
      </c>
      <c r="U120" s="5" t="inlineStr">
        <is>
          <t>2023</t>
        </is>
      </c>
      <c r="V120" s="5" t="inlineStr">
        <is>
          <t>2024</t>
        </is>
      </c>
      <c r="W120" s="5" t="inlineStr">
        <is>
          <t>2025</t>
        </is>
      </c>
      <c r="X120" s="5" t="inlineStr">
        <is>
          <t>2026</t>
        </is>
      </c>
      <c r="Y120" s="5" t="inlineStr">
        <is>
          <t>2027(MW)</t>
        </is>
      </c>
      <c r="Z120" s="5" t="inlineStr">
        <is>
          <t>2028(MW)</t>
        </is>
      </c>
      <c r="AA120" s="5" t="inlineStr">
        <is>
          <t>2029(MW)</t>
        </is>
      </c>
      <c r="AB120" s="5" t="inlineStr">
        <is>
          <t>2030(MW)</t>
        </is>
      </c>
      <c r="AC120" s="5" t="inlineStr">
        <is>
          <t>2031(MW)</t>
        </is>
      </c>
    </row>
    <row r="121">
      <c r="A121" s="9" t="inlineStr">
        <is>
          <t>법인세차감전 순이익</t>
        </is>
      </c>
      <c r="D121" s="12" t="n">
        <v>202.14</v>
      </c>
      <c r="F121" s="12" t="n">
        <v>286.672</v>
      </c>
      <c r="H121" s="12" t="n">
        <v>292.253</v>
      </c>
      <c r="J121" s="12" t="n">
        <v>451.978</v>
      </c>
      <c r="L121" s="12" t="n">
        <v>389.6</v>
      </c>
      <c r="N121" s="12" t="n">
        <v>759.85</v>
      </c>
      <c r="T121" s="12" t="n">
        <v>-194.072</v>
      </c>
      <c r="U121" s="12" t="n">
        <v>379.757</v>
      </c>
      <c r="V121" s="12" t="n">
        <v>286.672</v>
      </c>
      <c r="W121" s="12" t="n">
        <v>451.978</v>
      </c>
      <c r="X121" s="12" t="n">
        <v>759.85</v>
      </c>
    </row>
    <row r="122">
      <c r="A122" s="20" t="inlineStr">
        <is>
          <t>감가상각비</t>
        </is>
      </c>
      <c r="D122" s="22" t="n">
        <v>1.512</v>
      </c>
      <c r="F122" s="22" t="n">
        <v>5.805</v>
      </c>
      <c r="H122" s="22" t="n">
        <v>5.334</v>
      </c>
      <c r="J122" s="22" t="n">
        <v>12.888</v>
      </c>
      <c r="L122" s="22" t="n">
        <v>7.212</v>
      </c>
      <c r="N122" s="22" t="n">
        <v>16.76</v>
      </c>
      <c r="T122" s="22" t="n">
        <v>0</v>
      </c>
      <c r="U122" s="22" t="n">
        <v>0.106</v>
      </c>
      <c r="V122" s="22" t="n">
        <v>5.805</v>
      </c>
      <c r="W122" s="22" t="n">
        <v>12.888</v>
      </c>
      <c r="X122" s="22" t="n">
        <v>16.76</v>
      </c>
    </row>
    <row r="123">
      <c r="A123" s="20" t="inlineStr">
        <is>
          <t>신주예약권 환입이익</t>
        </is>
      </c>
      <c r="T123" s="22" t="n">
        <v>-1.746</v>
      </c>
      <c r="U123" s="22" t="n">
        <v>0</v>
      </c>
    </row>
    <row r="124">
      <c r="A124" s="20" t="inlineStr">
        <is>
          <t>대손충당금 증감</t>
        </is>
      </c>
      <c r="D124" s="22" t="n">
        <v>0</v>
      </c>
      <c r="F124" s="22" t="n">
        <v>0</v>
      </c>
      <c r="T124" s="22" t="n">
        <v>-0.505</v>
      </c>
      <c r="U124" s="22" t="n">
        <v>-0.265</v>
      </c>
      <c r="V124" s="22" t="n">
        <v>0</v>
      </c>
    </row>
    <row r="125">
      <c r="A125" s="20" t="inlineStr">
        <is>
          <t>주식보상비용</t>
        </is>
      </c>
      <c r="H125" s="22" t="n">
        <v>0</v>
      </c>
      <c r="J125" s="22" t="n">
        <v>0</v>
      </c>
      <c r="L125" s="22" t="n">
        <v>0.95</v>
      </c>
      <c r="N125" s="22" t="n">
        <v>2.851</v>
      </c>
      <c r="W125" s="22" t="n">
        <v>0</v>
      </c>
      <c r="X125" s="22" t="n">
        <v>2.851</v>
      </c>
    </row>
    <row r="126">
      <c r="A126" s="20" t="inlineStr">
        <is>
          <t>상여충당금 증감</t>
        </is>
      </c>
      <c r="D126" s="22" t="n">
        <v>-10.794</v>
      </c>
      <c r="F126" s="22" t="n">
        <v>-7.286</v>
      </c>
      <c r="H126" s="22" t="n">
        <v>51.039</v>
      </c>
      <c r="J126" s="22" t="n">
        <v>40.808</v>
      </c>
      <c r="L126" s="22" t="n">
        <v>-0.447</v>
      </c>
      <c r="N126" s="22" t="n">
        <v>26.032</v>
      </c>
      <c r="T126" s="22" t="n">
        <v>0</v>
      </c>
      <c r="U126" s="22" t="n">
        <v>124.139</v>
      </c>
      <c r="V126" s="22" t="n">
        <v>-7.286</v>
      </c>
      <c r="W126" s="22" t="n">
        <v>40.808</v>
      </c>
      <c r="X126" s="22" t="n">
        <v>26.032</v>
      </c>
    </row>
    <row r="127">
      <c r="A127" s="20" t="inlineStr">
        <is>
          <t>수주손실 충당금 증감</t>
        </is>
      </c>
      <c r="T127" s="22" t="n">
        <v>-4.467</v>
      </c>
      <c r="U127" s="22" t="n">
        <v>0</v>
      </c>
    </row>
    <row r="128">
      <c r="A128" s="20" t="inlineStr">
        <is>
          <t>임원 상여충당금 증감</t>
        </is>
      </c>
      <c r="D128" s="22" t="n">
        <v>0</v>
      </c>
      <c r="F128" s="22" t="n">
        <v>0</v>
      </c>
      <c r="H128" s="22" t="n">
        <v>20.256</v>
      </c>
      <c r="J128" s="22" t="n">
        <v>51.479</v>
      </c>
      <c r="L128" s="22" t="n">
        <v>-38.612</v>
      </c>
      <c r="N128" s="22" t="n">
        <v>-20.011</v>
      </c>
      <c r="V128" s="22" t="n">
        <v>0</v>
      </c>
      <c r="W128" s="22" t="n">
        <v>51.479</v>
      </c>
      <c r="X128" s="22" t="n">
        <v>-20.011</v>
      </c>
    </row>
    <row r="129">
      <c r="A129" s="20" t="inlineStr">
        <is>
          <t>이자수익</t>
        </is>
      </c>
      <c r="D129" s="22" t="n">
        <v>-0.017</v>
      </c>
      <c r="F129" s="22" t="n">
        <v>-0.3</v>
      </c>
      <c r="H129" s="22" t="n">
        <v>-1.439</v>
      </c>
      <c r="J129" s="22" t="n">
        <v>-5.358</v>
      </c>
      <c r="L129" s="22" t="n">
        <v>-4.665</v>
      </c>
      <c r="T129" s="22" t="n">
        <v>-0.021</v>
      </c>
      <c r="U129" s="22" t="n">
        <v>-0.022</v>
      </c>
      <c r="V129" s="22" t="n">
        <v>-0.3</v>
      </c>
      <c r="W129" s="22" t="n">
        <v>-5.358</v>
      </c>
    </row>
    <row r="130">
      <c r="A130" s="20" t="inlineStr">
        <is>
          <t>이자·배당금 수익</t>
        </is>
      </c>
      <c r="J130" s="22" t="n">
        <v>-5.358</v>
      </c>
      <c r="N130" s="22" t="n">
        <v>-20.161</v>
      </c>
      <c r="W130" s="22" t="n">
        <v>-5.358</v>
      </c>
      <c r="X130" s="22" t="n">
        <v>-20.161</v>
      </c>
    </row>
    <row r="131">
      <c r="A131" s="20" t="inlineStr">
        <is>
          <t>이자비용</t>
        </is>
      </c>
      <c r="D131" s="22" t="n">
        <v>0.159</v>
      </c>
      <c r="F131" s="22" t="n">
        <v>0.293</v>
      </c>
      <c r="H131" s="22" t="n">
        <v>0</v>
      </c>
      <c r="J131" s="22" t="n">
        <v>0</v>
      </c>
      <c r="L131" s="22" t="n">
        <v>0.232</v>
      </c>
      <c r="N131" s="22" t="n">
        <v>0.232</v>
      </c>
      <c r="T131" s="22" t="n">
        <v>0.32</v>
      </c>
      <c r="U131" s="22" t="n">
        <v>0.319</v>
      </c>
      <c r="V131" s="22" t="n">
        <v>0.293</v>
      </c>
      <c r="W131" s="22" t="n">
        <v>0</v>
      </c>
      <c r="X131" s="22" t="n">
        <v>0.232</v>
      </c>
    </row>
    <row r="132">
      <c r="A132" s="20" t="inlineStr">
        <is>
          <t>손상차손</t>
        </is>
      </c>
      <c r="T132" s="22" t="n">
        <v>14.061</v>
      </c>
      <c r="U132" s="22" t="n">
        <v>0</v>
      </c>
    </row>
    <row r="133">
      <c r="A133" s="20" t="inlineStr">
        <is>
          <t>주식교부비</t>
        </is>
      </c>
      <c r="D133" s="22" t="n">
        <v>1.065</v>
      </c>
      <c r="F133" s="22" t="n">
        <v>1.509</v>
      </c>
      <c r="H133" s="22" t="n">
        <v>0.368</v>
      </c>
      <c r="J133" s="22" t="n">
        <v>1.128</v>
      </c>
      <c r="L133" s="22" t="n">
        <v>0.57</v>
      </c>
      <c r="N133" s="22" t="n">
        <v>0.866</v>
      </c>
      <c r="T133" s="22" t="n">
        <v>0</v>
      </c>
      <c r="U133" s="22" t="n">
        <v>24.47</v>
      </c>
      <c r="V133" s="22" t="n">
        <v>1.509</v>
      </c>
      <c r="W133" s="22" t="n">
        <v>1.128</v>
      </c>
      <c r="X133" s="22" t="n">
        <v>0.866</v>
      </c>
    </row>
    <row r="134">
      <c r="A134" s="20" t="inlineStr">
        <is>
          <t>매출채권 증감</t>
        </is>
      </c>
      <c r="D134" s="22" t="n">
        <v>-149.864</v>
      </c>
      <c r="F134" s="22" t="n">
        <v>-95.554</v>
      </c>
      <c r="H134" s="22" t="n">
        <v>-348.724</v>
      </c>
      <c r="J134" s="22" t="n">
        <v>-10.234</v>
      </c>
      <c r="L134" s="22" t="n">
        <v>-104.703</v>
      </c>
      <c r="N134" s="22" t="n">
        <v>-384.138</v>
      </c>
      <c r="T134" s="22" t="n">
        <v>36.205</v>
      </c>
      <c r="U134" s="22" t="n">
        <v>-206.27</v>
      </c>
      <c r="V134" s="22" t="n">
        <v>-95.554</v>
      </c>
      <c r="W134" s="22" t="n">
        <v>-10.234</v>
      </c>
      <c r="X134" s="22" t="n">
        <v>-384.138</v>
      </c>
    </row>
    <row r="135">
      <c r="A135" s="20" t="inlineStr">
        <is>
          <t>재공품 증감</t>
        </is>
      </c>
      <c r="D135" s="22" t="n">
        <v>-1.881</v>
      </c>
      <c r="H135" s="22" t="n">
        <v>-7.616</v>
      </c>
      <c r="L135" s="22" t="n">
        <v>0.819</v>
      </c>
    </row>
    <row r="136">
      <c r="A136" s="20" t="inlineStr">
        <is>
          <t>재고자산 증감</t>
        </is>
      </c>
      <c r="F136" s="22" t="n">
        <v>0.301</v>
      </c>
      <c r="J136" s="22" t="n">
        <v>-7.542</v>
      </c>
      <c r="N136" s="22" t="n">
        <v>1.926</v>
      </c>
      <c r="T136" s="22" t="n">
        <v>-42.04</v>
      </c>
      <c r="U136" s="22" t="n">
        <v>64.617</v>
      </c>
      <c r="V136" s="22" t="n">
        <v>0.301</v>
      </c>
      <c r="W136" s="22" t="n">
        <v>-7.542</v>
      </c>
      <c r="X136" s="22" t="n">
        <v>1.926</v>
      </c>
    </row>
    <row r="137">
      <c r="A137" s="20" t="inlineStr">
        <is>
          <t>저장품 증감</t>
        </is>
      </c>
      <c r="D137" s="22" t="n">
        <v>2.505</v>
      </c>
      <c r="F137" s="22" t="n">
        <v>0.187</v>
      </c>
      <c r="H137" s="22" t="n">
        <v>-0.819</v>
      </c>
      <c r="J137" s="22" t="n">
        <v>2.184</v>
      </c>
      <c r="L137" s="22" t="n">
        <v>0.824</v>
      </c>
      <c r="N137" s="22" t="n">
        <v>1.834</v>
      </c>
      <c r="T137" s="22" t="n">
        <v>5.886</v>
      </c>
      <c r="U137" s="22" t="n">
        <v>-4.176</v>
      </c>
      <c r="V137" s="22" t="n">
        <v>0.187</v>
      </c>
      <c r="W137" s="22" t="n">
        <v>2.184</v>
      </c>
      <c r="X137" s="22" t="n">
        <v>1.834</v>
      </c>
    </row>
    <row r="138">
      <c r="A138" s="20" t="inlineStr">
        <is>
          <t>미수금 증감</t>
        </is>
      </c>
      <c r="D138" s="22" t="n">
        <v>-182.303</v>
      </c>
      <c r="F138" s="22" t="n">
        <v>-684.736</v>
      </c>
      <c r="H138" s="22" t="n">
        <v>631.751</v>
      </c>
      <c r="J138" s="22" t="n">
        <v>684.1180000000001</v>
      </c>
      <c r="L138" s="22" t="n">
        <v>-79.133</v>
      </c>
      <c r="N138" s="22" t="n">
        <v>-8.744999999999999</v>
      </c>
      <c r="U138" s="22" t="n">
        <v>11.115</v>
      </c>
      <c r="V138" s="22" t="n">
        <v>-684.736</v>
      </c>
      <c r="W138" s="22" t="n">
        <v>684.1180000000001</v>
      </c>
      <c r="X138" s="22" t="n">
        <v>-8.744999999999999</v>
      </c>
    </row>
    <row r="139">
      <c r="A139" s="20" t="inlineStr">
        <is>
          <t>매입채무 증감</t>
        </is>
      </c>
      <c r="D139" s="22" t="n">
        <v>0.531</v>
      </c>
      <c r="F139" s="22" t="n">
        <v>0.016</v>
      </c>
      <c r="H139" s="22" t="n">
        <v>0.019</v>
      </c>
      <c r="J139" s="22" t="n">
        <v>0.482</v>
      </c>
      <c r="L139" s="22" t="n">
        <v>-0.003</v>
      </c>
      <c r="N139" s="22" t="n">
        <v>0.218</v>
      </c>
      <c r="T139" s="22" t="n">
        <v>-2.773</v>
      </c>
      <c r="U139" s="22" t="n">
        <v>-0.322</v>
      </c>
      <c r="V139" s="22" t="n">
        <v>0.016</v>
      </c>
      <c r="W139" s="22" t="n">
        <v>0.482</v>
      </c>
      <c r="X139" s="22" t="n">
        <v>0.218</v>
      </c>
    </row>
    <row r="140">
      <c r="A140" s="20" t="inlineStr">
        <is>
          <t>미지급금 증감</t>
        </is>
      </c>
      <c r="D140" s="22" t="n">
        <v>180.733</v>
      </c>
      <c r="F140" s="22" t="n">
        <v>-26.409</v>
      </c>
      <c r="H140" s="22" t="n">
        <v>56.723</v>
      </c>
      <c r="J140" s="22" t="n">
        <v>71.988</v>
      </c>
      <c r="L140" s="22" t="n">
        <v>59.347</v>
      </c>
      <c r="N140" s="22" t="n">
        <v>136.928</v>
      </c>
      <c r="T140" s="22" t="n">
        <v>-19.853</v>
      </c>
      <c r="U140" s="22" t="n">
        <v>-64.20999999999999</v>
      </c>
      <c r="V140" s="22" t="n">
        <v>-26.409</v>
      </c>
      <c r="W140" s="22" t="n">
        <v>71.988</v>
      </c>
      <c r="X140" s="22" t="n">
        <v>136.928</v>
      </c>
    </row>
    <row r="141">
      <c r="A141" s="20" t="inlineStr">
        <is>
          <t>계약부채 증감</t>
        </is>
      </c>
      <c r="F141" s="22" t="n">
        <v>14.725</v>
      </c>
      <c r="H141" s="22" t="n">
        <v>-21.368</v>
      </c>
      <c r="J141" s="22" t="n">
        <v>132.447</v>
      </c>
      <c r="L141" s="22" t="n">
        <v>-132.254</v>
      </c>
      <c r="N141" s="22" t="n">
        <v>-148.116</v>
      </c>
      <c r="V141" s="22" t="n">
        <v>14.725</v>
      </c>
      <c r="W141" s="22" t="n">
        <v>132.447</v>
      </c>
      <c r="X141" s="22" t="n">
        <v>-148.116</v>
      </c>
    </row>
    <row r="142">
      <c r="A142" s="20" t="inlineStr">
        <is>
          <t>미지급법인세(외형표준과세) 증감</t>
        </is>
      </c>
      <c r="D142" s="22" t="n">
        <v>-15.18</v>
      </c>
      <c r="F142" s="22" t="n">
        <v>-18.911</v>
      </c>
      <c r="H142" s="22" t="n">
        <v>4.784</v>
      </c>
      <c r="J142" s="22" t="n">
        <v>7.066</v>
      </c>
      <c r="L142" s="22" t="n">
        <v>1.414</v>
      </c>
      <c r="N142" s="22" t="n">
        <v>6.63</v>
      </c>
      <c r="T142" s="22" t="n">
        <v>-7.093</v>
      </c>
      <c r="U142" s="22" t="n">
        <v>32.013</v>
      </c>
      <c r="V142" s="22" t="n">
        <v>-18.911</v>
      </c>
      <c r="W142" s="22" t="n">
        <v>7.066</v>
      </c>
      <c r="X142" s="22" t="n">
        <v>6.63</v>
      </c>
    </row>
    <row r="143">
      <c r="A143" s="20" t="inlineStr">
        <is>
          <t>기타</t>
        </is>
      </c>
      <c r="D143" s="22" t="n">
        <v>-110.488</v>
      </c>
      <c r="F143" s="22" t="n">
        <v>-103.357</v>
      </c>
      <c r="H143" s="22" t="n">
        <v>72.06100000000001</v>
      </c>
      <c r="J143" s="22" t="n">
        <v>187.661</v>
      </c>
      <c r="L143" s="22" t="n">
        <v>-103.239</v>
      </c>
      <c r="N143" s="22" t="n">
        <v>-138.76</v>
      </c>
      <c r="T143" s="22" t="n">
        <v>-38.2</v>
      </c>
      <c r="U143" s="22" t="n">
        <v>101.853</v>
      </c>
      <c r="V143" s="22" t="n">
        <v>-103.357</v>
      </c>
      <c r="W143" s="22" t="n">
        <v>187.661</v>
      </c>
      <c r="X143" s="22" t="n">
        <v>-138.76</v>
      </c>
    </row>
    <row r="144">
      <c r="A144" s="20" t="inlineStr">
        <is>
          <t>소계</t>
        </is>
      </c>
      <c r="D144" s="22" t="n">
        <v>-81.88200000000001</v>
      </c>
      <c r="F144" s="22" t="n">
        <v>-627.043</v>
      </c>
      <c r="H144" s="22" t="n">
        <v>754.624</v>
      </c>
      <c r="J144" s="22" t="n">
        <v>1621.096</v>
      </c>
      <c r="L144" s="22" t="n">
        <v>-2.088</v>
      </c>
      <c r="N144" s="22" t="n">
        <v>234.196</v>
      </c>
      <c r="T144" s="22" t="n">
        <v>-254.299</v>
      </c>
      <c r="U144" s="22" t="n">
        <v>463.123</v>
      </c>
      <c r="V144" s="22" t="n">
        <v>-627.043</v>
      </c>
      <c r="W144" s="22" t="n">
        <v>1621.096</v>
      </c>
      <c r="X144" s="22" t="n">
        <v>234.196</v>
      </c>
    </row>
    <row r="145">
      <c r="A145" s="20" t="inlineStr">
        <is>
          <t>이자 수취</t>
        </is>
      </c>
      <c r="D145" s="22" t="n">
        <v>0.017</v>
      </c>
      <c r="F145" s="22" t="n">
        <v>0.3</v>
      </c>
      <c r="H145" s="22" t="n">
        <v>1.439</v>
      </c>
      <c r="J145" s="22" t="n">
        <v>5.358</v>
      </c>
      <c r="L145" s="22" t="n">
        <v>4.665</v>
      </c>
      <c r="T145" s="22" t="n">
        <v>0.021</v>
      </c>
      <c r="U145" s="22" t="n">
        <v>0.022</v>
      </c>
      <c r="V145" s="22" t="n">
        <v>0.3</v>
      </c>
      <c r="W145" s="22" t="n">
        <v>5.358</v>
      </c>
    </row>
    <row r="146">
      <c r="A146" s="20" t="inlineStr">
        <is>
          <t>이자·배당금 수취</t>
        </is>
      </c>
      <c r="J146" s="22" t="n">
        <v>5.358</v>
      </c>
      <c r="N146" s="22" t="n">
        <v>20.161</v>
      </c>
      <c r="W146" s="22" t="n">
        <v>5.358</v>
      </c>
      <c r="X146" s="22" t="n">
        <v>20.161</v>
      </c>
    </row>
    <row r="147">
      <c r="A147" s="20" t="inlineStr">
        <is>
          <t>이자 지급</t>
        </is>
      </c>
      <c r="D147" s="22" t="n">
        <v>-0.159</v>
      </c>
      <c r="F147" s="22" t="n">
        <v>-0.293</v>
      </c>
      <c r="H147" s="22" t="n">
        <v>0</v>
      </c>
      <c r="J147" s="22" t="n">
        <v>0</v>
      </c>
      <c r="L147" s="22" t="n">
        <v>-0.232</v>
      </c>
      <c r="N147" s="22" t="n">
        <v>-0.232</v>
      </c>
      <c r="T147" s="22" t="n">
        <v>-0.32</v>
      </c>
      <c r="U147" s="22" t="n">
        <v>-0.319</v>
      </c>
      <c r="V147" s="22" t="n">
        <v>-0.293</v>
      </c>
      <c r="W147" s="22" t="n">
        <v>0</v>
      </c>
      <c r="X147" s="22" t="n">
        <v>-0.232</v>
      </c>
    </row>
    <row r="148">
      <c r="A148" s="20" t="inlineStr">
        <is>
          <t>법인세 납부·환급</t>
        </is>
      </c>
      <c r="D148" s="22" t="n">
        <v>-88.649</v>
      </c>
      <c r="H148" s="22" t="n">
        <v>11.299</v>
      </c>
      <c r="L148" s="22" t="n">
        <v>-53.65</v>
      </c>
    </row>
    <row r="149">
      <c r="A149" s="20" t="inlineStr">
        <is>
          <t>법인세 납부</t>
        </is>
      </c>
      <c r="D149" s="22" t="n">
        <v>-88.649</v>
      </c>
      <c r="F149" s="22" t="n">
        <v>-132.974</v>
      </c>
      <c r="J149" s="22" t="n">
        <v>-5.213</v>
      </c>
      <c r="N149" s="22" t="n">
        <v>-88.92</v>
      </c>
      <c r="T149" s="22" t="n">
        <v>-2.288</v>
      </c>
      <c r="U149" s="22" t="n">
        <v>-2.293</v>
      </c>
      <c r="V149" s="22" t="n">
        <v>-132.974</v>
      </c>
      <c r="W149" s="22" t="n">
        <v>-5.213</v>
      </c>
      <c r="X149" s="22" t="n">
        <v>-88.92</v>
      </c>
    </row>
    <row r="150">
      <c r="A150" s="20" t="inlineStr">
        <is>
          <t>법인세 환급</t>
        </is>
      </c>
      <c r="T150" s="22" t="n">
        <v>3.392</v>
      </c>
      <c r="U150" s="22" t="n">
        <v>0</v>
      </c>
    </row>
    <row r="151">
      <c r="A151" s="9" t="inlineStr">
        <is>
          <t>영업활동 현금흐름</t>
        </is>
      </c>
      <c r="D151" s="12" t="n">
        <v>-170.674</v>
      </c>
      <c r="F151" s="12" t="n">
        <v>-760.011</v>
      </c>
      <c r="H151" s="12" t="n">
        <v>767.362</v>
      </c>
      <c r="J151" s="12" t="n">
        <v>1621.241</v>
      </c>
      <c r="L151" s="12" t="n">
        <v>-51.306</v>
      </c>
      <c r="N151" s="12" t="n">
        <v>165.206</v>
      </c>
      <c r="T151" s="12" t="n">
        <v>-253.494</v>
      </c>
      <c r="U151" s="12" t="n">
        <v>460.532</v>
      </c>
      <c r="V151" s="12" t="n">
        <v>-760.011</v>
      </c>
      <c r="W151" s="12" t="n">
        <v>1621.241</v>
      </c>
      <c r="X151" s="12" t="n">
        <v>165.206</v>
      </c>
    </row>
    <row r="152">
      <c r="A152" s="20" t="inlineStr">
        <is>
          <t>유형자산 취득(설비투자)</t>
        </is>
      </c>
      <c r="D152" s="22" t="n">
        <v>-7.123</v>
      </c>
      <c r="F152" s="22" t="n">
        <v>-13.647</v>
      </c>
      <c r="H152" s="22" t="n">
        <v>-9.09</v>
      </c>
      <c r="J152" s="22" t="n">
        <v>-15.928</v>
      </c>
      <c r="L152" s="22" t="n">
        <v>-8.179</v>
      </c>
      <c r="N152" s="22" t="n">
        <v>-14.173</v>
      </c>
      <c r="T152" s="22" t="n">
        <v>-14.061</v>
      </c>
      <c r="U152" s="22" t="n">
        <v>-0.64</v>
      </c>
      <c r="V152" s="22" t="n">
        <v>-13.647</v>
      </c>
      <c r="W152" s="22" t="n">
        <v>-15.928</v>
      </c>
      <c r="X152" s="22" t="n">
        <v>-14.173</v>
      </c>
    </row>
    <row r="153">
      <c r="A153" s="20" t="inlineStr">
        <is>
          <t>무형자산 취득</t>
        </is>
      </c>
      <c r="D153" s="22" t="n">
        <v>-9.977</v>
      </c>
      <c r="F153" s="22" t="n">
        <v>-19.947</v>
      </c>
      <c r="H153" s="22" t="n">
        <v>0</v>
      </c>
      <c r="J153" s="22" t="n">
        <v>0</v>
      </c>
      <c r="U153" s="22" t="n">
        <v>0</v>
      </c>
      <c r="V153" s="22" t="n">
        <v>-19.947</v>
      </c>
      <c r="W153" s="22" t="n">
        <v>0</v>
      </c>
    </row>
    <row r="154">
      <c r="A154" s="20" t="inlineStr">
        <is>
          <t>종업원 대여금 회수</t>
        </is>
      </c>
      <c r="D154" s="22" t="n">
        <v>4.998</v>
      </c>
      <c r="F154" s="22" t="n">
        <v>4.998</v>
      </c>
      <c r="H154" s="22" t="n">
        <v>0</v>
      </c>
      <c r="J154" s="22" t="n">
        <v>0</v>
      </c>
      <c r="U154" s="22" t="n">
        <v>0</v>
      </c>
      <c r="V154" s="22" t="n">
        <v>4.998</v>
      </c>
      <c r="W154" s="22" t="n">
        <v>0</v>
      </c>
    </row>
    <row r="155">
      <c r="A155" s="20" t="inlineStr">
        <is>
          <t>종업원 대여</t>
        </is>
      </c>
      <c r="F155" s="22" t="n">
        <v>0</v>
      </c>
      <c r="T155" s="22" t="n">
        <v>0</v>
      </c>
      <c r="U155" s="22" t="n">
        <v>-4.998</v>
      </c>
      <c r="V155" s="22" t="n">
        <v>0</v>
      </c>
    </row>
    <row r="156">
      <c r="A156" s="20" t="inlineStr">
        <is>
          <t>투자유가증권 취득</t>
        </is>
      </c>
      <c r="H156" s="22" t="n">
        <v>0</v>
      </c>
      <c r="J156" s="22" t="n">
        <v>0</v>
      </c>
      <c r="L156" s="22" t="n">
        <v>-324.351</v>
      </c>
      <c r="N156" s="22" t="n">
        <v>-324.351</v>
      </c>
      <c r="W156" s="22" t="n">
        <v>0</v>
      </c>
      <c r="X156" s="22" t="n">
        <v>-324.351</v>
      </c>
    </row>
    <row r="157">
      <c r="A157" s="20" t="inlineStr">
        <is>
          <t>보증금 납입</t>
        </is>
      </c>
      <c r="F157" s="22" t="n">
        <v>0</v>
      </c>
      <c r="J157" s="22" t="n">
        <v>-12.484</v>
      </c>
      <c r="N157" s="22" t="n">
        <v>-13.123</v>
      </c>
      <c r="V157" s="22" t="n">
        <v>0</v>
      </c>
      <c r="W157" s="22" t="n">
        <v>-12.484</v>
      </c>
      <c r="X157" s="22" t="n">
        <v>-13.123</v>
      </c>
    </row>
    <row r="158">
      <c r="A158" s="20" t="inlineStr">
        <is>
          <t>기타</t>
        </is>
      </c>
      <c r="D158" s="22" t="n">
        <v>0.027</v>
      </c>
      <c r="F158" s="22" t="n">
        <v>0.027</v>
      </c>
      <c r="H158" s="22" t="n">
        <v>0</v>
      </c>
      <c r="J158" s="22" t="n">
        <v>0</v>
      </c>
      <c r="L158" s="22" t="n">
        <v>-0.155</v>
      </c>
      <c r="N158" s="22" t="n">
        <v>-52</v>
      </c>
      <c r="U158" s="22" t="n">
        <v>0</v>
      </c>
      <c r="V158" s="22" t="n">
        <v>0.027</v>
      </c>
      <c r="W158" s="22" t="n">
        <v>0</v>
      </c>
      <c r="X158" s="22" t="n">
        <v>-52</v>
      </c>
    </row>
    <row r="159">
      <c r="A159" s="9" t="inlineStr">
        <is>
          <t>투자활동 현금흐름</t>
        </is>
      </c>
      <c r="D159" s="12" t="n">
        <v>-12.075</v>
      </c>
      <c r="F159" s="12" t="n">
        <v>-28.569</v>
      </c>
      <c r="H159" s="12" t="n">
        <v>-9.09</v>
      </c>
      <c r="J159" s="12" t="n">
        <v>-28.412</v>
      </c>
      <c r="L159" s="12" t="n">
        <v>-332.686</v>
      </c>
      <c r="N159" s="12" t="n">
        <v>-403.648</v>
      </c>
      <c r="T159" s="12" t="n">
        <v>-14.061</v>
      </c>
      <c r="U159" s="12" t="n">
        <v>-5.638</v>
      </c>
      <c r="V159" s="12" t="n">
        <v>-28.569</v>
      </c>
      <c r="W159" s="12" t="n">
        <v>-28.412</v>
      </c>
      <c r="X159" s="12" t="n">
        <v>-403.648</v>
      </c>
    </row>
    <row r="160">
      <c r="A160" s="20" t="inlineStr">
        <is>
          <t>신주예약권 발행</t>
        </is>
      </c>
      <c r="T160" s="22" t="n">
        <v>3.958</v>
      </c>
      <c r="U160" s="22" t="n">
        <v>0</v>
      </c>
    </row>
    <row r="161">
      <c r="A161" s="20" t="inlineStr">
        <is>
          <t>장기차입금 상환</t>
        </is>
      </c>
      <c r="F161" s="22" t="n">
        <v>-80</v>
      </c>
      <c r="J161" s="22" t="n">
        <v>0</v>
      </c>
      <c r="U161" s="22" t="n">
        <v>0</v>
      </c>
      <c r="V161" s="22" t="n">
        <v>-80</v>
      </c>
      <c r="W161" s="22" t="n">
        <v>0</v>
      </c>
    </row>
    <row r="162">
      <c r="A162" s="20" t="inlineStr">
        <is>
          <t>주식 발행</t>
        </is>
      </c>
      <c r="F162" s="22" t="n">
        <v>0</v>
      </c>
      <c r="T162" s="22" t="n">
        <v>0</v>
      </c>
      <c r="U162" s="22" t="n">
        <v>1241.104</v>
      </c>
      <c r="V162" s="22" t="n">
        <v>0</v>
      </c>
    </row>
    <row r="163">
      <c r="A163" s="20" t="inlineStr">
        <is>
          <t>단기차입</t>
        </is>
      </c>
      <c r="H163" s="22" t="n">
        <v>0</v>
      </c>
      <c r="J163" s="22" t="n">
        <v>0</v>
      </c>
      <c r="L163" s="22" t="n">
        <v>150</v>
      </c>
      <c r="N163" s="22" t="n">
        <v>150</v>
      </c>
      <c r="W163" s="22" t="n">
        <v>0</v>
      </c>
      <c r="X163" s="22" t="n">
        <v>150</v>
      </c>
    </row>
    <row r="164">
      <c r="A164" s="20" t="inlineStr">
        <is>
          <t>단기차입금 상환</t>
        </is>
      </c>
      <c r="H164" s="22" t="n">
        <v>0</v>
      </c>
      <c r="J164" s="22" t="n">
        <v>0</v>
      </c>
      <c r="L164" s="22" t="n">
        <v>-150</v>
      </c>
      <c r="N164" s="22" t="n">
        <v>-150</v>
      </c>
      <c r="W164" s="22" t="n">
        <v>0</v>
      </c>
      <c r="X164" s="22" t="n">
        <v>-150</v>
      </c>
    </row>
    <row r="165">
      <c r="A165" s="20" t="inlineStr">
        <is>
          <t>자기주식 취득</t>
        </is>
      </c>
      <c r="D165" s="22" t="n">
        <v>0</v>
      </c>
      <c r="F165" s="22" t="n">
        <v>0</v>
      </c>
      <c r="H165" s="22" t="n">
        <v>-0.149</v>
      </c>
      <c r="J165" s="22" t="n">
        <v>-0.272</v>
      </c>
      <c r="L165" s="22" t="n">
        <v>0</v>
      </c>
      <c r="N165" s="22" t="n">
        <v>-0.06900000000000001</v>
      </c>
      <c r="V165" s="22" t="n">
        <v>0</v>
      </c>
      <c r="W165" s="22" t="n">
        <v>-0.272</v>
      </c>
      <c r="X165" s="22" t="n">
        <v>-0.06900000000000001</v>
      </c>
    </row>
    <row r="166">
      <c r="A166" s="20" t="inlineStr">
        <is>
          <t>신주예약권 행사에 따른 주식 발행</t>
        </is>
      </c>
      <c r="D166" s="22" t="n">
        <v>172.017</v>
      </c>
      <c r="F166" s="22" t="n">
        <v>196.955</v>
      </c>
      <c r="H166" s="22" t="n">
        <v>23.598</v>
      </c>
      <c r="J166" s="22" t="n">
        <v>124.55</v>
      </c>
      <c r="L166" s="22" t="n">
        <v>47.089</v>
      </c>
      <c r="N166" s="22" t="n">
        <v>75.95099999999999</v>
      </c>
      <c r="U166" s="22" t="n">
        <v>0</v>
      </c>
      <c r="V166" s="22" t="n">
        <v>196.955</v>
      </c>
      <c r="W166" s="22" t="n">
        <v>124.55</v>
      </c>
      <c r="X166" s="22" t="n">
        <v>75.95099999999999</v>
      </c>
    </row>
    <row r="167">
      <c r="A167" s="9" t="inlineStr">
        <is>
          <t>재무활동 현금흐름</t>
        </is>
      </c>
      <c r="D167" s="12" t="n">
        <v>172.017</v>
      </c>
      <c r="F167" s="12" t="n">
        <v>116.955</v>
      </c>
      <c r="H167" s="12" t="n">
        <v>23.448</v>
      </c>
      <c r="J167" s="12" t="n">
        <v>124.278</v>
      </c>
      <c r="L167" s="12" t="n">
        <v>47.089</v>
      </c>
      <c r="N167" s="12" t="n">
        <v>75.88200000000001</v>
      </c>
      <c r="T167" s="12" t="n">
        <v>3.958</v>
      </c>
      <c r="U167" s="12" t="n">
        <v>1241.104</v>
      </c>
      <c r="V167" s="12" t="n">
        <v>116.955</v>
      </c>
      <c r="W167" s="12" t="n">
        <v>124.278</v>
      </c>
      <c r="X167" s="12" t="n">
        <v>75.88200000000001</v>
      </c>
    </row>
    <row r="168">
      <c r="A168" s="20" t="inlineStr">
        <is>
          <t>현금성자산 증감</t>
        </is>
      </c>
      <c r="D168" s="22" t="n">
        <v>-10.731</v>
      </c>
      <c r="F168" s="22" t="n">
        <v>-671.624</v>
      </c>
      <c r="H168" s="22" t="n">
        <v>781.72</v>
      </c>
      <c r="J168" s="22" t="n">
        <v>1717.107</v>
      </c>
      <c r="L168" s="22" t="n">
        <v>-336.902</v>
      </c>
      <c r="N168" s="22" t="n">
        <v>-162.559</v>
      </c>
      <c r="T168" s="22" t="n">
        <v>-263.597</v>
      </c>
      <c r="U168" s="22" t="n">
        <v>1695.998</v>
      </c>
      <c r="V168" s="22" t="n">
        <v>-671.624</v>
      </c>
      <c r="W168" s="22" t="n">
        <v>1717.107</v>
      </c>
      <c r="X168" s="22" t="n">
        <v>-162.559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ABEJA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5104.545</v>
      </c>
      <c r="D5" s="12" t="n">
        <v>5049.803</v>
      </c>
      <c r="E5" s="12" t="n">
        <v>4992.851</v>
      </c>
      <c r="F5" s="12" t="n">
        <v>5029.86</v>
      </c>
      <c r="G5" s="12" t="n">
        <v>5437.236</v>
      </c>
      <c r="H5" s="11" t="n">
        <v>2152.77</v>
      </c>
      <c r="I5" s="12" t="n">
        <v>3971.434</v>
      </c>
      <c r="J5" s="12" t="n">
        <v>4108.988</v>
      </c>
      <c r="K5" s="12" t="n">
        <v>5104.545</v>
      </c>
      <c r="L5" s="12" t="n">
        <v>5437.236</v>
      </c>
    </row>
    <row r="6">
      <c r="A6" s="20" t="inlineStr">
        <is>
          <t>현금및현금성자산</t>
        </is>
      </c>
      <c r="B6" s="10" t="n"/>
      <c r="C6" s="21" t="n">
        <v>4586.017</v>
      </c>
      <c r="D6" s="22" t="n">
        <v>4257.782</v>
      </c>
      <c r="E6" s="22" t="n">
        <v>4249.115</v>
      </c>
      <c r="F6" s="22" t="n">
        <v>4302.146</v>
      </c>
      <c r="G6" s="22" t="n">
        <v>4423.458</v>
      </c>
      <c r="H6" s="21" t="n">
        <v>1844.536</v>
      </c>
      <c r="I6" s="22" t="n">
        <v>3540.535</v>
      </c>
      <c r="J6" s="22" t="n">
        <v>2868.91</v>
      </c>
      <c r="K6" s="22" t="n">
        <v>4586.017</v>
      </c>
      <c r="L6" s="22" t="n">
        <v>4423.458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15.396</v>
      </c>
      <c r="D9" s="22" t="n">
        <v>25.259</v>
      </c>
      <c r="E9" s="22" t="n">
        <v>13.753</v>
      </c>
      <c r="F9" s="22" t="n">
        <v>30.86</v>
      </c>
      <c r="G9" s="22" t="n">
        <v>11.635</v>
      </c>
      <c r="H9" s="21" t="n">
        <v>70.967</v>
      </c>
      <c r="I9" s="22" t="n">
        <v>10.526</v>
      </c>
      <c r="J9" s="22" t="n">
        <v>10.038</v>
      </c>
      <c r="K9" s="22" t="n">
        <v>15.396</v>
      </c>
      <c r="L9" s="22" t="n">
        <v>11.635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213.629</v>
      </c>
      <c r="D11" s="12" t="n">
        <v>212.011</v>
      </c>
      <c r="E11" s="12" t="n">
        <v>560.404</v>
      </c>
      <c r="F11" s="12" t="n">
        <v>886.647</v>
      </c>
      <c r="G11" s="12" t="n">
        <v>1035.812</v>
      </c>
      <c r="H11" s="11" t="n">
        <v>7.027</v>
      </c>
      <c r="I11" s="12" t="n">
        <v>138.056</v>
      </c>
      <c r="J11" s="12" t="n">
        <v>130.831</v>
      </c>
      <c r="K11" s="12" t="n">
        <v>213.629</v>
      </c>
      <c r="L11" s="12" t="n">
        <v>1035.812</v>
      </c>
    </row>
    <row r="12">
      <c r="A12" s="20" t="inlineStr">
        <is>
          <t>유형자산</t>
        </is>
      </c>
      <c r="B12" s="10" t="n"/>
      <c r="C12" s="21" t="n">
        <v>16.871</v>
      </c>
      <c r="D12" s="22" t="n">
        <v>16.251</v>
      </c>
      <c r="E12" s="22" t="n">
        <v>19.833</v>
      </c>
      <c r="F12" s="22" t="n">
        <v>21.9</v>
      </c>
      <c r="G12" s="22" t="n">
        <v>24.539</v>
      </c>
      <c r="H12" s="21" t="n">
        <v>0</v>
      </c>
      <c r="I12" s="22" t="n">
        <v>0.533</v>
      </c>
      <c r="J12" s="22" t="n">
        <v>9.843</v>
      </c>
      <c r="K12" s="22" t="n">
        <v>16.871</v>
      </c>
      <c r="L12" s="22" t="n">
        <v>24.539</v>
      </c>
    </row>
    <row r="13">
      <c r="A13" s="20" t="inlineStr">
        <is>
          <t>무형자산</t>
        </is>
      </c>
      <c r="B13" s="10" t="n"/>
      <c r="C13" s="21" t="n">
        <v>14.49</v>
      </c>
      <c r="D13" s="22" t="n">
        <v>13.493</v>
      </c>
      <c r="E13" s="22" t="n">
        <v>12.495</v>
      </c>
      <c r="F13" s="22" t="n">
        <v>11.498</v>
      </c>
      <c r="G13" s="22" t="n">
        <v>10.501</v>
      </c>
      <c r="H13" s="21" t="n"/>
      <c r="I13" s="22" t="n">
        <v>0</v>
      </c>
      <c r="J13" s="22" t="n">
        <v>18.479</v>
      </c>
      <c r="K13" s="22" t="n">
        <v>14.49</v>
      </c>
      <c r="L13" s="22" t="n">
        <v>10.501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5318.174</v>
      </c>
      <c r="D16" s="12" t="n">
        <v>5261.815</v>
      </c>
      <c r="E16" s="12" t="n">
        <v>5553.255</v>
      </c>
      <c r="F16" s="12" t="n">
        <v>5916.508</v>
      </c>
      <c r="G16" s="12" t="n">
        <v>6473.049</v>
      </c>
      <c r="H16" s="11" t="n">
        <v>2159.798</v>
      </c>
      <c r="I16" s="12" t="n">
        <v>4109.491</v>
      </c>
      <c r="J16" s="12" t="n">
        <v>4239.819</v>
      </c>
      <c r="K16" s="12" t="n">
        <v>5318.174</v>
      </c>
      <c r="L16" s="12" t="n">
        <v>6473.049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846.438</v>
      </c>
      <c r="D18" s="12" t="n">
        <v>566.977</v>
      </c>
      <c r="E18" s="12" t="n">
        <v>664.763</v>
      </c>
      <c r="F18" s="12" t="n">
        <v>621.748</v>
      </c>
      <c r="G18" s="12" t="n">
        <v>808.504</v>
      </c>
      <c r="H18" s="11" t="n">
        <v>286.088</v>
      </c>
      <c r="I18" s="12" t="n">
        <v>628.607</v>
      </c>
      <c r="J18" s="12" t="n">
        <v>341.758</v>
      </c>
      <c r="K18" s="12" t="n">
        <v>846.438</v>
      </c>
      <c r="L18" s="12" t="n">
        <v>808.504</v>
      </c>
    </row>
    <row r="19">
      <c r="A19" s="20" t="inlineStr">
        <is>
          <t>매입채무</t>
        </is>
      </c>
      <c r="B19" s="10" t="n"/>
      <c r="C19" s="21" t="n">
        <v>0.498</v>
      </c>
      <c r="D19" s="22" t="n">
        <v>0.063</v>
      </c>
      <c r="E19" s="22" t="n">
        <v>0.495</v>
      </c>
      <c r="F19" s="22" t="n">
        <v>0.158</v>
      </c>
      <c r="G19" s="22" t="n">
        <v>0.717</v>
      </c>
      <c r="H19" s="21" t="n">
        <v>0.322</v>
      </c>
      <c r="I19" s="22" t="n">
        <v>0</v>
      </c>
      <c r="J19" s="22" t="n">
        <v>0.016</v>
      </c>
      <c r="K19" s="22" t="n">
        <v>0.498</v>
      </c>
      <c r="L19" s="22" t="n">
        <v>0.717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>
        <v>0</v>
      </c>
      <c r="I21" s="22" t="n">
        <v>80</v>
      </c>
      <c r="J21" s="22" t="n">
        <v>0</v>
      </c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>
        <v>80</v>
      </c>
      <c r="I23" s="12" t="n">
        <v>0</v>
      </c>
      <c r="J23" s="12" t="n"/>
      <c r="K23" s="12" t="n"/>
      <c r="L23" s="12" t="n"/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>
        <v>80</v>
      </c>
      <c r="I24" s="22" t="n">
        <v>0</v>
      </c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846.438</v>
      </c>
      <c r="D27" s="12" t="n">
        <v>566.977</v>
      </c>
      <c r="E27" s="12" t="n">
        <v>664.763</v>
      </c>
      <c r="F27" s="12" t="n">
        <v>621.748</v>
      </c>
      <c r="G27" s="12" t="n">
        <v>808.504</v>
      </c>
      <c r="H27" s="11" t="n">
        <v>366.088</v>
      </c>
      <c r="I27" s="12" t="n">
        <v>628.607</v>
      </c>
      <c r="J27" s="12" t="n">
        <v>341.758</v>
      </c>
      <c r="K27" s="12" t="n">
        <v>846.438</v>
      </c>
      <c r="L27" s="12" t="n">
        <v>808.504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4469.392</v>
      </c>
      <c r="D31" s="12" t="n">
        <v>4693.14</v>
      </c>
      <c r="E31" s="12" t="n">
        <v>4886.835</v>
      </c>
      <c r="F31" s="12" t="n">
        <v>5293.11</v>
      </c>
      <c r="G31" s="12" t="n">
        <v>5662.958</v>
      </c>
      <c r="H31" s="11" t="n">
        <v>1789.211</v>
      </c>
      <c r="I31" s="12" t="n">
        <v>3476.385</v>
      </c>
      <c r="J31" s="12" t="n">
        <v>3894.087</v>
      </c>
      <c r="K31" s="12" t="n">
        <v>4469.392</v>
      </c>
      <c r="L31" s="12" t="n">
        <v>5662.958</v>
      </c>
    </row>
    <row r="32">
      <c r="A32" s="20" t="inlineStr">
        <is>
          <t>자본금</t>
        </is>
      </c>
      <c r="B32" s="10" t="n"/>
      <c r="C32" s="21" t="n">
        <v>895.936</v>
      </c>
      <c r="D32" s="22" t="n">
        <v>916.77</v>
      </c>
      <c r="E32" s="22" t="n">
        <v>925.812</v>
      </c>
      <c r="F32" s="22" t="n">
        <v>933.564</v>
      </c>
      <c r="G32" s="22" t="n">
        <v>940.426</v>
      </c>
      <c r="H32" s="21" t="n">
        <v>100</v>
      </c>
      <c r="I32" s="22" t="n">
        <v>732.787</v>
      </c>
      <c r="J32" s="22" t="n">
        <v>832.282</v>
      </c>
      <c r="K32" s="22" t="n">
        <v>895.936</v>
      </c>
      <c r="L32" s="22" t="n">
        <v>940.426</v>
      </c>
    </row>
    <row r="33">
      <c r="A33" s="20" t="inlineStr">
        <is>
          <t>이익잉여금</t>
        </is>
      </c>
      <c r="B33" s="10" t="n"/>
      <c r="C33" s="21" t="n">
        <v>894.213</v>
      </c>
      <c r="D33" s="22" t="n">
        <v>1076.291</v>
      </c>
      <c r="E33" s="22" t="n">
        <v>1230.447</v>
      </c>
      <c r="F33" s="22" t="n">
        <v>1607.721</v>
      </c>
      <c r="G33" s="22" t="n">
        <v>1960.119</v>
      </c>
      <c r="H33" s="21" t="n">
        <v>-194.366</v>
      </c>
      <c r="I33" s="22" t="n">
        <v>227.232</v>
      </c>
      <c r="J33" s="22" t="n">
        <v>445.945</v>
      </c>
      <c r="K33" s="22" t="n">
        <v>894.213</v>
      </c>
      <c r="L33" s="22" t="n">
        <v>1960.119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4471.736</v>
      </c>
      <c r="D35" s="12" t="n">
        <v>4694.838</v>
      </c>
      <c r="E35" s="12" t="n">
        <v>4888.492</v>
      </c>
      <c r="F35" s="12" t="n">
        <v>5294.76</v>
      </c>
      <c r="G35" s="12" t="n">
        <v>5664.544</v>
      </c>
      <c r="H35" s="11" t="n">
        <v>1793.709</v>
      </c>
      <c r="I35" s="12" t="n">
        <v>3480.883</v>
      </c>
      <c r="J35" s="12" t="n">
        <v>3898.061</v>
      </c>
      <c r="K35" s="12" t="n">
        <v>4471.736</v>
      </c>
      <c r="L35" s="12" t="n">
        <v>5664.544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1621.241</v>
      </c>
      <c r="D37" s="12" t="n"/>
      <c r="E37" s="12" t="n">
        <v>802.573</v>
      </c>
      <c r="F37" s="12" t="n"/>
      <c r="G37" s="12" t="n">
        <v>165.206</v>
      </c>
      <c r="H37" s="11" t="n">
        <v>-253.494</v>
      </c>
      <c r="I37" s="12" t="n">
        <v>460.532</v>
      </c>
      <c r="J37" s="12" t="n">
        <v>-760.011</v>
      </c>
      <c r="K37" s="12" t="n">
        <v>1621.241</v>
      </c>
      <c r="L37" s="12" t="n">
        <v>165.206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15.928</v>
      </c>
      <c r="D38" s="22" t="n"/>
      <c r="E38" s="22" t="n">
        <v>15.017</v>
      </c>
      <c r="F38" s="22" t="n"/>
      <c r="G38" s="22" t="n">
        <v>14.173</v>
      </c>
      <c r="H38" s="21" t="n">
        <v>14.061</v>
      </c>
      <c r="I38" s="22" t="n">
        <v>0.64</v>
      </c>
      <c r="J38" s="22" t="n">
        <v>33.594</v>
      </c>
      <c r="K38" s="22" t="n">
        <v>15.928</v>
      </c>
      <c r="L38" s="22" t="n">
        <v>14.173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4586.017</v>
      </c>
      <c r="D71" s="22" t="n">
        <v>4257.782</v>
      </c>
      <c r="E71" s="22" t="n">
        <v>4249.115</v>
      </c>
      <c r="F71" s="22" t="n">
        <v>4302.146</v>
      </c>
      <c r="G71" s="22" t="n">
        <v>4423.458</v>
      </c>
      <c r="H71" s="22" t="n">
        <v>1844.536</v>
      </c>
      <c r="I71" s="22" t="n">
        <v>3540.535</v>
      </c>
      <c r="J71" s="22" t="n">
        <v>2868.91</v>
      </c>
      <c r="K71" s="22" t="n">
        <v>4586.017</v>
      </c>
      <c r="L71" s="22" t="n">
        <v>4423.458</v>
      </c>
    </row>
    <row r="72">
      <c r="A72" s="20" t="inlineStr">
        <is>
          <t>매출채권·계약자산</t>
        </is>
      </c>
      <c r="C72" s="22" t="n">
        <v>463.07</v>
      </c>
      <c r="D72" s="22" t="n">
        <v>643.841</v>
      </c>
      <c r="E72" s="22" t="n">
        <v>567.773</v>
      </c>
      <c r="F72" s="22" t="n">
        <v>532.098</v>
      </c>
      <c r="G72" s="22" t="n">
        <v>847.208</v>
      </c>
      <c r="H72" s="22" t="n">
        <v>151.01</v>
      </c>
      <c r="I72" s="22" t="n">
        <v>357.281</v>
      </c>
      <c r="J72" s="22" t="n">
        <v>452.836</v>
      </c>
      <c r="K72" s="22" t="n">
        <v>463.07</v>
      </c>
      <c r="L72" s="22" t="n">
        <v>847.208</v>
      </c>
    </row>
    <row r="73">
      <c r="A73" s="20" t="inlineStr">
        <is>
          <t>재공품</t>
        </is>
      </c>
      <c r="C73" s="22" t="n">
        <v>12.992</v>
      </c>
      <c r="D73" s="22" t="n">
        <v>22.639</v>
      </c>
      <c r="E73" s="22" t="n">
        <v>12.173</v>
      </c>
      <c r="F73" s="22" t="n">
        <v>30.371</v>
      </c>
      <c r="G73" s="22" t="n">
        <v>11.066</v>
      </c>
      <c r="H73" s="22" t="n">
        <v>70.36799999999999</v>
      </c>
      <c r="I73" s="22" t="n">
        <v>5.751</v>
      </c>
      <c r="J73" s="22" t="n">
        <v>5.45</v>
      </c>
      <c r="K73" s="22" t="n">
        <v>12.992</v>
      </c>
      <c r="L73" s="22" t="n">
        <v>11.066</v>
      </c>
    </row>
    <row r="74">
      <c r="A74" s="20" t="inlineStr">
        <is>
          <t>저장품</t>
        </is>
      </c>
      <c r="C74" s="22" t="n">
        <v>2.404</v>
      </c>
      <c r="D74" s="22" t="n">
        <v>2.62</v>
      </c>
      <c r="E74" s="22" t="n">
        <v>1.58</v>
      </c>
      <c r="F74" s="22" t="n">
        <v>0.489</v>
      </c>
      <c r="G74" s="22" t="n">
        <v>0.569</v>
      </c>
      <c r="H74" s="22" t="n">
        <v>0.599</v>
      </c>
      <c r="I74" s="22" t="n">
        <v>4.775</v>
      </c>
      <c r="J74" s="22" t="n">
        <v>4.588</v>
      </c>
      <c r="K74" s="22" t="n">
        <v>2.404</v>
      </c>
      <c r="L74" s="22" t="n">
        <v>0.569</v>
      </c>
    </row>
    <row r="75">
      <c r="A75" s="20" t="inlineStr">
        <is>
          <t>선급비용</t>
        </is>
      </c>
      <c r="C75" s="22" t="n">
        <v>39.647</v>
      </c>
      <c r="G75" s="22" t="n">
        <v>60.538</v>
      </c>
      <c r="H75" s="22" t="n">
        <v>69.752</v>
      </c>
      <c r="I75" s="22" t="n">
        <v>57.979</v>
      </c>
      <c r="J75" s="22" t="n">
        <v>65.08199999999999</v>
      </c>
      <c r="K75" s="22" t="n">
        <v>39.647</v>
      </c>
      <c r="L75" s="22" t="n">
        <v>60.538</v>
      </c>
    </row>
    <row r="76">
      <c r="A76" s="20" t="inlineStr">
        <is>
          <t>미수금</t>
        </is>
      </c>
      <c r="C76" s="22" t="n">
        <v>1.104</v>
      </c>
      <c r="D76" s="22" t="n">
        <v>41.893</v>
      </c>
      <c r="E76" s="22" t="n">
        <v>80.23699999999999</v>
      </c>
      <c r="F76" s="22" t="n">
        <v>82.874</v>
      </c>
      <c r="G76" s="22" t="n">
        <v>9.849</v>
      </c>
      <c r="I76" s="22" t="n">
        <v>0.486</v>
      </c>
      <c r="J76" s="22" t="n">
        <v>685.223</v>
      </c>
      <c r="K76" s="22" t="n">
        <v>1.104</v>
      </c>
      <c r="L76" s="22" t="n">
        <v>9.849</v>
      </c>
    </row>
    <row r="77">
      <c r="A77" s="20" t="inlineStr">
        <is>
          <t>기타</t>
        </is>
      </c>
      <c r="C77" s="22" t="n">
        <v>0.047</v>
      </c>
      <c r="D77" s="22" t="n">
        <v>81.765</v>
      </c>
      <c r="E77" s="22" t="n">
        <v>82.709</v>
      </c>
      <c r="F77" s="22" t="n">
        <v>82.617</v>
      </c>
      <c r="G77" s="22" t="n">
        <v>85.283</v>
      </c>
      <c r="H77" s="22" t="n">
        <v>17.507</v>
      </c>
      <c r="I77" s="22" t="n">
        <v>5.363</v>
      </c>
      <c r="J77" s="22" t="n">
        <v>27.636</v>
      </c>
      <c r="K77" s="22" t="n">
        <v>0.047</v>
      </c>
      <c r="L77" s="22" t="n">
        <v>85.283</v>
      </c>
    </row>
    <row r="78">
      <c r="A78" s="20" t="inlineStr">
        <is>
          <t>대손충당금</t>
        </is>
      </c>
      <c r="C78" s="22" t="n">
        <v>-0.738</v>
      </c>
      <c r="D78" s="22" t="n">
        <v>-0.738</v>
      </c>
      <c r="E78" s="22" t="n">
        <v>-0.738</v>
      </c>
      <c r="F78" s="22" t="n">
        <v>-0.738</v>
      </c>
      <c r="G78" s="22" t="n">
        <v>-0.738</v>
      </c>
      <c r="H78" s="22" t="n">
        <v>-1.004</v>
      </c>
      <c r="I78" s="22" t="n">
        <v>-0.738</v>
      </c>
      <c r="J78" s="22" t="n">
        <v>-0.738</v>
      </c>
      <c r="K78" s="22" t="n">
        <v>-0.738</v>
      </c>
      <c r="L78" s="22" t="n">
        <v>-0.738</v>
      </c>
    </row>
    <row r="79">
      <c r="A79" s="9" t="inlineStr">
        <is>
          <t>유동자산 합계</t>
        </is>
      </c>
      <c r="C79" s="12" t="n">
        <v>5104.545</v>
      </c>
      <c r="D79" s="12" t="n">
        <v>5049.803</v>
      </c>
      <c r="E79" s="12" t="n">
        <v>4992.851</v>
      </c>
      <c r="F79" s="12" t="n">
        <v>5029.86</v>
      </c>
      <c r="G79" s="12" t="n">
        <v>5437.236</v>
      </c>
      <c r="H79" s="12" t="n">
        <v>2152.77</v>
      </c>
      <c r="I79" s="12" t="n">
        <v>3971.434</v>
      </c>
      <c r="J79" s="12" t="n">
        <v>4108.988</v>
      </c>
      <c r="K79" s="12" t="n">
        <v>5104.545</v>
      </c>
      <c r="L79" s="12" t="n">
        <v>5437.236</v>
      </c>
    </row>
    <row r="80">
      <c r="A80" s="20" t="inlineStr">
        <is>
          <t>공구·기구·비품</t>
        </is>
      </c>
      <c r="C80" s="22" t="n">
        <v>30.216</v>
      </c>
      <c r="D80" s="22" t="n">
        <v>31.765</v>
      </c>
      <c r="E80" s="22" t="n">
        <v>38.395</v>
      </c>
      <c r="F80" s="22" t="n">
        <v>44.009</v>
      </c>
      <c r="G80" s="22" t="n">
        <v>50.654</v>
      </c>
      <c r="H80" s="22" t="n">
        <v>26.379</v>
      </c>
      <c r="I80" s="22" t="n">
        <v>0.64</v>
      </c>
      <c r="J80" s="22" t="n">
        <v>14.288</v>
      </c>
      <c r="K80" s="22" t="n">
        <v>30.216</v>
      </c>
      <c r="L80" s="22" t="n">
        <v>50.654</v>
      </c>
    </row>
    <row r="81">
      <c r="A81" s="20" t="inlineStr">
        <is>
          <t>감가상각누계액</t>
        </is>
      </c>
      <c r="C81" s="22" t="n">
        <v>-13.344</v>
      </c>
      <c r="D81" s="22" t="n">
        <v>-15.513</v>
      </c>
      <c r="E81" s="22" t="n">
        <v>-18.561</v>
      </c>
      <c r="F81" s="22" t="n">
        <v>-22.108</v>
      </c>
      <c r="G81" s="22" t="n">
        <v>-26.115</v>
      </c>
      <c r="H81" s="22" t="n">
        <v>-26.379</v>
      </c>
      <c r="I81" s="22" t="n">
        <v>-0.106</v>
      </c>
      <c r="J81" s="22" t="n">
        <v>-4.444</v>
      </c>
      <c r="K81" s="22" t="n">
        <v>-13.344</v>
      </c>
      <c r="L81" s="22" t="n">
        <v>-26.115</v>
      </c>
    </row>
    <row r="82">
      <c r="A82" s="20" t="inlineStr">
        <is>
          <t>공구·기구·비품(순액)</t>
        </is>
      </c>
      <c r="C82" s="22" t="n">
        <v>16.871</v>
      </c>
      <c r="D82" s="22" t="n">
        <v>16.251</v>
      </c>
      <c r="E82" s="22" t="n">
        <v>19.833</v>
      </c>
      <c r="F82" s="22" t="n">
        <v>21.9</v>
      </c>
      <c r="G82" s="22" t="n">
        <v>24.539</v>
      </c>
      <c r="H82" s="22" t="n">
        <v>0</v>
      </c>
      <c r="I82" s="22" t="n">
        <v>0.533</v>
      </c>
      <c r="J82" s="22" t="n">
        <v>9.843</v>
      </c>
      <c r="K82" s="22" t="n">
        <v>16.871</v>
      </c>
      <c r="L82" s="22" t="n">
        <v>24.539</v>
      </c>
    </row>
    <row r="83">
      <c r="A83" s="20" t="inlineStr">
        <is>
          <t>유형자산 합계</t>
        </is>
      </c>
      <c r="C83" s="22" t="n">
        <v>16.871</v>
      </c>
      <c r="D83" s="22" t="n">
        <v>16.251</v>
      </c>
      <c r="E83" s="22" t="n">
        <v>19.833</v>
      </c>
      <c r="F83" s="22" t="n">
        <v>21.9</v>
      </c>
      <c r="G83" s="22" t="n">
        <v>24.539</v>
      </c>
      <c r="H83" s="22" t="n">
        <v>0</v>
      </c>
      <c r="I83" s="22" t="n">
        <v>0.533</v>
      </c>
      <c r="J83" s="22" t="n">
        <v>9.843</v>
      </c>
      <c r="K83" s="22" t="n">
        <v>16.871</v>
      </c>
      <c r="L83" s="22" t="n">
        <v>24.539</v>
      </c>
    </row>
    <row r="84">
      <c r="A84" s="20" t="inlineStr">
        <is>
          <t>소프트웨어</t>
        </is>
      </c>
      <c r="C84" s="22" t="n">
        <v>14.49</v>
      </c>
      <c r="D84" s="22" t="n">
        <v>13.493</v>
      </c>
      <c r="E84" s="22" t="n">
        <v>12.495</v>
      </c>
      <c r="F84" s="22" t="n">
        <v>11.498</v>
      </c>
      <c r="G84" s="22" t="n">
        <v>10.501</v>
      </c>
      <c r="I84" s="22" t="n">
        <v>0</v>
      </c>
      <c r="J84" s="22" t="n">
        <v>18.479</v>
      </c>
      <c r="K84" s="22" t="n">
        <v>14.49</v>
      </c>
      <c r="L84" s="22" t="n">
        <v>10.501</v>
      </c>
    </row>
    <row r="85">
      <c r="A85" s="20" t="inlineStr">
        <is>
          <t>기타</t>
        </is>
      </c>
      <c r="I85" s="22" t="n">
        <v>0</v>
      </c>
    </row>
    <row r="86">
      <c r="A86" s="20" t="inlineStr">
        <is>
          <t>무형자산 합계</t>
        </is>
      </c>
      <c r="C86" s="22" t="n">
        <v>14.49</v>
      </c>
      <c r="D86" s="22" t="n">
        <v>13.493</v>
      </c>
      <c r="E86" s="22" t="n">
        <v>12.495</v>
      </c>
      <c r="F86" s="22" t="n">
        <v>11.498</v>
      </c>
      <c r="G86" s="22" t="n">
        <v>10.501</v>
      </c>
      <c r="I86" s="22" t="n">
        <v>0</v>
      </c>
      <c r="J86" s="22" t="n">
        <v>18.479</v>
      </c>
      <c r="K86" s="22" t="n">
        <v>14.49</v>
      </c>
      <c r="L86" s="22" t="n">
        <v>10.501</v>
      </c>
    </row>
    <row r="87">
      <c r="A87" s="20" t="inlineStr">
        <is>
          <t>투자유가증권</t>
        </is>
      </c>
      <c r="C87" s="22" t="n">
        <v>0</v>
      </c>
      <c r="E87" s="22" t="n">
        <v>355.684</v>
      </c>
      <c r="F87" s="22" t="n">
        <v>375.392</v>
      </c>
      <c r="G87" s="22" t="n">
        <v>380.935</v>
      </c>
      <c r="K87" s="22" t="n">
        <v>0</v>
      </c>
      <c r="L87" s="22" t="n">
        <v>380.935</v>
      </c>
    </row>
    <row r="88">
      <c r="A88" s="20" t="inlineStr">
        <is>
          <t>이연법인세자산</t>
        </is>
      </c>
      <c r="C88" s="22" t="n">
        <v>162.782</v>
      </c>
      <c r="D88" s="22" t="n">
        <v>162.782</v>
      </c>
      <c r="E88" s="22" t="n">
        <v>152.906</v>
      </c>
      <c r="F88" s="22" t="n">
        <v>458.371</v>
      </c>
      <c r="G88" s="22" t="n">
        <v>587.228</v>
      </c>
      <c r="H88" s="22" t="n">
        <v>0</v>
      </c>
      <c r="I88" s="22" t="n">
        <v>130.495</v>
      </c>
      <c r="J88" s="22" t="n">
        <v>95.508</v>
      </c>
      <c r="K88" s="22" t="n">
        <v>162.782</v>
      </c>
      <c r="L88" s="22" t="n">
        <v>587.228</v>
      </c>
    </row>
    <row r="89">
      <c r="A89" s="20" t="inlineStr">
        <is>
          <t>기타</t>
        </is>
      </c>
      <c r="C89" s="22" t="n">
        <v>19.484</v>
      </c>
      <c r="D89" s="22" t="n">
        <v>19.484</v>
      </c>
      <c r="E89" s="22" t="n">
        <v>19.484</v>
      </c>
      <c r="F89" s="22" t="n">
        <v>19.484</v>
      </c>
      <c r="G89" s="22" t="n">
        <v>32.607</v>
      </c>
      <c r="H89" s="22" t="n">
        <v>7.027</v>
      </c>
      <c r="I89" s="22" t="n">
        <v>7.027</v>
      </c>
      <c r="J89" s="22" t="n">
        <v>7</v>
      </c>
      <c r="K89" s="22" t="n">
        <v>19.484</v>
      </c>
      <c r="L89" s="22" t="n">
        <v>32.607</v>
      </c>
    </row>
    <row r="90">
      <c r="A90" s="20" t="inlineStr">
        <is>
          <t>투자 및 기타자산 합계</t>
        </is>
      </c>
      <c r="C90" s="22" t="n">
        <v>182.266</v>
      </c>
      <c r="D90" s="22" t="n">
        <v>182.266</v>
      </c>
      <c r="E90" s="22" t="n">
        <v>528.075</v>
      </c>
      <c r="F90" s="22" t="n">
        <v>853.248</v>
      </c>
      <c r="G90" s="22" t="n">
        <v>1000.771</v>
      </c>
      <c r="H90" s="22" t="n">
        <v>7.027</v>
      </c>
      <c r="I90" s="22" t="n">
        <v>137.522</v>
      </c>
      <c r="J90" s="22" t="n">
        <v>102.508</v>
      </c>
      <c r="K90" s="22" t="n">
        <v>182.266</v>
      </c>
      <c r="L90" s="22" t="n">
        <v>1000.771</v>
      </c>
    </row>
    <row r="91">
      <c r="A91" s="9" t="inlineStr">
        <is>
          <t>비유동자산 합계</t>
        </is>
      </c>
      <c r="C91" s="12" t="n">
        <v>213.629</v>
      </c>
      <c r="D91" s="12" t="n">
        <v>212.011</v>
      </c>
      <c r="E91" s="12" t="n">
        <v>560.404</v>
      </c>
      <c r="F91" s="12" t="n">
        <v>886.647</v>
      </c>
      <c r="G91" s="12" t="n">
        <v>1035.812</v>
      </c>
      <c r="H91" s="12" t="n">
        <v>7.027</v>
      </c>
      <c r="I91" s="12" t="n">
        <v>138.056</v>
      </c>
      <c r="J91" s="12" t="n">
        <v>130.831</v>
      </c>
      <c r="K91" s="12" t="n">
        <v>213.629</v>
      </c>
      <c r="L91" s="12" t="n">
        <v>1035.812</v>
      </c>
    </row>
    <row r="92">
      <c r="A92" s="9" t="inlineStr">
        <is>
          <t>자산 합계</t>
        </is>
      </c>
      <c r="C92" s="12" t="n">
        <v>5318.174</v>
      </c>
      <c r="D92" s="12" t="n">
        <v>5261.815</v>
      </c>
      <c r="E92" s="12" t="n">
        <v>5553.255</v>
      </c>
      <c r="F92" s="12" t="n">
        <v>5916.508</v>
      </c>
      <c r="G92" s="12" t="n">
        <v>6473.049</v>
      </c>
      <c r="H92" s="12" t="n">
        <v>2159.798</v>
      </c>
      <c r="I92" s="12" t="n">
        <v>4109.491</v>
      </c>
      <c r="J92" s="12" t="n">
        <v>4239.819</v>
      </c>
      <c r="K92" s="12" t="n">
        <v>5318.174</v>
      </c>
      <c r="L92" s="12" t="n">
        <v>6473.049</v>
      </c>
    </row>
    <row r="93">
      <c r="A93" s="20" t="inlineStr">
        <is>
          <t>매입채무</t>
        </is>
      </c>
      <c r="C93" s="22" t="n">
        <v>0.498</v>
      </c>
      <c r="D93" s="22" t="n">
        <v>0.063</v>
      </c>
      <c r="E93" s="22" t="n">
        <v>0.495</v>
      </c>
      <c r="F93" s="22" t="n">
        <v>0.158</v>
      </c>
      <c r="G93" s="22" t="n">
        <v>0.717</v>
      </c>
      <c r="H93" s="22" t="n">
        <v>0.322</v>
      </c>
      <c r="I93" s="22" t="n">
        <v>0</v>
      </c>
      <c r="J93" s="22" t="n">
        <v>0.016</v>
      </c>
      <c r="K93" s="22" t="n">
        <v>0.498</v>
      </c>
      <c r="L93" s="22" t="n">
        <v>0.717</v>
      </c>
    </row>
    <row r="94">
      <c r="A94" s="20" t="inlineStr">
        <is>
          <t>미지급금</t>
        </is>
      </c>
      <c r="C94" s="22" t="n">
        <v>159.807</v>
      </c>
      <c r="D94" s="22" t="n">
        <v>174.466</v>
      </c>
      <c r="E94" s="22" t="n">
        <v>219.154</v>
      </c>
      <c r="F94" s="22" t="n">
        <v>144.965</v>
      </c>
      <c r="G94" s="22" t="n">
        <v>303.001</v>
      </c>
      <c r="H94" s="22" t="n">
        <v>178.438</v>
      </c>
      <c r="I94" s="22" t="n">
        <v>114.227</v>
      </c>
      <c r="J94" s="22" t="n">
        <v>87.818</v>
      </c>
      <c r="K94" s="22" t="n">
        <v>159.807</v>
      </c>
      <c r="L94" s="22" t="n">
        <v>303.001</v>
      </c>
    </row>
    <row r="95">
      <c r="A95" s="20" t="inlineStr">
        <is>
          <t>미지급비용</t>
        </is>
      </c>
      <c r="C95" s="22" t="n">
        <v>68.273</v>
      </c>
      <c r="G95" s="22" t="n">
        <v>58.781</v>
      </c>
      <c r="H95" s="22" t="n">
        <v>21.944</v>
      </c>
      <c r="I95" s="22" t="n">
        <v>44.908</v>
      </c>
      <c r="J95" s="22" t="n">
        <v>55.783</v>
      </c>
      <c r="K95" s="22" t="n">
        <v>68.273</v>
      </c>
      <c r="L95" s="22" t="n">
        <v>58.781</v>
      </c>
    </row>
    <row r="96">
      <c r="A96" s="20" t="inlineStr">
        <is>
          <t>미지급법인세</t>
        </is>
      </c>
      <c r="C96" s="22" t="n">
        <v>74.069</v>
      </c>
      <c r="D96" s="22" t="n">
        <v>49.162</v>
      </c>
      <c r="E96" s="22" t="n">
        <v>74.485</v>
      </c>
      <c r="F96" s="22" t="n">
        <v>158.604</v>
      </c>
      <c r="G96" s="22" t="n">
        <v>124.917</v>
      </c>
      <c r="H96" s="22" t="n">
        <v>0</v>
      </c>
      <c r="I96" s="22" t="n">
        <v>120.654</v>
      </c>
      <c r="J96" s="22" t="n">
        <v>1.696</v>
      </c>
      <c r="K96" s="22" t="n">
        <v>74.069</v>
      </c>
      <c r="L96" s="22" t="n">
        <v>124.917</v>
      </c>
    </row>
    <row r="97">
      <c r="A97" s="20" t="inlineStr">
        <is>
          <t>계약부채</t>
        </is>
      </c>
      <c r="C97" s="22" t="n">
        <v>173.944</v>
      </c>
      <c r="G97" s="22" t="n">
        <v>25.828</v>
      </c>
      <c r="H97" s="22" t="n">
        <v>36.378</v>
      </c>
      <c r="I97" s="22" t="n">
        <v>26.771</v>
      </c>
      <c r="J97" s="22" t="n">
        <v>41.497</v>
      </c>
      <c r="K97" s="22" t="n">
        <v>173.944</v>
      </c>
      <c r="L97" s="22" t="n">
        <v>25.828</v>
      </c>
    </row>
    <row r="98">
      <c r="A98" s="20" t="inlineStr">
        <is>
          <t>예수금</t>
        </is>
      </c>
      <c r="C98" s="22" t="n">
        <v>36.375</v>
      </c>
      <c r="G98" s="22" t="n">
        <v>25.199</v>
      </c>
      <c r="H98" s="22" t="n">
        <v>17.462</v>
      </c>
      <c r="I98" s="22" t="n">
        <v>17.546</v>
      </c>
      <c r="J98" s="22" t="n">
        <v>35.027</v>
      </c>
      <c r="K98" s="22" t="n">
        <v>36.375</v>
      </c>
      <c r="L98" s="22" t="n">
        <v>25.199</v>
      </c>
    </row>
    <row r="99">
      <c r="A99" s="20" t="inlineStr">
        <is>
          <t>상여충당금</t>
        </is>
      </c>
      <c r="C99" s="22" t="n">
        <v>157.661</v>
      </c>
      <c r="D99" s="22" t="n">
        <v>71.226</v>
      </c>
      <c r="E99" s="22" t="n">
        <v>157.213</v>
      </c>
      <c r="F99" s="22" t="n">
        <v>85.407</v>
      </c>
      <c r="G99" s="22" t="n">
        <v>183.693</v>
      </c>
      <c r="H99" s="22" t="n">
        <v>0</v>
      </c>
      <c r="I99" s="22" t="n">
        <v>124.139</v>
      </c>
      <c r="J99" s="22" t="n">
        <v>116.853</v>
      </c>
      <c r="K99" s="22" t="n">
        <v>157.661</v>
      </c>
      <c r="L99" s="22" t="n">
        <v>183.693</v>
      </c>
    </row>
    <row r="100">
      <c r="A100" s="20" t="inlineStr">
        <is>
          <t>1년 내 상환 장기차입금</t>
        </is>
      </c>
      <c r="H100" s="22" t="n">
        <v>0</v>
      </c>
      <c r="I100" s="22" t="n">
        <v>80</v>
      </c>
      <c r="J100" s="22" t="n">
        <v>0</v>
      </c>
    </row>
    <row r="101">
      <c r="A101" s="20" t="inlineStr">
        <is>
          <t>임원 상여충당금</t>
        </is>
      </c>
      <c r="C101" s="22" t="n">
        <v>51.479</v>
      </c>
      <c r="D101" s="22" t="n">
        <v>0</v>
      </c>
      <c r="E101" s="22" t="n">
        <v>12.866</v>
      </c>
      <c r="F101" s="22" t="n">
        <v>15.54</v>
      </c>
      <c r="G101" s="22" t="n">
        <v>31.468</v>
      </c>
      <c r="J101" s="22" t="n">
        <v>0</v>
      </c>
      <c r="K101" s="22" t="n">
        <v>51.479</v>
      </c>
      <c r="L101" s="22" t="n">
        <v>31.468</v>
      </c>
    </row>
    <row r="102">
      <c r="A102" s="20" t="inlineStr">
        <is>
          <t>기타</t>
        </is>
      </c>
      <c r="C102" s="22" t="n">
        <v>124.327</v>
      </c>
      <c r="D102" s="22" t="n">
        <v>272.058</v>
      </c>
      <c r="E102" s="22" t="n">
        <v>200.547</v>
      </c>
      <c r="F102" s="22" t="n">
        <v>217.072</v>
      </c>
      <c r="G102" s="22" t="n">
        <v>54.898</v>
      </c>
      <c r="H102" s="22" t="n">
        <v>31.543</v>
      </c>
      <c r="I102" s="22" t="n">
        <v>100.359</v>
      </c>
      <c r="J102" s="22" t="n">
        <v>3.066</v>
      </c>
      <c r="K102" s="22" t="n">
        <v>124.327</v>
      </c>
      <c r="L102" s="22" t="n">
        <v>54.898</v>
      </c>
    </row>
    <row r="103">
      <c r="A103" s="9" t="inlineStr">
        <is>
          <t>유동부채 합계</t>
        </is>
      </c>
      <c r="C103" s="12" t="n">
        <v>846.438</v>
      </c>
      <c r="D103" s="12" t="n">
        <v>566.977</v>
      </c>
      <c r="E103" s="12" t="n">
        <v>664.763</v>
      </c>
      <c r="F103" s="12" t="n">
        <v>621.748</v>
      </c>
      <c r="G103" s="12" t="n">
        <v>808.504</v>
      </c>
      <c r="H103" s="12" t="n">
        <v>286.088</v>
      </c>
      <c r="I103" s="12" t="n">
        <v>628.607</v>
      </c>
      <c r="J103" s="12" t="n">
        <v>341.758</v>
      </c>
      <c r="K103" s="12" t="n">
        <v>846.438</v>
      </c>
      <c r="L103" s="12" t="n">
        <v>808.504</v>
      </c>
    </row>
    <row r="104">
      <c r="A104" s="20" t="inlineStr">
        <is>
          <t>장기차입금</t>
        </is>
      </c>
      <c r="H104" s="22" t="n">
        <v>80</v>
      </c>
      <c r="I104" s="22" t="n">
        <v>0</v>
      </c>
    </row>
    <row r="105">
      <c r="A105" s="9" t="inlineStr">
        <is>
          <t>비유동부채 합계</t>
        </is>
      </c>
      <c r="H105" s="12" t="n">
        <v>80</v>
      </c>
      <c r="I105" s="12" t="n">
        <v>0</v>
      </c>
    </row>
    <row r="106">
      <c r="A106" s="9" t="inlineStr">
        <is>
          <t>부채 합계</t>
        </is>
      </c>
      <c r="C106" s="12" t="n">
        <v>846.438</v>
      </c>
      <c r="D106" s="12" t="n">
        <v>566.977</v>
      </c>
      <c r="E106" s="12" t="n">
        <v>664.763</v>
      </c>
      <c r="F106" s="12" t="n">
        <v>621.748</v>
      </c>
      <c r="G106" s="12" t="n">
        <v>808.504</v>
      </c>
      <c r="H106" s="12" t="n">
        <v>366.088</v>
      </c>
      <c r="I106" s="12" t="n">
        <v>628.607</v>
      </c>
      <c r="J106" s="12" t="n">
        <v>341.758</v>
      </c>
      <c r="K106" s="12" t="n">
        <v>846.438</v>
      </c>
      <c r="L106" s="12" t="n">
        <v>808.504</v>
      </c>
    </row>
    <row r="107">
      <c r="A107" s="20" t="inlineStr">
        <is>
          <t>자본금</t>
        </is>
      </c>
      <c r="C107" s="22" t="n">
        <v>895.936</v>
      </c>
      <c r="D107" s="22" t="n">
        <v>916.77</v>
      </c>
      <c r="E107" s="22" t="n">
        <v>925.812</v>
      </c>
      <c r="F107" s="22" t="n">
        <v>933.564</v>
      </c>
      <c r="G107" s="22" t="n">
        <v>940.426</v>
      </c>
      <c r="H107" s="22" t="n">
        <v>100</v>
      </c>
      <c r="I107" s="22" t="n">
        <v>732.787</v>
      </c>
      <c r="J107" s="22" t="n">
        <v>832.282</v>
      </c>
      <c r="K107" s="22" t="n">
        <v>895.936</v>
      </c>
      <c r="L107" s="22" t="n">
        <v>940.426</v>
      </c>
    </row>
    <row r="108">
      <c r="A108" s="20" t="inlineStr">
        <is>
          <t>자본준비금</t>
        </is>
      </c>
      <c r="C108" s="22" t="n">
        <v>795.936</v>
      </c>
      <c r="G108" s="22" t="n">
        <v>840.426</v>
      </c>
      <c r="H108" s="22" t="n">
        <v>0</v>
      </c>
      <c r="I108" s="22" t="n">
        <v>632.787</v>
      </c>
      <c r="J108" s="22" t="n">
        <v>732.282</v>
      </c>
      <c r="K108" s="22" t="n">
        <v>795.936</v>
      </c>
      <c r="L108" s="22" t="n">
        <v>840.426</v>
      </c>
    </row>
    <row r="109">
      <c r="A109" s="20" t="inlineStr">
        <is>
          <t>기타자본잉여금</t>
        </is>
      </c>
      <c r="C109" s="22" t="n">
        <v>1883.577</v>
      </c>
      <c r="G109" s="22" t="n">
        <v>1883.577</v>
      </c>
      <c r="H109" s="22" t="n">
        <v>1883.577</v>
      </c>
      <c r="I109" s="22" t="n">
        <v>1883.577</v>
      </c>
      <c r="J109" s="22" t="n">
        <v>1883.577</v>
      </c>
      <c r="K109" s="22" t="n">
        <v>1883.577</v>
      </c>
      <c r="L109" s="22" t="n">
        <v>1883.577</v>
      </c>
    </row>
    <row r="110">
      <c r="A110" s="20" t="inlineStr">
        <is>
          <t>자본잉여금 합계</t>
        </is>
      </c>
      <c r="C110" s="22" t="n">
        <v>2679.513</v>
      </c>
      <c r="D110" s="22" t="n">
        <v>2700.348</v>
      </c>
      <c r="E110" s="22" t="n">
        <v>2709.39</v>
      </c>
      <c r="F110" s="22" t="n">
        <v>2717.142</v>
      </c>
      <c r="G110" s="22" t="n">
        <v>2724.004</v>
      </c>
      <c r="H110" s="22" t="n">
        <v>1883.577</v>
      </c>
      <c r="I110" s="22" t="n">
        <v>2516.365</v>
      </c>
      <c r="J110" s="22" t="n">
        <v>2615.859</v>
      </c>
      <c r="K110" s="22" t="n">
        <v>2679.513</v>
      </c>
      <c r="L110" s="22" t="n">
        <v>2724.004</v>
      </c>
    </row>
    <row r="111">
      <c r="A111" s="20" t="inlineStr">
        <is>
          <t>이월이익잉여금</t>
        </is>
      </c>
      <c r="C111" s="22" t="n">
        <v>894.213</v>
      </c>
      <c r="G111" s="22" t="n">
        <v>1960.119</v>
      </c>
      <c r="H111" s="22" t="n">
        <v>-194.366</v>
      </c>
      <c r="I111" s="22" t="n">
        <v>227.232</v>
      </c>
      <c r="J111" s="22" t="n">
        <v>445.945</v>
      </c>
      <c r="K111" s="22" t="n">
        <v>894.213</v>
      </c>
      <c r="L111" s="22" t="n">
        <v>1960.119</v>
      </c>
    </row>
    <row r="112">
      <c r="A112" s="20" t="inlineStr">
        <is>
          <t>이익잉여금 합계</t>
        </is>
      </c>
      <c r="C112" s="22" t="n">
        <v>894.213</v>
      </c>
      <c r="D112" s="22" t="n">
        <v>1076.291</v>
      </c>
      <c r="E112" s="22" t="n">
        <v>1230.447</v>
      </c>
      <c r="F112" s="22" t="n">
        <v>1607.721</v>
      </c>
      <c r="G112" s="22" t="n">
        <v>1960.119</v>
      </c>
      <c r="H112" s="22" t="n">
        <v>-194.366</v>
      </c>
      <c r="I112" s="22" t="n">
        <v>227.232</v>
      </c>
      <c r="J112" s="22" t="n">
        <v>445.945</v>
      </c>
      <c r="K112" s="22" t="n">
        <v>894.213</v>
      </c>
      <c r="L112" s="22" t="n">
        <v>1960.119</v>
      </c>
    </row>
    <row r="113">
      <c r="A113" s="20" t="inlineStr">
        <is>
          <t>자기주식</t>
        </is>
      </c>
      <c r="C113" s="22" t="n">
        <v>-0.272</v>
      </c>
      <c r="D113" s="22" t="n">
        <v>-0.272</v>
      </c>
      <c r="E113" s="22" t="n">
        <v>-0.272</v>
      </c>
      <c r="F113" s="22" t="n">
        <v>-0.272</v>
      </c>
      <c r="G113" s="22" t="n">
        <v>-0.341</v>
      </c>
      <c r="J113" s="22" t="n">
        <v>0</v>
      </c>
      <c r="K113" s="22" t="n">
        <v>-0.272</v>
      </c>
      <c r="L113" s="22" t="n">
        <v>-0.341</v>
      </c>
    </row>
    <row r="114">
      <c r="A114" s="9" t="inlineStr">
        <is>
          <t>주주자본 합계</t>
        </is>
      </c>
      <c r="C114" s="12" t="n">
        <v>4469.391</v>
      </c>
      <c r="D114" s="12" t="n">
        <v>4693.139</v>
      </c>
      <c r="E114" s="12" t="n">
        <v>4865.377</v>
      </c>
      <c r="F114" s="12" t="n">
        <v>5258.156</v>
      </c>
      <c r="G114" s="12" t="n">
        <v>5624.209</v>
      </c>
      <c r="H114" s="12" t="n">
        <v>1789.211</v>
      </c>
      <c r="I114" s="12" t="n">
        <v>3476.385</v>
      </c>
      <c r="J114" s="12" t="n">
        <v>3894.087</v>
      </c>
      <c r="K114" s="12" t="n">
        <v>4469.391</v>
      </c>
      <c r="L114" s="12" t="n">
        <v>5624.209</v>
      </c>
    </row>
    <row r="115">
      <c r="A115" s="20" t="inlineStr">
        <is>
          <t>기타유가증권 평가차액</t>
        </is>
      </c>
      <c r="C115" s="22" t="n">
        <v>0</v>
      </c>
      <c r="E115" s="22" t="n">
        <v>21.457</v>
      </c>
      <c r="F115" s="22" t="n">
        <v>34.953</v>
      </c>
      <c r="G115" s="22" t="n">
        <v>38.748</v>
      </c>
      <c r="K115" s="22" t="n">
        <v>0</v>
      </c>
      <c r="L115" s="22" t="n">
        <v>38.748</v>
      </c>
    </row>
    <row r="116">
      <c r="A116" s="20" t="inlineStr">
        <is>
          <t>평가·환산차액 합계</t>
        </is>
      </c>
      <c r="C116" s="22" t="n">
        <v>0</v>
      </c>
      <c r="E116" s="22" t="n">
        <v>21.457</v>
      </c>
      <c r="F116" s="22" t="n">
        <v>34.953</v>
      </c>
      <c r="G116" s="22" t="n">
        <v>38.748</v>
      </c>
      <c r="K116" s="22" t="n">
        <v>0</v>
      </c>
      <c r="L116" s="22" t="n">
        <v>38.748</v>
      </c>
    </row>
    <row r="117">
      <c r="A117" s="20" t="inlineStr">
        <is>
          <t>신주예약권</t>
        </is>
      </c>
      <c r="C117" s="22" t="n">
        <v>2.344</v>
      </c>
      <c r="D117" s="22" t="n">
        <v>1.698</v>
      </c>
      <c r="E117" s="22" t="n">
        <v>1.657</v>
      </c>
      <c r="F117" s="22" t="n">
        <v>1.65</v>
      </c>
      <c r="G117" s="22" t="n">
        <v>1.586</v>
      </c>
      <c r="H117" s="22" t="n">
        <v>4.498</v>
      </c>
      <c r="I117" s="22" t="n">
        <v>4.498</v>
      </c>
      <c r="J117" s="22" t="n">
        <v>3.974</v>
      </c>
      <c r="K117" s="22" t="n">
        <v>2.344</v>
      </c>
      <c r="L117" s="22" t="n">
        <v>1.586</v>
      </c>
    </row>
    <row r="118">
      <c r="A118" s="9" t="inlineStr">
        <is>
          <t>순자산 합계</t>
        </is>
      </c>
      <c r="C118" s="12" t="n">
        <v>4471.736</v>
      </c>
      <c r="D118" s="12" t="n">
        <v>4694.838</v>
      </c>
      <c r="E118" s="12" t="n">
        <v>4888.492</v>
      </c>
      <c r="F118" s="12" t="n">
        <v>5294.76</v>
      </c>
      <c r="G118" s="12" t="n">
        <v>5664.544</v>
      </c>
      <c r="H118" s="12" t="n">
        <v>1793.709</v>
      </c>
      <c r="I118" s="12" t="n">
        <v>3480.883</v>
      </c>
      <c r="J118" s="12" t="n">
        <v>3898.061</v>
      </c>
      <c r="K118" s="12" t="n">
        <v>4471.736</v>
      </c>
      <c r="L118" s="12" t="n">
        <v>5664.544</v>
      </c>
    </row>
    <row r="119">
      <c r="A119" s="9" t="inlineStr">
        <is>
          <t>부채·순자산 합계</t>
        </is>
      </c>
      <c r="C119" s="12" t="n">
        <v>5318.174</v>
      </c>
      <c r="D119" s="12" t="n">
        <v>5261.815</v>
      </c>
      <c r="E119" s="12" t="n">
        <v>5553.255</v>
      </c>
      <c r="F119" s="12" t="n">
        <v>5916.508</v>
      </c>
      <c r="G119" s="12" t="n">
        <v>6473.049</v>
      </c>
      <c r="H119" s="12" t="n">
        <v>2159.798</v>
      </c>
      <c r="I119" s="12" t="n">
        <v>4109.491</v>
      </c>
      <c r="J119" s="12" t="n">
        <v>4239.819</v>
      </c>
      <c r="K119" s="12" t="n">
        <v>5318.174</v>
      </c>
      <c r="L119" s="12" t="n">
        <v>6473.049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ABEJA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가이던스 history fy26 영업이익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25.10 최초</t>
        </is>
      </c>
      <c r="B6" s="57" t="n">
        <v>5</v>
      </c>
      <c r="C6" s="58" t="inlineStr">
        <is>
          <t>2단계 보고서 자료(회사 설명회 자료·공시)</t>
        </is>
      </c>
    </row>
    <row r="7">
      <c r="A7" s="56" t="inlineStr">
        <is>
          <t>26.4 상향</t>
        </is>
      </c>
      <c r="B7" s="57" t="n">
        <v>6</v>
      </c>
    </row>
    <row r="8">
      <c r="A8" s="56" t="inlineStr">
        <is>
          <t>26.7 상향</t>
        </is>
      </c>
      <c r="B8" s="57" t="n">
        <v>7.1</v>
      </c>
    </row>
    <row r="9">
      <c r="A9" s="56" t="inlineStr">
        <is>
          <t>실적</t>
        </is>
      </c>
      <c r="B9" s="57" t="n">
        <v>7.1</v>
      </c>
    </row>
    <row r="11">
      <c r="A11" s="54" t="inlineStr">
        <is>
          <t>가이던스 history fy26 매출</t>
        </is>
      </c>
      <c r="B11" s="54" t="n"/>
      <c r="C11" s="54" t="n"/>
    </row>
    <row r="12">
      <c r="A12" s="55" t="inlineStr">
        <is>
          <t>항목</t>
        </is>
      </c>
      <c r="B12" s="55" t="inlineStr">
        <is>
          <t>값</t>
        </is>
      </c>
      <c r="C12" s="55" t="inlineStr">
        <is>
          <t>출처</t>
        </is>
      </c>
    </row>
    <row r="13">
      <c r="A13" s="56" t="inlineStr">
        <is>
          <t>25.10 최초</t>
        </is>
      </c>
      <c r="B13" s="57" t="n">
        <v>44</v>
      </c>
      <c r="C13" s="58" t="inlineStr">
        <is>
          <t>2단계 보고서 자료(회사 설명회 자료·공시)</t>
        </is>
      </c>
    </row>
    <row r="14">
      <c r="A14" s="56" t="inlineStr">
        <is>
          <t>26.4</t>
        </is>
      </c>
      <c r="B14" s="57" t="n">
        <v>45</v>
      </c>
    </row>
    <row r="15">
      <c r="A15" s="56" t="inlineStr">
        <is>
          <t>26.7</t>
        </is>
      </c>
      <c r="B15" s="57" t="n">
        <v>45.5</v>
      </c>
    </row>
    <row r="16">
      <c r="A16" s="56" t="inlineStr">
        <is>
          <t>실적</t>
        </is>
      </c>
      <c r="B16" s="57" t="n">
        <v>45.77</v>
      </c>
    </row>
    <row r="18">
      <c r="A18" s="54" t="inlineStr">
        <is>
          <t>컨센서스</t>
        </is>
      </c>
      <c r="B18" s="54" t="n"/>
      <c r="C18" s="54" t="n"/>
    </row>
    <row r="19">
      <c r="A19" s="55" t="inlineStr">
        <is>
          <t>항목</t>
        </is>
      </c>
      <c r="B19" s="55" t="inlineStr">
        <is>
          <t>값</t>
        </is>
      </c>
      <c r="C19" s="55" t="inlineStr">
        <is>
          <t>출처</t>
        </is>
      </c>
    </row>
    <row r="20">
      <c r="A20" s="56" t="inlineStr">
        <is>
          <t>FY8/27 매출</t>
        </is>
      </c>
      <c r="B20" s="57" t="n">
        <v>54.1</v>
      </c>
      <c r="C20" s="58" t="inlineStr">
        <is>
          <t>2단계 보고서 자료(회사 설명회 자료·공시)</t>
        </is>
      </c>
    </row>
    <row r="21">
      <c r="A21" s="56" t="inlineStr">
        <is>
          <t>애널리스트</t>
        </is>
      </c>
      <c r="B21" s="59" t="n">
        <v>1</v>
      </c>
    </row>
    <row r="23">
      <c r="A23" s="54" t="inlineStr">
        <is>
          <t>4Q 증감 요인 vs 3Q</t>
        </is>
      </c>
      <c r="B23" s="54" t="n"/>
      <c r="C23" s="54" t="n"/>
    </row>
    <row r="24">
      <c r="A24" s="55" t="inlineStr">
        <is>
          <t>항목</t>
        </is>
      </c>
      <c r="B24" s="55" t="inlineStr">
        <is>
          <t>값</t>
        </is>
      </c>
      <c r="C24" s="55" t="inlineStr">
        <is>
          <t>출처</t>
        </is>
      </c>
    </row>
    <row r="25">
      <c r="A25" s="56" t="inlineStr">
        <is>
          <t>3Q 영업이익</t>
        </is>
      </c>
      <c r="B25" s="57" t="n">
        <v>1.82</v>
      </c>
      <c r="C25" s="58" t="inlineStr">
        <is>
          <t>2단계 보고서 자료(회사 설명회 자료·공시)</t>
        </is>
      </c>
    </row>
    <row r="26">
      <c r="A26" s="56" t="inlineStr">
        <is>
          <t>증수</t>
        </is>
      </c>
      <c r="B26" s="57" t="n">
        <v>1.9</v>
      </c>
    </row>
    <row r="27">
      <c r="A27" s="56" t="inlineStr">
        <is>
          <t>원가</t>
        </is>
      </c>
      <c r="B27" s="57" t="n">
        <v>-0.85</v>
      </c>
    </row>
    <row r="28">
      <c r="A28" s="56" t="inlineStr">
        <is>
          <t>인건비</t>
        </is>
      </c>
      <c r="B28" s="57" t="n">
        <v>-0.32</v>
      </c>
    </row>
    <row r="29">
      <c r="A29" s="56" t="inlineStr">
        <is>
          <t>채용교육비</t>
        </is>
      </c>
      <c r="B29" s="57" t="n">
        <v>-0.41</v>
      </c>
    </row>
    <row r="30">
      <c r="A30" s="56" t="inlineStr">
        <is>
          <t>업무위탁</t>
        </is>
      </c>
      <c r="B30" s="57" t="n">
        <v>-0.07000000000000001</v>
      </c>
    </row>
    <row r="31">
      <c r="A31" s="56" t="inlineStr">
        <is>
          <t>시스템</t>
        </is>
      </c>
      <c r="B31" s="57" t="n">
        <v>0</v>
      </c>
    </row>
    <row r="32">
      <c r="A32" s="56" t="inlineStr">
        <is>
          <t>기타(연구용 로봇 등)</t>
        </is>
      </c>
      <c r="B32" s="57" t="n">
        <v>-0.61</v>
      </c>
    </row>
    <row r="33">
      <c r="A33" s="56" t="inlineStr">
        <is>
          <t>4Q 영업이익</t>
        </is>
      </c>
      <c r="B33" s="57" t="n">
        <v>1.43</v>
      </c>
    </row>
    <row r="35">
      <c r="A35" s="54" t="inlineStr">
        <is>
          <t>FY 증감 요인</t>
        </is>
      </c>
      <c r="B35" s="54" t="n"/>
      <c r="C35" s="54" t="n"/>
    </row>
    <row r="36">
      <c r="A36" s="55" t="inlineStr">
        <is>
          <t>항목</t>
        </is>
      </c>
      <c r="B36" s="55" t="inlineStr">
        <is>
          <t>값</t>
        </is>
      </c>
      <c r="C36" s="55" t="inlineStr">
        <is>
          <t>출처</t>
        </is>
      </c>
    </row>
    <row r="37">
      <c r="A37" s="56" t="inlineStr">
        <is>
          <t>FY25 영업이익</t>
        </is>
      </c>
      <c r="B37" s="57" t="n">
        <v>4.45</v>
      </c>
      <c r="C37" s="58" t="inlineStr">
        <is>
          <t>2단계 보고서 자료(회사 설명회 자료·공시)</t>
        </is>
      </c>
    </row>
    <row r="38">
      <c r="A38" s="56" t="inlineStr">
        <is>
          <t>증수</t>
        </is>
      </c>
      <c r="B38" s="57" t="n">
        <v>9.92</v>
      </c>
    </row>
    <row r="39">
      <c r="A39" s="56" t="inlineStr">
        <is>
          <t>원가</t>
        </is>
      </c>
      <c r="B39" s="57" t="n">
        <v>-4.36</v>
      </c>
    </row>
    <row r="40">
      <c r="A40" s="56" t="inlineStr">
        <is>
          <t>매출총이익까지</t>
        </is>
      </c>
      <c r="B40" s="57" t="n">
        <v>5.56</v>
      </c>
    </row>
    <row r="41">
      <c r="A41" s="56" t="inlineStr">
        <is>
          <t>판관비</t>
        </is>
      </c>
      <c r="B41" s="57" t="n">
        <v>-2.91</v>
      </c>
    </row>
    <row r="42">
      <c r="A42" s="56" t="inlineStr">
        <is>
          <t>FY26</t>
        </is>
      </c>
      <c r="B42" s="57" t="n">
        <v>7.1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https://www2.jpx.co.jp/disc/55740/140120261015551317.pdf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https://www2.jpx.co.jp/disc/55740/140120260715594171.pdf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https://www2.jpx.co.jp/disc/55740/140120260414503576.pdf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https://www2.jpx.co.jp/disc/55740/140120260114533579.pdf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https://www2.jpx.co.jp/disc/55740/140120251015573952.pdf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https://www2.jpx.co.jp/disc/55740/140120250715514619.pdf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https://www2.jpx.co.jp/disc/55740/140120250414515322.pdf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https://www2.jpx.co.jp/disc/55740/140120250114550336.pdf</t>
        </is>
      </c>
    </row>
    <row r="12">
      <c r="A12" t="inlineStr">
        <is>
          <t>2024-10-10</t>
        </is>
      </c>
      <c r="B12" t="inlineStr">
        <is>
          <t>2024년 8월 결산기 연간 결산단신</t>
        </is>
      </c>
      <c r="C12" t="inlineStr">
        <is>
          <t>https://www2.jpx.co.jp/disc/55740/140120241010596147.pdf</t>
        </is>
      </c>
    </row>
    <row r="13">
      <c r="A13" t="inlineStr">
        <is>
          <t>2024-07-11</t>
        </is>
      </c>
      <c r="B13" t="inlineStr">
        <is>
          <t>2024년 8월 결산기 ３분기 결산단신</t>
        </is>
      </c>
      <c r="C13" t="inlineStr">
        <is>
          <t>https://www2.jpx.co.jp/disc/55740/140120240711547434.pdf</t>
        </is>
      </c>
    </row>
    <row r="14">
      <c r="A14" t="inlineStr">
        <is>
          <t>2024-04-11</t>
        </is>
      </c>
      <c r="B14" t="inlineStr">
        <is>
          <t>2024년 8월 결산기 ２분기 결산단신</t>
        </is>
      </c>
      <c r="C14" t="inlineStr">
        <is>
          <t>https://www2.jpx.co.jp/disc/55740/140120240411569053.pdf</t>
        </is>
      </c>
    </row>
    <row r="15">
      <c r="A15" t="inlineStr">
        <is>
          <t>2024-01-11</t>
        </is>
      </c>
      <c r="B15" t="inlineStr">
        <is>
          <t>2024년 8월 결산기 １분기 결산단신</t>
        </is>
      </c>
      <c r="C15" t="inlineStr">
        <is>
          <t>https://www2.jpx.co.jp/disc/55740/140120240111513436.pdf</t>
        </is>
      </c>
    </row>
    <row r="16">
      <c r="A16" t="inlineStr">
        <is>
          <t>2023-10-12</t>
        </is>
      </c>
      <c r="B16" t="inlineStr">
        <is>
          <t>2023년 8월 결산기 연간 결산단신</t>
        </is>
      </c>
      <c r="C16" t="inlineStr">
        <is>
          <t>https://www2.jpx.co.jp/disc/55740/140120231012565566.pdf</t>
        </is>
      </c>
    </row>
    <row r="17">
      <c r="A17" t="inlineStr">
        <is>
          <t>2023-07-13</t>
        </is>
      </c>
      <c r="B17" t="inlineStr">
        <is>
          <t>2023년 8월 결산기 ３분기 결산단신</t>
        </is>
      </c>
      <c r="C17" t="inlineStr">
        <is>
          <t>https://www2.jpx.co.jp/disc/55740/140120230713521512.pdf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2026-10-28T07:03:47Z</dcterms:created>
  <dcterms:modified xmlns:dcterms="http://purl.org/dc/terms/" xmlns:xsi="http://www.w3.org/2001/XMLSchema-instance" xsi:type="dcterms:W3CDTF">2026-10-28T07:03:48Z</dcterms:modified>
</cp:coreProperties>
</file>