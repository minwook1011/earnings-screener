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Aiming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2026.3Q = 2026년 12월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4376.64</v>
      </c>
      <c r="D4" s="12" t="n">
        <v>4607.216</v>
      </c>
      <c r="E4" s="12" t="n">
        <v>3488.797</v>
      </c>
      <c r="F4" s="12" t="n">
        <v>3678.69</v>
      </c>
      <c r="G4" s="12" t="n">
        <v>5312.155</v>
      </c>
      <c r="H4" s="12" t="n">
        <v>5168.915</v>
      </c>
      <c r="I4" s="12" t="n">
        <v>3820.967</v>
      </c>
      <c r="J4" s="12" t="n">
        <v>3649.544</v>
      </c>
      <c r="K4" s="12" t="n">
        <v>3186.797</v>
      </c>
      <c r="L4" s="12" t="n">
        <v>3249.035</v>
      </c>
      <c r="M4" s="12" t="n">
        <v>3622.53</v>
      </c>
      <c r="N4" s="12" t="n">
        <v>4296.153</v>
      </c>
      <c r="O4" s="11" t="n">
        <v>9689.298000000001</v>
      </c>
      <c r="P4" s="12" t="n">
        <v>6829.45</v>
      </c>
      <c r="Q4" s="12" t="n">
        <v>7314.019</v>
      </c>
      <c r="R4" s="12" t="n">
        <v>5644.135</v>
      </c>
      <c r="S4" s="12" t="n">
        <v>11903.826</v>
      </c>
      <c r="T4" s="12" t="n">
        <v>12054.382</v>
      </c>
      <c r="U4" s="12" t="n">
        <v>13668.607</v>
      </c>
      <c r="V4" s="12" t="n">
        <v>18199.231</v>
      </c>
      <c r="W4" s="12" t="n">
        <v>17086.858</v>
      </c>
      <c r="X4" s="12" t="n">
        <v>15826.223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2714.543</v>
      </c>
      <c r="D11" s="22" t="n">
        <v>2120.712</v>
      </c>
      <c r="E11" s="22" t="n">
        <v>1890.811</v>
      </c>
      <c r="F11" s="22" t="n">
        <v>1592.705</v>
      </c>
      <c r="G11" s="22" t="n">
        <v>2005.778</v>
      </c>
      <c r="H11" s="22" t="n">
        <v>1649.508</v>
      </c>
      <c r="I11" s="22" t="n">
        <v>1421.889</v>
      </c>
      <c r="J11" s="22" t="n">
        <v>1576.762</v>
      </c>
      <c r="K11" s="22" t="n">
        <v>1599.02</v>
      </c>
      <c r="L11" s="22" t="n">
        <v>1491.088</v>
      </c>
      <c r="M11" s="22" t="n">
        <v>1481.567</v>
      </c>
      <c r="N11" s="22" t="n">
        <v>1610.914</v>
      </c>
      <c r="O11" s="21" t="n">
        <v>2981.185</v>
      </c>
      <c r="P11" s="22" t="n">
        <v>4154.064</v>
      </c>
      <c r="Q11" s="22" t="n">
        <v>3008.837</v>
      </c>
      <c r="R11" s="22" t="n">
        <v>2488.875</v>
      </c>
      <c r="S11" s="22" t="n">
        <v>4165.795</v>
      </c>
      <c r="T11" s="22" t="n">
        <v>4553.08</v>
      </c>
      <c r="U11" s="22" t="n">
        <v>6154.491</v>
      </c>
      <c r="V11" s="22" t="n">
        <v>8109.857</v>
      </c>
      <c r="W11" s="22" t="n">
        <v>7610.006</v>
      </c>
      <c r="X11" s="22" t="n">
        <v>6247.179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2720.192</v>
      </c>
      <c r="D15" s="22" t="n">
        <v>2635.565</v>
      </c>
      <c r="E15" s="22" t="n">
        <v>2197.591</v>
      </c>
      <c r="F15" s="22" t="n">
        <v>2640.917</v>
      </c>
      <c r="G15" s="22" t="n">
        <v>2555.342</v>
      </c>
      <c r="H15" s="22" t="n">
        <v>2167.142</v>
      </c>
      <c r="I15" s="22" t="n">
        <v>1907.573</v>
      </c>
      <c r="J15" s="22" t="n">
        <v>1818.014</v>
      </c>
      <c r="K15" s="22" t="n">
        <v>1606.504</v>
      </c>
      <c r="L15" s="22" t="n">
        <v>1516.91</v>
      </c>
      <c r="M15" s="22" t="n">
        <v>1852.466</v>
      </c>
      <c r="N15" s="22" t="n">
        <v>1925.384</v>
      </c>
      <c r="O15" s="21" t="n">
        <v>7018.478</v>
      </c>
      <c r="P15" s="22" t="n">
        <v>5624.44</v>
      </c>
      <c r="Q15" s="22" t="n">
        <v>5804.344</v>
      </c>
      <c r="R15" s="22" t="n">
        <v>4026.608</v>
      </c>
      <c r="S15" s="22" t="n">
        <v>6064.058</v>
      </c>
      <c r="T15" s="22" t="n">
        <v>6010.947</v>
      </c>
      <c r="U15" s="22" t="n">
        <v>7113.922</v>
      </c>
      <c r="V15" s="22" t="n">
        <v>11399.119</v>
      </c>
      <c r="W15" s="22" t="n">
        <v>10029.415</v>
      </c>
      <c r="X15" s="22" t="n">
        <v>7499.233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-1058.095</v>
      </c>
      <c r="D16" s="12" t="n">
        <v>-149.061</v>
      </c>
      <c r="E16" s="12" t="n">
        <v>-599.605</v>
      </c>
      <c r="F16" s="12" t="n">
        <v>-554.933</v>
      </c>
      <c r="G16" s="12" t="n">
        <v>751.0359999999999</v>
      </c>
      <c r="H16" s="12" t="n">
        <v>1352.264</v>
      </c>
      <c r="I16" s="12" t="n">
        <v>491.505</v>
      </c>
      <c r="J16" s="12" t="n">
        <v>254.768</v>
      </c>
      <c r="K16" s="12" t="n">
        <v>-18.727</v>
      </c>
      <c r="L16" s="12" t="n">
        <v>241.037</v>
      </c>
      <c r="M16" s="12" t="n">
        <v>288.496</v>
      </c>
      <c r="N16" s="12" t="n">
        <v>759.854</v>
      </c>
      <c r="O16" s="11" t="n">
        <v>-310.365</v>
      </c>
      <c r="P16" s="12" t="n">
        <v>-2949.054</v>
      </c>
      <c r="Q16" s="12" t="n">
        <v>-1499.163</v>
      </c>
      <c r="R16" s="12" t="n">
        <v>-871.349</v>
      </c>
      <c r="S16" s="12" t="n">
        <v>1673.972</v>
      </c>
      <c r="T16" s="12" t="n">
        <v>1490.354</v>
      </c>
      <c r="U16" s="12" t="n">
        <v>400.193</v>
      </c>
      <c r="V16" s="12" t="n">
        <v>-1309.744</v>
      </c>
      <c r="W16" s="12" t="n">
        <v>-552.563</v>
      </c>
      <c r="X16" s="12" t="n">
        <v>2079.81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0</v>
      </c>
      <c r="D32" s="22" t="n">
        <v>0.007</v>
      </c>
      <c r="E32" s="22" t="n">
        <v>0</v>
      </c>
      <c r="F32" s="22" t="n">
        <v>0</v>
      </c>
      <c r="G32" s="22" t="n">
        <v>0</v>
      </c>
      <c r="H32" s="22" t="n">
        <v>0.004</v>
      </c>
      <c r="I32" s="22" t="n">
        <v>0</v>
      </c>
      <c r="J32" s="22" t="n">
        <v>0</v>
      </c>
      <c r="K32" s="22" t="n">
        <v>0</v>
      </c>
      <c r="L32" s="22" t="n">
        <v>0.012</v>
      </c>
      <c r="M32" s="22" t="n">
        <v>0</v>
      </c>
      <c r="N32" s="22" t="n">
        <v>0.008</v>
      </c>
      <c r="O32" s="21" t="n"/>
      <c r="P32" s="22" t="n">
        <v>0</v>
      </c>
      <c r="Q32" s="22" t="n">
        <v>1.6</v>
      </c>
      <c r="R32" s="22" t="n">
        <v>14.412</v>
      </c>
      <c r="S32" s="22" t="n">
        <v>0</v>
      </c>
      <c r="T32" s="22" t="n"/>
      <c r="U32" s="22" t="n">
        <v>0</v>
      </c>
      <c r="V32" s="22" t="n">
        <v>0.041</v>
      </c>
      <c r="W32" s="22" t="n">
        <v>0.007</v>
      </c>
      <c r="X32" s="22" t="n">
        <v>0.004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0</v>
      </c>
      <c r="D34" s="22" t="n">
        <v>0.169</v>
      </c>
      <c r="E34" s="22" t="n">
        <v>0</v>
      </c>
      <c r="F34" s="22" t="n">
        <v>0</v>
      </c>
      <c r="G34" s="22" t="n">
        <v>1.936</v>
      </c>
      <c r="H34" s="22" t="n">
        <v>0</v>
      </c>
      <c r="I34" s="22" t="n">
        <v>0</v>
      </c>
      <c r="J34" s="22" t="n">
        <v>0</v>
      </c>
      <c r="K34" s="22" t="n">
        <v>0</v>
      </c>
      <c r="L34" s="22" t="n"/>
      <c r="M34" s="22" t="n"/>
      <c r="N34" s="22" t="n">
        <v>0</v>
      </c>
      <c r="O34" s="21" t="n"/>
      <c r="P34" s="22" t="n">
        <v>0</v>
      </c>
      <c r="Q34" s="22" t="n">
        <v>22.231</v>
      </c>
      <c r="R34" s="22" t="n">
        <v>319.979</v>
      </c>
      <c r="S34" s="22" t="n">
        <v>0</v>
      </c>
      <c r="T34" s="22" t="n">
        <v>5.048</v>
      </c>
      <c r="U34" s="22" t="n"/>
      <c r="V34" s="22" t="n">
        <v>0</v>
      </c>
      <c r="W34" s="22" t="n">
        <v>2.105</v>
      </c>
      <c r="X34" s="22" t="n">
        <v>0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82.94799999999999</v>
      </c>
      <c r="D36" s="22" t="n">
        <v>112.61</v>
      </c>
      <c r="E36" s="22" t="n">
        <v>88.538</v>
      </c>
      <c r="F36" s="22" t="n">
        <v>82.021</v>
      </c>
      <c r="G36" s="22" t="n">
        <v>134.409</v>
      </c>
      <c r="H36" s="22" t="n">
        <v>107.022</v>
      </c>
      <c r="I36" s="22" t="n">
        <v>131.82</v>
      </c>
      <c r="J36" s="22" t="n">
        <v>109.238</v>
      </c>
      <c r="K36" s="22" t="n">
        <v>69.88800000000001</v>
      </c>
      <c r="L36" s="22" t="n">
        <v>48.218</v>
      </c>
      <c r="M36" s="22" t="n">
        <v>52.1</v>
      </c>
      <c r="N36" s="22" t="n">
        <v>60.414</v>
      </c>
      <c r="O36" s="21" t="n">
        <v>4.741</v>
      </c>
      <c r="P36" s="22" t="n">
        <v>14.182</v>
      </c>
      <c r="Q36" s="22" t="n">
        <v>15.809</v>
      </c>
      <c r="R36" s="22" t="n">
        <v>12.745</v>
      </c>
      <c r="S36" s="22" t="n">
        <v>3.891</v>
      </c>
      <c r="T36" s="22" t="n">
        <v>1.033</v>
      </c>
      <c r="U36" s="22" t="n">
        <v>29.333</v>
      </c>
      <c r="V36" s="22" t="n">
        <v>227.187</v>
      </c>
      <c r="W36" s="22" t="n">
        <v>417.578</v>
      </c>
      <c r="X36" s="22" t="n">
        <v>417.968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6.795</v>
      </c>
      <c r="D38" s="22" t="n">
        <v>6.024</v>
      </c>
      <c r="E38" s="22" t="n">
        <v>0.422</v>
      </c>
      <c r="F38" s="22" t="n">
        <v>5.323</v>
      </c>
      <c r="G38" s="22" t="n">
        <v>3.686</v>
      </c>
      <c r="H38" s="22" t="n">
        <v>955.6559999999999</v>
      </c>
      <c r="I38" s="22" t="n">
        <v>8.778</v>
      </c>
      <c r="J38" s="22" t="n">
        <v>-4.071</v>
      </c>
      <c r="K38" s="22" t="n">
        <v>126.001</v>
      </c>
      <c r="L38" s="22" t="n">
        <v>97.41800000000001</v>
      </c>
      <c r="M38" s="22" t="n">
        <v>174.229</v>
      </c>
      <c r="N38" s="22" t="n">
        <v>155.067</v>
      </c>
      <c r="O38" s="21" t="n">
        <v>43.796</v>
      </c>
      <c r="P38" s="22" t="n">
        <v>12.689</v>
      </c>
      <c r="Q38" s="22" t="n">
        <v>38.718</v>
      </c>
      <c r="R38" s="22" t="n">
        <v>16.403</v>
      </c>
      <c r="S38" s="22" t="n">
        <v>24.509</v>
      </c>
      <c r="T38" s="22" t="n">
        <v>47.758</v>
      </c>
      <c r="U38" s="22" t="n">
        <v>113.847</v>
      </c>
      <c r="V38" s="22" t="n">
        <v>17.946</v>
      </c>
      <c r="W38" s="22" t="n">
        <v>15.455</v>
      </c>
      <c r="X38" s="22" t="n">
        <v>1086.364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-981.941</v>
      </c>
      <c r="D40" s="12" t="n">
        <v>-42.636</v>
      </c>
      <c r="E40" s="12" t="n">
        <v>-511.49</v>
      </c>
      <c r="F40" s="12" t="n">
        <v>-478.234</v>
      </c>
      <c r="G40" s="12" t="n">
        <v>879.823</v>
      </c>
      <c r="H40" s="12" t="n">
        <v>503.634</v>
      </c>
      <c r="I40" s="12" t="n">
        <v>614.549</v>
      </c>
      <c r="J40" s="12" t="n">
        <v>368.076</v>
      </c>
      <c r="K40" s="12" t="n">
        <v>-74.84</v>
      </c>
      <c r="L40" s="12" t="n">
        <v>191.849</v>
      </c>
      <c r="M40" s="12" t="n">
        <v>166.368</v>
      </c>
      <c r="N40" s="12" t="n">
        <v>665.2089999999999</v>
      </c>
      <c r="O40" s="11" t="n">
        <v>-349.42</v>
      </c>
      <c r="P40" s="12" t="n">
        <v>-2947.561</v>
      </c>
      <c r="Q40" s="12" t="n">
        <v>-1542.704</v>
      </c>
      <c r="R40" s="12" t="n">
        <v>-1180.574</v>
      </c>
      <c r="S40" s="12" t="n">
        <v>1653.353</v>
      </c>
      <c r="T40" s="12" t="n">
        <v>1438.581</v>
      </c>
      <c r="U40" s="12" t="n">
        <v>315.679</v>
      </c>
      <c r="V40" s="12" t="n">
        <v>-1100.461</v>
      </c>
      <c r="W40" s="12" t="n">
        <v>-152.537</v>
      </c>
      <c r="X40" s="12" t="n">
        <v>1411.419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-127.784</v>
      </c>
      <c r="D41" s="22" t="n">
        <v>51.095</v>
      </c>
      <c r="E41" s="22" t="n">
        <v>-47.246</v>
      </c>
      <c r="F41" s="22" t="n">
        <v>26.268</v>
      </c>
      <c r="G41" s="22" t="n">
        <v>218.427</v>
      </c>
      <c r="H41" s="22" t="n">
        <v>77.032</v>
      </c>
      <c r="I41" s="22" t="n">
        <v>94.56100000000001</v>
      </c>
      <c r="J41" s="22" t="n">
        <v>14.072</v>
      </c>
      <c r="K41" s="22" t="n">
        <v>-33.916</v>
      </c>
      <c r="L41" s="22" t="n">
        <v>38.466</v>
      </c>
      <c r="M41" s="22" t="n">
        <v>-70.374</v>
      </c>
      <c r="N41" s="22" t="n">
        <v>146.17</v>
      </c>
      <c r="O41" s="21" t="n">
        <v>282.987</v>
      </c>
      <c r="P41" s="22" t="n">
        <v>36.303</v>
      </c>
      <c r="Q41" s="22" t="n">
        <v>20.185</v>
      </c>
      <c r="R41" s="22" t="n">
        <v>20.771</v>
      </c>
      <c r="S41" s="22" t="n">
        <v>-39.998</v>
      </c>
      <c r="T41" s="22" t="n">
        <v>268.29</v>
      </c>
      <c r="U41" s="22" t="n">
        <v>137.09</v>
      </c>
      <c r="V41" s="22" t="n">
        <v>-15.097</v>
      </c>
      <c r="W41" s="22" t="n">
        <v>248.544</v>
      </c>
      <c r="X41" s="22" t="n">
        <v>151.749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-854.155</v>
      </c>
      <c r="D43" s="12" t="n">
        <v>-93.73099999999999</v>
      </c>
      <c r="E43" s="12" t="n">
        <v>-464.244</v>
      </c>
      <c r="F43" s="12" t="n">
        <v>-504.502</v>
      </c>
      <c r="G43" s="12" t="n">
        <v>661.395</v>
      </c>
      <c r="H43" s="12" t="n">
        <v>426.602</v>
      </c>
      <c r="I43" s="12" t="n">
        <v>519.987</v>
      </c>
      <c r="J43" s="12" t="n">
        <v>354.004</v>
      </c>
      <c r="K43" s="12" t="n">
        <v>-40.924</v>
      </c>
      <c r="L43" s="12" t="n">
        <v>153.383</v>
      </c>
      <c r="M43" s="12" t="n">
        <v>236.742</v>
      </c>
      <c r="N43" s="12" t="n">
        <v>519.038</v>
      </c>
      <c r="O43" s="11" t="n">
        <v>-632.408</v>
      </c>
      <c r="P43" s="12" t="n">
        <v>-2983.864</v>
      </c>
      <c r="Q43" s="12" t="n">
        <v>-1562.889</v>
      </c>
      <c r="R43" s="12" t="n">
        <v>-1201.345</v>
      </c>
      <c r="S43" s="12" t="n">
        <v>1693.351</v>
      </c>
      <c r="T43" s="12" t="n">
        <v>1170.29</v>
      </c>
      <c r="U43" s="12" t="n">
        <v>178.589</v>
      </c>
      <c r="V43" s="12" t="n">
        <v>-1085.363</v>
      </c>
      <c r="W43" s="12" t="n">
        <v>-401.082</v>
      </c>
      <c r="X43" s="12" t="n">
        <v>1259.669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-1117.423</v>
      </c>
      <c r="D44" s="12" t="n">
        <v>-346.115</v>
      </c>
      <c r="E44" s="12" t="n">
        <v>-588.7</v>
      </c>
      <c r="F44" s="12" t="n">
        <v>-36.983</v>
      </c>
      <c r="G44" s="12" t="n">
        <v>630.6849999999999</v>
      </c>
      <c r="H44" s="12" t="n">
        <v>362.062</v>
      </c>
      <c r="I44" s="12" t="n">
        <v>465.75</v>
      </c>
      <c r="J44" s="12" t="n">
        <v>347.129</v>
      </c>
      <c r="K44" s="12" t="n">
        <v>-88.855</v>
      </c>
      <c r="L44" s="12" t="n">
        <v>164.141</v>
      </c>
      <c r="M44" s="12" t="n">
        <v>218.96</v>
      </c>
      <c r="N44" s="12" t="n">
        <v>518.665</v>
      </c>
      <c r="O44" s="11" t="n">
        <v>-551.412</v>
      </c>
      <c r="P44" s="12" t="n">
        <v>-2972.055</v>
      </c>
      <c r="Q44" s="12" t="n">
        <v>-1553.635</v>
      </c>
      <c r="R44" s="12" t="n"/>
      <c r="S44" s="12" t="n"/>
      <c r="T44" s="12" t="n"/>
      <c r="U44" s="12" t="n">
        <v>601.877</v>
      </c>
      <c r="V44" s="12" t="n">
        <v>-2227.064</v>
      </c>
      <c r="W44" s="12" t="n">
        <v>-341.113</v>
      </c>
      <c r="X44" s="12" t="n">
        <v>1086.086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(2026.10.27)</t>
        </is>
      </c>
      <c r="B47" s="29" t="n">
        <v>208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46705300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2026.10.27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2023.4Q</t>
        </is>
      </c>
      <c r="D77" s="5" t="inlineStr">
        <is>
          <t>2024.1Q</t>
        </is>
      </c>
      <c r="E77" s="5" t="inlineStr">
        <is>
          <t>2024.2Q</t>
        </is>
      </c>
      <c r="F77" s="5" t="inlineStr">
        <is>
          <t>2024.3Q</t>
        </is>
      </c>
      <c r="G77" s="5" t="inlineStr">
        <is>
          <t>2024.4Q</t>
        </is>
      </c>
      <c r="H77" s="5" t="inlineStr">
        <is>
          <t>2025.1Q</t>
        </is>
      </c>
      <c r="I77" s="5" t="inlineStr">
        <is>
          <t>2025.2Q</t>
        </is>
      </c>
      <c r="J77" s="5" t="inlineStr">
        <is>
          <t>2025.3Q</t>
        </is>
      </c>
      <c r="K77" s="5" t="inlineStr">
        <is>
          <t>2025.4Q</t>
        </is>
      </c>
      <c r="L77" s="5" t="inlineStr">
        <is>
          <t>2026.1Q</t>
        </is>
      </c>
      <c r="M77" s="5" t="inlineStr">
        <is>
          <t>2026.2Q</t>
        </is>
      </c>
      <c r="N77" s="5" t="inlineStr">
        <is>
          <t>2026.3Q</t>
        </is>
      </c>
      <c r="O77" s="5" t="inlineStr">
        <is>
          <t>2016</t>
        </is>
      </c>
      <c r="P77" s="5" t="inlineStr">
        <is>
          <t>2017</t>
        </is>
      </c>
      <c r="Q77" s="5" t="inlineStr">
        <is>
          <t>2018</t>
        </is>
      </c>
      <c r="R77" s="5" t="inlineStr">
        <is>
          <t>2019</t>
        </is>
      </c>
      <c r="S77" s="5" t="inlineStr">
        <is>
          <t>2020</t>
        </is>
      </c>
      <c r="T77" s="5" t="inlineStr">
        <is>
          <t>2021</t>
        </is>
      </c>
      <c r="U77" s="5" t="inlineStr">
        <is>
          <t>2022</t>
        </is>
      </c>
      <c r="V77" s="5" t="inlineStr">
        <is>
          <t>2023</t>
        </is>
      </c>
      <c r="W77" s="5" t="inlineStr">
        <is>
          <t>2024</t>
        </is>
      </c>
      <c r="X77" s="5" t="inlineStr">
        <is>
          <t>2025</t>
        </is>
      </c>
      <c r="Y77" s="5" t="inlineStr">
        <is>
          <t>2026(MW)</t>
        </is>
      </c>
      <c r="Z77" s="5" t="inlineStr">
        <is>
          <t>2027(MW)</t>
        </is>
      </c>
      <c r="AA77" s="5" t="inlineStr">
        <is>
          <t>2028(MW)</t>
        </is>
      </c>
      <c r="AB77" s="5" t="inlineStr">
        <is>
          <t>2029(MW)</t>
        </is>
      </c>
      <c r="AC77" s="5" t="inlineStr">
        <is>
          <t>2030(MW)</t>
        </is>
      </c>
    </row>
    <row r="78">
      <c r="A78" s="9" t="inlineStr">
        <is>
          <t>매출액</t>
        </is>
      </c>
      <c r="C78" s="12" t="n">
        <v>4376.64</v>
      </c>
      <c r="D78" s="12" t="n">
        <v>4607.216</v>
      </c>
      <c r="E78" s="12" t="n">
        <v>3488.797</v>
      </c>
      <c r="F78" s="12" t="n">
        <v>3678.69</v>
      </c>
      <c r="G78" s="12" t="n">
        <v>5312.155</v>
      </c>
      <c r="H78" s="12" t="n">
        <v>5168.915</v>
      </c>
      <c r="I78" s="12" t="n">
        <v>3820.967</v>
      </c>
      <c r="J78" s="12" t="n">
        <v>3649.544</v>
      </c>
      <c r="K78" s="12" t="n">
        <v>3186.797</v>
      </c>
      <c r="L78" s="12" t="n">
        <v>3249.035</v>
      </c>
      <c r="M78" s="12" t="n">
        <v>3622.53</v>
      </c>
      <c r="N78" s="12" t="n">
        <v>4296.153</v>
      </c>
      <c r="V78" s="12" t="n">
        <v>4376.64</v>
      </c>
      <c r="W78" s="12" t="n">
        <v>5312.155</v>
      </c>
      <c r="X78" s="12" t="n">
        <v>3186.797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2714.543</v>
      </c>
      <c r="D80" s="22" t="n">
        <v>2120.712</v>
      </c>
      <c r="E80" s="22" t="n">
        <v>1890.811</v>
      </c>
      <c r="F80" s="22" t="n">
        <v>1592.705</v>
      </c>
      <c r="G80" s="22" t="n">
        <v>2005.778</v>
      </c>
      <c r="H80" s="22" t="n">
        <v>1649.508</v>
      </c>
      <c r="I80" s="22" t="n">
        <v>1421.889</v>
      </c>
      <c r="J80" s="22" t="n">
        <v>1576.762</v>
      </c>
      <c r="K80" s="22" t="n">
        <v>1599.02</v>
      </c>
      <c r="L80" s="22" t="n">
        <v>1491.088</v>
      </c>
      <c r="M80" s="22" t="n">
        <v>1481.567</v>
      </c>
      <c r="N80" s="22" t="n">
        <v>1610.914</v>
      </c>
      <c r="V80" s="22" t="n">
        <v>2714.543</v>
      </c>
      <c r="W80" s="22" t="n">
        <v>2005.778</v>
      </c>
      <c r="X80" s="22" t="n">
        <v>1599.02</v>
      </c>
    </row>
    <row r="81">
      <c r="A81" s="9" t="inlineStr">
        <is>
          <t>매출총이익</t>
        </is>
      </c>
      <c r="C81" s="12" t="n">
        <v>1662.097</v>
      </c>
      <c r="D81" s="12" t="n">
        <v>2486.504</v>
      </c>
      <c r="E81" s="12" t="n">
        <v>1597.985</v>
      </c>
      <c r="F81" s="12" t="n">
        <v>2085.985</v>
      </c>
      <c r="G81" s="12" t="n">
        <v>3306.378</v>
      </c>
      <c r="H81" s="12" t="n">
        <v>3519.407</v>
      </c>
      <c r="I81" s="12" t="n">
        <v>2399.077</v>
      </c>
      <c r="J81" s="12" t="n">
        <v>2072.783</v>
      </c>
      <c r="K81" s="12" t="n">
        <v>1587.776</v>
      </c>
      <c r="L81" s="12" t="n">
        <v>1757.947</v>
      </c>
      <c r="M81" s="12" t="n">
        <v>2140.963</v>
      </c>
      <c r="N81" s="12" t="n">
        <v>2685.238</v>
      </c>
      <c r="V81" s="12" t="n">
        <v>1662.097</v>
      </c>
      <c r="W81" s="12" t="n">
        <v>3306.378</v>
      </c>
      <c r="X81" s="12" t="n">
        <v>1587.776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</t>
        </is>
      </c>
      <c r="C83" s="22" t="n">
        <v>2720.192</v>
      </c>
      <c r="D83" s="22" t="n">
        <v>2635.565</v>
      </c>
      <c r="E83" s="22" t="n">
        <v>2197.591</v>
      </c>
      <c r="F83" s="22" t="n">
        <v>2640.917</v>
      </c>
      <c r="G83" s="22" t="n">
        <v>2555.342</v>
      </c>
      <c r="H83" s="22" t="n">
        <v>2167.142</v>
      </c>
      <c r="I83" s="22" t="n">
        <v>1907.573</v>
      </c>
      <c r="J83" s="22" t="n">
        <v>1818.014</v>
      </c>
      <c r="K83" s="22" t="n">
        <v>1606.504</v>
      </c>
      <c r="L83" s="22" t="n">
        <v>1516.91</v>
      </c>
      <c r="M83" s="22" t="n">
        <v>1852.466</v>
      </c>
      <c r="N83" s="22" t="n">
        <v>1925.384</v>
      </c>
      <c r="V83" s="22" t="n">
        <v>2720.192</v>
      </c>
      <c r="W83" s="22" t="n">
        <v>2555.342</v>
      </c>
      <c r="X83" s="22" t="n">
        <v>1606.504</v>
      </c>
    </row>
    <row r="84">
      <c r="A84" s="9" t="inlineStr">
        <is>
          <t>영업이익</t>
        </is>
      </c>
      <c r="C84" s="12" t="n">
        <v>-1058.095</v>
      </c>
      <c r="D84" s="12" t="n">
        <v>-149.061</v>
      </c>
      <c r="E84" s="12" t="n">
        <v>-599.605</v>
      </c>
      <c r="F84" s="12" t="n">
        <v>-554.933</v>
      </c>
      <c r="G84" s="12" t="n">
        <v>751.0359999999999</v>
      </c>
      <c r="H84" s="12" t="n">
        <v>1352.264</v>
      </c>
      <c r="I84" s="12" t="n">
        <v>491.505</v>
      </c>
      <c r="J84" s="12" t="n">
        <v>254.768</v>
      </c>
      <c r="K84" s="12" t="n">
        <v>-18.727</v>
      </c>
      <c r="L84" s="12" t="n">
        <v>241.037</v>
      </c>
      <c r="M84" s="12" t="n">
        <v>288.496</v>
      </c>
      <c r="N84" s="12" t="n">
        <v>759.854</v>
      </c>
      <c r="V84" s="12" t="n">
        <v>-1058.095</v>
      </c>
      <c r="W84" s="12" t="n">
        <v>751.0359999999999</v>
      </c>
      <c r="X84" s="12" t="n">
        <v>-18.727</v>
      </c>
    </row>
    <row r="85">
      <c r="A85" s="45" t="inlineStr">
        <is>
          <t>OPM</t>
        </is>
      </c>
      <c r="B85" s="3" t="inlineStr">
        <is>
          <t>영업이익 ÷ 매출</t>
        </is>
      </c>
      <c r="C85" s="17">
        <f>IF(OR(C84="",C78=""),"",IF(C78&lt;=0,"",IFERROR(C84/C78,"")))</f>
        <v/>
      </c>
      <c r="D85" s="17">
        <f>IF(OR(D84="",D78=""),"",IF(D78&lt;=0,"",IFERROR(D84/D78,"")))</f>
        <v/>
      </c>
      <c r="E85" s="17">
        <f>IF(OR(E84="",E78=""),"",IF(E78&lt;=0,"",IFERROR(E84/E78,"")))</f>
        <v/>
      </c>
      <c r="F85" s="17">
        <f>IF(OR(F84="",F78=""),"",IF(F78&lt;=0,"",IFERROR(F84/F78,"")))</f>
        <v/>
      </c>
      <c r="G85" s="17">
        <f>IF(OR(G84="",G78=""),"",IF(G78&lt;=0,"",IFERROR(G84/G78,"")))</f>
        <v/>
      </c>
      <c r="H85" s="17">
        <f>IF(OR(H84="",H78=""),"",IF(H78&lt;=0,"",IFERROR(H84/H78,"")))</f>
        <v/>
      </c>
      <c r="I85" s="17">
        <f>IF(OR(I84="",I78=""),"",IF(I78&lt;=0,"",IFERROR(I84/I78,"")))</f>
        <v/>
      </c>
      <c r="J85" s="17">
        <f>IF(OR(J84="",J78=""),"",IF(J78&lt;=0,"",IFERROR(J84/J78,"")))</f>
        <v/>
      </c>
      <c r="K85" s="17">
        <f>IF(OR(K84="",K78=""),"",IF(K78&lt;=0,"",IFERROR(K84/K78,"")))</f>
        <v/>
      </c>
      <c r="L85" s="17">
        <f>IF(OR(L84="",L78=""),"",IF(L78&lt;=0,"",IFERROR(L84/L78,"")))</f>
        <v/>
      </c>
      <c r="M85" s="17">
        <f>IF(OR(M84="",M78=""),"",IF(M78&lt;=0,"",IFERROR(M84/M78,"")))</f>
        <v/>
      </c>
      <c r="N85" s="17">
        <f>IF(OR(N84="",N78=""),"",IF(N78&lt;=0,"",IFERROR(N84/N78,"")))</f>
        <v/>
      </c>
      <c r="V85" s="17">
        <f>IF(OR(V84="",V78=""),"",IF(V78&lt;=0,"",IFERROR(V84/V78,"")))</f>
        <v/>
      </c>
      <c r="W85" s="17">
        <f>IF(OR(W84="",W78=""),"",IF(W78&lt;=0,"",IFERROR(W84/W78,"")))</f>
        <v/>
      </c>
      <c r="X85" s="17">
        <f>IF(OR(X84="",X78=""),"",IF(X78&lt;=0,"",IFERROR(X84/X78,"")))</f>
        <v/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G86" s="17">
        <f>IF(OR(G84="",C84=""),"",IF(C84&lt;=0,"",IFERROR(G84/C84-1,"")))</f>
        <v/>
      </c>
      <c r="H86" s="17">
        <f>IF(OR(H84="",D84=""),"",IF(D84&lt;=0,"",IFERROR(H84/D84-1,"")))</f>
        <v/>
      </c>
      <c r="I86" s="17">
        <f>IF(OR(I84="",E84=""),"",IF(E84&lt;=0,"",IFERROR(I84/E84-1,"")))</f>
        <v/>
      </c>
      <c r="J86" s="17">
        <f>IF(OR(J84="",F84=""),"",IF(F84&lt;=0,"",IFERROR(J84/F84-1,"")))</f>
        <v/>
      </c>
      <c r="K86" s="17">
        <f>IF(OR(K84="",G84=""),"",IF(G84&lt;=0,"",IFERROR(K84/G84-1,"")))</f>
        <v/>
      </c>
      <c r="L86" s="17">
        <f>IF(OR(L84="",H84=""),"",IF(H84&lt;=0,"",IFERROR(L84/H84-1,"")))</f>
        <v/>
      </c>
      <c r="M86" s="17">
        <f>IF(OR(M84="",I84=""),"",IF(I84&lt;=0,"",IFERROR(M84/I84-1,"")))</f>
        <v/>
      </c>
      <c r="N86" s="17">
        <f>IF(OR(N84="",J84=""),"",IF(J84&lt;=0,"",IFERROR(N84/J84-1,"")))</f>
        <v/>
      </c>
      <c r="V86" s="17">
        <f>IF(OR(V84="",U84=""),"",IF(U84&lt;=0,"",IFERROR(V84/U84-1,"")))</f>
        <v/>
      </c>
      <c r="W86" s="17">
        <f>IF(OR(W84="",V84=""),"",IF(V84&lt;=0,"",IFERROR(W84/V84-1,"")))</f>
        <v/>
      </c>
      <c r="X86" s="17">
        <f>IF(OR(X84="",W84=""),"",IF(W84&lt;=0,"",IFERROR(X84/W84-1,"")))</f>
        <v/>
      </c>
    </row>
    <row r="87">
      <c r="A87" s="20" t="inlineStr">
        <is>
          <t>이자수익</t>
        </is>
      </c>
      <c r="C87" s="22" t="n">
        <v>0.496</v>
      </c>
      <c r="D87" s="22" t="n">
        <v>0.041</v>
      </c>
      <c r="E87" s="22" t="n">
        <v>0.351</v>
      </c>
      <c r="F87" s="22" t="n">
        <v>0.328</v>
      </c>
      <c r="G87" s="22" t="n">
        <v>0.6</v>
      </c>
      <c r="H87" s="22" t="n">
        <v>1.394</v>
      </c>
      <c r="I87" s="22" t="n">
        <v>0.391</v>
      </c>
      <c r="J87" s="22" t="n">
        <v>4.284</v>
      </c>
      <c r="K87" s="22" t="n">
        <v>0.431</v>
      </c>
      <c r="L87" s="22" t="n">
        <v>5.671</v>
      </c>
      <c r="M87" s="22" t="n">
        <v>0.271</v>
      </c>
      <c r="N87" s="22" t="n">
        <v>7.989</v>
      </c>
      <c r="V87" s="22" t="n">
        <v>0.496</v>
      </c>
      <c r="W87" s="22" t="n">
        <v>0.6</v>
      </c>
      <c r="X87" s="22" t="n">
        <v>0.431</v>
      </c>
    </row>
    <row r="88">
      <c r="A88" s="20" t="inlineStr">
        <is>
          <t>외환차익</t>
        </is>
      </c>
      <c r="D88" s="22" t="n">
        <v>3.566</v>
      </c>
      <c r="E88" s="22" t="n">
        <v>7.046</v>
      </c>
      <c r="H88" s="22" t="n">
        <v>0</v>
      </c>
      <c r="I88" s="22" t="n">
        <v>0</v>
      </c>
    </row>
    <row r="89">
      <c r="A89" s="20" t="inlineStr">
        <is>
          <t>수수료 수익</t>
        </is>
      </c>
      <c r="D89" s="22" t="n">
        <v>0.2</v>
      </c>
      <c r="E89" s="22" t="n">
        <v>0.167</v>
      </c>
      <c r="F89" s="22" t="n">
        <v>0.418</v>
      </c>
      <c r="H89" s="22" t="n">
        <v>0.349</v>
      </c>
      <c r="I89" s="22" t="n">
        <v>0.338</v>
      </c>
      <c r="J89" s="22" t="n">
        <v>0.36</v>
      </c>
      <c r="L89" s="22" t="n">
        <v>0.356</v>
      </c>
      <c r="M89" s="22" t="n">
        <v>0.353</v>
      </c>
      <c r="N89" s="22" t="n">
        <v>0.338</v>
      </c>
    </row>
    <row r="90">
      <c r="A90" s="20" t="inlineStr">
        <is>
          <t>Distribution Profit NOI</t>
        </is>
      </c>
      <c r="D90" s="22" t="n">
        <v>68.06100000000001</v>
      </c>
      <c r="E90" s="22" t="n">
        <v>59.861</v>
      </c>
      <c r="F90" s="22" t="n">
        <v>84.83499999999999</v>
      </c>
      <c r="G90" s="22" t="n">
        <v>63.897</v>
      </c>
      <c r="H90" s="22" t="n">
        <v>104.015</v>
      </c>
      <c r="I90" s="22" t="n">
        <v>93.411</v>
      </c>
      <c r="J90" s="22" t="n">
        <v>104.158</v>
      </c>
      <c r="K90" s="22" t="n">
        <v>57.685</v>
      </c>
      <c r="L90" s="22" t="n">
        <v>36.5</v>
      </c>
      <c r="M90" s="22" t="n">
        <v>37.338</v>
      </c>
      <c r="N90" s="22" t="n">
        <v>37.477</v>
      </c>
      <c r="W90" s="22" t="n">
        <v>63.897</v>
      </c>
      <c r="X90" s="22" t="n">
        <v>57.685</v>
      </c>
    </row>
    <row r="91">
      <c r="A91" s="20" t="inlineStr">
        <is>
          <t>지분법이익</t>
        </is>
      </c>
      <c r="C91" s="22" t="n">
        <v>41.942</v>
      </c>
      <c r="D91" s="22" t="n">
        <v>39.786</v>
      </c>
      <c r="E91" s="22" t="n">
        <v>19.891</v>
      </c>
      <c r="F91" s="22" t="n">
        <v>6.491</v>
      </c>
      <c r="G91" s="22" t="n">
        <v>25.362</v>
      </c>
      <c r="H91" s="22" t="n">
        <v>0</v>
      </c>
      <c r="I91" s="22" t="n">
        <v>0</v>
      </c>
      <c r="J91" s="22" t="n">
        <v>0</v>
      </c>
      <c r="K91" s="22" t="n">
        <v>0</v>
      </c>
      <c r="V91" s="22" t="n">
        <v>41.942</v>
      </c>
      <c r="W91" s="22" t="n">
        <v>25.362</v>
      </c>
      <c r="X91" s="22" t="n">
        <v>0</v>
      </c>
    </row>
    <row r="92">
      <c r="A92" s="20" t="inlineStr">
        <is>
          <t>보조금 수입</t>
        </is>
      </c>
      <c r="C92" s="22" t="n">
        <v>0.63</v>
      </c>
      <c r="D92" s="22" t="n">
        <v>0.013</v>
      </c>
      <c r="E92" s="22" t="n">
        <v>0</v>
      </c>
      <c r="F92" s="22" t="n">
        <v>0</v>
      </c>
      <c r="G92" s="22" t="n">
        <v>-0.013</v>
      </c>
      <c r="H92" s="22" t="n">
        <v>0</v>
      </c>
      <c r="I92" s="22" t="n">
        <v>32.139</v>
      </c>
      <c r="J92" s="22" t="n">
        <v>0.002</v>
      </c>
      <c r="L92" s="22" t="n">
        <v>0.011</v>
      </c>
      <c r="M92" s="22" t="n">
        <v>9.888999999999999</v>
      </c>
      <c r="N92" s="22" t="n">
        <v>13.139</v>
      </c>
      <c r="V92" s="22" t="n">
        <v>0.63</v>
      </c>
      <c r="W92" s="22" t="n">
        <v>-0.013</v>
      </c>
    </row>
    <row r="93">
      <c r="A93" s="20" t="inlineStr">
        <is>
          <t>기타</t>
        </is>
      </c>
      <c r="C93" s="22" t="n">
        <v>1.555</v>
      </c>
      <c r="D93" s="22" t="n">
        <v>0.9409999999999999</v>
      </c>
      <c r="E93" s="22" t="n">
        <v>1.22</v>
      </c>
      <c r="F93" s="22" t="n">
        <v>0.5620000000000001</v>
      </c>
      <c r="G93" s="22" t="n">
        <v>45.35</v>
      </c>
      <c r="H93" s="22" t="n">
        <v>1.262</v>
      </c>
      <c r="I93" s="22" t="n">
        <v>5.541</v>
      </c>
      <c r="J93" s="22" t="n">
        <v>0.435</v>
      </c>
      <c r="K93" s="22" t="n">
        <v>44.96</v>
      </c>
      <c r="L93" s="22" t="n">
        <v>5.679</v>
      </c>
      <c r="M93" s="22" t="n">
        <v>4.249</v>
      </c>
      <c r="N93" s="22" t="n">
        <v>1.471</v>
      </c>
      <c r="V93" s="22" t="n">
        <v>1.555</v>
      </c>
      <c r="W93" s="22" t="n">
        <v>45.35</v>
      </c>
      <c r="X93" s="22" t="n">
        <v>44.96</v>
      </c>
    </row>
    <row r="94">
      <c r="A94" s="20" t="inlineStr">
        <is>
          <t>영업외수익 합계</t>
        </is>
      </c>
      <c r="C94" s="22" t="n">
        <v>82.94799999999999</v>
      </c>
      <c r="D94" s="22" t="n">
        <v>112.61</v>
      </c>
      <c r="E94" s="22" t="n">
        <v>88.538</v>
      </c>
      <c r="F94" s="22" t="n">
        <v>82.021</v>
      </c>
      <c r="G94" s="22" t="n">
        <v>134.409</v>
      </c>
      <c r="H94" s="22" t="n">
        <v>107.022</v>
      </c>
      <c r="I94" s="22" t="n">
        <v>131.82</v>
      </c>
      <c r="J94" s="22" t="n">
        <v>109.238</v>
      </c>
      <c r="K94" s="22" t="n">
        <v>69.88800000000001</v>
      </c>
      <c r="L94" s="22" t="n">
        <v>48.218</v>
      </c>
      <c r="M94" s="22" t="n">
        <v>52.1</v>
      </c>
      <c r="N94" s="22" t="n">
        <v>60.414</v>
      </c>
      <c r="V94" s="22" t="n">
        <v>82.94799999999999</v>
      </c>
      <c r="W94" s="22" t="n">
        <v>134.409</v>
      </c>
      <c r="X94" s="22" t="n">
        <v>69.88800000000001</v>
      </c>
    </row>
    <row r="95">
      <c r="A95" s="20" t="inlineStr">
        <is>
          <t>이자비용</t>
        </is>
      </c>
      <c r="D95" s="22" t="n">
        <v>0.117</v>
      </c>
      <c r="E95" s="22" t="n">
        <v>0.025</v>
      </c>
      <c r="F95" s="22" t="n">
        <v>-0.142</v>
      </c>
      <c r="G95" s="22" t="n">
        <v>0.183</v>
      </c>
      <c r="H95" s="22" t="n">
        <v>0.017</v>
      </c>
      <c r="I95" s="22" t="n">
        <v>0.015</v>
      </c>
      <c r="J95" s="22" t="n">
        <v>0.014</v>
      </c>
      <c r="K95" s="22" t="n">
        <v>0.016</v>
      </c>
      <c r="L95" s="22" t="n">
        <v>0.376</v>
      </c>
      <c r="M95" s="22" t="n">
        <v>0.866</v>
      </c>
      <c r="N95" s="22" t="n">
        <v>3.51</v>
      </c>
      <c r="W95" s="22" t="n">
        <v>0.183</v>
      </c>
      <c r="X95" s="22" t="n">
        <v>0.016</v>
      </c>
    </row>
    <row r="96">
      <c r="A96" s="20" t="inlineStr">
        <is>
          <t>외환차손</t>
        </is>
      </c>
      <c r="C96" s="22" t="n">
        <v>9.079000000000001</v>
      </c>
      <c r="D96" s="22" t="n">
        <v>0</v>
      </c>
      <c r="E96" s="22" t="n">
        <v>0</v>
      </c>
      <c r="F96" s="22" t="n">
        <v>1.582</v>
      </c>
      <c r="G96" s="22" t="n">
        <v>-1.582</v>
      </c>
      <c r="H96" s="22" t="n">
        <v>14.913</v>
      </c>
      <c r="I96" s="22" t="n">
        <v>-12.156</v>
      </c>
      <c r="J96" s="22" t="n">
        <v>7.922</v>
      </c>
      <c r="K96" s="22" t="n">
        <v>1.11</v>
      </c>
      <c r="L96" s="22" t="n">
        <v>5.569</v>
      </c>
      <c r="M96" s="22" t="n">
        <v>1.583</v>
      </c>
      <c r="N96" s="22" t="n">
        <v>9.058</v>
      </c>
      <c r="V96" s="22" t="n">
        <v>9.079000000000001</v>
      </c>
      <c r="W96" s="22" t="n">
        <v>-1.582</v>
      </c>
      <c r="X96" s="22" t="n">
        <v>1.11</v>
      </c>
    </row>
    <row r="97">
      <c r="A97" s="20" t="inlineStr">
        <is>
          <t>주식교부비</t>
        </is>
      </c>
      <c r="C97" s="22" t="n">
        <v>-0.195</v>
      </c>
      <c r="D97" s="22" t="n">
        <v>5.905</v>
      </c>
      <c r="E97" s="22" t="n">
        <v>0</v>
      </c>
      <c r="F97" s="22" t="n">
        <v>0</v>
      </c>
      <c r="G97" s="22" t="n">
        <v>0</v>
      </c>
      <c r="H97" s="22" t="n">
        <v>0</v>
      </c>
      <c r="I97" s="22" t="n">
        <v>0</v>
      </c>
      <c r="J97" s="22" t="n">
        <v>0</v>
      </c>
      <c r="K97" s="22" t="n">
        <v>0</v>
      </c>
      <c r="V97" s="22" t="n">
        <v>-0.195</v>
      </c>
      <c r="W97" s="22" t="n">
        <v>0</v>
      </c>
      <c r="X97" s="22" t="n">
        <v>0</v>
      </c>
    </row>
    <row r="98">
      <c r="A98" s="20" t="inlineStr">
        <is>
          <t>지급수수료</t>
        </is>
      </c>
      <c r="C98" s="22" t="n">
        <v>0</v>
      </c>
      <c r="G98" s="22" t="n">
        <v>3.329</v>
      </c>
      <c r="K98" s="22" t="n">
        <v>0</v>
      </c>
      <c r="V98" s="22" t="n">
        <v>0</v>
      </c>
      <c r="W98" s="22" t="n">
        <v>3.329</v>
      </c>
      <c r="X98" s="22" t="n">
        <v>0</v>
      </c>
    </row>
    <row r="99">
      <c r="A99" s="20" t="inlineStr">
        <is>
          <t>임대차계약 해약손실</t>
        </is>
      </c>
      <c r="C99" s="22" t="n">
        <v>0.062</v>
      </c>
      <c r="F99" s="22" t="n">
        <v>0</v>
      </c>
      <c r="G99" s="22" t="n">
        <v>0</v>
      </c>
      <c r="J99" s="22" t="n">
        <v>0</v>
      </c>
      <c r="N99" s="22" t="n">
        <v>0</v>
      </c>
      <c r="V99" s="22" t="n">
        <v>0.062</v>
      </c>
      <c r="W99" s="22" t="n">
        <v>0</v>
      </c>
    </row>
    <row r="100">
      <c r="A100" s="20" t="inlineStr">
        <is>
          <t>지분법손실</t>
        </is>
      </c>
      <c r="C100" s="22" t="n">
        <v>-2.391</v>
      </c>
      <c r="D100" s="22" t="n">
        <v>0</v>
      </c>
      <c r="E100" s="22" t="n">
        <v>0</v>
      </c>
      <c r="F100" s="22" t="n">
        <v>0</v>
      </c>
      <c r="G100" s="22" t="n">
        <v>0</v>
      </c>
      <c r="H100" s="22" t="n">
        <v>938.487</v>
      </c>
      <c r="I100" s="22" t="n">
        <v>20.906</v>
      </c>
      <c r="J100" s="22" t="n">
        <v>-12.032</v>
      </c>
      <c r="K100" s="22" t="n">
        <v>108.857</v>
      </c>
      <c r="L100" s="22" t="n">
        <v>91.087</v>
      </c>
      <c r="M100" s="22" t="n">
        <v>166.175</v>
      </c>
      <c r="N100" s="22" t="n">
        <v>141.87</v>
      </c>
      <c r="V100" s="22" t="n">
        <v>-2.391</v>
      </c>
      <c r="W100" s="22" t="n">
        <v>0</v>
      </c>
      <c r="X100" s="22" t="n">
        <v>108.857</v>
      </c>
    </row>
    <row r="101">
      <c r="A101" s="20" t="inlineStr">
        <is>
          <t>기타</t>
        </is>
      </c>
      <c r="C101" s="22" t="n">
        <v>0.196</v>
      </c>
      <c r="D101" s="22" t="n">
        <v>0</v>
      </c>
      <c r="E101" s="22" t="n">
        <v>0.398</v>
      </c>
      <c r="F101" s="22" t="n">
        <v>3.718</v>
      </c>
      <c r="G101" s="22" t="n">
        <v>-3.644</v>
      </c>
      <c r="H101" s="22" t="n">
        <v>2.238</v>
      </c>
      <c r="I101" s="22" t="n">
        <v>0.012</v>
      </c>
      <c r="J101" s="22" t="n">
        <v>0.027</v>
      </c>
      <c r="K101" s="22" t="n">
        <v>-2.277</v>
      </c>
      <c r="L101" s="22" t="n">
        <v>0.384</v>
      </c>
      <c r="M101" s="22" t="n">
        <v>0.737</v>
      </c>
      <c r="N101" s="22" t="n">
        <v>0.63</v>
      </c>
      <c r="V101" s="22" t="n">
        <v>0.196</v>
      </c>
      <c r="W101" s="22" t="n">
        <v>-3.644</v>
      </c>
      <c r="X101" s="22" t="n">
        <v>-2.277</v>
      </c>
    </row>
    <row r="102">
      <c r="A102" s="20" t="inlineStr">
        <is>
          <t>영업외비용 합계</t>
        </is>
      </c>
      <c r="C102" s="22" t="n">
        <v>6.795</v>
      </c>
      <c r="D102" s="22" t="n">
        <v>6.024</v>
      </c>
      <c r="E102" s="22" t="n">
        <v>0.422</v>
      </c>
      <c r="F102" s="22" t="n">
        <v>5.323</v>
      </c>
      <c r="G102" s="22" t="n">
        <v>3.686</v>
      </c>
      <c r="H102" s="22" t="n">
        <v>955.6559999999999</v>
      </c>
      <c r="I102" s="22" t="n">
        <v>8.778</v>
      </c>
      <c r="J102" s="22" t="n">
        <v>-4.071</v>
      </c>
      <c r="K102" s="22" t="n">
        <v>126.001</v>
      </c>
      <c r="L102" s="22" t="n">
        <v>97.41800000000001</v>
      </c>
      <c r="M102" s="22" t="n">
        <v>174.229</v>
      </c>
      <c r="N102" s="22" t="n">
        <v>155.067</v>
      </c>
      <c r="V102" s="22" t="n">
        <v>6.795</v>
      </c>
      <c r="W102" s="22" t="n">
        <v>3.686</v>
      </c>
      <c r="X102" s="22" t="n">
        <v>126.001</v>
      </c>
    </row>
    <row r="103">
      <c r="A103" s="9" t="inlineStr">
        <is>
          <t>경상이익</t>
        </is>
      </c>
      <c r="C103" s="12" t="n">
        <v>-981.941</v>
      </c>
      <c r="D103" s="12" t="n">
        <v>-42.475</v>
      </c>
      <c r="E103" s="12" t="n">
        <v>-511.489</v>
      </c>
      <c r="F103" s="12" t="n">
        <v>-478.235</v>
      </c>
      <c r="G103" s="12" t="n">
        <v>881.76</v>
      </c>
      <c r="H103" s="12" t="n">
        <v>503.629</v>
      </c>
      <c r="I103" s="12" t="n">
        <v>614.549</v>
      </c>
      <c r="J103" s="12" t="n">
        <v>368.076</v>
      </c>
      <c r="K103" s="12" t="n">
        <v>-74.84</v>
      </c>
      <c r="L103" s="12" t="n">
        <v>191.837</v>
      </c>
      <c r="M103" s="12" t="n">
        <v>166.368</v>
      </c>
      <c r="N103" s="12" t="n">
        <v>665.201</v>
      </c>
      <c r="V103" s="12" t="n">
        <v>-981.941</v>
      </c>
      <c r="W103" s="12" t="n">
        <v>881.76</v>
      </c>
      <c r="X103" s="12" t="n">
        <v>-74.84</v>
      </c>
    </row>
    <row r="104">
      <c r="A104" s="45" t="inlineStr">
        <is>
          <t>YoY</t>
        </is>
      </c>
      <c r="B104" s="3" t="inlineStr">
        <is>
          <t>전년 같은 분기·전년 대비</t>
        </is>
      </c>
      <c r="G104" s="17">
        <f>IF(OR(G103="",C103=""),"",IF(C103&lt;=0,"",IFERROR(G103/C103-1,"")))</f>
        <v/>
      </c>
      <c r="H104" s="17">
        <f>IF(OR(H103="",D103=""),"",IF(D103&lt;=0,"",IFERROR(H103/D103-1,"")))</f>
        <v/>
      </c>
      <c r="I104" s="17">
        <f>IF(OR(I103="",E103=""),"",IF(E103&lt;=0,"",IFERROR(I103/E103-1,"")))</f>
        <v/>
      </c>
      <c r="J104" s="17">
        <f>IF(OR(J103="",F103=""),"",IF(F103&lt;=0,"",IFERROR(J103/F103-1,"")))</f>
        <v/>
      </c>
      <c r="K104" s="17">
        <f>IF(OR(K103="",G103=""),"",IF(G103&lt;=0,"",IFERROR(K103/G103-1,"")))</f>
        <v/>
      </c>
      <c r="L104" s="17">
        <f>IF(OR(L103="",H103=""),"",IF(H103&lt;=0,"",IFERROR(L103/H103-1,"")))</f>
        <v/>
      </c>
      <c r="M104" s="17">
        <f>IF(OR(M103="",I103=""),"",IF(I103&lt;=0,"",IFERROR(M103/I103-1,"")))</f>
        <v/>
      </c>
      <c r="N104" s="17">
        <f>IF(OR(N103="",J103=""),"",IF(J103&lt;=0,"",IFERROR(N103/J103-1,"")))</f>
        <v/>
      </c>
      <c r="V104" s="17">
        <f>IF(OR(V103="",U103=""),"",IF(U103&lt;=0,"",IFERROR(V103/U103-1,"")))</f>
        <v/>
      </c>
      <c r="W104" s="17">
        <f>IF(OR(W103="",V103=""),"",IF(V103&lt;=0,"",IFERROR(W103/V103-1,"")))</f>
        <v/>
      </c>
      <c r="X104" s="17">
        <f>IF(OR(X103="",W103=""),"",IF(W103&lt;=0,"",IFERROR(X103/W103-1,"")))</f>
        <v/>
      </c>
    </row>
    <row r="105">
      <c r="A105" s="20" t="inlineStr">
        <is>
          <t>고정자산 매각이익</t>
        </is>
      </c>
      <c r="C105" s="22" t="n">
        <v>0</v>
      </c>
      <c r="D105" s="22" t="n">
        <v>0.007</v>
      </c>
      <c r="E105" s="22" t="n">
        <v>0</v>
      </c>
      <c r="F105" s="22" t="n">
        <v>0</v>
      </c>
      <c r="G105" s="22" t="n">
        <v>0</v>
      </c>
      <c r="H105" s="22" t="n">
        <v>0.004</v>
      </c>
      <c r="I105" s="22" t="n">
        <v>0</v>
      </c>
      <c r="J105" s="22" t="n">
        <v>0</v>
      </c>
      <c r="K105" s="22" t="n">
        <v>0</v>
      </c>
      <c r="L105" s="22" t="n">
        <v>0.012</v>
      </c>
      <c r="M105" s="22" t="n">
        <v>0</v>
      </c>
      <c r="N105" s="22" t="n">
        <v>0.008</v>
      </c>
      <c r="V105" s="22" t="n">
        <v>0</v>
      </c>
      <c r="W105" s="22" t="n">
        <v>0</v>
      </c>
      <c r="X105" s="22" t="n">
        <v>0</v>
      </c>
    </row>
    <row r="106">
      <c r="A106" s="20" t="inlineStr">
        <is>
          <t>특별이익 합계</t>
        </is>
      </c>
      <c r="C106" s="22" t="n">
        <v>0</v>
      </c>
      <c r="D106" s="22" t="n">
        <v>0.007</v>
      </c>
      <c r="E106" s="22" t="n">
        <v>0</v>
      </c>
      <c r="F106" s="22" t="n">
        <v>0</v>
      </c>
      <c r="G106" s="22" t="n">
        <v>0</v>
      </c>
      <c r="H106" s="22" t="n">
        <v>0.004</v>
      </c>
      <c r="I106" s="22" t="n">
        <v>0</v>
      </c>
      <c r="J106" s="22" t="n">
        <v>0</v>
      </c>
      <c r="K106" s="22" t="n">
        <v>0</v>
      </c>
      <c r="L106" s="22" t="n">
        <v>0.012</v>
      </c>
      <c r="M106" s="22" t="n">
        <v>0</v>
      </c>
      <c r="N106" s="22" t="n">
        <v>0.008</v>
      </c>
      <c r="V106" s="22" t="n">
        <v>0</v>
      </c>
      <c r="W106" s="22" t="n">
        <v>0</v>
      </c>
      <c r="X106" s="22" t="n">
        <v>0</v>
      </c>
    </row>
    <row r="107">
      <c r="A107" s="20" t="inlineStr">
        <is>
          <t>고정자산 제각손실</t>
        </is>
      </c>
      <c r="C107" s="22" t="n">
        <v>0</v>
      </c>
      <c r="D107" s="22" t="n">
        <v>0.169</v>
      </c>
      <c r="E107" s="22" t="n">
        <v>0</v>
      </c>
      <c r="F107" s="22" t="n">
        <v>0</v>
      </c>
      <c r="G107" s="22" t="n">
        <v>1.936</v>
      </c>
      <c r="H107" s="22" t="n">
        <v>0</v>
      </c>
      <c r="I107" s="22" t="n">
        <v>0</v>
      </c>
      <c r="J107" s="22" t="n">
        <v>0</v>
      </c>
      <c r="K107" s="22" t="n">
        <v>0</v>
      </c>
      <c r="N107" s="22" t="n">
        <v>0</v>
      </c>
      <c r="V107" s="22" t="n">
        <v>0</v>
      </c>
      <c r="W107" s="22" t="n">
        <v>1.936</v>
      </c>
      <c r="X107" s="22" t="n">
        <v>0</v>
      </c>
    </row>
    <row r="108">
      <c r="A108" s="20" t="inlineStr">
        <is>
          <t>특별손실 합계</t>
        </is>
      </c>
      <c r="C108" s="22" t="n">
        <v>0</v>
      </c>
      <c r="D108" s="22" t="n">
        <v>0.169</v>
      </c>
      <c r="E108" s="22" t="n">
        <v>0</v>
      </c>
      <c r="F108" s="22" t="n">
        <v>0</v>
      </c>
      <c r="G108" s="22" t="n">
        <v>1.936</v>
      </c>
      <c r="H108" s="22" t="n">
        <v>0</v>
      </c>
      <c r="I108" s="22" t="n">
        <v>0</v>
      </c>
      <c r="J108" s="22" t="n">
        <v>0</v>
      </c>
      <c r="K108" s="22" t="n">
        <v>0</v>
      </c>
      <c r="N108" s="22" t="n">
        <v>0</v>
      </c>
      <c r="V108" s="22" t="n">
        <v>0</v>
      </c>
      <c r="W108" s="22" t="n">
        <v>1.936</v>
      </c>
      <c r="X108" s="22" t="n">
        <v>0</v>
      </c>
    </row>
    <row r="109">
      <c r="A109" s="9" t="inlineStr">
        <is>
          <t>법인세차감전 순이익</t>
        </is>
      </c>
      <c r="C109" s="12" t="n">
        <v>-981.941</v>
      </c>
      <c r="D109" s="12" t="n">
        <v>-42.636</v>
      </c>
      <c r="E109" s="12" t="n">
        <v>-511.49</v>
      </c>
      <c r="F109" s="12" t="n">
        <v>-478.234</v>
      </c>
      <c r="G109" s="12" t="n">
        <v>879.823</v>
      </c>
      <c r="H109" s="12" t="n">
        <v>503.634</v>
      </c>
      <c r="I109" s="12" t="n">
        <v>614.549</v>
      </c>
      <c r="J109" s="12" t="n">
        <v>368.076</v>
      </c>
      <c r="K109" s="12" t="n">
        <v>-74.84</v>
      </c>
      <c r="L109" s="12" t="n">
        <v>191.849</v>
      </c>
      <c r="M109" s="12" t="n">
        <v>166.368</v>
      </c>
      <c r="N109" s="12" t="n">
        <v>665.2089999999999</v>
      </c>
      <c r="V109" s="12" t="n">
        <v>-981.941</v>
      </c>
      <c r="W109" s="12" t="n">
        <v>879.823</v>
      </c>
      <c r="X109" s="12" t="n">
        <v>-74.84</v>
      </c>
    </row>
    <row r="110">
      <c r="A110" s="20" t="inlineStr">
        <is>
          <t>법인세·주민세·사업세</t>
        </is>
      </c>
      <c r="C110" s="22" t="n">
        <v>2.072</v>
      </c>
      <c r="D110" s="22" t="n">
        <v>6.152</v>
      </c>
      <c r="E110" s="22" t="n">
        <v>22.687</v>
      </c>
      <c r="F110" s="22" t="n">
        <v>2.481</v>
      </c>
      <c r="G110" s="22" t="n">
        <v>3.508</v>
      </c>
      <c r="H110" s="22" t="n">
        <v>65.401</v>
      </c>
      <c r="I110" s="22" t="n">
        <v>86.893</v>
      </c>
      <c r="J110" s="22" t="n">
        <v>35.947</v>
      </c>
      <c r="K110" s="22" t="n">
        <v>-20.817</v>
      </c>
      <c r="L110" s="22" t="n">
        <v>32.305</v>
      </c>
      <c r="M110" s="22" t="n">
        <v>60.916</v>
      </c>
      <c r="N110" s="22" t="n">
        <v>136.048</v>
      </c>
      <c r="V110" s="22" t="n">
        <v>2.072</v>
      </c>
      <c r="W110" s="22" t="n">
        <v>3.508</v>
      </c>
      <c r="X110" s="22" t="n">
        <v>-20.817</v>
      </c>
    </row>
    <row r="111">
      <c r="A111" s="20" t="inlineStr">
        <is>
          <t>법인세 조정액</t>
        </is>
      </c>
      <c r="C111" s="22" t="n">
        <v>-129.857</v>
      </c>
      <c r="D111" s="22" t="n">
        <v>44.942</v>
      </c>
      <c r="E111" s="22" t="n">
        <v>-69.932</v>
      </c>
      <c r="F111" s="22" t="n">
        <v>23.787</v>
      </c>
      <c r="G111" s="22" t="n">
        <v>214.919</v>
      </c>
      <c r="H111" s="22" t="n">
        <v>11.63</v>
      </c>
      <c r="I111" s="22" t="n">
        <v>7.668</v>
      </c>
      <c r="J111" s="22" t="n">
        <v>-21.873</v>
      </c>
      <c r="K111" s="22" t="n">
        <v>-13.1</v>
      </c>
      <c r="L111" s="22" t="n">
        <v>6.16</v>
      </c>
      <c r="M111" s="22" t="n">
        <v>-131.29</v>
      </c>
      <c r="N111" s="22" t="n">
        <v>10.123</v>
      </c>
      <c r="V111" s="22" t="n">
        <v>-129.857</v>
      </c>
      <c r="W111" s="22" t="n">
        <v>214.919</v>
      </c>
      <c r="X111" s="22" t="n">
        <v>-13.1</v>
      </c>
    </row>
    <row r="112">
      <c r="A112" s="20" t="inlineStr">
        <is>
          <t>법인세 등 합계</t>
        </is>
      </c>
      <c r="C112" s="22" t="n">
        <v>-127.784</v>
      </c>
      <c r="D112" s="22" t="n">
        <v>51.095</v>
      </c>
      <c r="E112" s="22" t="n">
        <v>-47.246</v>
      </c>
      <c r="F112" s="22" t="n">
        <v>26.268</v>
      </c>
      <c r="G112" s="22" t="n">
        <v>218.427</v>
      </c>
      <c r="H112" s="22" t="n">
        <v>77.032</v>
      </c>
      <c r="I112" s="22" t="n">
        <v>94.56100000000001</v>
      </c>
      <c r="J112" s="22" t="n">
        <v>14.072</v>
      </c>
      <c r="K112" s="22" t="n">
        <v>-33.916</v>
      </c>
      <c r="L112" s="22" t="n">
        <v>38.466</v>
      </c>
      <c r="M112" s="22" t="n">
        <v>-70.374</v>
      </c>
      <c r="N112" s="22" t="n">
        <v>146.17</v>
      </c>
      <c r="V112" s="22" t="n">
        <v>-127.784</v>
      </c>
      <c r="W112" s="22" t="n">
        <v>218.427</v>
      </c>
      <c r="X112" s="22" t="n">
        <v>-33.916</v>
      </c>
    </row>
    <row r="113">
      <c r="A113" s="9" t="inlineStr">
        <is>
          <t>순이익</t>
        </is>
      </c>
      <c r="C113" s="12" t="n">
        <v>-854.155</v>
      </c>
      <c r="D113" s="12" t="n">
        <v>-93.73099999999999</v>
      </c>
      <c r="E113" s="12" t="n">
        <v>-464.244</v>
      </c>
      <c r="F113" s="12" t="n">
        <v>-504.502</v>
      </c>
      <c r="G113" s="12" t="n">
        <v>661.395</v>
      </c>
      <c r="H113" s="12" t="n">
        <v>426.602</v>
      </c>
      <c r="I113" s="12" t="n">
        <v>519.987</v>
      </c>
      <c r="J113" s="12" t="n">
        <v>354.004</v>
      </c>
      <c r="K113" s="12" t="n">
        <v>-40.924</v>
      </c>
      <c r="L113" s="12" t="n">
        <v>153.383</v>
      </c>
      <c r="M113" s="12" t="n">
        <v>236.742</v>
      </c>
      <c r="N113" s="12" t="n">
        <v>519.038</v>
      </c>
      <c r="V113" s="12" t="n">
        <v>-854.155</v>
      </c>
      <c r="W113" s="12" t="n">
        <v>661.395</v>
      </c>
      <c r="X113" s="12" t="n">
        <v>-40.924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G114" s="17">
        <f>IF(OR(G113="",C113=""),"",IF(C113&lt;=0,"",IFERROR(G113/C113-1,"")))</f>
        <v/>
      </c>
      <c r="H114" s="17">
        <f>IF(OR(H113="",D113=""),"",IF(D113&lt;=0,"",IFERROR(H113/D113-1,"")))</f>
        <v/>
      </c>
      <c r="I114" s="17">
        <f>IF(OR(I113="",E113=""),"",IF(E113&lt;=0,"",IFERROR(I113/E113-1,"")))</f>
        <v/>
      </c>
      <c r="J114" s="17">
        <f>IF(OR(J113="",F113=""),"",IF(F113&lt;=0,"",IFERROR(J113/F113-1,"")))</f>
        <v/>
      </c>
      <c r="K114" s="17">
        <f>IF(OR(K113="",G113=""),"",IF(G113&lt;=0,"",IFERROR(K113/G113-1,"")))</f>
        <v/>
      </c>
      <c r="L114" s="17">
        <f>IF(OR(L113="",H113=""),"",IF(H113&lt;=0,"",IFERROR(L113/H113-1,"")))</f>
        <v/>
      </c>
      <c r="M114" s="17">
        <f>IF(OR(M113="",I113=""),"",IF(I113&lt;=0,"",IFERROR(M113/I113-1,"")))</f>
        <v/>
      </c>
      <c r="N114" s="17">
        <f>IF(OR(N113="",J113=""),"",IF(J113&lt;=0,"",IFERROR(N113/J113-1,"")))</f>
        <v/>
      </c>
      <c r="V114" s="17">
        <f>IF(OR(V113="",U113=""),"",IF(U113&lt;=0,"",IFERROR(V113/U113-1,"")))</f>
        <v/>
      </c>
      <c r="W114" s="17">
        <f>IF(OR(W113="",V113=""),"",IF(V113&lt;=0,"",IFERROR(W113/V113-1,"")))</f>
        <v/>
      </c>
      <c r="X114" s="17">
        <f>IF(OR(X113="",W113=""),"",IF(W113&lt;=0,"",IFERROR(X113/W113-1,"")))</f>
        <v/>
      </c>
    </row>
    <row r="115">
      <c r="A115" s="9" t="inlineStr">
        <is>
          <t>비지배주주 순이익</t>
        </is>
      </c>
      <c r="C115" s="12" t="n">
        <v>263.267</v>
      </c>
      <c r="D115" s="12" t="n">
        <v>252.383</v>
      </c>
      <c r="E115" s="12" t="n">
        <v>124.456</v>
      </c>
      <c r="F115" s="12" t="n">
        <v>-467.518</v>
      </c>
      <c r="G115" s="12" t="n">
        <v>30.71</v>
      </c>
      <c r="H115" s="12" t="n">
        <v>64.539</v>
      </c>
      <c r="I115" s="12" t="n">
        <v>54.237</v>
      </c>
      <c r="J115" s="12" t="n">
        <v>6.876</v>
      </c>
      <c r="K115" s="12" t="n">
        <v>47.931</v>
      </c>
      <c r="L115" s="12" t="n">
        <v>-10.758</v>
      </c>
      <c r="M115" s="12" t="n">
        <v>17.782</v>
      </c>
      <c r="N115" s="12" t="n">
        <v>0.373</v>
      </c>
      <c r="V115" s="12" t="n">
        <v>263.267</v>
      </c>
      <c r="W115" s="12" t="n">
        <v>30.71</v>
      </c>
      <c r="X115" s="12" t="n">
        <v>47.931</v>
      </c>
    </row>
    <row r="116">
      <c r="A116" s="9" t="inlineStr">
        <is>
          <t>지배주주 순이익</t>
        </is>
      </c>
      <c r="C116" s="12" t="n">
        <v>-1117.423</v>
      </c>
      <c r="D116" s="12" t="n">
        <v>-346.115</v>
      </c>
      <c r="E116" s="12" t="n">
        <v>-588.7</v>
      </c>
      <c r="F116" s="12" t="n">
        <v>-36.983</v>
      </c>
      <c r="G116" s="12" t="n">
        <v>630.6849999999999</v>
      </c>
      <c r="H116" s="12" t="n">
        <v>362.062</v>
      </c>
      <c r="I116" s="12" t="n">
        <v>465.75</v>
      </c>
      <c r="J116" s="12" t="n">
        <v>347.129</v>
      </c>
      <c r="K116" s="12" t="n">
        <v>-88.855</v>
      </c>
      <c r="L116" s="12" t="n">
        <v>164.141</v>
      </c>
      <c r="M116" s="12" t="n">
        <v>218.96</v>
      </c>
      <c r="N116" s="12" t="n">
        <v>518.665</v>
      </c>
      <c r="V116" s="12" t="n">
        <v>-1117.423</v>
      </c>
      <c r="W116" s="12" t="n">
        <v>630.6849999999999</v>
      </c>
      <c r="X116" s="12" t="n">
        <v>-88.855</v>
      </c>
    </row>
    <row r="117">
      <c r="A117" s="45" t="inlineStr">
        <is>
          <t>YoY</t>
        </is>
      </c>
      <c r="B117" s="3" t="inlineStr">
        <is>
          <t>전년 같은 분기·전년 대비</t>
        </is>
      </c>
      <c r="G117" s="17">
        <f>IF(OR(G116="",C116=""),"",IF(C116&lt;=0,"",IFERROR(G116/C116-1,"")))</f>
        <v/>
      </c>
      <c r="H117" s="17">
        <f>IF(OR(H116="",D116=""),"",IF(D116&lt;=0,"",IFERROR(H116/D116-1,"")))</f>
        <v/>
      </c>
      <c r="I117" s="17">
        <f>IF(OR(I116="",E116=""),"",IF(E116&lt;=0,"",IFERROR(I116/E116-1,"")))</f>
        <v/>
      </c>
      <c r="J117" s="17">
        <f>IF(OR(J116="",F116=""),"",IF(F116&lt;=0,"",IFERROR(J116/F116-1,"")))</f>
        <v/>
      </c>
      <c r="K117" s="17">
        <f>IF(OR(K116="",G116=""),"",IF(G116&lt;=0,"",IFERROR(K116/G116-1,"")))</f>
        <v/>
      </c>
      <c r="L117" s="17">
        <f>IF(OR(L116="",H116=""),"",IF(H116&lt;=0,"",IFERROR(L116/H116-1,"")))</f>
        <v/>
      </c>
      <c r="M117" s="17">
        <f>IF(OR(M116="",I116=""),"",IF(I116&lt;=0,"",IFERROR(M116/I116-1,"")))</f>
        <v/>
      </c>
      <c r="N117" s="17">
        <f>IF(OR(N116="",J116=""),"",IF(J116&lt;=0,"",IFERROR(N116/J116-1,"")))</f>
        <v/>
      </c>
      <c r="V117" s="17">
        <f>IF(OR(V116="",U116=""),"",IF(U116&lt;=0,"",IFERROR(V116/U116-1,"")))</f>
        <v/>
      </c>
      <c r="W117" s="17">
        <f>IF(OR(W116="",V116=""),"",IF(V116&lt;=0,"",IFERROR(W116/V116-1,"")))</f>
        <v/>
      </c>
      <c r="X117" s="17">
        <f>IF(OR(X116="",W116=""),"",IF(W116&lt;=0,"",IFERROR(X116/W116-1,"")))</f>
        <v/>
      </c>
    </row>
    <row r="119">
      <c r="A119" s="18" t="inlineStr">
        <is>
          <t>포괄손익 · 전 항목</t>
        </is>
      </c>
      <c r="B119" s="44" t="inlineStr">
        <is>
          <t>분기 = 3개월 단독</t>
        </is>
      </c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  <c r="AA119" s="18" t="n"/>
      <c r="AB119" s="18" t="n"/>
      <c r="AC119" s="18" t="n"/>
    </row>
    <row r="120">
      <c r="A120" s="5" t="inlineStr">
        <is>
          <t>항목</t>
        </is>
      </c>
      <c r="B120" s="5" t="inlineStr">
        <is>
          <t>참고</t>
        </is>
      </c>
      <c r="C120" s="5" t="inlineStr">
        <is>
          <t>2023.4Q</t>
        </is>
      </c>
      <c r="D120" s="5" t="inlineStr">
        <is>
          <t>2024.1Q</t>
        </is>
      </c>
      <c r="E120" s="5" t="inlineStr">
        <is>
          <t>2024.2Q</t>
        </is>
      </c>
      <c r="F120" s="5" t="inlineStr">
        <is>
          <t>2024.3Q</t>
        </is>
      </c>
      <c r="G120" s="5" t="inlineStr">
        <is>
          <t>2024.4Q</t>
        </is>
      </c>
      <c r="H120" s="5" t="inlineStr">
        <is>
          <t>2025.1Q</t>
        </is>
      </c>
      <c r="I120" s="5" t="inlineStr">
        <is>
          <t>2025.2Q</t>
        </is>
      </c>
      <c r="J120" s="5" t="inlineStr">
        <is>
          <t>2025.3Q</t>
        </is>
      </c>
      <c r="K120" s="5" t="inlineStr">
        <is>
          <t>2025.4Q</t>
        </is>
      </c>
      <c r="L120" s="5" t="inlineStr">
        <is>
          <t>2026.1Q</t>
        </is>
      </c>
      <c r="M120" s="5" t="inlineStr">
        <is>
          <t>2026.2Q</t>
        </is>
      </c>
      <c r="N120" s="5" t="inlineStr">
        <is>
          <t>2026.3Q</t>
        </is>
      </c>
      <c r="O120" s="5" t="inlineStr">
        <is>
          <t>2016</t>
        </is>
      </c>
      <c r="P120" s="5" t="inlineStr">
        <is>
          <t>2017</t>
        </is>
      </c>
      <c r="Q120" s="5" t="inlineStr">
        <is>
          <t>2018</t>
        </is>
      </c>
      <c r="R120" s="5" t="inlineStr">
        <is>
          <t>2019</t>
        </is>
      </c>
      <c r="S120" s="5" t="inlineStr">
        <is>
          <t>2020</t>
        </is>
      </c>
      <c r="T120" s="5" t="inlineStr">
        <is>
          <t>2021</t>
        </is>
      </c>
      <c r="U120" s="5" t="inlineStr">
        <is>
          <t>2022</t>
        </is>
      </c>
      <c r="V120" s="5" t="inlineStr">
        <is>
          <t>2023</t>
        </is>
      </c>
      <c r="W120" s="5" t="inlineStr">
        <is>
          <t>2024</t>
        </is>
      </c>
      <c r="X120" s="5" t="inlineStr">
        <is>
          <t>2025</t>
        </is>
      </c>
      <c r="Y120" s="5" t="inlineStr">
        <is>
          <t>2026(MW)</t>
        </is>
      </c>
      <c r="Z120" s="5" t="inlineStr">
        <is>
          <t>2027(MW)</t>
        </is>
      </c>
      <c r="AA120" s="5" t="inlineStr">
        <is>
          <t>2028(MW)</t>
        </is>
      </c>
      <c r="AB120" s="5" t="inlineStr">
        <is>
          <t>2029(MW)</t>
        </is>
      </c>
      <c r="AC120" s="5" t="inlineStr">
        <is>
          <t>2030(MW)</t>
        </is>
      </c>
    </row>
    <row r="121">
      <c r="A121" s="9" t="inlineStr">
        <is>
          <t>순이익</t>
        </is>
      </c>
      <c r="C121" s="12" t="n">
        <v>-854.155</v>
      </c>
      <c r="D121" s="12" t="n">
        <v>-93.73099999999999</v>
      </c>
      <c r="E121" s="12" t="n">
        <v>-464.244</v>
      </c>
      <c r="F121" s="12" t="n">
        <v>-504.502</v>
      </c>
      <c r="G121" s="12" t="n">
        <v>661.395</v>
      </c>
      <c r="H121" s="12" t="n">
        <v>426.602</v>
      </c>
      <c r="I121" s="12" t="n">
        <v>519.987</v>
      </c>
      <c r="J121" s="12" t="n">
        <v>354.004</v>
      </c>
      <c r="K121" s="12" t="n">
        <v>-40.924</v>
      </c>
      <c r="L121" s="12" t="n">
        <v>153.383</v>
      </c>
      <c r="M121" s="12" t="n">
        <v>236.742</v>
      </c>
      <c r="N121" s="12" t="n">
        <v>519.038</v>
      </c>
      <c r="V121" s="12" t="n">
        <v>-854.155</v>
      </c>
      <c r="W121" s="12" t="n">
        <v>661.395</v>
      </c>
      <c r="X121" s="12" t="n">
        <v>-40.924</v>
      </c>
    </row>
    <row r="122">
      <c r="A122" s="9" t="inlineStr">
        <is>
          <t>포괄이익</t>
        </is>
      </c>
      <c r="C122" s="12" t="n">
        <v>-854.155</v>
      </c>
      <c r="D122" s="12" t="n">
        <v>-93.73099999999999</v>
      </c>
      <c r="E122" s="12" t="n">
        <v>-464.244</v>
      </c>
      <c r="F122" s="12" t="n">
        <v>-504.502</v>
      </c>
      <c r="G122" s="12" t="n">
        <v>661.395</v>
      </c>
      <c r="H122" s="12" t="n">
        <v>426.602</v>
      </c>
      <c r="I122" s="12" t="n">
        <v>519.987</v>
      </c>
      <c r="J122" s="12" t="n">
        <v>354.004</v>
      </c>
      <c r="K122" s="12" t="n">
        <v>-40.924</v>
      </c>
      <c r="L122" s="12" t="n">
        <v>153.383</v>
      </c>
      <c r="M122" s="12" t="n">
        <v>236.742</v>
      </c>
      <c r="N122" s="12" t="n">
        <v>519.038</v>
      </c>
      <c r="V122" s="12" t="n">
        <v>-854.155</v>
      </c>
      <c r="W122" s="12" t="n">
        <v>661.395</v>
      </c>
      <c r="X122" s="12" t="n">
        <v>-40.924</v>
      </c>
    </row>
    <row r="123">
      <c r="A123" s="9" t="inlineStr">
        <is>
          <t>지배주주 포괄이익</t>
        </is>
      </c>
      <c r="C123" s="12" t="n">
        <v>-1117.423</v>
      </c>
      <c r="D123" s="12" t="n">
        <v>-346.115</v>
      </c>
      <c r="E123" s="12" t="n">
        <v>-588.7</v>
      </c>
      <c r="F123" s="12" t="n">
        <v>-36.983</v>
      </c>
      <c r="G123" s="12" t="n">
        <v>630.6849999999999</v>
      </c>
      <c r="H123" s="12" t="n">
        <v>362.062</v>
      </c>
      <c r="I123" s="12" t="n">
        <v>465.75</v>
      </c>
      <c r="J123" s="12" t="n">
        <v>347.129</v>
      </c>
      <c r="K123" s="12" t="n">
        <v>-88.855</v>
      </c>
      <c r="L123" s="12" t="n">
        <v>164.141</v>
      </c>
      <c r="M123" s="12" t="n">
        <v>218.96</v>
      </c>
      <c r="N123" s="12" t="n">
        <v>518.665</v>
      </c>
      <c r="V123" s="12" t="n">
        <v>-1117.423</v>
      </c>
      <c r="W123" s="12" t="n">
        <v>630.6849999999999</v>
      </c>
      <c r="X123" s="12" t="n">
        <v>-88.855</v>
      </c>
    </row>
    <row r="124">
      <c r="A124" s="9" t="inlineStr">
        <is>
          <t>비지배주주 포괄이익</t>
        </is>
      </c>
      <c r="C124" s="12" t="n">
        <v>263.267</v>
      </c>
      <c r="D124" s="12" t="n">
        <v>252.383</v>
      </c>
      <c r="E124" s="12" t="n">
        <v>124.456</v>
      </c>
      <c r="F124" s="12" t="n">
        <v>-467.518</v>
      </c>
      <c r="G124" s="12" t="n">
        <v>30.71</v>
      </c>
      <c r="H124" s="12" t="n">
        <v>64.539</v>
      </c>
      <c r="I124" s="12" t="n">
        <v>54.237</v>
      </c>
      <c r="J124" s="12" t="n">
        <v>6.876</v>
      </c>
      <c r="K124" s="12" t="n">
        <v>47.931</v>
      </c>
      <c r="L124" s="12" t="n">
        <v>-10.758</v>
      </c>
      <c r="M124" s="12" t="n">
        <v>17.782</v>
      </c>
      <c r="N124" s="12" t="n">
        <v>0.373</v>
      </c>
      <c r="V124" s="12" t="n">
        <v>263.267</v>
      </c>
      <c r="W124" s="12" t="n">
        <v>30.71</v>
      </c>
      <c r="X124" s="12" t="n">
        <v>47.931</v>
      </c>
    </row>
    <row r="126">
      <c r="A126" s="18" t="inlineStr">
        <is>
          <t>현금흐름표 · 전 항목</t>
        </is>
      </c>
      <c r="B126" s="44" t="inlineStr">
        <is>
          <t>분기 = 결산기 첫날부터 누계(공시 그대로)</t>
        </is>
      </c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  <c r="AA126" s="18" t="n"/>
      <c r="AB126" s="18" t="n"/>
      <c r="AC126" s="18" t="n"/>
    </row>
    <row r="127">
      <c r="A127" s="5" t="inlineStr">
        <is>
          <t>항목</t>
        </is>
      </c>
      <c r="B127" s="5" t="inlineStr">
        <is>
          <t>참고</t>
        </is>
      </c>
      <c r="C127" s="5" t="inlineStr">
        <is>
          <t>2023.4Q</t>
        </is>
      </c>
      <c r="D127" s="5" t="inlineStr">
        <is>
          <t>2024.1Q</t>
        </is>
      </c>
      <c r="E127" s="5" t="inlineStr">
        <is>
          <t>2024.2Q</t>
        </is>
      </c>
      <c r="F127" s="5" t="inlineStr">
        <is>
          <t>2024.3Q</t>
        </is>
      </c>
      <c r="G127" s="5" t="inlineStr">
        <is>
          <t>2024.4Q</t>
        </is>
      </c>
      <c r="H127" s="5" t="inlineStr">
        <is>
          <t>2025.1Q</t>
        </is>
      </c>
      <c r="I127" s="5" t="inlineStr">
        <is>
          <t>2025.2Q</t>
        </is>
      </c>
      <c r="J127" s="5" t="inlineStr">
        <is>
          <t>2025.3Q</t>
        </is>
      </c>
      <c r="K127" s="5" t="inlineStr">
        <is>
          <t>2025.4Q</t>
        </is>
      </c>
      <c r="L127" s="5" t="inlineStr">
        <is>
          <t>2026.1Q</t>
        </is>
      </c>
      <c r="M127" s="5" t="inlineStr">
        <is>
          <t>2026.2Q</t>
        </is>
      </c>
      <c r="N127" s="5" t="inlineStr">
        <is>
          <t>2026.3Q</t>
        </is>
      </c>
      <c r="O127" s="5" t="inlineStr">
        <is>
          <t>2016</t>
        </is>
      </c>
      <c r="P127" s="5" t="inlineStr">
        <is>
          <t>2017</t>
        </is>
      </c>
      <c r="Q127" s="5" t="inlineStr">
        <is>
          <t>2018</t>
        </is>
      </c>
      <c r="R127" s="5" t="inlineStr">
        <is>
          <t>2019</t>
        </is>
      </c>
      <c r="S127" s="5" t="inlineStr">
        <is>
          <t>2020</t>
        </is>
      </c>
      <c r="T127" s="5" t="inlineStr">
        <is>
          <t>2021</t>
        </is>
      </c>
      <c r="U127" s="5" t="inlineStr">
        <is>
          <t>2022</t>
        </is>
      </c>
      <c r="V127" s="5" t="inlineStr">
        <is>
          <t>2023</t>
        </is>
      </c>
      <c r="W127" s="5" t="inlineStr">
        <is>
          <t>2024</t>
        </is>
      </c>
      <c r="X127" s="5" t="inlineStr">
        <is>
          <t>2025</t>
        </is>
      </c>
      <c r="Y127" s="5" t="inlineStr">
        <is>
          <t>2026(MW)</t>
        </is>
      </c>
      <c r="Z127" s="5" t="inlineStr">
        <is>
          <t>2027(MW)</t>
        </is>
      </c>
      <c r="AA127" s="5" t="inlineStr">
        <is>
          <t>2028(MW)</t>
        </is>
      </c>
      <c r="AB127" s="5" t="inlineStr">
        <is>
          <t>2029(MW)</t>
        </is>
      </c>
      <c r="AC127" s="5" t="inlineStr">
        <is>
          <t>2030(MW)</t>
        </is>
      </c>
    </row>
    <row r="128">
      <c r="A128" s="9" t="inlineStr">
        <is>
          <t>법인세차감전 중간순이익(손실)</t>
        </is>
      </c>
      <c r="C128" s="12" t="n">
        <v>-1100.461</v>
      </c>
      <c r="G128" s="12" t="n">
        <v>-152.537</v>
      </c>
      <c r="K128" s="12" t="n">
        <v>1411.419</v>
      </c>
      <c r="O128" s="12" t="n">
        <v>-349.42</v>
      </c>
      <c r="P128" s="12" t="n">
        <v>-2947.561</v>
      </c>
      <c r="Q128" s="12" t="n">
        <v>-1533.454</v>
      </c>
      <c r="R128" s="12" t="n">
        <v>-1180.574</v>
      </c>
      <c r="S128" s="12" t="n">
        <v>1653.353</v>
      </c>
      <c r="U128" s="12" t="n">
        <v>315.679</v>
      </c>
      <c r="V128" s="12" t="n">
        <v>-1100.461</v>
      </c>
      <c r="W128" s="12" t="n">
        <v>-152.537</v>
      </c>
      <c r="X128" s="12" t="n">
        <v>1411.419</v>
      </c>
    </row>
    <row r="129">
      <c r="A129" s="20" t="inlineStr">
        <is>
          <t>감가상각비</t>
        </is>
      </c>
      <c r="C129" s="22" t="n">
        <v>34.892</v>
      </c>
      <c r="G129" s="22" t="n">
        <v>135.409</v>
      </c>
      <c r="K129" s="22" t="n">
        <v>70.339</v>
      </c>
      <c r="O129" s="22" t="n">
        <v>35.456</v>
      </c>
      <c r="P129" s="22" t="n">
        <v>41.97</v>
      </c>
      <c r="Q129" s="22" t="n">
        <v>34.448</v>
      </c>
      <c r="R129" s="22" t="n">
        <v>32.435</v>
      </c>
      <c r="S129" s="22" t="n">
        <v>1.656</v>
      </c>
      <c r="T129" s="22" t="n">
        <v>6.422</v>
      </c>
      <c r="U129" s="22" t="n">
        <v>14.939</v>
      </c>
      <c r="V129" s="22" t="n">
        <v>34.892</v>
      </c>
      <c r="W129" s="22" t="n">
        <v>135.409</v>
      </c>
      <c r="X129" s="22" t="n">
        <v>70.339</v>
      </c>
    </row>
    <row r="130">
      <c r="A130" s="20" t="inlineStr">
        <is>
          <t>Amortization Of Contents Ope CF</t>
        </is>
      </c>
      <c r="C130" s="22" t="n">
        <v>701.4930000000001</v>
      </c>
      <c r="G130" s="22" t="n">
        <v>384.632</v>
      </c>
      <c r="K130" s="22" t="n">
        <v>0</v>
      </c>
      <c r="O130" s="22" t="n">
        <v>122.888</v>
      </c>
      <c r="P130" s="22" t="n">
        <v>0</v>
      </c>
      <c r="Q130" s="22" t="n">
        <v>49.764</v>
      </c>
      <c r="R130" s="22" t="n">
        <v>273.114</v>
      </c>
      <c r="S130" s="22" t="n">
        <v>115.211</v>
      </c>
      <c r="T130" s="22" t="n">
        <v>72.884</v>
      </c>
      <c r="U130" s="22" t="n">
        <v>44.607</v>
      </c>
      <c r="V130" s="22" t="n">
        <v>701.4930000000001</v>
      </c>
      <c r="W130" s="22" t="n">
        <v>384.632</v>
      </c>
      <c r="X130" s="22" t="n">
        <v>0</v>
      </c>
    </row>
    <row r="131">
      <c r="A131" s="20" t="inlineStr">
        <is>
          <t>Increase Decrease In Provision For Loss On Arrangement Of Subsidiaries And Affiliates Ope CF</t>
        </is>
      </c>
      <c r="P131" s="22" t="n">
        <v>0</v>
      </c>
      <c r="Q131" s="22" t="n">
        <v>25.999</v>
      </c>
    </row>
    <row r="132">
      <c r="A132" s="20" t="inlineStr">
        <is>
          <t>지분법손실</t>
        </is>
      </c>
      <c r="O132" s="22" t="n">
        <v>22.581</v>
      </c>
      <c r="P132" s="22" t="n">
        <v>0.549</v>
      </c>
      <c r="Q132" s="22" t="n">
        <v>0</v>
      </c>
    </row>
    <row r="133">
      <c r="A133" s="20" t="inlineStr">
        <is>
          <t>손상차손</t>
        </is>
      </c>
      <c r="R133" s="22" t="n">
        <v>200.308</v>
      </c>
      <c r="S133" s="22" t="n">
        <v>0</v>
      </c>
    </row>
    <row r="134">
      <c r="A134" s="20" t="inlineStr">
        <is>
          <t>관계회사 청산손익</t>
        </is>
      </c>
      <c r="S134" s="22" t="n">
        <v>0</v>
      </c>
      <c r="T134" s="22" t="n">
        <v>5.048</v>
      </c>
    </row>
    <row r="135">
      <c r="A135" s="20" t="inlineStr">
        <is>
          <t>주식보상비용</t>
        </is>
      </c>
      <c r="C135" s="22" t="n">
        <v>30.75</v>
      </c>
      <c r="G135" s="22" t="n">
        <v>15.588</v>
      </c>
      <c r="K135" s="22" t="n">
        <v>6.165</v>
      </c>
      <c r="S135" s="22" t="n">
        <v>0</v>
      </c>
      <c r="T135" s="22" t="n">
        <v>17.983</v>
      </c>
      <c r="U135" s="22" t="n">
        <v>28.092</v>
      </c>
      <c r="V135" s="22" t="n">
        <v>30.75</v>
      </c>
      <c r="W135" s="22" t="n">
        <v>15.588</v>
      </c>
      <c r="X135" s="22" t="n">
        <v>6.165</v>
      </c>
    </row>
    <row r="136">
      <c r="A136" s="20" t="inlineStr">
        <is>
          <t>대손충당금 증감</t>
        </is>
      </c>
      <c r="C136" s="22" t="n">
        <v>0.007</v>
      </c>
      <c r="G136" s="22" t="n">
        <v>-0.029</v>
      </c>
      <c r="K136" s="22" t="n">
        <v>0</v>
      </c>
      <c r="R136" s="22" t="n">
        <v>0.077</v>
      </c>
      <c r="S136" s="22" t="n">
        <v>-0.045</v>
      </c>
      <c r="T136" s="22" t="n">
        <v>-0.003</v>
      </c>
      <c r="U136" s="22" t="n">
        <v>-0.007</v>
      </c>
      <c r="V136" s="22" t="n">
        <v>0.007</v>
      </c>
      <c r="W136" s="22" t="n">
        <v>-0.029</v>
      </c>
      <c r="X136" s="22" t="n">
        <v>0</v>
      </c>
    </row>
    <row r="137">
      <c r="A137" s="20" t="inlineStr">
        <is>
          <t>신주예약권 환입이익</t>
        </is>
      </c>
      <c r="P137" s="22" t="n">
        <v>0</v>
      </c>
      <c r="Q137" s="22" t="n">
        <v>-1.6</v>
      </c>
      <c r="R137" s="22" t="n">
        <v>-14.4</v>
      </c>
      <c r="S137" s="22" t="n">
        <v>0</v>
      </c>
    </row>
    <row r="138">
      <c r="A138" s="20" t="inlineStr">
        <is>
          <t>이자수익</t>
        </is>
      </c>
      <c r="O138" s="22" t="n">
        <v>-1.002</v>
      </c>
      <c r="P138" s="22" t="n">
        <v>-0.236</v>
      </c>
      <c r="Q138" s="22" t="n">
        <v>-0.231</v>
      </c>
      <c r="R138" s="22" t="n">
        <v>-0.288</v>
      </c>
      <c r="S138" s="22" t="n">
        <v>-0.21</v>
      </c>
      <c r="T138" s="22" t="n">
        <v>-0.182</v>
      </c>
    </row>
    <row r="139">
      <c r="A139" s="20" t="inlineStr">
        <is>
          <t>이자·배당금 수익</t>
        </is>
      </c>
      <c r="C139" s="22" t="n">
        <v>-1.028</v>
      </c>
      <c r="G139" s="22" t="n">
        <v>-1.32</v>
      </c>
      <c r="K139" s="22" t="n">
        <v>-6.5</v>
      </c>
      <c r="U139" s="22" t="n">
        <v>-0.324</v>
      </c>
      <c r="V139" s="22" t="n">
        <v>-1.028</v>
      </c>
      <c r="W139" s="22" t="n">
        <v>-1.32</v>
      </c>
      <c r="X139" s="22" t="n">
        <v>-6.5</v>
      </c>
    </row>
    <row r="140">
      <c r="A140" s="20" t="inlineStr">
        <is>
          <t>Distribusion Profit Ope CF</t>
        </is>
      </c>
      <c r="C140" s="22" t="n">
        <v>-180.013</v>
      </c>
      <c r="G140" s="22" t="n">
        <v>-276.654</v>
      </c>
      <c r="K140" s="22" t="n">
        <v>-359.269</v>
      </c>
      <c r="U140" s="22" t="n">
        <v>-2.783</v>
      </c>
      <c r="V140" s="22" t="n">
        <v>-180.013</v>
      </c>
      <c r="W140" s="22" t="n">
        <v>-276.654</v>
      </c>
      <c r="X140" s="22" t="n">
        <v>-359.269</v>
      </c>
    </row>
    <row r="141">
      <c r="A141" s="20" t="inlineStr">
        <is>
          <t>이자비용</t>
        </is>
      </c>
      <c r="C141" s="22" t="n">
        <v>0.045</v>
      </c>
      <c r="G141" s="22" t="n">
        <v>0.183</v>
      </c>
      <c r="K141" s="22" t="n">
        <v>0.062</v>
      </c>
      <c r="O141" s="22" t="n">
        <v>8.558</v>
      </c>
      <c r="P141" s="22" t="n">
        <v>9.881</v>
      </c>
      <c r="Q141" s="22" t="n">
        <v>17.755</v>
      </c>
      <c r="R141" s="22" t="n">
        <v>8.263999999999999</v>
      </c>
      <c r="S141" s="22" t="n">
        <v>1.288</v>
      </c>
      <c r="T141" s="22" t="n">
        <v>0</v>
      </c>
      <c r="U141" s="22" t="n">
        <v>0.078</v>
      </c>
      <c r="V141" s="22" t="n">
        <v>0.045</v>
      </c>
      <c r="W141" s="22" t="n">
        <v>0.183</v>
      </c>
      <c r="X141" s="22" t="n">
        <v>0.062</v>
      </c>
    </row>
    <row r="142">
      <c r="A142" s="20" t="inlineStr">
        <is>
          <t>보조금 수입</t>
        </is>
      </c>
      <c r="O142" s="22" t="n">
        <v>0</v>
      </c>
      <c r="P142" s="22" t="n">
        <v>-3.52</v>
      </c>
      <c r="Q142" s="22" t="n">
        <v>-9.454000000000001</v>
      </c>
      <c r="R142" s="22" t="n">
        <v>-6.838</v>
      </c>
    </row>
    <row r="143">
      <c r="A143" s="20" t="inlineStr">
        <is>
          <t>특별퇴직금</t>
        </is>
      </c>
      <c r="R143" s="22" t="n">
        <v>119.471</v>
      </c>
      <c r="S143" s="22" t="n">
        <v>0</v>
      </c>
    </row>
    <row r="144">
      <c r="A144" s="20" t="inlineStr">
        <is>
          <t>임대차계약 해약손실</t>
        </is>
      </c>
      <c r="S144" s="22" t="n">
        <v>0</v>
      </c>
      <c r="T144" s="22" t="n">
        <v>44.217</v>
      </c>
    </row>
    <row r="145">
      <c r="A145" s="20" t="inlineStr">
        <is>
          <t>매출채권 증감</t>
        </is>
      </c>
      <c r="O145" s="22" t="n">
        <v>-4.115</v>
      </c>
      <c r="P145" s="22" t="n">
        <v>310.921</v>
      </c>
      <c r="Q145" s="22" t="n">
        <v>190.974</v>
      </c>
      <c r="R145" s="22" t="n">
        <v>250.638</v>
      </c>
      <c r="S145" s="22" t="n">
        <v>-573.724</v>
      </c>
      <c r="T145" s="22" t="n">
        <v>141.16</v>
      </c>
    </row>
    <row r="146">
      <c r="A146" s="20" t="inlineStr">
        <is>
          <t>지분법손익</t>
        </is>
      </c>
      <c r="C146" s="22" t="n">
        <v>-41.942</v>
      </c>
      <c r="G146" s="22" t="n">
        <v>-91.53</v>
      </c>
      <c r="K146" s="22" t="n">
        <v>1056.218</v>
      </c>
      <c r="U146" s="22" t="n">
        <v>104.227</v>
      </c>
      <c r="V146" s="22" t="n">
        <v>-41.942</v>
      </c>
      <c r="W146" s="22" t="n">
        <v>-91.53</v>
      </c>
      <c r="X146" s="22" t="n">
        <v>1056.218</v>
      </c>
    </row>
    <row r="147">
      <c r="A147" s="20" t="inlineStr">
        <is>
          <t>매출채권·계약자산 증감</t>
        </is>
      </c>
      <c r="C147" s="22" t="n">
        <v>227.746</v>
      </c>
      <c r="U147" s="22" t="n">
        <v>-1278.237</v>
      </c>
      <c r="V147" s="22" t="n">
        <v>227.746</v>
      </c>
    </row>
    <row r="148">
      <c r="A148" s="20" t="inlineStr">
        <is>
          <t>매출채권·계약자산 증감</t>
        </is>
      </c>
      <c r="C148" s="22" t="n">
        <v>227.746</v>
      </c>
      <c r="G148" s="22" t="n">
        <v>-792.971</v>
      </c>
      <c r="K148" s="22" t="n">
        <v>1521.809</v>
      </c>
      <c r="V148" s="22" t="n">
        <v>227.746</v>
      </c>
      <c r="W148" s="22" t="n">
        <v>-792.971</v>
      </c>
      <c r="X148" s="22" t="n">
        <v>1521.809</v>
      </c>
    </row>
    <row r="149">
      <c r="A149" s="20" t="inlineStr">
        <is>
          <t>재고자산 증감</t>
        </is>
      </c>
      <c r="C149" s="22" t="n">
        <v>-701.329</v>
      </c>
      <c r="G149" s="22" t="n">
        <v>-430.969</v>
      </c>
      <c r="K149" s="22" t="n">
        <v>-32.817</v>
      </c>
      <c r="O149" s="22" t="n">
        <v>-111.397</v>
      </c>
      <c r="P149" s="22" t="n">
        <v>-0.261</v>
      </c>
      <c r="Q149" s="22" t="n">
        <v>-237.003</v>
      </c>
      <c r="R149" s="22" t="n">
        <v>-271.137</v>
      </c>
      <c r="S149" s="22" t="n">
        <v>-59.407</v>
      </c>
      <c r="T149" s="22" t="n">
        <v>37.396</v>
      </c>
      <c r="U149" s="22" t="n">
        <v>-26.727</v>
      </c>
      <c r="V149" s="22" t="n">
        <v>-701.329</v>
      </c>
      <c r="W149" s="22" t="n">
        <v>-430.969</v>
      </c>
      <c r="X149" s="22" t="n">
        <v>-32.817</v>
      </c>
    </row>
    <row r="150">
      <c r="A150" s="20" t="inlineStr">
        <is>
          <t>매입채무 증감</t>
        </is>
      </c>
      <c r="C150" s="22" t="n">
        <v>376.072</v>
      </c>
      <c r="G150" s="22" t="n">
        <v>-290.403</v>
      </c>
      <c r="K150" s="22" t="n">
        <v>-134.627</v>
      </c>
      <c r="O150" s="22" t="n">
        <v>-29.603</v>
      </c>
      <c r="P150" s="22" t="n">
        <v>-29.607</v>
      </c>
      <c r="Q150" s="22" t="n">
        <v>-106.201</v>
      </c>
      <c r="R150" s="22" t="n">
        <v>-58.978</v>
      </c>
      <c r="S150" s="22" t="n">
        <v>57.869</v>
      </c>
      <c r="T150" s="22" t="n">
        <v>51.236</v>
      </c>
      <c r="U150" s="22" t="n">
        <v>258.365</v>
      </c>
      <c r="V150" s="22" t="n">
        <v>376.072</v>
      </c>
      <c r="W150" s="22" t="n">
        <v>-290.403</v>
      </c>
      <c r="X150" s="22" t="n">
        <v>-134.627</v>
      </c>
    </row>
    <row r="151">
      <c r="A151" s="20" t="inlineStr">
        <is>
          <t>선급비용 증감</t>
        </is>
      </c>
      <c r="C151" s="22" t="n">
        <v>-243.05</v>
      </c>
      <c r="G151" s="22" t="n">
        <v>-194.92</v>
      </c>
      <c r="K151" s="22" t="n">
        <v>335.396</v>
      </c>
      <c r="U151" s="22" t="n">
        <v>-88.03700000000001</v>
      </c>
      <c r="V151" s="22" t="n">
        <v>-243.05</v>
      </c>
      <c r="W151" s="22" t="n">
        <v>-194.92</v>
      </c>
      <c r="X151" s="22" t="n">
        <v>335.396</v>
      </c>
    </row>
    <row r="152">
      <c r="A152" s="20" t="inlineStr">
        <is>
          <t>미수금 증감</t>
        </is>
      </c>
      <c r="C152" s="22" t="n">
        <v>-227.914</v>
      </c>
      <c r="G152" s="22" t="n">
        <v>-190.497</v>
      </c>
      <c r="K152" s="22" t="n">
        <v>101.241</v>
      </c>
      <c r="U152" s="22" t="n">
        <v>-104.942</v>
      </c>
      <c r="V152" s="22" t="n">
        <v>-227.914</v>
      </c>
      <c r="W152" s="22" t="n">
        <v>-190.497</v>
      </c>
      <c r="X152" s="22" t="n">
        <v>101.241</v>
      </c>
    </row>
    <row r="153">
      <c r="A153" s="20" t="inlineStr">
        <is>
          <t>미지급금 증감</t>
        </is>
      </c>
      <c r="C153" s="22" t="n">
        <v>-111.617</v>
      </c>
      <c r="G153" s="22" t="n">
        <v>36.48</v>
      </c>
      <c r="K153" s="22" t="n">
        <v>-95.08199999999999</v>
      </c>
      <c r="R153" s="22" t="n">
        <v>-283.611</v>
      </c>
      <c r="S153" s="22" t="n">
        <v>287.016</v>
      </c>
      <c r="T153" s="22" t="n">
        <v>-221.669</v>
      </c>
      <c r="U153" s="22" t="n">
        <v>535.6369999999999</v>
      </c>
      <c r="V153" s="22" t="n">
        <v>-111.617</v>
      </c>
      <c r="W153" s="22" t="n">
        <v>36.48</v>
      </c>
      <c r="X153" s="22" t="n">
        <v>-95.08199999999999</v>
      </c>
    </row>
    <row r="154">
      <c r="A154" s="20" t="inlineStr">
        <is>
          <t>미지급 소비세 증감</t>
        </is>
      </c>
      <c r="R154" s="22" t="n">
        <v>-41.819</v>
      </c>
      <c r="S154" s="22" t="n">
        <v>234.425</v>
      </c>
      <c r="T154" s="22" t="n">
        <v>-241.282</v>
      </c>
    </row>
    <row r="155">
      <c r="A155" s="20" t="inlineStr">
        <is>
          <t>계약부채 증감</t>
        </is>
      </c>
      <c r="C155" s="22" t="n">
        <v>97.65600000000001</v>
      </c>
      <c r="U155" s="22" t="n">
        <v>70.38500000000001</v>
      </c>
      <c r="V155" s="22" t="n">
        <v>97.65600000000001</v>
      </c>
    </row>
    <row r="156">
      <c r="A156" s="20" t="inlineStr">
        <is>
          <t>계약부채 증감</t>
        </is>
      </c>
      <c r="C156" s="22" t="n">
        <v>97.65600000000001</v>
      </c>
      <c r="G156" s="22" t="n">
        <v>38.065</v>
      </c>
      <c r="K156" s="22" t="n">
        <v>51.158</v>
      </c>
      <c r="V156" s="22" t="n">
        <v>97.65600000000001</v>
      </c>
      <c r="W156" s="22" t="n">
        <v>38.065</v>
      </c>
      <c r="X156" s="22" t="n">
        <v>51.158</v>
      </c>
    </row>
    <row r="157">
      <c r="A157" s="20" t="inlineStr">
        <is>
          <t>미지급 소비세 증감</t>
        </is>
      </c>
      <c r="C157" s="22" t="n">
        <v>-172.252</v>
      </c>
      <c r="G157" s="22" t="n">
        <v>343.036</v>
      </c>
      <c r="K157" s="22" t="n">
        <v>48.514</v>
      </c>
      <c r="U157" s="22" t="n">
        <v>-42.86</v>
      </c>
      <c r="V157" s="22" t="n">
        <v>-172.252</v>
      </c>
      <c r="W157" s="22" t="n">
        <v>343.036</v>
      </c>
      <c r="X157" s="22" t="n">
        <v>48.514</v>
      </c>
    </row>
    <row r="158">
      <c r="A158" s="20" t="inlineStr">
        <is>
          <t>기타</t>
        </is>
      </c>
      <c r="C158" s="22" t="n">
        <v>19.014</v>
      </c>
      <c r="G158" s="22" t="n">
        <v>168.218</v>
      </c>
      <c r="K158" s="22" t="n">
        <v>142.45</v>
      </c>
      <c r="O158" s="22" t="n">
        <v>-477.174</v>
      </c>
      <c r="P158" s="22" t="n">
        <v>219.214</v>
      </c>
      <c r="Q158" s="22" t="n">
        <v>-84.56699999999999</v>
      </c>
      <c r="R158" s="22" t="n">
        <v>243.11</v>
      </c>
      <c r="S158" s="22" t="n">
        <v>126.569</v>
      </c>
      <c r="T158" s="22" t="n">
        <v>-72.321</v>
      </c>
      <c r="U158" s="22" t="n">
        <v>-41.724</v>
      </c>
      <c r="V158" s="22" t="n">
        <v>19.014</v>
      </c>
      <c r="W158" s="22" t="n">
        <v>168.218</v>
      </c>
      <c r="X158" s="22" t="n">
        <v>142.45</v>
      </c>
    </row>
    <row r="159">
      <c r="A159" s="20" t="inlineStr">
        <is>
          <t>소계</t>
        </is>
      </c>
      <c r="C159" s="22" t="n">
        <v>-1291.931</v>
      </c>
      <c r="G159" s="22" t="n">
        <v>-1300.218</v>
      </c>
      <c r="K159" s="22" t="n">
        <v>4116.478</v>
      </c>
      <c r="O159" s="22" t="n">
        <v>-783.229</v>
      </c>
      <c r="P159" s="22" t="n">
        <v>-2398.649</v>
      </c>
      <c r="Q159" s="22" t="n">
        <v>-1653.57</v>
      </c>
      <c r="R159" s="22" t="n">
        <v>-723.386</v>
      </c>
      <c r="S159" s="22" t="n">
        <v>1844.003</v>
      </c>
      <c r="T159" s="22" t="n">
        <v>1279.471</v>
      </c>
      <c r="U159" s="22" t="n">
        <v>-213.632</v>
      </c>
      <c r="V159" s="22" t="n">
        <v>-1291.931</v>
      </c>
      <c r="W159" s="22" t="n">
        <v>-1300.218</v>
      </c>
      <c r="X159" s="22" t="n">
        <v>4116.478</v>
      </c>
    </row>
    <row r="160">
      <c r="A160" s="20" t="inlineStr">
        <is>
          <t>이자·배당금 수취</t>
        </is>
      </c>
      <c r="C160" s="22" t="n">
        <v>183.079</v>
      </c>
      <c r="G160" s="22" t="n">
        <v>378.662</v>
      </c>
      <c r="K160" s="22" t="n">
        <v>418.606</v>
      </c>
      <c r="O160" s="22" t="n">
        <v>1.002</v>
      </c>
      <c r="P160" s="22" t="n">
        <v>0.236</v>
      </c>
      <c r="Q160" s="22" t="n">
        <v>0.231</v>
      </c>
      <c r="R160" s="22" t="n">
        <v>0.288</v>
      </c>
      <c r="S160" s="22" t="n">
        <v>0.21</v>
      </c>
      <c r="T160" s="22" t="n">
        <v>0.182</v>
      </c>
      <c r="U160" s="22" t="n">
        <v>0.324</v>
      </c>
      <c r="V160" s="22" t="n">
        <v>183.079</v>
      </c>
      <c r="W160" s="22" t="n">
        <v>378.662</v>
      </c>
      <c r="X160" s="22" t="n">
        <v>418.606</v>
      </c>
    </row>
    <row r="161">
      <c r="A161" s="20" t="inlineStr">
        <is>
          <t>이자 지급</t>
        </is>
      </c>
      <c r="C161" s="22" t="n">
        <v>-0.137</v>
      </c>
      <c r="G161" s="22" t="n">
        <v>-0.091</v>
      </c>
      <c r="K161" s="22" t="n">
        <v>-0.062</v>
      </c>
      <c r="O161" s="22" t="n">
        <v>-9.619</v>
      </c>
      <c r="P161" s="22" t="n">
        <v>-9.744</v>
      </c>
      <c r="Q161" s="22" t="n">
        <v>-16.844</v>
      </c>
      <c r="R161" s="22" t="n">
        <v>-7.789</v>
      </c>
      <c r="S161" s="22" t="n">
        <v>-1.024</v>
      </c>
      <c r="T161" s="22" t="n">
        <v>0</v>
      </c>
      <c r="U161" s="22" t="n">
        <v>-0.078</v>
      </c>
      <c r="V161" s="22" t="n">
        <v>-0.137</v>
      </c>
      <c r="W161" s="22" t="n">
        <v>-0.091</v>
      </c>
      <c r="X161" s="22" t="n">
        <v>-0.062</v>
      </c>
    </row>
    <row r="162">
      <c r="A162" s="20" t="inlineStr">
        <is>
          <t>위약금 지급액</t>
        </is>
      </c>
      <c r="S162" s="22" t="n">
        <v>0</v>
      </c>
      <c r="T162" s="22" t="n">
        <v>-150</v>
      </c>
    </row>
    <row r="163">
      <c r="A163" s="20" t="inlineStr">
        <is>
          <t>보조금 수취</t>
        </is>
      </c>
      <c r="O163" s="22" t="n">
        <v>0</v>
      </c>
      <c r="P163" s="22" t="n">
        <v>3.52</v>
      </c>
      <c r="Q163" s="22" t="n">
        <v>9.454000000000001</v>
      </c>
      <c r="R163" s="22" t="n">
        <v>6.838</v>
      </c>
      <c r="S163" s="22" t="n">
        <v>0.423</v>
      </c>
      <c r="T163" s="22" t="n">
        <v>0.526</v>
      </c>
    </row>
    <row r="164">
      <c r="A164" s="20" t="inlineStr">
        <is>
          <t>특별퇴직금 지급액</t>
        </is>
      </c>
      <c r="R164" s="22" t="n">
        <v>-84.78</v>
      </c>
      <c r="S164" s="22" t="n">
        <v>-33.731</v>
      </c>
      <c r="T164" s="22" t="n">
        <v>0</v>
      </c>
    </row>
    <row r="165">
      <c r="A165" s="20" t="inlineStr">
        <is>
          <t>법인세 납부</t>
        </is>
      </c>
      <c r="C165" s="22" t="n">
        <v>-44.417</v>
      </c>
      <c r="G165" s="22" t="n">
        <v>-42.732</v>
      </c>
      <c r="K165" s="22" t="n">
        <v>-4.733</v>
      </c>
      <c r="O165" s="22" t="n">
        <v>-978.34</v>
      </c>
      <c r="P165" s="22" t="n">
        <v>-3.131</v>
      </c>
      <c r="Q165" s="22" t="n">
        <v>-20.185</v>
      </c>
      <c r="R165" s="22" t="n">
        <v>-20.771</v>
      </c>
      <c r="S165" s="22" t="n">
        <v>-21.98</v>
      </c>
      <c r="T165" s="22" t="n">
        <v>-384.169</v>
      </c>
      <c r="U165" s="22" t="n">
        <v>-137.537</v>
      </c>
      <c r="V165" s="22" t="n">
        <v>-44.417</v>
      </c>
      <c r="W165" s="22" t="n">
        <v>-42.732</v>
      </c>
      <c r="X165" s="22" t="n">
        <v>-4.733</v>
      </c>
    </row>
    <row r="166">
      <c r="A166" s="9" t="inlineStr">
        <is>
          <t>영업활동 현금흐름</t>
        </is>
      </c>
      <c r="C166" s="12" t="n">
        <v>-1153.407</v>
      </c>
      <c r="G166" s="12" t="n">
        <v>-964.38</v>
      </c>
      <c r="K166" s="12" t="n">
        <v>4530.288</v>
      </c>
      <c r="O166" s="12" t="n">
        <v>-1770.186</v>
      </c>
      <c r="P166" s="12" t="n">
        <v>-2407.768</v>
      </c>
      <c r="Q166" s="12" t="n">
        <v>-1680.915</v>
      </c>
      <c r="R166" s="12" t="n">
        <v>-829.6</v>
      </c>
      <c r="S166" s="12" t="n">
        <v>1787.9</v>
      </c>
      <c r="T166" s="12" t="n">
        <v>746.01</v>
      </c>
      <c r="U166" s="12" t="n">
        <v>-350.923</v>
      </c>
      <c r="V166" s="12" t="n">
        <v>-1153.407</v>
      </c>
      <c r="W166" s="12" t="n">
        <v>-964.38</v>
      </c>
      <c r="X166" s="12" t="n">
        <v>4530.288</v>
      </c>
    </row>
    <row r="167">
      <c r="A167" s="20" t="inlineStr">
        <is>
          <t>유형자산 취득(설비투자)</t>
        </is>
      </c>
      <c r="C167" s="22" t="n">
        <v>-125.725</v>
      </c>
      <c r="G167" s="22" t="n">
        <v>-343.876</v>
      </c>
      <c r="K167" s="22" t="n">
        <v>-16.802</v>
      </c>
      <c r="O167" s="22" t="n">
        <v>-14.465</v>
      </c>
      <c r="P167" s="22" t="n">
        <v>-11.159</v>
      </c>
      <c r="Q167" s="22" t="n">
        <v>-10.427</v>
      </c>
      <c r="R167" s="22" t="n">
        <v>-75.215</v>
      </c>
      <c r="S167" s="22" t="n">
        <v>-6.147</v>
      </c>
      <c r="T167" s="22" t="n">
        <v>-46.92</v>
      </c>
      <c r="U167" s="22" t="n">
        <v>-24.593</v>
      </c>
      <c r="V167" s="22" t="n">
        <v>-125.725</v>
      </c>
      <c r="W167" s="22" t="n">
        <v>-343.876</v>
      </c>
      <c r="X167" s="22" t="n">
        <v>-16.802</v>
      </c>
    </row>
    <row r="168">
      <c r="A168" s="20" t="inlineStr">
        <is>
          <t>유형자산 매각</t>
        </is>
      </c>
      <c r="C168" s="22" t="n">
        <v>0</v>
      </c>
      <c r="G168" s="22" t="n">
        <v>0.007</v>
      </c>
      <c r="K168" s="22" t="n">
        <v>0.005</v>
      </c>
      <c r="V168" s="22" t="n">
        <v>0</v>
      </c>
      <c r="W168" s="22" t="n">
        <v>0.007</v>
      </c>
      <c r="X168" s="22" t="n">
        <v>0.005</v>
      </c>
    </row>
    <row r="169">
      <c r="A169" s="20" t="inlineStr">
        <is>
          <t>무형자산 취득</t>
        </is>
      </c>
      <c r="C169" s="22" t="n">
        <v>-0.439</v>
      </c>
      <c r="G169" s="22" t="n">
        <v>-3.436</v>
      </c>
      <c r="K169" s="22" t="n">
        <v>0</v>
      </c>
      <c r="O169" s="22" t="n">
        <v>-43.521</v>
      </c>
      <c r="P169" s="22" t="n">
        <v>-11.386</v>
      </c>
      <c r="Q169" s="22" t="n">
        <v>-1.954</v>
      </c>
      <c r="S169" s="22" t="n">
        <v>0</v>
      </c>
      <c r="T169" s="22" t="n">
        <v>-0.5570000000000001</v>
      </c>
      <c r="U169" s="22" t="n">
        <v>-0.98</v>
      </c>
      <c r="V169" s="22" t="n">
        <v>-0.439</v>
      </c>
      <c r="W169" s="22" t="n">
        <v>-3.436</v>
      </c>
      <c r="X169" s="22" t="n">
        <v>0</v>
      </c>
    </row>
    <row r="170">
      <c r="A170" s="20" t="inlineStr">
        <is>
          <t>관계회사 출자금 납입</t>
        </is>
      </c>
      <c r="C170" s="22" t="n">
        <v>0</v>
      </c>
      <c r="G170" s="22" t="n">
        <v>0</v>
      </c>
      <c r="K170" s="22" t="n">
        <v>-1100</v>
      </c>
      <c r="U170" s="22" t="n">
        <v>-115.64</v>
      </c>
      <c r="V170" s="22" t="n">
        <v>0</v>
      </c>
      <c r="W170" s="22" t="n">
        <v>0</v>
      </c>
      <c r="X170" s="22" t="n">
        <v>-1100</v>
      </c>
    </row>
    <row r="171">
      <c r="A171" s="20" t="inlineStr">
        <is>
          <t>관계회사 주식 취득</t>
        </is>
      </c>
      <c r="G171" s="22" t="n">
        <v>0</v>
      </c>
      <c r="K171" s="22" t="n">
        <v>-549</v>
      </c>
      <c r="W171" s="22" t="n">
        <v>0</v>
      </c>
      <c r="X171" s="22" t="n">
        <v>-549</v>
      </c>
    </row>
    <row r="172">
      <c r="A172" s="20" t="inlineStr">
        <is>
          <t>임차보증금·보증금 납입</t>
        </is>
      </c>
      <c r="C172" s="22" t="n">
        <v>-592.691</v>
      </c>
      <c r="G172" s="22" t="n">
        <v>-54.035</v>
      </c>
      <c r="K172" s="22" t="n">
        <v>-32.411</v>
      </c>
      <c r="O172" s="22" t="n">
        <v>0</v>
      </c>
      <c r="P172" s="22" t="n">
        <v>-190.947</v>
      </c>
      <c r="Q172" s="22" t="n">
        <v>-3.571</v>
      </c>
      <c r="R172" s="22" t="n">
        <v>-187.067</v>
      </c>
      <c r="S172" s="22" t="n">
        <v>-0.697</v>
      </c>
      <c r="T172" s="22" t="n">
        <v>-6.094</v>
      </c>
      <c r="U172" s="22" t="n">
        <v>-121.764</v>
      </c>
      <c r="V172" s="22" t="n">
        <v>-592.691</v>
      </c>
      <c r="W172" s="22" t="n">
        <v>-54.035</v>
      </c>
      <c r="X172" s="22" t="n">
        <v>-32.411</v>
      </c>
    </row>
    <row r="173">
      <c r="A173" s="20" t="inlineStr">
        <is>
          <t>임차보증금·보증금 회수</t>
        </is>
      </c>
      <c r="C173" s="22" t="n">
        <v>23.739</v>
      </c>
      <c r="G173" s="22" t="n">
        <v>312.085</v>
      </c>
      <c r="K173" s="22" t="n">
        <v>0.698</v>
      </c>
      <c r="R173" s="22" t="n">
        <v>165.854</v>
      </c>
      <c r="S173" s="22" t="n">
        <v>46.255</v>
      </c>
      <c r="T173" s="22" t="n">
        <v>281.589</v>
      </c>
      <c r="U173" s="22" t="n">
        <v>0.393</v>
      </c>
      <c r="V173" s="22" t="n">
        <v>23.739</v>
      </c>
      <c r="W173" s="22" t="n">
        <v>312.085</v>
      </c>
      <c r="X173" s="22" t="n">
        <v>0.698</v>
      </c>
    </row>
    <row r="174">
      <c r="A174" s="20" t="inlineStr">
        <is>
          <t>관계회사 청산 지출</t>
        </is>
      </c>
      <c r="S174" s="22" t="n">
        <v>0</v>
      </c>
      <c r="T174" s="22" t="n">
        <v>-2.054</v>
      </c>
    </row>
    <row r="175">
      <c r="A175" s="20" t="inlineStr">
        <is>
          <t>사업양도 수입</t>
        </is>
      </c>
      <c r="R175" s="22" t="n">
        <v>0</v>
      </c>
      <c r="S175" s="22" t="n">
        <v>5.645</v>
      </c>
      <c r="T175" s="22" t="n">
        <v>0</v>
      </c>
    </row>
    <row r="176">
      <c r="A176" s="20" t="inlineStr">
        <is>
          <t>기타</t>
        </is>
      </c>
      <c r="O176" s="22" t="n">
        <v>-37.307</v>
      </c>
      <c r="P176" s="22" t="n">
        <v>22.506</v>
      </c>
      <c r="Q176" s="22" t="n">
        <v>13.043</v>
      </c>
      <c r="R176" s="22" t="n">
        <v>-0.27</v>
      </c>
      <c r="S176" s="22" t="n">
        <v>-6.65</v>
      </c>
      <c r="T176" s="22" t="n">
        <v>-0.276</v>
      </c>
    </row>
    <row r="177">
      <c r="A177" s="20" t="inlineStr">
        <is>
          <t>자산복구부채 이행 지출</t>
        </is>
      </c>
      <c r="C177" s="22" t="n">
        <v>-0.167</v>
      </c>
      <c r="G177" s="22" t="n">
        <v>-126.231</v>
      </c>
      <c r="K177" s="22" t="n">
        <v>0</v>
      </c>
      <c r="R177" s="22" t="n">
        <v>-40.6</v>
      </c>
      <c r="S177" s="22" t="n">
        <v>-6.65</v>
      </c>
      <c r="U177" s="22" t="n">
        <v>0</v>
      </c>
      <c r="V177" s="22" t="n">
        <v>-0.167</v>
      </c>
      <c r="W177" s="22" t="n">
        <v>-126.231</v>
      </c>
      <c r="X177" s="22" t="n">
        <v>0</v>
      </c>
    </row>
    <row r="178">
      <c r="A178" s="9" t="inlineStr">
        <is>
          <t>투자활동 현금흐름</t>
        </is>
      </c>
      <c r="C178" s="12" t="n">
        <v>-695.283</v>
      </c>
      <c r="G178" s="12" t="n">
        <v>-215.486</v>
      </c>
      <c r="K178" s="12" t="n">
        <v>-1697.51</v>
      </c>
      <c r="O178" s="12" t="n">
        <v>-95.294</v>
      </c>
      <c r="P178" s="12" t="n">
        <v>-190.987</v>
      </c>
      <c r="Q178" s="12" t="n">
        <v>-2.909</v>
      </c>
      <c r="R178" s="12" t="n">
        <v>-137.299</v>
      </c>
      <c r="S178" s="12" t="n">
        <v>38.404</v>
      </c>
      <c r="T178" s="12" t="n">
        <v>225.686</v>
      </c>
      <c r="U178" s="12" t="n">
        <v>-262.585</v>
      </c>
      <c r="V178" s="12" t="n">
        <v>-695.283</v>
      </c>
      <c r="W178" s="12" t="n">
        <v>-215.486</v>
      </c>
      <c r="X178" s="12" t="n">
        <v>-1697.51</v>
      </c>
    </row>
    <row r="179">
      <c r="A179" s="20" t="inlineStr">
        <is>
          <t>장기차입</t>
        </is>
      </c>
      <c r="O179" s="22" t="n">
        <v>2300</v>
      </c>
      <c r="P179" s="22" t="n">
        <v>1500</v>
      </c>
      <c r="Q179" s="22" t="n">
        <v>1200</v>
      </c>
    </row>
    <row r="180">
      <c r="A180" s="20" t="inlineStr">
        <is>
          <t>주식 발행</t>
        </is>
      </c>
      <c r="C180" s="22" t="n">
        <v>12.034</v>
      </c>
      <c r="G180" s="22" t="n">
        <v>1649.404</v>
      </c>
      <c r="K180" s="22" t="n">
        <v>0</v>
      </c>
      <c r="O180" s="22" t="n">
        <v>9.565</v>
      </c>
      <c r="P180" s="22" t="n">
        <v>0</v>
      </c>
      <c r="R180" s="22" t="n">
        <v>746.457</v>
      </c>
      <c r="S180" s="22" t="n">
        <v>1942.984</v>
      </c>
      <c r="T180" s="22" t="n">
        <v>41.094</v>
      </c>
      <c r="U180" s="22" t="n">
        <v>3.811</v>
      </c>
      <c r="V180" s="22" t="n">
        <v>12.034</v>
      </c>
      <c r="W180" s="22" t="n">
        <v>1649.404</v>
      </c>
      <c r="X180" s="22" t="n">
        <v>0</v>
      </c>
    </row>
    <row r="181">
      <c r="A181" s="20" t="inlineStr">
        <is>
          <t>장기차입금 상환</t>
        </is>
      </c>
      <c r="O181" s="22" t="n">
        <v>-412.2</v>
      </c>
      <c r="P181" s="22" t="n">
        <v>-674.58</v>
      </c>
      <c r="Q181" s="22" t="n">
        <v>-1699.52</v>
      </c>
      <c r="R181" s="22" t="n">
        <v>-1838.52</v>
      </c>
      <c r="S181" s="22" t="n">
        <v>-375.18</v>
      </c>
      <c r="T181" s="22" t="n">
        <v>0</v>
      </c>
    </row>
    <row r="182">
      <c r="A182" s="20" t="inlineStr">
        <is>
          <t>자기주식 취득</t>
        </is>
      </c>
      <c r="O182" s="22" t="n">
        <v>-463.567</v>
      </c>
      <c r="P182" s="22" t="n">
        <v>0</v>
      </c>
    </row>
    <row r="183">
      <c r="A183" s="20" t="inlineStr">
        <is>
          <t>기타</t>
        </is>
      </c>
      <c r="O183" s="22" t="n">
        <v>119.843</v>
      </c>
      <c r="P183" s="22" t="n">
        <v>27.884</v>
      </c>
      <c r="Q183" s="22" t="n">
        <v>0</v>
      </c>
      <c r="R183" s="22" t="n">
        <v>10.015</v>
      </c>
    </row>
    <row r="184">
      <c r="A184" s="20" t="inlineStr">
        <is>
          <t>신주예약권 발행</t>
        </is>
      </c>
      <c r="R184" s="22" t="n">
        <v>0</v>
      </c>
      <c r="S184" s="22" t="n">
        <v>5.73</v>
      </c>
      <c r="T184" s="22" t="n">
        <v>0</v>
      </c>
    </row>
    <row r="185">
      <c r="A185" s="20" t="inlineStr">
        <is>
          <t>자기주식 처분</t>
        </is>
      </c>
      <c r="R185" s="22" t="n">
        <v>10.015</v>
      </c>
      <c r="S185" s="22" t="n">
        <v>232.274</v>
      </c>
      <c r="T185" s="22" t="n">
        <v>0</v>
      </c>
    </row>
    <row r="186">
      <c r="A186" s="20" t="inlineStr">
        <is>
          <t>단기차입금 순증감</t>
        </is>
      </c>
      <c r="C186" s="22" t="n">
        <v>500</v>
      </c>
      <c r="G186" s="22" t="n">
        <v>-500</v>
      </c>
      <c r="K186" s="22" t="n">
        <v>100</v>
      </c>
      <c r="O186" s="22" t="n">
        <v>-200</v>
      </c>
      <c r="P186" s="22" t="n">
        <v>0</v>
      </c>
      <c r="U186" s="22" t="n">
        <v>0</v>
      </c>
      <c r="V186" s="22" t="n">
        <v>500</v>
      </c>
      <c r="W186" s="22" t="n">
        <v>-500</v>
      </c>
      <c r="X186" s="22" t="n">
        <v>100</v>
      </c>
    </row>
    <row r="187">
      <c r="A187" s="20" t="inlineStr">
        <is>
          <t>리스부채 상환</t>
        </is>
      </c>
      <c r="C187" s="22" t="n">
        <v>0</v>
      </c>
      <c r="G187" s="22" t="n">
        <v>-0.624</v>
      </c>
      <c r="K187" s="22" t="n">
        <v>-0.6830000000000001</v>
      </c>
      <c r="V187" s="22" t="n">
        <v>0</v>
      </c>
      <c r="W187" s="22" t="n">
        <v>-0.624</v>
      </c>
      <c r="X187" s="22" t="n">
        <v>-0.6830000000000001</v>
      </c>
    </row>
    <row r="188">
      <c r="A188" s="20" t="inlineStr">
        <is>
          <t>배당금 지급</t>
        </is>
      </c>
      <c r="C188" s="22" t="n">
        <v>-80.06699999999999</v>
      </c>
      <c r="G188" s="22" t="n">
        <v>0</v>
      </c>
      <c r="O188" s="22" t="n">
        <v>-172.195</v>
      </c>
      <c r="P188" s="22" t="n">
        <v>0</v>
      </c>
      <c r="U188" s="22" t="n">
        <v>-139.697</v>
      </c>
      <c r="V188" s="22" t="n">
        <v>-80.06699999999999</v>
      </c>
      <c r="W188" s="22" t="n">
        <v>0</v>
      </c>
    </row>
    <row r="189">
      <c r="A189" s="20" t="inlineStr">
        <is>
          <t>비지배주주 납입</t>
        </is>
      </c>
      <c r="C189" s="22" t="n">
        <v>0</v>
      </c>
      <c r="G189" s="22" t="n">
        <v>714.994</v>
      </c>
      <c r="K189" s="22" t="n">
        <v>29.462</v>
      </c>
      <c r="U189" s="22" t="n">
        <v>517</v>
      </c>
      <c r="V189" s="22" t="n">
        <v>0</v>
      </c>
      <c r="W189" s="22" t="n">
        <v>714.994</v>
      </c>
      <c r="X189" s="22" t="n">
        <v>29.462</v>
      </c>
    </row>
    <row r="190">
      <c r="A190" s="20" t="inlineStr">
        <is>
          <t>비지배주주 배당금 지급</t>
        </is>
      </c>
      <c r="C190" s="22" t="n">
        <v>-934.329</v>
      </c>
      <c r="G190" s="22" t="n">
        <v>-681.926</v>
      </c>
      <c r="K190" s="22" t="n">
        <v>-321.167</v>
      </c>
      <c r="U190" s="22" t="n">
        <v>0</v>
      </c>
      <c r="V190" s="22" t="n">
        <v>-934.329</v>
      </c>
      <c r="W190" s="22" t="n">
        <v>-681.926</v>
      </c>
      <c r="X190" s="22" t="n">
        <v>-321.167</v>
      </c>
    </row>
    <row r="191">
      <c r="A191" s="9" t="inlineStr">
        <is>
          <t>재무활동 현금흐름</t>
        </is>
      </c>
      <c r="C191" s="12" t="n">
        <v>-502.362</v>
      </c>
      <c r="G191" s="12" t="n">
        <v>1181.848</v>
      </c>
      <c r="K191" s="12" t="n">
        <v>-192.387</v>
      </c>
      <c r="O191" s="12" t="n">
        <v>1181.445</v>
      </c>
      <c r="P191" s="12" t="n">
        <v>853.304</v>
      </c>
      <c r="Q191" s="12" t="n">
        <v>-499.52</v>
      </c>
      <c r="R191" s="12" t="n">
        <v>-1082.047</v>
      </c>
      <c r="S191" s="12" t="n">
        <v>1805.809</v>
      </c>
      <c r="T191" s="12" t="n">
        <v>41.094</v>
      </c>
      <c r="U191" s="12" t="n">
        <v>381.113</v>
      </c>
      <c r="V191" s="12" t="n">
        <v>-502.362</v>
      </c>
      <c r="W191" s="12" t="n">
        <v>1181.848</v>
      </c>
      <c r="X191" s="12" t="n">
        <v>-192.387</v>
      </c>
    </row>
    <row r="192">
      <c r="A192" s="20" t="inlineStr">
        <is>
          <t>현금성자산 환산차이</t>
        </is>
      </c>
      <c r="C192" s="22" t="n">
        <v>-19.476</v>
      </c>
      <c r="G192" s="22" t="n">
        <v>-17.203</v>
      </c>
      <c r="K192" s="22" t="n">
        <v>-9.265000000000001</v>
      </c>
      <c r="O192" s="22" t="n">
        <v>-2.957</v>
      </c>
      <c r="P192" s="22" t="n">
        <v>6.16</v>
      </c>
      <c r="Q192" s="22" t="n">
        <v>-6.482</v>
      </c>
      <c r="R192" s="22" t="n">
        <v>1.352</v>
      </c>
      <c r="S192" s="22" t="n">
        <v>1.335</v>
      </c>
      <c r="T192" s="22" t="n">
        <v>-13.369</v>
      </c>
      <c r="U192" s="22" t="n">
        <v>-7.447</v>
      </c>
      <c r="V192" s="22" t="n">
        <v>-19.476</v>
      </c>
      <c r="W192" s="22" t="n">
        <v>-17.203</v>
      </c>
      <c r="X192" s="22" t="n">
        <v>-9.265000000000001</v>
      </c>
    </row>
    <row r="193">
      <c r="A193" s="20" t="inlineStr">
        <is>
          <t>현금성자산 증감</t>
        </is>
      </c>
      <c r="C193" s="22" t="n">
        <v>-2370.53</v>
      </c>
      <c r="G193" s="22" t="n">
        <v>-15.222</v>
      </c>
      <c r="K193" s="22" t="n">
        <v>2631.125</v>
      </c>
      <c r="O193" s="22" t="n">
        <v>-686.992</v>
      </c>
      <c r="P193" s="22" t="n">
        <v>-1739.289</v>
      </c>
      <c r="Q193" s="22" t="n">
        <v>-2189.827</v>
      </c>
      <c r="R193" s="22" t="n">
        <v>-2047.594</v>
      </c>
      <c r="S193" s="22" t="n">
        <v>3633.449</v>
      </c>
      <c r="T193" s="22" t="n">
        <v>999.423</v>
      </c>
      <c r="U193" s="22" t="n">
        <v>-239.843</v>
      </c>
      <c r="V193" s="22" t="n">
        <v>-2370.53</v>
      </c>
      <c r="W193" s="22" t="n">
        <v>-15.222</v>
      </c>
      <c r="X193" s="22" t="n">
        <v>2631.125</v>
      </c>
    </row>
    <row r="194">
      <c r="A194" s="9" t="inlineStr">
        <is>
          <t>법인세차감전 순이익</t>
        </is>
      </c>
      <c r="S194" s="12" t="n">
        <v>1653.353</v>
      </c>
      <c r="T194" s="12" t="n">
        <v>1438.581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Aiming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7304.849</v>
      </c>
      <c r="D5" s="12" t="n">
        <v>7807.65</v>
      </c>
      <c r="E5" s="12" t="n">
        <v>7830.376</v>
      </c>
      <c r="F5" s="12" t="n">
        <v>8575.25</v>
      </c>
      <c r="G5" s="12" t="n">
        <v>9387.243</v>
      </c>
      <c r="H5" s="11" t="n">
        <v>6772.015</v>
      </c>
      <c r="I5" s="12" t="n">
        <v>7953.903</v>
      </c>
      <c r="J5" s="12" t="n">
        <v>6040.026</v>
      </c>
      <c r="K5" s="12" t="n">
        <v>6756.54</v>
      </c>
      <c r="L5" s="12" t="n">
        <v>7807.65</v>
      </c>
    </row>
    <row r="6">
      <c r="A6" s="20" t="inlineStr">
        <is>
          <t>현금및현금성자산</t>
        </is>
      </c>
      <c r="B6" s="10" t="n"/>
      <c r="C6" s="21" t="n">
        <v>5060.755</v>
      </c>
      <c r="D6" s="22" t="n">
        <v>5498.628</v>
      </c>
      <c r="E6" s="22" t="n">
        <v>5736.594</v>
      </c>
      <c r="F6" s="22" t="n">
        <v>5618.095</v>
      </c>
      <c r="G6" s="22" t="n">
        <v>5355.811</v>
      </c>
      <c r="H6" s="21" t="n">
        <v>5493.098</v>
      </c>
      <c r="I6" s="22" t="n">
        <v>5253.255</v>
      </c>
      <c r="J6" s="22" t="n">
        <v>2882.725</v>
      </c>
      <c r="K6" s="22" t="n">
        <v>2867.502</v>
      </c>
      <c r="L6" s="22" t="n">
        <v>5498.628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/>
      <c r="D8" s="22" t="n"/>
      <c r="E8" s="22" t="n"/>
      <c r="F8" s="22" t="n"/>
      <c r="G8" s="22" t="n"/>
      <c r="H8" s="21" t="n">
        <v>1075.677</v>
      </c>
      <c r="I8" s="22" t="n"/>
      <c r="J8" s="22" t="n"/>
      <c r="K8" s="22" t="n"/>
      <c r="L8" s="22" t="n"/>
    </row>
    <row r="9">
      <c r="A9" s="20" t="inlineStr">
        <is>
          <t>재고자산</t>
        </is>
      </c>
      <c r="B9" s="10" t="n"/>
      <c r="C9" s="21" t="n">
        <v>96.20399999999999</v>
      </c>
      <c r="D9" s="22" t="n">
        <v>90.05800000000001</v>
      </c>
      <c r="E9" s="22" t="n">
        <v>84.901</v>
      </c>
      <c r="F9" s="22" t="n">
        <v>52.552</v>
      </c>
      <c r="G9" s="22" t="n">
        <v>52.989</v>
      </c>
      <c r="H9" s="21" t="n">
        <v>20.656</v>
      </c>
      <c r="I9" s="22" t="n">
        <v>5.457</v>
      </c>
      <c r="J9" s="22" t="n">
        <v>5.141</v>
      </c>
      <c r="K9" s="22" t="n">
        <v>55.979</v>
      </c>
      <c r="L9" s="22" t="n">
        <v>90.05800000000001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1843.905</v>
      </c>
      <c r="D11" s="12" t="n">
        <v>1397.851</v>
      </c>
      <c r="E11" s="12" t="n">
        <v>1259.092</v>
      </c>
      <c r="F11" s="12" t="n">
        <v>1428.115</v>
      </c>
      <c r="G11" s="12" t="n">
        <v>1210.837</v>
      </c>
      <c r="H11" s="11" t="n">
        <v>432.598</v>
      </c>
      <c r="I11" s="12" t="n">
        <v>646.888</v>
      </c>
      <c r="J11" s="12" t="n">
        <v>1356.593</v>
      </c>
      <c r="K11" s="12" t="n">
        <v>1397.659</v>
      </c>
      <c r="L11" s="12" t="n">
        <v>1397.851</v>
      </c>
    </row>
    <row r="12">
      <c r="A12" s="20" t="inlineStr">
        <is>
          <t>유형자산</t>
        </is>
      </c>
      <c r="B12" s="10" t="n"/>
      <c r="C12" s="21" t="n">
        <v>348.148</v>
      </c>
      <c r="D12" s="22" t="n">
        <v>336.66</v>
      </c>
      <c r="E12" s="22" t="n">
        <v>316.627</v>
      </c>
      <c r="F12" s="22" t="n">
        <v>307.556</v>
      </c>
      <c r="G12" s="22" t="n">
        <v>288.057</v>
      </c>
      <c r="H12" s="21" t="n">
        <v>46.434</v>
      </c>
      <c r="I12" s="22" t="n">
        <v>82.068</v>
      </c>
      <c r="J12" s="22" t="n">
        <v>177.409</v>
      </c>
      <c r="K12" s="22" t="n">
        <v>388.143</v>
      </c>
      <c r="L12" s="22" t="n">
        <v>336.66</v>
      </c>
    </row>
    <row r="13">
      <c r="A13" s="20" t="inlineStr">
        <is>
          <t>무형자산</t>
        </is>
      </c>
      <c r="B13" s="10" t="n"/>
      <c r="C13" s="21" t="n">
        <v>3.194</v>
      </c>
      <c r="D13" s="22" t="n">
        <v>2.954</v>
      </c>
      <c r="E13" s="22" t="n">
        <v>2.685</v>
      </c>
      <c r="F13" s="22" t="n">
        <v>2.445</v>
      </c>
      <c r="G13" s="22" t="n">
        <v>2.144</v>
      </c>
      <c r="H13" s="21" t="n">
        <v>0.515</v>
      </c>
      <c r="I13" s="22" t="n">
        <v>1.328</v>
      </c>
      <c r="J13" s="22" t="n">
        <v>1.393</v>
      </c>
      <c r="K13" s="22" t="n">
        <v>3.966</v>
      </c>
      <c r="L13" s="22" t="n">
        <v>2.954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9148.754999999999</v>
      </c>
      <c r="D16" s="12" t="n">
        <v>9205.501</v>
      </c>
      <c r="E16" s="12" t="n">
        <v>9089.468000000001</v>
      </c>
      <c r="F16" s="12" t="n">
        <v>10003.366</v>
      </c>
      <c r="G16" s="12" t="n">
        <v>10598.081</v>
      </c>
      <c r="H16" s="11" t="n">
        <v>7204.613</v>
      </c>
      <c r="I16" s="12" t="n">
        <v>8600.791999999999</v>
      </c>
      <c r="J16" s="12" t="n">
        <v>7396.62</v>
      </c>
      <c r="K16" s="12" t="n">
        <v>8154.2</v>
      </c>
      <c r="L16" s="12" t="n">
        <v>9205.501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1905.906</v>
      </c>
      <c r="D18" s="12" t="n">
        <v>2148.451</v>
      </c>
      <c r="E18" s="12" t="n">
        <v>1922.314</v>
      </c>
      <c r="F18" s="12" t="n">
        <v>2221.716</v>
      </c>
      <c r="G18" s="12" t="n">
        <v>2369.905</v>
      </c>
      <c r="H18" s="11" t="n">
        <v>934.701</v>
      </c>
      <c r="I18" s="12" t="n">
        <v>1756.664</v>
      </c>
      <c r="J18" s="12" t="n">
        <v>2618.292</v>
      </c>
      <c r="K18" s="12" t="n">
        <v>1857.334</v>
      </c>
      <c r="L18" s="12" t="n">
        <v>2148.451</v>
      </c>
    </row>
    <row r="19">
      <c r="A19" s="20" t="inlineStr">
        <is>
          <t>매입채무</t>
        </is>
      </c>
      <c r="B19" s="10" t="n"/>
      <c r="C19" s="21" t="n">
        <v>441.919</v>
      </c>
      <c r="D19" s="22" t="n">
        <v>381.839</v>
      </c>
      <c r="E19" s="22" t="n">
        <v>454.767</v>
      </c>
      <c r="F19" s="22" t="n">
        <v>495.645</v>
      </c>
      <c r="G19" s="22" t="n">
        <v>571.675</v>
      </c>
      <c r="H19" s="21" t="n">
        <v>172.431</v>
      </c>
      <c r="I19" s="22" t="n">
        <v>430.797</v>
      </c>
      <c r="J19" s="22" t="n">
        <v>806.87</v>
      </c>
      <c r="K19" s="22" t="n">
        <v>516.467</v>
      </c>
      <c r="L19" s="22" t="n">
        <v>381.839</v>
      </c>
    </row>
    <row r="20">
      <c r="A20" s="20" t="inlineStr">
        <is>
          <t>단기차입금</t>
        </is>
      </c>
      <c r="B20" s="10" t="n"/>
      <c r="C20" s="21" t="n"/>
      <c r="D20" s="22" t="n">
        <v>100</v>
      </c>
      <c r="E20" s="22" t="n">
        <v>275.001</v>
      </c>
      <c r="F20" s="22" t="n">
        <v>124.982</v>
      </c>
      <c r="G20" s="22" t="n">
        <v>74.96299999999999</v>
      </c>
      <c r="H20" s="21" t="n"/>
      <c r="I20" s="22" t="n">
        <v>0</v>
      </c>
      <c r="J20" s="22" t="n">
        <v>500</v>
      </c>
      <c r="K20" s="22" t="n">
        <v>0</v>
      </c>
      <c r="L20" s="22" t="n">
        <v>100</v>
      </c>
    </row>
    <row r="21">
      <c r="A21" s="20" t="inlineStr">
        <is>
          <t>유동성장기부채</t>
        </is>
      </c>
      <c r="B21" s="10" t="n"/>
      <c r="C21" s="21" t="n"/>
      <c r="D21" s="22" t="n">
        <v>0</v>
      </c>
      <c r="E21" s="22" t="n"/>
      <c r="F21" s="22" t="n">
        <v>199.992</v>
      </c>
      <c r="G21" s="22" t="n">
        <v>199.992</v>
      </c>
      <c r="H21" s="21" t="n"/>
      <c r="I21" s="22" t="n"/>
      <c r="J21" s="22" t="n"/>
      <c r="K21" s="22" t="n"/>
      <c r="L21" s="22" t="n">
        <v>0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178.603</v>
      </c>
      <c r="D23" s="12" t="n">
        <v>160.589</v>
      </c>
      <c r="E23" s="12" t="n">
        <v>142.746</v>
      </c>
      <c r="F23" s="12" t="n">
        <v>524.91</v>
      </c>
      <c r="G23" s="12" t="n">
        <v>457.069</v>
      </c>
      <c r="H23" s="11" t="n">
        <v>35.265</v>
      </c>
      <c r="I23" s="12" t="n">
        <v>14.592</v>
      </c>
      <c r="J23" s="12" t="n">
        <v>1.38</v>
      </c>
      <c r="K23" s="12" t="n">
        <v>232.622</v>
      </c>
      <c r="L23" s="12" t="n">
        <v>160.589</v>
      </c>
    </row>
    <row r="24">
      <c r="A24" s="20" t="inlineStr">
        <is>
          <t>장기차입금</t>
        </is>
      </c>
      <c r="B24" s="10" t="n"/>
      <c r="C24" s="21" t="n"/>
      <c r="D24" s="22" t="n">
        <v>0</v>
      </c>
      <c r="E24" s="22" t="n"/>
      <c r="F24" s="22" t="n">
        <v>400.008</v>
      </c>
      <c r="G24" s="22" t="n">
        <v>350.01</v>
      </c>
      <c r="H24" s="21" t="n"/>
      <c r="I24" s="22" t="n"/>
      <c r="J24" s="22" t="n"/>
      <c r="K24" s="22" t="n"/>
      <c r="L24" s="22" t="n">
        <v>0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2084.509</v>
      </c>
      <c r="D27" s="12" t="n">
        <v>2309.04</v>
      </c>
      <c r="E27" s="12" t="n">
        <v>2065.06</v>
      </c>
      <c r="F27" s="12" t="n">
        <v>2746.627</v>
      </c>
      <c r="G27" s="12" t="n">
        <v>2826.975</v>
      </c>
      <c r="H27" s="11" t="n">
        <v>969.966</v>
      </c>
      <c r="I27" s="12" t="n">
        <v>1771.256</v>
      </c>
      <c r="J27" s="12" t="n">
        <v>2619.673</v>
      </c>
      <c r="K27" s="12" t="n">
        <v>2089.957</v>
      </c>
      <c r="L27" s="12" t="n">
        <v>2309.04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6997.469</v>
      </c>
      <c r="D31" s="12" t="n">
        <v>6876.147</v>
      </c>
      <c r="E31" s="12" t="n">
        <v>7040.288</v>
      </c>
      <c r="F31" s="12" t="n">
        <v>7259.248</v>
      </c>
      <c r="G31" s="12" t="n">
        <v>7777.912</v>
      </c>
      <c r="H31" s="11" t="n">
        <v>6234.646</v>
      </c>
      <c r="I31" s="12" t="n">
        <v>6735.823</v>
      </c>
      <c r="J31" s="12" t="n">
        <v>4475.863</v>
      </c>
      <c r="K31" s="12" t="n">
        <v>5790.061</v>
      </c>
      <c r="L31" s="12" t="n">
        <v>6876.147</v>
      </c>
    </row>
    <row r="32">
      <c r="A32" s="20" t="inlineStr">
        <is>
          <t>자본금</t>
        </is>
      </c>
      <c r="B32" s="10" t="n"/>
      <c r="C32" s="21" t="n">
        <v>3407.917</v>
      </c>
      <c r="D32" s="22" t="n">
        <v>3407.917</v>
      </c>
      <c r="E32" s="22" t="n">
        <v>3407.917</v>
      </c>
      <c r="F32" s="22" t="n">
        <v>3407.917</v>
      </c>
      <c r="G32" s="22" t="n">
        <v>3407.917</v>
      </c>
      <c r="H32" s="21" t="n">
        <v>2537.178</v>
      </c>
      <c r="I32" s="22" t="n">
        <v>2556.676</v>
      </c>
      <c r="J32" s="22" t="n">
        <v>2580.262</v>
      </c>
      <c r="K32" s="22" t="n">
        <v>3407.917</v>
      </c>
      <c r="L32" s="22" t="n">
        <v>3407.917</v>
      </c>
    </row>
    <row r="33">
      <c r="A33" s="20" t="inlineStr">
        <is>
          <t>이익잉여금</t>
        </is>
      </c>
      <c r="B33" s="10" t="n"/>
      <c r="C33" s="21" t="n">
        <v>159.166</v>
      </c>
      <c r="D33" s="22" t="n">
        <v>70.31100000000001</v>
      </c>
      <c r="E33" s="22" t="n">
        <v>234.453</v>
      </c>
      <c r="F33" s="22" t="n">
        <v>453.413</v>
      </c>
      <c r="G33" s="22" t="n">
        <v>972.077</v>
      </c>
      <c r="H33" s="21" t="n">
        <v>1170.29</v>
      </c>
      <c r="I33" s="22" t="n">
        <v>1632.469</v>
      </c>
      <c r="J33" s="22" t="n">
        <v>-674.6609999999999</v>
      </c>
      <c r="K33" s="22" t="n">
        <v>-1015.775</v>
      </c>
      <c r="L33" s="22" t="n">
        <v>70.31100000000001</v>
      </c>
    </row>
    <row r="34">
      <c r="A34" s="20" t="inlineStr">
        <is>
          <t>비지배지분</t>
        </is>
      </c>
      <c r="B34" s="10" t="n"/>
      <c r="C34" s="21" t="n">
        <v>66.776</v>
      </c>
      <c r="D34" s="22" t="n">
        <v>20.313</v>
      </c>
      <c r="E34" s="22" t="n">
        <v>-15.88</v>
      </c>
      <c r="F34" s="22" t="n">
        <v>-2.51</v>
      </c>
      <c r="G34" s="22" t="n">
        <v>-6.807</v>
      </c>
      <c r="H34" s="21" t="n"/>
      <c r="I34" s="22" t="n">
        <v>93.712</v>
      </c>
      <c r="J34" s="22" t="n">
        <v>301.083</v>
      </c>
      <c r="K34" s="22" t="n">
        <v>274.182</v>
      </c>
      <c r="L34" s="22" t="n">
        <v>20.313</v>
      </c>
    </row>
    <row r="35">
      <c r="A35" s="9" t="inlineStr">
        <is>
          <t>자본총계</t>
        </is>
      </c>
      <c r="B35" s="10" t="n"/>
      <c r="C35" s="11" t="n">
        <v>7064.245</v>
      </c>
      <c r="D35" s="12" t="n">
        <v>6896.46</v>
      </c>
      <c r="E35" s="12" t="n">
        <v>7024.408</v>
      </c>
      <c r="F35" s="12" t="n">
        <v>7256.738</v>
      </c>
      <c r="G35" s="12" t="n">
        <v>7771.105</v>
      </c>
      <c r="H35" s="11" t="n">
        <v>6234.646</v>
      </c>
      <c r="I35" s="12" t="n">
        <v>6829.535</v>
      </c>
      <c r="J35" s="12" t="n">
        <v>4776.946</v>
      </c>
      <c r="K35" s="12" t="n">
        <v>6064.243</v>
      </c>
      <c r="L35" s="12" t="n">
        <v>6896.46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4530.288</v>
      </c>
      <c r="E37" s="12" t="n"/>
      <c r="F37" s="12" t="n"/>
      <c r="G37" s="12" t="n"/>
      <c r="H37" s="11" t="n">
        <v>746.01</v>
      </c>
      <c r="I37" s="12" t="n">
        <v>-350.923</v>
      </c>
      <c r="J37" s="12" t="n">
        <v>-1153.407</v>
      </c>
      <c r="K37" s="12" t="n">
        <v>-964.38</v>
      </c>
      <c r="L37" s="12" t="n">
        <v>4530.288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16.802</v>
      </c>
      <c r="E38" s="22" t="n"/>
      <c r="F38" s="22" t="n"/>
      <c r="G38" s="22" t="n"/>
      <c r="H38" s="21" t="n">
        <v>47.477</v>
      </c>
      <c r="I38" s="22" t="n">
        <v>25.573</v>
      </c>
      <c r="J38" s="22" t="n">
        <v>126.164</v>
      </c>
      <c r="K38" s="22" t="n">
        <v>347.312</v>
      </c>
      <c r="L38" s="22" t="n">
        <v>16.802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>
        <v>139.697</v>
      </c>
      <c r="J40" s="22" t="n">
        <v>80.06699999999999</v>
      </c>
      <c r="K40" s="22" t="n">
        <v>0</v>
      </c>
      <c r="L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20" t="inlineStr">
        <is>
          <t>현금 및 예금</t>
        </is>
      </c>
      <c r="C71" s="22" t="n">
        <v>5060.755</v>
      </c>
      <c r="D71" s="22" t="n">
        <v>5498.628</v>
      </c>
      <c r="E71" s="22" t="n">
        <v>5736.594</v>
      </c>
      <c r="F71" s="22" t="n">
        <v>5618.095</v>
      </c>
      <c r="G71" s="22" t="n">
        <v>5355.811</v>
      </c>
      <c r="H71" s="22" t="n">
        <v>5493.098</v>
      </c>
      <c r="I71" s="22" t="n">
        <v>5253.255</v>
      </c>
      <c r="J71" s="22" t="n">
        <v>2882.725</v>
      </c>
      <c r="K71" s="22" t="n">
        <v>2867.502</v>
      </c>
      <c r="L71" s="22" t="n">
        <v>5498.628</v>
      </c>
    </row>
    <row r="72">
      <c r="A72" s="20" t="inlineStr">
        <is>
          <t>매출채권</t>
        </is>
      </c>
      <c r="H72" s="22" t="n">
        <v>1075.677</v>
      </c>
    </row>
    <row r="73">
      <c r="A73" s="20" t="inlineStr">
        <is>
          <t>매출채권·계약자산</t>
        </is>
      </c>
      <c r="I73" s="22" t="n">
        <v>2353.915</v>
      </c>
      <c r="J73" s="22" t="n">
        <v>2126.168</v>
      </c>
    </row>
    <row r="74">
      <c r="A74" s="20" t="inlineStr">
        <is>
          <t>매출채권·계약자산</t>
        </is>
      </c>
      <c r="C74" s="22" t="n">
        <v>1409.644</v>
      </c>
      <c r="D74" s="22" t="n">
        <v>1397.33</v>
      </c>
      <c r="E74" s="22" t="n">
        <v>1261.491</v>
      </c>
      <c r="F74" s="22" t="n">
        <v>1887.324</v>
      </c>
      <c r="G74" s="22" t="n">
        <v>2767.392</v>
      </c>
      <c r="I74" s="22" t="n">
        <v>2353.915</v>
      </c>
      <c r="J74" s="22" t="n">
        <v>2126.168</v>
      </c>
      <c r="K74" s="22" t="n">
        <v>2919.139</v>
      </c>
      <c r="L74" s="22" t="n">
        <v>1397.33</v>
      </c>
    </row>
    <row r="75">
      <c r="A75" s="20" t="inlineStr">
        <is>
          <t>상품</t>
        </is>
      </c>
      <c r="D75" s="22" t="n">
        <v>8.291</v>
      </c>
      <c r="H75" s="22" t="n">
        <v>2.096</v>
      </c>
      <c r="I75" s="22" t="n">
        <v>2.68</v>
      </c>
      <c r="J75" s="22" t="n">
        <v>2.527</v>
      </c>
      <c r="K75" s="22" t="n">
        <v>7.03</v>
      </c>
      <c r="L75" s="22" t="n">
        <v>8.291</v>
      </c>
    </row>
    <row r="76">
      <c r="A76" s="20" t="inlineStr">
        <is>
          <t>상품·제품</t>
        </is>
      </c>
      <c r="C76" s="22" t="n">
        <v>9.586</v>
      </c>
      <c r="D76" s="22" t="n">
        <v>8.291</v>
      </c>
      <c r="E76" s="22" t="n">
        <v>9.065</v>
      </c>
      <c r="F76" s="22" t="n">
        <v>4.999</v>
      </c>
      <c r="G76" s="22" t="n">
        <v>4.826</v>
      </c>
      <c r="I76" s="22" t="n">
        <v>2.68</v>
      </c>
      <c r="J76" s="22" t="n">
        <v>2.527</v>
      </c>
      <c r="K76" s="22" t="n">
        <v>7.03</v>
      </c>
      <c r="L76" s="22" t="n">
        <v>8.291</v>
      </c>
    </row>
    <row r="77">
      <c r="A77" s="20" t="inlineStr">
        <is>
          <t>재공품</t>
        </is>
      </c>
      <c r="C77" s="22" t="n">
        <v>86.523</v>
      </c>
      <c r="D77" s="22" t="n">
        <v>73.375</v>
      </c>
      <c r="E77" s="22" t="n">
        <v>75.754</v>
      </c>
      <c r="F77" s="22" t="n">
        <v>47.482</v>
      </c>
      <c r="G77" s="22" t="n">
        <v>48.104</v>
      </c>
      <c r="H77" s="22" t="n">
        <v>18.319</v>
      </c>
      <c r="I77" s="22" t="n">
        <v>0</v>
      </c>
      <c r="J77" s="22" t="n">
        <v>0</v>
      </c>
      <c r="K77" s="22" t="n">
        <v>41.824</v>
      </c>
      <c r="L77" s="22" t="n">
        <v>73.375</v>
      </c>
    </row>
    <row r="78">
      <c r="A78" s="20" t="inlineStr">
        <is>
          <t>Contents CA</t>
        </is>
      </c>
      <c r="D78" s="22" t="n">
        <v>0</v>
      </c>
      <c r="E78" s="22" t="n">
        <v>4.786</v>
      </c>
      <c r="F78" s="22" t="n">
        <v>59.175</v>
      </c>
      <c r="G78" s="22" t="n">
        <v>43.036</v>
      </c>
      <c r="H78" s="22" t="n">
        <v>0</v>
      </c>
      <c r="I78" s="22" t="n">
        <v>0</v>
      </c>
      <c r="J78" s="22" t="n">
        <v>0</v>
      </c>
      <c r="L78" s="22" t="n">
        <v>0</v>
      </c>
    </row>
    <row r="79">
      <c r="A79" s="20" t="inlineStr">
        <is>
          <t>저장품</t>
        </is>
      </c>
      <c r="C79" s="22" t="n">
        <v>0.095</v>
      </c>
      <c r="D79" s="22" t="n">
        <v>0.101</v>
      </c>
      <c r="E79" s="22" t="n">
        <v>0.082</v>
      </c>
      <c r="F79" s="22" t="n">
        <v>0.07099999999999999</v>
      </c>
      <c r="G79" s="22" t="n">
        <v>0.059</v>
      </c>
      <c r="H79" s="22" t="n">
        <v>0.241</v>
      </c>
      <c r="I79" s="22" t="n">
        <v>0.097</v>
      </c>
      <c r="J79" s="22" t="n">
        <v>0.08699999999999999</v>
      </c>
      <c r="K79" s="22" t="n">
        <v>0.095</v>
      </c>
      <c r="L79" s="22" t="n">
        <v>0.101</v>
      </c>
    </row>
    <row r="80">
      <c r="A80" s="20" t="inlineStr">
        <is>
          <t>선급비용</t>
        </is>
      </c>
      <c r="C80" s="22" t="n">
        <v>375.355</v>
      </c>
      <c r="D80" s="22" t="n">
        <v>282.881</v>
      </c>
      <c r="E80" s="22" t="n">
        <v>175.66</v>
      </c>
      <c r="F80" s="22" t="n">
        <v>398.836</v>
      </c>
      <c r="G80" s="22" t="n">
        <v>341.921</v>
      </c>
      <c r="H80" s="22" t="n">
        <v>125.828</v>
      </c>
      <c r="I80" s="22" t="n">
        <v>165.77</v>
      </c>
      <c r="J80" s="22" t="n">
        <v>410.965</v>
      </c>
      <c r="K80" s="22" t="n">
        <v>272.959</v>
      </c>
      <c r="L80" s="22" t="n">
        <v>282.881</v>
      </c>
    </row>
    <row r="81">
      <c r="A81" s="20" t="inlineStr">
        <is>
          <t>미수금</t>
        </is>
      </c>
      <c r="C81" s="22" t="n">
        <v>310.987</v>
      </c>
      <c r="D81" s="22" t="n">
        <v>525.2910000000001</v>
      </c>
      <c r="E81" s="22" t="n">
        <v>478.42</v>
      </c>
      <c r="F81" s="22" t="n">
        <v>477.221</v>
      </c>
      <c r="G81" s="22" t="n">
        <v>536.864</v>
      </c>
      <c r="H81" s="22" t="n">
        <v>54.024</v>
      </c>
      <c r="I81" s="22" t="n">
        <v>158.966</v>
      </c>
      <c r="J81" s="22" t="n">
        <v>402.051</v>
      </c>
      <c r="K81" s="22" t="n">
        <v>608.294</v>
      </c>
      <c r="L81" s="22" t="n">
        <v>525.2910000000001</v>
      </c>
    </row>
    <row r="82">
      <c r="A82" s="20" t="inlineStr">
        <is>
          <t>선급금</t>
        </is>
      </c>
      <c r="H82" s="22" t="n">
        <v>2.758</v>
      </c>
    </row>
    <row r="83">
      <c r="A83" s="20" t="inlineStr">
        <is>
          <t>기타</t>
        </is>
      </c>
      <c r="C83" s="22" t="n">
        <v>51.901</v>
      </c>
      <c r="D83" s="22" t="n">
        <v>21.75</v>
      </c>
      <c r="E83" s="22" t="n">
        <v>88.52</v>
      </c>
      <c r="F83" s="22" t="n">
        <v>82.04300000000001</v>
      </c>
      <c r="G83" s="22" t="n">
        <v>294.426</v>
      </c>
      <c r="H83" s="22" t="n">
        <v>0</v>
      </c>
      <c r="I83" s="22" t="n">
        <v>19.24</v>
      </c>
      <c r="J83" s="22" t="n">
        <v>215.531</v>
      </c>
      <c r="K83" s="22" t="n">
        <v>39.693</v>
      </c>
      <c r="L83" s="22" t="n">
        <v>21.75</v>
      </c>
    </row>
    <row r="84">
      <c r="A84" s="20" t="inlineStr">
        <is>
          <t>대손충당금</t>
        </is>
      </c>
      <c r="D84" s="22" t="n">
        <v>0</v>
      </c>
      <c r="G84" s="22" t="n">
        <v>-5.199</v>
      </c>
      <c r="H84" s="22" t="n">
        <v>-0.029</v>
      </c>
      <c r="I84" s="22" t="n">
        <v>-0.022</v>
      </c>
      <c r="J84" s="22" t="n">
        <v>-0.029</v>
      </c>
      <c r="K84" s="22" t="n">
        <v>0</v>
      </c>
      <c r="L84" s="22" t="n">
        <v>0</v>
      </c>
    </row>
    <row r="85">
      <c r="A85" s="9" t="inlineStr">
        <is>
          <t>유동자산 합계</t>
        </is>
      </c>
      <c r="C85" s="12" t="n">
        <v>7304.849</v>
      </c>
      <c r="D85" s="12" t="n">
        <v>7807.65</v>
      </c>
      <c r="E85" s="12" t="n">
        <v>7830.376</v>
      </c>
      <c r="F85" s="12" t="n">
        <v>8575.25</v>
      </c>
      <c r="G85" s="12" t="n">
        <v>9387.243</v>
      </c>
      <c r="H85" s="12" t="n">
        <v>6772.015</v>
      </c>
      <c r="I85" s="12" t="n">
        <v>7953.903</v>
      </c>
      <c r="J85" s="12" t="n">
        <v>6040.026</v>
      </c>
      <c r="K85" s="12" t="n">
        <v>6756.54</v>
      </c>
      <c r="L85" s="12" t="n">
        <v>7807.65</v>
      </c>
    </row>
    <row r="86">
      <c r="A86" s="20" t="inlineStr">
        <is>
          <t>건물(순액)</t>
        </is>
      </c>
      <c r="D86" s="22" t="n">
        <v>242.998</v>
      </c>
      <c r="H86" s="22" t="n">
        <v>36.128</v>
      </c>
      <c r="I86" s="22" t="n">
        <v>60.027</v>
      </c>
      <c r="J86" s="22" t="n">
        <v>116.386</v>
      </c>
      <c r="K86" s="22" t="n">
        <v>262.427</v>
      </c>
      <c r="L86" s="22" t="n">
        <v>242.998</v>
      </c>
    </row>
    <row r="87">
      <c r="A87" s="20" t="inlineStr">
        <is>
          <t>기계장치(순액)</t>
        </is>
      </c>
      <c r="D87" s="22" t="n">
        <v>0</v>
      </c>
      <c r="H87" s="22" t="n">
        <v>0</v>
      </c>
      <c r="I87" s="22" t="n">
        <v>0</v>
      </c>
      <c r="J87" s="22" t="n">
        <v>0</v>
      </c>
      <c r="K87" s="22" t="n">
        <v>0</v>
      </c>
      <c r="L87" s="22" t="n">
        <v>0</v>
      </c>
    </row>
    <row r="88">
      <c r="A88" s="20" t="inlineStr">
        <is>
          <t>공구·기구·비품(순액)</t>
        </is>
      </c>
      <c r="D88" s="22" t="n">
        <v>93.045</v>
      </c>
      <c r="H88" s="22" t="n">
        <v>10.305</v>
      </c>
      <c r="I88" s="22" t="n">
        <v>22.04</v>
      </c>
      <c r="J88" s="22" t="n">
        <v>61.023</v>
      </c>
      <c r="K88" s="22" t="n">
        <v>124.723</v>
      </c>
      <c r="L88" s="22" t="n">
        <v>93.045</v>
      </c>
    </row>
    <row r="89">
      <c r="A89" s="20" t="inlineStr">
        <is>
          <t>리스자산(순액)</t>
        </is>
      </c>
      <c r="D89" s="22" t="n">
        <v>0.617</v>
      </c>
      <c r="J89" s="22" t="n">
        <v>0</v>
      </c>
      <c r="K89" s="22" t="n">
        <v>0.993</v>
      </c>
      <c r="L89" s="22" t="n">
        <v>0.617</v>
      </c>
    </row>
    <row r="90">
      <c r="A90" s="20" t="inlineStr">
        <is>
          <t>유형자산</t>
        </is>
      </c>
      <c r="C90" s="22" t="n">
        <v>348.148</v>
      </c>
      <c r="D90" s="22" t="n">
        <v>336.66</v>
      </c>
      <c r="E90" s="22" t="n">
        <v>316.627</v>
      </c>
      <c r="F90" s="22" t="n">
        <v>307.556</v>
      </c>
      <c r="G90" s="22" t="n">
        <v>288.057</v>
      </c>
      <c r="H90" s="22" t="n">
        <v>46.434</v>
      </c>
      <c r="I90" s="22" t="n">
        <v>82.068</v>
      </c>
      <c r="J90" s="22" t="n">
        <v>177.409</v>
      </c>
      <c r="K90" s="22" t="n">
        <v>388.143</v>
      </c>
      <c r="L90" s="22" t="n">
        <v>336.66</v>
      </c>
    </row>
    <row r="91">
      <c r="A91" s="20" t="inlineStr">
        <is>
          <t>소프트웨어</t>
        </is>
      </c>
      <c r="D91" s="22" t="n">
        <v>2.954</v>
      </c>
      <c r="H91" s="22" t="n">
        <v>0.515</v>
      </c>
      <c r="I91" s="22" t="n">
        <v>1.328</v>
      </c>
      <c r="J91" s="22" t="n">
        <v>1.393</v>
      </c>
      <c r="K91" s="22" t="n">
        <v>3.966</v>
      </c>
      <c r="L91" s="22" t="n">
        <v>2.954</v>
      </c>
    </row>
    <row r="92">
      <c r="A92" s="20" t="inlineStr">
        <is>
          <t>무형자산</t>
        </is>
      </c>
      <c r="C92" s="22" t="n">
        <v>3.194</v>
      </c>
      <c r="D92" s="22" t="n">
        <v>2.954</v>
      </c>
      <c r="E92" s="22" t="n">
        <v>2.685</v>
      </c>
      <c r="F92" s="22" t="n">
        <v>2.445</v>
      </c>
      <c r="G92" s="22" t="n">
        <v>2.144</v>
      </c>
      <c r="H92" s="22" t="n">
        <v>0.515</v>
      </c>
      <c r="I92" s="22" t="n">
        <v>1.328</v>
      </c>
      <c r="J92" s="22" t="n">
        <v>1.393</v>
      </c>
      <c r="K92" s="22" t="n">
        <v>3.966</v>
      </c>
      <c r="L92" s="22" t="n">
        <v>2.954</v>
      </c>
    </row>
    <row r="93">
      <c r="A93" s="20" t="inlineStr">
        <is>
          <t>관계회사 주식</t>
        </is>
      </c>
      <c r="C93" s="22" t="n">
        <v>490.138</v>
      </c>
      <c r="D93" s="22" t="n">
        <v>426.691</v>
      </c>
      <c r="E93" s="22" t="n">
        <v>344.854</v>
      </c>
      <c r="F93" s="22" t="n">
        <v>410.696</v>
      </c>
      <c r="G93" s="22" t="n">
        <v>262.461</v>
      </c>
      <c r="H93" s="22" t="n">
        <v>0</v>
      </c>
      <c r="K93" s="22" t="n">
        <v>0</v>
      </c>
      <c r="L93" s="22" t="n">
        <v>426.691</v>
      </c>
    </row>
    <row r="94">
      <c r="A94" s="20" t="inlineStr">
        <is>
          <t>관계회사 출자금</t>
        </is>
      </c>
      <c r="C94" s="22" t="n">
        <v>96.93300000000001</v>
      </c>
      <c r="D94" s="22" t="n">
        <v>26.171</v>
      </c>
      <c r="E94" s="22" t="n">
        <v>14.632</v>
      </c>
      <c r="F94" s="22" t="n">
        <v>18.46</v>
      </c>
      <c r="G94" s="22" t="n">
        <v>16.455</v>
      </c>
      <c r="I94" s="22" t="n">
        <v>11.412</v>
      </c>
      <c r="J94" s="22" t="n">
        <v>48.505</v>
      </c>
      <c r="K94" s="22" t="n">
        <v>39.543</v>
      </c>
      <c r="L94" s="22" t="n">
        <v>26.171</v>
      </c>
    </row>
    <row r="95">
      <c r="A95" s="20" t="inlineStr">
        <is>
          <t>장기선급비용</t>
        </is>
      </c>
      <c r="C95" s="22" t="n">
        <v>331.9</v>
      </c>
      <c r="D95" s="22" t="n">
        <v>18.786</v>
      </c>
      <c r="E95" s="22" t="n">
        <v>11.768</v>
      </c>
      <c r="F95" s="22" t="n">
        <v>4.082</v>
      </c>
      <c r="G95" s="22" t="n">
        <v>0.025</v>
      </c>
      <c r="I95" s="22" t="n">
        <v>55</v>
      </c>
      <c r="J95" s="22" t="n">
        <v>57.138</v>
      </c>
      <c r="K95" s="22" t="n">
        <v>370.99</v>
      </c>
      <c r="L95" s="22" t="n">
        <v>18.786</v>
      </c>
    </row>
    <row r="96">
      <c r="A96" s="20" t="inlineStr">
        <is>
          <t>이연법인세자산</t>
        </is>
      </c>
      <c r="C96" s="22" t="n">
        <v>21.874</v>
      </c>
      <c r="D96" s="22" t="n">
        <v>34.973</v>
      </c>
      <c r="E96" s="22" t="n">
        <v>28.812</v>
      </c>
      <c r="F96" s="22" t="n">
        <v>160.103</v>
      </c>
      <c r="G96" s="22" t="n">
        <v>149.98</v>
      </c>
      <c r="H96" s="22" t="n">
        <v>216.272</v>
      </c>
      <c r="I96" s="22" t="n">
        <v>208.497</v>
      </c>
      <c r="J96" s="22" t="n">
        <v>233.015</v>
      </c>
      <c r="K96" s="22" t="n">
        <v>19.298</v>
      </c>
      <c r="L96" s="22" t="n">
        <v>34.973</v>
      </c>
    </row>
    <row r="97">
      <c r="A97" s="20" t="inlineStr">
        <is>
          <t>임차보증금·보증금</t>
        </is>
      </c>
      <c r="C97" s="22" t="n">
        <v>551.715</v>
      </c>
      <c r="D97" s="22" t="n">
        <v>551.61</v>
      </c>
      <c r="E97" s="22" t="n">
        <v>539.71</v>
      </c>
      <c r="F97" s="22" t="n">
        <v>524.77</v>
      </c>
      <c r="G97" s="22" t="n">
        <v>491.711</v>
      </c>
      <c r="H97" s="22" t="n">
        <v>169.376</v>
      </c>
      <c r="I97" s="22" t="n">
        <v>288.582</v>
      </c>
      <c r="J97" s="22" t="n">
        <v>839.131</v>
      </c>
      <c r="K97" s="22" t="n">
        <v>575.716</v>
      </c>
      <c r="L97" s="22" t="n">
        <v>551.61</v>
      </c>
    </row>
    <row r="98">
      <c r="A98" s="20" t="inlineStr">
        <is>
          <t>기타</t>
        </is>
      </c>
      <c r="I98" s="22" t="n">
        <v>66.41200000000001</v>
      </c>
      <c r="J98" s="22" t="n">
        <v>105.643</v>
      </c>
      <c r="K98" s="22" t="n">
        <v>410.533</v>
      </c>
    </row>
    <row r="99">
      <c r="A99" s="20" t="inlineStr">
        <is>
          <t>투자 및 기타자산 합계</t>
        </is>
      </c>
      <c r="C99" s="22" t="n">
        <v>1492.562</v>
      </c>
      <c r="D99" s="22" t="n">
        <v>1058.235</v>
      </c>
      <c r="E99" s="22" t="n">
        <v>939.778</v>
      </c>
      <c r="F99" s="22" t="n">
        <v>1118.114</v>
      </c>
      <c r="G99" s="22" t="n">
        <v>920.635</v>
      </c>
      <c r="H99" s="22" t="n">
        <v>385.648</v>
      </c>
      <c r="I99" s="22" t="n">
        <v>563.492</v>
      </c>
      <c r="J99" s="22" t="n">
        <v>1177.79</v>
      </c>
      <c r="K99" s="22" t="n">
        <v>1005.549</v>
      </c>
      <c r="L99" s="22" t="n">
        <v>1058.235</v>
      </c>
    </row>
    <row r="100">
      <c r="A100" s="9" t="inlineStr">
        <is>
          <t>비유동자산 합계</t>
        </is>
      </c>
      <c r="C100" s="12" t="n">
        <v>1843.905</v>
      </c>
      <c r="D100" s="12" t="n">
        <v>1397.851</v>
      </c>
      <c r="E100" s="12" t="n">
        <v>1259.092</v>
      </c>
      <c r="F100" s="12" t="n">
        <v>1428.115</v>
      </c>
      <c r="G100" s="12" t="n">
        <v>1210.837</v>
      </c>
      <c r="H100" s="12" t="n">
        <v>432.598</v>
      </c>
      <c r="I100" s="12" t="n">
        <v>646.888</v>
      </c>
      <c r="J100" s="12" t="n">
        <v>1356.593</v>
      </c>
      <c r="K100" s="12" t="n">
        <v>1397.659</v>
      </c>
      <c r="L100" s="12" t="n">
        <v>1397.851</v>
      </c>
    </row>
    <row r="101">
      <c r="A101" s="9" t="inlineStr">
        <is>
          <t>자산 합계</t>
        </is>
      </c>
      <c r="C101" s="12" t="n">
        <v>9148.754999999999</v>
      </c>
      <c r="D101" s="12" t="n">
        <v>9205.501</v>
      </c>
      <c r="E101" s="12" t="n">
        <v>9089.468000000001</v>
      </c>
      <c r="F101" s="12" t="n">
        <v>10003.366</v>
      </c>
      <c r="G101" s="12" t="n">
        <v>10598.081</v>
      </c>
      <c r="H101" s="12" t="n">
        <v>7204.613</v>
      </c>
      <c r="I101" s="12" t="n">
        <v>8600.791999999999</v>
      </c>
      <c r="J101" s="12" t="n">
        <v>7396.62</v>
      </c>
      <c r="K101" s="12" t="n">
        <v>8154.2</v>
      </c>
      <c r="L101" s="12" t="n">
        <v>9205.501</v>
      </c>
    </row>
    <row r="102">
      <c r="A102" s="20" t="inlineStr">
        <is>
          <t>매입채무</t>
        </is>
      </c>
      <c r="C102" s="22" t="n">
        <v>441.919</v>
      </c>
      <c r="D102" s="22" t="n">
        <v>381.839</v>
      </c>
      <c r="E102" s="22" t="n">
        <v>454.767</v>
      </c>
      <c r="F102" s="22" t="n">
        <v>495.645</v>
      </c>
      <c r="G102" s="22" t="n">
        <v>571.675</v>
      </c>
      <c r="H102" s="22" t="n">
        <v>172.431</v>
      </c>
      <c r="I102" s="22" t="n">
        <v>430.797</v>
      </c>
      <c r="J102" s="22" t="n">
        <v>806.87</v>
      </c>
      <c r="K102" s="22" t="n">
        <v>516.467</v>
      </c>
      <c r="L102" s="22" t="n">
        <v>381.839</v>
      </c>
    </row>
    <row r="103">
      <c r="A103" s="20" t="inlineStr">
        <is>
          <t>단기차입금</t>
        </is>
      </c>
      <c r="D103" s="22" t="n">
        <v>100</v>
      </c>
      <c r="E103" s="22" t="n">
        <v>275.001</v>
      </c>
      <c r="F103" s="22" t="n">
        <v>124.982</v>
      </c>
      <c r="G103" s="22" t="n">
        <v>74.96299999999999</v>
      </c>
      <c r="I103" s="22" t="n">
        <v>0</v>
      </c>
      <c r="J103" s="22" t="n">
        <v>500</v>
      </c>
      <c r="K103" s="22" t="n">
        <v>0</v>
      </c>
      <c r="L103" s="22" t="n">
        <v>100</v>
      </c>
    </row>
    <row r="104">
      <c r="A104" s="20" t="inlineStr">
        <is>
          <t>1년 내 상환 장기차입금</t>
        </is>
      </c>
      <c r="D104" s="22" t="n">
        <v>0</v>
      </c>
      <c r="F104" s="22" t="n">
        <v>199.992</v>
      </c>
      <c r="G104" s="22" t="n">
        <v>199.992</v>
      </c>
      <c r="L104" s="22" t="n">
        <v>0</v>
      </c>
    </row>
    <row r="105">
      <c r="A105" s="20" t="inlineStr">
        <is>
          <t>미지급금</t>
        </is>
      </c>
      <c r="C105" s="22" t="n">
        <v>418.612</v>
      </c>
      <c r="D105" s="22" t="n">
        <v>554.732</v>
      </c>
      <c r="E105" s="22" t="n">
        <v>502.437</v>
      </c>
      <c r="F105" s="22" t="n">
        <v>633.7430000000001</v>
      </c>
      <c r="G105" s="22" t="n">
        <v>532.452</v>
      </c>
      <c r="H105" s="22" t="n">
        <v>324.576</v>
      </c>
      <c r="I105" s="22" t="n">
        <v>863.366</v>
      </c>
      <c r="J105" s="22" t="n">
        <v>754.739</v>
      </c>
      <c r="K105" s="22" t="n">
        <v>561.6079999999999</v>
      </c>
      <c r="L105" s="22" t="n">
        <v>554.732</v>
      </c>
    </row>
    <row r="106">
      <c r="A106" s="20" t="inlineStr">
        <is>
          <t>미지급비용</t>
        </is>
      </c>
      <c r="D106" s="22" t="n">
        <v>134.898</v>
      </c>
      <c r="H106" s="22" t="n">
        <v>98.062</v>
      </c>
      <c r="I106" s="22" t="n">
        <v>105.892</v>
      </c>
      <c r="J106" s="22" t="n">
        <v>120.612</v>
      </c>
      <c r="K106" s="22" t="n">
        <v>119.038</v>
      </c>
      <c r="L106" s="22" t="n">
        <v>134.898</v>
      </c>
    </row>
    <row r="107">
      <c r="A107" s="20" t="inlineStr">
        <is>
          <t>미지급법인세</t>
        </is>
      </c>
      <c r="C107" s="22" t="n">
        <v>223.879</v>
      </c>
      <c r="D107" s="22" t="n">
        <v>215.574</v>
      </c>
      <c r="E107" s="22" t="n">
        <v>47.231</v>
      </c>
      <c r="F107" s="22" t="n">
        <v>126.646</v>
      </c>
      <c r="G107" s="22" t="n">
        <v>161.682</v>
      </c>
      <c r="H107" s="22" t="n">
        <v>67.54900000000001</v>
      </c>
      <c r="I107" s="22" t="n">
        <v>62.913</v>
      </c>
      <c r="J107" s="22" t="n">
        <v>9.305999999999999</v>
      </c>
      <c r="K107" s="22" t="n">
        <v>41.291</v>
      </c>
      <c r="L107" s="22" t="n">
        <v>215.574</v>
      </c>
    </row>
    <row r="108">
      <c r="A108" s="20" t="inlineStr">
        <is>
          <t>미지급 소비세</t>
        </is>
      </c>
      <c r="C108" s="22" t="n">
        <v>162.474</v>
      </c>
      <c r="D108" s="22" t="n">
        <v>243.654</v>
      </c>
      <c r="E108" s="22" t="n">
        <v>146.041</v>
      </c>
      <c r="F108" s="22" t="n">
        <v>88.246</v>
      </c>
      <c r="G108" s="22" t="n">
        <v>140.4</v>
      </c>
      <c r="H108" s="22" t="n">
        <v>67.21599999999999</v>
      </c>
      <c r="I108" s="22" t="n">
        <v>24.356</v>
      </c>
      <c r="J108" s="22" t="n">
        <v>0</v>
      </c>
      <c r="K108" s="22" t="n">
        <v>195.139</v>
      </c>
      <c r="L108" s="22" t="n">
        <v>243.654</v>
      </c>
    </row>
    <row r="109">
      <c r="A109" s="20" t="inlineStr">
        <is>
          <t>선수금</t>
        </is>
      </c>
      <c r="H109" s="22" t="n">
        <v>160.283</v>
      </c>
    </row>
    <row r="110">
      <c r="A110" s="20" t="inlineStr">
        <is>
          <t>예수금</t>
        </is>
      </c>
      <c r="H110" s="22" t="n">
        <v>44.58</v>
      </c>
    </row>
    <row r="111">
      <c r="A111" s="20" t="inlineStr">
        <is>
          <t>계약부채</t>
        </is>
      </c>
      <c r="C111" s="22" t="n">
        <v>401.234</v>
      </c>
      <c r="D111" s="22" t="n">
        <v>417.548</v>
      </c>
      <c r="E111" s="22" t="n">
        <v>330.044</v>
      </c>
      <c r="F111" s="22" t="n">
        <v>367.345</v>
      </c>
      <c r="G111" s="22" t="n">
        <v>362.893</v>
      </c>
      <c r="I111" s="22" t="n">
        <v>230.669</v>
      </c>
      <c r="J111" s="22" t="n">
        <v>328.325</v>
      </c>
      <c r="K111" s="22" t="n">
        <v>366.39</v>
      </c>
      <c r="L111" s="22" t="n">
        <v>417.548</v>
      </c>
    </row>
    <row r="112">
      <c r="A112" s="20" t="inlineStr">
        <is>
          <t>상여충당금</t>
        </is>
      </c>
      <c r="C112" s="22" t="n">
        <v>158.109</v>
      </c>
      <c r="D112" s="22" t="n">
        <v>0</v>
      </c>
      <c r="E112" s="22" t="n">
        <v>28.61</v>
      </c>
      <c r="F112" s="22" t="n">
        <v>63.301</v>
      </c>
      <c r="G112" s="22" t="n">
        <v>124.708</v>
      </c>
      <c r="I112" s="22" t="n">
        <v>0</v>
      </c>
      <c r="J112" s="22" t="n">
        <v>0</v>
      </c>
      <c r="K112" s="22" t="n">
        <v>0</v>
      </c>
      <c r="L112" s="22" t="n">
        <v>0</v>
      </c>
    </row>
    <row r="113">
      <c r="A113" s="20" t="inlineStr">
        <is>
          <t>기타</t>
        </is>
      </c>
      <c r="C113" s="22" t="n">
        <v>99.67700000000001</v>
      </c>
      <c r="D113" s="22" t="n">
        <v>235.1</v>
      </c>
      <c r="E113" s="22" t="n">
        <v>138.18</v>
      </c>
      <c r="F113" s="22" t="n">
        <v>121.813</v>
      </c>
      <c r="G113" s="22" t="n">
        <v>201.139</v>
      </c>
      <c r="I113" s="22" t="n">
        <v>38.669</v>
      </c>
      <c r="J113" s="22" t="n">
        <v>98.438</v>
      </c>
      <c r="K113" s="22" t="n">
        <v>57.398</v>
      </c>
      <c r="L113" s="22" t="n">
        <v>235.1</v>
      </c>
    </row>
    <row r="114">
      <c r="A114" s="9" t="inlineStr">
        <is>
          <t>유동부채 합계</t>
        </is>
      </c>
      <c r="C114" s="12" t="n">
        <v>1905.906</v>
      </c>
      <c r="D114" s="12" t="n">
        <v>2148.451</v>
      </c>
      <c r="E114" s="12" t="n">
        <v>1922.314</v>
      </c>
      <c r="F114" s="12" t="n">
        <v>2221.716</v>
      </c>
      <c r="G114" s="12" t="n">
        <v>2369.905</v>
      </c>
      <c r="H114" s="12" t="n">
        <v>934.701</v>
      </c>
      <c r="I114" s="12" t="n">
        <v>1756.664</v>
      </c>
      <c r="J114" s="12" t="n">
        <v>2618.292</v>
      </c>
      <c r="K114" s="12" t="n">
        <v>1857.334</v>
      </c>
      <c r="L114" s="12" t="n">
        <v>2148.451</v>
      </c>
    </row>
    <row r="115">
      <c r="A115" s="20" t="inlineStr">
        <is>
          <t>리스부채</t>
        </is>
      </c>
      <c r="D115" s="22" t="n">
        <v>0</v>
      </c>
      <c r="J115" s="22" t="n">
        <v>0</v>
      </c>
      <c r="K115" s="22" t="n">
        <v>0.659</v>
      </c>
      <c r="L115" s="22" t="n">
        <v>0</v>
      </c>
    </row>
    <row r="116">
      <c r="A116" s="20" t="inlineStr">
        <is>
          <t>장기차입금</t>
        </is>
      </c>
      <c r="D116" s="22" t="n">
        <v>0</v>
      </c>
      <c r="F116" s="22" t="n">
        <v>400.008</v>
      </c>
      <c r="G116" s="22" t="n">
        <v>350.01</v>
      </c>
      <c r="L116" s="22" t="n">
        <v>0</v>
      </c>
    </row>
    <row r="117">
      <c r="A117" s="20" t="inlineStr">
        <is>
          <t>장기미지급금</t>
        </is>
      </c>
      <c r="C117" s="22" t="n">
        <v>178.432</v>
      </c>
      <c r="D117" s="22" t="n">
        <v>160.589</v>
      </c>
      <c r="E117" s="22" t="n">
        <v>142.746</v>
      </c>
      <c r="F117" s="22" t="n">
        <v>124.902</v>
      </c>
      <c r="G117" s="22" t="n">
        <v>107.059</v>
      </c>
      <c r="H117" s="22" t="n">
        <v>35.265</v>
      </c>
      <c r="I117" s="22" t="n">
        <v>14.592</v>
      </c>
      <c r="J117" s="22" t="n">
        <v>1.38</v>
      </c>
      <c r="K117" s="22" t="n">
        <v>231.962</v>
      </c>
      <c r="L117" s="22" t="n">
        <v>160.589</v>
      </c>
    </row>
    <row r="118">
      <c r="A118" s="20" t="inlineStr">
        <is>
          <t>기타</t>
        </is>
      </c>
      <c r="C118" s="22" t="n">
        <v>0.17</v>
      </c>
      <c r="J118" s="22" t="n">
        <v>0</v>
      </c>
      <c r="K118" s="22" t="n">
        <v>0.659</v>
      </c>
    </row>
    <row r="119">
      <c r="A119" s="9" t="inlineStr">
        <is>
          <t>비유동부채 합계</t>
        </is>
      </c>
      <c r="C119" s="12" t="n">
        <v>178.603</v>
      </c>
      <c r="D119" s="12" t="n">
        <v>160.589</v>
      </c>
      <c r="E119" s="12" t="n">
        <v>142.746</v>
      </c>
      <c r="F119" s="12" t="n">
        <v>524.91</v>
      </c>
      <c r="G119" s="12" t="n">
        <v>457.069</v>
      </c>
      <c r="H119" s="12" t="n">
        <v>35.265</v>
      </c>
      <c r="I119" s="12" t="n">
        <v>14.592</v>
      </c>
      <c r="J119" s="12" t="n">
        <v>1.38</v>
      </c>
      <c r="K119" s="12" t="n">
        <v>232.622</v>
      </c>
      <c r="L119" s="12" t="n">
        <v>160.589</v>
      </c>
    </row>
    <row r="120">
      <c r="A120" s="9" t="inlineStr">
        <is>
          <t>부채 합계</t>
        </is>
      </c>
      <c r="C120" s="12" t="n">
        <v>2084.509</v>
      </c>
      <c r="D120" s="12" t="n">
        <v>2309.04</v>
      </c>
      <c r="E120" s="12" t="n">
        <v>2065.06</v>
      </c>
      <c r="F120" s="12" t="n">
        <v>2746.627</v>
      </c>
      <c r="G120" s="12" t="n">
        <v>2826.975</v>
      </c>
      <c r="H120" s="12" t="n">
        <v>969.966</v>
      </c>
      <c r="I120" s="12" t="n">
        <v>1771.256</v>
      </c>
      <c r="J120" s="12" t="n">
        <v>2619.673</v>
      </c>
      <c r="K120" s="12" t="n">
        <v>2089.957</v>
      </c>
      <c r="L120" s="12" t="n">
        <v>2309.04</v>
      </c>
    </row>
    <row r="121">
      <c r="A121" s="20" t="inlineStr">
        <is>
          <t>자본금</t>
        </is>
      </c>
      <c r="C121" s="22" t="n">
        <v>3407.917</v>
      </c>
      <c r="D121" s="22" t="n">
        <v>3407.917</v>
      </c>
      <c r="E121" s="22" t="n">
        <v>3407.917</v>
      </c>
      <c r="F121" s="22" t="n">
        <v>3407.917</v>
      </c>
      <c r="G121" s="22" t="n">
        <v>3407.917</v>
      </c>
      <c r="H121" s="22" t="n">
        <v>2537.178</v>
      </c>
      <c r="I121" s="22" t="n">
        <v>2556.676</v>
      </c>
      <c r="J121" s="22" t="n">
        <v>2580.262</v>
      </c>
      <c r="K121" s="22" t="n">
        <v>3407.917</v>
      </c>
      <c r="L121" s="22" t="n">
        <v>3407.917</v>
      </c>
    </row>
    <row r="122">
      <c r="A122" s="20" t="inlineStr">
        <is>
          <t>자본준비금</t>
        </is>
      </c>
      <c r="H122" s="22" t="n">
        <v>2527.178</v>
      </c>
    </row>
    <row r="123">
      <c r="A123" s="20" t="inlineStr">
        <is>
          <t>자본잉여금</t>
        </is>
      </c>
      <c r="C123" s="22" t="n">
        <v>3430.385</v>
      </c>
      <c r="D123" s="22" t="n">
        <v>3397.917</v>
      </c>
      <c r="E123" s="22" t="n">
        <v>3397.917</v>
      </c>
      <c r="F123" s="22" t="n">
        <v>3397.917</v>
      </c>
      <c r="G123" s="22" t="n">
        <v>3397.917</v>
      </c>
      <c r="H123" s="22" t="n">
        <v>2527.178</v>
      </c>
      <c r="I123" s="22" t="n">
        <v>2546.676</v>
      </c>
      <c r="J123" s="22" t="n">
        <v>2570.262</v>
      </c>
      <c r="K123" s="22" t="n">
        <v>3397.917</v>
      </c>
      <c r="L123" s="22" t="n">
        <v>3397.917</v>
      </c>
    </row>
    <row r="124">
      <c r="A124" s="20" t="inlineStr">
        <is>
          <t>이월이익잉여금</t>
        </is>
      </c>
      <c r="H124" s="22" t="n">
        <v>1170.29</v>
      </c>
    </row>
    <row r="125">
      <c r="A125" s="20" t="inlineStr">
        <is>
          <t>이익잉여금</t>
        </is>
      </c>
      <c r="C125" s="22" t="n">
        <v>159.166</v>
      </c>
      <c r="D125" s="22" t="n">
        <v>70.31100000000001</v>
      </c>
      <c r="E125" s="22" t="n">
        <v>234.453</v>
      </c>
      <c r="F125" s="22" t="n">
        <v>453.413</v>
      </c>
      <c r="G125" s="22" t="n">
        <v>972.077</v>
      </c>
      <c r="H125" s="22" t="n">
        <v>1170.29</v>
      </c>
      <c r="I125" s="22" t="n">
        <v>1632.469</v>
      </c>
      <c r="J125" s="22" t="n">
        <v>-674.6609999999999</v>
      </c>
      <c r="K125" s="22" t="n">
        <v>-1015.775</v>
      </c>
      <c r="L125" s="22" t="n">
        <v>70.31100000000001</v>
      </c>
    </row>
    <row r="126">
      <c r="A126" s="9" t="inlineStr">
        <is>
          <t>주주자본 합계</t>
        </is>
      </c>
      <c r="C126" s="12" t="n">
        <v>6997.468</v>
      </c>
      <c r="D126" s="12" t="n">
        <v>6876.147</v>
      </c>
      <c r="E126" s="12" t="n">
        <v>7040.288</v>
      </c>
      <c r="F126" s="12" t="n">
        <v>7259.249</v>
      </c>
      <c r="G126" s="12" t="n">
        <v>7777.913</v>
      </c>
      <c r="H126" s="12" t="n">
        <v>6234.646</v>
      </c>
      <c r="I126" s="12" t="n">
        <v>6735.823</v>
      </c>
      <c r="J126" s="12" t="n">
        <v>4475.863</v>
      </c>
      <c r="K126" s="12" t="n">
        <v>5790.06</v>
      </c>
      <c r="L126" s="12" t="n">
        <v>6876.147</v>
      </c>
    </row>
    <row r="127">
      <c r="A127" s="20" t="inlineStr">
        <is>
          <t>비지배지분</t>
        </is>
      </c>
      <c r="C127" s="22" t="n">
        <v>66.776</v>
      </c>
      <c r="D127" s="22" t="n">
        <v>20.313</v>
      </c>
      <c r="E127" s="22" t="n">
        <v>-15.88</v>
      </c>
      <c r="F127" s="22" t="n">
        <v>-2.51</v>
      </c>
      <c r="G127" s="22" t="n">
        <v>-6.807</v>
      </c>
      <c r="I127" s="22" t="n">
        <v>93.712</v>
      </c>
      <c r="J127" s="22" t="n">
        <v>301.083</v>
      </c>
      <c r="K127" s="22" t="n">
        <v>274.182</v>
      </c>
      <c r="L127" s="22" t="n">
        <v>20.313</v>
      </c>
    </row>
    <row r="128">
      <c r="A128" s="9" t="inlineStr">
        <is>
          <t>순자산 합계</t>
        </is>
      </c>
      <c r="C128" s="12" t="n">
        <v>7064.245</v>
      </c>
      <c r="D128" s="12" t="n">
        <v>6896.46</v>
      </c>
      <c r="E128" s="12" t="n">
        <v>7024.408</v>
      </c>
      <c r="F128" s="12" t="n">
        <v>7256.738</v>
      </c>
      <c r="G128" s="12" t="n">
        <v>7771.105</v>
      </c>
      <c r="H128" s="12" t="n">
        <v>6234.646</v>
      </c>
      <c r="I128" s="12" t="n">
        <v>6829.535</v>
      </c>
      <c r="J128" s="12" t="n">
        <v>4776.946</v>
      </c>
      <c r="K128" s="12" t="n">
        <v>6064.243</v>
      </c>
      <c r="L128" s="12" t="n">
        <v>6896.46</v>
      </c>
    </row>
    <row r="129">
      <c r="A129" s="9" t="inlineStr">
        <is>
          <t>부채·순자산 합계</t>
        </is>
      </c>
      <c r="C129" s="12" t="n">
        <v>9148.754999999999</v>
      </c>
      <c r="D129" s="12" t="n">
        <v>9205.501</v>
      </c>
      <c r="E129" s="12" t="n">
        <v>9089.468000000001</v>
      </c>
      <c r="F129" s="12" t="n">
        <v>10003.366</v>
      </c>
      <c r="G129" s="12" t="n">
        <v>10598.081</v>
      </c>
      <c r="H129" s="12" t="n">
        <v>7204.613</v>
      </c>
      <c r="I129" s="12" t="n">
        <v>8600.791999999999</v>
      </c>
      <c r="J129" s="12" t="n">
        <v>7396.62</v>
      </c>
      <c r="K129" s="12" t="n">
        <v>8154.2</v>
      </c>
      <c r="L129" s="12" t="n">
        <v>9205.501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44" customWidth="1" min="11" max="11"/>
  </cols>
  <sheetData>
    <row r="1">
      <c r="A1" s="52" t="inlineStr">
        <is>
          <t>Aiming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Q · 2023-Q4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</row>
    <row r="5">
      <c r="A5" s="55" t="inlineStr">
        <is>
          <t>항목</t>
        </is>
      </c>
      <c r="B5" s="55" t="inlineStr">
        <is>
          <t>값</t>
        </is>
      </c>
      <c r="K5" s="55" t="inlineStr">
        <is>
          <t>출처</t>
        </is>
      </c>
    </row>
    <row r="6">
      <c r="A6" s="56" t="inlineStr">
        <is>
          <t>매출</t>
        </is>
      </c>
      <c r="B6" s="57" t="n">
        <v>43.8</v>
      </c>
      <c r="K6" s="58" t="inlineStr">
        <is>
          <t>2단계 보고서 자료(회사 설명회 자료·공시)</t>
        </is>
      </c>
    </row>
    <row r="7">
      <c r="A7" s="56" t="inlineStr">
        <is>
          <t>gp</t>
        </is>
      </c>
      <c r="B7" s="57" t="n">
        <v>16.6</v>
      </c>
    </row>
    <row r="8">
      <c r="A8" s="56" t="inlineStr">
        <is>
          <t>sga</t>
        </is>
      </c>
      <c r="B8" s="57" t="n">
        <v>27.2</v>
      </c>
    </row>
    <row r="9">
      <c r="A9" s="56" t="inlineStr">
        <is>
          <t>영업이익</t>
        </is>
      </c>
      <c r="B9" s="57" t="n">
        <v>-10.6</v>
      </c>
    </row>
    <row r="10">
      <c r="A10" s="56" t="inlineStr">
        <is>
          <t>ord</t>
        </is>
      </c>
      <c r="B10" s="57" t="n">
        <v>-9.81</v>
      </c>
    </row>
    <row r="11">
      <c r="A11" s="56" t="inlineStr">
        <is>
          <t>pbt</t>
        </is>
      </c>
      <c r="B11" s="57" t="n">
        <v>-9.800000000000001</v>
      </c>
    </row>
    <row r="12">
      <c r="A12" s="56" t="inlineStr">
        <is>
          <t>순이익</t>
        </is>
      </c>
      <c r="B12" s="57" t="n">
        <v>-11.2</v>
      </c>
    </row>
    <row r="14">
      <c r="A14" s="54" t="inlineStr">
        <is>
          <t>Q · 2024-Q1</t>
        </is>
      </c>
      <c r="B14" s="54" t="n"/>
      <c r="C14" s="54" t="n"/>
      <c r="D14" s="54" t="n"/>
      <c r="E14" s="54" t="n"/>
      <c r="F14" s="54" t="n"/>
      <c r="G14" s="54" t="n"/>
      <c r="H14" s="54" t="n"/>
      <c r="I14" s="54" t="n"/>
      <c r="J14" s="54" t="n"/>
      <c r="K14" s="54" t="n"/>
    </row>
    <row r="15">
      <c r="A15" s="55" t="inlineStr">
        <is>
          <t>항목</t>
        </is>
      </c>
      <c r="B15" s="55" t="inlineStr">
        <is>
          <t>값</t>
        </is>
      </c>
      <c r="K15" s="55" t="inlineStr">
        <is>
          <t>출처</t>
        </is>
      </c>
    </row>
    <row r="16">
      <c r="A16" s="56" t="inlineStr">
        <is>
          <t>매출</t>
        </is>
      </c>
      <c r="B16" s="57" t="n">
        <v>46.1</v>
      </c>
      <c r="K16" s="58" t="inlineStr">
        <is>
          <t>2단계 보고서 자료(회사 설명회 자료·공시)</t>
        </is>
      </c>
    </row>
    <row r="17">
      <c r="A17" s="56" t="inlineStr">
        <is>
          <t>gp</t>
        </is>
      </c>
      <c r="B17" s="57" t="n">
        <v>24.9</v>
      </c>
    </row>
    <row r="18">
      <c r="A18" s="56" t="inlineStr">
        <is>
          <t>sga</t>
        </is>
      </c>
      <c r="B18" s="57" t="n">
        <v>26.4</v>
      </c>
    </row>
    <row r="19">
      <c r="A19" s="56" t="inlineStr">
        <is>
          <t>영업이익</t>
        </is>
      </c>
      <c r="B19" s="57" t="n">
        <v>-1.5</v>
      </c>
    </row>
    <row r="20">
      <c r="A20" s="56" t="inlineStr">
        <is>
          <t>ord</t>
        </is>
      </c>
      <c r="B20" s="57" t="n">
        <v>-0.42</v>
      </c>
    </row>
    <row r="21">
      <c r="A21" s="56" t="inlineStr">
        <is>
          <t>pbt</t>
        </is>
      </c>
      <c r="B21" s="57" t="n">
        <v>-0.4</v>
      </c>
    </row>
    <row r="22">
      <c r="A22" s="56" t="inlineStr">
        <is>
          <t>순이익</t>
        </is>
      </c>
      <c r="B22" s="57" t="n">
        <v>-3.5</v>
      </c>
    </row>
    <row r="24">
      <c r="A24" s="54" t="inlineStr">
        <is>
          <t>Q · 2024-Q2</t>
        </is>
      </c>
      <c r="B24" s="54" t="n"/>
      <c r="C24" s="54" t="n"/>
      <c r="D24" s="54" t="n"/>
      <c r="E24" s="54" t="n"/>
      <c r="F24" s="54" t="n"/>
      <c r="G24" s="54" t="n"/>
      <c r="H24" s="54" t="n"/>
      <c r="I24" s="54" t="n"/>
      <c r="J24" s="54" t="n"/>
      <c r="K24" s="54" t="n"/>
    </row>
    <row r="25">
      <c r="A25" s="55" t="inlineStr">
        <is>
          <t>항목</t>
        </is>
      </c>
      <c r="B25" s="55" t="inlineStr">
        <is>
          <t>값</t>
        </is>
      </c>
      <c r="K25" s="55" t="inlineStr">
        <is>
          <t>출처</t>
        </is>
      </c>
    </row>
    <row r="26">
      <c r="A26" s="56" t="inlineStr">
        <is>
          <t>매출</t>
        </is>
      </c>
      <c r="B26" s="57" t="n">
        <v>34.9</v>
      </c>
      <c r="K26" s="58" t="inlineStr">
        <is>
          <t>2단계 보고서 자료(회사 설명회 자료·공시)</t>
        </is>
      </c>
    </row>
    <row r="27">
      <c r="A27" s="56" t="inlineStr">
        <is>
          <t>gp</t>
        </is>
      </c>
      <c r="B27" s="57" t="n">
        <v>16</v>
      </c>
    </row>
    <row r="28">
      <c r="A28" s="56" t="inlineStr">
        <is>
          <t>sga</t>
        </is>
      </c>
      <c r="B28" s="57" t="n">
        <v>22</v>
      </c>
    </row>
    <row r="29">
      <c r="A29" s="56" t="inlineStr">
        <is>
          <t>영업이익</t>
        </is>
      </c>
      <c r="B29" s="57" t="n">
        <v>-6</v>
      </c>
    </row>
    <row r="30">
      <c r="A30" s="56" t="inlineStr">
        <is>
          <t>ord</t>
        </is>
      </c>
      <c r="B30" s="57" t="n">
        <v>-5.11</v>
      </c>
    </row>
    <row r="31">
      <c r="A31" s="56" t="inlineStr">
        <is>
          <t>pbt</t>
        </is>
      </c>
      <c r="B31" s="57" t="n">
        <v>-5.1</v>
      </c>
    </row>
    <row r="32">
      <c r="A32" s="56" t="inlineStr">
        <is>
          <t>순이익</t>
        </is>
      </c>
      <c r="B32" s="57" t="n">
        <v>-5.9</v>
      </c>
    </row>
    <row r="34">
      <c r="A34" s="54" t="inlineStr">
        <is>
          <t>Q · 2024-Q3</t>
        </is>
      </c>
      <c r="B34" s="54" t="n"/>
      <c r="C34" s="54" t="n"/>
      <c r="D34" s="54" t="n"/>
      <c r="E34" s="54" t="n"/>
      <c r="F34" s="54" t="n"/>
      <c r="G34" s="54" t="n"/>
      <c r="H34" s="54" t="n"/>
      <c r="I34" s="54" t="n"/>
      <c r="J34" s="54" t="n"/>
      <c r="K34" s="54" t="n"/>
    </row>
    <row r="35">
      <c r="A35" s="55" t="inlineStr">
        <is>
          <t>항목</t>
        </is>
      </c>
      <c r="B35" s="55" t="inlineStr">
        <is>
          <t>값</t>
        </is>
      </c>
      <c r="K35" s="55" t="inlineStr">
        <is>
          <t>출처</t>
        </is>
      </c>
    </row>
    <row r="36">
      <c r="A36" s="56" t="inlineStr">
        <is>
          <t>매출</t>
        </is>
      </c>
      <c r="B36" s="57" t="n">
        <v>36.8</v>
      </c>
      <c r="K36" s="58" t="inlineStr">
        <is>
          <t>2단계 보고서 자료(회사 설명회 자료·공시)</t>
        </is>
      </c>
    </row>
    <row r="37">
      <c r="A37" s="56" t="inlineStr">
        <is>
          <t>gp</t>
        </is>
      </c>
      <c r="B37" s="57" t="n">
        <v>20.9</v>
      </c>
    </row>
    <row r="38">
      <c r="A38" s="56" t="inlineStr">
        <is>
          <t>sga</t>
        </is>
      </c>
      <c r="B38" s="57" t="n">
        <v>26.4</v>
      </c>
    </row>
    <row r="39">
      <c r="A39" s="56" t="inlineStr">
        <is>
          <t>영업이익</t>
        </is>
      </c>
      <c r="B39" s="57" t="n">
        <v>-5.5</v>
      </c>
    </row>
    <row r="40">
      <c r="A40" s="56" t="inlineStr">
        <is>
          <t>ord</t>
        </is>
      </c>
      <c r="B40" s="57" t="n">
        <v>-4.79</v>
      </c>
    </row>
    <row r="41">
      <c r="A41" s="56" t="inlineStr">
        <is>
          <t>pbt</t>
        </is>
      </c>
      <c r="B41" s="57" t="n">
        <v>-4.8</v>
      </c>
    </row>
    <row r="42">
      <c r="A42" s="56" t="inlineStr">
        <is>
          <t>순이익</t>
        </is>
      </c>
      <c r="B42" s="57" t="n">
        <v>-0.4</v>
      </c>
    </row>
    <row r="44">
      <c r="A44" s="54" t="inlineStr">
        <is>
          <t>Q · 2024-Q4</t>
        </is>
      </c>
      <c r="B44" s="54" t="n"/>
      <c r="C44" s="54" t="n"/>
      <c r="D44" s="54" t="n"/>
      <c r="E44" s="54" t="n"/>
      <c r="F44" s="54" t="n"/>
      <c r="G44" s="54" t="n"/>
      <c r="H44" s="54" t="n"/>
      <c r="I44" s="54" t="n"/>
      <c r="J44" s="54" t="n"/>
      <c r="K44" s="54" t="n"/>
    </row>
    <row r="45">
      <c r="A45" s="55" t="inlineStr">
        <is>
          <t>항목</t>
        </is>
      </c>
      <c r="B45" s="55" t="inlineStr">
        <is>
          <t>값</t>
        </is>
      </c>
      <c r="K45" s="55" t="inlineStr">
        <is>
          <t>출처</t>
        </is>
      </c>
    </row>
    <row r="46">
      <c r="A46" s="56" t="inlineStr">
        <is>
          <t>매출</t>
        </is>
      </c>
      <c r="B46" s="57" t="n">
        <v>53.1</v>
      </c>
      <c r="K46" s="58" t="inlineStr">
        <is>
          <t>2단계 보고서 자료(회사 설명회 자료·공시)</t>
        </is>
      </c>
    </row>
    <row r="47">
      <c r="A47" s="56" t="inlineStr">
        <is>
          <t>gp</t>
        </is>
      </c>
      <c r="B47" s="57" t="n">
        <v>33.1</v>
      </c>
    </row>
    <row r="48">
      <c r="A48" s="56" t="inlineStr">
        <is>
          <t>sga</t>
        </is>
      </c>
      <c r="B48" s="57" t="n">
        <v>25.6</v>
      </c>
    </row>
    <row r="49">
      <c r="A49" s="56" t="inlineStr">
        <is>
          <t>영업이익</t>
        </is>
      </c>
      <c r="B49" s="57" t="n">
        <v>7.5</v>
      </c>
    </row>
    <row r="50">
      <c r="A50" s="56" t="inlineStr">
        <is>
          <t>ord</t>
        </is>
      </c>
      <c r="B50" s="57" t="n">
        <v>8.82</v>
      </c>
    </row>
    <row r="51">
      <c r="A51" s="56" t="inlineStr">
        <is>
          <t>pbt</t>
        </is>
      </c>
      <c r="B51" s="57" t="n">
        <v>8.800000000000001</v>
      </c>
    </row>
    <row r="52">
      <c r="A52" s="56" t="inlineStr">
        <is>
          <t>순이익</t>
        </is>
      </c>
      <c r="B52" s="57" t="n">
        <v>6.3</v>
      </c>
    </row>
    <row r="54">
      <c r="A54" s="54" t="inlineStr">
        <is>
          <t>Q · 2025-Q1</t>
        </is>
      </c>
      <c r="B54" s="54" t="n"/>
      <c r="C54" s="54" t="n"/>
      <c r="D54" s="54" t="n"/>
      <c r="E54" s="54" t="n"/>
      <c r="F54" s="54" t="n"/>
      <c r="G54" s="54" t="n"/>
      <c r="H54" s="54" t="n"/>
      <c r="I54" s="54" t="n"/>
      <c r="J54" s="54" t="n"/>
      <c r="K54" s="54" t="n"/>
    </row>
    <row r="55">
      <c r="A55" s="55" t="inlineStr">
        <is>
          <t>항목</t>
        </is>
      </c>
      <c r="B55" s="55" t="inlineStr">
        <is>
          <t>값</t>
        </is>
      </c>
      <c r="K55" s="55" t="inlineStr">
        <is>
          <t>출처</t>
        </is>
      </c>
    </row>
    <row r="56">
      <c r="A56" s="56" t="inlineStr">
        <is>
          <t>매출</t>
        </is>
      </c>
      <c r="B56" s="57" t="n">
        <v>51.7</v>
      </c>
      <c r="K56" s="58" t="inlineStr">
        <is>
          <t>2단계 보고서 자료(회사 설명회 자료·공시)</t>
        </is>
      </c>
    </row>
    <row r="57">
      <c r="A57" s="56" t="inlineStr">
        <is>
          <t>gp</t>
        </is>
      </c>
      <c r="B57" s="57" t="n">
        <v>35.2</v>
      </c>
    </row>
    <row r="58">
      <c r="A58" s="56" t="inlineStr">
        <is>
          <t>sga</t>
        </is>
      </c>
      <c r="B58" s="57" t="n">
        <v>21.7</v>
      </c>
    </row>
    <row r="59">
      <c r="A59" s="56" t="inlineStr">
        <is>
          <t>영업이익</t>
        </is>
      </c>
      <c r="B59" s="57" t="n">
        <v>13.5</v>
      </c>
    </row>
    <row r="60">
      <c r="A60" s="56" t="inlineStr">
        <is>
          <t>ord</t>
        </is>
      </c>
      <c r="B60" s="57" t="n">
        <v>5.03</v>
      </c>
    </row>
    <row r="61">
      <c r="A61" s="56" t="inlineStr">
        <is>
          <t>pbt</t>
        </is>
      </c>
      <c r="B61" s="57" t="n">
        <v>5</v>
      </c>
    </row>
    <row r="62">
      <c r="A62" s="56" t="inlineStr">
        <is>
          <t>순이익</t>
        </is>
      </c>
      <c r="B62" s="57" t="n">
        <v>3.6</v>
      </c>
    </row>
    <row r="64">
      <c r="A64" s="54" t="inlineStr">
        <is>
          <t>Q · 2025-Q2</t>
        </is>
      </c>
      <c r="B64" s="54" t="n"/>
      <c r="C64" s="54" t="n"/>
      <c r="D64" s="54" t="n"/>
      <c r="E64" s="54" t="n"/>
      <c r="F64" s="54" t="n"/>
      <c r="G64" s="54" t="n"/>
      <c r="H64" s="54" t="n"/>
      <c r="I64" s="54" t="n"/>
      <c r="J64" s="54" t="n"/>
      <c r="K64" s="54" t="n"/>
    </row>
    <row r="65">
      <c r="A65" s="55" t="inlineStr">
        <is>
          <t>항목</t>
        </is>
      </c>
      <c r="B65" s="55" t="inlineStr">
        <is>
          <t>값</t>
        </is>
      </c>
      <c r="K65" s="55" t="inlineStr">
        <is>
          <t>출처</t>
        </is>
      </c>
    </row>
    <row r="66">
      <c r="A66" s="56" t="inlineStr">
        <is>
          <t>매출</t>
        </is>
      </c>
      <c r="B66" s="57" t="n">
        <v>38.2</v>
      </c>
      <c r="K66" s="58" t="inlineStr">
        <is>
          <t>2단계 보고서 자료(회사 설명회 자료·공시)</t>
        </is>
      </c>
    </row>
    <row r="67">
      <c r="A67" s="56" t="inlineStr">
        <is>
          <t>gp</t>
        </is>
      </c>
      <c r="B67" s="57" t="n">
        <v>24</v>
      </c>
    </row>
    <row r="68">
      <c r="A68" s="56" t="inlineStr">
        <is>
          <t>sga</t>
        </is>
      </c>
      <c r="B68" s="57" t="n">
        <v>19.1</v>
      </c>
    </row>
    <row r="69">
      <c r="A69" s="56" t="inlineStr">
        <is>
          <t>영업이익</t>
        </is>
      </c>
      <c r="B69" s="57" t="n">
        <v>4.9</v>
      </c>
    </row>
    <row r="70">
      <c r="A70" s="56" t="inlineStr">
        <is>
          <t>ord</t>
        </is>
      </c>
      <c r="B70" s="57" t="n">
        <v>6.15</v>
      </c>
    </row>
    <row r="71">
      <c r="A71" s="56" t="inlineStr">
        <is>
          <t>pbt</t>
        </is>
      </c>
      <c r="B71" s="57" t="n">
        <v>6.1</v>
      </c>
    </row>
    <row r="72">
      <c r="A72" s="56" t="inlineStr">
        <is>
          <t>순이익</t>
        </is>
      </c>
      <c r="B72" s="57" t="n">
        <v>4.7</v>
      </c>
    </row>
    <row r="74">
      <c r="A74" s="54" t="inlineStr">
        <is>
          <t>Q · 2025-Q3</t>
        </is>
      </c>
      <c r="B74" s="54" t="n"/>
      <c r="C74" s="54" t="n"/>
      <c r="D74" s="54" t="n"/>
      <c r="E74" s="54" t="n"/>
      <c r="F74" s="54" t="n"/>
      <c r="G74" s="54" t="n"/>
      <c r="H74" s="54" t="n"/>
      <c r="I74" s="54" t="n"/>
      <c r="J74" s="54" t="n"/>
      <c r="K74" s="54" t="n"/>
    </row>
    <row r="75">
      <c r="A75" s="55" t="inlineStr">
        <is>
          <t>항목</t>
        </is>
      </c>
      <c r="B75" s="55" t="inlineStr">
        <is>
          <t>값</t>
        </is>
      </c>
      <c r="K75" s="55" t="inlineStr">
        <is>
          <t>출처</t>
        </is>
      </c>
    </row>
    <row r="76">
      <c r="A76" s="56" t="inlineStr">
        <is>
          <t>매출</t>
        </is>
      </c>
      <c r="B76" s="57" t="n">
        <v>36.5</v>
      </c>
      <c r="K76" s="58" t="inlineStr">
        <is>
          <t>2단계 보고서 자료(회사 설명회 자료·공시)</t>
        </is>
      </c>
    </row>
    <row r="77">
      <c r="A77" s="56" t="inlineStr">
        <is>
          <t>gp</t>
        </is>
      </c>
      <c r="B77" s="57" t="n">
        <v>20.7</v>
      </c>
    </row>
    <row r="78">
      <c r="A78" s="56" t="inlineStr">
        <is>
          <t>sga</t>
        </is>
      </c>
      <c r="B78" s="57" t="n">
        <v>18.2</v>
      </c>
    </row>
    <row r="79">
      <c r="A79" s="56" t="inlineStr">
        <is>
          <t>영업이익</t>
        </is>
      </c>
      <c r="B79" s="57" t="n">
        <v>2.5</v>
      </c>
    </row>
    <row r="80">
      <c r="A80" s="56" t="inlineStr">
        <is>
          <t>ord</t>
        </is>
      </c>
      <c r="B80" s="57" t="n">
        <v>3.68</v>
      </c>
    </row>
    <row r="81">
      <c r="A81" s="56" t="inlineStr">
        <is>
          <t>pbt</t>
        </is>
      </c>
      <c r="B81" s="57" t="n">
        <v>3.7</v>
      </c>
    </row>
    <row r="82">
      <c r="A82" s="56" t="inlineStr">
        <is>
          <t>순이익</t>
        </is>
      </c>
      <c r="B82" s="57" t="n">
        <v>3.5</v>
      </c>
    </row>
    <row r="84">
      <c r="A84" s="54" t="inlineStr">
        <is>
          <t>Q · 2025-Q4</t>
        </is>
      </c>
      <c r="B84" s="54" t="n"/>
      <c r="C84" s="54" t="n"/>
      <c r="D84" s="54" t="n"/>
      <c r="E84" s="54" t="n"/>
      <c r="F84" s="54" t="n"/>
      <c r="G84" s="54" t="n"/>
      <c r="H84" s="54" t="n"/>
      <c r="I84" s="54" t="n"/>
      <c r="J84" s="54" t="n"/>
      <c r="K84" s="54" t="n"/>
    </row>
    <row r="85">
      <c r="A85" s="55" t="inlineStr">
        <is>
          <t>항목</t>
        </is>
      </c>
      <c r="B85" s="55" t="inlineStr">
        <is>
          <t>값</t>
        </is>
      </c>
      <c r="K85" s="55" t="inlineStr">
        <is>
          <t>출처</t>
        </is>
      </c>
    </row>
    <row r="86">
      <c r="A86" s="56" t="inlineStr">
        <is>
          <t>매출</t>
        </is>
      </c>
      <c r="B86" s="57" t="n">
        <v>31.9</v>
      </c>
      <c r="K86" s="58" t="inlineStr">
        <is>
          <t>2단계 보고서 자료(회사 설명회 자료·공시)</t>
        </is>
      </c>
    </row>
    <row r="87">
      <c r="A87" s="56" t="inlineStr">
        <is>
          <t>gp</t>
        </is>
      </c>
      <c r="B87" s="57" t="n">
        <v>15.9</v>
      </c>
    </row>
    <row r="88">
      <c r="A88" s="56" t="inlineStr">
        <is>
          <t>sga</t>
        </is>
      </c>
      <c r="B88" s="57" t="n">
        <v>16.1</v>
      </c>
    </row>
    <row r="89">
      <c r="A89" s="56" t="inlineStr">
        <is>
          <t>영업이익</t>
        </is>
      </c>
      <c r="B89" s="57" t="n">
        <v>-0.2</v>
      </c>
    </row>
    <row r="90">
      <c r="A90" s="56" t="inlineStr">
        <is>
          <t>ord</t>
        </is>
      </c>
      <c r="B90" s="57" t="n">
        <v>-0.75</v>
      </c>
    </row>
    <row r="91">
      <c r="A91" s="56" t="inlineStr">
        <is>
          <t>pbt</t>
        </is>
      </c>
      <c r="B91" s="57" t="n">
        <v>-0.7</v>
      </c>
    </row>
    <row r="92">
      <c r="A92" s="56" t="inlineStr">
        <is>
          <t>순이익</t>
        </is>
      </c>
      <c r="B92" s="57" t="n">
        <v>-0.9</v>
      </c>
    </row>
    <row r="94">
      <c r="A94" s="54" t="inlineStr">
        <is>
          <t>Q · 2026-Q1</t>
        </is>
      </c>
      <c r="B94" s="54" t="n"/>
      <c r="C94" s="54" t="n"/>
      <c r="D94" s="54" t="n"/>
      <c r="E94" s="54" t="n"/>
      <c r="F94" s="54" t="n"/>
      <c r="G94" s="54" t="n"/>
      <c r="H94" s="54" t="n"/>
      <c r="I94" s="54" t="n"/>
      <c r="J94" s="54" t="n"/>
      <c r="K94" s="54" t="n"/>
    </row>
    <row r="95">
      <c r="A95" s="55" t="inlineStr">
        <is>
          <t>항목</t>
        </is>
      </c>
      <c r="B95" s="55" t="inlineStr">
        <is>
          <t>값</t>
        </is>
      </c>
      <c r="K95" s="55" t="inlineStr">
        <is>
          <t>출처</t>
        </is>
      </c>
    </row>
    <row r="96">
      <c r="A96" s="56" t="inlineStr">
        <is>
          <t>매출</t>
        </is>
      </c>
      <c r="B96" s="57" t="n">
        <v>32.5</v>
      </c>
      <c r="K96" s="58" t="inlineStr">
        <is>
          <t>2단계 보고서 자료(회사 설명회 자료·공시)</t>
        </is>
      </c>
    </row>
    <row r="97">
      <c r="A97" s="56" t="inlineStr">
        <is>
          <t>gp</t>
        </is>
      </c>
      <c r="B97" s="57" t="n">
        <v>17.6</v>
      </c>
    </row>
    <row r="98">
      <c r="A98" s="56" t="inlineStr">
        <is>
          <t>sga</t>
        </is>
      </c>
      <c r="B98" s="57" t="n">
        <v>15.2</v>
      </c>
    </row>
    <row r="99">
      <c r="A99" s="56" t="inlineStr">
        <is>
          <t>영업이익</t>
        </is>
      </c>
      <c r="B99" s="57" t="n">
        <v>2.4</v>
      </c>
    </row>
    <row r="100">
      <c r="A100" s="56" t="inlineStr">
        <is>
          <t>ord</t>
        </is>
      </c>
      <c r="B100" s="57" t="n">
        <v>1.91</v>
      </c>
    </row>
    <row r="101">
      <c r="A101" s="56" t="inlineStr">
        <is>
          <t>pbt</t>
        </is>
      </c>
      <c r="B101" s="57" t="n">
        <v>1.9</v>
      </c>
    </row>
    <row r="102">
      <c r="A102" s="56" t="inlineStr">
        <is>
          <t>순이익</t>
        </is>
      </c>
      <c r="B102" s="57" t="n">
        <v>1.6</v>
      </c>
    </row>
    <row r="104">
      <c r="A104" s="54" t="inlineStr">
        <is>
          <t>Q · 2026-Q2</t>
        </is>
      </c>
      <c r="B104" s="54" t="n"/>
      <c r="C104" s="54" t="n"/>
      <c r="D104" s="54" t="n"/>
      <c r="E104" s="54" t="n"/>
      <c r="F104" s="54" t="n"/>
      <c r="G104" s="54" t="n"/>
      <c r="H104" s="54" t="n"/>
      <c r="I104" s="54" t="n"/>
      <c r="J104" s="54" t="n"/>
      <c r="K104" s="54" t="n"/>
    </row>
    <row r="105">
      <c r="A105" s="55" t="inlineStr">
        <is>
          <t>항목</t>
        </is>
      </c>
      <c r="B105" s="55" t="inlineStr">
        <is>
          <t>값</t>
        </is>
      </c>
      <c r="K105" s="55" t="inlineStr">
        <is>
          <t>출처</t>
        </is>
      </c>
    </row>
    <row r="106">
      <c r="A106" s="56" t="inlineStr">
        <is>
          <t>매출</t>
        </is>
      </c>
      <c r="B106" s="57" t="n">
        <v>36.2</v>
      </c>
      <c r="K106" s="58" t="inlineStr">
        <is>
          <t>2단계 보고서 자료(회사 설명회 자료·공시)</t>
        </is>
      </c>
    </row>
    <row r="107">
      <c r="A107" s="56" t="inlineStr">
        <is>
          <t>gp</t>
        </is>
      </c>
      <c r="B107" s="57" t="n">
        <v>21.4</v>
      </c>
    </row>
    <row r="108">
      <c r="A108" s="56" t="inlineStr">
        <is>
          <t>sga</t>
        </is>
      </c>
      <c r="B108" s="57" t="n">
        <v>18.5</v>
      </c>
    </row>
    <row r="109">
      <c r="A109" s="56" t="inlineStr">
        <is>
          <t>영업이익</t>
        </is>
      </c>
      <c r="B109" s="57" t="n">
        <v>2.9</v>
      </c>
    </row>
    <row r="110">
      <c r="A110" s="56" t="inlineStr">
        <is>
          <t>ord</t>
        </is>
      </c>
      <c r="B110" s="57" t="n">
        <v>1.67</v>
      </c>
    </row>
    <row r="111">
      <c r="A111" s="56" t="inlineStr">
        <is>
          <t>pbt</t>
        </is>
      </c>
      <c r="B111" s="57" t="n">
        <v>1.7</v>
      </c>
    </row>
    <row r="112">
      <c r="A112" s="56" t="inlineStr">
        <is>
          <t>순이익</t>
        </is>
      </c>
      <c r="B112" s="57" t="n">
        <v>2.2</v>
      </c>
    </row>
    <row r="114">
      <c r="A114" s="54" t="inlineStr">
        <is>
          <t>Q · 2026-Q3</t>
        </is>
      </c>
      <c r="B114" s="54" t="n"/>
      <c r="C114" s="54" t="n"/>
      <c r="D114" s="54" t="n"/>
      <c r="E114" s="54" t="n"/>
      <c r="F114" s="54" t="n"/>
      <c r="G114" s="54" t="n"/>
      <c r="H114" s="54" t="n"/>
      <c r="I114" s="54" t="n"/>
      <c r="J114" s="54" t="n"/>
      <c r="K114" s="54" t="n"/>
    </row>
    <row r="115">
      <c r="A115" s="55" t="inlineStr">
        <is>
          <t>항목</t>
        </is>
      </c>
      <c r="B115" s="55" t="inlineStr">
        <is>
          <t>값</t>
        </is>
      </c>
      <c r="K115" s="55" t="inlineStr">
        <is>
          <t>출처</t>
        </is>
      </c>
    </row>
    <row r="116">
      <c r="A116" s="56" t="inlineStr">
        <is>
          <t>매출</t>
        </is>
      </c>
      <c r="B116" s="57" t="n">
        <v>43</v>
      </c>
      <c r="K116" s="58" t="inlineStr">
        <is>
          <t>2단계 보고서 자료(회사 설명회 자료·공시)</t>
        </is>
      </c>
    </row>
    <row r="117">
      <c r="A117" s="56" t="inlineStr">
        <is>
          <t>gp</t>
        </is>
      </c>
      <c r="B117" s="57" t="n">
        <v>26.9</v>
      </c>
    </row>
    <row r="118">
      <c r="A118" s="56" t="inlineStr">
        <is>
          <t>sga</t>
        </is>
      </c>
      <c r="B118" s="57" t="n">
        <v>19.3</v>
      </c>
    </row>
    <row r="119">
      <c r="A119" s="56" t="inlineStr">
        <is>
          <t>영업이익</t>
        </is>
      </c>
      <c r="B119" s="57" t="n">
        <v>7.6</v>
      </c>
    </row>
    <row r="120">
      <c r="A120" s="56" t="inlineStr">
        <is>
          <t>ord</t>
        </is>
      </c>
      <c r="B120" s="57" t="n">
        <v>6.65</v>
      </c>
    </row>
    <row r="121">
      <c r="A121" s="56" t="inlineStr">
        <is>
          <t>pbt</t>
        </is>
      </c>
      <c r="B121" s="57" t="n">
        <v>6.7</v>
      </c>
    </row>
    <row r="122">
      <c r="A122" s="56" t="inlineStr">
        <is>
          <t>순이익</t>
        </is>
      </c>
      <c r="B122" s="57" t="n">
        <v>5.2</v>
      </c>
    </row>
    <row r="124">
      <c r="A124" s="54" t="inlineStr">
        <is>
          <t>A · FY2019</t>
        </is>
      </c>
      <c r="B124" s="54" t="n"/>
      <c r="C124" s="54" t="n"/>
      <c r="D124" s="54" t="n"/>
      <c r="E124" s="54" t="n"/>
      <c r="F124" s="54" t="n"/>
      <c r="G124" s="54" t="n"/>
      <c r="H124" s="54" t="n"/>
      <c r="I124" s="54" t="n"/>
      <c r="J124" s="54" t="n"/>
      <c r="K124" s="54" t="n"/>
    </row>
    <row r="125">
      <c r="A125" s="55" t="inlineStr">
        <is>
          <t>항목</t>
        </is>
      </c>
      <c r="B125" s="55" t="inlineStr">
        <is>
          <t>값</t>
        </is>
      </c>
      <c r="K125" s="55" t="inlineStr">
        <is>
          <t>출처</t>
        </is>
      </c>
    </row>
    <row r="126">
      <c r="A126" s="56" t="inlineStr">
        <is>
          <t>매출</t>
        </is>
      </c>
      <c r="B126" s="57" t="n">
        <v>56.4</v>
      </c>
      <c r="K126" s="58" t="inlineStr">
        <is>
          <t>2단계 보고서 자료(회사 설명회 자료·공시)</t>
        </is>
      </c>
    </row>
    <row r="127">
      <c r="A127" s="56" t="inlineStr">
        <is>
          <t>gp</t>
        </is>
      </c>
      <c r="B127" s="57" t="n">
        <v>31.6</v>
      </c>
    </row>
    <row r="128">
      <c r="A128" s="56" t="inlineStr">
        <is>
          <t>sga</t>
        </is>
      </c>
      <c r="B128" s="57" t="n">
        <v>40.3</v>
      </c>
    </row>
    <row r="129">
      <c r="A129" s="56" t="inlineStr">
        <is>
          <t>영업이익</t>
        </is>
      </c>
      <c r="B129" s="57" t="n">
        <v>-8.699999999999999</v>
      </c>
    </row>
    <row r="130">
      <c r="A130" s="56" t="inlineStr">
        <is>
          <t>ord</t>
        </is>
      </c>
      <c r="B130" s="57" t="n">
        <v>-8.75</v>
      </c>
    </row>
    <row r="131">
      <c r="A131" s="56" t="inlineStr">
        <is>
          <t>순이익</t>
        </is>
      </c>
      <c r="B131" s="57" t="n">
        <v>-12.01</v>
      </c>
    </row>
    <row r="133">
      <c r="A133" s="54" t="inlineStr">
        <is>
          <t>A · FY2020</t>
        </is>
      </c>
      <c r="B133" s="54" t="n"/>
      <c r="C133" s="54" t="n"/>
      <c r="D133" s="54" t="n"/>
      <c r="E133" s="54" t="n"/>
      <c r="F133" s="54" t="n"/>
      <c r="G133" s="54" t="n"/>
      <c r="H133" s="54" t="n"/>
      <c r="I133" s="54" t="n"/>
      <c r="J133" s="54" t="n"/>
      <c r="K133" s="54" t="n"/>
    </row>
    <row r="134">
      <c r="A134" s="55" t="inlineStr">
        <is>
          <t>항목</t>
        </is>
      </c>
      <c r="B134" s="55" t="inlineStr">
        <is>
          <t>값</t>
        </is>
      </c>
      <c r="K134" s="55" t="inlineStr">
        <is>
          <t>출처</t>
        </is>
      </c>
    </row>
    <row r="135">
      <c r="A135" s="56" t="inlineStr">
        <is>
          <t>매출</t>
        </is>
      </c>
      <c r="B135" s="57" t="n">
        <v>119</v>
      </c>
      <c r="K135" s="58" t="inlineStr">
        <is>
          <t>2단계 보고서 자료(회사 설명회 자료·공시)</t>
        </is>
      </c>
    </row>
    <row r="136">
      <c r="A136" s="56" t="inlineStr">
        <is>
          <t>gp</t>
        </is>
      </c>
      <c r="B136" s="57" t="n">
        <v>77.40000000000001</v>
      </c>
    </row>
    <row r="137">
      <c r="A137" s="56" t="inlineStr">
        <is>
          <t>sga</t>
        </is>
      </c>
      <c r="B137" s="57" t="n">
        <v>60.6</v>
      </c>
    </row>
    <row r="138">
      <c r="A138" s="56" t="inlineStr">
        <is>
          <t>영업이익</t>
        </is>
      </c>
      <c r="B138" s="57" t="n">
        <v>16.7</v>
      </c>
    </row>
    <row r="139">
      <c r="A139" s="56" t="inlineStr">
        <is>
          <t>ord</t>
        </is>
      </c>
      <c r="B139" s="57" t="n">
        <v>16.53</v>
      </c>
    </row>
    <row r="140">
      <c r="A140" s="56" t="inlineStr">
        <is>
          <t>순이익</t>
        </is>
      </c>
      <c r="B140" s="57" t="n">
        <v>16.93</v>
      </c>
    </row>
    <row r="142">
      <c r="A142" s="54" t="inlineStr">
        <is>
          <t>A · FY2021</t>
        </is>
      </c>
      <c r="B142" s="54" t="n"/>
      <c r="C142" s="54" t="n"/>
      <c r="D142" s="54" t="n"/>
      <c r="E142" s="54" t="n"/>
      <c r="F142" s="54" t="n"/>
      <c r="G142" s="54" t="n"/>
      <c r="H142" s="54" t="n"/>
      <c r="I142" s="54" t="n"/>
      <c r="J142" s="54" t="n"/>
      <c r="K142" s="54" t="n"/>
    </row>
    <row r="143">
      <c r="A143" s="55" t="inlineStr">
        <is>
          <t>항목</t>
        </is>
      </c>
      <c r="B143" s="55" t="inlineStr">
        <is>
          <t>값</t>
        </is>
      </c>
      <c r="K143" s="55" t="inlineStr">
        <is>
          <t>출처</t>
        </is>
      </c>
    </row>
    <row r="144">
      <c r="A144" s="56" t="inlineStr">
        <is>
          <t>매출</t>
        </is>
      </c>
      <c r="B144" s="57" t="n">
        <v>120.5</v>
      </c>
      <c r="K144" s="58" t="inlineStr">
        <is>
          <t>2단계 보고서 자료(회사 설명회 자료·공시)</t>
        </is>
      </c>
    </row>
    <row r="145">
      <c r="A145" s="56" t="inlineStr">
        <is>
          <t>gp</t>
        </is>
      </c>
      <c r="B145" s="57" t="n">
        <v>75</v>
      </c>
    </row>
    <row r="146">
      <c r="A146" s="56" t="inlineStr">
        <is>
          <t>sga</t>
        </is>
      </c>
      <c r="B146" s="57" t="n">
        <v>60.1</v>
      </c>
    </row>
    <row r="147">
      <c r="A147" s="56" t="inlineStr">
        <is>
          <t>영업이익</t>
        </is>
      </c>
      <c r="B147" s="57" t="n">
        <v>14.9</v>
      </c>
    </row>
    <row r="148">
      <c r="A148" s="56" t="inlineStr">
        <is>
          <t>ord</t>
        </is>
      </c>
      <c r="B148" s="57" t="n">
        <v>14.43</v>
      </c>
    </row>
    <row r="149">
      <c r="A149" s="56" t="inlineStr">
        <is>
          <t>순이익</t>
        </is>
      </c>
      <c r="B149" s="57" t="n">
        <v>11.7</v>
      </c>
    </row>
    <row r="151">
      <c r="A151" s="54" t="inlineStr">
        <is>
          <t>A · FY2022</t>
        </is>
      </c>
      <c r="B151" s="54" t="n"/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54" t="n"/>
    </row>
    <row r="152">
      <c r="A152" s="55" t="inlineStr">
        <is>
          <t>항목</t>
        </is>
      </c>
      <c r="B152" s="55" t="inlineStr">
        <is>
          <t>값</t>
        </is>
      </c>
      <c r="K152" s="55" t="inlineStr">
        <is>
          <t>출처</t>
        </is>
      </c>
    </row>
    <row r="153">
      <c r="A153" s="56" t="inlineStr">
        <is>
          <t>매출</t>
        </is>
      </c>
      <c r="B153" s="57" t="n">
        <v>136.7</v>
      </c>
      <c r="K153" s="58" t="inlineStr">
        <is>
          <t>2단계 보고서 자료(회사 설명회 자료·공시)</t>
        </is>
      </c>
    </row>
    <row r="154">
      <c r="A154" s="56" t="inlineStr">
        <is>
          <t>gp</t>
        </is>
      </c>
      <c r="B154" s="57" t="n">
        <v>75.09999999999999</v>
      </c>
    </row>
    <row r="155">
      <c r="A155" s="56" t="inlineStr">
        <is>
          <t>sga</t>
        </is>
      </c>
      <c r="B155" s="57" t="n">
        <v>71.09999999999999</v>
      </c>
    </row>
    <row r="156">
      <c r="A156" s="56" t="inlineStr">
        <is>
          <t>영업이익</t>
        </is>
      </c>
      <c r="B156" s="57" t="n">
        <v>4</v>
      </c>
    </row>
    <row r="157">
      <c r="A157" s="56" t="inlineStr">
        <is>
          <t>ord</t>
        </is>
      </c>
      <c r="B157" s="57" t="n">
        <v>3.15</v>
      </c>
    </row>
    <row r="158">
      <c r="A158" s="56" t="inlineStr">
        <is>
          <t>순이익</t>
        </is>
      </c>
      <c r="B158" s="57" t="n">
        <v>6.01</v>
      </c>
    </row>
    <row r="160">
      <c r="A160" s="54" t="inlineStr">
        <is>
          <t>A · FY2023</t>
        </is>
      </c>
      <c r="B160" s="54" t="n"/>
      <c r="C160" s="54" t="n"/>
      <c r="D160" s="54" t="n"/>
      <c r="E160" s="54" t="n"/>
      <c r="F160" s="54" t="n"/>
      <c r="G160" s="54" t="n"/>
      <c r="H160" s="54" t="n"/>
      <c r="I160" s="54" t="n"/>
      <c r="J160" s="54" t="n"/>
      <c r="K160" s="54" t="n"/>
    </row>
    <row r="161">
      <c r="A161" s="55" t="inlineStr">
        <is>
          <t>항목</t>
        </is>
      </c>
      <c r="B161" s="55" t="inlineStr">
        <is>
          <t>값</t>
        </is>
      </c>
      <c r="K161" s="55" t="inlineStr">
        <is>
          <t>출처</t>
        </is>
      </c>
    </row>
    <row r="162">
      <c r="A162" s="56" t="inlineStr">
        <is>
          <t>매출</t>
        </is>
      </c>
      <c r="B162" s="57" t="n">
        <v>182</v>
      </c>
      <c r="K162" s="58" t="inlineStr">
        <is>
          <t>2단계 보고서 자료(회사 설명회 자료·공시)</t>
        </is>
      </c>
    </row>
    <row r="163">
      <c r="A163" s="56" t="inlineStr">
        <is>
          <t>gp</t>
        </is>
      </c>
      <c r="B163" s="57" t="n">
        <v>100.9</v>
      </c>
    </row>
    <row r="164">
      <c r="A164" s="56" t="inlineStr">
        <is>
          <t>sga</t>
        </is>
      </c>
      <c r="B164" s="57" t="n">
        <v>114</v>
      </c>
    </row>
    <row r="165">
      <c r="A165" s="56" t="inlineStr">
        <is>
          <t>영업이익</t>
        </is>
      </c>
      <c r="B165" s="57" t="n">
        <v>-13.1</v>
      </c>
    </row>
    <row r="166">
      <c r="A166" s="56" t="inlineStr">
        <is>
          <t>ord</t>
        </is>
      </c>
      <c r="B166" s="57" t="n">
        <v>-11</v>
      </c>
    </row>
    <row r="167">
      <c r="A167" s="56" t="inlineStr">
        <is>
          <t>순이익</t>
        </is>
      </c>
      <c r="B167" s="57" t="n">
        <v>-22.27</v>
      </c>
    </row>
    <row r="169">
      <c r="A169" s="54" t="inlineStr">
        <is>
          <t>A · FY2024</t>
        </is>
      </c>
      <c r="B169" s="54" t="n"/>
      <c r="C169" s="54" t="n"/>
      <c r="D169" s="54" t="n"/>
      <c r="E169" s="54" t="n"/>
      <c r="F169" s="54" t="n"/>
      <c r="G169" s="54" t="n"/>
      <c r="H169" s="54" t="n"/>
      <c r="I169" s="54" t="n"/>
      <c r="J169" s="54" t="n"/>
      <c r="K169" s="54" t="n"/>
    </row>
    <row r="170">
      <c r="A170" s="55" t="inlineStr">
        <is>
          <t>항목</t>
        </is>
      </c>
      <c r="B170" s="55" t="inlineStr">
        <is>
          <t>값</t>
        </is>
      </c>
      <c r="K170" s="55" t="inlineStr">
        <is>
          <t>출처</t>
        </is>
      </c>
    </row>
    <row r="171">
      <c r="A171" s="56" t="inlineStr">
        <is>
          <t>매출</t>
        </is>
      </c>
      <c r="B171" s="57" t="n">
        <v>170.9</v>
      </c>
      <c r="K171" s="58" t="inlineStr">
        <is>
          <t>2단계 보고서 자료(회사 설명회 자료·공시)</t>
        </is>
      </c>
    </row>
    <row r="172">
      <c r="A172" s="56" t="inlineStr">
        <is>
          <t>gp</t>
        </is>
      </c>
      <c r="B172" s="57" t="n">
        <v>94.8</v>
      </c>
    </row>
    <row r="173">
      <c r="A173" s="56" t="inlineStr">
        <is>
          <t>sga</t>
        </is>
      </c>
      <c r="B173" s="57" t="n">
        <v>100.3</v>
      </c>
    </row>
    <row r="174">
      <c r="A174" s="56" t="inlineStr">
        <is>
          <t>영업이익</t>
        </is>
      </c>
      <c r="B174" s="57" t="n">
        <v>-5.5</v>
      </c>
    </row>
    <row r="175">
      <c r="A175" s="56" t="inlineStr">
        <is>
          <t>ord</t>
        </is>
      </c>
      <c r="B175" s="57" t="n">
        <v>-1.5</v>
      </c>
    </row>
    <row r="176">
      <c r="A176" s="56" t="inlineStr">
        <is>
          <t>순이익</t>
        </is>
      </c>
      <c r="B176" s="57" t="n">
        <v>-3.41</v>
      </c>
    </row>
    <row r="178">
      <c r="A178" s="54" t="inlineStr">
        <is>
          <t>A · FY2025</t>
        </is>
      </c>
      <c r="B178" s="54" t="n"/>
      <c r="C178" s="54" t="n"/>
      <c r="D178" s="54" t="n"/>
      <c r="E178" s="54" t="n"/>
      <c r="F178" s="54" t="n"/>
      <c r="G178" s="54" t="n"/>
      <c r="H178" s="54" t="n"/>
      <c r="I178" s="54" t="n"/>
      <c r="J178" s="54" t="n"/>
      <c r="K178" s="54" t="n"/>
    </row>
    <row r="179">
      <c r="A179" s="55" t="inlineStr">
        <is>
          <t>항목</t>
        </is>
      </c>
      <c r="B179" s="55" t="inlineStr">
        <is>
          <t>값</t>
        </is>
      </c>
      <c r="K179" s="55" t="inlineStr">
        <is>
          <t>출처</t>
        </is>
      </c>
    </row>
    <row r="180">
      <c r="A180" s="56" t="inlineStr">
        <is>
          <t>매출</t>
        </is>
      </c>
      <c r="B180" s="57" t="n">
        <v>158.3</v>
      </c>
      <c r="K180" s="58" t="inlineStr">
        <is>
          <t>2단계 보고서 자료(회사 설명회 자료·공시)</t>
        </is>
      </c>
    </row>
    <row r="181">
      <c r="A181" s="56" t="inlineStr">
        <is>
          <t>gp</t>
        </is>
      </c>
      <c r="B181" s="57" t="n">
        <v>95.8</v>
      </c>
    </row>
    <row r="182">
      <c r="A182" s="56" t="inlineStr">
        <is>
          <t>sga</t>
        </is>
      </c>
      <c r="B182" s="57" t="n">
        <v>75</v>
      </c>
    </row>
    <row r="183">
      <c r="A183" s="56" t="inlineStr">
        <is>
          <t>영업이익</t>
        </is>
      </c>
      <c r="B183" s="57" t="n">
        <v>20.8</v>
      </c>
    </row>
    <row r="184">
      <c r="A184" s="56" t="inlineStr">
        <is>
          <t>ord</t>
        </is>
      </c>
      <c r="B184" s="57" t="n">
        <v>14.11</v>
      </c>
    </row>
    <row r="185">
      <c r="A185" s="56" t="inlineStr">
        <is>
          <t>순이익</t>
        </is>
      </c>
      <c r="B185" s="57" t="n">
        <v>10.86</v>
      </c>
    </row>
    <row r="187">
      <c r="A187" s="54" t="inlineStr">
        <is>
          <t>FC</t>
        </is>
      </c>
      <c r="B187" s="54" t="n"/>
      <c r="C187" s="54" t="n"/>
      <c r="D187" s="54" t="n"/>
      <c r="E187" s="54" t="n"/>
      <c r="F187" s="54" t="n"/>
      <c r="G187" s="54" t="n"/>
      <c r="H187" s="54" t="n"/>
      <c r="I187" s="54" t="n"/>
      <c r="J187" s="54" t="n"/>
      <c r="K187" s="54" t="n"/>
    </row>
    <row r="188">
      <c r="A188" s="55" t="inlineStr">
        <is>
          <t>항목</t>
        </is>
      </c>
      <c r="B188" s="55" t="inlineStr">
        <is>
          <t>2024-Q4</t>
        </is>
      </c>
      <c r="C188" s="55" t="inlineStr">
        <is>
          <t>2025-Q1</t>
        </is>
      </c>
      <c r="D188" s="55" t="inlineStr">
        <is>
          <t>2025-Q2</t>
        </is>
      </c>
      <c r="E188" s="55" t="inlineStr">
        <is>
          <t>2025-Q3</t>
        </is>
      </c>
      <c r="F188" s="55" t="inlineStr">
        <is>
          <t>2025-Q4</t>
        </is>
      </c>
      <c r="G188" s="55" t="inlineStr">
        <is>
          <t>2026-Q1</t>
        </is>
      </c>
      <c r="H188" s="55" t="inlineStr">
        <is>
          <t>2026-Q2</t>
        </is>
      </c>
      <c r="I188" s="55" t="inlineStr">
        <is>
          <t>2026-Q3</t>
        </is>
      </c>
      <c r="J188" s="55" t="inlineStr">
        <is>
          <t>2026-Q4</t>
        </is>
      </c>
      <c r="K188" s="55" t="inlineStr">
        <is>
          <t>출처</t>
        </is>
      </c>
    </row>
    <row r="189">
      <c r="A189" s="56" t="inlineStr">
        <is>
          <t>매출 fc</t>
        </is>
      </c>
      <c r="B189" s="57" t="n">
        <v>57.33</v>
      </c>
      <c r="C189" s="57" t="n">
        <v>51.27</v>
      </c>
      <c r="D189" s="57" t="n">
        <v>35.99</v>
      </c>
      <c r="E189" s="57" t="n">
        <v>36.5</v>
      </c>
      <c r="F189" s="57" t="n">
        <v>33.41</v>
      </c>
      <c r="G189" s="57" t="n">
        <v>34.09</v>
      </c>
      <c r="H189" s="57" t="n">
        <v>34.96</v>
      </c>
      <c r="I189" s="57" t="n">
        <v>44.8</v>
      </c>
      <c r="J189" s="57" t="n">
        <v>35.09</v>
      </c>
      <c r="K189" s="58" t="inlineStr">
        <is>
          <t>2단계 보고서 자료(회사 설명회 자료·공시)</t>
        </is>
      </c>
    </row>
    <row r="190">
      <c r="A190" s="56" t="inlineStr">
        <is>
          <t>영업이익 fc</t>
        </is>
      </c>
      <c r="B190" s="57" t="n">
        <v>10.57</v>
      </c>
      <c r="C190" s="57" t="n">
        <v>11.69</v>
      </c>
      <c r="D190" s="57" t="n">
        <v>1.17</v>
      </c>
      <c r="E190" s="57" t="n">
        <v>-0.09</v>
      </c>
      <c r="F190" s="57" t="n">
        <v>-1.63</v>
      </c>
      <c r="G190" s="57" t="n">
        <v>1.29</v>
      </c>
      <c r="H190" s="57" t="n">
        <v>0.86</v>
      </c>
      <c r="I190" s="57" t="n">
        <v>4.83</v>
      </c>
      <c r="J190" s="57" t="n">
        <v>1.3</v>
      </c>
    </row>
    <row r="191">
      <c r="A191" s="56" t="inlineStr">
        <is>
          <t>순이익 fc</t>
        </is>
      </c>
      <c r="B191" s="57" t="n">
        <v>4.57</v>
      </c>
      <c r="C191" s="57" t="n">
        <v>1.1</v>
      </c>
      <c r="D191" s="57" t="n">
        <v>0.61</v>
      </c>
      <c r="E191" s="57" t="n">
        <v>0</v>
      </c>
      <c r="F191" s="57" t="n">
        <v>-2.8</v>
      </c>
      <c r="G191" s="57" t="n">
        <v>0.42</v>
      </c>
      <c r="H191" s="57" t="n">
        <v>-0.55</v>
      </c>
      <c r="I191" s="57" t="n">
        <v>2.39</v>
      </c>
      <c r="J191" s="57" t="n">
        <v>0.36</v>
      </c>
    </row>
    <row r="192">
      <c r="A192" s="56" t="inlineStr">
        <is>
          <t>매출 act</t>
        </is>
      </c>
      <c r="B192" s="57" t="n">
        <v>53.1</v>
      </c>
      <c r="C192" s="57" t="n">
        <v>51.7</v>
      </c>
      <c r="D192" s="57" t="n">
        <v>38.2</v>
      </c>
      <c r="E192" s="57" t="n">
        <v>36.5</v>
      </c>
      <c r="F192" s="57" t="n">
        <v>31.9</v>
      </c>
      <c r="G192" s="57" t="n">
        <v>32.5</v>
      </c>
      <c r="H192" s="57" t="n">
        <v>36.2</v>
      </c>
      <c r="I192" s="57" t="n">
        <v>43</v>
      </c>
      <c r="J192" s="59" t="n"/>
    </row>
    <row r="193">
      <c r="A193" s="56" t="inlineStr">
        <is>
          <t>영업이익 act</t>
        </is>
      </c>
      <c r="B193" s="57" t="n">
        <v>7.5</v>
      </c>
      <c r="C193" s="57" t="n">
        <v>13.5</v>
      </c>
      <c r="D193" s="57" t="n">
        <v>4.9</v>
      </c>
      <c r="E193" s="57" t="n">
        <v>2.5</v>
      </c>
      <c r="F193" s="57" t="n">
        <v>-0.2</v>
      </c>
      <c r="G193" s="57" t="n">
        <v>2.4</v>
      </c>
      <c r="H193" s="57" t="n">
        <v>2.9</v>
      </c>
      <c r="I193" s="57" t="n">
        <v>7.6</v>
      </c>
      <c r="J193" s="59" t="n"/>
    </row>
    <row r="195">
      <c r="A195" s="54" t="inlineStr">
        <is>
          <t>service split · FY2024</t>
        </is>
      </c>
      <c r="B195" s="54" t="n"/>
      <c r="C195" s="54" t="n"/>
      <c r="D195" s="54" t="n"/>
      <c r="E195" s="54" t="n"/>
      <c r="F195" s="54" t="n"/>
      <c r="G195" s="54" t="n"/>
      <c r="H195" s="54" t="n"/>
      <c r="I195" s="54" t="n"/>
      <c r="J195" s="54" t="n"/>
      <c r="K195" s="54" t="n"/>
    </row>
    <row r="196">
      <c r="A196" s="55" t="inlineStr">
        <is>
          <t>항목</t>
        </is>
      </c>
      <c r="B196" s="55" t="inlineStr">
        <is>
          <t>값</t>
        </is>
      </c>
      <c r="K196" s="55" t="inlineStr">
        <is>
          <t>출처</t>
        </is>
      </c>
    </row>
    <row r="197">
      <c r="A197" s="56" t="inlineStr">
        <is>
          <t>배신</t>
        </is>
      </c>
      <c r="B197" s="57" t="n">
        <v>143.88</v>
      </c>
      <c r="K197" s="58" t="inlineStr">
        <is>
          <t>2단계 보고서 자료(회사 설명회 자료·공시)</t>
        </is>
      </c>
    </row>
    <row r="198">
      <c r="A198" s="56" t="inlineStr">
        <is>
          <t>수탁</t>
        </is>
      </c>
      <c r="B198" s="57" t="n">
        <v>26.98</v>
      </c>
    </row>
    <row r="200">
      <c r="A200" s="54" t="inlineStr">
        <is>
          <t>service split · FY2025</t>
        </is>
      </c>
      <c r="B200" s="54" t="n"/>
      <c r="C200" s="54" t="n"/>
      <c r="D200" s="54" t="n"/>
      <c r="E200" s="54" t="n"/>
      <c r="F200" s="54" t="n"/>
      <c r="G200" s="54" t="n"/>
      <c r="H200" s="54" t="n"/>
      <c r="I200" s="54" t="n"/>
      <c r="J200" s="54" t="n"/>
      <c r="K200" s="54" t="n"/>
    </row>
    <row r="201">
      <c r="A201" s="55" t="inlineStr">
        <is>
          <t>항목</t>
        </is>
      </c>
      <c r="B201" s="55" t="inlineStr">
        <is>
          <t>값</t>
        </is>
      </c>
      <c r="K201" s="55" t="inlineStr">
        <is>
          <t>출처</t>
        </is>
      </c>
    </row>
    <row r="202">
      <c r="A202" s="56" t="inlineStr">
        <is>
          <t>배신</t>
        </is>
      </c>
      <c r="B202" s="57" t="n">
        <v>112.12</v>
      </c>
      <c r="K202" s="58" t="inlineStr">
        <is>
          <t>2단계 보고서 자료(회사 설명회 자료·공시)</t>
        </is>
      </c>
    </row>
    <row r="203">
      <c r="A203" s="56" t="inlineStr">
        <is>
          <t>수탁</t>
        </is>
      </c>
      <c r="B203" s="57" t="n">
        <v>46.14</v>
      </c>
    </row>
    <row r="205">
      <c r="A205" s="54" t="inlineStr">
        <is>
          <t>guide fy26</t>
        </is>
      </c>
      <c r="B205" s="54" t="n"/>
      <c r="C205" s="54" t="n"/>
      <c r="D205" s="54" t="n"/>
      <c r="E205" s="54" t="n"/>
      <c r="F205" s="54" t="n"/>
      <c r="G205" s="54" t="n"/>
      <c r="H205" s="54" t="n"/>
      <c r="I205" s="54" t="n"/>
      <c r="J205" s="54" t="n"/>
      <c r="K205" s="54" t="n"/>
    </row>
    <row r="206">
      <c r="A206" s="55" t="inlineStr">
        <is>
          <t>항목</t>
        </is>
      </c>
      <c r="B206" s="55" t="inlineStr">
        <is>
          <t>값</t>
        </is>
      </c>
      <c r="K206" s="55" t="inlineStr">
        <is>
          <t>출처</t>
        </is>
      </c>
    </row>
    <row r="207">
      <c r="A207" s="56" t="inlineStr">
        <is>
          <t>매출</t>
        </is>
      </c>
      <c r="B207" s="57" t="n">
        <v>146.76</v>
      </c>
      <c r="K207" s="58" t="inlineStr">
        <is>
          <t>2단계 보고서 자료(회사 설명회 자료·공시)</t>
        </is>
      </c>
    </row>
    <row r="208">
      <c r="A208" s="56" t="inlineStr">
        <is>
          <t>영업이익</t>
        </is>
      </c>
      <c r="B208" s="57" t="n">
        <v>14.19</v>
      </c>
    </row>
    <row r="209">
      <c r="A209" s="56" t="inlineStr">
        <is>
          <t>ord</t>
        </is>
      </c>
      <c r="B209" s="57" t="n">
        <v>10.66</v>
      </c>
    </row>
    <row r="210">
      <c r="A210" s="56" t="inlineStr">
        <is>
          <t>순이익</t>
        </is>
      </c>
      <c r="B210" s="57" t="n">
        <v>9.380000000000001</v>
      </c>
    </row>
    <row r="211">
      <c r="A211" s="56" t="inlineStr">
        <is>
          <t>EPS</t>
        </is>
      </c>
      <c r="B211" s="57" t="n">
        <v>20.11</v>
      </c>
    </row>
    <row r="213">
      <c r="A213" s="54" t="inlineStr">
        <is>
          <t>guide 4q26</t>
        </is>
      </c>
      <c r="B213" s="54" t="n"/>
      <c r="C213" s="54" t="n"/>
      <c r="D213" s="54" t="n"/>
      <c r="E213" s="54" t="n"/>
      <c r="F213" s="54" t="n"/>
      <c r="G213" s="54" t="n"/>
      <c r="H213" s="54" t="n"/>
      <c r="I213" s="54" t="n"/>
      <c r="J213" s="54" t="n"/>
      <c r="K213" s="54" t="n"/>
    </row>
    <row r="214">
      <c r="A214" s="55" t="inlineStr">
        <is>
          <t>항목</t>
        </is>
      </c>
      <c r="B214" s="55" t="inlineStr">
        <is>
          <t>값</t>
        </is>
      </c>
      <c r="K214" s="55" t="inlineStr">
        <is>
          <t>출처</t>
        </is>
      </c>
    </row>
    <row r="215">
      <c r="A215" s="56" t="inlineStr">
        <is>
          <t>매출</t>
        </is>
      </c>
      <c r="B215" s="57" t="n">
        <v>35.09</v>
      </c>
      <c r="K215" s="58" t="inlineStr">
        <is>
          <t>2단계 보고서 자료(회사 설명회 자료·공시)</t>
        </is>
      </c>
    </row>
    <row r="216">
      <c r="A216" s="56" t="inlineStr">
        <is>
          <t>gp</t>
        </is>
      </c>
      <c r="B216" s="57" t="n">
        <v>20.86</v>
      </c>
    </row>
    <row r="217">
      <c r="A217" s="56" t="inlineStr">
        <is>
          <t>sga</t>
        </is>
      </c>
      <c r="B217" s="57" t="n">
        <v>19.55</v>
      </c>
    </row>
    <row r="218">
      <c r="A218" s="56" t="inlineStr">
        <is>
          <t>영업이익</t>
        </is>
      </c>
      <c r="B218" s="57" t="n">
        <v>1.3</v>
      </c>
    </row>
    <row r="219">
      <c r="A219" s="56" t="inlineStr">
        <is>
          <t>ord</t>
        </is>
      </c>
      <c r="B219" s="57" t="n">
        <v>0.43</v>
      </c>
    </row>
    <row r="220">
      <c r="A220" s="56" t="inlineStr">
        <is>
          <t>순이익</t>
        </is>
      </c>
      <c r="B220" s="57" t="n">
        <v>0.36</v>
      </c>
    </row>
    <row r="222">
      <c r="A222" s="54" t="inlineStr">
        <is>
          <t>reactions</t>
        </is>
      </c>
      <c r="B222" s="54" t="n"/>
      <c r="C222" s="54" t="n"/>
      <c r="D222" s="54" t="n"/>
      <c r="E222" s="54" t="n"/>
      <c r="F222" s="54" t="n"/>
      <c r="G222" s="54" t="n"/>
      <c r="H222" s="54" t="n"/>
      <c r="I222" s="54" t="n"/>
      <c r="J222" s="54" t="n"/>
      <c r="K222" s="54" t="n"/>
    </row>
    <row r="223">
      <c r="A223" s="55" t="inlineStr">
        <is>
          <t>항목</t>
        </is>
      </c>
      <c r="B223" s="55" t="inlineStr">
        <is>
          <t>기준일</t>
        </is>
      </c>
      <c r="C223" s="55" t="inlineStr">
        <is>
          <t>다음날</t>
        </is>
      </c>
      <c r="D223" s="55" t="inlineStr">
        <is>
          <t>등락%</t>
        </is>
      </c>
      <c r="K223" s="55" t="inlineStr">
        <is>
          <t>출처</t>
        </is>
      </c>
    </row>
    <row r="224">
      <c r="A224" s="56" t="inlineStr">
        <is>
          <t>2025-02-14</t>
        </is>
      </c>
      <c r="B224" s="59" t="inlineStr">
        <is>
          <t>2025-02-14</t>
        </is>
      </c>
      <c r="C224" s="59" t="inlineStr">
        <is>
          <t>2025-02-17</t>
        </is>
      </c>
      <c r="D224" s="57" t="n">
        <v>5.7</v>
      </c>
      <c r="K224" s="58" t="inlineStr">
        <is>
          <t>2단계 보고서 자료(회사 설명회 자료·공시)</t>
        </is>
      </c>
    </row>
    <row r="225">
      <c r="A225" s="56" t="inlineStr">
        <is>
          <t>2025-04-28</t>
        </is>
      </c>
      <c r="B225" s="59" t="inlineStr">
        <is>
          <t>2025-04-28</t>
        </is>
      </c>
      <c r="C225" s="59" t="inlineStr">
        <is>
          <t>2025-04-30</t>
        </is>
      </c>
      <c r="D225" s="57" t="n">
        <v>25.1</v>
      </c>
    </row>
    <row r="226">
      <c r="A226" s="56" t="inlineStr">
        <is>
          <t>2025-07-29</t>
        </is>
      </c>
      <c r="B226" s="59" t="inlineStr">
        <is>
          <t>2025-07-29</t>
        </is>
      </c>
      <c r="C226" s="59" t="inlineStr">
        <is>
          <t>2025-07-30</t>
        </is>
      </c>
      <c r="D226" s="57" t="n">
        <v>21.2</v>
      </c>
    </row>
    <row r="227">
      <c r="A227" s="56" t="inlineStr">
        <is>
          <t>2025-10-28</t>
        </is>
      </c>
      <c r="B227" s="59" t="inlineStr">
        <is>
          <t>2025-10-28</t>
        </is>
      </c>
      <c r="C227" s="59" t="inlineStr">
        <is>
          <t>2025-10-29</t>
        </is>
      </c>
      <c r="D227" s="57" t="n">
        <v>-7.7</v>
      </c>
    </row>
    <row r="228">
      <c r="A228" s="56" t="inlineStr">
        <is>
          <t>2026-02-13</t>
        </is>
      </c>
      <c r="B228" s="59" t="inlineStr">
        <is>
          <t>2026-02-13</t>
        </is>
      </c>
      <c r="C228" s="59" t="inlineStr">
        <is>
          <t>2026-02-16</t>
        </is>
      </c>
      <c r="D228" s="57" t="n">
        <v>3.7</v>
      </c>
    </row>
    <row r="229">
      <c r="A229" s="56" t="inlineStr">
        <is>
          <t>2026-04-28</t>
        </is>
      </c>
      <c r="B229" s="59" t="inlineStr">
        <is>
          <t>2026-04-28</t>
        </is>
      </c>
      <c r="C229" s="59" t="inlineStr">
        <is>
          <t>2026-04-30</t>
        </is>
      </c>
      <c r="D229" s="57" t="n">
        <v>-7.9</v>
      </c>
    </row>
    <row r="230">
      <c r="A230" s="56" t="inlineStr">
        <is>
          <t>2026-07-29</t>
        </is>
      </c>
      <c r="B230" s="59" t="inlineStr">
        <is>
          <t>2026-07-29</t>
        </is>
      </c>
      <c r="C230" s="59" t="inlineStr">
        <is>
          <t>2026-07-30</t>
        </is>
      </c>
      <c r="D230" s="57" t="n">
        <v>-9.800000000000001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0" t="inlineStr">
        <is>
          <t>공시일</t>
        </is>
      </c>
      <c r="B3" s="60" t="inlineStr">
        <is>
          <t>문서</t>
        </is>
      </c>
      <c r="C3" s="60" t="inlineStr">
        <is>
          <t>PDF</t>
        </is>
      </c>
    </row>
    <row r="4">
      <c r="A4" t="inlineStr">
        <is>
          <t>2026-10-27</t>
        </is>
      </c>
      <c r="B4" t="inlineStr">
        <is>
          <t>2026년 12월 결산기 ３분기 결산단신</t>
        </is>
      </c>
      <c r="C4" t="inlineStr">
        <is>
          <t>https://www2.jpx.co.jp/disc/39110/140120261027556753.pdf</t>
        </is>
      </c>
    </row>
    <row r="5">
      <c r="A5" t="inlineStr">
        <is>
          <t>2026-07-29</t>
        </is>
      </c>
      <c r="B5" t="inlineStr">
        <is>
          <t>2026년 12월 결산기 ２분기 결산단신</t>
        </is>
      </c>
      <c r="C5" t="inlineStr">
        <is>
          <t>https://www2.jpx.co.jp/disc/39110/140120260729501676.pdf</t>
        </is>
      </c>
    </row>
    <row r="6">
      <c r="A6" t="inlineStr">
        <is>
          <t>2026-04-28</t>
        </is>
      </c>
      <c r="B6" t="inlineStr">
        <is>
          <t>2026년 12월 결산기 １분기 결산단신</t>
        </is>
      </c>
      <c r="C6" t="inlineStr">
        <is>
          <t>https://www2.jpx.co.jp/disc/39110/140120260428513149.pdf</t>
        </is>
      </c>
    </row>
    <row r="7">
      <c r="A7" t="inlineStr">
        <is>
          <t>2026-02-13</t>
        </is>
      </c>
      <c r="B7" t="inlineStr">
        <is>
          <t>2025년 12월 결산기 연간 결산단신</t>
        </is>
      </c>
      <c r="C7" t="inlineStr">
        <is>
          <t>https://www2.jpx.co.jp/disc/39110/140120260213560302.pdf</t>
        </is>
      </c>
    </row>
    <row r="8">
      <c r="A8" t="inlineStr">
        <is>
          <t>2025-10-28</t>
        </is>
      </c>
      <c r="B8" t="inlineStr">
        <is>
          <t>2025년 12월 결산기 ３분기 결산단신</t>
        </is>
      </c>
      <c r="C8" t="inlineStr">
        <is>
          <t>https://www2.jpx.co.jp/disc/39110/140120251028580129.pdf</t>
        </is>
      </c>
    </row>
    <row r="9">
      <c r="A9" t="inlineStr">
        <is>
          <t>2025-07-29</t>
        </is>
      </c>
      <c r="B9" t="inlineStr">
        <is>
          <t>2025년 12월 결산기 ２분기 결산단신</t>
        </is>
      </c>
      <c r="C9" t="inlineStr">
        <is>
          <t>https://www2.jpx.co.jp/disc/39110/140120250729522469.pdf</t>
        </is>
      </c>
    </row>
    <row r="10">
      <c r="A10" t="inlineStr">
        <is>
          <t>2025-04-28</t>
        </is>
      </c>
      <c r="B10" t="inlineStr">
        <is>
          <t>2025년 12월 결산기 １분기 결산단신</t>
        </is>
      </c>
      <c r="C10" t="inlineStr">
        <is>
          <t>https://www2.jpx.co.jp/disc/39110/140120250428525610.pdf</t>
        </is>
      </c>
    </row>
    <row r="11">
      <c r="A11" t="inlineStr">
        <is>
          <t>2025-02-14</t>
        </is>
      </c>
      <c r="B11" t="inlineStr">
        <is>
          <t>2024년 12월 결산기 연간 결산단신</t>
        </is>
      </c>
      <c r="C11" t="inlineStr">
        <is>
          <t>https://www2.jpx.co.jp/disc/39110/140120250214575935.pdf</t>
        </is>
      </c>
    </row>
    <row r="12">
      <c r="A12" t="inlineStr">
        <is>
          <t>2024-10-29</t>
        </is>
      </c>
      <c r="B12" t="inlineStr">
        <is>
          <t>2024년 12월 결산기 ３분기 결산단신</t>
        </is>
      </c>
      <c r="C12" t="inlineStr">
        <is>
          <t>https://www2.jpx.co.jp/disc/39110/140120241028504015.pdf</t>
        </is>
      </c>
    </row>
    <row r="13">
      <c r="A13" t="inlineStr">
        <is>
          <t>2024-07-30</t>
        </is>
      </c>
      <c r="B13" t="inlineStr">
        <is>
          <t>2024년 12월 결산기 ２분기 결산단신</t>
        </is>
      </c>
      <c r="C13" t="inlineStr">
        <is>
          <t>https://www2.jpx.co.jp/disc/39110/140120240730557340.pdf</t>
        </is>
      </c>
    </row>
    <row r="14">
      <c r="A14" t="inlineStr">
        <is>
          <t>2024-04-26</t>
        </is>
      </c>
      <c r="B14" t="inlineStr">
        <is>
          <t>2024년 12월 결산기 １분기 결산단신</t>
        </is>
      </c>
      <c r="C14" t="inlineStr">
        <is>
          <t>https://www2.jpx.co.jp/disc/39110/140120240426578330.pdf</t>
        </is>
      </c>
    </row>
    <row r="15">
      <c r="A15" t="inlineStr">
        <is>
          <t>2024-02-14</t>
        </is>
      </c>
      <c r="B15" t="inlineStr">
        <is>
          <t>2023년 12월 결산기 연간 결산단신</t>
        </is>
      </c>
      <c r="C15" t="inlineStr">
        <is>
          <t>https://www2.jpx.co.jp/disc/39110/140120240214536727.pdf</t>
        </is>
      </c>
    </row>
    <row r="16">
      <c r="A16" t="inlineStr">
        <is>
          <t>2023-10-27</t>
        </is>
      </c>
      <c r="B16" t="inlineStr">
        <is>
          <t>2023년 12월 결산기 ３분기 결산단신</t>
        </is>
      </c>
      <c r="C16" t="inlineStr">
        <is>
          <t>https://www2.jpx.co.jp/disc/39110/140120231027573171.pdf</t>
        </is>
      </c>
    </row>
    <row r="17">
      <c r="A17" t="inlineStr">
        <is>
          <t>2023-08-02</t>
        </is>
      </c>
      <c r="B17" t="inlineStr">
        <is>
          <t>2023년 12월 결산기 ２분기 결산단신</t>
        </is>
      </c>
      <c r="C17" t="inlineStr">
        <is>
          <t>https://www2.jpx.co.jp/disc/39110/140120230802532496.pdf</t>
        </is>
      </c>
    </row>
    <row r="18">
      <c r="A18" t="inlineStr">
        <is>
          <t>2023-04-28</t>
        </is>
      </c>
      <c r="B18" t="inlineStr">
        <is>
          <t>2023년 12월 결산기 １분기 결산단신</t>
        </is>
      </c>
      <c r="C18" t="inlineStr">
        <is>
          <t>https://www2.jpx.co.jp/disc/39110/140120230428556285.pdf</t>
        </is>
      </c>
    </row>
    <row r="19">
      <c r="A19" t="inlineStr">
        <is>
          <t>2023-02-14</t>
        </is>
      </c>
      <c r="B19" t="inlineStr">
        <is>
          <t>2022년 12월 결산기 연간 결산단신</t>
        </is>
      </c>
      <c r="C19" t="inlineStr">
        <is>
          <t>https://www2.jpx.co.jp/disc/39110/140120230214510980.pdf</t>
        </is>
      </c>
    </row>
    <row r="20">
      <c r="A20" t="inlineStr">
        <is>
          <t>2022-02-14</t>
        </is>
      </c>
      <c r="B20" t="inlineStr">
        <is>
          <t>2021년 12월 결산기 연간 결산단신</t>
        </is>
      </c>
      <c r="C20" t="inlineStr">
        <is>
          <t>https://www2.jpx.co.jp/disc/39110/140120220214589767.pdf</t>
        </is>
      </c>
    </row>
    <row r="21">
      <c r="A21" t="inlineStr">
        <is>
          <t>2021-02-12</t>
        </is>
      </c>
      <c r="B21" t="inlineStr">
        <is>
          <t>2020년 12월 결산기 연간 결산단신</t>
        </is>
      </c>
      <c r="C21" t="inlineStr">
        <is>
          <t>https://www2.jpx.co.jp/disc/39110/140120210212463412.pdf</t>
        </is>
      </c>
    </row>
    <row r="22">
      <c r="A22" t="inlineStr">
        <is>
          <t>2020-02-14</t>
        </is>
      </c>
      <c r="B22" t="inlineStr">
        <is>
          <t>2019년 12월 결산기 연간 결산단신</t>
        </is>
      </c>
      <c r="C22" t="inlineStr">
        <is>
          <t>https://www2.jpx.co.jp/disc/39110/140120200214465584.pdf</t>
        </is>
      </c>
    </row>
    <row r="23">
      <c r="A23" t="inlineStr">
        <is>
          <t>2019-02-14</t>
        </is>
      </c>
      <c r="B23" t="inlineStr">
        <is>
          <t>연간 결산단신</t>
        </is>
      </c>
      <c r="C23" t="inlineStr">
        <is>
          <t>https://www2.jpx.co.jp/disc/39110/140120190214477319.pdf</t>
        </is>
      </c>
    </row>
    <row r="24">
      <c r="A24" t="inlineStr">
        <is>
          <t>2018-02-13</t>
        </is>
      </c>
      <c r="B24" t="inlineStr">
        <is>
          <t>연간 결산단신</t>
        </is>
      </c>
      <c r="C24" t="inlineStr">
        <is>
          <t>https://www2.jpx.co.jp/disc/39110/140120180213470385.pdf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2026-10-27T07:48:24Z</dcterms:created>
  <dcterms:modified xmlns:dcterms="http://purl.org/dc/terms/" xmlns:xsi="http://www.w3.org/2001/XMLSchema-instance" xsi:type="dcterms:W3CDTF">2026-10-27T07:48:24Z</dcterms:modified>
</cp:coreProperties>
</file>