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6798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12037</v>
      </c>
      <c r="D4" s="12" t="n">
        <v>11168</v>
      </c>
      <c r="E4" s="12" t="n">
        <v>12279</v>
      </c>
      <c r="F4" s="12" t="n">
        <v>11726</v>
      </c>
      <c r="G4" s="12" t="n">
        <v>11888</v>
      </c>
      <c r="H4" s="12" t="n">
        <v>11016</v>
      </c>
      <c r="I4" s="12" t="n">
        <v>13421</v>
      </c>
      <c r="J4" s="12" t="n">
        <v>11029</v>
      </c>
      <c r="K4" s="12" t="n">
        <v>12123</v>
      </c>
      <c r="L4" s="12" t="n">
        <v>12035</v>
      </c>
      <c r="M4" s="12" t="n">
        <v>13017</v>
      </c>
      <c r="N4" s="12" t="n">
        <v>11472</v>
      </c>
      <c r="O4" s="11" t="n">
        <v>62971</v>
      </c>
      <c r="P4" s="12" t="n">
        <v>59786</v>
      </c>
      <c r="Q4" s="12" t="n">
        <v>57386</v>
      </c>
      <c r="R4" s="12" t="n">
        <v>54161</v>
      </c>
      <c r="S4" s="12" t="n">
        <v>48560</v>
      </c>
      <c r="T4" s="12" t="n">
        <v>48243</v>
      </c>
      <c r="U4" s="12" t="n">
        <v>54842</v>
      </c>
      <c r="V4" s="12" t="n">
        <v>46522</v>
      </c>
      <c r="W4" s="12" t="n">
        <v>48051</v>
      </c>
      <c r="X4" s="12" t="n">
        <v>48204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CSReportableSegmentsMember</t>
        </is>
      </c>
      <c r="B7" s="10" t="n"/>
      <c r="C7" s="19" t="n">
        <v>5629</v>
      </c>
      <c r="D7" s="20" t="n">
        <v>5073</v>
      </c>
      <c r="E7" s="20" t="n">
        <v>5164</v>
      </c>
      <c r="F7" s="20" t="n">
        <v>5717</v>
      </c>
      <c r="G7" s="20" t="n">
        <v>5802</v>
      </c>
      <c r="H7" s="20" t="n">
        <v>5322</v>
      </c>
      <c r="I7" s="20" t="n">
        <v>5315</v>
      </c>
      <c r="J7" s="20" t="n">
        <v>5207</v>
      </c>
      <c r="K7" s="20" t="n">
        <v>5884</v>
      </c>
      <c r="L7" s="20" t="n">
        <v>5812</v>
      </c>
      <c r="M7" s="20" t="n">
        <v>5617</v>
      </c>
      <c r="N7" s="20" t="n">
        <v>5877</v>
      </c>
      <c r="O7" s="19" t="n"/>
      <c r="P7" s="20" t="n"/>
      <c r="Q7" s="20" t="n"/>
      <c r="R7" s="20" t="n"/>
      <c r="S7" s="20" t="n"/>
      <c r="T7" s="20" t="n"/>
      <c r="U7" s="20" t="n"/>
      <c r="V7" s="20" t="n">
        <v>20586</v>
      </c>
      <c r="W7" s="20" t="n">
        <v>22156</v>
      </c>
      <c r="X7" s="20" t="n">
        <v>22520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SCIReportableSegmentMember</t>
        </is>
      </c>
      <c r="B10" s="10" t="n"/>
      <c r="C10" s="19" t="n">
        <v>6298</v>
      </c>
      <c r="D10" s="20" t="n">
        <v>6027</v>
      </c>
      <c r="E10" s="20" t="n">
        <v>6999</v>
      </c>
      <c r="F10" s="20" t="n">
        <v>5944</v>
      </c>
      <c r="G10" s="20" t="n">
        <v>6038</v>
      </c>
      <c r="H10" s="20" t="n">
        <v>5642</v>
      </c>
      <c r="I10" s="20" t="n">
        <v>8019</v>
      </c>
      <c r="J10" s="20" t="n">
        <v>5801</v>
      </c>
      <c r="K10" s="20" t="n">
        <v>6238</v>
      </c>
      <c r="L10" s="20" t="n">
        <v>6222</v>
      </c>
      <c r="M10" s="20" t="n">
        <v>7360</v>
      </c>
      <c r="N10" s="20" t="n">
        <v>5592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25541</v>
      </c>
      <c r="W10" s="20" t="n">
        <v>25643</v>
      </c>
      <c r="X10" s="20" t="n">
        <v>25621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RDCenterReportableSegmentsMember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RandDCenterReportableSegmentsMember</t>
        </is>
      </c>
      <c r="B16" s="10" t="n"/>
      <c r="C16" s="19" t="n">
        <v>110</v>
      </c>
      <c r="D16" s="20" t="n"/>
      <c r="E16" s="20" t="n"/>
      <c r="F16" s="20" t="n">
        <v>64</v>
      </c>
      <c r="G16" s="20" t="n">
        <v>49</v>
      </c>
      <c r="H16" s="20" t="n"/>
      <c r="I16" s="20" t="n"/>
      <c r="J16" s="20" t="n">
        <v>20</v>
      </c>
      <c r="K16" s="20" t="n">
        <v>1</v>
      </c>
      <c r="L16" s="20" t="n"/>
      <c r="M16" s="20" t="n"/>
      <c r="N16" s="20" t="n">
        <v>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394</v>
      </c>
      <c r="W16" s="20" t="n">
        <v>251</v>
      </c>
      <c r="X16" s="20" t="n">
        <v>62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0</v>
      </c>
      <c r="W19" s="20" t="n">
        <v>0</v>
      </c>
      <c r="X19" s="20" t="n">
        <v>0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>
        <v>11726</v>
      </c>
      <c r="G22" s="20" t="n"/>
      <c r="H22" s="20" t="n"/>
      <c r="I22" s="20" t="n"/>
      <c r="J22" s="20" t="n">
        <v>11029</v>
      </c>
      <c r="K22" s="20" t="n"/>
      <c r="L22" s="20" t="n"/>
      <c r="M22" s="20" t="n"/>
      <c r="N22" s="20" t="n">
        <v>11472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9728</v>
      </c>
      <c r="D26" s="20" t="n">
        <v>9326</v>
      </c>
      <c r="E26" s="20" t="n">
        <v>10767</v>
      </c>
      <c r="F26" s="20" t="n">
        <v>9477</v>
      </c>
      <c r="G26" s="20" t="n">
        <v>9478</v>
      </c>
      <c r="H26" s="20" t="n">
        <v>8759</v>
      </c>
      <c r="I26" s="20" t="n">
        <v>11086</v>
      </c>
      <c r="J26" s="20" t="n">
        <v>9095</v>
      </c>
      <c r="K26" s="20" t="n">
        <v>9686</v>
      </c>
      <c r="L26" s="20" t="n">
        <v>9208</v>
      </c>
      <c r="M26" s="20" t="n">
        <v>10804</v>
      </c>
      <c r="N26" s="20" t="n">
        <v>9193</v>
      </c>
      <c r="O26" s="19" t="n">
        <v>52211</v>
      </c>
      <c r="P26" s="20" t="n">
        <v>49429</v>
      </c>
      <c r="Q26" s="20" t="n">
        <v>49962</v>
      </c>
      <c r="R26" s="20" t="n">
        <v>46437</v>
      </c>
      <c r="S26" s="20" t="n">
        <v>40119</v>
      </c>
      <c r="T26" s="20" t="n">
        <v>40169</v>
      </c>
      <c r="U26" s="20" t="n">
        <v>45231</v>
      </c>
      <c r="V26" s="20" t="n">
        <v>39094</v>
      </c>
      <c r="W26" s="20" t="n">
        <v>38800</v>
      </c>
      <c r="X26" s="20" t="n">
        <v>38793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>
        <v>2101</v>
      </c>
      <c r="D30" s="20" t="n">
        <v>2220</v>
      </c>
      <c r="E30" s="20" t="n">
        <v>2200</v>
      </c>
      <c r="F30" s="20" t="n">
        <v>2312</v>
      </c>
      <c r="G30" s="20" t="n">
        <v>2238</v>
      </c>
      <c r="H30" s="20" t="n">
        <v>2441</v>
      </c>
      <c r="I30" s="20" t="n">
        <v>2479</v>
      </c>
      <c r="J30" s="20" t="n">
        <v>2214</v>
      </c>
      <c r="K30" s="20" t="n">
        <v>2274</v>
      </c>
      <c r="L30" s="20" t="n">
        <v>2237</v>
      </c>
      <c r="M30" s="20" t="n">
        <v>2255</v>
      </c>
      <c r="N30" s="20" t="n">
        <v>2271</v>
      </c>
      <c r="O30" s="19" t="n">
        <v>10130</v>
      </c>
      <c r="P30" s="20" t="n">
        <v>9871</v>
      </c>
      <c r="Q30" s="20" t="n">
        <v>9258</v>
      </c>
      <c r="R30" s="20" t="n">
        <v>7968</v>
      </c>
      <c r="S30" s="20" t="n">
        <v>7370</v>
      </c>
      <c r="T30" s="20" t="n">
        <v>7369</v>
      </c>
      <c r="U30" s="20" t="n">
        <v>8483</v>
      </c>
      <c r="V30" s="20" t="n">
        <v>8671</v>
      </c>
      <c r="W30" s="20" t="n">
        <v>9470</v>
      </c>
      <c r="X30" s="20" t="n">
        <v>8980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208</v>
      </c>
      <c r="D31" s="12" t="n">
        <v>-379</v>
      </c>
      <c r="E31" s="12" t="n">
        <v>-687</v>
      </c>
      <c r="F31" s="12" t="n">
        <v>-64</v>
      </c>
      <c r="G31" s="12" t="n">
        <v>172</v>
      </c>
      <c r="H31" s="12" t="n">
        <v>-183</v>
      </c>
      <c r="I31" s="12" t="n">
        <v>-145</v>
      </c>
      <c r="J31" s="12" t="n">
        <v>-280</v>
      </c>
      <c r="K31" s="12" t="n">
        <v>163</v>
      </c>
      <c r="L31" s="12" t="n">
        <v>589</v>
      </c>
      <c r="M31" s="12" t="n">
        <v>-42</v>
      </c>
      <c r="N31" s="12" t="n">
        <v>6</v>
      </c>
      <c r="O31" s="11" t="n">
        <v>630</v>
      </c>
      <c r="P31" s="12" t="n">
        <v>485</v>
      </c>
      <c r="Q31" s="12" t="n">
        <v>-1834</v>
      </c>
      <c r="R31" s="12" t="n">
        <v>-244</v>
      </c>
      <c r="S31" s="12" t="n">
        <v>1070</v>
      </c>
      <c r="T31" s="12" t="n">
        <v>703</v>
      </c>
      <c r="U31" s="12" t="n">
        <v>1128</v>
      </c>
      <c r="V31" s="12" t="n">
        <v>-1243</v>
      </c>
      <c r="W31" s="12" t="n">
        <v>-220</v>
      </c>
      <c r="X31" s="12" t="n">
        <v>430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183</v>
      </c>
      <c r="D47" s="20" t="n">
        <v>1</v>
      </c>
      <c r="E47" s="20" t="n">
        <v>275</v>
      </c>
      <c r="F47" s="20" t="n">
        <v>5</v>
      </c>
      <c r="G47" s="20" t="n">
        <v>0</v>
      </c>
      <c r="H47" s="20" t="n">
        <v>1</v>
      </c>
      <c r="I47" s="20" t="n">
        <v>1</v>
      </c>
      <c r="J47" s="20" t="n">
        <v>0</v>
      </c>
      <c r="K47" s="20" t="n">
        <v>7</v>
      </c>
      <c r="L47" s="20" t="n">
        <v>1</v>
      </c>
      <c r="M47" s="20" t="n">
        <v>6</v>
      </c>
      <c r="N47" s="20" t="n">
        <v>0</v>
      </c>
      <c r="O47" s="19" t="n">
        <v>582</v>
      </c>
      <c r="P47" s="20" t="n">
        <v>2388</v>
      </c>
      <c r="Q47" s="20" t="n">
        <v>1516</v>
      </c>
      <c r="R47" s="20" t="n">
        <v>113</v>
      </c>
      <c r="S47" s="20" t="n">
        <v>21</v>
      </c>
      <c r="T47" s="20" t="n">
        <v>32</v>
      </c>
      <c r="U47" s="20" t="n">
        <v>21</v>
      </c>
      <c r="V47" s="20" t="n">
        <v>459</v>
      </c>
      <c r="W47" s="20" t="n">
        <v>7</v>
      </c>
      <c r="X47" s="20" t="n">
        <v>14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26</v>
      </c>
      <c r="D49" s="20" t="n">
        <v>204</v>
      </c>
      <c r="E49" s="20" t="n">
        <v>498</v>
      </c>
      <c r="F49" s="20" t="n">
        <v>5</v>
      </c>
      <c r="G49" s="20" t="n">
        <v>83</v>
      </c>
      <c r="H49" s="20" t="n">
        <v>44</v>
      </c>
      <c r="I49" s="20" t="n">
        <v>1388</v>
      </c>
      <c r="J49" s="20" t="n">
        <v>0</v>
      </c>
      <c r="K49" s="20" t="n">
        <v>4</v>
      </c>
      <c r="L49" s="20" t="n">
        <v>43</v>
      </c>
      <c r="M49" s="20" t="n">
        <v>344</v>
      </c>
      <c r="N49" s="20" t="n">
        <v>20</v>
      </c>
      <c r="O49" s="19" t="n">
        <v>740</v>
      </c>
      <c r="P49" s="20" t="n">
        <v>2176</v>
      </c>
      <c r="Q49" s="20" t="n">
        <v>505</v>
      </c>
      <c r="R49" s="20" t="n">
        <v>3093</v>
      </c>
      <c r="S49" s="20" t="n">
        <v>351</v>
      </c>
      <c r="T49" s="20" t="n">
        <v>191</v>
      </c>
      <c r="U49" s="20" t="n">
        <v>618</v>
      </c>
      <c r="V49" s="20" t="n">
        <v>739</v>
      </c>
      <c r="W49" s="20" t="n">
        <v>1520</v>
      </c>
      <c r="X49" s="20" t="n">
        <v>391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441</v>
      </c>
      <c r="D51" s="20" t="n">
        <v>-487</v>
      </c>
      <c r="E51" s="20" t="n">
        <v>1203</v>
      </c>
      <c r="F51" s="20" t="n">
        <v>1214</v>
      </c>
      <c r="G51" s="20" t="n">
        <v>-368</v>
      </c>
      <c r="H51" s="20" t="n">
        <v>1018</v>
      </c>
      <c r="I51" s="20" t="n">
        <v>-199</v>
      </c>
      <c r="J51" s="20" t="n">
        <v>407</v>
      </c>
      <c r="K51" s="20" t="n">
        <v>380</v>
      </c>
      <c r="L51" s="20" t="n">
        <v>530</v>
      </c>
      <c r="M51" s="20" t="n">
        <v>417</v>
      </c>
      <c r="N51" s="20" t="n">
        <v>531</v>
      </c>
      <c r="O51" s="19" t="n">
        <v>1692</v>
      </c>
      <c r="P51" s="20" t="n">
        <v>1571</v>
      </c>
      <c r="Q51" s="20" t="n">
        <v>1890</v>
      </c>
      <c r="R51" s="20" t="n">
        <v>1563</v>
      </c>
      <c r="S51" s="20" t="n">
        <v>2366</v>
      </c>
      <c r="T51" s="20" t="n">
        <v>3559</v>
      </c>
      <c r="U51" s="20" t="n">
        <v>2420</v>
      </c>
      <c r="V51" s="20" t="n">
        <v>2445</v>
      </c>
      <c r="W51" s="20" t="n">
        <v>1665</v>
      </c>
      <c r="X51" s="20" t="n">
        <v>1734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225</v>
      </c>
      <c r="D53" s="20" t="n">
        <v>214</v>
      </c>
      <c r="E53" s="20" t="n">
        <v>328</v>
      </c>
      <c r="F53" s="20" t="n">
        <v>198</v>
      </c>
      <c r="G53" s="20" t="n">
        <v>682</v>
      </c>
      <c r="H53" s="20" t="n">
        <v>-272</v>
      </c>
      <c r="I53" s="20" t="n">
        <v>287</v>
      </c>
      <c r="J53" s="20" t="n">
        <v>745</v>
      </c>
      <c r="K53" s="20" t="n">
        <v>50</v>
      </c>
      <c r="L53" s="20" t="n">
        <v>-129</v>
      </c>
      <c r="M53" s="20" t="n">
        <v>255</v>
      </c>
      <c r="N53" s="20" t="n">
        <v>230</v>
      </c>
      <c r="O53" s="19" t="n">
        <v>924</v>
      </c>
      <c r="P53" s="20" t="n">
        <v>1698</v>
      </c>
      <c r="Q53" s="20" t="n">
        <v>763</v>
      </c>
      <c r="R53" s="20" t="n">
        <v>1503</v>
      </c>
      <c r="S53" s="20" t="n">
        <v>834</v>
      </c>
      <c r="T53" s="20" t="n">
        <v>850</v>
      </c>
      <c r="U53" s="20" t="n">
        <v>1044</v>
      </c>
      <c r="V53" s="20" t="n">
        <v>975</v>
      </c>
      <c r="W53" s="20" t="n">
        <v>895</v>
      </c>
      <c r="X53" s="20" t="n">
        <v>921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581</v>
      </c>
      <c r="D55" s="12" t="n">
        <v>-1282</v>
      </c>
      <c r="E55" s="12" t="n">
        <v>-35</v>
      </c>
      <c r="F55" s="12" t="n">
        <v>951</v>
      </c>
      <c r="G55" s="12" t="n">
        <v>-958</v>
      </c>
      <c r="H55" s="12" t="n">
        <v>1062</v>
      </c>
      <c r="I55" s="12" t="n">
        <v>-2018</v>
      </c>
      <c r="J55" s="12" t="n">
        <v>-619</v>
      </c>
      <c r="K55" s="12" t="n">
        <v>497</v>
      </c>
      <c r="L55" s="12" t="n">
        <v>1206</v>
      </c>
      <c r="M55" s="12" t="n">
        <v>-217</v>
      </c>
      <c r="N55" s="12" t="n">
        <v>286</v>
      </c>
      <c r="O55" s="11" t="n">
        <v>1241</v>
      </c>
      <c r="P55" s="12" t="n">
        <v>570</v>
      </c>
      <c r="Q55" s="12" t="n">
        <v>303</v>
      </c>
      <c r="R55" s="12" t="n">
        <v>-3165</v>
      </c>
      <c r="S55" s="12" t="n">
        <v>2271</v>
      </c>
      <c r="T55" s="12" t="n">
        <v>3254</v>
      </c>
      <c r="U55" s="12" t="n">
        <v>1906</v>
      </c>
      <c r="V55" s="12" t="n">
        <v>-53</v>
      </c>
      <c r="W55" s="12" t="n">
        <v>-963</v>
      </c>
      <c r="X55" s="12" t="n">
        <v>867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>
        <v>91</v>
      </c>
      <c r="D56" s="20" t="n">
        <v>43</v>
      </c>
      <c r="E56" s="20" t="n">
        <v>138</v>
      </c>
      <c r="F56" s="20" t="n">
        <v>150</v>
      </c>
      <c r="G56" s="20" t="n">
        <v>129</v>
      </c>
      <c r="H56" s="20" t="n">
        <v>95</v>
      </c>
      <c r="I56" s="20" t="n">
        <v>547</v>
      </c>
      <c r="J56" s="20" t="n">
        <v>32</v>
      </c>
      <c r="K56" s="20" t="n">
        <v>39</v>
      </c>
      <c r="L56" s="20" t="n">
        <v>274</v>
      </c>
      <c r="M56" s="20" t="n">
        <v>465</v>
      </c>
      <c r="N56" s="20" t="n">
        <v>132</v>
      </c>
      <c r="O56" s="19" t="n">
        <v>476</v>
      </c>
      <c r="P56" s="20" t="n">
        <v>873</v>
      </c>
      <c r="Q56" s="20" t="n">
        <v>1138</v>
      </c>
      <c r="R56" s="20" t="n">
        <v>-227</v>
      </c>
      <c r="S56" s="20" t="n">
        <v>390</v>
      </c>
      <c r="T56" s="20" t="n">
        <v>262</v>
      </c>
      <c r="U56" s="20" t="n">
        <v>571</v>
      </c>
      <c r="V56" s="20" t="n">
        <v>435</v>
      </c>
      <c r="W56" s="20" t="n">
        <v>921</v>
      </c>
      <c r="X56" s="20" t="n">
        <v>810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>
        <v>490</v>
      </c>
      <c r="D58" s="12" t="n">
        <v>-1326</v>
      </c>
      <c r="E58" s="12" t="n">
        <v>-173</v>
      </c>
      <c r="F58" s="12" t="n">
        <v>801</v>
      </c>
      <c r="G58" s="12" t="n">
        <v>-1088</v>
      </c>
      <c r="H58" s="12" t="n">
        <v>967</v>
      </c>
      <c r="I58" s="12" t="n">
        <v>-2564</v>
      </c>
      <c r="J58" s="12" t="n">
        <v>-651</v>
      </c>
      <c r="K58" s="12" t="n">
        <v>458</v>
      </c>
      <c r="L58" s="12" t="n">
        <v>931</v>
      </c>
      <c r="M58" s="12" t="n">
        <v>-682</v>
      </c>
      <c r="N58" s="12" t="n">
        <v>154</v>
      </c>
      <c r="O58" s="11" t="n">
        <v>764</v>
      </c>
      <c r="P58" s="12" t="n">
        <v>-302</v>
      </c>
      <c r="Q58" s="12" t="n">
        <v>-834</v>
      </c>
      <c r="R58" s="12" t="n">
        <v>-2937</v>
      </c>
      <c r="S58" s="12" t="n">
        <v>1881</v>
      </c>
      <c r="T58" s="12" t="n">
        <v>2992</v>
      </c>
      <c r="U58" s="12" t="n">
        <v>1334</v>
      </c>
      <c r="V58" s="12" t="n">
        <v>-489</v>
      </c>
      <c r="W58" s="12" t="n">
        <v>-1884</v>
      </c>
      <c r="X58" s="12" t="n">
        <v>56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>
        <v>490</v>
      </c>
      <c r="D59" s="12" t="n">
        <v>-1326</v>
      </c>
      <c r="E59" s="12" t="n">
        <v>-173</v>
      </c>
      <c r="F59" s="12" t="n">
        <v>801</v>
      </c>
      <c r="G59" s="12" t="n">
        <v>-1088</v>
      </c>
      <c r="H59" s="12" t="n">
        <v>967</v>
      </c>
      <c r="I59" s="12" t="n">
        <v>-2564</v>
      </c>
      <c r="J59" s="12" t="n">
        <v>-651</v>
      </c>
      <c r="K59" s="12" t="n">
        <v>458</v>
      </c>
      <c r="L59" s="12" t="n">
        <v>931</v>
      </c>
      <c r="M59" s="12" t="n">
        <v>-682</v>
      </c>
      <c r="N59" s="12" t="n">
        <v>154</v>
      </c>
      <c r="O59" s="11" t="n">
        <v>1017</v>
      </c>
      <c r="P59" s="12" t="n">
        <v>-288</v>
      </c>
      <c r="Q59" s="12" t="n">
        <v>-834</v>
      </c>
      <c r="R59" s="12" t="n">
        <v>-2651</v>
      </c>
      <c r="S59" s="12" t="n">
        <v>1917</v>
      </c>
      <c r="T59" s="12" t="n">
        <v>2992</v>
      </c>
      <c r="U59" s="12" t="n">
        <v>1334</v>
      </c>
      <c r="V59" s="12" t="n">
        <v>-489</v>
      </c>
      <c r="W59" s="12" t="n">
        <v>-1884</v>
      </c>
      <c r="X59" s="12" t="n">
        <v>56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(2026.10.26)</t>
        </is>
      </c>
      <c r="B62" s="27" t="n">
        <v>3150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7200000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2026.10.26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12037</v>
      </c>
      <c r="D93" s="12" t="n">
        <v>11168</v>
      </c>
      <c r="E93" s="12" t="n">
        <v>12279</v>
      </c>
      <c r="F93" s="12" t="n">
        <v>11726</v>
      </c>
      <c r="G93" s="12" t="n">
        <v>11888</v>
      </c>
      <c r="H93" s="12" t="n">
        <v>11016</v>
      </c>
      <c r="I93" s="12" t="n">
        <v>13421</v>
      </c>
      <c r="J93" s="12" t="n">
        <v>11029</v>
      </c>
      <c r="K93" s="12" t="n">
        <v>12123</v>
      </c>
      <c r="L93" s="12" t="n">
        <v>12035</v>
      </c>
      <c r="M93" s="12" t="n">
        <v>13017</v>
      </c>
      <c r="N93" s="12" t="n">
        <v>11472</v>
      </c>
      <c r="T93" s="12" t="n">
        <v>12642</v>
      </c>
      <c r="U93" s="12" t="n">
        <v>12743</v>
      </c>
      <c r="V93" s="12" t="n">
        <v>12279</v>
      </c>
      <c r="W93" s="12" t="n">
        <v>13421</v>
      </c>
      <c r="X93" s="12" t="n">
        <v>13017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9728</v>
      </c>
      <c r="D95" s="20" t="n">
        <v>9326</v>
      </c>
      <c r="E95" s="20" t="n">
        <v>10767</v>
      </c>
      <c r="F95" s="20" t="n">
        <v>9477</v>
      </c>
      <c r="G95" s="20" t="n">
        <v>9478</v>
      </c>
      <c r="H95" s="20" t="n">
        <v>8759</v>
      </c>
      <c r="I95" s="20" t="n">
        <v>11086</v>
      </c>
      <c r="J95" s="20" t="n">
        <v>9095</v>
      </c>
      <c r="K95" s="20" t="n">
        <v>9686</v>
      </c>
      <c r="L95" s="20" t="n">
        <v>9208</v>
      </c>
      <c r="M95" s="20" t="n">
        <v>10804</v>
      </c>
      <c r="N95" s="20" t="n">
        <v>9193</v>
      </c>
      <c r="T95" s="20" t="n">
        <v>10719</v>
      </c>
      <c r="U95" s="20" t="n">
        <v>10977</v>
      </c>
      <c r="V95" s="20" t="n">
        <v>10767</v>
      </c>
      <c r="W95" s="20" t="n">
        <v>11086</v>
      </c>
      <c r="X95" s="20" t="n">
        <v>10804</v>
      </c>
    </row>
    <row r="96">
      <c r="A96" s="9" t="inlineStr">
        <is>
          <t>매출총이익</t>
        </is>
      </c>
      <c r="C96" s="12" t="n">
        <v>2310</v>
      </c>
      <c r="D96" s="12" t="n">
        <v>1841</v>
      </c>
      <c r="E96" s="12" t="n">
        <v>1512</v>
      </c>
      <c r="F96" s="12" t="n">
        <v>2248</v>
      </c>
      <c r="G96" s="12" t="n">
        <v>2410</v>
      </c>
      <c r="H96" s="12" t="n">
        <v>2257</v>
      </c>
      <c r="I96" s="12" t="n">
        <v>2335</v>
      </c>
      <c r="J96" s="12" t="n">
        <v>1933</v>
      </c>
      <c r="K96" s="12" t="n">
        <v>2438</v>
      </c>
      <c r="L96" s="12" t="n">
        <v>2827</v>
      </c>
      <c r="M96" s="12" t="n">
        <v>2212</v>
      </c>
      <c r="N96" s="12" t="n">
        <v>2278</v>
      </c>
      <c r="T96" s="12" t="n">
        <v>1922</v>
      </c>
      <c r="U96" s="12" t="n">
        <v>1767</v>
      </c>
      <c r="V96" s="12" t="n">
        <v>1512</v>
      </c>
      <c r="W96" s="12" t="n">
        <v>2335</v>
      </c>
      <c r="X96" s="12" t="n">
        <v>2212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판매비와 관리비</t>
        </is>
      </c>
      <c r="C98" s="20" t="n">
        <v>2101</v>
      </c>
      <c r="D98" s="20" t="n">
        <v>2220</v>
      </c>
      <c r="E98" s="20" t="n">
        <v>2200</v>
      </c>
      <c r="F98" s="20" t="n">
        <v>2312</v>
      </c>
      <c r="G98" s="20" t="n">
        <v>2238</v>
      </c>
      <c r="H98" s="20" t="n">
        <v>2441</v>
      </c>
      <c r="I98" s="20" t="n">
        <v>2479</v>
      </c>
      <c r="J98" s="20" t="n">
        <v>2214</v>
      </c>
      <c r="K98" s="20" t="n">
        <v>2274</v>
      </c>
      <c r="L98" s="20" t="n">
        <v>2237</v>
      </c>
      <c r="M98" s="20" t="n">
        <v>2255</v>
      </c>
      <c r="N98" s="20" t="n">
        <v>2271</v>
      </c>
      <c r="T98" s="20" t="n">
        <v>1906</v>
      </c>
      <c r="U98" s="20" t="n">
        <v>2115</v>
      </c>
      <c r="V98" s="20" t="n">
        <v>2200</v>
      </c>
      <c r="W98" s="20" t="n">
        <v>2479</v>
      </c>
      <c r="X98" s="20" t="n">
        <v>2255</v>
      </c>
    </row>
    <row r="99">
      <c r="A99" s="9" t="inlineStr">
        <is>
          <t>영업이익(손실)</t>
        </is>
      </c>
      <c r="C99" s="12" t="n">
        <v>208</v>
      </c>
      <c r="D99" s="12" t="n">
        <v>-379</v>
      </c>
      <c r="E99" s="12" t="n">
        <v>-687</v>
      </c>
      <c r="F99" s="12" t="n">
        <v>-64</v>
      </c>
      <c r="G99" s="12" t="n">
        <v>172</v>
      </c>
      <c r="H99" s="12" t="n">
        <v>-183</v>
      </c>
      <c r="I99" s="12" t="n">
        <v>-145</v>
      </c>
      <c r="J99" s="12" t="n">
        <v>-280</v>
      </c>
      <c r="K99" s="12" t="n">
        <v>163</v>
      </c>
      <c r="L99" s="12" t="n">
        <v>589</v>
      </c>
      <c r="M99" s="12" t="n">
        <v>-42</v>
      </c>
      <c r="N99" s="12" t="n">
        <v>6</v>
      </c>
      <c r="T99" s="12" t="n">
        <v>15</v>
      </c>
      <c r="U99" s="12" t="n">
        <v>-348</v>
      </c>
      <c r="V99" s="12" t="n">
        <v>-687</v>
      </c>
      <c r="W99" s="12" t="n">
        <v>-145</v>
      </c>
      <c r="X99" s="12" t="n">
        <v>-42</v>
      </c>
    </row>
    <row r="100">
      <c r="A100" s="43" t="inlineStr">
        <is>
          <t>OPM</t>
        </is>
      </c>
      <c r="B100" s="3" t="inlineStr">
        <is>
          <t>영업이익 ÷ 매출</t>
        </is>
      </c>
      <c r="C100" s="15">
        <f>IF(OR(C99="",C93=""),"",IF(C93&lt;=0,"",IFERROR(C99/C93,"")))</f>
        <v/>
      </c>
      <c r="D100" s="15">
        <f>IF(OR(D99="",D93=""),"",IF(D93&lt;=0,"",IFERROR(D99/D93,"")))</f>
        <v/>
      </c>
      <c r="E100" s="15">
        <f>IF(OR(E99="",E93=""),"",IF(E93&lt;=0,"",IFERROR(E99/E93,"")))</f>
        <v/>
      </c>
      <c r="F100" s="15">
        <f>IF(OR(F99="",F93=""),"",IF(F93&lt;=0,"",IFERROR(F99/F93,"")))</f>
        <v/>
      </c>
      <c r="G100" s="15">
        <f>IF(OR(G99="",G93=""),"",IF(G93&lt;=0,"",IFERROR(G99/G93,"")))</f>
        <v/>
      </c>
      <c r="H100" s="15">
        <f>IF(OR(H99="",H93=""),"",IF(H93&lt;=0,"",IFERROR(H99/H93,"")))</f>
        <v/>
      </c>
      <c r="I100" s="15">
        <f>IF(OR(I99="",I93=""),"",IF(I93&lt;=0,"",IFERROR(I99/I93,"")))</f>
        <v/>
      </c>
      <c r="J100" s="15">
        <f>IF(OR(J99="",J93=""),"",IF(J93&lt;=0,"",IFERROR(J99/J93,"")))</f>
        <v/>
      </c>
      <c r="K100" s="15">
        <f>IF(OR(K99="",K93=""),"",IF(K93&lt;=0,"",IFERROR(K99/K93,"")))</f>
        <v/>
      </c>
      <c r="L100" s="15">
        <f>IF(OR(L99="",L93=""),"",IF(L93&lt;=0,"",IFERROR(L99/L93,"")))</f>
        <v/>
      </c>
      <c r="M100" s="15">
        <f>IF(OR(M99="",M93=""),"",IF(M93&lt;=0,"",IFERROR(M99/M93,"")))</f>
        <v/>
      </c>
      <c r="N100" s="15">
        <f>IF(OR(N99="",N93=""),"",IF(N93&lt;=0,"",IFERROR(N99/N93,"")))</f>
        <v/>
      </c>
      <c r="T100" s="15">
        <f>IF(OR(T99="",T93=""),"",IF(T93&lt;=0,"",IFERROR(T99/T93,"")))</f>
        <v/>
      </c>
      <c r="U100" s="15">
        <f>IF(OR(U99="",U93=""),"",IF(U93&lt;=0,"",IFERROR(U99/U93,"")))</f>
        <v/>
      </c>
      <c r="V100" s="15">
        <f>IF(OR(V99="",V93=""),"",IF(V93&lt;=0,"",IFERROR(V99/V93,"")))</f>
        <v/>
      </c>
      <c r="W100" s="15">
        <f>IF(OR(W99="",W93=""),"",IF(W93&lt;=0,"",IFERROR(W99/W93,"")))</f>
        <v/>
      </c>
      <c r="X100" s="15">
        <f>IF(OR(X99="",X93=""),"",IF(X93&lt;=0,"",IFERROR(X99/X93,"")))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T101" s="15">
        <f>IF(OR(T99="",S99=""),"",IF(S99&lt;=0,"",IFERROR(T99/S99-1,"")))</f>
        <v/>
      </c>
      <c r="U101" s="15">
        <f>IF(OR(U99="",T99=""),"",IF(T99&lt;=0,"",IFERROR(U99/T99-1,"")))</f>
        <v/>
      </c>
      <c r="V101" s="15">
        <f>IF(OR(V99="",U99=""),"",IF(U99&lt;=0,"",IFERROR(V99/U99-1,"")))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이자수익</t>
        </is>
      </c>
      <c r="C102" s="20" t="n">
        <v>34</v>
      </c>
      <c r="D102" s="20" t="n">
        <v>20</v>
      </c>
      <c r="E102" s="20" t="n">
        <v>35</v>
      </c>
      <c r="F102" s="20" t="n">
        <v>25</v>
      </c>
      <c r="G102" s="20" t="n">
        <v>64</v>
      </c>
      <c r="H102" s="20" t="n">
        <v>32</v>
      </c>
      <c r="I102" s="20" t="n">
        <v>51</v>
      </c>
      <c r="J102" s="20" t="n">
        <v>28</v>
      </c>
      <c r="K102" s="20" t="n">
        <v>45</v>
      </c>
      <c r="L102" s="20" t="n">
        <v>19</v>
      </c>
      <c r="M102" s="20" t="n">
        <v>56</v>
      </c>
      <c r="N102" s="20" t="n">
        <v>20</v>
      </c>
      <c r="T102" s="20" t="n">
        <v>5</v>
      </c>
      <c r="U102" s="20" t="n">
        <v>23</v>
      </c>
      <c r="V102" s="20" t="n">
        <v>35</v>
      </c>
      <c r="W102" s="20" t="n">
        <v>51</v>
      </c>
      <c r="X102" s="20" t="n">
        <v>56</v>
      </c>
    </row>
    <row r="103">
      <c r="A103" s="18" t="inlineStr">
        <is>
          <t>배당금수익</t>
        </is>
      </c>
      <c r="C103" s="20" t="n">
        <v>2</v>
      </c>
      <c r="D103" s="20" t="n">
        <v>31</v>
      </c>
      <c r="E103" s="20" t="n">
        <v>0</v>
      </c>
      <c r="F103" s="20" t="n">
        <v>24</v>
      </c>
      <c r="G103" s="20" t="n">
        <v>1</v>
      </c>
      <c r="H103" s="20" t="n">
        <v>23</v>
      </c>
      <c r="I103" s="20" t="n">
        <v>4</v>
      </c>
      <c r="J103" s="20" t="n">
        <v>28</v>
      </c>
      <c r="K103" s="20" t="n">
        <v>4</v>
      </c>
      <c r="L103" s="20" t="n">
        <v>26</v>
      </c>
      <c r="M103" s="20" t="n">
        <v>0</v>
      </c>
      <c r="N103" s="20" t="n">
        <v>32</v>
      </c>
      <c r="T103" s="20" t="n">
        <v>0</v>
      </c>
      <c r="U103" s="20" t="n">
        <v>0</v>
      </c>
      <c r="V103" s="20" t="n">
        <v>0</v>
      </c>
      <c r="W103" s="20" t="n">
        <v>4</v>
      </c>
      <c r="X103" s="20" t="n">
        <v>0</v>
      </c>
    </row>
    <row r="104">
      <c r="A104" s="18" t="inlineStr">
        <is>
          <t>지분법이익</t>
        </is>
      </c>
      <c r="J104" s="20" t="n">
        <v>23</v>
      </c>
      <c r="N104" s="20" t="n">
        <v>111</v>
      </c>
    </row>
    <row r="105">
      <c r="A105" s="18" t="inlineStr">
        <is>
          <t>부동산 임대료</t>
        </is>
      </c>
      <c r="C105" s="20" t="n">
        <v>242</v>
      </c>
      <c r="D105" s="20" t="n">
        <v>246</v>
      </c>
      <c r="E105" s="20" t="n">
        <v>254</v>
      </c>
      <c r="F105" s="20" t="n">
        <v>254</v>
      </c>
      <c r="G105" s="20" t="n">
        <v>256</v>
      </c>
      <c r="H105" s="20" t="n">
        <v>256</v>
      </c>
      <c r="I105" s="20" t="n">
        <v>257</v>
      </c>
      <c r="J105" s="20" t="n">
        <v>259</v>
      </c>
      <c r="K105" s="20" t="n">
        <v>259</v>
      </c>
      <c r="L105" s="20" t="n">
        <v>271</v>
      </c>
      <c r="M105" s="20" t="n">
        <v>271</v>
      </c>
      <c r="N105" s="20" t="n">
        <v>272</v>
      </c>
      <c r="T105" s="20" t="n">
        <v>263</v>
      </c>
      <c r="U105" s="20" t="n">
        <v>245</v>
      </c>
      <c r="V105" s="20" t="n">
        <v>254</v>
      </c>
      <c r="W105" s="20" t="n">
        <v>257</v>
      </c>
      <c r="X105" s="20" t="n">
        <v>271</v>
      </c>
    </row>
    <row r="106">
      <c r="A106" s="18" t="inlineStr">
        <is>
          <t>외환차익</t>
        </is>
      </c>
      <c r="C106" s="20" t="n">
        <v>101</v>
      </c>
      <c r="D106" s="20" t="n">
        <v>-759</v>
      </c>
      <c r="E106" s="20" t="n">
        <v>872</v>
      </c>
      <c r="F106" s="20" t="n">
        <v>887</v>
      </c>
      <c r="G106" s="20" t="n">
        <v>-887</v>
      </c>
      <c r="H106" s="20" t="n">
        <v>733</v>
      </c>
      <c r="I106" s="20" t="n">
        <v>-679</v>
      </c>
      <c r="J106" s="20" t="n">
        <v>0</v>
      </c>
      <c r="M106" s="20" t="n">
        <v>85</v>
      </c>
      <c r="N106" s="20" t="n">
        <v>25</v>
      </c>
      <c r="T106" s="20" t="n">
        <v>891</v>
      </c>
      <c r="U106" s="20" t="n">
        <v>-112</v>
      </c>
      <c r="V106" s="20" t="n">
        <v>872</v>
      </c>
      <c r="W106" s="20" t="n">
        <v>-679</v>
      </c>
      <c r="X106" s="20" t="n">
        <v>85</v>
      </c>
    </row>
    <row r="107">
      <c r="A107" s="18" t="inlineStr">
        <is>
          <t>고용조정 보조금</t>
        </is>
      </c>
      <c r="T107" s="20" t="n">
        <v>66</v>
      </c>
      <c r="U107" s="20" t="n">
        <v>7</v>
      </c>
    </row>
    <row r="108">
      <c r="A108" s="18" t="inlineStr">
        <is>
          <t>기타</t>
        </is>
      </c>
      <c r="C108" s="20" t="n">
        <v>63</v>
      </c>
      <c r="D108" s="20" t="n">
        <v>-25</v>
      </c>
      <c r="E108" s="20" t="n">
        <v>42</v>
      </c>
      <c r="F108" s="20" t="n">
        <v>22</v>
      </c>
      <c r="G108" s="20" t="n">
        <v>198</v>
      </c>
      <c r="H108" s="20" t="n">
        <v>-25</v>
      </c>
      <c r="I108" s="20" t="n">
        <v>167</v>
      </c>
      <c r="J108" s="20" t="n">
        <v>67</v>
      </c>
      <c r="K108" s="20" t="n">
        <v>96</v>
      </c>
      <c r="L108" s="20" t="n">
        <v>179</v>
      </c>
      <c r="M108" s="20" t="n">
        <v>5</v>
      </c>
      <c r="N108" s="20" t="n">
        <v>68</v>
      </c>
      <c r="T108" s="20" t="n">
        <v>201</v>
      </c>
      <c r="U108" s="20" t="n">
        <v>124</v>
      </c>
      <c r="V108" s="20" t="n">
        <v>42</v>
      </c>
      <c r="W108" s="20" t="n">
        <v>167</v>
      </c>
      <c r="X108" s="20" t="n">
        <v>5</v>
      </c>
    </row>
    <row r="109">
      <c r="A109" s="18" t="inlineStr">
        <is>
          <t>영업외수익 합계</t>
        </is>
      </c>
      <c r="C109" s="20" t="n">
        <v>441</v>
      </c>
      <c r="D109" s="20" t="n">
        <v>-487</v>
      </c>
      <c r="E109" s="20" t="n">
        <v>1203</v>
      </c>
      <c r="F109" s="20" t="n">
        <v>1214</v>
      </c>
      <c r="G109" s="20" t="n">
        <v>-368</v>
      </c>
      <c r="H109" s="20" t="n">
        <v>1018</v>
      </c>
      <c r="I109" s="20" t="n">
        <v>-199</v>
      </c>
      <c r="J109" s="20" t="n">
        <v>407</v>
      </c>
      <c r="K109" s="20" t="n">
        <v>380</v>
      </c>
      <c r="L109" s="20" t="n">
        <v>530</v>
      </c>
      <c r="M109" s="20" t="n">
        <v>417</v>
      </c>
      <c r="N109" s="20" t="n">
        <v>531</v>
      </c>
      <c r="T109" s="20" t="n">
        <v>1425</v>
      </c>
      <c r="U109" s="20" t="n">
        <v>280</v>
      </c>
      <c r="V109" s="20" t="n">
        <v>1203</v>
      </c>
      <c r="W109" s="20" t="n">
        <v>-199</v>
      </c>
      <c r="X109" s="20" t="n">
        <v>417</v>
      </c>
    </row>
    <row r="110">
      <c r="A110" s="18" t="inlineStr">
        <is>
          <t>이자비용</t>
        </is>
      </c>
      <c r="C110" s="20" t="n">
        <v>37</v>
      </c>
      <c r="D110" s="20" t="n">
        <v>53</v>
      </c>
      <c r="E110" s="20" t="n">
        <v>35</v>
      </c>
      <c r="F110" s="20" t="n">
        <v>49</v>
      </c>
      <c r="G110" s="20" t="n">
        <v>58</v>
      </c>
      <c r="H110" s="20" t="n">
        <v>47</v>
      </c>
      <c r="I110" s="20" t="n">
        <v>67</v>
      </c>
      <c r="J110" s="20" t="n">
        <v>56</v>
      </c>
      <c r="K110" s="20" t="n">
        <v>66</v>
      </c>
      <c r="L110" s="20" t="n">
        <v>62</v>
      </c>
      <c r="M110" s="20" t="n">
        <v>66</v>
      </c>
      <c r="N110" s="20" t="n">
        <v>69</v>
      </c>
      <c r="T110" s="20" t="n">
        <v>25</v>
      </c>
      <c r="U110" s="20" t="n">
        <v>54</v>
      </c>
      <c r="V110" s="20" t="n">
        <v>35</v>
      </c>
      <c r="W110" s="20" t="n">
        <v>67</v>
      </c>
      <c r="X110" s="20" t="n">
        <v>66</v>
      </c>
    </row>
    <row r="111">
      <c r="A111" s="18" t="inlineStr">
        <is>
          <t>부동산 임대원가</t>
        </is>
      </c>
      <c r="C111" s="20" t="n">
        <v>136</v>
      </c>
      <c r="D111" s="20" t="n">
        <v>146</v>
      </c>
      <c r="E111" s="20" t="n">
        <v>162</v>
      </c>
      <c r="F111" s="20" t="n">
        <v>137</v>
      </c>
      <c r="G111" s="20" t="n">
        <v>147</v>
      </c>
      <c r="H111" s="20" t="n">
        <v>142</v>
      </c>
      <c r="I111" s="20" t="n">
        <v>167</v>
      </c>
      <c r="J111" s="20" t="n">
        <v>141</v>
      </c>
      <c r="K111" s="20" t="n">
        <v>142</v>
      </c>
      <c r="L111" s="20" t="n">
        <v>168</v>
      </c>
      <c r="M111" s="20" t="n">
        <v>183</v>
      </c>
      <c r="N111" s="20" t="n">
        <v>155</v>
      </c>
      <c r="T111" s="20" t="n">
        <v>144</v>
      </c>
      <c r="U111" s="20" t="n">
        <v>144</v>
      </c>
      <c r="V111" s="20" t="n">
        <v>162</v>
      </c>
      <c r="W111" s="20" t="n">
        <v>167</v>
      </c>
      <c r="X111" s="20" t="n">
        <v>183</v>
      </c>
    </row>
    <row r="112">
      <c r="A112" s="18" t="inlineStr">
        <is>
          <t>투자조합 운용손실</t>
        </is>
      </c>
      <c r="C112" s="20" t="n">
        <v>0</v>
      </c>
      <c r="D112" s="20" t="n">
        <v>2</v>
      </c>
      <c r="E112" s="20" t="n">
        <v>110</v>
      </c>
      <c r="T112" s="20" t="n">
        <v>0</v>
      </c>
      <c r="U112" s="20" t="n">
        <v>75</v>
      </c>
      <c r="V112" s="20" t="n">
        <v>110</v>
      </c>
    </row>
    <row r="113">
      <c r="A113" s="18" t="inlineStr">
        <is>
          <t>외환차손</t>
        </is>
      </c>
      <c r="F113" s="20" t="n">
        <v>0</v>
      </c>
      <c r="G113" s="20" t="n">
        <v>466</v>
      </c>
      <c r="J113" s="20" t="n">
        <v>514</v>
      </c>
      <c r="K113" s="20" t="n">
        <v>-147</v>
      </c>
      <c r="N113" s="20" t="n">
        <v>0</v>
      </c>
    </row>
    <row r="114">
      <c r="A114" s="18" t="inlineStr">
        <is>
          <t>기타</t>
        </is>
      </c>
      <c r="C114" s="20" t="n">
        <v>51</v>
      </c>
      <c r="D114" s="20" t="n">
        <v>14</v>
      </c>
      <c r="E114" s="20" t="n">
        <v>14</v>
      </c>
      <c r="F114" s="20" t="n">
        <v>11</v>
      </c>
      <c r="G114" s="20" t="n">
        <v>11</v>
      </c>
      <c r="H114" s="20" t="n">
        <v>5</v>
      </c>
      <c r="I114" s="20" t="n">
        <v>53</v>
      </c>
      <c r="J114" s="20" t="n">
        <v>33</v>
      </c>
      <c r="K114" s="20" t="n">
        <v>-10</v>
      </c>
      <c r="L114" s="20" t="n">
        <v>7</v>
      </c>
      <c r="M114" s="20" t="n">
        <v>-2</v>
      </c>
      <c r="N114" s="20" t="n">
        <v>5</v>
      </c>
      <c r="T114" s="20" t="n">
        <v>126</v>
      </c>
      <c r="U114" s="20" t="n">
        <v>15</v>
      </c>
      <c r="V114" s="20" t="n">
        <v>14</v>
      </c>
      <c r="W114" s="20" t="n">
        <v>53</v>
      </c>
      <c r="X114" s="20" t="n">
        <v>-2</v>
      </c>
    </row>
    <row r="115">
      <c r="A115" s="18" t="inlineStr">
        <is>
          <t>영업외비용 합계</t>
        </is>
      </c>
      <c r="C115" s="20" t="n">
        <v>225</v>
      </c>
      <c r="D115" s="20" t="n">
        <v>214</v>
      </c>
      <c r="E115" s="20" t="n">
        <v>328</v>
      </c>
      <c r="F115" s="20" t="n">
        <v>198</v>
      </c>
      <c r="G115" s="20" t="n">
        <v>682</v>
      </c>
      <c r="H115" s="20" t="n">
        <v>-272</v>
      </c>
      <c r="I115" s="20" t="n">
        <v>287</v>
      </c>
      <c r="J115" s="20" t="n">
        <v>745</v>
      </c>
      <c r="K115" s="20" t="n">
        <v>50</v>
      </c>
      <c r="L115" s="20" t="n">
        <v>-129</v>
      </c>
      <c r="M115" s="20" t="n">
        <v>255</v>
      </c>
      <c r="N115" s="20" t="n">
        <v>230</v>
      </c>
      <c r="T115" s="20" t="n">
        <v>295</v>
      </c>
      <c r="U115" s="20" t="n">
        <v>287</v>
      </c>
      <c r="V115" s="20" t="n">
        <v>328</v>
      </c>
      <c r="W115" s="20" t="n">
        <v>287</v>
      </c>
      <c r="X115" s="20" t="n">
        <v>255</v>
      </c>
    </row>
    <row r="116">
      <c r="A116" s="9" t="inlineStr">
        <is>
          <t>경상이익(손실)</t>
        </is>
      </c>
      <c r="C116" s="12" t="n">
        <v>424</v>
      </c>
      <c r="D116" s="12" t="n">
        <v>-1079</v>
      </c>
      <c r="E116" s="12" t="n">
        <v>187</v>
      </c>
      <c r="F116" s="12" t="n">
        <v>952</v>
      </c>
      <c r="G116" s="12" t="n">
        <v>-878</v>
      </c>
      <c r="H116" s="12" t="n">
        <v>1106</v>
      </c>
      <c r="I116" s="12" t="n">
        <v>-631</v>
      </c>
      <c r="J116" s="12" t="n">
        <v>-618</v>
      </c>
      <c r="K116" s="12" t="n">
        <v>493</v>
      </c>
      <c r="L116" s="12" t="n">
        <v>1247</v>
      </c>
      <c r="M116" s="12" t="n">
        <v>121</v>
      </c>
      <c r="N116" s="12" t="n">
        <v>307</v>
      </c>
      <c r="T116" s="12" t="n">
        <v>1146</v>
      </c>
      <c r="U116" s="12" t="n">
        <v>-356</v>
      </c>
      <c r="V116" s="12" t="n">
        <v>187</v>
      </c>
      <c r="W116" s="12" t="n">
        <v>-631</v>
      </c>
      <c r="X116" s="12" t="n">
        <v>121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고정자산 매각이익</t>
        </is>
      </c>
      <c r="C118" s="20" t="n">
        <v>182</v>
      </c>
      <c r="D118" s="20" t="n">
        <v>0</v>
      </c>
      <c r="E118" s="20" t="n">
        <v>1</v>
      </c>
      <c r="F118" s="20" t="n">
        <v>5</v>
      </c>
      <c r="G118" s="20" t="n">
        <v>0</v>
      </c>
      <c r="H118" s="20" t="n">
        <v>1</v>
      </c>
      <c r="I118" s="20" t="n">
        <v>1</v>
      </c>
      <c r="J118" s="20" t="n">
        <v>0</v>
      </c>
      <c r="K118" s="20" t="n">
        <v>0</v>
      </c>
      <c r="L118" s="20" t="n">
        <v>1</v>
      </c>
      <c r="M118" s="20" t="n">
        <v>0</v>
      </c>
      <c r="N118" s="20" t="n">
        <v>0</v>
      </c>
      <c r="T118" s="20" t="n">
        <v>17</v>
      </c>
      <c r="U118" s="20" t="n">
        <v>2</v>
      </c>
      <c r="V118" s="20" t="n">
        <v>1</v>
      </c>
      <c r="W118" s="20" t="n">
        <v>1</v>
      </c>
      <c r="X118" s="20" t="n">
        <v>0</v>
      </c>
    </row>
    <row r="119">
      <c r="A119" s="18" t="inlineStr">
        <is>
          <t>투자유가증권 매각이익</t>
        </is>
      </c>
      <c r="H119" s="20" t="n">
        <v>0</v>
      </c>
      <c r="I119" s="20" t="n">
        <v>0</v>
      </c>
      <c r="L119" s="20" t="n">
        <v>0</v>
      </c>
      <c r="M119" s="20" t="n">
        <v>5</v>
      </c>
      <c r="W119" s="20" t="n">
        <v>0</v>
      </c>
      <c r="X119" s="20" t="n">
        <v>5</v>
      </c>
    </row>
    <row r="120">
      <c r="A120" s="18" t="inlineStr">
        <is>
          <t>기타</t>
        </is>
      </c>
      <c r="D120" s="20" t="n">
        <v>0</v>
      </c>
      <c r="E120" s="20" t="n">
        <v>0</v>
      </c>
      <c r="H120" s="20" t="n">
        <v>0</v>
      </c>
      <c r="I120" s="20" t="n">
        <v>0</v>
      </c>
      <c r="U120" s="20" t="n">
        <v>0</v>
      </c>
      <c r="V120" s="20" t="n">
        <v>0</v>
      </c>
      <c r="W120" s="20" t="n">
        <v>0</v>
      </c>
    </row>
    <row r="121">
      <c r="A121" s="18" t="inlineStr">
        <is>
          <t>특별이익 합계</t>
        </is>
      </c>
      <c r="C121" s="20" t="n">
        <v>183</v>
      </c>
      <c r="D121" s="20" t="n">
        <v>1</v>
      </c>
      <c r="E121" s="20" t="n">
        <v>275</v>
      </c>
      <c r="F121" s="20" t="n">
        <v>5</v>
      </c>
      <c r="G121" s="20" t="n">
        <v>0</v>
      </c>
      <c r="H121" s="20" t="n">
        <v>1</v>
      </c>
      <c r="I121" s="20" t="n">
        <v>1</v>
      </c>
      <c r="J121" s="20" t="n">
        <v>0</v>
      </c>
      <c r="K121" s="20" t="n">
        <v>7</v>
      </c>
      <c r="L121" s="20" t="n">
        <v>1</v>
      </c>
      <c r="M121" s="20" t="n">
        <v>6</v>
      </c>
      <c r="N121" s="20" t="n">
        <v>0</v>
      </c>
      <c r="T121" s="20" t="n">
        <v>17</v>
      </c>
      <c r="U121" s="20" t="n">
        <v>5</v>
      </c>
      <c r="V121" s="20" t="n">
        <v>275</v>
      </c>
      <c r="W121" s="20" t="n">
        <v>1</v>
      </c>
      <c r="X121" s="20" t="n">
        <v>6</v>
      </c>
    </row>
    <row r="122">
      <c r="A122" s="18" t="inlineStr">
        <is>
          <t>고정자산 매각손실</t>
        </is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0" t="n">
        <v>1</v>
      </c>
      <c r="L122" s="20" t="n">
        <v>0</v>
      </c>
      <c r="M122" s="20" t="n">
        <v>0</v>
      </c>
      <c r="N122" s="20" t="n">
        <v>0</v>
      </c>
      <c r="T122" s="20" t="n">
        <v>2</v>
      </c>
      <c r="U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고정자산 제각손실</t>
        </is>
      </c>
      <c r="C123" s="20" t="n">
        <v>25</v>
      </c>
      <c r="D123" s="20" t="n">
        <v>13</v>
      </c>
      <c r="E123" s="20" t="n">
        <v>23</v>
      </c>
      <c r="F123" s="20" t="n">
        <v>3</v>
      </c>
      <c r="G123" s="20" t="n">
        <v>2</v>
      </c>
      <c r="H123" s="20" t="n">
        <v>43</v>
      </c>
      <c r="I123" s="20" t="n">
        <v>35</v>
      </c>
      <c r="J123" s="20" t="n">
        <v>0</v>
      </c>
      <c r="K123" s="20" t="n">
        <v>3</v>
      </c>
      <c r="L123" s="20" t="n">
        <v>43</v>
      </c>
      <c r="M123" s="20" t="n">
        <v>19</v>
      </c>
      <c r="N123" s="20" t="n">
        <v>0</v>
      </c>
      <c r="T123" s="20" t="n">
        <v>1</v>
      </c>
      <c r="U123" s="20" t="n">
        <v>64</v>
      </c>
      <c r="V123" s="20" t="n">
        <v>23</v>
      </c>
      <c r="W123" s="20" t="n">
        <v>35</v>
      </c>
      <c r="X123" s="20" t="n">
        <v>19</v>
      </c>
    </row>
    <row r="124">
      <c r="A124" s="18" t="inlineStr">
        <is>
          <t>손상차손</t>
        </is>
      </c>
      <c r="D124" s="20" t="n">
        <v>104</v>
      </c>
      <c r="E124" s="20" t="n">
        <v>458</v>
      </c>
      <c r="H124" s="20" t="n">
        <v>0</v>
      </c>
      <c r="I124" s="20" t="n">
        <v>417</v>
      </c>
      <c r="J124" s="20" t="n">
        <v>0</v>
      </c>
      <c r="K124" s="20" t="n">
        <v>0</v>
      </c>
      <c r="L124" s="20" t="n">
        <v>0</v>
      </c>
      <c r="M124" s="20" t="n">
        <v>314</v>
      </c>
      <c r="N124" s="20" t="n">
        <v>20</v>
      </c>
      <c r="U124" s="20" t="n">
        <v>517</v>
      </c>
      <c r="V124" s="20" t="n">
        <v>458</v>
      </c>
      <c r="W124" s="20" t="n">
        <v>417</v>
      </c>
      <c r="X124" s="20" t="n">
        <v>314</v>
      </c>
    </row>
    <row r="125">
      <c r="A125" s="18" t="inlineStr">
        <is>
          <t>투자유가증권 평가손실</t>
        </is>
      </c>
      <c r="C125" s="20" t="n">
        <v>1</v>
      </c>
      <c r="D125" s="20" t="n">
        <v>0</v>
      </c>
      <c r="E125" s="20" t="n">
        <v>0</v>
      </c>
      <c r="F125" s="20" t="n">
        <v>2</v>
      </c>
      <c r="G125" s="20" t="n">
        <v>0</v>
      </c>
      <c r="H125" s="20" t="n">
        <v>0</v>
      </c>
      <c r="I125" s="20" t="n">
        <v>67</v>
      </c>
      <c r="J125" s="20" t="n">
        <v>0</v>
      </c>
      <c r="K125" s="20" t="n">
        <v>0</v>
      </c>
      <c r="L125" s="20" t="n">
        <v>0</v>
      </c>
      <c r="M125" s="20" t="n">
        <v>7</v>
      </c>
      <c r="T125" s="20" t="n">
        <v>115</v>
      </c>
      <c r="U125" s="20" t="n">
        <v>0</v>
      </c>
      <c r="V125" s="20" t="n">
        <v>0</v>
      </c>
      <c r="W125" s="20" t="n">
        <v>67</v>
      </c>
      <c r="X125" s="20" t="n">
        <v>7</v>
      </c>
    </row>
    <row r="126">
      <c r="A126" s="18" t="inlineStr">
        <is>
          <t>특별퇴직금</t>
        </is>
      </c>
      <c r="E126" s="20" t="n">
        <v>16</v>
      </c>
      <c r="I126" s="20" t="n">
        <v>0</v>
      </c>
      <c r="U126" s="20" t="n">
        <v>0</v>
      </c>
      <c r="V126" s="20" t="n">
        <v>16</v>
      </c>
      <c r="W126" s="20" t="n">
        <v>0</v>
      </c>
    </row>
    <row r="127">
      <c r="A127" s="18" t="inlineStr">
        <is>
          <t>특별손실 합계</t>
        </is>
      </c>
      <c r="C127" s="20" t="n">
        <v>26</v>
      </c>
      <c r="D127" s="20" t="n">
        <v>204</v>
      </c>
      <c r="E127" s="20" t="n">
        <v>498</v>
      </c>
      <c r="F127" s="20" t="n">
        <v>5</v>
      </c>
      <c r="G127" s="20" t="n">
        <v>83</v>
      </c>
      <c r="H127" s="20" t="n">
        <v>44</v>
      </c>
      <c r="I127" s="20" t="n">
        <v>1388</v>
      </c>
      <c r="J127" s="20" t="n">
        <v>0</v>
      </c>
      <c r="K127" s="20" t="n">
        <v>4</v>
      </c>
      <c r="L127" s="20" t="n">
        <v>43</v>
      </c>
      <c r="M127" s="20" t="n">
        <v>344</v>
      </c>
      <c r="N127" s="20" t="n">
        <v>20</v>
      </c>
      <c r="T127" s="20" t="n">
        <v>122</v>
      </c>
      <c r="U127" s="20" t="n">
        <v>581</v>
      </c>
      <c r="V127" s="20" t="n">
        <v>498</v>
      </c>
      <c r="W127" s="20" t="n">
        <v>1388</v>
      </c>
      <c r="X127" s="20" t="n">
        <v>344</v>
      </c>
    </row>
    <row r="128">
      <c r="A128" s="9" t="inlineStr">
        <is>
          <t>법인세차감전 중간순이익(손실)</t>
        </is>
      </c>
      <c r="C128" s="12" t="n">
        <v>581</v>
      </c>
      <c r="D128" s="12" t="n">
        <v>-1282</v>
      </c>
      <c r="E128" s="12" t="n">
        <v>-35</v>
      </c>
      <c r="F128" s="12" t="n">
        <v>951</v>
      </c>
      <c r="G128" s="12" t="n">
        <v>-958</v>
      </c>
      <c r="H128" s="12" t="n">
        <v>1062</v>
      </c>
      <c r="I128" s="12" t="n">
        <v>-2018</v>
      </c>
      <c r="J128" s="12" t="n">
        <v>-619</v>
      </c>
      <c r="K128" s="12" t="n">
        <v>497</v>
      </c>
      <c r="L128" s="12" t="n">
        <v>1206</v>
      </c>
      <c r="M128" s="12" t="n">
        <v>-217</v>
      </c>
      <c r="N128" s="12" t="n">
        <v>286</v>
      </c>
      <c r="T128" s="12" t="n">
        <v>1042</v>
      </c>
      <c r="U128" s="12" t="n">
        <v>-932</v>
      </c>
      <c r="V128" s="12" t="n">
        <v>-35</v>
      </c>
      <c r="W128" s="12" t="n">
        <v>-2018</v>
      </c>
      <c r="X128" s="12" t="n">
        <v>-217</v>
      </c>
    </row>
    <row r="129">
      <c r="A129" s="18" t="inlineStr">
        <is>
          <t>법인세·주민세·사업세</t>
        </is>
      </c>
      <c r="C129" s="20" t="n">
        <v>149</v>
      </c>
      <c r="D129" s="20" t="n">
        <v>-94</v>
      </c>
      <c r="E129" s="20" t="n">
        <v>45</v>
      </c>
      <c r="F129" s="20" t="n">
        <v>75</v>
      </c>
      <c r="G129" s="20" t="n">
        <v>101</v>
      </c>
      <c r="H129" s="20" t="n">
        <v>57</v>
      </c>
      <c r="I129" s="20" t="n">
        <v>133</v>
      </c>
      <c r="J129" s="20" t="n">
        <v>75</v>
      </c>
      <c r="K129" s="20" t="n">
        <v>214</v>
      </c>
      <c r="L129" s="20" t="n">
        <v>81</v>
      </c>
      <c r="M129" s="20" t="n">
        <v>124</v>
      </c>
      <c r="N129" s="20" t="n">
        <v>112</v>
      </c>
      <c r="T129" s="20" t="n">
        <v>106</v>
      </c>
      <c r="U129" s="20" t="n">
        <v>92</v>
      </c>
      <c r="V129" s="20" t="n">
        <v>45</v>
      </c>
      <c r="W129" s="20" t="n">
        <v>133</v>
      </c>
      <c r="X129" s="20" t="n">
        <v>124</v>
      </c>
    </row>
    <row r="130">
      <c r="A130" s="18" t="inlineStr">
        <is>
          <t>법인세 조정액</t>
        </is>
      </c>
      <c r="C130" s="20" t="n">
        <v>-57</v>
      </c>
      <c r="D130" s="20" t="n">
        <v>137</v>
      </c>
      <c r="E130" s="20" t="n">
        <v>92</v>
      </c>
      <c r="F130" s="20" t="n">
        <v>74</v>
      </c>
      <c r="G130" s="20" t="n">
        <v>29</v>
      </c>
      <c r="H130" s="20" t="n">
        <v>37</v>
      </c>
      <c r="I130" s="20" t="n">
        <v>349</v>
      </c>
      <c r="J130" s="20" t="n">
        <v>-42</v>
      </c>
      <c r="K130" s="20" t="n">
        <v>-176</v>
      </c>
      <c r="L130" s="20" t="n">
        <v>194</v>
      </c>
      <c r="M130" s="20" t="n">
        <v>340</v>
      </c>
      <c r="N130" s="20" t="n">
        <v>19</v>
      </c>
      <c r="T130" s="20" t="n">
        <v>-137</v>
      </c>
      <c r="U130" s="20" t="n">
        <v>92</v>
      </c>
      <c r="V130" s="20" t="n">
        <v>92</v>
      </c>
      <c r="W130" s="20" t="n">
        <v>349</v>
      </c>
      <c r="X130" s="20" t="n">
        <v>340</v>
      </c>
    </row>
    <row r="131">
      <c r="A131" s="18" t="inlineStr">
        <is>
          <t>법인세 등 합계</t>
        </is>
      </c>
      <c r="C131" s="20" t="n">
        <v>91</v>
      </c>
      <c r="D131" s="20" t="n">
        <v>43</v>
      </c>
      <c r="E131" s="20" t="n">
        <v>138</v>
      </c>
      <c r="F131" s="20" t="n">
        <v>150</v>
      </c>
      <c r="G131" s="20" t="n">
        <v>129</v>
      </c>
      <c r="H131" s="20" t="n">
        <v>95</v>
      </c>
      <c r="I131" s="20" t="n">
        <v>547</v>
      </c>
      <c r="J131" s="20" t="n">
        <v>32</v>
      </c>
      <c r="K131" s="20" t="n">
        <v>39</v>
      </c>
      <c r="L131" s="20" t="n">
        <v>274</v>
      </c>
      <c r="M131" s="20" t="n">
        <v>465</v>
      </c>
      <c r="N131" s="20" t="n">
        <v>132</v>
      </c>
      <c r="T131" s="20" t="n">
        <v>-33</v>
      </c>
      <c r="U131" s="20" t="n">
        <v>183</v>
      </c>
      <c r="V131" s="20" t="n">
        <v>138</v>
      </c>
      <c r="W131" s="20" t="n">
        <v>547</v>
      </c>
      <c r="X131" s="20" t="n">
        <v>465</v>
      </c>
    </row>
    <row r="132">
      <c r="A132" s="9" t="inlineStr">
        <is>
          <t>중간순이익(손실)</t>
        </is>
      </c>
      <c r="C132" s="12" t="n">
        <v>490</v>
      </c>
      <c r="D132" s="12" t="n">
        <v>-1326</v>
      </c>
      <c r="E132" s="12" t="n">
        <v>-173</v>
      </c>
      <c r="F132" s="12" t="n">
        <v>801</v>
      </c>
      <c r="G132" s="12" t="n">
        <v>-1088</v>
      </c>
      <c r="H132" s="12" t="n">
        <v>967</v>
      </c>
      <c r="I132" s="12" t="n">
        <v>-2564</v>
      </c>
      <c r="J132" s="12" t="n">
        <v>-651</v>
      </c>
      <c r="K132" s="12" t="n">
        <v>458</v>
      </c>
      <c r="L132" s="12" t="n">
        <v>931</v>
      </c>
      <c r="M132" s="12" t="n">
        <v>-682</v>
      </c>
      <c r="N132" s="12" t="n">
        <v>154</v>
      </c>
      <c r="T132" s="12" t="n">
        <v>1076</v>
      </c>
      <c r="U132" s="12" t="n">
        <v>-1116</v>
      </c>
      <c r="V132" s="12" t="n">
        <v>-173</v>
      </c>
      <c r="W132" s="12" t="n">
        <v>-2564</v>
      </c>
      <c r="X132" s="12" t="n">
        <v>-682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지배주주 귀속 중간순이익(손실)</t>
        </is>
      </c>
      <c r="C134" s="12" t="n">
        <v>490</v>
      </c>
      <c r="D134" s="12" t="n">
        <v>-1326</v>
      </c>
      <c r="E134" s="12" t="n">
        <v>-173</v>
      </c>
      <c r="F134" s="12" t="n">
        <v>801</v>
      </c>
      <c r="G134" s="12" t="n">
        <v>-1088</v>
      </c>
      <c r="H134" s="12" t="n">
        <v>967</v>
      </c>
      <c r="I134" s="12" t="n">
        <v>-2564</v>
      </c>
      <c r="J134" s="12" t="n">
        <v>-651</v>
      </c>
      <c r="K134" s="12" t="n">
        <v>458</v>
      </c>
      <c r="L134" s="12" t="n">
        <v>931</v>
      </c>
      <c r="M134" s="12" t="n">
        <v>-682</v>
      </c>
      <c r="N134" s="12" t="n">
        <v>154</v>
      </c>
      <c r="T134" s="12" t="n">
        <v>1076</v>
      </c>
      <c r="U134" s="12" t="n">
        <v>-1116</v>
      </c>
      <c r="V134" s="12" t="n">
        <v>-173</v>
      </c>
      <c r="W134" s="12" t="n">
        <v>-2564</v>
      </c>
      <c r="X134" s="12" t="n">
        <v>-682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7">
      <c r="A137" s="16" t="inlineStr">
        <is>
          <t>포괄손익 · 전 항목</t>
        </is>
      </c>
      <c r="B137" s="42" t="inlineStr">
        <is>
          <t>분기 = 3개월 단독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2024.2Q</t>
        </is>
      </c>
      <c r="D138" s="5" t="inlineStr">
        <is>
          <t>2024.3Q</t>
        </is>
      </c>
      <c r="E138" s="5" t="inlineStr">
        <is>
          <t>2024.4Q</t>
        </is>
      </c>
      <c r="F138" s="5" t="inlineStr">
        <is>
          <t>2025.1Q</t>
        </is>
      </c>
      <c r="G138" s="5" t="inlineStr">
        <is>
          <t>2025.2Q</t>
        </is>
      </c>
      <c r="H138" s="5" t="inlineStr">
        <is>
          <t>2025.3Q</t>
        </is>
      </c>
      <c r="I138" s="5" t="inlineStr">
        <is>
          <t>2025.4Q</t>
        </is>
      </c>
      <c r="J138" s="5" t="inlineStr">
        <is>
          <t>2026.1Q</t>
        </is>
      </c>
      <c r="K138" s="5" t="inlineStr">
        <is>
          <t>2026.2Q</t>
        </is>
      </c>
      <c r="L138" s="5" t="inlineStr">
        <is>
          <t>2026.3Q</t>
        </is>
      </c>
      <c r="M138" s="5" t="inlineStr">
        <is>
          <t>2026.4Q</t>
        </is>
      </c>
      <c r="N138" s="5" t="inlineStr">
        <is>
          <t>2027.1Q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9" t="inlineStr">
        <is>
          <t>중간순이익(손실)</t>
        </is>
      </c>
      <c r="C139" s="12" t="n">
        <v>490</v>
      </c>
      <c r="D139" s="12" t="n">
        <v>-1326</v>
      </c>
      <c r="E139" s="12" t="n">
        <v>-173</v>
      </c>
      <c r="F139" s="12" t="n">
        <v>801</v>
      </c>
      <c r="G139" s="12" t="n">
        <v>-1088</v>
      </c>
      <c r="H139" s="12" t="n">
        <v>967</v>
      </c>
      <c r="I139" s="12" t="n">
        <v>-2564</v>
      </c>
      <c r="J139" s="12" t="n">
        <v>-651</v>
      </c>
      <c r="K139" s="12" t="n">
        <v>458</v>
      </c>
      <c r="L139" s="12" t="n">
        <v>931</v>
      </c>
      <c r="M139" s="12" t="n">
        <v>-682</v>
      </c>
      <c r="N139" s="12" t="n">
        <v>154</v>
      </c>
      <c r="T139" s="12" t="n">
        <v>1076</v>
      </c>
      <c r="U139" s="12" t="n">
        <v>-1116</v>
      </c>
      <c r="V139" s="12" t="n">
        <v>-173</v>
      </c>
      <c r="W139" s="12" t="n">
        <v>-2564</v>
      </c>
      <c r="X139" s="12" t="n">
        <v>-682</v>
      </c>
    </row>
    <row r="140">
      <c r="A140" s="18" t="inlineStr">
        <is>
          <t>기타유가증권 평가차액</t>
        </is>
      </c>
      <c r="C140" s="20" t="n">
        <v>-34</v>
      </c>
      <c r="D140" s="20" t="n">
        <v>86</v>
      </c>
      <c r="E140" s="20" t="n">
        <v>71</v>
      </c>
      <c r="F140" s="20" t="n">
        <v>259</v>
      </c>
      <c r="G140" s="20" t="n">
        <v>-142</v>
      </c>
      <c r="H140" s="20" t="n">
        <v>-211</v>
      </c>
      <c r="I140" s="20" t="n">
        <v>-96</v>
      </c>
      <c r="J140" s="20" t="n">
        <v>48</v>
      </c>
      <c r="K140" s="20" t="n">
        <v>278</v>
      </c>
      <c r="L140" s="20" t="n">
        <v>150</v>
      </c>
      <c r="M140" s="20" t="n">
        <v>100</v>
      </c>
      <c r="N140" s="20" t="n">
        <v>92</v>
      </c>
      <c r="T140" s="20" t="n">
        <v>-16</v>
      </c>
      <c r="U140" s="20" t="n">
        <v>393</v>
      </c>
      <c r="V140" s="20" t="n">
        <v>71</v>
      </c>
      <c r="W140" s="20" t="n">
        <v>-96</v>
      </c>
      <c r="X140" s="20" t="n">
        <v>100</v>
      </c>
    </row>
    <row r="141">
      <c r="A141" s="18" t="inlineStr">
        <is>
          <t>이연헤지손익</t>
        </is>
      </c>
      <c r="C141" s="20" t="n">
        <v>-35</v>
      </c>
      <c r="D141" s="20" t="n">
        <v>-49</v>
      </c>
      <c r="E141" s="20" t="n">
        <v>14</v>
      </c>
      <c r="F141" s="20" t="n">
        <v>29</v>
      </c>
      <c r="G141" s="20" t="n">
        <v>-17</v>
      </c>
      <c r="H141" s="20" t="n">
        <v>28</v>
      </c>
      <c r="I141" s="20" t="n">
        <v>46</v>
      </c>
      <c r="J141" s="20" t="n">
        <v>-7</v>
      </c>
      <c r="K141" s="20" t="n">
        <v>28</v>
      </c>
      <c r="L141" s="20" t="n">
        <v>32</v>
      </c>
      <c r="M141" s="20" t="n">
        <v>27</v>
      </c>
      <c r="N141" s="20" t="n">
        <v>3</v>
      </c>
      <c r="T141" s="20" t="n">
        <v>1</v>
      </c>
      <c r="U141" s="20" t="n">
        <v>1</v>
      </c>
      <c r="V141" s="20" t="n">
        <v>14</v>
      </c>
      <c r="W141" s="20" t="n">
        <v>46</v>
      </c>
      <c r="X141" s="20" t="n">
        <v>27</v>
      </c>
    </row>
    <row r="142">
      <c r="A142" s="18" t="inlineStr">
        <is>
          <t>해외사업환산조정</t>
        </is>
      </c>
      <c r="C142" s="20" t="n">
        <v>141</v>
      </c>
      <c r="D142" s="20" t="n">
        <v>-180</v>
      </c>
      <c r="E142" s="20" t="n">
        <v>299</v>
      </c>
      <c r="F142" s="20" t="n">
        <v>310</v>
      </c>
      <c r="G142" s="20" t="n">
        <v>-670</v>
      </c>
      <c r="H142" s="20" t="n">
        <v>499</v>
      </c>
      <c r="I142" s="20" t="n">
        <v>-454</v>
      </c>
      <c r="J142" s="20" t="n">
        <v>34</v>
      </c>
      <c r="K142" s="20" t="n">
        <v>401</v>
      </c>
      <c r="L142" s="20" t="n">
        <v>755</v>
      </c>
      <c r="M142" s="20" t="n">
        <v>265</v>
      </c>
      <c r="N142" s="20" t="n">
        <v>334</v>
      </c>
      <c r="T142" s="20" t="n">
        <v>328</v>
      </c>
      <c r="U142" s="20" t="n">
        <v>181</v>
      </c>
      <c r="V142" s="20" t="n">
        <v>299</v>
      </c>
      <c r="W142" s="20" t="n">
        <v>-454</v>
      </c>
      <c r="X142" s="20" t="n">
        <v>265</v>
      </c>
    </row>
    <row r="143">
      <c r="A143" s="18" t="inlineStr">
        <is>
          <t>퇴직급여 조정액</t>
        </is>
      </c>
      <c r="C143" s="20" t="n">
        <v>-20</v>
      </c>
      <c r="D143" s="20" t="n">
        <v>-22</v>
      </c>
      <c r="E143" s="20" t="n">
        <v>935</v>
      </c>
      <c r="F143" s="20" t="n">
        <v>-77</v>
      </c>
      <c r="G143" s="20" t="n">
        <v>-89</v>
      </c>
      <c r="H143" s="20" t="n">
        <v>-76</v>
      </c>
      <c r="I143" s="20" t="n">
        <v>263</v>
      </c>
      <c r="J143" s="20" t="n">
        <v>-105</v>
      </c>
      <c r="K143" s="20" t="n">
        <v>-102</v>
      </c>
      <c r="L143" s="20" t="n">
        <v>-103</v>
      </c>
      <c r="M143" s="20" t="n">
        <v>966</v>
      </c>
      <c r="N143" s="20" t="n">
        <v>-124</v>
      </c>
      <c r="T143" s="20" t="n">
        <v>68</v>
      </c>
      <c r="U143" s="20" t="n">
        <v>-16</v>
      </c>
      <c r="V143" s="20" t="n">
        <v>935</v>
      </c>
      <c r="W143" s="20" t="n">
        <v>263</v>
      </c>
      <c r="X143" s="20" t="n">
        <v>966</v>
      </c>
    </row>
    <row r="144">
      <c r="A144" s="18" t="inlineStr">
        <is>
          <t>기타포괄손익 합계</t>
        </is>
      </c>
      <c r="C144" s="20" t="n">
        <v>51</v>
      </c>
      <c r="D144" s="20" t="n">
        <v>-165</v>
      </c>
      <c r="E144" s="20" t="n">
        <v>1321</v>
      </c>
      <c r="F144" s="20" t="n">
        <v>523</v>
      </c>
      <c r="G144" s="20" t="n">
        <v>-919</v>
      </c>
      <c r="H144" s="20" t="n">
        <v>239</v>
      </c>
      <c r="I144" s="20" t="n">
        <v>-240</v>
      </c>
      <c r="J144" s="20" t="n">
        <v>-29</v>
      </c>
      <c r="K144" s="20" t="n">
        <v>604</v>
      </c>
      <c r="L144" s="20" t="n">
        <v>835</v>
      </c>
      <c r="M144" s="20" t="n">
        <v>1359</v>
      </c>
      <c r="N144" s="20" t="n">
        <v>305</v>
      </c>
      <c r="T144" s="20" t="n">
        <v>381</v>
      </c>
      <c r="U144" s="20" t="n">
        <v>558</v>
      </c>
      <c r="V144" s="20" t="n">
        <v>1321</v>
      </c>
      <c r="W144" s="20" t="n">
        <v>-240</v>
      </c>
      <c r="X144" s="20" t="n">
        <v>1359</v>
      </c>
    </row>
    <row r="145">
      <c r="A145" s="9" t="inlineStr">
        <is>
          <t>포괄이익</t>
        </is>
      </c>
      <c r="C145" s="12" t="n">
        <v>542</v>
      </c>
      <c r="D145" s="12" t="n">
        <v>-1492</v>
      </c>
      <c r="E145" s="12" t="n">
        <v>1148</v>
      </c>
      <c r="F145" s="12" t="n">
        <v>1324</v>
      </c>
      <c r="G145" s="12" t="n">
        <v>-2008</v>
      </c>
      <c r="H145" s="12" t="n">
        <v>1207</v>
      </c>
      <c r="I145" s="12" t="n">
        <v>-2805</v>
      </c>
      <c r="J145" s="12" t="n">
        <v>-680</v>
      </c>
      <c r="K145" s="12" t="n">
        <v>1061</v>
      </c>
      <c r="L145" s="12" t="n">
        <v>1768</v>
      </c>
      <c r="M145" s="12" t="n">
        <v>676</v>
      </c>
      <c r="N145" s="12" t="n">
        <v>460</v>
      </c>
      <c r="T145" s="12" t="n">
        <v>1457</v>
      </c>
      <c r="U145" s="12" t="n">
        <v>-558</v>
      </c>
      <c r="V145" s="12" t="n">
        <v>1148</v>
      </c>
      <c r="W145" s="12" t="n">
        <v>-2805</v>
      </c>
      <c r="X145" s="12" t="n">
        <v>676</v>
      </c>
    </row>
    <row r="146">
      <c r="A146" s="9" t="inlineStr">
        <is>
          <t>지배주주 포괄이익</t>
        </is>
      </c>
      <c r="C146" s="12" t="n">
        <v>542</v>
      </c>
      <c r="D146" s="12" t="n">
        <v>-1492</v>
      </c>
      <c r="E146" s="12" t="n">
        <v>1148</v>
      </c>
      <c r="F146" s="12" t="n">
        <v>1324</v>
      </c>
      <c r="G146" s="12" t="n">
        <v>-2008</v>
      </c>
      <c r="H146" s="12" t="n">
        <v>1207</v>
      </c>
      <c r="I146" s="12" t="n">
        <v>-2805</v>
      </c>
      <c r="J146" s="12" t="n">
        <v>-680</v>
      </c>
      <c r="K146" s="12" t="n">
        <v>1061</v>
      </c>
      <c r="L146" s="12" t="n">
        <v>1768</v>
      </c>
      <c r="M146" s="12" t="n">
        <v>676</v>
      </c>
      <c r="N146" s="12" t="n">
        <v>460</v>
      </c>
      <c r="T146" s="12" t="n">
        <v>1457</v>
      </c>
      <c r="U146" s="12" t="n">
        <v>-558</v>
      </c>
      <c r="V146" s="12" t="n">
        <v>1148</v>
      </c>
      <c r="W146" s="12" t="n">
        <v>-2805</v>
      </c>
      <c r="X146" s="12" t="n">
        <v>676</v>
      </c>
    </row>
    <row r="148">
      <c r="A148" s="16" t="inlineStr">
        <is>
          <t>부문 · 전 항목</t>
        </is>
      </c>
      <c r="B148" s="42" t="inlineStr">
        <is>
          <t>부문 · 항목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2024.2Q</t>
        </is>
      </c>
      <c r="D149" s="5" t="inlineStr">
        <is>
          <t>2024.3Q</t>
        </is>
      </c>
      <c r="E149" s="5" t="inlineStr">
        <is>
          <t>2024.4Q</t>
        </is>
      </c>
      <c r="F149" s="5" t="inlineStr">
        <is>
          <t>2025.1Q</t>
        </is>
      </c>
      <c r="G149" s="5" t="inlineStr">
        <is>
          <t>2025.2Q</t>
        </is>
      </c>
      <c r="H149" s="5" t="inlineStr">
        <is>
          <t>2025.3Q</t>
        </is>
      </c>
      <c r="I149" s="5" t="inlineStr">
        <is>
          <t>2025.4Q</t>
        </is>
      </c>
      <c r="J149" s="5" t="inlineStr">
        <is>
          <t>2026.1Q</t>
        </is>
      </c>
      <c r="K149" s="5" t="inlineStr">
        <is>
          <t>2026.2Q</t>
        </is>
      </c>
      <c r="L149" s="5" t="inlineStr">
        <is>
          <t>2026.3Q</t>
        </is>
      </c>
      <c r="M149" s="5" t="inlineStr">
        <is>
          <t>2026.4Q</t>
        </is>
      </c>
      <c r="N149" s="5" t="inlineStr">
        <is>
          <t>2027.1Q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18" t="inlineStr">
        <is>
          <t>CSReportableSegmentsMember · 외부 고객 매출</t>
        </is>
      </c>
      <c r="C150" s="20" t="n">
        <v>5629</v>
      </c>
      <c r="D150" s="20" t="n">
        <v>5073</v>
      </c>
      <c r="E150" s="20" t="n">
        <v>5164</v>
      </c>
      <c r="F150" s="20" t="n">
        <v>5717</v>
      </c>
      <c r="G150" s="20" t="n">
        <v>5802</v>
      </c>
      <c r="H150" s="20" t="n">
        <v>5322</v>
      </c>
      <c r="I150" s="20" t="n">
        <v>5315</v>
      </c>
      <c r="J150" s="20" t="n">
        <v>5207</v>
      </c>
      <c r="K150" s="20" t="n">
        <v>5884</v>
      </c>
      <c r="L150" s="20" t="n">
        <v>5812</v>
      </c>
      <c r="M150" s="20" t="n">
        <v>5617</v>
      </c>
      <c r="N150" s="20" t="n">
        <v>5877</v>
      </c>
      <c r="V150" s="20" t="n">
        <v>5164</v>
      </c>
      <c r="W150" s="20" t="n">
        <v>5315</v>
      </c>
      <c r="X150" s="20" t="n">
        <v>5617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SCIReportableSegmentMember · 외부 고객 매출</t>
        </is>
      </c>
      <c r="C152" s="20" t="n">
        <v>6298</v>
      </c>
      <c r="D152" s="20" t="n">
        <v>6027</v>
      </c>
      <c r="E152" s="20" t="n">
        <v>6999</v>
      </c>
      <c r="F152" s="20" t="n">
        <v>5944</v>
      </c>
      <c r="G152" s="20" t="n">
        <v>6038</v>
      </c>
      <c r="H152" s="20" t="n">
        <v>5642</v>
      </c>
      <c r="I152" s="20" t="n">
        <v>8019</v>
      </c>
      <c r="J152" s="20" t="n">
        <v>5801</v>
      </c>
      <c r="K152" s="20" t="n">
        <v>6238</v>
      </c>
      <c r="L152" s="20" t="n">
        <v>6222</v>
      </c>
      <c r="M152" s="20" t="n">
        <v>7360</v>
      </c>
      <c r="N152" s="20" t="n">
        <v>5592</v>
      </c>
      <c r="V152" s="20" t="n">
        <v>6999</v>
      </c>
      <c r="W152" s="20" t="n">
        <v>8019</v>
      </c>
      <c r="X152" s="20" t="n">
        <v>7360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V153" s="15">
        <f>IF(OR(V152="",U152=""),"",IF(U152&lt;=0,"",IFERROR(V152/U152-1,"")))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RandDCenterReportableSegmentsMember · 외부 고객 매출</t>
        </is>
      </c>
      <c r="C154" s="20" t="n">
        <v>110</v>
      </c>
      <c r="F154" s="20" t="n">
        <v>64</v>
      </c>
      <c r="G154" s="20" t="n">
        <v>49</v>
      </c>
      <c r="J154" s="20" t="n">
        <v>20</v>
      </c>
      <c r="K154" s="20" t="n">
        <v>1</v>
      </c>
      <c r="N154" s="20" t="n">
        <v>2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N155" s="15">
        <f>IF(OR(N154="",J154=""),"",IF(J154&lt;=0,"",IFERROR(N154/J154-1,"")))</f>
        <v/>
      </c>
    </row>
    <row r="156">
      <c r="A156" s="18" t="inlineStr">
        <is>
          <t>보고부문 합계 · 외부 고객 매출</t>
        </is>
      </c>
      <c r="C156" s="20" t="n">
        <v>12037</v>
      </c>
      <c r="D156" s="20" t="n">
        <v>11168</v>
      </c>
      <c r="E156" s="20" t="n">
        <v>12279</v>
      </c>
      <c r="F156" s="20" t="n">
        <v>11726</v>
      </c>
      <c r="G156" s="20" t="n">
        <v>11888</v>
      </c>
      <c r="H156" s="20" t="n">
        <v>11016</v>
      </c>
      <c r="I156" s="20" t="n">
        <v>13421</v>
      </c>
      <c r="J156" s="20" t="n">
        <v>11029</v>
      </c>
      <c r="K156" s="20" t="n">
        <v>12123</v>
      </c>
      <c r="L156" s="20" t="n">
        <v>12035</v>
      </c>
      <c r="M156" s="20" t="n">
        <v>13017</v>
      </c>
      <c r="N156" s="20" t="n">
        <v>11472</v>
      </c>
      <c r="V156" s="20" t="n">
        <v>12279</v>
      </c>
      <c r="W156" s="20" t="n">
        <v>13421</v>
      </c>
      <c r="X156" s="20" t="n">
        <v>13017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9" t="inlineStr">
        <is>
          <t>외부 고객 매출</t>
        </is>
      </c>
      <c r="C158" s="12" t="n">
        <v>12037</v>
      </c>
      <c r="D158" s="12" t="n">
        <v>11168</v>
      </c>
      <c r="E158" s="12" t="n">
        <v>12279</v>
      </c>
      <c r="F158" s="12" t="n">
        <v>11726</v>
      </c>
      <c r="G158" s="12" t="n">
        <v>11888</v>
      </c>
      <c r="H158" s="12" t="n">
        <v>11016</v>
      </c>
      <c r="I158" s="12" t="n">
        <v>13421</v>
      </c>
      <c r="V158" s="12" t="n">
        <v>12279</v>
      </c>
      <c r="W158" s="12" t="n">
        <v>13421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EntityTotalMember · 외부 고객 매출</t>
        </is>
      </c>
      <c r="F160" s="20" t="n">
        <v>11726</v>
      </c>
      <c r="J160" s="20" t="n">
        <v>11029</v>
      </c>
      <c r="N160" s="20" t="n">
        <v>11472</v>
      </c>
    </row>
    <row r="161">
      <c r="A161" s="18" t="inlineStr">
        <is>
          <t>CSReportableSegmentsMember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SCIReportableSegmentMember · 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18" t="inlineStr">
        <is>
          <t>RandDCenterReportableSegmentsMember · 부문 간 내부매출·대체</t>
        </is>
      </c>
      <c r="C163" s="20" t="n">
        <v>0</v>
      </c>
      <c r="F163" s="20" t="n">
        <v>0</v>
      </c>
      <c r="G163" s="20" t="n">
        <v>0</v>
      </c>
      <c r="J163" s="20" t="n">
        <v>0</v>
      </c>
      <c r="K163" s="20" t="n">
        <v>0</v>
      </c>
      <c r="N163" s="20" t="n">
        <v>0</v>
      </c>
    </row>
    <row r="164">
      <c r="A164" s="18" t="inlineStr">
        <is>
          <t>보고부문 합계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V164" s="20" t="n">
        <v>0</v>
      </c>
      <c r="W164" s="20" t="n">
        <v>0</v>
      </c>
      <c r="X164" s="20" t="n">
        <v>0</v>
      </c>
    </row>
    <row r="165">
      <c r="A165" s="18" t="inlineStr">
        <is>
          <t>부문 간 내부매출·대체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V165" s="20" t="n">
        <v>0</v>
      </c>
      <c r="W165" s="20" t="n">
        <v>0</v>
      </c>
    </row>
    <row r="166">
      <c r="A166" s="18" t="inlineStr">
        <is>
          <t>EntityTotalMember · 부문 간 내부매출·대체</t>
        </is>
      </c>
      <c r="F166" s="20" t="n">
        <v>0</v>
      </c>
      <c r="J166" s="20" t="n">
        <v>0</v>
      </c>
      <c r="N166" s="20" t="n">
        <v>0</v>
      </c>
    </row>
    <row r="167">
      <c r="A167" s="18" t="inlineStr">
        <is>
          <t>CSReportableSegmentsMember · 계</t>
        </is>
      </c>
      <c r="C167" s="20" t="n">
        <v>5629</v>
      </c>
      <c r="D167" s="20" t="n">
        <v>5073</v>
      </c>
      <c r="E167" s="20" t="n">
        <v>5164</v>
      </c>
      <c r="F167" s="20" t="n">
        <v>5717</v>
      </c>
      <c r="G167" s="20" t="n">
        <v>5802</v>
      </c>
      <c r="H167" s="20" t="n">
        <v>5322</v>
      </c>
      <c r="I167" s="20" t="n">
        <v>5315</v>
      </c>
      <c r="J167" s="20" t="n">
        <v>5207</v>
      </c>
      <c r="K167" s="20" t="n">
        <v>5884</v>
      </c>
      <c r="L167" s="20" t="n">
        <v>5812</v>
      </c>
      <c r="M167" s="20" t="n">
        <v>5617</v>
      </c>
      <c r="N167" s="20" t="n">
        <v>5877</v>
      </c>
      <c r="V167" s="20" t="n">
        <v>5164</v>
      </c>
      <c r="W167" s="20" t="n">
        <v>5315</v>
      </c>
      <c r="X167" s="20" t="n">
        <v>5617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SCIReportableSegmentMember · 계</t>
        </is>
      </c>
      <c r="C169" s="20" t="n">
        <v>6298</v>
      </c>
      <c r="D169" s="20" t="n">
        <v>6027</v>
      </c>
      <c r="E169" s="20" t="n">
        <v>6999</v>
      </c>
      <c r="F169" s="20" t="n">
        <v>5944</v>
      </c>
      <c r="G169" s="20" t="n">
        <v>6038</v>
      </c>
      <c r="H169" s="20" t="n">
        <v>5642</v>
      </c>
      <c r="I169" s="20" t="n">
        <v>8019</v>
      </c>
      <c r="J169" s="20" t="n">
        <v>5801</v>
      </c>
      <c r="K169" s="20" t="n">
        <v>6238</v>
      </c>
      <c r="L169" s="20" t="n">
        <v>6222</v>
      </c>
      <c r="M169" s="20" t="n">
        <v>7360</v>
      </c>
      <c r="N169" s="20" t="n">
        <v>5592</v>
      </c>
      <c r="V169" s="20" t="n">
        <v>6999</v>
      </c>
      <c r="W169" s="20" t="n">
        <v>8019</v>
      </c>
      <c r="X169" s="20" t="n">
        <v>7360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RandDCenterReportableSegmentsMember · 계</t>
        </is>
      </c>
      <c r="C171" s="20" t="n">
        <v>110</v>
      </c>
      <c r="F171" s="20" t="n">
        <v>64</v>
      </c>
      <c r="G171" s="20" t="n">
        <v>49</v>
      </c>
      <c r="J171" s="20" t="n">
        <v>20</v>
      </c>
      <c r="K171" s="20" t="n">
        <v>1</v>
      </c>
      <c r="N171" s="20" t="n">
        <v>2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N172" s="15">
        <f>IF(OR(N171="",J171=""),"",IF(J171&lt;=0,"",IFERROR(N171/J171-1,"")))</f>
        <v/>
      </c>
    </row>
    <row r="173">
      <c r="A173" s="18" t="inlineStr">
        <is>
          <t>보고부문 합계 · 계</t>
        </is>
      </c>
      <c r="C173" s="20" t="n">
        <v>12037</v>
      </c>
      <c r="D173" s="20" t="n">
        <v>11168</v>
      </c>
      <c r="E173" s="20" t="n">
        <v>12279</v>
      </c>
      <c r="F173" s="20" t="n">
        <v>11726</v>
      </c>
      <c r="G173" s="20" t="n">
        <v>11888</v>
      </c>
      <c r="H173" s="20" t="n">
        <v>11016</v>
      </c>
      <c r="I173" s="20" t="n">
        <v>13421</v>
      </c>
      <c r="J173" s="20" t="n">
        <v>11029</v>
      </c>
      <c r="K173" s="20" t="n">
        <v>12123</v>
      </c>
      <c r="L173" s="20" t="n">
        <v>12035</v>
      </c>
      <c r="M173" s="20" t="n">
        <v>13017</v>
      </c>
      <c r="N173" s="20" t="n">
        <v>11472</v>
      </c>
      <c r="V173" s="20" t="n">
        <v>12279</v>
      </c>
      <c r="W173" s="20" t="n">
        <v>13421</v>
      </c>
      <c r="X173" s="20" t="n">
        <v>13017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9" t="inlineStr">
        <is>
          <t>계</t>
        </is>
      </c>
      <c r="C175" s="12" t="n">
        <v>12037</v>
      </c>
      <c r="D175" s="12" t="n">
        <v>11168</v>
      </c>
      <c r="E175" s="12" t="n">
        <v>12279</v>
      </c>
      <c r="F175" s="12" t="n">
        <v>11726</v>
      </c>
      <c r="G175" s="12" t="n">
        <v>11888</v>
      </c>
      <c r="H175" s="12" t="n">
        <v>11016</v>
      </c>
      <c r="I175" s="12" t="n">
        <v>13421</v>
      </c>
      <c r="V175" s="12" t="n">
        <v>12279</v>
      </c>
      <c r="W175" s="12" t="n">
        <v>13421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</row>
    <row r="177">
      <c r="A177" s="18" t="inlineStr">
        <is>
          <t>EntityTotalMember · 계</t>
        </is>
      </c>
      <c r="F177" s="20" t="n">
        <v>11726</v>
      </c>
      <c r="J177" s="20" t="n">
        <v>11029</v>
      </c>
      <c r="N177" s="20" t="n">
        <v>11472</v>
      </c>
    </row>
    <row r="178">
      <c r="A178" s="18" t="inlineStr">
        <is>
          <t>CSReportableSegmentsMember · Operating Income</t>
        </is>
      </c>
      <c r="C178" s="20" t="n">
        <v>481</v>
      </c>
      <c r="D178" s="20" t="n">
        <v>231</v>
      </c>
      <c r="E178" s="20" t="n">
        <v>338</v>
      </c>
      <c r="F178" s="20" t="n">
        <v>569</v>
      </c>
      <c r="G178" s="20" t="n">
        <v>591</v>
      </c>
      <c r="H178" s="20" t="n">
        <v>158</v>
      </c>
      <c r="I178" s="20" t="n">
        <v>216</v>
      </c>
      <c r="J178" s="20" t="n">
        <v>229</v>
      </c>
      <c r="K178" s="20" t="n">
        <v>431</v>
      </c>
      <c r="L178" s="20" t="n">
        <v>367</v>
      </c>
      <c r="M178" s="20" t="n">
        <v>160</v>
      </c>
      <c r="N178" s="20" t="n">
        <v>269</v>
      </c>
      <c r="V178" s="20" t="n">
        <v>338</v>
      </c>
      <c r="W178" s="20" t="n">
        <v>216</v>
      </c>
      <c r="X178" s="20" t="n">
        <v>160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IF(OR(C178="",C167=""),"",IF(C167&lt;=0,"",IFERROR(C178/C167,"")))</f>
        <v/>
      </c>
      <c r="D179" s="15">
        <f>IF(OR(D178="",D167=""),"",IF(D167&lt;=0,"",IFERROR(D178/D167,"")))</f>
        <v/>
      </c>
      <c r="E179" s="15">
        <f>IF(OR(E178="",E167=""),"",IF(E167&lt;=0,"",IFERROR(E178/E167,"")))</f>
        <v/>
      </c>
      <c r="F179" s="15">
        <f>IF(OR(F178="",F167=""),"",IF(F167&lt;=0,"",IFERROR(F178/F167,"")))</f>
        <v/>
      </c>
      <c r="G179" s="15">
        <f>IF(OR(G178="",G167=""),"",IF(G167&lt;=0,"",IFERROR(G178/G167,"")))</f>
        <v/>
      </c>
      <c r="H179" s="15">
        <f>IF(OR(H178="",H167=""),"",IF(H167&lt;=0,"",IFERROR(H178/H167,"")))</f>
        <v/>
      </c>
      <c r="I179" s="15">
        <f>IF(OR(I178="",I167=""),"",IF(I167&lt;=0,"",IFERROR(I178/I167,"")))</f>
        <v/>
      </c>
      <c r="J179" s="15">
        <f>IF(OR(J178="",J167=""),"",IF(J167&lt;=0,"",IFERROR(J178/J167,"")))</f>
        <v/>
      </c>
      <c r="K179" s="15">
        <f>IF(OR(K178="",K167=""),"",IF(K167&lt;=0,"",IFERROR(K178/K167,"")))</f>
        <v/>
      </c>
      <c r="L179" s="15">
        <f>IF(OR(L178="",L167=""),"",IF(L167&lt;=0,"",IFERROR(L178/L167,"")))</f>
        <v/>
      </c>
      <c r="M179" s="15">
        <f>IF(OR(M178="",M167=""),"",IF(M167&lt;=0,"",IFERROR(M178/M167,"")))</f>
        <v/>
      </c>
      <c r="N179" s="15">
        <f>IF(OR(N178="",N167=""),"",IF(N167&lt;=0,"",IFERROR(N178/N167,"")))</f>
        <v/>
      </c>
      <c r="V179" s="15">
        <f>IF(OR(V178="",V167=""),"",IF(V167&lt;=0,"",IFERROR(V178/V167,"")))</f>
        <v/>
      </c>
      <c r="W179" s="15">
        <f>IF(OR(W178="",W167=""),"",IF(W167&lt;=0,"",IFERROR(W178/W167,"")))</f>
        <v/>
      </c>
      <c r="X179" s="15">
        <f>IF(OR(X178="",X167=""),"",IF(X167&lt;=0,"",IFERROR(X178/X167,"")))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N180" s="15">
        <f>IF(OR(N178="",J178=""),"",IF(J178&lt;=0,"",IFERROR(N178/J178-1,"")))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SCIReportableSegmentMember · Operating Income</t>
        </is>
      </c>
      <c r="C181" s="20" t="n">
        <v>-231</v>
      </c>
      <c r="D181" s="20" t="n">
        <v>-558</v>
      </c>
      <c r="E181" s="20" t="n">
        <v>-979</v>
      </c>
      <c r="F181" s="20" t="n">
        <v>-528</v>
      </c>
      <c r="G181" s="20" t="n">
        <v>-323</v>
      </c>
      <c r="H181" s="20" t="n">
        <v>-185</v>
      </c>
      <c r="I181" s="20" t="n">
        <v>-272</v>
      </c>
      <c r="J181" s="20" t="n">
        <v>-365</v>
      </c>
      <c r="K181" s="20" t="n">
        <v>-168</v>
      </c>
      <c r="L181" s="20" t="n">
        <v>313</v>
      </c>
      <c r="M181" s="20" t="n">
        <v>-158</v>
      </c>
      <c r="N181" s="20" t="n">
        <v>-188</v>
      </c>
      <c r="V181" s="20" t="n">
        <v>-979</v>
      </c>
      <c r="W181" s="20" t="n">
        <v>-272</v>
      </c>
      <c r="X181" s="20" t="n">
        <v>-158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IF(OR(C181="",C169=""),"",IF(C169&lt;=0,"",IFERROR(C181/C169,"")))</f>
        <v/>
      </c>
      <c r="D182" s="15">
        <f>IF(OR(D181="",D169=""),"",IF(D169&lt;=0,"",IFERROR(D181/D169,"")))</f>
        <v/>
      </c>
      <c r="E182" s="15">
        <f>IF(OR(E181="",E169=""),"",IF(E169&lt;=0,"",IFERROR(E181/E169,"")))</f>
        <v/>
      </c>
      <c r="F182" s="15">
        <f>IF(OR(F181="",F169=""),"",IF(F169&lt;=0,"",IFERROR(F181/F169,"")))</f>
        <v/>
      </c>
      <c r="G182" s="15">
        <f>IF(OR(G181="",G169=""),"",IF(G169&lt;=0,"",IFERROR(G181/G169,"")))</f>
        <v/>
      </c>
      <c r="H182" s="15">
        <f>IF(OR(H181="",H169=""),"",IF(H169&lt;=0,"",IFERROR(H181/H169,"")))</f>
        <v/>
      </c>
      <c r="I182" s="15">
        <f>IF(OR(I181="",I169=""),"",IF(I169&lt;=0,"",IFERROR(I181/I169,"")))</f>
        <v/>
      </c>
      <c r="J182" s="15">
        <f>IF(OR(J181="",J169=""),"",IF(J169&lt;=0,"",IFERROR(J181/J169,"")))</f>
        <v/>
      </c>
      <c r="K182" s="15">
        <f>IF(OR(K181="",K169=""),"",IF(K169&lt;=0,"",IFERROR(K181/K169,"")))</f>
        <v/>
      </c>
      <c r="L182" s="15">
        <f>IF(OR(L181="",L169=""),"",IF(L169&lt;=0,"",IFERROR(L181/L169,"")))</f>
        <v/>
      </c>
      <c r="M182" s="15">
        <f>IF(OR(M181="",M169=""),"",IF(M169&lt;=0,"",IFERROR(M181/M169,"")))</f>
        <v/>
      </c>
      <c r="N182" s="15">
        <f>IF(OR(N181="",N169=""),"",IF(N169&lt;=0,"",IFERROR(N181/N169,"")))</f>
        <v/>
      </c>
      <c r="V182" s="15">
        <f>IF(OR(V181="",V169=""),"",IF(V169&lt;=0,"",IFERROR(V181/V169,"")))</f>
        <v/>
      </c>
      <c r="W182" s="15">
        <f>IF(OR(W181="",W169=""),"",IF(W169&lt;=0,"",IFERROR(W181/W169,"")))</f>
        <v/>
      </c>
      <c r="X182" s="15">
        <f>IF(OR(X181="",X169=""),"",IF(X169&lt;=0,"",IFERROR(X181/X169,"")))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L183" s="15">
        <f>IF(OR(L181="",H181=""),"",IF(H181&lt;=0,"",IFERROR(L181/H181-1,"")))</f>
        <v/>
      </c>
      <c r="M183" s="15">
        <f>IF(OR(M181="",I181=""),"",IF(I181&lt;=0,"",IFERROR(M181/I181-1,"")))</f>
        <v/>
      </c>
      <c r="N183" s="15">
        <f>IF(OR(N181="",J181=""),"",IF(J181&lt;=0,"",IFERROR(N181/J181-1,"")))</f>
        <v/>
      </c>
      <c r="V183" s="15">
        <f>IF(OR(V181="",U181=""),"",IF(U181&lt;=0,"",IFERROR(V181/U181-1,"")))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4">
      <c r="A184" s="18" t="inlineStr">
        <is>
          <t>RandDCenterReportableSegmentsMember · Operating Income</t>
        </is>
      </c>
      <c r="C184" s="20" t="n">
        <v>-42</v>
      </c>
      <c r="F184" s="20" t="n">
        <v>-104</v>
      </c>
      <c r="G184" s="20" t="n">
        <v>-96</v>
      </c>
      <c r="J184" s="20" t="n">
        <v>-144</v>
      </c>
      <c r="K184" s="20" t="n">
        <v>-100</v>
      </c>
      <c r="N184" s="20" t="n">
        <v>-74</v>
      </c>
    </row>
    <row r="185">
      <c r="A185" s="43" t="inlineStr">
        <is>
          <t>OPM</t>
        </is>
      </c>
      <c r="B185" s="3" t="inlineStr">
        <is>
          <t>영업이익 ÷ 매출</t>
        </is>
      </c>
      <c r="C185" s="15">
        <f>IF(OR(C184="",C171=""),"",IF(C171&lt;=0,"",IFERROR(C184/C171,"")))</f>
        <v/>
      </c>
      <c r="F185" s="15">
        <f>IF(OR(F184="",F171=""),"",IF(F171&lt;=0,"",IFERROR(F184/F171,"")))</f>
        <v/>
      </c>
      <c r="G185" s="15">
        <f>IF(OR(G184="",G171=""),"",IF(G171&lt;=0,"",IFERROR(G184/G171,"")))</f>
        <v/>
      </c>
      <c r="J185" s="15">
        <f>IF(OR(J184="",J171=""),"",IF(J171&lt;=0,"",IFERROR(J184/J171,"")))</f>
        <v/>
      </c>
      <c r="K185" s="15">
        <f>IF(OR(K184="",K171=""),"",IF(K171&lt;=0,"",IFERROR(K184/K171,"")))</f>
        <v/>
      </c>
      <c r="N185" s="15">
        <f>IF(OR(N184="",N171=""),"",IF(N171&lt;=0,"",IFERROR(N184/N171,"")))</f>
        <v/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IF(OR(G184="",C184=""),"",IF(C184&lt;=0,"",IFERROR(G184/C184-1,"")))</f>
        <v/>
      </c>
      <c r="J186" s="15">
        <f>IF(OR(J184="",F184=""),"",IF(F184&lt;=0,"",IFERROR(J184/F184-1,"")))</f>
        <v/>
      </c>
      <c r="K186" s="15">
        <f>IF(OR(K184="",G184=""),"",IF(G184&lt;=0,"",IFERROR(K184/G184-1,"")))</f>
        <v/>
      </c>
      <c r="N186" s="15">
        <f>IF(OR(N184="",J184=""),"",IF(J184&lt;=0,"",IFERROR(N184/J184-1,"")))</f>
        <v/>
      </c>
    </row>
    <row r="187">
      <c r="A187" s="18" t="inlineStr">
        <is>
          <t>보고부문 합계 · Operating Income</t>
        </is>
      </c>
      <c r="C187" s="20" t="n">
        <v>208</v>
      </c>
      <c r="D187" s="20" t="n">
        <v>-379</v>
      </c>
      <c r="E187" s="20" t="n">
        <v>-687</v>
      </c>
      <c r="F187" s="20" t="n">
        <v>-64</v>
      </c>
      <c r="G187" s="20" t="n">
        <v>172</v>
      </c>
      <c r="H187" s="20" t="n">
        <v>-183</v>
      </c>
      <c r="I187" s="20" t="n">
        <v>-145</v>
      </c>
      <c r="J187" s="20" t="n">
        <v>-280</v>
      </c>
      <c r="K187" s="20" t="n">
        <v>163</v>
      </c>
      <c r="L187" s="20" t="n">
        <v>589</v>
      </c>
      <c r="M187" s="20" t="n">
        <v>-42</v>
      </c>
      <c r="N187" s="20" t="n">
        <v>6</v>
      </c>
      <c r="V187" s="20" t="n">
        <v>-687</v>
      </c>
      <c r="W187" s="20" t="n">
        <v>-145</v>
      </c>
      <c r="X187" s="20" t="n">
        <v>-42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IF(OR(C187="",C173=""),"",IF(C173&lt;=0,"",IFERROR(C187/C173,"")))</f>
        <v/>
      </c>
      <c r="D188" s="15">
        <f>IF(OR(D187="",D173=""),"",IF(D173&lt;=0,"",IFERROR(D187/D173,"")))</f>
        <v/>
      </c>
      <c r="E188" s="15">
        <f>IF(OR(E187="",E173=""),"",IF(E173&lt;=0,"",IFERROR(E187/E173,"")))</f>
        <v/>
      </c>
      <c r="F188" s="15">
        <f>IF(OR(F187="",F173=""),"",IF(F173&lt;=0,"",IFERROR(F187/F173,"")))</f>
        <v/>
      </c>
      <c r="G188" s="15">
        <f>IF(OR(G187="",G173=""),"",IF(G173&lt;=0,"",IFERROR(G187/G173,"")))</f>
        <v/>
      </c>
      <c r="H188" s="15">
        <f>IF(OR(H187="",H173=""),"",IF(H173&lt;=0,"",IFERROR(H187/H173,"")))</f>
        <v/>
      </c>
      <c r="I188" s="15">
        <f>IF(OR(I187="",I173=""),"",IF(I173&lt;=0,"",IFERROR(I187/I173,"")))</f>
        <v/>
      </c>
      <c r="J188" s="15">
        <f>IF(OR(J187="",J173=""),"",IF(J173&lt;=0,"",IFERROR(J187/J173,"")))</f>
        <v/>
      </c>
      <c r="K188" s="15">
        <f>IF(OR(K187="",K173=""),"",IF(K173&lt;=0,"",IFERROR(K187/K173,"")))</f>
        <v/>
      </c>
      <c r="L188" s="15">
        <f>IF(OR(L187="",L173=""),"",IF(L173&lt;=0,"",IFERROR(L187/L173,"")))</f>
        <v/>
      </c>
      <c r="M188" s="15">
        <f>IF(OR(M187="",M173=""),"",IF(M173&lt;=0,"",IFERROR(M187/M173,"")))</f>
        <v/>
      </c>
      <c r="N188" s="15">
        <f>IF(OR(N187="",N173=""),"",IF(N173&lt;=0,"",IFERROR(N187/N173,"")))</f>
        <v/>
      </c>
      <c r="V188" s="15">
        <f>IF(OR(V187="",V173=""),"",IF(V173&lt;=0,"",IFERROR(V187/V173,"")))</f>
        <v/>
      </c>
      <c r="W188" s="15">
        <f>IF(OR(W187="",W173=""),"",IF(W173&lt;=0,"",IFERROR(W187/W173,"")))</f>
        <v/>
      </c>
      <c r="X188" s="15">
        <f>IF(OR(X187="",X173=""),"",IF(X173&lt;=0,"",IFERROR(X187/X173,"")))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I189" s="15">
        <f>IF(OR(I187="",E187=""),"",IF(E187&lt;=0,"",IFERROR(I187/E187-1,"")))</f>
        <v/>
      </c>
      <c r="J189" s="15">
        <f>IF(OR(J187="",F187=""),"",IF(F187&lt;=0,"",IFERROR(J187/F187-1,"")))</f>
        <v/>
      </c>
      <c r="K189" s="15">
        <f>IF(OR(K187="",G187=""),"",IF(G187&lt;=0,"",IFERROR(K187/G187-1,"")))</f>
        <v/>
      </c>
      <c r="L189" s="15">
        <f>IF(OR(L187="",H187=""),"",IF(H187&lt;=0,"",IFERROR(L187/H187-1,"")))</f>
        <v/>
      </c>
      <c r="M189" s="15">
        <f>IF(OR(M187="",I187=""),"",IF(I187&lt;=0,"",IFERROR(M187/I187-1,"")))</f>
        <v/>
      </c>
      <c r="N189" s="15">
        <f>IF(OR(N187="",J187=""),"",IF(J187&lt;=0,"",IFERROR(N187/J187-1,"")))</f>
        <v/>
      </c>
      <c r="V189" s="15">
        <f>IF(OR(V187="",U187=""),"",IF(U187&lt;=0,"",IFERROR(V187/U187-1,"")))</f>
        <v/>
      </c>
      <c r="W189" s="15">
        <f>IF(OR(W187="",V187=""),"",IF(V187&lt;=0,"",IFERROR(W187/V187-1,"")))</f>
        <v/>
      </c>
      <c r="X189" s="15">
        <f>IF(OR(X187="",W187=""),"",IF(W187&lt;=0,"",IFERROR(X187/W187-1,"")))</f>
        <v/>
      </c>
    </row>
    <row r="190">
      <c r="A190" s="9" t="inlineStr">
        <is>
          <t>Operating Income</t>
        </is>
      </c>
      <c r="C190" s="12" t="n">
        <v>208</v>
      </c>
      <c r="D190" s="12" t="n">
        <v>-379</v>
      </c>
      <c r="E190" s="12" t="n">
        <v>-687</v>
      </c>
      <c r="F190" s="12" t="n">
        <v>-64</v>
      </c>
      <c r="G190" s="12" t="n">
        <v>172</v>
      </c>
      <c r="H190" s="12" t="n">
        <v>-183</v>
      </c>
      <c r="I190" s="12" t="n">
        <v>-145</v>
      </c>
      <c r="V190" s="12" t="n">
        <v>-687</v>
      </c>
      <c r="W190" s="12" t="n">
        <v>-145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IF(OR(C190="",C158=""),"",IF(C158&lt;=0,"",IFERROR(C190/C158,"")))</f>
        <v/>
      </c>
      <c r="D191" s="15">
        <f>IF(OR(D190="",D158=""),"",IF(D158&lt;=0,"",IFERROR(D190/D158,"")))</f>
        <v/>
      </c>
      <c r="E191" s="15">
        <f>IF(OR(E190="",E158=""),"",IF(E158&lt;=0,"",IFERROR(E190/E158,"")))</f>
        <v/>
      </c>
      <c r="F191" s="15">
        <f>IF(OR(F190="",F158=""),"",IF(F158&lt;=0,"",IFERROR(F190/F158,"")))</f>
        <v/>
      </c>
      <c r="G191" s="15">
        <f>IF(OR(G190="",G158=""),"",IF(G158&lt;=0,"",IFERROR(G190/G158,"")))</f>
        <v/>
      </c>
      <c r="H191" s="15">
        <f>IF(OR(H190="",H158=""),"",IF(H158&lt;=0,"",IFERROR(H190/H158,"")))</f>
        <v/>
      </c>
      <c r="I191" s="15">
        <f>IF(OR(I190="",I158=""),"",IF(I158&lt;=0,"",IFERROR(I190/I158,"")))</f>
        <v/>
      </c>
      <c r="V191" s="15">
        <f>IF(OR(V190="",V158=""),"",IF(V158&lt;=0,"",IFERROR(V190/V158,"")))</f>
        <v/>
      </c>
      <c r="W191" s="15">
        <f>IF(OR(W190="",W158=""),"",IF(W158&lt;=0,"",IFERROR(W190/W158,"")))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</row>
    <row r="193">
      <c r="A193" s="18" t="inlineStr">
        <is>
          <t>EntityTotalMember · Operating Income</t>
        </is>
      </c>
      <c r="F193" s="20" t="n">
        <v>-64</v>
      </c>
      <c r="J193" s="20" t="n">
        <v>-280</v>
      </c>
      <c r="N193" s="20" t="n">
        <v>6</v>
      </c>
    </row>
    <row r="195">
      <c r="A195" s="16" t="inlineStr">
        <is>
          <t>현금흐름표 · 전 항목</t>
        </is>
      </c>
      <c r="B195" s="42" t="inlineStr">
        <is>
          <t>분기 = 결산기 첫날부터 누계(공시 그대로)</t>
        </is>
      </c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</row>
    <row r="196">
      <c r="A196" s="5" t="inlineStr">
        <is>
          <t>항목</t>
        </is>
      </c>
      <c r="B196" s="5" t="inlineStr">
        <is>
          <t>참고</t>
        </is>
      </c>
      <c r="C196" s="5" t="inlineStr">
        <is>
          <t>2024.2Q</t>
        </is>
      </c>
      <c r="D196" s="5" t="inlineStr">
        <is>
          <t>2024.3Q</t>
        </is>
      </c>
      <c r="E196" s="5" t="inlineStr">
        <is>
          <t>2024.4Q</t>
        </is>
      </c>
      <c r="F196" s="5" t="inlineStr">
        <is>
          <t>2025.1Q</t>
        </is>
      </c>
      <c r="G196" s="5" t="inlineStr">
        <is>
          <t>2025.2Q</t>
        </is>
      </c>
      <c r="H196" s="5" t="inlineStr">
        <is>
          <t>2025.3Q</t>
        </is>
      </c>
      <c r="I196" s="5" t="inlineStr">
        <is>
          <t>2025.4Q</t>
        </is>
      </c>
      <c r="J196" s="5" t="inlineStr">
        <is>
          <t>2026.1Q</t>
        </is>
      </c>
      <c r="K196" s="5" t="inlineStr">
        <is>
          <t>2026.2Q</t>
        </is>
      </c>
      <c r="L196" s="5" t="inlineStr">
        <is>
          <t>2026.3Q</t>
        </is>
      </c>
      <c r="M196" s="5" t="inlineStr">
        <is>
          <t>2026.4Q</t>
        </is>
      </c>
      <c r="N196" s="5" t="inlineStr">
        <is>
          <t>2027.1Q</t>
        </is>
      </c>
      <c r="O196" s="5" t="inlineStr">
        <is>
          <t>2017</t>
        </is>
      </c>
      <c r="P196" s="5" t="inlineStr">
        <is>
          <t>2018</t>
        </is>
      </c>
      <c r="Q196" s="5" t="inlineStr">
        <is>
          <t>2019</t>
        </is>
      </c>
      <c r="R196" s="5" t="inlineStr">
        <is>
          <t>2020</t>
        </is>
      </c>
      <c r="S196" s="5" t="inlineStr">
        <is>
          <t>2021</t>
        </is>
      </c>
      <c r="T196" s="5" t="inlineStr">
        <is>
          <t>2022</t>
        </is>
      </c>
      <c r="U196" s="5" t="inlineStr">
        <is>
          <t>2023</t>
        </is>
      </c>
      <c r="V196" s="5" t="inlineStr">
        <is>
          <t>2024</t>
        </is>
      </c>
      <c r="W196" s="5" t="inlineStr">
        <is>
          <t>2025</t>
        </is>
      </c>
      <c r="X196" s="5" t="inlineStr">
        <is>
          <t>2026</t>
        </is>
      </c>
      <c r="Y196" s="5" t="inlineStr">
        <is>
          <t>2027(MW)</t>
        </is>
      </c>
      <c r="Z196" s="5" t="inlineStr">
        <is>
          <t>2028(MW)</t>
        </is>
      </c>
      <c r="AA196" s="5" t="inlineStr">
        <is>
          <t>2029(MW)</t>
        </is>
      </c>
      <c r="AB196" s="5" t="inlineStr">
        <is>
          <t>2030(MW)</t>
        </is>
      </c>
      <c r="AC196" s="5" t="inlineStr">
        <is>
          <t>2031(MW)</t>
        </is>
      </c>
    </row>
    <row r="197">
      <c r="A197" s="9" t="inlineStr">
        <is>
          <t>법인세차감전 중간순이익(손실)</t>
        </is>
      </c>
      <c r="C197" s="12" t="n">
        <v>1264</v>
      </c>
      <c r="E197" s="12" t="n">
        <v>-53</v>
      </c>
      <c r="G197" s="12" t="n">
        <v>-7</v>
      </c>
      <c r="I197" s="12" t="n">
        <v>-963</v>
      </c>
      <c r="K197" s="12" t="n">
        <v>-122</v>
      </c>
      <c r="M197" s="12" t="n">
        <v>867</v>
      </c>
      <c r="O197" s="12" t="n">
        <v>1241</v>
      </c>
      <c r="P197" s="12" t="n">
        <v>570</v>
      </c>
      <c r="Q197" s="12" t="n">
        <v>303</v>
      </c>
      <c r="R197" s="12" t="n">
        <v>-3165</v>
      </c>
      <c r="S197" s="12" t="n">
        <v>2271</v>
      </c>
      <c r="T197" s="12" t="n">
        <v>3254</v>
      </c>
      <c r="U197" s="12" t="n">
        <v>1906</v>
      </c>
      <c r="V197" s="12" t="n">
        <v>-53</v>
      </c>
      <c r="W197" s="12" t="n">
        <v>-963</v>
      </c>
      <c r="X197" s="12" t="n">
        <v>867</v>
      </c>
    </row>
    <row r="198">
      <c r="A198" s="18" t="inlineStr">
        <is>
          <t>감가상각비</t>
        </is>
      </c>
      <c r="C198" s="20" t="n">
        <v>1254</v>
      </c>
      <c r="E198" s="20" t="n">
        <v>2451</v>
      </c>
      <c r="G198" s="20" t="n">
        <v>1146</v>
      </c>
      <c r="I198" s="20" t="n">
        <v>2347</v>
      </c>
      <c r="K198" s="20" t="n">
        <v>1134</v>
      </c>
      <c r="M198" s="20" t="n">
        <v>2626</v>
      </c>
      <c r="O198" s="20" t="n">
        <v>4381</v>
      </c>
      <c r="P198" s="20" t="n">
        <v>4187</v>
      </c>
      <c r="Q198" s="20" t="n">
        <v>3664</v>
      </c>
      <c r="R198" s="20" t="n">
        <v>3292</v>
      </c>
      <c r="S198" s="20" t="n">
        <v>2237</v>
      </c>
      <c r="T198" s="20" t="n">
        <v>2696</v>
      </c>
      <c r="U198" s="20" t="n">
        <v>2884</v>
      </c>
      <c r="V198" s="20" t="n">
        <v>2451</v>
      </c>
      <c r="W198" s="20" t="n">
        <v>2347</v>
      </c>
      <c r="X198" s="20" t="n">
        <v>2626</v>
      </c>
    </row>
    <row r="199">
      <c r="A199" s="18" t="inlineStr">
        <is>
          <t>손상차손</t>
        </is>
      </c>
      <c r="C199" s="20" t="n">
        <v>0</v>
      </c>
      <c r="E199" s="20" t="n">
        <v>562</v>
      </c>
      <c r="G199" s="20" t="n">
        <v>80</v>
      </c>
      <c r="I199" s="20" t="n">
        <v>497</v>
      </c>
      <c r="K199" s="20" t="n">
        <v>0</v>
      </c>
      <c r="M199" s="20" t="n">
        <v>314</v>
      </c>
      <c r="O199" s="20" t="n">
        <v>443</v>
      </c>
      <c r="P199" s="20" t="n">
        <v>1815</v>
      </c>
      <c r="Q199" s="20" t="n">
        <v>148</v>
      </c>
      <c r="R199" s="20" t="n">
        <v>2953</v>
      </c>
      <c r="S199" s="20" t="n">
        <v>130</v>
      </c>
      <c r="T199" s="20" t="n">
        <v>3</v>
      </c>
      <c r="U199" s="20" t="n">
        <v>517</v>
      </c>
      <c r="V199" s="20" t="n">
        <v>562</v>
      </c>
      <c r="W199" s="20" t="n">
        <v>497</v>
      </c>
      <c r="X199" s="20" t="n">
        <v>314</v>
      </c>
    </row>
    <row r="200">
      <c r="A200" s="18" t="inlineStr">
        <is>
          <t>영업권 상각</t>
        </is>
      </c>
      <c r="O200" s="20" t="n">
        <v>137</v>
      </c>
      <c r="P200" s="20" t="n">
        <v>0</v>
      </c>
    </row>
    <row r="201">
      <c r="A201" s="18" t="inlineStr">
        <is>
          <t>사업구조개혁 비용</t>
        </is>
      </c>
      <c r="E201" s="20" t="n">
        <v>0</v>
      </c>
      <c r="I201" s="20" t="n">
        <v>869</v>
      </c>
      <c r="M201" s="20" t="n">
        <v>0</v>
      </c>
      <c r="V201" s="20" t="n">
        <v>0</v>
      </c>
      <c r="W201" s="20" t="n">
        <v>869</v>
      </c>
      <c r="X201" s="20" t="n">
        <v>0</v>
      </c>
    </row>
    <row r="202">
      <c r="A202" s="18" t="inlineStr">
        <is>
          <t>상여충당금 증감</t>
        </is>
      </c>
      <c r="C202" s="20" t="n">
        <v>99</v>
      </c>
      <c r="E202" s="20" t="n">
        <v>-33</v>
      </c>
      <c r="G202" s="20" t="n">
        <v>127</v>
      </c>
      <c r="I202" s="20" t="n">
        <v>10</v>
      </c>
      <c r="K202" s="20" t="n">
        <v>172</v>
      </c>
      <c r="M202" s="20" t="n">
        <v>33</v>
      </c>
      <c r="O202" s="20" t="n">
        <v>-337</v>
      </c>
      <c r="P202" s="20" t="n">
        <v>40</v>
      </c>
      <c r="Q202" s="20" t="n">
        <v>-44</v>
      </c>
      <c r="R202" s="20" t="n">
        <v>-44</v>
      </c>
      <c r="S202" s="20" t="n">
        <v>134</v>
      </c>
      <c r="T202" s="20" t="n">
        <v>17</v>
      </c>
      <c r="U202" s="20" t="n">
        <v>-153</v>
      </c>
      <c r="V202" s="20" t="n">
        <v>-33</v>
      </c>
      <c r="W202" s="20" t="n">
        <v>10</v>
      </c>
      <c r="X202" s="20" t="n">
        <v>33</v>
      </c>
    </row>
    <row r="203">
      <c r="A203" s="18" t="inlineStr">
        <is>
          <t>Increase Decrease In Valuation Reserve For Inventory Purchase Commitments Ope CF</t>
        </is>
      </c>
      <c r="C203" s="20" t="n">
        <v>0</v>
      </c>
      <c r="E203" s="20" t="n">
        <v>103</v>
      </c>
      <c r="G203" s="20" t="n">
        <v>-64</v>
      </c>
      <c r="I203" s="20" t="n">
        <v>-100</v>
      </c>
      <c r="K203" s="20" t="n">
        <v>0</v>
      </c>
      <c r="M203" s="20" t="n">
        <v>-6</v>
      </c>
      <c r="U203" s="20" t="n">
        <v>0</v>
      </c>
      <c r="V203" s="20" t="n">
        <v>103</v>
      </c>
      <c r="W203" s="20" t="n">
        <v>-100</v>
      </c>
      <c r="X203" s="20" t="n">
        <v>-6</v>
      </c>
    </row>
    <row r="204">
      <c r="A204" s="18" t="inlineStr">
        <is>
          <t>임원 퇴직위로 충당금 증감</t>
        </is>
      </c>
      <c r="C204" s="20" t="n">
        <v>7</v>
      </c>
      <c r="E204" s="20" t="n">
        <v>0</v>
      </c>
      <c r="G204" s="20" t="n">
        <v>-11</v>
      </c>
      <c r="I204" s="20" t="n">
        <v>-8</v>
      </c>
      <c r="K204" s="20" t="n">
        <v>-4</v>
      </c>
      <c r="M204" s="20" t="n">
        <v>8</v>
      </c>
      <c r="O204" s="20" t="n">
        <v>15</v>
      </c>
      <c r="P204" s="20" t="n">
        <v>-31</v>
      </c>
      <c r="Q204" s="20" t="n">
        <v>4</v>
      </c>
      <c r="R204" s="20" t="n">
        <v>-41</v>
      </c>
      <c r="S204" s="20" t="n">
        <v>13</v>
      </c>
      <c r="T204" s="20" t="n">
        <v>25</v>
      </c>
      <c r="U204" s="20" t="n">
        <v>-41</v>
      </c>
      <c r="V204" s="20" t="n">
        <v>0</v>
      </c>
      <c r="W204" s="20" t="n">
        <v>-8</v>
      </c>
      <c r="X204" s="20" t="n">
        <v>8</v>
      </c>
    </row>
    <row r="205">
      <c r="A205" s="18" t="inlineStr">
        <is>
          <t>임원 주식급여 충당금 증감</t>
        </is>
      </c>
      <c r="C205" s="20" t="n">
        <v>4</v>
      </c>
      <c r="E205" s="20" t="n">
        <v>-1</v>
      </c>
      <c r="G205" s="20" t="n">
        <v>4</v>
      </c>
      <c r="I205" s="20" t="n">
        <v>-2</v>
      </c>
      <c r="K205" s="20" t="n">
        <v>9</v>
      </c>
      <c r="M205" s="20" t="n">
        <v>24</v>
      </c>
      <c r="R205" s="20" t="n">
        <v>0</v>
      </c>
      <c r="S205" s="20" t="n">
        <v>14</v>
      </c>
      <c r="T205" s="20" t="n">
        <v>12</v>
      </c>
      <c r="U205" s="20" t="n">
        <v>2</v>
      </c>
      <c r="V205" s="20" t="n">
        <v>-1</v>
      </c>
      <c r="W205" s="20" t="n">
        <v>-2</v>
      </c>
      <c r="X205" s="20" t="n">
        <v>24</v>
      </c>
    </row>
    <row r="206">
      <c r="A206" s="18" t="inlineStr">
        <is>
          <t>퇴직급여 자산·부채 증감</t>
        </is>
      </c>
      <c r="C206" s="20" t="n">
        <v>-79</v>
      </c>
      <c r="E206" s="20" t="n">
        <v>-187</v>
      </c>
      <c r="G206" s="20" t="n">
        <v>-197</v>
      </c>
      <c r="I206" s="20" t="n">
        <v>-133</v>
      </c>
      <c r="K206" s="20" t="n">
        <v>-273</v>
      </c>
      <c r="M206" s="20" t="n">
        <v>-460</v>
      </c>
      <c r="O206" s="20" t="n">
        <v>-257</v>
      </c>
      <c r="P206" s="20" t="n">
        <v>-382</v>
      </c>
      <c r="Q206" s="20" t="n">
        <v>-367</v>
      </c>
      <c r="R206" s="20" t="n">
        <v>-62</v>
      </c>
      <c r="S206" s="20" t="n">
        <v>30</v>
      </c>
      <c r="T206" s="20" t="n">
        <v>-289</v>
      </c>
      <c r="U206" s="20" t="n">
        <v>-294</v>
      </c>
      <c r="V206" s="20" t="n">
        <v>-187</v>
      </c>
      <c r="W206" s="20" t="n">
        <v>-133</v>
      </c>
      <c r="X206" s="20" t="n">
        <v>-460</v>
      </c>
    </row>
    <row r="207">
      <c r="A207" s="18" t="inlineStr">
        <is>
          <t>이자·배당금 수익</t>
        </is>
      </c>
      <c r="C207" s="20" t="n">
        <v>-80</v>
      </c>
      <c r="E207" s="20" t="n">
        <v>-167</v>
      </c>
      <c r="G207" s="20" t="n">
        <v>-115</v>
      </c>
      <c r="I207" s="20" t="n">
        <v>-224</v>
      </c>
      <c r="K207" s="20" t="n">
        <v>-106</v>
      </c>
      <c r="M207" s="20" t="n">
        <v>-207</v>
      </c>
      <c r="O207" s="20" t="n">
        <v>-95</v>
      </c>
      <c r="P207" s="20" t="n">
        <v>-98</v>
      </c>
      <c r="Q207" s="20" t="n">
        <v>-93</v>
      </c>
      <c r="R207" s="20" t="n">
        <v>-105</v>
      </c>
      <c r="S207" s="20" t="n">
        <v>-71</v>
      </c>
      <c r="T207" s="20" t="n">
        <v>-85</v>
      </c>
      <c r="U207" s="20" t="n">
        <v>-115</v>
      </c>
      <c r="V207" s="20" t="n">
        <v>-167</v>
      </c>
      <c r="W207" s="20" t="n">
        <v>-224</v>
      </c>
      <c r="X207" s="20" t="n">
        <v>-207</v>
      </c>
    </row>
    <row r="208">
      <c r="A208" s="18" t="inlineStr">
        <is>
          <t>이자비용</t>
        </is>
      </c>
      <c r="C208" s="20" t="n">
        <v>68</v>
      </c>
      <c r="E208" s="20" t="n">
        <v>156</v>
      </c>
      <c r="G208" s="20" t="n">
        <v>107</v>
      </c>
      <c r="I208" s="20" t="n">
        <v>221</v>
      </c>
      <c r="K208" s="20" t="n">
        <v>122</v>
      </c>
      <c r="M208" s="20" t="n">
        <v>250</v>
      </c>
      <c r="O208" s="20" t="n">
        <v>124</v>
      </c>
      <c r="P208" s="20" t="n">
        <v>114</v>
      </c>
      <c r="Q208" s="20" t="n">
        <v>114</v>
      </c>
      <c r="R208" s="20" t="n">
        <v>109</v>
      </c>
      <c r="S208" s="20" t="n">
        <v>108</v>
      </c>
      <c r="T208" s="20" t="n">
        <v>103</v>
      </c>
      <c r="U208" s="20" t="n">
        <v>173</v>
      </c>
      <c r="V208" s="20" t="n">
        <v>156</v>
      </c>
      <c r="W208" s="20" t="n">
        <v>221</v>
      </c>
      <c r="X208" s="20" t="n">
        <v>250</v>
      </c>
    </row>
    <row r="209">
      <c r="A209" s="18" t="inlineStr">
        <is>
          <t>투자유가증권 매각손익</t>
        </is>
      </c>
      <c r="E209" s="20" t="n">
        <v>-273</v>
      </c>
      <c r="G209" s="20" t="n">
        <v>0</v>
      </c>
      <c r="I209" s="20" t="n">
        <v>0</v>
      </c>
      <c r="K209" s="20" t="n">
        <v>-7</v>
      </c>
      <c r="M209" s="20" t="n">
        <v>-12</v>
      </c>
      <c r="O209" s="20" t="n">
        <v>-99</v>
      </c>
      <c r="P209" s="20" t="n">
        <v>-0</v>
      </c>
      <c r="Q209" s="20" t="n">
        <v>-193</v>
      </c>
      <c r="R209" s="20" t="n">
        <v>0</v>
      </c>
      <c r="T209" s="20" t="n">
        <v>0</v>
      </c>
      <c r="U209" s="20" t="n">
        <v>-2</v>
      </c>
      <c r="V209" s="20" t="n">
        <v>-273</v>
      </c>
      <c r="W209" s="20" t="n">
        <v>0</v>
      </c>
      <c r="X209" s="20" t="n">
        <v>-12</v>
      </c>
    </row>
    <row r="210">
      <c r="A210" s="18" t="inlineStr">
        <is>
          <t>투자유가증권 상환손익</t>
        </is>
      </c>
      <c r="O210" s="20" t="n">
        <v>0</v>
      </c>
      <c r="P210" s="20" t="n">
        <v>-46</v>
      </c>
      <c r="Q210" s="20" t="n">
        <v>0</v>
      </c>
    </row>
    <row r="211">
      <c r="A211" s="18" t="inlineStr">
        <is>
          <t>고정자산 매각손익</t>
        </is>
      </c>
      <c r="C211" s="20" t="n">
        <v>-182</v>
      </c>
      <c r="E211" s="20" t="n">
        <v>-183</v>
      </c>
      <c r="G211" s="20" t="n">
        <v>-5</v>
      </c>
      <c r="I211" s="20" t="n">
        <v>-6</v>
      </c>
      <c r="K211" s="20" t="n">
        <v>1</v>
      </c>
      <c r="M211" s="20" t="n">
        <v>-0</v>
      </c>
      <c r="O211" s="20" t="n">
        <v>-459</v>
      </c>
      <c r="P211" s="20" t="n">
        <v>-2339</v>
      </c>
      <c r="Q211" s="20" t="n">
        <v>-1316</v>
      </c>
      <c r="R211" s="20" t="n">
        <v>-53</v>
      </c>
      <c r="S211" s="20" t="n">
        <v>-20</v>
      </c>
      <c r="T211" s="20" t="n">
        <v>1</v>
      </c>
      <c r="U211" s="20" t="n">
        <v>-18</v>
      </c>
      <c r="V211" s="20" t="n">
        <v>-183</v>
      </c>
      <c r="W211" s="20" t="n">
        <v>-6</v>
      </c>
      <c r="X211" s="20" t="n">
        <v>-0</v>
      </c>
    </row>
    <row r="212">
      <c r="A212" s="18" t="inlineStr">
        <is>
          <t>투자유가증권 평가손익</t>
        </is>
      </c>
      <c r="C212" s="20" t="n">
        <v>1</v>
      </c>
      <c r="E212" s="20" t="n">
        <v>1</v>
      </c>
      <c r="G212" s="20" t="n">
        <v>2</v>
      </c>
      <c r="I212" s="20" t="n">
        <v>69</v>
      </c>
      <c r="K212" s="20" t="n">
        <v>0</v>
      </c>
      <c r="M212" s="20" t="n">
        <v>7</v>
      </c>
      <c r="O212" s="20" t="n">
        <v>0</v>
      </c>
      <c r="P212" s="20" t="n">
        <v>181</v>
      </c>
      <c r="Q212" s="20" t="n">
        <v>86</v>
      </c>
      <c r="R212" s="20" t="n">
        <v>23</v>
      </c>
      <c r="S212" s="20" t="n">
        <v>112</v>
      </c>
      <c r="T212" s="20" t="n">
        <v>115</v>
      </c>
      <c r="U212" s="20" t="n">
        <v>25</v>
      </c>
      <c r="V212" s="20" t="n">
        <v>1</v>
      </c>
      <c r="W212" s="20" t="n">
        <v>69</v>
      </c>
      <c r="X212" s="20" t="n">
        <v>7</v>
      </c>
    </row>
    <row r="213">
      <c r="A213" s="18" t="inlineStr">
        <is>
          <t>골프회원권 매각손익</t>
        </is>
      </c>
      <c r="Q213" s="20" t="n">
        <v>0</v>
      </c>
      <c r="R213" s="20" t="n">
        <v>-23</v>
      </c>
      <c r="S213" s="20" t="n">
        <v>0</v>
      </c>
    </row>
    <row r="214">
      <c r="A214" s="18" t="inlineStr">
        <is>
          <t>고정자산 제각손실</t>
        </is>
      </c>
      <c r="C214" s="20" t="n">
        <v>36</v>
      </c>
      <c r="E214" s="20" t="n">
        <v>72</v>
      </c>
      <c r="G214" s="20" t="n">
        <v>5</v>
      </c>
      <c r="I214" s="20" t="n">
        <v>83</v>
      </c>
      <c r="K214" s="20" t="n">
        <v>3</v>
      </c>
      <c r="M214" s="20" t="n">
        <v>65</v>
      </c>
      <c r="O214" s="20" t="n">
        <v>260</v>
      </c>
      <c r="P214" s="20" t="n">
        <v>172</v>
      </c>
      <c r="Q214" s="20" t="n">
        <v>199</v>
      </c>
      <c r="R214" s="20" t="n">
        <v>72</v>
      </c>
      <c r="S214" s="20" t="n">
        <v>79</v>
      </c>
      <c r="T214" s="20" t="n">
        <v>38</v>
      </c>
      <c r="U214" s="20" t="n">
        <v>76</v>
      </c>
      <c r="V214" s="20" t="n">
        <v>72</v>
      </c>
      <c r="W214" s="20" t="n">
        <v>83</v>
      </c>
      <c r="X214" s="20" t="n">
        <v>65</v>
      </c>
    </row>
    <row r="215">
      <c r="A215" s="18" t="inlineStr">
        <is>
          <t>관계회사 정리손실</t>
        </is>
      </c>
      <c r="R215" s="20" t="n">
        <v>0</v>
      </c>
      <c r="S215" s="20" t="n">
        <v>22</v>
      </c>
      <c r="T215" s="20" t="n">
        <v>0</v>
      </c>
    </row>
    <row r="216">
      <c r="A216" s="18" t="inlineStr">
        <is>
          <t>투자사업조합 운용 손익(△는 이익)</t>
        </is>
      </c>
      <c r="C216" s="20" t="n">
        <v>-81</v>
      </c>
      <c r="E216" s="20" t="n">
        <v>112</v>
      </c>
      <c r="G216" s="20" t="n">
        <v>-134</v>
      </c>
      <c r="I216" s="20" t="n">
        <v>-112</v>
      </c>
      <c r="K216" s="20" t="n">
        <v>-22</v>
      </c>
      <c r="T216" s="20" t="n">
        <v>0</v>
      </c>
      <c r="U216" s="20" t="n">
        <v>263</v>
      </c>
      <c r="V216" s="20" t="n">
        <v>112</v>
      </c>
      <c r="W216" s="20" t="n">
        <v>-112</v>
      </c>
    </row>
    <row r="217">
      <c r="A217" s="18" t="inlineStr">
        <is>
          <t>특별퇴직금</t>
        </is>
      </c>
      <c r="E217" s="20" t="n">
        <v>102</v>
      </c>
      <c r="I217" s="20" t="n">
        <v>0</v>
      </c>
      <c r="U217" s="20" t="n">
        <v>0</v>
      </c>
      <c r="V217" s="20" t="n">
        <v>102</v>
      </c>
      <c r="W217" s="20" t="n">
        <v>0</v>
      </c>
    </row>
    <row r="218">
      <c r="A218" s="18" t="inlineStr">
        <is>
          <t>매출채권 증감</t>
        </is>
      </c>
      <c r="C218" s="20" t="n">
        <v>1063</v>
      </c>
      <c r="E218" s="20" t="n">
        <v>1321</v>
      </c>
      <c r="G218" s="20" t="n">
        <v>1164</v>
      </c>
      <c r="I218" s="20" t="n">
        <v>-932</v>
      </c>
      <c r="K218" s="20" t="n">
        <v>1317</v>
      </c>
      <c r="M218" s="20" t="n">
        <v>1017</v>
      </c>
      <c r="O218" s="20" t="n">
        <v>1110</v>
      </c>
      <c r="P218" s="20" t="n">
        <v>-626</v>
      </c>
      <c r="Q218" s="20" t="n">
        <v>924</v>
      </c>
      <c r="R218" s="20" t="n">
        <v>1622</v>
      </c>
      <c r="S218" s="20" t="n">
        <v>367</v>
      </c>
      <c r="T218" s="20" t="n">
        <v>1142</v>
      </c>
      <c r="U218" s="20" t="n">
        <v>564</v>
      </c>
      <c r="V218" s="20" t="n">
        <v>1321</v>
      </c>
      <c r="W218" s="20" t="n">
        <v>-932</v>
      </c>
      <c r="X218" s="20" t="n">
        <v>1017</v>
      </c>
    </row>
    <row r="219">
      <c r="A219" s="18" t="inlineStr">
        <is>
          <t>재고자산 증감</t>
        </is>
      </c>
      <c r="C219" s="20" t="n">
        <v>-352</v>
      </c>
      <c r="E219" s="20" t="n">
        <v>1440</v>
      </c>
      <c r="G219" s="20" t="n">
        <v>235</v>
      </c>
      <c r="I219" s="20" t="n">
        <v>1599</v>
      </c>
      <c r="K219" s="20" t="n">
        <v>157</v>
      </c>
      <c r="M219" s="20" t="n">
        <v>1184</v>
      </c>
      <c r="O219" s="20" t="n">
        <v>-192</v>
      </c>
      <c r="P219" s="20" t="n">
        <v>-1662</v>
      </c>
      <c r="Q219" s="20" t="n">
        <v>784</v>
      </c>
      <c r="R219" s="20" t="n">
        <v>1394</v>
      </c>
      <c r="S219" s="20" t="n">
        <v>103</v>
      </c>
      <c r="T219" s="20" t="n">
        <v>-2351</v>
      </c>
      <c r="U219" s="20" t="n">
        <v>-160</v>
      </c>
      <c r="V219" s="20" t="n">
        <v>1440</v>
      </c>
      <c r="W219" s="20" t="n">
        <v>1599</v>
      </c>
      <c r="X219" s="20" t="n">
        <v>1184</v>
      </c>
    </row>
    <row r="220">
      <c r="A220" s="18" t="inlineStr">
        <is>
          <t>매입채무 증감</t>
        </is>
      </c>
      <c r="C220" s="20" t="n">
        <v>-636</v>
      </c>
      <c r="E220" s="20" t="n">
        <v>-1209</v>
      </c>
      <c r="G220" s="20" t="n">
        <v>-249</v>
      </c>
      <c r="I220" s="20" t="n">
        <v>-420</v>
      </c>
      <c r="K220" s="20" t="n">
        <v>-108</v>
      </c>
      <c r="M220" s="20" t="n">
        <v>-1902</v>
      </c>
      <c r="O220" s="20" t="n">
        <v>2047</v>
      </c>
      <c r="P220" s="20" t="n">
        <v>777</v>
      </c>
      <c r="Q220" s="20" t="n">
        <v>-1659</v>
      </c>
      <c r="R220" s="20" t="n">
        <v>533</v>
      </c>
      <c r="S220" s="20" t="n">
        <v>-838</v>
      </c>
      <c r="T220" s="20" t="n">
        <v>-1084</v>
      </c>
      <c r="U220" s="20" t="n">
        <v>-1180</v>
      </c>
      <c r="V220" s="20" t="n">
        <v>-1209</v>
      </c>
      <c r="W220" s="20" t="n">
        <v>-420</v>
      </c>
      <c r="X220" s="20" t="n">
        <v>-1902</v>
      </c>
    </row>
    <row r="221">
      <c r="A221" s="18" t="inlineStr">
        <is>
          <t>미수금 증감</t>
        </is>
      </c>
      <c r="C221" s="20" t="n">
        <v>84</v>
      </c>
      <c r="E221" s="20" t="n">
        <v>78</v>
      </c>
      <c r="G221" s="20" t="n">
        <v>33</v>
      </c>
      <c r="I221" s="20" t="n">
        <v>4</v>
      </c>
      <c r="K221" s="20" t="n">
        <v>17</v>
      </c>
      <c r="M221" s="20" t="n">
        <v>3</v>
      </c>
      <c r="O221" s="20" t="n">
        <v>1459</v>
      </c>
      <c r="P221" s="20" t="n">
        <v>160</v>
      </c>
      <c r="Q221" s="20" t="n">
        <v>-35</v>
      </c>
      <c r="R221" s="20" t="n">
        <v>109</v>
      </c>
      <c r="S221" s="20" t="n">
        <v>7</v>
      </c>
      <c r="T221" s="20" t="n">
        <v>-152</v>
      </c>
      <c r="U221" s="20" t="n">
        <v>28</v>
      </c>
      <c r="V221" s="20" t="n">
        <v>78</v>
      </c>
      <c r="W221" s="20" t="n">
        <v>4</v>
      </c>
      <c r="X221" s="20" t="n">
        <v>3</v>
      </c>
    </row>
    <row r="222">
      <c r="A222" s="18" t="inlineStr">
        <is>
          <t>미지급금 증감</t>
        </is>
      </c>
      <c r="C222" s="20" t="n">
        <v>-84</v>
      </c>
      <c r="E222" s="20" t="n">
        <v>-20</v>
      </c>
      <c r="G222" s="20" t="n">
        <v>-263</v>
      </c>
      <c r="I222" s="20" t="n">
        <v>-4</v>
      </c>
      <c r="K222" s="20" t="n">
        <v>-156</v>
      </c>
      <c r="M222" s="20" t="n">
        <v>99</v>
      </c>
      <c r="O222" s="20" t="n">
        <v>-4364</v>
      </c>
      <c r="P222" s="20" t="n">
        <v>692</v>
      </c>
      <c r="Q222" s="20" t="n">
        <v>-692</v>
      </c>
      <c r="R222" s="20" t="n">
        <v>271</v>
      </c>
      <c r="S222" s="20" t="n">
        <v>340</v>
      </c>
      <c r="T222" s="20" t="n">
        <v>-354</v>
      </c>
      <c r="U222" s="20" t="n">
        <v>-9</v>
      </c>
      <c r="V222" s="20" t="n">
        <v>-20</v>
      </c>
      <c r="W222" s="20" t="n">
        <v>-4</v>
      </c>
      <c r="X222" s="20" t="n">
        <v>99</v>
      </c>
    </row>
    <row r="223">
      <c r="A223" s="18" t="inlineStr">
        <is>
          <t>기타</t>
        </is>
      </c>
      <c r="C223" s="20" t="n">
        <v>-130</v>
      </c>
      <c r="E223" s="20" t="n">
        <v>-92</v>
      </c>
      <c r="G223" s="20" t="n">
        <v>-7</v>
      </c>
      <c r="I223" s="20" t="n">
        <v>-68</v>
      </c>
      <c r="K223" s="20" t="n">
        <v>-62</v>
      </c>
      <c r="M223" s="20" t="n">
        <v>-576</v>
      </c>
      <c r="O223" s="20" t="n">
        <v>-41</v>
      </c>
      <c r="P223" s="20" t="n">
        <v>209</v>
      </c>
      <c r="Q223" s="20" t="n">
        <v>230</v>
      </c>
      <c r="R223" s="20" t="n">
        <v>-80</v>
      </c>
      <c r="S223" s="20" t="n">
        <v>-141</v>
      </c>
      <c r="T223" s="20" t="n">
        <v>-551</v>
      </c>
      <c r="U223" s="20" t="n">
        <v>-442</v>
      </c>
      <c r="V223" s="20" t="n">
        <v>-92</v>
      </c>
      <c r="W223" s="20" t="n">
        <v>-68</v>
      </c>
      <c r="X223" s="20" t="n">
        <v>-576</v>
      </c>
    </row>
    <row r="224">
      <c r="A224" s="18" t="inlineStr">
        <is>
          <t>소계</t>
        </is>
      </c>
      <c r="C224" s="20" t="n">
        <v>2258</v>
      </c>
      <c r="E224" s="20" t="n">
        <v>4180</v>
      </c>
      <c r="G224" s="20" t="n">
        <v>1851</v>
      </c>
      <c r="I224" s="20" t="n">
        <v>2835</v>
      </c>
      <c r="K224" s="20" t="n">
        <v>2072</v>
      </c>
      <c r="M224" s="20" t="n">
        <v>3335</v>
      </c>
      <c r="O224" s="20" t="n">
        <v>5371</v>
      </c>
      <c r="P224" s="20" t="n">
        <v>3735</v>
      </c>
      <c r="Q224" s="20" t="n">
        <v>2057</v>
      </c>
      <c r="R224" s="20" t="n">
        <v>6806</v>
      </c>
      <c r="S224" s="20" t="n">
        <v>4903</v>
      </c>
      <c r="T224" s="20" t="n">
        <v>2543</v>
      </c>
      <c r="U224" s="20" t="n">
        <v>4021</v>
      </c>
      <c r="V224" s="20" t="n">
        <v>4180</v>
      </c>
      <c r="W224" s="20" t="n">
        <v>2835</v>
      </c>
      <c r="X224" s="20" t="n">
        <v>3335</v>
      </c>
    </row>
    <row r="225">
      <c r="A225" s="18" t="inlineStr">
        <is>
          <t>이자·배당금 수취</t>
        </is>
      </c>
      <c r="C225" s="20" t="n">
        <v>82</v>
      </c>
      <c r="E225" s="20" t="n">
        <v>169</v>
      </c>
      <c r="G225" s="20" t="n">
        <v>116</v>
      </c>
      <c r="I225" s="20" t="n">
        <v>226</v>
      </c>
      <c r="K225" s="20" t="n">
        <v>109</v>
      </c>
      <c r="M225" s="20" t="n">
        <v>211</v>
      </c>
      <c r="O225" s="20" t="n">
        <v>95</v>
      </c>
      <c r="P225" s="20" t="n">
        <v>87</v>
      </c>
      <c r="Q225" s="20" t="n">
        <v>103</v>
      </c>
      <c r="R225" s="20" t="n">
        <v>106</v>
      </c>
      <c r="S225" s="20" t="n">
        <v>77</v>
      </c>
      <c r="T225" s="20" t="n">
        <v>88</v>
      </c>
      <c r="U225" s="20" t="n">
        <v>116</v>
      </c>
      <c r="V225" s="20" t="n">
        <v>169</v>
      </c>
      <c r="W225" s="20" t="n">
        <v>226</v>
      </c>
      <c r="X225" s="20" t="n">
        <v>211</v>
      </c>
    </row>
    <row r="226">
      <c r="A226" s="18" t="inlineStr">
        <is>
          <t>이자 지급</t>
        </is>
      </c>
      <c r="C226" s="20" t="n">
        <v>-83</v>
      </c>
      <c r="E226" s="20" t="n">
        <v>-169</v>
      </c>
      <c r="G226" s="20" t="n">
        <v>-104</v>
      </c>
      <c r="I226" s="20" t="n">
        <v>-228</v>
      </c>
      <c r="K226" s="20" t="n">
        <v>-119</v>
      </c>
      <c r="M226" s="20" t="n">
        <v>-257</v>
      </c>
      <c r="O226" s="20" t="n">
        <v>-124</v>
      </c>
      <c r="P226" s="20" t="n">
        <v>-110</v>
      </c>
      <c r="Q226" s="20" t="n">
        <v>-113</v>
      </c>
      <c r="R226" s="20" t="n">
        <v>-102</v>
      </c>
      <c r="S226" s="20" t="n">
        <v>-114</v>
      </c>
      <c r="T226" s="20" t="n">
        <v>-115</v>
      </c>
      <c r="U226" s="20" t="n">
        <v>-177</v>
      </c>
      <c r="V226" s="20" t="n">
        <v>-169</v>
      </c>
      <c r="W226" s="20" t="n">
        <v>-228</v>
      </c>
      <c r="X226" s="20" t="n">
        <v>-257</v>
      </c>
    </row>
    <row r="227">
      <c r="A227" s="18" t="inlineStr">
        <is>
          <t>법인세 납부</t>
        </is>
      </c>
      <c r="C227" s="20" t="n">
        <v>-223</v>
      </c>
      <c r="E227" s="20" t="n">
        <v>-387</v>
      </c>
      <c r="G227" s="20" t="n">
        <v>-293</v>
      </c>
      <c r="I227" s="20" t="n">
        <v>-387</v>
      </c>
      <c r="K227" s="20" t="n">
        <v>-281</v>
      </c>
      <c r="M227" s="20" t="n">
        <v>-475</v>
      </c>
      <c r="O227" s="20" t="n">
        <v>-737</v>
      </c>
      <c r="P227" s="20" t="n">
        <v>-923</v>
      </c>
      <c r="Q227" s="20" t="n">
        <v>-439</v>
      </c>
      <c r="R227" s="20" t="n">
        <v>-464</v>
      </c>
      <c r="S227" s="20" t="n">
        <v>-275</v>
      </c>
      <c r="T227" s="20" t="n">
        <v>-318</v>
      </c>
      <c r="U227" s="20" t="n">
        <v>-388</v>
      </c>
      <c r="V227" s="20" t="n">
        <v>-387</v>
      </c>
      <c r="W227" s="20" t="n">
        <v>-387</v>
      </c>
      <c r="X227" s="20" t="n">
        <v>-475</v>
      </c>
    </row>
    <row r="228">
      <c r="A228" s="18" t="inlineStr">
        <is>
          <t>법인세 환급</t>
        </is>
      </c>
      <c r="C228" s="20" t="n">
        <v>28</v>
      </c>
      <c r="E228" s="20" t="n">
        <v>28</v>
      </c>
      <c r="G228" s="20" t="n">
        <v>0</v>
      </c>
      <c r="I228" s="20" t="n">
        <v>0</v>
      </c>
      <c r="K228" s="20" t="n">
        <v>31</v>
      </c>
      <c r="M228" s="20" t="n">
        <v>31</v>
      </c>
      <c r="S228" s="20" t="n">
        <v>63</v>
      </c>
      <c r="T228" s="20" t="n">
        <v>234</v>
      </c>
      <c r="U228" s="20" t="n">
        <v>19</v>
      </c>
      <c r="V228" s="20" t="n">
        <v>28</v>
      </c>
      <c r="W228" s="20" t="n">
        <v>0</v>
      </c>
      <c r="X228" s="20" t="n">
        <v>31</v>
      </c>
    </row>
    <row r="229">
      <c r="A229" s="18" t="inlineStr">
        <is>
          <t>특별퇴직금 지급액</t>
        </is>
      </c>
      <c r="E229" s="20" t="n">
        <v>-102</v>
      </c>
      <c r="I229" s="20" t="n">
        <v>0</v>
      </c>
      <c r="U229" s="20" t="n">
        <v>0</v>
      </c>
      <c r="V229" s="20" t="n">
        <v>-102</v>
      </c>
      <c r="W229" s="20" t="n">
        <v>0</v>
      </c>
    </row>
    <row r="230">
      <c r="A230" s="18" t="inlineStr">
        <is>
          <t>Payment For Busines Restrucuring Expemses Ope CF</t>
        </is>
      </c>
      <c r="E230" s="20" t="n">
        <v>0</v>
      </c>
      <c r="G230" s="20" t="n">
        <v>0</v>
      </c>
      <c r="I230" s="20" t="n">
        <v>-7</v>
      </c>
      <c r="K230" s="20" t="n">
        <v>-743</v>
      </c>
      <c r="M230" s="20" t="n">
        <v>-820</v>
      </c>
      <c r="V230" s="20" t="n">
        <v>0</v>
      </c>
      <c r="W230" s="20" t="n">
        <v>-7</v>
      </c>
      <c r="X230" s="20" t="n">
        <v>-820</v>
      </c>
    </row>
    <row r="231">
      <c r="A231" s="9" t="inlineStr">
        <is>
          <t>영업활동 현금흐름</t>
        </is>
      </c>
      <c r="C231" s="12" t="n">
        <v>2062</v>
      </c>
      <c r="E231" s="12" t="n">
        <v>3719</v>
      </c>
      <c r="G231" s="12" t="n">
        <v>1570</v>
      </c>
      <c r="I231" s="12" t="n">
        <v>2439</v>
      </c>
      <c r="K231" s="12" t="n">
        <v>1068</v>
      </c>
      <c r="M231" s="12" t="n">
        <v>2023</v>
      </c>
      <c r="O231" s="12" t="n">
        <v>4604</v>
      </c>
      <c r="P231" s="12" t="n">
        <v>2788</v>
      </c>
      <c r="Q231" s="12" t="n">
        <v>1608</v>
      </c>
      <c r="R231" s="12" t="n">
        <v>6345</v>
      </c>
      <c r="S231" s="12" t="n">
        <v>4653</v>
      </c>
      <c r="T231" s="12" t="n">
        <v>2433</v>
      </c>
      <c r="U231" s="12" t="n">
        <v>3591</v>
      </c>
      <c r="V231" s="12" t="n">
        <v>3719</v>
      </c>
      <c r="W231" s="12" t="n">
        <v>2439</v>
      </c>
      <c r="X231" s="12" t="n">
        <v>2023</v>
      </c>
    </row>
    <row r="232">
      <c r="A232" s="18" t="inlineStr">
        <is>
          <t>정기예금 예입</t>
        </is>
      </c>
      <c r="C232" s="20" t="n">
        <v>-35</v>
      </c>
      <c r="E232" s="20" t="n">
        <v>-52</v>
      </c>
      <c r="G232" s="20" t="n">
        <v>-23</v>
      </c>
      <c r="I232" s="20" t="n">
        <v>-40</v>
      </c>
      <c r="K232" s="20" t="n">
        <v>-32</v>
      </c>
      <c r="M232" s="20" t="n">
        <v>-75</v>
      </c>
      <c r="O232" s="20" t="n">
        <v>-103</v>
      </c>
      <c r="P232" s="20" t="n">
        <v>-116</v>
      </c>
      <c r="Q232" s="20" t="n">
        <v>-30</v>
      </c>
      <c r="R232" s="20" t="n">
        <v>-228</v>
      </c>
      <c r="S232" s="20" t="n">
        <v>-75</v>
      </c>
      <c r="T232" s="20" t="n">
        <v>-57</v>
      </c>
      <c r="U232" s="20" t="n">
        <v>-35</v>
      </c>
      <c r="V232" s="20" t="n">
        <v>-52</v>
      </c>
      <c r="W232" s="20" t="n">
        <v>-40</v>
      </c>
      <c r="X232" s="20" t="n">
        <v>-75</v>
      </c>
    </row>
    <row r="233">
      <c r="A233" s="18" t="inlineStr">
        <is>
          <t>정기예금 인출</t>
        </is>
      </c>
      <c r="C233" s="20" t="n">
        <v>19</v>
      </c>
      <c r="E233" s="20" t="n">
        <v>48</v>
      </c>
      <c r="G233" s="20" t="n">
        <v>23</v>
      </c>
      <c r="I233" s="20" t="n">
        <v>40</v>
      </c>
      <c r="K233" s="20" t="n">
        <v>23</v>
      </c>
      <c r="M233" s="20" t="n">
        <v>57</v>
      </c>
      <c r="O233" s="20" t="n">
        <v>101</v>
      </c>
      <c r="P233" s="20" t="n">
        <v>108</v>
      </c>
      <c r="Q233" s="20" t="n">
        <v>32</v>
      </c>
      <c r="R233" s="20" t="n">
        <v>258</v>
      </c>
      <c r="S233" s="20" t="n">
        <v>98</v>
      </c>
      <c r="T233" s="20" t="n">
        <v>66</v>
      </c>
      <c r="U233" s="20" t="n">
        <v>31</v>
      </c>
      <c r="V233" s="20" t="n">
        <v>48</v>
      </c>
      <c r="W233" s="20" t="n">
        <v>40</v>
      </c>
      <c r="X233" s="20" t="n">
        <v>57</v>
      </c>
    </row>
    <row r="234">
      <c r="A234" s="18" t="inlineStr">
        <is>
          <t>유형자산 취득(설비투자)</t>
        </is>
      </c>
      <c r="C234" s="20" t="n">
        <v>-1132</v>
      </c>
      <c r="E234" s="20" t="n">
        <v>-2379</v>
      </c>
      <c r="G234" s="20" t="n">
        <v>-996</v>
      </c>
      <c r="I234" s="20" t="n">
        <v>-2080</v>
      </c>
      <c r="K234" s="20" t="n">
        <v>-1067</v>
      </c>
      <c r="M234" s="20" t="n">
        <v>-2185</v>
      </c>
      <c r="O234" s="20" t="n">
        <v>-4680</v>
      </c>
      <c r="P234" s="20" t="n">
        <v>-3626</v>
      </c>
      <c r="Q234" s="20" t="n">
        <v>-4639</v>
      </c>
      <c r="R234" s="20" t="n">
        <v>-2637</v>
      </c>
      <c r="S234" s="20" t="n">
        <v>-2334</v>
      </c>
      <c r="T234" s="20" t="n">
        <v>-1976</v>
      </c>
      <c r="U234" s="20" t="n">
        <v>-1945</v>
      </c>
      <c r="V234" s="20" t="n">
        <v>-2379</v>
      </c>
      <c r="W234" s="20" t="n">
        <v>-2080</v>
      </c>
      <c r="X234" s="20" t="n">
        <v>-2185</v>
      </c>
    </row>
    <row r="235">
      <c r="A235" s="18" t="inlineStr">
        <is>
          <t>유형자산 매각</t>
        </is>
      </c>
      <c r="C235" s="20" t="n">
        <v>257</v>
      </c>
      <c r="E235" s="20" t="n">
        <v>260</v>
      </c>
      <c r="G235" s="20" t="n">
        <v>6</v>
      </c>
      <c r="I235" s="20" t="n">
        <v>19</v>
      </c>
      <c r="K235" s="20" t="n">
        <v>0</v>
      </c>
      <c r="M235" s="20" t="n">
        <v>5</v>
      </c>
      <c r="O235" s="20" t="n">
        <v>1039</v>
      </c>
      <c r="P235" s="20" t="n">
        <v>3161</v>
      </c>
      <c r="Q235" s="20" t="n">
        <v>2556</v>
      </c>
      <c r="R235" s="20" t="n">
        <v>250</v>
      </c>
      <c r="S235" s="20" t="n">
        <v>52</v>
      </c>
      <c r="T235" s="20" t="n">
        <v>415</v>
      </c>
      <c r="U235" s="20" t="n">
        <v>22</v>
      </c>
      <c r="V235" s="20" t="n">
        <v>260</v>
      </c>
      <c r="W235" s="20" t="n">
        <v>19</v>
      </c>
      <c r="X235" s="20" t="n">
        <v>5</v>
      </c>
    </row>
    <row r="236">
      <c r="A236" s="18" t="inlineStr">
        <is>
          <t>유형자산 제각 지출</t>
        </is>
      </c>
      <c r="O236" s="20" t="n">
        <v>0</v>
      </c>
      <c r="P236" s="20" t="n">
        <v>-29</v>
      </c>
      <c r="Q236" s="20" t="n">
        <v>0</v>
      </c>
    </row>
    <row r="237">
      <c r="A237" s="18" t="inlineStr">
        <is>
          <t>무형자산 취득</t>
        </is>
      </c>
      <c r="C237" s="20" t="n">
        <v>-15</v>
      </c>
      <c r="E237" s="20" t="n">
        <v>-58</v>
      </c>
      <c r="G237" s="20" t="n">
        <v>-18</v>
      </c>
      <c r="I237" s="20" t="n">
        <v>-126</v>
      </c>
      <c r="K237" s="20" t="n">
        <v>-71</v>
      </c>
      <c r="M237" s="20" t="n">
        <v>-86</v>
      </c>
      <c r="O237" s="20" t="n">
        <v>-162</v>
      </c>
      <c r="P237" s="20" t="n">
        <v>-59</v>
      </c>
      <c r="Q237" s="20" t="n">
        <v>-47</v>
      </c>
      <c r="R237" s="20" t="n">
        <v>-40</v>
      </c>
      <c r="S237" s="20" t="n">
        <v>-26</v>
      </c>
      <c r="T237" s="20" t="n">
        <v>-35</v>
      </c>
      <c r="U237" s="20" t="n">
        <v>-19</v>
      </c>
      <c r="V237" s="20" t="n">
        <v>-58</v>
      </c>
      <c r="W237" s="20" t="n">
        <v>-126</v>
      </c>
      <c r="X237" s="20" t="n">
        <v>-86</v>
      </c>
    </row>
    <row r="238">
      <c r="A238" s="18" t="inlineStr">
        <is>
          <t>무형자산 매각 수입</t>
        </is>
      </c>
      <c r="Q238" s="20" t="n">
        <v>0</v>
      </c>
      <c r="R238" s="20" t="n">
        <v>0</v>
      </c>
      <c r="S238" s="20" t="n">
        <v>0</v>
      </c>
    </row>
    <row r="239">
      <c r="A239" s="18" t="inlineStr">
        <is>
          <t>투자유가증권 취득</t>
        </is>
      </c>
      <c r="C239" s="20" t="n">
        <v>-80</v>
      </c>
      <c r="E239" s="20" t="n">
        <v>-87</v>
      </c>
      <c r="G239" s="20" t="n">
        <v>-4</v>
      </c>
      <c r="I239" s="20" t="n">
        <v>-34</v>
      </c>
      <c r="K239" s="20" t="n">
        <v>-0</v>
      </c>
      <c r="M239" s="20" t="n">
        <v>-0</v>
      </c>
      <c r="O239" s="20" t="n">
        <v>-50</v>
      </c>
      <c r="P239" s="20" t="n">
        <v>-282</v>
      </c>
      <c r="Q239" s="20" t="n">
        <v>-223</v>
      </c>
      <c r="R239" s="20" t="n">
        <v>-159</v>
      </c>
      <c r="S239" s="20" t="n">
        <v>-63</v>
      </c>
      <c r="T239" s="20" t="n">
        <v>-37</v>
      </c>
      <c r="U239" s="20" t="n">
        <v>-20</v>
      </c>
      <c r="V239" s="20" t="n">
        <v>-87</v>
      </c>
      <c r="W239" s="20" t="n">
        <v>-34</v>
      </c>
      <c r="X239" s="20" t="n">
        <v>-0</v>
      </c>
    </row>
    <row r="240">
      <c r="A240" s="18" t="inlineStr">
        <is>
          <t>투자유가증권 매각</t>
        </is>
      </c>
      <c r="E240" s="20" t="n">
        <v>634</v>
      </c>
      <c r="G240" s="20" t="n">
        <v>0</v>
      </c>
      <c r="I240" s="20" t="n">
        <v>0</v>
      </c>
      <c r="K240" s="20" t="n">
        <v>19</v>
      </c>
      <c r="M240" s="20" t="n">
        <v>29</v>
      </c>
      <c r="O240" s="20" t="n">
        <v>430</v>
      </c>
      <c r="P240" s="20" t="n">
        <v>0</v>
      </c>
      <c r="Q240" s="20" t="n">
        <v>241</v>
      </c>
      <c r="R240" s="20" t="n">
        <v>0</v>
      </c>
      <c r="S240" s="20" t="n">
        <v>0</v>
      </c>
      <c r="T240" s="20" t="n">
        <v>0</v>
      </c>
      <c r="U240" s="20" t="n">
        <v>7</v>
      </c>
      <c r="V240" s="20" t="n">
        <v>634</v>
      </c>
      <c r="W240" s="20" t="n">
        <v>0</v>
      </c>
      <c r="X240" s="20" t="n">
        <v>29</v>
      </c>
    </row>
    <row r="241">
      <c r="A241" s="18" t="inlineStr">
        <is>
          <t>투자유가증권 상환</t>
        </is>
      </c>
      <c r="O241" s="20" t="n">
        <v>0</v>
      </c>
      <c r="P241" s="20" t="n">
        <v>68</v>
      </c>
      <c r="Q241" s="20" t="n">
        <v>0</v>
      </c>
    </row>
    <row r="242">
      <c r="A242" s="18" t="inlineStr">
        <is>
          <t>골프회원권 매각</t>
        </is>
      </c>
      <c r="Q242" s="20" t="n">
        <v>0</v>
      </c>
      <c r="R242" s="20" t="n">
        <v>29</v>
      </c>
      <c r="S242" s="20" t="n">
        <v>0</v>
      </c>
    </row>
    <row r="243">
      <c r="A243" s="18" t="inlineStr">
        <is>
          <t>대여</t>
        </is>
      </c>
      <c r="C243" s="20" t="n">
        <v>-4</v>
      </c>
      <c r="E243" s="20" t="n">
        <v>-8</v>
      </c>
      <c r="G243" s="20" t="n">
        <v>-8</v>
      </c>
      <c r="I243" s="20" t="n">
        <v>-9</v>
      </c>
      <c r="K243" s="20" t="n">
        <v>-9</v>
      </c>
      <c r="M243" s="20" t="n">
        <v>-25</v>
      </c>
      <c r="O243" s="20" t="n">
        <v>-125</v>
      </c>
      <c r="P243" s="20" t="n">
        <v>-39</v>
      </c>
      <c r="Q243" s="20" t="n">
        <v>-28</v>
      </c>
      <c r="R243" s="20" t="n">
        <v>-30</v>
      </c>
      <c r="S243" s="20" t="n">
        <v>-9</v>
      </c>
      <c r="T243" s="20" t="n">
        <v>-26</v>
      </c>
      <c r="U243" s="20" t="n">
        <v>-11</v>
      </c>
      <c r="V243" s="20" t="n">
        <v>-8</v>
      </c>
      <c r="W243" s="20" t="n">
        <v>-9</v>
      </c>
      <c r="X243" s="20" t="n">
        <v>-25</v>
      </c>
    </row>
    <row r="244">
      <c r="A244" s="18" t="inlineStr">
        <is>
          <t>대여금 회수</t>
        </is>
      </c>
      <c r="C244" s="20" t="n">
        <v>10</v>
      </c>
      <c r="E244" s="20" t="n">
        <v>23</v>
      </c>
      <c r="G244" s="20" t="n">
        <v>8</v>
      </c>
      <c r="I244" s="20" t="n">
        <v>16</v>
      </c>
      <c r="K244" s="20" t="n">
        <v>11</v>
      </c>
      <c r="M244" s="20" t="n">
        <v>18</v>
      </c>
      <c r="O244" s="20" t="n">
        <v>97</v>
      </c>
      <c r="P244" s="20" t="n">
        <v>70</v>
      </c>
      <c r="Q244" s="20" t="n">
        <v>45</v>
      </c>
      <c r="R244" s="20" t="n">
        <v>32</v>
      </c>
      <c r="S244" s="20" t="n">
        <v>31</v>
      </c>
      <c r="T244" s="20" t="n">
        <v>19</v>
      </c>
      <c r="U244" s="20" t="n">
        <v>28</v>
      </c>
      <c r="V244" s="20" t="n">
        <v>23</v>
      </c>
      <c r="W244" s="20" t="n">
        <v>16</v>
      </c>
      <c r="X244" s="20" t="n">
        <v>18</v>
      </c>
    </row>
    <row r="245">
      <c r="A245" s="18" t="inlineStr">
        <is>
          <t>기타</t>
        </is>
      </c>
      <c r="C245" s="20" t="n">
        <v>3</v>
      </c>
      <c r="E245" s="20" t="n">
        <v>2</v>
      </c>
      <c r="G245" s="20" t="n">
        <v>0</v>
      </c>
      <c r="I245" s="20" t="n">
        <v>0</v>
      </c>
      <c r="M245" s="20" t="n">
        <v>0</v>
      </c>
      <c r="O245" s="20" t="n">
        <v>-11</v>
      </c>
      <c r="P245" s="20" t="n">
        <v>-43</v>
      </c>
      <c r="Q245" s="20" t="n">
        <v>0</v>
      </c>
      <c r="R245" s="20" t="n">
        <v>0</v>
      </c>
      <c r="U245" s="20" t="n">
        <v>0</v>
      </c>
      <c r="V245" s="20" t="n">
        <v>2</v>
      </c>
      <c r="W245" s="20" t="n">
        <v>0</v>
      </c>
      <c r="X245" s="20" t="n">
        <v>0</v>
      </c>
    </row>
    <row r="246">
      <c r="A246" s="9" t="inlineStr">
        <is>
          <t>투자활동 현금흐름</t>
        </is>
      </c>
      <c r="C246" s="12" t="n">
        <v>-977</v>
      </c>
      <c r="E246" s="12" t="n">
        <v>-1617</v>
      </c>
      <c r="G246" s="12" t="n">
        <v>-1012</v>
      </c>
      <c r="I246" s="12" t="n">
        <v>-2216</v>
      </c>
      <c r="K246" s="12" t="n">
        <v>-1125</v>
      </c>
      <c r="M246" s="12" t="n">
        <v>-2262</v>
      </c>
      <c r="O246" s="12" t="n">
        <v>-3465</v>
      </c>
      <c r="P246" s="12" t="n">
        <v>-787</v>
      </c>
      <c r="Q246" s="12" t="n">
        <v>-2091</v>
      </c>
      <c r="R246" s="12" t="n">
        <v>-2525</v>
      </c>
      <c r="S246" s="12" t="n">
        <v>-2325</v>
      </c>
      <c r="T246" s="12" t="n">
        <v>-1631</v>
      </c>
      <c r="U246" s="12" t="n">
        <v>-1944</v>
      </c>
      <c r="V246" s="12" t="n">
        <v>-1617</v>
      </c>
      <c r="W246" s="12" t="n">
        <v>-2216</v>
      </c>
      <c r="X246" s="12" t="n">
        <v>-2262</v>
      </c>
    </row>
    <row r="247">
      <c r="A247" s="18" t="inlineStr">
        <is>
          <t>단기차입금 순증감</t>
        </is>
      </c>
      <c r="C247" s="20" t="n">
        <v>1500</v>
      </c>
      <c r="E247" s="20" t="n">
        <v>2200</v>
      </c>
      <c r="G247" s="20" t="n">
        <v>500</v>
      </c>
      <c r="I247" s="20" t="n">
        <v>800</v>
      </c>
      <c r="K247" s="20" t="n">
        <v>400</v>
      </c>
      <c r="M247" s="20" t="n">
        <v>-1300</v>
      </c>
      <c r="O247" s="20" t="n">
        <v>1395</v>
      </c>
      <c r="P247" s="20" t="n">
        <v>-1668</v>
      </c>
      <c r="Q247" s="20" t="n">
        <v>2228</v>
      </c>
      <c r="R247" s="20" t="n">
        <v>-5692</v>
      </c>
      <c r="S247" s="20" t="n">
        <v>-1950</v>
      </c>
      <c r="T247" s="20" t="n">
        <v>-2000</v>
      </c>
      <c r="U247" s="20" t="n">
        <v>200</v>
      </c>
      <c r="V247" s="20" t="n">
        <v>2200</v>
      </c>
      <c r="W247" s="20" t="n">
        <v>800</v>
      </c>
      <c r="X247" s="20" t="n">
        <v>-1300</v>
      </c>
    </row>
    <row r="248">
      <c r="A248" s="18" t="inlineStr">
        <is>
          <t>장기차입</t>
        </is>
      </c>
      <c r="C248" s="20" t="n">
        <v>3000</v>
      </c>
      <c r="E248" s="20" t="n">
        <v>3300</v>
      </c>
      <c r="G248" s="20" t="n">
        <v>1000</v>
      </c>
      <c r="I248" s="20" t="n">
        <v>2000</v>
      </c>
      <c r="K248" s="20" t="n">
        <v>0</v>
      </c>
      <c r="M248" s="20" t="n">
        <v>2000</v>
      </c>
      <c r="O248" s="20" t="n">
        <v>1494</v>
      </c>
      <c r="P248" s="20" t="n">
        <v>2490</v>
      </c>
      <c r="Q248" s="20" t="n">
        <v>2090</v>
      </c>
      <c r="R248" s="20" t="n">
        <v>4000</v>
      </c>
      <c r="S248" s="20" t="n">
        <v>1400</v>
      </c>
      <c r="T248" s="20" t="n">
        <v>3800</v>
      </c>
      <c r="U248" s="20" t="n">
        <v>2700</v>
      </c>
      <c r="V248" s="20" t="n">
        <v>3300</v>
      </c>
      <c r="W248" s="20" t="n">
        <v>2000</v>
      </c>
      <c r="X248" s="20" t="n">
        <v>2000</v>
      </c>
    </row>
    <row r="249">
      <c r="A249" s="18" t="inlineStr">
        <is>
          <t>장기차입금 상환</t>
        </is>
      </c>
      <c r="C249" s="20" t="n">
        <v>-3404</v>
      </c>
      <c r="E249" s="20" t="n">
        <v>-3991</v>
      </c>
      <c r="G249" s="20" t="n">
        <v>-570</v>
      </c>
      <c r="I249" s="20" t="n">
        <v>-1340</v>
      </c>
      <c r="K249" s="20" t="n">
        <v>-770</v>
      </c>
      <c r="M249" s="20" t="n">
        <v>-1740</v>
      </c>
      <c r="O249" s="20" t="n">
        <v>-1987</v>
      </c>
      <c r="P249" s="20" t="n">
        <v>-2007</v>
      </c>
      <c r="Q249" s="20" t="n">
        <v>-2704</v>
      </c>
      <c r="R249" s="20" t="n">
        <v>-2015</v>
      </c>
      <c r="S249" s="20" t="n">
        <v>-3055</v>
      </c>
      <c r="T249" s="20" t="n">
        <v>-1667</v>
      </c>
      <c r="U249" s="20" t="n">
        <v>-2826</v>
      </c>
      <c r="V249" s="20" t="n">
        <v>-3991</v>
      </c>
      <c r="W249" s="20" t="n">
        <v>-1340</v>
      </c>
      <c r="X249" s="20" t="n">
        <v>-1740</v>
      </c>
    </row>
    <row r="250">
      <c r="A250" s="18" t="inlineStr">
        <is>
          <t>리스부채 상환</t>
        </is>
      </c>
      <c r="C250" s="20" t="n">
        <v>-221</v>
      </c>
      <c r="E250" s="20" t="n">
        <v>-504</v>
      </c>
      <c r="G250" s="20" t="n">
        <v>-286</v>
      </c>
      <c r="I250" s="20" t="n">
        <v>-535</v>
      </c>
      <c r="K250" s="20" t="n">
        <v>-246</v>
      </c>
      <c r="M250" s="20" t="n">
        <v>-520</v>
      </c>
      <c r="S250" s="20" t="n">
        <v>-37</v>
      </c>
      <c r="T250" s="20" t="n">
        <v>-301</v>
      </c>
      <c r="U250" s="20" t="n">
        <v>-496</v>
      </c>
      <c r="V250" s="20" t="n">
        <v>-504</v>
      </c>
      <c r="W250" s="20" t="n">
        <v>-535</v>
      </c>
      <c r="X250" s="20" t="n">
        <v>-520</v>
      </c>
    </row>
    <row r="251">
      <c r="A251" s="18" t="inlineStr">
        <is>
          <t>자기주식 취득</t>
        </is>
      </c>
      <c r="C251" s="20" t="n">
        <v>-0</v>
      </c>
      <c r="E251" s="20" t="n">
        <v>-498</v>
      </c>
      <c r="G251" s="20" t="n">
        <v>-0</v>
      </c>
      <c r="I251" s="20" t="n">
        <v>-1</v>
      </c>
      <c r="K251" s="20" t="n">
        <v>-0</v>
      </c>
      <c r="M251" s="20" t="n">
        <v>-1</v>
      </c>
      <c r="O251" s="20" t="n">
        <v>-1578</v>
      </c>
      <c r="P251" s="20" t="n">
        <v>-4</v>
      </c>
      <c r="Q251" s="20" t="n">
        <v>-506</v>
      </c>
      <c r="R251" s="20" t="n">
        <v>-127</v>
      </c>
      <c r="S251" s="20" t="n">
        <v>-1</v>
      </c>
      <c r="T251" s="20" t="n">
        <v>-479</v>
      </c>
      <c r="U251" s="20" t="n">
        <v>-1</v>
      </c>
      <c r="V251" s="20" t="n">
        <v>-498</v>
      </c>
      <c r="W251" s="20" t="n">
        <v>-1</v>
      </c>
      <c r="X251" s="20" t="n">
        <v>-1</v>
      </c>
    </row>
    <row r="252">
      <c r="A252" s="18" t="inlineStr">
        <is>
          <t>자기주식 매각</t>
        </is>
      </c>
      <c r="C252" s="20" t="n">
        <v>0</v>
      </c>
      <c r="E252" s="20" t="n">
        <v>0</v>
      </c>
      <c r="O252" s="20" t="n">
        <v>24</v>
      </c>
      <c r="P252" s="20" t="n">
        <v>0</v>
      </c>
      <c r="Q252" s="20" t="n">
        <v>161</v>
      </c>
      <c r="R252" s="20" t="n">
        <v>12</v>
      </c>
      <c r="S252" s="20" t="n">
        <v>0</v>
      </c>
      <c r="T252" s="20" t="n">
        <v>0</v>
      </c>
      <c r="U252" s="20" t="n">
        <v>0</v>
      </c>
      <c r="V252" s="20" t="n">
        <v>0</v>
      </c>
    </row>
    <row r="253">
      <c r="A253" s="18" t="inlineStr">
        <is>
          <t>배당금 지급</t>
        </is>
      </c>
      <c r="C253" s="20" t="n">
        <v>-655</v>
      </c>
      <c r="E253" s="20" t="n">
        <v>-984</v>
      </c>
      <c r="G253" s="20" t="n">
        <v>-318</v>
      </c>
      <c r="I253" s="20" t="n">
        <v>-636</v>
      </c>
      <c r="K253" s="20" t="n">
        <v>-571</v>
      </c>
      <c r="M253" s="20" t="n">
        <v>-890</v>
      </c>
      <c r="O253" s="20" t="n">
        <v>-889</v>
      </c>
      <c r="P253" s="20" t="n">
        <v>-594</v>
      </c>
      <c r="Q253" s="20" t="n">
        <v>-264</v>
      </c>
      <c r="R253" s="20" t="n">
        <v>-325</v>
      </c>
      <c r="S253" s="20" t="n">
        <v>-259</v>
      </c>
      <c r="T253" s="20" t="n">
        <v>-323</v>
      </c>
      <c r="U253" s="20" t="n">
        <v>-438</v>
      </c>
      <c r="V253" s="20" t="n">
        <v>-984</v>
      </c>
      <c r="W253" s="20" t="n">
        <v>-636</v>
      </c>
      <c r="X253" s="20" t="n">
        <v>-890</v>
      </c>
    </row>
    <row r="254">
      <c r="A254" s="18" t="inlineStr">
        <is>
          <t>기타</t>
        </is>
      </c>
      <c r="O254" s="20" t="n">
        <v>0</v>
      </c>
      <c r="P254" s="20" t="n">
        <v>10</v>
      </c>
      <c r="Q254" s="20" t="n">
        <v>-8</v>
      </c>
      <c r="R254" s="20" t="n">
        <v>-29</v>
      </c>
      <c r="S254" s="20" t="n">
        <v>-37</v>
      </c>
    </row>
    <row r="255">
      <c r="A255" s="9" t="inlineStr">
        <is>
          <t>재무활동 현금흐름</t>
        </is>
      </c>
      <c r="C255" s="12" t="n">
        <v>217</v>
      </c>
      <c r="E255" s="12" t="n">
        <v>-478</v>
      </c>
      <c r="G255" s="12" t="n">
        <v>324</v>
      </c>
      <c r="I255" s="12" t="n">
        <v>286</v>
      </c>
      <c r="K255" s="12" t="n">
        <v>-1188</v>
      </c>
      <c r="M255" s="12" t="n">
        <v>-2452</v>
      </c>
      <c r="O255" s="12" t="n">
        <v>-1541</v>
      </c>
      <c r="P255" s="12" t="n">
        <v>-1774</v>
      </c>
      <c r="Q255" s="12" t="n">
        <v>997</v>
      </c>
      <c r="R255" s="12" t="n">
        <v>-4176</v>
      </c>
      <c r="S255" s="12" t="n">
        <v>-3904</v>
      </c>
      <c r="T255" s="12" t="n">
        <v>-971</v>
      </c>
      <c r="U255" s="12" t="n">
        <v>-862</v>
      </c>
      <c r="V255" s="12" t="n">
        <v>-478</v>
      </c>
      <c r="W255" s="12" t="n">
        <v>286</v>
      </c>
      <c r="X255" s="12" t="n">
        <v>-2452</v>
      </c>
    </row>
    <row r="256">
      <c r="A256" s="18" t="inlineStr">
        <is>
          <t>현금성자산 환산차이</t>
        </is>
      </c>
      <c r="C256" s="20" t="n">
        <v>-358</v>
      </c>
      <c r="E256" s="20" t="n">
        <v>-341</v>
      </c>
      <c r="G256" s="20" t="n">
        <v>-198</v>
      </c>
      <c r="I256" s="20" t="n">
        <v>-291</v>
      </c>
      <c r="K256" s="20" t="n">
        <v>564</v>
      </c>
      <c r="M256" s="20" t="n">
        <v>1869</v>
      </c>
      <c r="O256" s="20" t="n">
        <v>-254</v>
      </c>
      <c r="P256" s="20" t="n">
        <v>242</v>
      </c>
      <c r="Q256" s="20" t="n">
        <v>-219</v>
      </c>
      <c r="R256" s="20" t="n">
        <v>17</v>
      </c>
      <c r="S256" s="20" t="n">
        <v>-94</v>
      </c>
      <c r="T256" s="20" t="n">
        <v>-66</v>
      </c>
      <c r="U256" s="20" t="n">
        <v>-375</v>
      </c>
      <c r="V256" s="20" t="n">
        <v>-341</v>
      </c>
      <c r="W256" s="20" t="n">
        <v>-291</v>
      </c>
      <c r="X256" s="20" t="n">
        <v>1869</v>
      </c>
    </row>
    <row r="257">
      <c r="A257" s="18" t="inlineStr">
        <is>
          <t>현금성자산 증감</t>
        </is>
      </c>
      <c r="C257" s="20" t="n">
        <v>943</v>
      </c>
      <c r="E257" s="20" t="n">
        <v>1282</v>
      </c>
      <c r="G257" s="20" t="n">
        <v>684</v>
      </c>
      <c r="I257" s="20" t="n">
        <v>217</v>
      </c>
      <c r="K257" s="20" t="n">
        <v>-681</v>
      </c>
      <c r="M257" s="20" t="n">
        <v>-821</v>
      </c>
      <c r="O257" s="20" t="n">
        <v>-656</v>
      </c>
      <c r="P257" s="20" t="n">
        <v>470</v>
      </c>
      <c r="Q257" s="20" t="n">
        <v>294</v>
      </c>
      <c r="R257" s="20" t="n">
        <v>-338</v>
      </c>
      <c r="S257" s="20" t="n">
        <v>-1671</v>
      </c>
      <c r="T257" s="20" t="n">
        <v>-236</v>
      </c>
      <c r="U257" s="20" t="n">
        <v>409</v>
      </c>
      <c r="V257" s="20" t="n">
        <v>1282</v>
      </c>
      <c r="W257" s="20" t="n">
        <v>217</v>
      </c>
      <c r="X257" s="20" t="n">
        <v>-821</v>
      </c>
    </row>
    <row r="258">
      <c r="A258" s="18" t="inlineStr">
        <is>
          <t>연결 제외 현금성자산 감소</t>
        </is>
      </c>
      <c r="R258" s="20" t="n">
        <v>0</v>
      </c>
      <c r="S258" s="20" t="n">
        <v>-24</v>
      </c>
      <c r="T258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6798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32320</v>
      </c>
      <c r="D5" s="12" t="n">
        <v>31070</v>
      </c>
      <c r="E5" s="12" t="n">
        <v>32256</v>
      </c>
      <c r="F5" s="12" t="n">
        <v>30845</v>
      </c>
      <c r="G5" s="12" t="n">
        <v>32422</v>
      </c>
      <c r="H5" s="11" t="n">
        <v>31730</v>
      </c>
      <c r="I5" s="12" t="n">
        <v>33251</v>
      </c>
      <c r="J5" s="12" t="n">
        <v>33824</v>
      </c>
      <c r="K5" s="12" t="n">
        <v>33149</v>
      </c>
      <c r="L5" s="12" t="n">
        <v>30845</v>
      </c>
    </row>
    <row r="6">
      <c r="A6" s="18" t="inlineStr">
        <is>
          <t>현금및현금성자산</t>
        </is>
      </c>
      <c r="B6" s="10" t="n"/>
      <c r="C6" s="19" t="n">
        <v>10704</v>
      </c>
      <c r="D6" s="20" t="n">
        <v>9805</v>
      </c>
      <c r="E6" s="20" t="n">
        <v>11282</v>
      </c>
      <c r="F6" s="20" t="n">
        <v>9673</v>
      </c>
      <c r="G6" s="20" t="n">
        <v>11020</v>
      </c>
      <c r="H6" s="19" t="n">
        <v>8555</v>
      </c>
      <c r="I6" s="20" t="n">
        <v>8969</v>
      </c>
      <c r="J6" s="20" t="n">
        <v>10258</v>
      </c>
      <c r="K6" s="20" t="n">
        <v>10475</v>
      </c>
      <c r="L6" s="20" t="n">
        <v>9673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9892</v>
      </c>
      <c r="D8" s="20" t="n">
        <v>9916</v>
      </c>
      <c r="E8" s="20" t="n">
        <v>9344</v>
      </c>
      <c r="F8" s="20" t="n">
        <v>10872</v>
      </c>
      <c r="G8" s="20" t="n">
        <v>9502</v>
      </c>
      <c r="H8" s="19" t="n">
        <v>11286</v>
      </c>
      <c r="I8" s="20" t="n">
        <v>11505</v>
      </c>
      <c r="J8" s="20" t="n">
        <v>10039</v>
      </c>
      <c r="K8" s="20" t="n">
        <v>11221</v>
      </c>
      <c r="L8" s="20" t="n">
        <v>10872</v>
      </c>
    </row>
    <row r="9">
      <c r="A9" s="18" t="inlineStr">
        <is>
          <t>재고자산</t>
        </is>
      </c>
      <c r="B9" s="10" t="n"/>
      <c r="C9" s="19" t="n">
        <v>7944</v>
      </c>
      <c r="D9" s="20" t="n">
        <v>7629</v>
      </c>
      <c r="E9" s="20" t="n">
        <v>7856</v>
      </c>
      <c r="F9" s="20" t="n">
        <v>6740</v>
      </c>
      <c r="G9" s="20" t="n">
        <v>8059</v>
      </c>
      <c r="H9" s="19" t="n">
        <v>9544</v>
      </c>
      <c r="I9" s="20" t="n">
        <v>10071</v>
      </c>
      <c r="J9" s="20" t="n">
        <v>9256</v>
      </c>
      <c r="K9" s="20" t="n">
        <v>7672</v>
      </c>
      <c r="L9" s="20" t="n">
        <v>6740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24474</v>
      </c>
      <c r="D11" s="12" t="n">
        <v>25172</v>
      </c>
      <c r="E11" s="12" t="n">
        <v>25727</v>
      </c>
      <c r="F11" s="12" t="n">
        <v>26780</v>
      </c>
      <c r="G11" s="12" t="n">
        <v>27032</v>
      </c>
      <c r="H11" s="11" t="n">
        <v>23063</v>
      </c>
      <c r="I11" s="12" t="n">
        <v>23113</v>
      </c>
      <c r="J11" s="12" t="n">
        <v>24619</v>
      </c>
      <c r="K11" s="12" t="n">
        <v>24535</v>
      </c>
      <c r="L11" s="12" t="n">
        <v>26780</v>
      </c>
    </row>
    <row r="12">
      <c r="A12" s="18" t="inlineStr">
        <is>
          <t>유형자산</t>
        </is>
      </c>
      <c r="B12" s="10" t="n"/>
      <c r="C12" s="19" t="n">
        <v>14695</v>
      </c>
      <c r="D12" s="20" t="n">
        <v>14731</v>
      </c>
      <c r="E12" s="20" t="n">
        <v>14802</v>
      </c>
      <c r="F12" s="20" t="n">
        <v>14423</v>
      </c>
      <c r="G12" s="20" t="n">
        <v>14433</v>
      </c>
      <c r="H12" s="19" t="n">
        <v>16190</v>
      </c>
      <c r="I12" s="20" t="n">
        <v>15567</v>
      </c>
      <c r="J12" s="20" t="n">
        <v>15328</v>
      </c>
      <c r="K12" s="20" t="n">
        <v>14754</v>
      </c>
      <c r="L12" s="20" t="n">
        <v>14423</v>
      </c>
    </row>
    <row r="13">
      <c r="A13" s="18" t="inlineStr">
        <is>
          <t>무형자산</t>
        </is>
      </c>
      <c r="B13" s="10" t="n"/>
      <c r="C13" s="19" t="n">
        <v>195</v>
      </c>
      <c r="D13" s="20" t="n">
        <v>256</v>
      </c>
      <c r="E13" s="20" t="n">
        <v>262</v>
      </c>
      <c r="F13" s="20" t="n">
        <v>242</v>
      </c>
      <c r="G13" s="20" t="n">
        <v>230</v>
      </c>
      <c r="H13" s="19" t="n">
        <v>116</v>
      </c>
      <c r="I13" s="20" t="n">
        <v>94</v>
      </c>
      <c r="J13" s="20" t="n">
        <v>130</v>
      </c>
      <c r="K13" s="20" t="n">
        <v>202</v>
      </c>
      <c r="L13" s="20" t="n">
        <v>242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56795</v>
      </c>
      <c r="D16" s="12" t="n">
        <v>56243</v>
      </c>
      <c r="E16" s="12" t="n">
        <v>57983</v>
      </c>
      <c r="F16" s="12" t="n">
        <v>57625</v>
      </c>
      <c r="G16" s="12" t="n">
        <v>59454</v>
      </c>
      <c r="H16" s="11" t="n">
        <v>54794</v>
      </c>
      <c r="I16" s="12" t="n">
        <v>56365</v>
      </c>
      <c r="J16" s="12" t="n">
        <v>58444</v>
      </c>
      <c r="K16" s="12" t="n">
        <v>57684</v>
      </c>
      <c r="L16" s="12" t="n">
        <v>57625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17594</v>
      </c>
      <c r="D18" s="12" t="n">
        <v>16565</v>
      </c>
      <c r="E18" s="12" t="n">
        <v>15591</v>
      </c>
      <c r="F18" s="12" t="n">
        <v>14417</v>
      </c>
      <c r="G18" s="12" t="n">
        <v>16410</v>
      </c>
      <c r="H18" s="11" t="n">
        <v>15178</v>
      </c>
      <c r="I18" s="12" t="n">
        <v>16193</v>
      </c>
      <c r="J18" s="12" t="n">
        <v>15371</v>
      </c>
      <c r="K18" s="12" t="n">
        <v>16647</v>
      </c>
      <c r="L18" s="12" t="n">
        <v>14417</v>
      </c>
    </row>
    <row r="19">
      <c r="A19" s="18" t="inlineStr">
        <is>
          <t>매입채무</t>
        </is>
      </c>
      <c r="B19" s="10" t="n"/>
      <c r="C19" s="19" t="n">
        <v>3656</v>
      </c>
      <c r="D19" s="20" t="n">
        <v>3278</v>
      </c>
      <c r="E19" s="20" t="n">
        <v>3451</v>
      </c>
      <c r="F19" s="20" t="n">
        <v>2887</v>
      </c>
      <c r="G19" s="20" t="n">
        <v>3996</v>
      </c>
      <c r="H19" s="19" t="n">
        <v>5404</v>
      </c>
      <c r="I19" s="20" t="n">
        <v>4878</v>
      </c>
      <c r="J19" s="20" t="n">
        <v>2643</v>
      </c>
      <c r="K19" s="20" t="n">
        <v>3206</v>
      </c>
      <c r="L19" s="20" t="n">
        <v>2887</v>
      </c>
    </row>
    <row r="20">
      <c r="A20" s="18" t="inlineStr">
        <is>
          <t>단기차입금</t>
        </is>
      </c>
      <c r="B20" s="10" t="n"/>
      <c r="C20" s="19" t="n">
        <v>7340</v>
      </c>
      <c r="D20" s="20" t="n">
        <v>7440</v>
      </c>
      <c r="E20" s="20" t="n">
        <v>6140</v>
      </c>
      <c r="F20" s="20" t="n">
        <v>6140</v>
      </c>
      <c r="G20" s="20" t="n">
        <v>7110</v>
      </c>
      <c r="H20" s="19" t="n">
        <v>5066</v>
      </c>
      <c r="I20" s="20" t="n">
        <v>6491</v>
      </c>
      <c r="J20" s="20" t="n">
        <v>5840</v>
      </c>
      <c r="K20" s="20" t="n">
        <v>7040</v>
      </c>
      <c r="L20" s="20" t="n">
        <v>6140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11234</v>
      </c>
      <c r="D23" s="12" t="n">
        <v>10643</v>
      </c>
      <c r="E23" s="12" t="n">
        <v>11911</v>
      </c>
      <c r="F23" s="12" t="n">
        <v>12051</v>
      </c>
      <c r="G23" s="12" t="n">
        <v>11745</v>
      </c>
      <c r="H23" s="11" t="n">
        <v>8972</v>
      </c>
      <c r="I23" s="12" t="n">
        <v>7897</v>
      </c>
      <c r="J23" s="12" t="n">
        <v>10929</v>
      </c>
      <c r="K23" s="12" t="n">
        <v>11815</v>
      </c>
      <c r="L23" s="12" t="n">
        <v>12051</v>
      </c>
    </row>
    <row r="24">
      <c r="A24" s="18" t="inlineStr">
        <is>
          <t>장기차입금</t>
        </is>
      </c>
      <c r="B24" s="10" t="n"/>
      <c r="C24" s="19" t="n">
        <v>6942</v>
      </c>
      <c r="D24" s="20" t="n">
        <v>6511</v>
      </c>
      <c r="E24" s="20" t="n">
        <v>7672</v>
      </c>
      <c r="F24" s="20" t="n">
        <v>7141</v>
      </c>
      <c r="G24" s="20" t="n">
        <v>6832</v>
      </c>
      <c r="H24" s="19" t="n">
        <v>6214</v>
      </c>
      <c r="I24" s="20" t="n">
        <v>4863</v>
      </c>
      <c r="J24" s="20" t="n">
        <v>7022</v>
      </c>
      <c r="K24" s="20" t="n">
        <v>7282</v>
      </c>
      <c r="L24" s="20" t="n">
        <v>7141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28829</v>
      </c>
      <c r="D27" s="12" t="n">
        <v>27209</v>
      </c>
      <c r="E27" s="12" t="n">
        <v>27502</v>
      </c>
      <c r="F27" s="12" t="n">
        <v>26468</v>
      </c>
      <c r="G27" s="12" t="n">
        <v>28156</v>
      </c>
      <c r="H27" s="11" t="n">
        <v>24150</v>
      </c>
      <c r="I27" s="12" t="n">
        <v>24090</v>
      </c>
      <c r="J27" s="12" t="n">
        <v>26300</v>
      </c>
      <c r="K27" s="12" t="n">
        <v>28462</v>
      </c>
      <c r="L27" s="12" t="n">
        <v>26468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27965</v>
      </c>
      <c r="D31" s="12" t="n">
        <v>29033</v>
      </c>
      <c r="E31" s="12" t="n">
        <v>30481</v>
      </c>
      <c r="F31" s="12" t="n">
        <v>31156</v>
      </c>
      <c r="G31" s="12" t="n">
        <v>31298</v>
      </c>
      <c r="H31" s="11" t="n">
        <v>30643</v>
      </c>
      <c r="I31" s="12" t="n">
        <v>32274</v>
      </c>
      <c r="J31" s="12" t="n">
        <v>32143</v>
      </c>
      <c r="K31" s="12" t="n">
        <v>29221</v>
      </c>
      <c r="L31" s="12" t="n">
        <v>31156</v>
      </c>
    </row>
    <row r="32">
      <c r="A32" s="18" t="inlineStr">
        <is>
          <t>자본금</t>
        </is>
      </c>
      <c r="B32" s="10" t="n"/>
      <c r="C32" s="19" t="n">
        <v>7996</v>
      </c>
      <c r="D32" s="20" t="n">
        <v>7996</v>
      </c>
      <c r="E32" s="20" t="n">
        <v>7996</v>
      </c>
      <c r="F32" s="20" t="n">
        <v>7996</v>
      </c>
      <c r="G32" s="20" t="n">
        <v>7996</v>
      </c>
      <c r="H32" s="19" t="n">
        <v>7996</v>
      </c>
      <c r="I32" s="20" t="n">
        <v>7996</v>
      </c>
      <c r="J32" s="20" t="n">
        <v>7996</v>
      </c>
      <c r="K32" s="20" t="n">
        <v>7996</v>
      </c>
      <c r="L32" s="20" t="n">
        <v>7996</v>
      </c>
    </row>
    <row r="33">
      <c r="A33" s="18" t="inlineStr">
        <is>
          <t>이익잉여금</t>
        </is>
      </c>
      <c r="B33" s="10" t="n"/>
      <c r="C33" s="19" t="n">
        <v>9504</v>
      </c>
      <c r="D33" s="20" t="n">
        <v>9963</v>
      </c>
      <c r="E33" s="20" t="n">
        <v>10577</v>
      </c>
      <c r="F33" s="20" t="n">
        <v>9894</v>
      </c>
      <c r="G33" s="20" t="n">
        <v>9731</v>
      </c>
      <c r="H33" s="19" t="n">
        <v>15925</v>
      </c>
      <c r="I33" s="20" t="n">
        <v>14730</v>
      </c>
      <c r="J33" s="20" t="n">
        <v>13253</v>
      </c>
      <c r="K33" s="20" t="n">
        <v>10731</v>
      </c>
      <c r="L33" s="20" t="n">
        <v>9894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27965</v>
      </c>
      <c r="D35" s="12" t="n">
        <v>29033</v>
      </c>
      <c r="E35" s="12" t="n">
        <v>30481</v>
      </c>
      <c r="F35" s="12" t="n">
        <v>31156</v>
      </c>
      <c r="G35" s="12" t="n">
        <v>31298</v>
      </c>
      <c r="H35" s="11" t="n">
        <v>30643</v>
      </c>
      <c r="I35" s="12" t="n">
        <v>32274</v>
      </c>
      <c r="J35" s="12" t="n">
        <v>32143</v>
      </c>
      <c r="K35" s="12" t="n">
        <v>29221</v>
      </c>
      <c r="L35" s="12" t="n">
        <v>31156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1937</v>
      </c>
      <c r="E37" s="12" t="n"/>
      <c r="F37" s="12" t="n">
        <v>2023</v>
      </c>
      <c r="G37" s="12" t="n"/>
      <c r="H37" s="11" t="n">
        <v>2433</v>
      </c>
      <c r="I37" s="12" t="n">
        <v>3591</v>
      </c>
      <c r="J37" s="12" t="n">
        <v>3719</v>
      </c>
      <c r="K37" s="12" t="n">
        <v>2439</v>
      </c>
      <c r="L37" s="12" t="n">
        <v>2023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2330</v>
      </c>
      <c r="E38" s="20" t="n"/>
      <c r="F38" s="20" t="n">
        <v>2271</v>
      </c>
      <c r="G38" s="20" t="n"/>
      <c r="H38" s="19" t="n">
        <v>2011</v>
      </c>
      <c r="I38" s="20" t="n">
        <v>1964</v>
      </c>
      <c r="J38" s="20" t="n">
        <v>2437</v>
      </c>
      <c r="K38" s="20" t="n">
        <v>2206</v>
      </c>
      <c r="L38" s="20" t="n">
        <v>2271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889</v>
      </c>
      <c r="E40" s="20" t="n"/>
      <c r="F40" s="20" t="n">
        <v>890</v>
      </c>
      <c r="G40" s="20" t="n"/>
      <c r="H40" s="19" t="n">
        <v>323</v>
      </c>
      <c r="I40" s="20" t="n">
        <v>438</v>
      </c>
      <c r="J40" s="20" t="n">
        <v>984</v>
      </c>
      <c r="K40" s="20" t="n">
        <v>636</v>
      </c>
      <c r="L40" s="20" t="n">
        <v>890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IFERROR(IF((IF(COUNT('연간'!G59:J59)&lt;4,"",SUM('연간'!G59:J59)))&lt;=0,"적자",C28/(IF(COUNT('연간'!G59:J59)&lt;4,"",SUM('연간'!G59:J59)))),"")</f>
        <v/>
      </c>
      <c r="D49" s="47">
        <f>IFERROR(IF((IF(COUNT('연간'!H59:K59)&lt;4,"",SUM('연간'!H59:K59)))&lt;=0,"적자",D28/(IF(COUNT('연간'!H59:K59)&lt;4,"",SUM('연간'!H59:K59)))),"")</f>
        <v/>
      </c>
      <c r="E49" s="47">
        <f>IFERROR(IF((IF(COUNT('연간'!I59:L59)&lt;4,"",SUM('연간'!I59:L59)))&lt;=0,"적자",E28/(IF(COUNT('연간'!I59:L59)&lt;4,"",SUM('연간'!I59:L59)))),"")</f>
        <v/>
      </c>
      <c r="F49" s="47">
        <f>IFERROR(IF((IF(COUNT('연간'!J59:M59)&lt;4,"",SUM('연간'!J59:M59)))&lt;=0,"적자",F28/(IF(COUNT('연간'!J59:M59)&lt;4,"",SUM('연간'!J59:M59)))),"")</f>
        <v/>
      </c>
      <c r="G49" s="47">
        <f>IFERROR(IF((IF(COUNT('연간'!K59:N59)&lt;4,"",SUM('연간'!K59:N59)))&lt;=0,"적자",G28/(IF(COUNT('연간'!K59:N59)&lt;4,"",SUM('연간'!K59:N59)))),"")</f>
        <v/>
      </c>
      <c r="H49" s="46">
        <f>IFERROR(IF(('연간'!T59)&lt;=0,"적자",H28/('연간'!T59)),"")</f>
        <v/>
      </c>
      <c r="I49" s="47">
        <f>IFERROR(IF(('연간'!U59)&lt;=0,"적자",I28/('연간'!U59)),"")</f>
        <v/>
      </c>
      <c r="J49" s="47">
        <f>IFERROR(IF(('연간'!V59)&lt;=0,"적자",J28/('연간'!V59)),"")</f>
        <v/>
      </c>
      <c r="K49" s="47">
        <f>IFERROR(IF(('연간'!W59)&lt;=0,"적자",K28/('연간'!W59)),"")</f>
        <v/>
      </c>
      <c r="L49" s="47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10704</v>
      </c>
      <c r="D71" s="20" t="n">
        <v>9805</v>
      </c>
      <c r="E71" s="20" t="n">
        <v>11282</v>
      </c>
      <c r="F71" s="20" t="n">
        <v>9673</v>
      </c>
      <c r="G71" s="20" t="n">
        <v>11020</v>
      </c>
      <c r="H71" s="20" t="n">
        <v>8555</v>
      </c>
      <c r="I71" s="20" t="n">
        <v>8969</v>
      </c>
      <c r="J71" s="20" t="n">
        <v>10258</v>
      </c>
      <c r="K71" s="20" t="n">
        <v>10475</v>
      </c>
      <c r="L71" s="20" t="n">
        <v>9673</v>
      </c>
    </row>
    <row r="72">
      <c r="A72" s="18" t="inlineStr">
        <is>
          <t>받을어음·매출채권</t>
        </is>
      </c>
      <c r="H72" s="20" t="n">
        <v>11340</v>
      </c>
    </row>
    <row r="73">
      <c r="A73" s="18" t="inlineStr">
        <is>
          <t>받을어음</t>
        </is>
      </c>
      <c r="C73" s="20" t="n">
        <v>7</v>
      </c>
      <c r="D73" s="20" t="n">
        <v>4</v>
      </c>
      <c r="E73" s="20" t="n">
        <v>3</v>
      </c>
      <c r="F73" s="20" t="n">
        <v>1</v>
      </c>
      <c r="G73" s="20" t="n">
        <v>4</v>
      </c>
      <c r="H73" s="20" t="n">
        <v>53</v>
      </c>
      <c r="I73" s="20" t="n">
        <v>64</v>
      </c>
      <c r="J73" s="20" t="n">
        <v>50</v>
      </c>
      <c r="K73" s="20" t="n">
        <v>4</v>
      </c>
      <c r="L73" s="20" t="n">
        <v>1</v>
      </c>
    </row>
    <row r="74">
      <c r="A74" s="18" t="inlineStr">
        <is>
          <t>전자기록채권</t>
        </is>
      </c>
      <c r="C74" s="20" t="n">
        <v>2690</v>
      </c>
      <c r="D74" s="20" t="n">
        <v>2497</v>
      </c>
      <c r="E74" s="20" t="n">
        <v>2578</v>
      </c>
      <c r="F74" s="20" t="n">
        <v>2427</v>
      </c>
      <c r="G74" s="20" t="n">
        <v>2360</v>
      </c>
      <c r="H74" s="20" t="n">
        <v>1460</v>
      </c>
      <c r="I74" s="20" t="n">
        <v>1606</v>
      </c>
      <c r="J74" s="20" t="n">
        <v>3132</v>
      </c>
      <c r="K74" s="20" t="n">
        <v>2710</v>
      </c>
      <c r="L74" s="20" t="n">
        <v>2427</v>
      </c>
    </row>
    <row r="75">
      <c r="A75" s="18" t="inlineStr">
        <is>
          <t>매출채권</t>
        </is>
      </c>
      <c r="C75" s="20" t="n">
        <v>9892</v>
      </c>
      <c r="D75" s="20" t="n">
        <v>9916</v>
      </c>
      <c r="E75" s="20" t="n">
        <v>9344</v>
      </c>
      <c r="F75" s="20" t="n">
        <v>10872</v>
      </c>
      <c r="G75" s="20" t="n">
        <v>9502</v>
      </c>
      <c r="H75" s="20" t="n">
        <v>11286</v>
      </c>
      <c r="I75" s="20" t="n">
        <v>11505</v>
      </c>
      <c r="J75" s="20" t="n">
        <v>10039</v>
      </c>
      <c r="K75" s="20" t="n">
        <v>11221</v>
      </c>
      <c r="L75" s="20" t="n">
        <v>10872</v>
      </c>
    </row>
    <row r="76">
      <c r="A76" s="18" t="inlineStr">
        <is>
          <t>상품·제품</t>
        </is>
      </c>
      <c r="C76" s="20" t="n">
        <v>3103</v>
      </c>
      <c r="D76" s="20" t="n">
        <v>2897</v>
      </c>
      <c r="E76" s="20" t="n">
        <v>3204</v>
      </c>
      <c r="F76" s="20" t="n">
        <v>2715</v>
      </c>
      <c r="G76" s="20" t="n">
        <v>3080</v>
      </c>
      <c r="H76" s="20" t="n">
        <v>3592</v>
      </c>
      <c r="I76" s="20" t="n">
        <v>4277</v>
      </c>
      <c r="J76" s="20" t="n">
        <v>3424</v>
      </c>
      <c r="K76" s="20" t="n">
        <v>2909</v>
      </c>
      <c r="L76" s="20" t="n">
        <v>2715</v>
      </c>
    </row>
    <row r="77">
      <c r="A77" s="18" t="inlineStr">
        <is>
          <t>재공품</t>
        </is>
      </c>
      <c r="C77" s="20" t="n">
        <v>679</v>
      </c>
      <c r="D77" s="20" t="n">
        <v>533</v>
      </c>
      <c r="E77" s="20" t="n">
        <v>671</v>
      </c>
      <c r="F77" s="20" t="n">
        <v>625</v>
      </c>
      <c r="G77" s="20" t="n">
        <v>768</v>
      </c>
      <c r="H77" s="20" t="n">
        <v>961</v>
      </c>
      <c r="I77" s="20" t="n">
        <v>660</v>
      </c>
      <c r="J77" s="20" t="n">
        <v>592</v>
      </c>
      <c r="K77" s="20" t="n">
        <v>517</v>
      </c>
      <c r="L77" s="20" t="n">
        <v>625</v>
      </c>
    </row>
    <row r="78">
      <c r="A78" s="18" t="inlineStr">
        <is>
          <t>원재료·저장품</t>
        </is>
      </c>
      <c r="C78" s="20" t="n">
        <v>4162</v>
      </c>
      <c r="D78" s="20" t="n">
        <v>4199</v>
      </c>
      <c r="E78" s="20" t="n">
        <v>3981</v>
      </c>
      <c r="F78" s="20" t="n">
        <v>3400</v>
      </c>
      <c r="G78" s="20" t="n">
        <v>4211</v>
      </c>
      <c r="H78" s="20" t="n">
        <v>4991</v>
      </c>
      <c r="I78" s="20" t="n">
        <v>5134</v>
      </c>
      <c r="J78" s="20" t="n">
        <v>5240</v>
      </c>
      <c r="K78" s="20" t="n">
        <v>4246</v>
      </c>
      <c r="L78" s="20" t="n">
        <v>3400</v>
      </c>
    </row>
    <row r="79">
      <c r="A79" s="18" t="inlineStr">
        <is>
          <t>기타</t>
        </is>
      </c>
      <c r="C79" s="20" t="n">
        <v>1151</v>
      </c>
      <c r="D79" s="20" t="n">
        <v>1278</v>
      </c>
      <c r="E79" s="20" t="n">
        <v>1251</v>
      </c>
      <c r="F79" s="20" t="n">
        <v>1191</v>
      </c>
      <c r="G79" s="20" t="n">
        <v>1544</v>
      </c>
      <c r="H79" s="20" t="n">
        <v>860</v>
      </c>
      <c r="I79" s="20" t="n">
        <v>1080</v>
      </c>
      <c r="J79" s="20" t="n">
        <v>1150</v>
      </c>
      <c r="K79" s="20" t="n">
        <v>1151</v>
      </c>
      <c r="L79" s="20" t="n">
        <v>1191</v>
      </c>
    </row>
    <row r="80">
      <c r="A80" s="18" t="inlineStr">
        <is>
          <t>대손충당금</t>
        </is>
      </c>
      <c r="C80" s="20" t="n">
        <v>-71</v>
      </c>
      <c r="D80" s="20" t="n">
        <v>-62</v>
      </c>
      <c r="E80" s="20" t="n">
        <v>-60</v>
      </c>
      <c r="F80" s="20" t="n">
        <v>-62</v>
      </c>
      <c r="G80" s="20" t="n">
        <v>-69</v>
      </c>
      <c r="H80" s="20" t="n">
        <v>-31</v>
      </c>
      <c r="I80" s="20" t="n">
        <v>-47</v>
      </c>
      <c r="J80" s="20" t="n">
        <v>-64</v>
      </c>
      <c r="K80" s="20" t="n">
        <v>-85</v>
      </c>
      <c r="L80" s="20" t="n">
        <v>-62</v>
      </c>
    </row>
    <row r="81">
      <c r="A81" s="9" t="inlineStr">
        <is>
          <t>유동자산 합계</t>
        </is>
      </c>
      <c r="C81" s="12" t="n">
        <v>32320</v>
      </c>
      <c r="D81" s="12" t="n">
        <v>31070</v>
      </c>
      <c r="E81" s="12" t="n">
        <v>32256</v>
      </c>
      <c r="F81" s="12" t="n">
        <v>30845</v>
      </c>
      <c r="G81" s="12" t="n">
        <v>32422</v>
      </c>
      <c r="H81" s="12" t="n">
        <v>31730</v>
      </c>
      <c r="I81" s="12" t="n">
        <v>33251</v>
      </c>
      <c r="J81" s="12" t="n">
        <v>33824</v>
      </c>
      <c r="K81" s="12" t="n">
        <v>33149</v>
      </c>
      <c r="L81" s="12" t="n">
        <v>30845</v>
      </c>
    </row>
    <row r="82">
      <c r="A82" s="18" t="inlineStr">
        <is>
          <t>건물·구축물</t>
        </is>
      </c>
      <c r="F82" s="20" t="n">
        <v>21798</v>
      </c>
      <c r="H82" s="20" t="n">
        <v>19066</v>
      </c>
      <c r="I82" s="20" t="n">
        <v>19641</v>
      </c>
      <c r="J82" s="20" t="n">
        <v>20697</v>
      </c>
      <c r="K82" s="20" t="n">
        <v>21036</v>
      </c>
      <c r="L82" s="20" t="n">
        <v>21798</v>
      </c>
    </row>
    <row r="83">
      <c r="A83" s="18" t="inlineStr">
        <is>
          <t>감가상각누계액 및 손상차손누계액</t>
        </is>
      </c>
      <c r="F83" s="20" t="n">
        <v>-17732</v>
      </c>
      <c r="H83" s="20" t="n">
        <v>-14897</v>
      </c>
      <c r="I83" s="20" t="n">
        <v>-15583</v>
      </c>
      <c r="J83" s="20" t="n">
        <v>-16451</v>
      </c>
      <c r="K83" s="20" t="n">
        <v>-16885</v>
      </c>
      <c r="L83" s="20" t="n">
        <v>-17732</v>
      </c>
    </row>
    <row r="84">
      <c r="A84" s="18" t="inlineStr">
        <is>
          <t>건물·구축물(순액)</t>
        </is>
      </c>
      <c r="C84" s="20" t="n">
        <v>4135</v>
      </c>
      <c r="D84" s="20" t="n">
        <v>4085</v>
      </c>
      <c r="E84" s="20" t="n">
        <v>4049</v>
      </c>
      <c r="F84" s="20" t="n">
        <v>4066</v>
      </c>
      <c r="G84" s="20" t="n">
        <v>4003</v>
      </c>
      <c r="H84" s="20" t="n">
        <v>4169</v>
      </c>
      <c r="I84" s="20" t="n">
        <v>4058</v>
      </c>
      <c r="J84" s="20" t="n">
        <v>4245</v>
      </c>
      <c r="K84" s="20" t="n">
        <v>4151</v>
      </c>
      <c r="L84" s="20" t="n">
        <v>4066</v>
      </c>
    </row>
    <row r="85">
      <c r="A85" s="18" t="inlineStr">
        <is>
          <t>기계장치·운반구</t>
        </is>
      </c>
      <c r="F85" s="20" t="n">
        <v>24058</v>
      </c>
      <c r="H85" s="20" t="n">
        <v>24804</v>
      </c>
      <c r="I85" s="20" t="n">
        <v>25238</v>
      </c>
      <c r="J85" s="20" t="n">
        <v>25851</v>
      </c>
      <c r="K85" s="20" t="n">
        <v>22609</v>
      </c>
      <c r="L85" s="20" t="n">
        <v>24058</v>
      </c>
    </row>
    <row r="86">
      <c r="A86" s="18" t="inlineStr">
        <is>
          <t>감가상각누계액 및 손상차손누계액</t>
        </is>
      </c>
      <c r="F86" s="20" t="n">
        <v>-21272</v>
      </c>
      <c r="H86" s="20" t="n">
        <v>-21297</v>
      </c>
      <c r="I86" s="20" t="n">
        <v>-22170</v>
      </c>
      <c r="J86" s="20" t="n">
        <v>-23020</v>
      </c>
      <c r="K86" s="20" t="n">
        <v>-19960</v>
      </c>
      <c r="L86" s="20" t="n">
        <v>-21272</v>
      </c>
    </row>
    <row r="87">
      <c r="A87" s="18" t="inlineStr">
        <is>
          <t>기계장치·운반구(순액)</t>
        </is>
      </c>
      <c r="F87" s="20" t="n">
        <v>2785</v>
      </c>
      <c r="H87" s="20" t="n">
        <v>3506</v>
      </c>
      <c r="I87" s="20" t="n">
        <v>3068</v>
      </c>
      <c r="J87" s="20" t="n">
        <v>2830</v>
      </c>
      <c r="K87" s="20" t="n">
        <v>2649</v>
      </c>
      <c r="L87" s="20" t="n">
        <v>2785</v>
      </c>
    </row>
    <row r="88">
      <c r="A88" s="18" t="inlineStr">
        <is>
          <t>공구·기구·비품</t>
        </is>
      </c>
      <c r="F88" s="20" t="n">
        <v>17294</v>
      </c>
      <c r="H88" s="20" t="n">
        <v>20214</v>
      </c>
      <c r="I88" s="20" t="n">
        <v>19385</v>
      </c>
      <c r="J88" s="20" t="n">
        <v>18966</v>
      </c>
      <c r="K88" s="20" t="n">
        <v>17031</v>
      </c>
      <c r="L88" s="20" t="n">
        <v>17294</v>
      </c>
    </row>
    <row r="89">
      <c r="A89" s="18" t="inlineStr">
        <is>
          <t>감가상각누계액 및 손상차손누계액</t>
        </is>
      </c>
      <c r="F89" s="20" t="n">
        <v>-16142</v>
      </c>
      <c r="H89" s="20" t="n">
        <v>-19069</v>
      </c>
      <c r="I89" s="20" t="n">
        <v>-18426</v>
      </c>
      <c r="J89" s="20" t="n">
        <v>-18011</v>
      </c>
      <c r="K89" s="20" t="n">
        <v>-16009</v>
      </c>
      <c r="L89" s="20" t="n">
        <v>-16142</v>
      </c>
    </row>
    <row r="90">
      <c r="A90" s="18" t="inlineStr">
        <is>
          <t>공구·기구·비품(순액)</t>
        </is>
      </c>
      <c r="F90" s="20" t="n">
        <v>1152</v>
      </c>
      <c r="H90" s="20" t="n">
        <v>1144</v>
      </c>
      <c r="I90" s="20" t="n">
        <v>959</v>
      </c>
      <c r="J90" s="20" t="n">
        <v>954</v>
      </c>
      <c r="K90" s="20" t="n">
        <v>1022</v>
      </c>
      <c r="L90" s="20" t="n">
        <v>1152</v>
      </c>
    </row>
    <row r="91">
      <c r="A91" s="18" t="inlineStr">
        <is>
          <t>토지</t>
        </is>
      </c>
      <c r="C91" s="20" t="n">
        <v>5819</v>
      </c>
      <c r="D91" s="20" t="n">
        <v>5819</v>
      </c>
      <c r="E91" s="20" t="n">
        <v>5819</v>
      </c>
      <c r="F91" s="20" t="n">
        <v>5819</v>
      </c>
      <c r="G91" s="20" t="n">
        <v>5819</v>
      </c>
      <c r="H91" s="20" t="n">
        <v>5869</v>
      </c>
      <c r="I91" s="20" t="n">
        <v>5869</v>
      </c>
      <c r="J91" s="20" t="n">
        <v>5819</v>
      </c>
      <c r="K91" s="20" t="n">
        <v>5819</v>
      </c>
      <c r="L91" s="20" t="n">
        <v>5819</v>
      </c>
    </row>
    <row r="92">
      <c r="A92" s="18" t="inlineStr">
        <is>
          <t>리스자산</t>
        </is>
      </c>
      <c r="F92" s="20" t="n">
        <v>3</v>
      </c>
      <c r="H92" s="20" t="n">
        <v>29</v>
      </c>
      <c r="I92" s="20" t="n">
        <v>29</v>
      </c>
      <c r="J92" s="20" t="n">
        <v>39</v>
      </c>
      <c r="K92" s="20" t="n">
        <v>3</v>
      </c>
      <c r="L92" s="20" t="n">
        <v>3</v>
      </c>
    </row>
    <row r="93">
      <c r="A93" s="18" t="inlineStr">
        <is>
          <t>감가상각누계액 및 손상차손누계액</t>
        </is>
      </c>
      <c r="F93" s="20" t="n">
        <v>-1</v>
      </c>
      <c r="H93" s="20" t="n">
        <v>-23</v>
      </c>
      <c r="I93" s="20" t="n">
        <v>-26</v>
      </c>
      <c r="J93" s="20" t="n">
        <v>-35</v>
      </c>
      <c r="K93" s="20" t="n">
        <v>-0</v>
      </c>
      <c r="L93" s="20" t="n">
        <v>-1</v>
      </c>
    </row>
    <row r="94">
      <c r="A94" s="18" t="inlineStr">
        <is>
          <t>리스자산(순액)</t>
        </is>
      </c>
      <c r="F94" s="20" t="n">
        <v>2</v>
      </c>
      <c r="H94" s="20" t="n">
        <v>6</v>
      </c>
      <c r="I94" s="20" t="n">
        <v>3</v>
      </c>
      <c r="J94" s="20" t="n">
        <v>3</v>
      </c>
      <c r="K94" s="20" t="n">
        <v>3</v>
      </c>
      <c r="L94" s="20" t="n">
        <v>2</v>
      </c>
    </row>
    <row r="95">
      <c r="A95" s="18" t="inlineStr">
        <is>
          <t>사용권자산</t>
        </is>
      </c>
      <c r="H95" s="20" t="n">
        <v>1599</v>
      </c>
      <c r="I95" s="20" t="n">
        <v>2131</v>
      </c>
      <c r="J95" s="20" t="n">
        <v>2314</v>
      </c>
      <c r="K95" s="20" t="n">
        <v>2257</v>
      </c>
    </row>
    <row r="96">
      <c r="A96" s="18" t="inlineStr">
        <is>
          <t>사용권자산</t>
        </is>
      </c>
      <c r="F96" s="20" t="n">
        <v>2434</v>
      </c>
      <c r="K96" s="20" t="n">
        <v>2257</v>
      </c>
      <c r="L96" s="20" t="n">
        <v>2434</v>
      </c>
    </row>
    <row r="97">
      <c r="A97" s="18" t="inlineStr">
        <is>
          <t>감가상각누계액 및 손상차손누계액</t>
        </is>
      </c>
      <c r="F97" s="20" t="n">
        <v>-1952</v>
      </c>
      <c r="H97" s="20" t="n">
        <v>-292</v>
      </c>
      <c r="I97" s="20" t="n">
        <v>-721</v>
      </c>
      <c r="J97" s="20" t="n">
        <v>-880</v>
      </c>
      <c r="K97" s="20" t="n">
        <v>-1308</v>
      </c>
      <c r="L97" s="20" t="n">
        <v>-1952</v>
      </c>
    </row>
    <row r="98">
      <c r="A98" s="18" t="inlineStr">
        <is>
          <t>사용권자산(순액)</t>
        </is>
      </c>
      <c r="H98" s="20" t="n">
        <v>1307</v>
      </c>
      <c r="I98" s="20" t="n">
        <v>1409</v>
      </c>
      <c r="J98" s="20" t="n">
        <v>1434</v>
      </c>
      <c r="K98" s="20" t="n">
        <v>948</v>
      </c>
    </row>
    <row r="99">
      <c r="A99" s="18" t="inlineStr">
        <is>
          <t>사용권자산(순액)</t>
        </is>
      </c>
      <c r="F99" s="20" t="n">
        <v>482</v>
      </c>
      <c r="K99" s="20" t="n">
        <v>948</v>
      </c>
      <c r="L99" s="20" t="n">
        <v>482</v>
      </c>
    </row>
    <row r="100">
      <c r="A100" s="18" t="inlineStr">
        <is>
          <t>건설중인자산</t>
        </is>
      </c>
      <c r="F100" s="20" t="n">
        <v>114</v>
      </c>
      <c r="H100" s="20" t="n">
        <v>186</v>
      </c>
      <c r="I100" s="20" t="n">
        <v>198</v>
      </c>
      <c r="J100" s="20" t="n">
        <v>39</v>
      </c>
      <c r="K100" s="20" t="n">
        <v>159</v>
      </c>
      <c r="L100" s="20" t="n">
        <v>114</v>
      </c>
    </row>
    <row r="101">
      <c r="A101" s="18" t="inlineStr">
        <is>
          <t>기타(순액)</t>
        </is>
      </c>
      <c r="C101" s="20" t="n">
        <v>4739</v>
      </c>
      <c r="D101" s="20" t="n">
        <v>4826</v>
      </c>
      <c r="E101" s="20" t="n">
        <v>4933</v>
      </c>
      <c r="F101" s="20" t="n">
        <v>4537</v>
      </c>
      <c r="G101" s="20" t="n">
        <v>4609</v>
      </c>
      <c r="H101" s="20" t="n">
        <v>6151</v>
      </c>
      <c r="I101" s="20" t="n">
        <v>5639</v>
      </c>
      <c r="J101" s="20" t="n">
        <v>5263</v>
      </c>
      <c r="K101" s="20" t="n">
        <v>4783</v>
      </c>
      <c r="L101" s="20" t="n">
        <v>4537</v>
      </c>
    </row>
    <row r="102">
      <c r="A102" s="18" t="inlineStr">
        <is>
          <t>유형자산 합계</t>
        </is>
      </c>
      <c r="C102" s="20" t="n">
        <v>14695</v>
      </c>
      <c r="D102" s="20" t="n">
        <v>14731</v>
      </c>
      <c r="E102" s="20" t="n">
        <v>14802</v>
      </c>
      <c r="F102" s="20" t="n">
        <v>14423</v>
      </c>
      <c r="G102" s="20" t="n">
        <v>14433</v>
      </c>
      <c r="H102" s="20" t="n">
        <v>16190</v>
      </c>
      <c r="I102" s="20" t="n">
        <v>15567</v>
      </c>
      <c r="J102" s="20" t="n">
        <v>15328</v>
      </c>
      <c r="K102" s="20" t="n">
        <v>14754</v>
      </c>
      <c r="L102" s="20" t="n">
        <v>14423</v>
      </c>
    </row>
    <row r="103">
      <c r="A103" s="18" t="inlineStr">
        <is>
          <t>기타</t>
        </is>
      </c>
      <c r="C103" s="20" t="n">
        <v>195</v>
      </c>
      <c r="D103" s="20" t="n">
        <v>256</v>
      </c>
      <c r="E103" s="20" t="n">
        <v>262</v>
      </c>
      <c r="F103" s="20" t="n">
        <v>242</v>
      </c>
      <c r="G103" s="20" t="n">
        <v>230</v>
      </c>
      <c r="H103" s="20" t="n">
        <v>116</v>
      </c>
      <c r="I103" s="20" t="n">
        <v>94</v>
      </c>
      <c r="J103" s="20" t="n">
        <v>130</v>
      </c>
      <c r="K103" s="20" t="n">
        <v>202</v>
      </c>
      <c r="L103" s="20" t="n">
        <v>242</v>
      </c>
    </row>
    <row r="104">
      <c r="A104" s="18" t="inlineStr">
        <is>
          <t>무형자산 합계</t>
        </is>
      </c>
      <c r="C104" s="20" t="n">
        <v>195</v>
      </c>
      <c r="D104" s="20" t="n">
        <v>256</v>
      </c>
      <c r="E104" s="20" t="n">
        <v>262</v>
      </c>
      <c r="F104" s="20" t="n">
        <v>242</v>
      </c>
      <c r="G104" s="20" t="n">
        <v>230</v>
      </c>
      <c r="H104" s="20" t="n">
        <v>116</v>
      </c>
      <c r="I104" s="20" t="n">
        <v>94</v>
      </c>
      <c r="J104" s="20" t="n">
        <v>130</v>
      </c>
      <c r="K104" s="20" t="n">
        <v>202</v>
      </c>
      <c r="L104" s="20" t="n">
        <v>242</v>
      </c>
    </row>
    <row r="105">
      <c r="A105" s="18" t="inlineStr">
        <is>
          <t>투자유가증권</t>
        </is>
      </c>
      <c r="F105" s="20" t="n">
        <v>5271</v>
      </c>
      <c r="H105" s="20" t="n">
        <v>3639</v>
      </c>
      <c r="I105" s="20" t="n">
        <v>4041</v>
      </c>
      <c r="J105" s="20" t="n">
        <v>4327</v>
      </c>
      <c r="K105" s="20" t="n">
        <v>4205</v>
      </c>
      <c r="L105" s="20" t="n">
        <v>5271</v>
      </c>
    </row>
    <row r="106">
      <c r="A106" s="18" t="inlineStr">
        <is>
          <t>장기대여금</t>
        </is>
      </c>
      <c r="F106" s="20" t="n">
        <v>94</v>
      </c>
      <c r="H106" s="20" t="n">
        <v>99</v>
      </c>
      <c r="I106" s="20" t="n">
        <v>92</v>
      </c>
      <c r="J106" s="20" t="n">
        <v>90</v>
      </c>
      <c r="K106" s="20" t="n">
        <v>87</v>
      </c>
      <c r="L106" s="20" t="n">
        <v>94</v>
      </c>
    </row>
    <row r="107">
      <c r="A107" s="18" t="inlineStr">
        <is>
          <t>퇴직급여자산</t>
        </is>
      </c>
      <c r="F107" s="20" t="n">
        <v>5745</v>
      </c>
      <c r="H107" s="20" t="n">
        <v>2245</v>
      </c>
      <c r="I107" s="20" t="n">
        <v>2344</v>
      </c>
      <c r="J107" s="20" t="n">
        <v>3788</v>
      </c>
      <c r="K107" s="20" t="n">
        <v>4247</v>
      </c>
      <c r="L107" s="20" t="n">
        <v>5745</v>
      </c>
    </row>
    <row r="108">
      <c r="A108" s="18" t="inlineStr">
        <is>
          <t>이연법인세자산</t>
        </is>
      </c>
      <c r="F108" s="20" t="n">
        <v>85</v>
      </c>
      <c r="H108" s="20" t="n">
        <v>126</v>
      </c>
      <c r="I108" s="20" t="n">
        <v>97</v>
      </c>
      <c r="J108" s="20" t="n">
        <v>149</v>
      </c>
      <c r="K108" s="20" t="n">
        <v>241</v>
      </c>
      <c r="L108" s="20" t="n">
        <v>85</v>
      </c>
    </row>
    <row r="109">
      <c r="A109" s="18" t="inlineStr">
        <is>
          <t>기타</t>
        </is>
      </c>
      <c r="C109" s="20" t="n">
        <v>9693</v>
      </c>
      <c r="D109" s="20" t="n">
        <v>10296</v>
      </c>
      <c r="E109" s="20" t="n">
        <v>10777</v>
      </c>
      <c r="F109" s="20" t="n">
        <v>12231</v>
      </c>
      <c r="G109" s="20" t="n">
        <v>12421</v>
      </c>
      <c r="H109" s="20" t="n">
        <v>731</v>
      </c>
      <c r="I109" s="20" t="n">
        <v>963</v>
      </c>
      <c r="J109" s="20" t="n">
        <v>900</v>
      </c>
      <c r="K109" s="20" t="n">
        <v>890</v>
      </c>
      <c r="L109" s="20" t="n">
        <v>12231</v>
      </c>
    </row>
    <row r="110">
      <c r="A110" s="18" t="inlineStr">
        <is>
          <t>대손충당금</t>
        </is>
      </c>
      <c r="C110" s="20" t="n">
        <v>-109</v>
      </c>
      <c r="D110" s="20" t="n">
        <v>-111</v>
      </c>
      <c r="E110" s="20" t="n">
        <v>-115</v>
      </c>
      <c r="F110" s="20" t="n">
        <v>-117</v>
      </c>
      <c r="G110" s="20" t="n">
        <v>-53</v>
      </c>
      <c r="H110" s="20" t="n">
        <v>-86</v>
      </c>
      <c r="I110" s="20" t="n">
        <v>-88</v>
      </c>
      <c r="J110" s="20" t="n">
        <v>-94</v>
      </c>
      <c r="K110" s="20" t="n">
        <v>-94</v>
      </c>
      <c r="L110" s="20" t="n">
        <v>-117</v>
      </c>
    </row>
    <row r="111">
      <c r="A111" s="18" t="inlineStr">
        <is>
          <t>투자 및 기타자산 합계</t>
        </is>
      </c>
      <c r="C111" s="20" t="n">
        <v>9584</v>
      </c>
      <c r="D111" s="20" t="n">
        <v>10184</v>
      </c>
      <c r="E111" s="20" t="n">
        <v>10662</v>
      </c>
      <c r="F111" s="20" t="n">
        <v>12114</v>
      </c>
      <c r="G111" s="20" t="n">
        <v>12368</v>
      </c>
      <c r="H111" s="20" t="n">
        <v>6755</v>
      </c>
      <c r="I111" s="20" t="n">
        <v>7450</v>
      </c>
      <c r="J111" s="20" t="n">
        <v>9160</v>
      </c>
      <c r="K111" s="20" t="n">
        <v>9578</v>
      </c>
      <c r="L111" s="20" t="n">
        <v>12114</v>
      </c>
    </row>
    <row r="112">
      <c r="A112" s="9" t="inlineStr">
        <is>
          <t>비유동자산 합계</t>
        </is>
      </c>
      <c r="C112" s="12" t="n">
        <v>24474</v>
      </c>
      <c r="D112" s="12" t="n">
        <v>25172</v>
      </c>
      <c r="E112" s="12" t="n">
        <v>25727</v>
      </c>
      <c r="F112" s="12" t="n">
        <v>26780</v>
      </c>
      <c r="G112" s="12" t="n">
        <v>27032</v>
      </c>
      <c r="H112" s="12" t="n">
        <v>23063</v>
      </c>
      <c r="I112" s="12" t="n">
        <v>23113</v>
      </c>
      <c r="J112" s="12" t="n">
        <v>24619</v>
      </c>
      <c r="K112" s="12" t="n">
        <v>24535</v>
      </c>
      <c r="L112" s="12" t="n">
        <v>26780</v>
      </c>
    </row>
    <row r="113">
      <c r="A113" s="9" t="inlineStr">
        <is>
          <t>자산 합계</t>
        </is>
      </c>
      <c r="C113" s="12" t="n">
        <v>56795</v>
      </c>
      <c r="D113" s="12" t="n">
        <v>56243</v>
      </c>
      <c r="E113" s="12" t="n">
        <v>57983</v>
      </c>
      <c r="F113" s="12" t="n">
        <v>57625</v>
      </c>
      <c r="G113" s="12" t="n">
        <v>59454</v>
      </c>
      <c r="H113" s="12" t="n">
        <v>54794</v>
      </c>
      <c r="I113" s="12" t="n">
        <v>56365</v>
      </c>
      <c r="J113" s="12" t="n">
        <v>58444</v>
      </c>
      <c r="K113" s="12" t="n">
        <v>57684</v>
      </c>
      <c r="L113" s="12" t="n">
        <v>57625</v>
      </c>
    </row>
    <row r="114">
      <c r="A114" s="18" t="inlineStr">
        <is>
          <t>지급어음·매입채무</t>
        </is>
      </c>
      <c r="C114" s="20" t="n">
        <v>3656</v>
      </c>
      <c r="D114" s="20" t="n">
        <v>3278</v>
      </c>
      <c r="E114" s="20" t="n">
        <v>3451</v>
      </c>
      <c r="F114" s="20" t="n">
        <v>2887</v>
      </c>
      <c r="G114" s="20" t="n">
        <v>3996</v>
      </c>
      <c r="H114" s="20" t="n">
        <v>5404</v>
      </c>
      <c r="I114" s="20" t="n">
        <v>4878</v>
      </c>
      <c r="J114" s="20" t="n">
        <v>2643</v>
      </c>
      <c r="K114" s="20" t="n">
        <v>3206</v>
      </c>
      <c r="L114" s="20" t="n">
        <v>2887</v>
      </c>
    </row>
    <row r="115">
      <c r="A115" s="18" t="inlineStr">
        <is>
          <t>전자기록채무</t>
        </is>
      </c>
      <c r="C115" s="20" t="n">
        <v>1166</v>
      </c>
      <c r="D115" s="20" t="n">
        <v>977</v>
      </c>
      <c r="E115" s="20" t="n">
        <v>972</v>
      </c>
      <c r="F115" s="20" t="n">
        <v>317</v>
      </c>
      <c r="G115" s="20" t="n">
        <v>314</v>
      </c>
      <c r="J115" s="20" t="n">
        <v>2058</v>
      </c>
      <c r="K115" s="20" t="n">
        <v>1005</v>
      </c>
      <c r="L115" s="20" t="n">
        <v>317</v>
      </c>
    </row>
    <row r="116">
      <c r="A116" s="18" t="inlineStr">
        <is>
          <t>단기차입금</t>
        </is>
      </c>
      <c r="C116" s="20" t="n">
        <v>7340</v>
      </c>
      <c r="D116" s="20" t="n">
        <v>7440</v>
      </c>
      <c r="E116" s="20" t="n">
        <v>6140</v>
      </c>
      <c r="F116" s="20" t="n">
        <v>6140</v>
      </c>
      <c r="G116" s="20" t="n">
        <v>7110</v>
      </c>
      <c r="H116" s="20" t="n">
        <v>5066</v>
      </c>
      <c r="I116" s="20" t="n">
        <v>6491</v>
      </c>
      <c r="J116" s="20" t="n">
        <v>5840</v>
      </c>
      <c r="K116" s="20" t="n">
        <v>7040</v>
      </c>
      <c r="L116" s="20" t="n">
        <v>6140</v>
      </c>
    </row>
    <row r="117">
      <c r="A117" s="18" t="inlineStr">
        <is>
          <t>리스부채</t>
        </is>
      </c>
      <c r="F117" s="20" t="n">
        <v>471</v>
      </c>
      <c r="H117" s="20" t="n">
        <v>407</v>
      </c>
      <c r="I117" s="20" t="n">
        <v>434</v>
      </c>
      <c r="J117" s="20" t="n">
        <v>504</v>
      </c>
      <c r="K117" s="20" t="n">
        <v>462</v>
      </c>
      <c r="L117" s="20" t="n">
        <v>471</v>
      </c>
    </row>
    <row r="118">
      <c r="A118" s="18" t="inlineStr">
        <is>
          <t>미지급금</t>
        </is>
      </c>
      <c r="C118" s="20" t="n">
        <v>2760</v>
      </c>
      <c r="D118" s="20" t="n">
        <v>1931</v>
      </c>
      <c r="E118" s="20" t="n">
        <v>2224</v>
      </c>
      <c r="F118" s="20" t="n">
        <v>2246</v>
      </c>
      <c r="G118" s="20" t="n">
        <v>2323</v>
      </c>
      <c r="H118" s="20" t="n">
        <v>1573</v>
      </c>
      <c r="I118" s="20" t="n">
        <v>1774</v>
      </c>
      <c r="J118" s="20" t="n">
        <v>1801</v>
      </c>
      <c r="K118" s="20" t="n">
        <v>2690</v>
      </c>
      <c r="L118" s="20" t="n">
        <v>2246</v>
      </c>
    </row>
    <row r="119">
      <c r="A119" s="18" t="inlineStr">
        <is>
          <t>미지급법인세</t>
        </is>
      </c>
      <c r="C119" s="20" t="n">
        <v>140</v>
      </c>
      <c r="D119" s="20" t="n">
        <v>180</v>
      </c>
      <c r="E119" s="20" t="n">
        <v>135</v>
      </c>
      <c r="F119" s="20" t="n">
        <v>209</v>
      </c>
      <c r="G119" s="20" t="n">
        <v>176</v>
      </c>
      <c r="H119" s="20" t="n">
        <v>303</v>
      </c>
      <c r="I119" s="20" t="n">
        <v>347</v>
      </c>
      <c r="J119" s="20" t="n">
        <v>270</v>
      </c>
      <c r="K119" s="20" t="n">
        <v>198</v>
      </c>
      <c r="L119" s="20" t="n">
        <v>209</v>
      </c>
    </row>
    <row r="120">
      <c r="A120" s="18" t="inlineStr">
        <is>
          <t>상여충당금</t>
        </is>
      </c>
      <c r="C120" s="20" t="n">
        <v>414</v>
      </c>
      <c r="D120" s="20" t="n">
        <v>759</v>
      </c>
      <c r="E120" s="20" t="n">
        <v>548</v>
      </c>
      <c r="F120" s="20" t="n">
        <v>628</v>
      </c>
      <c r="G120" s="20" t="n">
        <v>387</v>
      </c>
      <c r="H120" s="20" t="n">
        <v>745</v>
      </c>
      <c r="I120" s="20" t="n">
        <v>596</v>
      </c>
      <c r="J120" s="20" t="n">
        <v>572</v>
      </c>
      <c r="K120" s="20" t="n">
        <v>581</v>
      </c>
      <c r="L120" s="20" t="n">
        <v>628</v>
      </c>
    </row>
    <row r="121">
      <c r="A121" s="18" t="inlineStr">
        <is>
          <t>임원 상여충당금</t>
        </is>
      </c>
      <c r="C121" s="20" t="n">
        <v>0</v>
      </c>
      <c r="D121" s="20" t="n">
        <v>0</v>
      </c>
      <c r="E121" s="20" t="n">
        <v>0</v>
      </c>
      <c r="F121" s="20" t="n">
        <v>18</v>
      </c>
      <c r="G121" s="20" t="n">
        <v>0</v>
      </c>
      <c r="H121" s="20" t="n">
        <v>30</v>
      </c>
      <c r="I121" s="20" t="n">
        <v>26</v>
      </c>
      <c r="J121" s="20" t="n">
        <v>1</v>
      </c>
      <c r="K121" s="20" t="n">
        <v>3</v>
      </c>
      <c r="L121" s="20" t="n">
        <v>18</v>
      </c>
    </row>
    <row r="122">
      <c r="A122" s="18" t="inlineStr">
        <is>
          <t>Valuation Reserve For Inventory Purchase Commitments CL</t>
        </is>
      </c>
      <c r="C122" s="20" t="n">
        <v>6</v>
      </c>
      <c r="D122" s="20" t="n">
        <v>6</v>
      </c>
      <c r="E122" s="20" t="n">
        <v>0</v>
      </c>
      <c r="F122" s="20" t="n">
        <v>0</v>
      </c>
      <c r="I122" s="20" t="n">
        <v>0</v>
      </c>
      <c r="J122" s="20" t="n">
        <v>107</v>
      </c>
      <c r="K122" s="20" t="n">
        <v>6</v>
      </c>
      <c r="L122" s="20" t="n">
        <v>0</v>
      </c>
    </row>
    <row r="123">
      <c r="A123" s="18" t="inlineStr">
        <is>
          <t>기타</t>
        </is>
      </c>
      <c r="C123" s="20" t="n">
        <v>2108</v>
      </c>
      <c r="D123" s="20" t="n">
        <v>1990</v>
      </c>
      <c r="E123" s="20" t="n">
        <v>2118</v>
      </c>
      <c r="F123" s="20" t="n">
        <v>1967</v>
      </c>
      <c r="G123" s="20" t="n">
        <v>2102</v>
      </c>
      <c r="H123" s="20" t="n">
        <v>1648</v>
      </c>
      <c r="I123" s="20" t="n">
        <v>1645</v>
      </c>
      <c r="J123" s="20" t="n">
        <v>1571</v>
      </c>
      <c r="K123" s="20" t="n">
        <v>1452</v>
      </c>
      <c r="L123" s="20" t="n">
        <v>1967</v>
      </c>
    </row>
    <row r="124">
      <c r="A124" s="9" t="inlineStr">
        <is>
          <t>유동부채 합계</t>
        </is>
      </c>
      <c r="C124" s="12" t="n">
        <v>17594</v>
      </c>
      <c r="D124" s="12" t="n">
        <v>16565</v>
      </c>
      <c r="E124" s="12" t="n">
        <v>15591</v>
      </c>
      <c r="F124" s="12" t="n">
        <v>14417</v>
      </c>
      <c r="G124" s="12" t="n">
        <v>16410</v>
      </c>
      <c r="H124" s="12" t="n">
        <v>15178</v>
      </c>
      <c r="I124" s="12" t="n">
        <v>16193</v>
      </c>
      <c r="J124" s="12" t="n">
        <v>15371</v>
      </c>
      <c r="K124" s="12" t="n">
        <v>16647</v>
      </c>
      <c r="L124" s="12" t="n">
        <v>14417</v>
      </c>
    </row>
    <row r="125">
      <c r="A125" s="18" t="inlineStr">
        <is>
          <t>장기차입금</t>
        </is>
      </c>
      <c r="C125" s="20" t="n">
        <v>6942</v>
      </c>
      <c r="D125" s="20" t="n">
        <v>6511</v>
      </c>
      <c r="E125" s="20" t="n">
        <v>7672</v>
      </c>
      <c r="F125" s="20" t="n">
        <v>7141</v>
      </c>
      <c r="G125" s="20" t="n">
        <v>6832</v>
      </c>
      <c r="H125" s="20" t="n">
        <v>6214</v>
      </c>
      <c r="I125" s="20" t="n">
        <v>4863</v>
      </c>
      <c r="J125" s="20" t="n">
        <v>7022</v>
      </c>
      <c r="K125" s="20" t="n">
        <v>7282</v>
      </c>
      <c r="L125" s="20" t="n">
        <v>7141</v>
      </c>
    </row>
    <row r="126">
      <c r="A126" s="18" t="inlineStr">
        <is>
          <t>리스부채</t>
        </is>
      </c>
      <c r="F126" s="20" t="n">
        <v>460</v>
      </c>
      <c r="H126" s="20" t="n">
        <v>920</v>
      </c>
      <c r="I126" s="20" t="n">
        <v>1028</v>
      </c>
      <c r="J126" s="20" t="n">
        <v>997</v>
      </c>
      <c r="K126" s="20" t="n">
        <v>830</v>
      </c>
      <c r="L126" s="20" t="n">
        <v>460</v>
      </c>
    </row>
    <row r="127">
      <c r="A127" s="18" t="inlineStr">
        <is>
          <t>이연법인세부채</t>
        </is>
      </c>
      <c r="F127" s="20" t="n">
        <v>3347</v>
      </c>
      <c r="H127" s="20" t="n">
        <v>961</v>
      </c>
      <c r="I127" s="20" t="n">
        <v>1220</v>
      </c>
      <c r="J127" s="20" t="n">
        <v>2005</v>
      </c>
      <c r="K127" s="20" t="n">
        <v>2575</v>
      </c>
      <c r="L127" s="20" t="n">
        <v>3347</v>
      </c>
    </row>
    <row r="128">
      <c r="A128" s="18" t="inlineStr">
        <is>
          <t>임원 퇴직위로 충당금</t>
        </is>
      </c>
      <c r="C128" s="20" t="n">
        <v>128</v>
      </c>
      <c r="D128" s="20" t="n">
        <v>120</v>
      </c>
      <c r="E128" s="20" t="n">
        <v>123</v>
      </c>
      <c r="F128" s="20" t="n">
        <v>133</v>
      </c>
      <c r="G128" s="20" t="n">
        <v>134</v>
      </c>
      <c r="H128" s="20" t="n">
        <v>173</v>
      </c>
      <c r="I128" s="20" t="n">
        <v>131</v>
      </c>
      <c r="J128" s="20" t="n">
        <v>132</v>
      </c>
      <c r="K128" s="20" t="n">
        <v>124</v>
      </c>
      <c r="L128" s="20" t="n">
        <v>133</v>
      </c>
    </row>
    <row r="129">
      <c r="A129" s="18" t="inlineStr">
        <is>
          <t>퇴직급여부채</t>
        </is>
      </c>
      <c r="C129" s="20" t="n">
        <v>266</v>
      </c>
      <c r="D129" s="20" t="n">
        <v>283</v>
      </c>
      <c r="E129" s="20" t="n">
        <v>290</v>
      </c>
      <c r="F129" s="20" t="n">
        <v>362</v>
      </c>
      <c r="G129" s="20" t="n">
        <v>357</v>
      </c>
      <c r="H129" s="20" t="n">
        <v>39</v>
      </c>
      <c r="I129" s="20" t="n">
        <v>24</v>
      </c>
      <c r="J129" s="20" t="n">
        <v>37</v>
      </c>
      <c r="K129" s="20" t="n">
        <v>297</v>
      </c>
      <c r="L129" s="20" t="n">
        <v>362</v>
      </c>
    </row>
    <row r="130">
      <c r="A130" s="18" t="inlineStr">
        <is>
          <t>Provision For Share Based Remuneration For Directors And Other Officers NCL</t>
        </is>
      </c>
      <c r="C130" s="20" t="n">
        <v>32</v>
      </c>
      <c r="D130" s="20" t="n">
        <v>34</v>
      </c>
      <c r="E130" s="20" t="n">
        <v>41</v>
      </c>
      <c r="F130" s="20" t="n">
        <v>49</v>
      </c>
      <c r="G130" s="20" t="n">
        <v>55</v>
      </c>
      <c r="H130" s="20" t="n">
        <v>27</v>
      </c>
      <c r="I130" s="20" t="n">
        <v>29</v>
      </c>
      <c r="J130" s="20" t="n">
        <v>27</v>
      </c>
      <c r="K130" s="20" t="n">
        <v>24</v>
      </c>
      <c r="L130" s="20" t="n">
        <v>49</v>
      </c>
    </row>
    <row r="131">
      <c r="A131" s="18" t="inlineStr">
        <is>
          <t>기타</t>
        </is>
      </c>
      <c r="C131" s="20" t="n">
        <v>3863</v>
      </c>
      <c r="D131" s="20" t="n">
        <v>3693</v>
      </c>
      <c r="E131" s="20" t="n">
        <v>3782</v>
      </c>
      <c r="F131" s="20" t="n">
        <v>4365</v>
      </c>
      <c r="G131" s="20" t="n">
        <v>4365</v>
      </c>
      <c r="H131" s="20" t="n">
        <v>634</v>
      </c>
      <c r="I131" s="20" t="n">
        <v>598</v>
      </c>
      <c r="J131" s="20" t="n">
        <v>705</v>
      </c>
      <c r="K131" s="20" t="n">
        <v>679</v>
      </c>
      <c r="L131" s="20" t="n">
        <v>4365</v>
      </c>
    </row>
    <row r="132">
      <c r="A132" s="9" t="inlineStr">
        <is>
          <t>비유동부채 합계</t>
        </is>
      </c>
      <c r="C132" s="12" t="n">
        <v>11234</v>
      </c>
      <c r="D132" s="12" t="n">
        <v>10643</v>
      </c>
      <c r="E132" s="12" t="n">
        <v>11911</v>
      </c>
      <c r="F132" s="12" t="n">
        <v>12051</v>
      </c>
      <c r="G132" s="12" t="n">
        <v>11745</v>
      </c>
      <c r="H132" s="12" t="n">
        <v>8972</v>
      </c>
      <c r="I132" s="12" t="n">
        <v>7897</v>
      </c>
      <c r="J132" s="12" t="n">
        <v>10929</v>
      </c>
      <c r="K132" s="12" t="n">
        <v>11815</v>
      </c>
      <c r="L132" s="12" t="n">
        <v>12051</v>
      </c>
    </row>
    <row r="133">
      <c r="A133" s="9" t="inlineStr">
        <is>
          <t>부채 합계</t>
        </is>
      </c>
      <c r="C133" s="12" t="n">
        <v>28829</v>
      </c>
      <c r="D133" s="12" t="n">
        <v>27209</v>
      </c>
      <c r="E133" s="12" t="n">
        <v>27502</v>
      </c>
      <c r="F133" s="12" t="n">
        <v>26468</v>
      </c>
      <c r="G133" s="12" t="n">
        <v>28156</v>
      </c>
      <c r="H133" s="12" t="n">
        <v>24150</v>
      </c>
      <c r="I133" s="12" t="n">
        <v>24090</v>
      </c>
      <c r="J133" s="12" t="n">
        <v>26300</v>
      </c>
      <c r="K133" s="12" t="n">
        <v>28462</v>
      </c>
      <c r="L133" s="12" t="n">
        <v>26468</v>
      </c>
    </row>
    <row r="134">
      <c r="A134" s="18" t="inlineStr">
        <is>
          <t>자본금</t>
        </is>
      </c>
      <c r="C134" s="20" t="n">
        <v>7996</v>
      </c>
      <c r="D134" s="20" t="n">
        <v>7996</v>
      </c>
      <c r="E134" s="20" t="n">
        <v>7996</v>
      </c>
      <c r="F134" s="20" t="n">
        <v>7996</v>
      </c>
      <c r="G134" s="20" t="n">
        <v>7996</v>
      </c>
      <c r="H134" s="20" t="n">
        <v>7996</v>
      </c>
      <c r="I134" s="20" t="n">
        <v>7996</v>
      </c>
      <c r="J134" s="20" t="n">
        <v>7996</v>
      </c>
      <c r="K134" s="20" t="n">
        <v>7996</v>
      </c>
      <c r="L134" s="20" t="n">
        <v>7996</v>
      </c>
    </row>
    <row r="135">
      <c r="A135" s="18" t="inlineStr">
        <is>
          <t>자본잉여금</t>
        </is>
      </c>
      <c r="C135" s="20" t="n">
        <v>12057</v>
      </c>
      <c r="D135" s="20" t="n">
        <v>12057</v>
      </c>
      <c r="E135" s="20" t="n">
        <v>12057</v>
      </c>
      <c r="F135" s="20" t="n">
        <v>12057</v>
      </c>
      <c r="G135" s="20" t="n">
        <v>12057</v>
      </c>
      <c r="H135" s="20" t="n">
        <v>12057</v>
      </c>
      <c r="I135" s="20" t="n">
        <v>12057</v>
      </c>
      <c r="J135" s="20" t="n">
        <v>12057</v>
      </c>
      <c r="K135" s="20" t="n">
        <v>12057</v>
      </c>
      <c r="L135" s="20" t="n">
        <v>12057</v>
      </c>
    </row>
    <row r="136">
      <c r="A136" s="18" t="inlineStr">
        <is>
          <t>이익잉여금</t>
        </is>
      </c>
      <c r="C136" s="20" t="n">
        <v>9504</v>
      </c>
      <c r="D136" s="20" t="n">
        <v>9963</v>
      </c>
      <c r="E136" s="20" t="n">
        <v>10577</v>
      </c>
      <c r="F136" s="20" t="n">
        <v>9894</v>
      </c>
      <c r="G136" s="20" t="n">
        <v>9731</v>
      </c>
      <c r="H136" s="20" t="n">
        <v>15925</v>
      </c>
      <c r="I136" s="20" t="n">
        <v>14730</v>
      </c>
      <c r="J136" s="20" t="n">
        <v>13253</v>
      </c>
      <c r="K136" s="20" t="n">
        <v>10731</v>
      </c>
      <c r="L136" s="20" t="n">
        <v>9894</v>
      </c>
    </row>
    <row r="137">
      <c r="A137" s="18" t="inlineStr">
        <is>
          <t>자기주식</t>
        </is>
      </c>
      <c r="C137" s="20" t="n">
        <v>-3032</v>
      </c>
      <c r="D137" s="20" t="n">
        <v>-3028</v>
      </c>
      <c r="E137" s="20" t="n">
        <v>-3029</v>
      </c>
      <c r="F137" s="20" t="n">
        <v>-3030</v>
      </c>
      <c r="G137" s="20" t="n">
        <v>-3030</v>
      </c>
      <c r="H137" s="20" t="n">
        <v>-4876</v>
      </c>
      <c r="I137" s="20" t="n">
        <v>-2531</v>
      </c>
      <c r="J137" s="20" t="n">
        <v>-3030</v>
      </c>
      <c r="K137" s="20" t="n">
        <v>-3032</v>
      </c>
      <c r="L137" s="20" t="n">
        <v>-3030</v>
      </c>
    </row>
    <row r="138">
      <c r="A138" s="9" t="inlineStr">
        <is>
          <t>주주자본 합계</t>
        </is>
      </c>
      <c r="C138" s="12" t="n">
        <v>26525</v>
      </c>
      <c r="D138" s="12" t="n">
        <v>26988</v>
      </c>
      <c r="E138" s="12" t="n">
        <v>27601</v>
      </c>
      <c r="F138" s="12" t="n">
        <v>26918</v>
      </c>
      <c r="G138" s="12" t="n">
        <v>26754</v>
      </c>
      <c r="H138" s="12" t="n">
        <v>31102</v>
      </c>
      <c r="I138" s="12" t="n">
        <v>32252</v>
      </c>
      <c r="J138" s="12" t="n">
        <v>30276</v>
      </c>
      <c r="K138" s="12" t="n">
        <v>27752</v>
      </c>
      <c r="L138" s="12" t="n">
        <v>26918</v>
      </c>
    </row>
    <row r="139">
      <c r="A139" s="18" t="inlineStr">
        <is>
          <t>기타유가증권 평가차액</t>
        </is>
      </c>
      <c r="C139" s="20" t="n">
        <v>1018</v>
      </c>
      <c r="D139" s="20" t="n">
        <v>1295</v>
      </c>
      <c r="E139" s="20" t="n">
        <v>1445</v>
      </c>
      <c r="F139" s="20" t="n">
        <v>1545</v>
      </c>
      <c r="G139" s="20" t="n">
        <v>1638</v>
      </c>
      <c r="H139" s="20" t="n">
        <v>425</v>
      </c>
      <c r="I139" s="20" t="n">
        <v>773</v>
      </c>
      <c r="J139" s="20" t="n">
        <v>1159</v>
      </c>
      <c r="K139" s="20" t="n">
        <v>969</v>
      </c>
      <c r="L139" s="20" t="n">
        <v>1545</v>
      </c>
    </row>
    <row r="140">
      <c r="A140" s="18" t="inlineStr">
        <is>
          <t>이연헤지손익</t>
        </is>
      </c>
      <c r="C140" s="20" t="n">
        <v>9</v>
      </c>
      <c r="D140" s="20" t="n">
        <v>38</v>
      </c>
      <c r="E140" s="20" t="n">
        <v>69</v>
      </c>
      <c r="F140" s="20" t="n">
        <v>96</v>
      </c>
      <c r="G140" s="20" t="n">
        <v>100</v>
      </c>
      <c r="H140" s="20" t="n">
        <v>-2</v>
      </c>
      <c r="I140" s="20" t="n">
        <v>0</v>
      </c>
      <c r="J140" s="20" t="n">
        <v>-70</v>
      </c>
      <c r="K140" s="20" t="n">
        <v>16</v>
      </c>
      <c r="L140" s="20" t="n">
        <v>96</v>
      </c>
    </row>
    <row r="141">
      <c r="A141" s="18" t="inlineStr">
        <is>
          <t>해외사업환산조정</t>
        </is>
      </c>
      <c r="C141" s="20" t="n">
        <v>-777</v>
      </c>
      <c r="D141" s="20" t="n">
        <v>-376</v>
      </c>
      <c r="E141" s="20" t="n">
        <v>378</v>
      </c>
      <c r="F141" s="20" t="n">
        <v>643</v>
      </c>
      <c r="G141" s="20" t="n">
        <v>977</v>
      </c>
      <c r="H141" s="20" t="n">
        <v>-1404</v>
      </c>
      <c r="I141" s="20" t="n">
        <v>-1149</v>
      </c>
      <c r="J141" s="20" t="n">
        <v>-497</v>
      </c>
      <c r="K141" s="20" t="n">
        <v>-812</v>
      </c>
      <c r="L141" s="20" t="n">
        <v>643</v>
      </c>
    </row>
    <row r="142">
      <c r="A142" s="18" t="inlineStr">
        <is>
          <t>퇴직급여 조정누계액</t>
        </is>
      </c>
      <c r="C142" s="20" t="n">
        <v>1190</v>
      </c>
      <c r="D142" s="20" t="n">
        <v>1088</v>
      </c>
      <c r="E142" s="20" t="n">
        <v>985</v>
      </c>
      <c r="F142" s="20" t="n">
        <v>1952</v>
      </c>
      <c r="G142" s="20" t="n">
        <v>1827</v>
      </c>
      <c r="H142" s="20" t="n">
        <v>520</v>
      </c>
      <c r="I142" s="20" t="n">
        <v>397</v>
      </c>
      <c r="J142" s="20" t="n">
        <v>1274</v>
      </c>
      <c r="K142" s="20" t="n">
        <v>1296</v>
      </c>
      <c r="L142" s="20" t="n">
        <v>1952</v>
      </c>
    </row>
    <row r="143">
      <c r="A143" s="18" t="inlineStr">
        <is>
          <t>기타포괄손익누계액 합계</t>
        </is>
      </c>
      <c r="C143" s="20" t="n">
        <v>1440</v>
      </c>
      <c r="D143" s="20" t="n">
        <v>2044</v>
      </c>
      <c r="E143" s="20" t="n">
        <v>2879</v>
      </c>
      <c r="F143" s="20" t="n">
        <v>4238</v>
      </c>
      <c r="G143" s="20" t="n">
        <v>4543</v>
      </c>
      <c r="H143" s="20" t="n">
        <v>-459</v>
      </c>
      <c r="I143" s="20" t="n">
        <v>21</v>
      </c>
      <c r="J143" s="20" t="n">
        <v>1866</v>
      </c>
      <c r="K143" s="20" t="n">
        <v>1469</v>
      </c>
      <c r="L143" s="20" t="n">
        <v>4238</v>
      </c>
    </row>
    <row r="144">
      <c r="A144" s="9" t="inlineStr">
        <is>
          <t>순자산 합계</t>
        </is>
      </c>
      <c r="C144" s="12" t="n">
        <v>27965</v>
      </c>
      <c r="D144" s="12" t="n">
        <v>29033</v>
      </c>
      <c r="E144" s="12" t="n">
        <v>30481</v>
      </c>
      <c r="F144" s="12" t="n">
        <v>31156</v>
      </c>
      <c r="G144" s="12" t="n">
        <v>31298</v>
      </c>
      <c r="H144" s="12" t="n">
        <v>30643</v>
      </c>
      <c r="I144" s="12" t="n">
        <v>32274</v>
      </c>
      <c r="J144" s="12" t="n">
        <v>32143</v>
      </c>
      <c r="K144" s="12" t="n">
        <v>29221</v>
      </c>
      <c r="L144" s="12" t="n">
        <v>31156</v>
      </c>
    </row>
    <row r="145">
      <c r="A145" s="9" t="inlineStr">
        <is>
          <t>부채·순자산 합계</t>
        </is>
      </c>
      <c r="C145" s="12" t="n">
        <v>56795</v>
      </c>
      <c r="D145" s="12" t="n">
        <v>56243</v>
      </c>
      <c r="E145" s="12" t="n">
        <v>57983</v>
      </c>
      <c r="F145" s="12" t="n">
        <v>57625</v>
      </c>
      <c r="G145" s="12" t="n">
        <v>59454</v>
      </c>
      <c r="H145" s="12" t="n">
        <v>54794</v>
      </c>
      <c r="I145" s="12" t="n">
        <v>56365</v>
      </c>
      <c r="J145" s="12" t="n">
        <v>58444</v>
      </c>
      <c r="K145" s="12" t="n">
        <v>57684</v>
      </c>
      <c r="L145" s="12" t="n">
        <v>57625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2026-07-28</t>
        </is>
      </c>
      <c r="B4" t="inlineStr">
        <is>
          <t>2027년 3월 결산기 １분기 결산단신</t>
        </is>
      </c>
      <c r="C4" t="inlineStr">
        <is>
          <t>https://www2.jpx.co.jp/disc/67980/140120260724599534.pdf</t>
        </is>
      </c>
    </row>
    <row r="5">
      <c r="A5" t="inlineStr">
        <is>
          <t>2026-05-12</t>
        </is>
      </c>
      <c r="B5" t="inlineStr">
        <is>
          <t>2026년 3월 결산기 연간 결산단신</t>
        </is>
      </c>
      <c r="C5" t="inlineStr">
        <is>
          <t>https://www2.jpx.co.jp/disc/67980/140120260501516915.pdf</t>
        </is>
      </c>
    </row>
    <row r="6">
      <c r="A6" t="inlineStr">
        <is>
          <t>2026-01-27</t>
        </is>
      </c>
      <c r="B6" t="inlineStr">
        <is>
          <t>2026년 3월 결산기 ３분기 결산단신</t>
        </is>
      </c>
      <c r="C6" t="inlineStr">
        <is>
          <t>https://www2.jpx.co.jp/disc/67980/140120260126538375.pdf</t>
        </is>
      </c>
    </row>
    <row r="7">
      <c r="A7" t="inlineStr">
        <is>
          <t>2025-10-28</t>
        </is>
      </c>
      <c r="B7" t="inlineStr">
        <is>
          <t>2026년 3월 결산기 ２분기 결산단신</t>
        </is>
      </c>
      <c r="C7" t="inlineStr">
        <is>
          <t>https://www2.jpx.co.jp/disc/67980/140120251027579121.pdf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https://www2.jpx.co.jp/disc/67980/140120250728521184.pdf</t>
        </is>
      </c>
    </row>
    <row r="9">
      <c r="A9" t="inlineStr">
        <is>
          <t>2025-05-08</t>
        </is>
      </c>
      <c r="B9" t="inlineStr">
        <is>
          <t>2025년 3월 결산기 연간 결산단신</t>
        </is>
      </c>
      <c r="C9" t="inlineStr">
        <is>
          <t>https://www2.jpx.co.jp/disc/67980/140120250507533106.pdf</t>
        </is>
      </c>
    </row>
    <row r="10">
      <c r="A10" t="inlineStr">
        <is>
          <t>2025-01-28</t>
        </is>
      </c>
      <c r="B10" t="inlineStr">
        <is>
          <t>2025년 3월 결산기 ３분기 결산단신</t>
        </is>
      </c>
      <c r="C10" t="inlineStr">
        <is>
          <t>https://www2.jpx.co.jp/disc/67980/140120250127555819.pdf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https://www2.jpx.co.jp/disc/67980/140120241028503882.pdf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https://www2.jpx.co.jp/disc/67980/140120240730557892.pdf</t>
        </is>
      </c>
    </row>
    <row r="13">
      <c r="A13" t="inlineStr">
        <is>
          <t>2024-05-09</t>
        </is>
      </c>
      <c r="B13" t="inlineStr">
        <is>
          <t>2024년 3월 결산기 연간 결산단신</t>
        </is>
      </c>
      <c r="C13" t="inlineStr">
        <is>
          <t>https://www2.jpx.co.jp/disc/67980/140120240508585179.pdf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https://www2.jpx.co.jp/disc/67980/140120240129521032.pdf</t>
        </is>
      </c>
    </row>
    <row r="15">
      <c r="A15" t="inlineStr">
        <is>
          <t>2023-10-25</t>
        </is>
      </c>
      <c r="B15" t="inlineStr">
        <is>
          <t>2024년 3월 결산기 ２분기 결산단신</t>
        </is>
      </c>
      <c r="C15" t="inlineStr">
        <is>
          <t>https://www2.jpx.co.jp/disc/67980/140120231024570459.pdf</t>
        </is>
      </c>
    </row>
    <row r="16">
      <c r="A16" t="inlineStr">
        <is>
          <t>2023-07-26</t>
        </is>
      </c>
      <c r="B16" t="inlineStr">
        <is>
          <t>2024년 3월 결산기 １분기 결산단신</t>
        </is>
      </c>
      <c r="C16" t="inlineStr">
        <is>
          <t>https://www2.jpx.co.jp/disc/67980/140120230725526294.pdf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https://www2.jpx.co.jp/disc/67980/140120230427555060.pdf</t>
        </is>
      </c>
    </row>
    <row r="18">
      <c r="A18" t="inlineStr">
        <is>
          <t>2023-01-27</t>
        </is>
      </c>
      <c r="B18" t="inlineStr">
        <is>
          <t>2023년 3월 결산기 ３분기 결산단신</t>
        </is>
      </c>
      <c r="C18" t="inlineStr">
        <is>
          <t>https://www2.jpx.co.jp/disc/67980/140120230126594382.pdf</t>
        </is>
      </c>
    </row>
    <row r="19">
      <c r="A19" t="inlineStr">
        <is>
          <t>2022-10-25</t>
        </is>
      </c>
      <c r="B19" t="inlineStr">
        <is>
          <t>2023년 3월 결산기 ２분기 결산단신</t>
        </is>
      </c>
      <c r="C19" t="inlineStr">
        <is>
          <t>https://www2.jpx.co.jp/disc/67980/140120221020547165.pdf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https://www2.jpx.co.jp/disc/67980/140120220428530734.pdf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https://www2.jpx.co.jp/disc/67980/140120210427400733.pdf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https://www2.jpx.co.jp/disc/67980/140120200514415148.pdf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https://www2.jpx.co.jp/disc/67980/140120190326495578.pdf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https://www2.jpx.co.jp/disc/67980/140120180327498601.pdf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2026-10-26T10:58:00Z</dcterms:created>
  <dcterms:modified xmlns:dcterms="http://purl.org/dc/terms/" xmlns:xsi="http://www.w3.org/2001/XMLSchema-instance" xsi:type="dcterms:W3CDTF">2026-10-26T10:58:00Z</dcterms:modified>
</cp:coreProperties>
</file>