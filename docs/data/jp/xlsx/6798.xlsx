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6798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12037</v>
      </c>
      <c r="D4" s="12" t="n">
        <v>11168</v>
      </c>
      <c r="E4" s="12" t="n">
        <v>12279</v>
      </c>
      <c r="F4" s="12" t="n">
        <v>11726</v>
      </c>
      <c r="G4" s="12" t="n">
        <v>11888</v>
      </c>
      <c r="H4" s="12" t="n">
        <v>11016</v>
      </c>
      <c r="I4" s="12" t="n">
        <v>13421</v>
      </c>
      <c r="J4" s="12" t="n">
        <v>11029</v>
      </c>
      <c r="K4" s="12" t="n">
        <v>12123</v>
      </c>
      <c r="L4" s="12" t="n">
        <v>12035</v>
      </c>
      <c r="M4" s="12" t="n">
        <v>13017</v>
      </c>
      <c r="N4" s="12" t="n">
        <v>11472</v>
      </c>
      <c r="O4" s="11" t="n">
        <v>62971</v>
      </c>
      <c r="P4" s="12" t="n">
        <v>59786</v>
      </c>
      <c r="Q4" s="12" t="n">
        <v>57386</v>
      </c>
      <c r="R4" s="12" t="n">
        <v>54161</v>
      </c>
      <c r="S4" s="12" t="n">
        <v>48560</v>
      </c>
      <c r="T4" s="12" t="n">
        <v>48243</v>
      </c>
      <c r="U4" s="12" t="n">
        <v>54842</v>
      </c>
      <c r="V4" s="12" t="n">
        <v>46522</v>
      </c>
      <c r="W4" s="12" t="n">
        <v>48051</v>
      </c>
      <c r="X4" s="12" t="n">
        <v>48204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CSReportableSegmentsMember</t>
        </is>
      </c>
      <c r="B7" s="10" t="n"/>
      <c r="C7" s="19" t="n">
        <v>5629</v>
      </c>
      <c r="D7" s="20" t="n">
        <v>5073</v>
      </c>
      <c r="E7" s="20" t="n">
        <v>5164</v>
      </c>
      <c r="F7" s="20" t="n">
        <v>5717</v>
      </c>
      <c r="G7" s="20" t="n">
        <v>5802</v>
      </c>
      <c r="H7" s="20" t="n">
        <v>5322</v>
      </c>
      <c r="I7" s="20" t="n">
        <v>5315</v>
      </c>
      <c r="J7" s="20" t="n">
        <v>5207</v>
      </c>
      <c r="K7" s="20" t="n">
        <v>5884</v>
      </c>
      <c r="L7" s="20" t="n">
        <v>5812</v>
      </c>
      <c r="M7" s="20" t="n">
        <v>5617</v>
      </c>
      <c r="N7" s="20" t="n">
        <v>5877</v>
      </c>
      <c r="O7" s="19" t="n"/>
      <c r="P7" s="20" t="n"/>
      <c r="Q7" s="20" t="n"/>
      <c r="R7" s="20" t="n"/>
      <c r="S7" s="20" t="n"/>
      <c r="T7" s="20" t="n"/>
      <c r="U7" s="20" t="n"/>
      <c r="V7" s="20" t="n">
        <v>20586</v>
      </c>
      <c r="W7" s="20" t="n">
        <v>22156</v>
      </c>
      <c r="X7" s="20" t="n">
        <v>22520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SCIReportableSegmentMember</t>
        </is>
      </c>
      <c r="B10" s="10" t="n"/>
      <c r="C10" s="19" t="n">
        <v>6298</v>
      </c>
      <c r="D10" s="20" t="n">
        <v>6027</v>
      </c>
      <c r="E10" s="20" t="n">
        <v>6999</v>
      </c>
      <c r="F10" s="20" t="n">
        <v>5944</v>
      </c>
      <c r="G10" s="20" t="n">
        <v>6038</v>
      </c>
      <c r="H10" s="20" t="n">
        <v>5642</v>
      </c>
      <c r="I10" s="20" t="n">
        <v>8019</v>
      </c>
      <c r="J10" s="20" t="n">
        <v>5801</v>
      </c>
      <c r="K10" s="20" t="n">
        <v>6238</v>
      </c>
      <c r="L10" s="20" t="n">
        <v>6222</v>
      </c>
      <c r="M10" s="20" t="n">
        <v>7360</v>
      </c>
      <c r="N10" s="20" t="n">
        <v>5592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25541</v>
      </c>
      <c r="W10" s="20" t="n">
        <v>25643</v>
      </c>
      <c r="X10" s="20" t="n">
        <v>25621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RDCenterReportableSegmentsMember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RandDCenterReportableSegmentsMember</t>
        </is>
      </c>
      <c r="B16" s="10" t="n"/>
      <c r="C16" s="19" t="n">
        <v>110</v>
      </c>
      <c r="D16" s="20" t="n"/>
      <c r="E16" s="20" t="n"/>
      <c r="F16" s="20" t="n">
        <v>64</v>
      </c>
      <c r="G16" s="20" t="n">
        <v>49</v>
      </c>
      <c r="H16" s="20" t="n"/>
      <c r="I16" s="20" t="n"/>
      <c r="J16" s="20" t="n">
        <v>20</v>
      </c>
      <c r="K16" s="20" t="n">
        <v>1</v>
      </c>
      <c r="L16" s="20" t="n"/>
      <c r="M16" s="20" t="n"/>
      <c r="N16" s="20" t="n">
        <v>2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394</v>
      </c>
      <c r="W16" s="20" t="n">
        <v>251</v>
      </c>
      <c r="X16" s="20" t="n">
        <v>62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기타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0</v>
      </c>
      <c r="W19" s="20" t="n">
        <v>0</v>
      </c>
      <c r="X19" s="20" t="n">
        <v>0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EntityTotalMember</t>
        </is>
      </c>
      <c r="B22" s="10" t="n"/>
      <c r="C22" s="19" t="n"/>
      <c r="D22" s="20" t="n"/>
      <c r="E22" s="20" t="n"/>
      <c r="F22" s="20" t="n">
        <v>11726</v>
      </c>
      <c r="G22" s="20" t="n"/>
      <c r="H22" s="20" t="n"/>
      <c r="I22" s="20" t="n"/>
      <c r="J22" s="20" t="n">
        <v>11029</v>
      </c>
      <c r="K22" s="20" t="n"/>
      <c r="L22" s="20" t="n"/>
      <c r="M22" s="20" t="n"/>
      <c r="N22" s="20" t="n">
        <v>11472</v>
      </c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9728</v>
      </c>
      <c r="D26" s="20" t="n">
        <v>9326</v>
      </c>
      <c r="E26" s="20" t="n">
        <v>10767</v>
      </c>
      <c r="F26" s="20" t="n">
        <v>9477</v>
      </c>
      <c r="G26" s="20" t="n">
        <v>9478</v>
      </c>
      <c r="H26" s="20" t="n">
        <v>8759</v>
      </c>
      <c r="I26" s="20" t="n">
        <v>11086</v>
      </c>
      <c r="J26" s="20" t="n">
        <v>9095</v>
      </c>
      <c r="K26" s="20" t="n">
        <v>9686</v>
      </c>
      <c r="L26" s="20" t="n">
        <v>9208</v>
      </c>
      <c r="M26" s="20" t="n">
        <v>10804</v>
      </c>
      <c r="N26" s="20" t="n">
        <v>9193</v>
      </c>
      <c r="O26" s="19" t="n">
        <v>52211</v>
      </c>
      <c r="P26" s="20" t="n">
        <v>49429</v>
      </c>
      <c r="Q26" s="20" t="n">
        <v>49962</v>
      </c>
      <c r="R26" s="20" t="n">
        <v>46437</v>
      </c>
      <c r="S26" s="20" t="n">
        <v>40119</v>
      </c>
      <c r="T26" s="20" t="n">
        <v>40169</v>
      </c>
      <c r="U26" s="20" t="n">
        <v>45231</v>
      </c>
      <c r="V26" s="20" t="n">
        <v>39094</v>
      </c>
      <c r="W26" s="20" t="n">
        <v>38800</v>
      </c>
      <c r="X26" s="20" t="n">
        <v>38793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18" t="inlineStr">
        <is>
          <t>매출총이익</t>
        </is>
      </c>
      <c r="B28" s="10" t="n"/>
      <c r="C28" s="19">
        <f>IF(OR(C4="",C26=""),"",IFERROR(C4-C26,""))</f>
        <v/>
      </c>
      <c r="D28" s="20">
        <f>IF(OR(D4="",D26=""),"",IFERROR(D4-D26,""))</f>
        <v/>
      </c>
      <c r="E28" s="20">
        <f>IF(OR(E4="",E26=""),"",IFERROR(E4-E26,""))</f>
        <v/>
      </c>
      <c r="F28" s="20">
        <f>IF(OR(F4="",F26=""),"",IFERROR(F4-F26,""))</f>
        <v/>
      </c>
      <c r="G28" s="20">
        <f>IF(OR(G4="",G26=""),"",IFERROR(G4-G26,""))</f>
        <v/>
      </c>
      <c r="H28" s="20">
        <f>IF(OR(H4="",H26=""),"",IFERROR(H4-H26,""))</f>
        <v/>
      </c>
      <c r="I28" s="20">
        <f>IF(OR(I4="",I26=""),"",IFERROR(I4-I26,""))</f>
        <v/>
      </c>
      <c r="J28" s="20">
        <f>IF(OR(J4="",J26=""),"",IFERROR(J4-J26,""))</f>
        <v/>
      </c>
      <c r="K28" s="20">
        <f>IF(OR(K4="",K26=""),"",IFERROR(K4-K26,""))</f>
        <v/>
      </c>
      <c r="L28" s="20">
        <f>IF(OR(L4="",L26=""),"",IFERROR(L4-L26,""))</f>
        <v/>
      </c>
      <c r="M28" s="20">
        <f>IF(OR(M4="",M26=""),"",IFERROR(M4-M26,""))</f>
        <v/>
      </c>
      <c r="N28" s="20">
        <f>IF(OR(N4="",N26=""),"",IFERROR(N4-N26,""))</f>
        <v/>
      </c>
      <c r="O28" s="19">
        <f>IF(OR(O4="",O26=""),"",IFERROR(O4-O26,""))</f>
        <v/>
      </c>
      <c r="P28" s="20">
        <f>IF(OR(P4="",P26=""),"",IFERROR(P4-P26,""))</f>
        <v/>
      </c>
      <c r="Q28" s="20">
        <f>IF(OR(Q4="",Q26=""),"",IFERROR(Q4-Q26,""))</f>
        <v/>
      </c>
      <c r="R28" s="20">
        <f>IF(OR(R4="",R26=""),"",IFERROR(R4-R26,""))</f>
        <v/>
      </c>
      <c r="S28" s="20">
        <f>IF(OR(S4="",S26=""),"",IFERROR(S4-S26,""))</f>
        <v/>
      </c>
      <c r="T28" s="20">
        <f>IF(OR(T4="",T26=""),"",IFERROR(T4-T26,""))</f>
        <v/>
      </c>
      <c r="U28" s="20">
        <f>IF(OR(U4="",U26=""),"",IFERROR(U4-U26,""))</f>
        <v/>
      </c>
      <c r="V28" s="20">
        <f>IF(OR(V4="",V26=""),"",IFERROR(V4-V26,""))</f>
        <v/>
      </c>
      <c r="W28" s="20">
        <f>IF(OR(W4="",W26=""),"",IFERROR(W4-W26,""))</f>
        <v/>
      </c>
      <c r="X28" s="20">
        <f>IF(OR(X4="",X26=""),"",IFERROR(X4-X26,""))</f>
        <v/>
      </c>
      <c r="Y28" s="19" t="n"/>
      <c r="Z28" s="20" t="n"/>
      <c r="AA28" s="20" t="n"/>
      <c r="AB28" s="20" t="n"/>
      <c r="AC28" s="20" t="n"/>
    </row>
    <row r="29">
      <c r="A29" s="13" t="inlineStr">
        <is>
          <t>GPM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IF(OR(G28="",C28=""),"",IF(C28&lt;=0,"",IFERROR(G28/C28-1,"")))</f>
        <v/>
      </c>
      <c r="H30" s="15">
        <f>IF(OR(H28="",D28=""),"",IF(D28&lt;=0,"",IFERROR(H28/D28-1,"")))</f>
        <v/>
      </c>
      <c r="I30" s="15">
        <f>IF(OR(I28="",E28=""),"",IF(E28&lt;=0,"",IFERROR(I28/E28-1,"")))</f>
        <v/>
      </c>
      <c r="J30" s="15">
        <f>IF(OR(J28="",F28=""),"",IF(F28&lt;=0,"",IFERROR(J28/F28-1,"")))</f>
        <v/>
      </c>
      <c r="K30" s="15">
        <f>IF(OR(K28="",G28=""),"",IF(G28&lt;=0,"",IFERROR(K28/G28-1,"")))</f>
        <v/>
      </c>
      <c r="L30" s="15">
        <f>IF(OR(L28="",H28=""),"",IF(H28&lt;=0,"",IFERROR(L28/H28-1,"")))</f>
        <v/>
      </c>
      <c r="M30" s="15">
        <f>IF(OR(M28="",I28=""),"",IF(I28&lt;=0,"",IFERROR(M28/I28-1,"")))</f>
        <v/>
      </c>
      <c r="N30" s="15">
        <f>IF(OR(N28="",J28=""),"",IF(J28&lt;=0,"",IFERROR(N28/J28-1,"")))</f>
        <v/>
      </c>
      <c r="O30" s="14" t="n"/>
      <c r="P30" s="15">
        <f>IF(OR(P28="",O28=""),"",IF(O28&lt;=0,"",IFERROR(P28/O28-1,"")))</f>
        <v/>
      </c>
      <c r="Q30" s="15">
        <f>IF(OR(Q28="",P28=""),"",IF(P28&lt;=0,"",IFERROR(Q28/P28-1,"")))</f>
        <v/>
      </c>
      <c r="R30" s="15">
        <f>IF(OR(R28="",Q28=""),"",IF(Q28&lt;=0,"",IFERROR(R28/Q28-1,"")))</f>
        <v/>
      </c>
      <c r="S30" s="15">
        <f>IF(OR(S28="",R28=""),"",IF(R28&lt;=0,"",IFERROR(S28/R28-1,"")))</f>
        <v/>
      </c>
      <c r="T30" s="15">
        <f>IF(OR(T28="",S28=""),"",IF(S28&lt;=0,"",IFERROR(T28/S28-1,"")))</f>
        <v/>
      </c>
      <c r="U30" s="15">
        <f>IF(OR(U28="",T28=""),"",IF(T28&lt;=0,"",IFERROR(U28/T28-1,"")))</f>
        <v/>
      </c>
      <c r="V30" s="15">
        <f>IF(OR(V28="",U28=""),"",IF(U28&lt;=0,"",IFERROR(V28/U28-1,"")))</f>
        <v/>
      </c>
      <c r="W30" s="15">
        <f>IF(OR(W28="",V28=""),"",IF(V28&lt;=0,"",IFERROR(W28/V28-1,"")))</f>
        <v/>
      </c>
      <c r="X30" s="15">
        <f>IF(OR(X28="",W28=""),"",IF(W28&lt;=0,"",IFERROR(X28/W28-1,"")))</f>
        <v/>
      </c>
      <c r="Y30" s="14">
        <f>IF(OR(Y28="",X28=""),"",IF(X28&lt;=0,"",IFERROR(Y28/X28-1,"")))</f>
        <v/>
      </c>
      <c r="Z30" s="15">
        <f>IF(OR(Z28="",Y28=""),"",IF(Y28&lt;=0,"",IFERROR(Z28/Y28-1,"")))</f>
        <v/>
      </c>
      <c r="AA30" s="15">
        <f>IF(OR(AA28="",Z28=""),"",IF(Z28&lt;=0,"",IFERROR(AA28/Z28-1,"")))</f>
        <v/>
      </c>
      <c r="AB30" s="15">
        <f>IF(OR(AB28="",AA28=""),"",IF(AA28&lt;=0,"",IFERROR(AB28/AA28-1,"")))</f>
        <v/>
      </c>
      <c r="AC30" s="15">
        <f>IF(OR(AC28="",AB28=""),"",IF(AB28&lt;=0,"",IFERROR(AC28/AB28-1,"")))</f>
        <v/>
      </c>
    </row>
    <row r="31">
      <c r="A31" s="23" t="inlineStr">
        <is>
          <t>판매관리비</t>
        </is>
      </c>
      <c r="B31" s="23" t="n"/>
      <c r="C31" s="24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4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4" t="n"/>
      <c r="Z31" s="23" t="n"/>
      <c r="AA31" s="23" t="n"/>
      <c r="AB31" s="23" t="n"/>
      <c r="AC31" s="23" t="n"/>
    </row>
    <row r="32">
      <c r="A32" s="18" t="inlineStr">
        <is>
          <t>전체 판관비</t>
        </is>
      </c>
      <c r="B32" s="10" t="n"/>
      <c r="C32" s="19" t="n">
        <v>2101</v>
      </c>
      <c r="D32" s="20" t="n">
        <v>2220</v>
      </c>
      <c r="E32" s="20" t="n">
        <v>2200</v>
      </c>
      <c r="F32" s="20" t="n">
        <v>2312</v>
      </c>
      <c r="G32" s="20" t="n">
        <v>2238</v>
      </c>
      <c r="H32" s="20" t="n">
        <v>2441</v>
      </c>
      <c r="I32" s="20" t="n">
        <v>2479</v>
      </c>
      <c r="J32" s="20" t="n">
        <v>2214</v>
      </c>
      <c r="K32" s="20" t="n">
        <v>2274</v>
      </c>
      <c r="L32" s="20" t="n">
        <v>2237</v>
      </c>
      <c r="M32" s="20" t="n">
        <v>2255</v>
      </c>
      <c r="N32" s="20" t="n">
        <v>2271</v>
      </c>
      <c r="O32" s="19" t="n">
        <v>10130</v>
      </c>
      <c r="P32" s="20" t="n">
        <v>9871</v>
      </c>
      <c r="Q32" s="20" t="n">
        <v>9258</v>
      </c>
      <c r="R32" s="20" t="n">
        <v>7968</v>
      </c>
      <c r="S32" s="20" t="n">
        <v>7370</v>
      </c>
      <c r="T32" s="20" t="n">
        <v>7369</v>
      </c>
      <c r="U32" s="20" t="n">
        <v>8483</v>
      </c>
      <c r="V32" s="20" t="n">
        <v>8671</v>
      </c>
      <c r="W32" s="20" t="n">
        <v>9470</v>
      </c>
      <c r="X32" s="20" t="n">
        <v>8980</v>
      </c>
      <c r="Y32" s="19" t="n"/>
      <c r="Z32" s="20" t="n"/>
      <c r="AA32" s="20" t="n"/>
      <c r="AB32" s="20" t="n"/>
      <c r="AC32" s="20" t="n"/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IF(OR(G32="",C32=""),"",IF(C32&lt;=0,"",IFERROR(G32/C32-1,"")))</f>
        <v/>
      </c>
      <c r="H33" s="15">
        <f>IF(OR(H32="",D32=""),"",IF(D32&lt;=0,"",IFERROR(H32/D32-1,"")))</f>
        <v/>
      </c>
      <c r="I33" s="15">
        <f>IF(OR(I32="",E32=""),"",IF(E32&lt;=0,"",IFERROR(I32/E32-1,"")))</f>
        <v/>
      </c>
      <c r="J33" s="15">
        <f>IF(OR(J32="",F32=""),"",IF(F32&lt;=0,"",IFERROR(J32/F32-1,"")))</f>
        <v/>
      </c>
      <c r="K33" s="15">
        <f>IF(OR(K32="",G32=""),"",IF(G32&lt;=0,"",IFERROR(K32/G32-1,"")))</f>
        <v/>
      </c>
      <c r="L33" s="15">
        <f>IF(OR(L32="",H32=""),"",IF(H32&lt;=0,"",IFERROR(L32/H32-1,"")))</f>
        <v/>
      </c>
      <c r="M33" s="15">
        <f>IF(OR(M32="",I32=""),"",IF(I32&lt;=0,"",IFERROR(M32/I32-1,"")))</f>
        <v/>
      </c>
      <c r="N33" s="15">
        <f>IF(OR(N32="",J32=""),"",IF(J32&lt;=0,"",IFERROR(N32/J32-1,"")))</f>
        <v/>
      </c>
      <c r="O33" s="14" t="n"/>
      <c r="P33" s="15">
        <f>IF(OR(P32="",O32=""),"",IF(O32&lt;=0,"",IFERROR(P32/O32-1,"")))</f>
        <v/>
      </c>
      <c r="Q33" s="15">
        <f>IF(OR(Q32="",P32=""),"",IF(P32&lt;=0,"",IFERROR(Q32/P32-1,"")))</f>
        <v/>
      </c>
      <c r="R33" s="15">
        <f>IF(OR(R32="",Q32=""),"",IF(Q32&lt;=0,"",IFERROR(R32/Q32-1,"")))</f>
        <v/>
      </c>
      <c r="S33" s="15">
        <f>IF(OR(S32="",R32=""),"",IF(R32&lt;=0,"",IFERROR(S32/R32-1,"")))</f>
        <v/>
      </c>
      <c r="T33" s="15">
        <f>IF(OR(T32="",S32=""),"",IF(S32&lt;=0,"",IFERROR(T32/S32-1,"")))</f>
        <v/>
      </c>
      <c r="U33" s="15">
        <f>IF(OR(U32="",T32=""),"",IF(T32&lt;=0,"",IFERROR(U32/T32-1,"")))</f>
        <v/>
      </c>
      <c r="V33" s="15">
        <f>IF(OR(V32="",U32=""),"",IF(U32&lt;=0,"",IFERROR(V32/U32-1,"")))</f>
        <v/>
      </c>
      <c r="W33" s="15">
        <f>IF(OR(W32="",V32=""),"",IF(V32&lt;=0,"",IFERROR(W32/V32-1,"")))</f>
        <v/>
      </c>
      <c r="X33" s="15">
        <f>IF(OR(X32="",W32=""),"",IF(W32&lt;=0,"",IFERROR(X32/W32-1,"")))</f>
        <v/>
      </c>
      <c r="Y33" s="14">
        <f>IF(OR(Y32="",X32=""),"",IF(X32&lt;=0,"",IFERROR(Y32/X32-1,"")))</f>
        <v/>
      </c>
      <c r="Z33" s="15">
        <f>IF(OR(Z32="",Y32=""),"",IF(Y32&lt;=0,"",IFERROR(Z32/Y32-1,"")))</f>
        <v/>
      </c>
      <c r="AA33" s="15">
        <f>IF(OR(AA32="",Z32=""),"",IF(Z32&lt;=0,"",IFERROR(AA32/Z32-1,"")))</f>
        <v/>
      </c>
      <c r="AB33" s="15">
        <f>IF(OR(AB32="",AA32=""),"",IF(AA32&lt;=0,"",IFERROR(AB32/AA32-1,"")))</f>
        <v/>
      </c>
      <c r="AC33" s="15">
        <f>IF(OR(AC32="",AB32=""),"",IF(AB32&lt;=0,"",IFERROR(AC32/AB32-1,"")))</f>
        <v/>
      </c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208</v>
      </c>
      <c r="D34" s="12" t="n">
        <v>-379</v>
      </c>
      <c r="E34" s="12" t="n">
        <v>-687</v>
      </c>
      <c r="F34" s="12" t="n">
        <v>-64</v>
      </c>
      <c r="G34" s="12" t="n">
        <v>172</v>
      </c>
      <c r="H34" s="12" t="n">
        <v>-183</v>
      </c>
      <c r="I34" s="12" t="n">
        <v>-145</v>
      </c>
      <c r="J34" s="12" t="n">
        <v>-280</v>
      </c>
      <c r="K34" s="12" t="n">
        <v>163</v>
      </c>
      <c r="L34" s="12" t="n">
        <v>589</v>
      </c>
      <c r="M34" s="12" t="n">
        <v>-42</v>
      </c>
      <c r="N34" s="12" t="n">
        <v>6</v>
      </c>
      <c r="O34" s="11" t="n">
        <v>630</v>
      </c>
      <c r="P34" s="12" t="n">
        <v>485</v>
      </c>
      <c r="Q34" s="12" t="n">
        <v>-1834</v>
      </c>
      <c r="R34" s="12" t="n">
        <v>-244</v>
      </c>
      <c r="S34" s="12" t="n">
        <v>1070</v>
      </c>
      <c r="T34" s="12" t="n">
        <v>703</v>
      </c>
      <c r="U34" s="12" t="n">
        <v>1128</v>
      </c>
      <c r="V34" s="12" t="n">
        <v>-1243</v>
      </c>
      <c r="W34" s="12" t="n">
        <v>-220</v>
      </c>
      <c r="X34" s="12" t="n">
        <v>430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IF(O32="","",O32)</f>
        <v/>
      </c>
      <c r="P38" s="12">
        <f>IF(P32="","",P32)</f>
        <v/>
      </c>
      <c r="Q38" s="12">
        <f>IF(Q32="","",Q32)</f>
        <v/>
      </c>
      <c r="R38" s="12">
        <f>IF(R32="","",R32)</f>
        <v/>
      </c>
      <c r="S38" s="12">
        <f>IF(S32="","",S32)</f>
        <v/>
      </c>
      <c r="T38" s="12">
        <f>IF(T32="","",T32)</f>
        <v/>
      </c>
      <c r="U38" s="12">
        <f>IF(U32="","",U32)</f>
        <v/>
      </c>
      <c r="V38" s="12">
        <f>IF(V32="","",V32)</f>
        <v/>
      </c>
      <c r="W38" s="12">
        <f>IF(W32="","",W32)</f>
        <v/>
      </c>
      <c r="X38" s="12">
        <f>IF(X32="","",X32)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>
        <v>183</v>
      </c>
      <c r="D50" s="20" t="n">
        <v>1</v>
      </c>
      <c r="E50" s="20" t="n">
        <v>275</v>
      </c>
      <c r="F50" s="20" t="n">
        <v>5</v>
      </c>
      <c r="G50" s="20" t="n">
        <v>0</v>
      </c>
      <c r="H50" s="20" t="n">
        <v>1</v>
      </c>
      <c r="I50" s="20" t="n">
        <v>1</v>
      </c>
      <c r="J50" s="20" t="n">
        <v>0</v>
      </c>
      <c r="K50" s="20" t="n">
        <v>7</v>
      </c>
      <c r="L50" s="20" t="n">
        <v>1</v>
      </c>
      <c r="M50" s="20" t="n">
        <v>6</v>
      </c>
      <c r="N50" s="20" t="n">
        <v>0</v>
      </c>
      <c r="O50" s="19" t="n">
        <v>582</v>
      </c>
      <c r="P50" s="20" t="n">
        <v>2388</v>
      </c>
      <c r="Q50" s="20" t="n">
        <v>1516</v>
      </c>
      <c r="R50" s="20" t="n">
        <v>113</v>
      </c>
      <c r="S50" s="20" t="n">
        <v>21</v>
      </c>
      <c r="T50" s="20" t="n">
        <v>32</v>
      </c>
      <c r="U50" s="20" t="n">
        <v>21</v>
      </c>
      <c r="V50" s="20" t="n">
        <v>459</v>
      </c>
      <c r="W50" s="20" t="n">
        <v>7</v>
      </c>
      <c r="X50" s="20" t="n">
        <v>14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>
        <v>26</v>
      </c>
      <c r="D52" s="20" t="n">
        <v>204</v>
      </c>
      <c r="E52" s="20" t="n">
        <v>498</v>
      </c>
      <c r="F52" s="20" t="n">
        <v>5</v>
      </c>
      <c r="G52" s="20" t="n">
        <v>83</v>
      </c>
      <c r="H52" s="20" t="n">
        <v>44</v>
      </c>
      <c r="I52" s="20" t="n">
        <v>1388</v>
      </c>
      <c r="J52" s="20" t="n">
        <v>0</v>
      </c>
      <c r="K52" s="20" t="n">
        <v>4</v>
      </c>
      <c r="L52" s="20" t="n">
        <v>43</v>
      </c>
      <c r="M52" s="20" t="n">
        <v>344</v>
      </c>
      <c r="N52" s="20" t="n">
        <v>20</v>
      </c>
      <c r="O52" s="19" t="n">
        <v>740</v>
      </c>
      <c r="P52" s="20" t="n">
        <v>2176</v>
      </c>
      <c r="Q52" s="20" t="n">
        <v>505</v>
      </c>
      <c r="R52" s="20" t="n">
        <v>3093</v>
      </c>
      <c r="S52" s="20" t="n">
        <v>351</v>
      </c>
      <c r="T52" s="20" t="n">
        <v>191</v>
      </c>
      <c r="U52" s="20" t="n">
        <v>618</v>
      </c>
      <c r="V52" s="20" t="n">
        <v>739</v>
      </c>
      <c r="W52" s="20" t="n">
        <v>1520</v>
      </c>
      <c r="X52" s="20" t="n">
        <v>391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441</v>
      </c>
      <c r="D54" s="20" t="n">
        <v>-487</v>
      </c>
      <c r="E54" s="20" t="n">
        <v>1203</v>
      </c>
      <c r="F54" s="20" t="n">
        <v>1214</v>
      </c>
      <c r="G54" s="20" t="n">
        <v>-368</v>
      </c>
      <c r="H54" s="20" t="n">
        <v>1018</v>
      </c>
      <c r="I54" s="20" t="n">
        <v>-199</v>
      </c>
      <c r="J54" s="20" t="n">
        <v>407</v>
      </c>
      <c r="K54" s="20" t="n">
        <v>380</v>
      </c>
      <c r="L54" s="20" t="n">
        <v>530</v>
      </c>
      <c r="M54" s="20" t="n">
        <v>417</v>
      </c>
      <c r="N54" s="20" t="n">
        <v>531</v>
      </c>
      <c r="O54" s="19" t="n">
        <v>1692</v>
      </c>
      <c r="P54" s="20" t="n">
        <v>1571</v>
      </c>
      <c r="Q54" s="20" t="n">
        <v>1890</v>
      </c>
      <c r="R54" s="20" t="n">
        <v>1563</v>
      </c>
      <c r="S54" s="20" t="n">
        <v>2366</v>
      </c>
      <c r="T54" s="20" t="n">
        <v>3559</v>
      </c>
      <c r="U54" s="20" t="n">
        <v>2420</v>
      </c>
      <c r="V54" s="20" t="n">
        <v>2445</v>
      </c>
      <c r="W54" s="20" t="n">
        <v>1665</v>
      </c>
      <c r="X54" s="20" t="n">
        <v>1734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225</v>
      </c>
      <c r="D56" s="20" t="n">
        <v>214</v>
      </c>
      <c r="E56" s="20" t="n">
        <v>328</v>
      </c>
      <c r="F56" s="20" t="n">
        <v>198</v>
      </c>
      <c r="G56" s="20" t="n">
        <v>682</v>
      </c>
      <c r="H56" s="20" t="n">
        <v>-272</v>
      </c>
      <c r="I56" s="20" t="n">
        <v>287</v>
      </c>
      <c r="J56" s="20" t="n">
        <v>745</v>
      </c>
      <c r="K56" s="20" t="n">
        <v>50</v>
      </c>
      <c r="L56" s="20" t="n">
        <v>-129</v>
      </c>
      <c r="M56" s="20" t="n">
        <v>255</v>
      </c>
      <c r="N56" s="20" t="n">
        <v>230</v>
      </c>
      <c r="O56" s="19" t="n">
        <v>924</v>
      </c>
      <c r="P56" s="20" t="n">
        <v>1698</v>
      </c>
      <c r="Q56" s="20" t="n">
        <v>763</v>
      </c>
      <c r="R56" s="20" t="n">
        <v>1503</v>
      </c>
      <c r="S56" s="20" t="n">
        <v>834</v>
      </c>
      <c r="T56" s="20" t="n">
        <v>850</v>
      </c>
      <c r="U56" s="20" t="n">
        <v>1044</v>
      </c>
      <c r="V56" s="20" t="n">
        <v>975</v>
      </c>
      <c r="W56" s="20" t="n">
        <v>895</v>
      </c>
      <c r="X56" s="20" t="n">
        <v>921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581</v>
      </c>
      <c r="D58" s="12" t="n">
        <v>-1282</v>
      </c>
      <c r="E58" s="12" t="n">
        <v>-35</v>
      </c>
      <c r="F58" s="12" t="n">
        <v>951</v>
      </c>
      <c r="G58" s="12" t="n">
        <v>-958</v>
      </c>
      <c r="H58" s="12" t="n">
        <v>1062</v>
      </c>
      <c r="I58" s="12" t="n">
        <v>-2018</v>
      </c>
      <c r="J58" s="12" t="n">
        <v>-619</v>
      </c>
      <c r="K58" s="12" t="n">
        <v>497</v>
      </c>
      <c r="L58" s="12" t="n">
        <v>1206</v>
      </c>
      <c r="M58" s="12" t="n">
        <v>-217</v>
      </c>
      <c r="N58" s="12" t="n">
        <v>286</v>
      </c>
      <c r="O58" s="11" t="n">
        <v>1241</v>
      </c>
      <c r="P58" s="12" t="n">
        <v>570</v>
      </c>
      <c r="Q58" s="12" t="n">
        <v>303</v>
      </c>
      <c r="R58" s="12" t="n">
        <v>-3165</v>
      </c>
      <c r="S58" s="12" t="n">
        <v>2271</v>
      </c>
      <c r="T58" s="12" t="n">
        <v>3254</v>
      </c>
      <c r="U58" s="12" t="n">
        <v>1906</v>
      </c>
      <c r="V58" s="12" t="n">
        <v>-53</v>
      </c>
      <c r="W58" s="12" t="n">
        <v>-963</v>
      </c>
      <c r="X58" s="12" t="n">
        <v>867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3" t="inlineStr">
        <is>
          <t>YoY</t>
        </is>
      </c>
      <c r="B59" s="10" t="n"/>
      <c r="C59" s="14" t="n"/>
      <c r="D59" s="15" t="n"/>
      <c r="E59" s="15" t="n"/>
      <c r="F59" s="15" t="n"/>
      <c r="G59" s="15">
        <f>IF(OR(G58="",C58=""),"",IF(C58&lt;=0,"",IFERROR(G58/C58-1,"")))</f>
        <v/>
      </c>
      <c r="H59" s="15">
        <f>IF(OR(H58="",D58=""),"",IF(D58&lt;=0,"",IFERROR(H58/D58-1,"")))</f>
        <v/>
      </c>
      <c r="I59" s="15">
        <f>IF(OR(I58="",E58=""),"",IF(E58&lt;=0,"",IFERROR(I58/E58-1,"")))</f>
        <v/>
      </c>
      <c r="J59" s="15">
        <f>IF(OR(J58="",F58=""),"",IF(F58&lt;=0,"",IFERROR(J58/F58-1,"")))</f>
        <v/>
      </c>
      <c r="K59" s="15">
        <f>IF(OR(K58="",G58=""),"",IF(G58&lt;=0,"",IFERROR(K58/G58-1,"")))</f>
        <v/>
      </c>
      <c r="L59" s="15">
        <f>IF(OR(L58="",H58=""),"",IF(H58&lt;=0,"",IFERROR(L58/H58-1,"")))</f>
        <v/>
      </c>
      <c r="M59" s="15">
        <f>IF(OR(M58="",I58=""),"",IF(I58&lt;=0,"",IFERROR(M58/I58-1,"")))</f>
        <v/>
      </c>
      <c r="N59" s="15">
        <f>IF(OR(N58="",J58=""),"",IF(J58&lt;=0,"",IFERROR(N58/J58-1,"")))</f>
        <v/>
      </c>
      <c r="O59" s="14" t="n"/>
      <c r="P59" s="15">
        <f>IF(OR(P58="",O58=""),"",IF(O58&lt;=0,"",IFERROR(P58/O58-1,"")))</f>
        <v/>
      </c>
      <c r="Q59" s="15">
        <f>IF(OR(Q58="",P58=""),"",IF(P58&lt;=0,"",IFERROR(Q58/P58-1,"")))</f>
        <v/>
      </c>
      <c r="R59" s="15">
        <f>IF(OR(R58="",Q58=""),"",IF(Q58&lt;=0,"",IFERROR(R58/Q58-1,"")))</f>
        <v/>
      </c>
      <c r="S59" s="15">
        <f>IF(OR(S58="",R58=""),"",IF(R58&lt;=0,"",IFERROR(S58/R58-1,"")))</f>
        <v/>
      </c>
      <c r="T59" s="15">
        <f>IF(OR(T58="",S58=""),"",IF(S58&lt;=0,"",IFERROR(T58/S58-1,"")))</f>
        <v/>
      </c>
      <c r="U59" s="15">
        <f>IF(OR(U58="",T58=""),"",IF(T58&lt;=0,"",IFERROR(U58/T58-1,"")))</f>
        <v/>
      </c>
      <c r="V59" s="15">
        <f>IF(OR(V58="",U58=""),"",IF(U58&lt;=0,"",IFERROR(V58/U58-1,"")))</f>
        <v/>
      </c>
      <c r="W59" s="15">
        <f>IF(OR(W58="",V58=""),"",IF(V58&lt;=0,"",IFERROR(W58/V58-1,"")))</f>
        <v/>
      </c>
      <c r="X59" s="15">
        <f>IF(OR(X58="",W58=""),"",IF(W58&lt;=0,"",IFERROR(X58/W58-1,"")))</f>
        <v/>
      </c>
      <c r="Y59" s="14">
        <f>IF(OR(Y58="",X58=""),"",IF(X58&lt;=0,"",IFERROR(Y58/X58-1,"")))</f>
        <v/>
      </c>
      <c r="Z59" s="15">
        <f>IF(OR(Z58="",Y58=""),"",IF(Y58&lt;=0,"",IFERROR(Z58/Y58-1,"")))</f>
        <v/>
      </c>
      <c r="AA59" s="15">
        <f>IF(OR(AA58="",Z58=""),"",IF(Z58&lt;=0,"",IFERROR(AA58/Z58-1,"")))</f>
        <v/>
      </c>
      <c r="AB59" s="15">
        <f>IF(OR(AB58="",AA58=""),"",IF(AA58&lt;=0,"",IFERROR(AB58/AA58-1,"")))</f>
        <v/>
      </c>
      <c r="AC59" s="15">
        <f>IF(OR(AC58="",AB58=""),"",IF(AB58&lt;=0,"",IFERROR(AC58/AB58-1,"")))</f>
        <v/>
      </c>
    </row>
    <row r="60">
      <c r="A60" s="18" t="inlineStr">
        <is>
          <t>법인세비용(수익)</t>
        </is>
      </c>
      <c r="B60" s="10" t="n"/>
      <c r="C60" s="19" t="n">
        <v>91</v>
      </c>
      <c r="D60" s="20" t="n">
        <v>43</v>
      </c>
      <c r="E60" s="20" t="n">
        <v>138</v>
      </c>
      <c r="F60" s="20" t="n">
        <v>150</v>
      </c>
      <c r="G60" s="20" t="n">
        <v>129</v>
      </c>
      <c r="H60" s="20" t="n">
        <v>95</v>
      </c>
      <c r="I60" s="20" t="n">
        <v>547</v>
      </c>
      <c r="J60" s="20" t="n">
        <v>32</v>
      </c>
      <c r="K60" s="20" t="n">
        <v>39</v>
      </c>
      <c r="L60" s="20" t="n">
        <v>274</v>
      </c>
      <c r="M60" s="20" t="n">
        <v>465</v>
      </c>
      <c r="N60" s="20" t="n">
        <v>132</v>
      </c>
      <c r="O60" s="19" t="n">
        <v>476</v>
      </c>
      <c r="P60" s="20" t="n">
        <v>873</v>
      </c>
      <c r="Q60" s="20" t="n">
        <v>1138</v>
      </c>
      <c r="R60" s="20" t="n">
        <v>-227</v>
      </c>
      <c r="S60" s="20" t="n">
        <v>390</v>
      </c>
      <c r="T60" s="20" t="n">
        <v>262</v>
      </c>
      <c r="U60" s="20" t="n">
        <v>571</v>
      </c>
      <c r="V60" s="20" t="n">
        <v>435</v>
      </c>
      <c r="W60" s="20" t="n">
        <v>921</v>
      </c>
      <c r="X60" s="20" t="n">
        <v>810</v>
      </c>
      <c r="Y60" s="19">
        <f>IF(OR(Y58="",Y61=""),"",IFERROR(MAX(Y58,0)*Y61,""))</f>
        <v/>
      </c>
      <c r="Z60" s="20">
        <f>IF(OR(Z58="",Z61=""),"",IFERROR(MAX(Z58,0)*Z61,""))</f>
        <v/>
      </c>
      <c r="AA60" s="20">
        <f>IF(OR(AA58="",AA61=""),"",IFERROR(MAX(AA58,0)*AA61,""))</f>
        <v/>
      </c>
      <c r="AB60" s="20">
        <f>IF(OR(AB58="",AB61=""),"",IFERROR(MAX(AB58,0)*AB61,""))</f>
        <v/>
      </c>
      <c r="AC60" s="20">
        <f>IF(OR(AC58="",AC61=""),"",IFERROR(MAX(AC58,0)*AC61,""))</f>
        <v/>
      </c>
    </row>
    <row r="61">
      <c r="A61" s="13" t="inlineStr">
        <is>
          <t>법인세율</t>
        </is>
      </c>
      <c r="B61" s="10" t="inlineStr">
        <is>
          <t>MW 기본 30%</t>
        </is>
      </c>
      <c r="C61" s="14">
        <f>IF(OR(C60="",C58=""),"",IFERROR(C60/C58,""))</f>
        <v/>
      </c>
      <c r="D61" s="15">
        <f>IF(OR(D60="",D58=""),"",IFERROR(D60/D58,""))</f>
        <v/>
      </c>
      <c r="E61" s="15">
        <f>IF(OR(E60="",E58=""),"",IFERROR(E60/E58,""))</f>
        <v/>
      </c>
      <c r="F61" s="15">
        <f>IF(OR(F60="",F58=""),"",IFERROR(F60/F58,""))</f>
        <v/>
      </c>
      <c r="G61" s="15">
        <f>IF(OR(G60="",G58=""),"",IFERROR(G60/G58,""))</f>
        <v/>
      </c>
      <c r="H61" s="15">
        <f>IF(OR(H60="",H58=""),"",IFERROR(H60/H58,""))</f>
        <v/>
      </c>
      <c r="I61" s="15">
        <f>IF(OR(I60="",I58=""),"",IFERROR(I60/I58,""))</f>
        <v/>
      </c>
      <c r="J61" s="15">
        <f>IF(OR(J60="",J58=""),"",IFERROR(J60/J58,""))</f>
        <v/>
      </c>
      <c r="K61" s="15">
        <f>IF(OR(K60="",K58=""),"",IFERROR(K60/K58,""))</f>
        <v/>
      </c>
      <c r="L61" s="15">
        <f>IF(OR(L60="",L58=""),"",IFERROR(L60/L58,""))</f>
        <v/>
      </c>
      <c r="M61" s="15">
        <f>IF(OR(M60="",M58=""),"",IFERROR(M60/M58,""))</f>
        <v/>
      </c>
      <c r="N61" s="15">
        <f>IF(OR(N60="",N58=""),"",IFERROR(N60/N58,""))</f>
        <v/>
      </c>
      <c r="O61" s="14">
        <f>IF(OR(O60="",O58=""),"",IFERROR(O60/O58,""))</f>
        <v/>
      </c>
      <c r="P61" s="15">
        <f>IF(OR(P60="",P58=""),"",IFERROR(P60/P58,""))</f>
        <v/>
      </c>
      <c r="Q61" s="15">
        <f>IF(OR(Q60="",Q58=""),"",IFERROR(Q60/Q58,""))</f>
        <v/>
      </c>
      <c r="R61" s="15">
        <f>IF(OR(R60="",R58=""),"",IFERROR(R60/R58,""))</f>
        <v/>
      </c>
      <c r="S61" s="15">
        <f>IF(OR(S60="",S58=""),"",IFERROR(S60/S58,""))</f>
        <v/>
      </c>
      <c r="T61" s="15">
        <f>IF(OR(T60="",T58=""),"",IFERROR(T60/T58,""))</f>
        <v/>
      </c>
      <c r="U61" s="15">
        <f>IF(OR(U60="",U58=""),"",IFERROR(U60/U58,""))</f>
        <v/>
      </c>
      <c r="V61" s="15">
        <f>IF(OR(V60="",V58=""),"",IFERROR(V60/V58,""))</f>
        <v/>
      </c>
      <c r="W61" s="15">
        <f>IF(OR(W60="",W58=""),"",IFERROR(W60/W58,""))</f>
        <v/>
      </c>
      <c r="X61" s="15">
        <f>IF(OR(X60="",X58=""),"",IFERROR(X60/X58,""))</f>
        <v/>
      </c>
      <c r="Y61" s="25" t="n">
        <v>0.3</v>
      </c>
      <c r="Z61" s="26" t="n">
        <v>0.3</v>
      </c>
      <c r="AA61" s="26" t="n">
        <v>0.3</v>
      </c>
      <c r="AB61" s="26" t="n">
        <v>0.3</v>
      </c>
      <c r="AC61" s="26" t="n">
        <v>0.3</v>
      </c>
    </row>
    <row r="62">
      <c r="A62" s="9" t="inlineStr">
        <is>
          <t>당기순이익(손실)</t>
        </is>
      </c>
      <c r="B62" s="10" t="n"/>
      <c r="C62" s="11" t="n">
        <v>490</v>
      </c>
      <c r="D62" s="12" t="n">
        <v>-1326</v>
      </c>
      <c r="E62" s="12" t="n">
        <v>-173</v>
      </c>
      <c r="F62" s="12" t="n">
        <v>801</v>
      </c>
      <c r="G62" s="12" t="n">
        <v>-1088</v>
      </c>
      <c r="H62" s="12" t="n">
        <v>967</v>
      </c>
      <c r="I62" s="12" t="n">
        <v>-2564</v>
      </c>
      <c r="J62" s="12" t="n">
        <v>-651</v>
      </c>
      <c r="K62" s="12" t="n">
        <v>458</v>
      </c>
      <c r="L62" s="12" t="n">
        <v>931</v>
      </c>
      <c r="M62" s="12" t="n">
        <v>-682</v>
      </c>
      <c r="N62" s="12" t="n">
        <v>154</v>
      </c>
      <c r="O62" s="11" t="n">
        <v>764</v>
      </c>
      <c r="P62" s="12" t="n">
        <v>-302</v>
      </c>
      <c r="Q62" s="12" t="n">
        <v>-834</v>
      </c>
      <c r="R62" s="12" t="n">
        <v>-2937</v>
      </c>
      <c r="S62" s="12" t="n">
        <v>1881</v>
      </c>
      <c r="T62" s="12" t="n">
        <v>2992</v>
      </c>
      <c r="U62" s="12" t="n">
        <v>1334</v>
      </c>
      <c r="V62" s="12" t="n">
        <v>-489</v>
      </c>
      <c r="W62" s="12" t="n">
        <v>-1884</v>
      </c>
      <c r="X62" s="12" t="n">
        <v>56</v>
      </c>
      <c r="Y62" s="11">
        <f>IF(OR(Y58=""),"",IFERROR(Y58-Y60,""))</f>
        <v/>
      </c>
      <c r="Z62" s="12">
        <f>IF(OR(Z58=""),"",IFERROR(Z58-Z60,""))</f>
        <v/>
      </c>
      <c r="AA62" s="12">
        <f>IF(OR(AA58=""),"",IFERROR(AA58-AA60,""))</f>
        <v/>
      </c>
      <c r="AB62" s="12">
        <f>IF(OR(AB58=""),"",IFERROR(AB58-AB60,""))</f>
        <v/>
      </c>
      <c r="AC62" s="12">
        <f>IF(OR(AC58=""),"",IFERROR(AC58-AC60,""))</f>
        <v/>
      </c>
    </row>
    <row r="63">
      <c r="A63" s="13" t="inlineStr">
        <is>
          <t>YoY</t>
        </is>
      </c>
      <c r="B63" s="10" t="n"/>
      <c r="C63" s="14" t="n"/>
      <c r="D63" s="15" t="n"/>
      <c r="E63" s="15" t="n"/>
      <c r="F63" s="15" t="n"/>
      <c r="G63" s="15">
        <f>IF(OR(G62="",C62=""),"",IF(C62&lt;=0,"",IFERROR(G62/C62-1,"")))</f>
        <v/>
      </c>
      <c r="H63" s="15">
        <f>IF(OR(H62="",D62=""),"",IF(D62&lt;=0,"",IFERROR(H62/D62-1,"")))</f>
        <v/>
      </c>
      <c r="I63" s="15">
        <f>IF(OR(I62="",E62=""),"",IF(E62&lt;=0,"",IFERROR(I62/E62-1,"")))</f>
        <v/>
      </c>
      <c r="J63" s="15">
        <f>IF(OR(J62="",F62=""),"",IF(F62&lt;=0,"",IFERROR(J62/F62-1,"")))</f>
        <v/>
      </c>
      <c r="K63" s="15">
        <f>IF(OR(K62="",G62=""),"",IF(G62&lt;=0,"",IFERROR(K62/G62-1,"")))</f>
        <v/>
      </c>
      <c r="L63" s="15">
        <f>IF(OR(L62="",H62=""),"",IF(H62&lt;=0,"",IFERROR(L62/H62-1,"")))</f>
        <v/>
      </c>
      <c r="M63" s="15">
        <f>IF(OR(M62="",I62=""),"",IF(I62&lt;=0,"",IFERROR(M62/I62-1,"")))</f>
        <v/>
      </c>
      <c r="N63" s="15">
        <f>IF(OR(N62="",J62=""),"",IF(J62&lt;=0,"",IFERROR(N62/J62-1,"")))</f>
        <v/>
      </c>
      <c r="O63" s="14" t="n"/>
      <c r="P63" s="15">
        <f>IF(OR(P62="",O62=""),"",IF(O62&lt;=0,"",IFERROR(P62/O62-1,"")))</f>
        <v/>
      </c>
      <c r="Q63" s="15">
        <f>IF(OR(Q62="",P62=""),"",IF(P62&lt;=0,"",IFERROR(Q62/P62-1,"")))</f>
        <v/>
      </c>
      <c r="R63" s="15">
        <f>IF(OR(R62="",Q62=""),"",IF(Q62&lt;=0,"",IFERROR(R62/Q62-1,"")))</f>
        <v/>
      </c>
      <c r="S63" s="15">
        <f>IF(OR(S62="",R62=""),"",IF(R62&lt;=0,"",IFERROR(S62/R62-1,"")))</f>
        <v/>
      </c>
      <c r="T63" s="15">
        <f>IF(OR(T62="",S62=""),"",IF(S62&lt;=0,"",IFERROR(T62/S62-1,"")))</f>
        <v/>
      </c>
      <c r="U63" s="15">
        <f>IF(OR(U62="",T62=""),"",IF(T62&lt;=0,"",IFERROR(U62/T62-1,"")))</f>
        <v/>
      </c>
      <c r="V63" s="15">
        <f>IF(OR(V62="",U62=""),"",IF(U62&lt;=0,"",IFERROR(V62/U62-1,"")))</f>
        <v/>
      </c>
      <c r="W63" s="15">
        <f>IF(OR(W62="",V62=""),"",IF(V62&lt;=0,"",IFERROR(W62/V62-1,"")))</f>
        <v/>
      </c>
      <c r="X63" s="15">
        <f>IF(OR(X62="",W62=""),"",IF(W62&lt;=0,"",IFERROR(X62/W62-1,"")))</f>
        <v/>
      </c>
      <c r="Y63" s="14">
        <f>IF(OR(Y62="",X62=""),"",IF(X62&lt;=0,"",IFERROR(Y62/X62-1,"")))</f>
        <v/>
      </c>
      <c r="Z63" s="15">
        <f>IF(OR(Z62="",Y62=""),"",IF(Y62&lt;=0,"",IFERROR(Z62/Y62-1,"")))</f>
        <v/>
      </c>
      <c r="AA63" s="15">
        <f>IF(OR(AA62="",Z62=""),"",IF(Z62&lt;=0,"",IFERROR(AA62/Z62-1,"")))</f>
        <v/>
      </c>
      <c r="AB63" s="15">
        <f>IF(OR(AB62="",AA62=""),"",IF(AA62&lt;=0,"",IFERROR(AB62/AA62-1,"")))</f>
        <v/>
      </c>
      <c r="AC63" s="15">
        <f>IF(OR(AC62="",AB62=""),"",IF(AB62&lt;=0,"",IFERROR(AC62/AB62-1,"")))</f>
        <v/>
      </c>
    </row>
    <row r="64">
      <c r="A64" s="9" t="inlineStr">
        <is>
          <t>지배주주 순이익</t>
        </is>
      </c>
      <c r="B64" s="10" t="n"/>
      <c r="C64" s="11" t="n">
        <v>490</v>
      </c>
      <c r="D64" s="12" t="n">
        <v>-1326</v>
      </c>
      <c r="E64" s="12" t="n">
        <v>-173</v>
      </c>
      <c r="F64" s="12" t="n">
        <v>801</v>
      </c>
      <c r="G64" s="12" t="n">
        <v>-1088</v>
      </c>
      <c r="H64" s="12" t="n">
        <v>967</v>
      </c>
      <c r="I64" s="12" t="n">
        <v>-2564</v>
      </c>
      <c r="J64" s="12" t="n">
        <v>-651</v>
      </c>
      <c r="K64" s="12" t="n">
        <v>458</v>
      </c>
      <c r="L64" s="12" t="n">
        <v>931</v>
      </c>
      <c r="M64" s="12" t="n">
        <v>-682</v>
      </c>
      <c r="N64" s="12" t="n">
        <v>154</v>
      </c>
      <c r="O64" s="11" t="n">
        <v>1017</v>
      </c>
      <c r="P64" s="12" t="n">
        <v>-288</v>
      </c>
      <c r="Q64" s="12" t="n">
        <v>-834</v>
      </c>
      <c r="R64" s="12" t="n">
        <v>-2651</v>
      </c>
      <c r="S64" s="12" t="n">
        <v>1917</v>
      </c>
      <c r="T64" s="12" t="n">
        <v>2992</v>
      </c>
      <c r="U64" s="12" t="n">
        <v>1334</v>
      </c>
      <c r="V64" s="12" t="n">
        <v>-489</v>
      </c>
      <c r="W64" s="12" t="n">
        <v>-1884</v>
      </c>
      <c r="X64" s="12" t="n">
        <v>56</v>
      </c>
      <c r="Y64" s="11">
        <f>IF(OR(Y62="",Y65=""),"",IFERROR(Y62*Y65,""))</f>
        <v/>
      </c>
      <c r="Z64" s="12">
        <f>IF(OR(Z62="",Z65=""),"",IFERROR(Z62*Z65,""))</f>
        <v/>
      </c>
      <c r="AA64" s="12">
        <f>IF(OR(AA62="",AA65=""),"",IFERROR(AA62*AA65,""))</f>
        <v/>
      </c>
      <c r="AB64" s="12">
        <f>IF(OR(AB62="",AB65=""),"",IFERROR(AB62*AB65,""))</f>
        <v/>
      </c>
      <c r="AC64" s="12">
        <f>IF(OR(AC62="",AC65=""),"",IFERROR(AC62*AC65,""))</f>
        <v/>
      </c>
    </row>
    <row r="65">
      <c r="A65" s="13" t="inlineStr">
        <is>
          <t>지배주주 순이익률</t>
        </is>
      </c>
      <c r="B65" s="10" t="inlineStr">
        <is>
          <t>MW 기본 100%</t>
        </is>
      </c>
      <c r="C65" s="14">
        <f>IF(OR(C64="",C62=""),"",IFERROR(C64/C62,""))</f>
        <v/>
      </c>
      <c r="D65" s="15">
        <f>IF(OR(D64="",D62=""),"",IFERROR(D64/D62,""))</f>
        <v/>
      </c>
      <c r="E65" s="15">
        <f>IF(OR(E64="",E62=""),"",IFERROR(E64/E62,""))</f>
        <v/>
      </c>
      <c r="F65" s="15">
        <f>IF(OR(F64="",F62=""),"",IFERROR(F64/F62,""))</f>
        <v/>
      </c>
      <c r="G65" s="15">
        <f>IF(OR(G64="",G62=""),"",IFERROR(G64/G62,""))</f>
        <v/>
      </c>
      <c r="H65" s="15">
        <f>IF(OR(H64="",H62=""),"",IFERROR(H64/H62,""))</f>
        <v/>
      </c>
      <c r="I65" s="15">
        <f>IF(OR(I64="",I62=""),"",IFERROR(I64/I62,""))</f>
        <v/>
      </c>
      <c r="J65" s="15">
        <f>IF(OR(J64="",J62=""),"",IFERROR(J64/J62,""))</f>
        <v/>
      </c>
      <c r="K65" s="15">
        <f>IF(OR(K64="",K62=""),"",IFERROR(K64/K62,""))</f>
        <v/>
      </c>
      <c r="L65" s="15">
        <f>IF(OR(L64="",L62=""),"",IFERROR(L64/L62,""))</f>
        <v/>
      </c>
      <c r="M65" s="15">
        <f>IF(OR(M64="",M62=""),"",IFERROR(M64/M62,""))</f>
        <v/>
      </c>
      <c r="N65" s="15">
        <f>IF(OR(N64="",N62=""),"",IFERROR(N64/N62,""))</f>
        <v/>
      </c>
      <c r="O65" s="14">
        <f>IF(OR(O64="",O62=""),"",IFERROR(O64/O62,""))</f>
        <v/>
      </c>
      <c r="P65" s="15">
        <f>IF(OR(P64="",P62=""),"",IFERROR(P64/P62,""))</f>
        <v/>
      </c>
      <c r="Q65" s="15">
        <f>IF(OR(Q64="",Q62=""),"",IFERROR(Q64/Q62,""))</f>
        <v/>
      </c>
      <c r="R65" s="15">
        <f>IF(OR(R64="",R62=""),"",IFERROR(R64/R62,""))</f>
        <v/>
      </c>
      <c r="S65" s="15">
        <f>IF(OR(S64="",S62=""),"",IFERROR(S64/S62,""))</f>
        <v/>
      </c>
      <c r="T65" s="15">
        <f>IF(OR(T64="",T62=""),"",IFERROR(T64/T62,""))</f>
        <v/>
      </c>
      <c r="U65" s="15">
        <f>IF(OR(U64="",U62=""),"",IFERROR(U64/U62,""))</f>
        <v/>
      </c>
      <c r="V65" s="15">
        <f>IF(OR(V64="",V62=""),"",IFERROR(V64/V62,""))</f>
        <v/>
      </c>
      <c r="W65" s="15">
        <f>IF(OR(W64="",W62=""),"",IFERROR(W64/W62,""))</f>
        <v/>
      </c>
      <c r="X65" s="15">
        <f>IF(OR(X64="",X62=""),"",IFERROR(X64/X62,""))</f>
        <v/>
      </c>
      <c r="Y65" s="25" t="n">
        <v>1</v>
      </c>
      <c r="Z65" s="26" t="n">
        <v>1</v>
      </c>
      <c r="AA65" s="26" t="n">
        <v>1</v>
      </c>
      <c r="AB65" s="26" t="n">
        <v>1</v>
      </c>
      <c r="AC65" s="26" t="n">
        <v>1</v>
      </c>
    </row>
    <row r="66">
      <c r="A66" s="13" t="inlineStr">
        <is>
          <t>지배주주 순이익 YoY</t>
        </is>
      </c>
      <c r="B66" s="10" t="n"/>
      <c r="C66" s="14" t="n"/>
      <c r="D66" s="15" t="n"/>
      <c r="E66" s="15" t="n"/>
      <c r="F66" s="15" t="n"/>
      <c r="G66" s="15">
        <f>IF(OR(G64="",C64=""),"",IF(C64&lt;=0,"",IFERROR(G64/C64-1,"")))</f>
        <v/>
      </c>
      <c r="H66" s="15">
        <f>IF(OR(H64="",D64=""),"",IF(D64&lt;=0,"",IFERROR(H64/D64-1,"")))</f>
        <v/>
      </c>
      <c r="I66" s="15">
        <f>IF(OR(I64="",E64=""),"",IF(E64&lt;=0,"",IFERROR(I64/E64-1,"")))</f>
        <v/>
      </c>
      <c r="J66" s="15">
        <f>IF(OR(J64="",F64=""),"",IF(F64&lt;=0,"",IFERROR(J64/F64-1,"")))</f>
        <v/>
      </c>
      <c r="K66" s="15">
        <f>IF(OR(K64="",G64=""),"",IF(G64&lt;=0,"",IFERROR(K64/G64-1,"")))</f>
        <v/>
      </c>
      <c r="L66" s="15">
        <f>IF(OR(L64="",H64=""),"",IF(H64&lt;=0,"",IFERROR(L64/H64-1,"")))</f>
        <v/>
      </c>
      <c r="M66" s="15">
        <f>IF(OR(M64="",I64=""),"",IF(I64&lt;=0,"",IFERROR(M64/I64-1,"")))</f>
        <v/>
      </c>
      <c r="N66" s="15">
        <f>IF(OR(N64="",J64=""),"",IF(J64&lt;=0,"",IFERROR(N64/J64-1,"")))</f>
        <v/>
      </c>
      <c r="O66" s="14" t="n"/>
      <c r="P66" s="15">
        <f>IF(OR(P64="",O64=""),"",IF(O64&lt;=0,"",IFERROR(P64/O64-1,"")))</f>
        <v/>
      </c>
      <c r="Q66" s="15">
        <f>IF(OR(Q64="",P64=""),"",IF(P64&lt;=0,"",IFERROR(Q64/P64-1,"")))</f>
        <v/>
      </c>
      <c r="R66" s="15">
        <f>IF(OR(R64="",Q64=""),"",IF(Q64&lt;=0,"",IFERROR(R64/Q64-1,"")))</f>
        <v/>
      </c>
      <c r="S66" s="15">
        <f>IF(OR(S64="",R64=""),"",IF(R64&lt;=0,"",IFERROR(S64/R64-1,"")))</f>
        <v/>
      </c>
      <c r="T66" s="15">
        <f>IF(OR(T64="",S64=""),"",IF(S64&lt;=0,"",IFERROR(T64/S64-1,"")))</f>
        <v/>
      </c>
      <c r="U66" s="15">
        <f>IF(OR(U64="",T64=""),"",IF(T64&lt;=0,"",IFERROR(U64/T64-1,"")))</f>
        <v/>
      </c>
      <c r="V66" s="15">
        <f>IF(OR(V64="",U64=""),"",IF(U64&lt;=0,"",IFERROR(V64/U64-1,"")))</f>
        <v/>
      </c>
      <c r="W66" s="15">
        <f>IF(OR(W64="",V64=""),"",IF(V64&lt;=0,"",IFERROR(W64/V64-1,"")))</f>
        <v/>
      </c>
      <c r="X66" s="15">
        <f>IF(OR(X64="",W64=""),"",IF(W64&lt;=0,"",IFERROR(X64/W64-1,"")))</f>
        <v/>
      </c>
      <c r="Y66" s="14">
        <f>IF(OR(Y64="",X64=""),"",IF(X64&lt;=0,"",IFERROR(Y64/X64-1,"")))</f>
        <v/>
      </c>
      <c r="Z66" s="15">
        <f>IF(OR(Z64="",Y64=""),"",IF(Y64&lt;=0,"",IFERROR(Z64/Y64-1,"")))</f>
        <v/>
      </c>
      <c r="AA66" s="15">
        <f>IF(OR(AA64="",Z64=""),"",IF(Z64&lt;=0,"",IFERROR(AA64/Z64-1,"")))</f>
        <v/>
      </c>
      <c r="AB66" s="15">
        <f>IF(OR(AB64="",AA64=""),"",IF(AA64&lt;=0,"",IFERROR(AB64/AA64-1,"")))</f>
        <v/>
      </c>
      <c r="AC66" s="15">
        <f>IF(OR(AC64="",AB64=""),"",IF(AB64&lt;=0,"",IFERROR(AC64/AB64-1,"")))</f>
        <v/>
      </c>
    </row>
    <row r="67">
      <c r="A67" s="16" t="inlineStr">
        <is>
          <t>목표주가 산출</t>
        </is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7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7" t="n"/>
      <c r="Z67" s="16" t="n"/>
      <c r="AA67" s="16" t="n"/>
      <c r="AB67" s="16" t="n"/>
      <c r="AC67" s="16" t="n"/>
    </row>
    <row r="68">
      <c r="A68" s="18" t="inlineStr">
        <is>
          <t>현재 주가 (2026.10.28)</t>
        </is>
      </c>
      <c r="B68" s="27" t="n">
        <v>3115</v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8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8" t="n"/>
      <c r="Z68" s="29" t="n"/>
      <c r="AA68" s="29" t="n"/>
      <c r="AB68" s="29" t="n"/>
      <c r="AC68" s="29" t="n"/>
    </row>
    <row r="69">
      <c r="A69" s="18" t="inlineStr">
        <is>
          <t>발행주식수 (보통주)</t>
        </is>
      </c>
      <c r="B69" s="27" t="n">
        <v>7200000</v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8" t="n"/>
      <c r="Z69" s="29" t="n"/>
      <c r="AA69" s="29" t="n"/>
      <c r="AB69" s="29" t="n"/>
      <c r="AC69" s="29" t="n"/>
    </row>
    <row r="70">
      <c r="A70" s="18" t="inlineStr">
        <is>
          <t>시가총액 (백만엔)</t>
        </is>
      </c>
      <c r="B70" s="12">
        <f>IF(OR(B68="",B69=""),"",B68*B69/1000000.0)</f>
        <v/>
      </c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19" t="n"/>
      <c r="Z70" s="20" t="n"/>
      <c r="AA70" s="20" t="n"/>
      <c r="AB70" s="20" t="n"/>
      <c r="AC70" s="20" t="n"/>
    </row>
    <row r="71">
      <c r="A71" s="13" t="inlineStr">
        <is>
          <t>OPM</t>
        </is>
      </c>
      <c r="B71" s="10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4">
        <f>IF(O35="","",O35)</f>
        <v/>
      </c>
      <c r="P71" s="15">
        <f>IF(P35="","",P35)</f>
        <v/>
      </c>
      <c r="Q71" s="15">
        <f>IF(Q35="","",Q35)</f>
        <v/>
      </c>
      <c r="R71" s="15">
        <f>IF(R35="","",R35)</f>
        <v/>
      </c>
      <c r="S71" s="15">
        <f>IF(S35="","",S35)</f>
        <v/>
      </c>
      <c r="T71" s="15">
        <f>IF(T35="","",T35)</f>
        <v/>
      </c>
      <c r="U71" s="15">
        <f>IF(U35="","",U35)</f>
        <v/>
      </c>
      <c r="V71" s="15">
        <f>IF(V35="","",V35)</f>
        <v/>
      </c>
      <c r="W71" s="15">
        <f>IF(W35="","",W35)</f>
        <v/>
      </c>
      <c r="X71" s="15">
        <f>IF(X35="","",X35)</f>
        <v/>
      </c>
      <c r="Y71" s="14">
        <f>IF(Y35="","",Y35)</f>
        <v/>
      </c>
      <c r="Z71" s="15">
        <f>IF(Z35="","",Z35)</f>
        <v/>
      </c>
      <c r="AA71" s="15">
        <f>IF(AA35="","",AA35)</f>
        <v/>
      </c>
      <c r="AB71" s="15">
        <f>IF(AB35="","",AB35)</f>
        <v/>
      </c>
      <c r="AC71" s="15">
        <f>IF(AC35="","",AC35)</f>
        <v/>
      </c>
    </row>
    <row r="72">
      <c r="A72" s="13" t="inlineStr">
        <is>
          <t>지배주주 순이익 증가율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>
        <f>IF(OR(P64="",O64=""),"",IFERROR(P64/O64-1,""))</f>
        <v/>
      </c>
      <c r="Q72" s="15">
        <f>IF(OR(Q64="",P64=""),"",IFERROR(Q64/P64-1,""))</f>
        <v/>
      </c>
      <c r="R72" s="15">
        <f>IF(OR(R64="",Q64=""),"",IFERROR(R64/Q64-1,""))</f>
        <v/>
      </c>
      <c r="S72" s="15">
        <f>IF(OR(S64="",R64=""),"",IFERROR(S64/R64-1,""))</f>
        <v/>
      </c>
      <c r="T72" s="15">
        <f>IF(OR(T64="",S64=""),"",IFERROR(T64/S64-1,""))</f>
        <v/>
      </c>
      <c r="U72" s="15">
        <f>IF(OR(U64="",T64=""),"",IFERROR(U64/T64-1,""))</f>
        <v/>
      </c>
      <c r="V72" s="15">
        <f>IF(OR(V64="",U64=""),"",IFERROR(V64/U64-1,""))</f>
        <v/>
      </c>
      <c r="W72" s="15">
        <f>IF(OR(W64="",V64=""),"",IFERROR(W64/V64-1,""))</f>
        <v/>
      </c>
      <c r="X72" s="15">
        <f>IF(OR(X64="",W64=""),"",IFERROR(X64/W64-1,""))</f>
        <v/>
      </c>
      <c r="Y72" s="14">
        <f>IF(OR(Y64="",X64=""),"",IFERROR(Y64/X64-1,""))</f>
        <v/>
      </c>
      <c r="Z72" s="15">
        <f>IF(OR(Z64="",Y64=""),"",IFERROR(Z64/Y64-1,""))</f>
        <v/>
      </c>
      <c r="AA72" s="15">
        <f>IF(OR(AA64="",Z64=""),"",IFERROR(AA64/Z64-1,""))</f>
        <v/>
      </c>
      <c r="AB72" s="15">
        <f>IF(OR(AB64="",AA64=""),"",IFERROR(AB64/AA64-1,""))</f>
        <v/>
      </c>
      <c r="AC72" s="15">
        <f>IF(OR(AC64="",AB64=""),"",IFERROR(AC64/AB64-1,""))</f>
        <v/>
      </c>
    </row>
    <row r="73">
      <c r="A73" s="18" t="inlineStr">
        <is>
          <t>P/E (현재 주가)</t>
        </is>
      </c>
      <c r="B73" s="10" t="inlineStr">
        <is>
          <t>시총 ÷ 지배순이익</t>
        </is>
      </c>
      <c r="C73" s="30" t="n"/>
      <c r="D73" s="31" t="n"/>
      <c r="E73" s="31" t="n"/>
      <c r="F73" s="31" t="n"/>
      <c r="G73" s="31" t="n"/>
      <c r="H73" s="31" t="n"/>
      <c r="I73" s="31" t="n"/>
      <c r="J73" s="31" t="n"/>
      <c r="K73" s="31" t="n"/>
      <c r="L73" s="31" t="n"/>
      <c r="M73" s="31" t="n"/>
      <c r="N73" s="31" t="n"/>
      <c r="O73" s="30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>
        <f>IF(OR($B$70="",X64=""),"",IFERROR($B$70/X64,""))</f>
        <v/>
      </c>
      <c r="Y73" s="30">
        <f>IF(OR($B$70="",Y64=""),"",IFERROR($B$70/Y64,""))</f>
        <v/>
      </c>
      <c r="Z73" s="31">
        <f>IF(OR($B$70="",Z64=""),"",IFERROR($B$70/Z64,""))</f>
        <v/>
      </c>
      <c r="AA73" s="31">
        <f>IF(OR($B$70="",AA64=""),"",IFERROR($B$70/AA64,""))</f>
        <v/>
      </c>
      <c r="AB73" s="31">
        <f>IF(OR($B$70="",AB64=""),"",IFERROR($B$70/AB64,""))</f>
        <v/>
      </c>
      <c r="AC73" s="31">
        <f>IF(OR($B$70="",AC64=""),"",IFERROR($B$70/AC64,""))</f>
        <v/>
      </c>
    </row>
    <row r="74">
      <c r="A74" s="18" t="inlineStr">
        <is>
          <t>Target P/E</t>
        </is>
      </c>
      <c r="B74" s="10" t="inlineStr">
        <is>
          <t>직접 입력</t>
        </is>
      </c>
      <c r="C74" s="30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1" t="n"/>
      <c r="M74" s="31" t="n"/>
      <c r="N74" s="31" t="n"/>
      <c r="O74" s="30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2" t="n"/>
      <c r="Z74" s="33" t="n"/>
      <c r="AA74" s="33" t="n"/>
      <c r="AB74" s="33" t="n"/>
      <c r="AC74" s="33" t="n"/>
    </row>
    <row r="75">
      <c r="A75" s="18" t="inlineStr">
        <is>
          <t>EPS</t>
        </is>
      </c>
      <c r="B75" s="10" t="inlineStr">
        <is>
          <t>지배순이익 ÷ 주식수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>
        <f>IF(OR(O64="",$B$69=""),"",IFERROR(O64*1000000.0/$B$69,""))</f>
        <v/>
      </c>
      <c r="P75" s="29">
        <f>IF(OR(P64="",$B$69=""),"",IFERROR(P64*1000000.0/$B$69,""))</f>
        <v/>
      </c>
      <c r="Q75" s="29">
        <f>IF(OR(Q64="",$B$69=""),"",IFERROR(Q64*1000000.0/$B$69,""))</f>
        <v/>
      </c>
      <c r="R75" s="29">
        <f>IF(OR(R64="",$B$69=""),"",IFERROR(R64*1000000.0/$B$69,""))</f>
        <v/>
      </c>
      <c r="S75" s="29">
        <f>IF(OR(S64="",$B$69=""),"",IFERROR(S64*1000000.0/$B$69,""))</f>
        <v/>
      </c>
      <c r="T75" s="29">
        <f>IF(OR(T64="",$B$69=""),"",IFERROR(T64*1000000.0/$B$69,""))</f>
        <v/>
      </c>
      <c r="U75" s="29">
        <f>IF(OR(U64="",$B$69=""),"",IFERROR(U64*1000000.0/$B$69,""))</f>
        <v/>
      </c>
      <c r="V75" s="29">
        <f>IF(OR(V64="",$B$69=""),"",IFERROR(V64*1000000.0/$B$69,""))</f>
        <v/>
      </c>
      <c r="W75" s="29">
        <f>IF(OR(W64="",$B$69=""),"",IFERROR(W64*1000000.0/$B$69,""))</f>
        <v/>
      </c>
      <c r="X75" s="29">
        <f>IF(OR(X64="",$B$69=""),"",IFERROR(X64*1000000.0/$B$69,""))</f>
        <v/>
      </c>
      <c r="Y75" s="28">
        <f>IF(OR(Y64="",$B$69=""),"",IFERROR(Y64*1000000.0/$B$69,""))</f>
        <v/>
      </c>
      <c r="Z75" s="29">
        <f>IF(OR(Z64="",$B$69=""),"",IFERROR(Z64*1000000.0/$B$69,""))</f>
        <v/>
      </c>
      <c r="AA75" s="29">
        <f>IF(OR(AA64="",$B$69=""),"",IFERROR(AA64*1000000.0/$B$69,""))</f>
        <v/>
      </c>
      <c r="AB75" s="29">
        <f>IF(OR(AB64="",$B$69=""),"",IFERROR(AB64*1000000.0/$B$69,""))</f>
        <v/>
      </c>
      <c r="AC75" s="29">
        <f>IF(OR(AC64="",$B$69=""),"",IFERROR(AC64*1000000.0/$B$69,""))</f>
        <v/>
      </c>
    </row>
    <row r="76">
      <c r="A76" s="9" t="inlineStr">
        <is>
          <t>목표주가</t>
        </is>
      </c>
      <c r="B76" s="10" t="n"/>
      <c r="C76" s="34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34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34">
        <f>IF(OR(Y75="",Y74=""),"",IFERROR(Y75*Y74,""))</f>
        <v/>
      </c>
      <c r="Z76" s="27">
        <f>IF(OR(Z75="",Z74=""),"",IFERROR(Z75*Z74,""))</f>
        <v/>
      </c>
      <c r="AA76" s="27">
        <f>IF(OR(AA75="",AA74=""),"",IFERROR(AA75*AA74,""))</f>
        <v/>
      </c>
      <c r="AB76" s="27">
        <f>IF(OR(AB75="",AB74=""),"",IFERROR(AB75*AB74,""))</f>
        <v/>
      </c>
      <c r="AC76" s="27">
        <f>IF(OR(AC75="",AC74=""),"",IFERROR(AC75*AC74,""))</f>
        <v/>
      </c>
    </row>
    <row r="77">
      <c r="A77" s="18" t="inlineStr">
        <is>
          <t>상승여력</t>
        </is>
      </c>
      <c r="B77" s="10" t="n"/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5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7">
        <f>IF(OR(Y76="",$B$68=""),"",IFERROR(Y76/$B$68-1,""))</f>
        <v/>
      </c>
      <c r="Z77" s="38">
        <f>IF(OR(Z76="",$B$68=""),"",IFERROR(Z76/$B$68-1,""))</f>
        <v/>
      </c>
      <c r="AA77" s="38">
        <f>IF(OR(AA76="",$B$68=""),"",IFERROR(AA76/$B$68-1,""))</f>
        <v/>
      </c>
      <c r="AB77" s="38">
        <f>IF(OR(AB76="",$B$68=""),"",IFERROR(AB76/$B$68-1,""))</f>
        <v/>
      </c>
      <c r="AC77" s="38">
        <f>IF(OR(AC76="",$B$68=""),"",IFERROR(AC76/$B$68-1,""))</f>
        <v/>
      </c>
    </row>
    <row r="78">
      <c r="A78" s="16" t="inlineStr">
        <is>
          <t>자산가치 산출</t>
        </is>
      </c>
      <c r="B78" s="16" t="inlineStr">
        <is>
          <t>최신 분기 BS</t>
        </is>
      </c>
      <c r="C78" s="17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7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7" t="n"/>
      <c r="Z78" s="16" t="n"/>
      <c r="AA78" s="16" t="n"/>
      <c r="AB78" s="16" t="n"/>
      <c r="AC78" s="16" t="n"/>
    </row>
    <row r="79">
      <c r="A79" s="18" t="inlineStr">
        <is>
          <t>현금및현금성자산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'재무상태표'!G6</f>
        <v/>
      </c>
      <c r="Y79" s="19">
        <f>'재무상태표'!G6</f>
        <v/>
      </c>
      <c r="Z79" s="20">
        <f>'재무상태표'!G6</f>
        <v/>
      </c>
      <c r="AA79" s="20">
        <f>'재무상태표'!G6</f>
        <v/>
      </c>
      <c r="AB79" s="20">
        <f>'재무상태표'!G6</f>
        <v/>
      </c>
      <c r="AC79" s="20">
        <f>'재무상태표'!G6</f>
        <v/>
      </c>
    </row>
    <row r="80">
      <c r="A80" s="18" t="inlineStr">
        <is>
          <t>단기금융상품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'재무상태표'!G7</f>
        <v/>
      </c>
      <c r="Y80" s="19">
        <f>'재무상태표'!G7</f>
        <v/>
      </c>
      <c r="Z80" s="20">
        <f>'재무상태표'!G7</f>
        <v/>
      </c>
      <c r="AA80" s="20">
        <f>'재무상태표'!G7</f>
        <v/>
      </c>
      <c r="AB80" s="20">
        <f>'재무상태표'!G7</f>
        <v/>
      </c>
      <c r="AC80" s="20">
        <f>'재무상태표'!G7</f>
        <v/>
      </c>
    </row>
    <row r="81">
      <c r="A81" s="18" t="inlineStr">
        <is>
          <t>투자부동산</t>
        </is>
      </c>
      <c r="B81" s="10" t="n"/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>
        <f>'재무상태표'!G14</f>
        <v/>
      </c>
      <c r="Y81" s="19">
        <f>'재무상태표'!G14</f>
        <v/>
      </c>
      <c r="Z81" s="20">
        <f>'재무상태표'!G14</f>
        <v/>
      </c>
      <c r="AA81" s="20">
        <f>'재무상태표'!G14</f>
        <v/>
      </c>
      <c r="AB81" s="20">
        <f>'재무상태표'!G14</f>
        <v/>
      </c>
      <c r="AC81" s="20">
        <f>'재무상태표'!G14</f>
        <v/>
      </c>
    </row>
    <row r="82">
      <c r="A82" s="18" t="inlineStr">
        <is>
          <t>지배자본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'재무상태표'!G31</f>
        <v/>
      </c>
      <c r="Y82" s="19">
        <f>'재무상태표'!G31</f>
        <v/>
      </c>
      <c r="Z82" s="20">
        <f>'재무상태표'!G31</f>
        <v/>
      </c>
      <c r="AA82" s="20">
        <f>'재무상태표'!G31</f>
        <v/>
      </c>
      <c r="AB82" s="20">
        <f>'재무상태표'!G31</f>
        <v/>
      </c>
      <c r="AC82" s="20">
        <f>'재무상태표'!G31</f>
        <v/>
      </c>
    </row>
    <row r="83">
      <c r="A83" s="18" t="inlineStr">
        <is>
          <t>부채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'재무상태표'!G27</f>
        <v/>
      </c>
      <c r="Y83" s="19">
        <f>'재무상태표'!G27</f>
        <v/>
      </c>
      <c r="Z83" s="20">
        <f>'재무상태표'!G27</f>
        <v/>
      </c>
      <c r="AA83" s="20">
        <f>'재무상태표'!G27</f>
        <v/>
      </c>
      <c r="AB83" s="20">
        <f>'재무상태표'!G27</f>
        <v/>
      </c>
      <c r="AC83" s="20">
        <f>'재무상태표'!G27</f>
        <v/>
      </c>
    </row>
    <row r="84">
      <c r="A84" s="13" t="inlineStr">
        <is>
          <t>부채비율</t>
        </is>
      </c>
      <c r="B84" s="10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4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>
        <f>IF(OR(X83="",X82=""),"",IFERROR(X83/X82,""))</f>
        <v/>
      </c>
      <c r="Y84" s="14">
        <f>IF(OR(Y83="",Y82=""),"",IFERROR(Y83/Y82,""))</f>
        <v/>
      </c>
      <c r="Z84" s="15">
        <f>IF(OR(Z83="",Z82=""),"",IFERROR(Z83/Z82,""))</f>
        <v/>
      </c>
      <c r="AA84" s="15">
        <f>IF(OR(AA83="",AA82=""),"",IFERROR(AA83/AA82,""))</f>
        <v/>
      </c>
      <c r="AB84" s="15">
        <f>IF(OR(AB83="",AB82=""),"",IFERROR(AB83/AB82,""))</f>
        <v/>
      </c>
      <c r="AC84" s="15">
        <f>IF(OR(AC83="",AC82=""),"",IFERROR(AC83/AC82,""))</f>
        <v/>
      </c>
    </row>
    <row r="85">
      <c r="A85" s="9" t="inlineStr">
        <is>
          <t>자산가치</t>
        </is>
      </c>
      <c r="B85" s="10" t="inlineStr">
        <is>
          <t>현금+단기금융+투자부동산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>
        <f>SUM(X79,X80,X81)</f>
        <v/>
      </c>
      <c r="Y85" s="11">
        <f>SUM(Y79,Y80,Y81)</f>
        <v/>
      </c>
      <c r="Z85" s="12">
        <f>SUM(Z79,Z80,Z81)</f>
        <v/>
      </c>
      <c r="AA85" s="12">
        <f>SUM(AA79,AA80,AA81)</f>
        <v/>
      </c>
      <c r="AB85" s="12">
        <f>SUM(AB79,AB80,AB81)</f>
        <v/>
      </c>
      <c r="AC85" s="12">
        <f>SUM(AC79,AC80,AC81)</f>
        <v/>
      </c>
    </row>
    <row r="86">
      <c r="A86" s="16" t="inlineStr">
        <is>
          <t>기업가치 산출</t>
        </is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7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7" t="n"/>
      <c r="Z86" s="16" t="n"/>
      <c r="AA86" s="16" t="n"/>
      <c r="AB86" s="16" t="n"/>
      <c r="AC86" s="16" t="n"/>
    </row>
    <row r="87">
      <c r="A87" s="18" t="inlineStr">
        <is>
          <t>목표 시가총액 (P/E)</t>
        </is>
      </c>
      <c r="B87" s="10" t="inlineStr">
        <is>
          <t>지배순이익 × Target P/E</t>
        </is>
      </c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19">
        <f>IF(OR(Y64="",Y74=""),"",IFERROR(Y64*Y74,""))</f>
        <v/>
      </c>
      <c r="Z87" s="20">
        <f>IF(OR(Z64="",Z74=""),"",IFERROR(Z64*Z74,""))</f>
        <v/>
      </c>
      <c r="AA87" s="20">
        <f>IF(OR(AA64="",AA74=""),"",IFERROR(AA64*AA74,""))</f>
        <v/>
      </c>
      <c r="AB87" s="20">
        <f>IF(OR(AB64="",AB74=""),"",IFERROR(AB64*AB74,""))</f>
        <v/>
      </c>
      <c r="AC87" s="20">
        <f>IF(OR(AC64="",AC74=""),"",IFERROR(AC64*AC74,""))</f>
        <v/>
      </c>
    </row>
    <row r="88">
      <c r="A88" s="9" t="inlineStr">
        <is>
          <t>기업가치</t>
        </is>
      </c>
      <c r="B88" s="10" t="inlineStr">
        <is>
          <t>목표시총 + 자산가치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1">
        <f>IF(OR(Y87=""),"",IFERROR(Y87+Y85,""))</f>
        <v/>
      </c>
      <c r="Z88" s="12">
        <f>IF(OR(Z87=""),"",IFERROR(Z87+Z85,""))</f>
        <v/>
      </c>
      <c r="AA88" s="12">
        <f>IF(OR(AA87=""),"",IFERROR(AA87+AA85,""))</f>
        <v/>
      </c>
      <c r="AB88" s="12">
        <f>IF(OR(AB87=""),"",IFERROR(AB87+AB85,""))</f>
        <v/>
      </c>
      <c r="AC88" s="12">
        <f>IF(OR(AC87=""),"",IFERROR(AC87+AC85,""))</f>
        <v/>
      </c>
    </row>
    <row r="89">
      <c r="A89" s="18" t="inlineStr">
        <is>
          <t>현재 시가총액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19">
        <f>$B$70</f>
        <v/>
      </c>
      <c r="Z89" s="20">
        <f>$B$70</f>
        <v/>
      </c>
      <c r="AA89" s="20">
        <f>$B$70</f>
        <v/>
      </c>
      <c r="AB89" s="20">
        <f>$B$70</f>
        <v/>
      </c>
      <c r="AC89" s="20">
        <f>$B$70</f>
        <v/>
      </c>
    </row>
    <row r="90">
      <c r="A90" s="18" t="inlineStr">
        <is>
          <t>상승여력</t>
        </is>
      </c>
      <c r="B90" s="10" t="n"/>
      <c r="C90" s="35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5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7">
        <f>IF(OR(Y88="",Y89=""),"",IFERROR(Y88/Y89-1,""))</f>
        <v/>
      </c>
      <c r="Z90" s="38">
        <f>IF(OR(Z88="",Z89=""),"",IFERROR(Z88/Z89-1,""))</f>
        <v/>
      </c>
      <c r="AA90" s="38">
        <f>IF(OR(AA88="",AA89=""),"",IFERROR(AA88/AA89-1,""))</f>
        <v/>
      </c>
      <c r="AB90" s="38">
        <f>IF(OR(AB88="",AB89=""),"",IFERROR(AB88/AB89-1,""))</f>
        <v/>
      </c>
      <c r="AC90" s="38">
        <f>IF(OR(AC88="",AC89=""),"",IFERROR(AC88/AC89-1,""))</f>
        <v/>
      </c>
    </row>
    <row r="91">
      <c r="C91" s="39" t="n"/>
      <c r="O91" s="39" t="n"/>
      <c r="Y91" s="39" t="n"/>
    </row>
    <row r="92">
      <c r="A92" s="40" t="inlineStr">
        <is>
          <t>출처</t>
        </is>
      </c>
      <c r="C92" s="39" t="n"/>
      <c r="O92" s="39" t="n"/>
      <c r="Y92" s="39" t="n"/>
    </row>
    <row r="93">
      <c r="A93" s="41" t="inlineStr">
        <is>
          <t>결산단신 XBRL(TDnet·JPX 보관소) — 쓴 문서는 '출처' 시트</t>
        </is>
      </c>
      <c r="C93" s="39" t="n"/>
      <c r="O93" s="39" t="n"/>
      <c r="Y93" s="39" t="n"/>
    </row>
    <row r="94">
      <c r="A94" s="41" t="inlineStr">
        <is>
          <t>분기 = 누계에서 앞 분기를 뺀 3개월 값</t>
        </is>
      </c>
      <c r="C94" s="39" t="n"/>
      <c r="O94" s="39" t="n"/>
      <c r="Y94" s="39" t="n"/>
    </row>
    <row r="95">
      <c r="A95" s="41" t="inlineStr">
        <is>
          <t>주가: 야후 파이낸스 일봉 2026.10.28</t>
        </is>
      </c>
      <c r="C95" s="39" t="n"/>
      <c r="O95" s="39" t="n"/>
      <c r="Y95" s="39" t="n"/>
    </row>
    <row r="97">
      <c r="A97" s="16" t="inlineStr">
        <is>
          <t>손익계산서 · 전 항목</t>
        </is>
      </c>
      <c r="B97" s="42" t="inlineStr">
        <is>
          <t>분기 = 3개월 단독</t>
        </is>
      </c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</row>
    <row r="98">
      <c r="A98" s="5" t="inlineStr">
        <is>
          <t>항목</t>
        </is>
      </c>
      <c r="B98" s="5" t="inlineStr">
        <is>
          <t>참고</t>
        </is>
      </c>
      <c r="C98" s="5" t="inlineStr">
        <is>
          <t>2024.2Q</t>
        </is>
      </c>
      <c r="D98" s="5" t="inlineStr">
        <is>
          <t>2024.3Q</t>
        </is>
      </c>
      <c r="E98" s="5" t="inlineStr">
        <is>
          <t>2024.4Q</t>
        </is>
      </c>
      <c r="F98" s="5" t="inlineStr">
        <is>
          <t>2025.1Q</t>
        </is>
      </c>
      <c r="G98" s="5" t="inlineStr">
        <is>
          <t>2025.2Q</t>
        </is>
      </c>
      <c r="H98" s="5" t="inlineStr">
        <is>
          <t>2025.3Q</t>
        </is>
      </c>
      <c r="I98" s="5" t="inlineStr">
        <is>
          <t>2025.4Q</t>
        </is>
      </c>
      <c r="J98" s="5" t="inlineStr">
        <is>
          <t>2026.1Q</t>
        </is>
      </c>
      <c r="K98" s="5" t="inlineStr">
        <is>
          <t>2026.2Q</t>
        </is>
      </c>
      <c r="L98" s="5" t="inlineStr">
        <is>
          <t>2026.3Q</t>
        </is>
      </c>
      <c r="M98" s="5" t="inlineStr">
        <is>
          <t>2026.4Q</t>
        </is>
      </c>
      <c r="N98" s="5" t="inlineStr">
        <is>
          <t>2027.1Q</t>
        </is>
      </c>
      <c r="O98" s="5" t="inlineStr">
        <is>
          <t>2017</t>
        </is>
      </c>
      <c r="P98" s="5" t="inlineStr">
        <is>
          <t>2018</t>
        </is>
      </c>
      <c r="Q98" s="5" t="inlineStr">
        <is>
          <t>2019</t>
        </is>
      </c>
      <c r="R98" s="5" t="inlineStr">
        <is>
          <t>2020</t>
        </is>
      </c>
      <c r="S98" s="5" t="inlineStr">
        <is>
          <t>2021</t>
        </is>
      </c>
      <c r="T98" s="5" t="inlineStr">
        <is>
          <t>2022</t>
        </is>
      </c>
      <c r="U98" s="5" t="inlineStr">
        <is>
          <t>2023</t>
        </is>
      </c>
      <c r="V98" s="5" t="inlineStr">
        <is>
          <t>2024</t>
        </is>
      </c>
      <c r="W98" s="5" t="inlineStr">
        <is>
          <t>2025</t>
        </is>
      </c>
      <c r="X98" s="5" t="inlineStr">
        <is>
          <t>2026</t>
        </is>
      </c>
      <c r="Y98" s="5" t="inlineStr">
        <is>
          <t>2027(MW)</t>
        </is>
      </c>
      <c r="Z98" s="5" t="inlineStr">
        <is>
          <t>2028(MW)</t>
        </is>
      </c>
      <c r="AA98" s="5" t="inlineStr">
        <is>
          <t>2029(MW)</t>
        </is>
      </c>
      <c r="AB98" s="5" t="inlineStr">
        <is>
          <t>2030(MW)</t>
        </is>
      </c>
      <c r="AC98" s="5" t="inlineStr">
        <is>
          <t>2031(MW)</t>
        </is>
      </c>
    </row>
    <row r="99">
      <c r="A99" s="9" t="inlineStr">
        <is>
          <t>매출액</t>
        </is>
      </c>
      <c r="C99" s="12" t="n">
        <v>12037</v>
      </c>
      <c r="D99" s="12" t="n">
        <v>11168</v>
      </c>
      <c r="E99" s="12" t="n">
        <v>12279</v>
      </c>
      <c r="F99" s="12" t="n">
        <v>11726</v>
      </c>
      <c r="G99" s="12" t="n">
        <v>11888</v>
      </c>
      <c r="H99" s="12" t="n">
        <v>11016</v>
      </c>
      <c r="I99" s="12" t="n">
        <v>13421</v>
      </c>
      <c r="J99" s="12" t="n">
        <v>11029</v>
      </c>
      <c r="K99" s="12" t="n">
        <v>12123</v>
      </c>
      <c r="L99" s="12" t="n">
        <v>12035</v>
      </c>
      <c r="M99" s="12" t="n">
        <v>13017</v>
      </c>
      <c r="N99" s="12" t="n">
        <v>11472</v>
      </c>
      <c r="T99" s="12" t="n">
        <v>12642</v>
      </c>
      <c r="U99" s="12" t="n">
        <v>12743</v>
      </c>
      <c r="V99" s="12" t="n">
        <v>12279</v>
      </c>
      <c r="W99" s="12" t="n">
        <v>13421</v>
      </c>
      <c r="X99" s="12" t="n">
        <v>13017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매출원가</t>
        </is>
      </c>
      <c r="C101" s="20" t="n">
        <v>9728</v>
      </c>
      <c r="D101" s="20" t="n">
        <v>9326</v>
      </c>
      <c r="E101" s="20" t="n">
        <v>10767</v>
      </c>
      <c r="F101" s="20" t="n">
        <v>9477</v>
      </c>
      <c r="G101" s="20" t="n">
        <v>9478</v>
      </c>
      <c r="H101" s="20" t="n">
        <v>8759</v>
      </c>
      <c r="I101" s="20" t="n">
        <v>11086</v>
      </c>
      <c r="J101" s="20" t="n">
        <v>9095</v>
      </c>
      <c r="K101" s="20" t="n">
        <v>9686</v>
      </c>
      <c r="L101" s="20" t="n">
        <v>9208</v>
      </c>
      <c r="M101" s="20" t="n">
        <v>10804</v>
      </c>
      <c r="N101" s="20" t="n">
        <v>9193</v>
      </c>
      <c r="T101" s="20" t="n">
        <v>10719</v>
      </c>
      <c r="U101" s="20" t="n">
        <v>10977</v>
      </c>
      <c r="V101" s="20" t="n">
        <v>10767</v>
      </c>
      <c r="W101" s="20" t="n">
        <v>11086</v>
      </c>
      <c r="X101" s="20" t="n">
        <v>10804</v>
      </c>
    </row>
    <row r="102">
      <c r="A102" s="43" t="inlineStr">
        <is>
          <t>YoY</t>
        </is>
      </c>
      <c r="B102" s="3" t="inlineStr">
        <is>
          <t>전년 같은 분기·전년 대비</t>
        </is>
      </c>
      <c r="G102" s="15">
        <f>IF(OR(G101="",C101=""),"",IF(G101*C101&lt;=0,"",IFERROR(G101/C101-1,"")))</f>
        <v/>
      </c>
      <c r="H102" s="15">
        <f>IF(OR(H101="",D101=""),"",IF(H101*D101&lt;=0,"",IFERROR(H101/D101-1,"")))</f>
        <v/>
      </c>
      <c r="I102" s="15">
        <f>IF(OR(I101="",E101=""),"",IF(I101*E101&lt;=0,"",IFERROR(I101/E101-1,"")))</f>
        <v/>
      </c>
      <c r="J102" s="15">
        <f>IF(OR(J101="",F101=""),"",IF(J101*F101&lt;=0,"",IFERROR(J101/F101-1,"")))</f>
        <v/>
      </c>
      <c r="K102" s="15">
        <f>IF(OR(K101="",G101=""),"",IF(K101*G101&lt;=0,"",IFERROR(K101/G101-1,"")))</f>
        <v/>
      </c>
      <c r="L102" s="15">
        <f>IF(OR(L101="",H101=""),"",IF(L101*H101&lt;=0,"",IFERROR(L101/H101-1,"")))</f>
        <v/>
      </c>
      <c r="M102" s="15">
        <f>IF(OR(M101="",I101=""),"",IF(M101*I101&lt;=0,"",IFERROR(M101/I101-1,"")))</f>
        <v/>
      </c>
      <c r="N102" s="15">
        <f>IF(OR(N101="",J101=""),"",IF(N101*J101&lt;=0,"",IFERROR(N101/J101-1,"")))</f>
        <v/>
      </c>
      <c r="T102" s="15">
        <f>IF(OR(T101="",S101=""),"",IF(T101*S101&lt;=0,"",IFERROR(T101/S101-1,"")))</f>
        <v/>
      </c>
      <c r="U102" s="15">
        <f>IF(OR(U101="",T101=""),"",IF(U101*T101&lt;=0,"",IFERROR(U101/T101-1,"")))</f>
        <v/>
      </c>
      <c r="V102" s="15">
        <f>IF(OR(V101="",U101=""),"",IF(V101*U101&lt;=0,"",IFERROR(V101/U101-1,"")))</f>
        <v/>
      </c>
      <c r="W102" s="15">
        <f>IF(OR(W101="",V101=""),"",IF(W101*V101&lt;=0,"",IFERROR(W101/V101-1,"")))</f>
        <v/>
      </c>
      <c r="X102" s="15">
        <f>IF(OR(X101="",W101=""),"",IF(X101*W101&lt;=0,"",IFERROR(X101/W101-1,"")))</f>
        <v/>
      </c>
    </row>
    <row r="103">
      <c r="A103" s="9" t="inlineStr">
        <is>
          <t>매출총이익</t>
        </is>
      </c>
      <c r="C103" s="12" t="n">
        <v>2310</v>
      </c>
      <c r="D103" s="12" t="n">
        <v>1841</v>
      </c>
      <c r="E103" s="12" t="n">
        <v>1512</v>
      </c>
      <c r="F103" s="12" t="n">
        <v>2248</v>
      </c>
      <c r="G103" s="12" t="n">
        <v>2410</v>
      </c>
      <c r="H103" s="12" t="n">
        <v>2257</v>
      </c>
      <c r="I103" s="12" t="n">
        <v>2335</v>
      </c>
      <c r="J103" s="12" t="n">
        <v>1933</v>
      </c>
      <c r="K103" s="12" t="n">
        <v>2438</v>
      </c>
      <c r="L103" s="12" t="n">
        <v>2827</v>
      </c>
      <c r="M103" s="12" t="n">
        <v>2212</v>
      </c>
      <c r="N103" s="12" t="n">
        <v>2278</v>
      </c>
      <c r="T103" s="12" t="n">
        <v>1922</v>
      </c>
      <c r="U103" s="12" t="n">
        <v>1767</v>
      </c>
      <c r="V103" s="12" t="n">
        <v>1512</v>
      </c>
      <c r="W103" s="12" t="n">
        <v>2335</v>
      </c>
      <c r="X103" s="12" t="n">
        <v>2212</v>
      </c>
    </row>
    <row r="104">
      <c r="A104" s="43" t="inlineStr">
        <is>
          <t>YoY</t>
        </is>
      </c>
      <c r="B104" s="3" t="inlineStr">
        <is>
          <t>전년 같은 분기·전년 대비</t>
        </is>
      </c>
      <c r="G104" s="15">
        <f>IF(OR(G103="",C103=""),"",IF(C103&lt;=0,"",IFERROR(G103/C103-1,"")))</f>
        <v/>
      </c>
      <c r="H104" s="15">
        <f>IF(OR(H103="",D103=""),"",IF(D103&lt;=0,"",IFERROR(H103/D103-1,"")))</f>
        <v/>
      </c>
      <c r="I104" s="15">
        <f>IF(OR(I103="",E103=""),"",IF(E103&lt;=0,"",IFERROR(I103/E103-1,"")))</f>
        <v/>
      </c>
      <c r="J104" s="15">
        <f>IF(OR(J103="",F103=""),"",IF(F103&lt;=0,"",IFERROR(J103/F103-1,"")))</f>
        <v/>
      </c>
      <c r="K104" s="15">
        <f>IF(OR(K103="",G103=""),"",IF(G103&lt;=0,"",IFERROR(K103/G103-1,"")))</f>
        <v/>
      </c>
      <c r="L104" s="15">
        <f>IF(OR(L103="",H103=""),"",IF(H103&lt;=0,"",IFERROR(L103/H103-1,"")))</f>
        <v/>
      </c>
      <c r="M104" s="15">
        <f>IF(OR(M103="",I103=""),"",IF(I103&lt;=0,"",IFERROR(M103/I103-1,"")))</f>
        <v/>
      </c>
      <c r="N104" s="15">
        <f>IF(OR(N103="",J103=""),"",IF(J103&lt;=0,"",IFERROR(N103/J103-1,"")))</f>
        <v/>
      </c>
      <c r="T104" s="15">
        <f>IF(OR(T103="",S103=""),"",IF(S103&lt;=0,"",IFERROR(T103/S103-1,"")))</f>
        <v/>
      </c>
      <c r="U104" s="15">
        <f>IF(OR(U103="",T103=""),"",IF(T103&lt;=0,"",IFERROR(U103/T103-1,"")))</f>
        <v/>
      </c>
      <c r="V104" s="15">
        <f>IF(OR(V103="",U103=""),"",IF(U103&lt;=0,"",IFERROR(V103/U103-1,"")))</f>
        <v/>
      </c>
      <c r="W104" s="15">
        <f>IF(OR(W103="",V103=""),"",IF(V103&lt;=0,"",IFERROR(W103/V103-1,"")))</f>
        <v/>
      </c>
      <c r="X104" s="15">
        <f>IF(OR(X103="",W103=""),"",IF(W103&lt;=0,"",IFERROR(X103/W103-1,"")))</f>
        <v/>
      </c>
    </row>
    <row r="105">
      <c r="A105" s="18" t="inlineStr">
        <is>
          <t>판매비와 관리비</t>
        </is>
      </c>
      <c r="C105" s="20" t="n">
        <v>2101</v>
      </c>
      <c r="D105" s="20" t="n">
        <v>2220</v>
      </c>
      <c r="E105" s="20" t="n">
        <v>2200</v>
      </c>
      <c r="F105" s="20" t="n">
        <v>2312</v>
      </c>
      <c r="G105" s="20" t="n">
        <v>2238</v>
      </c>
      <c r="H105" s="20" t="n">
        <v>2441</v>
      </c>
      <c r="I105" s="20" t="n">
        <v>2479</v>
      </c>
      <c r="J105" s="20" t="n">
        <v>2214</v>
      </c>
      <c r="K105" s="20" t="n">
        <v>2274</v>
      </c>
      <c r="L105" s="20" t="n">
        <v>2237</v>
      </c>
      <c r="M105" s="20" t="n">
        <v>2255</v>
      </c>
      <c r="N105" s="20" t="n">
        <v>2271</v>
      </c>
      <c r="T105" s="20" t="n">
        <v>1906</v>
      </c>
      <c r="U105" s="20" t="n">
        <v>2115</v>
      </c>
      <c r="V105" s="20" t="n">
        <v>2200</v>
      </c>
      <c r="W105" s="20" t="n">
        <v>2479</v>
      </c>
      <c r="X105" s="20" t="n">
        <v>2255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IF(OR(G105="",C105=""),"",IF(G105*C105&lt;=0,"",IFERROR(G105/C105-1,"")))</f>
        <v/>
      </c>
      <c r="H106" s="15">
        <f>IF(OR(H105="",D105=""),"",IF(H105*D105&lt;=0,"",IFERROR(H105/D105-1,"")))</f>
        <v/>
      </c>
      <c r="I106" s="15">
        <f>IF(OR(I105="",E105=""),"",IF(I105*E105&lt;=0,"",IFERROR(I105/E105-1,"")))</f>
        <v/>
      </c>
      <c r="J106" s="15">
        <f>IF(OR(J105="",F105=""),"",IF(J105*F105&lt;=0,"",IFERROR(J105/F105-1,"")))</f>
        <v/>
      </c>
      <c r="K106" s="15">
        <f>IF(OR(K105="",G105=""),"",IF(K105*G105&lt;=0,"",IFERROR(K105/G105-1,"")))</f>
        <v/>
      </c>
      <c r="L106" s="15">
        <f>IF(OR(L105="",H105=""),"",IF(L105*H105&lt;=0,"",IFERROR(L105/H105-1,"")))</f>
        <v/>
      </c>
      <c r="M106" s="15">
        <f>IF(OR(M105="",I105=""),"",IF(M105*I105&lt;=0,"",IFERROR(M105/I105-1,"")))</f>
        <v/>
      </c>
      <c r="N106" s="15">
        <f>IF(OR(N105="",J105=""),"",IF(N105*J105&lt;=0,"",IFERROR(N105/J105-1,"")))</f>
        <v/>
      </c>
      <c r="T106" s="15">
        <f>IF(OR(T105="",S105=""),"",IF(T105*S105&lt;=0,"",IFERROR(T105/S105-1,"")))</f>
        <v/>
      </c>
      <c r="U106" s="15">
        <f>IF(OR(U105="",T105=""),"",IF(U105*T105&lt;=0,"",IFERROR(U105/T105-1,"")))</f>
        <v/>
      </c>
      <c r="V106" s="15">
        <f>IF(OR(V105="",U105=""),"",IF(V105*U105&lt;=0,"",IFERROR(V105/U105-1,"")))</f>
        <v/>
      </c>
      <c r="W106" s="15">
        <f>IF(OR(W105="",V105=""),"",IF(W105*V105&lt;=0,"",IFERROR(W105/V105-1,"")))</f>
        <v/>
      </c>
      <c r="X106" s="15">
        <f>IF(OR(X105="",W105=""),"",IF(X105*W105&lt;=0,"",IFERROR(X105/W105-1,"")))</f>
        <v/>
      </c>
    </row>
    <row r="107">
      <c r="A107" s="9" t="inlineStr">
        <is>
          <t>영업이익(손실)</t>
        </is>
      </c>
      <c r="C107" s="12" t="n">
        <v>208</v>
      </c>
      <c r="D107" s="12" t="n">
        <v>-379</v>
      </c>
      <c r="E107" s="12" t="n">
        <v>-687</v>
      </c>
      <c r="F107" s="12" t="n">
        <v>-64</v>
      </c>
      <c r="G107" s="12" t="n">
        <v>172</v>
      </c>
      <c r="H107" s="12" t="n">
        <v>-183</v>
      </c>
      <c r="I107" s="12" t="n">
        <v>-145</v>
      </c>
      <c r="J107" s="12" t="n">
        <v>-280</v>
      </c>
      <c r="K107" s="12" t="n">
        <v>163</v>
      </c>
      <c r="L107" s="12" t="n">
        <v>589</v>
      </c>
      <c r="M107" s="12" t="n">
        <v>-42</v>
      </c>
      <c r="N107" s="12" t="n">
        <v>6</v>
      </c>
      <c r="T107" s="12" t="n">
        <v>15</v>
      </c>
      <c r="U107" s="12" t="n">
        <v>-348</v>
      </c>
      <c r="V107" s="12" t="n">
        <v>-687</v>
      </c>
      <c r="W107" s="12" t="n">
        <v>-145</v>
      </c>
      <c r="X107" s="12" t="n">
        <v>-42</v>
      </c>
    </row>
    <row r="108">
      <c r="A108" s="43" t="inlineStr">
        <is>
          <t>OPM</t>
        </is>
      </c>
      <c r="B108" s="3" t="inlineStr">
        <is>
          <t>영업이익 ÷ 매출</t>
        </is>
      </c>
      <c r="C108" s="15">
        <f>IF(OR(C107="",C99=""),"",IF(C99&lt;=0,"",IFERROR(C107/C99,"")))</f>
        <v/>
      </c>
      <c r="D108" s="15">
        <f>IF(OR(D107="",D99=""),"",IF(D99&lt;=0,"",IFERROR(D107/D99,"")))</f>
        <v/>
      </c>
      <c r="E108" s="15">
        <f>IF(OR(E107="",E99=""),"",IF(E99&lt;=0,"",IFERROR(E107/E99,"")))</f>
        <v/>
      </c>
      <c r="F108" s="15">
        <f>IF(OR(F107="",F99=""),"",IF(F99&lt;=0,"",IFERROR(F107/F99,"")))</f>
        <v/>
      </c>
      <c r="G108" s="15">
        <f>IF(OR(G107="",G99=""),"",IF(G99&lt;=0,"",IFERROR(G107/G99,"")))</f>
        <v/>
      </c>
      <c r="H108" s="15">
        <f>IF(OR(H107="",H99=""),"",IF(H99&lt;=0,"",IFERROR(H107/H99,"")))</f>
        <v/>
      </c>
      <c r="I108" s="15">
        <f>IF(OR(I107="",I99=""),"",IF(I99&lt;=0,"",IFERROR(I107/I99,"")))</f>
        <v/>
      </c>
      <c r="J108" s="15">
        <f>IF(OR(J107="",J99=""),"",IF(J99&lt;=0,"",IFERROR(J107/J99,"")))</f>
        <v/>
      </c>
      <c r="K108" s="15">
        <f>IF(OR(K107="",K99=""),"",IF(K99&lt;=0,"",IFERROR(K107/K99,"")))</f>
        <v/>
      </c>
      <c r="L108" s="15">
        <f>IF(OR(L107="",L99=""),"",IF(L99&lt;=0,"",IFERROR(L107/L99,"")))</f>
        <v/>
      </c>
      <c r="M108" s="15">
        <f>IF(OR(M107="",M99=""),"",IF(M99&lt;=0,"",IFERROR(M107/M99,"")))</f>
        <v/>
      </c>
      <c r="N108" s="15">
        <f>IF(OR(N107="",N99=""),"",IF(N99&lt;=0,"",IFERROR(N107/N99,"")))</f>
        <v/>
      </c>
      <c r="T108" s="15">
        <f>IF(OR(T107="",T99=""),"",IF(T99&lt;=0,"",IFERROR(T107/T99,"")))</f>
        <v/>
      </c>
      <c r="U108" s="15">
        <f>IF(OR(U107="",U99=""),"",IF(U99&lt;=0,"",IFERROR(U107/U99,"")))</f>
        <v/>
      </c>
      <c r="V108" s="15">
        <f>IF(OR(V107="",V99=""),"",IF(V99&lt;=0,"",IFERROR(V107/V99,"")))</f>
        <v/>
      </c>
      <c r="W108" s="15">
        <f>IF(OR(W107="",W99=""),"",IF(W99&lt;=0,"",IFERROR(W107/W99,"")))</f>
        <v/>
      </c>
      <c r="X108" s="15">
        <f>IF(OR(X107="",X99=""),"",IF(X99&lt;=0,"",IFERROR(X107/X99,"")))</f>
        <v/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IF(OR(G107="",C107=""),"",IF(C107&lt;=0,"",IFERROR(G107/C107-1,"")))</f>
        <v/>
      </c>
      <c r="H109" s="15">
        <f>IF(OR(H107="",D107=""),"",IF(D107&lt;=0,"",IFERROR(H107/D107-1,"")))</f>
        <v/>
      </c>
      <c r="I109" s="15">
        <f>IF(OR(I107="",E107=""),"",IF(E107&lt;=0,"",IFERROR(I107/E107-1,"")))</f>
        <v/>
      </c>
      <c r="J109" s="15">
        <f>IF(OR(J107="",F107=""),"",IF(F107&lt;=0,"",IFERROR(J107/F107-1,"")))</f>
        <v/>
      </c>
      <c r="K109" s="15">
        <f>IF(OR(K107="",G107=""),"",IF(G107&lt;=0,"",IFERROR(K107/G107-1,"")))</f>
        <v/>
      </c>
      <c r="L109" s="15">
        <f>IF(OR(L107="",H107=""),"",IF(H107&lt;=0,"",IFERROR(L107/H107-1,"")))</f>
        <v/>
      </c>
      <c r="M109" s="15">
        <f>IF(OR(M107="",I107=""),"",IF(I107&lt;=0,"",IFERROR(M107/I107-1,"")))</f>
        <v/>
      </c>
      <c r="N109" s="15">
        <f>IF(OR(N107="",J107=""),"",IF(J107&lt;=0,"",IFERROR(N107/J107-1,"")))</f>
        <v/>
      </c>
      <c r="T109" s="15">
        <f>IF(OR(T107="",S107=""),"",IF(S107&lt;=0,"",IFERROR(T107/S107-1,"")))</f>
        <v/>
      </c>
      <c r="U109" s="15">
        <f>IF(OR(U107="",T107=""),"",IF(T107&lt;=0,"",IFERROR(U107/T107-1,"")))</f>
        <v/>
      </c>
      <c r="V109" s="15">
        <f>IF(OR(V107="",U107=""),"",IF(U107&lt;=0,"",IFERROR(V107/U107-1,"")))</f>
        <v/>
      </c>
      <c r="W109" s="15">
        <f>IF(OR(W107="",V107=""),"",IF(V107&lt;=0,"",IFERROR(W107/V107-1,"")))</f>
        <v/>
      </c>
      <c r="X109" s="15">
        <f>IF(OR(X107="",W107=""),"",IF(W107&lt;=0,"",IFERROR(X107/W107-1,"")))</f>
        <v/>
      </c>
    </row>
    <row r="110">
      <c r="A110" s="18" t="inlineStr">
        <is>
          <t>이자수익</t>
        </is>
      </c>
      <c r="C110" s="20" t="n">
        <v>34</v>
      </c>
      <c r="D110" s="20" t="n">
        <v>20</v>
      </c>
      <c r="E110" s="20" t="n">
        <v>35</v>
      </c>
      <c r="F110" s="20" t="n">
        <v>25</v>
      </c>
      <c r="G110" s="20" t="n">
        <v>64</v>
      </c>
      <c r="H110" s="20" t="n">
        <v>32</v>
      </c>
      <c r="I110" s="20" t="n">
        <v>51</v>
      </c>
      <c r="J110" s="20" t="n">
        <v>28</v>
      </c>
      <c r="K110" s="20" t="n">
        <v>45</v>
      </c>
      <c r="L110" s="20" t="n">
        <v>19</v>
      </c>
      <c r="M110" s="20" t="n">
        <v>56</v>
      </c>
      <c r="N110" s="20" t="n">
        <v>20</v>
      </c>
      <c r="T110" s="20" t="n">
        <v>5</v>
      </c>
      <c r="U110" s="20" t="n">
        <v>23</v>
      </c>
      <c r="V110" s="20" t="n">
        <v>35</v>
      </c>
      <c r="W110" s="20" t="n">
        <v>51</v>
      </c>
      <c r="X110" s="20" t="n">
        <v>56</v>
      </c>
    </row>
    <row r="111">
      <c r="A111" s="18" t="inlineStr">
        <is>
          <t>배당금수익</t>
        </is>
      </c>
      <c r="C111" s="20" t="n">
        <v>2</v>
      </c>
      <c r="D111" s="20" t="n">
        <v>31</v>
      </c>
      <c r="E111" s="20" t="n">
        <v>0</v>
      </c>
      <c r="F111" s="20" t="n">
        <v>24</v>
      </c>
      <c r="G111" s="20" t="n">
        <v>1</v>
      </c>
      <c r="H111" s="20" t="n">
        <v>23</v>
      </c>
      <c r="I111" s="20" t="n">
        <v>4</v>
      </c>
      <c r="J111" s="20" t="n">
        <v>28</v>
      </c>
      <c r="K111" s="20" t="n">
        <v>4</v>
      </c>
      <c r="L111" s="20" t="n">
        <v>26</v>
      </c>
      <c r="M111" s="20" t="n">
        <v>0</v>
      </c>
      <c r="N111" s="20" t="n">
        <v>32</v>
      </c>
      <c r="T111" s="20" t="n">
        <v>0</v>
      </c>
      <c r="U111" s="20" t="n">
        <v>0</v>
      </c>
      <c r="V111" s="20" t="n">
        <v>0</v>
      </c>
      <c r="W111" s="20" t="n">
        <v>4</v>
      </c>
      <c r="X111" s="20" t="n">
        <v>0</v>
      </c>
    </row>
    <row r="112">
      <c r="A112" s="18" t="inlineStr">
        <is>
          <t>지분법이익</t>
        </is>
      </c>
      <c r="J112" s="20" t="n">
        <v>23</v>
      </c>
      <c r="N112" s="20" t="n">
        <v>111</v>
      </c>
    </row>
    <row r="113">
      <c r="A113" s="18" t="inlineStr">
        <is>
          <t>부동산 임대료</t>
        </is>
      </c>
      <c r="C113" s="20" t="n">
        <v>242</v>
      </c>
      <c r="D113" s="20" t="n">
        <v>246</v>
      </c>
      <c r="E113" s="20" t="n">
        <v>254</v>
      </c>
      <c r="F113" s="20" t="n">
        <v>254</v>
      </c>
      <c r="G113" s="20" t="n">
        <v>256</v>
      </c>
      <c r="H113" s="20" t="n">
        <v>256</v>
      </c>
      <c r="I113" s="20" t="n">
        <v>257</v>
      </c>
      <c r="J113" s="20" t="n">
        <v>259</v>
      </c>
      <c r="K113" s="20" t="n">
        <v>259</v>
      </c>
      <c r="L113" s="20" t="n">
        <v>271</v>
      </c>
      <c r="M113" s="20" t="n">
        <v>271</v>
      </c>
      <c r="N113" s="20" t="n">
        <v>272</v>
      </c>
      <c r="T113" s="20" t="n">
        <v>263</v>
      </c>
      <c r="U113" s="20" t="n">
        <v>245</v>
      </c>
      <c r="V113" s="20" t="n">
        <v>254</v>
      </c>
      <c r="W113" s="20" t="n">
        <v>257</v>
      </c>
      <c r="X113" s="20" t="n">
        <v>271</v>
      </c>
    </row>
    <row r="114">
      <c r="A114" s="18" t="inlineStr">
        <is>
          <t>외환차익</t>
        </is>
      </c>
      <c r="C114" s="20" t="n">
        <v>101</v>
      </c>
      <c r="D114" s="20" t="n">
        <v>-759</v>
      </c>
      <c r="E114" s="20" t="n">
        <v>872</v>
      </c>
      <c r="F114" s="20" t="n">
        <v>887</v>
      </c>
      <c r="G114" s="20" t="n">
        <v>-887</v>
      </c>
      <c r="H114" s="20" t="n">
        <v>733</v>
      </c>
      <c r="I114" s="20" t="n">
        <v>-679</v>
      </c>
      <c r="J114" s="20" t="n">
        <v>0</v>
      </c>
      <c r="M114" s="20" t="n">
        <v>85</v>
      </c>
      <c r="N114" s="20" t="n">
        <v>25</v>
      </c>
      <c r="T114" s="20" t="n">
        <v>891</v>
      </c>
      <c r="U114" s="20" t="n">
        <v>-112</v>
      </c>
      <c r="V114" s="20" t="n">
        <v>872</v>
      </c>
      <c r="W114" s="20" t="n">
        <v>-679</v>
      </c>
      <c r="X114" s="20" t="n">
        <v>85</v>
      </c>
    </row>
    <row r="115">
      <c r="A115" s="18" t="inlineStr">
        <is>
          <t>고용조정 보조금</t>
        </is>
      </c>
      <c r="T115" s="20" t="n">
        <v>66</v>
      </c>
      <c r="U115" s="20" t="n">
        <v>7</v>
      </c>
    </row>
    <row r="116">
      <c r="A116" s="18" t="inlineStr">
        <is>
          <t>기타</t>
        </is>
      </c>
      <c r="C116" s="20" t="n">
        <v>63</v>
      </c>
      <c r="D116" s="20" t="n">
        <v>-25</v>
      </c>
      <c r="E116" s="20" t="n">
        <v>42</v>
      </c>
      <c r="F116" s="20" t="n">
        <v>22</v>
      </c>
      <c r="G116" s="20" t="n">
        <v>198</v>
      </c>
      <c r="H116" s="20" t="n">
        <v>-25</v>
      </c>
      <c r="I116" s="20" t="n">
        <v>167</v>
      </c>
      <c r="J116" s="20" t="n">
        <v>67</v>
      </c>
      <c r="K116" s="20" t="n">
        <v>96</v>
      </c>
      <c r="L116" s="20" t="n">
        <v>179</v>
      </c>
      <c r="M116" s="20" t="n">
        <v>5</v>
      </c>
      <c r="N116" s="20" t="n">
        <v>68</v>
      </c>
      <c r="T116" s="20" t="n">
        <v>201</v>
      </c>
      <c r="U116" s="20" t="n">
        <v>124</v>
      </c>
      <c r="V116" s="20" t="n">
        <v>42</v>
      </c>
      <c r="W116" s="20" t="n">
        <v>167</v>
      </c>
      <c r="X116" s="20" t="n">
        <v>5</v>
      </c>
    </row>
    <row r="117">
      <c r="A117" s="18" t="inlineStr">
        <is>
          <t>영업외수익 합계</t>
        </is>
      </c>
      <c r="C117" s="20" t="n">
        <v>441</v>
      </c>
      <c r="D117" s="20" t="n">
        <v>-487</v>
      </c>
      <c r="E117" s="20" t="n">
        <v>1203</v>
      </c>
      <c r="F117" s="20" t="n">
        <v>1214</v>
      </c>
      <c r="G117" s="20" t="n">
        <v>-368</v>
      </c>
      <c r="H117" s="20" t="n">
        <v>1018</v>
      </c>
      <c r="I117" s="20" t="n">
        <v>-199</v>
      </c>
      <c r="J117" s="20" t="n">
        <v>407</v>
      </c>
      <c r="K117" s="20" t="n">
        <v>380</v>
      </c>
      <c r="L117" s="20" t="n">
        <v>530</v>
      </c>
      <c r="M117" s="20" t="n">
        <v>417</v>
      </c>
      <c r="N117" s="20" t="n">
        <v>531</v>
      </c>
      <c r="T117" s="20" t="n">
        <v>1425</v>
      </c>
      <c r="U117" s="20" t="n">
        <v>280</v>
      </c>
      <c r="V117" s="20" t="n">
        <v>1203</v>
      </c>
      <c r="W117" s="20" t="n">
        <v>-199</v>
      </c>
      <c r="X117" s="20" t="n">
        <v>417</v>
      </c>
    </row>
    <row r="118">
      <c r="A118" s="43" t="inlineStr">
        <is>
          <t>YoY</t>
        </is>
      </c>
      <c r="B118" s="3" t="inlineStr">
        <is>
          <t>전년 같은 분기·전년 대비</t>
        </is>
      </c>
      <c r="G118" s="15">
        <f>IF(OR(G117="",C117=""),"",IF(G117*C117&lt;=0,"",IFERROR(G117/C117-1,"")))</f>
        <v/>
      </c>
      <c r="H118" s="15">
        <f>IF(OR(H117="",D117=""),"",IF(H117*D117&lt;=0,"",IFERROR(H117/D117-1,"")))</f>
        <v/>
      </c>
      <c r="I118" s="15">
        <f>IF(OR(I117="",E117=""),"",IF(I117*E117&lt;=0,"",IFERROR(I117/E117-1,"")))</f>
        <v/>
      </c>
      <c r="J118" s="15">
        <f>IF(OR(J117="",F117=""),"",IF(J117*F117&lt;=0,"",IFERROR(J117/F117-1,"")))</f>
        <v/>
      </c>
      <c r="K118" s="15">
        <f>IF(OR(K117="",G117=""),"",IF(K117*G117&lt;=0,"",IFERROR(K117/G117-1,"")))</f>
        <v/>
      </c>
      <c r="L118" s="15">
        <f>IF(OR(L117="",H117=""),"",IF(L117*H117&lt;=0,"",IFERROR(L117/H117-1,"")))</f>
        <v/>
      </c>
      <c r="M118" s="15">
        <f>IF(OR(M117="",I117=""),"",IF(M117*I117&lt;=0,"",IFERROR(M117/I117-1,"")))</f>
        <v/>
      </c>
      <c r="N118" s="15">
        <f>IF(OR(N117="",J117=""),"",IF(N117*J117&lt;=0,"",IFERROR(N117/J117-1,"")))</f>
        <v/>
      </c>
      <c r="T118" s="15">
        <f>IF(OR(T117="",S117=""),"",IF(T117*S117&lt;=0,"",IFERROR(T117/S117-1,"")))</f>
        <v/>
      </c>
      <c r="U118" s="15">
        <f>IF(OR(U117="",T117=""),"",IF(U117*T117&lt;=0,"",IFERROR(U117/T117-1,"")))</f>
        <v/>
      </c>
      <c r="V118" s="15">
        <f>IF(OR(V117="",U117=""),"",IF(V117*U117&lt;=0,"",IFERROR(V117/U117-1,"")))</f>
        <v/>
      </c>
      <c r="W118" s="15">
        <f>IF(OR(W117="",V117=""),"",IF(W117*V117&lt;=0,"",IFERROR(W117/V117-1,"")))</f>
        <v/>
      </c>
      <c r="X118" s="15">
        <f>IF(OR(X117="",W117=""),"",IF(X117*W117&lt;=0,"",IFERROR(X117/W117-1,"")))</f>
        <v/>
      </c>
    </row>
    <row r="119">
      <c r="A119" s="18" t="inlineStr">
        <is>
          <t>이자비용</t>
        </is>
      </c>
      <c r="C119" s="20" t="n">
        <v>37</v>
      </c>
      <c r="D119" s="20" t="n">
        <v>53</v>
      </c>
      <c r="E119" s="20" t="n">
        <v>35</v>
      </c>
      <c r="F119" s="20" t="n">
        <v>49</v>
      </c>
      <c r="G119" s="20" t="n">
        <v>58</v>
      </c>
      <c r="H119" s="20" t="n">
        <v>47</v>
      </c>
      <c r="I119" s="20" t="n">
        <v>67</v>
      </c>
      <c r="J119" s="20" t="n">
        <v>56</v>
      </c>
      <c r="K119" s="20" t="n">
        <v>66</v>
      </c>
      <c r="L119" s="20" t="n">
        <v>62</v>
      </c>
      <c r="M119" s="20" t="n">
        <v>66</v>
      </c>
      <c r="N119" s="20" t="n">
        <v>69</v>
      </c>
      <c r="T119" s="20" t="n">
        <v>25</v>
      </c>
      <c r="U119" s="20" t="n">
        <v>54</v>
      </c>
      <c r="V119" s="20" t="n">
        <v>35</v>
      </c>
      <c r="W119" s="20" t="n">
        <v>67</v>
      </c>
      <c r="X119" s="20" t="n">
        <v>66</v>
      </c>
    </row>
    <row r="120">
      <c r="A120" s="18" t="inlineStr">
        <is>
          <t>부동산 임대원가</t>
        </is>
      </c>
      <c r="C120" s="20" t="n">
        <v>136</v>
      </c>
      <c r="D120" s="20" t="n">
        <v>146</v>
      </c>
      <c r="E120" s="20" t="n">
        <v>162</v>
      </c>
      <c r="F120" s="20" t="n">
        <v>137</v>
      </c>
      <c r="G120" s="20" t="n">
        <v>147</v>
      </c>
      <c r="H120" s="20" t="n">
        <v>142</v>
      </c>
      <c r="I120" s="20" t="n">
        <v>167</v>
      </c>
      <c r="J120" s="20" t="n">
        <v>141</v>
      </c>
      <c r="K120" s="20" t="n">
        <v>142</v>
      </c>
      <c r="L120" s="20" t="n">
        <v>168</v>
      </c>
      <c r="M120" s="20" t="n">
        <v>183</v>
      </c>
      <c r="N120" s="20" t="n">
        <v>155</v>
      </c>
      <c r="T120" s="20" t="n">
        <v>144</v>
      </c>
      <c r="U120" s="20" t="n">
        <v>144</v>
      </c>
      <c r="V120" s="20" t="n">
        <v>162</v>
      </c>
      <c r="W120" s="20" t="n">
        <v>167</v>
      </c>
      <c r="X120" s="20" t="n">
        <v>183</v>
      </c>
    </row>
    <row r="121">
      <c r="A121" s="18" t="inlineStr">
        <is>
          <t>투자조합 운용손실</t>
        </is>
      </c>
      <c r="C121" s="20" t="n">
        <v>0</v>
      </c>
      <c r="D121" s="20" t="n">
        <v>2</v>
      </c>
      <c r="E121" s="20" t="n">
        <v>110</v>
      </c>
      <c r="T121" s="20" t="n">
        <v>0</v>
      </c>
      <c r="U121" s="20" t="n">
        <v>75</v>
      </c>
      <c r="V121" s="20" t="n">
        <v>110</v>
      </c>
    </row>
    <row r="122">
      <c r="A122" s="18" t="inlineStr">
        <is>
          <t>외환차손</t>
        </is>
      </c>
      <c r="F122" s="20" t="n">
        <v>0</v>
      </c>
      <c r="G122" s="20" t="n">
        <v>466</v>
      </c>
      <c r="J122" s="20" t="n">
        <v>514</v>
      </c>
      <c r="K122" s="20" t="n">
        <v>-147</v>
      </c>
      <c r="N122" s="20" t="n">
        <v>0</v>
      </c>
    </row>
    <row r="123">
      <c r="A123" s="18" t="inlineStr">
        <is>
          <t>기타</t>
        </is>
      </c>
      <c r="C123" s="20" t="n">
        <v>51</v>
      </c>
      <c r="D123" s="20" t="n">
        <v>14</v>
      </c>
      <c r="E123" s="20" t="n">
        <v>14</v>
      </c>
      <c r="F123" s="20" t="n">
        <v>11</v>
      </c>
      <c r="G123" s="20" t="n">
        <v>11</v>
      </c>
      <c r="H123" s="20" t="n">
        <v>5</v>
      </c>
      <c r="I123" s="20" t="n">
        <v>53</v>
      </c>
      <c r="J123" s="20" t="n">
        <v>33</v>
      </c>
      <c r="K123" s="20" t="n">
        <v>-10</v>
      </c>
      <c r="L123" s="20" t="n">
        <v>7</v>
      </c>
      <c r="M123" s="20" t="n">
        <v>-2</v>
      </c>
      <c r="N123" s="20" t="n">
        <v>5</v>
      </c>
      <c r="T123" s="20" t="n">
        <v>126</v>
      </c>
      <c r="U123" s="20" t="n">
        <v>15</v>
      </c>
      <c r="V123" s="20" t="n">
        <v>14</v>
      </c>
      <c r="W123" s="20" t="n">
        <v>53</v>
      </c>
      <c r="X123" s="20" t="n">
        <v>-2</v>
      </c>
    </row>
    <row r="124">
      <c r="A124" s="18" t="inlineStr">
        <is>
          <t>영업외비용 합계</t>
        </is>
      </c>
      <c r="C124" s="20" t="n">
        <v>225</v>
      </c>
      <c r="D124" s="20" t="n">
        <v>214</v>
      </c>
      <c r="E124" s="20" t="n">
        <v>328</v>
      </c>
      <c r="F124" s="20" t="n">
        <v>198</v>
      </c>
      <c r="G124" s="20" t="n">
        <v>682</v>
      </c>
      <c r="H124" s="20" t="n">
        <v>-272</v>
      </c>
      <c r="I124" s="20" t="n">
        <v>287</v>
      </c>
      <c r="J124" s="20" t="n">
        <v>745</v>
      </c>
      <c r="K124" s="20" t="n">
        <v>50</v>
      </c>
      <c r="L124" s="20" t="n">
        <v>-129</v>
      </c>
      <c r="M124" s="20" t="n">
        <v>255</v>
      </c>
      <c r="N124" s="20" t="n">
        <v>230</v>
      </c>
      <c r="T124" s="20" t="n">
        <v>295</v>
      </c>
      <c r="U124" s="20" t="n">
        <v>287</v>
      </c>
      <c r="V124" s="20" t="n">
        <v>328</v>
      </c>
      <c r="W124" s="20" t="n">
        <v>287</v>
      </c>
      <c r="X124" s="20" t="n">
        <v>255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IF(OR(G124="",C124=""),"",IF(G124*C124&lt;=0,"",IFERROR(G124/C124-1,"")))</f>
        <v/>
      </c>
      <c r="H125" s="15">
        <f>IF(OR(H124="",D124=""),"",IF(H124*D124&lt;=0,"",IFERROR(H124/D124-1,"")))</f>
        <v/>
      </c>
      <c r="I125" s="15">
        <f>IF(OR(I124="",E124=""),"",IF(I124*E124&lt;=0,"",IFERROR(I124/E124-1,"")))</f>
        <v/>
      </c>
      <c r="J125" s="15">
        <f>IF(OR(J124="",F124=""),"",IF(J124*F124&lt;=0,"",IFERROR(J124/F124-1,"")))</f>
        <v/>
      </c>
      <c r="K125" s="15">
        <f>IF(OR(K124="",G124=""),"",IF(K124*G124&lt;=0,"",IFERROR(K124/G124-1,"")))</f>
        <v/>
      </c>
      <c r="L125" s="15">
        <f>IF(OR(L124="",H124=""),"",IF(L124*H124&lt;=0,"",IFERROR(L124/H124-1,"")))</f>
        <v/>
      </c>
      <c r="M125" s="15">
        <f>IF(OR(M124="",I124=""),"",IF(M124*I124&lt;=0,"",IFERROR(M124/I124-1,"")))</f>
        <v/>
      </c>
      <c r="N125" s="15">
        <f>IF(OR(N124="",J124=""),"",IF(N124*J124&lt;=0,"",IFERROR(N124/J124-1,"")))</f>
        <v/>
      </c>
      <c r="T125" s="15">
        <f>IF(OR(T124="",S124=""),"",IF(T124*S124&lt;=0,"",IFERROR(T124/S124-1,"")))</f>
        <v/>
      </c>
      <c r="U125" s="15">
        <f>IF(OR(U124="",T124=""),"",IF(U124*T124&lt;=0,"",IFERROR(U124/T124-1,"")))</f>
        <v/>
      </c>
      <c r="V125" s="15">
        <f>IF(OR(V124="",U124=""),"",IF(V124*U124&lt;=0,"",IFERROR(V124/U124-1,"")))</f>
        <v/>
      </c>
      <c r="W125" s="15">
        <f>IF(OR(W124="",V124=""),"",IF(W124*V124&lt;=0,"",IFERROR(W124/V124-1,"")))</f>
        <v/>
      </c>
      <c r="X125" s="15">
        <f>IF(OR(X124="",W124=""),"",IF(X124*W124&lt;=0,"",IFERROR(X124/W124-1,"")))</f>
        <v/>
      </c>
    </row>
    <row r="126">
      <c r="A126" s="9" t="inlineStr">
        <is>
          <t>경상이익(손실)</t>
        </is>
      </c>
      <c r="C126" s="12" t="n">
        <v>424</v>
      </c>
      <c r="D126" s="12" t="n">
        <v>-1079</v>
      </c>
      <c r="E126" s="12" t="n">
        <v>187</v>
      </c>
      <c r="F126" s="12" t="n">
        <v>952</v>
      </c>
      <c r="G126" s="12" t="n">
        <v>-878</v>
      </c>
      <c r="H126" s="12" t="n">
        <v>1106</v>
      </c>
      <c r="I126" s="12" t="n">
        <v>-631</v>
      </c>
      <c r="J126" s="12" t="n">
        <v>-618</v>
      </c>
      <c r="K126" s="12" t="n">
        <v>493</v>
      </c>
      <c r="L126" s="12" t="n">
        <v>1247</v>
      </c>
      <c r="M126" s="12" t="n">
        <v>121</v>
      </c>
      <c r="N126" s="12" t="n">
        <v>307</v>
      </c>
      <c r="T126" s="12" t="n">
        <v>1146</v>
      </c>
      <c r="U126" s="12" t="n">
        <v>-356</v>
      </c>
      <c r="V126" s="12" t="n">
        <v>187</v>
      </c>
      <c r="W126" s="12" t="n">
        <v>-631</v>
      </c>
      <c r="X126" s="12" t="n">
        <v>121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IF(OR(G126="",C126=""),"",IF(C126&lt;=0,"",IFERROR(G126/C126-1,"")))</f>
        <v/>
      </c>
      <c r="H127" s="15">
        <f>IF(OR(H126="",D126=""),"",IF(D126&lt;=0,"",IFERROR(H126/D126-1,"")))</f>
        <v/>
      </c>
      <c r="I127" s="15">
        <f>IF(OR(I126="",E126=""),"",IF(E126&lt;=0,"",IFERROR(I126/E126-1,"")))</f>
        <v/>
      </c>
      <c r="J127" s="15">
        <f>IF(OR(J126="",F126=""),"",IF(F126&lt;=0,"",IFERROR(J126/F126-1,"")))</f>
        <v/>
      </c>
      <c r="K127" s="15">
        <f>IF(OR(K126="",G126=""),"",IF(G126&lt;=0,"",IFERROR(K126/G126-1,"")))</f>
        <v/>
      </c>
      <c r="L127" s="15">
        <f>IF(OR(L126="",H126=""),"",IF(H126&lt;=0,"",IFERROR(L126/H126-1,"")))</f>
        <v/>
      </c>
      <c r="M127" s="15">
        <f>IF(OR(M126="",I126=""),"",IF(I126&lt;=0,"",IFERROR(M126/I126-1,"")))</f>
        <v/>
      </c>
      <c r="N127" s="15">
        <f>IF(OR(N126="",J126=""),"",IF(J126&lt;=0,"",IFERROR(N126/J126-1,"")))</f>
        <v/>
      </c>
      <c r="T127" s="15">
        <f>IF(OR(T126="",S126=""),"",IF(S126&lt;=0,"",IFERROR(T126/S126-1,"")))</f>
        <v/>
      </c>
      <c r="U127" s="15">
        <f>IF(OR(U126="",T126=""),"",IF(T126&lt;=0,"",IFERROR(U126/T126-1,"")))</f>
        <v/>
      </c>
      <c r="V127" s="15">
        <f>IF(OR(V126="",U126=""),"",IF(U126&lt;=0,"",IFERROR(V126/U126-1,"")))</f>
        <v/>
      </c>
      <c r="W127" s="15">
        <f>IF(OR(W126="",V126=""),"",IF(V126&lt;=0,"",IFERROR(W126/V126-1,"")))</f>
        <v/>
      </c>
      <c r="X127" s="15">
        <f>IF(OR(X126="",W126=""),"",IF(W126&lt;=0,"",IFERROR(X126/W126-1,"")))</f>
        <v/>
      </c>
    </row>
    <row r="128">
      <c r="A128" s="18" t="inlineStr">
        <is>
          <t>고정자산 매각이익</t>
        </is>
      </c>
      <c r="C128" s="20" t="n">
        <v>182</v>
      </c>
      <c r="D128" s="20" t="n">
        <v>0</v>
      </c>
      <c r="E128" s="20" t="n">
        <v>1</v>
      </c>
      <c r="F128" s="20" t="n">
        <v>5</v>
      </c>
      <c r="G128" s="20" t="n">
        <v>0</v>
      </c>
      <c r="H128" s="20" t="n">
        <v>1</v>
      </c>
      <c r="I128" s="20" t="n">
        <v>1</v>
      </c>
      <c r="J128" s="20" t="n">
        <v>0</v>
      </c>
      <c r="K128" s="20" t="n">
        <v>0</v>
      </c>
      <c r="L128" s="20" t="n">
        <v>1</v>
      </c>
      <c r="M128" s="20" t="n">
        <v>0</v>
      </c>
      <c r="N128" s="20" t="n">
        <v>0</v>
      </c>
      <c r="T128" s="20" t="n">
        <v>17</v>
      </c>
      <c r="U128" s="20" t="n">
        <v>2</v>
      </c>
      <c r="V128" s="20" t="n">
        <v>1</v>
      </c>
      <c r="W128" s="20" t="n">
        <v>1</v>
      </c>
      <c r="X128" s="20" t="n">
        <v>0</v>
      </c>
    </row>
    <row r="129">
      <c r="A129" s="18" t="inlineStr">
        <is>
          <t>투자유가증권 매각이익</t>
        </is>
      </c>
      <c r="H129" s="20" t="n">
        <v>0</v>
      </c>
      <c r="I129" s="20" t="n">
        <v>0</v>
      </c>
      <c r="L129" s="20" t="n">
        <v>0</v>
      </c>
      <c r="M129" s="20" t="n">
        <v>5</v>
      </c>
      <c r="W129" s="20" t="n">
        <v>0</v>
      </c>
      <c r="X129" s="20" t="n">
        <v>5</v>
      </c>
    </row>
    <row r="130">
      <c r="A130" s="18" t="inlineStr">
        <is>
          <t>기타</t>
        </is>
      </c>
      <c r="D130" s="20" t="n">
        <v>0</v>
      </c>
      <c r="E130" s="20" t="n">
        <v>0</v>
      </c>
      <c r="H130" s="20" t="n">
        <v>0</v>
      </c>
      <c r="I130" s="20" t="n">
        <v>0</v>
      </c>
      <c r="U130" s="20" t="n">
        <v>0</v>
      </c>
      <c r="V130" s="20" t="n">
        <v>0</v>
      </c>
      <c r="W130" s="20" t="n">
        <v>0</v>
      </c>
    </row>
    <row r="131">
      <c r="A131" s="18" t="inlineStr">
        <is>
          <t>특별이익 합계</t>
        </is>
      </c>
      <c r="C131" s="20" t="n">
        <v>183</v>
      </c>
      <c r="D131" s="20" t="n">
        <v>1</v>
      </c>
      <c r="E131" s="20" t="n">
        <v>275</v>
      </c>
      <c r="F131" s="20" t="n">
        <v>5</v>
      </c>
      <c r="G131" s="20" t="n">
        <v>0</v>
      </c>
      <c r="H131" s="20" t="n">
        <v>1</v>
      </c>
      <c r="I131" s="20" t="n">
        <v>1</v>
      </c>
      <c r="J131" s="20" t="n">
        <v>0</v>
      </c>
      <c r="K131" s="20" t="n">
        <v>7</v>
      </c>
      <c r="L131" s="20" t="n">
        <v>1</v>
      </c>
      <c r="M131" s="20" t="n">
        <v>6</v>
      </c>
      <c r="N131" s="20" t="n">
        <v>0</v>
      </c>
      <c r="T131" s="20" t="n">
        <v>17</v>
      </c>
      <c r="U131" s="20" t="n">
        <v>5</v>
      </c>
      <c r="V131" s="20" t="n">
        <v>275</v>
      </c>
      <c r="W131" s="20" t="n">
        <v>1</v>
      </c>
      <c r="X131" s="20" t="n">
        <v>6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IF(OR(G131="",C131=""),"",IF(G131*C131&lt;=0,"",IFERROR(G131/C131-1,"")))</f>
        <v/>
      </c>
      <c r="H132" s="15">
        <f>IF(OR(H131="",D131=""),"",IF(H131*D131&lt;=0,"",IFERROR(H131/D131-1,"")))</f>
        <v/>
      </c>
      <c r="I132" s="15">
        <f>IF(OR(I131="",E131=""),"",IF(I131*E131&lt;=0,"",IFERROR(I131/E131-1,"")))</f>
        <v/>
      </c>
      <c r="J132" s="15">
        <f>IF(OR(J131="",F131=""),"",IF(J131*F131&lt;=0,"",IFERROR(J131/F131-1,"")))</f>
        <v/>
      </c>
      <c r="K132" s="15">
        <f>IF(OR(K131="",G131=""),"",IF(K131*G131&lt;=0,"",IFERROR(K131/G131-1,"")))</f>
        <v/>
      </c>
      <c r="L132" s="15">
        <f>IF(OR(L131="",H131=""),"",IF(L131*H131&lt;=0,"",IFERROR(L131/H131-1,"")))</f>
        <v/>
      </c>
      <c r="M132" s="15">
        <f>IF(OR(M131="",I131=""),"",IF(M131*I131&lt;=0,"",IFERROR(M131/I131-1,"")))</f>
        <v/>
      </c>
      <c r="N132" s="15">
        <f>IF(OR(N131="",J131=""),"",IF(N131*J131&lt;=0,"",IFERROR(N131/J131-1,"")))</f>
        <v/>
      </c>
      <c r="T132" s="15">
        <f>IF(OR(T131="",S131=""),"",IF(T131*S131&lt;=0,"",IFERROR(T131/S131-1,"")))</f>
        <v/>
      </c>
      <c r="U132" s="15">
        <f>IF(OR(U131="",T131=""),"",IF(U131*T131&lt;=0,"",IFERROR(U131/T131-1,"")))</f>
        <v/>
      </c>
      <c r="V132" s="15">
        <f>IF(OR(V131="",U131=""),"",IF(V131*U131&lt;=0,"",IFERROR(V131/U131-1,"")))</f>
        <v/>
      </c>
      <c r="W132" s="15">
        <f>IF(OR(W131="",V131=""),"",IF(W131*V131&lt;=0,"",IFERROR(W131/V131-1,"")))</f>
        <v/>
      </c>
      <c r="X132" s="15">
        <f>IF(OR(X131="",W131=""),"",IF(X131*W131&lt;=0,"",IFERROR(X131/W131-1,"")))</f>
        <v/>
      </c>
    </row>
    <row r="133">
      <c r="A133" s="18" t="inlineStr">
        <is>
          <t>고정자산 매각손실</t>
        </is>
      </c>
      <c r="E133" s="20" t="n">
        <v>0</v>
      </c>
      <c r="F133" s="20" t="n">
        <v>0</v>
      </c>
      <c r="G133" s="20" t="n">
        <v>0</v>
      </c>
      <c r="H133" s="20" t="n">
        <v>0</v>
      </c>
      <c r="I133" s="20" t="n">
        <v>0</v>
      </c>
      <c r="J133" s="20" t="n">
        <v>0</v>
      </c>
      <c r="K133" s="20" t="n">
        <v>1</v>
      </c>
      <c r="L133" s="20" t="n">
        <v>0</v>
      </c>
      <c r="M133" s="20" t="n">
        <v>0</v>
      </c>
      <c r="N133" s="20" t="n">
        <v>0</v>
      </c>
      <c r="T133" s="20" t="n">
        <v>2</v>
      </c>
      <c r="U133" s="20" t="n">
        <v>0</v>
      </c>
      <c r="V133" s="20" t="n">
        <v>0</v>
      </c>
      <c r="W133" s="20" t="n">
        <v>0</v>
      </c>
      <c r="X133" s="20" t="n">
        <v>0</v>
      </c>
    </row>
    <row r="134">
      <c r="A134" s="18" t="inlineStr">
        <is>
          <t>고정자산 제각손실</t>
        </is>
      </c>
      <c r="C134" s="20" t="n">
        <v>25</v>
      </c>
      <c r="D134" s="20" t="n">
        <v>13</v>
      </c>
      <c r="E134" s="20" t="n">
        <v>23</v>
      </c>
      <c r="F134" s="20" t="n">
        <v>3</v>
      </c>
      <c r="G134" s="20" t="n">
        <v>2</v>
      </c>
      <c r="H134" s="20" t="n">
        <v>43</v>
      </c>
      <c r="I134" s="20" t="n">
        <v>35</v>
      </c>
      <c r="J134" s="20" t="n">
        <v>0</v>
      </c>
      <c r="K134" s="20" t="n">
        <v>3</v>
      </c>
      <c r="L134" s="20" t="n">
        <v>43</v>
      </c>
      <c r="M134" s="20" t="n">
        <v>19</v>
      </c>
      <c r="N134" s="20" t="n">
        <v>0</v>
      </c>
      <c r="T134" s="20" t="n">
        <v>1</v>
      </c>
      <c r="U134" s="20" t="n">
        <v>64</v>
      </c>
      <c r="V134" s="20" t="n">
        <v>23</v>
      </c>
      <c r="W134" s="20" t="n">
        <v>35</v>
      </c>
      <c r="X134" s="20" t="n">
        <v>19</v>
      </c>
    </row>
    <row r="135">
      <c r="A135" s="18" t="inlineStr">
        <is>
          <t>손상차손</t>
        </is>
      </c>
      <c r="D135" s="20" t="n">
        <v>104</v>
      </c>
      <c r="E135" s="20" t="n">
        <v>458</v>
      </c>
      <c r="H135" s="20" t="n">
        <v>0</v>
      </c>
      <c r="I135" s="20" t="n">
        <v>417</v>
      </c>
      <c r="J135" s="20" t="n">
        <v>0</v>
      </c>
      <c r="K135" s="20" t="n">
        <v>0</v>
      </c>
      <c r="L135" s="20" t="n">
        <v>0</v>
      </c>
      <c r="M135" s="20" t="n">
        <v>314</v>
      </c>
      <c r="N135" s="20" t="n">
        <v>20</v>
      </c>
      <c r="U135" s="20" t="n">
        <v>517</v>
      </c>
      <c r="V135" s="20" t="n">
        <v>458</v>
      </c>
      <c r="W135" s="20" t="n">
        <v>417</v>
      </c>
      <c r="X135" s="20" t="n">
        <v>314</v>
      </c>
    </row>
    <row r="136">
      <c r="A136" s="18" t="inlineStr">
        <is>
          <t>투자유가증권 평가손실</t>
        </is>
      </c>
      <c r="C136" s="20" t="n">
        <v>1</v>
      </c>
      <c r="D136" s="20" t="n">
        <v>0</v>
      </c>
      <c r="E136" s="20" t="n">
        <v>0</v>
      </c>
      <c r="F136" s="20" t="n">
        <v>2</v>
      </c>
      <c r="G136" s="20" t="n">
        <v>0</v>
      </c>
      <c r="H136" s="20" t="n">
        <v>0</v>
      </c>
      <c r="I136" s="20" t="n">
        <v>67</v>
      </c>
      <c r="J136" s="20" t="n">
        <v>0</v>
      </c>
      <c r="K136" s="20" t="n">
        <v>0</v>
      </c>
      <c r="L136" s="20" t="n">
        <v>0</v>
      </c>
      <c r="M136" s="20" t="n">
        <v>7</v>
      </c>
      <c r="T136" s="20" t="n">
        <v>115</v>
      </c>
      <c r="U136" s="20" t="n">
        <v>0</v>
      </c>
      <c r="V136" s="20" t="n">
        <v>0</v>
      </c>
      <c r="W136" s="20" t="n">
        <v>67</v>
      </c>
      <c r="X136" s="20" t="n">
        <v>7</v>
      </c>
    </row>
    <row r="137">
      <c r="A137" s="18" t="inlineStr">
        <is>
          <t>특별퇴직금</t>
        </is>
      </c>
      <c r="E137" s="20" t="n">
        <v>16</v>
      </c>
      <c r="I137" s="20" t="n">
        <v>0</v>
      </c>
      <c r="U137" s="20" t="n">
        <v>0</v>
      </c>
      <c r="V137" s="20" t="n">
        <v>16</v>
      </c>
      <c r="W137" s="20" t="n">
        <v>0</v>
      </c>
    </row>
    <row r="138">
      <c r="A138" s="18" t="inlineStr">
        <is>
          <t>특별손실 합계</t>
        </is>
      </c>
      <c r="C138" s="20" t="n">
        <v>26</v>
      </c>
      <c r="D138" s="20" t="n">
        <v>204</v>
      </c>
      <c r="E138" s="20" t="n">
        <v>498</v>
      </c>
      <c r="F138" s="20" t="n">
        <v>5</v>
      </c>
      <c r="G138" s="20" t="n">
        <v>83</v>
      </c>
      <c r="H138" s="20" t="n">
        <v>44</v>
      </c>
      <c r="I138" s="20" t="n">
        <v>1388</v>
      </c>
      <c r="J138" s="20" t="n">
        <v>0</v>
      </c>
      <c r="K138" s="20" t="n">
        <v>4</v>
      </c>
      <c r="L138" s="20" t="n">
        <v>43</v>
      </c>
      <c r="M138" s="20" t="n">
        <v>344</v>
      </c>
      <c r="N138" s="20" t="n">
        <v>20</v>
      </c>
      <c r="T138" s="20" t="n">
        <v>122</v>
      </c>
      <c r="U138" s="20" t="n">
        <v>581</v>
      </c>
      <c r="V138" s="20" t="n">
        <v>498</v>
      </c>
      <c r="W138" s="20" t="n">
        <v>1388</v>
      </c>
      <c r="X138" s="20" t="n">
        <v>344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IF(OR(G138="",C138=""),"",IF(G138*C138&lt;=0,"",IFERROR(G138/C138-1,"")))</f>
        <v/>
      </c>
      <c r="H139" s="15">
        <f>IF(OR(H138="",D138=""),"",IF(H138*D138&lt;=0,"",IFERROR(H138/D138-1,"")))</f>
        <v/>
      </c>
      <c r="I139" s="15">
        <f>IF(OR(I138="",E138=""),"",IF(I138*E138&lt;=0,"",IFERROR(I138/E138-1,"")))</f>
        <v/>
      </c>
      <c r="J139" s="15">
        <f>IF(OR(J138="",F138=""),"",IF(J138*F138&lt;=0,"",IFERROR(J138/F138-1,"")))</f>
        <v/>
      </c>
      <c r="K139" s="15">
        <f>IF(OR(K138="",G138=""),"",IF(K138*G138&lt;=0,"",IFERROR(K138/G138-1,"")))</f>
        <v/>
      </c>
      <c r="L139" s="15">
        <f>IF(OR(L138="",H138=""),"",IF(L138*H138&lt;=0,"",IFERROR(L138/H138-1,"")))</f>
        <v/>
      </c>
      <c r="M139" s="15">
        <f>IF(OR(M138="",I138=""),"",IF(M138*I138&lt;=0,"",IFERROR(M138/I138-1,"")))</f>
        <v/>
      </c>
      <c r="N139" s="15">
        <f>IF(OR(N138="",J138=""),"",IF(N138*J138&lt;=0,"",IFERROR(N138/J138-1,"")))</f>
        <v/>
      </c>
      <c r="T139" s="15">
        <f>IF(OR(T138="",S138=""),"",IF(T138*S138&lt;=0,"",IFERROR(T138/S138-1,"")))</f>
        <v/>
      </c>
      <c r="U139" s="15">
        <f>IF(OR(U138="",T138=""),"",IF(U138*T138&lt;=0,"",IFERROR(U138/T138-1,"")))</f>
        <v/>
      </c>
      <c r="V139" s="15">
        <f>IF(OR(V138="",U138=""),"",IF(V138*U138&lt;=0,"",IFERROR(V138/U138-1,"")))</f>
        <v/>
      </c>
      <c r="W139" s="15">
        <f>IF(OR(W138="",V138=""),"",IF(W138*V138&lt;=0,"",IFERROR(W138/V138-1,"")))</f>
        <v/>
      </c>
      <c r="X139" s="15">
        <f>IF(OR(X138="",W138=""),"",IF(X138*W138&lt;=0,"",IFERROR(X138/W138-1,"")))</f>
        <v/>
      </c>
    </row>
    <row r="140">
      <c r="A140" s="9" t="inlineStr">
        <is>
          <t>법인세차감전 중간순이익(손실)</t>
        </is>
      </c>
      <c r="C140" s="12" t="n">
        <v>581</v>
      </c>
      <c r="D140" s="12" t="n">
        <v>-1282</v>
      </c>
      <c r="E140" s="12" t="n">
        <v>-35</v>
      </c>
      <c r="F140" s="12" t="n">
        <v>951</v>
      </c>
      <c r="G140" s="12" t="n">
        <v>-958</v>
      </c>
      <c r="H140" s="12" t="n">
        <v>1062</v>
      </c>
      <c r="I140" s="12" t="n">
        <v>-2018</v>
      </c>
      <c r="J140" s="12" t="n">
        <v>-619</v>
      </c>
      <c r="K140" s="12" t="n">
        <v>497</v>
      </c>
      <c r="L140" s="12" t="n">
        <v>1206</v>
      </c>
      <c r="M140" s="12" t="n">
        <v>-217</v>
      </c>
      <c r="N140" s="12" t="n">
        <v>286</v>
      </c>
      <c r="T140" s="12" t="n">
        <v>1042</v>
      </c>
      <c r="U140" s="12" t="n">
        <v>-932</v>
      </c>
      <c r="V140" s="12" t="n">
        <v>-35</v>
      </c>
      <c r="W140" s="12" t="n">
        <v>-2018</v>
      </c>
      <c r="X140" s="12" t="n">
        <v>-217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IF(OR(G140="",C140=""),"",IF(C140&lt;=0,"",IFERROR(G140/C140-1,"")))</f>
        <v/>
      </c>
      <c r="H141" s="15">
        <f>IF(OR(H140="",D140=""),"",IF(D140&lt;=0,"",IFERROR(H140/D140-1,"")))</f>
        <v/>
      </c>
      <c r="I141" s="15">
        <f>IF(OR(I140="",E140=""),"",IF(E140&lt;=0,"",IFERROR(I140/E140-1,"")))</f>
        <v/>
      </c>
      <c r="J141" s="15">
        <f>IF(OR(J140="",F140=""),"",IF(F140&lt;=0,"",IFERROR(J140/F140-1,"")))</f>
        <v/>
      </c>
      <c r="K141" s="15">
        <f>IF(OR(K140="",G140=""),"",IF(G140&lt;=0,"",IFERROR(K140/G140-1,"")))</f>
        <v/>
      </c>
      <c r="L141" s="15">
        <f>IF(OR(L140="",H140=""),"",IF(H140&lt;=0,"",IFERROR(L140/H140-1,"")))</f>
        <v/>
      </c>
      <c r="M141" s="15">
        <f>IF(OR(M140="",I140=""),"",IF(I140&lt;=0,"",IFERROR(M140/I140-1,"")))</f>
        <v/>
      </c>
      <c r="N141" s="15">
        <f>IF(OR(N140="",J140=""),"",IF(J140&lt;=0,"",IFERROR(N140/J140-1,"")))</f>
        <v/>
      </c>
      <c r="T141" s="15">
        <f>IF(OR(T140="",S140=""),"",IF(S140&lt;=0,"",IFERROR(T140/S140-1,"")))</f>
        <v/>
      </c>
      <c r="U141" s="15">
        <f>IF(OR(U140="",T140=""),"",IF(T140&lt;=0,"",IFERROR(U140/T140-1,"")))</f>
        <v/>
      </c>
      <c r="V141" s="15">
        <f>IF(OR(V140="",U140=""),"",IF(U140&lt;=0,"",IFERROR(V140/U140-1,"")))</f>
        <v/>
      </c>
      <c r="W141" s="15">
        <f>IF(OR(W140="",V140=""),"",IF(V140&lt;=0,"",IFERROR(W140/V140-1,"")))</f>
        <v/>
      </c>
      <c r="X141" s="15">
        <f>IF(OR(X140="",W140=""),"",IF(W140&lt;=0,"",IFERROR(X140/W140-1,"")))</f>
        <v/>
      </c>
    </row>
    <row r="142">
      <c r="A142" s="18" t="inlineStr">
        <is>
          <t>법인세·주민세·사업세</t>
        </is>
      </c>
      <c r="C142" s="20" t="n">
        <v>149</v>
      </c>
      <c r="D142" s="20" t="n">
        <v>-94</v>
      </c>
      <c r="E142" s="20" t="n">
        <v>45</v>
      </c>
      <c r="F142" s="20" t="n">
        <v>75</v>
      </c>
      <c r="G142" s="20" t="n">
        <v>101</v>
      </c>
      <c r="H142" s="20" t="n">
        <v>57</v>
      </c>
      <c r="I142" s="20" t="n">
        <v>133</v>
      </c>
      <c r="J142" s="20" t="n">
        <v>75</v>
      </c>
      <c r="K142" s="20" t="n">
        <v>214</v>
      </c>
      <c r="L142" s="20" t="n">
        <v>81</v>
      </c>
      <c r="M142" s="20" t="n">
        <v>124</v>
      </c>
      <c r="N142" s="20" t="n">
        <v>112</v>
      </c>
      <c r="T142" s="20" t="n">
        <v>106</v>
      </c>
      <c r="U142" s="20" t="n">
        <v>92</v>
      </c>
      <c r="V142" s="20" t="n">
        <v>45</v>
      </c>
      <c r="W142" s="20" t="n">
        <v>133</v>
      </c>
      <c r="X142" s="20" t="n">
        <v>124</v>
      </c>
    </row>
    <row r="143">
      <c r="A143" s="18" t="inlineStr">
        <is>
          <t>법인세 조정액</t>
        </is>
      </c>
      <c r="C143" s="20" t="n">
        <v>-57</v>
      </c>
      <c r="D143" s="20" t="n">
        <v>137</v>
      </c>
      <c r="E143" s="20" t="n">
        <v>92</v>
      </c>
      <c r="F143" s="20" t="n">
        <v>74</v>
      </c>
      <c r="G143" s="20" t="n">
        <v>29</v>
      </c>
      <c r="H143" s="20" t="n">
        <v>37</v>
      </c>
      <c r="I143" s="20" t="n">
        <v>349</v>
      </c>
      <c r="J143" s="20" t="n">
        <v>-42</v>
      </c>
      <c r="K143" s="20" t="n">
        <v>-176</v>
      </c>
      <c r="L143" s="20" t="n">
        <v>194</v>
      </c>
      <c r="M143" s="20" t="n">
        <v>340</v>
      </c>
      <c r="N143" s="20" t="n">
        <v>19</v>
      </c>
      <c r="T143" s="20" t="n">
        <v>-137</v>
      </c>
      <c r="U143" s="20" t="n">
        <v>92</v>
      </c>
      <c r="V143" s="20" t="n">
        <v>92</v>
      </c>
      <c r="W143" s="20" t="n">
        <v>349</v>
      </c>
      <c r="X143" s="20" t="n">
        <v>340</v>
      </c>
    </row>
    <row r="144">
      <c r="A144" s="18" t="inlineStr">
        <is>
          <t>법인세 등 합계</t>
        </is>
      </c>
      <c r="C144" s="20" t="n">
        <v>91</v>
      </c>
      <c r="D144" s="20" t="n">
        <v>43</v>
      </c>
      <c r="E144" s="20" t="n">
        <v>138</v>
      </c>
      <c r="F144" s="20" t="n">
        <v>150</v>
      </c>
      <c r="G144" s="20" t="n">
        <v>129</v>
      </c>
      <c r="H144" s="20" t="n">
        <v>95</v>
      </c>
      <c r="I144" s="20" t="n">
        <v>547</v>
      </c>
      <c r="J144" s="20" t="n">
        <v>32</v>
      </c>
      <c r="K144" s="20" t="n">
        <v>39</v>
      </c>
      <c r="L144" s="20" t="n">
        <v>274</v>
      </c>
      <c r="M144" s="20" t="n">
        <v>465</v>
      </c>
      <c r="N144" s="20" t="n">
        <v>132</v>
      </c>
      <c r="T144" s="20" t="n">
        <v>-33</v>
      </c>
      <c r="U144" s="20" t="n">
        <v>183</v>
      </c>
      <c r="V144" s="20" t="n">
        <v>138</v>
      </c>
      <c r="W144" s="20" t="n">
        <v>547</v>
      </c>
      <c r="X144" s="20" t="n">
        <v>465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IF(OR(G144="",C144=""),"",IF(G144*C144&lt;=0,"",IFERROR(G144/C144-1,"")))</f>
        <v/>
      </c>
      <c r="H145" s="15">
        <f>IF(OR(H144="",D144=""),"",IF(H144*D144&lt;=0,"",IFERROR(H144/D144-1,"")))</f>
        <v/>
      </c>
      <c r="I145" s="15">
        <f>IF(OR(I144="",E144=""),"",IF(I144*E144&lt;=0,"",IFERROR(I144/E144-1,"")))</f>
        <v/>
      </c>
      <c r="J145" s="15">
        <f>IF(OR(J144="",F144=""),"",IF(J144*F144&lt;=0,"",IFERROR(J144/F144-1,"")))</f>
        <v/>
      </c>
      <c r="K145" s="15">
        <f>IF(OR(K144="",G144=""),"",IF(K144*G144&lt;=0,"",IFERROR(K144/G144-1,"")))</f>
        <v/>
      </c>
      <c r="L145" s="15">
        <f>IF(OR(L144="",H144=""),"",IF(L144*H144&lt;=0,"",IFERROR(L144/H144-1,"")))</f>
        <v/>
      </c>
      <c r="M145" s="15">
        <f>IF(OR(M144="",I144=""),"",IF(M144*I144&lt;=0,"",IFERROR(M144/I144-1,"")))</f>
        <v/>
      </c>
      <c r="N145" s="15">
        <f>IF(OR(N144="",J144=""),"",IF(N144*J144&lt;=0,"",IFERROR(N144/J144-1,"")))</f>
        <v/>
      </c>
      <c r="T145" s="15">
        <f>IF(OR(T144="",S144=""),"",IF(T144*S144&lt;=0,"",IFERROR(T144/S144-1,"")))</f>
        <v/>
      </c>
      <c r="U145" s="15">
        <f>IF(OR(U144="",T144=""),"",IF(U144*T144&lt;=0,"",IFERROR(U144/T144-1,"")))</f>
        <v/>
      </c>
      <c r="V145" s="15">
        <f>IF(OR(V144="",U144=""),"",IF(V144*U144&lt;=0,"",IFERROR(V144/U144-1,"")))</f>
        <v/>
      </c>
      <c r="W145" s="15">
        <f>IF(OR(W144="",V144=""),"",IF(W144*V144&lt;=0,"",IFERROR(W144/V144-1,"")))</f>
        <v/>
      </c>
      <c r="X145" s="15">
        <f>IF(OR(X144="",W144=""),"",IF(X144*W144&lt;=0,"",IFERROR(X144/W144-1,"")))</f>
        <v/>
      </c>
    </row>
    <row r="146">
      <c r="A146" s="9" t="inlineStr">
        <is>
          <t>중간순이익(손실)</t>
        </is>
      </c>
      <c r="C146" s="12" t="n">
        <v>490</v>
      </c>
      <c r="D146" s="12" t="n">
        <v>-1326</v>
      </c>
      <c r="E146" s="12" t="n">
        <v>-173</v>
      </c>
      <c r="F146" s="12" t="n">
        <v>801</v>
      </c>
      <c r="G146" s="12" t="n">
        <v>-1088</v>
      </c>
      <c r="H146" s="12" t="n">
        <v>967</v>
      </c>
      <c r="I146" s="12" t="n">
        <v>-2564</v>
      </c>
      <c r="J146" s="12" t="n">
        <v>-651</v>
      </c>
      <c r="K146" s="12" t="n">
        <v>458</v>
      </c>
      <c r="L146" s="12" t="n">
        <v>931</v>
      </c>
      <c r="M146" s="12" t="n">
        <v>-682</v>
      </c>
      <c r="N146" s="12" t="n">
        <v>154</v>
      </c>
      <c r="T146" s="12" t="n">
        <v>1076</v>
      </c>
      <c r="U146" s="12" t="n">
        <v>-1116</v>
      </c>
      <c r="V146" s="12" t="n">
        <v>-173</v>
      </c>
      <c r="W146" s="12" t="n">
        <v>-2564</v>
      </c>
      <c r="X146" s="12" t="n">
        <v>-682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  <c r="T147" s="15">
        <f>IF(OR(T146="",S146=""),"",IF(S146&lt;=0,"",IFERROR(T146/S146-1,"")))</f>
        <v/>
      </c>
      <c r="U147" s="15">
        <f>IF(OR(U146="",T146=""),"",IF(T146&lt;=0,"",IFERROR(U146/T146-1,"")))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8">
      <c r="A148" s="9" t="inlineStr">
        <is>
          <t>지배주주 귀속 중간순이익(손실)</t>
        </is>
      </c>
      <c r="C148" s="12" t="n">
        <v>490</v>
      </c>
      <c r="D148" s="12" t="n">
        <v>-1326</v>
      </c>
      <c r="E148" s="12" t="n">
        <v>-173</v>
      </c>
      <c r="F148" s="12" t="n">
        <v>801</v>
      </c>
      <c r="G148" s="12" t="n">
        <v>-1088</v>
      </c>
      <c r="H148" s="12" t="n">
        <v>967</v>
      </c>
      <c r="I148" s="12" t="n">
        <v>-2564</v>
      </c>
      <c r="J148" s="12" t="n">
        <v>-651</v>
      </c>
      <c r="K148" s="12" t="n">
        <v>458</v>
      </c>
      <c r="L148" s="12" t="n">
        <v>931</v>
      </c>
      <c r="M148" s="12" t="n">
        <v>-682</v>
      </c>
      <c r="N148" s="12" t="n">
        <v>154</v>
      </c>
      <c r="T148" s="12" t="n">
        <v>1076</v>
      </c>
      <c r="U148" s="12" t="n">
        <v>-1116</v>
      </c>
      <c r="V148" s="12" t="n">
        <v>-173</v>
      </c>
      <c r="W148" s="12" t="n">
        <v>-2564</v>
      </c>
      <c r="X148" s="12" t="n">
        <v>-682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T149" s="15">
        <f>IF(OR(T148="",S148=""),"",IF(S148&lt;=0,"",IFERROR(T148/S148-1,"")))</f>
        <v/>
      </c>
      <c r="U149" s="15">
        <f>IF(OR(U148="",T148=""),"",IF(T148&lt;=0,"",IFERROR(U148/T148-1,"")))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1">
      <c r="A151" s="16" t="inlineStr">
        <is>
          <t>포괄손익 · 전 항목</t>
        </is>
      </c>
      <c r="B151" s="42" t="inlineStr">
        <is>
          <t>분기 = 3개월 단독</t>
        </is>
      </c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</row>
    <row r="152">
      <c r="A152" s="5" t="inlineStr">
        <is>
          <t>항목</t>
        </is>
      </c>
      <c r="B152" s="5" t="inlineStr">
        <is>
          <t>참고</t>
        </is>
      </c>
      <c r="C152" s="5" t="inlineStr">
        <is>
          <t>2024.2Q</t>
        </is>
      </c>
      <c r="D152" s="5" t="inlineStr">
        <is>
          <t>2024.3Q</t>
        </is>
      </c>
      <c r="E152" s="5" t="inlineStr">
        <is>
          <t>2024.4Q</t>
        </is>
      </c>
      <c r="F152" s="5" t="inlineStr">
        <is>
          <t>2025.1Q</t>
        </is>
      </c>
      <c r="G152" s="5" t="inlineStr">
        <is>
          <t>2025.2Q</t>
        </is>
      </c>
      <c r="H152" s="5" t="inlineStr">
        <is>
          <t>2025.3Q</t>
        </is>
      </c>
      <c r="I152" s="5" t="inlineStr">
        <is>
          <t>2025.4Q</t>
        </is>
      </c>
      <c r="J152" s="5" t="inlineStr">
        <is>
          <t>2026.1Q</t>
        </is>
      </c>
      <c r="K152" s="5" t="inlineStr">
        <is>
          <t>2026.2Q</t>
        </is>
      </c>
      <c r="L152" s="5" t="inlineStr">
        <is>
          <t>2026.3Q</t>
        </is>
      </c>
      <c r="M152" s="5" t="inlineStr">
        <is>
          <t>2026.4Q</t>
        </is>
      </c>
      <c r="N152" s="5" t="inlineStr">
        <is>
          <t>2027.1Q</t>
        </is>
      </c>
      <c r="O152" s="5" t="inlineStr">
        <is>
          <t>2017</t>
        </is>
      </c>
      <c r="P152" s="5" t="inlineStr">
        <is>
          <t>2018</t>
        </is>
      </c>
      <c r="Q152" s="5" t="inlineStr">
        <is>
          <t>2019</t>
        </is>
      </c>
      <c r="R152" s="5" t="inlineStr">
        <is>
          <t>2020</t>
        </is>
      </c>
      <c r="S152" s="5" t="inlineStr">
        <is>
          <t>2021</t>
        </is>
      </c>
      <c r="T152" s="5" t="inlineStr">
        <is>
          <t>2022</t>
        </is>
      </c>
      <c r="U152" s="5" t="inlineStr">
        <is>
          <t>2023</t>
        </is>
      </c>
      <c r="V152" s="5" t="inlineStr">
        <is>
          <t>2024</t>
        </is>
      </c>
      <c r="W152" s="5" t="inlineStr">
        <is>
          <t>2025</t>
        </is>
      </c>
      <c r="X152" s="5" t="inlineStr">
        <is>
          <t>2026</t>
        </is>
      </c>
      <c r="Y152" s="5" t="inlineStr">
        <is>
          <t>2027(MW)</t>
        </is>
      </c>
      <c r="Z152" s="5" t="inlineStr">
        <is>
          <t>2028(MW)</t>
        </is>
      </c>
      <c r="AA152" s="5" t="inlineStr">
        <is>
          <t>2029(MW)</t>
        </is>
      </c>
      <c r="AB152" s="5" t="inlineStr">
        <is>
          <t>2030(MW)</t>
        </is>
      </c>
      <c r="AC152" s="5" t="inlineStr">
        <is>
          <t>2031(MW)</t>
        </is>
      </c>
    </row>
    <row r="153">
      <c r="A153" s="9" t="inlineStr">
        <is>
          <t>중간순이익(손실)</t>
        </is>
      </c>
      <c r="C153" s="12" t="n">
        <v>490</v>
      </c>
      <c r="D153" s="12" t="n">
        <v>-1326</v>
      </c>
      <c r="E153" s="12" t="n">
        <v>-173</v>
      </c>
      <c r="F153" s="12" t="n">
        <v>801</v>
      </c>
      <c r="G153" s="12" t="n">
        <v>-1088</v>
      </c>
      <c r="H153" s="12" t="n">
        <v>967</v>
      </c>
      <c r="I153" s="12" t="n">
        <v>-2564</v>
      </c>
      <c r="J153" s="12" t="n">
        <v>-651</v>
      </c>
      <c r="K153" s="12" t="n">
        <v>458</v>
      </c>
      <c r="L153" s="12" t="n">
        <v>931</v>
      </c>
      <c r="M153" s="12" t="n">
        <v>-682</v>
      </c>
      <c r="N153" s="12" t="n">
        <v>154</v>
      </c>
      <c r="T153" s="12" t="n">
        <v>1076</v>
      </c>
      <c r="U153" s="12" t="n">
        <v>-1116</v>
      </c>
      <c r="V153" s="12" t="n">
        <v>-173</v>
      </c>
      <c r="W153" s="12" t="n">
        <v>-2564</v>
      </c>
      <c r="X153" s="12" t="n">
        <v>-682</v>
      </c>
    </row>
    <row r="154">
      <c r="A154" s="18" t="inlineStr">
        <is>
          <t>기타유가증권 평가차액</t>
        </is>
      </c>
      <c r="C154" s="20" t="n">
        <v>-34</v>
      </c>
      <c r="D154" s="20" t="n">
        <v>86</v>
      </c>
      <c r="E154" s="20" t="n">
        <v>71</v>
      </c>
      <c r="F154" s="20" t="n">
        <v>259</v>
      </c>
      <c r="G154" s="20" t="n">
        <v>-142</v>
      </c>
      <c r="H154" s="20" t="n">
        <v>-211</v>
      </c>
      <c r="I154" s="20" t="n">
        <v>-96</v>
      </c>
      <c r="J154" s="20" t="n">
        <v>48</v>
      </c>
      <c r="K154" s="20" t="n">
        <v>278</v>
      </c>
      <c r="L154" s="20" t="n">
        <v>150</v>
      </c>
      <c r="M154" s="20" t="n">
        <v>100</v>
      </c>
      <c r="N154" s="20" t="n">
        <v>92</v>
      </c>
      <c r="T154" s="20" t="n">
        <v>-16</v>
      </c>
      <c r="U154" s="20" t="n">
        <v>393</v>
      </c>
      <c r="V154" s="20" t="n">
        <v>71</v>
      </c>
      <c r="W154" s="20" t="n">
        <v>-96</v>
      </c>
      <c r="X154" s="20" t="n">
        <v>100</v>
      </c>
    </row>
    <row r="155">
      <c r="A155" s="18" t="inlineStr">
        <is>
          <t>이연헤지손익</t>
        </is>
      </c>
      <c r="C155" s="20" t="n">
        <v>-35</v>
      </c>
      <c r="D155" s="20" t="n">
        <v>-49</v>
      </c>
      <c r="E155" s="20" t="n">
        <v>14</v>
      </c>
      <c r="F155" s="20" t="n">
        <v>29</v>
      </c>
      <c r="G155" s="20" t="n">
        <v>-17</v>
      </c>
      <c r="H155" s="20" t="n">
        <v>28</v>
      </c>
      <c r="I155" s="20" t="n">
        <v>46</v>
      </c>
      <c r="J155" s="20" t="n">
        <v>-7</v>
      </c>
      <c r="K155" s="20" t="n">
        <v>28</v>
      </c>
      <c r="L155" s="20" t="n">
        <v>32</v>
      </c>
      <c r="M155" s="20" t="n">
        <v>27</v>
      </c>
      <c r="N155" s="20" t="n">
        <v>3</v>
      </c>
      <c r="T155" s="20" t="n">
        <v>1</v>
      </c>
      <c r="U155" s="20" t="n">
        <v>1</v>
      </c>
      <c r="V155" s="20" t="n">
        <v>14</v>
      </c>
      <c r="W155" s="20" t="n">
        <v>46</v>
      </c>
      <c r="X155" s="20" t="n">
        <v>27</v>
      </c>
    </row>
    <row r="156">
      <c r="A156" s="18" t="inlineStr">
        <is>
          <t>해외사업환산조정</t>
        </is>
      </c>
      <c r="C156" s="20" t="n">
        <v>141</v>
      </c>
      <c r="D156" s="20" t="n">
        <v>-180</v>
      </c>
      <c r="E156" s="20" t="n">
        <v>299</v>
      </c>
      <c r="F156" s="20" t="n">
        <v>310</v>
      </c>
      <c r="G156" s="20" t="n">
        <v>-670</v>
      </c>
      <c r="H156" s="20" t="n">
        <v>499</v>
      </c>
      <c r="I156" s="20" t="n">
        <v>-454</v>
      </c>
      <c r="J156" s="20" t="n">
        <v>34</v>
      </c>
      <c r="K156" s="20" t="n">
        <v>401</v>
      </c>
      <c r="L156" s="20" t="n">
        <v>755</v>
      </c>
      <c r="M156" s="20" t="n">
        <v>265</v>
      </c>
      <c r="N156" s="20" t="n">
        <v>334</v>
      </c>
      <c r="T156" s="20" t="n">
        <v>328</v>
      </c>
      <c r="U156" s="20" t="n">
        <v>181</v>
      </c>
      <c r="V156" s="20" t="n">
        <v>299</v>
      </c>
      <c r="W156" s="20" t="n">
        <v>-454</v>
      </c>
      <c r="X156" s="20" t="n">
        <v>265</v>
      </c>
    </row>
    <row r="157">
      <c r="A157" s="18" t="inlineStr">
        <is>
          <t>퇴직급여 조정액</t>
        </is>
      </c>
      <c r="C157" s="20" t="n">
        <v>-20</v>
      </c>
      <c r="D157" s="20" t="n">
        <v>-22</v>
      </c>
      <c r="E157" s="20" t="n">
        <v>935</v>
      </c>
      <c r="F157" s="20" t="n">
        <v>-77</v>
      </c>
      <c r="G157" s="20" t="n">
        <v>-89</v>
      </c>
      <c r="H157" s="20" t="n">
        <v>-76</v>
      </c>
      <c r="I157" s="20" t="n">
        <v>263</v>
      </c>
      <c r="J157" s="20" t="n">
        <v>-105</v>
      </c>
      <c r="K157" s="20" t="n">
        <v>-102</v>
      </c>
      <c r="L157" s="20" t="n">
        <v>-103</v>
      </c>
      <c r="M157" s="20" t="n">
        <v>966</v>
      </c>
      <c r="N157" s="20" t="n">
        <v>-124</v>
      </c>
      <c r="T157" s="20" t="n">
        <v>68</v>
      </c>
      <c r="U157" s="20" t="n">
        <v>-16</v>
      </c>
      <c r="V157" s="20" t="n">
        <v>935</v>
      </c>
      <c r="W157" s="20" t="n">
        <v>263</v>
      </c>
      <c r="X157" s="20" t="n">
        <v>966</v>
      </c>
    </row>
    <row r="158">
      <c r="A158" s="18" t="inlineStr">
        <is>
          <t>기타포괄손익 합계</t>
        </is>
      </c>
      <c r="C158" s="20" t="n">
        <v>51</v>
      </c>
      <c r="D158" s="20" t="n">
        <v>-165</v>
      </c>
      <c r="E158" s="20" t="n">
        <v>1321</v>
      </c>
      <c r="F158" s="20" t="n">
        <v>523</v>
      </c>
      <c r="G158" s="20" t="n">
        <v>-919</v>
      </c>
      <c r="H158" s="20" t="n">
        <v>239</v>
      </c>
      <c r="I158" s="20" t="n">
        <v>-240</v>
      </c>
      <c r="J158" s="20" t="n">
        <v>-29</v>
      </c>
      <c r="K158" s="20" t="n">
        <v>604</v>
      </c>
      <c r="L158" s="20" t="n">
        <v>835</v>
      </c>
      <c r="M158" s="20" t="n">
        <v>1359</v>
      </c>
      <c r="N158" s="20" t="n">
        <v>305</v>
      </c>
      <c r="T158" s="20" t="n">
        <v>381</v>
      </c>
      <c r="U158" s="20" t="n">
        <v>558</v>
      </c>
      <c r="V158" s="20" t="n">
        <v>1321</v>
      </c>
      <c r="W158" s="20" t="n">
        <v>-240</v>
      </c>
      <c r="X158" s="20" t="n">
        <v>1359</v>
      </c>
    </row>
    <row r="159">
      <c r="A159" s="9" t="inlineStr">
        <is>
          <t>포괄이익</t>
        </is>
      </c>
      <c r="C159" s="12" t="n">
        <v>542</v>
      </c>
      <c r="D159" s="12" t="n">
        <v>-1492</v>
      </c>
      <c r="E159" s="12" t="n">
        <v>1148</v>
      </c>
      <c r="F159" s="12" t="n">
        <v>1324</v>
      </c>
      <c r="G159" s="12" t="n">
        <v>-2008</v>
      </c>
      <c r="H159" s="12" t="n">
        <v>1207</v>
      </c>
      <c r="I159" s="12" t="n">
        <v>-2805</v>
      </c>
      <c r="J159" s="12" t="n">
        <v>-680</v>
      </c>
      <c r="K159" s="12" t="n">
        <v>1061</v>
      </c>
      <c r="L159" s="12" t="n">
        <v>1768</v>
      </c>
      <c r="M159" s="12" t="n">
        <v>676</v>
      </c>
      <c r="N159" s="12" t="n">
        <v>460</v>
      </c>
      <c r="T159" s="12" t="n">
        <v>1457</v>
      </c>
      <c r="U159" s="12" t="n">
        <v>-558</v>
      </c>
      <c r="V159" s="12" t="n">
        <v>1148</v>
      </c>
      <c r="W159" s="12" t="n">
        <v>-2805</v>
      </c>
      <c r="X159" s="12" t="n">
        <v>676</v>
      </c>
    </row>
    <row r="160">
      <c r="A160" s="9" t="inlineStr">
        <is>
          <t>지배주주 포괄이익</t>
        </is>
      </c>
      <c r="C160" s="12" t="n">
        <v>542</v>
      </c>
      <c r="D160" s="12" t="n">
        <v>-1492</v>
      </c>
      <c r="E160" s="12" t="n">
        <v>1148</v>
      </c>
      <c r="F160" s="12" t="n">
        <v>1324</v>
      </c>
      <c r="G160" s="12" t="n">
        <v>-2008</v>
      </c>
      <c r="H160" s="12" t="n">
        <v>1207</v>
      </c>
      <c r="I160" s="12" t="n">
        <v>-2805</v>
      </c>
      <c r="J160" s="12" t="n">
        <v>-680</v>
      </c>
      <c r="K160" s="12" t="n">
        <v>1061</v>
      </c>
      <c r="L160" s="12" t="n">
        <v>1768</v>
      </c>
      <c r="M160" s="12" t="n">
        <v>676</v>
      </c>
      <c r="N160" s="12" t="n">
        <v>460</v>
      </c>
      <c r="T160" s="12" t="n">
        <v>1457</v>
      </c>
      <c r="U160" s="12" t="n">
        <v>-558</v>
      </c>
      <c r="V160" s="12" t="n">
        <v>1148</v>
      </c>
      <c r="W160" s="12" t="n">
        <v>-2805</v>
      </c>
      <c r="X160" s="12" t="n">
        <v>676</v>
      </c>
    </row>
    <row r="162">
      <c r="A162" s="16" t="inlineStr">
        <is>
          <t>부문 · 전 항목</t>
        </is>
      </c>
      <c r="B162" s="42" t="inlineStr">
        <is>
          <t>부문 · 항목</t>
        </is>
      </c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</row>
    <row r="163">
      <c r="A163" s="5" t="inlineStr">
        <is>
          <t>항목</t>
        </is>
      </c>
      <c r="B163" s="5" t="inlineStr">
        <is>
          <t>참고</t>
        </is>
      </c>
      <c r="C163" s="5" t="inlineStr">
        <is>
          <t>2024.2Q</t>
        </is>
      </c>
      <c r="D163" s="5" t="inlineStr">
        <is>
          <t>2024.3Q</t>
        </is>
      </c>
      <c r="E163" s="5" t="inlineStr">
        <is>
          <t>2024.4Q</t>
        </is>
      </c>
      <c r="F163" s="5" t="inlineStr">
        <is>
          <t>2025.1Q</t>
        </is>
      </c>
      <c r="G163" s="5" t="inlineStr">
        <is>
          <t>2025.2Q</t>
        </is>
      </c>
      <c r="H163" s="5" t="inlineStr">
        <is>
          <t>2025.3Q</t>
        </is>
      </c>
      <c r="I163" s="5" t="inlineStr">
        <is>
          <t>2025.4Q</t>
        </is>
      </c>
      <c r="J163" s="5" t="inlineStr">
        <is>
          <t>2026.1Q</t>
        </is>
      </c>
      <c r="K163" s="5" t="inlineStr">
        <is>
          <t>2026.2Q</t>
        </is>
      </c>
      <c r="L163" s="5" t="inlineStr">
        <is>
          <t>2026.3Q</t>
        </is>
      </c>
      <c r="M163" s="5" t="inlineStr">
        <is>
          <t>2026.4Q</t>
        </is>
      </c>
      <c r="N163" s="5" t="inlineStr">
        <is>
          <t>2027.1Q</t>
        </is>
      </c>
      <c r="O163" s="5" t="inlineStr">
        <is>
          <t>2017</t>
        </is>
      </c>
      <c r="P163" s="5" t="inlineStr">
        <is>
          <t>2018</t>
        </is>
      </c>
      <c r="Q163" s="5" t="inlineStr">
        <is>
          <t>2019</t>
        </is>
      </c>
      <c r="R163" s="5" t="inlineStr">
        <is>
          <t>2020</t>
        </is>
      </c>
      <c r="S163" s="5" t="inlineStr">
        <is>
          <t>2021</t>
        </is>
      </c>
      <c r="T163" s="5" t="inlineStr">
        <is>
          <t>2022</t>
        </is>
      </c>
      <c r="U163" s="5" t="inlineStr">
        <is>
          <t>2023</t>
        </is>
      </c>
      <c r="V163" s="5" t="inlineStr">
        <is>
          <t>2024</t>
        </is>
      </c>
      <c r="W163" s="5" t="inlineStr">
        <is>
          <t>2025</t>
        </is>
      </c>
      <c r="X163" s="5" t="inlineStr">
        <is>
          <t>2026</t>
        </is>
      </c>
      <c r="Y163" s="5" t="inlineStr">
        <is>
          <t>2027(MW)</t>
        </is>
      </c>
      <c r="Z163" s="5" t="inlineStr">
        <is>
          <t>2028(MW)</t>
        </is>
      </c>
      <c r="AA163" s="5" t="inlineStr">
        <is>
          <t>2029(MW)</t>
        </is>
      </c>
      <c r="AB163" s="5" t="inlineStr">
        <is>
          <t>2030(MW)</t>
        </is>
      </c>
      <c r="AC163" s="5" t="inlineStr">
        <is>
          <t>2031(MW)</t>
        </is>
      </c>
    </row>
    <row r="164">
      <c r="A164" s="18" t="inlineStr">
        <is>
          <t>CSReportableSegmentsMember · 외부 고객 매출</t>
        </is>
      </c>
      <c r="C164" s="20" t="n">
        <v>5629</v>
      </c>
      <c r="D164" s="20" t="n">
        <v>5073</v>
      </c>
      <c r="E164" s="20" t="n">
        <v>5164</v>
      </c>
      <c r="F164" s="20" t="n">
        <v>5717</v>
      </c>
      <c r="G164" s="20" t="n">
        <v>5802</v>
      </c>
      <c r="H164" s="20" t="n">
        <v>5322</v>
      </c>
      <c r="I164" s="20" t="n">
        <v>5315</v>
      </c>
      <c r="J164" s="20" t="n">
        <v>5207</v>
      </c>
      <c r="K164" s="20" t="n">
        <v>5884</v>
      </c>
      <c r="L164" s="20" t="n">
        <v>5812</v>
      </c>
      <c r="M164" s="20" t="n">
        <v>5617</v>
      </c>
      <c r="N164" s="20" t="n">
        <v>5877</v>
      </c>
      <c r="V164" s="20" t="n">
        <v>5164</v>
      </c>
      <c r="W164" s="20" t="n">
        <v>5315</v>
      </c>
      <c r="X164" s="20" t="n">
        <v>5617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SCIReportableSegmentMember · 외부 고객 매출</t>
        </is>
      </c>
      <c r="C166" s="20" t="n">
        <v>6298</v>
      </c>
      <c r="D166" s="20" t="n">
        <v>6027</v>
      </c>
      <c r="E166" s="20" t="n">
        <v>6999</v>
      </c>
      <c r="F166" s="20" t="n">
        <v>5944</v>
      </c>
      <c r="G166" s="20" t="n">
        <v>6038</v>
      </c>
      <c r="H166" s="20" t="n">
        <v>5642</v>
      </c>
      <c r="I166" s="20" t="n">
        <v>8019</v>
      </c>
      <c r="J166" s="20" t="n">
        <v>5801</v>
      </c>
      <c r="K166" s="20" t="n">
        <v>6238</v>
      </c>
      <c r="L166" s="20" t="n">
        <v>6222</v>
      </c>
      <c r="M166" s="20" t="n">
        <v>7360</v>
      </c>
      <c r="N166" s="20" t="n">
        <v>5592</v>
      </c>
      <c r="V166" s="20" t="n">
        <v>6999</v>
      </c>
      <c r="W166" s="20" t="n">
        <v>8019</v>
      </c>
      <c r="X166" s="20" t="n">
        <v>7360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RandDCenterReportableSegmentsMember · 외부 고객 매출</t>
        </is>
      </c>
      <c r="C168" s="20" t="n">
        <v>110</v>
      </c>
      <c r="F168" s="20" t="n">
        <v>64</v>
      </c>
      <c r="G168" s="20" t="n">
        <v>49</v>
      </c>
      <c r="J168" s="20" t="n">
        <v>20</v>
      </c>
      <c r="K168" s="20" t="n">
        <v>1</v>
      </c>
      <c r="N168" s="20" t="n">
        <v>2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N169" s="15">
        <f>IF(OR(N168="",J168=""),"",IF(J168&lt;=0,"",IFERROR(N168/J168-1,"")))</f>
        <v/>
      </c>
    </row>
    <row r="170">
      <c r="A170" s="18" t="inlineStr">
        <is>
          <t>보고부문 합계 · 외부 고객 매출</t>
        </is>
      </c>
      <c r="C170" s="20" t="n">
        <v>12037</v>
      </c>
      <c r="D170" s="20" t="n">
        <v>11168</v>
      </c>
      <c r="E170" s="20" t="n">
        <v>12279</v>
      </c>
      <c r="F170" s="20" t="n">
        <v>11726</v>
      </c>
      <c r="G170" s="20" t="n">
        <v>11888</v>
      </c>
      <c r="H170" s="20" t="n">
        <v>11016</v>
      </c>
      <c r="I170" s="20" t="n">
        <v>13421</v>
      </c>
      <c r="J170" s="20" t="n">
        <v>11029</v>
      </c>
      <c r="K170" s="20" t="n">
        <v>12123</v>
      </c>
      <c r="L170" s="20" t="n">
        <v>12035</v>
      </c>
      <c r="M170" s="20" t="n">
        <v>13017</v>
      </c>
      <c r="N170" s="20" t="n">
        <v>11472</v>
      </c>
      <c r="V170" s="20" t="n">
        <v>12279</v>
      </c>
      <c r="W170" s="20" t="n">
        <v>13421</v>
      </c>
      <c r="X170" s="20" t="n">
        <v>13017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9" t="inlineStr">
        <is>
          <t>외부 고객 매출</t>
        </is>
      </c>
      <c r="C172" s="12" t="n">
        <v>12037</v>
      </c>
      <c r="D172" s="12" t="n">
        <v>11168</v>
      </c>
      <c r="E172" s="12" t="n">
        <v>12279</v>
      </c>
      <c r="F172" s="12" t="n">
        <v>11726</v>
      </c>
      <c r="G172" s="12" t="n">
        <v>11888</v>
      </c>
      <c r="H172" s="12" t="n">
        <v>11016</v>
      </c>
      <c r="I172" s="12" t="n">
        <v>13421</v>
      </c>
      <c r="V172" s="12" t="n">
        <v>12279</v>
      </c>
      <c r="W172" s="12" t="n">
        <v>13421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</row>
    <row r="174">
      <c r="A174" s="18" t="inlineStr">
        <is>
          <t>EntityTotalMember · 외부 고객 매출</t>
        </is>
      </c>
      <c r="F174" s="20" t="n">
        <v>11726</v>
      </c>
      <c r="J174" s="20" t="n">
        <v>11029</v>
      </c>
      <c r="N174" s="20" t="n">
        <v>11472</v>
      </c>
    </row>
    <row r="175">
      <c r="A175" s="18" t="inlineStr">
        <is>
          <t>CSReportableSegmentsMember · 부문 간 내부매출·대체</t>
        </is>
      </c>
      <c r="C175" s="20" t="n">
        <v>0</v>
      </c>
      <c r="D175" s="20" t="n">
        <v>0</v>
      </c>
      <c r="E175" s="20" t="n">
        <v>0</v>
      </c>
      <c r="F175" s="20" t="n">
        <v>0</v>
      </c>
      <c r="G175" s="20" t="n">
        <v>0</v>
      </c>
      <c r="H175" s="20" t="n">
        <v>0</v>
      </c>
      <c r="I175" s="20" t="n">
        <v>0</v>
      </c>
      <c r="J175" s="20" t="n">
        <v>0</v>
      </c>
      <c r="K175" s="20" t="n">
        <v>0</v>
      </c>
      <c r="L175" s="20" t="n">
        <v>0</v>
      </c>
      <c r="M175" s="20" t="n">
        <v>0</v>
      </c>
      <c r="N175" s="20" t="n">
        <v>0</v>
      </c>
      <c r="V175" s="20" t="n">
        <v>0</v>
      </c>
      <c r="W175" s="20" t="n">
        <v>0</v>
      </c>
      <c r="X175" s="20" t="n">
        <v>0</v>
      </c>
    </row>
    <row r="176">
      <c r="A176" s="18" t="inlineStr">
        <is>
          <t>SCIReportableSegmentMember · 부문 간 내부매출·대체</t>
        </is>
      </c>
      <c r="C176" s="20" t="n">
        <v>0</v>
      </c>
      <c r="D176" s="20" t="n">
        <v>0</v>
      </c>
      <c r="E176" s="20" t="n">
        <v>0</v>
      </c>
      <c r="F176" s="20" t="n">
        <v>0</v>
      </c>
      <c r="G176" s="20" t="n">
        <v>0</v>
      </c>
      <c r="H176" s="20" t="n">
        <v>0</v>
      </c>
      <c r="I176" s="20" t="n">
        <v>0</v>
      </c>
      <c r="J176" s="20" t="n">
        <v>0</v>
      </c>
      <c r="K176" s="20" t="n">
        <v>0</v>
      </c>
      <c r="L176" s="20" t="n">
        <v>0</v>
      </c>
      <c r="M176" s="20" t="n">
        <v>0</v>
      </c>
      <c r="N176" s="20" t="n">
        <v>0</v>
      </c>
      <c r="V176" s="20" t="n">
        <v>0</v>
      </c>
      <c r="W176" s="20" t="n">
        <v>0</v>
      </c>
      <c r="X176" s="20" t="n">
        <v>0</v>
      </c>
    </row>
    <row r="177">
      <c r="A177" s="18" t="inlineStr">
        <is>
          <t>RandDCenterReportableSegmentsMember · 부문 간 내부매출·대체</t>
        </is>
      </c>
      <c r="C177" s="20" t="n">
        <v>0</v>
      </c>
      <c r="F177" s="20" t="n">
        <v>0</v>
      </c>
      <c r="G177" s="20" t="n">
        <v>0</v>
      </c>
      <c r="J177" s="20" t="n">
        <v>0</v>
      </c>
      <c r="K177" s="20" t="n">
        <v>0</v>
      </c>
      <c r="N177" s="20" t="n">
        <v>0</v>
      </c>
    </row>
    <row r="178">
      <c r="A178" s="18" t="inlineStr">
        <is>
          <t>보고부문 합계 · 부문 간 내부매출·대체</t>
        </is>
      </c>
      <c r="C178" s="20" t="n">
        <v>0</v>
      </c>
      <c r="D178" s="20" t="n">
        <v>0</v>
      </c>
      <c r="E178" s="20" t="n">
        <v>0</v>
      </c>
      <c r="F178" s="20" t="n">
        <v>0</v>
      </c>
      <c r="G178" s="20" t="n">
        <v>0</v>
      </c>
      <c r="H178" s="20" t="n">
        <v>0</v>
      </c>
      <c r="I178" s="20" t="n">
        <v>0</v>
      </c>
      <c r="J178" s="20" t="n">
        <v>0</v>
      </c>
      <c r="K178" s="20" t="n">
        <v>0</v>
      </c>
      <c r="L178" s="20" t="n">
        <v>0</v>
      </c>
      <c r="M178" s="20" t="n">
        <v>0</v>
      </c>
      <c r="N178" s="20" t="n">
        <v>0</v>
      </c>
      <c r="V178" s="20" t="n">
        <v>0</v>
      </c>
      <c r="W178" s="20" t="n">
        <v>0</v>
      </c>
      <c r="X178" s="20" t="n">
        <v>0</v>
      </c>
    </row>
    <row r="179">
      <c r="A179" s="18" t="inlineStr">
        <is>
          <t>부문 간 내부매출·대체</t>
        </is>
      </c>
      <c r="C179" s="20" t="n">
        <v>0</v>
      </c>
      <c r="D179" s="20" t="n">
        <v>0</v>
      </c>
      <c r="E179" s="20" t="n">
        <v>0</v>
      </c>
      <c r="F179" s="20" t="n">
        <v>0</v>
      </c>
      <c r="G179" s="20" t="n">
        <v>0</v>
      </c>
      <c r="H179" s="20" t="n">
        <v>0</v>
      </c>
      <c r="I179" s="20" t="n">
        <v>0</v>
      </c>
      <c r="V179" s="20" t="n">
        <v>0</v>
      </c>
      <c r="W179" s="20" t="n">
        <v>0</v>
      </c>
    </row>
    <row r="180">
      <c r="A180" s="18" t="inlineStr">
        <is>
          <t>EntityTotalMember · 부문 간 내부매출·대체</t>
        </is>
      </c>
      <c r="F180" s="20" t="n">
        <v>0</v>
      </c>
      <c r="J180" s="20" t="n">
        <v>0</v>
      </c>
      <c r="N180" s="20" t="n">
        <v>0</v>
      </c>
    </row>
    <row r="181">
      <c r="A181" s="18" t="inlineStr">
        <is>
          <t>CSReportableSegmentsMember · 계</t>
        </is>
      </c>
      <c r="C181" s="20" t="n">
        <v>5629</v>
      </c>
      <c r="D181" s="20" t="n">
        <v>5073</v>
      </c>
      <c r="E181" s="20" t="n">
        <v>5164</v>
      </c>
      <c r="F181" s="20" t="n">
        <v>5717</v>
      </c>
      <c r="G181" s="20" t="n">
        <v>5802</v>
      </c>
      <c r="H181" s="20" t="n">
        <v>5322</v>
      </c>
      <c r="I181" s="20" t="n">
        <v>5315</v>
      </c>
      <c r="J181" s="20" t="n">
        <v>5207</v>
      </c>
      <c r="K181" s="20" t="n">
        <v>5884</v>
      </c>
      <c r="L181" s="20" t="n">
        <v>5812</v>
      </c>
      <c r="M181" s="20" t="n">
        <v>5617</v>
      </c>
      <c r="N181" s="20" t="n">
        <v>5877</v>
      </c>
      <c r="V181" s="20" t="n">
        <v>5164</v>
      </c>
      <c r="W181" s="20" t="n">
        <v>5315</v>
      </c>
      <c r="X181" s="20" t="n">
        <v>5617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IF(OR(G181="",C181=""),"",IF(C181&lt;=0,"",IFERROR(G181/C181-1,"")))</f>
        <v/>
      </c>
      <c r="H182" s="15">
        <f>IF(OR(H181="",D181=""),"",IF(D181&lt;=0,"",IFERROR(H181/D181-1,"")))</f>
        <v/>
      </c>
      <c r="I182" s="15">
        <f>IF(OR(I181="",E181=""),"",IF(E181&lt;=0,"",IFERROR(I181/E181-1,"")))</f>
        <v/>
      </c>
      <c r="J182" s="15">
        <f>IF(OR(J181="",F181=""),"",IF(F181&lt;=0,"",IFERROR(J181/F181-1,"")))</f>
        <v/>
      </c>
      <c r="K182" s="15">
        <f>IF(OR(K181="",G181=""),"",IF(G181&lt;=0,"",IFERROR(K181/G181-1,"")))</f>
        <v/>
      </c>
      <c r="L182" s="15">
        <f>IF(OR(L181="",H181=""),"",IF(H181&lt;=0,"",IFERROR(L181/H181-1,"")))</f>
        <v/>
      </c>
      <c r="M182" s="15">
        <f>IF(OR(M181="",I181=""),"",IF(I181&lt;=0,"",IFERROR(M181/I181-1,"")))</f>
        <v/>
      </c>
      <c r="N182" s="15">
        <f>IF(OR(N181="",J181=""),"",IF(J181&lt;=0,"",IFERROR(N181/J181-1,"")))</f>
        <v/>
      </c>
      <c r="V182" s="15">
        <f>IF(OR(V181="",U181=""),"",IF(U181&lt;=0,"",IFERROR(V181/U181-1,"")))</f>
        <v/>
      </c>
      <c r="W182" s="15">
        <f>IF(OR(W181="",V181=""),"",IF(V181&lt;=0,"",IFERROR(W181/V181-1,"")))</f>
        <v/>
      </c>
      <c r="X182" s="15">
        <f>IF(OR(X181="",W181=""),"",IF(W181&lt;=0,"",IFERROR(X181/W181-1,"")))</f>
        <v/>
      </c>
    </row>
    <row r="183">
      <c r="A183" s="18" t="inlineStr">
        <is>
          <t>SCIReportableSegmentMember · 계</t>
        </is>
      </c>
      <c r="C183" s="20" t="n">
        <v>6298</v>
      </c>
      <c r="D183" s="20" t="n">
        <v>6027</v>
      </c>
      <c r="E183" s="20" t="n">
        <v>6999</v>
      </c>
      <c r="F183" s="20" t="n">
        <v>5944</v>
      </c>
      <c r="G183" s="20" t="n">
        <v>6038</v>
      </c>
      <c r="H183" s="20" t="n">
        <v>5642</v>
      </c>
      <c r="I183" s="20" t="n">
        <v>8019</v>
      </c>
      <c r="J183" s="20" t="n">
        <v>5801</v>
      </c>
      <c r="K183" s="20" t="n">
        <v>6238</v>
      </c>
      <c r="L183" s="20" t="n">
        <v>6222</v>
      </c>
      <c r="M183" s="20" t="n">
        <v>7360</v>
      </c>
      <c r="N183" s="20" t="n">
        <v>5592</v>
      </c>
      <c r="V183" s="20" t="n">
        <v>6999</v>
      </c>
      <c r="W183" s="20" t="n">
        <v>8019</v>
      </c>
      <c r="X183" s="20" t="n">
        <v>7360</v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IF(OR(G183="",C183=""),"",IF(C183&lt;=0,"",IFERROR(G183/C183-1,"")))</f>
        <v/>
      </c>
      <c r="H184" s="15">
        <f>IF(OR(H183="",D183=""),"",IF(D183&lt;=0,"",IFERROR(H183/D183-1,"")))</f>
        <v/>
      </c>
      <c r="I184" s="15">
        <f>IF(OR(I183="",E183=""),"",IF(E183&lt;=0,"",IFERROR(I183/E183-1,"")))</f>
        <v/>
      </c>
      <c r="J184" s="15">
        <f>IF(OR(J183="",F183=""),"",IF(F183&lt;=0,"",IFERROR(J183/F183-1,"")))</f>
        <v/>
      </c>
      <c r="K184" s="15">
        <f>IF(OR(K183="",G183=""),"",IF(G183&lt;=0,"",IFERROR(K183/G183-1,"")))</f>
        <v/>
      </c>
      <c r="L184" s="15">
        <f>IF(OR(L183="",H183=""),"",IF(H183&lt;=0,"",IFERROR(L183/H183-1,"")))</f>
        <v/>
      </c>
      <c r="M184" s="15">
        <f>IF(OR(M183="",I183=""),"",IF(I183&lt;=0,"",IFERROR(M183/I183-1,"")))</f>
        <v/>
      </c>
      <c r="N184" s="15">
        <f>IF(OR(N183="",J183=""),"",IF(J183&lt;=0,"",IFERROR(N183/J183-1,"")))</f>
        <v/>
      </c>
      <c r="V184" s="15">
        <f>IF(OR(V183="",U183=""),"",IF(U183&lt;=0,"",IFERROR(V183/U183-1,"")))</f>
        <v/>
      </c>
      <c r="W184" s="15">
        <f>IF(OR(W183="",V183=""),"",IF(V183&lt;=0,"",IFERROR(W183/V183-1,"")))</f>
        <v/>
      </c>
      <c r="X184" s="15">
        <f>IF(OR(X183="",W183=""),"",IF(W183&lt;=0,"",IFERROR(X183/W183-1,"")))</f>
        <v/>
      </c>
    </row>
    <row r="185">
      <c r="A185" s="18" t="inlineStr">
        <is>
          <t>RandDCenterReportableSegmentsMember · 계</t>
        </is>
      </c>
      <c r="C185" s="20" t="n">
        <v>110</v>
      </c>
      <c r="F185" s="20" t="n">
        <v>64</v>
      </c>
      <c r="G185" s="20" t="n">
        <v>49</v>
      </c>
      <c r="J185" s="20" t="n">
        <v>20</v>
      </c>
      <c r="K185" s="20" t="n">
        <v>1</v>
      </c>
      <c r="N185" s="20" t="n">
        <v>2</v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G186" s="15">
        <f>IF(OR(G185="",C185=""),"",IF(C185&lt;=0,"",IFERROR(G185/C185-1,"")))</f>
        <v/>
      </c>
      <c r="J186" s="15">
        <f>IF(OR(J185="",F185=""),"",IF(F185&lt;=0,"",IFERROR(J185/F185-1,"")))</f>
        <v/>
      </c>
      <c r="K186" s="15">
        <f>IF(OR(K185="",G185=""),"",IF(G185&lt;=0,"",IFERROR(K185/G185-1,"")))</f>
        <v/>
      </c>
      <c r="N186" s="15">
        <f>IF(OR(N185="",J185=""),"",IF(J185&lt;=0,"",IFERROR(N185/J185-1,"")))</f>
        <v/>
      </c>
    </row>
    <row r="187">
      <c r="A187" s="18" t="inlineStr">
        <is>
          <t>보고부문 합계 · 계</t>
        </is>
      </c>
      <c r="C187" s="20" t="n">
        <v>12037</v>
      </c>
      <c r="D187" s="20" t="n">
        <v>11168</v>
      </c>
      <c r="E187" s="20" t="n">
        <v>12279</v>
      </c>
      <c r="F187" s="20" t="n">
        <v>11726</v>
      </c>
      <c r="G187" s="20" t="n">
        <v>11888</v>
      </c>
      <c r="H187" s="20" t="n">
        <v>11016</v>
      </c>
      <c r="I187" s="20" t="n">
        <v>13421</v>
      </c>
      <c r="J187" s="20" t="n">
        <v>11029</v>
      </c>
      <c r="K187" s="20" t="n">
        <v>12123</v>
      </c>
      <c r="L187" s="20" t="n">
        <v>12035</v>
      </c>
      <c r="M187" s="20" t="n">
        <v>13017</v>
      </c>
      <c r="N187" s="20" t="n">
        <v>11472</v>
      </c>
      <c r="V187" s="20" t="n">
        <v>12279</v>
      </c>
      <c r="W187" s="20" t="n">
        <v>13421</v>
      </c>
      <c r="X187" s="20" t="n">
        <v>13017</v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IF(OR(G187="",C187=""),"",IF(C187&lt;=0,"",IFERROR(G187/C187-1,"")))</f>
        <v/>
      </c>
      <c r="H188" s="15">
        <f>IF(OR(H187="",D187=""),"",IF(D187&lt;=0,"",IFERROR(H187/D187-1,"")))</f>
        <v/>
      </c>
      <c r="I188" s="15">
        <f>IF(OR(I187="",E187=""),"",IF(E187&lt;=0,"",IFERROR(I187/E187-1,"")))</f>
        <v/>
      </c>
      <c r="J188" s="15">
        <f>IF(OR(J187="",F187=""),"",IF(F187&lt;=0,"",IFERROR(J187/F187-1,"")))</f>
        <v/>
      </c>
      <c r="K188" s="15">
        <f>IF(OR(K187="",G187=""),"",IF(G187&lt;=0,"",IFERROR(K187/G187-1,"")))</f>
        <v/>
      </c>
      <c r="L188" s="15">
        <f>IF(OR(L187="",H187=""),"",IF(H187&lt;=0,"",IFERROR(L187/H187-1,"")))</f>
        <v/>
      </c>
      <c r="M188" s="15">
        <f>IF(OR(M187="",I187=""),"",IF(I187&lt;=0,"",IFERROR(M187/I187-1,"")))</f>
        <v/>
      </c>
      <c r="N188" s="15">
        <f>IF(OR(N187="",J187=""),"",IF(J187&lt;=0,"",IFERROR(N187/J187-1,"")))</f>
        <v/>
      </c>
      <c r="V188" s="15">
        <f>IF(OR(V187="",U187=""),"",IF(U187&lt;=0,"",IFERROR(V187/U187-1,"")))</f>
        <v/>
      </c>
      <c r="W188" s="15">
        <f>IF(OR(W187="",V187=""),"",IF(V187&lt;=0,"",IFERROR(W187/V187-1,"")))</f>
        <v/>
      </c>
      <c r="X188" s="15">
        <f>IF(OR(X187="",W187=""),"",IF(W187&lt;=0,"",IFERROR(X187/W187-1,"")))</f>
        <v/>
      </c>
    </row>
    <row r="189">
      <c r="A189" s="9" t="inlineStr">
        <is>
          <t>계</t>
        </is>
      </c>
      <c r="C189" s="12" t="n">
        <v>12037</v>
      </c>
      <c r="D189" s="12" t="n">
        <v>11168</v>
      </c>
      <c r="E189" s="12" t="n">
        <v>12279</v>
      </c>
      <c r="F189" s="12" t="n">
        <v>11726</v>
      </c>
      <c r="G189" s="12" t="n">
        <v>11888</v>
      </c>
      <c r="H189" s="12" t="n">
        <v>11016</v>
      </c>
      <c r="I189" s="12" t="n">
        <v>13421</v>
      </c>
      <c r="V189" s="12" t="n">
        <v>12279</v>
      </c>
      <c r="W189" s="12" t="n">
        <v>13421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IF(OR(G189="",C189=""),"",IF(C189&lt;=0,"",IFERROR(G189/C189-1,"")))</f>
        <v/>
      </c>
      <c r="H190" s="15">
        <f>IF(OR(H189="",D189=""),"",IF(D189&lt;=0,"",IFERROR(H189/D189-1,"")))</f>
        <v/>
      </c>
      <c r="I190" s="15">
        <f>IF(OR(I189="",E189=""),"",IF(E189&lt;=0,"",IFERROR(I189/E189-1,"")))</f>
        <v/>
      </c>
      <c r="V190" s="15">
        <f>IF(OR(V189="",U189=""),"",IF(U189&lt;=0,"",IFERROR(V189/U189-1,"")))</f>
        <v/>
      </c>
      <c r="W190" s="15">
        <f>IF(OR(W189="",V189=""),"",IF(V189&lt;=0,"",IFERROR(W189/V189-1,"")))</f>
        <v/>
      </c>
    </row>
    <row r="191">
      <c r="A191" s="18" t="inlineStr">
        <is>
          <t>EntityTotalMember · 계</t>
        </is>
      </c>
      <c r="F191" s="20" t="n">
        <v>11726</v>
      </c>
      <c r="J191" s="20" t="n">
        <v>11029</v>
      </c>
      <c r="N191" s="20" t="n">
        <v>11472</v>
      </c>
    </row>
    <row r="192">
      <c r="A192" s="18" t="inlineStr">
        <is>
          <t>CSReportableSegmentsMember · Operating Income</t>
        </is>
      </c>
      <c r="C192" s="20" t="n">
        <v>481</v>
      </c>
      <c r="D192" s="20" t="n">
        <v>231</v>
      </c>
      <c r="E192" s="20" t="n">
        <v>338</v>
      </c>
      <c r="F192" s="20" t="n">
        <v>569</v>
      </c>
      <c r="G192" s="20" t="n">
        <v>591</v>
      </c>
      <c r="H192" s="20" t="n">
        <v>158</v>
      </c>
      <c r="I192" s="20" t="n">
        <v>216</v>
      </c>
      <c r="J192" s="20" t="n">
        <v>229</v>
      </c>
      <c r="K192" s="20" t="n">
        <v>431</v>
      </c>
      <c r="L192" s="20" t="n">
        <v>367</v>
      </c>
      <c r="M192" s="20" t="n">
        <v>160</v>
      </c>
      <c r="N192" s="20" t="n">
        <v>269</v>
      </c>
      <c r="V192" s="20" t="n">
        <v>338</v>
      </c>
      <c r="W192" s="20" t="n">
        <v>216</v>
      </c>
      <c r="X192" s="20" t="n">
        <v>160</v>
      </c>
    </row>
    <row r="193">
      <c r="A193" s="43" t="inlineStr">
        <is>
          <t>OPM</t>
        </is>
      </c>
      <c r="B193" s="3" t="inlineStr">
        <is>
          <t>영업이익 ÷ 매출</t>
        </is>
      </c>
      <c r="C193" s="15">
        <f>IF(OR(C192="",C181=""),"",IF(C181&lt;=0,"",IFERROR(C192/C181,"")))</f>
        <v/>
      </c>
      <c r="D193" s="15">
        <f>IF(OR(D192="",D181=""),"",IF(D181&lt;=0,"",IFERROR(D192/D181,"")))</f>
        <v/>
      </c>
      <c r="E193" s="15">
        <f>IF(OR(E192="",E181=""),"",IF(E181&lt;=0,"",IFERROR(E192/E181,"")))</f>
        <v/>
      </c>
      <c r="F193" s="15">
        <f>IF(OR(F192="",F181=""),"",IF(F181&lt;=0,"",IFERROR(F192/F181,"")))</f>
        <v/>
      </c>
      <c r="G193" s="15">
        <f>IF(OR(G192="",G181=""),"",IF(G181&lt;=0,"",IFERROR(G192/G181,"")))</f>
        <v/>
      </c>
      <c r="H193" s="15">
        <f>IF(OR(H192="",H181=""),"",IF(H181&lt;=0,"",IFERROR(H192/H181,"")))</f>
        <v/>
      </c>
      <c r="I193" s="15">
        <f>IF(OR(I192="",I181=""),"",IF(I181&lt;=0,"",IFERROR(I192/I181,"")))</f>
        <v/>
      </c>
      <c r="J193" s="15">
        <f>IF(OR(J192="",J181=""),"",IF(J181&lt;=0,"",IFERROR(J192/J181,"")))</f>
        <v/>
      </c>
      <c r="K193" s="15">
        <f>IF(OR(K192="",K181=""),"",IF(K181&lt;=0,"",IFERROR(K192/K181,"")))</f>
        <v/>
      </c>
      <c r="L193" s="15">
        <f>IF(OR(L192="",L181=""),"",IF(L181&lt;=0,"",IFERROR(L192/L181,"")))</f>
        <v/>
      </c>
      <c r="M193" s="15">
        <f>IF(OR(M192="",M181=""),"",IF(M181&lt;=0,"",IFERROR(M192/M181,"")))</f>
        <v/>
      </c>
      <c r="N193" s="15">
        <f>IF(OR(N192="",N181=""),"",IF(N181&lt;=0,"",IFERROR(N192/N181,"")))</f>
        <v/>
      </c>
      <c r="V193" s="15">
        <f>IF(OR(V192="",V181=""),"",IF(V181&lt;=0,"",IFERROR(V192/V181,"")))</f>
        <v/>
      </c>
      <c r="W193" s="15">
        <f>IF(OR(W192="",W181=""),"",IF(W181&lt;=0,"",IFERROR(W192/W181,"")))</f>
        <v/>
      </c>
      <c r="X193" s="15">
        <f>IF(OR(X192="",X181=""),"",IF(X181&lt;=0,"",IFERROR(X192/X181,"")))</f>
        <v/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IF(OR(G192="",C192=""),"",IF(C192&lt;=0,"",IFERROR(G192/C192-1,"")))</f>
        <v/>
      </c>
      <c r="H194" s="15">
        <f>IF(OR(H192="",D192=""),"",IF(D192&lt;=0,"",IFERROR(H192/D192-1,"")))</f>
        <v/>
      </c>
      <c r="I194" s="15">
        <f>IF(OR(I192="",E192=""),"",IF(E192&lt;=0,"",IFERROR(I192/E192-1,"")))</f>
        <v/>
      </c>
      <c r="J194" s="15">
        <f>IF(OR(J192="",F192=""),"",IF(F192&lt;=0,"",IFERROR(J192/F192-1,"")))</f>
        <v/>
      </c>
      <c r="K194" s="15">
        <f>IF(OR(K192="",G192=""),"",IF(G192&lt;=0,"",IFERROR(K192/G192-1,"")))</f>
        <v/>
      </c>
      <c r="L194" s="15">
        <f>IF(OR(L192="",H192=""),"",IF(H192&lt;=0,"",IFERROR(L192/H192-1,"")))</f>
        <v/>
      </c>
      <c r="M194" s="15">
        <f>IF(OR(M192="",I192=""),"",IF(I192&lt;=0,"",IFERROR(M192/I192-1,"")))</f>
        <v/>
      </c>
      <c r="N194" s="15">
        <f>IF(OR(N192="",J192=""),"",IF(J192&lt;=0,"",IFERROR(N192/J192-1,"")))</f>
        <v/>
      </c>
      <c r="V194" s="15">
        <f>IF(OR(V192="",U192=""),"",IF(U192&lt;=0,"",IFERROR(V192/U192-1,"")))</f>
        <v/>
      </c>
      <c r="W194" s="15">
        <f>IF(OR(W192="",V192=""),"",IF(V192&lt;=0,"",IFERROR(W192/V192-1,"")))</f>
        <v/>
      </c>
      <c r="X194" s="15">
        <f>IF(OR(X192="",W192=""),"",IF(W192&lt;=0,"",IFERROR(X192/W192-1,"")))</f>
        <v/>
      </c>
    </row>
    <row r="195">
      <c r="A195" s="18" t="inlineStr">
        <is>
          <t>SCIReportableSegmentMember · Operating Income</t>
        </is>
      </c>
      <c r="C195" s="20" t="n">
        <v>-231</v>
      </c>
      <c r="D195" s="20" t="n">
        <v>-558</v>
      </c>
      <c r="E195" s="20" t="n">
        <v>-979</v>
      </c>
      <c r="F195" s="20" t="n">
        <v>-528</v>
      </c>
      <c r="G195" s="20" t="n">
        <v>-323</v>
      </c>
      <c r="H195" s="20" t="n">
        <v>-185</v>
      </c>
      <c r="I195" s="20" t="n">
        <v>-272</v>
      </c>
      <c r="J195" s="20" t="n">
        <v>-365</v>
      </c>
      <c r="K195" s="20" t="n">
        <v>-168</v>
      </c>
      <c r="L195" s="20" t="n">
        <v>313</v>
      </c>
      <c r="M195" s="20" t="n">
        <v>-158</v>
      </c>
      <c r="N195" s="20" t="n">
        <v>-188</v>
      </c>
      <c r="V195" s="20" t="n">
        <v>-979</v>
      </c>
      <c r="W195" s="20" t="n">
        <v>-272</v>
      </c>
      <c r="X195" s="20" t="n">
        <v>-158</v>
      </c>
    </row>
    <row r="196">
      <c r="A196" s="43" t="inlineStr">
        <is>
          <t>OPM</t>
        </is>
      </c>
      <c r="B196" s="3" t="inlineStr">
        <is>
          <t>영업이익 ÷ 매출</t>
        </is>
      </c>
      <c r="C196" s="15">
        <f>IF(OR(C195="",C183=""),"",IF(C183&lt;=0,"",IFERROR(C195/C183,"")))</f>
        <v/>
      </c>
      <c r="D196" s="15">
        <f>IF(OR(D195="",D183=""),"",IF(D183&lt;=0,"",IFERROR(D195/D183,"")))</f>
        <v/>
      </c>
      <c r="E196" s="15">
        <f>IF(OR(E195="",E183=""),"",IF(E183&lt;=0,"",IFERROR(E195/E183,"")))</f>
        <v/>
      </c>
      <c r="F196" s="15">
        <f>IF(OR(F195="",F183=""),"",IF(F183&lt;=0,"",IFERROR(F195/F183,"")))</f>
        <v/>
      </c>
      <c r="G196" s="15">
        <f>IF(OR(G195="",G183=""),"",IF(G183&lt;=0,"",IFERROR(G195/G183,"")))</f>
        <v/>
      </c>
      <c r="H196" s="15">
        <f>IF(OR(H195="",H183=""),"",IF(H183&lt;=0,"",IFERROR(H195/H183,"")))</f>
        <v/>
      </c>
      <c r="I196" s="15">
        <f>IF(OR(I195="",I183=""),"",IF(I183&lt;=0,"",IFERROR(I195/I183,"")))</f>
        <v/>
      </c>
      <c r="J196" s="15">
        <f>IF(OR(J195="",J183=""),"",IF(J183&lt;=0,"",IFERROR(J195/J183,"")))</f>
        <v/>
      </c>
      <c r="K196" s="15">
        <f>IF(OR(K195="",K183=""),"",IF(K183&lt;=0,"",IFERROR(K195/K183,"")))</f>
        <v/>
      </c>
      <c r="L196" s="15">
        <f>IF(OR(L195="",L183=""),"",IF(L183&lt;=0,"",IFERROR(L195/L183,"")))</f>
        <v/>
      </c>
      <c r="M196" s="15">
        <f>IF(OR(M195="",M183=""),"",IF(M183&lt;=0,"",IFERROR(M195/M183,"")))</f>
        <v/>
      </c>
      <c r="N196" s="15">
        <f>IF(OR(N195="",N183=""),"",IF(N183&lt;=0,"",IFERROR(N195/N183,"")))</f>
        <v/>
      </c>
      <c r="V196" s="15">
        <f>IF(OR(V195="",V183=""),"",IF(V183&lt;=0,"",IFERROR(V195/V183,"")))</f>
        <v/>
      </c>
      <c r="W196" s="15">
        <f>IF(OR(W195="",W183=""),"",IF(W183&lt;=0,"",IFERROR(W195/W183,"")))</f>
        <v/>
      </c>
      <c r="X196" s="15">
        <f>IF(OR(X195="",X183=""),"",IF(X183&lt;=0,"",IFERROR(X195/X183,"")))</f>
        <v/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IF(OR(G195="",C195=""),"",IF(C195&lt;=0,"",IFERROR(G195/C195-1,"")))</f>
        <v/>
      </c>
      <c r="H197" s="15">
        <f>IF(OR(H195="",D195=""),"",IF(D195&lt;=0,"",IFERROR(H195/D195-1,"")))</f>
        <v/>
      </c>
      <c r="I197" s="15">
        <f>IF(OR(I195="",E195=""),"",IF(E195&lt;=0,"",IFERROR(I195/E195-1,"")))</f>
        <v/>
      </c>
      <c r="J197" s="15">
        <f>IF(OR(J195="",F195=""),"",IF(F195&lt;=0,"",IFERROR(J195/F195-1,"")))</f>
        <v/>
      </c>
      <c r="K197" s="15">
        <f>IF(OR(K195="",G195=""),"",IF(G195&lt;=0,"",IFERROR(K195/G195-1,"")))</f>
        <v/>
      </c>
      <c r="L197" s="15">
        <f>IF(OR(L195="",H195=""),"",IF(H195&lt;=0,"",IFERROR(L195/H195-1,"")))</f>
        <v/>
      </c>
      <c r="M197" s="15">
        <f>IF(OR(M195="",I195=""),"",IF(I195&lt;=0,"",IFERROR(M195/I195-1,"")))</f>
        <v/>
      </c>
      <c r="N197" s="15">
        <f>IF(OR(N195="",J195=""),"",IF(J195&lt;=0,"",IFERROR(N195/J195-1,"")))</f>
        <v/>
      </c>
      <c r="V197" s="15">
        <f>IF(OR(V195="",U195=""),"",IF(U195&lt;=0,"",IFERROR(V195/U195-1,"")))</f>
        <v/>
      </c>
      <c r="W197" s="15">
        <f>IF(OR(W195="",V195=""),"",IF(V195&lt;=0,"",IFERROR(W195/V195-1,"")))</f>
        <v/>
      </c>
      <c r="X197" s="15">
        <f>IF(OR(X195="",W195=""),"",IF(W195&lt;=0,"",IFERROR(X195/W195-1,"")))</f>
        <v/>
      </c>
    </row>
    <row r="198">
      <c r="A198" s="18" t="inlineStr">
        <is>
          <t>RandDCenterReportableSegmentsMember · Operating Income</t>
        </is>
      </c>
      <c r="C198" s="20" t="n">
        <v>-42</v>
      </c>
      <c r="F198" s="20" t="n">
        <v>-104</v>
      </c>
      <c r="G198" s="20" t="n">
        <v>-96</v>
      </c>
      <c r="J198" s="20" t="n">
        <v>-144</v>
      </c>
      <c r="K198" s="20" t="n">
        <v>-100</v>
      </c>
      <c r="N198" s="20" t="n">
        <v>-74</v>
      </c>
    </row>
    <row r="199">
      <c r="A199" s="43" t="inlineStr">
        <is>
          <t>OPM</t>
        </is>
      </c>
      <c r="B199" s="3" t="inlineStr">
        <is>
          <t>영업이익 ÷ 매출</t>
        </is>
      </c>
      <c r="C199" s="15">
        <f>IF(OR(C198="",C185=""),"",IF(C185&lt;=0,"",IFERROR(C198/C185,"")))</f>
        <v/>
      </c>
      <c r="F199" s="15">
        <f>IF(OR(F198="",F185=""),"",IF(F185&lt;=0,"",IFERROR(F198/F185,"")))</f>
        <v/>
      </c>
      <c r="G199" s="15">
        <f>IF(OR(G198="",G185=""),"",IF(G185&lt;=0,"",IFERROR(G198/G185,"")))</f>
        <v/>
      </c>
      <c r="J199" s="15">
        <f>IF(OR(J198="",J185=""),"",IF(J185&lt;=0,"",IFERROR(J198/J185,"")))</f>
        <v/>
      </c>
      <c r="K199" s="15">
        <f>IF(OR(K198="",K185=""),"",IF(K185&lt;=0,"",IFERROR(K198/K185,"")))</f>
        <v/>
      </c>
      <c r="N199" s="15">
        <f>IF(OR(N198="",N185=""),"",IF(N185&lt;=0,"",IFERROR(N198/N185,"")))</f>
        <v/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G200" s="15">
        <f>IF(OR(G198="",C198=""),"",IF(C198&lt;=0,"",IFERROR(G198/C198-1,"")))</f>
        <v/>
      </c>
      <c r="J200" s="15">
        <f>IF(OR(J198="",F198=""),"",IF(F198&lt;=0,"",IFERROR(J198/F198-1,"")))</f>
        <v/>
      </c>
      <c r="K200" s="15">
        <f>IF(OR(K198="",G198=""),"",IF(G198&lt;=0,"",IFERROR(K198/G198-1,"")))</f>
        <v/>
      </c>
      <c r="N200" s="15">
        <f>IF(OR(N198="",J198=""),"",IF(J198&lt;=0,"",IFERROR(N198/J198-1,"")))</f>
        <v/>
      </c>
    </row>
    <row r="201">
      <c r="A201" s="18" t="inlineStr">
        <is>
          <t>보고부문 합계 · Operating Income</t>
        </is>
      </c>
      <c r="C201" s="20" t="n">
        <v>208</v>
      </c>
      <c r="D201" s="20" t="n">
        <v>-379</v>
      </c>
      <c r="E201" s="20" t="n">
        <v>-687</v>
      </c>
      <c r="F201" s="20" t="n">
        <v>-64</v>
      </c>
      <c r="G201" s="20" t="n">
        <v>172</v>
      </c>
      <c r="H201" s="20" t="n">
        <v>-183</v>
      </c>
      <c r="I201" s="20" t="n">
        <v>-145</v>
      </c>
      <c r="J201" s="20" t="n">
        <v>-280</v>
      </c>
      <c r="K201" s="20" t="n">
        <v>163</v>
      </c>
      <c r="L201" s="20" t="n">
        <v>589</v>
      </c>
      <c r="M201" s="20" t="n">
        <v>-42</v>
      </c>
      <c r="N201" s="20" t="n">
        <v>6</v>
      </c>
      <c r="V201" s="20" t="n">
        <v>-687</v>
      </c>
      <c r="W201" s="20" t="n">
        <v>-145</v>
      </c>
      <c r="X201" s="20" t="n">
        <v>-42</v>
      </c>
    </row>
    <row r="202">
      <c r="A202" s="43" t="inlineStr">
        <is>
          <t>OPM</t>
        </is>
      </c>
      <c r="B202" s="3" t="inlineStr">
        <is>
          <t>영업이익 ÷ 매출</t>
        </is>
      </c>
      <c r="C202" s="15">
        <f>IF(OR(C201="",C187=""),"",IF(C187&lt;=0,"",IFERROR(C201/C187,"")))</f>
        <v/>
      </c>
      <c r="D202" s="15">
        <f>IF(OR(D201="",D187=""),"",IF(D187&lt;=0,"",IFERROR(D201/D187,"")))</f>
        <v/>
      </c>
      <c r="E202" s="15">
        <f>IF(OR(E201="",E187=""),"",IF(E187&lt;=0,"",IFERROR(E201/E187,"")))</f>
        <v/>
      </c>
      <c r="F202" s="15">
        <f>IF(OR(F201="",F187=""),"",IF(F187&lt;=0,"",IFERROR(F201/F187,"")))</f>
        <v/>
      </c>
      <c r="G202" s="15">
        <f>IF(OR(G201="",G187=""),"",IF(G187&lt;=0,"",IFERROR(G201/G187,"")))</f>
        <v/>
      </c>
      <c r="H202" s="15">
        <f>IF(OR(H201="",H187=""),"",IF(H187&lt;=0,"",IFERROR(H201/H187,"")))</f>
        <v/>
      </c>
      <c r="I202" s="15">
        <f>IF(OR(I201="",I187=""),"",IF(I187&lt;=0,"",IFERROR(I201/I187,"")))</f>
        <v/>
      </c>
      <c r="J202" s="15">
        <f>IF(OR(J201="",J187=""),"",IF(J187&lt;=0,"",IFERROR(J201/J187,"")))</f>
        <v/>
      </c>
      <c r="K202" s="15">
        <f>IF(OR(K201="",K187=""),"",IF(K187&lt;=0,"",IFERROR(K201/K187,"")))</f>
        <v/>
      </c>
      <c r="L202" s="15">
        <f>IF(OR(L201="",L187=""),"",IF(L187&lt;=0,"",IFERROR(L201/L187,"")))</f>
        <v/>
      </c>
      <c r="M202" s="15">
        <f>IF(OR(M201="",M187=""),"",IF(M187&lt;=0,"",IFERROR(M201/M187,"")))</f>
        <v/>
      </c>
      <c r="N202" s="15">
        <f>IF(OR(N201="",N187=""),"",IF(N187&lt;=0,"",IFERROR(N201/N187,"")))</f>
        <v/>
      </c>
      <c r="V202" s="15">
        <f>IF(OR(V201="",V187=""),"",IF(V187&lt;=0,"",IFERROR(V201/V187,"")))</f>
        <v/>
      </c>
      <c r="W202" s="15">
        <f>IF(OR(W201="",W187=""),"",IF(W187&lt;=0,"",IFERROR(W201/W187,"")))</f>
        <v/>
      </c>
      <c r="X202" s="15">
        <f>IF(OR(X201="",X187=""),"",IF(X187&lt;=0,"",IFERROR(X201/X187,"")))</f>
        <v/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IF(OR(G201="",C201=""),"",IF(C201&lt;=0,"",IFERROR(G201/C201-1,"")))</f>
        <v/>
      </c>
      <c r="H203" s="15">
        <f>IF(OR(H201="",D201=""),"",IF(D201&lt;=0,"",IFERROR(H201/D201-1,"")))</f>
        <v/>
      </c>
      <c r="I203" s="15">
        <f>IF(OR(I201="",E201=""),"",IF(E201&lt;=0,"",IFERROR(I201/E201-1,"")))</f>
        <v/>
      </c>
      <c r="J203" s="15">
        <f>IF(OR(J201="",F201=""),"",IF(F201&lt;=0,"",IFERROR(J201/F201-1,"")))</f>
        <v/>
      </c>
      <c r="K203" s="15">
        <f>IF(OR(K201="",G201=""),"",IF(G201&lt;=0,"",IFERROR(K201/G201-1,"")))</f>
        <v/>
      </c>
      <c r="L203" s="15">
        <f>IF(OR(L201="",H201=""),"",IF(H201&lt;=0,"",IFERROR(L201/H201-1,"")))</f>
        <v/>
      </c>
      <c r="M203" s="15">
        <f>IF(OR(M201="",I201=""),"",IF(I201&lt;=0,"",IFERROR(M201/I201-1,"")))</f>
        <v/>
      </c>
      <c r="N203" s="15">
        <f>IF(OR(N201="",J201=""),"",IF(J201&lt;=0,"",IFERROR(N201/J201-1,"")))</f>
        <v/>
      </c>
      <c r="V203" s="15">
        <f>IF(OR(V201="",U201=""),"",IF(U201&lt;=0,"",IFERROR(V201/U201-1,"")))</f>
        <v/>
      </c>
      <c r="W203" s="15">
        <f>IF(OR(W201="",V201=""),"",IF(V201&lt;=0,"",IFERROR(W201/V201-1,"")))</f>
        <v/>
      </c>
      <c r="X203" s="15">
        <f>IF(OR(X201="",W201=""),"",IF(W201&lt;=0,"",IFERROR(X201/W201-1,"")))</f>
        <v/>
      </c>
    </row>
    <row r="204">
      <c r="A204" s="9" t="inlineStr">
        <is>
          <t>Operating Income</t>
        </is>
      </c>
      <c r="C204" s="12" t="n">
        <v>208</v>
      </c>
      <c r="D204" s="12" t="n">
        <v>-379</v>
      </c>
      <c r="E204" s="12" t="n">
        <v>-687</v>
      </c>
      <c r="F204" s="12" t="n">
        <v>-64</v>
      </c>
      <c r="G204" s="12" t="n">
        <v>172</v>
      </c>
      <c r="H204" s="12" t="n">
        <v>-183</v>
      </c>
      <c r="I204" s="12" t="n">
        <v>-145</v>
      </c>
      <c r="V204" s="12" t="n">
        <v>-687</v>
      </c>
      <c r="W204" s="12" t="n">
        <v>-145</v>
      </c>
    </row>
    <row r="205">
      <c r="A205" s="43" t="inlineStr">
        <is>
          <t>OPM</t>
        </is>
      </c>
      <c r="B205" s="3" t="inlineStr">
        <is>
          <t>영업이익 ÷ 매출</t>
        </is>
      </c>
      <c r="C205" s="15">
        <f>IF(OR(C204="",C172=""),"",IF(C172&lt;=0,"",IFERROR(C204/C172,"")))</f>
        <v/>
      </c>
      <c r="D205" s="15">
        <f>IF(OR(D204="",D172=""),"",IF(D172&lt;=0,"",IFERROR(D204/D172,"")))</f>
        <v/>
      </c>
      <c r="E205" s="15">
        <f>IF(OR(E204="",E172=""),"",IF(E172&lt;=0,"",IFERROR(E204/E172,"")))</f>
        <v/>
      </c>
      <c r="F205" s="15">
        <f>IF(OR(F204="",F172=""),"",IF(F172&lt;=0,"",IFERROR(F204/F172,"")))</f>
        <v/>
      </c>
      <c r="G205" s="15">
        <f>IF(OR(G204="",G172=""),"",IF(G172&lt;=0,"",IFERROR(G204/G172,"")))</f>
        <v/>
      </c>
      <c r="H205" s="15">
        <f>IF(OR(H204="",H172=""),"",IF(H172&lt;=0,"",IFERROR(H204/H172,"")))</f>
        <v/>
      </c>
      <c r="I205" s="15">
        <f>IF(OR(I204="",I172=""),"",IF(I172&lt;=0,"",IFERROR(I204/I172,"")))</f>
        <v/>
      </c>
      <c r="V205" s="15">
        <f>IF(OR(V204="",V172=""),"",IF(V172&lt;=0,"",IFERROR(V204/V172,"")))</f>
        <v/>
      </c>
      <c r="W205" s="15">
        <f>IF(OR(W204="",W172=""),"",IF(W172&lt;=0,"",IFERROR(W204/W172,"")))</f>
        <v/>
      </c>
    </row>
    <row r="206">
      <c r="A206" s="43" t="inlineStr">
        <is>
          <t>YoY</t>
        </is>
      </c>
      <c r="B206" s="3" t="inlineStr">
        <is>
          <t>전년 같은 분기·전년 대비</t>
        </is>
      </c>
      <c r="G206" s="15">
        <f>IF(OR(G204="",C204=""),"",IF(C204&lt;=0,"",IFERROR(G204/C204-1,"")))</f>
        <v/>
      </c>
      <c r="H206" s="15">
        <f>IF(OR(H204="",D204=""),"",IF(D204&lt;=0,"",IFERROR(H204/D204-1,"")))</f>
        <v/>
      </c>
      <c r="I206" s="15">
        <f>IF(OR(I204="",E204=""),"",IF(E204&lt;=0,"",IFERROR(I204/E204-1,"")))</f>
        <v/>
      </c>
      <c r="V206" s="15">
        <f>IF(OR(V204="",U204=""),"",IF(U204&lt;=0,"",IFERROR(V204/U204-1,"")))</f>
        <v/>
      </c>
      <c r="W206" s="15">
        <f>IF(OR(W204="",V204=""),"",IF(V204&lt;=0,"",IFERROR(W204/V204-1,"")))</f>
        <v/>
      </c>
    </row>
    <row r="207">
      <c r="A207" s="18" t="inlineStr">
        <is>
          <t>EntityTotalMember · Operating Income</t>
        </is>
      </c>
      <c r="F207" s="20" t="n">
        <v>-64</v>
      </c>
      <c r="J207" s="20" t="n">
        <v>-280</v>
      </c>
      <c r="N207" s="20" t="n">
        <v>6</v>
      </c>
    </row>
    <row r="209">
      <c r="A209" s="16" t="inlineStr">
        <is>
          <t>현금흐름표 · 전 항목</t>
        </is>
      </c>
      <c r="B209" s="42" t="inlineStr">
        <is>
          <t>분기 = 결산기 첫날부터 누계(공시 그대로)</t>
        </is>
      </c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  <c r="AA209" s="16" t="n"/>
      <c r="AB209" s="16" t="n"/>
      <c r="AC209" s="16" t="n"/>
    </row>
    <row r="210">
      <c r="A210" s="5" t="inlineStr">
        <is>
          <t>항목</t>
        </is>
      </c>
      <c r="B210" s="5" t="inlineStr">
        <is>
          <t>참고</t>
        </is>
      </c>
      <c r="C210" s="5" t="inlineStr">
        <is>
          <t>2024.2Q</t>
        </is>
      </c>
      <c r="D210" s="5" t="inlineStr">
        <is>
          <t>2024.3Q</t>
        </is>
      </c>
      <c r="E210" s="5" t="inlineStr">
        <is>
          <t>2024.4Q</t>
        </is>
      </c>
      <c r="F210" s="5" t="inlineStr">
        <is>
          <t>2025.1Q</t>
        </is>
      </c>
      <c r="G210" s="5" t="inlineStr">
        <is>
          <t>2025.2Q</t>
        </is>
      </c>
      <c r="H210" s="5" t="inlineStr">
        <is>
          <t>2025.3Q</t>
        </is>
      </c>
      <c r="I210" s="5" t="inlineStr">
        <is>
          <t>2025.4Q</t>
        </is>
      </c>
      <c r="J210" s="5" t="inlineStr">
        <is>
          <t>2026.1Q</t>
        </is>
      </c>
      <c r="K210" s="5" t="inlineStr">
        <is>
          <t>2026.2Q</t>
        </is>
      </c>
      <c r="L210" s="5" t="inlineStr">
        <is>
          <t>2026.3Q</t>
        </is>
      </c>
      <c r="M210" s="5" t="inlineStr">
        <is>
          <t>2026.4Q</t>
        </is>
      </c>
      <c r="N210" s="5" t="inlineStr">
        <is>
          <t>2027.1Q</t>
        </is>
      </c>
      <c r="O210" s="5" t="inlineStr">
        <is>
          <t>2017</t>
        </is>
      </c>
      <c r="P210" s="5" t="inlineStr">
        <is>
          <t>2018</t>
        </is>
      </c>
      <c r="Q210" s="5" t="inlineStr">
        <is>
          <t>2019</t>
        </is>
      </c>
      <c r="R210" s="5" t="inlineStr">
        <is>
          <t>2020</t>
        </is>
      </c>
      <c r="S210" s="5" t="inlineStr">
        <is>
          <t>2021</t>
        </is>
      </c>
      <c r="T210" s="5" t="inlineStr">
        <is>
          <t>2022</t>
        </is>
      </c>
      <c r="U210" s="5" t="inlineStr">
        <is>
          <t>2023</t>
        </is>
      </c>
      <c r="V210" s="5" t="inlineStr">
        <is>
          <t>2024</t>
        </is>
      </c>
      <c r="W210" s="5" t="inlineStr">
        <is>
          <t>2025</t>
        </is>
      </c>
      <c r="X210" s="5" t="inlineStr">
        <is>
          <t>2026</t>
        </is>
      </c>
      <c r="Y210" s="5" t="inlineStr">
        <is>
          <t>2027(MW)</t>
        </is>
      </c>
      <c r="Z210" s="5" t="inlineStr">
        <is>
          <t>2028(MW)</t>
        </is>
      </c>
      <c r="AA210" s="5" t="inlineStr">
        <is>
          <t>2029(MW)</t>
        </is>
      </c>
      <c r="AB210" s="5" t="inlineStr">
        <is>
          <t>2030(MW)</t>
        </is>
      </c>
      <c r="AC210" s="5" t="inlineStr">
        <is>
          <t>2031(MW)</t>
        </is>
      </c>
    </row>
    <row r="211">
      <c r="A211" s="9" t="inlineStr">
        <is>
          <t>법인세차감전 중간순이익(손실)</t>
        </is>
      </c>
      <c r="C211" s="12" t="n">
        <v>1264</v>
      </c>
      <c r="E211" s="12" t="n">
        <v>-53</v>
      </c>
      <c r="G211" s="12" t="n">
        <v>-7</v>
      </c>
      <c r="I211" s="12" t="n">
        <v>-963</v>
      </c>
      <c r="K211" s="12" t="n">
        <v>-122</v>
      </c>
      <c r="M211" s="12" t="n">
        <v>867</v>
      </c>
      <c r="O211" s="12" t="n">
        <v>1241</v>
      </c>
      <c r="P211" s="12" t="n">
        <v>570</v>
      </c>
      <c r="Q211" s="12" t="n">
        <v>303</v>
      </c>
      <c r="R211" s="12" t="n">
        <v>-3165</v>
      </c>
      <c r="S211" s="12" t="n">
        <v>2271</v>
      </c>
      <c r="T211" s="12" t="n">
        <v>3254</v>
      </c>
      <c r="U211" s="12" t="n">
        <v>1906</v>
      </c>
      <c r="V211" s="12" t="n">
        <v>-53</v>
      </c>
      <c r="W211" s="12" t="n">
        <v>-963</v>
      </c>
      <c r="X211" s="12" t="n">
        <v>867</v>
      </c>
    </row>
    <row r="212">
      <c r="A212" s="18" t="inlineStr">
        <is>
          <t>감가상각비</t>
        </is>
      </c>
      <c r="C212" s="20" t="n">
        <v>1254</v>
      </c>
      <c r="E212" s="20" t="n">
        <v>2451</v>
      </c>
      <c r="G212" s="20" t="n">
        <v>1146</v>
      </c>
      <c r="I212" s="20" t="n">
        <v>2347</v>
      </c>
      <c r="K212" s="20" t="n">
        <v>1134</v>
      </c>
      <c r="M212" s="20" t="n">
        <v>2626</v>
      </c>
      <c r="O212" s="20" t="n">
        <v>4381</v>
      </c>
      <c r="P212" s="20" t="n">
        <v>4187</v>
      </c>
      <c r="Q212" s="20" t="n">
        <v>3664</v>
      </c>
      <c r="R212" s="20" t="n">
        <v>3292</v>
      </c>
      <c r="S212" s="20" t="n">
        <v>2237</v>
      </c>
      <c r="T212" s="20" t="n">
        <v>2696</v>
      </c>
      <c r="U212" s="20" t="n">
        <v>2884</v>
      </c>
      <c r="V212" s="20" t="n">
        <v>2451</v>
      </c>
      <c r="W212" s="20" t="n">
        <v>2347</v>
      </c>
      <c r="X212" s="20" t="n">
        <v>2626</v>
      </c>
    </row>
    <row r="213">
      <c r="A213" s="18" t="inlineStr">
        <is>
          <t>손상차손</t>
        </is>
      </c>
      <c r="C213" s="20" t="n">
        <v>0</v>
      </c>
      <c r="E213" s="20" t="n">
        <v>562</v>
      </c>
      <c r="G213" s="20" t="n">
        <v>80</v>
      </c>
      <c r="I213" s="20" t="n">
        <v>497</v>
      </c>
      <c r="K213" s="20" t="n">
        <v>0</v>
      </c>
      <c r="M213" s="20" t="n">
        <v>314</v>
      </c>
      <c r="O213" s="20" t="n">
        <v>443</v>
      </c>
      <c r="P213" s="20" t="n">
        <v>1815</v>
      </c>
      <c r="Q213" s="20" t="n">
        <v>148</v>
      </c>
      <c r="R213" s="20" t="n">
        <v>2953</v>
      </c>
      <c r="S213" s="20" t="n">
        <v>130</v>
      </c>
      <c r="T213" s="20" t="n">
        <v>3</v>
      </c>
      <c r="U213" s="20" t="n">
        <v>517</v>
      </c>
      <c r="V213" s="20" t="n">
        <v>562</v>
      </c>
      <c r="W213" s="20" t="n">
        <v>497</v>
      </c>
      <c r="X213" s="20" t="n">
        <v>314</v>
      </c>
    </row>
    <row r="214">
      <c r="A214" s="18" t="inlineStr">
        <is>
          <t>영업권 상각</t>
        </is>
      </c>
      <c r="O214" s="20" t="n">
        <v>137</v>
      </c>
      <c r="P214" s="20" t="n">
        <v>0</v>
      </c>
    </row>
    <row r="215">
      <c r="A215" s="18" t="inlineStr">
        <is>
          <t>사업구조개혁 비용</t>
        </is>
      </c>
      <c r="E215" s="20" t="n">
        <v>0</v>
      </c>
      <c r="I215" s="20" t="n">
        <v>869</v>
      </c>
      <c r="M215" s="20" t="n">
        <v>0</v>
      </c>
      <c r="V215" s="20" t="n">
        <v>0</v>
      </c>
      <c r="W215" s="20" t="n">
        <v>869</v>
      </c>
      <c r="X215" s="20" t="n">
        <v>0</v>
      </c>
    </row>
    <row r="216">
      <c r="A216" s="18" t="inlineStr">
        <is>
          <t>상여충당금 증감</t>
        </is>
      </c>
      <c r="C216" s="20" t="n">
        <v>99</v>
      </c>
      <c r="E216" s="20" t="n">
        <v>-33</v>
      </c>
      <c r="G216" s="20" t="n">
        <v>127</v>
      </c>
      <c r="I216" s="20" t="n">
        <v>10</v>
      </c>
      <c r="K216" s="20" t="n">
        <v>172</v>
      </c>
      <c r="M216" s="20" t="n">
        <v>33</v>
      </c>
      <c r="O216" s="20" t="n">
        <v>-337</v>
      </c>
      <c r="P216" s="20" t="n">
        <v>40</v>
      </c>
      <c r="Q216" s="20" t="n">
        <v>-44</v>
      </c>
      <c r="R216" s="20" t="n">
        <v>-44</v>
      </c>
      <c r="S216" s="20" t="n">
        <v>134</v>
      </c>
      <c r="T216" s="20" t="n">
        <v>17</v>
      </c>
      <c r="U216" s="20" t="n">
        <v>-153</v>
      </c>
      <c r="V216" s="20" t="n">
        <v>-33</v>
      </c>
      <c r="W216" s="20" t="n">
        <v>10</v>
      </c>
      <c r="X216" s="20" t="n">
        <v>33</v>
      </c>
    </row>
    <row r="217">
      <c r="A217" s="18" t="inlineStr">
        <is>
          <t>Increase Decrease In Valuation Reserve For Inventory Purchase Commitments Ope CF</t>
        </is>
      </c>
      <c r="C217" s="20" t="n">
        <v>0</v>
      </c>
      <c r="E217" s="20" t="n">
        <v>103</v>
      </c>
      <c r="G217" s="20" t="n">
        <v>-64</v>
      </c>
      <c r="I217" s="20" t="n">
        <v>-100</v>
      </c>
      <c r="K217" s="20" t="n">
        <v>0</v>
      </c>
      <c r="M217" s="20" t="n">
        <v>-6</v>
      </c>
      <c r="U217" s="20" t="n">
        <v>0</v>
      </c>
      <c r="V217" s="20" t="n">
        <v>103</v>
      </c>
      <c r="W217" s="20" t="n">
        <v>-100</v>
      </c>
      <c r="X217" s="20" t="n">
        <v>-6</v>
      </c>
    </row>
    <row r="218">
      <c r="A218" s="18" t="inlineStr">
        <is>
          <t>임원 퇴직위로 충당금 증감</t>
        </is>
      </c>
      <c r="C218" s="20" t="n">
        <v>7</v>
      </c>
      <c r="E218" s="20" t="n">
        <v>0</v>
      </c>
      <c r="G218" s="20" t="n">
        <v>-11</v>
      </c>
      <c r="I218" s="20" t="n">
        <v>-8</v>
      </c>
      <c r="K218" s="20" t="n">
        <v>-4</v>
      </c>
      <c r="M218" s="20" t="n">
        <v>8</v>
      </c>
      <c r="O218" s="20" t="n">
        <v>15</v>
      </c>
      <c r="P218" s="20" t="n">
        <v>-31</v>
      </c>
      <c r="Q218" s="20" t="n">
        <v>4</v>
      </c>
      <c r="R218" s="20" t="n">
        <v>-41</v>
      </c>
      <c r="S218" s="20" t="n">
        <v>13</v>
      </c>
      <c r="T218" s="20" t="n">
        <v>25</v>
      </c>
      <c r="U218" s="20" t="n">
        <v>-41</v>
      </c>
      <c r="V218" s="20" t="n">
        <v>0</v>
      </c>
      <c r="W218" s="20" t="n">
        <v>-8</v>
      </c>
      <c r="X218" s="20" t="n">
        <v>8</v>
      </c>
    </row>
    <row r="219">
      <c r="A219" s="18" t="inlineStr">
        <is>
          <t>임원 주식급여 충당금 증감</t>
        </is>
      </c>
      <c r="C219" s="20" t="n">
        <v>4</v>
      </c>
      <c r="E219" s="20" t="n">
        <v>-1</v>
      </c>
      <c r="G219" s="20" t="n">
        <v>4</v>
      </c>
      <c r="I219" s="20" t="n">
        <v>-2</v>
      </c>
      <c r="K219" s="20" t="n">
        <v>9</v>
      </c>
      <c r="M219" s="20" t="n">
        <v>24</v>
      </c>
      <c r="R219" s="20" t="n">
        <v>0</v>
      </c>
      <c r="S219" s="20" t="n">
        <v>14</v>
      </c>
      <c r="T219" s="20" t="n">
        <v>12</v>
      </c>
      <c r="U219" s="20" t="n">
        <v>2</v>
      </c>
      <c r="V219" s="20" t="n">
        <v>-1</v>
      </c>
      <c r="W219" s="20" t="n">
        <v>-2</v>
      </c>
      <c r="X219" s="20" t="n">
        <v>24</v>
      </c>
    </row>
    <row r="220">
      <c r="A220" s="18" t="inlineStr">
        <is>
          <t>퇴직급여 자산·부채 증감</t>
        </is>
      </c>
      <c r="C220" s="20" t="n">
        <v>-79</v>
      </c>
      <c r="E220" s="20" t="n">
        <v>-187</v>
      </c>
      <c r="G220" s="20" t="n">
        <v>-197</v>
      </c>
      <c r="I220" s="20" t="n">
        <v>-133</v>
      </c>
      <c r="K220" s="20" t="n">
        <v>-273</v>
      </c>
      <c r="M220" s="20" t="n">
        <v>-460</v>
      </c>
      <c r="O220" s="20" t="n">
        <v>-257</v>
      </c>
      <c r="P220" s="20" t="n">
        <v>-382</v>
      </c>
      <c r="Q220" s="20" t="n">
        <v>-367</v>
      </c>
      <c r="R220" s="20" t="n">
        <v>-62</v>
      </c>
      <c r="S220" s="20" t="n">
        <v>30</v>
      </c>
      <c r="T220" s="20" t="n">
        <v>-289</v>
      </c>
      <c r="U220" s="20" t="n">
        <v>-294</v>
      </c>
      <c r="V220" s="20" t="n">
        <v>-187</v>
      </c>
      <c r="W220" s="20" t="n">
        <v>-133</v>
      </c>
      <c r="X220" s="20" t="n">
        <v>-460</v>
      </c>
    </row>
    <row r="221">
      <c r="A221" s="18" t="inlineStr">
        <is>
          <t>이자·배당금 수익</t>
        </is>
      </c>
      <c r="C221" s="20" t="n">
        <v>-80</v>
      </c>
      <c r="E221" s="20" t="n">
        <v>-167</v>
      </c>
      <c r="G221" s="20" t="n">
        <v>-115</v>
      </c>
      <c r="I221" s="20" t="n">
        <v>-224</v>
      </c>
      <c r="K221" s="20" t="n">
        <v>-106</v>
      </c>
      <c r="M221" s="20" t="n">
        <v>-207</v>
      </c>
      <c r="O221" s="20" t="n">
        <v>-95</v>
      </c>
      <c r="P221" s="20" t="n">
        <v>-98</v>
      </c>
      <c r="Q221" s="20" t="n">
        <v>-93</v>
      </c>
      <c r="R221" s="20" t="n">
        <v>-105</v>
      </c>
      <c r="S221" s="20" t="n">
        <v>-71</v>
      </c>
      <c r="T221" s="20" t="n">
        <v>-85</v>
      </c>
      <c r="U221" s="20" t="n">
        <v>-115</v>
      </c>
      <c r="V221" s="20" t="n">
        <v>-167</v>
      </c>
      <c r="W221" s="20" t="n">
        <v>-224</v>
      </c>
      <c r="X221" s="20" t="n">
        <v>-207</v>
      </c>
    </row>
    <row r="222">
      <c r="A222" s="18" t="inlineStr">
        <is>
          <t>이자비용</t>
        </is>
      </c>
      <c r="C222" s="20" t="n">
        <v>68</v>
      </c>
      <c r="E222" s="20" t="n">
        <v>156</v>
      </c>
      <c r="G222" s="20" t="n">
        <v>107</v>
      </c>
      <c r="I222" s="20" t="n">
        <v>221</v>
      </c>
      <c r="K222" s="20" t="n">
        <v>122</v>
      </c>
      <c r="M222" s="20" t="n">
        <v>250</v>
      </c>
      <c r="O222" s="20" t="n">
        <v>124</v>
      </c>
      <c r="P222" s="20" t="n">
        <v>114</v>
      </c>
      <c r="Q222" s="20" t="n">
        <v>114</v>
      </c>
      <c r="R222" s="20" t="n">
        <v>109</v>
      </c>
      <c r="S222" s="20" t="n">
        <v>108</v>
      </c>
      <c r="T222" s="20" t="n">
        <v>103</v>
      </c>
      <c r="U222" s="20" t="n">
        <v>173</v>
      </c>
      <c r="V222" s="20" t="n">
        <v>156</v>
      </c>
      <c r="W222" s="20" t="n">
        <v>221</v>
      </c>
      <c r="X222" s="20" t="n">
        <v>250</v>
      </c>
    </row>
    <row r="223">
      <c r="A223" s="18" t="inlineStr">
        <is>
          <t>투자유가증권 매각손익</t>
        </is>
      </c>
      <c r="E223" s="20" t="n">
        <v>-273</v>
      </c>
      <c r="G223" s="20" t="n">
        <v>0</v>
      </c>
      <c r="I223" s="20" t="n">
        <v>0</v>
      </c>
      <c r="K223" s="20" t="n">
        <v>-7</v>
      </c>
      <c r="M223" s="20" t="n">
        <v>-12</v>
      </c>
      <c r="O223" s="20" t="n">
        <v>-99</v>
      </c>
      <c r="P223" s="20" t="n">
        <v>-0</v>
      </c>
      <c r="Q223" s="20" t="n">
        <v>-193</v>
      </c>
      <c r="R223" s="20" t="n">
        <v>0</v>
      </c>
      <c r="T223" s="20" t="n">
        <v>0</v>
      </c>
      <c r="U223" s="20" t="n">
        <v>-2</v>
      </c>
      <c r="V223" s="20" t="n">
        <v>-273</v>
      </c>
      <c r="W223" s="20" t="n">
        <v>0</v>
      </c>
      <c r="X223" s="20" t="n">
        <v>-12</v>
      </c>
    </row>
    <row r="224">
      <c r="A224" s="18" t="inlineStr">
        <is>
          <t>투자유가증권 상환손익</t>
        </is>
      </c>
      <c r="O224" s="20" t="n">
        <v>0</v>
      </c>
      <c r="P224" s="20" t="n">
        <v>-46</v>
      </c>
      <c r="Q224" s="20" t="n">
        <v>0</v>
      </c>
    </row>
    <row r="225">
      <c r="A225" s="18" t="inlineStr">
        <is>
          <t>고정자산 매각손익</t>
        </is>
      </c>
      <c r="C225" s="20" t="n">
        <v>-182</v>
      </c>
      <c r="E225" s="20" t="n">
        <v>-183</v>
      </c>
      <c r="G225" s="20" t="n">
        <v>-5</v>
      </c>
      <c r="I225" s="20" t="n">
        <v>-6</v>
      </c>
      <c r="K225" s="20" t="n">
        <v>1</v>
      </c>
      <c r="M225" s="20" t="n">
        <v>-0</v>
      </c>
      <c r="O225" s="20" t="n">
        <v>-459</v>
      </c>
      <c r="P225" s="20" t="n">
        <v>-2339</v>
      </c>
      <c r="Q225" s="20" t="n">
        <v>-1316</v>
      </c>
      <c r="R225" s="20" t="n">
        <v>-53</v>
      </c>
      <c r="S225" s="20" t="n">
        <v>-20</v>
      </c>
      <c r="T225" s="20" t="n">
        <v>1</v>
      </c>
      <c r="U225" s="20" t="n">
        <v>-18</v>
      </c>
      <c r="V225" s="20" t="n">
        <v>-183</v>
      </c>
      <c r="W225" s="20" t="n">
        <v>-6</v>
      </c>
      <c r="X225" s="20" t="n">
        <v>-0</v>
      </c>
    </row>
    <row r="226">
      <c r="A226" s="18" t="inlineStr">
        <is>
          <t>투자유가증권 평가손익</t>
        </is>
      </c>
      <c r="C226" s="20" t="n">
        <v>1</v>
      </c>
      <c r="E226" s="20" t="n">
        <v>1</v>
      </c>
      <c r="G226" s="20" t="n">
        <v>2</v>
      </c>
      <c r="I226" s="20" t="n">
        <v>69</v>
      </c>
      <c r="K226" s="20" t="n">
        <v>0</v>
      </c>
      <c r="M226" s="20" t="n">
        <v>7</v>
      </c>
      <c r="O226" s="20" t="n">
        <v>0</v>
      </c>
      <c r="P226" s="20" t="n">
        <v>181</v>
      </c>
      <c r="Q226" s="20" t="n">
        <v>86</v>
      </c>
      <c r="R226" s="20" t="n">
        <v>23</v>
      </c>
      <c r="S226" s="20" t="n">
        <v>112</v>
      </c>
      <c r="T226" s="20" t="n">
        <v>115</v>
      </c>
      <c r="U226" s="20" t="n">
        <v>25</v>
      </c>
      <c r="V226" s="20" t="n">
        <v>1</v>
      </c>
      <c r="W226" s="20" t="n">
        <v>69</v>
      </c>
      <c r="X226" s="20" t="n">
        <v>7</v>
      </c>
    </row>
    <row r="227">
      <c r="A227" s="18" t="inlineStr">
        <is>
          <t>골프회원권 매각손익</t>
        </is>
      </c>
      <c r="Q227" s="20" t="n">
        <v>0</v>
      </c>
      <c r="R227" s="20" t="n">
        <v>-23</v>
      </c>
      <c r="S227" s="20" t="n">
        <v>0</v>
      </c>
    </row>
    <row r="228">
      <c r="A228" s="18" t="inlineStr">
        <is>
          <t>고정자산 제각손실</t>
        </is>
      </c>
      <c r="C228" s="20" t="n">
        <v>36</v>
      </c>
      <c r="E228" s="20" t="n">
        <v>72</v>
      </c>
      <c r="G228" s="20" t="n">
        <v>5</v>
      </c>
      <c r="I228" s="20" t="n">
        <v>83</v>
      </c>
      <c r="K228" s="20" t="n">
        <v>3</v>
      </c>
      <c r="M228" s="20" t="n">
        <v>65</v>
      </c>
      <c r="O228" s="20" t="n">
        <v>260</v>
      </c>
      <c r="P228" s="20" t="n">
        <v>172</v>
      </c>
      <c r="Q228" s="20" t="n">
        <v>199</v>
      </c>
      <c r="R228" s="20" t="n">
        <v>72</v>
      </c>
      <c r="S228" s="20" t="n">
        <v>79</v>
      </c>
      <c r="T228" s="20" t="n">
        <v>38</v>
      </c>
      <c r="U228" s="20" t="n">
        <v>76</v>
      </c>
      <c r="V228" s="20" t="n">
        <v>72</v>
      </c>
      <c r="W228" s="20" t="n">
        <v>83</v>
      </c>
      <c r="X228" s="20" t="n">
        <v>65</v>
      </c>
    </row>
    <row r="229">
      <c r="A229" s="18" t="inlineStr">
        <is>
          <t>관계회사 정리손실</t>
        </is>
      </c>
      <c r="R229" s="20" t="n">
        <v>0</v>
      </c>
      <c r="S229" s="20" t="n">
        <v>22</v>
      </c>
      <c r="T229" s="20" t="n">
        <v>0</v>
      </c>
    </row>
    <row r="230">
      <c r="A230" s="18" t="inlineStr">
        <is>
          <t>투자사업조합 운용 손익(△는 이익)</t>
        </is>
      </c>
      <c r="C230" s="20" t="n">
        <v>-81</v>
      </c>
      <c r="E230" s="20" t="n">
        <v>112</v>
      </c>
      <c r="G230" s="20" t="n">
        <v>-134</v>
      </c>
      <c r="I230" s="20" t="n">
        <v>-112</v>
      </c>
      <c r="K230" s="20" t="n">
        <v>-22</v>
      </c>
      <c r="T230" s="20" t="n">
        <v>0</v>
      </c>
      <c r="U230" s="20" t="n">
        <v>263</v>
      </c>
      <c r="V230" s="20" t="n">
        <v>112</v>
      </c>
      <c r="W230" s="20" t="n">
        <v>-112</v>
      </c>
    </row>
    <row r="231">
      <c r="A231" s="18" t="inlineStr">
        <is>
          <t>특별퇴직금</t>
        </is>
      </c>
      <c r="E231" s="20" t="n">
        <v>102</v>
      </c>
      <c r="I231" s="20" t="n">
        <v>0</v>
      </c>
      <c r="U231" s="20" t="n">
        <v>0</v>
      </c>
      <c r="V231" s="20" t="n">
        <v>102</v>
      </c>
      <c r="W231" s="20" t="n">
        <v>0</v>
      </c>
    </row>
    <row r="232">
      <c r="A232" s="18" t="inlineStr">
        <is>
          <t>매출채권 증감</t>
        </is>
      </c>
      <c r="C232" s="20" t="n">
        <v>1063</v>
      </c>
      <c r="E232" s="20" t="n">
        <v>1321</v>
      </c>
      <c r="G232" s="20" t="n">
        <v>1164</v>
      </c>
      <c r="I232" s="20" t="n">
        <v>-932</v>
      </c>
      <c r="K232" s="20" t="n">
        <v>1317</v>
      </c>
      <c r="M232" s="20" t="n">
        <v>1017</v>
      </c>
      <c r="O232" s="20" t="n">
        <v>1110</v>
      </c>
      <c r="P232" s="20" t="n">
        <v>-626</v>
      </c>
      <c r="Q232" s="20" t="n">
        <v>924</v>
      </c>
      <c r="R232" s="20" t="n">
        <v>1622</v>
      </c>
      <c r="S232" s="20" t="n">
        <v>367</v>
      </c>
      <c r="T232" s="20" t="n">
        <v>1142</v>
      </c>
      <c r="U232" s="20" t="n">
        <v>564</v>
      </c>
      <c r="V232" s="20" t="n">
        <v>1321</v>
      </c>
      <c r="W232" s="20" t="n">
        <v>-932</v>
      </c>
      <c r="X232" s="20" t="n">
        <v>1017</v>
      </c>
    </row>
    <row r="233">
      <c r="A233" s="18" t="inlineStr">
        <is>
          <t>재고자산 증감</t>
        </is>
      </c>
      <c r="C233" s="20" t="n">
        <v>-352</v>
      </c>
      <c r="E233" s="20" t="n">
        <v>1440</v>
      </c>
      <c r="G233" s="20" t="n">
        <v>235</v>
      </c>
      <c r="I233" s="20" t="n">
        <v>1599</v>
      </c>
      <c r="K233" s="20" t="n">
        <v>157</v>
      </c>
      <c r="M233" s="20" t="n">
        <v>1184</v>
      </c>
      <c r="O233" s="20" t="n">
        <v>-192</v>
      </c>
      <c r="P233" s="20" t="n">
        <v>-1662</v>
      </c>
      <c r="Q233" s="20" t="n">
        <v>784</v>
      </c>
      <c r="R233" s="20" t="n">
        <v>1394</v>
      </c>
      <c r="S233" s="20" t="n">
        <v>103</v>
      </c>
      <c r="T233" s="20" t="n">
        <v>-2351</v>
      </c>
      <c r="U233" s="20" t="n">
        <v>-160</v>
      </c>
      <c r="V233" s="20" t="n">
        <v>1440</v>
      </c>
      <c r="W233" s="20" t="n">
        <v>1599</v>
      </c>
      <c r="X233" s="20" t="n">
        <v>1184</v>
      </c>
    </row>
    <row r="234">
      <c r="A234" s="18" t="inlineStr">
        <is>
          <t>매입채무 증감</t>
        </is>
      </c>
      <c r="C234" s="20" t="n">
        <v>-636</v>
      </c>
      <c r="E234" s="20" t="n">
        <v>-1209</v>
      </c>
      <c r="G234" s="20" t="n">
        <v>-249</v>
      </c>
      <c r="I234" s="20" t="n">
        <v>-420</v>
      </c>
      <c r="K234" s="20" t="n">
        <v>-108</v>
      </c>
      <c r="M234" s="20" t="n">
        <v>-1902</v>
      </c>
      <c r="O234" s="20" t="n">
        <v>2047</v>
      </c>
      <c r="P234" s="20" t="n">
        <v>777</v>
      </c>
      <c r="Q234" s="20" t="n">
        <v>-1659</v>
      </c>
      <c r="R234" s="20" t="n">
        <v>533</v>
      </c>
      <c r="S234" s="20" t="n">
        <v>-838</v>
      </c>
      <c r="T234" s="20" t="n">
        <v>-1084</v>
      </c>
      <c r="U234" s="20" t="n">
        <v>-1180</v>
      </c>
      <c r="V234" s="20" t="n">
        <v>-1209</v>
      </c>
      <c r="W234" s="20" t="n">
        <v>-420</v>
      </c>
      <c r="X234" s="20" t="n">
        <v>-1902</v>
      </c>
    </row>
    <row r="235">
      <c r="A235" s="18" t="inlineStr">
        <is>
          <t>미수금 증감</t>
        </is>
      </c>
      <c r="C235" s="20" t="n">
        <v>84</v>
      </c>
      <c r="E235" s="20" t="n">
        <v>78</v>
      </c>
      <c r="G235" s="20" t="n">
        <v>33</v>
      </c>
      <c r="I235" s="20" t="n">
        <v>4</v>
      </c>
      <c r="K235" s="20" t="n">
        <v>17</v>
      </c>
      <c r="M235" s="20" t="n">
        <v>3</v>
      </c>
      <c r="O235" s="20" t="n">
        <v>1459</v>
      </c>
      <c r="P235" s="20" t="n">
        <v>160</v>
      </c>
      <c r="Q235" s="20" t="n">
        <v>-35</v>
      </c>
      <c r="R235" s="20" t="n">
        <v>109</v>
      </c>
      <c r="S235" s="20" t="n">
        <v>7</v>
      </c>
      <c r="T235" s="20" t="n">
        <v>-152</v>
      </c>
      <c r="U235" s="20" t="n">
        <v>28</v>
      </c>
      <c r="V235" s="20" t="n">
        <v>78</v>
      </c>
      <c r="W235" s="20" t="n">
        <v>4</v>
      </c>
      <c r="X235" s="20" t="n">
        <v>3</v>
      </c>
    </row>
    <row r="236">
      <c r="A236" s="18" t="inlineStr">
        <is>
          <t>미지급금 증감</t>
        </is>
      </c>
      <c r="C236" s="20" t="n">
        <v>-84</v>
      </c>
      <c r="E236" s="20" t="n">
        <v>-20</v>
      </c>
      <c r="G236" s="20" t="n">
        <v>-263</v>
      </c>
      <c r="I236" s="20" t="n">
        <v>-4</v>
      </c>
      <c r="K236" s="20" t="n">
        <v>-156</v>
      </c>
      <c r="M236" s="20" t="n">
        <v>99</v>
      </c>
      <c r="O236" s="20" t="n">
        <v>-4364</v>
      </c>
      <c r="P236" s="20" t="n">
        <v>692</v>
      </c>
      <c r="Q236" s="20" t="n">
        <v>-692</v>
      </c>
      <c r="R236" s="20" t="n">
        <v>271</v>
      </c>
      <c r="S236" s="20" t="n">
        <v>340</v>
      </c>
      <c r="T236" s="20" t="n">
        <v>-354</v>
      </c>
      <c r="U236" s="20" t="n">
        <v>-9</v>
      </c>
      <c r="V236" s="20" t="n">
        <v>-20</v>
      </c>
      <c r="W236" s="20" t="n">
        <v>-4</v>
      </c>
      <c r="X236" s="20" t="n">
        <v>99</v>
      </c>
    </row>
    <row r="237">
      <c r="A237" s="18" t="inlineStr">
        <is>
          <t>기타</t>
        </is>
      </c>
      <c r="C237" s="20" t="n">
        <v>-130</v>
      </c>
      <c r="E237" s="20" t="n">
        <v>-92</v>
      </c>
      <c r="G237" s="20" t="n">
        <v>-7</v>
      </c>
      <c r="I237" s="20" t="n">
        <v>-68</v>
      </c>
      <c r="K237" s="20" t="n">
        <v>-62</v>
      </c>
      <c r="M237" s="20" t="n">
        <v>-576</v>
      </c>
      <c r="O237" s="20" t="n">
        <v>-41</v>
      </c>
      <c r="P237" s="20" t="n">
        <v>209</v>
      </c>
      <c r="Q237" s="20" t="n">
        <v>230</v>
      </c>
      <c r="R237" s="20" t="n">
        <v>-80</v>
      </c>
      <c r="S237" s="20" t="n">
        <v>-141</v>
      </c>
      <c r="T237" s="20" t="n">
        <v>-551</v>
      </c>
      <c r="U237" s="20" t="n">
        <v>-442</v>
      </c>
      <c r="V237" s="20" t="n">
        <v>-92</v>
      </c>
      <c r="W237" s="20" t="n">
        <v>-68</v>
      </c>
      <c r="X237" s="20" t="n">
        <v>-576</v>
      </c>
    </row>
    <row r="238">
      <c r="A238" s="18" t="inlineStr">
        <is>
          <t>소계</t>
        </is>
      </c>
      <c r="C238" s="20" t="n">
        <v>2258</v>
      </c>
      <c r="E238" s="20" t="n">
        <v>4180</v>
      </c>
      <c r="G238" s="20" t="n">
        <v>1851</v>
      </c>
      <c r="I238" s="20" t="n">
        <v>2835</v>
      </c>
      <c r="K238" s="20" t="n">
        <v>2072</v>
      </c>
      <c r="M238" s="20" t="n">
        <v>3335</v>
      </c>
      <c r="O238" s="20" t="n">
        <v>5371</v>
      </c>
      <c r="P238" s="20" t="n">
        <v>3735</v>
      </c>
      <c r="Q238" s="20" t="n">
        <v>2057</v>
      </c>
      <c r="R238" s="20" t="n">
        <v>6806</v>
      </c>
      <c r="S238" s="20" t="n">
        <v>4903</v>
      </c>
      <c r="T238" s="20" t="n">
        <v>2543</v>
      </c>
      <c r="U238" s="20" t="n">
        <v>4021</v>
      </c>
      <c r="V238" s="20" t="n">
        <v>4180</v>
      </c>
      <c r="W238" s="20" t="n">
        <v>2835</v>
      </c>
      <c r="X238" s="20" t="n">
        <v>3335</v>
      </c>
    </row>
    <row r="239">
      <c r="A239" s="18" t="inlineStr">
        <is>
          <t>이자·배당금 수취</t>
        </is>
      </c>
      <c r="C239" s="20" t="n">
        <v>82</v>
      </c>
      <c r="E239" s="20" t="n">
        <v>169</v>
      </c>
      <c r="G239" s="20" t="n">
        <v>116</v>
      </c>
      <c r="I239" s="20" t="n">
        <v>226</v>
      </c>
      <c r="K239" s="20" t="n">
        <v>109</v>
      </c>
      <c r="M239" s="20" t="n">
        <v>211</v>
      </c>
      <c r="O239" s="20" t="n">
        <v>95</v>
      </c>
      <c r="P239" s="20" t="n">
        <v>87</v>
      </c>
      <c r="Q239" s="20" t="n">
        <v>103</v>
      </c>
      <c r="R239" s="20" t="n">
        <v>106</v>
      </c>
      <c r="S239" s="20" t="n">
        <v>77</v>
      </c>
      <c r="T239" s="20" t="n">
        <v>88</v>
      </c>
      <c r="U239" s="20" t="n">
        <v>116</v>
      </c>
      <c r="V239" s="20" t="n">
        <v>169</v>
      </c>
      <c r="W239" s="20" t="n">
        <v>226</v>
      </c>
      <c r="X239" s="20" t="n">
        <v>211</v>
      </c>
    </row>
    <row r="240">
      <c r="A240" s="18" t="inlineStr">
        <is>
          <t>이자 지급</t>
        </is>
      </c>
      <c r="C240" s="20" t="n">
        <v>-83</v>
      </c>
      <c r="E240" s="20" t="n">
        <v>-169</v>
      </c>
      <c r="G240" s="20" t="n">
        <v>-104</v>
      </c>
      <c r="I240" s="20" t="n">
        <v>-228</v>
      </c>
      <c r="K240" s="20" t="n">
        <v>-119</v>
      </c>
      <c r="M240" s="20" t="n">
        <v>-257</v>
      </c>
      <c r="O240" s="20" t="n">
        <v>-124</v>
      </c>
      <c r="P240" s="20" t="n">
        <v>-110</v>
      </c>
      <c r="Q240" s="20" t="n">
        <v>-113</v>
      </c>
      <c r="R240" s="20" t="n">
        <v>-102</v>
      </c>
      <c r="S240" s="20" t="n">
        <v>-114</v>
      </c>
      <c r="T240" s="20" t="n">
        <v>-115</v>
      </c>
      <c r="U240" s="20" t="n">
        <v>-177</v>
      </c>
      <c r="V240" s="20" t="n">
        <v>-169</v>
      </c>
      <c r="W240" s="20" t="n">
        <v>-228</v>
      </c>
      <c r="X240" s="20" t="n">
        <v>-257</v>
      </c>
    </row>
    <row r="241">
      <c r="A241" s="18" t="inlineStr">
        <is>
          <t>법인세 납부</t>
        </is>
      </c>
      <c r="C241" s="20" t="n">
        <v>-223</v>
      </c>
      <c r="E241" s="20" t="n">
        <v>-387</v>
      </c>
      <c r="G241" s="20" t="n">
        <v>-293</v>
      </c>
      <c r="I241" s="20" t="n">
        <v>-387</v>
      </c>
      <c r="K241" s="20" t="n">
        <v>-281</v>
      </c>
      <c r="M241" s="20" t="n">
        <v>-475</v>
      </c>
      <c r="O241" s="20" t="n">
        <v>-737</v>
      </c>
      <c r="P241" s="20" t="n">
        <v>-923</v>
      </c>
      <c r="Q241" s="20" t="n">
        <v>-439</v>
      </c>
      <c r="R241" s="20" t="n">
        <v>-464</v>
      </c>
      <c r="S241" s="20" t="n">
        <v>-275</v>
      </c>
      <c r="T241" s="20" t="n">
        <v>-318</v>
      </c>
      <c r="U241" s="20" t="n">
        <v>-388</v>
      </c>
      <c r="V241" s="20" t="n">
        <v>-387</v>
      </c>
      <c r="W241" s="20" t="n">
        <v>-387</v>
      </c>
      <c r="X241" s="20" t="n">
        <v>-475</v>
      </c>
    </row>
    <row r="242">
      <c r="A242" s="18" t="inlineStr">
        <is>
          <t>법인세 환급</t>
        </is>
      </c>
      <c r="C242" s="20" t="n">
        <v>28</v>
      </c>
      <c r="E242" s="20" t="n">
        <v>28</v>
      </c>
      <c r="G242" s="20" t="n">
        <v>0</v>
      </c>
      <c r="I242" s="20" t="n">
        <v>0</v>
      </c>
      <c r="K242" s="20" t="n">
        <v>31</v>
      </c>
      <c r="M242" s="20" t="n">
        <v>31</v>
      </c>
      <c r="S242" s="20" t="n">
        <v>63</v>
      </c>
      <c r="T242" s="20" t="n">
        <v>234</v>
      </c>
      <c r="U242" s="20" t="n">
        <v>19</v>
      </c>
      <c r="V242" s="20" t="n">
        <v>28</v>
      </c>
      <c r="W242" s="20" t="n">
        <v>0</v>
      </c>
      <c r="X242" s="20" t="n">
        <v>31</v>
      </c>
    </row>
    <row r="243">
      <c r="A243" s="18" t="inlineStr">
        <is>
          <t>특별퇴직금 지급액</t>
        </is>
      </c>
      <c r="E243" s="20" t="n">
        <v>-102</v>
      </c>
      <c r="I243" s="20" t="n">
        <v>0</v>
      </c>
      <c r="U243" s="20" t="n">
        <v>0</v>
      </c>
      <c r="V243" s="20" t="n">
        <v>-102</v>
      </c>
      <c r="W243" s="20" t="n">
        <v>0</v>
      </c>
    </row>
    <row r="244">
      <c r="A244" s="18" t="inlineStr">
        <is>
          <t>Payment For Busines Restrucuring Expemses Ope CF</t>
        </is>
      </c>
      <c r="E244" s="20" t="n">
        <v>0</v>
      </c>
      <c r="G244" s="20" t="n">
        <v>0</v>
      </c>
      <c r="I244" s="20" t="n">
        <v>-7</v>
      </c>
      <c r="K244" s="20" t="n">
        <v>-743</v>
      </c>
      <c r="M244" s="20" t="n">
        <v>-820</v>
      </c>
      <c r="V244" s="20" t="n">
        <v>0</v>
      </c>
      <c r="W244" s="20" t="n">
        <v>-7</v>
      </c>
      <c r="X244" s="20" t="n">
        <v>-820</v>
      </c>
    </row>
    <row r="245">
      <c r="A245" s="9" t="inlineStr">
        <is>
          <t>영업활동 현금흐름</t>
        </is>
      </c>
      <c r="C245" s="12" t="n">
        <v>2062</v>
      </c>
      <c r="E245" s="12" t="n">
        <v>3719</v>
      </c>
      <c r="G245" s="12" t="n">
        <v>1570</v>
      </c>
      <c r="I245" s="12" t="n">
        <v>2439</v>
      </c>
      <c r="K245" s="12" t="n">
        <v>1068</v>
      </c>
      <c r="M245" s="12" t="n">
        <v>2023</v>
      </c>
      <c r="O245" s="12" t="n">
        <v>4604</v>
      </c>
      <c r="P245" s="12" t="n">
        <v>2788</v>
      </c>
      <c r="Q245" s="12" t="n">
        <v>1608</v>
      </c>
      <c r="R245" s="12" t="n">
        <v>6345</v>
      </c>
      <c r="S245" s="12" t="n">
        <v>4653</v>
      </c>
      <c r="T245" s="12" t="n">
        <v>2433</v>
      </c>
      <c r="U245" s="12" t="n">
        <v>3591</v>
      </c>
      <c r="V245" s="12" t="n">
        <v>3719</v>
      </c>
      <c r="W245" s="12" t="n">
        <v>2439</v>
      </c>
      <c r="X245" s="12" t="n">
        <v>2023</v>
      </c>
    </row>
    <row r="246">
      <c r="A246" s="18" t="inlineStr">
        <is>
          <t>정기예금 예입</t>
        </is>
      </c>
      <c r="C246" s="20" t="n">
        <v>-35</v>
      </c>
      <c r="E246" s="20" t="n">
        <v>-52</v>
      </c>
      <c r="G246" s="20" t="n">
        <v>-23</v>
      </c>
      <c r="I246" s="20" t="n">
        <v>-40</v>
      </c>
      <c r="K246" s="20" t="n">
        <v>-32</v>
      </c>
      <c r="M246" s="20" t="n">
        <v>-75</v>
      </c>
      <c r="O246" s="20" t="n">
        <v>-103</v>
      </c>
      <c r="P246" s="20" t="n">
        <v>-116</v>
      </c>
      <c r="Q246" s="20" t="n">
        <v>-30</v>
      </c>
      <c r="R246" s="20" t="n">
        <v>-228</v>
      </c>
      <c r="S246" s="20" t="n">
        <v>-75</v>
      </c>
      <c r="T246" s="20" t="n">
        <v>-57</v>
      </c>
      <c r="U246" s="20" t="n">
        <v>-35</v>
      </c>
      <c r="V246" s="20" t="n">
        <v>-52</v>
      </c>
      <c r="W246" s="20" t="n">
        <v>-40</v>
      </c>
      <c r="X246" s="20" t="n">
        <v>-75</v>
      </c>
    </row>
    <row r="247">
      <c r="A247" s="18" t="inlineStr">
        <is>
          <t>정기예금 인출</t>
        </is>
      </c>
      <c r="C247" s="20" t="n">
        <v>19</v>
      </c>
      <c r="E247" s="20" t="n">
        <v>48</v>
      </c>
      <c r="G247" s="20" t="n">
        <v>23</v>
      </c>
      <c r="I247" s="20" t="n">
        <v>40</v>
      </c>
      <c r="K247" s="20" t="n">
        <v>23</v>
      </c>
      <c r="M247" s="20" t="n">
        <v>57</v>
      </c>
      <c r="O247" s="20" t="n">
        <v>101</v>
      </c>
      <c r="P247" s="20" t="n">
        <v>108</v>
      </c>
      <c r="Q247" s="20" t="n">
        <v>32</v>
      </c>
      <c r="R247" s="20" t="n">
        <v>258</v>
      </c>
      <c r="S247" s="20" t="n">
        <v>98</v>
      </c>
      <c r="T247" s="20" t="n">
        <v>66</v>
      </c>
      <c r="U247" s="20" t="n">
        <v>31</v>
      </c>
      <c r="V247" s="20" t="n">
        <v>48</v>
      </c>
      <c r="W247" s="20" t="n">
        <v>40</v>
      </c>
      <c r="X247" s="20" t="n">
        <v>57</v>
      </c>
    </row>
    <row r="248">
      <c r="A248" s="18" t="inlineStr">
        <is>
          <t>유형자산 취득(설비투자)</t>
        </is>
      </c>
      <c r="C248" s="20" t="n">
        <v>-1132</v>
      </c>
      <c r="E248" s="20" t="n">
        <v>-2379</v>
      </c>
      <c r="G248" s="20" t="n">
        <v>-996</v>
      </c>
      <c r="I248" s="20" t="n">
        <v>-2080</v>
      </c>
      <c r="K248" s="20" t="n">
        <v>-1067</v>
      </c>
      <c r="M248" s="20" t="n">
        <v>-2185</v>
      </c>
      <c r="O248" s="20" t="n">
        <v>-4680</v>
      </c>
      <c r="P248" s="20" t="n">
        <v>-3626</v>
      </c>
      <c r="Q248" s="20" t="n">
        <v>-4639</v>
      </c>
      <c r="R248" s="20" t="n">
        <v>-2637</v>
      </c>
      <c r="S248" s="20" t="n">
        <v>-2334</v>
      </c>
      <c r="T248" s="20" t="n">
        <v>-1976</v>
      </c>
      <c r="U248" s="20" t="n">
        <v>-1945</v>
      </c>
      <c r="V248" s="20" t="n">
        <v>-2379</v>
      </c>
      <c r="W248" s="20" t="n">
        <v>-2080</v>
      </c>
      <c r="X248" s="20" t="n">
        <v>-2185</v>
      </c>
    </row>
    <row r="249">
      <c r="A249" s="18" t="inlineStr">
        <is>
          <t>유형자산 매각</t>
        </is>
      </c>
      <c r="C249" s="20" t="n">
        <v>257</v>
      </c>
      <c r="E249" s="20" t="n">
        <v>260</v>
      </c>
      <c r="G249" s="20" t="n">
        <v>6</v>
      </c>
      <c r="I249" s="20" t="n">
        <v>19</v>
      </c>
      <c r="K249" s="20" t="n">
        <v>0</v>
      </c>
      <c r="M249" s="20" t="n">
        <v>5</v>
      </c>
      <c r="O249" s="20" t="n">
        <v>1039</v>
      </c>
      <c r="P249" s="20" t="n">
        <v>3161</v>
      </c>
      <c r="Q249" s="20" t="n">
        <v>2556</v>
      </c>
      <c r="R249" s="20" t="n">
        <v>250</v>
      </c>
      <c r="S249" s="20" t="n">
        <v>52</v>
      </c>
      <c r="T249" s="20" t="n">
        <v>415</v>
      </c>
      <c r="U249" s="20" t="n">
        <v>22</v>
      </c>
      <c r="V249" s="20" t="n">
        <v>260</v>
      </c>
      <c r="W249" s="20" t="n">
        <v>19</v>
      </c>
      <c r="X249" s="20" t="n">
        <v>5</v>
      </c>
    </row>
    <row r="250">
      <c r="A250" s="18" t="inlineStr">
        <is>
          <t>유형자산 제각 지출</t>
        </is>
      </c>
      <c r="O250" s="20" t="n">
        <v>0</v>
      </c>
      <c r="P250" s="20" t="n">
        <v>-29</v>
      </c>
      <c r="Q250" s="20" t="n">
        <v>0</v>
      </c>
    </row>
    <row r="251">
      <c r="A251" s="18" t="inlineStr">
        <is>
          <t>무형자산 취득</t>
        </is>
      </c>
      <c r="C251" s="20" t="n">
        <v>-15</v>
      </c>
      <c r="E251" s="20" t="n">
        <v>-58</v>
      </c>
      <c r="G251" s="20" t="n">
        <v>-18</v>
      </c>
      <c r="I251" s="20" t="n">
        <v>-126</v>
      </c>
      <c r="K251" s="20" t="n">
        <v>-71</v>
      </c>
      <c r="M251" s="20" t="n">
        <v>-86</v>
      </c>
      <c r="O251" s="20" t="n">
        <v>-162</v>
      </c>
      <c r="P251" s="20" t="n">
        <v>-59</v>
      </c>
      <c r="Q251" s="20" t="n">
        <v>-47</v>
      </c>
      <c r="R251" s="20" t="n">
        <v>-40</v>
      </c>
      <c r="S251" s="20" t="n">
        <v>-26</v>
      </c>
      <c r="T251" s="20" t="n">
        <v>-35</v>
      </c>
      <c r="U251" s="20" t="n">
        <v>-19</v>
      </c>
      <c r="V251" s="20" t="n">
        <v>-58</v>
      </c>
      <c r="W251" s="20" t="n">
        <v>-126</v>
      </c>
      <c r="X251" s="20" t="n">
        <v>-86</v>
      </c>
    </row>
    <row r="252">
      <c r="A252" s="18" t="inlineStr">
        <is>
          <t>무형자산 매각 수입</t>
        </is>
      </c>
      <c r="Q252" s="20" t="n">
        <v>0</v>
      </c>
      <c r="R252" s="20" t="n">
        <v>0</v>
      </c>
      <c r="S252" s="20" t="n">
        <v>0</v>
      </c>
    </row>
    <row r="253">
      <c r="A253" s="18" t="inlineStr">
        <is>
          <t>투자유가증권 취득</t>
        </is>
      </c>
      <c r="C253" s="20" t="n">
        <v>-80</v>
      </c>
      <c r="E253" s="20" t="n">
        <v>-87</v>
      </c>
      <c r="G253" s="20" t="n">
        <v>-4</v>
      </c>
      <c r="I253" s="20" t="n">
        <v>-34</v>
      </c>
      <c r="K253" s="20" t="n">
        <v>-0</v>
      </c>
      <c r="M253" s="20" t="n">
        <v>-0</v>
      </c>
      <c r="O253" s="20" t="n">
        <v>-50</v>
      </c>
      <c r="P253" s="20" t="n">
        <v>-282</v>
      </c>
      <c r="Q253" s="20" t="n">
        <v>-223</v>
      </c>
      <c r="R253" s="20" t="n">
        <v>-159</v>
      </c>
      <c r="S253" s="20" t="n">
        <v>-63</v>
      </c>
      <c r="T253" s="20" t="n">
        <v>-37</v>
      </c>
      <c r="U253" s="20" t="n">
        <v>-20</v>
      </c>
      <c r="V253" s="20" t="n">
        <v>-87</v>
      </c>
      <c r="W253" s="20" t="n">
        <v>-34</v>
      </c>
      <c r="X253" s="20" t="n">
        <v>-0</v>
      </c>
    </row>
    <row r="254">
      <c r="A254" s="18" t="inlineStr">
        <is>
          <t>투자유가증권 매각</t>
        </is>
      </c>
      <c r="E254" s="20" t="n">
        <v>634</v>
      </c>
      <c r="G254" s="20" t="n">
        <v>0</v>
      </c>
      <c r="I254" s="20" t="n">
        <v>0</v>
      </c>
      <c r="K254" s="20" t="n">
        <v>19</v>
      </c>
      <c r="M254" s="20" t="n">
        <v>29</v>
      </c>
      <c r="O254" s="20" t="n">
        <v>430</v>
      </c>
      <c r="P254" s="20" t="n">
        <v>0</v>
      </c>
      <c r="Q254" s="20" t="n">
        <v>241</v>
      </c>
      <c r="R254" s="20" t="n">
        <v>0</v>
      </c>
      <c r="S254" s="20" t="n">
        <v>0</v>
      </c>
      <c r="T254" s="20" t="n">
        <v>0</v>
      </c>
      <c r="U254" s="20" t="n">
        <v>7</v>
      </c>
      <c r="V254" s="20" t="n">
        <v>634</v>
      </c>
      <c r="W254" s="20" t="n">
        <v>0</v>
      </c>
      <c r="X254" s="20" t="n">
        <v>29</v>
      </c>
    </row>
    <row r="255">
      <c r="A255" s="18" t="inlineStr">
        <is>
          <t>투자유가증권 상환</t>
        </is>
      </c>
      <c r="O255" s="20" t="n">
        <v>0</v>
      </c>
      <c r="P255" s="20" t="n">
        <v>68</v>
      </c>
      <c r="Q255" s="20" t="n">
        <v>0</v>
      </c>
    </row>
    <row r="256">
      <c r="A256" s="18" t="inlineStr">
        <is>
          <t>골프회원권 매각</t>
        </is>
      </c>
      <c r="Q256" s="20" t="n">
        <v>0</v>
      </c>
      <c r="R256" s="20" t="n">
        <v>29</v>
      </c>
      <c r="S256" s="20" t="n">
        <v>0</v>
      </c>
    </row>
    <row r="257">
      <c r="A257" s="18" t="inlineStr">
        <is>
          <t>대여</t>
        </is>
      </c>
      <c r="C257" s="20" t="n">
        <v>-4</v>
      </c>
      <c r="E257" s="20" t="n">
        <v>-8</v>
      </c>
      <c r="G257" s="20" t="n">
        <v>-8</v>
      </c>
      <c r="I257" s="20" t="n">
        <v>-9</v>
      </c>
      <c r="K257" s="20" t="n">
        <v>-9</v>
      </c>
      <c r="M257" s="20" t="n">
        <v>-25</v>
      </c>
      <c r="O257" s="20" t="n">
        <v>-125</v>
      </c>
      <c r="P257" s="20" t="n">
        <v>-39</v>
      </c>
      <c r="Q257" s="20" t="n">
        <v>-28</v>
      </c>
      <c r="R257" s="20" t="n">
        <v>-30</v>
      </c>
      <c r="S257" s="20" t="n">
        <v>-9</v>
      </c>
      <c r="T257" s="20" t="n">
        <v>-26</v>
      </c>
      <c r="U257" s="20" t="n">
        <v>-11</v>
      </c>
      <c r="V257" s="20" t="n">
        <v>-8</v>
      </c>
      <c r="W257" s="20" t="n">
        <v>-9</v>
      </c>
      <c r="X257" s="20" t="n">
        <v>-25</v>
      </c>
    </row>
    <row r="258">
      <c r="A258" s="18" t="inlineStr">
        <is>
          <t>대여금 회수</t>
        </is>
      </c>
      <c r="C258" s="20" t="n">
        <v>10</v>
      </c>
      <c r="E258" s="20" t="n">
        <v>23</v>
      </c>
      <c r="G258" s="20" t="n">
        <v>8</v>
      </c>
      <c r="I258" s="20" t="n">
        <v>16</v>
      </c>
      <c r="K258" s="20" t="n">
        <v>11</v>
      </c>
      <c r="M258" s="20" t="n">
        <v>18</v>
      </c>
      <c r="O258" s="20" t="n">
        <v>97</v>
      </c>
      <c r="P258" s="20" t="n">
        <v>70</v>
      </c>
      <c r="Q258" s="20" t="n">
        <v>45</v>
      </c>
      <c r="R258" s="20" t="n">
        <v>32</v>
      </c>
      <c r="S258" s="20" t="n">
        <v>31</v>
      </c>
      <c r="T258" s="20" t="n">
        <v>19</v>
      </c>
      <c r="U258" s="20" t="n">
        <v>28</v>
      </c>
      <c r="V258" s="20" t="n">
        <v>23</v>
      </c>
      <c r="W258" s="20" t="n">
        <v>16</v>
      </c>
      <c r="X258" s="20" t="n">
        <v>18</v>
      </c>
    </row>
    <row r="259">
      <c r="A259" s="18" t="inlineStr">
        <is>
          <t>기타</t>
        </is>
      </c>
      <c r="C259" s="20" t="n">
        <v>3</v>
      </c>
      <c r="E259" s="20" t="n">
        <v>2</v>
      </c>
      <c r="G259" s="20" t="n">
        <v>0</v>
      </c>
      <c r="I259" s="20" t="n">
        <v>0</v>
      </c>
      <c r="M259" s="20" t="n">
        <v>0</v>
      </c>
      <c r="O259" s="20" t="n">
        <v>-11</v>
      </c>
      <c r="P259" s="20" t="n">
        <v>-43</v>
      </c>
      <c r="Q259" s="20" t="n">
        <v>0</v>
      </c>
      <c r="R259" s="20" t="n">
        <v>0</v>
      </c>
      <c r="U259" s="20" t="n">
        <v>0</v>
      </c>
      <c r="V259" s="20" t="n">
        <v>2</v>
      </c>
      <c r="W259" s="20" t="n">
        <v>0</v>
      </c>
      <c r="X259" s="20" t="n">
        <v>0</v>
      </c>
    </row>
    <row r="260">
      <c r="A260" s="9" t="inlineStr">
        <is>
          <t>투자활동 현금흐름</t>
        </is>
      </c>
      <c r="C260" s="12" t="n">
        <v>-977</v>
      </c>
      <c r="E260" s="12" t="n">
        <v>-1617</v>
      </c>
      <c r="G260" s="12" t="n">
        <v>-1012</v>
      </c>
      <c r="I260" s="12" t="n">
        <v>-2216</v>
      </c>
      <c r="K260" s="12" t="n">
        <v>-1125</v>
      </c>
      <c r="M260" s="12" t="n">
        <v>-2262</v>
      </c>
      <c r="O260" s="12" t="n">
        <v>-3465</v>
      </c>
      <c r="P260" s="12" t="n">
        <v>-787</v>
      </c>
      <c r="Q260" s="12" t="n">
        <v>-2091</v>
      </c>
      <c r="R260" s="12" t="n">
        <v>-2525</v>
      </c>
      <c r="S260" s="12" t="n">
        <v>-2325</v>
      </c>
      <c r="T260" s="12" t="n">
        <v>-1631</v>
      </c>
      <c r="U260" s="12" t="n">
        <v>-1944</v>
      </c>
      <c r="V260" s="12" t="n">
        <v>-1617</v>
      </c>
      <c r="W260" s="12" t="n">
        <v>-2216</v>
      </c>
      <c r="X260" s="12" t="n">
        <v>-2262</v>
      </c>
    </row>
    <row r="261">
      <c r="A261" s="18" t="inlineStr">
        <is>
          <t>단기차입금 순증감</t>
        </is>
      </c>
      <c r="C261" s="20" t="n">
        <v>1500</v>
      </c>
      <c r="E261" s="20" t="n">
        <v>2200</v>
      </c>
      <c r="G261" s="20" t="n">
        <v>500</v>
      </c>
      <c r="I261" s="20" t="n">
        <v>800</v>
      </c>
      <c r="K261" s="20" t="n">
        <v>400</v>
      </c>
      <c r="M261" s="20" t="n">
        <v>-1300</v>
      </c>
      <c r="O261" s="20" t="n">
        <v>1395</v>
      </c>
      <c r="P261" s="20" t="n">
        <v>-1668</v>
      </c>
      <c r="Q261" s="20" t="n">
        <v>2228</v>
      </c>
      <c r="R261" s="20" t="n">
        <v>-5692</v>
      </c>
      <c r="S261" s="20" t="n">
        <v>-1950</v>
      </c>
      <c r="T261" s="20" t="n">
        <v>-2000</v>
      </c>
      <c r="U261" s="20" t="n">
        <v>200</v>
      </c>
      <c r="V261" s="20" t="n">
        <v>2200</v>
      </c>
      <c r="W261" s="20" t="n">
        <v>800</v>
      </c>
      <c r="X261" s="20" t="n">
        <v>-1300</v>
      </c>
    </row>
    <row r="262">
      <c r="A262" s="18" t="inlineStr">
        <is>
          <t>장기차입</t>
        </is>
      </c>
      <c r="C262" s="20" t="n">
        <v>3000</v>
      </c>
      <c r="E262" s="20" t="n">
        <v>3300</v>
      </c>
      <c r="G262" s="20" t="n">
        <v>1000</v>
      </c>
      <c r="I262" s="20" t="n">
        <v>2000</v>
      </c>
      <c r="K262" s="20" t="n">
        <v>0</v>
      </c>
      <c r="M262" s="20" t="n">
        <v>2000</v>
      </c>
      <c r="O262" s="20" t="n">
        <v>1494</v>
      </c>
      <c r="P262" s="20" t="n">
        <v>2490</v>
      </c>
      <c r="Q262" s="20" t="n">
        <v>2090</v>
      </c>
      <c r="R262" s="20" t="n">
        <v>4000</v>
      </c>
      <c r="S262" s="20" t="n">
        <v>1400</v>
      </c>
      <c r="T262" s="20" t="n">
        <v>3800</v>
      </c>
      <c r="U262" s="20" t="n">
        <v>2700</v>
      </c>
      <c r="V262" s="20" t="n">
        <v>3300</v>
      </c>
      <c r="W262" s="20" t="n">
        <v>2000</v>
      </c>
      <c r="X262" s="20" t="n">
        <v>2000</v>
      </c>
    </row>
    <row r="263">
      <c r="A263" s="18" t="inlineStr">
        <is>
          <t>장기차입금 상환</t>
        </is>
      </c>
      <c r="C263" s="20" t="n">
        <v>-3404</v>
      </c>
      <c r="E263" s="20" t="n">
        <v>-3991</v>
      </c>
      <c r="G263" s="20" t="n">
        <v>-570</v>
      </c>
      <c r="I263" s="20" t="n">
        <v>-1340</v>
      </c>
      <c r="K263" s="20" t="n">
        <v>-770</v>
      </c>
      <c r="M263" s="20" t="n">
        <v>-1740</v>
      </c>
      <c r="O263" s="20" t="n">
        <v>-1987</v>
      </c>
      <c r="P263" s="20" t="n">
        <v>-2007</v>
      </c>
      <c r="Q263" s="20" t="n">
        <v>-2704</v>
      </c>
      <c r="R263" s="20" t="n">
        <v>-2015</v>
      </c>
      <c r="S263" s="20" t="n">
        <v>-3055</v>
      </c>
      <c r="T263" s="20" t="n">
        <v>-1667</v>
      </c>
      <c r="U263" s="20" t="n">
        <v>-2826</v>
      </c>
      <c r="V263" s="20" t="n">
        <v>-3991</v>
      </c>
      <c r="W263" s="20" t="n">
        <v>-1340</v>
      </c>
      <c r="X263" s="20" t="n">
        <v>-1740</v>
      </c>
    </row>
    <row r="264">
      <c r="A264" s="18" t="inlineStr">
        <is>
          <t>리스부채 상환</t>
        </is>
      </c>
      <c r="C264" s="20" t="n">
        <v>-221</v>
      </c>
      <c r="E264" s="20" t="n">
        <v>-504</v>
      </c>
      <c r="G264" s="20" t="n">
        <v>-286</v>
      </c>
      <c r="I264" s="20" t="n">
        <v>-535</v>
      </c>
      <c r="K264" s="20" t="n">
        <v>-246</v>
      </c>
      <c r="M264" s="20" t="n">
        <v>-520</v>
      </c>
      <c r="S264" s="20" t="n">
        <v>-37</v>
      </c>
      <c r="T264" s="20" t="n">
        <v>-301</v>
      </c>
      <c r="U264" s="20" t="n">
        <v>-496</v>
      </c>
      <c r="V264" s="20" t="n">
        <v>-504</v>
      </c>
      <c r="W264" s="20" t="n">
        <v>-535</v>
      </c>
      <c r="X264" s="20" t="n">
        <v>-520</v>
      </c>
    </row>
    <row r="265">
      <c r="A265" s="18" t="inlineStr">
        <is>
          <t>자기주식 취득</t>
        </is>
      </c>
      <c r="C265" s="20" t="n">
        <v>-0</v>
      </c>
      <c r="E265" s="20" t="n">
        <v>-498</v>
      </c>
      <c r="G265" s="20" t="n">
        <v>-0</v>
      </c>
      <c r="I265" s="20" t="n">
        <v>-1</v>
      </c>
      <c r="K265" s="20" t="n">
        <v>-0</v>
      </c>
      <c r="M265" s="20" t="n">
        <v>-1</v>
      </c>
      <c r="O265" s="20" t="n">
        <v>-1578</v>
      </c>
      <c r="P265" s="20" t="n">
        <v>-4</v>
      </c>
      <c r="Q265" s="20" t="n">
        <v>-506</v>
      </c>
      <c r="R265" s="20" t="n">
        <v>-127</v>
      </c>
      <c r="S265" s="20" t="n">
        <v>-1</v>
      </c>
      <c r="T265" s="20" t="n">
        <v>-479</v>
      </c>
      <c r="U265" s="20" t="n">
        <v>-1</v>
      </c>
      <c r="V265" s="20" t="n">
        <v>-498</v>
      </c>
      <c r="W265" s="20" t="n">
        <v>-1</v>
      </c>
      <c r="X265" s="20" t="n">
        <v>-1</v>
      </c>
    </row>
    <row r="266">
      <c r="A266" s="18" t="inlineStr">
        <is>
          <t>자기주식 매각</t>
        </is>
      </c>
      <c r="C266" s="20" t="n">
        <v>0</v>
      </c>
      <c r="E266" s="20" t="n">
        <v>0</v>
      </c>
      <c r="O266" s="20" t="n">
        <v>24</v>
      </c>
      <c r="P266" s="20" t="n">
        <v>0</v>
      </c>
      <c r="Q266" s="20" t="n">
        <v>161</v>
      </c>
      <c r="R266" s="20" t="n">
        <v>12</v>
      </c>
      <c r="S266" s="20" t="n">
        <v>0</v>
      </c>
      <c r="T266" s="20" t="n">
        <v>0</v>
      </c>
      <c r="U266" s="20" t="n">
        <v>0</v>
      </c>
      <c r="V266" s="20" t="n">
        <v>0</v>
      </c>
    </row>
    <row r="267">
      <c r="A267" s="18" t="inlineStr">
        <is>
          <t>배당금 지급</t>
        </is>
      </c>
      <c r="C267" s="20" t="n">
        <v>-655</v>
      </c>
      <c r="E267" s="20" t="n">
        <v>-984</v>
      </c>
      <c r="G267" s="20" t="n">
        <v>-318</v>
      </c>
      <c r="I267" s="20" t="n">
        <v>-636</v>
      </c>
      <c r="K267" s="20" t="n">
        <v>-571</v>
      </c>
      <c r="M267" s="20" t="n">
        <v>-890</v>
      </c>
      <c r="O267" s="20" t="n">
        <v>-889</v>
      </c>
      <c r="P267" s="20" t="n">
        <v>-594</v>
      </c>
      <c r="Q267" s="20" t="n">
        <v>-264</v>
      </c>
      <c r="R267" s="20" t="n">
        <v>-325</v>
      </c>
      <c r="S267" s="20" t="n">
        <v>-259</v>
      </c>
      <c r="T267" s="20" t="n">
        <v>-323</v>
      </c>
      <c r="U267" s="20" t="n">
        <v>-438</v>
      </c>
      <c r="V267" s="20" t="n">
        <v>-984</v>
      </c>
      <c r="W267" s="20" t="n">
        <v>-636</v>
      </c>
      <c r="X267" s="20" t="n">
        <v>-890</v>
      </c>
    </row>
    <row r="268">
      <c r="A268" s="18" t="inlineStr">
        <is>
          <t>기타</t>
        </is>
      </c>
      <c r="O268" s="20" t="n">
        <v>0</v>
      </c>
      <c r="P268" s="20" t="n">
        <v>10</v>
      </c>
      <c r="Q268" s="20" t="n">
        <v>-8</v>
      </c>
      <c r="R268" s="20" t="n">
        <v>-29</v>
      </c>
      <c r="S268" s="20" t="n">
        <v>-37</v>
      </c>
    </row>
    <row r="269">
      <c r="A269" s="9" t="inlineStr">
        <is>
          <t>재무활동 현금흐름</t>
        </is>
      </c>
      <c r="C269" s="12" t="n">
        <v>217</v>
      </c>
      <c r="E269" s="12" t="n">
        <v>-478</v>
      </c>
      <c r="G269" s="12" t="n">
        <v>324</v>
      </c>
      <c r="I269" s="12" t="n">
        <v>286</v>
      </c>
      <c r="K269" s="12" t="n">
        <v>-1188</v>
      </c>
      <c r="M269" s="12" t="n">
        <v>-2452</v>
      </c>
      <c r="O269" s="12" t="n">
        <v>-1541</v>
      </c>
      <c r="P269" s="12" t="n">
        <v>-1774</v>
      </c>
      <c r="Q269" s="12" t="n">
        <v>997</v>
      </c>
      <c r="R269" s="12" t="n">
        <v>-4176</v>
      </c>
      <c r="S269" s="12" t="n">
        <v>-3904</v>
      </c>
      <c r="T269" s="12" t="n">
        <v>-971</v>
      </c>
      <c r="U269" s="12" t="n">
        <v>-862</v>
      </c>
      <c r="V269" s="12" t="n">
        <v>-478</v>
      </c>
      <c r="W269" s="12" t="n">
        <v>286</v>
      </c>
      <c r="X269" s="12" t="n">
        <v>-2452</v>
      </c>
    </row>
    <row r="270">
      <c r="A270" s="18" t="inlineStr">
        <is>
          <t>현금성자산 환산차이</t>
        </is>
      </c>
      <c r="C270" s="20" t="n">
        <v>-358</v>
      </c>
      <c r="E270" s="20" t="n">
        <v>-341</v>
      </c>
      <c r="G270" s="20" t="n">
        <v>-198</v>
      </c>
      <c r="I270" s="20" t="n">
        <v>-291</v>
      </c>
      <c r="K270" s="20" t="n">
        <v>564</v>
      </c>
      <c r="M270" s="20" t="n">
        <v>1869</v>
      </c>
      <c r="O270" s="20" t="n">
        <v>-254</v>
      </c>
      <c r="P270" s="20" t="n">
        <v>242</v>
      </c>
      <c r="Q270" s="20" t="n">
        <v>-219</v>
      </c>
      <c r="R270" s="20" t="n">
        <v>17</v>
      </c>
      <c r="S270" s="20" t="n">
        <v>-94</v>
      </c>
      <c r="T270" s="20" t="n">
        <v>-66</v>
      </c>
      <c r="U270" s="20" t="n">
        <v>-375</v>
      </c>
      <c r="V270" s="20" t="n">
        <v>-341</v>
      </c>
      <c r="W270" s="20" t="n">
        <v>-291</v>
      </c>
      <c r="X270" s="20" t="n">
        <v>1869</v>
      </c>
    </row>
    <row r="271">
      <c r="A271" s="18" t="inlineStr">
        <is>
          <t>현금성자산 증감</t>
        </is>
      </c>
      <c r="C271" s="20" t="n">
        <v>943</v>
      </c>
      <c r="E271" s="20" t="n">
        <v>1282</v>
      </c>
      <c r="G271" s="20" t="n">
        <v>684</v>
      </c>
      <c r="I271" s="20" t="n">
        <v>217</v>
      </c>
      <c r="K271" s="20" t="n">
        <v>-681</v>
      </c>
      <c r="M271" s="20" t="n">
        <v>-821</v>
      </c>
      <c r="O271" s="20" t="n">
        <v>-656</v>
      </c>
      <c r="P271" s="20" t="n">
        <v>470</v>
      </c>
      <c r="Q271" s="20" t="n">
        <v>294</v>
      </c>
      <c r="R271" s="20" t="n">
        <v>-338</v>
      </c>
      <c r="S271" s="20" t="n">
        <v>-1671</v>
      </c>
      <c r="T271" s="20" t="n">
        <v>-236</v>
      </c>
      <c r="U271" s="20" t="n">
        <v>409</v>
      </c>
      <c r="V271" s="20" t="n">
        <v>1282</v>
      </c>
      <c r="W271" s="20" t="n">
        <v>217</v>
      </c>
      <c r="X271" s="20" t="n">
        <v>-821</v>
      </c>
    </row>
    <row r="272">
      <c r="A272" s="18" t="inlineStr">
        <is>
          <t>연결 제외 현금성자산 감소</t>
        </is>
      </c>
      <c r="R272" s="20" t="n">
        <v>0</v>
      </c>
      <c r="S272" s="20" t="n">
        <v>-24</v>
      </c>
      <c r="T272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6798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32320</v>
      </c>
      <c r="D5" s="12" t="n">
        <v>31070</v>
      </c>
      <c r="E5" s="12" t="n">
        <v>32256</v>
      </c>
      <c r="F5" s="12" t="n">
        <v>30845</v>
      </c>
      <c r="G5" s="12" t="n">
        <v>32422</v>
      </c>
      <c r="H5" s="11" t="n">
        <v>31730</v>
      </c>
      <c r="I5" s="12" t="n">
        <v>33251</v>
      </c>
      <c r="J5" s="12" t="n">
        <v>33824</v>
      </c>
      <c r="K5" s="12" t="n">
        <v>33149</v>
      </c>
      <c r="L5" s="12" t="n">
        <v>30845</v>
      </c>
    </row>
    <row r="6">
      <c r="A6" s="18" t="inlineStr">
        <is>
          <t>현금및현금성자산</t>
        </is>
      </c>
      <c r="B6" s="10" t="n"/>
      <c r="C6" s="19" t="n">
        <v>10704</v>
      </c>
      <c r="D6" s="20" t="n">
        <v>9805</v>
      </c>
      <c r="E6" s="20" t="n">
        <v>11282</v>
      </c>
      <c r="F6" s="20" t="n">
        <v>9673</v>
      </c>
      <c r="G6" s="20" t="n">
        <v>11020</v>
      </c>
      <c r="H6" s="19" t="n">
        <v>8555</v>
      </c>
      <c r="I6" s="20" t="n">
        <v>8969</v>
      </c>
      <c r="J6" s="20" t="n">
        <v>10258</v>
      </c>
      <c r="K6" s="20" t="n">
        <v>10475</v>
      </c>
      <c r="L6" s="20" t="n">
        <v>9673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9892</v>
      </c>
      <c r="D8" s="20" t="n">
        <v>9916</v>
      </c>
      <c r="E8" s="20" t="n">
        <v>9344</v>
      </c>
      <c r="F8" s="20" t="n">
        <v>10872</v>
      </c>
      <c r="G8" s="20" t="n">
        <v>9502</v>
      </c>
      <c r="H8" s="19" t="n">
        <v>11286</v>
      </c>
      <c r="I8" s="20" t="n">
        <v>11505</v>
      </c>
      <c r="J8" s="20" t="n">
        <v>10039</v>
      </c>
      <c r="K8" s="20" t="n">
        <v>11221</v>
      </c>
      <c r="L8" s="20" t="n">
        <v>10872</v>
      </c>
    </row>
    <row r="9">
      <c r="A9" s="18" t="inlineStr">
        <is>
          <t>재고자산</t>
        </is>
      </c>
      <c r="B9" s="10" t="n"/>
      <c r="C9" s="19" t="n">
        <v>7944</v>
      </c>
      <c r="D9" s="20" t="n">
        <v>7629</v>
      </c>
      <c r="E9" s="20" t="n">
        <v>7856</v>
      </c>
      <c r="F9" s="20" t="n">
        <v>6740</v>
      </c>
      <c r="G9" s="20" t="n">
        <v>8059</v>
      </c>
      <c r="H9" s="19" t="n">
        <v>9544</v>
      </c>
      <c r="I9" s="20" t="n">
        <v>10071</v>
      </c>
      <c r="J9" s="20" t="n">
        <v>9256</v>
      </c>
      <c r="K9" s="20" t="n">
        <v>7672</v>
      </c>
      <c r="L9" s="20" t="n">
        <v>6740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24474</v>
      </c>
      <c r="D11" s="12" t="n">
        <v>25172</v>
      </c>
      <c r="E11" s="12" t="n">
        <v>25727</v>
      </c>
      <c r="F11" s="12" t="n">
        <v>26780</v>
      </c>
      <c r="G11" s="12" t="n">
        <v>27032</v>
      </c>
      <c r="H11" s="11" t="n">
        <v>23063</v>
      </c>
      <c r="I11" s="12" t="n">
        <v>23113</v>
      </c>
      <c r="J11" s="12" t="n">
        <v>24619</v>
      </c>
      <c r="K11" s="12" t="n">
        <v>24535</v>
      </c>
      <c r="L11" s="12" t="n">
        <v>26780</v>
      </c>
    </row>
    <row r="12">
      <c r="A12" s="18" t="inlineStr">
        <is>
          <t>유형자산</t>
        </is>
      </c>
      <c r="B12" s="10" t="n"/>
      <c r="C12" s="19" t="n">
        <v>14695</v>
      </c>
      <c r="D12" s="20" t="n">
        <v>14731</v>
      </c>
      <c r="E12" s="20" t="n">
        <v>14802</v>
      </c>
      <c r="F12" s="20" t="n">
        <v>14423</v>
      </c>
      <c r="G12" s="20" t="n">
        <v>14433</v>
      </c>
      <c r="H12" s="19" t="n">
        <v>16190</v>
      </c>
      <c r="I12" s="20" t="n">
        <v>15567</v>
      </c>
      <c r="J12" s="20" t="n">
        <v>15328</v>
      </c>
      <c r="K12" s="20" t="n">
        <v>14754</v>
      </c>
      <c r="L12" s="20" t="n">
        <v>14423</v>
      </c>
    </row>
    <row r="13">
      <c r="A13" s="18" t="inlineStr">
        <is>
          <t>무형자산</t>
        </is>
      </c>
      <c r="B13" s="10" t="n"/>
      <c r="C13" s="19" t="n">
        <v>195</v>
      </c>
      <c r="D13" s="20" t="n">
        <v>256</v>
      </c>
      <c r="E13" s="20" t="n">
        <v>262</v>
      </c>
      <c r="F13" s="20" t="n">
        <v>242</v>
      </c>
      <c r="G13" s="20" t="n">
        <v>230</v>
      </c>
      <c r="H13" s="19" t="n">
        <v>116</v>
      </c>
      <c r="I13" s="20" t="n">
        <v>94</v>
      </c>
      <c r="J13" s="20" t="n">
        <v>130</v>
      </c>
      <c r="K13" s="20" t="n">
        <v>202</v>
      </c>
      <c r="L13" s="20" t="n">
        <v>242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56795</v>
      </c>
      <c r="D16" s="12" t="n">
        <v>56243</v>
      </c>
      <c r="E16" s="12" t="n">
        <v>57983</v>
      </c>
      <c r="F16" s="12" t="n">
        <v>57625</v>
      </c>
      <c r="G16" s="12" t="n">
        <v>59454</v>
      </c>
      <c r="H16" s="11" t="n">
        <v>54794</v>
      </c>
      <c r="I16" s="12" t="n">
        <v>56365</v>
      </c>
      <c r="J16" s="12" t="n">
        <v>58444</v>
      </c>
      <c r="K16" s="12" t="n">
        <v>57684</v>
      </c>
      <c r="L16" s="12" t="n">
        <v>57625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17594</v>
      </c>
      <c r="D18" s="12" t="n">
        <v>16565</v>
      </c>
      <c r="E18" s="12" t="n">
        <v>15591</v>
      </c>
      <c r="F18" s="12" t="n">
        <v>14417</v>
      </c>
      <c r="G18" s="12" t="n">
        <v>16410</v>
      </c>
      <c r="H18" s="11" t="n">
        <v>15178</v>
      </c>
      <c r="I18" s="12" t="n">
        <v>16193</v>
      </c>
      <c r="J18" s="12" t="n">
        <v>15371</v>
      </c>
      <c r="K18" s="12" t="n">
        <v>16647</v>
      </c>
      <c r="L18" s="12" t="n">
        <v>14417</v>
      </c>
    </row>
    <row r="19">
      <c r="A19" s="18" t="inlineStr">
        <is>
          <t>매입채무</t>
        </is>
      </c>
      <c r="B19" s="10" t="n"/>
      <c r="C19" s="19" t="n">
        <v>3656</v>
      </c>
      <c r="D19" s="20" t="n">
        <v>3278</v>
      </c>
      <c r="E19" s="20" t="n">
        <v>3451</v>
      </c>
      <c r="F19" s="20" t="n">
        <v>2887</v>
      </c>
      <c r="G19" s="20" t="n">
        <v>3996</v>
      </c>
      <c r="H19" s="19" t="n">
        <v>5404</v>
      </c>
      <c r="I19" s="20" t="n">
        <v>4878</v>
      </c>
      <c r="J19" s="20" t="n">
        <v>2643</v>
      </c>
      <c r="K19" s="20" t="n">
        <v>3206</v>
      </c>
      <c r="L19" s="20" t="n">
        <v>2887</v>
      </c>
    </row>
    <row r="20">
      <c r="A20" s="18" t="inlineStr">
        <is>
          <t>단기차입금</t>
        </is>
      </c>
      <c r="B20" s="10" t="n"/>
      <c r="C20" s="19" t="n">
        <v>7340</v>
      </c>
      <c r="D20" s="20" t="n">
        <v>7440</v>
      </c>
      <c r="E20" s="20" t="n">
        <v>6140</v>
      </c>
      <c r="F20" s="20" t="n">
        <v>6140</v>
      </c>
      <c r="G20" s="20" t="n">
        <v>7110</v>
      </c>
      <c r="H20" s="19" t="n">
        <v>5066</v>
      </c>
      <c r="I20" s="20" t="n">
        <v>6491</v>
      </c>
      <c r="J20" s="20" t="n">
        <v>5840</v>
      </c>
      <c r="K20" s="20" t="n">
        <v>7040</v>
      </c>
      <c r="L20" s="20" t="n">
        <v>6140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11234</v>
      </c>
      <c r="D23" s="12" t="n">
        <v>10643</v>
      </c>
      <c r="E23" s="12" t="n">
        <v>11911</v>
      </c>
      <c r="F23" s="12" t="n">
        <v>12051</v>
      </c>
      <c r="G23" s="12" t="n">
        <v>11745</v>
      </c>
      <c r="H23" s="11" t="n">
        <v>8972</v>
      </c>
      <c r="I23" s="12" t="n">
        <v>7897</v>
      </c>
      <c r="J23" s="12" t="n">
        <v>10929</v>
      </c>
      <c r="K23" s="12" t="n">
        <v>11815</v>
      </c>
      <c r="L23" s="12" t="n">
        <v>12051</v>
      </c>
    </row>
    <row r="24">
      <c r="A24" s="18" t="inlineStr">
        <is>
          <t>장기차입금</t>
        </is>
      </c>
      <c r="B24" s="10" t="n"/>
      <c r="C24" s="19" t="n">
        <v>6942</v>
      </c>
      <c r="D24" s="20" t="n">
        <v>6511</v>
      </c>
      <c r="E24" s="20" t="n">
        <v>7672</v>
      </c>
      <c r="F24" s="20" t="n">
        <v>7141</v>
      </c>
      <c r="G24" s="20" t="n">
        <v>6832</v>
      </c>
      <c r="H24" s="19" t="n">
        <v>6214</v>
      </c>
      <c r="I24" s="20" t="n">
        <v>4863</v>
      </c>
      <c r="J24" s="20" t="n">
        <v>7022</v>
      </c>
      <c r="K24" s="20" t="n">
        <v>7282</v>
      </c>
      <c r="L24" s="20" t="n">
        <v>7141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28829</v>
      </c>
      <c r="D27" s="12" t="n">
        <v>27209</v>
      </c>
      <c r="E27" s="12" t="n">
        <v>27502</v>
      </c>
      <c r="F27" s="12" t="n">
        <v>26468</v>
      </c>
      <c r="G27" s="12" t="n">
        <v>28156</v>
      </c>
      <c r="H27" s="11" t="n">
        <v>24150</v>
      </c>
      <c r="I27" s="12" t="n">
        <v>24090</v>
      </c>
      <c r="J27" s="12" t="n">
        <v>26300</v>
      </c>
      <c r="K27" s="12" t="n">
        <v>28462</v>
      </c>
      <c r="L27" s="12" t="n">
        <v>26468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27965</v>
      </c>
      <c r="D31" s="12" t="n">
        <v>29033</v>
      </c>
      <c r="E31" s="12" t="n">
        <v>30481</v>
      </c>
      <c r="F31" s="12" t="n">
        <v>31156</v>
      </c>
      <c r="G31" s="12" t="n">
        <v>31298</v>
      </c>
      <c r="H31" s="11" t="n">
        <v>30643</v>
      </c>
      <c r="I31" s="12" t="n">
        <v>32274</v>
      </c>
      <c r="J31" s="12" t="n">
        <v>32143</v>
      </c>
      <c r="K31" s="12" t="n">
        <v>29221</v>
      </c>
      <c r="L31" s="12" t="n">
        <v>31156</v>
      </c>
    </row>
    <row r="32">
      <c r="A32" s="18" t="inlineStr">
        <is>
          <t>자본금</t>
        </is>
      </c>
      <c r="B32" s="10" t="n"/>
      <c r="C32" s="19" t="n">
        <v>7996</v>
      </c>
      <c r="D32" s="20" t="n">
        <v>7996</v>
      </c>
      <c r="E32" s="20" t="n">
        <v>7996</v>
      </c>
      <c r="F32" s="20" t="n">
        <v>7996</v>
      </c>
      <c r="G32" s="20" t="n">
        <v>7996</v>
      </c>
      <c r="H32" s="19" t="n">
        <v>7996</v>
      </c>
      <c r="I32" s="20" t="n">
        <v>7996</v>
      </c>
      <c r="J32" s="20" t="n">
        <v>7996</v>
      </c>
      <c r="K32" s="20" t="n">
        <v>7996</v>
      </c>
      <c r="L32" s="20" t="n">
        <v>7996</v>
      </c>
    </row>
    <row r="33">
      <c r="A33" s="18" t="inlineStr">
        <is>
          <t>이익잉여금</t>
        </is>
      </c>
      <c r="B33" s="10" t="n"/>
      <c r="C33" s="19" t="n">
        <v>9504</v>
      </c>
      <c r="D33" s="20" t="n">
        <v>9963</v>
      </c>
      <c r="E33" s="20" t="n">
        <v>10577</v>
      </c>
      <c r="F33" s="20" t="n">
        <v>9894</v>
      </c>
      <c r="G33" s="20" t="n">
        <v>9731</v>
      </c>
      <c r="H33" s="19" t="n">
        <v>15925</v>
      </c>
      <c r="I33" s="20" t="n">
        <v>14730</v>
      </c>
      <c r="J33" s="20" t="n">
        <v>13253</v>
      </c>
      <c r="K33" s="20" t="n">
        <v>10731</v>
      </c>
      <c r="L33" s="20" t="n">
        <v>9894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27965</v>
      </c>
      <c r="D35" s="12" t="n">
        <v>29033</v>
      </c>
      <c r="E35" s="12" t="n">
        <v>30481</v>
      </c>
      <c r="F35" s="12" t="n">
        <v>31156</v>
      </c>
      <c r="G35" s="12" t="n">
        <v>31298</v>
      </c>
      <c r="H35" s="11" t="n">
        <v>30643</v>
      </c>
      <c r="I35" s="12" t="n">
        <v>32274</v>
      </c>
      <c r="J35" s="12" t="n">
        <v>32143</v>
      </c>
      <c r="K35" s="12" t="n">
        <v>29221</v>
      </c>
      <c r="L35" s="12" t="n">
        <v>31156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1937</v>
      </c>
      <c r="E37" s="12" t="n"/>
      <c r="F37" s="12" t="n">
        <v>2023</v>
      </c>
      <c r="G37" s="12" t="n"/>
      <c r="H37" s="11" t="n">
        <v>2433</v>
      </c>
      <c r="I37" s="12" t="n">
        <v>3591</v>
      </c>
      <c r="J37" s="12" t="n">
        <v>3719</v>
      </c>
      <c r="K37" s="12" t="n">
        <v>2439</v>
      </c>
      <c r="L37" s="12" t="n">
        <v>2023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2330</v>
      </c>
      <c r="E38" s="20" t="n"/>
      <c r="F38" s="20" t="n">
        <v>2271</v>
      </c>
      <c r="G38" s="20" t="n"/>
      <c r="H38" s="19" t="n">
        <v>2011</v>
      </c>
      <c r="I38" s="20" t="n">
        <v>1964</v>
      </c>
      <c r="J38" s="20" t="n">
        <v>2437</v>
      </c>
      <c r="K38" s="20" t="n">
        <v>2206</v>
      </c>
      <c r="L38" s="20" t="n">
        <v>2271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889</v>
      </c>
      <c r="E40" s="20" t="n"/>
      <c r="F40" s="20" t="n">
        <v>890</v>
      </c>
      <c r="G40" s="20" t="n"/>
      <c r="H40" s="19" t="n">
        <v>323</v>
      </c>
      <c r="I40" s="20" t="n">
        <v>438</v>
      </c>
      <c r="J40" s="20" t="n">
        <v>984</v>
      </c>
      <c r="K40" s="20" t="n">
        <v>636</v>
      </c>
      <c r="L40" s="20" t="n">
        <v>890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IFERROR(IF((IF(COUNT('연간'!G64:J64)&lt;4,"",SUM('연간'!G64:J64)))&lt;=0,"적자",C28/(IF(COUNT('연간'!G64:J64)&lt;4,"",SUM('연간'!G64:J64)))),"")</f>
        <v/>
      </c>
      <c r="D49" s="47">
        <f>IFERROR(IF((IF(COUNT('연간'!H64:K64)&lt;4,"",SUM('연간'!H64:K64)))&lt;=0,"적자",D28/(IF(COUNT('연간'!H64:K64)&lt;4,"",SUM('연간'!H64:K64)))),"")</f>
        <v/>
      </c>
      <c r="E49" s="47">
        <f>IFERROR(IF((IF(COUNT('연간'!I64:L64)&lt;4,"",SUM('연간'!I64:L64)))&lt;=0,"적자",E28/(IF(COUNT('연간'!I64:L64)&lt;4,"",SUM('연간'!I64:L64)))),"")</f>
        <v/>
      </c>
      <c r="F49" s="47">
        <f>IFERROR(IF((IF(COUNT('연간'!J64:M64)&lt;4,"",SUM('연간'!J64:M64)))&lt;=0,"적자",F28/(IF(COUNT('연간'!J64:M64)&lt;4,"",SUM('연간'!J64:M64)))),"")</f>
        <v/>
      </c>
      <c r="G49" s="47">
        <f>IFERROR(IF((IF(COUNT('연간'!K64:N64)&lt;4,"",SUM('연간'!K64:N64)))&lt;=0,"적자",G28/(IF(COUNT('연간'!K64:N64)&lt;4,"",SUM('연간'!K64:N64)))),"")</f>
        <v/>
      </c>
      <c r="H49" s="46">
        <f>IFERROR(IF(('연간'!T64)&lt;=0,"적자",H28/('연간'!T64)),"")</f>
        <v/>
      </c>
      <c r="I49" s="47">
        <f>IFERROR(IF(('연간'!U64)&lt;=0,"적자",I28/('연간'!U64)),"")</f>
        <v/>
      </c>
      <c r="J49" s="47">
        <f>IFERROR(IF(('연간'!V64)&lt;=0,"적자",J28/('연간'!V64)),"")</f>
        <v/>
      </c>
      <c r="K49" s="47">
        <f>IFERROR(IF(('연간'!W64)&lt;=0,"적자",K28/('연간'!W64)),"")</f>
        <v/>
      </c>
      <c r="L49" s="47">
        <f>IFERROR(IF(('연간'!X64)&lt;=0,"적자",L28/('연간'!X64)),"")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IFERROR((IF(COUNT('연간'!G64:J64)&lt;4,"",SUM('연간'!G64:J64)))/C31,"")</f>
        <v/>
      </c>
      <c r="D51" s="36">
        <f>IFERROR((IF(COUNT('연간'!H64:K64)&lt;4,"",SUM('연간'!H64:K64)))/D31,"")</f>
        <v/>
      </c>
      <c r="E51" s="36">
        <f>IFERROR((IF(COUNT('연간'!I64:L64)&lt;4,"",SUM('연간'!I64:L64)))/E31,"")</f>
        <v/>
      </c>
      <c r="F51" s="36">
        <f>IFERROR((IF(COUNT('연간'!J64:M64)&lt;4,"",SUM('연간'!J64:M64)))/F31,"")</f>
        <v/>
      </c>
      <c r="G51" s="36">
        <f>IFERROR((IF(COUNT('연간'!K64:N64)&lt;4,"",SUM('연간'!K64:N64)))/G31,"")</f>
        <v/>
      </c>
      <c r="H51" s="35">
        <f>IFERROR(('연간'!T64)/H31,"")</f>
        <v/>
      </c>
      <c r="I51" s="36">
        <f>IFERROR(('연간'!U64)/I31,"")</f>
        <v/>
      </c>
      <c r="J51" s="36">
        <f>IFERROR(('연간'!V64)/J31,"")</f>
        <v/>
      </c>
      <c r="K51" s="36">
        <f>IFERROR(('연간'!W64)/K31,"")</f>
        <v/>
      </c>
      <c r="L51" s="36">
        <f>IFERROR(('연간'!X64)/L31,"")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IFERROR((IF(COUNT('연간'!G62:J62)&lt;4,"",SUM('연간'!G62:J62)))/C16,"")</f>
        <v/>
      </c>
      <c r="D52" s="36">
        <f>IFERROR((IF(COUNT('연간'!H62:K62)&lt;4,"",SUM('연간'!H62:K62)))/D16,"")</f>
        <v/>
      </c>
      <c r="E52" s="36">
        <f>IFERROR((IF(COUNT('연간'!I62:L62)&lt;4,"",SUM('연간'!I62:L62)))/E16,"")</f>
        <v/>
      </c>
      <c r="F52" s="36">
        <f>IFERROR((IF(COUNT('연간'!J62:M62)&lt;4,"",SUM('연간'!J62:M62)))/F16,"")</f>
        <v/>
      </c>
      <c r="G52" s="36">
        <f>IFERROR((IF(COUNT('연간'!K62:N62)&lt;4,"",SUM('연간'!K62:N62)))/G16,"")</f>
        <v/>
      </c>
      <c r="H52" s="35">
        <f>IFERROR(('연간'!T62)/H16,"")</f>
        <v/>
      </c>
      <c r="I52" s="36">
        <f>IFERROR(('연간'!U62)/I16,"")</f>
        <v/>
      </c>
      <c r="J52" s="36">
        <f>IFERROR(('연간'!V62)/J16,"")</f>
        <v/>
      </c>
      <c r="K52" s="36">
        <f>IFERROR(('연간'!W62)/K16,"")</f>
        <v/>
      </c>
      <c r="L52" s="36">
        <f>IFERROR(('연간'!X62)/L16,"")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IFERROR((IF(COUNT('연간'!G28:J28)&lt;4,"",SUM('연간'!G28:J28)))/(IF(COUNT('연간'!G4:J4)&lt;4,"",SUM('연간'!G4:J4))),"")</f>
        <v/>
      </c>
      <c r="D54" s="36">
        <f>IFERROR((IF(COUNT('연간'!H28:K28)&lt;4,"",SUM('연간'!H28:K28)))/(IF(COUNT('연간'!H4:K4)&lt;4,"",SUM('연간'!H4:K4))),"")</f>
        <v/>
      </c>
      <c r="E54" s="36">
        <f>IFERROR((IF(COUNT('연간'!I28:L28)&lt;4,"",SUM('연간'!I28:L28)))/(IF(COUNT('연간'!I4:L4)&lt;4,"",SUM('연간'!I4:L4))),"")</f>
        <v/>
      </c>
      <c r="F54" s="36">
        <f>IFERROR((IF(COUNT('연간'!J28:M28)&lt;4,"",SUM('연간'!J28:M28)))/(IF(COUNT('연간'!J4:M4)&lt;4,"",SUM('연간'!J4:M4))),"")</f>
        <v/>
      </c>
      <c r="G54" s="36">
        <f>IFERROR((IF(COUNT('연간'!K28:N28)&lt;4,"",SUM('연간'!K28:N28)))/(IF(COUNT('연간'!K4:N4)&lt;4,"",SUM('연간'!K4:N4))),"")</f>
        <v/>
      </c>
      <c r="H54" s="35">
        <f>IFERROR(('연간'!T28)/('연간'!T4),"")</f>
        <v/>
      </c>
      <c r="I54" s="36">
        <f>IFERROR(('연간'!U28)/('연간'!U4),"")</f>
        <v/>
      </c>
      <c r="J54" s="36">
        <f>IFERROR(('연간'!V28)/('연간'!V4),"")</f>
        <v/>
      </c>
      <c r="K54" s="36">
        <f>IFERROR(('연간'!W28)/('연간'!W4),"")</f>
        <v/>
      </c>
      <c r="L54" s="36">
        <f>IFERROR(('연간'!X28)/('연간'!X4),"")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IFERROR((IF(COUNT('연간'!G62:J62)&lt;4,"",SUM('연간'!G62:J62)))/(IF(COUNT('연간'!G4:J4)&lt;4,"",SUM('연간'!G4:J4))),"")</f>
        <v/>
      </c>
      <c r="D56" s="36">
        <f>IFERROR((IF(COUNT('연간'!H62:K62)&lt;4,"",SUM('연간'!H62:K62)))/(IF(COUNT('연간'!H4:K4)&lt;4,"",SUM('연간'!H4:K4))),"")</f>
        <v/>
      </c>
      <c r="E56" s="36">
        <f>IFERROR((IF(COUNT('연간'!I62:L62)&lt;4,"",SUM('연간'!I62:L62)))/(IF(COUNT('연간'!I4:L4)&lt;4,"",SUM('연간'!I4:L4))),"")</f>
        <v/>
      </c>
      <c r="F56" s="36">
        <f>IFERROR((IF(COUNT('연간'!J62:M62)&lt;4,"",SUM('연간'!J62:M62)))/(IF(COUNT('연간'!J4:M4)&lt;4,"",SUM('연간'!J4:M4))),"")</f>
        <v/>
      </c>
      <c r="G56" s="36">
        <f>IFERROR((IF(COUNT('연간'!K62:N62)&lt;4,"",SUM('연간'!K62:N62)))/(IF(COUNT('연간'!K4:N4)&lt;4,"",SUM('연간'!K4:N4))),"")</f>
        <v/>
      </c>
      <c r="H56" s="35">
        <f>IFERROR(('연간'!T62)/('연간'!T4),"")</f>
        <v/>
      </c>
      <c r="I56" s="36">
        <f>IFERROR(('연간'!U62)/('연간'!U4),"")</f>
        <v/>
      </c>
      <c r="J56" s="36">
        <f>IFERROR(('연간'!V62)/('연간'!V4),"")</f>
        <v/>
      </c>
      <c r="K56" s="36">
        <f>IFERROR(('연간'!W62)/('연간'!W4),"")</f>
        <v/>
      </c>
      <c r="L56" s="36">
        <f>IFERROR(('연간'!X62)/('연간'!X4),"")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IFERROR(C9/(IF(COUNT('연간'!G26:J26)&lt;4,"",SUM('연간'!G26:J26)))*365,"")</f>
        <v/>
      </c>
      <c r="D60" s="49">
        <f>IFERROR(D9/(IF(COUNT('연간'!H26:K26)&lt;4,"",SUM('연간'!H26:K26)))*365,"")</f>
        <v/>
      </c>
      <c r="E60" s="49">
        <f>IFERROR(E9/(IF(COUNT('연간'!I26:L26)&lt;4,"",SUM('연간'!I26:L26)))*365,"")</f>
        <v/>
      </c>
      <c r="F60" s="49">
        <f>IFERROR(F9/(IF(COUNT('연간'!J26:M26)&lt;4,"",SUM('연간'!J26:M26)))*365,"")</f>
        <v/>
      </c>
      <c r="G60" s="49">
        <f>IFERROR(G9/(IF(COUNT('연간'!K26:N26)&lt;4,"",SUM('연간'!K26:N26)))*365,"")</f>
        <v/>
      </c>
      <c r="H60" s="48">
        <f>IFERROR(H9/('연간'!T26)*365,"")</f>
        <v/>
      </c>
      <c r="I60" s="49">
        <f>IFERROR(I9/('연간'!U26)*365,"")</f>
        <v/>
      </c>
      <c r="J60" s="49">
        <f>IFERROR(J9/('연간'!V26)*365,"")</f>
        <v/>
      </c>
      <c r="K60" s="49">
        <f>IFERROR(K9/('연간'!W26)*365,"")</f>
        <v/>
      </c>
      <c r="L60" s="49">
        <f>IFERROR(L9/('연간'!X26)*365,"")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IFERROR(C19/(IF(COUNT('연간'!G26:J26)&lt;4,"",SUM('연간'!G26:J26)))*365,"")</f>
        <v/>
      </c>
      <c r="D61" s="49">
        <f>IFERROR(D19/(IF(COUNT('연간'!H26:K26)&lt;4,"",SUM('연간'!H26:K26)))*365,"")</f>
        <v/>
      </c>
      <c r="E61" s="49">
        <f>IFERROR(E19/(IF(COUNT('연간'!I26:L26)&lt;4,"",SUM('연간'!I26:L26)))*365,"")</f>
        <v/>
      </c>
      <c r="F61" s="49">
        <f>IFERROR(F19/(IF(COUNT('연간'!J26:M26)&lt;4,"",SUM('연간'!J26:M26)))*365,"")</f>
        <v/>
      </c>
      <c r="G61" s="49">
        <f>IFERROR(G19/(IF(COUNT('연간'!K26:N26)&lt;4,"",SUM('연간'!K26:N26)))*365,"")</f>
        <v/>
      </c>
      <c r="H61" s="48">
        <f>IFERROR(H19/('연간'!T26)*365,"")</f>
        <v/>
      </c>
      <c r="I61" s="49">
        <f>IFERROR(I19/('연간'!U26)*365,"")</f>
        <v/>
      </c>
      <c r="J61" s="49">
        <f>IFERROR(J19/('연간'!V26)*365,"")</f>
        <v/>
      </c>
      <c r="K61" s="49">
        <f>IFERROR(K19/('연간'!W26)*365,"")</f>
        <v/>
      </c>
      <c r="L61" s="49">
        <f>IFERROR(L19/('연간'!X26)*365,"")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IF(C37="","",IFERROR(C37/(IF(COUNT('연간'!G62:J62)&lt;4,"",SUM('연간'!G62:J62))),""))</f>
        <v/>
      </c>
      <c r="D64" s="31">
        <f>IF(D37="","",IFERROR(D37/(IF(COUNT('연간'!H62:K62)&lt;4,"",SUM('연간'!H62:K62))),""))</f>
        <v/>
      </c>
      <c r="E64" s="31">
        <f>IF(E37="","",IFERROR(E37/(IF(COUNT('연간'!I62:L62)&lt;4,"",SUM('연간'!I62:L62))),""))</f>
        <v/>
      </c>
      <c r="F64" s="31">
        <f>IF(F37="","",IFERROR(F37/(IF(COUNT('연간'!J62:M62)&lt;4,"",SUM('연간'!J62:M62))),""))</f>
        <v/>
      </c>
      <c r="G64" s="31">
        <f>IF(G37="","",IFERROR(G37/(IF(COUNT('연간'!K62:N62)&lt;4,"",SUM('연간'!K62:N62))),""))</f>
        <v/>
      </c>
      <c r="H64" s="30">
        <f>IF(H37="","",IFERROR(H37/('연간'!T62),""))</f>
        <v/>
      </c>
      <c r="I64" s="31">
        <f>IF(I37="","",IFERROR(I37/('연간'!U62),""))</f>
        <v/>
      </c>
      <c r="J64" s="31">
        <f>IF(J37="","",IFERROR(J37/('연간'!V62),""))</f>
        <v/>
      </c>
      <c r="K64" s="31">
        <f>IF(K37="","",IFERROR(K37/('연간'!W62),""))</f>
        <v/>
      </c>
      <c r="L64" s="31">
        <f>IF(L37="","",IFERROR(L37/('연간'!X62),""))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IF(C40="","",IFERROR(C40/(IF(COUNT('연간'!G64:J64)&lt;4,"",SUM('연간'!G64:J64))),""))</f>
        <v/>
      </c>
      <c r="D67" s="36">
        <f>IF(D40="","",IFERROR(D40/(IF(COUNT('연간'!H64:K64)&lt;4,"",SUM('연간'!H64:K64))),""))</f>
        <v/>
      </c>
      <c r="E67" s="36">
        <f>IF(E40="","",IFERROR(E40/(IF(COUNT('연간'!I64:L64)&lt;4,"",SUM('연간'!I64:L64))),""))</f>
        <v/>
      </c>
      <c r="F67" s="36">
        <f>IF(F40="","",IFERROR(F40/(IF(COUNT('연간'!J64:M64)&lt;4,"",SUM('연간'!J64:M64))),""))</f>
        <v/>
      </c>
      <c r="G67" s="36">
        <f>IF(G40="","",IFERROR(G40/(IF(COUNT('연간'!K64:N64)&lt;4,"",SUM('연간'!K64:N64))),""))</f>
        <v/>
      </c>
      <c r="H67" s="35">
        <f>IF(H40="","",IFERROR(H40/('연간'!T64),""))</f>
        <v/>
      </c>
      <c r="I67" s="36">
        <f>IF(I40="","",IFERROR(I40/('연간'!U64),""))</f>
        <v/>
      </c>
      <c r="J67" s="36">
        <f>IF(J40="","",IFERROR(J40/('연간'!V64),""))</f>
        <v/>
      </c>
      <c r="K67" s="36">
        <f>IF(K40="","",IFERROR(K40/('연간'!W64),""))</f>
        <v/>
      </c>
      <c r="L67" s="36">
        <f>IF(L40="","",IFERROR(L40/('연간'!X64),""))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10704</v>
      </c>
      <c r="D71" s="20" t="n">
        <v>9805</v>
      </c>
      <c r="E71" s="20" t="n">
        <v>11282</v>
      </c>
      <c r="F71" s="20" t="n">
        <v>9673</v>
      </c>
      <c r="G71" s="20" t="n">
        <v>11020</v>
      </c>
      <c r="H71" s="20" t="n">
        <v>8555</v>
      </c>
      <c r="I71" s="20" t="n">
        <v>8969</v>
      </c>
      <c r="J71" s="20" t="n">
        <v>10258</v>
      </c>
      <c r="K71" s="20" t="n">
        <v>10475</v>
      </c>
      <c r="L71" s="20" t="n">
        <v>9673</v>
      </c>
    </row>
    <row r="72">
      <c r="A72" s="18" t="inlineStr">
        <is>
          <t>받을어음·매출채권</t>
        </is>
      </c>
      <c r="H72" s="20" t="n">
        <v>11340</v>
      </c>
    </row>
    <row r="73">
      <c r="A73" s="18" t="inlineStr">
        <is>
          <t>받을어음</t>
        </is>
      </c>
      <c r="C73" s="20" t="n">
        <v>7</v>
      </c>
      <c r="D73" s="20" t="n">
        <v>4</v>
      </c>
      <c r="E73" s="20" t="n">
        <v>3</v>
      </c>
      <c r="F73" s="20" t="n">
        <v>1</v>
      </c>
      <c r="G73" s="20" t="n">
        <v>4</v>
      </c>
      <c r="H73" s="20" t="n">
        <v>53</v>
      </c>
      <c r="I73" s="20" t="n">
        <v>64</v>
      </c>
      <c r="J73" s="20" t="n">
        <v>50</v>
      </c>
      <c r="K73" s="20" t="n">
        <v>4</v>
      </c>
      <c r="L73" s="20" t="n">
        <v>1</v>
      </c>
    </row>
    <row r="74">
      <c r="A74" s="18" t="inlineStr">
        <is>
          <t>전자기록채권</t>
        </is>
      </c>
      <c r="C74" s="20" t="n">
        <v>2690</v>
      </c>
      <c r="D74" s="20" t="n">
        <v>2497</v>
      </c>
      <c r="E74" s="20" t="n">
        <v>2578</v>
      </c>
      <c r="F74" s="20" t="n">
        <v>2427</v>
      </c>
      <c r="G74" s="20" t="n">
        <v>2360</v>
      </c>
      <c r="H74" s="20" t="n">
        <v>1460</v>
      </c>
      <c r="I74" s="20" t="n">
        <v>1606</v>
      </c>
      <c r="J74" s="20" t="n">
        <v>3132</v>
      </c>
      <c r="K74" s="20" t="n">
        <v>2710</v>
      </c>
      <c r="L74" s="20" t="n">
        <v>2427</v>
      </c>
    </row>
    <row r="75">
      <c r="A75" s="18" t="inlineStr">
        <is>
          <t>매출채권</t>
        </is>
      </c>
      <c r="C75" s="20" t="n">
        <v>9892</v>
      </c>
      <c r="D75" s="20" t="n">
        <v>9916</v>
      </c>
      <c r="E75" s="20" t="n">
        <v>9344</v>
      </c>
      <c r="F75" s="20" t="n">
        <v>10872</v>
      </c>
      <c r="G75" s="20" t="n">
        <v>9502</v>
      </c>
      <c r="H75" s="20" t="n">
        <v>11286</v>
      </c>
      <c r="I75" s="20" t="n">
        <v>11505</v>
      </c>
      <c r="J75" s="20" t="n">
        <v>10039</v>
      </c>
      <c r="K75" s="20" t="n">
        <v>11221</v>
      </c>
      <c r="L75" s="20" t="n">
        <v>10872</v>
      </c>
    </row>
    <row r="76">
      <c r="A76" s="18" t="inlineStr">
        <is>
          <t>상품·제품</t>
        </is>
      </c>
      <c r="C76" s="20" t="n">
        <v>3103</v>
      </c>
      <c r="D76" s="20" t="n">
        <v>2897</v>
      </c>
      <c r="E76" s="20" t="n">
        <v>3204</v>
      </c>
      <c r="F76" s="20" t="n">
        <v>2715</v>
      </c>
      <c r="G76" s="20" t="n">
        <v>3080</v>
      </c>
      <c r="H76" s="20" t="n">
        <v>3592</v>
      </c>
      <c r="I76" s="20" t="n">
        <v>4277</v>
      </c>
      <c r="J76" s="20" t="n">
        <v>3424</v>
      </c>
      <c r="K76" s="20" t="n">
        <v>2909</v>
      </c>
      <c r="L76" s="20" t="n">
        <v>2715</v>
      </c>
    </row>
    <row r="77">
      <c r="A77" s="18" t="inlineStr">
        <is>
          <t>재공품</t>
        </is>
      </c>
      <c r="C77" s="20" t="n">
        <v>679</v>
      </c>
      <c r="D77" s="20" t="n">
        <v>533</v>
      </c>
      <c r="E77" s="20" t="n">
        <v>671</v>
      </c>
      <c r="F77" s="20" t="n">
        <v>625</v>
      </c>
      <c r="G77" s="20" t="n">
        <v>768</v>
      </c>
      <c r="H77" s="20" t="n">
        <v>961</v>
      </c>
      <c r="I77" s="20" t="n">
        <v>660</v>
      </c>
      <c r="J77" s="20" t="n">
        <v>592</v>
      </c>
      <c r="K77" s="20" t="n">
        <v>517</v>
      </c>
      <c r="L77" s="20" t="n">
        <v>625</v>
      </c>
    </row>
    <row r="78">
      <c r="A78" s="18" t="inlineStr">
        <is>
          <t>원재료·저장품</t>
        </is>
      </c>
      <c r="C78" s="20" t="n">
        <v>4162</v>
      </c>
      <c r="D78" s="20" t="n">
        <v>4199</v>
      </c>
      <c r="E78" s="20" t="n">
        <v>3981</v>
      </c>
      <c r="F78" s="20" t="n">
        <v>3400</v>
      </c>
      <c r="G78" s="20" t="n">
        <v>4211</v>
      </c>
      <c r="H78" s="20" t="n">
        <v>4991</v>
      </c>
      <c r="I78" s="20" t="n">
        <v>5134</v>
      </c>
      <c r="J78" s="20" t="n">
        <v>5240</v>
      </c>
      <c r="K78" s="20" t="n">
        <v>4246</v>
      </c>
      <c r="L78" s="20" t="n">
        <v>3400</v>
      </c>
    </row>
    <row r="79">
      <c r="A79" s="18" t="inlineStr">
        <is>
          <t>기타</t>
        </is>
      </c>
      <c r="C79" s="20" t="n">
        <v>1151</v>
      </c>
      <c r="D79" s="20" t="n">
        <v>1278</v>
      </c>
      <c r="E79" s="20" t="n">
        <v>1251</v>
      </c>
      <c r="F79" s="20" t="n">
        <v>1191</v>
      </c>
      <c r="G79" s="20" t="n">
        <v>1544</v>
      </c>
      <c r="H79" s="20" t="n">
        <v>860</v>
      </c>
      <c r="I79" s="20" t="n">
        <v>1080</v>
      </c>
      <c r="J79" s="20" t="n">
        <v>1150</v>
      </c>
      <c r="K79" s="20" t="n">
        <v>1151</v>
      </c>
      <c r="L79" s="20" t="n">
        <v>1191</v>
      </c>
    </row>
    <row r="80">
      <c r="A80" s="18" t="inlineStr">
        <is>
          <t>대손충당금</t>
        </is>
      </c>
      <c r="C80" s="20" t="n">
        <v>-71</v>
      </c>
      <c r="D80" s="20" t="n">
        <v>-62</v>
      </c>
      <c r="E80" s="20" t="n">
        <v>-60</v>
      </c>
      <c r="F80" s="20" t="n">
        <v>-62</v>
      </c>
      <c r="G80" s="20" t="n">
        <v>-69</v>
      </c>
      <c r="H80" s="20" t="n">
        <v>-31</v>
      </c>
      <c r="I80" s="20" t="n">
        <v>-47</v>
      </c>
      <c r="J80" s="20" t="n">
        <v>-64</v>
      </c>
      <c r="K80" s="20" t="n">
        <v>-85</v>
      </c>
      <c r="L80" s="20" t="n">
        <v>-62</v>
      </c>
    </row>
    <row r="81">
      <c r="A81" s="9" t="inlineStr">
        <is>
          <t>유동자산 합계</t>
        </is>
      </c>
      <c r="C81" s="12" t="n">
        <v>32320</v>
      </c>
      <c r="D81" s="12" t="n">
        <v>31070</v>
      </c>
      <c r="E81" s="12" t="n">
        <v>32256</v>
      </c>
      <c r="F81" s="12" t="n">
        <v>30845</v>
      </c>
      <c r="G81" s="12" t="n">
        <v>32422</v>
      </c>
      <c r="H81" s="12" t="n">
        <v>31730</v>
      </c>
      <c r="I81" s="12" t="n">
        <v>33251</v>
      </c>
      <c r="J81" s="12" t="n">
        <v>33824</v>
      </c>
      <c r="K81" s="12" t="n">
        <v>33149</v>
      </c>
      <c r="L81" s="12" t="n">
        <v>30845</v>
      </c>
    </row>
    <row r="82">
      <c r="A82" s="18" t="inlineStr">
        <is>
          <t>건물·구축물</t>
        </is>
      </c>
      <c r="F82" s="20" t="n">
        <v>21798</v>
      </c>
      <c r="H82" s="20" t="n">
        <v>19066</v>
      </c>
      <c r="I82" s="20" t="n">
        <v>19641</v>
      </c>
      <c r="J82" s="20" t="n">
        <v>20697</v>
      </c>
      <c r="K82" s="20" t="n">
        <v>21036</v>
      </c>
      <c r="L82" s="20" t="n">
        <v>21798</v>
      </c>
    </row>
    <row r="83">
      <c r="A83" s="18" t="inlineStr">
        <is>
          <t>감가상각누계액 및 손상차손누계액</t>
        </is>
      </c>
      <c r="F83" s="20" t="n">
        <v>-17732</v>
      </c>
      <c r="H83" s="20" t="n">
        <v>-14897</v>
      </c>
      <c r="I83" s="20" t="n">
        <v>-15583</v>
      </c>
      <c r="J83" s="20" t="n">
        <v>-16451</v>
      </c>
      <c r="K83" s="20" t="n">
        <v>-16885</v>
      </c>
      <c r="L83" s="20" t="n">
        <v>-17732</v>
      </c>
    </row>
    <row r="84">
      <c r="A84" s="18" t="inlineStr">
        <is>
          <t>건물·구축물(순액)</t>
        </is>
      </c>
      <c r="C84" s="20" t="n">
        <v>4135</v>
      </c>
      <c r="D84" s="20" t="n">
        <v>4085</v>
      </c>
      <c r="E84" s="20" t="n">
        <v>4049</v>
      </c>
      <c r="F84" s="20" t="n">
        <v>4066</v>
      </c>
      <c r="G84" s="20" t="n">
        <v>4003</v>
      </c>
      <c r="H84" s="20" t="n">
        <v>4169</v>
      </c>
      <c r="I84" s="20" t="n">
        <v>4058</v>
      </c>
      <c r="J84" s="20" t="n">
        <v>4245</v>
      </c>
      <c r="K84" s="20" t="n">
        <v>4151</v>
      </c>
      <c r="L84" s="20" t="n">
        <v>4066</v>
      </c>
    </row>
    <row r="85">
      <c r="A85" s="18" t="inlineStr">
        <is>
          <t>기계장치·운반구</t>
        </is>
      </c>
      <c r="F85" s="20" t="n">
        <v>24058</v>
      </c>
      <c r="H85" s="20" t="n">
        <v>24804</v>
      </c>
      <c r="I85" s="20" t="n">
        <v>25238</v>
      </c>
      <c r="J85" s="20" t="n">
        <v>25851</v>
      </c>
      <c r="K85" s="20" t="n">
        <v>22609</v>
      </c>
      <c r="L85" s="20" t="n">
        <v>24058</v>
      </c>
    </row>
    <row r="86">
      <c r="A86" s="18" t="inlineStr">
        <is>
          <t>감가상각누계액 및 손상차손누계액</t>
        </is>
      </c>
      <c r="F86" s="20" t="n">
        <v>-21272</v>
      </c>
      <c r="H86" s="20" t="n">
        <v>-21297</v>
      </c>
      <c r="I86" s="20" t="n">
        <v>-22170</v>
      </c>
      <c r="J86" s="20" t="n">
        <v>-23020</v>
      </c>
      <c r="K86" s="20" t="n">
        <v>-19960</v>
      </c>
      <c r="L86" s="20" t="n">
        <v>-21272</v>
      </c>
    </row>
    <row r="87">
      <c r="A87" s="18" t="inlineStr">
        <is>
          <t>기계장치·운반구(순액)</t>
        </is>
      </c>
      <c r="F87" s="20" t="n">
        <v>2785</v>
      </c>
      <c r="H87" s="20" t="n">
        <v>3506</v>
      </c>
      <c r="I87" s="20" t="n">
        <v>3068</v>
      </c>
      <c r="J87" s="20" t="n">
        <v>2830</v>
      </c>
      <c r="K87" s="20" t="n">
        <v>2649</v>
      </c>
      <c r="L87" s="20" t="n">
        <v>2785</v>
      </c>
    </row>
    <row r="88">
      <c r="A88" s="18" t="inlineStr">
        <is>
          <t>공구·기구·비품</t>
        </is>
      </c>
      <c r="F88" s="20" t="n">
        <v>17294</v>
      </c>
      <c r="H88" s="20" t="n">
        <v>20214</v>
      </c>
      <c r="I88" s="20" t="n">
        <v>19385</v>
      </c>
      <c r="J88" s="20" t="n">
        <v>18966</v>
      </c>
      <c r="K88" s="20" t="n">
        <v>17031</v>
      </c>
      <c r="L88" s="20" t="n">
        <v>17294</v>
      </c>
    </row>
    <row r="89">
      <c r="A89" s="18" t="inlineStr">
        <is>
          <t>감가상각누계액 및 손상차손누계액</t>
        </is>
      </c>
      <c r="F89" s="20" t="n">
        <v>-16142</v>
      </c>
      <c r="H89" s="20" t="n">
        <v>-19069</v>
      </c>
      <c r="I89" s="20" t="n">
        <v>-18426</v>
      </c>
      <c r="J89" s="20" t="n">
        <v>-18011</v>
      </c>
      <c r="K89" s="20" t="n">
        <v>-16009</v>
      </c>
      <c r="L89" s="20" t="n">
        <v>-16142</v>
      </c>
    </row>
    <row r="90">
      <c r="A90" s="18" t="inlineStr">
        <is>
          <t>공구·기구·비품(순액)</t>
        </is>
      </c>
      <c r="F90" s="20" t="n">
        <v>1152</v>
      </c>
      <c r="H90" s="20" t="n">
        <v>1144</v>
      </c>
      <c r="I90" s="20" t="n">
        <v>959</v>
      </c>
      <c r="J90" s="20" t="n">
        <v>954</v>
      </c>
      <c r="K90" s="20" t="n">
        <v>1022</v>
      </c>
      <c r="L90" s="20" t="n">
        <v>1152</v>
      </c>
    </row>
    <row r="91">
      <c r="A91" s="18" t="inlineStr">
        <is>
          <t>토지</t>
        </is>
      </c>
      <c r="C91" s="20" t="n">
        <v>5819</v>
      </c>
      <c r="D91" s="20" t="n">
        <v>5819</v>
      </c>
      <c r="E91" s="20" t="n">
        <v>5819</v>
      </c>
      <c r="F91" s="20" t="n">
        <v>5819</v>
      </c>
      <c r="G91" s="20" t="n">
        <v>5819</v>
      </c>
      <c r="H91" s="20" t="n">
        <v>5869</v>
      </c>
      <c r="I91" s="20" t="n">
        <v>5869</v>
      </c>
      <c r="J91" s="20" t="n">
        <v>5819</v>
      </c>
      <c r="K91" s="20" t="n">
        <v>5819</v>
      </c>
      <c r="L91" s="20" t="n">
        <v>5819</v>
      </c>
    </row>
    <row r="92">
      <c r="A92" s="18" t="inlineStr">
        <is>
          <t>리스자산</t>
        </is>
      </c>
      <c r="F92" s="20" t="n">
        <v>3</v>
      </c>
      <c r="H92" s="20" t="n">
        <v>29</v>
      </c>
      <c r="I92" s="20" t="n">
        <v>29</v>
      </c>
      <c r="J92" s="20" t="n">
        <v>39</v>
      </c>
      <c r="K92" s="20" t="n">
        <v>3</v>
      </c>
      <c r="L92" s="20" t="n">
        <v>3</v>
      </c>
    </row>
    <row r="93">
      <c r="A93" s="18" t="inlineStr">
        <is>
          <t>감가상각누계액 및 손상차손누계액</t>
        </is>
      </c>
      <c r="F93" s="20" t="n">
        <v>-1</v>
      </c>
      <c r="H93" s="20" t="n">
        <v>-23</v>
      </c>
      <c r="I93" s="20" t="n">
        <v>-26</v>
      </c>
      <c r="J93" s="20" t="n">
        <v>-35</v>
      </c>
      <c r="K93" s="20" t="n">
        <v>-0</v>
      </c>
      <c r="L93" s="20" t="n">
        <v>-1</v>
      </c>
    </row>
    <row r="94">
      <c r="A94" s="18" t="inlineStr">
        <is>
          <t>리스자산(순액)</t>
        </is>
      </c>
      <c r="F94" s="20" t="n">
        <v>2</v>
      </c>
      <c r="H94" s="20" t="n">
        <v>6</v>
      </c>
      <c r="I94" s="20" t="n">
        <v>3</v>
      </c>
      <c r="J94" s="20" t="n">
        <v>3</v>
      </c>
      <c r="K94" s="20" t="n">
        <v>3</v>
      </c>
      <c r="L94" s="20" t="n">
        <v>2</v>
      </c>
    </row>
    <row r="95">
      <c r="A95" s="18" t="inlineStr">
        <is>
          <t>사용권자산</t>
        </is>
      </c>
      <c r="H95" s="20" t="n">
        <v>1599</v>
      </c>
      <c r="I95" s="20" t="n">
        <v>2131</v>
      </c>
      <c r="J95" s="20" t="n">
        <v>2314</v>
      </c>
      <c r="K95" s="20" t="n">
        <v>2257</v>
      </c>
    </row>
    <row r="96">
      <c r="A96" s="18" t="inlineStr">
        <is>
          <t>사용권자산</t>
        </is>
      </c>
      <c r="F96" s="20" t="n">
        <v>2434</v>
      </c>
      <c r="K96" s="20" t="n">
        <v>2257</v>
      </c>
      <c r="L96" s="20" t="n">
        <v>2434</v>
      </c>
    </row>
    <row r="97">
      <c r="A97" s="18" t="inlineStr">
        <is>
          <t>감가상각누계액 및 손상차손누계액</t>
        </is>
      </c>
      <c r="F97" s="20" t="n">
        <v>-1952</v>
      </c>
      <c r="H97" s="20" t="n">
        <v>-292</v>
      </c>
      <c r="I97" s="20" t="n">
        <v>-721</v>
      </c>
      <c r="J97" s="20" t="n">
        <v>-880</v>
      </c>
      <c r="K97" s="20" t="n">
        <v>-1308</v>
      </c>
      <c r="L97" s="20" t="n">
        <v>-1952</v>
      </c>
    </row>
    <row r="98">
      <c r="A98" s="18" t="inlineStr">
        <is>
          <t>사용권자산(순액)</t>
        </is>
      </c>
      <c r="H98" s="20" t="n">
        <v>1307</v>
      </c>
      <c r="I98" s="20" t="n">
        <v>1409</v>
      </c>
      <c r="J98" s="20" t="n">
        <v>1434</v>
      </c>
      <c r="K98" s="20" t="n">
        <v>948</v>
      </c>
    </row>
    <row r="99">
      <c r="A99" s="18" t="inlineStr">
        <is>
          <t>사용권자산(순액)</t>
        </is>
      </c>
      <c r="F99" s="20" t="n">
        <v>482</v>
      </c>
      <c r="K99" s="20" t="n">
        <v>948</v>
      </c>
      <c r="L99" s="20" t="n">
        <v>482</v>
      </c>
    </row>
    <row r="100">
      <c r="A100" s="18" t="inlineStr">
        <is>
          <t>건설중인자산</t>
        </is>
      </c>
      <c r="F100" s="20" t="n">
        <v>114</v>
      </c>
      <c r="H100" s="20" t="n">
        <v>186</v>
      </c>
      <c r="I100" s="20" t="n">
        <v>198</v>
      </c>
      <c r="J100" s="20" t="n">
        <v>39</v>
      </c>
      <c r="K100" s="20" t="n">
        <v>159</v>
      </c>
      <c r="L100" s="20" t="n">
        <v>114</v>
      </c>
    </row>
    <row r="101">
      <c r="A101" s="18" t="inlineStr">
        <is>
          <t>기타(순액)</t>
        </is>
      </c>
      <c r="C101" s="20" t="n">
        <v>4739</v>
      </c>
      <c r="D101" s="20" t="n">
        <v>4826</v>
      </c>
      <c r="E101" s="20" t="n">
        <v>4933</v>
      </c>
      <c r="F101" s="20" t="n">
        <v>4537</v>
      </c>
      <c r="G101" s="20" t="n">
        <v>4609</v>
      </c>
      <c r="H101" s="20" t="n">
        <v>6151</v>
      </c>
      <c r="I101" s="20" t="n">
        <v>5639</v>
      </c>
      <c r="J101" s="20" t="n">
        <v>5263</v>
      </c>
      <c r="K101" s="20" t="n">
        <v>4783</v>
      </c>
      <c r="L101" s="20" t="n">
        <v>4537</v>
      </c>
    </row>
    <row r="102">
      <c r="A102" s="18" t="inlineStr">
        <is>
          <t>유형자산 합계</t>
        </is>
      </c>
      <c r="C102" s="20" t="n">
        <v>14695</v>
      </c>
      <c r="D102" s="20" t="n">
        <v>14731</v>
      </c>
      <c r="E102" s="20" t="n">
        <v>14802</v>
      </c>
      <c r="F102" s="20" t="n">
        <v>14423</v>
      </c>
      <c r="G102" s="20" t="n">
        <v>14433</v>
      </c>
      <c r="H102" s="20" t="n">
        <v>16190</v>
      </c>
      <c r="I102" s="20" t="n">
        <v>15567</v>
      </c>
      <c r="J102" s="20" t="n">
        <v>15328</v>
      </c>
      <c r="K102" s="20" t="n">
        <v>14754</v>
      </c>
      <c r="L102" s="20" t="n">
        <v>14423</v>
      </c>
    </row>
    <row r="103">
      <c r="A103" s="18" t="inlineStr">
        <is>
          <t>기타</t>
        </is>
      </c>
      <c r="C103" s="20" t="n">
        <v>195</v>
      </c>
      <c r="D103" s="20" t="n">
        <v>256</v>
      </c>
      <c r="E103" s="20" t="n">
        <v>262</v>
      </c>
      <c r="F103" s="20" t="n">
        <v>242</v>
      </c>
      <c r="G103" s="20" t="n">
        <v>230</v>
      </c>
      <c r="H103" s="20" t="n">
        <v>116</v>
      </c>
      <c r="I103" s="20" t="n">
        <v>94</v>
      </c>
      <c r="J103" s="20" t="n">
        <v>130</v>
      </c>
      <c r="K103" s="20" t="n">
        <v>202</v>
      </c>
      <c r="L103" s="20" t="n">
        <v>242</v>
      </c>
    </row>
    <row r="104">
      <c r="A104" s="18" t="inlineStr">
        <is>
          <t>무형자산 합계</t>
        </is>
      </c>
      <c r="C104" s="20" t="n">
        <v>195</v>
      </c>
      <c r="D104" s="20" t="n">
        <v>256</v>
      </c>
      <c r="E104" s="20" t="n">
        <v>262</v>
      </c>
      <c r="F104" s="20" t="n">
        <v>242</v>
      </c>
      <c r="G104" s="20" t="n">
        <v>230</v>
      </c>
      <c r="H104" s="20" t="n">
        <v>116</v>
      </c>
      <c r="I104" s="20" t="n">
        <v>94</v>
      </c>
      <c r="J104" s="20" t="n">
        <v>130</v>
      </c>
      <c r="K104" s="20" t="n">
        <v>202</v>
      </c>
      <c r="L104" s="20" t="n">
        <v>242</v>
      </c>
    </row>
    <row r="105">
      <c r="A105" s="18" t="inlineStr">
        <is>
          <t>투자유가증권</t>
        </is>
      </c>
      <c r="F105" s="20" t="n">
        <v>5271</v>
      </c>
      <c r="H105" s="20" t="n">
        <v>3639</v>
      </c>
      <c r="I105" s="20" t="n">
        <v>4041</v>
      </c>
      <c r="J105" s="20" t="n">
        <v>4327</v>
      </c>
      <c r="K105" s="20" t="n">
        <v>4205</v>
      </c>
      <c r="L105" s="20" t="n">
        <v>5271</v>
      </c>
    </row>
    <row r="106">
      <c r="A106" s="18" t="inlineStr">
        <is>
          <t>장기대여금</t>
        </is>
      </c>
      <c r="F106" s="20" t="n">
        <v>94</v>
      </c>
      <c r="H106" s="20" t="n">
        <v>99</v>
      </c>
      <c r="I106" s="20" t="n">
        <v>92</v>
      </c>
      <c r="J106" s="20" t="n">
        <v>90</v>
      </c>
      <c r="K106" s="20" t="n">
        <v>87</v>
      </c>
      <c r="L106" s="20" t="n">
        <v>94</v>
      </c>
    </row>
    <row r="107">
      <c r="A107" s="18" t="inlineStr">
        <is>
          <t>퇴직급여자산</t>
        </is>
      </c>
      <c r="F107" s="20" t="n">
        <v>5745</v>
      </c>
      <c r="H107" s="20" t="n">
        <v>2245</v>
      </c>
      <c r="I107" s="20" t="n">
        <v>2344</v>
      </c>
      <c r="J107" s="20" t="n">
        <v>3788</v>
      </c>
      <c r="K107" s="20" t="n">
        <v>4247</v>
      </c>
      <c r="L107" s="20" t="n">
        <v>5745</v>
      </c>
    </row>
    <row r="108">
      <c r="A108" s="18" t="inlineStr">
        <is>
          <t>이연법인세자산</t>
        </is>
      </c>
      <c r="F108" s="20" t="n">
        <v>85</v>
      </c>
      <c r="H108" s="20" t="n">
        <v>126</v>
      </c>
      <c r="I108" s="20" t="n">
        <v>97</v>
      </c>
      <c r="J108" s="20" t="n">
        <v>149</v>
      </c>
      <c r="K108" s="20" t="n">
        <v>241</v>
      </c>
      <c r="L108" s="20" t="n">
        <v>85</v>
      </c>
    </row>
    <row r="109">
      <c r="A109" s="18" t="inlineStr">
        <is>
          <t>기타</t>
        </is>
      </c>
      <c r="C109" s="20" t="n">
        <v>9693</v>
      </c>
      <c r="D109" s="20" t="n">
        <v>10296</v>
      </c>
      <c r="E109" s="20" t="n">
        <v>10777</v>
      </c>
      <c r="F109" s="20" t="n">
        <v>12231</v>
      </c>
      <c r="G109" s="20" t="n">
        <v>12421</v>
      </c>
      <c r="H109" s="20" t="n">
        <v>731</v>
      </c>
      <c r="I109" s="20" t="n">
        <v>963</v>
      </c>
      <c r="J109" s="20" t="n">
        <v>900</v>
      </c>
      <c r="K109" s="20" t="n">
        <v>890</v>
      </c>
      <c r="L109" s="20" t="n">
        <v>12231</v>
      </c>
    </row>
    <row r="110">
      <c r="A110" s="18" t="inlineStr">
        <is>
          <t>대손충당금</t>
        </is>
      </c>
      <c r="C110" s="20" t="n">
        <v>-109</v>
      </c>
      <c r="D110" s="20" t="n">
        <v>-111</v>
      </c>
      <c r="E110" s="20" t="n">
        <v>-115</v>
      </c>
      <c r="F110" s="20" t="n">
        <v>-117</v>
      </c>
      <c r="G110" s="20" t="n">
        <v>-53</v>
      </c>
      <c r="H110" s="20" t="n">
        <v>-86</v>
      </c>
      <c r="I110" s="20" t="n">
        <v>-88</v>
      </c>
      <c r="J110" s="20" t="n">
        <v>-94</v>
      </c>
      <c r="K110" s="20" t="n">
        <v>-94</v>
      </c>
      <c r="L110" s="20" t="n">
        <v>-117</v>
      </c>
    </row>
    <row r="111">
      <c r="A111" s="18" t="inlineStr">
        <is>
          <t>투자 및 기타자산 합계</t>
        </is>
      </c>
      <c r="C111" s="20" t="n">
        <v>9584</v>
      </c>
      <c r="D111" s="20" t="n">
        <v>10184</v>
      </c>
      <c r="E111" s="20" t="n">
        <v>10662</v>
      </c>
      <c r="F111" s="20" t="n">
        <v>12114</v>
      </c>
      <c r="G111" s="20" t="n">
        <v>12368</v>
      </c>
      <c r="H111" s="20" t="n">
        <v>6755</v>
      </c>
      <c r="I111" s="20" t="n">
        <v>7450</v>
      </c>
      <c r="J111" s="20" t="n">
        <v>9160</v>
      </c>
      <c r="K111" s="20" t="n">
        <v>9578</v>
      </c>
      <c r="L111" s="20" t="n">
        <v>12114</v>
      </c>
    </row>
    <row r="112">
      <c r="A112" s="9" t="inlineStr">
        <is>
          <t>비유동자산 합계</t>
        </is>
      </c>
      <c r="C112" s="12" t="n">
        <v>24474</v>
      </c>
      <c r="D112" s="12" t="n">
        <v>25172</v>
      </c>
      <c r="E112" s="12" t="n">
        <v>25727</v>
      </c>
      <c r="F112" s="12" t="n">
        <v>26780</v>
      </c>
      <c r="G112" s="12" t="n">
        <v>27032</v>
      </c>
      <c r="H112" s="12" t="n">
        <v>23063</v>
      </c>
      <c r="I112" s="12" t="n">
        <v>23113</v>
      </c>
      <c r="J112" s="12" t="n">
        <v>24619</v>
      </c>
      <c r="K112" s="12" t="n">
        <v>24535</v>
      </c>
      <c r="L112" s="12" t="n">
        <v>26780</v>
      </c>
    </row>
    <row r="113">
      <c r="A113" s="9" t="inlineStr">
        <is>
          <t>자산 합계</t>
        </is>
      </c>
      <c r="C113" s="12" t="n">
        <v>56795</v>
      </c>
      <c r="D113" s="12" t="n">
        <v>56243</v>
      </c>
      <c r="E113" s="12" t="n">
        <v>57983</v>
      </c>
      <c r="F113" s="12" t="n">
        <v>57625</v>
      </c>
      <c r="G113" s="12" t="n">
        <v>59454</v>
      </c>
      <c r="H113" s="12" t="n">
        <v>54794</v>
      </c>
      <c r="I113" s="12" t="n">
        <v>56365</v>
      </c>
      <c r="J113" s="12" t="n">
        <v>58444</v>
      </c>
      <c r="K113" s="12" t="n">
        <v>57684</v>
      </c>
      <c r="L113" s="12" t="n">
        <v>57625</v>
      </c>
    </row>
    <row r="114">
      <c r="A114" s="18" t="inlineStr">
        <is>
          <t>지급어음·매입채무</t>
        </is>
      </c>
      <c r="C114" s="20" t="n">
        <v>3656</v>
      </c>
      <c r="D114" s="20" t="n">
        <v>3278</v>
      </c>
      <c r="E114" s="20" t="n">
        <v>3451</v>
      </c>
      <c r="F114" s="20" t="n">
        <v>2887</v>
      </c>
      <c r="G114" s="20" t="n">
        <v>3996</v>
      </c>
      <c r="H114" s="20" t="n">
        <v>5404</v>
      </c>
      <c r="I114" s="20" t="n">
        <v>4878</v>
      </c>
      <c r="J114" s="20" t="n">
        <v>2643</v>
      </c>
      <c r="K114" s="20" t="n">
        <v>3206</v>
      </c>
      <c r="L114" s="20" t="n">
        <v>2887</v>
      </c>
    </row>
    <row r="115">
      <c r="A115" s="18" t="inlineStr">
        <is>
          <t>전자기록채무</t>
        </is>
      </c>
      <c r="C115" s="20" t="n">
        <v>1166</v>
      </c>
      <c r="D115" s="20" t="n">
        <v>977</v>
      </c>
      <c r="E115" s="20" t="n">
        <v>972</v>
      </c>
      <c r="F115" s="20" t="n">
        <v>317</v>
      </c>
      <c r="G115" s="20" t="n">
        <v>314</v>
      </c>
      <c r="J115" s="20" t="n">
        <v>2058</v>
      </c>
      <c r="K115" s="20" t="n">
        <v>1005</v>
      </c>
      <c r="L115" s="20" t="n">
        <v>317</v>
      </c>
    </row>
    <row r="116">
      <c r="A116" s="18" t="inlineStr">
        <is>
          <t>단기차입금</t>
        </is>
      </c>
      <c r="C116" s="20" t="n">
        <v>7340</v>
      </c>
      <c r="D116" s="20" t="n">
        <v>7440</v>
      </c>
      <c r="E116" s="20" t="n">
        <v>6140</v>
      </c>
      <c r="F116" s="20" t="n">
        <v>6140</v>
      </c>
      <c r="G116" s="20" t="n">
        <v>7110</v>
      </c>
      <c r="H116" s="20" t="n">
        <v>5066</v>
      </c>
      <c r="I116" s="20" t="n">
        <v>6491</v>
      </c>
      <c r="J116" s="20" t="n">
        <v>5840</v>
      </c>
      <c r="K116" s="20" t="n">
        <v>7040</v>
      </c>
      <c r="L116" s="20" t="n">
        <v>6140</v>
      </c>
    </row>
    <row r="117">
      <c r="A117" s="18" t="inlineStr">
        <is>
          <t>리스부채</t>
        </is>
      </c>
      <c r="F117" s="20" t="n">
        <v>471</v>
      </c>
      <c r="H117" s="20" t="n">
        <v>407</v>
      </c>
      <c r="I117" s="20" t="n">
        <v>434</v>
      </c>
      <c r="J117" s="20" t="n">
        <v>504</v>
      </c>
      <c r="K117" s="20" t="n">
        <v>462</v>
      </c>
      <c r="L117" s="20" t="n">
        <v>471</v>
      </c>
    </row>
    <row r="118">
      <c r="A118" s="18" t="inlineStr">
        <is>
          <t>미지급금</t>
        </is>
      </c>
      <c r="C118" s="20" t="n">
        <v>2760</v>
      </c>
      <c r="D118" s="20" t="n">
        <v>1931</v>
      </c>
      <c r="E118" s="20" t="n">
        <v>2224</v>
      </c>
      <c r="F118" s="20" t="n">
        <v>2246</v>
      </c>
      <c r="G118" s="20" t="n">
        <v>2323</v>
      </c>
      <c r="H118" s="20" t="n">
        <v>1573</v>
      </c>
      <c r="I118" s="20" t="n">
        <v>1774</v>
      </c>
      <c r="J118" s="20" t="n">
        <v>1801</v>
      </c>
      <c r="K118" s="20" t="n">
        <v>2690</v>
      </c>
      <c r="L118" s="20" t="n">
        <v>2246</v>
      </c>
    </row>
    <row r="119">
      <c r="A119" s="18" t="inlineStr">
        <is>
          <t>미지급법인세</t>
        </is>
      </c>
      <c r="C119" s="20" t="n">
        <v>140</v>
      </c>
      <c r="D119" s="20" t="n">
        <v>180</v>
      </c>
      <c r="E119" s="20" t="n">
        <v>135</v>
      </c>
      <c r="F119" s="20" t="n">
        <v>209</v>
      </c>
      <c r="G119" s="20" t="n">
        <v>176</v>
      </c>
      <c r="H119" s="20" t="n">
        <v>303</v>
      </c>
      <c r="I119" s="20" t="n">
        <v>347</v>
      </c>
      <c r="J119" s="20" t="n">
        <v>270</v>
      </c>
      <c r="K119" s="20" t="n">
        <v>198</v>
      </c>
      <c r="L119" s="20" t="n">
        <v>209</v>
      </c>
    </row>
    <row r="120">
      <c r="A120" s="18" t="inlineStr">
        <is>
          <t>상여충당금</t>
        </is>
      </c>
      <c r="C120" s="20" t="n">
        <v>414</v>
      </c>
      <c r="D120" s="20" t="n">
        <v>759</v>
      </c>
      <c r="E120" s="20" t="n">
        <v>548</v>
      </c>
      <c r="F120" s="20" t="n">
        <v>628</v>
      </c>
      <c r="G120" s="20" t="n">
        <v>387</v>
      </c>
      <c r="H120" s="20" t="n">
        <v>745</v>
      </c>
      <c r="I120" s="20" t="n">
        <v>596</v>
      </c>
      <c r="J120" s="20" t="n">
        <v>572</v>
      </c>
      <c r="K120" s="20" t="n">
        <v>581</v>
      </c>
      <c r="L120" s="20" t="n">
        <v>628</v>
      </c>
    </row>
    <row r="121">
      <c r="A121" s="18" t="inlineStr">
        <is>
          <t>임원 상여충당금</t>
        </is>
      </c>
      <c r="C121" s="20" t="n">
        <v>0</v>
      </c>
      <c r="D121" s="20" t="n">
        <v>0</v>
      </c>
      <c r="E121" s="20" t="n">
        <v>0</v>
      </c>
      <c r="F121" s="20" t="n">
        <v>18</v>
      </c>
      <c r="G121" s="20" t="n">
        <v>0</v>
      </c>
      <c r="H121" s="20" t="n">
        <v>30</v>
      </c>
      <c r="I121" s="20" t="n">
        <v>26</v>
      </c>
      <c r="J121" s="20" t="n">
        <v>1</v>
      </c>
      <c r="K121" s="20" t="n">
        <v>3</v>
      </c>
      <c r="L121" s="20" t="n">
        <v>18</v>
      </c>
    </row>
    <row r="122">
      <c r="A122" s="18" t="inlineStr">
        <is>
          <t>Valuation Reserve For Inventory Purchase Commitments CL</t>
        </is>
      </c>
      <c r="C122" s="20" t="n">
        <v>6</v>
      </c>
      <c r="D122" s="20" t="n">
        <v>6</v>
      </c>
      <c r="E122" s="20" t="n">
        <v>0</v>
      </c>
      <c r="F122" s="20" t="n">
        <v>0</v>
      </c>
      <c r="I122" s="20" t="n">
        <v>0</v>
      </c>
      <c r="J122" s="20" t="n">
        <v>107</v>
      </c>
      <c r="K122" s="20" t="n">
        <v>6</v>
      </c>
      <c r="L122" s="20" t="n">
        <v>0</v>
      </c>
    </row>
    <row r="123">
      <c r="A123" s="18" t="inlineStr">
        <is>
          <t>기타</t>
        </is>
      </c>
      <c r="C123" s="20" t="n">
        <v>2108</v>
      </c>
      <c r="D123" s="20" t="n">
        <v>1990</v>
      </c>
      <c r="E123" s="20" t="n">
        <v>2118</v>
      </c>
      <c r="F123" s="20" t="n">
        <v>1967</v>
      </c>
      <c r="G123" s="20" t="n">
        <v>2102</v>
      </c>
      <c r="H123" s="20" t="n">
        <v>1648</v>
      </c>
      <c r="I123" s="20" t="n">
        <v>1645</v>
      </c>
      <c r="J123" s="20" t="n">
        <v>1571</v>
      </c>
      <c r="K123" s="20" t="n">
        <v>1452</v>
      </c>
      <c r="L123" s="20" t="n">
        <v>1967</v>
      </c>
    </row>
    <row r="124">
      <c r="A124" s="9" t="inlineStr">
        <is>
          <t>유동부채 합계</t>
        </is>
      </c>
      <c r="C124" s="12" t="n">
        <v>17594</v>
      </c>
      <c r="D124" s="12" t="n">
        <v>16565</v>
      </c>
      <c r="E124" s="12" t="n">
        <v>15591</v>
      </c>
      <c r="F124" s="12" t="n">
        <v>14417</v>
      </c>
      <c r="G124" s="12" t="n">
        <v>16410</v>
      </c>
      <c r="H124" s="12" t="n">
        <v>15178</v>
      </c>
      <c r="I124" s="12" t="n">
        <v>16193</v>
      </c>
      <c r="J124" s="12" t="n">
        <v>15371</v>
      </c>
      <c r="K124" s="12" t="n">
        <v>16647</v>
      </c>
      <c r="L124" s="12" t="n">
        <v>14417</v>
      </c>
    </row>
    <row r="125">
      <c r="A125" s="18" t="inlineStr">
        <is>
          <t>장기차입금</t>
        </is>
      </c>
      <c r="C125" s="20" t="n">
        <v>6942</v>
      </c>
      <c r="D125" s="20" t="n">
        <v>6511</v>
      </c>
      <c r="E125" s="20" t="n">
        <v>7672</v>
      </c>
      <c r="F125" s="20" t="n">
        <v>7141</v>
      </c>
      <c r="G125" s="20" t="n">
        <v>6832</v>
      </c>
      <c r="H125" s="20" t="n">
        <v>6214</v>
      </c>
      <c r="I125" s="20" t="n">
        <v>4863</v>
      </c>
      <c r="J125" s="20" t="n">
        <v>7022</v>
      </c>
      <c r="K125" s="20" t="n">
        <v>7282</v>
      </c>
      <c r="L125" s="20" t="n">
        <v>7141</v>
      </c>
    </row>
    <row r="126">
      <c r="A126" s="18" t="inlineStr">
        <is>
          <t>리스부채</t>
        </is>
      </c>
      <c r="F126" s="20" t="n">
        <v>460</v>
      </c>
      <c r="H126" s="20" t="n">
        <v>920</v>
      </c>
      <c r="I126" s="20" t="n">
        <v>1028</v>
      </c>
      <c r="J126" s="20" t="n">
        <v>997</v>
      </c>
      <c r="K126" s="20" t="n">
        <v>830</v>
      </c>
      <c r="L126" s="20" t="n">
        <v>460</v>
      </c>
    </row>
    <row r="127">
      <c r="A127" s="18" t="inlineStr">
        <is>
          <t>이연법인세부채</t>
        </is>
      </c>
      <c r="F127" s="20" t="n">
        <v>3347</v>
      </c>
      <c r="H127" s="20" t="n">
        <v>961</v>
      </c>
      <c r="I127" s="20" t="n">
        <v>1220</v>
      </c>
      <c r="J127" s="20" t="n">
        <v>2005</v>
      </c>
      <c r="K127" s="20" t="n">
        <v>2575</v>
      </c>
      <c r="L127" s="20" t="n">
        <v>3347</v>
      </c>
    </row>
    <row r="128">
      <c r="A128" s="18" t="inlineStr">
        <is>
          <t>임원 퇴직위로 충당금</t>
        </is>
      </c>
      <c r="C128" s="20" t="n">
        <v>128</v>
      </c>
      <c r="D128" s="20" t="n">
        <v>120</v>
      </c>
      <c r="E128" s="20" t="n">
        <v>123</v>
      </c>
      <c r="F128" s="20" t="n">
        <v>133</v>
      </c>
      <c r="G128" s="20" t="n">
        <v>134</v>
      </c>
      <c r="H128" s="20" t="n">
        <v>173</v>
      </c>
      <c r="I128" s="20" t="n">
        <v>131</v>
      </c>
      <c r="J128" s="20" t="n">
        <v>132</v>
      </c>
      <c r="K128" s="20" t="n">
        <v>124</v>
      </c>
      <c r="L128" s="20" t="n">
        <v>133</v>
      </c>
    </row>
    <row r="129">
      <c r="A129" s="18" t="inlineStr">
        <is>
          <t>퇴직급여부채</t>
        </is>
      </c>
      <c r="C129" s="20" t="n">
        <v>266</v>
      </c>
      <c r="D129" s="20" t="n">
        <v>283</v>
      </c>
      <c r="E129" s="20" t="n">
        <v>290</v>
      </c>
      <c r="F129" s="20" t="n">
        <v>362</v>
      </c>
      <c r="G129" s="20" t="n">
        <v>357</v>
      </c>
      <c r="H129" s="20" t="n">
        <v>39</v>
      </c>
      <c r="I129" s="20" t="n">
        <v>24</v>
      </c>
      <c r="J129" s="20" t="n">
        <v>37</v>
      </c>
      <c r="K129" s="20" t="n">
        <v>297</v>
      </c>
      <c r="L129" s="20" t="n">
        <v>362</v>
      </c>
    </row>
    <row r="130">
      <c r="A130" s="18" t="inlineStr">
        <is>
          <t>임원 주식급여 충당금</t>
        </is>
      </c>
      <c r="C130" s="20" t="n">
        <v>32</v>
      </c>
      <c r="D130" s="20" t="n">
        <v>34</v>
      </c>
      <c r="E130" s="20" t="n">
        <v>41</v>
      </c>
      <c r="F130" s="20" t="n">
        <v>49</v>
      </c>
      <c r="G130" s="20" t="n">
        <v>55</v>
      </c>
      <c r="H130" s="20" t="n">
        <v>27</v>
      </c>
      <c r="I130" s="20" t="n">
        <v>29</v>
      </c>
      <c r="J130" s="20" t="n">
        <v>27</v>
      </c>
      <c r="K130" s="20" t="n">
        <v>24</v>
      </c>
      <c r="L130" s="20" t="n">
        <v>49</v>
      </c>
    </row>
    <row r="131">
      <c r="A131" s="18" t="inlineStr">
        <is>
          <t>기타</t>
        </is>
      </c>
      <c r="C131" s="20" t="n">
        <v>3863</v>
      </c>
      <c r="D131" s="20" t="n">
        <v>3693</v>
      </c>
      <c r="E131" s="20" t="n">
        <v>3782</v>
      </c>
      <c r="F131" s="20" t="n">
        <v>4365</v>
      </c>
      <c r="G131" s="20" t="n">
        <v>4365</v>
      </c>
      <c r="H131" s="20" t="n">
        <v>634</v>
      </c>
      <c r="I131" s="20" t="n">
        <v>598</v>
      </c>
      <c r="J131" s="20" t="n">
        <v>705</v>
      </c>
      <c r="K131" s="20" t="n">
        <v>679</v>
      </c>
      <c r="L131" s="20" t="n">
        <v>4365</v>
      </c>
    </row>
    <row r="132">
      <c r="A132" s="9" t="inlineStr">
        <is>
          <t>비유동부채 합계</t>
        </is>
      </c>
      <c r="C132" s="12" t="n">
        <v>11234</v>
      </c>
      <c r="D132" s="12" t="n">
        <v>10643</v>
      </c>
      <c r="E132" s="12" t="n">
        <v>11911</v>
      </c>
      <c r="F132" s="12" t="n">
        <v>12051</v>
      </c>
      <c r="G132" s="12" t="n">
        <v>11745</v>
      </c>
      <c r="H132" s="12" t="n">
        <v>8972</v>
      </c>
      <c r="I132" s="12" t="n">
        <v>7897</v>
      </c>
      <c r="J132" s="12" t="n">
        <v>10929</v>
      </c>
      <c r="K132" s="12" t="n">
        <v>11815</v>
      </c>
      <c r="L132" s="12" t="n">
        <v>12051</v>
      </c>
    </row>
    <row r="133">
      <c r="A133" s="9" t="inlineStr">
        <is>
          <t>부채 합계</t>
        </is>
      </c>
      <c r="C133" s="12" t="n">
        <v>28829</v>
      </c>
      <c r="D133" s="12" t="n">
        <v>27209</v>
      </c>
      <c r="E133" s="12" t="n">
        <v>27502</v>
      </c>
      <c r="F133" s="12" t="n">
        <v>26468</v>
      </c>
      <c r="G133" s="12" t="n">
        <v>28156</v>
      </c>
      <c r="H133" s="12" t="n">
        <v>24150</v>
      </c>
      <c r="I133" s="12" t="n">
        <v>24090</v>
      </c>
      <c r="J133" s="12" t="n">
        <v>26300</v>
      </c>
      <c r="K133" s="12" t="n">
        <v>28462</v>
      </c>
      <c r="L133" s="12" t="n">
        <v>26468</v>
      </c>
    </row>
    <row r="134">
      <c r="A134" s="18" t="inlineStr">
        <is>
          <t>자본금</t>
        </is>
      </c>
      <c r="C134" s="20" t="n">
        <v>7996</v>
      </c>
      <c r="D134" s="20" t="n">
        <v>7996</v>
      </c>
      <c r="E134" s="20" t="n">
        <v>7996</v>
      </c>
      <c r="F134" s="20" t="n">
        <v>7996</v>
      </c>
      <c r="G134" s="20" t="n">
        <v>7996</v>
      </c>
      <c r="H134" s="20" t="n">
        <v>7996</v>
      </c>
      <c r="I134" s="20" t="n">
        <v>7996</v>
      </c>
      <c r="J134" s="20" t="n">
        <v>7996</v>
      </c>
      <c r="K134" s="20" t="n">
        <v>7996</v>
      </c>
      <c r="L134" s="20" t="n">
        <v>7996</v>
      </c>
    </row>
    <row r="135">
      <c r="A135" s="18" t="inlineStr">
        <is>
          <t>자본잉여금</t>
        </is>
      </c>
      <c r="C135" s="20" t="n">
        <v>12057</v>
      </c>
      <c r="D135" s="20" t="n">
        <v>12057</v>
      </c>
      <c r="E135" s="20" t="n">
        <v>12057</v>
      </c>
      <c r="F135" s="20" t="n">
        <v>12057</v>
      </c>
      <c r="G135" s="20" t="n">
        <v>12057</v>
      </c>
      <c r="H135" s="20" t="n">
        <v>12057</v>
      </c>
      <c r="I135" s="20" t="n">
        <v>12057</v>
      </c>
      <c r="J135" s="20" t="n">
        <v>12057</v>
      </c>
      <c r="K135" s="20" t="n">
        <v>12057</v>
      </c>
      <c r="L135" s="20" t="n">
        <v>12057</v>
      </c>
    </row>
    <row r="136">
      <c r="A136" s="18" t="inlineStr">
        <is>
          <t>이익잉여금</t>
        </is>
      </c>
      <c r="C136" s="20" t="n">
        <v>9504</v>
      </c>
      <c r="D136" s="20" t="n">
        <v>9963</v>
      </c>
      <c r="E136" s="20" t="n">
        <v>10577</v>
      </c>
      <c r="F136" s="20" t="n">
        <v>9894</v>
      </c>
      <c r="G136" s="20" t="n">
        <v>9731</v>
      </c>
      <c r="H136" s="20" t="n">
        <v>15925</v>
      </c>
      <c r="I136" s="20" t="n">
        <v>14730</v>
      </c>
      <c r="J136" s="20" t="n">
        <v>13253</v>
      </c>
      <c r="K136" s="20" t="n">
        <v>10731</v>
      </c>
      <c r="L136" s="20" t="n">
        <v>9894</v>
      </c>
    </row>
    <row r="137">
      <c r="A137" s="18" t="inlineStr">
        <is>
          <t>자기주식</t>
        </is>
      </c>
      <c r="C137" s="20" t="n">
        <v>-3032</v>
      </c>
      <c r="D137" s="20" t="n">
        <v>-3028</v>
      </c>
      <c r="E137" s="20" t="n">
        <v>-3029</v>
      </c>
      <c r="F137" s="20" t="n">
        <v>-3030</v>
      </c>
      <c r="G137" s="20" t="n">
        <v>-3030</v>
      </c>
      <c r="H137" s="20" t="n">
        <v>-4876</v>
      </c>
      <c r="I137" s="20" t="n">
        <v>-2531</v>
      </c>
      <c r="J137" s="20" t="n">
        <v>-3030</v>
      </c>
      <c r="K137" s="20" t="n">
        <v>-3032</v>
      </c>
      <c r="L137" s="20" t="n">
        <v>-3030</v>
      </c>
    </row>
    <row r="138">
      <c r="A138" s="9" t="inlineStr">
        <is>
          <t>주주자본 합계</t>
        </is>
      </c>
      <c r="C138" s="12" t="n">
        <v>26525</v>
      </c>
      <c r="D138" s="12" t="n">
        <v>26988</v>
      </c>
      <c r="E138" s="12" t="n">
        <v>27601</v>
      </c>
      <c r="F138" s="12" t="n">
        <v>26918</v>
      </c>
      <c r="G138" s="12" t="n">
        <v>26754</v>
      </c>
      <c r="H138" s="12" t="n">
        <v>31102</v>
      </c>
      <c r="I138" s="12" t="n">
        <v>32252</v>
      </c>
      <c r="J138" s="12" t="n">
        <v>30276</v>
      </c>
      <c r="K138" s="12" t="n">
        <v>27752</v>
      </c>
      <c r="L138" s="12" t="n">
        <v>26918</v>
      </c>
    </row>
    <row r="139">
      <c r="A139" s="18" t="inlineStr">
        <is>
          <t>기타유가증권 평가차액</t>
        </is>
      </c>
      <c r="C139" s="20" t="n">
        <v>1018</v>
      </c>
      <c r="D139" s="20" t="n">
        <v>1295</v>
      </c>
      <c r="E139" s="20" t="n">
        <v>1445</v>
      </c>
      <c r="F139" s="20" t="n">
        <v>1545</v>
      </c>
      <c r="G139" s="20" t="n">
        <v>1638</v>
      </c>
      <c r="H139" s="20" t="n">
        <v>425</v>
      </c>
      <c r="I139" s="20" t="n">
        <v>773</v>
      </c>
      <c r="J139" s="20" t="n">
        <v>1159</v>
      </c>
      <c r="K139" s="20" t="n">
        <v>969</v>
      </c>
      <c r="L139" s="20" t="n">
        <v>1545</v>
      </c>
    </row>
    <row r="140">
      <c r="A140" s="18" t="inlineStr">
        <is>
          <t>이연헤지손익</t>
        </is>
      </c>
      <c r="C140" s="20" t="n">
        <v>9</v>
      </c>
      <c r="D140" s="20" t="n">
        <v>38</v>
      </c>
      <c r="E140" s="20" t="n">
        <v>69</v>
      </c>
      <c r="F140" s="20" t="n">
        <v>96</v>
      </c>
      <c r="G140" s="20" t="n">
        <v>100</v>
      </c>
      <c r="H140" s="20" t="n">
        <v>-2</v>
      </c>
      <c r="I140" s="20" t="n">
        <v>0</v>
      </c>
      <c r="J140" s="20" t="n">
        <v>-70</v>
      </c>
      <c r="K140" s="20" t="n">
        <v>16</v>
      </c>
      <c r="L140" s="20" t="n">
        <v>96</v>
      </c>
    </row>
    <row r="141">
      <c r="A141" s="18" t="inlineStr">
        <is>
          <t>해외사업환산조정</t>
        </is>
      </c>
      <c r="C141" s="20" t="n">
        <v>-777</v>
      </c>
      <c r="D141" s="20" t="n">
        <v>-376</v>
      </c>
      <c r="E141" s="20" t="n">
        <v>378</v>
      </c>
      <c r="F141" s="20" t="n">
        <v>643</v>
      </c>
      <c r="G141" s="20" t="n">
        <v>977</v>
      </c>
      <c r="H141" s="20" t="n">
        <v>-1404</v>
      </c>
      <c r="I141" s="20" t="n">
        <v>-1149</v>
      </c>
      <c r="J141" s="20" t="n">
        <v>-497</v>
      </c>
      <c r="K141" s="20" t="n">
        <v>-812</v>
      </c>
      <c r="L141" s="20" t="n">
        <v>643</v>
      </c>
    </row>
    <row r="142">
      <c r="A142" s="18" t="inlineStr">
        <is>
          <t>퇴직급여 조정누계액</t>
        </is>
      </c>
      <c r="C142" s="20" t="n">
        <v>1190</v>
      </c>
      <c r="D142" s="20" t="n">
        <v>1088</v>
      </c>
      <c r="E142" s="20" t="n">
        <v>985</v>
      </c>
      <c r="F142" s="20" t="n">
        <v>1952</v>
      </c>
      <c r="G142" s="20" t="n">
        <v>1827</v>
      </c>
      <c r="H142" s="20" t="n">
        <v>520</v>
      </c>
      <c r="I142" s="20" t="n">
        <v>397</v>
      </c>
      <c r="J142" s="20" t="n">
        <v>1274</v>
      </c>
      <c r="K142" s="20" t="n">
        <v>1296</v>
      </c>
      <c r="L142" s="20" t="n">
        <v>1952</v>
      </c>
    </row>
    <row r="143">
      <c r="A143" s="18" t="inlineStr">
        <is>
          <t>기타포괄손익누계액 합계</t>
        </is>
      </c>
      <c r="C143" s="20" t="n">
        <v>1440</v>
      </c>
      <c r="D143" s="20" t="n">
        <v>2044</v>
      </c>
      <c r="E143" s="20" t="n">
        <v>2879</v>
      </c>
      <c r="F143" s="20" t="n">
        <v>4238</v>
      </c>
      <c r="G143" s="20" t="n">
        <v>4543</v>
      </c>
      <c r="H143" s="20" t="n">
        <v>-459</v>
      </c>
      <c r="I143" s="20" t="n">
        <v>21</v>
      </c>
      <c r="J143" s="20" t="n">
        <v>1866</v>
      </c>
      <c r="K143" s="20" t="n">
        <v>1469</v>
      </c>
      <c r="L143" s="20" t="n">
        <v>4238</v>
      </c>
    </row>
    <row r="144">
      <c r="A144" s="9" t="inlineStr">
        <is>
          <t>순자산 합계</t>
        </is>
      </c>
      <c r="C144" s="12" t="n">
        <v>27965</v>
      </c>
      <c r="D144" s="12" t="n">
        <v>29033</v>
      </c>
      <c r="E144" s="12" t="n">
        <v>30481</v>
      </c>
      <c r="F144" s="12" t="n">
        <v>31156</v>
      </c>
      <c r="G144" s="12" t="n">
        <v>31298</v>
      </c>
      <c r="H144" s="12" t="n">
        <v>30643</v>
      </c>
      <c r="I144" s="12" t="n">
        <v>32274</v>
      </c>
      <c r="J144" s="12" t="n">
        <v>32143</v>
      </c>
      <c r="K144" s="12" t="n">
        <v>29221</v>
      </c>
      <c r="L144" s="12" t="n">
        <v>31156</v>
      </c>
    </row>
    <row r="145">
      <c r="A145" s="9" t="inlineStr">
        <is>
          <t>부채·순자산 합계</t>
        </is>
      </c>
      <c r="C145" s="12" t="n">
        <v>56795</v>
      </c>
      <c r="D145" s="12" t="n">
        <v>56243</v>
      </c>
      <c r="E145" s="12" t="n">
        <v>57983</v>
      </c>
      <c r="F145" s="12" t="n">
        <v>57625</v>
      </c>
      <c r="G145" s="12" t="n">
        <v>59454</v>
      </c>
      <c r="H145" s="12" t="n">
        <v>54794</v>
      </c>
      <c r="I145" s="12" t="n">
        <v>56365</v>
      </c>
      <c r="J145" s="12" t="n">
        <v>58444</v>
      </c>
      <c r="K145" s="12" t="n">
        <v>57684</v>
      </c>
      <c r="L145" s="12" t="n">
        <v>57625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2026-07-28</t>
        </is>
      </c>
      <c r="B4" t="inlineStr">
        <is>
          <t>2027년 3월 결산기 １분기 결산단신</t>
        </is>
      </c>
      <c r="C4" t="inlineStr">
        <is>
          <t>https://www2.jpx.co.jp/disc/67980/140120260724599534.pdf</t>
        </is>
      </c>
    </row>
    <row r="5">
      <c r="A5" t="inlineStr">
        <is>
          <t>2026-05-12</t>
        </is>
      </c>
      <c r="B5" t="inlineStr">
        <is>
          <t>2026년 3월 결산기 연간 결산단신</t>
        </is>
      </c>
      <c r="C5" t="inlineStr">
        <is>
          <t>https://www2.jpx.co.jp/disc/67980/140120260501516915.pdf</t>
        </is>
      </c>
    </row>
    <row r="6">
      <c r="A6" t="inlineStr">
        <is>
          <t>2026-01-27</t>
        </is>
      </c>
      <c r="B6" t="inlineStr">
        <is>
          <t>2026년 3월 결산기 ３분기 결산단신</t>
        </is>
      </c>
      <c r="C6" t="inlineStr">
        <is>
          <t>https://www2.jpx.co.jp/disc/67980/140120260126538375.pdf</t>
        </is>
      </c>
    </row>
    <row r="7">
      <c r="A7" t="inlineStr">
        <is>
          <t>2025-10-28</t>
        </is>
      </c>
      <c r="B7" t="inlineStr">
        <is>
          <t>2026년 3월 결산기 ２분기 결산단신</t>
        </is>
      </c>
      <c r="C7" t="inlineStr">
        <is>
          <t>https://www2.jpx.co.jp/disc/67980/140120251027579121.pdf</t>
        </is>
      </c>
    </row>
    <row r="8">
      <c r="A8" t="inlineStr">
        <is>
          <t>2025-07-29</t>
        </is>
      </c>
      <c r="B8" t="inlineStr">
        <is>
          <t>2026년 3월 결산기 １분기 결산단신</t>
        </is>
      </c>
      <c r="C8" t="inlineStr">
        <is>
          <t>https://www2.jpx.co.jp/disc/67980/140120250728521184.pdf</t>
        </is>
      </c>
    </row>
    <row r="9">
      <c r="A9" t="inlineStr">
        <is>
          <t>2025-05-08</t>
        </is>
      </c>
      <c r="B9" t="inlineStr">
        <is>
          <t>2025년 3월 결산기 연간 결산단신</t>
        </is>
      </c>
      <c r="C9" t="inlineStr">
        <is>
          <t>https://www2.jpx.co.jp/disc/67980/140120250507533106.pdf</t>
        </is>
      </c>
    </row>
    <row r="10">
      <c r="A10" t="inlineStr">
        <is>
          <t>2025-01-28</t>
        </is>
      </c>
      <c r="B10" t="inlineStr">
        <is>
          <t>2025년 3월 결산기 ３분기 결산단신</t>
        </is>
      </c>
      <c r="C10" t="inlineStr">
        <is>
          <t>https://www2.jpx.co.jp/disc/67980/140120250127555819.pdf</t>
        </is>
      </c>
    </row>
    <row r="11">
      <c r="A11" t="inlineStr">
        <is>
          <t>2024-10-29</t>
        </is>
      </c>
      <c r="B11" t="inlineStr">
        <is>
          <t>2025년 3월 결산기 ２분기 결산단신</t>
        </is>
      </c>
      <c r="C11" t="inlineStr">
        <is>
          <t>https://www2.jpx.co.jp/disc/67980/140120241028503882.pdf</t>
        </is>
      </c>
    </row>
    <row r="12">
      <c r="A12" t="inlineStr">
        <is>
          <t>2024-07-31</t>
        </is>
      </c>
      <c r="B12" t="inlineStr">
        <is>
          <t>2025년 3월 결산기 １분기 결산단신</t>
        </is>
      </c>
      <c r="C12" t="inlineStr">
        <is>
          <t>https://www2.jpx.co.jp/disc/67980/140120240730557892.pdf</t>
        </is>
      </c>
    </row>
    <row r="13">
      <c r="A13" t="inlineStr">
        <is>
          <t>2024-05-09</t>
        </is>
      </c>
      <c r="B13" t="inlineStr">
        <is>
          <t>2024년 3월 결산기 연간 결산단신</t>
        </is>
      </c>
      <c r="C13" t="inlineStr">
        <is>
          <t>https://www2.jpx.co.jp/disc/67980/140120240508585179.pdf</t>
        </is>
      </c>
    </row>
    <row r="14">
      <c r="A14" t="inlineStr">
        <is>
          <t>2024-01-30</t>
        </is>
      </c>
      <c r="B14" t="inlineStr">
        <is>
          <t>2024년 3월 결산기 ３분기 결산단신</t>
        </is>
      </c>
      <c r="C14" t="inlineStr">
        <is>
          <t>https://www2.jpx.co.jp/disc/67980/140120240129521032.pdf</t>
        </is>
      </c>
    </row>
    <row r="15">
      <c r="A15" t="inlineStr">
        <is>
          <t>2023-10-25</t>
        </is>
      </c>
      <c r="B15" t="inlineStr">
        <is>
          <t>2024년 3월 결산기 ２분기 결산단신</t>
        </is>
      </c>
      <c r="C15" t="inlineStr">
        <is>
          <t>https://www2.jpx.co.jp/disc/67980/140120231024570459.pdf</t>
        </is>
      </c>
    </row>
    <row r="16">
      <c r="A16" t="inlineStr">
        <is>
          <t>2023-07-26</t>
        </is>
      </c>
      <c r="B16" t="inlineStr">
        <is>
          <t>2024년 3월 결산기 １분기 결산단신</t>
        </is>
      </c>
      <c r="C16" t="inlineStr">
        <is>
          <t>https://www2.jpx.co.jp/disc/67980/140120230725526294.pdf</t>
        </is>
      </c>
    </row>
    <row r="17">
      <c r="A17" t="inlineStr">
        <is>
          <t>2023-04-28</t>
        </is>
      </c>
      <c r="B17" t="inlineStr">
        <is>
          <t>2023년 3월 결산기 연간 결산단신</t>
        </is>
      </c>
      <c r="C17" t="inlineStr">
        <is>
          <t>https://www2.jpx.co.jp/disc/67980/140120230427555060.pdf</t>
        </is>
      </c>
    </row>
    <row r="18">
      <c r="A18" t="inlineStr">
        <is>
          <t>2023-01-27</t>
        </is>
      </c>
      <c r="B18" t="inlineStr">
        <is>
          <t>2023년 3월 결산기 ３분기 결산단신</t>
        </is>
      </c>
      <c r="C18" t="inlineStr">
        <is>
          <t>https://www2.jpx.co.jp/disc/67980/140120230126594382.pdf</t>
        </is>
      </c>
    </row>
    <row r="19">
      <c r="A19" t="inlineStr">
        <is>
          <t>2022-10-25</t>
        </is>
      </c>
      <c r="B19" t="inlineStr">
        <is>
          <t>2023년 3월 결산기 ２분기 결산단신</t>
        </is>
      </c>
      <c r="C19" t="inlineStr">
        <is>
          <t>https://www2.jpx.co.jp/disc/67980/140120221020547165.pdf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https://www2.jpx.co.jp/disc/67980/140120220428530734.pdf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https://www2.jpx.co.jp/disc/67980/140120210427400733.pdf</t>
        </is>
      </c>
    </row>
    <row r="22">
      <c r="A22" t="inlineStr">
        <is>
          <t>2020-05-15</t>
        </is>
      </c>
      <c r="B22" t="inlineStr">
        <is>
          <t>2020년 3월 결산기 연간 결산단신</t>
        </is>
      </c>
      <c r="C22" t="inlineStr">
        <is>
          <t>https://www2.jpx.co.jp/disc/67980/140120200514415148.pdf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https://www2.jpx.co.jp/disc/67980/140120190326495578.pdf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https://www2.jpx.co.jp/disc/67980/140120180327498601.pdf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2026-10-28T06:58:48Z</dcterms:created>
  <dcterms:modified xmlns:dcterms="http://purl.org/dc/terms/" xmlns:xsi="http://www.w3.org/2001/XMLSchema-instance" xsi:type="dcterms:W3CDTF">2026-10-28T06:58:48Z</dcterms:modified>
</cp:coreProperties>
</file>