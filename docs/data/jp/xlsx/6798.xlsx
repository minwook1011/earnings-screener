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28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47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6798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11168</v>
      </c>
      <c r="D4" s="12" t="n">
        <v>12279</v>
      </c>
      <c r="E4" s="12" t="n">
        <v>11726</v>
      </c>
      <c r="F4" s="12" t="n">
        <v>11888</v>
      </c>
      <c r="G4" s="12" t="n">
        <v>11016</v>
      </c>
      <c r="H4" s="12" t="n">
        <v>13421</v>
      </c>
      <c r="I4" s="12" t="n">
        <v>11029</v>
      </c>
      <c r="J4" s="12" t="n">
        <v>12123</v>
      </c>
      <c r="K4" s="12" t="n">
        <v>12035</v>
      </c>
      <c r="L4" s="12" t="n">
        <v>13017</v>
      </c>
      <c r="M4" s="12" t="n">
        <v>11472</v>
      </c>
      <c r="N4" s="12" t="n">
        <v>13321</v>
      </c>
      <c r="O4" s="11" t="n">
        <v>62971</v>
      </c>
      <c r="P4" s="12" t="n">
        <v>59786</v>
      </c>
      <c r="Q4" s="12" t="n">
        <v>57386</v>
      </c>
      <c r="R4" s="12" t="n">
        <v>54161</v>
      </c>
      <c r="S4" s="12" t="n">
        <v>48560</v>
      </c>
      <c r="T4" s="12" t="n">
        <v>48243</v>
      </c>
      <c r="U4" s="12" t="n">
        <v>54842</v>
      </c>
      <c r="V4" s="12" t="n">
        <v>46522</v>
      </c>
      <c r="W4" s="12" t="n">
        <v>48051</v>
      </c>
      <c r="X4" s="12" t="n">
        <v>48204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CSReportableSegmentsMember</t>
        </is>
      </c>
      <c r="B7" s="10" t="n"/>
      <c r="C7" s="19" t="n">
        <v>5073</v>
      </c>
      <c r="D7" s="20" t="n">
        <v>5164</v>
      </c>
      <c r="E7" s="20" t="n">
        <v>5717</v>
      </c>
      <c r="F7" s="20" t="n">
        <v>5802</v>
      </c>
      <c r="G7" s="20" t="n">
        <v>5322</v>
      </c>
      <c r="H7" s="20" t="n">
        <v>5315</v>
      </c>
      <c r="I7" s="20" t="n">
        <v>5207</v>
      </c>
      <c r="J7" s="20" t="n">
        <v>5884</v>
      </c>
      <c r="K7" s="20" t="n">
        <v>5812</v>
      </c>
      <c r="L7" s="20" t="n">
        <v>5617</v>
      </c>
      <c r="M7" s="20" t="n">
        <v>5877</v>
      </c>
      <c r="N7" s="20" t="n">
        <v>6623</v>
      </c>
      <c r="O7" s="19" t="n"/>
      <c r="P7" s="20" t="n"/>
      <c r="Q7" s="20" t="n"/>
      <c r="R7" s="20" t="n"/>
      <c r="S7" s="20" t="n"/>
      <c r="T7" s="20" t="n"/>
      <c r="U7" s="20" t="n"/>
      <c r="V7" s="20" t="n">
        <v>20586</v>
      </c>
      <c r="W7" s="20" t="n">
        <v>22156</v>
      </c>
      <c r="X7" s="20" t="n">
        <v>22520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SCIReportableSegmentMember</t>
        </is>
      </c>
      <c r="B10" s="10" t="n"/>
      <c r="C10" s="19" t="n">
        <v>6027</v>
      </c>
      <c r="D10" s="20" t="n">
        <v>6999</v>
      </c>
      <c r="E10" s="20" t="n">
        <v>5944</v>
      </c>
      <c r="F10" s="20" t="n">
        <v>6038</v>
      </c>
      <c r="G10" s="20" t="n">
        <v>5642</v>
      </c>
      <c r="H10" s="20" t="n">
        <v>8019</v>
      </c>
      <c r="I10" s="20" t="n">
        <v>5801</v>
      </c>
      <c r="J10" s="20" t="n">
        <v>6238</v>
      </c>
      <c r="K10" s="20" t="n">
        <v>6222</v>
      </c>
      <c r="L10" s="20" t="n">
        <v>7360</v>
      </c>
      <c r="M10" s="20" t="n">
        <v>5592</v>
      </c>
      <c r="N10" s="20" t="n">
        <v>6685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25541</v>
      </c>
      <c r="W10" s="20" t="n">
        <v>25643</v>
      </c>
      <c r="X10" s="20" t="n">
        <v>25621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RDCenterReportableSegmentsMember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RandDCenterReportableSegmentsMember</t>
        </is>
      </c>
      <c r="B16" s="10" t="n"/>
      <c r="C16" s="19" t="n"/>
      <c r="D16" s="20" t="n"/>
      <c r="E16" s="20" t="n">
        <v>64</v>
      </c>
      <c r="F16" s="20" t="n">
        <v>49</v>
      </c>
      <c r="G16" s="20" t="n"/>
      <c r="H16" s="20" t="n"/>
      <c r="I16" s="20" t="n">
        <v>20</v>
      </c>
      <c r="J16" s="20" t="n">
        <v>1</v>
      </c>
      <c r="K16" s="20" t="n"/>
      <c r="L16" s="20" t="n"/>
      <c r="M16" s="20" t="n">
        <v>2</v>
      </c>
      <c r="N16" s="20" t="n">
        <v>13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394</v>
      </c>
      <c r="W16" s="20" t="n">
        <v>251</v>
      </c>
      <c r="X16" s="20" t="n">
        <v>62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0</v>
      </c>
      <c r="W19" s="20" t="n">
        <v>0</v>
      </c>
      <c r="X19" s="20" t="n">
        <v>0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>
        <v>11726</v>
      </c>
      <c r="F22" s="20" t="n"/>
      <c r="G22" s="20" t="n"/>
      <c r="H22" s="20" t="n"/>
      <c r="I22" s="20" t="n">
        <v>11029</v>
      </c>
      <c r="J22" s="20" t="n"/>
      <c r="K22" s="20" t="n"/>
      <c r="L22" s="20" t="n"/>
      <c r="M22" s="20" t="n">
        <v>11472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9326</v>
      </c>
      <c r="D26" s="20" t="n">
        <v>10767</v>
      </c>
      <c r="E26" s="20" t="n">
        <v>9477</v>
      </c>
      <c r="F26" s="20" t="n">
        <v>9478</v>
      </c>
      <c r="G26" s="20" t="n">
        <v>8759</v>
      </c>
      <c r="H26" s="20" t="n">
        <v>11086</v>
      </c>
      <c r="I26" s="20" t="n">
        <v>9095</v>
      </c>
      <c r="J26" s="20" t="n">
        <v>9686</v>
      </c>
      <c r="K26" s="20" t="n">
        <v>9208</v>
      </c>
      <c r="L26" s="20" t="n">
        <v>10804</v>
      </c>
      <c r="M26" s="20" t="n">
        <v>9193</v>
      </c>
      <c r="N26" s="20" t="n">
        <v>10632</v>
      </c>
      <c r="O26" s="19" t="n">
        <v>52211</v>
      </c>
      <c r="P26" s="20" t="n">
        <v>49429</v>
      </c>
      <c r="Q26" s="20" t="n">
        <v>49962</v>
      </c>
      <c r="R26" s="20" t="n">
        <v>46437</v>
      </c>
      <c r="S26" s="20" t="n">
        <v>40119</v>
      </c>
      <c r="T26" s="20" t="n">
        <v>40169</v>
      </c>
      <c r="U26" s="20" t="n">
        <v>45231</v>
      </c>
      <c r="V26" s="20" t="n">
        <v>39094</v>
      </c>
      <c r="W26" s="20" t="n">
        <v>38800</v>
      </c>
      <c r="X26" s="20" t="n">
        <v>38793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2220</v>
      </c>
      <c r="D32" s="20" t="n">
        <v>2200</v>
      </c>
      <c r="E32" s="20" t="n">
        <v>2312</v>
      </c>
      <c r="F32" s="20" t="n">
        <v>2238</v>
      </c>
      <c r="G32" s="20" t="n">
        <v>2441</v>
      </c>
      <c r="H32" s="20" t="n">
        <v>2479</v>
      </c>
      <c r="I32" s="20" t="n">
        <v>2214</v>
      </c>
      <c r="J32" s="20" t="n">
        <v>2274</v>
      </c>
      <c r="K32" s="20" t="n">
        <v>2237</v>
      </c>
      <c r="L32" s="20" t="n">
        <v>2255</v>
      </c>
      <c r="M32" s="20" t="n">
        <v>2271</v>
      </c>
      <c r="N32" s="20" t="n">
        <v>2299</v>
      </c>
      <c r="O32" s="19" t="n">
        <v>10130</v>
      </c>
      <c r="P32" s="20" t="n">
        <v>9871</v>
      </c>
      <c r="Q32" s="20" t="n">
        <v>9258</v>
      </c>
      <c r="R32" s="20" t="n">
        <v>7968</v>
      </c>
      <c r="S32" s="20" t="n">
        <v>7370</v>
      </c>
      <c r="T32" s="20" t="n">
        <v>7369</v>
      </c>
      <c r="U32" s="20" t="n">
        <v>8483</v>
      </c>
      <c r="V32" s="20" t="n">
        <v>8671</v>
      </c>
      <c r="W32" s="20" t="n">
        <v>9470</v>
      </c>
      <c r="X32" s="20" t="n">
        <v>8980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-379</v>
      </c>
      <c r="D34" s="12" t="n">
        <v>-687</v>
      </c>
      <c r="E34" s="12" t="n">
        <v>-64</v>
      </c>
      <c r="F34" s="12" t="n">
        <v>172</v>
      </c>
      <c r="G34" s="12" t="n">
        <v>-183</v>
      </c>
      <c r="H34" s="12" t="n">
        <v>-145</v>
      </c>
      <c r="I34" s="12" t="n">
        <v>-280</v>
      </c>
      <c r="J34" s="12" t="n">
        <v>163</v>
      </c>
      <c r="K34" s="12" t="n">
        <v>589</v>
      </c>
      <c r="L34" s="12" t="n">
        <v>-42</v>
      </c>
      <c r="M34" s="12" t="n">
        <v>6</v>
      </c>
      <c r="N34" s="12" t="n">
        <v>391</v>
      </c>
      <c r="O34" s="11" t="n">
        <v>630</v>
      </c>
      <c r="P34" s="12" t="n">
        <v>485</v>
      </c>
      <c r="Q34" s="12" t="n">
        <v>-1834</v>
      </c>
      <c r="R34" s="12" t="n">
        <v>-244</v>
      </c>
      <c r="S34" s="12" t="n">
        <v>1070</v>
      </c>
      <c r="T34" s="12" t="n">
        <v>703</v>
      </c>
      <c r="U34" s="12" t="n">
        <v>1128</v>
      </c>
      <c r="V34" s="12" t="n">
        <v>-1243</v>
      </c>
      <c r="W34" s="12" t="n">
        <v>-220</v>
      </c>
      <c r="X34" s="12" t="n">
        <v>430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1</v>
      </c>
      <c r="D50" s="20" t="n">
        <v>275</v>
      </c>
      <c r="E50" s="20" t="n">
        <v>5</v>
      </c>
      <c r="F50" s="20" t="n">
        <v>0</v>
      </c>
      <c r="G50" s="20" t="n">
        <v>1</v>
      </c>
      <c r="H50" s="20" t="n">
        <v>1</v>
      </c>
      <c r="I50" s="20" t="n">
        <v>0</v>
      </c>
      <c r="J50" s="20" t="n">
        <v>7</v>
      </c>
      <c r="K50" s="20" t="n">
        <v>1</v>
      </c>
      <c r="L50" s="20" t="n">
        <v>6</v>
      </c>
      <c r="M50" s="20" t="n">
        <v>0</v>
      </c>
      <c r="N50" s="20" t="n">
        <v>176</v>
      </c>
      <c r="O50" s="19" t="n">
        <v>582</v>
      </c>
      <c r="P50" s="20" t="n">
        <v>2388</v>
      </c>
      <c r="Q50" s="20" t="n">
        <v>1516</v>
      </c>
      <c r="R50" s="20" t="n">
        <v>113</v>
      </c>
      <c r="S50" s="20" t="n">
        <v>21</v>
      </c>
      <c r="T50" s="20" t="n">
        <v>32</v>
      </c>
      <c r="U50" s="20" t="n">
        <v>21</v>
      </c>
      <c r="V50" s="20" t="n">
        <v>459</v>
      </c>
      <c r="W50" s="20" t="n">
        <v>7</v>
      </c>
      <c r="X50" s="20" t="n">
        <v>14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204</v>
      </c>
      <c r="D52" s="20" t="n">
        <v>498</v>
      </c>
      <c r="E52" s="20" t="n">
        <v>5</v>
      </c>
      <c r="F52" s="20" t="n">
        <v>83</v>
      </c>
      <c r="G52" s="20" t="n">
        <v>44</v>
      </c>
      <c r="H52" s="20" t="n">
        <v>1388</v>
      </c>
      <c r="I52" s="20" t="n">
        <v>0</v>
      </c>
      <c r="J52" s="20" t="n">
        <v>4</v>
      </c>
      <c r="K52" s="20" t="n">
        <v>43</v>
      </c>
      <c r="L52" s="20" t="n">
        <v>344</v>
      </c>
      <c r="M52" s="20" t="n">
        <v>20</v>
      </c>
      <c r="N52" s="20" t="n">
        <v>1</v>
      </c>
      <c r="O52" s="19" t="n">
        <v>740</v>
      </c>
      <c r="P52" s="20" t="n">
        <v>2176</v>
      </c>
      <c r="Q52" s="20" t="n">
        <v>505</v>
      </c>
      <c r="R52" s="20" t="n">
        <v>3093</v>
      </c>
      <c r="S52" s="20" t="n">
        <v>351</v>
      </c>
      <c r="T52" s="20" t="n">
        <v>191</v>
      </c>
      <c r="U52" s="20" t="n">
        <v>618</v>
      </c>
      <c r="V52" s="20" t="n">
        <v>739</v>
      </c>
      <c r="W52" s="20" t="n">
        <v>1520</v>
      </c>
      <c r="X52" s="20" t="n">
        <v>391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-487</v>
      </c>
      <c r="D54" s="20" t="n">
        <v>1203</v>
      </c>
      <c r="E54" s="20" t="n">
        <v>1214</v>
      </c>
      <c r="F54" s="20" t="n">
        <v>-368</v>
      </c>
      <c r="G54" s="20" t="n">
        <v>1018</v>
      </c>
      <c r="H54" s="20" t="n">
        <v>-199</v>
      </c>
      <c r="I54" s="20" t="n">
        <v>407</v>
      </c>
      <c r="J54" s="20" t="n">
        <v>380</v>
      </c>
      <c r="K54" s="20" t="n">
        <v>530</v>
      </c>
      <c r="L54" s="20" t="n">
        <v>417</v>
      </c>
      <c r="M54" s="20" t="n">
        <v>531</v>
      </c>
      <c r="N54" s="20" t="n">
        <v>413</v>
      </c>
      <c r="O54" s="19" t="n">
        <v>1692</v>
      </c>
      <c r="P54" s="20" t="n">
        <v>1571</v>
      </c>
      <c r="Q54" s="20" t="n">
        <v>1890</v>
      </c>
      <c r="R54" s="20" t="n">
        <v>1563</v>
      </c>
      <c r="S54" s="20" t="n">
        <v>2366</v>
      </c>
      <c r="T54" s="20" t="n">
        <v>3559</v>
      </c>
      <c r="U54" s="20" t="n">
        <v>2420</v>
      </c>
      <c r="V54" s="20" t="n">
        <v>2445</v>
      </c>
      <c r="W54" s="20" t="n">
        <v>1665</v>
      </c>
      <c r="X54" s="20" t="n">
        <v>1734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214</v>
      </c>
      <c r="D56" s="20" t="n">
        <v>328</v>
      </c>
      <c r="E56" s="20" t="n">
        <v>198</v>
      </c>
      <c r="F56" s="20" t="n">
        <v>682</v>
      </c>
      <c r="G56" s="20" t="n">
        <v>-272</v>
      </c>
      <c r="H56" s="20" t="n">
        <v>287</v>
      </c>
      <c r="I56" s="20" t="n">
        <v>745</v>
      </c>
      <c r="J56" s="20" t="n">
        <v>50</v>
      </c>
      <c r="K56" s="20" t="n">
        <v>-129</v>
      </c>
      <c r="L56" s="20" t="n">
        <v>255</v>
      </c>
      <c r="M56" s="20" t="n">
        <v>230</v>
      </c>
      <c r="N56" s="20" t="n">
        <v>550</v>
      </c>
      <c r="O56" s="19" t="n">
        <v>924</v>
      </c>
      <c r="P56" s="20" t="n">
        <v>1698</v>
      </c>
      <c r="Q56" s="20" t="n">
        <v>763</v>
      </c>
      <c r="R56" s="20" t="n">
        <v>1503</v>
      </c>
      <c r="S56" s="20" t="n">
        <v>834</v>
      </c>
      <c r="T56" s="20" t="n">
        <v>850</v>
      </c>
      <c r="U56" s="20" t="n">
        <v>1044</v>
      </c>
      <c r="V56" s="20" t="n">
        <v>975</v>
      </c>
      <c r="W56" s="20" t="n">
        <v>895</v>
      </c>
      <c r="X56" s="20" t="n">
        <v>921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-1282</v>
      </c>
      <c r="D58" s="12" t="n">
        <v>-35</v>
      </c>
      <c r="E58" s="12" t="n">
        <v>951</v>
      </c>
      <c r="F58" s="12" t="n">
        <v>-958</v>
      </c>
      <c r="G58" s="12" t="n">
        <v>1062</v>
      </c>
      <c r="H58" s="12" t="n">
        <v>-2018</v>
      </c>
      <c r="I58" s="12" t="n">
        <v>-619</v>
      </c>
      <c r="J58" s="12" t="n">
        <v>497</v>
      </c>
      <c r="K58" s="12" t="n">
        <v>1206</v>
      </c>
      <c r="L58" s="12" t="n">
        <v>-217</v>
      </c>
      <c r="M58" s="12" t="n">
        <v>286</v>
      </c>
      <c r="N58" s="12" t="n">
        <v>430</v>
      </c>
      <c r="O58" s="11" t="n">
        <v>1241</v>
      </c>
      <c r="P58" s="12" t="n">
        <v>570</v>
      </c>
      <c r="Q58" s="12" t="n">
        <v>303</v>
      </c>
      <c r="R58" s="12" t="n">
        <v>-3165</v>
      </c>
      <c r="S58" s="12" t="n">
        <v>2271</v>
      </c>
      <c r="T58" s="12" t="n">
        <v>3254</v>
      </c>
      <c r="U58" s="12" t="n">
        <v>1906</v>
      </c>
      <c r="V58" s="12" t="n">
        <v>-53</v>
      </c>
      <c r="W58" s="12" t="n">
        <v>-963</v>
      </c>
      <c r="X58" s="12" t="n">
        <v>867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43</v>
      </c>
      <c r="D60" s="20" t="n">
        <v>138</v>
      </c>
      <c r="E60" s="20" t="n">
        <v>150</v>
      </c>
      <c r="F60" s="20" t="n">
        <v>129</v>
      </c>
      <c r="G60" s="20" t="n">
        <v>95</v>
      </c>
      <c r="H60" s="20" t="n">
        <v>547</v>
      </c>
      <c r="I60" s="20" t="n">
        <v>32</v>
      </c>
      <c r="J60" s="20" t="n">
        <v>39</v>
      </c>
      <c r="K60" s="20" t="n">
        <v>274</v>
      </c>
      <c r="L60" s="20" t="n">
        <v>465</v>
      </c>
      <c r="M60" s="20" t="n">
        <v>132</v>
      </c>
      <c r="N60" s="20" t="n">
        <v>326</v>
      </c>
      <c r="O60" s="19" t="n">
        <v>476</v>
      </c>
      <c r="P60" s="20" t="n">
        <v>873</v>
      </c>
      <c r="Q60" s="20" t="n">
        <v>1138</v>
      </c>
      <c r="R60" s="20" t="n">
        <v>-227</v>
      </c>
      <c r="S60" s="20" t="n">
        <v>390</v>
      </c>
      <c r="T60" s="20" t="n">
        <v>262</v>
      </c>
      <c r="U60" s="20" t="n">
        <v>571</v>
      </c>
      <c r="V60" s="20" t="n">
        <v>435</v>
      </c>
      <c r="W60" s="20" t="n">
        <v>921</v>
      </c>
      <c r="X60" s="20" t="n">
        <v>810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-1326</v>
      </c>
      <c r="D62" s="12" t="n">
        <v>-173</v>
      </c>
      <c r="E62" s="12" t="n">
        <v>801</v>
      </c>
      <c r="F62" s="12" t="n">
        <v>-1088</v>
      </c>
      <c r="G62" s="12" t="n">
        <v>967</v>
      </c>
      <c r="H62" s="12" t="n">
        <v>-2564</v>
      </c>
      <c r="I62" s="12" t="n">
        <v>-651</v>
      </c>
      <c r="J62" s="12" t="n">
        <v>458</v>
      </c>
      <c r="K62" s="12" t="n">
        <v>931</v>
      </c>
      <c r="L62" s="12" t="n">
        <v>-682</v>
      </c>
      <c r="M62" s="12" t="n">
        <v>154</v>
      </c>
      <c r="N62" s="12" t="n">
        <v>103</v>
      </c>
      <c r="O62" s="11" t="n">
        <v>764</v>
      </c>
      <c r="P62" s="12" t="n">
        <v>-302</v>
      </c>
      <c r="Q62" s="12" t="n">
        <v>-834</v>
      </c>
      <c r="R62" s="12" t="n">
        <v>-2937</v>
      </c>
      <c r="S62" s="12" t="n">
        <v>1881</v>
      </c>
      <c r="T62" s="12" t="n">
        <v>2992</v>
      </c>
      <c r="U62" s="12" t="n">
        <v>1334</v>
      </c>
      <c r="V62" s="12" t="n">
        <v>-489</v>
      </c>
      <c r="W62" s="12" t="n">
        <v>-1884</v>
      </c>
      <c r="X62" s="12" t="n">
        <v>56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-1326</v>
      </c>
      <c r="D64" s="12" t="n">
        <v>-173</v>
      </c>
      <c r="E64" s="12" t="n">
        <v>801</v>
      </c>
      <c r="F64" s="12" t="n">
        <v>-1088</v>
      </c>
      <c r="G64" s="12" t="n">
        <v>967</v>
      </c>
      <c r="H64" s="12" t="n">
        <v>-2564</v>
      </c>
      <c r="I64" s="12" t="n">
        <v>-651</v>
      </c>
      <c r="J64" s="12" t="n">
        <v>458</v>
      </c>
      <c r="K64" s="12" t="n">
        <v>931</v>
      </c>
      <c r="L64" s="12" t="n">
        <v>-682</v>
      </c>
      <c r="M64" s="12" t="n">
        <v>154</v>
      </c>
      <c r="N64" s="12" t="n">
        <v>103</v>
      </c>
      <c r="O64" s="11" t="n">
        <v>1017</v>
      </c>
      <c r="P64" s="12" t="n">
        <v>-288</v>
      </c>
      <c r="Q64" s="12" t="n">
        <v>-834</v>
      </c>
      <c r="R64" s="12" t="n">
        <v>-2651</v>
      </c>
      <c r="S64" s="12" t="n">
        <v>1917</v>
      </c>
      <c r="T64" s="12" t="n">
        <v>2992</v>
      </c>
      <c r="U64" s="12" t="n">
        <v>1334</v>
      </c>
      <c r="V64" s="12" t="n">
        <v>-489</v>
      </c>
      <c r="W64" s="12" t="n">
        <v>-1884</v>
      </c>
      <c r="X64" s="12" t="n">
        <v>56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(2026.10.30)</t>
        </is>
      </c>
      <c r="B68" s="27" t="n">
        <v>3130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7200000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2026.10.30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2024.3Q</t>
        </is>
      </c>
      <c r="D98" s="5" t="inlineStr">
        <is>
          <t>2024.4Q</t>
        </is>
      </c>
      <c r="E98" s="5" t="inlineStr">
        <is>
          <t>2025.1Q</t>
        </is>
      </c>
      <c r="F98" s="5" t="inlineStr">
        <is>
          <t>2025.2Q</t>
        </is>
      </c>
      <c r="G98" s="5" t="inlineStr">
        <is>
          <t>2025.3Q</t>
        </is>
      </c>
      <c r="H98" s="5" t="inlineStr">
        <is>
          <t>2025.4Q</t>
        </is>
      </c>
      <c r="I98" s="5" t="inlineStr">
        <is>
          <t>2026.1Q</t>
        </is>
      </c>
      <c r="J98" s="5" t="inlineStr">
        <is>
          <t>2026.2Q</t>
        </is>
      </c>
      <c r="K98" s="5" t="inlineStr">
        <is>
          <t>2026.3Q</t>
        </is>
      </c>
      <c r="L98" s="5" t="inlineStr">
        <is>
          <t>2026.4Q</t>
        </is>
      </c>
      <c r="M98" s="5" t="inlineStr">
        <is>
          <t>2027.1Q</t>
        </is>
      </c>
      <c r="N98" s="5" t="inlineStr">
        <is>
          <t>2027.2Q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11168</v>
      </c>
      <c r="D99" s="12" t="n">
        <v>12279</v>
      </c>
      <c r="E99" s="12" t="n">
        <v>11726</v>
      </c>
      <c r="F99" s="12" t="n">
        <v>11888</v>
      </c>
      <c r="G99" s="12" t="n">
        <v>11016</v>
      </c>
      <c r="H99" s="12" t="n">
        <v>13421</v>
      </c>
      <c r="I99" s="12" t="n">
        <v>11029</v>
      </c>
      <c r="J99" s="12" t="n">
        <v>12123</v>
      </c>
      <c r="K99" s="12" t="n">
        <v>12035</v>
      </c>
      <c r="L99" s="12" t="n">
        <v>13017</v>
      </c>
      <c r="M99" s="12" t="n">
        <v>11472</v>
      </c>
      <c r="N99" s="12" t="n">
        <v>13321</v>
      </c>
      <c r="T99" s="12" t="n">
        <v>12642</v>
      </c>
      <c r="U99" s="12" t="n">
        <v>12743</v>
      </c>
      <c r="V99" s="12" t="n">
        <v>12279</v>
      </c>
      <c r="W99" s="12" t="n">
        <v>13421</v>
      </c>
      <c r="X99" s="12" t="n">
        <v>13017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9326</v>
      </c>
      <c r="D101" s="20" t="n">
        <v>10767</v>
      </c>
      <c r="E101" s="20" t="n">
        <v>9477</v>
      </c>
      <c r="F101" s="20" t="n">
        <v>9478</v>
      </c>
      <c r="G101" s="20" t="n">
        <v>8759</v>
      </c>
      <c r="H101" s="20" t="n">
        <v>11086</v>
      </c>
      <c r="I101" s="20" t="n">
        <v>9095</v>
      </c>
      <c r="J101" s="20" t="n">
        <v>9686</v>
      </c>
      <c r="K101" s="20" t="n">
        <v>9208</v>
      </c>
      <c r="L101" s="20" t="n">
        <v>10804</v>
      </c>
      <c r="M101" s="20" t="n">
        <v>9193</v>
      </c>
      <c r="N101" s="20" t="n">
        <v>10632</v>
      </c>
      <c r="T101" s="20" t="n">
        <v>10719</v>
      </c>
      <c r="U101" s="20" t="n">
        <v>10977</v>
      </c>
      <c r="V101" s="20" t="n">
        <v>10767</v>
      </c>
      <c r="W101" s="20" t="n">
        <v>11086</v>
      </c>
      <c r="X101" s="20" t="n">
        <v>10804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1841</v>
      </c>
      <c r="D103" s="12" t="n">
        <v>1512</v>
      </c>
      <c r="E103" s="12" t="n">
        <v>2248</v>
      </c>
      <c r="F103" s="12" t="n">
        <v>2410</v>
      </c>
      <c r="G103" s="12" t="n">
        <v>2257</v>
      </c>
      <c r="H103" s="12" t="n">
        <v>2335</v>
      </c>
      <c r="I103" s="12" t="n">
        <v>1933</v>
      </c>
      <c r="J103" s="12" t="n">
        <v>2438</v>
      </c>
      <c r="K103" s="12" t="n">
        <v>2827</v>
      </c>
      <c r="L103" s="12" t="n">
        <v>2212</v>
      </c>
      <c r="M103" s="12" t="n">
        <v>2278</v>
      </c>
      <c r="N103" s="12" t="n">
        <v>2690</v>
      </c>
      <c r="T103" s="12" t="n">
        <v>1922</v>
      </c>
      <c r="U103" s="12" t="n">
        <v>1767</v>
      </c>
      <c r="V103" s="12" t="n">
        <v>1512</v>
      </c>
      <c r="W103" s="12" t="n">
        <v>2335</v>
      </c>
      <c r="X103" s="12" t="n">
        <v>2212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2220</v>
      </c>
      <c r="D105" s="20" t="n">
        <v>2200</v>
      </c>
      <c r="E105" s="20" t="n">
        <v>2312</v>
      </c>
      <c r="F105" s="20" t="n">
        <v>2238</v>
      </c>
      <c r="G105" s="20" t="n">
        <v>2441</v>
      </c>
      <c r="H105" s="20" t="n">
        <v>2479</v>
      </c>
      <c r="I105" s="20" t="n">
        <v>2214</v>
      </c>
      <c r="J105" s="20" t="n">
        <v>2274</v>
      </c>
      <c r="K105" s="20" t="n">
        <v>2237</v>
      </c>
      <c r="L105" s="20" t="n">
        <v>2255</v>
      </c>
      <c r="M105" s="20" t="n">
        <v>2271</v>
      </c>
      <c r="N105" s="20" t="n">
        <v>2299</v>
      </c>
      <c r="T105" s="20" t="n">
        <v>1906</v>
      </c>
      <c r="U105" s="20" t="n">
        <v>2115</v>
      </c>
      <c r="V105" s="20" t="n">
        <v>2200</v>
      </c>
      <c r="W105" s="20" t="n">
        <v>2479</v>
      </c>
      <c r="X105" s="20" t="n">
        <v>2255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영업이익(손실)</t>
        </is>
      </c>
      <c r="C107" s="12" t="n">
        <v>-379</v>
      </c>
      <c r="D107" s="12" t="n">
        <v>-687</v>
      </c>
      <c r="E107" s="12" t="n">
        <v>-64</v>
      </c>
      <c r="F107" s="12" t="n">
        <v>172</v>
      </c>
      <c r="G107" s="12" t="n">
        <v>-183</v>
      </c>
      <c r="H107" s="12" t="n">
        <v>-145</v>
      </c>
      <c r="I107" s="12" t="n">
        <v>-280</v>
      </c>
      <c r="J107" s="12" t="n">
        <v>163</v>
      </c>
      <c r="K107" s="12" t="n">
        <v>589</v>
      </c>
      <c r="L107" s="12" t="n">
        <v>-42</v>
      </c>
      <c r="M107" s="12" t="n">
        <v>6</v>
      </c>
      <c r="N107" s="12" t="n">
        <v>391</v>
      </c>
      <c r="T107" s="12" t="n">
        <v>15</v>
      </c>
      <c r="U107" s="12" t="n">
        <v>-348</v>
      </c>
      <c r="V107" s="12" t="n">
        <v>-687</v>
      </c>
      <c r="W107" s="12" t="n">
        <v>-145</v>
      </c>
      <c r="X107" s="12" t="n">
        <v>-42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20</v>
      </c>
      <c r="D110" s="20" t="n">
        <v>35</v>
      </c>
      <c r="E110" s="20" t="n">
        <v>25</v>
      </c>
      <c r="F110" s="20" t="n">
        <v>64</v>
      </c>
      <c r="G110" s="20" t="n">
        <v>32</v>
      </c>
      <c r="H110" s="20" t="n">
        <v>51</v>
      </c>
      <c r="I110" s="20" t="n">
        <v>28</v>
      </c>
      <c r="J110" s="20" t="n">
        <v>45</v>
      </c>
      <c r="K110" s="20" t="n">
        <v>19</v>
      </c>
      <c r="L110" s="20" t="n">
        <v>56</v>
      </c>
      <c r="M110" s="20" t="n">
        <v>20</v>
      </c>
      <c r="N110" s="20" t="n">
        <v>45</v>
      </c>
      <c r="T110" s="20" t="n">
        <v>5</v>
      </c>
      <c r="U110" s="20" t="n">
        <v>23</v>
      </c>
      <c r="V110" s="20" t="n">
        <v>35</v>
      </c>
      <c r="W110" s="20" t="n">
        <v>51</v>
      </c>
      <c r="X110" s="20" t="n">
        <v>56</v>
      </c>
    </row>
    <row r="111">
      <c r="A111" s="18" t="inlineStr">
        <is>
          <t>배당금수익</t>
        </is>
      </c>
      <c r="C111" s="20" t="n">
        <v>31</v>
      </c>
      <c r="D111" s="20" t="n">
        <v>0</v>
      </c>
      <c r="E111" s="20" t="n">
        <v>24</v>
      </c>
      <c r="F111" s="20" t="n">
        <v>1</v>
      </c>
      <c r="G111" s="20" t="n">
        <v>23</v>
      </c>
      <c r="H111" s="20" t="n">
        <v>4</v>
      </c>
      <c r="I111" s="20" t="n">
        <v>28</v>
      </c>
      <c r="J111" s="20" t="n">
        <v>4</v>
      </c>
      <c r="K111" s="20" t="n">
        <v>26</v>
      </c>
      <c r="L111" s="20" t="n">
        <v>0</v>
      </c>
      <c r="M111" s="20" t="n">
        <v>32</v>
      </c>
      <c r="N111" s="20" t="n">
        <v>0</v>
      </c>
      <c r="T111" s="20" t="n">
        <v>0</v>
      </c>
      <c r="U111" s="20" t="n">
        <v>0</v>
      </c>
      <c r="V111" s="20" t="n">
        <v>0</v>
      </c>
      <c r="W111" s="20" t="n">
        <v>4</v>
      </c>
      <c r="X111" s="20" t="n">
        <v>0</v>
      </c>
    </row>
    <row r="112">
      <c r="A112" s="18" t="inlineStr">
        <is>
          <t>지분법이익</t>
        </is>
      </c>
      <c r="I112" s="20" t="n">
        <v>23</v>
      </c>
      <c r="M112" s="20" t="n">
        <v>111</v>
      </c>
    </row>
    <row r="113">
      <c r="A113" s="18" t="inlineStr">
        <is>
          <t>부동산 임대료</t>
        </is>
      </c>
      <c r="C113" s="20" t="n">
        <v>246</v>
      </c>
      <c r="D113" s="20" t="n">
        <v>254</v>
      </c>
      <c r="E113" s="20" t="n">
        <v>254</v>
      </c>
      <c r="F113" s="20" t="n">
        <v>256</v>
      </c>
      <c r="G113" s="20" t="n">
        <v>256</v>
      </c>
      <c r="H113" s="20" t="n">
        <v>257</v>
      </c>
      <c r="I113" s="20" t="n">
        <v>259</v>
      </c>
      <c r="J113" s="20" t="n">
        <v>259</v>
      </c>
      <c r="K113" s="20" t="n">
        <v>271</v>
      </c>
      <c r="L113" s="20" t="n">
        <v>271</v>
      </c>
      <c r="M113" s="20" t="n">
        <v>272</v>
      </c>
      <c r="N113" s="20" t="n">
        <v>275</v>
      </c>
      <c r="T113" s="20" t="n">
        <v>263</v>
      </c>
      <c r="U113" s="20" t="n">
        <v>245</v>
      </c>
      <c r="V113" s="20" t="n">
        <v>254</v>
      </c>
      <c r="W113" s="20" t="n">
        <v>257</v>
      </c>
      <c r="X113" s="20" t="n">
        <v>271</v>
      </c>
    </row>
    <row r="114">
      <c r="A114" s="18" t="inlineStr">
        <is>
          <t>외환차익</t>
        </is>
      </c>
      <c r="C114" s="20" t="n">
        <v>-759</v>
      </c>
      <c r="D114" s="20" t="n">
        <v>872</v>
      </c>
      <c r="E114" s="20" t="n">
        <v>887</v>
      </c>
      <c r="F114" s="20" t="n">
        <v>-887</v>
      </c>
      <c r="G114" s="20" t="n">
        <v>733</v>
      </c>
      <c r="H114" s="20" t="n">
        <v>-679</v>
      </c>
      <c r="I114" s="20" t="n">
        <v>0</v>
      </c>
      <c r="L114" s="20" t="n">
        <v>85</v>
      </c>
      <c r="M114" s="20" t="n">
        <v>25</v>
      </c>
      <c r="T114" s="20" t="n">
        <v>891</v>
      </c>
      <c r="U114" s="20" t="n">
        <v>-112</v>
      </c>
      <c r="V114" s="20" t="n">
        <v>872</v>
      </c>
      <c r="W114" s="20" t="n">
        <v>-679</v>
      </c>
      <c r="X114" s="20" t="n">
        <v>85</v>
      </c>
    </row>
    <row r="115">
      <c r="A115" s="18" t="inlineStr">
        <is>
          <t>고용조정 보조금</t>
        </is>
      </c>
      <c r="T115" s="20" t="n">
        <v>66</v>
      </c>
      <c r="U115" s="20" t="n">
        <v>7</v>
      </c>
    </row>
    <row r="116">
      <c r="A116" s="18" t="inlineStr">
        <is>
          <t>기타</t>
        </is>
      </c>
      <c r="C116" s="20" t="n">
        <v>-25</v>
      </c>
      <c r="D116" s="20" t="n">
        <v>42</v>
      </c>
      <c r="E116" s="20" t="n">
        <v>22</v>
      </c>
      <c r="F116" s="20" t="n">
        <v>198</v>
      </c>
      <c r="G116" s="20" t="n">
        <v>-25</v>
      </c>
      <c r="H116" s="20" t="n">
        <v>167</v>
      </c>
      <c r="I116" s="20" t="n">
        <v>67</v>
      </c>
      <c r="J116" s="20" t="n">
        <v>96</v>
      </c>
      <c r="K116" s="20" t="n">
        <v>179</v>
      </c>
      <c r="L116" s="20" t="n">
        <v>5</v>
      </c>
      <c r="M116" s="20" t="n">
        <v>68</v>
      </c>
      <c r="N116" s="20" t="n">
        <v>230</v>
      </c>
      <c r="T116" s="20" t="n">
        <v>201</v>
      </c>
      <c r="U116" s="20" t="n">
        <v>124</v>
      </c>
      <c r="V116" s="20" t="n">
        <v>42</v>
      </c>
      <c r="W116" s="20" t="n">
        <v>167</v>
      </c>
      <c r="X116" s="20" t="n">
        <v>5</v>
      </c>
    </row>
    <row r="117">
      <c r="A117" s="18" t="inlineStr">
        <is>
          <t>영업외수익 합계</t>
        </is>
      </c>
      <c r="C117" s="20" t="n">
        <v>-487</v>
      </c>
      <c r="D117" s="20" t="n">
        <v>1203</v>
      </c>
      <c r="E117" s="20" t="n">
        <v>1214</v>
      </c>
      <c r="F117" s="20" t="n">
        <v>-368</v>
      </c>
      <c r="G117" s="20" t="n">
        <v>1018</v>
      </c>
      <c r="H117" s="20" t="n">
        <v>-199</v>
      </c>
      <c r="I117" s="20" t="n">
        <v>407</v>
      </c>
      <c r="J117" s="20" t="n">
        <v>380</v>
      </c>
      <c r="K117" s="20" t="n">
        <v>530</v>
      </c>
      <c r="L117" s="20" t="n">
        <v>417</v>
      </c>
      <c r="M117" s="20" t="n">
        <v>531</v>
      </c>
      <c r="N117" s="20" t="n">
        <v>413</v>
      </c>
      <c r="T117" s="20" t="n">
        <v>1425</v>
      </c>
      <c r="U117" s="20" t="n">
        <v>280</v>
      </c>
      <c r="V117" s="20" t="n">
        <v>1203</v>
      </c>
      <c r="W117" s="20" t="n">
        <v>-199</v>
      </c>
      <c r="X117" s="20" t="n">
        <v>417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18" t="inlineStr">
        <is>
          <t>이자비용</t>
        </is>
      </c>
      <c r="C119" s="20" t="n">
        <v>53</v>
      </c>
      <c r="D119" s="20" t="n">
        <v>35</v>
      </c>
      <c r="E119" s="20" t="n">
        <v>49</v>
      </c>
      <c r="F119" s="20" t="n">
        <v>58</v>
      </c>
      <c r="G119" s="20" t="n">
        <v>47</v>
      </c>
      <c r="H119" s="20" t="n">
        <v>67</v>
      </c>
      <c r="I119" s="20" t="n">
        <v>56</v>
      </c>
      <c r="J119" s="20" t="n">
        <v>66</v>
      </c>
      <c r="K119" s="20" t="n">
        <v>62</v>
      </c>
      <c r="L119" s="20" t="n">
        <v>66</v>
      </c>
      <c r="M119" s="20" t="n">
        <v>69</v>
      </c>
      <c r="N119" s="20" t="n">
        <v>75</v>
      </c>
      <c r="T119" s="20" t="n">
        <v>25</v>
      </c>
      <c r="U119" s="20" t="n">
        <v>54</v>
      </c>
      <c r="V119" s="20" t="n">
        <v>35</v>
      </c>
      <c r="W119" s="20" t="n">
        <v>67</v>
      </c>
      <c r="X119" s="20" t="n">
        <v>66</v>
      </c>
    </row>
    <row r="120">
      <c r="A120" s="18" t="inlineStr">
        <is>
          <t>부동산 임대원가</t>
        </is>
      </c>
      <c r="C120" s="20" t="n">
        <v>146</v>
      </c>
      <c r="D120" s="20" t="n">
        <v>162</v>
      </c>
      <c r="E120" s="20" t="n">
        <v>137</v>
      </c>
      <c r="F120" s="20" t="n">
        <v>147</v>
      </c>
      <c r="G120" s="20" t="n">
        <v>142</v>
      </c>
      <c r="H120" s="20" t="n">
        <v>167</v>
      </c>
      <c r="I120" s="20" t="n">
        <v>141</v>
      </c>
      <c r="J120" s="20" t="n">
        <v>142</v>
      </c>
      <c r="K120" s="20" t="n">
        <v>168</v>
      </c>
      <c r="L120" s="20" t="n">
        <v>183</v>
      </c>
      <c r="M120" s="20" t="n">
        <v>155</v>
      </c>
      <c r="N120" s="20" t="n">
        <v>163</v>
      </c>
      <c r="T120" s="20" t="n">
        <v>144</v>
      </c>
      <c r="U120" s="20" t="n">
        <v>144</v>
      </c>
      <c r="V120" s="20" t="n">
        <v>162</v>
      </c>
      <c r="W120" s="20" t="n">
        <v>167</v>
      </c>
      <c r="X120" s="20" t="n">
        <v>183</v>
      </c>
    </row>
    <row r="121">
      <c r="A121" s="18" t="inlineStr">
        <is>
          <t>투자조합 운용손실</t>
        </is>
      </c>
      <c r="C121" s="20" t="n">
        <v>2</v>
      </c>
      <c r="D121" s="20" t="n">
        <v>110</v>
      </c>
      <c r="T121" s="20" t="n">
        <v>0</v>
      </c>
      <c r="U121" s="20" t="n">
        <v>75</v>
      </c>
      <c r="V121" s="20" t="n">
        <v>110</v>
      </c>
    </row>
    <row r="122">
      <c r="A122" s="18" t="inlineStr">
        <is>
          <t>외환차손</t>
        </is>
      </c>
      <c r="E122" s="20" t="n">
        <v>0</v>
      </c>
      <c r="F122" s="20" t="n">
        <v>466</v>
      </c>
      <c r="I122" s="20" t="n">
        <v>514</v>
      </c>
      <c r="J122" s="20" t="n">
        <v>-147</v>
      </c>
      <c r="M122" s="20" t="n">
        <v>0</v>
      </c>
      <c r="N122" s="20" t="n">
        <v>305</v>
      </c>
    </row>
    <row r="123">
      <c r="A123" s="18" t="inlineStr">
        <is>
          <t>기타</t>
        </is>
      </c>
      <c r="C123" s="20" t="n">
        <v>14</v>
      </c>
      <c r="D123" s="20" t="n">
        <v>14</v>
      </c>
      <c r="E123" s="20" t="n">
        <v>11</v>
      </c>
      <c r="F123" s="20" t="n">
        <v>11</v>
      </c>
      <c r="G123" s="20" t="n">
        <v>5</v>
      </c>
      <c r="H123" s="20" t="n">
        <v>53</v>
      </c>
      <c r="I123" s="20" t="n">
        <v>33</v>
      </c>
      <c r="J123" s="20" t="n">
        <v>-10</v>
      </c>
      <c r="K123" s="20" t="n">
        <v>7</v>
      </c>
      <c r="L123" s="20" t="n">
        <v>-2</v>
      </c>
      <c r="M123" s="20" t="n">
        <v>5</v>
      </c>
      <c r="N123" s="20" t="n">
        <v>6</v>
      </c>
      <c r="T123" s="20" t="n">
        <v>126</v>
      </c>
      <c r="U123" s="20" t="n">
        <v>15</v>
      </c>
      <c r="V123" s="20" t="n">
        <v>14</v>
      </c>
      <c r="W123" s="20" t="n">
        <v>53</v>
      </c>
      <c r="X123" s="20" t="n">
        <v>-2</v>
      </c>
    </row>
    <row r="124">
      <c r="A124" s="18" t="inlineStr">
        <is>
          <t>영업외비용 합계</t>
        </is>
      </c>
      <c r="C124" s="20" t="n">
        <v>214</v>
      </c>
      <c r="D124" s="20" t="n">
        <v>328</v>
      </c>
      <c r="E124" s="20" t="n">
        <v>198</v>
      </c>
      <c r="F124" s="20" t="n">
        <v>682</v>
      </c>
      <c r="G124" s="20" t="n">
        <v>-272</v>
      </c>
      <c r="H124" s="20" t="n">
        <v>287</v>
      </c>
      <c r="I124" s="20" t="n">
        <v>745</v>
      </c>
      <c r="J124" s="20" t="n">
        <v>50</v>
      </c>
      <c r="K124" s="20" t="n">
        <v>-129</v>
      </c>
      <c r="L124" s="20" t="n">
        <v>255</v>
      </c>
      <c r="M124" s="20" t="n">
        <v>230</v>
      </c>
      <c r="N124" s="20" t="n">
        <v>550</v>
      </c>
      <c r="T124" s="20" t="n">
        <v>295</v>
      </c>
      <c r="U124" s="20" t="n">
        <v>287</v>
      </c>
      <c r="V124" s="20" t="n">
        <v>328</v>
      </c>
      <c r="W124" s="20" t="n">
        <v>287</v>
      </c>
      <c r="X124" s="20" t="n">
        <v>255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9" t="inlineStr">
        <is>
          <t>경상이익(손실)</t>
        </is>
      </c>
      <c r="C126" s="12" t="n">
        <v>-1079</v>
      </c>
      <c r="D126" s="12" t="n">
        <v>187</v>
      </c>
      <c r="E126" s="12" t="n">
        <v>952</v>
      </c>
      <c r="F126" s="12" t="n">
        <v>-878</v>
      </c>
      <c r="G126" s="12" t="n">
        <v>1106</v>
      </c>
      <c r="H126" s="12" t="n">
        <v>-631</v>
      </c>
      <c r="I126" s="12" t="n">
        <v>-618</v>
      </c>
      <c r="J126" s="12" t="n">
        <v>493</v>
      </c>
      <c r="K126" s="12" t="n">
        <v>1247</v>
      </c>
      <c r="L126" s="12" t="n">
        <v>121</v>
      </c>
      <c r="M126" s="12" t="n">
        <v>307</v>
      </c>
      <c r="N126" s="12" t="n">
        <v>254</v>
      </c>
      <c r="T126" s="12" t="n">
        <v>1146</v>
      </c>
      <c r="U126" s="12" t="n">
        <v>-356</v>
      </c>
      <c r="V126" s="12" t="n">
        <v>187</v>
      </c>
      <c r="W126" s="12" t="n">
        <v>-631</v>
      </c>
      <c r="X126" s="12" t="n">
        <v>121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고정자산 매각이익</t>
        </is>
      </c>
      <c r="C128" s="20" t="n">
        <v>0</v>
      </c>
      <c r="D128" s="20" t="n">
        <v>1</v>
      </c>
      <c r="E128" s="20" t="n">
        <v>5</v>
      </c>
      <c r="F128" s="20" t="n">
        <v>0</v>
      </c>
      <c r="G128" s="20" t="n">
        <v>1</v>
      </c>
      <c r="H128" s="20" t="n">
        <v>1</v>
      </c>
      <c r="I128" s="20" t="n">
        <v>0</v>
      </c>
      <c r="J128" s="20" t="n">
        <v>0</v>
      </c>
      <c r="K128" s="20" t="n">
        <v>1</v>
      </c>
      <c r="L128" s="20" t="n">
        <v>0</v>
      </c>
      <c r="M128" s="20" t="n">
        <v>0</v>
      </c>
      <c r="N128" s="20" t="n">
        <v>1</v>
      </c>
      <c r="T128" s="20" t="n">
        <v>17</v>
      </c>
      <c r="U128" s="20" t="n">
        <v>2</v>
      </c>
      <c r="V128" s="20" t="n">
        <v>1</v>
      </c>
      <c r="W128" s="20" t="n">
        <v>1</v>
      </c>
      <c r="X128" s="20" t="n">
        <v>0</v>
      </c>
    </row>
    <row r="129">
      <c r="A129" s="18" t="inlineStr">
        <is>
          <t>투자유가증권 매각이익</t>
        </is>
      </c>
      <c r="G129" s="20" t="n">
        <v>0</v>
      </c>
      <c r="H129" s="20" t="n">
        <v>0</v>
      </c>
      <c r="K129" s="20" t="n">
        <v>0</v>
      </c>
      <c r="L129" s="20" t="n">
        <v>5</v>
      </c>
      <c r="W129" s="20" t="n">
        <v>0</v>
      </c>
      <c r="X129" s="20" t="n">
        <v>5</v>
      </c>
    </row>
    <row r="130">
      <c r="A130" s="18" t="inlineStr">
        <is>
          <t>기타</t>
        </is>
      </c>
      <c r="C130" s="20" t="n">
        <v>0</v>
      </c>
      <c r="D130" s="20" t="n">
        <v>0</v>
      </c>
      <c r="G130" s="20" t="n">
        <v>0</v>
      </c>
      <c r="H130" s="20" t="n">
        <v>0</v>
      </c>
      <c r="U130" s="20" t="n">
        <v>0</v>
      </c>
      <c r="V130" s="20" t="n">
        <v>0</v>
      </c>
      <c r="W130" s="20" t="n">
        <v>0</v>
      </c>
    </row>
    <row r="131">
      <c r="A131" s="18" t="inlineStr">
        <is>
          <t>특별이익 합계</t>
        </is>
      </c>
      <c r="C131" s="20" t="n">
        <v>1</v>
      </c>
      <c r="D131" s="20" t="n">
        <v>275</v>
      </c>
      <c r="E131" s="20" t="n">
        <v>5</v>
      </c>
      <c r="F131" s="20" t="n">
        <v>0</v>
      </c>
      <c r="G131" s="20" t="n">
        <v>1</v>
      </c>
      <c r="H131" s="20" t="n">
        <v>1</v>
      </c>
      <c r="I131" s="20" t="n">
        <v>0</v>
      </c>
      <c r="J131" s="20" t="n">
        <v>7</v>
      </c>
      <c r="K131" s="20" t="n">
        <v>1</v>
      </c>
      <c r="L131" s="20" t="n">
        <v>6</v>
      </c>
      <c r="M131" s="20" t="n">
        <v>0</v>
      </c>
      <c r="N131" s="20" t="n">
        <v>176</v>
      </c>
      <c r="T131" s="20" t="n">
        <v>17</v>
      </c>
      <c r="U131" s="20" t="n">
        <v>5</v>
      </c>
      <c r="V131" s="20" t="n">
        <v>275</v>
      </c>
      <c r="W131" s="20" t="n">
        <v>1</v>
      </c>
      <c r="X131" s="20" t="n">
        <v>6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18" t="inlineStr">
        <is>
          <t>고정자산 매각손실</t>
        </is>
      </c>
      <c r="D133" s="20" t="n">
        <v>0</v>
      </c>
      <c r="E133" s="20" t="n">
        <v>0</v>
      </c>
      <c r="F133" s="20" t="n">
        <v>0</v>
      </c>
      <c r="G133" s="20" t="n">
        <v>0</v>
      </c>
      <c r="H133" s="20" t="n">
        <v>0</v>
      </c>
      <c r="I133" s="20" t="n">
        <v>0</v>
      </c>
      <c r="J133" s="20" t="n">
        <v>1</v>
      </c>
      <c r="K133" s="20" t="n">
        <v>0</v>
      </c>
      <c r="L133" s="20" t="n">
        <v>0</v>
      </c>
      <c r="M133" s="20" t="n">
        <v>0</v>
      </c>
      <c r="N133" s="20" t="n">
        <v>0</v>
      </c>
      <c r="T133" s="20" t="n">
        <v>2</v>
      </c>
      <c r="U133" s="20" t="n">
        <v>0</v>
      </c>
      <c r="V133" s="20" t="n">
        <v>0</v>
      </c>
      <c r="W133" s="20" t="n">
        <v>0</v>
      </c>
      <c r="X133" s="20" t="n">
        <v>0</v>
      </c>
    </row>
    <row r="134">
      <c r="A134" s="18" t="inlineStr">
        <is>
          <t>고정자산 제각손실</t>
        </is>
      </c>
      <c r="C134" s="20" t="n">
        <v>13</v>
      </c>
      <c r="D134" s="20" t="n">
        <v>23</v>
      </c>
      <c r="E134" s="20" t="n">
        <v>3</v>
      </c>
      <c r="F134" s="20" t="n">
        <v>2</v>
      </c>
      <c r="G134" s="20" t="n">
        <v>43</v>
      </c>
      <c r="H134" s="20" t="n">
        <v>35</v>
      </c>
      <c r="I134" s="20" t="n">
        <v>0</v>
      </c>
      <c r="J134" s="20" t="n">
        <v>3</v>
      </c>
      <c r="K134" s="20" t="n">
        <v>43</v>
      </c>
      <c r="L134" s="20" t="n">
        <v>19</v>
      </c>
      <c r="M134" s="20" t="n">
        <v>0</v>
      </c>
      <c r="N134" s="20" t="n">
        <v>1</v>
      </c>
      <c r="T134" s="20" t="n">
        <v>1</v>
      </c>
      <c r="U134" s="20" t="n">
        <v>64</v>
      </c>
      <c r="V134" s="20" t="n">
        <v>23</v>
      </c>
      <c r="W134" s="20" t="n">
        <v>35</v>
      </c>
      <c r="X134" s="20" t="n">
        <v>19</v>
      </c>
    </row>
    <row r="135">
      <c r="A135" s="18" t="inlineStr">
        <is>
          <t>손상차손</t>
        </is>
      </c>
      <c r="C135" s="20" t="n">
        <v>104</v>
      </c>
      <c r="D135" s="20" t="n">
        <v>458</v>
      </c>
      <c r="G135" s="20" t="n">
        <v>0</v>
      </c>
      <c r="H135" s="20" t="n">
        <v>417</v>
      </c>
      <c r="I135" s="20" t="n">
        <v>0</v>
      </c>
      <c r="J135" s="20" t="n">
        <v>0</v>
      </c>
      <c r="K135" s="20" t="n">
        <v>0</v>
      </c>
      <c r="L135" s="20" t="n">
        <v>314</v>
      </c>
      <c r="M135" s="20" t="n">
        <v>20</v>
      </c>
      <c r="N135" s="20" t="n">
        <v>0</v>
      </c>
      <c r="U135" s="20" t="n">
        <v>517</v>
      </c>
      <c r="V135" s="20" t="n">
        <v>458</v>
      </c>
      <c r="W135" s="20" t="n">
        <v>417</v>
      </c>
      <c r="X135" s="20" t="n">
        <v>314</v>
      </c>
    </row>
    <row r="136">
      <c r="A136" s="18" t="inlineStr">
        <is>
          <t>투자유가증권 평가손실</t>
        </is>
      </c>
      <c r="C136" s="20" t="n">
        <v>0</v>
      </c>
      <c r="D136" s="20" t="n">
        <v>0</v>
      </c>
      <c r="E136" s="20" t="n">
        <v>2</v>
      </c>
      <c r="F136" s="20" t="n">
        <v>0</v>
      </c>
      <c r="G136" s="20" t="n">
        <v>0</v>
      </c>
      <c r="H136" s="20" t="n">
        <v>67</v>
      </c>
      <c r="I136" s="20" t="n">
        <v>0</v>
      </c>
      <c r="J136" s="20" t="n">
        <v>0</v>
      </c>
      <c r="K136" s="20" t="n">
        <v>0</v>
      </c>
      <c r="L136" s="20" t="n">
        <v>7</v>
      </c>
      <c r="T136" s="20" t="n">
        <v>115</v>
      </c>
      <c r="U136" s="20" t="n">
        <v>0</v>
      </c>
      <c r="V136" s="20" t="n">
        <v>0</v>
      </c>
      <c r="W136" s="20" t="n">
        <v>67</v>
      </c>
      <c r="X136" s="20" t="n">
        <v>7</v>
      </c>
    </row>
    <row r="137">
      <c r="A137" s="18" t="inlineStr">
        <is>
          <t>특별퇴직금</t>
        </is>
      </c>
      <c r="D137" s="20" t="n">
        <v>16</v>
      </c>
      <c r="H137" s="20" t="n">
        <v>0</v>
      </c>
      <c r="U137" s="20" t="n">
        <v>0</v>
      </c>
      <c r="V137" s="20" t="n">
        <v>16</v>
      </c>
      <c r="W137" s="20" t="n">
        <v>0</v>
      </c>
    </row>
    <row r="138">
      <c r="A138" s="18" t="inlineStr">
        <is>
          <t>특별손실 합계</t>
        </is>
      </c>
      <c r="C138" s="20" t="n">
        <v>204</v>
      </c>
      <c r="D138" s="20" t="n">
        <v>498</v>
      </c>
      <c r="E138" s="20" t="n">
        <v>5</v>
      </c>
      <c r="F138" s="20" t="n">
        <v>83</v>
      </c>
      <c r="G138" s="20" t="n">
        <v>44</v>
      </c>
      <c r="H138" s="20" t="n">
        <v>1388</v>
      </c>
      <c r="I138" s="20" t="n">
        <v>0</v>
      </c>
      <c r="J138" s="20" t="n">
        <v>4</v>
      </c>
      <c r="K138" s="20" t="n">
        <v>43</v>
      </c>
      <c r="L138" s="20" t="n">
        <v>344</v>
      </c>
      <c r="M138" s="20" t="n">
        <v>20</v>
      </c>
      <c r="N138" s="20" t="n">
        <v>1</v>
      </c>
      <c r="T138" s="20" t="n">
        <v>122</v>
      </c>
      <c r="U138" s="20" t="n">
        <v>581</v>
      </c>
      <c r="V138" s="20" t="n">
        <v>498</v>
      </c>
      <c r="W138" s="20" t="n">
        <v>1388</v>
      </c>
      <c r="X138" s="20" t="n">
        <v>344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IF(OR(G138="",C138=""),"",IF(G138*C138&lt;=0,"",IFERROR(G138/C138-1,"")))</f>
        <v/>
      </c>
      <c r="H139" s="15">
        <f>IF(OR(H138="",D138=""),"",IF(H138*D138&lt;=0,"",IFERROR(H138/D138-1,"")))</f>
        <v/>
      </c>
      <c r="I139" s="15">
        <f>IF(OR(I138="",E138=""),"",IF(I138*E138&lt;=0,"",IFERROR(I138/E138-1,"")))</f>
        <v/>
      </c>
      <c r="J139" s="15">
        <f>IF(OR(J138="",F138=""),"",IF(J138*F138&lt;=0,"",IFERROR(J138/F138-1,"")))</f>
        <v/>
      </c>
      <c r="K139" s="15">
        <f>IF(OR(K138="",G138=""),"",IF(K138*G138&lt;=0,"",IFERROR(K138/G138-1,"")))</f>
        <v/>
      </c>
      <c r="L139" s="15">
        <f>IF(OR(L138="",H138=""),"",IF(L138*H138&lt;=0,"",IFERROR(L138/H138-1,"")))</f>
        <v/>
      </c>
      <c r="M139" s="15">
        <f>IF(OR(M138="",I138=""),"",IF(M138*I138&lt;=0,"",IFERROR(M138/I138-1,"")))</f>
        <v/>
      </c>
      <c r="N139" s="15">
        <f>IF(OR(N138="",J138=""),"",IF(N138*J138&lt;=0,"",IFERROR(N138/J138-1,"")))</f>
        <v/>
      </c>
      <c r="T139" s="15">
        <f>IF(OR(T138="",S138=""),"",IF(T138*S138&lt;=0,"",IFERROR(T138/S138-1,"")))</f>
        <v/>
      </c>
      <c r="U139" s="15">
        <f>IF(OR(U138="",T138=""),"",IF(U138*T138&lt;=0,"",IFERROR(U138/T138-1,"")))</f>
        <v/>
      </c>
      <c r="V139" s="15">
        <f>IF(OR(V138="",U138=""),"",IF(V138*U138&lt;=0,"",IFERROR(V138/U138-1,"")))</f>
        <v/>
      </c>
      <c r="W139" s="15">
        <f>IF(OR(W138="",V138=""),"",IF(W138*V138&lt;=0,"",IFERROR(W138/V138-1,"")))</f>
        <v/>
      </c>
      <c r="X139" s="15">
        <f>IF(OR(X138="",W138=""),"",IF(X138*W138&lt;=0,"",IFERROR(X138/W138-1,"")))</f>
        <v/>
      </c>
    </row>
    <row r="140">
      <c r="A140" s="9" t="inlineStr">
        <is>
          <t>법인세차감전 중간순이익(손실)</t>
        </is>
      </c>
      <c r="C140" s="12" t="n">
        <v>-1282</v>
      </c>
      <c r="D140" s="12" t="n">
        <v>-35</v>
      </c>
      <c r="E140" s="12" t="n">
        <v>951</v>
      </c>
      <c r="F140" s="12" t="n">
        <v>-958</v>
      </c>
      <c r="G140" s="12" t="n">
        <v>1062</v>
      </c>
      <c r="H140" s="12" t="n">
        <v>-2018</v>
      </c>
      <c r="I140" s="12" t="n">
        <v>-619</v>
      </c>
      <c r="J140" s="12" t="n">
        <v>497</v>
      </c>
      <c r="K140" s="12" t="n">
        <v>1206</v>
      </c>
      <c r="L140" s="12" t="n">
        <v>-217</v>
      </c>
      <c r="M140" s="12" t="n">
        <v>286</v>
      </c>
      <c r="N140" s="12" t="n">
        <v>430</v>
      </c>
      <c r="T140" s="12" t="n">
        <v>1042</v>
      </c>
      <c r="U140" s="12" t="n">
        <v>-932</v>
      </c>
      <c r="V140" s="12" t="n">
        <v>-35</v>
      </c>
      <c r="W140" s="12" t="n">
        <v>-2018</v>
      </c>
      <c r="X140" s="12" t="n">
        <v>-217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T141" s="15">
        <f>IF(OR(T140="",S140=""),"",IF(S140&lt;=0,"",IFERROR(T140/S140-1,"")))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법인세·주민세·사업세</t>
        </is>
      </c>
      <c r="C142" s="20" t="n">
        <v>-94</v>
      </c>
      <c r="D142" s="20" t="n">
        <v>45</v>
      </c>
      <c r="E142" s="20" t="n">
        <v>75</v>
      </c>
      <c r="F142" s="20" t="n">
        <v>101</v>
      </c>
      <c r="G142" s="20" t="n">
        <v>57</v>
      </c>
      <c r="H142" s="20" t="n">
        <v>133</v>
      </c>
      <c r="I142" s="20" t="n">
        <v>75</v>
      </c>
      <c r="J142" s="20" t="n">
        <v>214</v>
      </c>
      <c r="K142" s="20" t="n">
        <v>81</v>
      </c>
      <c r="L142" s="20" t="n">
        <v>124</v>
      </c>
      <c r="M142" s="20" t="n">
        <v>112</v>
      </c>
      <c r="N142" s="20" t="n">
        <v>114</v>
      </c>
      <c r="T142" s="20" t="n">
        <v>106</v>
      </c>
      <c r="U142" s="20" t="n">
        <v>92</v>
      </c>
      <c r="V142" s="20" t="n">
        <v>45</v>
      </c>
      <c r="W142" s="20" t="n">
        <v>133</v>
      </c>
      <c r="X142" s="20" t="n">
        <v>124</v>
      </c>
    </row>
    <row r="143">
      <c r="A143" s="18" t="inlineStr">
        <is>
          <t>법인세 조정액</t>
        </is>
      </c>
      <c r="C143" s="20" t="n">
        <v>137</v>
      </c>
      <c r="D143" s="20" t="n">
        <v>92</v>
      </c>
      <c r="E143" s="20" t="n">
        <v>74</v>
      </c>
      <c r="F143" s="20" t="n">
        <v>29</v>
      </c>
      <c r="G143" s="20" t="n">
        <v>37</v>
      </c>
      <c r="H143" s="20" t="n">
        <v>349</v>
      </c>
      <c r="I143" s="20" t="n">
        <v>-42</v>
      </c>
      <c r="J143" s="20" t="n">
        <v>-176</v>
      </c>
      <c r="K143" s="20" t="n">
        <v>194</v>
      </c>
      <c r="L143" s="20" t="n">
        <v>340</v>
      </c>
      <c r="M143" s="20" t="n">
        <v>19</v>
      </c>
      <c r="N143" s="20" t="n">
        <v>213</v>
      </c>
      <c r="T143" s="20" t="n">
        <v>-137</v>
      </c>
      <c r="U143" s="20" t="n">
        <v>92</v>
      </c>
      <c r="V143" s="20" t="n">
        <v>92</v>
      </c>
      <c r="W143" s="20" t="n">
        <v>349</v>
      </c>
      <c r="X143" s="20" t="n">
        <v>340</v>
      </c>
    </row>
    <row r="144">
      <c r="A144" s="18" t="inlineStr">
        <is>
          <t>법인세 등 합계</t>
        </is>
      </c>
      <c r="C144" s="20" t="n">
        <v>43</v>
      </c>
      <c r="D144" s="20" t="n">
        <v>138</v>
      </c>
      <c r="E144" s="20" t="n">
        <v>150</v>
      </c>
      <c r="F144" s="20" t="n">
        <v>129</v>
      </c>
      <c r="G144" s="20" t="n">
        <v>95</v>
      </c>
      <c r="H144" s="20" t="n">
        <v>547</v>
      </c>
      <c r="I144" s="20" t="n">
        <v>32</v>
      </c>
      <c r="J144" s="20" t="n">
        <v>39</v>
      </c>
      <c r="K144" s="20" t="n">
        <v>274</v>
      </c>
      <c r="L144" s="20" t="n">
        <v>465</v>
      </c>
      <c r="M144" s="20" t="n">
        <v>132</v>
      </c>
      <c r="N144" s="20" t="n">
        <v>326</v>
      </c>
      <c r="T144" s="20" t="n">
        <v>-33</v>
      </c>
      <c r="U144" s="20" t="n">
        <v>183</v>
      </c>
      <c r="V144" s="20" t="n">
        <v>138</v>
      </c>
      <c r="W144" s="20" t="n">
        <v>547</v>
      </c>
      <c r="X144" s="20" t="n">
        <v>465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IF(OR(G144="",C144=""),"",IF(G144*C144&lt;=0,"",IFERROR(G144/C144-1,"")))</f>
        <v/>
      </c>
      <c r="H145" s="15">
        <f>IF(OR(H144="",D144=""),"",IF(H144*D144&lt;=0,"",IFERROR(H144/D144-1,"")))</f>
        <v/>
      </c>
      <c r="I145" s="15">
        <f>IF(OR(I144="",E144=""),"",IF(I144*E144&lt;=0,"",IFERROR(I144/E144-1,"")))</f>
        <v/>
      </c>
      <c r="J145" s="15">
        <f>IF(OR(J144="",F144=""),"",IF(J144*F144&lt;=0,"",IFERROR(J144/F144-1,"")))</f>
        <v/>
      </c>
      <c r="K145" s="15">
        <f>IF(OR(K144="",G144=""),"",IF(K144*G144&lt;=0,"",IFERROR(K144/G144-1,"")))</f>
        <v/>
      </c>
      <c r="L145" s="15">
        <f>IF(OR(L144="",H144=""),"",IF(L144*H144&lt;=0,"",IFERROR(L144/H144-1,"")))</f>
        <v/>
      </c>
      <c r="M145" s="15">
        <f>IF(OR(M144="",I144=""),"",IF(M144*I144&lt;=0,"",IFERROR(M144/I144-1,"")))</f>
        <v/>
      </c>
      <c r="N145" s="15">
        <f>IF(OR(N144="",J144=""),"",IF(N144*J144&lt;=0,"",IFERROR(N144/J144-1,"")))</f>
        <v/>
      </c>
      <c r="T145" s="15">
        <f>IF(OR(T144="",S144=""),"",IF(T144*S144&lt;=0,"",IFERROR(T144/S144-1,"")))</f>
        <v/>
      </c>
      <c r="U145" s="15">
        <f>IF(OR(U144="",T144=""),"",IF(U144*T144&lt;=0,"",IFERROR(U144/T144-1,"")))</f>
        <v/>
      </c>
      <c r="V145" s="15">
        <f>IF(OR(V144="",U144=""),"",IF(V144*U144&lt;=0,"",IFERROR(V144/U144-1,"")))</f>
        <v/>
      </c>
      <c r="W145" s="15">
        <f>IF(OR(W144="",V144=""),"",IF(W144*V144&lt;=0,"",IFERROR(W144/V144-1,"")))</f>
        <v/>
      </c>
      <c r="X145" s="15">
        <f>IF(OR(X144="",W144=""),"",IF(X144*W144&lt;=0,"",IFERROR(X144/W144-1,"")))</f>
        <v/>
      </c>
    </row>
    <row r="146">
      <c r="A146" s="9" t="inlineStr">
        <is>
          <t>중간순이익(손실)</t>
        </is>
      </c>
      <c r="C146" s="12" t="n">
        <v>-1326</v>
      </c>
      <c r="D146" s="12" t="n">
        <v>-173</v>
      </c>
      <c r="E146" s="12" t="n">
        <v>801</v>
      </c>
      <c r="F146" s="12" t="n">
        <v>-1088</v>
      </c>
      <c r="G146" s="12" t="n">
        <v>967</v>
      </c>
      <c r="H146" s="12" t="n">
        <v>-2564</v>
      </c>
      <c r="I146" s="12" t="n">
        <v>-651</v>
      </c>
      <c r="J146" s="12" t="n">
        <v>458</v>
      </c>
      <c r="K146" s="12" t="n">
        <v>931</v>
      </c>
      <c r="L146" s="12" t="n">
        <v>-682</v>
      </c>
      <c r="M146" s="12" t="n">
        <v>154</v>
      </c>
      <c r="N146" s="12" t="n">
        <v>103</v>
      </c>
      <c r="T146" s="12" t="n">
        <v>1076</v>
      </c>
      <c r="U146" s="12" t="n">
        <v>-1116</v>
      </c>
      <c r="V146" s="12" t="n">
        <v>-173</v>
      </c>
      <c r="W146" s="12" t="n">
        <v>-2564</v>
      </c>
      <c r="X146" s="12" t="n">
        <v>-682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T147" s="15">
        <f>IF(OR(T146="",S146=""),"",IF(S146&lt;=0,"",IFERROR(T146/S146-1,"")))</f>
        <v/>
      </c>
      <c r="U147" s="15">
        <f>IF(OR(U146="",T146=""),"",IF(T146&lt;=0,"",IFERROR(U146/T146-1,"")))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9" t="inlineStr">
        <is>
          <t>지배주주 귀속 중간순이익(손실)</t>
        </is>
      </c>
      <c r="C148" s="12" t="n">
        <v>-1326</v>
      </c>
      <c r="D148" s="12" t="n">
        <v>-173</v>
      </c>
      <c r="E148" s="12" t="n">
        <v>801</v>
      </c>
      <c r="F148" s="12" t="n">
        <v>-1088</v>
      </c>
      <c r="G148" s="12" t="n">
        <v>967</v>
      </c>
      <c r="H148" s="12" t="n">
        <v>-2564</v>
      </c>
      <c r="I148" s="12" t="n">
        <v>-651</v>
      </c>
      <c r="J148" s="12" t="n">
        <v>458</v>
      </c>
      <c r="K148" s="12" t="n">
        <v>931</v>
      </c>
      <c r="L148" s="12" t="n">
        <v>-682</v>
      </c>
      <c r="M148" s="12" t="n">
        <v>154</v>
      </c>
      <c r="N148" s="12" t="n">
        <v>103</v>
      </c>
      <c r="T148" s="12" t="n">
        <v>1076</v>
      </c>
      <c r="U148" s="12" t="n">
        <v>-1116</v>
      </c>
      <c r="V148" s="12" t="n">
        <v>-173</v>
      </c>
      <c r="W148" s="12" t="n">
        <v>-2564</v>
      </c>
      <c r="X148" s="12" t="n">
        <v>-682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1">
      <c r="A151" s="16" t="inlineStr">
        <is>
          <t>포괄손익 · 전 항목</t>
        </is>
      </c>
      <c r="B151" s="42" t="inlineStr">
        <is>
          <t>분기 = 3개월 단독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2024.3Q</t>
        </is>
      </c>
      <c r="D152" s="5" t="inlineStr">
        <is>
          <t>2024.4Q</t>
        </is>
      </c>
      <c r="E152" s="5" t="inlineStr">
        <is>
          <t>2025.1Q</t>
        </is>
      </c>
      <c r="F152" s="5" t="inlineStr">
        <is>
          <t>2025.2Q</t>
        </is>
      </c>
      <c r="G152" s="5" t="inlineStr">
        <is>
          <t>2025.3Q</t>
        </is>
      </c>
      <c r="H152" s="5" t="inlineStr">
        <is>
          <t>2025.4Q</t>
        </is>
      </c>
      <c r="I152" s="5" t="inlineStr">
        <is>
          <t>2026.1Q</t>
        </is>
      </c>
      <c r="J152" s="5" t="inlineStr">
        <is>
          <t>2026.2Q</t>
        </is>
      </c>
      <c r="K152" s="5" t="inlineStr">
        <is>
          <t>2026.3Q</t>
        </is>
      </c>
      <c r="L152" s="5" t="inlineStr">
        <is>
          <t>2026.4Q</t>
        </is>
      </c>
      <c r="M152" s="5" t="inlineStr">
        <is>
          <t>2027.1Q</t>
        </is>
      </c>
      <c r="N152" s="5" t="inlineStr">
        <is>
          <t>2027.2Q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9" t="inlineStr">
        <is>
          <t>중간순이익(손실)</t>
        </is>
      </c>
      <c r="C153" s="12" t="n">
        <v>-1326</v>
      </c>
      <c r="D153" s="12" t="n">
        <v>-173</v>
      </c>
      <c r="E153" s="12" t="n">
        <v>801</v>
      </c>
      <c r="F153" s="12" t="n">
        <v>-1088</v>
      </c>
      <c r="G153" s="12" t="n">
        <v>967</v>
      </c>
      <c r="H153" s="12" t="n">
        <v>-2564</v>
      </c>
      <c r="I153" s="12" t="n">
        <v>-651</v>
      </c>
      <c r="J153" s="12" t="n">
        <v>458</v>
      </c>
      <c r="K153" s="12" t="n">
        <v>931</v>
      </c>
      <c r="L153" s="12" t="n">
        <v>-682</v>
      </c>
      <c r="M153" s="12" t="n">
        <v>154</v>
      </c>
      <c r="N153" s="12" t="n">
        <v>103</v>
      </c>
      <c r="T153" s="12" t="n">
        <v>1076</v>
      </c>
      <c r="U153" s="12" t="n">
        <v>-1116</v>
      </c>
      <c r="V153" s="12" t="n">
        <v>-173</v>
      </c>
      <c r="W153" s="12" t="n">
        <v>-2564</v>
      </c>
      <c r="X153" s="12" t="n">
        <v>-682</v>
      </c>
    </row>
    <row r="154">
      <c r="A154" s="18" t="inlineStr">
        <is>
          <t>기타유가증권 평가차액</t>
        </is>
      </c>
      <c r="C154" s="20" t="n">
        <v>86</v>
      </c>
      <c r="D154" s="20" t="n">
        <v>71</v>
      </c>
      <c r="E154" s="20" t="n">
        <v>259</v>
      </c>
      <c r="F154" s="20" t="n">
        <v>-142</v>
      </c>
      <c r="G154" s="20" t="n">
        <v>-211</v>
      </c>
      <c r="H154" s="20" t="n">
        <v>-96</v>
      </c>
      <c r="I154" s="20" t="n">
        <v>48</v>
      </c>
      <c r="J154" s="20" t="n">
        <v>278</v>
      </c>
      <c r="K154" s="20" t="n">
        <v>150</v>
      </c>
      <c r="L154" s="20" t="n">
        <v>100</v>
      </c>
      <c r="M154" s="20" t="n">
        <v>92</v>
      </c>
      <c r="N154" s="20" t="n">
        <v>-103</v>
      </c>
      <c r="T154" s="20" t="n">
        <v>-16</v>
      </c>
      <c r="U154" s="20" t="n">
        <v>393</v>
      </c>
      <c r="V154" s="20" t="n">
        <v>71</v>
      </c>
      <c r="W154" s="20" t="n">
        <v>-96</v>
      </c>
      <c r="X154" s="20" t="n">
        <v>100</v>
      </c>
    </row>
    <row r="155">
      <c r="A155" s="18" t="inlineStr">
        <is>
          <t>이연헤지손익</t>
        </is>
      </c>
      <c r="C155" s="20" t="n">
        <v>-49</v>
      </c>
      <c r="D155" s="20" t="n">
        <v>14</v>
      </c>
      <c r="E155" s="20" t="n">
        <v>29</v>
      </c>
      <c r="F155" s="20" t="n">
        <v>-17</v>
      </c>
      <c r="G155" s="20" t="n">
        <v>28</v>
      </c>
      <c r="H155" s="20" t="n">
        <v>46</v>
      </c>
      <c r="I155" s="20" t="n">
        <v>-7</v>
      </c>
      <c r="J155" s="20" t="n">
        <v>28</v>
      </c>
      <c r="K155" s="20" t="n">
        <v>32</v>
      </c>
      <c r="L155" s="20" t="n">
        <v>27</v>
      </c>
      <c r="M155" s="20" t="n">
        <v>3</v>
      </c>
      <c r="N155" s="20" t="n">
        <v>27</v>
      </c>
      <c r="T155" s="20" t="n">
        <v>1</v>
      </c>
      <c r="U155" s="20" t="n">
        <v>1</v>
      </c>
      <c r="V155" s="20" t="n">
        <v>14</v>
      </c>
      <c r="W155" s="20" t="n">
        <v>46</v>
      </c>
      <c r="X155" s="20" t="n">
        <v>27</v>
      </c>
    </row>
    <row r="156">
      <c r="A156" s="18" t="inlineStr">
        <is>
          <t>해외사업환산조정</t>
        </is>
      </c>
      <c r="C156" s="20" t="n">
        <v>-180</v>
      </c>
      <c r="D156" s="20" t="n">
        <v>299</v>
      </c>
      <c r="E156" s="20" t="n">
        <v>310</v>
      </c>
      <c r="F156" s="20" t="n">
        <v>-670</v>
      </c>
      <c r="G156" s="20" t="n">
        <v>499</v>
      </c>
      <c r="H156" s="20" t="n">
        <v>-454</v>
      </c>
      <c r="I156" s="20" t="n">
        <v>34</v>
      </c>
      <c r="J156" s="20" t="n">
        <v>401</v>
      </c>
      <c r="K156" s="20" t="n">
        <v>755</v>
      </c>
      <c r="L156" s="20" t="n">
        <v>265</v>
      </c>
      <c r="M156" s="20" t="n">
        <v>334</v>
      </c>
      <c r="N156" s="20" t="n">
        <v>-300</v>
      </c>
      <c r="T156" s="20" t="n">
        <v>328</v>
      </c>
      <c r="U156" s="20" t="n">
        <v>181</v>
      </c>
      <c r="V156" s="20" t="n">
        <v>299</v>
      </c>
      <c r="W156" s="20" t="n">
        <v>-454</v>
      </c>
      <c r="X156" s="20" t="n">
        <v>265</v>
      </c>
    </row>
    <row r="157">
      <c r="A157" s="18" t="inlineStr">
        <is>
          <t>퇴직급여 조정액</t>
        </is>
      </c>
      <c r="C157" s="20" t="n">
        <v>-22</v>
      </c>
      <c r="D157" s="20" t="n">
        <v>935</v>
      </c>
      <c r="E157" s="20" t="n">
        <v>-77</v>
      </c>
      <c r="F157" s="20" t="n">
        <v>-89</v>
      </c>
      <c r="G157" s="20" t="n">
        <v>-76</v>
      </c>
      <c r="H157" s="20" t="n">
        <v>263</v>
      </c>
      <c r="I157" s="20" t="n">
        <v>-105</v>
      </c>
      <c r="J157" s="20" t="n">
        <v>-102</v>
      </c>
      <c r="K157" s="20" t="n">
        <v>-103</v>
      </c>
      <c r="L157" s="20" t="n">
        <v>966</v>
      </c>
      <c r="M157" s="20" t="n">
        <v>-124</v>
      </c>
      <c r="N157" s="20" t="n">
        <v>-125</v>
      </c>
      <c r="T157" s="20" t="n">
        <v>68</v>
      </c>
      <c r="U157" s="20" t="n">
        <v>-16</v>
      </c>
      <c r="V157" s="20" t="n">
        <v>935</v>
      </c>
      <c r="W157" s="20" t="n">
        <v>263</v>
      </c>
      <c r="X157" s="20" t="n">
        <v>966</v>
      </c>
    </row>
    <row r="158">
      <c r="A158" s="18" t="inlineStr">
        <is>
          <t>기타포괄손익 합계</t>
        </is>
      </c>
      <c r="C158" s="20" t="n">
        <v>-165</v>
      </c>
      <c r="D158" s="20" t="n">
        <v>1321</v>
      </c>
      <c r="E158" s="20" t="n">
        <v>523</v>
      </c>
      <c r="F158" s="20" t="n">
        <v>-919</v>
      </c>
      <c r="G158" s="20" t="n">
        <v>239</v>
      </c>
      <c r="H158" s="20" t="n">
        <v>-240</v>
      </c>
      <c r="I158" s="20" t="n">
        <v>-29</v>
      </c>
      <c r="J158" s="20" t="n">
        <v>604</v>
      </c>
      <c r="K158" s="20" t="n">
        <v>835</v>
      </c>
      <c r="L158" s="20" t="n">
        <v>1359</v>
      </c>
      <c r="M158" s="20" t="n">
        <v>305</v>
      </c>
      <c r="N158" s="20" t="n">
        <v>-501</v>
      </c>
      <c r="T158" s="20" t="n">
        <v>381</v>
      </c>
      <c r="U158" s="20" t="n">
        <v>558</v>
      </c>
      <c r="V158" s="20" t="n">
        <v>1321</v>
      </c>
      <c r="W158" s="20" t="n">
        <v>-240</v>
      </c>
      <c r="X158" s="20" t="n">
        <v>1359</v>
      </c>
    </row>
    <row r="159">
      <c r="A159" s="9" t="inlineStr">
        <is>
          <t>포괄이익</t>
        </is>
      </c>
      <c r="C159" s="12" t="n">
        <v>-1492</v>
      </c>
      <c r="D159" s="12" t="n">
        <v>1148</v>
      </c>
      <c r="E159" s="12" t="n">
        <v>1324</v>
      </c>
      <c r="F159" s="12" t="n">
        <v>-2008</v>
      </c>
      <c r="G159" s="12" t="n">
        <v>1207</v>
      </c>
      <c r="H159" s="12" t="n">
        <v>-2805</v>
      </c>
      <c r="I159" s="12" t="n">
        <v>-680</v>
      </c>
      <c r="J159" s="12" t="n">
        <v>1061</v>
      </c>
      <c r="K159" s="12" t="n">
        <v>1768</v>
      </c>
      <c r="L159" s="12" t="n">
        <v>676</v>
      </c>
      <c r="M159" s="12" t="n">
        <v>460</v>
      </c>
      <c r="N159" s="12" t="n">
        <v>-399</v>
      </c>
      <c r="T159" s="12" t="n">
        <v>1457</v>
      </c>
      <c r="U159" s="12" t="n">
        <v>-558</v>
      </c>
      <c r="V159" s="12" t="n">
        <v>1148</v>
      </c>
      <c r="W159" s="12" t="n">
        <v>-2805</v>
      </c>
      <c r="X159" s="12" t="n">
        <v>676</v>
      </c>
    </row>
    <row r="160">
      <c r="A160" s="9" t="inlineStr">
        <is>
          <t>지배주주 포괄이익</t>
        </is>
      </c>
      <c r="C160" s="12" t="n">
        <v>-1492</v>
      </c>
      <c r="D160" s="12" t="n">
        <v>1148</v>
      </c>
      <c r="E160" s="12" t="n">
        <v>1324</v>
      </c>
      <c r="F160" s="12" t="n">
        <v>-2008</v>
      </c>
      <c r="G160" s="12" t="n">
        <v>1207</v>
      </c>
      <c r="H160" s="12" t="n">
        <v>-2805</v>
      </c>
      <c r="I160" s="12" t="n">
        <v>-680</v>
      </c>
      <c r="J160" s="12" t="n">
        <v>1061</v>
      </c>
      <c r="K160" s="12" t="n">
        <v>1768</v>
      </c>
      <c r="L160" s="12" t="n">
        <v>676</v>
      </c>
      <c r="M160" s="12" t="n">
        <v>460</v>
      </c>
      <c r="N160" s="12" t="n">
        <v>-399</v>
      </c>
      <c r="T160" s="12" t="n">
        <v>1457</v>
      </c>
      <c r="U160" s="12" t="n">
        <v>-558</v>
      </c>
      <c r="V160" s="12" t="n">
        <v>1148</v>
      </c>
      <c r="W160" s="12" t="n">
        <v>-2805</v>
      </c>
      <c r="X160" s="12" t="n">
        <v>676</v>
      </c>
    </row>
    <row r="162">
      <c r="A162" s="16" t="inlineStr">
        <is>
          <t>부문 · 전 항목</t>
        </is>
      </c>
      <c r="B162" s="42" t="inlineStr">
        <is>
          <t>부문 · 항목</t>
        </is>
      </c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</row>
    <row r="163">
      <c r="A163" s="5" t="inlineStr">
        <is>
          <t>항목</t>
        </is>
      </c>
      <c r="B163" s="5" t="inlineStr">
        <is>
          <t>참고</t>
        </is>
      </c>
      <c r="C163" s="5" t="inlineStr">
        <is>
          <t>2024.3Q</t>
        </is>
      </c>
      <c r="D163" s="5" t="inlineStr">
        <is>
          <t>2024.4Q</t>
        </is>
      </c>
      <c r="E163" s="5" t="inlineStr">
        <is>
          <t>2025.1Q</t>
        </is>
      </c>
      <c r="F163" s="5" t="inlineStr">
        <is>
          <t>2025.2Q</t>
        </is>
      </c>
      <c r="G163" s="5" t="inlineStr">
        <is>
          <t>2025.3Q</t>
        </is>
      </c>
      <c r="H163" s="5" t="inlineStr">
        <is>
          <t>2025.4Q</t>
        </is>
      </c>
      <c r="I163" s="5" t="inlineStr">
        <is>
          <t>2026.1Q</t>
        </is>
      </c>
      <c r="J163" s="5" t="inlineStr">
        <is>
          <t>2026.2Q</t>
        </is>
      </c>
      <c r="K163" s="5" t="inlineStr">
        <is>
          <t>2026.3Q</t>
        </is>
      </c>
      <c r="L163" s="5" t="inlineStr">
        <is>
          <t>2026.4Q</t>
        </is>
      </c>
      <c r="M163" s="5" t="inlineStr">
        <is>
          <t>2027.1Q</t>
        </is>
      </c>
      <c r="N163" s="5" t="inlineStr">
        <is>
          <t>2027.2Q</t>
        </is>
      </c>
      <c r="O163" s="5" t="inlineStr">
        <is>
          <t>2017</t>
        </is>
      </c>
      <c r="P163" s="5" t="inlineStr">
        <is>
          <t>2018</t>
        </is>
      </c>
      <c r="Q163" s="5" t="inlineStr">
        <is>
          <t>2019</t>
        </is>
      </c>
      <c r="R163" s="5" t="inlineStr">
        <is>
          <t>2020</t>
        </is>
      </c>
      <c r="S163" s="5" t="inlineStr">
        <is>
          <t>2021</t>
        </is>
      </c>
      <c r="T163" s="5" t="inlineStr">
        <is>
          <t>2022</t>
        </is>
      </c>
      <c r="U163" s="5" t="inlineStr">
        <is>
          <t>2023</t>
        </is>
      </c>
      <c r="V163" s="5" t="inlineStr">
        <is>
          <t>2024</t>
        </is>
      </c>
      <c r="W163" s="5" t="inlineStr">
        <is>
          <t>2025</t>
        </is>
      </c>
      <c r="X163" s="5" t="inlineStr">
        <is>
          <t>2026</t>
        </is>
      </c>
      <c r="Y163" s="5" t="inlineStr">
        <is>
          <t>2027(MW)</t>
        </is>
      </c>
      <c r="Z163" s="5" t="inlineStr">
        <is>
          <t>2028(MW)</t>
        </is>
      </c>
      <c r="AA163" s="5" t="inlineStr">
        <is>
          <t>2029(MW)</t>
        </is>
      </c>
      <c r="AB163" s="5" t="inlineStr">
        <is>
          <t>2030(MW)</t>
        </is>
      </c>
      <c r="AC163" s="5" t="inlineStr">
        <is>
          <t>2031(MW)</t>
        </is>
      </c>
    </row>
    <row r="164">
      <c r="A164" s="18" t="inlineStr">
        <is>
          <t>CSReportableSegmentsMember · 외부 고객 매출</t>
        </is>
      </c>
      <c r="C164" s="20" t="n">
        <v>5073</v>
      </c>
      <c r="D164" s="20" t="n">
        <v>5164</v>
      </c>
      <c r="E164" s="20" t="n">
        <v>5717</v>
      </c>
      <c r="F164" s="20" t="n">
        <v>5802</v>
      </c>
      <c r="G164" s="20" t="n">
        <v>5322</v>
      </c>
      <c r="H164" s="20" t="n">
        <v>5315</v>
      </c>
      <c r="I164" s="20" t="n">
        <v>5207</v>
      </c>
      <c r="J164" s="20" t="n">
        <v>5884</v>
      </c>
      <c r="K164" s="20" t="n">
        <v>5812</v>
      </c>
      <c r="L164" s="20" t="n">
        <v>5617</v>
      </c>
      <c r="M164" s="20" t="n">
        <v>5877</v>
      </c>
      <c r="N164" s="20" t="n">
        <v>6623</v>
      </c>
      <c r="V164" s="20" t="n">
        <v>5164</v>
      </c>
      <c r="W164" s="20" t="n">
        <v>5315</v>
      </c>
      <c r="X164" s="20" t="n">
        <v>5617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SCIReportableSegmentMember · 외부 고객 매출</t>
        </is>
      </c>
      <c r="C166" s="20" t="n">
        <v>6027</v>
      </c>
      <c r="D166" s="20" t="n">
        <v>6999</v>
      </c>
      <c r="E166" s="20" t="n">
        <v>5944</v>
      </c>
      <c r="F166" s="20" t="n">
        <v>6038</v>
      </c>
      <c r="G166" s="20" t="n">
        <v>5642</v>
      </c>
      <c r="H166" s="20" t="n">
        <v>8019</v>
      </c>
      <c r="I166" s="20" t="n">
        <v>5801</v>
      </c>
      <c r="J166" s="20" t="n">
        <v>6238</v>
      </c>
      <c r="K166" s="20" t="n">
        <v>6222</v>
      </c>
      <c r="L166" s="20" t="n">
        <v>7360</v>
      </c>
      <c r="M166" s="20" t="n">
        <v>5592</v>
      </c>
      <c r="N166" s="20" t="n">
        <v>6685</v>
      </c>
      <c r="V166" s="20" t="n">
        <v>6999</v>
      </c>
      <c r="W166" s="20" t="n">
        <v>8019</v>
      </c>
      <c r="X166" s="20" t="n">
        <v>7360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RandDCenterReportableSegmentsMember · 외부 고객 매출</t>
        </is>
      </c>
      <c r="E168" s="20" t="n">
        <v>64</v>
      </c>
      <c r="F168" s="20" t="n">
        <v>49</v>
      </c>
      <c r="I168" s="20" t="n">
        <v>20</v>
      </c>
      <c r="J168" s="20" t="n">
        <v>1</v>
      </c>
      <c r="M168" s="20" t="n">
        <v>2</v>
      </c>
      <c r="N168" s="20" t="n">
        <v>13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</row>
    <row r="170">
      <c r="A170" s="18" t="inlineStr">
        <is>
          <t>보고부문 합계 · 외부 고객 매출</t>
        </is>
      </c>
      <c r="C170" s="20" t="n">
        <v>11168</v>
      </c>
      <c r="D170" s="20" t="n">
        <v>12279</v>
      </c>
      <c r="E170" s="20" t="n">
        <v>11726</v>
      </c>
      <c r="F170" s="20" t="n">
        <v>11888</v>
      </c>
      <c r="G170" s="20" t="n">
        <v>11016</v>
      </c>
      <c r="H170" s="20" t="n">
        <v>13421</v>
      </c>
      <c r="I170" s="20" t="n">
        <v>11029</v>
      </c>
      <c r="J170" s="20" t="n">
        <v>12123</v>
      </c>
      <c r="K170" s="20" t="n">
        <v>12035</v>
      </c>
      <c r="L170" s="20" t="n">
        <v>13017</v>
      </c>
      <c r="M170" s="20" t="n">
        <v>11472</v>
      </c>
      <c r="N170" s="20" t="n">
        <v>13321</v>
      </c>
      <c r="V170" s="20" t="n">
        <v>12279</v>
      </c>
      <c r="W170" s="20" t="n">
        <v>13421</v>
      </c>
      <c r="X170" s="20" t="n">
        <v>13017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EntityTotalMember · 외부 고객 매출</t>
        </is>
      </c>
      <c r="E172" s="20" t="n">
        <v>11726</v>
      </c>
      <c r="I172" s="20" t="n">
        <v>11029</v>
      </c>
      <c r="M172" s="20" t="n">
        <v>11472</v>
      </c>
    </row>
    <row r="173">
      <c r="A173" s="9" t="inlineStr">
        <is>
          <t>외부 고객 매출</t>
        </is>
      </c>
      <c r="C173" s="12" t="n">
        <v>11168</v>
      </c>
      <c r="D173" s="12" t="n">
        <v>12279</v>
      </c>
      <c r="E173" s="12" t="n">
        <v>11726</v>
      </c>
      <c r="F173" s="12" t="n">
        <v>11888</v>
      </c>
      <c r="G173" s="12" t="n">
        <v>11016</v>
      </c>
      <c r="H173" s="12" t="n">
        <v>13421</v>
      </c>
      <c r="V173" s="12" t="n">
        <v>12279</v>
      </c>
      <c r="W173" s="12" t="n">
        <v>13421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</row>
    <row r="175">
      <c r="A175" s="18" t="inlineStr">
        <is>
          <t>CSReportableSegmentsMember · 부문 간 내부매출·대체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18" t="inlineStr">
        <is>
          <t>SCIReportableSegmentMember · 부문 간 내부매출·대체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J176" s="20" t="n">
        <v>0</v>
      </c>
      <c r="K176" s="20" t="n">
        <v>0</v>
      </c>
      <c r="L176" s="20" t="n">
        <v>0</v>
      </c>
      <c r="M176" s="20" t="n">
        <v>0</v>
      </c>
      <c r="N176" s="20" t="n">
        <v>0</v>
      </c>
      <c r="V176" s="20" t="n">
        <v>0</v>
      </c>
      <c r="W176" s="20" t="n">
        <v>0</v>
      </c>
      <c r="X176" s="20" t="n">
        <v>0</v>
      </c>
    </row>
    <row r="177">
      <c r="A177" s="18" t="inlineStr">
        <is>
          <t>RandDCenterReportableSegmentsMember · 부문 간 내부매출·대체</t>
        </is>
      </c>
      <c r="E177" s="20" t="n">
        <v>0</v>
      </c>
      <c r="F177" s="20" t="n">
        <v>0</v>
      </c>
      <c r="I177" s="20" t="n">
        <v>0</v>
      </c>
      <c r="J177" s="20" t="n">
        <v>0</v>
      </c>
      <c r="M177" s="20" t="n">
        <v>0</v>
      </c>
      <c r="N177" s="20" t="n">
        <v>0</v>
      </c>
    </row>
    <row r="178">
      <c r="A178" s="18" t="inlineStr">
        <is>
          <t>보고부문 합계 · 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EntityTotalMember · 부문 간 내부매출·대체</t>
        </is>
      </c>
      <c r="E179" s="20" t="n">
        <v>0</v>
      </c>
      <c r="I179" s="20" t="n">
        <v>0</v>
      </c>
      <c r="M179" s="20" t="n">
        <v>0</v>
      </c>
    </row>
    <row r="180">
      <c r="A180" s="18" t="inlineStr">
        <is>
          <t>부문 간 내부매출·대체</t>
        </is>
      </c>
      <c r="C180" s="20" t="n">
        <v>0</v>
      </c>
      <c r="D180" s="20" t="n">
        <v>0</v>
      </c>
      <c r="E180" s="20" t="n">
        <v>0</v>
      </c>
      <c r="F180" s="20" t="n">
        <v>0</v>
      </c>
      <c r="G180" s="20" t="n">
        <v>0</v>
      </c>
      <c r="H180" s="20" t="n">
        <v>0</v>
      </c>
      <c r="V180" s="20" t="n">
        <v>0</v>
      </c>
      <c r="W180" s="20" t="n">
        <v>0</v>
      </c>
    </row>
    <row r="181">
      <c r="A181" s="18" t="inlineStr">
        <is>
          <t>CSReportableSegmentsMember · 계</t>
        </is>
      </c>
      <c r="C181" s="20" t="n">
        <v>5073</v>
      </c>
      <c r="D181" s="20" t="n">
        <v>5164</v>
      </c>
      <c r="E181" s="20" t="n">
        <v>5717</v>
      </c>
      <c r="F181" s="20" t="n">
        <v>5802</v>
      </c>
      <c r="G181" s="20" t="n">
        <v>5322</v>
      </c>
      <c r="H181" s="20" t="n">
        <v>5315</v>
      </c>
      <c r="I181" s="20" t="n">
        <v>5207</v>
      </c>
      <c r="J181" s="20" t="n">
        <v>5884</v>
      </c>
      <c r="K181" s="20" t="n">
        <v>5812</v>
      </c>
      <c r="L181" s="20" t="n">
        <v>5617</v>
      </c>
      <c r="M181" s="20" t="n">
        <v>5877</v>
      </c>
      <c r="N181" s="20" t="n">
        <v>6623</v>
      </c>
      <c r="V181" s="20" t="n">
        <v>5164</v>
      </c>
      <c r="W181" s="20" t="n">
        <v>5315</v>
      </c>
      <c r="X181" s="20" t="n">
        <v>5617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SCIReportableSegmentMember · 계</t>
        </is>
      </c>
      <c r="C183" s="20" t="n">
        <v>6027</v>
      </c>
      <c r="D183" s="20" t="n">
        <v>6999</v>
      </c>
      <c r="E183" s="20" t="n">
        <v>5944</v>
      </c>
      <c r="F183" s="20" t="n">
        <v>6038</v>
      </c>
      <c r="G183" s="20" t="n">
        <v>5642</v>
      </c>
      <c r="H183" s="20" t="n">
        <v>8019</v>
      </c>
      <c r="I183" s="20" t="n">
        <v>5801</v>
      </c>
      <c r="J183" s="20" t="n">
        <v>6238</v>
      </c>
      <c r="K183" s="20" t="n">
        <v>6222</v>
      </c>
      <c r="L183" s="20" t="n">
        <v>7360</v>
      </c>
      <c r="M183" s="20" t="n">
        <v>5592</v>
      </c>
      <c r="N183" s="20" t="n">
        <v>6685</v>
      </c>
      <c r="V183" s="20" t="n">
        <v>6999</v>
      </c>
      <c r="W183" s="20" t="n">
        <v>8019</v>
      </c>
      <c r="X183" s="20" t="n">
        <v>7360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RandDCenterReportableSegmentsMember · 계</t>
        </is>
      </c>
      <c r="E185" s="20" t="n">
        <v>64</v>
      </c>
      <c r="F185" s="20" t="n">
        <v>49</v>
      </c>
      <c r="I185" s="20" t="n">
        <v>20</v>
      </c>
      <c r="J185" s="20" t="n">
        <v>1</v>
      </c>
      <c r="M185" s="20" t="n">
        <v>2</v>
      </c>
      <c r="N185" s="20" t="n">
        <v>13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</row>
    <row r="187">
      <c r="A187" s="18" t="inlineStr">
        <is>
          <t>보고부문 합계 · 계</t>
        </is>
      </c>
      <c r="C187" s="20" t="n">
        <v>11168</v>
      </c>
      <c r="D187" s="20" t="n">
        <v>12279</v>
      </c>
      <c r="E187" s="20" t="n">
        <v>11726</v>
      </c>
      <c r="F187" s="20" t="n">
        <v>11888</v>
      </c>
      <c r="G187" s="20" t="n">
        <v>11016</v>
      </c>
      <c r="H187" s="20" t="n">
        <v>13421</v>
      </c>
      <c r="I187" s="20" t="n">
        <v>11029</v>
      </c>
      <c r="J187" s="20" t="n">
        <v>12123</v>
      </c>
      <c r="K187" s="20" t="n">
        <v>12035</v>
      </c>
      <c r="L187" s="20" t="n">
        <v>13017</v>
      </c>
      <c r="M187" s="20" t="n">
        <v>11472</v>
      </c>
      <c r="N187" s="20" t="n">
        <v>13321</v>
      </c>
      <c r="V187" s="20" t="n">
        <v>12279</v>
      </c>
      <c r="W187" s="20" t="n">
        <v>13421</v>
      </c>
      <c r="X187" s="20" t="n">
        <v>13017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EntityTotalMember · 계</t>
        </is>
      </c>
      <c r="E189" s="20" t="n">
        <v>11726</v>
      </c>
      <c r="I189" s="20" t="n">
        <v>11029</v>
      </c>
      <c r="M189" s="20" t="n">
        <v>11472</v>
      </c>
    </row>
    <row r="190">
      <c r="A190" s="9" t="inlineStr">
        <is>
          <t>계</t>
        </is>
      </c>
      <c r="C190" s="12" t="n">
        <v>11168</v>
      </c>
      <c r="D190" s="12" t="n">
        <v>12279</v>
      </c>
      <c r="E190" s="12" t="n">
        <v>11726</v>
      </c>
      <c r="F190" s="12" t="n">
        <v>11888</v>
      </c>
      <c r="G190" s="12" t="n">
        <v>11016</v>
      </c>
      <c r="H190" s="12" t="n">
        <v>13421</v>
      </c>
      <c r="V190" s="12" t="n">
        <v>12279</v>
      </c>
      <c r="W190" s="12" t="n">
        <v>13421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</row>
    <row r="192">
      <c r="A192" s="18" t="inlineStr">
        <is>
          <t>CSReportableSegmentsMember · 부문 이익 또는 손실(△)(영업손실)</t>
        </is>
      </c>
      <c r="C192" s="20" t="n">
        <v>231</v>
      </c>
      <c r="D192" s="20" t="n">
        <v>338</v>
      </c>
      <c r="E192" s="20" t="n">
        <v>569</v>
      </c>
      <c r="F192" s="20" t="n">
        <v>591</v>
      </c>
      <c r="G192" s="20" t="n">
        <v>158</v>
      </c>
      <c r="H192" s="20" t="n">
        <v>216</v>
      </c>
      <c r="I192" s="20" t="n">
        <v>229</v>
      </c>
      <c r="J192" s="20" t="n">
        <v>431</v>
      </c>
      <c r="K192" s="20" t="n">
        <v>367</v>
      </c>
      <c r="L192" s="20" t="n">
        <v>160</v>
      </c>
      <c r="M192" s="20" t="n">
        <v>269</v>
      </c>
      <c r="N192" s="20" t="n">
        <v>399</v>
      </c>
      <c r="V192" s="20" t="n">
        <v>338</v>
      </c>
      <c r="W192" s="20" t="n">
        <v>216</v>
      </c>
      <c r="X192" s="20" t="n">
        <v>160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IF(OR(C192="",C181=""),"",IF(C181&lt;=0,"",IFERROR(C192/C181,"")))</f>
        <v/>
      </c>
      <c r="D193" s="15">
        <f>IF(OR(D192="",D181=""),"",IF(D181&lt;=0,"",IFERROR(D192/D181,"")))</f>
        <v/>
      </c>
      <c r="E193" s="15">
        <f>IF(OR(E192="",E181=""),"",IF(E181&lt;=0,"",IFERROR(E192/E181,"")))</f>
        <v/>
      </c>
      <c r="F193" s="15">
        <f>IF(OR(F192="",F181=""),"",IF(F181&lt;=0,"",IFERROR(F192/F181,"")))</f>
        <v/>
      </c>
      <c r="G193" s="15">
        <f>IF(OR(G192="",G181=""),"",IF(G181&lt;=0,"",IFERROR(G192/G181,"")))</f>
        <v/>
      </c>
      <c r="H193" s="15">
        <f>IF(OR(H192="",H181=""),"",IF(H181&lt;=0,"",IFERROR(H192/H181,"")))</f>
        <v/>
      </c>
      <c r="I193" s="15">
        <f>IF(OR(I192="",I181=""),"",IF(I181&lt;=0,"",IFERROR(I192/I181,"")))</f>
        <v/>
      </c>
      <c r="J193" s="15">
        <f>IF(OR(J192="",J181=""),"",IF(J181&lt;=0,"",IFERROR(J192/J181,"")))</f>
        <v/>
      </c>
      <c r="K193" s="15">
        <f>IF(OR(K192="",K181=""),"",IF(K181&lt;=0,"",IFERROR(K192/K181,"")))</f>
        <v/>
      </c>
      <c r="L193" s="15">
        <f>IF(OR(L192="",L181=""),"",IF(L181&lt;=0,"",IFERROR(L192/L181,"")))</f>
        <v/>
      </c>
      <c r="M193" s="15">
        <f>IF(OR(M192="",M181=""),"",IF(M181&lt;=0,"",IFERROR(M192/M181,"")))</f>
        <v/>
      </c>
      <c r="N193" s="15">
        <f>IF(OR(N192="",N181=""),"",IF(N181&lt;=0,"",IFERROR(N192/N181,"")))</f>
        <v/>
      </c>
      <c r="V193" s="15">
        <f>IF(OR(V192="",V181=""),"",IF(V181&lt;=0,"",IFERROR(V192/V181,"")))</f>
        <v/>
      </c>
      <c r="W193" s="15">
        <f>IF(OR(W192="",W181=""),"",IF(W181&lt;=0,"",IFERROR(W192/W181,"")))</f>
        <v/>
      </c>
      <c r="X193" s="15">
        <f>IF(OR(X192="",X181=""),"",IF(X181&lt;=0,"",IFERROR(X192/X181,"")))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SCIReportableSegmentMember · 부문 이익 또는 손실(△)(영업손실)</t>
        </is>
      </c>
      <c r="C195" s="20" t="n">
        <v>-558</v>
      </c>
      <c r="D195" s="20" t="n">
        <v>-979</v>
      </c>
      <c r="E195" s="20" t="n">
        <v>-528</v>
      </c>
      <c r="F195" s="20" t="n">
        <v>-323</v>
      </c>
      <c r="G195" s="20" t="n">
        <v>-185</v>
      </c>
      <c r="H195" s="20" t="n">
        <v>-272</v>
      </c>
      <c r="I195" s="20" t="n">
        <v>-365</v>
      </c>
      <c r="J195" s="20" t="n">
        <v>-168</v>
      </c>
      <c r="K195" s="20" t="n">
        <v>313</v>
      </c>
      <c r="L195" s="20" t="n">
        <v>-158</v>
      </c>
      <c r="M195" s="20" t="n">
        <v>-188</v>
      </c>
      <c r="N195" s="20" t="n">
        <v>57</v>
      </c>
      <c r="V195" s="20" t="n">
        <v>-979</v>
      </c>
      <c r="W195" s="20" t="n">
        <v>-272</v>
      </c>
      <c r="X195" s="20" t="n">
        <v>-158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IF(OR(C195="",C183=""),"",IF(C183&lt;=0,"",IFERROR(C195/C183,"")))</f>
        <v/>
      </c>
      <c r="D196" s="15">
        <f>IF(OR(D195="",D183=""),"",IF(D183&lt;=0,"",IFERROR(D195/D183,"")))</f>
        <v/>
      </c>
      <c r="E196" s="15">
        <f>IF(OR(E195="",E183=""),"",IF(E183&lt;=0,"",IFERROR(E195/E183,"")))</f>
        <v/>
      </c>
      <c r="F196" s="15">
        <f>IF(OR(F195="",F183=""),"",IF(F183&lt;=0,"",IFERROR(F195/F183,"")))</f>
        <v/>
      </c>
      <c r="G196" s="15">
        <f>IF(OR(G195="",G183=""),"",IF(G183&lt;=0,"",IFERROR(G195/G183,"")))</f>
        <v/>
      </c>
      <c r="H196" s="15">
        <f>IF(OR(H195="",H183=""),"",IF(H183&lt;=0,"",IFERROR(H195/H183,"")))</f>
        <v/>
      </c>
      <c r="I196" s="15">
        <f>IF(OR(I195="",I183=""),"",IF(I183&lt;=0,"",IFERROR(I195/I183,"")))</f>
        <v/>
      </c>
      <c r="J196" s="15">
        <f>IF(OR(J195="",J183=""),"",IF(J183&lt;=0,"",IFERROR(J195/J183,"")))</f>
        <v/>
      </c>
      <c r="K196" s="15">
        <f>IF(OR(K195="",K183=""),"",IF(K183&lt;=0,"",IFERROR(K195/K183,"")))</f>
        <v/>
      </c>
      <c r="L196" s="15">
        <f>IF(OR(L195="",L183=""),"",IF(L183&lt;=0,"",IFERROR(L195/L183,"")))</f>
        <v/>
      </c>
      <c r="M196" s="15">
        <f>IF(OR(M195="",M183=""),"",IF(M183&lt;=0,"",IFERROR(M195/M183,"")))</f>
        <v/>
      </c>
      <c r="N196" s="15">
        <f>IF(OR(N195="",N183=""),"",IF(N183&lt;=0,"",IFERROR(N195/N183,"")))</f>
        <v/>
      </c>
      <c r="V196" s="15">
        <f>IF(OR(V195="",V183=""),"",IF(V183&lt;=0,"",IFERROR(V195/V183,"")))</f>
        <v/>
      </c>
      <c r="W196" s="15">
        <f>IF(OR(W195="",W183=""),"",IF(W183&lt;=0,"",IFERROR(W195/W183,"")))</f>
        <v/>
      </c>
      <c r="X196" s="15">
        <f>IF(OR(X195="",X183=""),"",IF(X183&lt;=0,"",IFERROR(X195/X183,"")))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RandDCenterReportableSegmentsMember · 부문 이익 또는 손실(△)(영업손실)</t>
        </is>
      </c>
      <c r="E198" s="20" t="n">
        <v>-104</v>
      </c>
      <c r="F198" s="20" t="n">
        <v>-96</v>
      </c>
      <c r="I198" s="20" t="n">
        <v>-144</v>
      </c>
      <c r="J198" s="20" t="n">
        <v>-100</v>
      </c>
      <c r="M198" s="20" t="n">
        <v>-74</v>
      </c>
      <c r="N198" s="20" t="n">
        <v>-65</v>
      </c>
    </row>
    <row r="199">
      <c r="A199" s="43" t="inlineStr">
        <is>
          <t>OPM</t>
        </is>
      </c>
      <c r="B199" s="3" t="inlineStr">
        <is>
          <t>영업이익 ÷ 매출</t>
        </is>
      </c>
      <c r="E199" s="15">
        <f>IF(OR(E198="",E185=""),"",IF(E185&lt;=0,"",IFERROR(E198/E185,"")))</f>
        <v/>
      </c>
      <c r="F199" s="15">
        <f>IF(OR(F198="",F185=""),"",IF(F185&lt;=0,"",IFERROR(F198/F185,"")))</f>
        <v/>
      </c>
      <c r="I199" s="15">
        <f>IF(OR(I198="",I185=""),"",IF(I185&lt;=0,"",IFERROR(I198/I185,"")))</f>
        <v/>
      </c>
      <c r="J199" s="15">
        <f>IF(OR(J198="",J185=""),"",IF(J185&lt;=0,"",IFERROR(J198/J185,"")))</f>
        <v/>
      </c>
      <c r="M199" s="15">
        <f>IF(OR(M198="",M185=""),"",IF(M185&lt;=0,"",IFERROR(M198/M185,"")))</f>
        <v/>
      </c>
      <c r="N199" s="15">
        <f>IF(OR(N198="",N185=""),"",IF(N185&lt;=0,"",IFERROR(N198/N185,"")))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</row>
    <row r="201">
      <c r="A201" s="18" t="inlineStr">
        <is>
          <t>보고부문 합계 · 부문 이익 또는 손실(△)(영업손실)</t>
        </is>
      </c>
      <c r="C201" s="20" t="n">
        <v>-379</v>
      </c>
      <c r="D201" s="20" t="n">
        <v>-687</v>
      </c>
      <c r="E201" s="20" t="n">
        <v>-64</v>
      </c>
      <c r="F201" s="20" t="n">
        <v>172</v>
      </c>
      <c r="G201" s="20" t="n">
        <v>-183</v>
      </c>
      <c r="H201" s="20" t="n">
        <v>-145</v>
      </c>
      <c r="I201" s="20" t="n">
        <v>-280</v>
      </c>
      <c r="J201" s="20" t="n">
        <v>163</v>
      </c>
      <c r="K201" s="20" t="n">
        <v>589</v>
      </c>
      <c r="L201" s="20" t="n">
        <v>-42</v>
      </c>
      <c r="M201" s="20" t="n">
        <v>6</v>
      </c>
      <c r="N201" s="20" t="n">
        <v>391</v>
      </c>
      <c r="V201" s="20" t="n">
        <v>-687</v>
      </c>
      <c r="W201" s="20" t="n">
        <v>-145</v>
      </c>
      <c r="X201" s="20" t="n">
        <v>-42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IF(OR(C201="",C187=""),"",IF(C187&lt;=0,"",IFERROR(C201/C187,"")))</f>
        <v/>
      </c>
      <c r="D202" s="15">
        <f>IF(OR(D201="",D187=""),"",IF(D187&lt;=0,"",IFERROR(D201/D187,"")))</f>
        <v/>
      </c>
      <c r="E202" s="15">
        <f>IF(OR(E201="",E187=""),"",IF(E187&lt;=0,"",IFERROR(E201/E187,"")))</f>
        <v/>
      </c>
      <c r="F202" s="15">
        <f>IF(OR(F201="",F187=""),"",IF(F187&lt;=0,"",IFERROR(F201/F187,"")))</f>
        <v/>
      </c>
      <c r="G202" s="15">
        <f>IF(OR(G201="",G187=""),"",IF(G187&lt;=0,"",IFERROR(G201/G187,"")))</f>
        <v/>
      </c>
      <c r="H202" s="15">
        <f>IF(OR(H201="",H187=""),"",IF(H187&lt;=0,"",IFERROR(H201/H187,"")))</f>
        <v/>
      </c>
      <c r="I202" s="15">
        <f>IF(OR(I201="",I187=""),"",IF(I187&lt;=0,"",IFERROR(I201/I187,"")))</f>
        <v/>
      </c>
      <c r="J202" s="15">
        <f>IF(OR(J201="",J187=""),"",IF(J187&lt;=0,"",IFERROR(J201/J187,"")))</f>
        <v/>
      </c>
      <c r="K202" s="15">
        <f>IF(OR(K201="",K187=""),"",IF(K187&lt;=0,"",IFERROR(K201/K187,"")))</f>
        <v/>
      </c>
      <c r="L202" s="15">
        <f>IF(OR(L201="",L187=""),"",IF(L187&lt;=0,"",IFERROR(L201/L187,"")))</f>
        <v/>
      </c>
      <c r="M202" s="15">
        <f>IF(OR(M201="",M187=""),"",IF(M187&lt;=0,"",IFERROR(M201/M187,"")))</f>
        <v/>
      </c>
      <c r="N202" s="15">
        <f>IF(OR(N201="",N187=""),"",IF(N187&lt;=0,"",IFERROR(N201/N187,"")))</f>
        <v/>
      </c>
      <c r="V202" s="15">
        <f>IF(OR(V201="",V187=""),"",IF(V187&lt;=0,"",IFERROR(V201/V187,"")))</f>
        <v/>
      </c>
      <c r="W202" s="15">
        <f>IF(OR(W201="",W187=""),"",IF(W187&lt;=0,"",IFERROR(W201/W187,"")))</f>
        <v/>
      </c>
      <c r="X202" s="15">
        <f>IF(OR(X201="",X187=""),"",IF(X187&lt;=0,"",IFERROR(X201/X187,"")))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18" t="inlineStr">
        <is>
          <t>EntityTotalMember · 부문 이익 또는 손실(△)(영업손실)</t>
        </is>
      </c>
      <c r="E204" s="20" t="n">
        <v>-64</v>
      </c>
      <c r="I204" s="20" t="n">
        <v>-280</v>
      </c>
      <c r="M204" s="20" t="n">
        <v>6</v>
      </c>
    </row>
    <row r="205">
      <c r="A205" s="9" t="inlineStr">
        <is>
          <t>부문 이익 또는 손실(△)(영업손실)</t>
        </is>
      </c>
      <c r="C205" s="12" t="n">
        <v>-379</v>
      </c>
      <c r="D205" s="12" t="n">
        <v>-687</v>
      </c>
      <c r="E205" s="12" t="n">
        <v>-64</v>
      </c>
      <c r="F205" s="12" t="n">
        <v>172</v>
      </c>
      <c r="G205" s="12" t="n">
        <v>-183</v>
      </c>
      <c r="H205" s="12" t="n">
        <v>-145</v>
      </c>
      <c r="V205" s="12" t="n">
        <v>-687</v>
      </c>
      <c r="W205" s="12" t="n">
        <v>-145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IF(OR(C205="",C173=""),"",IF(C173&lt;=0,"",IFERROR(C205/C173,"")))</f>
        <v/>
      </c>
      <c r="D206" s="15">
        <f>IF(OR(D205="",D173=""),"",IF(D173&lt;=0,"",IFERROR(D205/D173,"")))</f>
        <v/>
      </c>
      <c r="E206" s="15">
        <f>IF(OR(E205="",E173=""),"",IF(E173&lt;=0,"",IFERROR(E205/E173,"")))</f>
        <v/>
      </c>
      <c r="F206" s="15">
        <f>IF(OR(F205="",F173=""),"",IF(F173&lt;=0,"",IFERROR(F205/F173,"")))</f>
        <v/>
      </c>
      <c r="G206" s="15">
        <f>IF(OR(G205="",G173=""),"",IF(G173&lt;=0,"",IFERROR(G205/G173,"")))</f>
        <v/>
      </c>
      <c r="H206" s="15">
        <f>IF(OR(H205="",H173=""),"",IF(H173&lt;=0,"",IFERROR(H205/H173,"")))</f>
        <v/>
      </c>
      <c r="V206" s="15">
        <f>IF(OR(V205="",V173=""),"",IF(V173&lt;=0,"",IFERROR(V205/V173,"")))</f>
        <v/>
      </c>
      <c r="W206" s="15">
        <f>IF(OR(W205="",W173=""),"",IF(W173&lt;=0,"",IFERROR(W205/W173,"")))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</row>
    <row r="209">
      <c r="A209" s="16" t="inlineStr">
        <is>
          <t>현금흐름표 · 전 항목</t>
        </is>
      </c>
      <c r="B209" s="42" t="inlineStr">
        <is>
          <t>분기 = 결산기 첫날부터 누계(공시 그대로)</t>
        </is>
      </c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  <c r="AA209" s="16" t="n"/>
      <c r="AB209" s="16" t="n"/>
      <c r="AC209" s="16" t="n"/>
    </row>
    <row r="210">
      <c r="A210" s="5" t="inlineStr">
        <is>
          <t>항목</t>
        </is>
      </c>
      <c r="B210" s="5" t="inlineStr">
        <is>
          <t>참고</t>
        </is>
      </c>
      <c r="C210" s="5" t="inlineStr">
        <is>
          <t>2024.3Q</t>
        </is>
      </c>
      <c r="D210" s="5" t="inlineStr">
        <is>
          <t>2024.4Q</t>
        </is>
      </c>
      <c r="E210" s="5" t="inlineStr">
        <is>
          <t>2025.1Q</t>
        </is>
      </c>
      <c r="F210" s="5" t="inlineStr">
        <is>
          <t>2025.2Q</t>
        </is>
      </c>
      <c r="G210" s="5" t="inlineStr">
        <is>
          <t>2025.3Q</t>
        </is>
      </c>
      <c r="H210" s="5" t="inlineStr">
        <is>
          <t>2025.4Q</t>
        </is>
      </c>
      <c r="I210" s="5" t="inlineStr">
        <is>
          <t>2026.1Q</t>
        </is>
      </c>
      <c r="J210" s="5" t="inlineStr">
        <is>
          <t>2026.2Q</t>
        </is>
      </c>
      <c r="K210" s="5" t="inlineStr">
        <is>
          <t>2026.3Q</t>
        </is>
      </c>
      <c r="L210" s="5" t="inlineStr">
        <is>
          <t>2026.4Q</t>
        </is>
      </c>
      <c r="M210" s="5" t="inlineStr">
        <is>
          <t>2027.1Q</t>
        </is>
      </c>
      <c r="N210" s="5" t="inlineStr">
        <is>
          <t>2027.2Q</t>
        </is>
      </c>
      <c r="O210" s="5" t="inlineStr">
        <is>
          <t>2017</t>
        </is>
      </c>
      <c r="P210" s="5" t="inlineStr">
        <is>
          <t>2018</t>
        </is>
      </c>
      <c r="Q210" s="5" t="inlineStr">
        <is>
          <t>2019</t>
        </is>
      </c>
      <c r="R210" s="5" t="inlineStr">
        <is>
          <t>2020</t>
        </is>
      </c>
      <c r="S210" s="5" t="inlineStr">
        <is>
          <t>2021</t>
        </is>
      </c>
      <c r="T210" s="5" t="inlineStr">
        <is>
          <t>2022</t>
        </is>
      </c>
      <c r="U210" s="5" t="inlineStr">
        <is>
          <t>2023</t>
        </is>
      </c>
      <c r="V210" s="5" t="inlineStr">
        <is>
          <t>2024</t>
        </is>
      </c>
      <c r="W210" s="5" t="inlineStr">
        <is>
          <t>2025</t>
        </is>
      </c>
      <c r="X210" s="5" t="inlineStr">
        <is>
          <t>2026</t>
        </is>
      </c>
      <c r="Y210" s="5" t="inlineStr">
        <is>
          <t>2027(MW)</t>
        </is>
      </c>
      <c r="Z210" s="5" t="inlineStr">
        <is>
          <t>2028(MW)</t>
        </is>
      </c>
      <c r="AA210" s="5" t="inlineStr">
        <is>
          <t>2029(MW)</t>
        </is>
      </c>
      <c r="AB210" s="5" t="inlineStr">
        <is>
          <t>2030(MW)</t>
        </is>
      </c>
      <c r="AC210" s="5" t="inlineStr">
        <is>
          <t>2031(MW)</t>
        </is>
      </c>
    </row>
    <row r="211">
      <c r="A211" s="9" t="inlineStr">
        <is>
          <t>법인세차감전 중간순이익(손실)</t>
        </is>
      </c>
      <c r="D211" s="12" t="n">
        <v>-53</v>
      </c>
      <c r="F211" s="12" t="n">
        <v>-7</v>
      </c>
      <c r="H211" s="12" t="n">
        <v>-963</v>
      </c>
      <c r="J211" s="12" t="n">
        <v>-122</v>
      </c>
      <c r="L211" s="12" t="n">
        <v>867</v>
      </c>
      <c r="N211" s="12" t="n">
        <v>716</v>
      </c>
      <c r="O211" s="12" t="n">
        <v>1241</v>
      </c>
      <c r="P211" s="12" t="n">
        <v>570</v>
      </c>
      <c r="Q211" s="12" t="n">
        <v>303</v>
      </c>
      <c r="R211" s="12" t="n">
        <v>-3165</v>
      </c>
      <c r="S211" s="12" t="n">
        <v>2271</v>
      </c>
      <c r="T211" s="12" t="n">
        <v>3254</v>
      </c>
      <c r="U211" s="12" t="n">
        <v>1906</v>
      </c>
      <c r="V211" s="12" t="n">
        <v>-53</v>
      </c>
      <c r="W211" s="12" t="n">
        <v>-963</v>
      </c>
      <c r="X211" s="12" t="n">
        <v>867</v>
      </c>
    </row>
    <row r="212">
      <c r="A212" s="18" t="inlineStr">
        <is>
          <t>감가상각비</t>
        </is>
      </c>
      <c r="D212" s="20" t="n">
        <v>2451</v>
      </c>
      <c r="F212" s="20" t="n">
        <v>1146</v>
      </c>
      <c r="H212" s="20" t="n">
        <v>2347</v>
      </c>
      <c r="J212" s="20" t="n">
        <v>1134</v>
      </c>
      <c r="L212" s="20" t="n">
        <v>2626</v>
      </c>
      <c r="N212" s="20" t="n">
        <v>1308</v>
      </c>
      <c r="O212" s="20" t="n">
        <v>4381</v>
      </c>
      <c r="P212" s="20" t="n">
        <v>4187</v>
      </c>
      <c r="Q212" s="20" t="n">
        <v>3664</v>
      </c>
      <c r="R212" s="20" t="n">
        <v>3292</v>
      </c>
      <c r="S212" s="20" t="n">
        <v>2237</v>
      </c>
      <c r="T212" s="20" t="n">
        <v>2696</v>
      </c>
      <c r="U212" s="20" t="n">
        <v>2884</v>
      </c>
      <c r="V212" s="20" t="n">
        <v>2451</v>
      </c>
      <c r="W212" s="20" t="n">
        <v>2347</v>
      </c>
      <c r="X212" s="20" t="n">
        <v>2626</v>
      </c>
    </row>
    <row r="213">
      <c r="A213" s="18" t="inlineStr">
        <is>
          <t>손상차손</t>
        </is>
      </c>
      <c r="D213" s="20" t="n">
        <v>562</v>
      </c>
      <c r="F213" s="20" t="n">
        <v>80</v>
      </c>
      <c r="H213" s="20" t="n">
        <v>497</v>
      </c>
      <c r="J213" s="20" t="n">
        <v>0</v>
      </c>
      <c r="L213" s="20" t="n">
        <v>314</v>
      </c>
      <c r="N213" s="20" t="n">
        <v>20</v>
      </c>
      <c r="O213" s="20" t="n">
        <v>443</v>
      </c>
      <c r="P213" s="20" t="n">
        <v>1815</v>
      </c>
      <c r="Q213" s="20" t="n">
        <v>148</v>
      </c>
      <c r="R213" s="20" t="n">
        <v>2953</v>
      </c>
      <c r="S213" s="20" t="n">
        <v>130</v>
      </c>
      <c r="T213" s="20" t="n">
        <v>3</v>
      </c>
      <c r="U213" s="20" t="n">
        <v>517</v>
      </c>
      <c r="V213" s="20" t="n">
        <v>562</v>
      </c>
      <c r="W213" s="20" t="n">
        <v>497</v>
      </c>
      <c r="X213" s="20" t="n">
        <v>314</v>
      </c>
    </row>
    <row r="214">
      <c r="A214" s="18" t="inlineStr">
        <is>
          <t>영업권 상각</t>
        </is>
      </c>
      <c r="O214" s="20" t="n">
        <v>137</v>
      </c>
      <c r="P214" s="20" t="n">
        <v>0</v>
      </c>
    </row>
    <row r="215">
      <c r="A215" s="18" t="inlineStr">
        <is>
          <t>사업구조개혁 비용</t>
        </is>
      </c>
      <c r="D215" s="20" t="n">
        <v>0</v>
      </c>
      <c r="H215" s="20" t="n">
        <v>869</v>
      </c>
      <c r="L215" s="20" t="n">
        <v>0</v>
      </c>
      <c r="V215" s="20" t="n">
        <v>0</v>
      </c>
      <c r="W215" s="20" t="n">
        <v>869</v>
      </c>
      <c r="X215" s="20" t="n">
        <v>0</v>
      </c>
    </row>
    <row r="216">
      <c r="A216" s="18" t="inlineStr">
        <is>
          <t>상여충당금 증감</t>
        </is>
      </c>
      <c r="D216" s="20" t="n">
        <v>-33</v>
      </c>
      <c r="F216" s="20" t="n">
        <v>127</v>
      </c>
      <c r="H216" s="20" t="n">
        <v>10</v>
      </c>
      <c r="J216" s="20" t="n">
        <v>172</v>
      </c>
      <c r="L216" s="20" t="n">
        <v>33</v>
      </c>
      <c r="N216" s="20" t="n">
        <v>83</v>
      </c>
      <c r="O216" s="20" t="n">
        <v>-337</v>
      </c>
      <c r="P216" s="20" t="n">
        <v>40</v>
      </c>
      <c r="Q216" s="20" t="n">
        <v>-44</v>
      </c>
      <c r="R216" s="20" t="n">
        <v>-44</v>
      </c>
      <c r="S216" s="20" t="n">
        <v>134</v>
      </c>
      <c r="T216" s="20" t="n">
        <v>17</v>
      </c>
      <c r="U216" s="20" t="n">
        <v>-153</v>
      </c>
      <c r="V216" s="20" t="n">
        <v>-33</v>
      </c>
      <c r="W216" s="20" t="n">
        <v>10</v>
      </c>
      <c r="X216" s="20" t="n">
        <v>33</v>
      </c>
    </row>
    <row r="217">
      <c r="A217" s="18" t="inlineStr">
        <is>
          <t>매입계약 평가충당금 증감(△는 감소)</t>
        </is>
      </c>
      <c r="D217" s="20" t="n">
        <v>103</v>
      </c>
      <c r="F217" s="20" t="n">
        <v>-64</v>
      </c>
      <c r="H217" s="20" t="n">
        <v>-100</v>
      </c>
      <c r="J217" s="20" t="n">
        <v>0</v>
      </c>
      <c r="L217" s="20" t="n">
        <v>-6</v>
      </c>
      <c r="N217" s="20" t="n">
        <v>0</v>
      </c>
      <c r="U217" s="20" t="n">
        <v>0</v>
      </c>
      <c r="V217" s="20" t="n">
        <v>103</v>
      </c>
      <c r="W217" s="20" t="n">
        <v>-100</v>
      </c>
      <c r="X217" s="20" t="n">
        <v>-6</v>
      </c>
    </row>
    <row r="218">
      <c r="A218" s="18" t="inlineStr">
        <is>
          <t>임원 퇴직위로 충당금 증감</t>
        </is>
      </c>
      <c r="D218" s="20" t="n">
        <v>0</v>
      </c>
      <c r="F218" s="20" t="n">
        <v>-11</v>
      </c>
      <c r="H218" s="20" t="n">
        <v>-8</v>
      </c>
      <c r="J218" s="20" t="n">
        <v>-4</v>
      </c>
      <c r="L218" s="20" t="n">
        <v>8</v>
      </c>
      <c r="N218" s="20" t="n">
        <v>-11</v>
      </c>
      <c r="O218" s="20" t="n">
        <v>15</v>
      </c>
      <c r="P218" s="20" t="n">
        <v>-31</v>
      </c>
      <c r="Q218" s="20" t="n">
        <v>4</v>
      </c>
      <c r="R218" s="20" t="n">
        <v>-41</v>
      </c>
      <c r="S218" s="20" t="n">
        <v>13</v>
      </c>
      <c r="T218" s="20" t="n">
        <v>25</v>
      </c>
      <c r="U218" s="20" t="n">
        <v>-41</v>
      </c>
      <c r="V218" s="20" t="n">
        <v>0</v>
      </c>
      <c r="W218" s="20" t="n">
        <v>-8</v>
      </c>
      <c r="X218" s="20" t="n">
        <v>8</v>
      </c>
    </row>
    <row r="219">
      <c r="A219" s="18" t="inlineStr">
        <is>
          <t>임원 주식급여 충당금 증감</t>
        </is>
      </c>
      <c r="D219" s="20" t="n">
        <v>-1</v>
      </c>
      <c r="F219" s="20" t="n">
        <v>4</v>
      </c>
      <c r="H219" s="20" t="n">
        <v>-2</v>
      </c>
      <c r="J219" s="20" t="n">
        <v>9</v>
      </c>
      <c r="L219" s="20" t="n">
        <v>24</v>
      </c>
      <c r="N219" s="20" t="n">
        <v>4</v>
      </c>
      <c r="R219" s="20" t="n">
        <v>0</v>
      </c>
      <c r="S219" s="20" t="n">
        <v>14</v>
      </c>
      <c r="T219" s="20" t="n">
        <v>12</v>
      </c>
      <c r="U219" s="20" t="n">
        <v>2</v>
      </c>
      <c r="V219" s="20" t="n">
        <v>-1</v>
      </c>
      <c r="W219" s="20" t="n">
        <v>-2</v>
      </c>
      <c r="X219" s="20" t="n">
        <v>24</v>
      </c>
    </row>
    <row r="220">
      <c r="A220" s="18" t="inlineStr">
        <is>
          <t>퇴직급여 자산·부채 증감</t>
        </is>
      </c>
      <c r="D220" s="20" t="n">
        <v>-187</v>
      </c>
      <c r="F220" s="20" t="n">
        <v>-197</v>
      </c>
      <c r="H220" s="20" t="n">
        <v>-133</v>
      </c>
      <c r="J220" s="20" t="n">
        <v>-273</v>
      </c>
      <c r="L220" s="20" t="n">
        <v>-460</v>
      </c>
      <c r="N220" s="20" t="n">
        <v>-400</v>
      </c>
      <c r="O220" s="20" t="n">
        <v>-257</v>
      </c>
      <c r="P220" s="20" t="n">
        <v>-382</v>
      </c>
      <c r="Q220" s="20" t="n">
        <v>-367</v>
      </c>
      <c r="R220" s="20" t="n">
        <v>-62</v>
      </c>
      <c r="S220" s="20" t="n">
        <v>30</v>
      </c>
      <c r="T220" s="20" t="n">
        <v>-289</v>
      </c>
      <c r="U220" s="20" t="n">
        <v>-294</v>
      </c>
      <c r="V220" s="20" t="n">
        <v>-187</v>
      </c>
      <c r="W220" s="20" t="n">
        <v>-133</v>
      </c>
      <c r="X220" s="20" t="n">
        <v>-460</v>
      </c>
    </row>
    <row r="221">
      <c r="A221" s="18" t="inlineStr">
        <is>
          <t>이자·배당금 수익</t>
        </is>
      </c>
      <c r="D221" s="20" t="n">
        <v>-167</v>
      </c>
      <c r="F221" s="20" t="n">
        <v>-115</v>
      </c>
      <c r="H221" s="20" t="n">
        <v>-224</v>
      </c>
      <c r="J221" s="20" t="n">
        <v>-106</v>
      </c>
      <c r="L221" s="20" t="n">
        <v>-207</v>
      </c>
      <c r="N221" s="20" t="n">
        <v>-97</v>
      </c>
      <c r="O221" s="20" t="n">
        <v>-95</v>
      </c>
      <c r="P221" s="20" t="n">
        <v>-98</v>
      </c>
      <c r="Q221" s="20" t="n">
        <v>-93</v>
      </c>
      <c r="R221" s="20" t="n">
        <v>-105</v>
      </c>
      <c r="S221" s="20" t="n">
        <v>-71</v>
      </c>
      <c r="T221" s="20" t="n">
        <v>-85</v>
      </c>
      <c r="U221" s="20" t="n">
        <v>-115</v>
      </c>
      <c r="V221" s="20" t="n">
        <v>-167</v>
      </c>
      <c r="W221" s="20" t="n">
        <v>-224</v>
      </c>
      <c r="X221" s="20" t="n">
        <v>-207</v>
      </c>
    </row>
    <row r="222">
      <c r="A222" s="18" t="inlineStr">
        <is>
          <t>이자비용</t>
        </is>
      </c>
      <c r="D222" s="20" t="n">
        <v>156</v>
      </c>
      <c r="F222" s="20" t="n">
        <v>107</v>
      </c>
      <c r="H222" s="20" t="n">
        <v>221</v>
      </c>
      <c r="J222" s="20" t="n">
        <v>122</v>
      </c>
      <c r="L222" s="20" t="n">
        <v>250</v>
      </c>
      <c r="N222" s="20" t="n">
        <v>144</v>
      </c>
      <c r="O222" s="20" t="n">
        <v>124</v>
      </c>
      <c r="P222" s="20" t="n">
        <v>114</v>
      </c>
      <c r="Q222" s="20" t="n">
        <v>114</v>
      </c>
      <c r="R222" s="20" t="n">
        <v>109</v>
      </c>
      <c r="S222" s="20" t="n">
        <v>108</v>
      </c>
      <c r="T222" s="20" t="n">
        <v>103</v>
      </c>
      <c r="U222" s="20" t="n">
        <v>173</v>
      </c>
      <c r="V222" s="20" t="n">
        <v>156</v>
      </c>
      <c r="W222" s="20" t="n">
        <v>221</v>
      </c>
      <c r="X222" s="20" t="n">
        <v>250</v>
      </c>
    </row>
    <row r="223">
      <c r="A223" s="18" t="inlineStr">
        <is>
          <t>투자유가증권 매각손익</t>
        </is>
      </c>
      <c r="D223" s="20" t="n">
        <v>-273</v>
      </c>
      <c r="F223" s="20" t="n">
        <v>0</v>
      </c>
      <c r="H223" s="20" t="n">
        <v>0</v>
      </c>
      <c r="J223" s="20" t="n">
        <v>-7</v>
      </c>
      <c r="L223" s="20" t="n">
        <v>-12</v>
      </c>
      <c r="N223" s="20" t="n">
        <v>-175</v>
      </c>
      <c r="O223" s="20" t="n">
        <v>-99</v>
      </c>
      <c r="P223" s="20" t="n">
        <v>-0</v>
      </c>
      <c r="Q223" s="20" t="n">
        <v>-193</v>
      </c>
      <c r="R223" s="20" t="n">
        <v>0</v>
      </c>
      <c r="T223" s="20" t="n">
        <v>0</v>
      </c>
      <c r="U223" s="20" t="n">
        <v>-2</v>
      </c>
      <c r="V223" s="20" t="n">
        <v>-273</v>
      </c>
      <c r="W223" s="20" t="n">
        <v>0</v>
      </c>
      <c r="X223" s="20" t="n">
        <v>-12</v>
      </c>
    </row>
    <row r="224">
      <c r="A224" s="18" t="inlineStr">
        <is>
          <t>투자유가증권 상환손익</t>
        </is>
      </c>
      <c r="O224" s="20" t="n">
        <v>0</v>
      </c>
      <c r="P224" s="20" t="n">
        <v>-46</v>
      </c>
      <c r="Q224" s="20" t="n">
        <v>0</v>
      </c>
    </row>
    <row r="225">
      <c r="A225" s="18" t="inlineStr">
        <is>
          <t>고정자산 매각손익</t>
        </is>
      </c>
      <c r="D225" s="20" t="n">
        <v>-183</v>
      </c>
      <c r="F225" s="20" t="n">
        <v>-5</v>
      </c>
      <c r="H225" s="20" t="n">
        <v>-6</v>
      </c>
      <c r="J225" s="20" t="n">
        <v>1</v>
      </c>
      <c r="L225" s="20" t="n">
        <v>-0</v>
      </c>
      <c r="N225" s="20" t="n">
        <v>-1</v>
      </c>
      <c r="O225" s="20" t="n">
        <v>-459</v>
      </c>
      <c r="P225" s="20" t="n">
        <v>-2339</v>
      </c>
      <c r="Q225" s="20" t="n">
        <v>-1316</v>
      </c>
      <c r="R225" s="20" t="n">
        <v>-53</v>
      </c>
      <c r="S225" s="20" t="n">
        <v>-20</v>
      </c>
      <c r="T225" s="20" t="n">
        <v>1</v>
      </c>
      <c r="U225" s="20" t="n">
        <v>-18</v>
      </c>
      <c r="V225" s="20" t="n">
        <v>-183</v>
      </c>
      <c r="W225" s="20" t="n">
        <v>-6</v>
      </c>
      <c r="X225" s="20" t="n">
        <v>-0</v>
      </c>
    </row>
    <row r="226">
      <c r="A226" s="18" t="inlineStr">
        <is>
          <t>투자유가증권 평가손익</t>
        </is>
      </c>
      <c r="D226" s="20" t="n">
        <v>1</v>
      </c>
      <c r="F226" s="20" t="n">
        <v>2</v>
      </c>
      <c r="H226" s="20" t="n">
        <v>69</v>
      </c>
      <c r="J226" s="20" t="n">
        <v>0</v>
      </c>
      <c r="L226" s="20" t="n">
        <v>7</v>
      </c>
      <c r="O226" s="20" t="n">
        <v>0</v>
      </c>
      <c r="P226" s="20" t="n">
        <v>181</v>
      </c>
      <c r="Q226" s="20" t="n">
        <v>86</v>
      </c>
      <c r="R226" s="20" t="n">
        <v>23</v>
      </c>
      <c r="S226" s="20" t="n">
        <v>112</v>
      </c>
      <c r="T226" s="20" t="n">
        <v>115</v>
      </c>
      <c r="U226" s="20" t="n">
        <v>25</v>
      </c>
      <c r="V226" s="20" t="n">
        <v>1</v>
      </c>
      <c r="W226" s="20" t="n">
        <v>69</v>
      </c>
      <c r="X226" s="20" t="n">
        <v>7</v>
      </c>
    </row>
    <row r="227">
      <c r="A227" s="18" t="inlineStr">
        <is>
          <t>골프회원권 매각손익</t>
        </is>
      </c>
      <c r="Q227" s="20" t="n">
        <v>0</v>
      </c>
      <c r="R227" s="20" t="n">
        <v>-23</v>
      </c>
      <c r="S227" s="20" t="n">
        <v>0</v>
      </c>
    </row>
    <row r="228">
      <c r="A228" s="18" t="inlineStr">
        <is>
          <t>고정자산 제각손실</t>
        </is>
      </c>
      <c r="D228" s="20" t="n">
        <v>72</v>
      </c>
      <c r="F228" s="20" t="n">
        <v>5</v>
      </c>
      <c r="H228" s="20" t="n">
        <v>83</v>
      </c>
      <c r="J228" s="20" t="n">
        <v>3</v>
      </c>
      <c r="L228" s="20" t="n">
        <v>65</v>
      </c>
      <c r="N228" s="20" t="n">
        <v>1</v>
      </c>
      <c r="O228" s="20" t="n">
        <v>260</v>
      </c>
      <c r="P228" s="20" t="n">
        <v>172</v>
      </c>
      <c r="Q228" s="20" t="n">
        <v>199</v>
      </c>
      <c r="R228" s="20" t="n">
        <v>72</v>
      </c>
      <c r="S228" s="20" t="n">
        <v>79</v>
      </c>
      <c r="T228" s="20" t="n">
        <v>38</v>
      </c>
      <c r="U228" s="20" t="n">
        <v>76</v>
      </c>
      <c r="V228" s="20" t="n">
        <v>72</v>
      </c>
      <c r="W228" s="20" t="n">
        <v>83</v>
      </c>
      <c r="X228" s="20" t="n">
        <v>65</v>
      </c>
    </row>
    <row r="229">
      <c r="A229" s="18" t="inlineStr">
        <is>
          <t>관계회사 정리손실</t>
        </is>
      </c>
      <c r="R229" s="20" t="n">
        <v>0</v>
      </c>
      <c r="S229" s="20" t="n">
        <v>22</v>
      </c>
      <c r="T229" s="20" t="n">
        <v>0</v>
      </c>
    </row>
    <row r="230">
      <c r="A230" s="18" t="inlineStr">
        <is>
          <t>투자사업조합 운용 손익(△는 이익)</t>
        </is>
      </c>
      <c r="D230" s="20" t="n">
        <v>112</v>
      </c>
      <c r="F230" s="20" t="n">
        <v>-134</v>
      </c>
      <c r="H230" s="20" t="n">
        <v>-112</v>
      </c>
      <c r="J230" s="20" t="n">
        <v>-22</v>
      </c>
      <c r="T230" s="20" t="n">
        <v>0</v>
      </c>
      <c r="U230" s="20" t="n">
        <v>263</v>
      </c>
      <c r="V230" s="20" t="n">
        <v>112</v>
      </c>
      <c r="W230" s="20" t="n">
        <v>-112</v>
      </c>
    </row>
    <row r="231">
      <c r="A231" s="18" t="inlineStr">
        <is>
          <t>특별퇴직금</t>
        </is>
      </c>
      <c r="D231" s="20" t="n">
        <v>102</v>
      </c>
      <c r="H231" s="20" t="n">
        <v>0</v>
      </c>
      <c r="U231" s="20" t="n">
        <v>0</v>
      </c>
      <c r="V231" s="20" t="n">
        <v>102</v>
      </c>
      <c r="W231" s="20" t="n">
        <v>0</v>
      </c>
    </row>
    <row r="232">
      <c r="A232" s="18" t="inlineStr">
        <is>
          <t>매출채권 증감</t>
        </is>
      </c>
      <c r="D232" s="20" t="n">
        <v>1321</v>
      </c>
      <c r="F232" s="20" t="n">
        <v>1164</v>
      </c>
      <c r="H232" s="20" t="n">
        <v>-932</v>
      </c>
      <c r="J232" s="20" t="n">
        <v>1317</v>
      </c>
      <c r="L232" s="20" t="n">
        <v>1017</v>
      </c>
      <c r="N232" s="20" t="n">
        <v>711</v>
      </c>
      <c r="O232" s="20" t="n">
        <v>1110</v>
      </c>
      <c r="P232" s="20" t="n">
        <v>-626</v>
      </c>
      <c r="Q232" s="20" t="n">
        <v>924</v>
      </c>
      <c r="R232" s="20" t="n">
        <v>1622</v>
      </c>
      <c r="S232" s="20" t="n">
        <v>367</v>
      </c>
      <c r="T232" s="20" t="n">
        <v>1142</v>
      </c>
      <c r="U232" s="20" t="n">
        <v>564</v>
      </c>
      <c r="V232" s="20" t="n">
        <v>1321</v>
      </c>
      <c r="W232" s="20" t="n">
        <v>-932</v>
      </c>
      <c r="X232" s="20" t="n">
        <v>1017</v>
      </c>
    </row>
    <row r="233">
      <c r="A233" s="18" t="inlineStr">
        <is>
          <t>재고자산 증감</t>
        </is>
      </c>
      <c r="D233" s="20" t="n">
        <v>1440</v>
      </c>
      <c r="F233" s="20" t="n">
        <v>235</v>
      </c>
      <c r="H233" s="20" t="n">
        <v>1599</v>
      </c>
      <c r="J233" s="20" t="n">
        <v>157</v>
      </c>
      <c r="L233" s="20" t="n">
        <v>1184</v>
      </c>
      <c r="N233" s="20" t="n">
        <v>-774</v>
      </c>
      <c r="O233" s="20" t="n">
        <v>-192</v>
      </c>
      <c r="P233" s="20" t="n">
        <v>-1662</v>
      </c>
      <c r="Q233" s="20" t="n">
        <v>784</v>
      </c>
      <c r="R233" s="20" t="n">
        <v>1394</v>
      </c>
      <c r="S233" s="20" t="n">
        <v>103</v>
      </c>
      <c r="T233" s="20" t="n">
        <v>-2351</v>
      </c>
      <c r="U233" s="20" t="n">
        <v>-160</v>
      </c>
      <c r="V233" s="20" t="n">
        <v>1440</v>
      </c>
      <c r="W233" s="20" t="n">
        <v>1599</v>
      </c>
      <c r="X233" s="20" t="n">
        <v>1184</v>
      </c>
    </row>
    <row r="234">
      <c r="A234" s="18" t="inlineStr">
        <is>
          <t>매입채무 증감</t>
        </is>
      </c>
      <c r="D234" s="20" t="n">
        <v>-1209</v>
      </c>
      <c r="F234" s="20" t="n">
        <v>-249</v>
      </c>
      <c r="H234" s="20" t="n">
        <v>-420</v>
      </c>
      <c r="J234" s="20" t="n">
        <v>-108</v>
      </c>
      <c r="L234" s="20" t="n">
        <v>-1902</v>
      </c>
      <c r="N234" s="20" t="n">
        <v>998</v>
      </c>
      <c r="O234" s="20" t="n">
        <v>2047</v>
      </c>
      <c r="P234" s="20" t="n">
        <v>777</v>
      </c>
      <c r="Q234" s="20" t="n">
        <v>-1659</v>
      </c>
      <c r="R234" s="20" t="n">
        <v>533</v>
      </c>
      <c r="S234" s="20" t="n">
        <v>-838</v>
      </c>
      <c r="T234" s="20" t="n">
        <v>-1084</v>
      </c>
      <c r="U234" s="20" t="n">
        <v>-1180</v>
      </c>
      <c r="V234" s="20" t="n">
        <v>-1209</v>
      </c>
      <c r="W234" s="20" t="n">
        <v>-420</v>
      </c>
      <c r="X234" s="20" t="n">
        <v>-1902</v>
      </c>
    </row>
    <row r="235">
      <c r="A235" s="18" t="inlineStr">
        <is>
          <t>미수금 증감</t>
        </is>
      </c>
      <c r="D235" s="20" t="n">
        <v>78</v>
      </c>
      <c r="F235" s="20" t="n">
        <v>33</v>
      </c>
      <c r="H235" s="20" t="n">
        <v>4</v>
      </c>
      <c r="J235" s="20" t="n">
        <v>17</v>
      </c>
      <c r="L235" s="20" t="n">
        <v>3</v>
      </c>
      <c r="N235" s="20" t="n">
        <v>-21</v>
      </c>
      <c r="O235" s="20" t="n">
        <v>1459</v>
      </c>
      <c r="P235" s="20" t="n">
        <v>160</v>
      </c>
      <c r="Q235" s="20" t="n">
        <v>-35</v>
      </c>
      <c r="R235" s="20" t="n">
        <v>109</v>
      </c>
      <c r="S235" s="20" t="n">
        <v>7</v>
      </c>
      <c r="T235" s="20" t="n">
        <v>-152</v>
      </c>
      <c r="U235" s="20" t="n">
        <v>28</v>
      </c>
      <c r="V235" s="20" t="n">
        <v>78</v>
      </c>
      <c r="W235" s="20" t="n">
        <v>4</v>
      </c>
      <c r="X235" s="20" t="n">
        <v>3</v>
      </c>
    </row>
    <row r="236">
      <c r="A236" s="18" t="inlineStr">
        <is>
          <t>미지급금 증감</t>
        </is>
      </c>
      <c r="D236" s="20" t="n">
        <v>-20</v>
      </c>
      <c r="F236" s="20" t="n">
        <v>-263</v>
      </c>
      <c r="H236" s="20" t="n">
        <v>-4</v>
      </c>
      <c r="J236" s="20" t="n">
        <v>-156</v>
      </c>
      <c r="L236" s="20" t="n">
        <v>99</v>
      </c>
      <c r="N236" s="20" t="n">
        <v>-113</v>
      </c>
      <c r="O236" s="20" t="n">
        <v>-4364</v>
      </c>
      <c r="P236" s="20" t="n">
        <v>692</v>
      </c>
      <c r="Q236" s="20" t="n">
        <v>-692</v>
      </c>
      <c r="R236" s="20" t="n">
        <v>271</v>
      </c>
      <c r="S236" s="20" t="n">
        <v>340</v>
      </c>
      <c r="T236" s="20" t="n">
        <v>-354</v>
      </c>
      <c r="U236" s="20" t="n">
        <v>-9</v>
      </c>
      <c r="V236" s="20" t="n">
        <v>-20</v>
      </c>
      <c r="W236" s="20" t="n">
        <v>-4</v>
      </c>
      <c r="X236" s="20" t="n">
        <v>99</v>
      </c>
    </row>
    <row r="237">
      <c r="A237" s="18" t="inlineStr">
        <is>
          <t>기타</t>
        </is>
      </c>
      <c r="D237" s="20" t="n">
        <v>-92</v>
      </c>
      <c r="F237" s="20" t="n">
        <v>-7</v>
      </c>
      <c r="H237" s="20" t="n">
        <v>-68</v>
      </c>
      <c r="J237" s="20" t="n">
        <v>-84</v>
      </c>
      <c r="L237" s="20" t="n">
        <v>-576</v>
      </c>
      <c r="N237" s="20" t="n">
        <v>-233</v>
      </c>
      <c r="O237" s="20" t="n">
        <v>-41</v>
      </c>
      <c r="P237" s="20" t="n">
        <v>209</v>
      </c>
      <c r="Q237" s="20" t="n">
        <v>230</v>
      </c>
      <c r="R237" s="20" t="n">
        <v>-80</v>
      </c>
      <c r="S237" s="20" t="n">
        <v>-141</v>
      </c>
      <c r="T237" s="20" t="n">
        <v>-551</v>
      </c>
      <c r="U237" s="20" t="n">
        <v>-442</v>
      </c>
      <c r="V237" s="20" t="n">
        <v>-92</v>
      </c>
      <c r="W237" s="20" t="n">
        <v>-68</v>
      </c>
      <c r="X237" s="20" t="n">
        <v>-576</v>
      </c>
    </row>
    <row r="238">
      <c r="A238" s="18" t="inlineStr">
        <is>
          <t>소계</t>
        </is>
      </c>
      <c r="D238" s="20" t="n">
        <v>4180</v>
      </c>
      <c r="F238" s="20" t="n">
        <v>1851</v>
      </c>
      <c r="H238" s="20" t="n">
        <v>2835</v>
      </c>
      <c r="J238" s="20" t="n">
        <v>2072</v>
      </c>
      <c r="L238" s="20" t="n">
        <v>3335</v>
      </c>
      <c r="N238" s="20" t="n">
        <v>2159</v>
      </c>
      <c r="O238" s="20" t="n">
        <v>5371</v>
      </c>
      <c r="P238" s="20" t="n">
        <v>3735</v>
      </c>
      <c r="Q238" s="20" t="n">
        <v>2057</v>
      </c>
      <c r="R238" s="20" t="n">
        <v>6806</v>
      </c>
      <c r="S238" s="20" t="n">
        <v>4903</v>
      </c>
      <c r="T238" s="20" t="n">
        <v>2543</v>
      </c>
      <c r="U238" s="20" t="n">
        <v>4021</v>
      </c>
      <c r="V238" s="20" t="n">
        <v>4180</v>
      </c>
      <c r="W238" s="20" t="n">
        <v>2835</v>
      </c>
      <c r="X238" s="20" t="n">
        <v>3335</v>
      </c>
    </row>
    <row r="239">
      <c r="A239" s="18" t="inlineStr">
        <is>
          <t>이자·배당금 수취</t>
        </is>
      </c>
      <c r="D239" s="20" t="n">
        <v>169</v>
      </c>
      <c r="F239" s="20" t="n">
        <v>116</v>
      </c>
      <c r="H239" s="20" t="n">
        <v>226</v>
      </c>
      <c r="J239" s="20" t="n">
        <v>109</v>
      </c>
      <c r="L239" s="20" t="n">
        <v>211</v>
      </c>
      <c r="N239" s="20" t="n">
        <v>96</v>
      </c>
      <c r="O239" s="20" t="n">
        <v>95</v>
      </c>
      <c r="P239" s="20" t="n">
        <v>87</v>
      </c>
      <c r="Q239" s="20" t="n">
        <v>103</v>
      </c>
      <c r="R239" s="20" t="n">
        <v>106</v>
      </c>
      <c r="S239" s="20" t="n">
        <v>77</v>
      </c>
      <c r="T239" s="20" t="n">
        <v>88</v>
      </c>
      <c r="U239" s="20" t="n">
        <v>116</v>
      </c>
      <c r="V239" s="20" t="n">
        <v>169</v>
      </c>
      <c r="W239" s="20" t="n">
        <v>226</v>
      </c>
      <c r="X239" s="20" t="n">
        <v>211</v>
      </c>
    </row>
    <row r="240">
      <c r="A240" s="18" t="inlineStr">
        <is>
          <t>이자 지급</t>
        </is>
      </c>
      <c r="D240" s="20" t="n">
        <v>-169</v>
      </c>
      <c r="F240" s="20" t="n">
        <v>-104</v>
      </c>
      <c r="H240" s="20" t="n">
        <v>-228</v>
      </c>
      <c r="J240" s="20" t="n">
        <v>-119</v>
      </c>
      <c r="L240" s="20" t="n">
        <v>-257</v>
      </c>
      <c r="N240" s="20" t="n">
        <v>-144</v>
      </c>
      <c r="O240" s="20" t="n">
        <v>-124</v>
      </c>
      <c r="P240" s="20" t="n">
        <v>-110</v>
      </c>
      <c r="Q240" s="20" t="n">
        <v>-113</v>
      </c>
      <c r="R240" s="20" t="n">
        <v>-102</v>
      </c>
      <c r="S240" s="20" t="n">
        <v>-114</v>
      </c>
      <c r="T240" s="20" t="n">
        <v>-115</v>
      </c>
      <c r="U240" s="20" t="n">
        <v>-177</v>
      </c>
      <c r="V240" s="20" t="n">
        <v>-169</v>
      </c>
      <c r="W240" s="20" t="n">
        <v>-228</v>
      </c>
      <c r="X240" s="20" t="n">
        <v>-257</v>
      </c>
    </row>
    <row r="241">
      <c r="A241" s="18" t="inlineStr">
        <is>
          <t>법인세 납부</t>
        </is>
      </c>
      <c r="D241" s="20" t="n">
        <v>-387</v>
      </c>
      <c r="F241" s="20" t="n">
        <v>-293</v>
      </c>
      <c r="H241" s="20" t="n">
        <v>-387</v>
      </c>
      <c r="J241" s="20" t="n">
        <v>-281</v>
      </c>
      <c r="L241" s="20" t="n">
        <v>-475</v>
      </c>
      <c r="N241" s="20" t="n">
        <v>-317</v>
      </c>
      <c r="O241" s="20" t="n">
        <v>-737</v>
      </c>
      <c r="P241" s="20" t="n">
        <v>-923</v>
      </c>
      <c r="Q241" s="20" t="n">
        <v>-439</v>
      </c>
      <c r="R241" s="20" t="n">
        <v>-464</v>
      </c>
      <c r="S241" s="20" t="n">
        <v>-275</v>
      </c>
      <c r="T241" s="20" t="n">
        <v>-318</v>
      </c>
      <c r="U241" s="20" t="n">
        <v>-388</v>
      </c>
      <c r="V241" s="20" t="n">
        <v>-387</v>
      </c>
      <c r="W241" s="20" t="n">
        <v>-387</v>
      </c>
      <c r="X241" s="20" t="n">
        <v>-475</v>
      </c>
    </row>
    <row r="242">
      <c r="A242" s="18" t="inlineStr">
        <is>
          <t>법인세 환급</t>
        </is>
      </c>
      <c r="D242" s="20" t="n">
        <v>28</v>
      </c>
      <c r="F242" s="20" t="n">
        <v>0</v>
      </c>
      <c r="H242" s="20" t="n">
        <v>0</v>
      </c>
      <c r="J242" s="20" t="n">
        <v>31</v>
      </c>
      <c r="L242" s="20" t="n">
        <v>31</v>
      </c>
      <c r="N242" s="20" t="n">
        <v>30</v>
      </c>
      <c r="S242" s="20" t="n">
        <v>63</v>
      </c>
      <c r="T242" s="20" t="n">
        <v>234</v>
      </c>
      <c r="U242" s="20" t="n">
        <v>19</v>
      </c>
      <c r="V242" s="20" t="n">
        <v>28</v>
      </c>
      <c r="W242" s="20" t="n">
        <v>0</v>
      </c>
      <c r="X242" s="20" t="n">
        <v>31</v>
      </c>
    </row>
    <row r="243">
      <c r="A243" s="18" t="inlineStr">
        <is>
          <t>특별퇴직금 지급액</t>
        </is>
      </c>
      <c r="D243" s="20" t="n">
        <v>-102</v>
      </c>
      <c r="H243" s="20" t="n">
        <v>0</v>
      </c>
      <c r="U243" s="20" t="n">
        <v>0</v>
      </c>
      <c r="V243" s="20" t="n">
        <v>-102</v>
      </c>
      <c r="W243" s="20" t="n">
        <v>0</v>
      </c>
    </row>
    <row r="244">
      <c r="A244" s="18" t="inlineStr">
        <is>
          <t>사업구조 개혁비용 지급액</t>
        </is>
      </c>
      <c r="D244" s="20" t="n">
        <v>0</v>
      </c>
      <c r="F244" s="20" t="n">
        <v>0</v>
      </c>
      <c r="H244" s="20" t="n">
        <v>-7</v>
      </c>
      <c r="J244" s="20" t="n">
        <v>-743</v>
      </c>
      <c r="L244" s="20" t="n">
        <v>-820</v>
      </c>
      <c r="N244" s="20" t="n">
        <v>-16</v>
      </c>
      <c r="V244" s="20" t="n">
        <v>0</v>
      </c>
      <c r="W244" s="20" t="n">
        <v>-7</v>
      </c>
      <c r="X244" s="20" t="n">
        <v>-820</v>
      </c>
    </row>
    <row r="245">
      <c r="A245" s="9" t="inlineStr">
        <is>
          <t>영업활동 현금흐름</t>
        </is>
      </c>
      <c r="D245" s="12" t="n">
        <v>3719</v>
      </c>
      <c r="F245" s="12" t="n">
        <v>1570</v>
      </c>
      <c r="H245" s="12" t="n">
        <v>2439</v>
      </c>
      <c r="J245" s="12" t="n">
        <v>1068</v>
      </c>
      <c r="L245" s="12" t="n">
        <v>2023</v>
      </c>
      <c r="N245" s="12" t="n">
        <v>1807</v>
      </c>
      <c r="O245" s="12" t="n">
        <v>4604</v>
      </c>
      <c r="P245" s="12" t="n">
        <v>2788</v>
      </c>
      <c r="Q245" s="12" t="n">
        <v>1608</v>
      </c>
      <c r="R245" s="12" t="n">
        <v>6345</v>
      </c>
      <c r="S245" s="12" t="n">
        <v>4653</v>
      </c>
      <c r="T245" s="12" t="n">
        <v>2433</v>
      </c>
      <c r="U245" s="12" t="n">
        <v>3591</v>
      </c>
      <c r="V245" s="12" t="n">
        <v>3719</v>
      </c>
      <c r="W245" s="12" t="n">
        <v>2439</v>
      </c>
      <c r="X245" s="12" t="n">
        <v>2023</v>
      </c>
    </row>
    <row r="246">
      <c r="A246" s="18" t="inlineStr">
        <is>
          <t>정기예금 예입</t>
        </is>
      </c>
      <c r="D246" s="20" t="n">
        <v>-52</v>
      </c>
      <c r="F246" s="20" t="n">
        <v>-23</v>
      </c>
      <c r="H246" s="20" t="n">
        <v>-40</v>
      </c>
      <c r="J246" s="20" t="n">
        <v>-32</v>
      </c>
      <c r="L246" s="20" t="n">
        <v>-75</v>
      </c>
      <c r="N246" s="20" t="n">
        <v>-100</v>
      </c>
      <c r="O246" s="20" t="n">
        <v>-103</v>
      </c>
      <c r="P246" s="20" t="n">
        <v>-116</v>
      </c>
      <c r="Q246" s="20" t="n">
        <v>-30</v>
      </c>
      <c r="R246" s="20" t="n">
        <v>-228</v>
      </c>
      <c r="S246" s="20" t="n">
        <v>-75</v>
      </c>
      <c r="T246" s="20" t="n">
        <v>-57</v>
      </c>
      <c r="U246" s="20" t="n">
        <v>-35</v>
      </c>
      <c r="V246" s="20" t="n">
        <v>-52</v>
      </c>
      <c r="W246" s="20" t="n">
        <v>-40</v>
      </c>
      <c r="X246" s="20" t="n">
        <v>-75</v>
      </c>
    </row>
    <row r="247">
      <c r="A247" s="18" t="inlineStr">
        <is>
          <t>정기예금 인출</t>
        </is>
      </c>
      <c r="D247" s="20" t="n">
        <v>48</v>
      </c>
      <c r="F247" s="20" t="n">
        <v>23</v>
      </c>
      <c r="H247" s="20" t="n">
        <v>40</v>
      </c>
      <c r="J247" s="20" t="n">
        <v>23</v>
      </c>
      <c r="L247" s="20" t="n">
        <v>57</v>
      </c>
      <c r="N247" s="20" t="n">
        <v>69</v>
      </c>
      <c r="O247" s="20" t="n">
        <v>101</v>
      </c>
      <c r="P247" s="20" t="n">
        <v>108</v>
      </c>
      <c r="Q247" s="20" t="n">
        <v>32</v>
      </c>
      <c r="R247" s="20" t="n">
        <v>258</v>
      </c>
      <c r="S247" s="20" t="n">
        <v>98</v>
      </c>
      <c r="T247" s="20" t="n">
        <v>66</v>
      </c>
      <c r="U247" s="20" t="n">
        <v>31</v>
      </c>
      <c r="V247" s="20" t="n">
        <v>48</v>
      </c>
      <c r="W247" s="20" t="n">
        <v>40</v>
      </c>
      <c r="X247" s="20" t="n">
        <v>57</v>
      </c>
    </row>
    <row r="248">
      <c r="A248" s="18" t="inlineStr">
        <is>
          <t>유형자산 취득(설비투자)</t>
        </is>
      </c>
      <c r="D248" s="20" t="n">
        <v>-2379</v>
      </c>
      <c r="F248" s="20" t="n">
        <v>-996</v>
      </c>
      <c r="H248" s="20" t="n">
        <v>-2080</v>
      </c>
      <c r="J248" s="20" t="n">
        <v>-1067</v>
      </c>
      <c r="L248" s="20" t="n">
        <v>-2185</v>
      </c>
      <c r="N248" s="20" t="n">
        <v>-1139</v>
      </c>
      <c r="O248" s="20" t="n">
        <v>-4680</v>
      </c>
      <c r="P248" s="20" t="n">
        <v>-3626</v>
      </c>
      <c r="Q248" s="20" t="n">
        <v>-4639</v>
      </c>
      <c r="R248" s="20" t="n">
        <v>-2637</v>
      </c>
      <c r="S248" s="20" t="n">
        <v>-2334</v>
      </c>
      <c r="T248" s="20" t="n">
        <v>-1976</v>
      </c>
      <c r="U248" s="20" t="n">
        <v>-1945</v>
      </c>
      <c r="V248" s="20" t="n">
        <v>-2379</v>
      </c>
      <c r="W248" s="20" t="n">
        <v>-2080</v>
      </c>
      <c r="X248" s="20" t="n">
        <v>-2185</v>
      </c>
    </row>
    <row r="249">
      <c r="A249" s="18" t="inlineStr">
        <is>
          <t>유형자산 매각</t>
        </is>
      </c>
      <c r="D249" s="20" t="n">
        <v>260</v>
      </c>
      <c r="F249" s="20" t="n">
        <v>6</v>
      </c>
      <c r="H249" s="20" t="n">
        <v>19</v>
      </c>
      <c r="J249" s="20" t="n">
        <v>0</v>
      </c>
      <c r="L249" s="20" t="n">
        <v>5</v>
      </c>
      <c r="N249" s="20" t="n">
        <v>3</v>
      </c>
      <c r="O249" s="20" t="n">
        <v>1039</v>
      </c>
      <c r="P249" s="20" t="n">
        <v>3161</v>
      </c>
      <c r="Q249" s="20" t="n">
        <v>2556</v>
      </c>
      <c r="R249" s="20" t="n">
        <v>250</v>
      </c>
      <c r="S249" s="20" t="n">
        <v>52</v>
      </c>
      <c r="T249" s="20" t="n">
        <v>415</v>
      </c>
      <c r="U249" s="20" t="n">
        <v>22</v>
      </c>
      <c r="V249" s="20" t="n">
        <v>260</v>
      </c>
      <c r="W249" s="20" t="n">
        <v>19</v>
      </c>
      <c r="X249" s="20" t="n">
        <v>5</v>
      </c>
    </row>
    <row r="250">
      <c r="A250" s="18" t="inlineStr">
        <is>
          <t>유형자산 제각 지출</t>
        </is>
      </c>
      <c r="O250" s="20" t="n">
        <v>0</v>
      </c>
      <c r="P250" s="20" t="n">
        <v>-29</v>
      </c>
      <c r="Q250" s="20" t="n">
        <v>0</v>
      </c>
    </row>
    <row r="251">
      <c r="A251" s="18" t="inlineStr">
        <is>
          <t>무형자산 취득</t>
        </is>
      </c>
      <c r="D251" s="20" t="n">
        <v>-58</v>
      </c>
      <c r="F251" s="20" t="n">
        <v>-18</v>
      </c>
      <c r="H251" s="20" t="n">
        <v>-126</v>
      </c>
      <c r="J251" s="20" t="n">
        <v>-71</v>
      </c>
      <c r="L251" s="20" t="n">
        <v>-86</v>
      </c>
      <c r="N251" s="20" t="n">
        <v>-73</v>
      </c>
      <c r="O251" s="20" t="n">
        <v>-162</v>
      </c>
      <c r="P251" s="20" t="n">
        <v>-59</v>
      </c>
      <c r="Q251" s="20" t="n">
        <v>-47</v>
      </c>
      <c r="R251" s="20" t="n">
        <v>-40</v>
      </c>
      <c r="S251" s="20" t="n">
        <v>-26</v>
      </c>
      <c r="T251" s="20" t="n">
        <v>-35</v>
      </c>
      <c r="U251" s="20" t="n">
        <v>-19</v>
      </c>
      <c r="V251" s="20" t="n">
        <v>-58</v>
      </c>
      <c r="W251" s="20" t="n">
        <v>-126</v>
      </c>
      <c r="X251" s="20" t="n">
        <v>-86</v>
      </c>
    </row>
    <row r="252">
      <c r="A252" s="18" t="inlineStr">
        <is>
          <t>무형자산 매각 수입</t>
        </is>
      </c>
      <c r="Q252" s="20" t="n">
        <v>0</v>
      </c>
      <c r="R252" s="20" t="n">
        <v>0</v>
      </c>
      <c r="S252" s="20" t="n">
        <v>0</v>
      </c>
    </row>
    <row r="253">
      <c r="A253" s="18" t="inlineStr">
        <is>
          <t>투자유가증권 취득</t>
        </is>
      </c>
      <c r="D253" s="20" t="n">
        <v>-87</v>
      </c>
      <c r="F253" s="20" t="n">
        <v>-4</v>
      </c>
      <c r="H253" s="20" t="n">
        <v>-34</v>
      </c>
      <c r="J253" s="20" t="n">
        <v>-0</v>
      </c>
      <c r="L253" s="20" t="n">
        <v>-0</v>
      </c>
      <c r="N253" s="20" t="n">
        <v>-0</v>
      </c>
      <c r="O253" s="20" t="n">
        <v>-50</v>
      </c>
      <c r="P253" s="20" t="n">
        <v>-282</v>
      </c>
      <c r="Q253" s="20" t="n">
        <v>-223</v>
      </c>
      <c r="R253" s="20" t="n">
        <v>-159</v>
      </c>
      <c r="S253" s="20" t="n">
        <v>-63</v>
      </c>
      <c r="T253" s="20" t="n">
        <v>-37</v>
      </c>
      <c r="U253" s="20" t="n">
        <v>-20</v>
      </c>
      <c r="V253" s="20" t="n">
        <v>-87</v>
      </c>
      <c r="W253" s="20" t="n">
        <v>-34</v>
      </c>
      <c r="X253" s="20" t="n">
        <v>-0</v>
      </c>
    </row>
    <row r="254">
      <c r="A254" s="18" t="inlineStr">
        <is>
          <t>투자유가증권 매각</t>
        </is>
      </c>
      <c r="D254" s="20" t="n">
        <v>634</v>
      </c>
      <c r="F254" s="20" t="n">
        <v>0</v>
      </c>
      <c r="H254" s="20" t="n">
        <v>0</v>
      </c>
      <c r="J254" s="20" t="n">
        <v>19</v>
      </c>
      <c r="L254" s="20" t="n">
        <v>29</v>
      </c>
      <c r="N254" s="20" t="n">
        <v>339</v>
      </c>
      <c r="O254" s="20" t="n">
        <v>430</v>
      </c>
      <c r="P254" s="20" t="n">
        <v>0</v>
      </c>
      <c r="Q254" s="20" t="n">
        <v>241</v>
      </c>
      <c r="R254" s="20" t="n">
        <v>0</v>
      </c>
      <c r="S254" s="20" t="n">
        <v>0</v>
      </c>
      <c r="T254" s="20" t="n">
        <v>0</v>
      </c>
      <c r="U254" s="20" t="n">
        <v>7</v>
      </c>
      <c r="V254" s="20" t="n">
        <v>634</v>
      </c>
      <c r="W254" s="20" t="n">
        <v>0</v>
      </c>
      <c r="X254" s="20" t="n">
        <v>29</v>
      </c>
    </row>
    <row r="255">
      <c r="A255" s="18" t="inlineStr">
        <is>
          <t>투자유가증권 상환</t>
        </is>
      </c>
      <c r="O255" s="20" t="n">
        <v>0</v>
      </c>
      <c r="P255" s="20" t="n">
        <v>68</v>
      </c>
      <c r="Q255" s="20" t="n">
        <v>0</v>
      </c>
    </row>
    <row r="256">
      <c r="A256" s="18" t="inlineStr">
        <is>
          <t>골프회원권 매각</t>
        </is>
      </c>
      <c r="Q256" s="20" t="n">
        <v>0</v>
      </c>
      <c r="R256" s="20" t="n">
        <v>29</v>
      </c>
      <c r="S256" s="20" t="n">
        <v>0</v>
      </c>
    </row>
    <row r="257">
      <c r="A257" s="18" t="inlineStr">
        <is>
          <t>대여</t>
        </is>
      </c>
      <c r="D257" s="20" t="n">
        <v>-8</v>
      </c>
      <c r="F257" s="20" t="n">
        <v>-8</v>
      </c>
      <c r="H257" s="20" t="n">
        <v>-9</v>
      </c>
      <c r="J257" s="20" t="n">
        <v>-9</v>
      </c>
      <c r="L257" s="20" t="n">
        <v>-25</v>
      </c>
      <c r="N257" s="20" t="n">
        <v>-2</v>
      </c>
      <c r="O257" s="20" t="n">
        <v>-125</v>
      </c>
      <c r="P257" s="20" t="n">
        <v>-39</v>
      </c>
      <c r="Q257" s="20" t="n">
        <v>-28</v>
      </c>
      <c r="R257" s="20" t="n">
        <v>-30</v>
      </c>
      <c r="S257" s="20" t="n">
        <v>-9</v>
      </c>
      <c r="T257" s="20" t="n">
        <v>-26</v>
      </c>
      <c r="U257" s="20" t="n">
        <v>-11</v>
      </c>
      <c r="V257" s="20" t="n">
        <v>-8</v>
      </c>
      <c r="W257" s="20" t="n">
        <v>-9</v>
      </c>
      <c r="X257" s="20" t="n">
        <v>-25</v>
      </c>
    </row>
    <row r="258">
      <c r="A258" s="18" t="inlineStr">
        <is>
          <t>대여금 회수</t>
        </is>
      </c>
      <c r="D258" s="20" t="n">
        <v>23</v>
      </c>
      <c r="F258" s="20" t="n">
        <v>8</v>
      </c>
      <c r="H258" s="20" t="n">
        <v>16</v>
      </c>
      <c r="J258" s="20" t="n">
        <v>11</v>
      </c>
      <c r="L258" s="20" t="n">
        <v>18</v>
      </c>
      <c r="N258" s="20" t="n">
        <v>6</v>
      </c>
      <c r="O258" s="20" t="n">
        <v>97</v>
      </c>
      <c r="P258" s="20" t="n">
        <v>70</v>
      </c>
      <c r="Q258" s="20" t="n">
        <v>45</v>
      </c>
      <c r="R258" s="20" t="n">
        <v>32</v>
      </c>
      <c r="S258" s="20" t="n">
        <v>31</v>
      </c>
      <c r="T258" s="20" t="n">
        <v>19</v>
      </c>
      <c r="U258" s="20" t="n">
        <v>28</v>
      </c>
      <c r="V258" s="20" t="n">
        <v>23</v>
      </c>
      <c r="W258" s="20" t="n">
        <v>16</v>
      </c>
      <c r="X258" s="20" t="n">
        <v>18</v>
      </c>
    </row>
    <row r="259">
      <c r="A259" s="18" t="inlineStr">
        <is>
          <t>기타</t>
        </is>
      </c>
      <c r="D259" s="20" t="n">
        <v>2</v>
      </c>
      <c r="F259" s="20" t="n">
        <v>0</v>
      </c>
      <c r="H259" s="20" t="n">
        <v>0</v>
      </c>
      <c r="J259" s="20" t="n">
        <v>0</v>
      </c>
      <c r="L259" s="20" t="n">
        <v>0</v>
      </c>
      <c r="N259" s="20" t="n">
        <v>5</v>
      </c>
      <c r="O259" s="20" t="n">
        <v>-11</v>
      </c>
      <c r="P259" s="20" t="n">
        <v>-43</v>
      </c>
      <c r="Q259" s="20" t="n">
        <v>0</v>
      </c>
      <c r="R259" s="20" t="n">
        <v>0</v>
      </c>
      <c r="U259" s="20" t="n">
        <v>0</v>
      </c>
      <c r="V259" s="20" t="n">
        <v>2</v>
      </c>
      <c r="W259" s="20" t="n">
        <v>0</v>
      </c>
      <c r="X259" s="20" t="n">
        <v>0</v>
      </c>
    </row>
    <row r="260">
      <c r="A260" s="9" t="inlineStr">
        <is>
          <t>투자활동 현금흐름</t>
        </is>
      </c>
      <c r="D260" s="12" t="n">
        <v>-1617</v>
      </c>
      <c r="F260" s="12" t="n">
        <v>-1012</v>
      </c>
      <c r="H260" s="12" t="n">
        <v>-2216</v>
      </c>
      <c r="J260" s="12" t="n">
        <v>-1125</v>
      </c>
      <c r="L260" s="12" t="n">
        <v>-2262</v>
      </c>
      <c r="N260" s="12" t="n">
        <v>-891</v>
      </c>
      <c r="O260" s="12" t="n">
        <v>-3465</v>
      </c>
      <c r="P260" s="12" t="n">
        <v>-787</v>
      </c>
      <c r="Q260" s="12" t="n">
        <v>-2091</v>
      </c>
      <c r="R260" s="12" t="n">
        <v>-2525</v>
      </c>
      <c r="S260" s="12" t="n">
        <v>-2325</v>
      </c>
      <c r="T260" s="12" t="n">
        <v>-1631</v>
      </c>
      <c r="U260" s="12" t="n">
        <v>-1944</v>
      </c>
      <c r="V260" s="12" t="n">
        <v>-1617</v>
      </c>
      <c r="W260" s="12" t="n">
        <v>-2216</v>
      </c>
      <c r="X260" s="12" t="n">
        <v>-2262</v>
      </c>
    </row>
    <row r="261">
      <c r="A261" s="18" t="inlineStr">
        <is>
          <t>단기차입금 순증감</t>
        </is>
      </c>
      <c r="D261" s="20" t="n">
        <v>2200</v>
      </c>
      <c r="F261" s="20" t="n">
        <v>500</v>
      </c>
      <c r="H261" s="20" t="n">
        <v>800</v>
      </c>
      <c r="J261" s="20" t="n">
        <v>400</v>
      </c>
      <c r="L261" s="20" t="n">
        <v>-1300</v>
      </c>
      <c r="N261" s="20" t="n">
        <v>700</v>
      </c>
      <c r="O261" s="20" t="n">
        <v>1395</v>
      </c>
      <c r="P261" s="20" t="n">
        <v>-1668</v>
      </c>
      <c r="Q261" s="20" t="n">
        <v>2228</v>
      </c>
      <c r="R261" s="20" t="n">
        <v>-5692</v>
      </c>
      <c r="S261" s="20" t="n">
        <v>-1950</v>
      </c>
      <c r="T261" s="20" t="n">
        <v>-2000</v>
      </c>
      <c r="U261" s="20" t="n">
        <v>200</v>
      </c>
      <c r="V261" s="20" t="n">
        <v>2200</v>
      </c>
      <c r="W261" s="20" t="n">
        <v>800</v>
      </c>
      <c r="X261" s="20" t="n">
        <v>-1300</v>
      </c>
    </row>
    <row r="262">
      <c r="A262" s="18" t="inlineStr">
        <is>
          <t>장기차입</t>
        </is>
      </c>
      <c r="D262" s="20" t="n">
        <v>3300</v>
      </c>
      <c r="F262" s="20" t="n">
        <v>1000</v>
      </c>
      <c r="H262" s="20" t="n">
        <v>2000</v>
      </c>
      <c r="J262" s="20" t="n">
        <v>0</v>
      </c>
      <c r="L262" s="20" t="n">
        <v>2000</v>
      </c>
      <c r="O262" s="20" t="n">
        <v>1494</v>
      </c>
      <c r="P262" s="20" t="n">
        <v>2490</v>
      </c>
      <c r="Q262" s="20" t="n">
        <v>2090</v>
      </c>
      <c r="R262" s="20" t="n">
        <v>4000</v>
      </c>
      <c r="S262" s="20" t="n">
        <v>1400</v>
      </c>
      <c r="T262" s="20" t="n">
        <v>3800</v>
      </c>
      <c r="U262" s="20" t="n">
        <v>2700</v>
      </c>
      <c r="V262" s="20" t="n">
        <v>3300</v>
      </c>
      <c r="W262" s="20" t="n">
        <v>2000</v>
      </c>
      <c r="X262" s="20" t="n">
        <v>2000</v>
      </c>
    </row>
    <row r="263">
      <c r="A263" s="18" t="inlineStr">
        <is>
          <t>장기차입금 상환</t>
        </is>
      </c>
      <c r="D263" s="20" t="n">
        <v>-3991</v>
      </c>
      <c r="F263" s="20" t="n">
        <v>-570</v>
      </c>
      <c r="H263" s="20" t="n">
        <v>-1340</v>
      </c>
      <c r="J263" s="20" t="n">
        <v>-770</v>
      </c>
      <c r="L263" s="20" t="n">
        <v>-1740</v>
      </c>
      <c r="N263" s="20" t="n">
        <v>-970</v>
      </c>
      <c r="O263" s="20" t="n">
        <v>-1987</v>
      </c>
      <c r="P263" s="20" t="n">
        <v>-2007</v>
      </c>
      <c r="Q263" s="20" t="n">
        <v>-2704</v>
      </c>
      <c r="R263" s="20" t="n">
        <v>-2015</v>
      </c>
      <c r="S263" s="20" t="n">
        <v>-3055</v>
      </c>
      <c r="T263" s="20" t="n">
        <v>-1667</v>
      </c>
      <c r="U263" s="20" t="n">
        <v>-2826</v>
      </c>
      <c r="V263" s="20" t="n">
        <v>-3991</v>
      </c>
      <c r="W263" s="20" t="n">
        <v>-1340</v>
      </c>
      <c r="X263" s="20" t="n">
        <v>-1740</v>
      </c>
    </row>
    <row r="264">
      <c r="A264" s="18" t="inlineStr">
        <is>
          <t>리스부채 상환</t>
        </is>
      </c>
      <c r="D264" s="20" t="n">
        <v>-504</v>
      </c>
      <c r="F264" s="20" t="n">
        <v>-286</v>
      </c>
      <c r="H264" s="20" t="n">
        <v>-535</v>
      </c>
      <c r="J264" s="20" t="n">
        <v>-246</v>
      </c>
      <c r="L264" s="20" t="n">
        <v>-520</v>
      </c>
      <c r="N264" s="20" t="n">
        <v>-293</v>
      </c>
      <c r="S264" s="20" t="n">
        <v>-37</v>
      </c>
      <c r="T264" s="20" t="n">
        <v>-301</v>
      </c>
      <c r="U264" s="20" t="n">
        <v>-496</v>
      </c>
      <c r="V264" s="20" t="n">
        <v>-504</v>
      </c>
      <c r="W264" s="20" t="n">
        <v>-535</v>
      </c>
      <c r="X264" s="20" t="n">
        <v>-520</v>
      </c>
    </row>
    <row r="265">
      <c r="A265" s="18" t="inlineStr">
        <is>
          <t>자기주식 취득</t>
        </is>
      </c>
      <c r="D265" s="20" t="n">
        <v>-498</v>
      </c>
      <c r="F265" s="20" t="n">
        <v>-0</v>
      </c>
      <c r="H265" s="20" t="n">
        <v>-1</v>
      </c>
      <c r="J265" s="20" t="n">
        <v>-0</v>
      </c>
      <c r="L265" s="20" t="n">
        <v>-1</v>
      </c>
      <c r="N265" s="20" t="n">
        <v>-1</v>
      </c>
      <c r="O265" s="20" t="n">
        <v>-1578</v>
      </c>
      <c r="P265" s="20" t="n">
        <v>-4</v>
      </c>
      <c r="Q265" s="20" t="n">
        <v>-506</v>
      </c>
      <c r="R265" s="20" t="n">
        <v>-127</v>
      </c>
      <c r="S265" s="20" t="n">
        <v>-1</v>
      </c>
      <c r="T265" s="20" t="n">
        <v>-479</v>
      </c>
      <c r="U265" s="20" t="n">
        <v>-1</v>
      </c>
      <c r="V265" s="20" t="n">
        <v>-498</v>
      </c>
      <c r="W265" s="20" t="n">
        <v>-1</v>
      </c>
      <c r="X265" s="20" t="n">
        <v>-1</v>
      </c>
    </row>
    <row r="266">
      <c r="A266" s="18" t="inlineStr">
        <is>
          <t>자기주식 매각</t>
        </is>
      </c>
      <c r="D266" s="20" t="n">
        <v>0</v>
      </c>
      <c r="O266" s="20" t="n">
        <v>24</v>
      </c>
      <c r="P266" s="20" t="n">
        <v>0</v>
      </c>
      <c r="Q266" s="20" t="n">
        <v>161</v>
      </c>
      <c r="R266" s="20" t="n">
        <v>12</v>
      </c>
      <c r="S266" s="20" t="n">
        <v>0</v>
      </c>
      <c r="T266" s="20" t="n">
        <v>0</v>
      </c>
      <c r="U266" s="20" t="n">
        <v>0</v>
      </c>
      <c r="V266" s="20" t="n">
        <v>0</v>
      </c>
    </row>
    <row r="267">
      <c r="A267" s="18" t="inlineStr">
        <is>
          <t>배당금 지급</t>
        </is>
      </c>
      <c r="D267" s="20" t="n">
        <v>-984</v>
      </c>
      <c r="F267" s="20" t="n">
        <v>-318</v>
      </c>
      <c r="H267" s="20" t="n">
        <v>-636</v>
      </c>
      <c r="J267" s="20" t="n">
        <v>-571</v>
      </c>
      <c r="L267" s="20" t="n">
        <v>-890</v>
      </c>
      <c r="N267" s="20" t="n">
        <v>-318</v>
      </c>
      <c r="O267" s="20" t="n">
        <v>-889</v>
      </c>
      <c r="P267" s="20" t="n">
        <v>-594</v>
      </c>
      <c r="Q267" s="20" t="n">
        <v>-264</v>
      </c>
      <c r="R267" s="20" t="n">
        <v>-325</v>
      </c>
      <c r="S267" s="20" t="n">
        <v>-259</v>
      </c>
      <c r="T267" s="20" t="n">
        <v>-323</v>
      </c>
      <c r="U267" s="20" t="n">
        <v>-438</v>
      </c>
      <c r="V267" s="20" t="n">
        <v>-984</v>
      </c>
      <c r="W267" s="20" t="n">
        <v>-636</v>
      </c>
      <c r="X267" s="20" t="n">
        <v>-890</v>
      </c>
    </row>
    <row r="268">
      <c r="A268" s="18" t="inlineStr">
        <is>
          <t>기타</t>
        </is>
      </c>
      <c r="O268" s="20" t="n">
        <v>0</v>
      </c>
      <c r="P268" s="20" t="n">
        <v>10</v>
      </c>
      <c r="Q268" s="20" t="n">
        <v>-8</v>
      </c>
      <c r="R268" s="20" t="n">
        <v>-29</v>
      </c>
      <c r="S268" s="20" t="n">
        <v>-37</v>
      </c>
    </row>
    <row r="269">
      <c r="A269" s="9" t="inlineStr">
        <is>
          <t>재무활동 현금흐름</t>
        </is>
      </c>
      <c r="D269" s="12" t="n">
        <v>-478</v>
      </c>
      <c r="F269" s="12" t="n">
        <v>324</v>
      </c>
      <c r="H269" s="12" t="n">
        <v>286</v>
      </c>
      <c r="J269" s="12" t="n">
        <v>-1188</v>
      </c>
      <c r="L269" s="12" t="n">
        <v>-2452</v>
      </c>
      <c r="N269" s="12" t="n">
        <v>-883</v>
      </c>
      <c r="O269" s="12" t="n">
        <v>-1541</v>
      </c>
      <c r="P269" s="12" t="n">
        <v>-1774</v>
      </c>
      <c r="Q269" s="12" t="n">
        <v>997</v>
      </c>
      <c r="R269" s="12" t="n">
        <v>-4176</v>
      </c>
      <c r="S269" s="12" t="n">
        <v>-3904</v>
      </c>
      <c r="T269" s="12" t="n">
        <v>-971</v>
      </c>
      <c r="U269" s="12" t="n">
        <v>-862</v>
      </c>
      <c r="V269" s="12" t="n">
        <v>-478</v>
      </c>
      <c r="W269" s="12" t="n">
        <v>286</v>
      </c>
      <c r="X269" s="12" t="n">
        <v>-2452</v>
      </c>
    </row>
    <row r="270">
      <c r="A270" s="18" t="inlineStr">
        <is>
          <t>현금성자산 환산차이</t>
        </is>
      </c>
      <c r="D270" s="20" t="n">
        <v>-341</v>
      </c>
      <c r="F270" s="20" t="n">
        <v>-198</v>
      </c>
      <c r="H270" s="20" t="n">
        <v>-291</v>
      </c>
      <c r="J270" s="20" t="n">
        <v>564</v>
      </c>
      <c r="L270" s="20" t="n">
        <v>1869</v>
      </c>
      <c r="N270" s="20" t="n">
        <v>-90</v>
      </c>
      <c r="O270" s="20" t="n">
        <v>-254</v>
      </c>
      <c r="P270" s="20" t="n">
        <v>242</v>
      </c>
      <c r="Q270" s="20" t="n">
        <v>-219</v>
      </c>
      <c r="R270" s="20" t="n">
        <v>17</v>
      </c>
      <c r="S270" s="20" t="n">
        <v>-94</v>
      </c>
      <c r="T270" s="20" t="n">
        <v>-66</v>
      </c>
      <c r="U270" s="20" t="n">
        <v>-375</v>
      </c>
      <c r="V270" s="20" t="n">
        <v>-341</v>
      </c>
      <c r="W270" s="20" t="n">
        <v>-291</v>
      </c>
      <c r="X270" s="20" t="n">
        <v>1869</v>
      </c>
    </row>
    <row r="271">
      <c r="A271" s="18" t="inlineStr">
        <is>
          <t>현금성자산 증감</t>
        </is>
      </c>
      <c r="D271" s="20" t="n">
        <v>1282</v>
      </c>
      <c r="F271" s="20" t="n">
        <v>684</v>
      </c>
      <c r="H271" s="20" t="n">
        <v>217</v>
      </c>
      <c r="J271" s="20" t="n">
        <v>-681</v>
      </c>
      <c r="L271" s="20" t="n">
        <v>-821</v>
      </c>
      <c r="N271" s="20" t="n">
        <v>-57</v>
      </c>
      <c r="O271" s="20" t="n">
        <v>-656</v>
      </c>
      <c r="P271" s="20" t="n">
        <v>470</v>
      </c>
      <c r="Q271" s="20" t="n">
        <v>294</v>
      </c>
      <c r="R271" s="20" t="n">
        <v>-338</v>
      </c>
      <c r="S271" s="20" t="n">
        <v>-1671</v>
      </c>
      <c r="T271" s="20" t="n">
        <v>-236</v>
      </c>
      <c r="U271" s="20" t="n">
        <v>409</v>
      </c>
      <c r="V271" s="20" t="n">
        <v>1282</v>
      </c>
      <c r="W271" s="20" t="n">
        <v>217</v>
      </c>
      <c r="X271" s="20" t="n">
        <v>-821</v>
      </c>
    </row>
    <row r="272">
      <c r="A272" s="18" t="inlineStr">
        <is>
          <t>연결 제외 현금성자산 감소</t>
        </is>
      </c>
      <c r="R272" s="20" t="n">
        <v>0</v>
      </c>
      <c r="S272" s="20" t="n">
        <v>-24</v>
      </c>
      <c r="T27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6798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31070</v>
      </c>
      <c r="D5" s="12" t="n">
        <v>32256</v>
      </c>
      <c r="E5" s="12" t="n">
        <v>30845</v>
      </c>
      <c r="F5" s="12" t="n">
        <v>32422</v>
      </c>
      <c r="G5" s="12" t="n">
        <v>30995</v>
      </c>
      <c r="H5" s="11" t="n">
        <v>31730</v>
      </c>
      <c r="I5" s="12" t="n">
        <v>33251</v>
      </c>
      <c r="J5" s="12" t="n">
        <v>33824</v>
      </c>
      <c r="K5" s="12" t="n">
        <v>33149</v>
      </c>
      <c r="L5" s="12" t="n">
        <v>30845</v>
      </c>
    </row>
    <row r="6">
      <c r="A6" s="18" t="inlineStr">
        <is>
          <t>현금및현금성자산</t>
        </is>
      </c>
      <c r="B6" s="10" t="n"/>
      <c r="C6" s="19" t="n">
        <v>9805</v>
      </c>
      <c r="D6" s="20" t="n">
        <v>11282</v>
      </c>
      <c r="E6" s="20" t="n">
        <v>9673</v>
      </c>
      <c r="F6" s="20" t="n">
        <v>11020</v>
      </c>
      <c r="G6" s="20" t="n">
        <v>9649</v>
      </c>
      <c r="H6" s="19" t="n">
        <v>8555</v>
      </c>
      <c r="I6" s="20" t="n">
        <v>8969</v>
      </c>
      <c r="J6" s="20" t="n">
        <v>10258</v>
      </c>
      <c r="K6" s="20" t="n">
        <v>10475</v>
      </c>
      <c r="L6" s="20" t="n">
        <v>9673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9916</v>
      </c>
      <c r="D8" s="20" t="n">
        <v>9344</v>
      </c>
      <c r="E8" s="20" t="n">
        <v>10872</v>
      </c>
      <c r="F8" s="20" t="n">
        <v>9502</v>
      </c>
      <c r="G8" s="20" t="n">
        <v>9824</v>
      </c>
      <c r="H8" s="19" t="n">
        <v>11286</v>
      </c>
      <c r="I8" s="20" t="n">
        <v>11505</v>
      </c>
      <c r="J8" s="20" t="n">
        <v>10039</v>
      </c>
      <c r="K8" s="20" t="n">
        <v>11221</v>
      </c>
      <c r="L8" s="20" t="n">
        <v>10872</v>
      </c>
    </row>
    <row r="9">
      <c r="A9" s="18" t="inlineStr">
        <is>
          <t>재고자산</t>
        </is>
      </c>
      <c r="B9" s="10" t="n"/>
      <c r="C9" s="19" t="n">
        <v>7629</v>
      </c>
      <c r="D9" s="20" t="n">
        <v>7856</v>
      </c>
      <c r="E9" s="20" t="n">
        <v>6740</v>
      </c>
      <c r="F9" s="20" t="n">
        <v>8059</v>
      </c>
      <c r="G9" s="20" t="n">
        <v>7487</v>
      </c>
      <c r="H9" s="19" t="n">
        <v>9544</v>
      </c>
      <c r="I9" s="20" t="n">
        <v>10071</v>
      </c>
      <c r="J9" s="20" t="n">
        <v>9256</v>
      </c>
      <c r="K9" s="20" t="n">
        <v>7672</v>
      </c>
      <c r="L9" s="20" t="n">
        <v>6740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25172</v>
      </c>
      <c r="D11" s="12" t="n">
        <v>25727</v>
      </c>
      <c r="E11" s="12" t="n">
        <v>26780</v>
      </c>
      <c r="F11" s="12" t="n">
        <v>27032</v>
      </c>
      <c r="G11" s="12" t="n">
        <v>26823</v>
      </c>
      <c r="H11" s="11" t="n">
        <v>23063</v>
      </c>
      <c r="I11" s="12" t="n">
        <v>23113</v>
      </c>
      <c r="J11" s="12" t="n">
        <v>24619</v>
      </c>
      <c r="K11" s="12" t="n">
        <v>24535</v>
      </c>
      <c r="L11" s="12" t="n">
        <v>26780</v>
      </c>
    </row>
    <row r="12">
      <c r="A12" s="18" t="inlineStr">
        <is>
          <t>유형자산</t>
        </is>
      </c>
      <c r="B12" s="10" t="n"/>
      <c r="C12" s="19" t="n">
        <v>14731</v>
      </c>
      <c r="D12" s="20" t="n">
        <v>14802</v>
      </c>
      <c r="E12" s="20" t="n">
        <v>14423</v>
      </c>
      <c r="F12" s="20" t="n">
        <v>14433</v>
      </c>
      <c r="G12" s="20" t="n">
        <v>14390</v>
      </c>
      <c r="H12" s="19" t="n">
        <v>16190</v>
      </c>
      <c r="I12" s="20" t="n">
        <v>15567</v>
      </c>
      <c r="J12" s="20" t="n">
        <v>15328</v>
      </c>
      <c r="K12" s="20" t="n">
        <v>14754</v>
      </c>
      <c r="L12" s="20" t="n">
        <v>14423</v>
      </c>
    </row>
    <row r="13">
      <c r="A13" s="18" t="inlineStr">
        <is>
          <t>무형자산</t>
        </is>
      </c>
      <c r="B13" s="10" t="n"/>
      <c r="C13" s="19" t="n">
        <v>256</v>
      </c>
      <c r="D13" s="20" t="n">
        <v>262</v>
      </c>
      <c r="E13" s="20" t="n">
        <v>242</v>
      </c>
      <c r="F13" s="20" t="n">
        <v>230</v>
      </c>
      <c r="G13" s="20" t="n">
        <v>281</v>
      </c>
      <c r="H13" s="19" t="n">
        <v>116</v>
      </c>
      <c r="I13" s="20" t="n">
        <v>94</v>
      </c>
      <c r="J13" s="20" t="n">
        <v>130</v>
      </c>
      <c r="K13" s="20" t="n">
        <v>202</v>
      </c>
      <c r="L13" s="20" t="n">
        <v>242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56243</v>
      </c>
      <c r="D16" s="12" t="n">
        <v>57983</v>
      </c>
      <c r="E16" s="12" t="n">
        <v>57625</v>
      </c>
      <c r="F16" s="12" t="n">
        <v>59454</v>
      </c>
      <c r="G16" s="12" t="n">
        <v>57818</v>
      </c>
      <c r="H16" s="11" t="n">
        <v>54794</v>
      </c>
      <c r="I16" s="12" t="n">
        <v>56365</v>
      </c>
      <c r="J16" s="12" t="n">
        <v>58444</v>
      </c>
      <c r="K16" s="12" t="n">
        <v>57684</v>
      </c>
      <c r="L16" s="12" t="n">
        <v>57625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16565</v>
      </c>
      <c r="D18" s="12" t="n">
        <v>15591</v>
      </c>
      <c r="E18" s="12" t="n">
        <v>14417</v>
      </c>
      <c r="F18" s="12" t="n">
        <v>16410</v>
      </c>
      <c r="G18" s="12" t="n">
        <v>16316</v>
      </c>
      <c r="H18" s="11" t="n">
        <v>15178</v>
      </c>
      <c r="I18" s="12" t="n">
        <v>16193</v>
      </c>
      <c r="J18" s="12" t="n">
        <v>15371</v>
      </c>
      <c r="K18" s="12" t="n">
        <v>16647</v>
      </c>
      <c r="L18" s="12" t="n">
        <v>14417</v>
      </c>
    </row>
    <row r="19">
      <c r="A19" s="18" t="inlineStr">
        <is>
          <t>매입채무</t>
        </is>
      </c>
      <c r="B19" s="10" t="n"/>
      <c r="C19" s="19" t="n">
        <v>3278</v>
      </c>
      <c r="D19" s="20" t="n">
        <v>3451</v>
      </c>
      <c r="E19" s="20" t="n">
        <v>2887</v>
      </c>
      <c r="F19" s="20" t="n">
        <v>3996</v>
      </c>
      <c r="G19" s="20" t="n">
        <v>3689</v>
      </c>
      <c r="H19" s="19" t="n">
        <v>5404</v>
      </c>
      <c r="I19" s="20" t="n">
        <v>4878</v>
      </c>
      <c r="J19" s="20" t="n">
        <v>2643</v>
      </c>
      <c r="K19" s="20" t="n">
        <v>3206</v>
      </c>
      <c r="L19" s="20" t="n">
        <v>2887</v>
      </c>
    </row>
    <row r="20">
      <c r="A20" s="18" t="inlineStr">
        <is>
          <t>단기차입금</t>
        </is>
      </c>
      <c r="B20" s="10" t="n"/>
      <c r="C20" s="19" t="n">
        <v>7440</v>
      </c>
      <c r="D20" s="20" t="n">
        <v>6140</v>
      </c>
      <c r="E20" s="20" t="n">
        <v>6140</v>
      </c>
      <c r="F20" s="20" t="n">
        <v>7110</v>
      </c>
      <c r="G20" s="20" t="n">
        <v>7386</v>
      </c>
      <c r="H20" s="19" t="n">
        <v>5066</v>
      </c>
      <c r="I20" s="20" t="n">
        <v>6491</v>
      </c>
      <c r="J20" s="20" t="n">
        <v>5840</v>
      </c>
      <c r="K20" s="20" t="n">
        <v>7040</v>
      </c>
      <c r="L20" s="20" t="n">
        <v>6140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10643</v>
      </c>
      <c r="D23" s="12" t="n">
        <v>11911</v>
      </c>
      <c r="E23" s="12" t="n">
        <v>12051</v>
      </c>
      <c r="F23" s="12" t="n">
        <v>11745</v>
      </c>
      <c r="G23" s="12" t="n">
        <v>10595</v>
      </c>
      <c r="H23" s="11" t="n">
        <v>8972</v>
      </c>
      <c r="I23" s="12" t="n">
        <v>7897</v>
      </c>
      <c r="J23" s="12" t="n">
        <v>10929</v>
      </c>
      <c r="K23" s="12" t="n">
        <v>11815</v>
      </c>
      <c r="L23" s="12" t="n">
        <v>12051</v>
      </c>
    </row>
    <row r="24">
      <c r="A24" s="18" t="inlineStr">
        <is>
          <t>장기차입금</t>
        </is>
      </c>
      <c r="B24" s="10" t="n"/>
      <c r="C24" s="19" t="n">
        <v>6511</v>
      </c>
      <c r="D24" s="20" t="n">
        <v>7672</v>
      </c>
      <c r="E24" s="20" t="n">
        <v>7141</v>
      </c>
      <c r="F24" s="20" t="n">
        <v>6832</v>
      </c>
      <c r="G24" s="20" t="n">
        <v>5625</v>
      </c>
      <c r="H24" s="19" t="n">
        <v>6214</v>
      </c>
      <c r="I24" s="20" t="n">
        <v>4863</v>
      </c>
      <c r="J24" s="20" t="n">
        <v>7022</v>
      </c>
      <c r="K24" s="20" t="n">
        <v>7282</v>
      </c>
      <c r="L24" s="20" t="n">
        <v>7141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27209</v>
      </c>
      <c r="D27" s="12" t="n">
        <v>27502</v>
      </c>
      <c r="E27" s="12" t="n">
        <v>26468</v>
      </c>
      <c r="F27" s="12" t="n">
        <v>28156</v>
      </c>
      <c r="G27" s="12" t="n">
        <v>26912</v>
      </c>
      <c r="H27" s="11" t="n">
        <v>24150</v>
      </c>
      <c r="I27" s="12" t="n">
        <v>24090</v>
      </c>
      <c r="J27" s="12" t="n">
        <v>26300</v>
      </c>
      <c r="K27" s="12" t="n">
        <v>28462</v>
      </c>
      <c r="L27" s="12" t="n">
        <v>26468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29033</v>
      </c>
      <c r="D31" s="12" t="n">
        <v>30481</v>
      </c>
      <c r="E31" s="12" t="n">
        <v>31156</v>
      </c>
      <c r="F31" s="12" t="n">
        <v>31298</v>
      </c>
      <c r="G31" s="12" t="n">
        <v>30906</v>
      </c>
      <c r="H31" s="11" t="n">
        <v>30643</v>
      </c>
      <c r="I31" s="12" t="n">
        <v>32274</v>
      </c>
      <c r="J31" s="12" t="n">
        <v>32143</v>
      </c>
      <c r="K31" s="12" t="n">
        <v>29221</v>
      </c>
      <c r="L31" s="12" t="n">
        <v>31156</v>
      </c>
    </row>
    <row r="32">
      <c r="A32" s="18" t="inlineStr">
        <is>
          <t>자본금</t>
        </is>
      </c>
      <c r="B32" s="10" t="n"/>
      <c r="C32" s="19" t="n">
        <v>7996</v>
      </c>
      <c r="D32" s="20" t="n">
        <v>7996</v>
      </c>
      <c r="E32" s="20" t="n">
        <v>7996</v>
      </c>
      <c r="F32" s="20" t="n">
        <v>7996</v>
      </c>
      <c r="G32" s="20" t="n">
        <v>7996</v>
      </c>
      <c r="H32" s="19" t="n">
        <v>7996</v>
      </c>
      <c r="I32" s="20" t="n">
        <v>7996</v>
      </c>
      <c r="J32" s="20" t="n">
        <v>7996</v>
      </c>
      <c r="K32" s="20" t="n">
        <v>7996</v>
      </c>
      <c r="L32" s="20" t="n">
        <v>7996</v>
      </c>
    </row>
    <row r="33">
      <c r="A33" s="18" t="inlineStr">
        <is>
          <t>이익잉여금</t>
        </is>
      </c>
      <c r="B33" s="10" t="n"/>
      <c r="C33" s="19" t="n">
        <v>9963</v>
      </c>
      <c r="D33" s="20" t="n">
        <v>10577</v>
      </c>
      <c r="E33" s="20" t="n">
        <v>9894</v>
      </c>
      <c r="F33" s="20" t="n">
        <v>9731</v>
      </c>
      <c r="G33" s="20" t="n">
        <v>9834</v>
      </c>
      <c r="H33" s="19" t="n">
        <v>15925</v>
      </c>
      <c r="I33" s="20" t="n">
        <v>14730</v>
      </c>
      <c r="J33" s="20" t="n">
        <v>13253</v>
      </c>
      <c r="K33" s="20" t="n">
        <v>10731</v>
      </c>
      <c r="L33" s="20" t="n">
        <v>9894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29033</v>
      </c>
      <c r="D35" s="12" t="n">
        <v>30481</v>
      </c>
      <c r="E35" s="12" t="n">
        <v>31156</v>
      </c>
      <c r="F35" s="12" t="n">
        <v>31298</v>
      </c>
      <c r="G35" s="12" t="n">
        <v>30906</v>
      </c>
      <c r="H35" s="11" t="n">
        <v>30643</v>
      </c>
      <c r="I35" s="12" t="n">
        <v>32274</v>
      </c>
      <c r="J35" s="12" t="n">
        <v>32143</v>
      </c>
      <c r="K35" s="12" t="n">
        <v>29221</v>
      </c>
      <c r="L35" s="12" t="n">
        <v>31156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1937</v>
      </c>
      <c r="D37" s="12" t="n"/>
      <c r="E37" s="12" t="n">
        <v>2023</v>
      </c>
      <c r="F37" s="12" t="n"/>
      <c r="G37" s="12" t="n">
        <v>2762</v>
      </c>
      <c r="H37" s="11" t="n">
        <v>2433</v>
      </c>
      <c r="I37" s="12" t="n">
        <v>3591</v>
      </c>
      <c r="J37" s="12" t="n">
        <v>3719</v>
      </c>
      <c r="K37" s="12" t="n">
        <v>2439</v>
      </c>
      <c r="L37" s="12" t="n">
        <v>2023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2330</v>
      </c>
      <c r="D38" s="20" t="n"/>
      <c r="E38" s="20" t="n">
        <v>2271</v>
      </c>
      <c r="F38" s="20" t="n"/>
      <c r="G38" s="20" t="n">
        <v>2345</v>
      </c>
      <c r="H38" s="19" t="n">
        <v>2011</v>
      </c>
      <c r="I38" s="20" t="n">
        <v>1964</v>
      </c>
      <c r="J38" s="20" t="n">
        <v>2437</v>
      </c>
      <c r="K38" s="20" t="n">
        <v>2206</v>
      </c>
      <c r="L38" s="20" t="n">
        <v>2271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889</v>
      </c>
      <c r="D40" s="20" t="n"/>
      <c r="E40" s="20" t="n">
        <v>890</v>
      </c>
      <c r="F40" s="20" t="n"/>
      <c r="G40" s="20" t="n">
        <v>637</v>
      </c>
      <c r="H40" s="19" t="n">
        <v>323</v>
      </c>
      <c r="I40" s="20" t="n">
        <v>438</v>
      </c>
      <c r="J40" s="20" t="n">
        <v>984</v>
      </c>
      <c r="K40" s="20" t="n">
        <v>636</v>
      </c>
      <c r="L40" s="20" t="n">
        <v>890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9805</v>
      </c>
      <c r="D71" s="20" t="n">
        <v>11282</v>
      </c>
      <c r="E71" s="20" t="n">
        <v>9673</v>
      </c>
      <c r="F71" s="20" t="n">
        <v>11020</v>
      </c>
      <c r="G71" s="20" t="n">
        <v>9649</v>
      </c>
      <c r="H71" s="20" t="n">
        <v>8555</v>
      </c>
      <c r="I71" s="20" t="n">
        <v>8969</v>
      </c>
      <c r="J71" s="20" t="n">
        <v>10258</v>
      </c>
      <c r="K71" s="20" t="n">
        <v>10475</v>
      </c>
      <c r="L71" s="20" t="n">
        <v>9673</v>
      </c>
    </row>
    <row r="72">
      <c r="A72" s="18" t="inlineStr">
        <is>
          <t>받을어음·매출채권</t>
        </is>
      </c>
      <c r="H72" s="20" t="n">
        <v>11340</v>
      </c>
    </row>
    <row r="73">
      <c r="A73" s="18" t="inlineStr">
        <is>
          <t>받을어음</t>
        </is>
      </c>
      <c r="C73" s="20" t="n">
        <v>4</v>
      </c>
      <c r="D73" s="20" t="n">
        <v>3</v>
      </c>
      <c r="E73" s="20" t="n">
        <v>1</v>
      </c>
      <c r="F73" s="20" t="n">
        <v>4</v>
      </c>
      <c r="G73" s="20" t="n">
        <v>4</v>
      </c>
      <c r="H73" s="20" t="n">
        <v>53</v>
      </c>
      <c r="I73" s="20" t="n">
        <v>64</v>
      </c>
      <c r="J73" s="20" t="n">
        <v>50</v>
      </c>
      <c r="K73" s="20" t="n">
        <v>4</v>
      </c>
      <c r="L73" s="20" t="n">
        <v>1</v>
      </c>
    </row>
    <row r="74">
      <c r="A74" s="18" t="inlineStr">
        <is>
          <t>전자기록채권</t>
        </is>
      </c>
      <c r="C74" s="20" t="n">
        <v>2497</v>
      </c>
      <c r="D74" s="20" t="n">
        <v>2578</v>
      </c>
      <c r="E74" s="20" t="n">
        <v>2427</v>
      </c>
      <c r="F74" s="20" t="n">
        <v>2360</v>
      </c>
      <c r="G74" s="20" t="n">
        <v>2718</v>
      </c>
      <c r="H74" s="20" t="n">
        <v>1460</v>
      </c>
      <c r="I74" s="20" t="n">
        <v>1606</v>
      </c>
      <c r="J74" s="20" t="n">
        <v>3132</v>
      </c>
      <c r="K74" s="20" t="n">
        <v>2710</v>
      </c>
      <c r="L74" s="20" t="n">
        <v>2427</v>
      </c>
    </row>
    <row r="75">
      <c r="A75" s="18" t="inlineStr">
        <is>
          <t>매출채권</t>
        </is>
      </c>
      <c r="C75" s="20" t="n">
        <v>9916</v>
      </c>
      <c r="D75" s="20" t="n">
        <v>9344</v>
      </c>
      <c r="E75" s="20" t="n">
        <v>10872</v>
      </c>
      <c r="F75" s="20" t="n">
        <v>9502</v>
      </c>
      <c r="G75" s="20" t="n">
        <v>9824</v>
      </c>
      <c r="H75" s="20" t="n">
        <v>11286</v>
      </c>
      <c r="I75" s="20" t="n">
        <v>11505</v>
      </c>
      <c r="J75" s="20" t="n">
        <v>10039</v>
      </c>
      <c r="K75" s="20" t="n">
        <v>11221</v>
      </c>
      <c r="L75" s="20" t="n">
        <v>10872</v>
      </c>
    </row>
    <row r="76">
      <c r="A76" s="18" t="inlineStr">
        <is>
          <t>상품·제품</t>
        </is>
      </c>
      <c r="C76" s="20" t="n">
        <v>2897</v>
      </c>
      <c r="D76" s="20" t="n">
        <v>3204</v>
      </c>
      <c r="E76" s="20" t="n">
        <v>2715</v>
      </c>
      <c r="F76" s="20" t="n">
        <v>3080</v>
      </c>
      <c r="G76" s="20" t="n">
        <v>2898</v>
      </c>
      <c r="H76" s="20" t="n">
        <v>3592</v>
      </c>
      <c r="I76" s="20" t="n">
        <v>4277</v>
      </c>
      <c r="J76" s="20" t="n">
        <v>3424</v>
      </c>
      <c r="K76" s="20" t="n">
        <v>2909</v>
      </c>
      <c r="L76" s="20" t="n">
        <v>2715</v>
      </c>
    </row>
    <row r="77">
      <c r="A77" s="18" t="inlineStr">
        <is>
          <t>재공품</t>
        </is>
      </c>
      <c r="C77" s="20" t="n">
        <v>533</v>
      </c>
      <c r="D77" s="20" t="n">
        <v>671</v>
      </c>
      <c r="E77" s="20" t="n">
        <v>625</v>
      </c>
      <c r="F77" s="20" t="n">
        <v>768</v>
      </c>
      <c r="G77" s="20" t="n">
        <v>610</v>
      </c>
      <c r="H77" s="20" t="n">
        <v>961</v>
      </c>
      <c r="I77" s="20" t="n">
        <v>660</v>
      </c>
      <c r="J77" s="20" t="n">
        <v>592</v>
      </c>
      <c r="K77" s="20" t="n">
        <v>517</v>
      </c>
      <c r="L77" s="20" t="n">
        <v>625</v>
      </c>
    </row>
    <row r="78">
      <c r="A78" s="18" t="inlineStr">
        <is>
          <t>원재료·저장품</t>
        </is>
      </c>
      <c r="C78" s="20" t="n">
        <v>4199</v>
      </c>
      <c r="D78" s="20" t="n">
        <v>3981</v>
      </c>
      <c r="E78" s="20" t="n">
        <v>3400</v>
      </c>
      <c r="F78" s="20" t="n">
        <v>4211</v>
      </c>
      <c r="G78" s="20" t="n">
        <v>3979</v>
      </c>
      <c r="H78" s="20" t="n">
        <v>4991</v>
      </c>
      <c r="I78" s="20" t="n">
        <v>5134</v>
      </c>
      <c r="J78" s="20" t="n">
        <v>5240</v>
      </c>
      <c r="K78" s="20" t="n">
        <v>4246</v>
      </c>
      <c r="L78" s="20" t="n">
        <v>3400</v>
      </c>
    </row>
    <row r="79">
      <c r="A79" s="18" t="inlineStr">
        <is>
          <t>기타</t>
        </is>
      </c>
      <c r="C79" s="20" t="n">
        <v>1278</v>
      </c>
      <c r="D79" s="20" t="n">
        <v>1251</v>
      </c>
      <c r="E79" s="20" t="n">
        <v>1191</v>
      </c>
      <c r="F79" s="20" t="n">
        <v>1544</v>
      </c>
      <c r="G79" s="20" t="n">
        <v>1378</v>
      </c>
      <c r="H79" s="20" t="n">
        <v>860</v>
      </c>
      <c r="I79" s="20" t="n">
        <v>1080</v>
      </c>
      <c r="J79" s="20" t="n">
        <v>1150</v>
      </c>
      <c r="K79" s="20" t="n">
        <v>1151</v>
      </c>
      <c r="L79" s="20" t="n">
        <v>1191</v>
      </c>
    </row>
    <row r="80">
      <c r="A80" s="18" t="inlineStr">
        <is>
          <t>대손충당금</t>
        </is>
      </c>
      <c r="C80" s="20" t="n">
        <v>-62</v>
      </c>
      <c r="D80" s="20" t="n">
        <v>-60</v>
      </c>
      <c r="E80" s="20" t="n">
        <v>-62</v>
      </c>
      <c r="F80" s="20" t="n">
        <v>-69</v>
      </c>
      <c r="G80" s="20" t="n">
        <v>-68</v>
      </c>
      <c r="H80" s="20" t="n">
        <v>-31</v>
      </c>
      <c r="I80" s="20" t="n">
        <v>-47</v>
      </c>
      <c r="J80" s="20" t="n">
        <v>-64</v>
      </c>
      <c r="K80" s="20" t="n">
        <v>-85</v>
      </c>
      <c r="L80" s="20" t="n">
        <v>-62</v>
      </c>
    </row>
    <row r="81">
      <c r="A81" s="9" t="inlineStr">
        <is>
          <t>유동자산 합계</t>
        </is>
      </c>
      <c r="C81" s="12" t="n">
        <v>31070</v>
      </c>
      <c r="D81" s="12" t="n">
        <v>32256</v>
      </c>
      <c r="E81" s="12" t="n">
        <v>30845</v>
      </c>
      <c r="F81" s="12" t="n">
        <v>32422</v>
      </c>
      <c r="G81" s="12" t="n">
        <v>30995</v>
      </c>
      <c r="H81" s="12" t="n">
        <v>31730</v>
      </c>
      <c r="I81" s="12" t="n">
        <v>33251</v>
      </c>
      <c r="J81" s="12" t="n">
        <v>33824</v>
      </c>
      <c r="K81" s="12" t="n">
        <v>33149</v>
      </c>
      <c r="L81" s="12" t="n">
        <v>30845</v>
      </c>
    </row>
    <row r="82">
      <c r="A82" s="18" t="inlineStr">
        <is>
          <t>건물·구축물</t>
        </is>
      </c>
      <c r="E82" s="20" t="n">
        <v>21798</v>
      </c>
      <c r="H82" s="20" t="n">
        <v>19066</v>
      </c>
      <c r="I82" s="20" t="n">
        <v>19641</v>
      </c>
      <c r="J82" s="20" t="n">
        <v>20697</v>
      </c>
      <c r="K82" s="20" t="n">
        <v>21036</v>
      </c>
      <c r="L82" s="20" t="n">
        <v>21798</v>
      </c>
    </row>
    <row r="83">
      <c r="A83" s="18" t="inlineStr">
        <is>
          <t>감가상각누계액 및 손상차손누계액</t>
        </is>
      </c>
      <c r="E83" s="20" t="n">
        <v>-17732</v>
      </c>
      <c r="H83" s="20" t="n">
        <v>-14897</v>
      </c>
      <c r="I83" s="20" t="n">
        <v>-15583</v>
      </c>
      <c r="J83" s="20" t="n">
        <v>-16451</v>
      </c>
      <c r="K83" s="20" t="n">
        <v>-16885</v>
      </c>
      <c r="L83" s="20" t="n">
        <v>-17732</v>
      </c>
    </row>
    <row r="84">
      <c r="A84" s="18" t="inlineStr">
        <is>
          <t>건물·구축물(순액)</t>
        </is>
      </c>
      <c r="C84" s="20" t="n">
        <v>4085</v>
      </c>
      <c r="D84" s="20" t="n">
        <v>4049</v>
      </c>
      <c r="E84" s="20" t="n">
        <v>4066</v>
      </c>
      <c r="F84" s="20" t="n">
        <v>4003</v>
      </c>
      <c r="G84" s="20" t="n">
        <v>3929</v>
      </c>
      <c r="H84" s="20" t="n">
        <v>4169</v>
      </c>
      <c r="I84" s="20" t="n">
        <v>4058</v>
      </c>
      <c r="J84" s="20" t="n">
        <v>4245</v>
      </c>
      <c r="K84" s="20" t="n">
        <v>4151</v>
      </c>
      <c r="L84" s="20" t="n">
        <v>4066</v>
      </c>
    </row>
    <row r="85">
      <c r="A85" s="18" t="inlineStr">
        <is>
          <t>기계장치·운반구</t>
        </is>
      </c>
      <c r="E85" s="20" t="n">
        <v>24058</v>
      </c>
      <c r="H85" s="20" t="n">
        <v>24804</v>
      </c>
      <c r="I85" s="20" t="n">
        <v>25238</v>
      </c>
      <c r="J85" s="20" t="n">
        <v>25851</v>
      </c>
      <c r="K85" s="20" t="n">
        <v>22609</v>
      </c>
      <c r="L85" s="20" t="n">
        <v>24058</v>
      </c>
    </row>
    <row r="86">
      <c r="A86" s="18" t="inlineStr">
        <is>
          <t>감가상각누계액 및 손상차손누계액</t>
        </is>
      </c>
      <c r="E86" s="20" t="n">
        <v>-21272</v>
      </c>
      <c r="H86" s="20" t="n">
        <v>-21297</v>
      </c>
      <c r="I86" s="20" t="n">
        <v>-22170</v>
      </c>
      <c r="J86" s="20" t="n">
        <v>-23020</v>
      </c>
      <c r="K86" s="20" t="n">
        <v>-19960</v>
      </c>
      <c r="L86" s="20" t="n">
        <v>-21272</v>
      </c>
    </row>
    <row r="87">
      <c r="A87" s="18" t="inlineStr">
        <is>
          <t>기계장치·운반구(순액)</t>
        </is>
      </c>
      <c r="E87" s="20" t="n">
        <v>2785</v>
      </c>
      <c r="H87" s="20" t="n">
        <v>3506</v>
      </c>
      <c r="I87" s="20" t="n">
        <v>3068</v>
      </c>
      <c r="J87" s="20" t="n">
        <v>2830</v>
      </c>
      <c r="K87" s="20" t="n">
        <v>2649</v>
      </c>
      <c r="L87" s="20" t="n">
        <v>2785</v>
      </c>
    </row>
    <row r="88">
      <c r="A88" s="18" t="inlineStr">
        <is>
          <t>공구·기구·비품</t>
        </is>
      </c>
      <c r="E88" s="20" t="n">
        <v>17294</v>
      </c>
      <c r="H88" s="20" t="n">
        <v>20214</v>
      </c>
      <c r="I88" s="20" t="n">
        <v>19385</v>
      </c>
      <c r="J88" s="20" t="n">
        <v>18966</v>
      </c>
      <c r="K88" s="20" t="n">
        <v>17031</v>
      </c>
      <c r="L88" s="20" t="n">
        <v>17294</v>
      </c>
    </row>
    <row r="89">
      <c r="A89" s="18" t="inlineStr">
        <is>
          <t>감가상각누계액 및 손상차손누계액</t>
        </is>
      </c>
      <c r="E89" s="20" t="n">
        <v>-16142</v>
      </c>
      <c r="H89" s="20" t="n">
        <v>-19069</v>
      </c>
      <c r="I89" s="20" t="n">
        <v>-18426</v>
      </c>
      <c r="J89" s="20" t="n">
        <v>-18011</v>
      </c>
      <c r="K89" s="20" t="n">
        <v>-16009</v>
      </c>
      <c r="L89" s="20" t="n">
        <v>-16142</v>
      </c>
    </row>
    <row r="90">
      <c r="A90" s="18" t="inlineStr">
        <is>
          <t>공구·기구·비품(순액)</t>
        </is>
      </c>
      <c r="E90" s="20" t="n">
        <v>1152</v>
      </c>
      <c r="H90" s="20" t="n">
        <v>1144</v>
      </c>
      <c r="I90" s="20" t="n">
        <v>959</v>
      </c>
      <c r="J90" s="20" t="n">
        <v>954</v>
      </c>
      <c r="K90" s="20" t="n">
        <v>1022</v>
      </c>
      <c r="L90" s="20" t="n">
        <v>1152</v>
      </c>
    </row>
    <row r="91">
      <c r="A91" s="18" t="inlineStr">
        <is>
          <t>토지</t>
        </is>
      </c>
      <c r="C91" s="20" t="n">
        <v>5819</v>
      </c>
      <c r="D91" s="20" t="n">
        <v>5819</v>
      </c>
      <c r="E91" s="20" t="n">
        <v>5819</v>
      </c>
      <c r="F91" s="20" t="n">
        <v>5819</v>
      </c>
      <c r="G91" s="20" t="n">
        <v>5819</v>
      </c>
      <c r="H91" s="20" t="n">
        <v>5869</v>
      </c>
      <c r="I91" s="20" t="n">
        <v>5869</v>
      </c>
      <c r="J91" s="20" t="n">
        <v>5819</v>
      </c>
      <c r="K91" s="20" t="n">
        <v>5819</v>
      </c>
      <c r="L91" s="20" t="n">
        <v>5819</v>
      </c>
    </row>
    <row r="92">
      <c r="A92" s="18" t="inlineStr">
        <is>
          <t>리스자산</t>
        </is>
      </c>
      <c r="E92" s="20" t="n">
        <v>3</v>
      </c>
      <c r="H92" s="20" t="n">
        <v>29</v>
      </c>
      <c r="I92" s="20" t="n">
        <v>29</v>
      </c>
      <c r="J92" s="20" t="n">
        <v>39</v>
      </c>
      <c r="K92" s="20" t="n">
        <v>3</v>
      </c>
      <c r="L92" s="20" t="n">
        <v>3</v>
      </c>
    </row>
    <row r="93">
      <c r="A93" s="18" t="inlineStr">
        <is>
          <t>감가상각누계액 및 손상차손누계액</t>
        </is>
      </c>
      <c r="E93" s="20" t="n">
        <v>-1</v>
      </c>
      <c r="H93" s="20" t="n">
        <v>-23</v>
      </c>
      <c r="I93" s="20" t="n">
        <v>-26</v>
      </c>
      <c r="J93" s="20" t="n">
        <v>-35</v>
      </c>
      <c r="K93" s="20" t="n">
        <v>-0</v>
      </c>
      <c r="L93" s="20" t="n">
        <v>-1</v>
      </c>
    </row>
    <row r="94">
      <c r="A94" s="18" t="inlineStr">
        <is>
          <t>리스자산(순액)</t>
        </is>
      </c>
      <c r="E94" s="20" t="n">
        <v>2</v>
      </c>
      <c r="H94" s="20" t="n">
        <v>6</v>
      </c>
      <c r="I94" s="20" t="n">
        <v>3</v>
      </c>
      <c r="J94" s="20" t="n">
        <v>3</v>
      </c>
      <c r="K94" s="20" t="n">
        <v>3</v>
      </c>
      <c r="L94" s="20" t="n">
        <v>2</v>
      </c>
    </row>
    <row r="95">
      <c r="A95" s="18" t="inlineStr">
        <is>
          <t>사용권자산</t>
        </is>
      </c>
      <c r="H95" s="20" t="n">
        <v>1599</v>
      </c>
      <c r="I95" s="20" t="n">
        <v>2131</v>
      </c>
      <c r="J95" s="20" t="n">
        <v>2314</v>
      </c>
      <c r="K95" s="20" t="n">
        <v>2257</v>
      </c>
    </row>
    <row r="96">
      <c r="A96" s="18" t="inlineStr">
        <is>
          <t>사용권자산</t>
        </is>
      </c>
      <c r="E96" s="20" t="n">
        <v>2434</v>
      </c>
      <c r="K96" s="20" t="n">
        <v>2257</v>
      </c>
      <c r="L96" s="20" t="n">
        <v>2434</v>
      </c>
    </row>
    <row r="97">
      <c r="A97" s="18" t="inlineStr">
        <is>
          <t>감가상각누계액 및 손상차손누계액</t>
        </is>
      </c>
      <c r="E97" s="20" t="n">
        <v>-1952</v>
      </c>
      <c r="H97" s="20" t="n">
        <v>-292</v>
      </c>
      <c r="I97" s="20" t="n">
        <v>-721</v>
      </c>
      <c r="J97" s="20" t="n">
        <v>-880</v>
      </c>
      <c r="K97" s="20" t="n">
        <v>-1308</v>
      </c>
      <c r="L97" s="20" t="n">
        <v>-1952</v>
      </c>
    </row>
    <row r="98">
      <c r="A98" s="18" t="inlineStr">
        <is>
          <t>사용권자산(순액)</t>
        </is>
      </c>
      <c r="H98" s="20" t="n">
        <v>1307</v>
      </c>
      <c r="I98" s="20" t="n">
        <v>1409</v>
      </c>
      <c r="J98" s="20" t="n">
        <v>1434</v>
      </c>
      <c r="K98" s="20" t="n">
        <v>948</v>
      </c>
    </row>
    <row r="99">
      <c r="A99" s="18" t="inlineStr">
        <is>
          <t>사용권자산(순액)</t>
        </is>
      </c>
      <c r="E99" s="20" t="n">
        <v>482</v>
      </c>
      <c r="K99" s="20" t="n">
        <v>948</v>
      </c>
      <c r="L99" s="20" t="n">
        <v>482</v>
      </c>
    </row>
    <row r="100">
      <c r="A100" s="18" t="inlineStr">
        <is>
          <t>건설중인자산</t>
        </is>
      </c>
      <c r="E100" s="20" t="n">
        <v>114</v>
      </c>
      <c r="H100" s="20" t="n">
        <v>186</v>
      </c>
      <c r="I100" s="20" t="n">
        <v>198</v>
      </c>
      <c r="J100" s="20" t="n">
        <v>39</v>
      </c>
      <c r="K100" s="20" t="n">
        <v>159</v>
      </c>
      <c r="L100" s="20" t="n">
        <v>114</v>
      </c>
    </row>
    <row r="101">
      <c r="A101" s="18" t="inlineStr">
        <is>
          <t>기타(순액)</t>
        </is>
      </c>
      <c r="C101" s="20" t="n">
        <v>4826</v>
      </c>
      <c r="D101" s="20" t="n">
        <v>4933</v>
      </c>
      <c r="E101" s="20" t="n">
        <v>4537</v>
      </c>
      <c r="F101" s="20" t="n">
        <v>4609</v>
      </c>
      <c r="G101" s="20" t="n">
        <v>4641</v>
      </c>
      <c r="H101" s="20" t="n">
        <v>6151</v>
      </c>
      <c r="I101" s="20" t="n">
        <v>5639</v>
      </c>
      <c r="J101" s="20" t="n">
        <v>5263</v>
      </c>
      <c r="K101" s="20" t="n">
        <v>4783</v>
      </c>
      <c r="L101" s="20" t="n">
        <v>4537</v>
      </c>
    </row>
    <row r="102">
      <c r="A102" s="18" t="inlineStr">
        <is>
          <t>유형자산 합계</t>
        </is>
      </c>
      <c r="C102" s="20" t="n">
        <v>14731</v>
      </c>
      <c r="D102" s="20" t="n">
        <v>14802</v>
      </c>
      <c r="E102" s="20" t="n">
        <v>14423</v>
      </c>
      <c r="F102" s="20" t="n">
        <v>14433</v>
      </c>
      <c r="G102" s="20" t="n">
        <v>14390</v>
      </c>
      <c r="H102" s="20" t="n">
        <v>16190</v>
      </c>
      <c r="I102" s="20" t="n">
        <v>15567</v>
      </c>
      <c r="J102" s="20" t="n">
        <v>15328</v>
      </c>
      <c r="K102" s="20" t="n">
        <v>14754</v>
      </c>
      <c r="L102" s="20" t="n">
        <v>14423</v>
      </c>
    </row>
    <row r="103">
      <c r="A103" s="18" t="inlineStr">
        <is>
          <t>기타</t>
        </is>
      </c>
      <c r="C103" s="20" t="n">
        <v>256</v>
      </c>
      <c r="D103" s="20" t="n">
        <v>262</v>
      </c>
      <c r="E103" s="20" t="n">
        <v>242</v>
      </c>
      <c r="F103" s="20" t="n">
        <v>230</v>
      </c>
      <c r="G103" s="20" t="n">
        <v>281</v>
      </c>
      <c r="H103" s="20" t="n">
        <v>116</v>
      </c>
      <c r="I103" s="20" t="n">
        <v>94</v>
      </c>
      <c r="J103" s="20" t="n">
        <v>130</v>
      </c>
      <c r="K103" s="20" t="n">
        <v>202</v>
      </c>
      <c r="L103" s="20" t="n">
        <v>242</v>
      </c>
    </row>
    <row r="104">
      <c r="A104" s="18" t="inlineStr">
        <is>
          <t>무형자산 합계</t>
        </is>
      </c>
      <c r="C104" s="20" t="n">
        <v>256</v>
      </c>
      <c r="D104" s="20" t="n">
        <v>262</v>
      </c>
      <c r="E104" s="20" t="n">
        <v>242</v>
      </c>
      <c r="F104" s="20" t="n">
        <v>230</v>
      </c>
      <c r="G104" s="20" t="n">
        <v>281</v>
      </c>
      <c r="H104" s="20" t="n">
        <v>116</v>
      </c>
      <c r="I104" s="20" t="n">
        <v>94</v>
      </c>
      <c r="J104" s="20" t="n">
        <v>130</v>
      </c>
      <c r="K104" s="20" t="n">
        <v>202</v>
      </c>
      <c r="L104" s="20" t="n">
        <v>242</v>
      </c>
    </row>
    <row r="105">
      <c r="A105" s="18" t="inlineStr">
        <is>
          <t>투자유가증권</t>
        </is>
      </c>
      <c r="E105" s="20" t="n">
        <v>5271</v>
      </c>
      <c r="H105" s="20" t="n">
        <v>3639</v>
      </c>
      <c r="I105" s="20" t="n">
        <v>4041</v>
      </c>
      <c r="J105" s="20" t="n">
        <v>4327</v>
      </c>
      <c r="K105" s="20" t="n">
        <v>4205</v>
      </c>
      <c r="L105" s="20" t="n">
        <v>5271</v>
      </c>
    </row>
    <row r="106">
      <c r="A106" s="18" t="inlineStr">
        <is>
          <t>장기대여금</t>
        </is>
      </c>
      <c r="E106" s="20" t="n">
        <v>94</v>
      </c>
      <c r="H106" s="20" t="n">
        <v>99</v>
      </c>
      <c r="I106" s="20" t="n">
        <v>92</v>
      </c>
      <c r="J106" s="20" t="n">
        <v>90</v>
      </c>
      <c r="K106" s="20" t="n">
        <v>87</v>
      </c>
      <c r="L106" s="20" t="n">
        <v>94</v>
      </c>
    </row>
    <row r="107">
      <c r="A107" s="18" t="inlineStr">
        <is>
          <t>퇴직급여자산</t>
        </is>
      </c>
      <c r="E107" s="20" t="n">
        <v>5745</v>
      </c>
      <c r="H107" s="20" t="n">
        <v>2245</v>
      </c>
      <c r="I107" s="20" t="n">
        <v>2344</v>
      </c>
      <c r="J107" s="20" t="n">
        <v>3788</v>
      </c>
      <c r="K107" s="20" t="n">
        <v>4247</v>
      </c>
      <c r="L107" s="20" t="n">
        <v>5745</v>
      </c>
    </row>
    <row r="108">
      <c r="A108" s="18" t="inlineStr">
        <is>
          <t>이연법인세자산</t>
        </is>
      </c>
      <c r="E108" s="20" t="n">
        <v>85</v>
      </c>
      <c r="H108" s="20" t="n">
        <v>126</v>
      </c>
      <c r="I108" s="20" t="n">
        <v>97</v>
      </c>
      <c r="J108" s="20" t="n">
        <v>149</v>
      </c>
      <c r="K108" s="20" t="n">
        <v>241</v>
      </c>
      <c r="L108" s="20" t="n">
        <v>85</v>
      </c>
    </row>
    <row r="109">
      <c r="A109" s="18" t="inlineStr">
        <is>
          <t>기타</t>
        </is>
      </c>
      <c r="C109" s="20" t="n">
        <v>10296</v>
      </c>
      <c r="D109" s="20" t="n">
        <v>10777</v>
      </c>
      <c r="E109" s="20" t="n">
        <v>12231</v>
      </c>
      <c r="F109" s="20" t="n">
        <v>12421</v>
      </c>
      <c r="G109" s="20" t="n">
        <v>12203</v>
      </c>
      <c r="H109" s="20" t="n">
        <v>731</v>
      </c>
      <c r="I109" s="20" t="n">
        <v>963</v>
      </c>
      <c r="J109" s="20" t="n">
        <v>900</v>
      </c>
      <c r="K109" s="20" t="n">
        <v>890</v>
      </c>
      <c r="L109" s="20" t="n">
        <v>12231</v>
      </c>
    </row>
    <row r="110">
      <c r="A110" s="18" t="inlineStr">
        <is>
          <t>대손충당금</t>
        </is>
      </c>
      <c r="C110" s="20" t="n">
        <v>-111</v>
      </c>
      <c r="D110" s="20" t="n">
        <v>-115</v>
      </c>
      <c r="E110" s="20" t="n">
        <v>-117</v>
      </c>
      <c r="F110" s="20" t="n">
        <v>-53</v>
      </c>
      <c r="G110" s="20" t="n">
        <v>-52</v>
      </c>
      <c r="H110" s="20" t="n">
        <v>-86</v>
      </c>
      <c r="I110" s="20" t="n">
        <v>-88</v>
      </c>
      <c r="J110" s="20" t="n">
        <v>-94</v>
      </c>
      <c r="K110" s="20" t="n">
        <v>-94</v>
      </c>
      <c r="L110" s="20" t="n">
        <v>-117</v>
      </c>
    </row>
    <row r="111">
      <c r="A111" s="18" t="inlineStr">
        <is>
          <t>투자 및 기타자산 합계</t>
        </is>
      </c>
      <c r="C111" s="20" t="n">
        <v>10184</v>
      </c>
      <c r="D111" s="20" t="n">
        <v>10662</v>
      </c>
      <c r="E111" s="20" t="n">
        <v>12114</v>
      </c>
      <c r="F111" s="20" t="n">
        <v>12368</v>
      </c>
      <c r="G111" s="20" t="n">
        <v>12150</v>
      </c>
      <c r="H111" s="20" t="n">
        <v>6755</v>
      </c>
      <c r="I111" s="20" t="n">
        <v>7450</v>
      </c>
      <c r="J111" s="20" t="n">
        <v>9160</v>
      </c>
      <c r="K111" s="20" t="n">
        <v>9578</v>
      </c>
      <c r="L111" s="20" t="n">
        <v>12114</v>
      </c>
    </row>
    <row r="112">
      <c r="A112" s="9" t="inlineStr">
        <is>
          <t>비유동자산 합계</t>
        </is>
      </c>
      <c r="C112" s="12" t="n">
        <v>25172</v>
      </c>
      <c r="D112" s="12" t="n">
        <v>25727</v>
      </c>
      <c r="E112" s="12" t="n">
        <v>26780</v>
      </c>
      <c r="F112" s="12" t="n">
        <v>27032</v>
      </c>
      <c r="G112" s="12" t="n">
        <v>26823</v>
      </c>
      <c r="H112" s="12" t="n">
        <v>23063</v>
      </c>
      <c r="I112" s="12" t="n">
        <v>23113</v>
      </c>
      <c r="J112" s="12" t="n">
        <v>24619</v>
      </c>
      <c r="K112" s="12" t="n">
        <v>24535</v>
      </c>
      <c r="L112" s="12" t="n">
        <v>26780</v>
      </c>
    </row>
    <row r="113">
      <c r="A113" s="9" t="inlineStr">
        <is>
          <t>자산 합계</t>
        </is>
      </c>
      <c r="C113" s="12" t="n">
        <v>56243</v>
      </c>
      <c r="D113" s="12" t="n">
        <v>57983</v>
      </c>
      <c r="E113" s="12" t="n">
        <v>57625</v>
      </c>
      <c r="F113" s="12" t="n">
        <v>59454</v>
      </c>
      <c r="G113" s="12" t="n">
        <v>57818</v>
      </c>
      <c r="H113" s="12" t="n">
        <v>54794</v>
      </c>
      <c r="I113" s="12" t="n">
        <v>56365</v>
      </c>
      <c r="J113" s="12" t="n">
        <v>58444</v>
      </c>
      <c r="K113" s="12" t="n">
        <v>57684</v>
      </c>
      <c r="L113" s="12" t="n">
        <v>57625</v>
      </c>
    </row>
    <row r="114">
      <c r="A114" s="18" t="inlineStr">
        <is>
          <t>지급어음·매입채무</t>
        </is>
      </c>
      <c r="C114" s="20" t="n">
        <v>3278</v>
      </c>
      <c r="D114" s="20" t="n">
        <v>3451</v>
      </c>
      <c r="E114" s="20" t="n">
        <v>2887</v>
      </c>
      <c r="F114" s="20" t="n">
        <v>3996</v>
      </c>
      <c r="G114" s="20" t="n">
        <v>3689</v>
      </c>
      <c r="H114" s="20" t="n">
        <v>5404</v>
      </c>
      <c r="I114" s="20" t="n">
        <v>4878</v>
      </c>
      <c r="J114" s="20" t="n">
        <v>2643</v>
      </c>
      <c r="K114" s="20" t="n">
        <v>3206</v>
      </c>
      <c r="L114" s="20" t="n">
        <v>2887</v>
      </c>
    </row>
    <row r="115">
      <c r="A115" s="18" t="inlineStr">
        <is>
          <t>전자기록채무</t>
        </is>
      </c>
      <c r="C115" s="20" t="n">
        <v>977</v>
      </c>
      <c r="D115" s="20" t="n">
        <v>972</v>
      </c>
      <c r="E115" s="20" t="n">
        <v>317</v>
      </c>
      <c r="F115" s="20" t="n">
        <v>314</v>
      </c>
      <c r="G115" s="20" t="n">
        <v>445</v>
      </c>
      <c r="J115" s="20" t="n">
        <v>2058</v>
      </c>
      <c r="K115" s="20" t="n">
        <v>1005</v>
      </c>
      <c r="L115" s="20" t="n">
        <v>317</v>
      </c>
    </row>
    <row r="116">
      <c r="A116" s="18" t="inlineStr">
        <is>
          <t>단기차입금</t>
        </is>
      </c>
      <c r="C116" s="20" t="n">
        <v>7440</v>
      </c>
      <c r="D116" s="20" t="n">
        <v>6140</v>
      </c>
      <c r="E116" s="20" t="n">
        <v>6140</v>
      </c>
      <c r="F116" s="20" t="n">
        <v>7110</v>
      </c>
      <c r="G116" s="20" t="n">
        <v>7386</v>
      </c>
      <c r="H116" s="20" t="n">
        <v>5066</v>
      </c>
      <c r="I116" s="20" t="n">
        <v>6491</v>
      </c>
      <c r="J116" s="20" t="n">
        <v>5840</v>
      </c>
      <c r="K116" s="20" t="n">
        <v>7040</v>
      </c>
      <c r="L116" s="20" t="n">
        <v>6140</v>
      </c>
    </row>
    <row r="117">
      <c r="A117" s="18" t="inlineStr">
        <is>
          <t>리스부채</t>
        </is>
      </c>
      <c r="E117" s="20" t="n">
        <v>471</v>
      </c>
      <c r="H117" s="20" t="n">
        <v>407</v>
      </c>
      <c r="I117" s="20" t="n">
        <v>434</v>
      </c>
      <c r="J117" s="20" t="n">
        <v>504</v>
      </c>
      <c r="K117" s="20" t="n">
        <v>462</v>
      </c>
      <c r="L117" s="20" t="n">
        <v>471</v>
      </c>
    </row>
    <row r="118">
      <c r="A118" s="18" t="inlineStr">
        <is>
          <t>미지급금</t>
        </is>
      </c>
      <c r="C118" s="20" t="n">
        <v>1931</v>
      </c>
      <c r="D118" s="20" t="n">
        <v>2224</v>
      </c>
      <c r="E118" s="20" t="n">
        <v>2246</v>
      </c>
      <c r="F118" s="20" t="n">
        <v>2323</v>
      </c>
      <c r="G118" s="20" t="n">
        <v>2137</v>
      </c>
      <c r="H118" s="20" t="n">
        <v>1573</v>
      </c>
      <c r="I118" s="20" t="n">
        <v>1774</v>
      </c>
      <c r="J118" s="20" t="n">
        <v>1801</v>
      </c>
      <c r="K118" s="20" t="n">
        <v>2690</v>
      </c>
      <c r="L118" s="20" t="n">
        <v>2246</v>
      </c>
    </row>
    <row r="119">
      <c r="A119" s="18" t="inlineStr">
        <is>
          <t>미지급법인세</t>
        </is>
      </c>
      <c r="C119" s="20" t="n">
        <v>180</v>
      </c>
      <c r="D119" s="20" t="n">
        <v>135</v>
      </c>
      <c r="E119" s="20" t="n">
        <v>209</v>
      </c>
      <c r="F119" s="20" t="n">
        <v>176</v>
      </c>
      <c r="G119" s="20" t="n">
        <v>207</v>
      </c>
      <c r="H119" s="20" t="n">
        <v>303</v>
      </c>
      <c r="I119" s="20" t="n">
        <v>347</v>
      </c>
      <c r="J119" s="20" t="n">
        <v>270</v>
      </c>
      <c r="K119" s="20" t="n">
        <v>198</v>
      </c>
      <c r="L119" s="20" t="n">
        <v>209</v>
      </c>
    </row>
    <row r="120">
      <c r="A120" s="18" t="inlineStr">
        <is>
          <t>상여충당금</t>
        </is>
      </c>
      <c r="C120" s="20" t="n">
        <v>759</v>
      </c>
      <c r="D120" s="20" t="n">
        <v>548</v>
      </c>
      <c r="E120" s="20" t="n">
        <v>628</v>
      </c>
      <c r="F120" s="20" t="n">
        <v>387</v>
      </c>
      <c r="G120" s="20" t="n">
        <v>710</v>
      </c>
      <c r="H120" s="20" t="n">
        <v>745</v>
      </c>
      <c r="I120" s="20" t="n">
        <v>596</v>
      </c>
      <c r="J120" s="20" t="n">
        <v>572</v>
      </c>
      <c r="K120" s="20" t="n">
        <v>581</v>
      </c>
      <c r="L120" s="20" t="n">
        <v>628</v>
      </c>
    </row>
    <row r="121">
      <c r="A121" s="18" t="inlineStr">
        <is>
          <t>임원 상여충당금</t>
        </is>
      </c>
      <c r="C121" s="20" t="n">
        <v>0</v>
      </c>
      <c r="D121" s="20" t="n">
        <v>0</v>
      </c>
      <c r="E121" s="20" t="n">
        <v>18</v>
      </c>
      <c r="F121" s="20" t="n">
        <v>0</v>
      </c>
      <c r="G121" s="20" t="n">
        <v>0</v>
      </c>
      <c r="H121" s="20" t="n">
        <v>30</v>
      </c>
      <c r="I121" s="20" t="n">
        <v>26</v>
      </c>
      <c r="J121" s="20" t="n">
        <v>1</v>
      </c>
      <c r="K121" s="20" t="n">
        <v>3</v>
      </c>
      <c r="L121" s="20" t="n">
        <v>18</v>
      </c>
    </row>
    <row r="122">
      <c r="A122" s="18" t="inlineStr">
        <is>
          <t>매입계약 평가충당금</t>
        </is>
      </c>
      <c r="C122" s="20" t="n">
        <v>6</v>
      </c>
      <c r="D122" s="20" t="n">
        <v>0</v>
      </c>
      <c r="E122" s="20" t="n">
        <v>0</v>
      </c>
      <c r="I122" s="20" t="n">
        <v>0</v>
      </c>
      <c r="J122" s="20" t="n">
        <v>107</v>
      </c>
      <c r="K122" s="20" t="n">
        <v>6</v>
      </c>
      <c r="L122" s="20" t="n">
        <v>0</v>
      </c>
    </row>
    <row r="123">
      <c r="A123" s="18" t="inlineStr">
        <is>
          <t>기타</t>
        </is>
      </c>
      <c r="C123" s="20" t="n">
        <v>1990</v>
      </c>
      <c r="D123" s="20" t="n">
        <v>2118</v>
      </c>
      <c r="E123" s="20" t="n">
        <v>1967</v>
      </c>
      <c r="F123" s="20" t="n">
        <v>2102</v>
      </c>
      <c r="G123" s="20" t="n">
        <v>1739</v>
      </c>
      <c r="H123" s="20" t="n">
        <v>1648</v>
      </c>
      <c r="I123" s="20" t="n">
        <v>1645</v>
      </c>
      <c r="J123" s="20" t="n">
        <v>1571</v>
      </c>
      <c r="K123" s="20" t="n">
        <v>1452</v>
      </c>
      <c r="L123" s="20" t="n">
        <v>1967</v>
      </c>
    </row>
    <row r="124">
      <c r="A124" s="9" t="inlineStr">
        <is>
          <t>유동부채 합계</t>
        </is>
      </c>
      <c r="C124" s="12" t="n">
        <v>16565</v>
      </c>
      <c r="D124" s="12" t="n">
        <v>15591</v>
      </c>
      <c r="E124" s="12" t="n">
        <v>14417</v>
      </c>
      <c r="F124" s="12" t="n">
        <v>16410</v>
      </c>
      <c r="G124" s="12" t="n">
        <v>16316</v>
      </c>
      <c r="H124" s="12" t="n">
        <v>15178</v>
      </c>
      <c r="I124" s="12" t="n">
        <v>16193</v>
      </c>
      <c r="J124" s="12" t="n">
        <v>15371</v>
      </c>
      <c r="K124" s="12" t="n">
        <v>16647</v>
      </c>
      <c r="L124" s="12" t="n">
        <v>14417</v>
      </c>
    </row>
    <row r="125">
      <c r="A125" s="18" t="inlineStr">
        <is>
          <t>장기차입금</t>
        </is>
      </c>
      <c r="C125" s="20" t="n">
        <v>6511</v>
      </c>
      <c r="D125" s="20" t="n">
        <v>7672</v>
      </c>
      <c r="E125" s="20" t="n">
        <v>7141</v>
      </c>
      <c r="F125" s="20" t="n">
        <v>6832</v>
      </c>
      <c r="G125" s="20" t="n">
        <v>5625</v>
      </c>
      <c r="H125" s="20" t="n">
        <v>6214</v>
      </c>
      <c r="I125" s="20" t="n">
        <v>4863</v>
      </c>
      <c r="J125" s="20" t="n">
        <v>7022</v>
      </c>
      <c r="K125" s="20" t="n">
        <v>7282</v>
      </c>
      <c r="L125" s="20" t="n">
        <v>7141</v>
      </c>
    </row>
    <row r="126">
      <c r="A126" s="18" t="inlineStr">
        <is>
          <t>리스부채</t>
        </is>
      </c>
      <c r="E126" s="20" t="n">
        <v>460</v>
      </c>
      <c r="H126" s="20" t="n">
        <v>920</v>
      </c>
      <c r="I126" s="20" t="n">
        <v>1028</v>
      </c>
      <c r="J126" s="20" t="n">
        <v>997</v>
      </c>
      <c r="K126" s="20" t="n">
        <v>830</v>
      </c>
      <c r="L126" s="20" t="n">
        <v>460</v>
      </c>
    </row>
    <row r="127">
      <c r="A127" s="18" t="inlineStr">
        <is>
          <t>이연법인세부채</t>
        </is>
      </c>
      <c r="E127" s="20" t="n">
        <v>3347</v>
      </c>
      <c r="H127" s="20" t="n">
        <v>961</v>
      </c>
      <c r="I127" s="20" t="n">
        <v>1220</v>
      </c>
      <c r="J127" s="20" t="n">
        <v>2005</v>
      </c>
      <c r="K127" s="20" t="n">
        <v>2575</v>
      </c>
      <c r="L127" s="20" t="n">
        <v>3347</v>
      </c>
    </row>
    <row r="128">
      <c r="A128" s="18" t="inlineStr">
        <is>
          <t>임원 퇴직위로 충당금</t>
        </is>
      </c>
      <c r="C128" s="20" t="n">
        <v>120</v>
      </c>
      <c r="D128" s="20" t="n">
        <v>123</v>
      </c>
      <c r="E128" s="20" t="n">
        <v>133</v>
      </c>
      <c r="F128" s="20" t="n">
        <v>134</v>
      </c>
      <c r="G128" s="20" t="n">
        <v>121</v>
      </c>
      <c r="H128" s="20" t="n">
        <v>173</v>
      </c>
      <c r="I128" s="20" t="n">
        <v>131</v>
      </c>
      <c r="J128" s="20" t="n">
        <v>132</v>
      </c>
      <c r="K128" s="20" t="n">
        <v>124</v>
      </c>
      <c r="L128" s="20" t="n">
        <v>133</v>
      </c>
    </row>
    <row r="129">
      <c r="A129" s="18" t="inlineStr">
        <is>
          <t>퇴직급여부채</t>
        </is>
      </c>
      <c r="C129" s="20" t="n">
        <v>283</v>
      </c>
      <c r="D129" s="20" t="n">
        <v>290</v>
      </c>
      <c r="E129" s="20" t="n">
        <v>362</v>
      </c>
      <c r="F129" s="20" t="n">
        <v>357</v>
      </c>
      <c r="G129" s="20" t="n">
        <v>337</v>
      </c>
      <c r="H129" s="20" t="n">
        <v>39</v>
      </c>
      <c r="I129" s="20" t="n">
        <v>24</v>
      </c>
      <c r="J129" s="20" t="n">
        <v>37</v>
      </c>
      <c r="K129" s="20" t="n">
        <v>297</v>
      </c>
      <c r="L129" s="20" t="n">
        <v>362</v>
      </c>
    </row>
    <row r="130">
      <c r="A130" s="18" t="inlineStr">
        <is>
          <t>임원 주식급여 충당금</t>
        </is>
      </c>
      <c r="C130" s="20" t="n">
        <v>34</v>
      </c>
      <c r="D130" s="20" t="n">
        <v>41</v>
      </c>
      <c r="E130" s="20" t="n">
        <v>49</v>
      </c>
      <c r="F130" s="20" t="n">
        <v>55</v>
      </c>
      <c r="G130" s="20" t="n">
        <v>53</v>
      </c>
      <c r="H130" s="20" t="n">
        <v>27</v>
      </c>
      <c r="I130" s="20" t="n">
        <v>29</v>
      </c>
      <c r="J130" s="20" t="n">
        <v>27</v>
      </c>
      <c r="K130" s="20" t="n">
        <v>24</v>
      </c>
      <c r="L130" s="20" t="n">
        <v>49</v>
      </c>
    </row>
    <row r="131">
      <c r="A131" s="18" t="inlineStr">
        <is>
          <t>기타</t>
        </is>
      </c>
      <c r="C131" s="20" t="n">
        <v>3693</v>
      </c>
      <c r="D131" s="20" t="n">
        <v>3782</v>
      </c>
      <c r="E131" s="20" t="n">
        <v>4365</v>
      </c>
      <c r="F131" s="20" t="n">
        <v>4365</v>
      </c>
      <c r="G131" s="20" t="n">
        <v>4458</v>
      </c>
      <c r="H131" s="20" t="n">
        <v>634</v>
      </c>
      <c r="I131" s="20" t="n">
        <v>598</v>
      </c>
      <c r="J131" s="20" t="n">
        <v>705</v>
      </c>
      <c r="K131" s="20" t="n">
        <v>679</v>
      </c>
      <c r="L131" s="20" t="n">
        <v>4365</v>
      </c>
    </row>
    <row r="132">
      <c r="A132" s="9" t="inlineStr">
        <is>
          <t>비유동부채 합계</t>
        </is>
      </c>
      <c r="C132" s="12" t="n">
        <v>10643</v>
      </c>
      <c r="D132" s="12" t="n">
        <v>11911</v>
      </c>
      <c r="E132" s="12" t="n">
        <v>12051</v>
      </c>
      <c r="F132" s="12" t="n">
        <v>11745</v>
      </c>
      <c r="G132" s="12" t="n">
        <v>10595</v>
      </c>
      <c r="H132" s="12" t="n">
        <v>8972</v>
      </c>
      <c r="I132" s="12" t="n">
        <v>7897</v>
      </c>
      <c r="J132" s="12" t="n">
        <v>10929</v>
      </c>
      <c r="K132" s="12" t="n">
        <v>11815</v>
      </c>
      <c r="L132" s="12" t="n">
        <v>12051</v>
      </c>
    </row>
    <row r="133">
      <c r="A133" s="9" t="inlineStr">
        <is>
          <t>부채 합계</t>
        </is>
      </c>
      <c r="C133" s="12" t="n">
        <v>27209</v>
      </c>
      <c r="D133" s="12" t="n">
        <v>27502</v>
      </c>
      <c r="E133" s="12" t="n">
        <v>26468</v>
      </c>
      <c r="F133" s="12" t="n">
        <v>28156</v>
      </c>
      <c r="G133" s="12" t="n">
        <v>26912</v>
      </c>
      <c r="H133" s="12" t="n">
        <v>24150</v>
      </c>
      <c r="I133" s="12" t="n">
        <v>24090</v>
      </c>
      <c r="J133" s="12" t="n">
        <v>26300</v>
      </c>
      <c r="K133" s="12" t="n">
        <v>28462</v>
      </c>
      <c r="L133" s="12" t="n">
        <v>26468</v>
      </c>
    </row>
    <row r="134">
      <c r="A134" s="18" t="inlineStr">
        <is>
          <t>자본금</t>
        </is>
      </c>
      <c r="C134" s="20" t="n">
        <v>7996</v>
      </c>
      <c r="D134" s="20" t="n">
        <v>7996</v>
      </c>
      <c r="E134" s="20" t="n">
        <v>7996</v>
      </c>
      <c r="F134" s="20" t="n">
        <v>7996</v>
      </c>
      <c r="G134" s="20" t="n">
        <v>7996</v>
      </c>
      <c r="H134" s="20" t="n">
        <v>7996</v>
      </c>
      <c r="I134" s="20" t="n">
        <v>7996</v>
      </c>
      <c r="J134" s="20" t="n">
        <v>7996</v>
      </c>
      <c r="K134" s="20" t="n">
        <v>7996</v>
      </c>
      <c r="L134" s="20" t="n">
        <v>7996</v>
      </c>
    </row>
    <row r="135">
      <c r="A135" s="18" t="inlineStr">
        <is>
          <t>자본잉여금</t>
        </is>
      </c>
      <c r="C135" s="20" t="n">
        <v>12057</v>
      </c>
      <c r="D135" s="20" t="n">
        <v>12057</v>
      </c>
      <c r="E135" s="20" t="n">
        <v>12057</v>
      </c>
      <c r="F135" s="20" t="n">
        <v>12057</v>
      </c>
      <c r="G135" s="20" t="n">
        <v>12057</v>
      </c>
      <c r="H135" s="20" t="n">
        <v>12057</v>
      </c>
      <c r="I135" s="20" t="n">
        <v>12057</v>
      </c>
      <c r="J135" s="20" t="n">
        <v>12057</v>
      </c>
      <c r="K135" s="20" t="n">
        <v>12057</v>
      </c>
      <c r="L135" s="20" t="n">
        <v>12057</v>
      </c>
    </row>
    <row r="136">
      <c r="A136" s="18" t="inlineStr">
        <is>
          <t>이익잉여금</t>
        </is>
      </c>
      <c r="C136" s="20" t="n">
        <v>9963</v>
      </c>
      <c r="D136" s="20" t="n">
        <v>10577</v>
      </c>
      <c r="E136" s="20" t="n">
        <v>9894</v>
      </c>
      <c r="F136" s="20" t="n">
        <v>9731</v>
      </c>
      <c r="G136" s="20" t="n">
        <v>9834</v>
      </c>
      <c r="H136" s="20" t="n">
        <v>15925</v>
      </c>
      <c r="I136" s="20" t="n">
        <v>14730</v>
      </c>
      <c r="J136" s="20" t="n">
        <v>13253</v>
      </c>
      <c r="K136" s="20" t="n">
        <v>10731</v>
      </c>
      <c r="L136" s="20" t="n">
        <v>9894</v>
      </c>
    </row>
    <row r="137">
      <c r="A137" s="18" t="inlineStr">
        <is>
          <t>자기주식</t>
        </is>
      </c>
      <c r="C137" s="20" t="n">
        <v>-3028</v>
      </c>
      <c r="D137" s="20" t="n">
        <v>-3029</v>
      </c>
      <c r="E137" s="20" t="n">
        <v>-3030</v>
      </c>
      <c r="F137" s="20" t="n">
        <v>-3030</v>
      </c>
      <c r="G137" s="20" t="n">
        <v>-3023</v>
      </c>
      <c r="H137" s="20" t="n">
        <v>-4876</v>
      </c>
      <c r="I137" s="20" t="n">
        <v>-2531</v>
      </c>
      <c r="J137" s="20" t="n">
        <v>-3030</v>
      </c>
      <c r="K137" s="20" t="n">
        <v>-3032</v>
      </c>
      <c r="L137" s="20" t="n">
        <v>-3030</v>
      </c>
    </row>
    <row r="138">
      <c r="A138" s="9" t="inlineStr">
        <is>
          <t>주주자본 합계</t>
        </is>
      </c>
      <c r="C138" s="12" t="n">
        <v>26988</v>
      </c>
      <c r="D138" s="12" t="n">
        <v>27601</v>
      </c>
      <c r="E138" s="12" t="n">
        <v>26918</v>
      </c>
      <c r="F138" s="12" t="n">
        <v>26754</v>
      </c>
      <c r="G138" s="12" t="n">
        <v>26864</v>
      </c>
      <c r="H138" s="12" t="n">
        <v>31102</v>
      </c>
      <c r="I138" s="12" t="n">
        <v>32252</v>
      </c>
      <c r="J138" s="12" t="n">
        <v>30276</v>
      </c>
      <c r="K138" s="12" t="n">
        <v>27752</v>
      </c>
      <c r="L138" s="12" t="n">
        <v>26918</v>
      </c>
    </row>
    <row r="139">
      <c r="A139" s="18" t="inlineStr">
        <is>
          <t>기타유가증권 평가차액</t>
        </is>
      </c>
      <c r="C139" s="20" t="n">
        <v>1295</v>
      </c>
      <c r="D139" s="20" t="n">
        <v>1445</v>
      </c>
      <c r="E139" s="20" t="n">
        <v>1545</v>
      </c>
      <c r="F139" s="20" t="n">
        <v>1638</v>
      </c>
      <c r="G139" s="20" t="n">
        <v>1534</v>
      </c>
      <c r="H139" s="20" t="n">
        <v>425</v>
      </c>
      <c r="I139" s="20" t="n">
        <v>773</v>
      </c>
      <c r="J139" s="20" t="n">
        <v>1159</v>
      </c>
      <c r="K139" s="20" t="n">
        <v>969</v>
      </c>
      <c r="L139" s="20" t="n">
        <v>1545</v>
      </c>
    </row>
    <row r="140">
      <c r="A140" s="18" t="inlineStr">
        <is>
          <t>이연헤지손익</t>
        </is>
      </c>
      <c r="C140" s="20" t="n">
        <v>38</v>
      </c>
      <c r="D140" s="20" t="n">
        <v>69</v>
      </c>
      <c r="E140" s="20" t="n">
        <v>96</v>
      </c>
      <c r="F140" s="20" t="n">
        <v>100</v>
      </c>
      <c r="G140" s="20" t="n">
        <v>127</v>
      </c>
      <c r="H140" s="20" t="n">
        <v>-2</v>
      </c>
      <c r="I140" s="20" t="n">
        <v>0</v>
      </c>
      <c r="J140" s="20" t="n">
        <v>-70</v>
      </c>
      <c r="K140" s="20" t="n">
        <v>16</v>
      </c>
      <c r="L140" s="20" t="n">
        <v>96</v>
      </c>
    </row>
    <row r="141">
      <c r="A141" s="18" t="inlineStr">
        <is>
          <t>해외사업환산조정</t>
        </is>
      </c>
      <c r="C141" s="20" t="n">
        <v>-376</v>
      </c>
      <c r="D141" s="20" t="n">
        <v>378</v>
      </c>
      <c r="E141" s="20" t="n">
        <v>643</v>
      </c>
      <c r="F141" s="20" t="n">
        <v>977</v>
      </c>
      <c r="G141" s="20" t="n">
        <v>677</v>
      </c>
      <c r="H141" s="20" t="n">
        <v>-1404</v>
      </c>
      <c r="I141" s="20" t="n">
        <v>-1149</v>
      </c>
      <c r="J141" s="20" t="n">
        <v>-497</v>
      </c>
      <c r="K141" s="20" t="n">
        <v>-812</v>
      </c>
      <c r="L141" s="20" t="n">
        <v>643</v>
      </c>
    </row>
    <row r="142">
      <c r="A142" s="18" t="inlineStr">
        <is>
          <t>퇴직급여 조정누계액</t>
        </is>
      </c>
      <c r="C142" s="20" t="n">
        <v>1088</v>
      </c>
      <c r="D142" s="20" t="n">
        <v>985</v>
      </c>
      <c r="E142" s="20" t="n">
        <v>1952</v>
      </c>
      <c r="F142" s="20" t="n">
        <v>1827</v>
      </c>
      <c r="G142" s="20" t="n">
        <v>1702</v>
      </c>
      <c r="H142" s="20" t="n">
        <v>520</v>
      </c>
      <c r="I142" s="20" t="n">
        <v>397</v>
      </c>
      <c r="J142" s="20" t="n">
        <v>1274</v>
      </c>
      <c r="K142" s="20" t="n">
        <v>1296</v>
      </c>
      <c r="L142" s="20" t="n">
        <v>1952</v>
      </c>
    </row>
    <row r="143">
      <c r="A143" s="18" t="inlineStr">
        <is>
          <t>기타포괄손익누계액 합계</t>
        </is>
      </c>
      <c r="C143" s="20" t="n">
        <v>2044</v>
      </c>
      <c r="D143" s="20" t="n">
        <v>2879</v>
      </c>
      <c r="E143" s="20" t="n">
        <v>4238</v>
      </c>
      <c r="F143" s="20" t="n">
        <v>4543</v>
      </c>
      <c r="G143" s="20" t="n">
        <v>4041</v>
      </c>
      <c r="H143" s="20" t="n">
        <v>-459</v>
      </c>
      <c r="I143" s="20" t="n">
        <v>21</v>
      </c>
      <c r="J143" s="20" t="n">
        <v>1866</v>
      </c>
      <c r="K143" s="20" t="n">
        <v>1469</v>
      </c>
      <c r="L143" s="20" t="n">
        <v>4238</v>
      </c>
    </row>
    <row r="144">
      <c r="A144" s="9" t="inlineStr">
        <is>
          <t>순자산 합계</t>
        </is>
      </c>
      <c r="C144" s="12" t="n">
        <v>29033</v>
      </c>
      <c r="D144" s="12" t="n">
        <v>30481</v>
      </c>
      <c r="E144" s="12" t="n">
        <v>31156</v>
      </c>
      <c r="F144" s="12" t="n">
        <v>31298</v>
      </c>
      <c r="G144" s="12" t="n">
        <v>30906</v>
      </c>
      <c r="H144" s="12" t="n">
        <v>30643</v>
      </c>
      <c r="I144" s="12" t="n">
        <v>32274</v>
      </c>
      <c r="J144" s="12" t="n">
        <v>32143</v>
      </c>
      <c r="K144" s="12" t="n">
        <v>29221</v>
      </c>
      <c r="L144" s="12" t="n">
        <v>31156</v>
      </c>
    </row>
    <row r="145">
      <c r="A145" s="9" t="inlineStr">
        <is>
          <t>부채·순자산 합계</t>
        </is>
      </c>
      <c r="C145" s="12" t="n">
        <v>56243</v>
      </c>
      <c r="D145" s="12" t="n">
        <v>57983</v>
      </c>
      <c r="E145" s="12" t="n">
        <v>57625</v>
      </c>
      <c r="F145" s="12" t="n">
        <v>59454</v>
      </c>
      <c r="G145" s="12" t="n">
        <v>57818</v>
      </c>
      <c r="H145" s="12" t="n">
        <v>54794</v>
      </c>
      <c r="I145" s="12" t="n">
        <v>56365</v>
      </c>
      <c r="J145" s="12" t="n">
        <v>58444</v>
      </c>
      <c r="K145" s="12" t="n">
        <v>57684</v>
      </c>
      <c r="L145" s="12" t="n">
        <v>57625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6798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standalone 2Q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133.2</v>
      </c>
      <c r="C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26.9</v>
      </c>
    </row>
    <row r="8">
      <c r="A8" s="54" t="inlineStr">
        <is>
          <t>sga</t>
        </is>
      </c>
      <c r="B8" s="55" t="n">
        <v>23</v>
      </c>
    </row>
    <row r="9">
      <c r="A9" s="54" t="inlineStr">
        <is>
          <t>영업이익</t>
        </is>
      </c>
      <c r="B9" s="55" t="n">
        <v>3.9</v>
      </c>
    </row>
    <row r="10">
      <c r="A10" s="54" t="inlineStr">
        <is>
          <t>영업이익 exact</t>
        </is>
      </c>
      <c r="B10" s="55" t="n">
        <v>3.91</v>
      </c>
    </row>
    <row r="11">
      <c r="A11" s="54" t="inlineStr">
        <is>
          <t>ordinary</t>
        </is>
      </c>
      <c r="B11" s="55" t="n">
        <v>2.54</v>
      </c>
    </row>
    <row r="12">
      <c r="A12" s="54" t="inlineStr">
        <is>
          <t>pbt</t>
        </is>
      </c>
      <c r="B12" s="55" t="n">
        <v>4.3</v>
      </c>
    </row>
    <row r="13">
      <c r="A13" s="54" t="inlineStr">
        <is>
          <t>순이익</t>
        </is>
      </c>
      <c r="B13" s="55" t="n">
        <v>1</v>
      </c>
    </row>
    <row r="14">
      <c r="A14" s="54" t="inlineStr">
        <is>
          <t>순이익 exact</t>
        </is>
      </c>
      <c r="B14" s="55" t="n">
        <v>1.03</v>
      </c>
    </row>
    <row r="16">
      <c r="A16" s="52" t="inlineStr">
        <is>
          <t>this quarter · 상반기 cum</t>
        </is>
      </c>
      <c r="B16" s="52" t="n"/>
      <c r="C16" s="52" t="n"/>
    </row>
    <row r="17">
      <c r="A17" s="53" t="inlineStr">
        <is>
          <t>항목</t>
        </is>
      </c>
      <c r="B17" s="53" t="inlineStr">
        <is>
          <t>값</t>
        </is>
      </c>
      <c r="C17" s="53" t="inlineStr">
        <is>
          <t>출처</t>
        </is>
      </c>
    </row>
    <row r="18">
      <c r="A18" s="54" t="inlineStr">
        <is>
          <t>매출</t>
        </is>
      </c>
      <c r="B18" s="55" t="n">
        <v>247.93</v>
      </c>
      <c r="C18" s="56" t="inlineStr">
        <is>
          <t>2단계 보고서 자료(회사 설명회 자료·공시)</t>
        </is>
      </c>
    </row>
    <row r="19">
      <c r="A19" s="54" t="inlineStr">
        <is>
          <t>매출 YoY</t>
        </is>
      </c>
      <c r="B19" s="55" t="n">
        <v>7.1</v>
      </c>
    </row>
    <row r="20">
      <c r="A20" s="54" t="inlineStr">
        <is>
          <t>cogs</t>
        </is>
      </c>
      <c r="B20" s="55" t="n">
        <v>198.25</v>
      </c>
    </row>
    <row r="21">
      <c r="A21" s="54" t="inlineStr">
        <is>
          <t>gp</t>
        </is>
      </c>
      <c r="B21" s="55" t="n">
        <v>49.68</v>
      </c>
    </row>
    <row r="22">
      <c r="A22" s="54" t="inlineStr">
        <is>
          <t>sga</t>
        </is>
      </c>
      <c r="B22" s="55" t="n">
        <v>45.7</v>
      </c>
    </row>
    <row r="23">
      <c r="A23" s="54" t="inlineStr">
        <is>
          <t>영업이익</t>
        </is>
      </c>
      <c r="B23" s="55" t="n">
        <v>3.97</v>
      </c>
    </row>
    <row r="24">
      <c r="A24" s="54" t="inlineStr">
        <is>
          <t>ordinary</t>
        </is>
      </c>
      <c r="B24" s="55" t="n">
        <v>5.61</v>
      </c>
    </row>
    <row r="25">
      <c r="A25" s="54" t="inlineStr">
        <is>
          <t>pbt</t>
        </is>
      </c>
      <c r="B25" s="55" t="n">
        <v>7.16</v>
      </c>
    </row>
    <row r="26">
      <c r="A26" s="54" t="inlineStr">
        <is>
          <t>tax</t>
        </is>
      </c>
      <c r="B26" s="55" t="n">
        <v>4.58</v>
      </c>
    </row>
    <row r="27">
      <c r="A27" s="54" t="inlineStr">
        <is>
          <t>순이익</t>
        </is>
      </c>
      <c r="B27" s="55" t="n">
        <v>2.57</v>
      </c>
    </row>
    <row r="28">
      <c r="A28" s="54" t="inlineStr">
        <is>
          <t>EPS</t>
        </is>
      </c>
      <c r="B28" s="55" t="n">
        <v>40.71</v>
      </c>
    </row>
    <row r="30">
      <c r="A30" s="52" t="inlineStr">
        <is>
          <t>this quarter · 영업이익 증감 요인 상반기 vs 직전</t>
        </is>
      </c>
      <c r="B30" s="52" t="n"/>
      <c r="C30" s="52" t="n"/>
    </row>
    <row r="31">
      <c r="A31" s="53" t="inlineStr">
        <is>
          <t>항목</t>
        </is>
      </c>
      <c r="B31" s="53" t="inlineStr">
        <is>
          <t>값</t>
        </is>
      </c>
      <c r="C31" s="53" t="inlineStr">
        <is>
          <t>출처</t>
        </is>
      </c>
    </row>
    <row r="32">
      <c r="A32" s="54" t="inlineStr">
        <is>
          <t>매출 증가</t>
        </is>
      </c>
      <c r="B32" s="55" t="n">
        <v>7.27</v>
      </c>
      <c r="C32" s="56" t="inlineStr">
        <is>
          <t>2단계 보고서 자료(회사 설명회 자료·공시)</t>
        </is>
      </c>
    </row>
    <row r="33">
      <c r="A33" s="54" t="inlineStr">
        <is>
          <t>변동비율 악화</t>
        </is>
      </c>
      <c r="B33" s="55" t="n">
        <v>-0.58</v>
      </c>
    </row>
    <row r="34">
      <c r="A34" s="54" t="inlineStr">
        <is>
          <t>고정비 증가(노무비·경비·상각)</t>
        </is>
      </c>
      <c r="B34" s="55" t="n">
        <v>-1.55</v>
      </c>
    </row>
    <row r="35">
      <c r="A35" s="54" t="inlineStr">
        <is>
          <t>합계</t>
        </is>
      </c>
      <c r="B35" s="55" t="n">
        <v>5.15</v>
      </c>
    </row>
    <row r="37">
      <c r="A37" s="52" t="inlineStr">
        <is>
          <t>this quarter · bs 2026 9</t>
        </is>
      </c>
      <c r="B37" s="52" t="n"/>
      <c r="C37" s="52" t="n"/>
    </row>
    <row r="38">
      <c r="A38" s="53" t="inlineStr">
        <is>
          <t>항목</t>
        </is>
      </c>
      <c r="B38" s="53" t="inlineStr">
        <is>
          <t>값</t>
        </is>
      </c>
      <c r="C38" s="53" t="inlineStr">
        <is>
          <t>출처</t>
        </is>
      </c>
    </row>
    <row r="39">
      <c r="A39" s="54" t="inlineStr">
        <is>
          <t>합계 assets</t>
        </is>
      </c>
      <c r="B39" s="55" t="n">
        <v>578.1799999999999</v>
      </c>
      <c r="C39" s="56" t="inlineStr">
        <is>
          <t>2단계 보고서 자료(회사 설명회 자료·공시)</t>
        </is>
      </c>
    </row>
    <row r="40">
      <c r="A40" s="54" t="inlineStr">
        <is>
          <t>net assets</t>
        </is>
      </c>
      <c r="B40" s="55" t="n">
        <v>309.06</v>
      </c>
    </row>
    <row r="41">
      <c r="A41" s="54" t="inlineStr">
        <is>
          <t>equity ratio</t>
        </is>
      </c>
      <c r="B41" s="55" t="n">
        <v>53.5</v>
      </c>
    </row>
    <row r="42">
      <c r="A42" s="54" t="inlineStr">
        <is>
          <t>cash</t>
        </is>
      </c>
      <c r="B42" s="55" t="n">
        <v>96.48999999999999</v>
      </c>
    </row>
    <row r="43">
      <c r="A43" s="54" t="inlineStr">
        <is>
          <t>inventory</t>
        </is>
      </c>
      <c r="B43" s="55" t="n">
        <v>74.88</v>
      </c>
    </row>
    <row r="44">
      <c r="A44" s="54" t="inlineStr">
        <is>
          <t>inventory 2026 3</t>
        </is>
      </c>
      <c r="B44" s="55" t="n">
        <v>67.41</v>
      </c>
    </row>
    <row r="45">
      <c r="A45" s="54" t="inlineStr">
        <is>
          <t>interest bearing debt</t>
        </is>
      </c>
      <c r="B45" s="55" t="n">
        <v>137.36</v>
      </c>
    </row>
    <row r="46">
      <c r="A46" s="54" t="inlineStr">
        <is>
          <t>st debt</t>
        </is>
      </c>
      <c r="B46" s="55" t="n">
        <v>73.86</v>
      </c>
    </row>
    <row r="47">
      <c r="A47" s="54" t="inlineStr">
        <is>
          <t>lt debt</t>
        </is>
      </c>
      <c r="B47" s="55" t="n">
        <v>56.25</v>
      </c>
    </row>
    <row r="49">
      <c r="A49" s="52" t="inlineStr">
        <is>
          <t>this quarter · cf 상반기</t>
        </is>
      </c>
      <c r="B49" s="52" t="n"/>
      <c r="C49" s="52" t="n"/>
    </row>
    <row r="50">
      <c r="A50" s="53" t="inlineStr">
        <is>
          <t>항목</t>
        </is>
      </c>
      <c r="B50" s="53" t="inlineStr">
        <is>
          <t>값</t>
        </is>
      </c>
      <c r="C50" s="53" t="inlineStr">
        <is>
          <t>출처</t>
        </is>
      </c>
    </row>
    <row r="51">
      <c r="A51" s="54" t="inlineStr">
        <is>
          <t>ocf</t>
        </is>
      </c>
      <c r="B51" s="55" t="n">
        <v>18.07</v>
      </c>
      <c r="C51" s="56" t="inlineStr">
        <is>
          <t>2단계 보고서 자료(회사 설명회 자료·공시)</t>
        </is>
      </c>
    </row>
    <row r="52">
      <c r="A52" s="54" t="inlineStr">
        <is>
          <t>icf</t>
        </is>
      </c>
      <c r="B52" s="55" t="n">
        <v>-8.91</v>
      </c>
    </row>
    <row r="53">
      <c r="A53" s="54" t="inlineStr">
        <is>
          <t>fcf</t>
        </is>
      </c>
      <c r="B53" s="55" t="n">
        <v>9.16</v>
      </c>
    </row>
    <row r="54">
      <c r="A54" s="54" t="inlineStr">
        <is>
          <t>fcf 직전</t>
        </is>
      </c>
      <c r="B54" s="55" t="n">
        <v>-0.57</v>
      </c>
    </row>
    <row r="55">
      <c r="A55" s="54" t="inlineStr">
        <is>
          <t>설비투자</t>
        </is>
      </c>
      <c r="B55" s="55" t="n">
        <v>-11.39</v>
      </c>
    </row>
    <row r="56">
      <c r="A56" s="54" t="inlineStr">
        <is>
          <t>restructuring paid</t>
        </is>
      </c>
      <c r="B56" s="55" t="n">
        <v>-0.16</v>
      </c>
    </row>
    <row r="57">
      <c r="A57" s="54" t="inlineStr">
        <is>
          <t>restructuring paid 직전</t>
        </is>
      </c>
      <c r="B57" s="55" t="n">
        <v>-7.43</v>
      </c>
    </row>
    <row r="59">
      <c r="A59" s="52" t="inlineStr">
        <is>
          <t>this quarter · shares</t>
        </is>
      </c>
      <c r="B59" s="52" t="n"/>
      <c r="C59" s="52" t="n"/>
    </row>
    <row r="60">
      <c r="A60" s="53" t="inlineStr">
        <is>
          <t>항목</t>
        </is>
      </c>
      <c r="B60" s="53" t="inlineStr">
        <is>
          <t>값</t>
        </is>
      </c>
      <c r="C60" s="53" t="inlineStr">
        <is>
          <t>출처</t>
        </is>
      </c>
    </row>
    <row r="61">
      <c r="A61" s="54" t="inlineStr">
        <is>
          <t>issued</t>
        </is>
      </c>
      <c r="B61" s="57" t="n">
        <v>7200000</v>
      </c>
      <c r="C61" s="56" t="inlineStr">
        <is>
          <t>2단계 보고서 자료(회사 설명회 자료·공시)</t>
        </is>
      </c>
    </row>
    <row r="62">
      <c r="A62" s="54" t="inlineStr">
        <is>
          <t>treasury</t>
        </is>
      </c>
      <c r="B62" s="57" t="n">
        <v>869733</v>
      </c>
    </row>
    <row r="63">
      <c r="A63" s="54" t="inlineStr">
        <is>
          <t>outstanding</t>
        </is>
      </c>
      <c r="B63" s="57" t="n">
        <v>6330267</v>
      </c>
    </row>
    <row r="64">
      <c r="A64" s="54" t="inlineStr">
        <is>
          <t>avg 상반기</t>
        </is>
      </c>
      <c r="B64" s="57" t="n">
        <v>6329245</v>
      </c>
    </row>
    <row r="66">
      <c r="A66" s="52" t="inlineStr">
        <is>
          <t>this quarter · dividend</t>
        </is>
      </c>
      <c r="B66" s="52" t="n"/>
      <c r="C66" s="52" t="n"/>
    </row>
    <row r="67">
      <c r="A67" s="53" t="inlineStr">
        <is>
          <t>항목</t>
        </is>
      </c>
      <c r="B67" s="53" t="inlineStr">
        <is>
          <t>값</t>
        </is>
      </c>
      <c r="C67" s="53" t="inlineStr">
        <is>
          <t>출처</t>
        </is>
      </c>
    </row>
    <row r="68">
      <c r="A68" s="54" t="inlineStr">
        <is>
          <t>interim</t>
        </is>
      </c>
      <c r="B68" s="57" t="n">
        <v>50</v>
      </c>
      <c r="C68" s="56" t="inlineStr">
        <is>
          <t>2단계 보고서 자료(회사 설명회 자료·공시)</t>
        </is>
      </c>
    </row>
    <row r="69">
      <c r="A69" s="54" t="inlineStr">
        <is>
          <t>annual 계획</t>
        </is>
      </c>
      <c r="B69" s="57" t="n">
        <v>100</v>
      </c>
    </row>
    <row r="71">
      <c r="A71" s="52" t="inlineStr">
        <is>
          <t>this quarter · reaction</t>
        </is>
      </c>
      <c r="B71" s="52" t="n"/>
      <c r="C71" s="52" t="n"/>
    </row>
    <row r="72">
      <c r="A72" s="53" t="inlineStr">
        <is>
          <t>항목</t>
        </is>
      </c>
      <c r="B72" s="53" t="inlineStr">
        <is>
          <t>값</t>
        </is>
      </c>
      <c r="C72" s="53" t="inlineStr">
        <is>
          <t>출처</t>
        </is>
      </c>
    </row>
    <row r="73">
      <c r="A73" s="54" t="inlineStr">
        <is>
          <t>직전 close 10 29</t>
        </is>
      </c>
      <c r="B73" s="57" t="n">
        <v>2990</v>
      </c>
      <c r="C73" s="56" t="inlineStr">
        <is>
          <t>2단계 보고서 자료(회사 설명회 자료·공시)</t>
        </is>
      </c>
    </row>
    <row r="74">
      <c r="A74" s="54" t="inlineStr">
        <is>
          <t>after 14 10</t>
        </is>
      </c>
      <c r="B74" s="57" t="n">
        <v>3145</v>
      </c>
    </row>
    <row r="75">
      <c r="A75" s="54" t="inlineStr">
        <is>
          <t>chg %</t>
        </is>
      </c>
      <c r="B75" s="55" t="n">
        <v>5.2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https://www2.jpx.co.jp/disc/67980/140120261029558929.pdf</t>
        </is>
      </c>
    </row>
    <row r="5">
      <c r="A5" t="inlineStr">
        <is>
          <t>2026-07-28</t>
        </is>
      </c>
      <c r="B5" t="inlineStr">
        <is>
          <t>2027년 3월 결산기 １분기 결산단신</t>
        </is>
      </c>
      <c r="C5" t="inlineStr">
        <is>
          <t>https://www2.jpx.co.jp/disc/67980/140120260724599534.pdf</t>
        </is>
      </c>
    </row>
    <row r="6">
      <c r="A6" t="inlineStr">
        <is>
          <t>2026-05-12</t>
        </is>
      </c>
      <c r="B6" t="inlineStr">
        <is>
          <t>2026년 3월 결산기 연간 결산단신</t>
        </is>
      </c>
      <c r="C6" t="inlineStr">
        <is>
          <t>https://www2.jpx.co.jp/disc/67980/140120260501516915.pdf</t>
        </is>
      </c>
    </row>
    <row r="7">
      <c r="A7" t="inlineStr">
        <is>
          <t>2026-01-27</t>
        </is>
      </c>
      <c r="B7" t="inlineStr">
        <is>
          <t>2026년 3월 결산기 ３분기 결산단신</t>
        </is>
      </c>
      <c r="C7" t="inlineStr">
        <is>
          <t>https://www2.jpx.co.jp/disc/67980/140120260126538375.pdf</t>
        </is>
      </c>
    </row>
    <row r="8">
      <c r="A8" t="inlineStr">
        <is>
          <t>2025-10-28</t>
        </is>
      </c>
      <c r="B8" t="inlineStr">
        <is>
          <t>2026년 3월 결산기 ２분기 결산단신</t>
        </is>
      </c>
      <c r="C8" t="inlineStr">
        <is>
          <t>https://www2.jpx.co.jp/disc/67980/140120251027579121.pdf</t>
        </is>
      </c>
    </row>
    <row r="9">
      <c r="A9" t="inlineStr">
        <is>
          <t>2025-07-29</t>
        </is>
      </c>
      <c r="B9" t="inlineStr">
        <is>
          <t>2026년 3월 결산기 １분기 결산단신</t>
        </is>
      </c>
      <c r="C9" t="inlineStr">
        <is>
          <t>https://www2.jpx.co.jp/disc/67980/140120250728521184.pdf</t>
        </is>
      </c>
    </row>
    <row r="10">
      <c r="A10" t="inlineStr">
        <is>
          <t>2025-05-08</t>
        </is>
      </c>
      <c r="B10" t="inlineStr">
        <is>
          <t>2025년 3월 결산기 연간 결산단신</t>
        </is>
      </c>
      <c r="C10" t="inlineStr">
        <is>
          <t>https://www2.jpx.co.jp/disc/67980/140120250507533106.pdf</t>
        </is>
      </c>
    </row>
    <row r="11">
      <c r="A11" t="inlineStr">
        <is>
          <t>2025-01-28</t>
        </is>
      </c>
      <c r="B11" t="inlineStr">
        <is>
          <t>2025년 3월 결산기 ３분기 결산단신</t>
        </is>
      </c>
      <c r="C11" t="inlineStr">
        <is>
          <t>https://www2.jpx.co.jp/disc/67980/140120250127555819.pdf</t>
        </is>
      </c>
    </row>
    <row r="12">
      <c r="A12" t="inlineStr">
        <is>
          <t>2024-10-29</t>
        </is>
      </c>
      <c r="B12" t="inlineStr">
        <is>
          <t>2025년 3월 결산기 ２분기 결산단신</t>
        </is>
      </c>
      <c r="C12" t="inlineStr">
        <is>
          <t>https://www2.jpx.co.jp/disc/67980/140120241028503882.pdf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https://www2.jpx.co.jp/disc/67980/140120240730557892.pdf</t>
        </is>
      </c>
    </row>
    <row r="14">
      <c r="A14" t="inlineStr">
        <is>
          <t>2024-05-09</t>
        </is>
      </c>
      <c r="B14" t="inlineStr">
        <is>
          <t>2024년 3월 결산기 연간 결산단신</t>
        </is>
      </c>
      <c r="C14" t="inlineStr">
        <is>
          <t>https://www2.jpx.co.jp/disc/67980/140120240508585179.pdf</t>
        </is>
      </c>
    </row>
    <row r="15">
      <c r="A15" t="inlineStr">
        <is>
          <t>2024-01-30</t>
        </is>
      </c>
      <c r="B15" t="inlineStr">
        <is>
          <t>2024년 3월 결산기 ３분기 결산단신</t>
        </is>
      </c>
      <c r="C15" t="inlineStr">
        <is>
          <t>https://www2.jpx.co.jp/disc/67980/140120240129521032.pdf</t>
        </is>
      </c>
    </row>
    <row r="16">
      <c r="A16" t="inlineStr">
        <is>
          <t>2023-10-25</t>
        </is>
      </c>
      <c r="B16" t="inlineStr">
        <is>
          <t>2024년 3월 결산기 ２분기 결산단신</t>
        </is>
      </c>
      <c r="C16" t="inlineStr">
        <is>
          <t>https://www2.jpx.co.jp/disc/67980/140120231024570459.pdf</t>
        </is>
      </c>
    </row>
    <row r="17">
      <c r="A17" t="inlineStr">
        <is>
          <t>2023-07-26</t>
        </is>
      </c>
      <c r="B17" t="inlineStr">
        <is>
          <t>2024년 3월 결산기 １분기 결산단신</t>
        </is>
      </c>
      <c r="C17" t="inlineStr">
        <is>
          <t>https://www2.jpx.co.jp/disc/67980/140120230725526294.pdf</t>
        </is>
      </c>
    </row>
    <row r="18">
      <c r="A18" t="inlineStr">
        <is>
          <t>2023-04-28</t>
        </is>
      </c>
      <c r="B18" t="inlineStr">
        <is>
          <t>2023년 3월 결산기 연간 결산단신</t>
        </is>
      </c>
      <c r="C18" t="inlineStr">
        <is>
          <t>https://www2.jpx.co.jp/disc/67980/140120230427555060.pdf</t>
        </is>
      </c>
    </row>
    <row r="19">
      <c r="A19" t="inlineStr">
        <is>
          <t>2023-01-27</t>
        </is>
      </c>
      <c r="B19" t="inlineStr">
        <is>
          <t>2023년 3월 결산기 ３분기 결산단신</t>
        </is>
      </c>
      <c r="C19" t="inlineStr">
        <is>
          <t>https://www2.jpx.co.jp/disc/67980/140120230126594382.pdf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https://www2.jpx.co.jp/disc/67980/140120220428530734.pdf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https://www2.jpx.co.jp/disc/67980/140120210427400733.pdf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https://www2.jpx.co.jp/disc/67980/140120200514415148.pdf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https://www2.jpx.co.jp/disc/67980/140120190326495578.pdf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https://www2.jpx.co.jp/disc/67980/140120180327498601.pdf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9" t="inlineStr">
        <is>
          <t>6798 재무제표 한눈에 보기 — 최근 40개 분기(달력 분기, 3Q26 = 26.7~9) · 단위 억 엔</t>
        </is>
      </c>
    </row>
    <row r="2">
      <c r="A2" s="60" t="inlineStr">
        <is>
          <t>출처: 매출·영업이익 결산단신 XBRL · 재무상태표 등 결산단신 XBRL 36건(2018-01-29~2026-10-30). 부문·지역·수주·수출은 있을 때만(출처는 줄 끝). 총 차입금 = 이자 붙는 부채 전부(단기·장기 차입금, CP, 사채·전환사채, 리스부채)</t>
        </is>
      </c>
    </row>
    <row r="4">
      <c r="A4" s="61" t="inlineStr">
        <is>
          <t>항목</t>
        </is>
      </c>
      <c r="B4" s="62" t="inlineStr">
        <is>
          <t>4Q16</t>
        </is>
      </c>
      <c r="C4" s="62" t="inlineStr">
        <is>
          <t>1Q17</t>
        </is>
      </c>
      <c r="D4" s="62" t="inlineStr">
        <is>
          <t>2Q17</t>
        </is>
      </c>
      <c r="E4" s="62" t="inlineStr">
        <is>
          <t>3Q17</t>
        </is>
      </c>
      <c r="F4" s="62" t="inlineStr">
        <is>
          <t>4Q17</t>
        </is>
      </c>
      <c r="G4" s="62" t="inlineStr">
        <is>
          <t>1Q18</t>
        </is>
      </c>
      <c r="H4" s="62" t="inlineStr">
        <is>
          <t>2Q18</t>
        </is>
      </c>
      <c r="I4" s="62" t="inlineStr">
        <is>
          <t>3Q18</t>
        </is>
      </c>
      <c r="J4" s="62" t="inlineStr">
        <is>
          <t>4Q18</t>
        </is>
      </c>
      <c r="K4" s="62" t="inlineStr">
        <is>
          <t>1Q19</t>
        </is>
      </c>
      <c r="L4" s="62" t="inlineStr">
        <is>
          <t>2Q19</t>
        </is>
      </c>
      <c r="M4" s="62" t="inlineStr">
        <is>
          <t>3Q19</t>
        </is>
      </c>
      <c r="N4" s="62" t="inlineStr">
        <is>
          <t>4Q19</t>
        </is>
      </c>
      <c r="O4" s="62" t="inlineStr">
        <is>
          <t>1Q20</t>
        </is>
      </c>
      <c r="P4" s="62" t="inlineStr">
        <is>
          <t>2Q20</t>
        </is>
      </c>
      <c r="Q4" s="62" t="inlineStr">
        <is>
          <t>3Q20</t>
        </is>
      </c>
      <c r="R4" s="62" t="inlineStr">
        <is>
          <t>4Q20</t>
        </is>
      </c>
      <c r="S4" s="62" t="inlineStr">
        <is>
          <t>1Q21</t>
        </is>
      </c>
      <c r="T4" s="62" t="inlineStr">
        <is>
          <t>2Q21</t>
        </is>
      </c>
      <c r="U4" s="62" t="inlineStr">
        <is>
          <t>3Q21</t>
        </is>
      </c>
      <c r="V4" s="62" t="inlineStr">
        <is>
          <t>4Q21</t>
        </is>
      </c>
      <c r="W4" s="62" t="inlineStr">
        <is>
          <t>1Q22</t>
        </is>
      </c>
      <c r="X4" s="62" t="inlineStr">
        <is>
          <t>2Q22</t>
        </is>
      </c>
      <c r="Y4" s="62" t="inlineStr">
        <is>
          <t>3Q22</t>
        </is>
      </c>
      <c r="Z4" s="62" t="inlineStr">
        <is>
          <t>4Q22</t>
        </is>
      </c>
      <c r="AA4" s="62" t="inlineStr">
        <is>
          <t>1Q23</t>
        </is>
      </c>
      <c r="AB4" s="62" t="inlineStr">
        <is>
          <t>2Q23</t>
        </is>
      </c>
      <c r="AC4" s="62" t="inlineStr">
        <is>
          <t>3Q23</t>
        </is>
      </c>
      <c r="AD4" s="62" t="inlineStr">
        <is>
          <t>4Q23</t>
        </is>
      </c>
      <c r="AE4" s="62" t="inlineStr">
        <is>
          <t>1Q24</t>
        </is>
      </c>
      <c r="AF4" s="62" t="inlineStr">
        <is>
          <t>2Q24</t>
        </is>
      </c>
      <c r="AG4" s="62" t="inlineStr">
        <is>
          <t>3Q24</t>
        </is>
      </c>
      <c r="AH4" s="62" t="inlineStr">
        <is>
          <t>4Q24</t>
        </is>
      </c>
      <c r="AI4" s="62" t="inlineStr">
        <is>
          <t>1Q25</t>
        </is>
      </c>
      <c r="AJ4" s="62" t="inlineStr">
        <is>
          <t>2Q25</t>
        </is>
      </c>
      <c r="AK4" s="62" t="inlineStr">
        <is>
          <t>3Q25</t>
        </is>
      </c>
      <c r="AL4" s="62" t="inlineStr">
        <is>
          <t>4Q25</t>
        </is>
      </c>
      <c r="AM4" s="62" t="inlineStr">
        <is>
          <t>1Q26</t>
        </is>
      </c>
      <c r="AN4" s="62" t="inlineStr">
        <is>
          <t>2Q26</t>
        </is>
      </c>
      <c r="AO4" s="62" t="inlineStr">
        <is>
          <t>3Q26</t>
        </is>
      </c>
      <c r="AP4" s="61" t="inlineStr">
        <is>
          <t>출처</t>
        </is>
      </c>
    </row>
    <row r="5">
      <c r="A5" s="63" t="inlineStr">
        <is>
          <t>매출액</t>
        </is>
      </c>
      <c r="B5" s="64" t="n"/>
      <c r="C5" s="64" t="n">
        <v>153.8</v>
      </c>
      <c r="D5" s="64" t="n">
        <v>138.7</v>
      </c>
      <c r="E5" s="64" t="n">
        <v>155.3</v>
      </c>
      <c r="F5" s="64" t="n">
        <v>158.3</v>
      </c>
      <c r="G5" s="64" t="n">
        <v>145.6</v>
      </c>
      <c r="H5" s="64" t="n">
        <v>135.1</v>
      </c>
      <c r="I5" s="64" t="n">
        <v>145.9</v>
      </c>
      <c r="J5" s="64" t="n">
        <v>151.3</v>
      </c>
      <c r="K5" s="64" t="n">
        <v>141.5</v>
      </c>
      <c r="L5" s="64" t="n">
        <v>136.6</v>
      </c>
      <c r="M5" s="64" t="n">
        <v>147.6</v>
      </c>
      <c r="N5" s="64" t="n">
        <v>140.7</v>
      </c>
      <c r="O5" s="64" t="n">
        <v>116.7</v>
      </c>
      <c r="P5" s="64" t="n">
        <v>104.1</v>
      </c>
      <c r="Q5" s="64" t="n">
        <v>125</v>
      </c>
      <c r="R5" s="64" t="n">
        <v>129.6</v>
      </c>
      <c r="S5" s="64" t="n">
        <v>127</v>
      </c>
      <c r="T5" s="64" t="n">
        <v>114</v>
      </c>
      <c r="U5" s="64" t="n">
        <v>120.6</v>
      </c>
      <c r="V5" s="64" t="n">
        <v>121.4</v>
      </c>
      <c r="W5" s="64" t="n">
        <v>126.4</v>
      </c>
      <c r="X5" s="64" t="n">
        <v>126.2</v>
      </c>
      <c r="Y5" s="64" t="n">
        <v>150.2</v>
      </c>
      <c r="Z5" s="64" t="n">
        <v>144.6</v>
      </c>
      <c r="AA5" s="64" t="n">
        <v>127.4</v>
      </c>
      <c r="AB5" s="64" t="n">
        <v>110.4</v>
      </c>
      <c r="AC5" s="64" t="n">
        <v>120.4</v>
      </c>
      <c r="AD5" s="64" t="n">
        <v>111.7</v>
      </c>
      <c r="AE5" s="64" t="n">
        <v>122.8</v>
      </c>
      <c r="AF5" s="64" t="n">
        <v>117.3</v>
      </c>
      <c r="AG5" s="64" t="n">
        <v>118.9</v>
      </c>
      <c r="AH5" s="64" t="n">
        <v>110.2</v>
      </c>
      <c r="AI5" s="64" t="n">
        <v>134.2</v>
      </c>
      <c r="AJ5" s="64" t="n">
        <v>110.3</v>
      </c>
      <c r="AK5" s="64" t="n">
        <v>121.2</v>
      </c>
      <c r="AL5" s="64" t="n">
        <v>120.3</v>
      </c>
      <c r="AM5" s="64" t="n">
        <v>130.2</v>
      </c>
      <c r="AN5" s="64" t="n">
        <v>114.7</v>
      </c>
      <c r="AO5" s="64" t="n">
        <v>133.2</v>
      </c>
    </row>
    <row r="6">
      <c r="A6" s="63" t="inlineStr">
        <is>
          <t>매출액 YoY</t>
        </is>
      </c>
      <c r="B6" s="65" t="n"/>
      <c r="C6" s="65" t="n"/>
      <c r="D6" s="65" t="n"/>
      <c r="E6" s="65" t="n"/>
      <c r="F6" s="65" t="n"/>
      <c r="G6" s="65" t="n">
        <v>-5.3</v>
      </c>
      <c r="H6" s="65" t="n">
        <v>-2.6</v>
      </c>
      <c r="I6" s="65" t="n">
        <v>-6.1</v>
      </c>
      <c r="J6" s="65" t="n">
        <v>-4.4</v>
      </c>
      <c r="K6" s="65" t="n">
        <v>-2.8</v>
      </c>
      <c r="L6" s="65" t="n">
        <v>1.1</v>
      </c>
      <c r="M6" s="65" t="n">
        <v>1.2</v>
      </c>
      <c r="N6" s="65" t="n">
        <v>-7</v>
      </c>
      <c r="O6" s="65" t="n">
        <v>-17.5</v>
      </c>
      <c r="P6" s="65" t="n">
        <v>-23.8</v>
      </c>
      <c r="Q6" s="65" t="n">
        <v>-15.3</v>
      </c>
      <c r="R6" s="65" t="n">
        <v>-7.9</v>
      </c>
      <c r="S6" s="65" t="n">
        <v>8.800000000000001</v>
      </c>
      <c r="T6" s="65" t="n">
        <v>9.5</v>
      </c>
      <c r="U6" s="65" t="n">
        <v>-3.5</v>
      </c>
      <c r="V6" s="65" t="n">
        <v>-6.3</v>
      </c>
      <c r="W6" s="65" t="n">
        <v>-0.5</v>
      </c>
      <c r="X6" s="65" t="n">
        <v>10.7</v>
      </c>
      <c r="Y6" s="65" t="n">
        <v>24.5</v>
      </c>
      <c r="Z6" s="65" t="n">
        <v>19.1</v>
      </c>
      <c r="AA6" s="65" t="n">
        <v>0.8</v>
      </c>
      <c r="AB6" s="65" t="n">
        <v>-12.5</v>
      </c>
      <c r="AC6" s="65" t="n">
        <v>-19.8</v>
      </c>
      <c r="AD6" s="65" t="n">
        <v>-22.8</v>
      </c>
      <c r="AE6" s="65" t="n">
        <v>-3.6</v>
      </c>
      <c r="AF6" s="65" t="n">
        <v>6.2</v>
      </c>
      <c r="AG6" s="65" t="n">
        <v>-1.2</v>
      </c>
      <c r="AH6" s="65" t="n">
        <v>-1.3</v>
      </c>
      <c r="AI6" s="65" t="n">
        <v>9.300000000000001</v>
      </c>
      <c r="AJ6" s="65" t="n">
        <v>-6</v>
      </c>
      <c r="AK6" s="65" t="n">
        <v>1.9</v>
      </c>
      <c r="AL6" s="65" t="n">
        <v>9.199999999999999</v>
      </c>
      <c r="AM6" s="65" t="n">
        <v>-3</v>
      </c>
      <c r="AN6" s="65" t="n">
        <v>4</v>
      </c>
      <c r="AO6" s="65" t="n">
        <v>9.9</v>
      </c>
    </row>
    <row r="7">
      <c r="A7" s="63" t="inlineStr">
        <is>
          <t>영업이익</t>
        </is>
      </c>
      <c r="B7" s="64" t="n"/>
      <c r="C7" s="64" t="n">
        <v>-2.4</v>
      </c>
      <c r="D7" s="64" t="n">
        <v>1.1</v>
      </c>
      <c r="E7" s="64" t="n">
        <v>4.9</v>
      </c>
      <c r="F7" s="64" t="n">
        <v>4.8</v>
      </c>
      <c r="G7" s="64" t="n">
        <v>-5.9</v>
      </c>
      <c r="H7" s="64" t="n">
        <v>-6.8</v>
      </c>
      <c r="I7" s="64" t="n">
        <v>-1.9</v>
      </c>
      <c r="J7" s="64" t="n">
        <v>1.7</v>
      </c>
      <c r="K7" s="64" t="n">
        <v>-11.3</v>
      </c>
      <c r="L7" s="64" t="n">
        <v>-3.5</v>
      </c>
      <c r="M7" s="64" t="n">
        <v>2.3</v>
      </c>
      <c r="N7" s="64" t="n">
        <v>3.7</v>
      </c>
      <c r="O7" s="64" t="n">
        <v>-4.9</v>
      </c>
      <c r="P7" s="64" t="n">
        <v>-1.9</v>
      </c>
      <c r="Q7" s="64" t="n">
        <v>6.4</v>
      </c>
      <c r="R7" s="64" t="n">
        <v>5.2</v>
      </c>
      <c r="S7" s="64" t="n">
        <v>1</v>
      </c>
      <c r="T7" s="64" t="n">
        <v>-0.8</v>
      </c>
      <c r="U7" s="64" t="n">
        <v>4.9</v>
      </c>
      <c r="V7" s="64" t="n">
        <v>2.8</v>
      </c>
      <c r="W7" s="64" t="n">
        <v>0.1</v>
      </c>
      <c r="X7" s="64" t="n">
        <v>2.2</v>
      </c>
      <c r="Y7" s="64" t="n">
        <v>5.4</v>
      </c>
      <c r="Z7" s="64" t="n">
        <v>7.2</v>
      </c>
      <c r="AA7" s="64" t="n">
        <v>-3.5</v>
      </c>
      <c r="AB7" s="64" t="n">
        <v>-3.9</v>
      </c>
      <c r="AC7" s="64" t="n">
        <v>2.1</v>
      </c>
      <c r="AD7" s="64" t="n">
        <v>-3.8</v>
      </c>
      <c r="AE7" s="64" t="n">
        <v>-6.9</v>
      </c>
      <c r="AF7" s="64" t="n">
        <v>-0.6</v>
      </c>
      <c r="AG7" s="64" t="n">
        <v>1.7</v>
      </c>
      <c r="AH7" s="64" t="n">
        <v>-1.8</v>
      </c>
      <c r="AI7" s="64" t="n">
        <v>-1.4</v>
      </c>
      <c r="AJ7" s="64" t="n">
        <v>-2.8</v>
      </c>
      <c r="AK7" s="64" t="n">
        <v>1.6</v>
      </c>
      <c r="AL7" s="64" t="n">
        <v>5.9</v>
      </c>
      <c r="AM7" s="64" t="n">
        <v>-0.4</v>
      </c>
      <c r="AN7" s="64" t="n">
        <v>0.1</v>
      </c>
      <c r="AO7" s="64" t="n">
        <v>3.9</v>
      </c>
    </row>
    <row r="8">
      <c r="A8" s="63" t="inlineStr">
        <is>
          <t>영업이익률</t>
        </is>
      </c>
      <c r="B8" s="65" t="n"/>
      <c r="C8" s="65" t="n">
        <v>-1.6</v>
      </c>
      <c r="D8" s="65" t="n">
        <v>0.8</v>
      </c>
      <c r="E8" s="65" t="n">
        <v>3.2</v>
      </c>
      <c r="F8" s="65" t="n">
        <v>3</v>
      </c>
      <c r="G8" s="65" t="n">
        <v>-4.1</v>
      </c>
      <c r="H8" s="65" t="n">
        <v>-5</v>
      </c>
      <c r="I8" s="65" t="n">
        <v>-1.3</v>
      </c>
      <c r="J8" s="65" t="n">
        <v>1.1</v>
      </c>
      <c r="K8" s="65" t="n">
        <v>-8</v>
      </c>
      <c r="L8" s="65" t="n">
        <v>-2.6</v>
      </c>
      <c r="M8" s="65" t="n">
        <v>1.6</v>
      </c>
      <c r="N8" s="65" t="n">
        <v>2.6</v>
      </c>
      <c r="O8" s="65" t="n">
        <v>-4.2</v>
      </c>
      <c r="P8" s="65" t="n">
        <v>-1.8</v>
      </c>
      <c r="Q8" s="65" t="n">
        <v>5.1</v>
      </c>
      <c r="R8" s="65" t="n">
        <v>4</v>
      </c>
      <c r="S8" s="65" t="n">
        <v>0.8</v>
      </c>
      <c r="T8" s="65" t="n">
        <v>-0.7</v>
      </c>
      <c r="U8" s="65" t="n">
        <v>4.1</v>
      </c>
      <c r="V8" s="65" t="n">
        <v>2.3</v>
      </c>
      <c r="W8" s="65" t="n">
        <v>0.1</v>
      </c>
      <c r="X8" s="65" t="n">
        <v>1.7</v>
      </c>
      <c r="Y8" s="65" t="n">
        <v>3.6</v>
      </c>
      <c r="Z8" s="65" t="n">
        <v>5</v>
      </c>
      <c r="AA8" s="65" t="n">
        <v>-2.7</v>
      </c>
      <c r="AB8" s="65" t="n">
        <v>-3.5</v>
      </c>
      <c r="AC8" s="65" t="n">
        <v>1.7</v>
      </c>
      <c r="AD8" s="65" t="n">
        <v>-3.4</v>
      </c>
      <c r="AE8" s="65" t="n">
        <v>-5.6</v>
      </c>
      <c r="AF8" s="65" t="n">
        <v>-0.5</v>
      </c>
      <c r="AG8" s="65" t="n">
        <v>1.4</v>
      </c>
      <c r="AH8" s="65" t="n">
        <v>-1.6</v>
      </c>
      <c r="AI8" s="65" t="n">
        <v>-1</v>
      </c>
      <c r="AJ8" s="65" t="n">
        <v>-2.5</v>
      </c>
      <c r="AK8" s="65" t="n">
        <v>1.3</v>
      </c>
      <c r="AL8" s="65" t="n">
        <v>4.9</v>
      </c>
      <c r="AM8" s="65" t="n">
        <v>-0.3</v>
      </c>
      <c r="AN8" s="65" t="n">
        <v>0.1</v>
      </c>
      <c r="AO8" s="65" t="n">
        <v>2.9</v>
      </c>
    </row>
    <row r="9">
      <c r="A9" s="63" t="inlineStr">
        <is>
          <t>영업이익 YoY</t>
        </is>
      </c>
      <c r="B9" s="65" t="n"/>
      <c r="C9" s="65" t="n"/>
      <c r="D9" s="65" t="n"/>
      <c r="E9" s="65" t="n"/>
      <c r="F9" s="65" t="n"/>
      <c r="G9" s="65" t="n"/>
      <c r="H9" s="65" t="n">
        <v>-718.2</v>
      </c>
      <c r="I9" s="65" t="n">
        <v>-138.8</v>
      </c>
      <c r="J9" s="65" t="n">
        <v>-64.59999999999999</v>
      </c>
      <c r="K9" s="65" t="n"/>
      <c r="L9" s="65" t="n"/>
      <c r="M9" s="65" t="n"/>
      <c r="N9" s="65" t="n">
        <v>117.6</v>
      </c>
      <c r="O9" s="65" t="n"/>
      <c r="P9" s="65" t="n"/>
      <c r="Q9" s="65" t="n">
        <v>178.3</v>
      </c>
      <c r="R9" s="65" t="n">
        <v>40.5</v>
      </c>
      <c r="S9" s="65" t="n"/>
      <c r="T9" s="65" t="n"/>
      <c r="U9" s="65" t="n">
        <v>-23.4</v>
      </c>
      <c r="V9" s="65" t="n">
        <v>-46.2</v>
      </c>
      <c r="W9" s="65" t="n">
        <v>-90</v>
      </c>
      <c r="X9" s="65" t="n"/>
      <c r="Y9" s="65" t="n">
        <v>10.2</v>
      </c>
      <c r="Z9" s="65" t="n">
        <v>157.1</v>
      </c>
      <c r="AA9" s="65" t="n">
        <v>-3600</v>
      </c>
      <c r="AB9" s="65" t="n">
        <v>-277.3</v>
      </c>
      <c r="AC9" s="65" t="n">
        <v>-61.1</v>
      </c>
      <c r="AD9" s="65" t="n">
        <v>-152.8</v>
      </c>
      <c r="AE9" s="65" t="n"/>
      <c r="AF9" s="65" t="n"/>
      <c r="AG9" s="65" t="n">
        <v>-19</v>
      </c>
      <c r="AH9" s="65" t="n"/>
      <c r="AI9" s="65" t="n"/>
      <c r="AJ9" s="65" t="n"/>
      <c r="AK9" s="65" t="n">
        <v>-5.9</v>
      </c>
      <c r="AL9" s="65" t="n"/>
      <c r="AM9" s="65" t="n"/>
      <c r="AN9" s="65" t="n"/>
      <c r="AO9" s="65" t="n">
        <v>143.8</v>
      </c>
    </row>
    <row r="10">
      <c r="A10" s="63" t="inlineStr">
        <is>
          <t>유동자산</t>
        </is>
      </c>
      <c r="B10" s="64" t="n"/>
      <c r="C10" s="64" t="n">
        <v>342.7</v>
      </c>
      <c r="D10" s="64" t="n"/>
      <c r="E10" s="64" t="n"/>
      <c r="F10" s="64" t="n">
        <v>382.8</v>
      </c>
      <c r="G10" s="64" t="n">
        <v>360.1</v>
      </c>
      <c r="H10" s="64" t="n">
        <v>368.4</v>
      </c>
      <c r="I10" s="64" t="n">
        <v>344.8</v>
      </c>
      <c r="J10" s="64" t="n">
        <v>355.9</v>
      </c>
      <c r="K10" s="64" t="n">
        <v>342.8</v>
      </c>
      <c r="L10" s="64" t="n">
        <v>325.8</v>
      </c>
      <c r="M10" s="64" t="n">
        <v>317.5</v>
      </c>
      <c r="N10" s="64" t="n">
        <v>316.6</v>
      </c>
      <c r="O10" s="64" t="n">
        <v>303.3</v>
      </c>
      <c r="P10" s="64" t="n">
        <v>287.2</v>
      </c>
      <c r="Q10" s="64" t="n">
        <v>281.4</v>
      </c>
      <c r="R10" s="64" t="n">
        <v>296</v>
      </c>
      <c r="S10" s="64" t="n">
        <v>289</v>
      </c>
      <c r="T10" s="64" t="n">
        <v>290.8</v>
      </c>
      <c r="U10" s="64" t="n">
        <v>290.7</v>
      </c>
      <c r="V10" s="64" t="n">
        <v>303.3</v>
      </c>
      <c r="W10" s="64" t="n">
        <v>317.3</v>
      </c>
      <c r="X10" s="64" t="n">
        <v>349.5</v>
      </c>
      <c r="Y10" s="64" t="n">
        <v>362.7</v>
      </c>
      <c r="Z10" s="64" t="n">
        <v>351.2</v>
      </c>
      <c r="AA10" s="64" t="n">
        <v>332.5</v>
      </c>
      <c r="AB10" s="64" t="n">
        <v>348.4</v>
      </c>
      <c r="AC10" s="64" t="n">
        <v>353.3</v>
      </c>
      <c r="AD10" s="64" t="n">
        <v>341.3</v>
      </c>
      <c r="AE10" s="64" t="n">
        <v>338.2</v>
      </c>
      <c r="AF10" s="64" t="n">
        <v>354.5</v>
      </c>
      <c r="AG10" s="64" t="n">
        <v>328</v>
      </c>
      <c r="AH10" s="64" t="n">
        <v>339.8</v>
      </c>
      <c r="AI10" s="64" t="n">
        <v>331.5</v>
      </c>
      <c r="AJ10" s="64" t="n">
        <v>323.2</v>
      </c>
      <c r="AK10" s="64" t="n">
        <v>310.7</v>
      </c>
      <c r="AL10" s="64" t="n">
        <v>322.6</v>
      </c>
      <c r="AM10" s="64" t="n">
        <v>308.4</v>
      </c>
      <c r="AN10" s="64" t="n">
        <v>324.2</v>
      </c>
      <c r="AO10" s="64" t="n">
        <v>309.9</v>
      </c>
    </row>
    <row r="11">
      <c r="A11" s="63" t="inlineStr">
        <is>
          <t>유동부채</t>
        </is>
      </c>
      <c r="B11" s="64" t="n"/>
      <c r="C11" s="64" t="n">
        <v>241.3</v>
      </c>
      <c r="D11" s="64" t="n"/>
      <c r="E11" s="64" t="n"/>
      <c r="F11" s="64" t="n">
        <v>251</v>
      </c>
      <c r="G11" s="64" t="n">
        <v>243.6</v>
      </c>
      <c r="H11" s="64" t="n">
        <v>259.2</v>
      </c>
      <c r="I11" s="64" t="n">
        <v>243.6</v>
      </c>
      <c r="J11" s="64" t="n">
        <v>256.4</v>
      </c>
      <c r="K11" s="64" t="n">
        <v>237.8</v>
      </c>
      <c r="L11" s="64" t="n">
        <v>229.6</v>
      </c>
      <c r="M11" s="64" t="n">
        <v>227.6</v>
      </c>
      <c r="N11" s="64" t="n">
        <v>217</v>
      </c>
      <c r="O11" s="64" t="n">
        <v>186</v>
      </c>
      <c r="P11" s="64" t="n">
        <v>177.8</v>
      </c>
      <c r="Q11" s="64" t="n">
        <v>153.7</v>
      </c>
      <c r="R11" s="64" t="n">
        <v>168.5</v>
      </c>
      <c r="S11" s="64" t="n">
        <v>155</v>
      </c>
      <c r="T11" s="64" t="n">
        <v>161.5</v>
      </c>
      <c r="U11" s="64" t="n">
        <v>170.7</v>
      </c>
      <c r="V11" s="64" t="n">
        <v>177.1</v>
      </c>
      <c r="W11" s="64" t="n">
        <v>151.8</v>
      </c>
      <c r="X11" s="64" t="n">
        <v>172</v>
      </c>
      <c r="Y11" s="64" t="n">
        <v>176.2</v>
      </c>
      <c r="Z11" s="64" t="n">
        <v>173</v>
      </c>
      <c r="AA11" s="64" t="n">
        <v>161.9</v>
      </c>
      <c r="AB11" s="64" t="n">
        <v>180.4</v>
      </c>
      <c r="AC11" s="64" t="n">
        <v>154</v>
      </c>
      <c r="AD11" s="64" t="n">
        <v>158.9</v>
      </c>
      <c r="AE11" s="64" t="n">
        <v>153.7</v>
      </c>
      <c r="AF11" s="64" t="n">
        <v>166.3</v>
      </c>
      <c r="AG11" s="64" t="n">
        <v>152.4</v>
      </c>
      <c r="AH11" s="64" t="n">
        <v>151.6</v>
      </c>
      <c r="AI11" s="64" t="n">
        <v>166.5</v>
      </c>
      <c r="AJ11" s="64" t="n">
        <v>175.9</v>
      </c>
      <c r="AK11" s="64" t="n">
        <v>165.7</v>
      </c>
      <c r="AL11" s="64" t="n">
        <v>155.9</v>
      </c>
      <c r="AM11" s="64" t="n">
        <v>144.2</v>
      </c>
      <c r="AN11" s="64" t="n">
        <v>164.1</v>
      </c>
      <c r="AO11" s="64" t="n">
        <v>163.2</v>
      </c>
    </row>
    <row r="12">
      <c r="A12" s="63" t="inlineStr">
        <is>
          <t>부채총계</t>
        </is>
      </c>
      <c r="B12" s="64" t="n"/>
      <c r="C12" s="64" t="n">
        <v>310</v>
      </c>
      <c r="D12" s="64" t="n"/>
      <c r="E12" s="64" t="n"/>
      <c r="F12" s="64" t="n">
        <v>315.4</v>
      </c>
      <c r="G12" s="64" t="n">
        <v>308.4</v>
      </c>
      <c r="H12" s="64" t="n">
        <v>325.1</v>
      </c>
      <c r="I12" s="64" t="n">
        <v>311.2</v>
      </c>
      <c r="J12" s="64" t="n">
        <v>319</v>
      </c>
      <c r="K12" s="64" t="n">
        <v>301</v>
      </c>
      <c r="L12" s="64" t="n">
        <v>291.2</v>
      </c>
      <c r="M12" s="64" t="n">
        <v>283.1</v>
      </c>
      <c r="N12" s="64" t="n">
        <v>272</v>
      </c>
      <c r="O12" s="64" t="n">
        <v>255.8</v>
      </c>
      <c r="P12" s="64" t="n">
        <v>244.1</v>
      </c>
      <c r="Q12" s="64" t="n">
        <v>228.2</v>
      </c>
      <c r="R12" s="64" t="n">
        <v>239.2</v>
      </c>
      <c r="S12" s="64" t="n">
        <v>225.8</v>
      </c>
      <c r="T12" s="64" t="n">
        <v>234.8</v>
      </c>
      <c r="U12" s="64" t="n">
        <v>231.8</v>
      </c>
      <c r="V12" s="64" t="n">
        <v>230.9</v>
      </c>
      <c r="W12" s="64" t="n">
        <v>241.5</v>
      </c>
      <c r="X12" s="64" t="n">
        <v>258.9</v>
      </c>
      <c r="Y12" s="64" t="n">
        <v>256.1</v>
      </c>
      <c r="Z12" s="64" t="n">
        <v>252.5</v>
      </c>
      <c r="AA12" s="64" t="n">
        <v>240.9</v>
      </c>
      <c r="AB12" s="64" t="n">
        <v>258.3</v>
      </c>
      <c r="AC12" s="64" t="n">
        <v>258.2</v>
      </c>
      <c r="AD12" s="64" t="n">
        <v>262.2</v>
      </c>
      <c r="AE12" s="64" t="n">
        <v>263</v>
      </c>
      <c r="AF12" s="64" t="n">
        <v>273.9</v>
      </c>
      <c r="AG12" s="64" t="n">
        <v>262.5</v>
      </c>
      <c r="AH12" s="64" t="n">
        <v>264.9</v>
      </c>
      <c r="AI12" s="64" t="n">
        <v>284.6</v>
      </c>
      <c r="AJ12" s="64" t="n">
        <v>288.3</v>
      </c>
      <c r="AK12" s="64" t="n">
        <v>272.1</v>
      </c>
      <c r="AL12" s="64" t="n">
        <v>275</v>
      </c>
      <c r="AM12" s="64" t="n">
        <v>264.7</v>
      </c>
      <c r="AN12" s="64" t="n">
        <v>281.6</v>
      </c>
      <c r="AO12" s="64" t="n">
        <v>269.1</v>
      </c>
    </row>
    <row r="13">
      <c r="A13" s="63" t="inlineStr">
        <is>
          <t>자기자본</t>
        </is>
      </c>
      <c r="B13" s="65" t="n"/>
      <c r="C13" s="65" t="n">
        <v>313.2</v>
      </c>
      <c r="D13" s="65" t="n"/>
      <c r="E13" s="65" t="n"/>
      <c r="F13" s="65" t="n">
        <v>337.4</v>
      </c>
      <c r="G13" s="65" t="n">
        <v>306.4</v>
      </c>
      <c r="H13" s="65" t="n">
        <v>303.1</v>
      </c>
      <c r="I13" s="65" t="n">
        <v>304.5</v>
      </c>
      <c r="J13" s="65" t="n">
        <v>300.7</v>
      </c>
      <c r="K13" s="65" t="n">
        <v>286.1</v>
      </c>
      <c r="L13" s="65" t="n">
        <v>271.6</v>
      </c>
      <c r="M13" s="65" t="n">
        <v>274.1</v>
      </c>
      <c r="N13" s="65" t="n">
        <v>284.8</v>
      </c>
      <c r="O13" s="65" t="n">
        <v>246.3</v>
      </c>
      <c r="P13" s="65" t="n">
        <v>242.6</v>
      </c>
      <c r="Q13" s="65" t="n">
        <v>253.4</v>
      </c>
      <c r="R13" s="65" t="n">
        <v>258.7</v>
      </c>
      <c r="S13" s="65" t="n">
        <v>277.5</v>
      </c>
      <c r="T13" s="65" t="n">
        <v>276.5</v>
      </c>
      <c r="U13" s="65" t="n">
        <v>283.3</v>
      </c>
      <c r="V13" s="65" t="n">
        <v>291.9</v>
      </c>
      <c r="W13" s="65" t="n">
        <v>306.4</v>
      </c>
      <c r="X13" s="65" t="n">
        <v>321.5</v>
      </c>
      <c r="Y13" s="65" t="n">
        <v>336.9</v>
      </c>
      <c r="Z13" s="65" t="n">
        <v>325.8</v>
      </c>
      <c r="AA13" s="65" t="n">
        <v>322.7</v>
      </c>
      <c r="AB13" s="65" t="n">
        <v>327.7</v>
      </c>
      <c r="AC13" s="65" t="n">
        <v>333.1</v>
      </c>
      <c r="AD13" s="65" t="n">
        <v>314.4</v>
      </c>
      <c r="AE13" s="65" t="n">
        <v>321.4</v>
      </c>
      <c r="AF13" s="65" t="n">
        <v>331.5</v>
      </c>
      <c r="AG13" s="65" t="n">
        <v>311.4</v>
      </c>
      <c r="AH13" s="65" t="n">
        <v>320.3</v>
      </c>
      <c r="AI13" s="65" t="n">
        <v>292.2</v>
      </c>
      <c r="AJ13" s="65" t="n">
        <v>279.6</v>
      </c>
      <c r="AK13" s="65" t="n">
        <v>290.3</v>
      </c>
      <c r="AL13" s="65" t="n">
        <v>304.8</v>
      </c>
      <c r="AM13" s="65" t="n">
        <v>311.6</v>
      </c>
      <c r="AN13" s="65" t="n">
        <v>313</v>
      </c>
      <c r="AO13" s="65" t="n">
        <v>309.1</v>
      </c>
    </row>
    <row r="14">
      <c r="A14" s="63" t="inlineStr">
        <is>
          <t>유동비율</t>
        </is>
      </c>
      <c r="B14" s="65" t="n"/>
      <c r="C14" s="65" t="n">
        <v>142</v>
      </c>
      <c r="D14" s="65" t="n"/>
      <c r="E14" s="65" t="n"/>
      <c r="F14" s="65" t="n">
        <v>152.5</v>
      </c>
      <c r="G14" s="65" t="n">
        <v>147.8</v>
      </c>
      <c r="H14" s="65" t="n">
        <v>142.1</v>
      </c>
      <c r="I14" s="65" t="n">
        <v>141.5</v>
      </c>
      <c r="J14" s="65" t="n">
        <v>138.8</v>
      </c>
      <c r="K14" s="65" t="n">
        <v>144.2</v>
      </c>
      <c r="L14" s="65" t="n">
        <v>141.9</v>
      </c>
      <c r="M14" s="65" t="n">
        <v>139.5</v>
      </c>
      <c r="N14" s="65" t="n">
        <v>145.9</v>
      </c>
      <c r="O14" s="65" t="n">
        <v>163.1</v>
      </c>
      <c r="P14" s="65" t="n">
        <v>161.5</v>
      </c>
      <c r="Q14" s="65" t="n">
        <v>183.1</v>
      </c>
      <c r="R14" s="65" t="n">
        <v>175.7</v>
      </c>
      <c r="S14" s="65" t="n">
        <v>186.5</v>
      </c>
      <c r="T14" s="65" t="n">
        <v>180.1</v>
      </c>
      <c r="U14" s="65" t="n">
        <v>170.3</v>
      </c>
      <c r="V14" s="65" t="n">
        <v>171.3</v>
      </c>
      <c r="W14" s="65" t="n">
        <v>209</v>
      </c>
      <c r="X14" s="65" t="n">
        <v>203.2</v>
      </c>
      <c r="Y14" s="65" t="n">
        <v>205.8</v>
      </c>
      <c r="Z14" s="65" t="n">
        <v>203</v>
      </c>
      <c r="AA14" s="65" t="n">
        <v>205.4</v>
      </c>
      <c r="AB14" s="65" t="n">
        <v>193.1</v>
      </c>
      <c r="AC14" s="65" t="n">
        <v>229.4</v>
      </c>
      <c r="AD14" s="65" t="n">
        <v>214.8</v>
      </c>
      <c r="AE14" s="65" t="n">
        <v>220</v>
      </c>
      <c r="AF14" s="65" t="n">
        <v>213.2</v>
      </c>
      <c r="AG14" s="65" t="n">
        <v>215.2</v>
      </c>
      <c r="AH14" s="65" t="n">
        <v>224.1</v>
      </c>
      <c r="AI14" s="65" t="n">
        <v>199.1</v>
      </c>
      <c r="AJ14" s="65" t="n">
        <v>183.7</v>
      </c>
      <c r="AK14" s="65" t="n">
        <v>187.5</v>
      </c>
      <c r="AL14" s="65" t="n">
        <v>206.9</v>
      </c>
      <c r="AM14" s="65" t="n">
        <v>213.9</v>
      </c>
      <c r="AN14" s="65" t="n">
        <v>197.6</v>
      </c>
      <c r="AO14" s="65" t="n">
        <v>189.9</v>
      </c>
    </row>
    <row r="15">
      <c r="A15" s="63" t="inlineStr">
        <is>
          <t>부채비율</t>
        </is>
      </c>
      <c r="B15" s="65" t="n"/>
      <c r="C15" s="65" t="n">
        <v>99</v>
      </c>
      <c r="D15" s="65" t="n"/>
      <c r="E15" s="65" t="n"/>
      <c r="F15" s="65" t="n">
        <v>93.5</v>
      </c>
      <c r="G15" s="65" t="n">
        <v>100.7</v>
      </c>
      <c r="H15" s="65" t="n">
        <v>107.3</v>
      </c>
      <c r="I15" s="65" t="n">
        <v>102.2</v>
      </c>
      <c r="J15" s="65" t="n">
        <v>106.1</v>
      </c>
      <c r="K15" s="65" t="n">
        <v>105.2</v>
      </c>
      <c r="L15" s="65" t="n">
        <v>107.2</v>
      </c>
      <c r="M15" s="65" t="n">
        <v>103.3</v>
      </c>
      <c r="N15" s="65" t="n">
        <v>95.5</v>
      </c>
      <c r="O15" s="65" t="n">
        <v>103.9</v>
      </c>
      <c r="P15" s="65" t="n">
        <v>100.6</v>
      </c>
      <c r="Q15" s="65" t="n">
        <v>90.09999999999999</v>
      </c>
      <c r="R15" s="65" t="n">
        <v>92.5</v>
      </c>
      <c r="S15" s="65" t="n">
        <v>81.40000000000001</v>
      </c>
      <c r="T15" s="65" t="n">
        <v>84.90000000000001</v>
      </c>
      <c r="U15" s="65" t="n">
        <v>81.8</v>
      </c>
      <c r="V15" s="65" t="n">
        <v>79.09999999999999</v>
      </c>
      <c r="W15" s="65" t="n">
        <v>78.8</v>
      </c>
      <c r="X15" s="65" t="n">
        <v>80.5</v>
      </c>
      <c r="Y15" s="65" t="n">
        <v>76</v>
      </c>
      <c r="Z15" s="65" t="n">
        <v>77.5</v>
      </c>
      <c r="AA15" s="65" t="n">
        <v>74.7</v>
      </c>
      <c r="AB15" s="65" t="n">
        <v>78.8</v>
      </c>
      <c r="AC15" s="65" t="n">
        <v>77.5</v>
      </c>
      <c r="AD15" s="65" t="n">
        <v>83.40000000000001</v>
      </c>
      <c r="AE15" s="65" t="n">
        <v>81.8</v>
      </c>
      <c r="AF15" s="65" t="n">
        <v>82.59999999999999</v>
      </c>
      <c r="AG15" s="65" t="n">
        <v>84.3</v>
      </c>
      <c r="AH15" s="65" t="n">
        <v>82.7</v>
      </c>
      <c r="AI15" s="65" t="n">
        <v>97.40000000000001</v>
      </c>
      <c r="AJ15" s="65" t="n">
        <v>103.1</v>
      </c>
      <c r="AK15" s="65" t="n">
        <v>93.7</v>
      </c>
      <c r="AL15" s="65" t="n">
        <v>90.2</v>
      </c>
      <c r="AM15" s="65" t="n">
        <v>84.90000000000001</v>
      </c>
      <c r="AN15" s="65" t="n">
        <v>90</v>
      </c>
      <c r="AO15" s="65" t="n">
        <v>87.09999999999999</v>
      </c>
    </row>
    <row r="16">
      <c r="A16" s="63" t="inlineStr">
        <is>
          <t>순차입금/자기자본</t>
        </is>
      </c>
      <c r="B16" s="65" t="n"/>
      <c r="C16" s="65" t="n">
        <v>26.6</v>
      </c>
      <c r="D16" s="65" t="n"/>
      <c r="E16" s="65" t="n"/>
      <c r="F16" s="65" t="n">
        <v>16.5</v>
      </c>
      <c r="G16" s="65" t="n">
        <v>21.7</v>
      </c>
      <c r="H16" s="65" t="n">
        <v>26.1</v>
      </c>
      <c r="I16" s="65" t="n">
        <v>31.3</v>
      </c>
      <c r="J16" s="65" t="n">
        <v>36.1</v>
      </c>
      <c r="K16" s="65" t="n">
        <v>27.9</v>
      </c>
      <c r="L16" s="65" t="n">
        <v>31.4</v>
      </c>
      <c r="M16" s="65" t="n">
        <v>27.5</v>
      </c>
      <c r="N16" s="65" t="n">
        <v>22.9</v>
      </c>
      <c r="O16" s="65" t="n">
        <v>18.8</v>
      </c>
      <c r="P16" s="65" t="n">
        <v>22.6</v>
      </c>
      <c r="Q16" s="65" t="n">
        <v>18.6</v>
      </c>
      <c r="R16" s="65" t="n">
        <v>13.7</v>
      </c>
      <c r="S16" s="65" t="n">
        <v>9.300000000000001</v>
      </c>
      <c r="T16" s="65" t="n">
        <v>11.6</v>
      </c>
      <c r="U16" s="65" t="n">
        <v>9.800000000000001</v>
      </c>
      <c r="V16" s="65" t="n">
        <v>11.1</v>
      </c>
      <c r="W16" s="65" t="n">
        <v>13.3</v>
      </c>
      <c r="X16" s="65" t="n">
        <v>8.1</v>
      </c>
      <c r="Y16" s="65" t="n">
        <v>8.199999999999999</v>
      </c>
      <c r="Z16" s="65" t="n">
        <v>10.6</v>
      </c>
      <c r="AA16" s="65" t="n">
        <v>11.9</v>
      </c>
      <c r="AB16" s="65" t="n">
        <v>8.9</v>
      </c>
      <c r="AC16" s="65" t="n">
        <v>7.5</v>
      </c>
      <c r="AD16" s="65" t="n">
        <v>9.800000000000001</v>
      </c>
      <c r="AE16" s="65" t="n">
        <v>12.8</v>
      </c>
      <c r="AF16" s="65" t="n">
        <v>7.6</v>
      </c>
      <c r="AG16" s="65" t="n">
        <v>9.199999999999999</v>
      </c>
      <c r="AH16" s="65" t="n">
        <v>10.1</v>
      </c>
      <c r="AI16" s="65" t="n">
        <v>17.6</v>
      </c>
      <c r="AJ16" s="65" t="n">
        <v>12.8</v>
      </c>
      <c r="AK16" s="65" t="n">
        <v>14.3</v>
      </c>
      <c r="AL16" s="65" t="n">
        <v>8.300000000000001</v>
      </c>
      <c r="AM16" s="65" t="n">
        <v>14.6</v>
      </c>
      <c r="AN16" s="65" t="n">
        <v>9.300000000000001</v>
      </c>
      <c r="AO16" s="65" t="n">
        <v>10.9</v>
      </c>
    </row>
    <row r="17">
      <c r="A17" s="63" t="inlineStr">
        <is>
          <t>재고자산</t>
        </is>
      </c>
      <c r="B17" s="64" t="n"/>
      <c r="C17" s="64" t="n">
        <v>72</v>
      </c>
      <c r="D17" s="64" t="n"/>
      <c r="E17" s="64" t="n"/>
      <c r="F17" s="64" t="n">
        <v>87.8</v>
      </c>
      <c r="G17" s="64" t="n">
        <v>87.7</v>
      </c>
      <c r="H17" s="64" t="n">
        <v>89</v>
      </c>
      <c r="I17" s="64" t="n">
        <v>90.09999999999999</v>
      </c>
      <c r="J17" s="64" t="n">
        <v>94.5</v>
      </c>
      <c r="K17" s="64" t="n">
        <v>80.7</v>
      </c>
      <c r="L17" s="64" t="n">
        <v>75.59999999999999</v>
      </c>
      <c r="M17" s="64" t="n">
        <v>64.3</v>
      </c>
      <c r="N17" s="64" t="n">
        <v>65.7</v>
      </c>
      <c r="O17" s="64" t="n">
        <v>64.3</v>
      </c>
      <c r="P17" s="64" t="n">
        <v>68.3</v>
      </c>
      <c r="Q17" s="64" t="n">
        <v>60.5</v>
      </c>
      <c r="R17" s="64" t="n">
        <v>63.8</v>
      </c>
      <c r="S17" s="64" t="n">
        <v>65.5</v>
      </c>
      <c r="T17" s="64" t="n">
        <v>75.90000000000001</v>
      </c>
      <c r="U17" s="64" t="n">
        <v>77.3</v>
      </c>
      <c r="V17" s="64" t="n">
        <v>91.90000000000001</v>
      </c>
      <c r="W17" s="64" t="n">
        <v>95.40000000000001</v>
      </c>
      <c r="X17" s="64" t="n">
        <v>112.8</v>
      </c>
      <c r="Y17" s="64" t="n">
        <v>109.5</v>
      </c>
      <c r="Z17" s="64" t="n">
        <v>111.7</v>
      </c>
      <c r="AA17" s="64" t="n">
        <v>100.7</v>
      </c>
      <c r="AB17" s="64" t="n">
        <v>109.3</v>
      </c>
      <c r="AC17" s="64" t="n">
        <v>110</v>
      </c>
      <c r="AD17" s="64" t="n">
        <v>111.7</v>
      </c>
      <c r="AE17" s="64" t="n">
        <v>92.5</v>
      </c>
      <c r="AF17" s="64" t="n">
        <v>98.09999999999999</v>
      </c>
      <c r="AG17" s="64" t="n">
        <v>89.5</v>
      </c>
      <c r="AH17" s="64" t="n">
        <v>98.59999999999999</v>
      </c>
      <c r="AI17" s="64" t="n">
        <v>76.8</v>
      </c>
      <c r="AJ17" s="64" t="n">
        <v>79.40000000000001</v>
      </c>
      <c r="AK17" s="64" t="n">
        <v>76.3</v>
      </c>
      <c r="AL17" s="64" t="n">
        <v>78.5</v>
      </c>
      <c r="AM17" s="64" t="n">
        <v>67.3</v>
      </c>
      <c r="AN17" s="64" t="n">
        <v>80.59999999999999</v>
      </c>
      <c r="AO17" s="64" t="n">
        <v>74.90000000000001</v>
      </c>
    </row>
    <row r="18">
      <c r="A18" s="63" t="inlineStr">
        <is>
          <t>재고자산 회전일수</t>
        </is>
      </c>
      <c r="B18" s="64" t="n"/>
      <c r="C18" s="64" t="n">
        <v>50</v>
      </c>
      <c r="D18" s="64" t="n"/>
      <c r="E18" s="64" t="n"/>
      <c r="F18" s="64" t="n">
        <v>62</v>
      </c>
      <c r="G18" s="64" t="n">
        <v>63</v>
      </c>
      <c r="H18" s="64" t="n">
        <v>69</v>
      </c>
      <c r="I18" s="64" t="n">
        <v>66</v>
      </c>
      <c r="J18" s="64" t="n">
        <v>68</v>
      </c>
      <c r="K18" s="64" t="n">
        <v>56</v>
      </c>
      <c r="L18" s="64" t="n">
        <v>58</v>
      </c>
      <c r="M18" s="64" t="n">
        <v>47</v>
      </c>
      <c r="N18" s="64" t="n">
        <v>51</v>
      </c>
      <c r="O18" s="64" t="n">
        <v>56</v>
      </c>
      <c r="P18" s="64" t="n">
        <v>70</v>
      </c>
      <c r="Q18" s="64" t="n">
        <v>55</v>
      </c>
      <c r="R18" s="64" t="n">
        <v>55</v>
      </c>
      <c r="S18" s="64" t="n">
        <v>56</v>
      </c>
      <c r="T18" s="64" t="n">
        <v>72</v>
      </c>
      <c r="U18" s="64" t="n">
        <v>72</v>
      </c>
      <c r="V18" s="64" t="n">
        <v>83</v>
      </c>
      <c r="W18" s="64" t="n">
        <v>81</v>
      </c>
      <c r="X18" s="64" t="n">
        <v>99</v>
      </c>
      <c r="Y18" s="64" t="n">
        <v>81</v>
      </c>
      <c r="Z18" s="64" t="n">
        <v>88</v>
      </c>
      <c r="AA18" s="64" t="n">
        <v>83</v>
      </c>
      <c r="AB18" s="64" t="n">
        <v>107</v>
      </c>
      <c r="AC18" s="64" t="n">
        <v>103</v>
      </c>
      <c r="AD18" s="64" t="n">
        <v>109</v>
      </c>
      <c r="AE18" s="64" t="n">
        <v>78</v>
      </c>
      <c r="AF18" s="64" t="n">
        <v>94</v>
      </c>
      <c r="AG18" s="64" t="n">
        <v>86</v>
      </c>
      <c r="AH18" s="64" t="n">
        <v>102</v>
      </c>
      <c r="AI18" s="64" t="n">
        <v>63</v>
      </c>
      <c r="AJ18" s="64" t="n">
        <v>79</v>
      </c>
      <c r="AK18" s="64" t="n">
        <v>72</v>
      </c>
      <c r="AL18" s="64" t="n">
        <v>78</v>
      </c>
      <c r="AM18" s="64" t="n">
        <v>57</v>
      </c>
      <c r="AN18" s="64" t="n">
        <v>80</v>
      </c>
      <c r="AO18" s="64" t="n">
        <v>64</v>
      </c>
    </row>
    <row r="19">
      <c r="A19" s="63" t="inlineStr">
        <is>
          <t>매출채권 회전일수</t>
        </is>
      </c>
      <c r="B19" s="64" t="n"/>
      <c r="C19" s="64" t="n">
        <v>88</v>
      </c>
      <c r="D19" s="64" t="n"/>
      <c r="E19" s="64" t="n"/>
      <c r="F19" s="64" t="n">
        <v>94</v>
      </c>
      <c r="G19" s="64" t="n">
        <v>95</v>
      </c>
      <c r="H19" s="64" t="n">
        <v>101</v>
      </c>
      <c r="I19" s="64" t="n">
        <v>95</v>
      </c>
      <c r="J19" s="64" t="n">
        <v>95</v>
      </c>
      <c r="K19" s="64" t="n">
        <v>93</v>
      </c>
      <c r="L19" s="64" t="n">
        <v>97</v>
      </c>
      <c r="M19" s="64" t="n">
        <v>92</v>
      </c>
      <c r="N19" s="64" t="n">
        <v>98</v>
      </c>
      <c r="O19" s="64" t="n">
        <v>96</v>
      </c>
      <c r="P19" s="64" t="n">
        <v>104</v>
      </c>
      <c r="Q19" s="64" t="n">
        <v>89</v>
      </c>
      <c r="R19" s="64" t="n">
        <v>89</v>
      </c>
      <c r="S19" s="64" t="n">
        <v>81</v>
      </c>
      <c r="T19" s="64" t="n">
        <v>83</v>
      </c>
      <c r="U19" s="64" t="n">
        <v>78</v>
      </c>
      <c r="V19" s="64" t="n">
        <v>79</v>
      </c>
      <c r="W19" s="64" t="n">
        <v>81</v>
      </c>
      <c r="X19" s="64" t="n">
        <v>81</v>
      </c>
      <c r="Y19" s="64" t="n">
        <v>79</v>
      </c>
      <c r="Z19" s="64" t="n">
        <v>79</v>
      </c>
      <c r="AA19" s="64" t="n">
        <v>82</v>
      </c>
      <c r="AB19" s="64" t="n">
        <v>88</v>
      </c>
      <c r="AC19" s="64" t="n">
        <v>77</v>
      </c>
      <c r="AD19" s="64" t="n">
        <v>70</v>
      </c>
      <c r="AE19" s="64" t="n">
        <v>74</v>
      </c>
      <c r="AF19" s="64" t="n">
        <v>81</v>
      </c>
      <c r="AG19" s="64" t="n">
        <v>71</v>
      </c>
      <c r="AH19" s="64" t="n">
        <v>78</v>
      </c>
      <c r="AI19" s="64" t="n">
        <v>76</v>
      </c>
      <c r="AJ19" s="64" t="n">
        <v>82</v>
      </c>
      <c r="AK19" s="64" t="n">
        <v>74</v>
      </c>
      <c r="AL19" s="64" t="n">
        <v>71</v>
      </c>
      <c r="AM19" s="64" t="n">
        <v>76</v>
      </c>
      <c r="AN19" s="64" t="n">
        <v>75</v>
      </c>
      <c r="AO19" s="64" t="n">
        <v>67</v>
      </c>
    </row>
    <row r="20">
      <c r="A20" s="63" t="inlineStr">
        <is>
          <t>매입채무 회전일수</t>
        </is>
      </c>
      <c r="B20" s="64" t="n"/>
      <c r="C20" s="64" t="n">
        <v>43</v>
      </c>
      <c r="D20" s="64" t="n"/>
      <c r="E20" s="64" t="n"/>
      <c r="F20" s="64" t="n">
        <v>54</v>
      </c>
      <c r="G20" s="64" t="n">
        <v>49</v>
      </c>
      <c r="H20" s="64" t="n">
        <v>49</v>
      </c>
      <c r="I20" s="64" t="n">
        <v>45</v>
      </c>
      <c r="J20" s="64" t="n">
        <v>44</v>
      </c>
      <c r="K20" s="64" t="n">
        <v>37</v>
      </c>
      <c r="L20" s="64" t="n">
        <v>41</v>
      </c>
      <c r="M20" s="64" t="n">
        <v>39</v>
      </c>
      <c r="N20" s="64" t="n">
        <v>45</v>
      </c>
      <c r="O20" s="64" t="n">
        <v>45</v>
      </c>
      <c r="P20" s="64" t="n">
        <v>48</v>
      </c>
      <c r="Q20" s="64" t="n">
        <v>38</v>
      </c>
      <c r="R20" s="64" t="n">
        <v>45</v>
      </c>
      <c r="S20" s="64" t="n">
        <v>43</v>
      </c>
      <c r="T20" s="64" t="n">
        <v>48</v>
      </c>
      <c r="U20" s="64" t="n">
        <v>48</v>
      </c>
      <c r="V20" s="64" t="n">
        <v>50</v>
      </c>
      <c r="W20" s="64" t="n">
        <v>46</v>
      </c>
      <c r="X20" s="64" t="n">
        <v>51</v>
      </c>
      <c r="Y20" s="64" t="n">
        <v>41</v>
      </c>
      <c r="Z20" s="64" t="n">
        <v>46</v>
      </c>
      <c r="AA20" s="64" t="n">
        <v>40</v>
      </c>
      <c r="AB20" s="64" t="n">
        <v>49</v>
      </c>
      <c r="AC20" s="64" t="n">
        <v>48</v>
      </c>
      <c r="AD20" s="64" t="n">
        <v>52</v>
      </c>
      <c r="AE20" s="64" t="n">
        <v>22</v>
      </c>
      <c r="AF20" s="64" t="n">
        <v>31</v>
      </c>
      <c r="AG20" s="64" t="n">
        <v>30</v>
      </c>
      <c r="AH20" s="64" t="n">
        <v>35</v>
      </c>
      <c r="AI20" s="64" t="n">
        <v>26</v>
      </c>
      <c r="AJ20" s="64" t="n">
        <v>37</v>
      </c>
      <c r="AK20" s="64" t="n">
        <v>31</v>
      </c>
      <c r="AL20" s="64" t="n">
        <v>34</v>
      </c>
      <c r="AM20" s="64" t="n">
        <v>24</v>
      </c>
      <c r="AN20" s="64" t="n">
        <v>40</v>
      </c>
      <c r="AO20" s="64" t="n">
        <v>32</v>
      </c>
    </row>
    <row r="21">
      <c r="A21" s="63" t="inlineStr">
        <is>
          <t>현금전환주기(CCC)</t>
        </is>
      </c>
      <c r="B21" s="64" t="n"/>
      <c r="C21" s="64" t="n">
        <v>95</v>
      </c>
      <c r="D21" s="64" t="n"/>
      <c r="E21" s="64" t="n"/>
      <c r="F21" s="64" t="n">
        <v>102</v>
      </c>
      <c r="G21" s="64" t="n">
        <v>109</v>
      </c>
      <c r="H21" s="64" t="n">
        <v>121</v>
      </c>
      <c r="I21" s="64" t="n">
        <v>116</v>
      </c>
      <c r="J21" s="64" t="n">
        <v>119</v>
      </c>
      <c r="K21" s="64" t="n">
        <v>112</v>
      </c>
      <c r="L21" s="64" t="n">
        <v>114</v>
      </c>
      <c r="M21" s="64" t="n">
        <v>100</v>
      </c>
      <c r="N21" s="64" t="n">
        <v>104</v>
      </c>
      <c r="O21" s="64" t="n">
        <v>107</v>
      </c>
      <c r="P21" s="64" t="n">
        <v>126</v>
      </c>
      <c r="Q21" s="64" t="n">
        <v>106</v>
      </c>
      <c r="R21" s="64" t="n">
        <v>99</v>
      </c>
      <c r="S21" s="64" t="n">
        <v>94</v>
      </c>
      <c r="T21" s="64" t="n">
        <v>107</v>
      </c>
      <c r="U21" s="64" t="n">
        <v>102</v>
      </c>
      <c r="V21" s="64" t="n">
        <v>112</v>
      </c>
      <c r="W21" s="64" t="n">
        <v>116</v>
      </c>
      <c r="X21" s="64" t="n">
        <v>129</v>
      </c>
      <c r="Y21" s="64" t="n">
        <v>119</v>
      </c>
      <c r="Z21" s="64" t="n">
        <v>121</v>
      </c>
      <c r="AA21" s="64" t="n">
        <v>125</v>
      </c>
      <c r="AB21" s="64" t="n">
        <v>146</v>
      </c>
      <c r="AC21" s="64" t="n">
        <v>132</v>
      </c>
      <c r="AD21" s="64" t="n">
        <v>127</v>
      </c>
      <c r="AE21" s="64" t="n">
        <v>130</v>
      </c>
      <c r="AF21" s="64" t="n">
        <v>144</v>
      </c>
      <c r="AG21" s="64" t="n">
        <v>127</v>
      </c>
      <c r="AH21" s="64" t="n">
        <v>145</v>
      </c>
      <c r="AI21" s="64" t="n">
        <v>113</v>
      </c>
      <c r="AJ21" s="64" t="n">
        <v>124</v>
      </c>
      <c r="AK21" s="64" t="n">
        <v>115</v>
      </c>
      <c r="AL21" s="64" t="n">
        <v>115</v>
      </c>
      <c r="AM21" s="64" t="n">
        <v>109</v>
      </c>
      <c r="AN21" s="64" t="n">
        <v>115</v>
      </c>
      <c r="AO21" s="64" t="n">
        <v>99</v>
      </c>
    </row>
    <row r="22">
      <c r="A22" s="63" t="inlineStr">
        <is>
          <t>총 차입금</t>
        </is>
      </c>
      <c r="B22" s="64" t="n"/>
      <c r="C22" s="64" t="n">
        <v>184.4</v>
      </c>
      <c r="D22" s="64" t="n"/>
      <c r="E22" s="64" t="n"/>
      <c r="F22" s="64" t="n">
        <v>171.5</v>
      </c>
      <c r="G22" s="64" t="n">
        <v>172.6</v>
      </c>
      <c r="H22" s="64" t="n">
        <v>198.1</v>
      </c>
      <c r="I22" s="64" t="n">
        <v>186.8</v>
      </c>
      <c r="J22" s="64" t="n">
        <v>200.2</v>
      </c>
      <c r="K22" s="64" t="n">
        <v>188.6</v>
      </c>
      <c r="L22" s="64" t="n">
        <v>183</v>
      </c>
      <c r="M22" s="64" t="n">
        <v>171.5</v>
      </c>
      <c r="N22" s="64" t="n">
        <v>157</v>
      </c>
      <c r="O22" s="64" t="n">
        <v>151.5</v>
      </c>
      <c r="P22" s="64" t="n">
        <v>145.3</v>
      </c>
      <c r="Q22" s="64" t="n">
        <v>134.3</v>
      </c>
      <c r="R22" s="64" t="n">
        <v>130.5</v>
      </c>
      <c r="S22" s="64" t="n">
        <v>113.8</v>
      </c>
      <c r="T22" s="64" t="n">
        <v>116.2</v>
      </c>
      <c r="U22" s="64" t="n">
        <v>111.6</v>
      </c>
      <c r="V22" s="64" t="n">
        <v>112</v>
      </c>
      <c r="W22" s="64" t="n">
        <v>126.1</v>
      </c>
      <c r="X22" s="64" t="n">
        <v>125</v>
      </c>
      <c r="Y22" s="64" t="n">
        <v>125.6</v>
      </c>
      <c r="Z22" s="64" t="n">
        <v>120</v>
      </c>
      <c r="AA22" s="64" t="n">
        <v>128.1</v>
      </c>
      <c r="AB22" s="64" t="n">
        <v>126.9</v>
      </c>
      <c r="AC22" s="64" t="n">
        <v>124.4</v>
      </c>
      <c r="AD22" s="64" t="n">
        <v>132</v>
      </c>
      <c r="AE22" s="64" t="n">
        <v>143.6</v>
      </c>
      <c r="AF22" s="64" t="n">
        <v>135.2</v>
      </c>
      <c r="AG22" s="64" t="n">
        <v>137.9</v>
      </c>
      <c r="AH22" s="64" t="n">
        <v>135.5</v>
      </c>
      <c r="AI22" s="64" t="n">
        <v>156.1</v>
      </c>
      <c r="AJ22" s="64" t="n">
        <v>142.8</v>
      </c>
      <c r="AK22" s="64" t="n">
        <v>139.5</v>
      </c>
      <c r="AL22" s="64" t="n">
        <v>138.1</v>
      </c>
      <c r="AM22" s="64" t="n">
        <v>142.1</v>
      </c>
      <c r="AN22" s="64" t="n">
        <v>139.4</v>
      </c>
      <c r="AO22" s="64" t="n">
        <v>130.1</v>
      </c>
    </row>
    <row r="23">
      <c r="A23" s="63" t="inlineStr">
        <is>
          <t>현금</t>
        </is>
      </c>
      <c r="B23" s="64" t="n"/>
      <c r="C23" s="64" t="n">
        <v>101.2</v>
      </c>
      <c r="D23" s="64" t="n"/>
      <c r="E23" s="64" t="n"/>
      <c r="F23" s="64" t="n">
        <v>115.7</v>
      </c>
      <c r="G23" s="64" t="n">
        <v>106</v>
      </c>
      <c r="H23" s="64" t="n">
        <v>119.1</v>
      </c>
      <c r="I23" s="64" t="n">
        <v>91.40000000000001</v>
      </c>
      <c r="J23" s="64" t="n">
        <v>91.5</v>
      </c>
      <c r="K23" s="64" t="n">
        <v>108.9</v>
      </c>
      <c r="L23" s="64" t="n">
        <v>97.8</v>
      </c>
      <c r="M23" s="64" t="n">
        <v>96.09999999999999</v>
      </c>
      <c r="N23" s="64" t="n">
        <v>91.8</v>
      </c>
      <c r="O23" s="64" t="n">
        <v>105.1</v>
      </c>
      <c r="P23" s="64" t="n">
        <v>90.40000000000001</v>
      </c>
      <c r="Q23" s="64" t="n">
        <v>87.09999999999999</v>
      </c>
      <c r="R23" s="64" t="n">
        <v>95</v>
      </c>
      <c r="S23" s="64" t="n">
        <v>88</v>
      </c>
      <c r="T23" s="64" t="n">
        <v>84.09999999999999</v>
      </c>
      <c r="U23" s="64" t="n">
        <v>83.8</v>
      </c>
      <c r="V23" s="64" t="n">
        <v>79.7</v>
      </c>
      <c r="W23" s="64" t="n">
        <v>85.5</v>
      </c>
      <c r="X23" s="64" t="n">
        <v>98.90000000000001</v>
      </c>
      <c r="Y23" s="64" t="n">
        <v>97.90000000000001</v>
      </c>
      <c r="Z23" s="64" t="n">
        <v>85.40000000000001</v>
      </c>
      <c r="AA23" s="64" t="n">
        <v>89.7</v>
      </c>
      <c r="AB23" s="64" t="n">
        <v>97.7</v>
      </c>
      <c r="AC23" s="64" t="n">
        <v>99.3</v>
      </c>
      <c r="AD23" s="64" t="n">
        <v>101.2</v>
      </c>
      <c r="AE23" s="64" t="n">
        <v>102.6</v>
      </c>
      <c r="AF23" s="64" t="n">
        <v>110.1</v>
      </c>
      <c r="AG23" s="64" t="n">
        <v>109.4</v>
      </c>
      <c r="AH23" s="64" t="n">
        <v>103.3</v>
      </c>
      <c r="AI23" s="64" t="n">
        <v>104.8</v>
      </c>
      <c r="AJ23" s="64" t="n">
        <v>107</v>
      </c>
      <c r="AK23" s="64" t="n">
        <v>98</v>
      </c>
      <c r="AL23" s="64" t="n">
        <v>112.8</v>
      </c>
      <c r="AM23" s="64" t="n">
        <v>96.7</v>
      </c>
      <c r="AN23" s="64" t="n">
        <v>110.2</v>
      </c>
      <c r="AO23" s="64" t="n">
        <v>96.5</v>
      </c>
    </row>
    <row r="24">
      <c r="A24" s="63" t="inlineStr">
        <is>
          <t>부문별 매출 · CSReportableSegmentsMember</t>
        </is>
      </c>
      <c r="B24" s="64" t="n"/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>
        <v>47.2</v>
      </c>
      <c r="AC24" s="64" t="n">
        <v>56.3</v>
      </c>
      <c r="AD24" s="64" t="n">
        <v>50.7</v>
      </c>
      <c r="AE24" s="64" t="n">
        <v>51.6</v>
      </c>
      <c r="AF24" s="64" t="n">
        <v>57.2</v>
      </c>
      <c r="AG24" s="64" t="n">
        <v>58</v>
      </c>
      <c r="AH24" s="64" t="n">
        <v>53.2</v>
      </c>
      <c r="AI24" s="64" t="n">
        <v>53.1</v>
      </c>
      <c r="AJ24" s="64" t="n">
        <v>52.1</v>
      </c>
      <c r="AK24" s="64" t="n">
        <v>58.8</v>
      </c>
      <c r="AL24" s="64" t="n">
        <v>58.1</v>
      </c>
      <c r="AM24" s="64" t="n">
        <v>56.2</v>
      </c>
      <c r="AN24" s="64" t="n">
        <v>58.8</v>
      </c>
      <c r="AO24" s="64" t="n">
        <v>66.2</v>
      </c>
      <c r="AP24" s="60" t="inlineStr">
        <is>
          <t>결산단신 부문 정보(외부 고객 매출)</t>
        </is>
      </c>
    </row>
    <row r="25">
      <c r="A25" s="63" t="inlineStr">
        <is>
          <t>부문별 매출 · SCIReportableSegmentMember</t>
        </is>
      </c>
      <c r="B25" s="64" t="n"/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>
        <v>62.2</v>
      </c>
      <c r="AC25" s="64" t="n">
        <v>63</v>
      </c>
      <c r="AD25" s="64" t="n">
        <v>60.3</v>
      </c>
      <c r="AE25" s="64" t="n">
        <v>70</v>
      </c>
      <c r="AF25" s="64" t="n">
        <v>59.4</v>
      </c>
      <c r="AG25" s="64" t="n">
        <v>60.4</v>
      </c>
      <c r="AH25" s="64" t="n">
        <v>56.4</v>
      </c>
      <c r="AI25" s="64" t="n">
        <v>80.2</v>
      </c>
      <c r="AJ25" s="64" t="n">
        <v>58</v>
      </c>
      <c r="AK25" s="64" t="n">
        <v>62.4</v>
      </c>
      <c r="AL25" s="64" t="n">
        <v>62.2</v>
      </c>
      <c r="AM25" s="64" t="n">
        <v>73.59999999999999</v>
      </c>
      <c r="AN25" s="64" t="n">
        <v>55.9</v>
      </c>
      <c r="AO25" s="64" t="n">
        <v>66.8</v>
      </c>
      <c r="AP25" s="60" t="inlineStr">
        <is>
          <t>결산단신 부문 정보(외부 고객 매출)</t>
        </is>
      </c>
    </row>
    <row r="26">
      <c r="A26" s="63" t="inlineStr">
        <is>
          <t>부문별 매출 · RandDCenterReportableSegmentsMember</t>
        </is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>
        <v>1</v>
      </c>
      <c r="AC26" s="64" t="n">
        <v>1.1</v>
      </c>
      <c r="AD26" s="64" t="n"/>
      <c r="AE26" s="64" t="n"/>
      <c r="AF26" s="64" t="n">
        <v>0.6</v>
      </c>
      <c r="AG26" s="64" t="n">
        <v>0.5</v>
      </c>
      <c r="AH26" s="64" t="n"/>
      <c r="AI26" s="64" t="n"/>
      <c r="AJ26" s="64" t="n">
        <v>0.2</v>
      </c>
      <c r="AK26" s="64" t="n">
        <v>0</v>
      </c>
      <c r="AL26" s="64" t="n"/>
      <c r="AM26" s="64" t="n"/>
      <c r="AN26" s="64" t="n">
        <v>0</v>
      </c>
      <c r="AO26" s="64" t="n">
        <v>0.1</v>
      </c>
      <c r="AP26" s="60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2026-10-30T07:53:21Z</dcterms:created>
  <dcterms:modified xmlns:dcterms="http://purl.org/dc/terms/" xmlns:xsi="http://www.w3.org/2001/XMLSchema-instance" xsi:type="dcterms:W3CDTF">2026-10-30T07:53:48Z</dcterms:modified>
</cp:coreProperties>
</file>