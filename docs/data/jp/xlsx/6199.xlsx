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2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세라크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5364.245</v>
      </c>
      <c r="D4" s="12" t="n">
        <v>5461.196</v>
      </c>
      <c r="E4" s="12" t="n">
        <v>5624.848</v>
      </c>
      <c r="F4" s="12" t="n">
        <v>5771.306</v>
      </c>
      <c r="G4" s="12" t="n">
        <v>6200.156</v>
      </c>
      <c r="H4" s="12" t="n">
        <v>6095.34</v>
      </c>
      <c r="I4" s="12" t="n">
        <v>6250.015</v>
      </c>
      <c r="J4" s="12" t="n">
        <v>6230.983</v>
      </c>
      <c r="K4" s="12" t="n">
        <v>6252.936</v>
      </c>
      <c r="L4" s="12" t="n">
        <v>6236.857</v>
      </c>
      <c r="M4" s="12" t="n">
        <v>6420.965</v>
      </c>
      <c r="N4" s="12" t="n">
        <v>6606.88</v>
      </c>
      <c r="O4" s="11" t="n"/>
      <c r="P4" s="12" t="n">
        <v>9017.118</v>
      </c>
      <c r="Q4" s="12" t="n">
        <v>11410.214</v>
      </c>
      <c r="R4" s="12" t="n">
        <v>13771.62</v>
      </c>
      <c r="S4" s="12" t="n">
        <v>15263.442</v>
      </c>
      <c r="T4" s="12" t="n">
        <v>17859.101</v>
      </c>
      <c r="U4" s="12" t="n">
        <v>20858.857</v>
      </c>
      <c r="V4" s="12" t="n">
        <v>22221.595</v>
      </c>
      <c r="W4" s="12" t="n">
        <v>24776.494</v>
      </c>
      <c r="X4" s="12" t="n">
        <v>25517.638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디지털 인티그레이션</t>
        </is>
      </c>
      <c r="B7" s="10" t="n"/>
      <c r="C7" s="19" t="n">
        <v>5141.159</v>
      </c>
      <c r="D7" s="20" t="n">
        <v>5225.432</v>
      </c>
      <c r="E7" s="20" t="n">
        <v>5375.381</v>
      </c>
      <c r="F7" s="20" t="n">
        <v>5600.856</v>
      </c>
      <c r="G7" s="20" t="n">
        <v>5984.453</v>
      </c>
      <c r="H7" s="20" t="n">
        <v>5859.253</v>
      </c>
      <c r="I7" s="20" t="n">
        <v>6016.325</v>
      </c>
      <c r="J7" s="20" t="n">
        <v>6020.985</v>
      </c>
      <c r="K7" s="20" t="n">
        <v>6034.524</v>
      </c>
      <c r="L7" s="20" t="n">
        <v>6005.667</v>
      </c>
      <c r="M7" s="20" t="n">
        <v>6211.759</v>
      </c>
      <c r="N7" s="20" t="n">
        <v>6368.684</v>
      </c>
      <c r="O7" s="19" t="n"/>
      <c r="P7" s="20" t="n"/>
      <c r="Q7" s="20" t="n"/>
      <c r="R7" s="20" t="n"/>
      <c r="S7" s="20" t="n"/>
      <c r="T7" s="20" t="n"/>
      <c r="U7" s="20" t="n">
        <v>19920.43</v>
      </c>
      <c r="V7" s="20" t="n">
        <v>21342.828</v>
      </c>
      <c r="W7" s="20" t="n">
        <v>23881.016</v>
      </c>
      <c r="X7" s="20" t="n">
        <v>24620.634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미도리 클라우드</t>
        </is>
      </c>
      <c r="B10" s="10" t="n"/>
      <c r="C10" s="19" t="n">
        <v>71.71599999999999</v>
      </c>
      <c r="D10" s="20" t="n">
        <v>79.54600000000001</v>
      </c>
      <c r="E10" s="20" t="n">
        <v>71.90900000000001</v>
      </c>
      <c r="F10" s="20" t="n">
        <v>15.067</v>
      </c>
      <c r="G10" s="20" t="n">
        <v>56.705</v>
      </c>
      <c r="H10" s="20" t="n">
        <v>79.646</v>
      </c>
      <c r="I10" s="20" t="n">
        <v>64.354</v>
      </c>
      <c r="J10" s="20" t="n">
        <v>34.357</v>
      </c>
      <c r="K10" s="20" t="n">
        <v>50.369</v>
      </c>
      <c r="L10" s="20" t="n">
        <v>65.742</v>
      </c>
      <c r="M10" s="20" t="n">
        <v>49.404</v>
      </c>
      <c r="N10" s="20" t="n">
        <v>73.782</v>
      </c>
      <c r="O10" s="19" t="n"/>
      <c r="P10" s="20" t="n"/>
      <c r="Q10" s="20" t="n"/>
      <c r="R10" s="20" t="n"/>
      <c r="S10" s="20" t="n"/>
      <c r="T10" s="20" t="n"/>
      <c r="U10" s="20" t="n">
        <v>371.718</v>
      </c>
      <c r="V10" s="20" t="n">
        <v>238.238</v>
      </c>
      <c r="W10" s="20" t="n">
        <v>235.062</v>
      </c>
      <c r="X10" s="20" t="n">
        <v>239.297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기계설계 엔지니어링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기계설계 엔지니어링</t>
        </is>
      </c>
      <c r="B16" s="10" t="n"/>
      <c r="C16" s="19" t="n">
        <v>151.369</v>
      </c>
      <c r="D16" s="20" t="n"/>
      <c r="E16" s="20" t="n"/>
      <c r="F16" s="20" t="n">
        <v>155.383</v>
      </c>
      <c r="G16" s="20" t="n">
        <v>158.997</v>
      </c>
      <c r="H16" s="20" t="n"/>
      <c r="I16" s="20" t="n"/>
      <c r="J16" s="20" t="n">
        <v>175.642</v>
      </c>
      <c r="K16" s="20" t="n">
        <v>168.042</v>
      </c>
      <c r="L16" s="20" t="n"/>
      <c r="M16" s="20" t="n"/>
      <c r="N16" s="20" t="n">
        <v>164.414</v>
      </c>
      <c r="O16" s="19" t="n"/>
      <c r="P16" s="20" t="n"/>
      <c r="Q16" s="20" t="n"/>
      <c r="R16" s="20" t="n"/>
      <c r="S16" s="20" t="n"/>
      <c r="T16" s="20" t="n"/>
      <c r="U16" s="20" t="n">
        <v>566.708</v>
      </c>
      <c r="V16" s="20" t="n">
        <v>640.528</v>
      </c>
      <c r="W16" s="20" t="n">
        <v>660.4160000000001</v>
      </c>
      <c r="X16" s="20" t="n">
        <v>657.706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4054.148</v>
      </c>
      <c r="D20" s="20" t="n">
        <v>4082.495</v>
      </c>
      <c r="E20" s="20" t="n">
        <v>4104.437</v>
      </c>
      <c r="F20" s="20" t="n">
        <v>4280.462</v>
      </c>
      <c r="G20" s="20" t="n">
        <v>4487.162</v>
      </c>
      <c r="H20" s="20" t="n">
        <v>4531.081</v>
      </c>
      <c r="I20" s="20" t="n">
        <v>4631.279</v>
      </c>
      <c r="J20" s="20" t="n">
        <v>4670.771</v>
      </c>
      <c r="K20" s="20" t="n">
        <v>4642.303</v>
      </c>
      <c r="L20" s="20" t="n">
        <v>4561.585</v>
      </c>
      <c r="M20" s="20" t="n">
        <v>4614.547</v>
      </c>
      <c r="N20" s="20" t="n">
        <v>4757.834</v>
      </c>
      <c r="O20" s="19" t="n"/>
      <c r="P20" s="20" t="n">
        <v>7009.434</v>
      </c>
      <c r="Q20" s="20" t="n">
        <v>8792.468999999999</v>
      </c>
      <c r="R20" s="20" t="n">
        <v>10486.525</v>
      </c>
      <c r="S20" s="20" t="n">
        <v>11596.13</v>
      </c>
      <c r="T20" s="20" t="n">
        <v>13954.524</v>
      </c>
      <c r="U20" s="20" t="n">
        <v>15680.105</v>
      </c>
      <c r="V20" s="20" t="n">
        <v>16521.542</v>
      </c>
      <c r="W20" s="20" t="n">
        <v>18320.293</v>
      </c>
      <c r="X20" s="20" t="n">
        <v>18576.269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>
        <v>784.971</v>
      </c>
      <c r="D24" s="20" t="n">
        <v>784.716</v>
      </c>
      <c r="E24" s="20" t="n">
        <v>852.788</v>
      </c>
      <c r="F24" s="20" t="n">
        <v>1003.715</v>
      </c>
      <c r="G24" s="20" t="n">
        <v>944.014</v>
      </c>
      <c r="H24" s="20" t="n">
        <v>967.99</v>
      </c>
      <c r="I24" s="20" t="n">
        <v>974.751</v>
      </c>
      <c r="J24" s="20" t="n">
        <v>1018.752</v>
      </c>
      <c r="K24" s="20" t="n">
        <v>1028.287</v>
      </c>
      <c r="L24" s="20" t="n">
        <v>1055.753</v>
      </c>
      <c r="M24" s="20" t="n">
        <v>988.8920000000001</v>
      </c>
      <c r="N24" s="20" t="n">
        <v>1003.885</v>
      </c>
      <c r="O24" s="19" t="n"/>
      <c r="P24" s="20" t="n">
        <v>1463.764</v>
      </c>
      <c r="Q24" s="20" t="n">
        <v>1890.153</v>
      </c>
      <c r="R24" s="20" t="n">
        <v>2150.623</v>
      </c>
      <c r="S24" s="20" t="n">
        <v>2311.097</v>
      </c>
      <c r="T24" s="20" t="n">
        <v>3017.913</v>
      </c>
      <c r="U24" s="20" t="n">
        <v>3233.833</v>
      </c>
      <c r="V24" s="20" t="n">
        <v>3426.19</v>
      </c>
      <c r="W24" s="20" t="n">
        <v>3905.507</v>
      </c>
      <c r="X24" s="20" t="n">
        <v>4076.817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525.126</v>
      </c>
      <c r="D25" s="12" t="n">
        <v>593.984</v>
      </c>
      <c r="E25" s="12" t="n">
        <v>667.622</v>
      </c>
      <c r="F25" s="12" t="n">
        <v>487.13</v>
      </c>
      <c r="G25" s="12" t="n">
        <v>768.978</v>
      </c>
      <c r="H25" s="12" t="n">
        <v>596.269</v>
      </c>
      <c r="I25" s="12" t="n">
        <v>643.986</v>
      </c>
      <c r="J25" s="12" t="n">
        <v>541.46</v>
      </c>
      <c r="K25" s="12" t="n">
        <v>582.345</v>
      </c>
      <c r="L25" s="12" t="n">
        <v>619.519</v>
      </c>
      <c r="M25" s="12" t="n">
        <v>817.526</v>
      </c>
      <c r="N25" s="12" t="n">
        <v>845.1609999999999</v>
      </c>
      <c r="O25" s="11" t="n"/>
      <c r="P25" s="12" t="n">
        <v>543.918</v>
      </c>
      <c r="Q25" s="12" t="n">
        <v>727.592</v>
      </c>
      <c r="R25" s="12" t="n">
        <v>1134.471</v>
      </c>
      <c r="S25" s="12" t="n">
        <v>1356.213</v>
      </c>
      <c r="T25" s="12" t="n">
        <v>886.662</v>
      </c>
      <c r="U25" s="12" t="n">
        <v>1944.918</v>
      </c>
      <c r="V25" s="12" t="n">
        <v>2273.862</v>
      </c>
      <c r="W25" s="12" t="n">
        <v>2550.693</v>
      </c>
      <c r="X25" s="12" t="n">
        <v>2864.551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0.098</v>
      </c>
      <c r="D41" s="20" t="n">
        <v>0.255</v>
      </c>
      <c r="E41" s="20" t="n">
        <v>2.696</v>
      </c>
      <c r="F41" s="20" t="n">
        <v>3.045</v>
      </c>
      <c r="G41" s="20" t="n">
        <v>0.019</v>
      </c>
      <c r="H41" s="20" t="n">
        <v>0</v>
      </c>
      <c r="I41" s="20" t="n">
        <v>0.417</v>
      </c>
      <c r="J41" s="20" t="n">
        <v>1.826</v>
      </c>
      <c r="K41" s="20" t="n">
        <v>0.35</v>
      </c>
      <c r="L41" s="20" t="n">
        <v>1.031</v>
      </c>
      <c r="M41" s="20" t="n">
        <v>32.119</v>
      </c>
      <c r="N41" s="20" t="n">
        <v>0</v>
      </c>
      <c r="O41" s="19" t="n"/>
      <c r="P41" s="20" t="n">
        <v>0</v>
      </c>
      <c r="Q41" s="20" t="n">
        <v>0.155</v>
      </c>
      <c r="R41" s="20" t="n">
        <v>0.233</v>
      </c>
      <c r="S41" s="20" t="n">
        <v>0.161</v>
      </c>
      <c r="T41" s="20" t="n">
        <v>0.443</v>
      </c>
      <c r="U41" s="20" t="n">
        <v>0.372</v>
      </c>
      <c r="V41" s="20" t="n">
        <v>6.094</v>
      </c>
      <c r="W41" s="20" t="n">
        <v>2.262</v>
      </c>
      <c r="X41" s="20" t="n">
        <v>33.5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>
        <v>3.339</v>
      </c>
      <c r="D43" s="20" t="n">
        <v>0.089</v>
      </c>
      <c r="E43" s="20" t="n">
        <v>1.085</v>
      </c>
      <c r="F43" s="20" t="n">
        <v>1.659</v>
      </c>
      <c r="G43" s="20" t="n">
        <v>0</v>
      </c>
      <c r="H43" s="20" t="n">
        <v>0.215</v>
      </c>
      <c r="I43" s="20" t="n">
        <v>0</v>
      </c>
      <c r="J43" s="20" t="n">
        <v>0</v>
      </c>
      <c r="K43" s="20" t="n"/>
      <c r="L43" s="20" t="n"/>
      <c r="M43" s="20" t="n">
        <v>0</v>
      </c>
      <c r="N43" s="20" t="n">
        <v>0</v>
      </c>
      <c r="O43" s="19" t="n"/>
      <c r="P43" s="20" t="n">
        <v>38.078</v>
      </c>
      <c r="Q43" s="20" t="n">
        <v>38.06</v>
      </c>
      <c r="R43" s="20" t="n">
        <v>102.254</v>
      </c>
      <c r="S43" s="20" t="n">
        <v>16.241</v>
      </c>
      <c r="T43" s="20" t="n">
        <v>11.318</v>
      </c>
      <c r="U43" s="20" t="n">
        <v>9.788</v>
      </c>
      <c r="V43" s="20" t="n">
        <v>6.172</v>
      </c>
      <c r="W43" s="20" t="n">
        <v>0.215</v>
      </c>
      <c r="X43" s="20" t="n">
        <v>0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5.033</v>
      </c>
      <c r="D45" s="20" t="n">
        <v>1.917</v>
      </c>
      <c r="E45" s="20" t="n">
        <v>11.572</v>
      </c>
      <c r="F45" s="20" t="n">
        <v>27.234</v>
      </c>
      <c r="G45" s="20" t="n">
        <v>6.644</v>
      </c>
      <c r="H45" s="20" t="n">
        <v>18.163</v>
      </c>
      <c r="I45" s="20" t="n">
        <v>19.375</v>
      </c>
      <c r="J45" s="20" t="n">
        <v>6.952</v>
      </c>
      <c r="K45" s="20" t="n">
        <v>5.106</v>
      </c>
      <c r="L45" s="20" t="n">
        <v>31.687</v>
      </c>
      <c r="M45" s="20" t="n">
        <v>6.348</v>
      </c>
      <c r="N45" s="20" t="n">
        <v>17.729</v>
      </c>
      <c r="O45" s="19" t="n"/>
      <c r="P45" s="20" t="n">
        <v>5.031</v>
      </c>
      <c r="Q45" s="20" t="n">
        <v>10.548</v>
      </c>
      <c r="R45" s="20" t="n">
        <v>34.572</v>
      </c>
      <c r="S45" s="20" t="n">
        <v>484.531</v>
      </c>
      <c r="T45" s="20" t="n">
        <v>550.871</v>
      </c>
      <c r="U45" s="20" t="n">
        <v>213.792</v>
      </c>
      <c r="V45" s="20" t="n">
        <v>45.756</v>
      </c>
      <c r="W45" s="20" t="n">
        <v>51.134</v>
      </c>
      <c r="X45" s="20" t="n">
        <v>60.87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0.407</v>
      </c>
      <c r="D47" s="20" t="n">
        <v>0.471</v>
      </c>
      <c r="E47" s="20" t="n">
        <v>0.441</v>
      </c>
      <c r="F47" s="20" t="n">
        <v>0.59</v>
      </c>
      <c r="G47" s="20" t="n">
        <v>0.281</v>
      </c>
      <c r="H47" s="20" t="n">
        <v>1.11</v>
      </c>
      <c r="I47" s="20" t="n">
        <v>0.383</v>
      </c>
      <c r="J47" s="20" t="n">
        <v>1.017</v>
      </c>
      <c r="K47" s="20" t="n">
        <v>0.183</v>
      </c>
      <c r="L47" s="20" t="n">
        <v>0.844</v>
      </c>
      <c r="M47" s="20" t="n">
        <v>-0.375</v>
      </c>
      <c r="N47" s="20" t="n">
        <v>0.656</v>
      </c>
      <c r="O47" s="19" t="n"/>
      <c r="P47" s="20" t="n">
        <v>23.235</v>
      </c>
      <c r="Q47" s="20" t="n">
        <v>0.865</v>
      </c>
      <c r="R47" s="20" t="n">
        <v>3.801</v>
      </c>
      <c r="S47" s="20" t="n">
        <v>4.041</v>
      </c>
      <c r="T47" s="20" t="n">
        <v>3.512</v>
      </c>
      <c r="U47" s="20" t="n">
        <v>2.211</v>
      </c>
      <c r="V47" s="20" t="n">
        <v>1.909</v>
      </c>
      <c r="W47" s="20" t="n">
        <v>2.791</v>
      </c>
      <c r="X47" s="20" t="n">
        <v>1.308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526.511</v>
      </c>
      <c r="D49" s="12" t="n">
        <v>595.595</v>
      </c>
      <c r="E49" s="12" t="n">
        <v>680.366</v>
      </c>
      <c r="F49" s="12" t="n">
        <v>515.159</v>
      </c>
      <c r="G49" s="12" t="n">
        <v>775.36</v>
      </c>
      <c r="H49" s="12" t="n">
        <v>613.1079999999999</v>
      </c>
      <c r="I49" s="12" t="n">
        <v>663.394</v>
      </c>
      <c r="J49" s="12" t="n">
        <v>549.222</v>
      </c>
      <c r="K49" s="12" t="n">
        <v>587.619</v>
      </c>
      <c r="L49" s="12" t="n">
        <v>651.3920000000001</v>
      </c>
      <c r="M49" s="12" t="n">
        <v>856.369</v>
      </c>
      <c r="N49" s="12" t="n">
        <v>862.2329999999999</v>
      </c>
      <c r="O49" s="11" t="n"/>
      <c r="P49" s="12" t="n">
        <v>487.636</v>
      </c>
      <c r="Q49" s="12" t="n">
        <v>699.37</v>
      </c>
      <c r="R49" s="12" t="n">
        <v>1063.22</v>
      </c>
      <c r="S49" s="12" t="n">
        <v>1820.624</v>
      </c>
      <c r="T49" s="12" t="n">
        <v>1423.146</v>
      </c>
      <c r="U49" s="12" t="n">
        <v>2147.083</v>
      </c>
      <c r="V49" s="12" t="n">
        <v>2317.631</v>
      </c>
      <c r="W49" s="12" t="n">
        <v>2601.084</v>
      </c>
      <c r="X49" s="12" t="n">
        <v>2957.613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>
        <v>225.719</v>
      </c>
      <c r="D50" s="20" t="n">
        <v>126.76</v>
      </c>
      <c r="E50" s="20" t="n">
        <v>298.509</v>
      </c>
      <c r="F50" s="20" t="n">
        <v>90.92400000000001</v>
      </c>
      <c r="G50" s="20" t="n">
        <v>294.087</v>
      </c>
      <c r="H50" s="20" t="n">
        <v>175.395</v>
      </c>
      <c r="I50" s="20" t="n">
        <v>267.219</v>
      </c>
      <c r="J50" s="20" t="n">
        <v>154.694</v>
      </c>
      <c r="K50" s="20" t="n">
        <v>230.647</v>
      </c>
      <c r="L50" s="20" t="n">
        <v>298.709</v>
      </c>
      <c r="M50" s="20" t="n">
        <v>318.361</v>
      </c>
      <c r="N50" s="20" t="n">
        <v>255.395</v>
      </c>
      <c r="O50" s="19" t="n"/>
      <c r="P50" s="20" t="n">
        <v>176.02</v>
      </c>
      <c r="Q50" s="20" t="n">
        <v>258.425</v>
      </c>
      <c r="R50" s="20" t="n">
        <v>409.218</v>
      </c>
      <c r="S50" s="20" t="n">
        <v>579.84</v>
      </c>
      <c r="T50" s="20" t="n">
        <v>456.987</v>
      </c>
      <c r="U50" s="20" t="n">
        <v>674.63</v>
      </c>
      <c r="V50" s="20" t="n">
        <v>741.912</v>
      </c>
      <c r="W50" s="20" t="n">
        <v>891.395</v>
      </c>
      <c r="X50" s="20" t="n">
        <v>1103.112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>
        <v>300.792</v>
      </c>
      <c r="D52" s="12" t="n">
        <v>468.835</v>
      </c>
      <c r="E52" s="12" t="n">
        <v>381.856</v>
      </c>
      <c r="F52" s="12" t="n">
        <v>424.236</v>
      </c>
      <c r="G52" s="12" t="n">
        <v>481.273</v>
      </c>
      <c r="H52" s="12" t="n">
        <v>437.713</v>
      </c>
      <c r="I52" s="12" t="n">
        <v>396.174</v>
      </c>
      <c r="J52" s="12" t="n">
        <v>394.528</v>
      </c>
      <c r="K52" s="12" t="n">
        <v>356.971</v>
      </c>
      <c r="L52" s="12" t="n">
        <v>352.684</v>
      </c>
      <c r="M52" s="12" t="n">
        <v>538.008</v>
      </c>
      <c r="N52" s="12" t="n">
        <v>606.838</v>
      </c>
      <c r="O52" s="11" t="n"/>
      <c r="P52" s="12" t="n">
        <v>311.615</v>
      </c>
      <c r="Q52" s="12" t="n">
        <v>440.945</v>
      </c>
      <c r="R52" s="12" t="n">
        <v>654.002</v>
      </c>
      <c r="S52" s="12" t="n">
        <v>1240.783</v>
      </c>
      <c r="T52" s="12" t="n">
        <v>966.159</v>
      </c>
      <c r="U52" s="12" t="n">
        <v>1472.452</v>
      </c>
      <c r="V52" s="12" t="n">
        <v>1575.719</v>
      </c>
      <c r="W52" s="12" t="n">
        <v>1709.688</v>
      </c>
      <c r="X52" s="12" t="n">
        <v>1854.501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>
        <v>300.792</v>
      </c>
      <c r="D53" s="12" t="n">
        <v>468.835</v>
      </c>
      <c r="E53" s="12" t="n">
        <v>381.856</v>
      </c>
      <c r="F53" s="12" t="n">
        <v>424.236</v>
      </c>
      <c r="G53" s="12" t="n">
        <v>481.273</v>
      </c>
      <c r="H53" s="12" t="n">
        <v>437.713</v>
      </c>
      <c r="I53" s="12" t="n">
        <v>396.174</v>
      </c>
      <c r="J53" s="12" t="n">
        <v>394.528</v>
      </c>
      <c r="K53" s="12" t="n">
        <v>356.971</v>
      </c>
      <c r="L53" s="12" t="n">
        <v>352.684</v>
      </c>
      <c r="M53" s="12" t="n">
        <v>538.008</v>
      </c>
      <c r="N53" s="12" t="n">
        <v>606.838</v>
      </c>
      <c r="O53" s="11" t="n"/>
      <c r="P53" s="12" t="n">
        <v>311.615</v>
      </c>
      <c r="Q53" s="12" t="n">
        <v>440.945</v>
      </c>
      <c r="R53" s="12" t="n">
        <v>654.002</v>
      </c>
      <c r="S53" s="12" t="n">
        <v>1240.783</v>
      </c>
      <c r="T53" s="12" t="n">
        <v>966.159</v>
      </c>
      <c r="U53" s="12" t="n">
        <v>1472.452</v>
      </c>
      <c r="V53" s="12" t="n">
        <v>1575.719</v>
      </c>
      <c r="W53" s="12" t="n">
        <v>1709.688</v>
      </c>
      <c r="X53" s="12" t="n">
        <v>1854.501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(2026.10.23)</t>
        </is>
      </c>
      <c r="B56" s="27" t="n">
        <v>1523</v>
      </c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>
        <v>13560000</v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 2026.10.23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2024.1Q</t>
        </is>
      </c>
      <c r="D86" s="5" t="inlineStr">
        <is>
          <t>2024.2Q</t>
        </is>
      </c>
      <c r="E86" s="5" t="inlineStr">
        <is>
          <t>2024.3Q</t>
        </is>
      </c>
      <c r="F86" s="5" t="inlineStr">
        <is>
          <t>2024.4Q</t>
        </is>
      </c>
      <c r="G86" s="5" t="inlineStr">
        <is>
          <t>2025.1Q</t>
        </is>
      </c>
      <c r="H86" s="5" t="inlineStr">
        <is>
          <t>2025.2Q</t>
        </is>
      </c>
      <c r="I86" s="5" t="inlineStr">
        <is>
          <t>2025.3Q</t>
        </is>
      </c>
      <c r="J86" s="5" t="inlineStr">
        <is>
          <t>2025.4Q</t>
        </is>
      </c>
      <c r="K86" s="5" t="inlineStr">
        <is>
          <t>2026.1Q</t>
        </is>
      </c>
      <c r="L86" s="5" t="inlineStr">
        <is>
          <t>2026.2Q</t>
        </is>
      </c>
      <c r="M86" s="5" t="inlineStr">
        <is>
          <t>2026.3Q</t>
        </is>
      </c>
      <c r="N86" s="5" t="inlineStr">
        <is>
          <t>2026.4Q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5364.245</v>
      </c>
      <c r="D87" s="12" t="n">
        <v>5461.196</v>
      </c>
      <c r="E87" s="12" t="n">
        <v>5624.848</v>
      </c>
      <c r="F87" s="12" t="n">
        <v>5771.306</v>
      </c>
      <c r="G87" s="12" t="n">
        <v>6200.156</v>
      </c>
      <c r="H87" s="12" t="n">
        <v>6095.34</v>
      </c>
      <c r="I87" s="12" t="n">
        <v>6250.015</v>
      </c>
      <c r="J87" s="12" t="n">
        <v>6230.983</v>
      </c>
      <c r="K87" s="12" t="n">
        <v>6252.936</v>
      </c>
      <c r="L87" s="12" t="n">
        <v>6236.857</v>
      </c>
      <c r="M87" s="12" t="n">
        <v>6420.965</v>
      </c>
      <c r="N87" s="12" t="n">
        <v>6606.88</v>
      </c>
      <c r="T87" s="12" t="n">
        <v>4736.096</v>
      </c>
      <c r="U87" s="12" t="n">
        <v>5390.98</v>
      </c>
      <c r="V87" s="12" t="n">
        <v>5771.306</v>
      </c>
      <c r="W87" s="12" t="n">
        <v>6230.983</v>
      </c>
      <c r="X87" s="12" t="n">
        <v>6606.88</v>
      </c>
    </row>
    <row r="88">
      <c r="A88" s="18" t="inlineStr">
        <is>
          <t>매출원가</t>
        </is>
      </c>
      <c r="C88" s="20" t="n">
        <v>4054.148</v>
      </c>
      <c r="D88" s="20" t="n">
        <v>4082.495</v>
      </c>
      <c r="E88" s="20" t="n">
        <v>4104.437</v>
      </c>
      <c r="F88" s="20" t="n">
        <v>4280.462</v>
      </c>
      <c r="G88" s="20" t="n">
        <v>4487.162</v>
      </c>
      <c r="H88" s="20" t="n">
        <v>4531.081</v>
      </c>
      <c r="I88" s="20" t="n">
        <v>4631.279</v>
      </c>
      <c r="J88" s="20" t="n">
        <v>4670.771</v>
      </c>
      <c r="K88" s="20" t="n">
        <v>4642.303</v>
      </c>
      <c r="L88" s="20" t="n">
        <v>4561.585</v>
      </c>
      <c r="M88" s="20" t="n">
        <v>4614.547</v>
      </c>
      <c r="N88" s="20" t="n">
        <v>4757.834</v>
      </c>
      <c r="T88" s="20" t="n">
        <v>3774.453</v>
      </c>
      <c r="U88" s="20" t="n">
        <v>4181.664</v>
      </c>
      <c r="V88" s="20" t="n">
        <v>4280.462</v>
      </c>
      <c r="W88" s="20" t="n">
        <v>4670.771</v>
      </c>
      <c r="X88" s="20" t="n">
        <v>4757.834</v>
      </c>
    </row>
    <row r="89">
      <c r="A89" s="9" t="inlineStr">
        <is>
          <t>매출총이익</t>
        </is>
      </c>
      <c r="C89" s="12" t="n">
        <v>1310.097</v>
      </c>
      <c r="D89" s="12" t="n">
        <v>1378.701</v>
      </c>
      <c r="E89" s="12" t="n">
        <v>1520.41</v>
      </c>
      <c r="F89" s="12" t="n">
        <v>1490.844</v>
      </c>
      <c r="G89" s="12" t="n">
        <v>1712.993</v>
      </c>
      <c r="H89" s="12" t="n">
        <v>1564.259</v>
      </c>
      <c r="I89" s="12" t="n">
        <v>1618.736</v>
      </c>
      <c r="J89" s="12" t="n">
        <v>1560.212</v>
      </c>
      <c r="K89" s="12" t="n">
        <v>1610.633</v>
      </c>
      <c r="L89" s="12" t="n">
        <v>1675.272</v>
      </c>
      <c r="M89" s="12" t="n">
        <v>1806.417</v>
      </c>
      <c r="N89" s="12" t="n">
        <v>1849.047</v>
      </c>
      <c r="T89" s="12" t="n">
        <v>961.6420000000001</v>
      </c>
      <c r="U89" s="12" t="n">
        <v>1209.317</v>
      </c>
      <c r="V89" s="12" t="n">
        <v>1490.844</v>
      </c>
      <c r="W89" s="12" t="n">
        <v>1560.212</v>
      </c>
      <c r="X89" s="12" t="n">
        <v>1849.047</v>
      </c>
    </row>
    <row r="90">
      <c r="A90" s="18" t="inlineStr">
        <is>
          <t>판매비와 관리비</t>
        </is>
      </c>
      <c r="C90" s="20" t="n">
        <v>784.971</v>
      </c>
      <c r="D90" s="20" t="n">
        <v>784.716</v>
      </c>
      <c r="E90" s="20" t="n">
        <v>852.788</v>
      </c>
      <c r="F90" s="20" t="n">
        <v>1003.715</v>
      </c>
      <c r="G90" s="20" t="n">
        <v>944.014</v>
      </c>
      <c r="H90" s="20" t="n">
        <v>967.99</v>
      </c>
      <c r="I90" s="20" t="n">
        <v>974.751</v>
      </c>
      <c r="J90" s="20" t="n">
        <v>1018.752</v>
      </c>
      <c r="K90" s="20" t="n">
        <v>1028.287</v>
      </c>
      <c r="L90" s="20" t="n">
        <v>1055.753</v>
      </c>
      <c r="M90" s="20" t="n">
        <v>988.8920000000001</v>
      </c>
      <c r="N90" s="20" t="n">
        <v>1003.885</v>
      </c>
      <c r="T90" s="20" t="n">
        <v>770.208</v>
      </c>
      <c r="U90" s="20" t="n">
        <v>902.494</v>
      </c>
      <c r="V90" s="20" t="n">
        <v>1003.715</v>
      </c>
      <c r="W90" s="20" t="n">
        <v>1018.752</v>
      </c>
      <c r="X90" s="20" t="n">
        <v>1003.885</v>
      </c>
    </row>
    <row r="91">
      <c r="A91" s="9" t="inlineStr">
        <is>
          <t>영업이익</t>
        </is>
      </c>
      <c r="C91" s="12" t="n">
        <v>525.126</v>
      </c>
      <c r="D91" s="12" t="n">
        <v>593.984</v>
      </c>
      <c r="E91" s="12" t="n">
        <v>667.622</v>
      </c>
      <c r="F91" s="12" t="n">
        <v>487.13</v>
      </c>
      <c r="G91" s="12" t="n">
        <v>768.978</v>
      </c>
      <c r="H91" s="12" t="n">
        <v>596.269</v>
      </c>
      <c r="I91" s="12" t="n">
        <v>643.986</v>
      </c>
      <c r="J91" s="12" t="n">
        <v>541.46</v>
      </c>
      <c r="K91" s="12" t="n">
        <v>582.345</v>
      </c>
      <c r="L91" s="12" t="n">
        <v>619.519</v>
      </c>
      <c r="M91" s="12" t="n">
        <v>817.526</v>
      </c>
      <c r="N91" s="12" t="n">
        <v>845.1609999999999</v>
      </c>
      <c r="T91" s="12" t="n">
        <v>191.433</v>
      </c>
      <c r="U91" s="12" t="n">
        <v>306.822</v>
      </c>
      <c r="V91" s="12" t="n">
        <v>487.13</v>
      </c>
      <c r="W91" s="12" t="n">
        <v>541.46</v>
      </c>
      <c r="X91" s="12" t="n">
        <v>845.1609999999999</v>
      </c>
    </row>
    <row r="92">
      <c r="A92" s="18" t="inlineStr">
        <is>
          <t>이자·배당금 수익</t>
        </is>
      </c>
      <c r="C92" s="20" t="n">
        <v>0.393</v>
      </c>
      <c r="D92" s="20" t="n">
        <v>0.424</v>
      </c>
      <c r="E92" s="20" t="n">
        <v>0.398</v>
      </c>
      <c r="F92" s="20" t="n">
        <v>0.591</v>
      </c>
      <c r="G92" s="20" t="n">
        <v>0.008999999999999999</v>
      </c>
      <c r="H92" s="20" t="n">
        <v>2.881</v>
      </c>
      <c r="I92" s="20" t="n">
        <v>0.034</v>
      </c>
      <c r="J92" s="20" t="n">
        <v>6.46</v>
      </c>
      <c r="K92" s="20" t="n">
        <v>1.377</v>
      </c>
      <c r="L92" s="20" t="n">
        <v>7.497</v>
      </c>
      <c r="M92" s="20" t="n">
        <v>0.113</v>
      </c>
      <c r="N92" s="20" t="n">
        <v>11.382</v>
      </c>
      <c r="V92" s="20" t="n">
        <v>0.591</v>
      </c>
      <c r="W92" s="20" t="n">
        <v>6.46</v>
      </c>
      <c r="X92" s="20" t="n">
        <v>11.382</v>
      </c>
    </row>
    <row r="93">
      <c r="A93" s="18" t="inlineStr">
        <is>
          <t>보조금 수입</t>
        </is>
      </c>
      <c r="C93" s="20" t="n">
        <v>3.82</v>
      </c>
      <c r="D93" s="20" t="n">
        <v>0.67</v>
      </c>
      <c r="E93" s="20" t="n">
        <v>9.489000000000001</v>
      </c>
      <c r="F93" s="20" t="n">
        <v>0.34</v>
      </c>
      <c r="G93" s="20" t="n">
        <v>0</v>
      </c>
      <c r="H93" s="20" t="n">
        <v>0</v>
      </c>
      <c r="I93" s="20" t="n">
        <v>0</v>
      </c>
      <c r="J93" s="20" t="n">
        <v>0</v>
      </c>
      <c r="N93" s="20" t="n">
        <v>0.648</v>
      </c>
      <c r="T93" s="20" t="n">
        <v>108.077</v>
      </c>
      <c r="U93" s="20" t="n">
        <v>3.88</v>
      </c>
      <c r="V93" s="20" t="n">
        <v>0.34</v>
      </c>
      <c r="W93" s="20" t="n">
        <v>0</v>
      </c>
      <c r="X93" s="20" t="n">
        <v>0.648</v>
      </c>
    </row>
    <row r="94">
      <c r="A94" s="18" t="inlineStr">
        <is>
          <t>부동산 임대료</t>
        </is>
      </c>
      <c r="C94" s="20" t="n">
        <v>0</v>
      </c>
      <c r="D94" s="20" t="n">
        <v>0</v>
      </c>
      <c r="E94" s="20" t="n">
        <v>0</v>
      </c>
      <c r="F94" s="20" t="n">
        <v>0</v>
      </c>
      <c r="G94" s="20" t="n">
        <v>1.349</v>
      </c>
      <c r="H94" s="20" t="n">
        <v>0.108</v>
      </c>
      <c r="I94" s="20" t="n">
        <v>0.114</v>
      </c>
      <c r="J94" s="20" t="n">
        <v>0.111</v>
      </c>
      <c r="K94" s="20" t="n">
        <v>0.104</v>
      </c>
      <c r="L94" s="20" t="n">
        <v>0.115</v>
      </c>
      <c r="M94" s="20" t="n">
        <v>0.108</v>
      </c>
      <c r="N94" s="20" t="n">
        <v>5.631</v>
      </c>
      <c r="V94" s="20" t="n">
        <v>0</v>
      </c>
      <c r="W94" s="20" t="n">
        <v>0.111</v>
      </c>
      <c r="X94" s="20" t="n">
        <v>5.631</v>
      </c>
    </row>
    <row r="95">
      <c r="A95" s="18" t="inlineStr">
        <is>
          <t>보험 해약환급금</t>
        </is>
      </c>
      <c r="C95" s="20" t="n">
        <v>0</v>
      </c>
      <c r="D95" s="20" t="n">
        <v>0</v>
      </c>
      <c r="E95" s="20" t="n">
        <v>0</v>
      </c>
      <c r="F95" s="20" t="n">
        <v>0</v>
      </c>
      <c r="G95" s="20" t="n">
        <v>5.216</v>
      </c>
      <c r="H95" s="20" t="n">
        <v>0</v>
      </c>
      <c r="I95" s="20" t="n">
        <v>0</v>
      </c>
      <c r="J95" s="20" t="n">
        <v>0</v>
      </c>
      <c r="K95" s="20" t="n">
        <v>0</v>
      </c>
      <c r="L95" s="20" t="n">
        <v>0</v>
      </c>
      <c r="M95" s="20" t="n">
        <v>3.78</v>
      </c>
      <c r="N95" s="20" t="n">
        <v>0</v>
      </c>
      <c r="V95" s="20" t="n">
        <v>0</v>
      </c>
      <c r="W95" s="20" t="n">
        <v>0</v>
      </c>
      <c r="X95" s="20" t="n">
        <v>0</v>
      </c>
    </row>
    <row r="96">
      <c r="A96" s="18" t="inlineStr">
        <is>
          <t>위약금 수입</t>
        </is>
      </c>
      <c r="G96" s="20" t="n">
        <v>0</v>
      </c>
      <c r="K96" s="20" t="n">
        <v>0.85</v>
      </c>
    </row>
    <row r="97">
      <c r="A97" s="18" t="inlineStr">
        <is>
          <t>물품 매각이익</t>
        </is>
      </c>
      <c r="G97" s="20" t="n">
        <v>0</v>
      </c>
      <c r="K97" s="20" t="n">
        <v>0.621</v>
      </c>
    </row>
    <row r="98">
      <c r="A98" s="18" t="inlineStr">
        <is>
          <t>보조금 수입</t>
        </is>
      </c>
      <c r="E98" s="20" t="n">
        <v>0</v>
      </c>
      <c r="F98" s="20" t="n">
        <v>26.093</v>
      </c>
      <c r="G98" s="20" t="n">
        <v>0</v>
      </c>
      <c r="H98" s="20" t="n">
        <v>15.127</v>
      </c>
      <c r="I98" s="20" t="n">
        <v>17.671</v>
      </c>
      <c r="J98" s="20" t="n">
        <v>0</v>
      </c>
      <c r="K98" s="20" t="n">
        <v>1.637</v>
      </c>
      <c r="L98" s="20" t="n">
        <v>23.687</v>
      </c>
      <c r="M98" s="20" t="n">
        <v>0</v>
      </c>
      <c r="N98" s="20" t="n">
        <v>0</v>
      </c>
      <c r="V98" s="20" t="n">
        <v>26.093</v>
      </c>
      <c r="W98" s="20" t="n">
        <v>0</v>
      </c>
      <c r="X98" s="20" t="n">
        <v>0</v>
      </c>
    </row>
    <row r="99">
      <c r="A99" s="18" t="inlineStr">
        <is>
          <t>기타</t>
        </is>
      </c>
      <c r="C99" s="20" t="n">
        <v>0.819</v>
      </c>
      <c r="D99" s="20" t="n">
        <v>0.823</v>
      </c>
      <c r="E99" s="20" t="n">
        <v>1.685</v>
      </c>
      <c r="F99" s="20" t="n">
        <v>0.21</v>
      </c>
      <c r="G99" s="20" t="n">
        <v>0.067</v>
      </c>
      <c r="H99" s="20" t="n">
        <v>0.049</v>
      </c>
      <c r="I99" s="20" t="n">
        <v>1.556</v>
      </c>
      <c r="J99" s="20" t="n">
        <v>0.38</v>
      </c>
      <c r="K99" s="20" t="n">
        <v>0.516</v>
      </c>
      <c r="L99" s="20" t="n">
        <v>1.858</v>
      </c>
      <c r="M99" s="20" t="n">
        <v>0.094</v>
      </c>
      <c r="N99" s="20" t="n">
        <v>0.066</v>
      </c>
      <c r="T99" s="20" t="n">
        <v>1.878</v>
      </c>
      <c r="U99" s="20" t="n">
        <v>1.016</v>
      </c>
      <c r="V99" s="20" t="n">
        <v>0.21</v>
      </c>
      <c r="W99" s="20" t="n">
        <v>0.38</v>
      </c>
      <c r="X99" s="20" t="n">
        <v>0.066</v>
      </c>
    </row>
    <row r="100">
      <c r="A100" s="18" t="inlineStr">
        <is>
          <t>영업외수익 합계</t>
        </is>
      </c>
      <c r="C100" s="20" t="n">
        <v>5.033</v>
      </c>
      <c r="D100" s="20" t="n">
        <v>1.917</v>
      </c>
      <c r="E100" s="20" t="n">
        <v>11.572</v>
      </c>
      <c r="F100" s="20" t="n">
        <v>27.234</v>
      </c>
      <c r="G100" s="20" t="n">
        <v>6.644</v>
      </c>
      <c r="H100" s="20" t="n">
        <v>18.163</v>
      </c>
      <c r="I100" s="20" t="n">
        <v>19.375</v>
      </c>
      <c r="J100" s="20" t="n">
        <v>6.952</v>
      </c>
      <c r="K100" s="20" t="n">
        <v>5.106</v>
      </c>
      <c r="L100" s="20" t="n">
        <v>31.687</v>
      </c>
      <c r="M100" s="20" t="n">
        <v>6.348</v>
      </c>
      <c r="N100" s="20" t="n">
        <v>17.729</v>
      </c>
      <c r="T100" s="20" t="n">
        <v>110.377</v>
      </c>
      <c r="U100" s="20" t="n">
        <v>5.325</v>
      </c>
      <c r="V100" s="20" t="n">
        <v>27.234</v>
      </c>
      <c r="W100" s="20" t="n">
        <v>6.952</v>
      </c>
      <c r="X100" s="20" t="n">
        <v>17.729</v>
      </c>
    </row>
    <row r="101">
      <c r="A101" s="18" t="inlineStr">
        <is>
          <t>이자비용</t>
        </is>
      </c>
      <c r="C101" s="20" t="n">
        <v>0.225</v>
      </c>
      <c r="D101" s="20" t="n">
        <v>0.248</v>
      </c>
      <c r="E101" s="20" t="n">
        <v>0.228</v>
      </c>
      <c r="F101" s="20" t="n">
        <v>0.147</v>
      </c>
      <c r="G101" s="20" t="n">
        <v>0.176</v>
      </c>
      <c r="H101" s="20" t="n">
        <v>0.08599999999999999</v>
      </c>
      <c r="I101" s="20" t="n">
        <v>0.091</v>
      </c>
      <c r="J101" s="20" t="n">
        <v>0.07199999999999999</v>
      </c>
      <c r="K101" s="20" t="n">
        <v>0.052</v>
      </c>
      <c r="L101" s="20" t="n">
        <v>0.042</v>
      </c>
      <c r="M101" s="20" t="n">
        <v>0.024</v>
      </c>
      <c r="N101" s="20" t="n">
        <v>0.003</v>
      </c>
      <c r="T101" s="20" t="n">
        <v>0.732</v>
      </c>
      <c r="U101" s="20" t="n">
        <v>0.206</v>
      </c>
      <c r="V101" s="20" t="n">
        <v>0.147</v>
      </c>
      <c r="W101" s="20" t="n">
        <v>0.07199999999999999</v>
      </c>
      <c r="X101" s="20" t="n">
        <v>0.003</v>
      </c>
    </row>
    <row r="102">
      <c r="A102" s="18" t="inlineStr">
        <is>
          <t>지급수수료</t>
        </is>
      </c>
      <c r="C102" s="20" t="n">
        <v>0</v>
      </c>
      <c r="D102" s="20" t="n">
        <v>0.405</v>
      </c>
      <c r="E102" s="20" t="n">
        <v>0.212</v>
      </c>
      <c r="F102" s="20" t="n">
        <v>0.431</v>
      </c>
      <c r="G102" s="20" t="n">
        <v>0.097</v>
      </c>
      <c r="H102" s="20" t="n">
        <v>1.024</v>
      </c>
      <c r="I102" s="20" t="n">
        <v>0.291</v>
      </c>
      <c r="J102" s="20" t="n">
        <v>0.946</v>
      </c>
      <c r="K102" s="20" t="n">
        <v>0.13</v>
      </c>
      <c r="L102" s="20" t="n">
        <v>0.803</v>
      </c>
      <c r="M102" s="20" t="n">
        <v>-0.4</v>
      </c>
      <c r="N102" s="20" t="n">
        <v>0.653</v>
      </c>
      <c r="U102" s="20" t="n">
        <v>0</v>
      </c>
      <c r="V102" s="20" t="n">
        <v>0.431</v>
      </c>
      <c r="W102" s="20" t="n">
        <v>0.946</v>
      </c>
      <c r="X102" s="20" t="n">
        <v>0.653</v>
      </c>
    </row>
    <row r="103">
      <c r="A103" s="18" t="inlineStr">
        <is>
          <t>기타</t>
        </is>
      </c>
      <c r="C103" s="20" t="n">
        <v>0.181</v>
      </c>
      <c r="D103" s="20" t="n">
        <v>-0.181</v>
      </c>
      <c r="E103" s="20" t="n">
        <v>0</v>
      </c>
      <c r="F103" s="20" t="n">
        <v>0.011</v>
      </c>
      <c r="G103" s="20" t="n">
        <v>0.007</v>
      </c>
      <c r="H103" s="20" t="n">
        <v>0</v>
      </c>
      <c r="I103" s="20" t="n">
        <v>0</v>
      </c>
      <c r="J103" s="20" t="n">
        <v>0</v>
      </c>
      <c r="K103" s="20" t="n">
        <v>0</v>
      </c>
      <c r="L103" s="20" t="n">
        <v>0</v>
      </c>
      <c r="M103" s="20" t="n">
        <v>0</v>
      </c>
      <c r="N103" s="20" t="n">
        <v>0</v>
      </c>
      <c r="V103" s="20" t="n">
        <v>0.011</v>
      </c>
      <c r="W103" s="20" t="n">
        <v>0</v>
      </c>
      <c r="X103" s="20" t="n">
        <v>0</v>
      </c>
    </row>
    <row r="104">
      <c r="A104" s="18" t="inlineStr">
        <is>
          <t>영업외비용 합계</t>
        </is>
      </c>
      <c r="C104" s="20" t="n">
        <v>0.407</v>
      </c>
      <c r="D104" s="20" t="n">
        <v>0.471</v>
      </c>
      <c r="E104" s="20" t="n">
        <v>0.441</v>
      </c>
      <c r="F104" s="20" t="n">
        <v>0.59</v>
      </c>
      <c r="G104" s="20" t="n">
        <v>0.281</v>
      </c>
      <c r="H104" s="20" t="n">
        <v>1.11</v>
      </c>
      <c r="I104" s="20" t="n">
        <v>0.383</v>
      </c>
      <c r="J104" s="20" t="n">
        <v>1.017</v>
      </c>
      <c r="K104" s="20" t="n">
        <v>0.183</v>
      </c>
      <c r="L104" s="20" t="n">
        <v>0.844</v>
      </c>
      <c r="M104" s="20" t="n">
        <v>-0.375</v>
      </c>
      <c r="N104" s="20" t="n">
        <v>0.656</v>
      </c>
      <c r="T104" s="20" t="n">
        <v>0.732</v>
      </c>
      <c r="U104" s="20" t="n">
        <v>0.206</v>
      </c>
      <c r="V104" s="20" t="n">
        <v>0.59</v>
      </c>
      <c r="W104" s="20" t="n">
        <v>1.017</v>
      </c>
      <c r="X104" s="20" t="n">
        <v>0.656</v>
      </c>
    </row>
    <row r="105">
      <c r="A105" s="9" t="inlineStr">
        <is>
          <t>경상이익</t>
        </is>
      </c>
      <c r="C105" s="12" t="n">
        <v>529.752</v>
      </c>
      <c r="D105" s="12" t="n">
        <v>595.429</v>
      </c>
      <c r="E105" s="12" t="n">
        <v>678.754</v>
      </c>
      <c r="F105" s="12" t="n">
        <v>513.774</v>
      </c>
      <c r="G105" s="12" t="n">
        <v>775.341</v>
      </c>
      <c r="H105" s="12" t="n">
        <v>613.323</v>
      </c>
      <c r="I105" s="12" t="n">
        <v>662.977</v>
      </c>
      <c r="J105" s="12" t="n">
        <v>547.396</v>
      </c>
      <c r="K105" s="12" t="n">
        <v>587.268</v>
      </c>
      <c r="L105" s="12" t="n">
        <v>650.362</v>
      </c>
      <c r="M105" s="12" t="n">
        <v>824.25</v>
      </c>
      <c r="N105" s="12" t="n">
        <v>862.2329999999999</v>
      </c>
      <c r="T105" s="12" t="n">
        <v>301.078</v>
      </c>
      <c r="U105" s="12" t="n">
        <v>311.942</v>
      </c>
      <c r="V105" s="12" t="n">
        <v>513.774</v>
      </c>
      <c r="W105" s="12" t="n">
        <v>547.396</v>
      </c>
      <c r="X105" s="12" t="n">
        <v>862.2329999999999</v>
      </c>
    </row>
    <row r="106">
      <c r="A106" s="18" t="inlineStr">
        <is>
          <t>신주예약권 환입이익</t>
        </is>
      </c>
      <c r="C106" s="20" t="n">
        <v>0.098</v>
      </c>
      <c r="D106" s="20" t="n">
        <v>0.255</v>
      </c>
      <c r="E106" s="20" t="n">
        <v>2.696</v>
      </c>
      <c r="F106" s="20" t="n">
        <v>3.045</v>
      </c>
      <c r="G106" s="20" t="n">
        <v>0.019</v>
      </c>
      <c r="H106" s="20" t="n">
        <v>0</v>
      </c>
      <c r="I106" s="20" t="n">
        <v>0.417</v>
      </c>
      <c r="J106" s="20" t="n">
        <v>1.826</v>
      </c>
      <c r="K106" s="20" t="n">
        <v>0</v>
      </c>
      <c r="L106" s="20" t="n">
        <v>0.955</v>
      </c>
      <c r="M106" s="20" t="n">
        <v>0.119</v>
      </c>
      <c r="N106" s="20" t="n">
        <v>0</v>
      </c>
      <c r="T106" s="20" t="n">
        <v>0.443</v>
      </c>
      <c r="U106" s="20" t="n">
        <v>0.004</v>
      </c>
      <c r="V106" s="20" t="n">
        <v>3.045</v>
      </c>
      <c r="W106" s="20" t="n">
        <v>1.826</v>
      </c>
      <c r="X106" s="20" t="n">
        <v>0</v>
      </c>
    </row>
    <row r="107">
      <c r="A107" s="18" t="inlineStr">
        <is>
          <t>고정자산 매각이익</t>
        </is>
      </c>
      <c r="G107" s="20" t="n">
        <v>0</v>
      </c>
      <c r="H107" s="20" t="n">
        <v>0</v>
      </c>
      <c r="I107" s="20" t="n">
        <v>0</v>
      </c>
      <c r="J107" s="20" t="n">
        <v>0</v>
      </c>
      <c r="K107" s="20" t="n">
        <v>0.35</v>
      </c>
      <c r="L107" s="20" t="n">
        <v>0.075</v>
      </c>
      <c r="M107" s="20" t="n">
        <v>0</v>
      </c>
      <c r="N107" s="20" t="n">
        <v>0</v>
      </c>
      <c r="W107" s="20" t="n">
        <v>0</v>
      </c>
      <c r="X107" s="20" t="n">
        <v>0</v>
      </c>
    </row>
    <row r="108">
      <c r="A108" s="18" t="inlineStr">
        <is>
          <t>투자유가증권 매각이익</t>
        </is>
      </c>
      <c r="J108" s="20" t="n">
        <v>0</v>
      </c>
      <c r="N108" s="20" t="n">
        <v>0</v>
      </c>
      <c r="W108" s="20" t="n">
        <v>0</v>
      </c>
      <c r="X108" s="20" t="n">
        <v>0</v>
      </c>
    </row>
    <row r="109">
      <c r="A109" s="18" t="inlineStr">
        <is>
          <t>특별이익 합계</t>
        </is>
      </c>
      <c r="C109" s="20" t="n">
        <v>0.098</v>
      </c>
      <c r="D109" s="20" t="n">
        <v>0.255</v>
      </c>
      <c r="E109" s="20" t="n">
        <v>2.696</v>
      </c>
      <c r="F109" s="20" t="n">
        <v>3.045</v>
      </c>
      <c r="G109" s="20" t="n">
        <v>0.019</v>
      </c>
      <c r="H109" s="20" t="n">
        <v>0</v>
      </c>
      <c r="I109" s="20" t="n">
        <v>0.417</v>
      </c>
      <c r="J109" s="20" t="n">
        <v>1.826</v>
      </c>
      <c r="K109" s="20" t="n">
        <v>0.35</v>
      </c>
      <c r="L109" s="20" t="n">
        <v>1.031</v>
      </c>
      <c r="M109" s="20" t="n">
        <v>32.119</v>
      </c>
      <c r="N109" s="20" t="n">
        <v>0</v>
      </c>
      <c r="T109" s="20" t="n">
        <v>0.443</v>
      </c>
      <c r="U109" s="20" t="n">
        <v>0.004</v>
      </c>
      <c r="V109" s="20" t="n">
        <v>3.045</v>
      </c>
      <c r="W109" s="20" t="n">
        <v>1.826</v>
      </c>
      <c r="X109" s="20" t="n">
        <v>0</v>
      </c>
    </row>
    <row r="110">
      <c r="A110" s="18" t="inlineStr">
        <is>
          <t>고정자산 제각손실</t>
        </is>
      </c>
      <c r="E110" s="20" t="n">
        <v>0</v>
      </c>
      <c r="F110" s="20" t="n">
        <v>0.637</v>
      </c>
      <c r="I110" s="20" t="n">
        <v>0</v>
      </c>
      <c r="J110" s="20" t="n">
        <v>0</v>
      </c>
      <c r="M110" s="20" t="n">
        <v>0</v>
      </c>
      <c r="N110" s="20" t="n">
        <v>0</v>
      </c>
      <c r="T110" s="20" t="n">
        <v>0.482</v>
      </c>
      <c r="U110" s="20" t="n">
        <v>0.504</v>
      </c>
      <c r="V110" s="20" t="n">
        <v>0.637</v>
      </c>
      <c r="W110" s="20" t="n">
        <v>0</v>
      </c>
      <c r="X110" s="20" t="n">
        <v>0</v>
      </c>
    </row>
    <row r="111">
      <c r="A111" s="18" t="inlineStr">
        <is>
          <t>투자유가증권 평가손실</t>
        </is>
      </c>
      <c r="C111" s="20" t="n">
        <v>3.339</v>
      </c>
      <c r="D111" s="20" t="n">
        <v>0</v>
      </c>
      <c r="E111" s="20" t="n">
        <v>1.084</v>
      </c>
      <c r="F111" s="20" t="n">
        <v>1.022</v>
      </c>
      <c r="G111" s="20" t="n">
        <v>0</v>
      </c>
      <c r="H111" s="20" t="n">
        <v>0</v>
      </c>
      <c r="I111" s="20" t="n">
        <v>0</v>
      </c>
      <c r="J111" s="20" t="n">
        <v>0</v>
      </c>
      <c r="T111" s="20" t="n">
        <v>4.715</v>
      </c>
      <c r="U111" s="20" t="n">
        <v>0</v>
      </c>
      <c r="V111" s="20" t="n">
        <v>1.022</v>
      </c>
      <c r="W111" s="20" t="n">
        <v>0</v>
      </c>
    </row>
    <row r="112">
      <c r="A112" s="18" t="inlineStr">
        <is>
          <t>특별손실 합계</t>
        </is>
      </c>
      <c r="C112" s="20" t="n">
        <v>3.339</v>
      </c>
      <c r="D112" s="20" t="n">
        <v>0.089</v>
      </c>
      <c r="E112" s="20" t="n">
        <v>1.085</v>
      </c>
      <c r="F112" s="20" t="n">
        <v>1.659</v>
      </c>
      <c r="G112" s="20" t="n">
        <v>0</v>
      </c>
      <c r="H112" s="20" t="n">
        <v>0.215</v>
      </c>
      <c r="I112" s="20" t="n">
        <v>0</v>
      </c>
      <c r="J112" s="20" t="n">
        <v>0</v>
      </c>
      <c r="M112" s="20" t="n">
        <v>0</v>
      </c>
      <c r="N112" s="20" t="n">
        <v>0</v>
      </c>
      <c r="T112" s="20" t="n">
        <v>5.197</v>
      </c>
      <c r="U112" s="20" t="n">
        <v>0.504</v>
      </c>
      <c r="V112" s="20" t="n">
        <v>1.659</v>
      </c>
      <c r="W112" s="20" t="n">
        <v>0</v>
      </c>
      <c r="X112" s="20" t="n">
        <v>0</v>
      </c>
    </row>
    <row r="113">
      <c r="A113" s="9" t="inlineStr">
        <is>
          <t>법인세차감전 순이익</t>
        </is>
      </c>
      <c r="C113" s="12" t="n">
        <v>526.511</v>
      </c>
      <c r="D113" s="12" t="n">
        <v>595.595</v>
      </c>
      <c r="E113" s="12" t="n">
        <v>680.366</v>
      </c>
      <c r="F113" s="12" t="n">
        <v>515.159</v>
      </c>
      <c r="G113" s="12" t="n">
        <v>775.36</v>
      </c>
      <c r="H113" s="12" t="n">
        <v>613.1079999999999</v>
      </c>
      <c r="I113" s="12" t="n">
        <v>663.394</v>
      </c>
      <c r="J113" s="12" t="n">
        <v>549.222</v>
      </c>
      <c r="K113" s="12" t="n">
        <v>587.619</v>
      </c>
      <c r="L113" s="12" t="n">
        <v>651.3920000000001</v>
      </c>
      <c r="M113" s="12" t="n">
        <v>856.369</v>
      </c>
      <c r="N113" s="12" t="n">
        <v>862.2329999999999</v>
      </c>
      <c r="T113" s="12" t="n">
        <v>296.324</v>
      </c>
      <c r="U113" s="12" t="n">
        <v>311.441</v>
      </c>
      <c r="V113" s="12" t="n">
        <v>515.159</v>
      </c>
      <c r="W113" s="12" t="n">
        <v>549.222</v>
      </c>
      <c r="X113" s="12" t="n">
        <v>862.2329999999999</v>
      </c>
    </row>
    <row r="114">
      <c r="A114" s="18" t="inlineStr">
        <is>
          <t>법인세·주민세·사업세</t>
        </is>
      </c>
      <c r="C114" s="20" t="n">
        <v>376.659</v>
      </c>
      <c r="D114" s="20" t="n">
        <v>-43.257</v>
      </c>
      <c r="E114" s="20" t="n">
        <v>481.525</v>
      </c>
      <c r="F114" s="20" t="n">
        <v>-53.277</v>
      </c>
      <c r="G114" s="20" t="n">
        <v>456.684</v>
      </c>
      <c r="H114" s="20" t="n">
        <v>-8.119</v>
      </c>
      <c r="I114" s="20" t="n">
        <v>473.434</v>
      </c>
      <c r="J114" s="20" t="n">
        <v>-26.21</v>
      </c>
      <c r="K114" s="20" t="n">
        <v>430.56</v>
      </c>
      <c r="L114" s="20" t="n">
        <v>97.657</v>
      </c>
      <c r="M114" s="20" t="n">
        <v>516.2670000000001</v>
      </c>
      <c r="N114" s="20" t="n">
        <v>99.25700000000001</v>
      </c>
      <c r="T114" s="20" t="n">
        <v>-52.697</v>
      </c>
      <c r="U114" s="20" t="n">
        <v>-88.083</v>
      </c>
      <c r="V114" s="20" t="n">
        <v>-53.277</v>
      </c>
      <c r="W114" s="20" t="n">
        <v>-26.21</v>
      </c>
      <c r="X114" s="20" t="n">
        <v>99.25700000000001</v>
      </c>
    </row>
    <row r="115">
      <c r="A115" s="18" t="inlineStr">
        <is>
          <t>법인세 조정액</t>
        </is>
      </c>
      <c r="C115" s="20" t="n">
        <v>-150.94</v>
      </c>
      <c r="D115" s="20" t="n">
        <v>170.017</v>
      </c>
      <c r="E115" s="20" t="n">
        <v>-183.016</v>
      </c>
      <c r="F115" s="20" t="n">
        <v>144.201</v>
      </c>
      <c r="G115" s="20" t="n">
        <v>-162.596</v>
      </c>
      <c r="H115" s="20" t="n">
        <v>183.512</v>
      </c>
      <c r="I115" s="20" t="n">
        <v>-206.213</v>
      </c>
      <c r="J115" s="20" t="n">
        <v>180.903</v>
      </c>
      <c r="K115" s="20" t="n">
        <v>-199.913</v>
      </c>
      <c r="L115" s="20" t="n">
        <v>201.052</v>
      </c>
      <c r="M115" s="20" t="n">
        <v>-197.906</v>
      </c>
      <c r="N115" s="20" t="n">
        <v>156.138</v>
      </c>
      <c r="T115" s="20" t="n">
        <v>100.371</v>
      </c>
      <c r="U115" s="20" t="n">
        <v>122.069</v>
      </c>
      <c r="V115" s="20" t="n">
        <v>144.201</v>
      </c>
      <c r="W115" s="20" t="n">
        <v>180.903</v>
      </c>
      <c r="X115" s="20" t="n">
        <v>156.138</v>
      </c>
    </row>
    <row r="116">
      <c r="A116" s="18" t="inlineStr">
        <is>
          <t>법인세 등 합계</t>
        </is>
      </c>
      <c r="C116" s="20" t="n">
        <v>225.719</v>
      </c>
      <c r="D116" s="20" t="n">
        <v>126.76</v>
      </c>
      <c r="E116" s="20" t="n">
        <v>298.509</v>
      </c>
      <c r="F116" s="20" t="n">
        <v>90.92400000000001</v>
      </c>
      <c r="G116" s="20" t="n">
        <v>294.087</v>
      </c>
      <c r="H116" s="20" t="n">
        <v>175.395</v>
      </c>
      <c r="I116" s="20" t="n">
        <v>267.219</v>
      </c>
      <c r="J116" s="20" t="n">
        <v>154.694</v>
      </c>
      <c r="K116" s="20" t="n">
        <v>230.647</v>
      </c>
      <c r="L116" s="20" t="n">
        <v>298.709</v>
      </c>
      <c r="M116" s="20" t="n">
        <v>318.361</v>
      </c>
      <c r="N116" s="20" t="n">
        <v>255.395</v>
      </c>
      <c r="T116" s="20" t="n">
        <v>47.673</v>
      </c>
      <c r="U116" s="20" t="n">
        <v>33.986</v>
      </c>
      <c r="V116" s="20" t="n">
        <v>90.92400000000001</v>
      </c>
      <c r="W116" s="20" t="n">
        <v>154.694</v>
      </c>
      <c r="X116" s="20" t="n">
        <v>255.395</v>
      </c>
    </row>
    <row r="117">
      <c r="A117" s="9" t="inlineStr">
        <is>
          <t>순이익</t>
        </is>
      </c>
      <c r="C117" s="12" t="n">
        <v>300.792</v>
      </c>
      <c r="D117" s="12" t="n">
        <v>468.835</v>
      </c>
      <c r="E117" s="12" t="n">
        <v>381.856</v>
      </c>
      <c r="F117" s="12" t="n">
        <v>424.236</v>
      </c>
      <c r="G117" s="12" t="n">
        <v>481.273</v>
      </c>
      <c r="H117" s="12" t="n">
        <v>437.713</v>
      </c>
      <c r="I117" s="12" t="n">
        <v>396.174</v>
      </c>
      <c r="J117" s="12" t="n">
        <v>394.528</v>
      </c>
      <c r="K117" s="12" t="n">
        <v>356.971</v>
      </c>
      <c r="L117" s="12" t="n">
        <v>352.684</v>
      </c>
      <c r="M117" s="12" t="n">
        <v>538.008</v>
      </c>
      <c r="N117" s="12" t="n">
        <v>606.838</v>
      </c>
      <c r="T117" s="12" t="n">
        <v>248.652</v>
      </c>
      <c r="U117" s="12" t="n">
        <v>277.455</v>
      </c>
      <c r="V117" s="12" t="n">
        <v>424.236</v>
      </c>
      <c r="W117" s="12" t="n">
        <v>394.528</v>
      </c>
      <c r="X117" s="12" t="n">
        <v>606.838</v>
      </c>
    </row>
    <row r="118">
      <c r="A118" s="9" t="inlineStr">
        <is>
          <t>지배주주 순이익</t>
        </is>
      </c>
      <c r="C118" s="12" t="n">
        <v>300.792</v>
      </c>
      <c r="D118" s="12" t="n">
        <v>468.835</v>
      </c>
      <c r="E118" s="12" t="n">
        <v>381.856</v>
      </c>
      <c r="F118" s="12" t="n">
        <v>424.236</v>
      </c>
      <c r="G118" s="12" t="n">
        <v>481.273</v>
      </c>
      <c r="H118" s="12" t="n">
        <v>437.713</v>
      </c>
      <c r="I118" s="12" t="n">
        <v>396.174</v>
      </c>
      <c r="J118" s="12" t="n">
        <v>394.528</v>
      </c>
      <c r="K118" s="12" t="n">
        <v>356.971</v>
      </c>
      <c r="L118" s="12" t="n">
        <v>352.684</v>
      </c>
      <c r="M118" s="12" t="n">
        <v>538.008</v>
      </c>
      <c r="N118" s="12" t="n">
        <v>606.838</v>
      </c>
      <c r="T118" s="12" t="n">
        <v>248.652</v>
      </c>
      <c r="U118" s="12" t="n">
        <v>277.455</v>
      </c>
      <c r="V118" s="12" t="n">
        <v>424.236</v>
      </c>
      <c r="W118" s="12" t="n">
        <v>394.528</v>
      </c>
      <c r="X118" s="12" t="n">
        <v>606.838</v>
      </c>
    </row>
    <row r="120">
      <c r="A120" s="16" t="inlineStr">
        <is>
          <t>포괄손익 · 전 항목</t>
        </is>
      </c>
      <c r="B120" s="42" t="inlineStr">
        <is>
          <t>분기 = 3개월 단독</t>
        </is>
      </c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</row>
    <row r="121">
      <c r="A121" s="5" t="inlineStr">
        <is>
          <t>항목</t>
        </is>
      </c>
      <c r="B121" s="5" t="inlineStr">
        <is>
          <t>참고</t>
        </is>
      </c>
      <c r="C121" s="5" t="inlineStr">
        <is>
          <t>2024.1Q</t>
        </is>
      </c>
      <c r="D121" s="5" t="inlineStr">
        <is>
          <t>2024.2Q</t>
        </is>
      </c>
      <c r="E121" s="5" t="inlineStr">
        <is>
          <t>2024.3Q</t>
        </is>
      </c>
      <c r="F121" s="5" t="inlineStr">
        <is>
          <t>2024.4Q</t>
        </is>
      </c>
      <c r="G121" s="5" t="inlineStr">
        <is>
          <t>2025.1Q</t>
        </is>
      </c>
      <c r="H121" s="5" t="inlineStr">
        <is>
          <t>2025.2Q</t>
        </is>
      </c>
      <c r="I121" s="5" t="inlineStr">
        <is>
          <t>2025.3Q</t>
        </is>
      </c>
      <c r="J121" s="5" t="inlineStr">
        <is>
          <t>2025.4Q</t>
        </is>
      </c>
      <c r="K121" s="5" t="inlineStr">
        <is>
          <t>2026.1Q</t>
        </is>
      </c>
      <c r="L121" s="5" t="inlineStr">
        <is>
          <t>2026.2Q</t>
        </is>
      </c>
      <c r="M121" s="5" t="inlineStr">
        <is>
          <t>2026.3Q</t>
        </is>
      </c>
      <c r="N121" s="5" t="inlineStr">
        <is>
          <t>2026.4Q</t>
        </is>
      </c>
      <c r="O121" s="5" t="inlineStr">
        <is>
          <t>2017</t>
        </is>
      </c>
      <c r="P121" s="5" t="inlineStr">
        <is>
          <t>2018</t>
        </is>
      </c>
      <c r="Q121" s="5" t="inlineStr">
        <is>
          <t>2019</t>
        </is>
      </c>
      <c r="R121" s="5" t="inlineStr">
        <is>
          <t>2020</t>
        </is>
      </c>
      <c r="S121" s="5" t="inlineStr">
        <is>
          <t>2021</t>
        </is>
      </c>
      <c r="T121" s="5" t="inlineStr">
        <is>
          <t>2022</t>
        </is>
      </c>
      <c r="U121" s="5" t="inlineStr">
        <is>
          <t>2023</t>
        </is>
      </c>
      <c r="V121" s="5" t="inlineStr">
        <is>
          <t>2024</t>
        </is>
      </c>
      <c r="W121" s="5" t="inlineStr">
        <is>
          <t>2025</t>
        </is>
      </c>
      <c r="X121" s="5" t="inlineStr">
        <is>
          <t>2026</t>
        </is>
      </c>
      <c r="Y121" s="5" t="inlineStr">
        <is>
          <t>2027(MW)</t>
        </is>
      </c>
      <c r="Z121" s="5" t="inlineStr">
        <is>
          <t>2028(MW)</t>
        </is>
      </c>
      <c r="AA121" s="5" t="inlineStr">
        <is>
          <t>2029(MW)</t>
        </is>
      </c>
      <c r="AB121" s="5" t="inlineStr">
        <is>
          <t>2030(MW)</t>
        </is>
      </c>
      <c r="AC121" s="5" t="inlineStr">
        <is>
          <t>2031(MW)</t>
        </is>
      </c>
    </row>
    <row r="122">
      <c r="A122" s="9" t="inlineStr">
        <is>
          <t>순이익</t>
        </is>
      </c>
      <c r="C122" s="12" t="n">
        <v>300.792</v>
      </c>
      <c r="D122" s="12" t="n">
        <v>468.835</v>
      </c>
      <c r="E122" s="12" t="n">
        <v>381.856</v>
      </c>
      <c r="F122" s="12" t="n">
        <v>424.236</v>
      </c>
      <c r="G122" s="12" t="n">
        <v>481.273</v>
      </c>
      <c r="H122" s="12" t="n">
        <v>437.713</v>
      </c>
      <c r="I122" s="12" t="n">
        <v>396.174</v>
      </c>
      <c r="J122" s="12" t="n">
        <v>394.528</v>
      </c>
      <c r="K122" s="12" t="n">
        <v>356.971</v>
      </c>
      <c r="L122" s="12" t="n">
        <v>352.684</v>
      </c>
      <c r="M122" s="12" t="n">
        <v>538.008</v>
      </c>
      <c r="N122" s="12" t="n">
        <v>606.838</v>
      </c>
      <c r="T122" s="12" t="n">
        <v>248.652</v>
      </c>
      <c r="U122" s="12" t="n">
        <v>277.455</v>
      </c>
      <c r="V122" s="12" t="n">
        <v>424.236</v>
      </c>
      <c r="W122" s="12" t="n">
        <v>394.528</v>
      </c>
      <c r="X122" s="12" t="n">
        <v>606.838</v>
      </c>
    </row>
    <row r="123">
      <c r="A123" s="18" t="inlineStr">
        <is>
          <t>기타유가증권 평가차액</t>
        </is>
      </c>
      <c r="C123" s="20" t="n">
        <v>0</v>
      </c>
      <c r="D123" s="20" t="n">
        <v>-0.02</v>
      </c>
      <c r="E123" s="20" t="n">
        <v>0.002</v>
      </c>
      <c r="F123" s="20" t="n">
        <v>-0.015</v>
      </c>
      <c r="I123" s="20" t="n">
        <v>0</v>
      </c>
      <c r="J123" s="20" t="n">
        <v>0</v>
      </c>
      <c r="T123" s="20" t="n">
        <v>0.025</v>
      </c>
      <c r="U123" s="20" t="n">
        <v>-0.027</v>
      </c>
      <c r="V123" s="20" t="n">
        <v>-0.015</v>
      </c>
      <c r="W123" s="20" t="n">
        <v>0</v>
      </c>
    </row>
    <row r="124">
      <c r="A124" s="18" t="inlineStr">
        <is>
          <t>퇴직급여 조정액</t>
        </is>
      </c>
      <c r="C124" s="20" t="n">
        <v>-0.914</v>
      </c>
      <c r="D124" s="20" t="n">
        <v>-0.914</v>
      </c>
      <c r="E124" s="20" t="n">
        <v>-0.914</v>
      </c>
      <c r="F124" s="20" t="n">
        <v>1.56</v>
      </c>
      <c r="G124" s="20" t="n">
        <v>-0.618</v>
      </c>
      <c r="H124" s="20" t="n">
        <v>-0.619</v>
      </c>
      <c r="I124" s="20" t="n">
        <v>-0.618</v>
      </c>
      <c r="J124" s="20" t="n">
        <v>3.407</v>
      </c>
      <c r="K124" s="20" t="n">
        <v>-1.006</v>
      </c>
      <c r="L124" s="20" t="n">
        <v>-1.007</v>
      </c>
      <c r="M124" s="20" t="n">
        <v>-1.007</v>
      </c>
      <c r="N124" s="20" t="n">
        <v>5.276</v>
      </c>
      <c r="T124" s="20" t="n">
        <v>3.949</v>
      </c>
      <c r="U124" s="20" t="n">
        <v>2.68</v>
      </c>
      <c r="V124" s="20" t="n">
        <v>1.56</v>
      </c>
      <c r="W124" s="20" t="n">
        <v>3.407</v>
      </c>
      <c r="X124" s="20" t="n">
        <v>5.276</v>
      </c>
    </row>
    <row r="125">
      <c r="A125" s="18" t="inlineStr">
        <is>
          <t>기타포괄손익 합계</t>
        </is>
      </c>
      <c r="C125" s="20" t="n">
        <v>-0.914</v>
      </c>
      <c r="D125" s="20" t="n">
        <v>-0.9340000000000001</v>
      </c>
      <c r="E125" s="20" t="n">
        <v>-0.912</v>
      </c>
      <c r="F125" s="20" t="n">
        <v>1.544</v>
      </c>
      <c r="G125" s="20" t="n">
        <v>-0.618</v>
      </c>
      <c r="H125" s="20" t="n">
        <v>-0.619</v>
      </c>
      <c r="I125" s="20" t="n">
        <v>-0.618</v>
      </c>
      <c r="J125" s="20" t="n">
        <v>3.407</v>
      </c>
      <c r="K125" s="20" t="n">
        <v>-1.006</v>
      </c>
      <c r="L125" s="20" t="n">
        <v>-1.007</v>
      </c>
      <c r="M125" s="20" t="n">
        <v>-1.007</v>
      </c>
      <c r="N125" s="20" t="n">
        <v>5.276</v>
      </c>
      <c r="T125" s="20" t="n">
        <v>3.972</v>
      </c>
      <c r="U125" s="20" t="n">
        <v>2.652</v>
      </c>
      <c r="V125" s="20" t="n">
        <v>1.544</v>
      </c>
      <c r="W125" s="20" t="n">
        <v>3.407</v>
      </c>
      <c r="X125" s="20" t="n">
        <v>5.276</v>
      </c>
    </row>
    <row r="126">
      <c r="A126" s="9" t="inlineStr">
        <is>
          <t>포괄이익</t>
        </is>
      </c>
      <c r="C126" s="12" t="n">
        <v>299.878</v>
      </c>
      <c r="D126" s="12" t="n">
        <v>467.9</v>
      </c>
      <c r="E126" s="12" t="n">
        <v>380.944</v>
      </c>
      <c r="F126" s="12" t="n">
        <v>425.781</v>
      </c>
      <c r="G126" s="12" t="n">
        <v>480.654</v>
      </c>
      <c r="H126" s="12" t="n">
        <v>437.095</v>
      </c>
      <c r="I126" s="12" t="n">
        <v>395.556</v>
      </c>
      <c r="J126" s="12" t="n">
        <v>397.936</v>
      </c>
      <c r="K126" s="12" t="n">
        <v>355.964</v>
      </c>
      <c r="L126" s="12" t="n">
        <v>351.677</v>
      </c>
      <c r="M126" s="12" t="n">
        <v>537.001</v>
      </c>
      <c r="N126" s="12" t="n">
        <v>612.116</v>
      </c>
      <c r="T126" s="12" t="n">
        <v>252.625</v>
      </c>
      <c r="U126" s="12" t="n">
        <v>280.107</v>
      </c>
      <c r="V126" s="12" t="n">
        <v>425.781</v>
      </c>
      <c r="W126" s="12" t="n">
        <v>397.936</v>
      </c>
      <c r="X126" s="12" t="n">
        <v>612.116</v>
      </c>
    </row>
    <row r="127">
      <c r="A127" s="9" t="inlineStr">
        <is>
          <t>지배주주 포괄이익</t>
        </is>
      </c>
      <c r="C127" s="12" t="n">
        <v>299.878</v>
      </c>
      <c r="D127" s="12" t="n">
        <v>467.9</v>
      </c>
      <c r="E127" s="12" t="n">
        <v>380.944</v>
      </c>
      <c r="F127" s="12" t="n">
        <v>425.781</v>
      </c>
      <c r="G127" s="12" t="n">
        <v>480.654</v>
      </c>
      <c r="H127" s="12" t="n">
        <v>437.095</v>
      </c>
      <c r="I127" s="12" t="n">
        <v>395.556</v>
      </c>
      <c r="J127" s="12" t="n">
        <v>397.936</v>
      </c>
      <c r="K127" s="12" t="n">
        <v>355.964</v>
      </c>
      <c r="L127" s="12" t="n">
        <v>351.677</v>
      </c>
      <c r="M127" s="12" t="n">
        <v>537.001</v>
      </c>
      <c r="N127" s="12" t="n">
        <v>612.116</v>
      </c>
      <c r="T127" s="12" t="n">
        <v>252.625</v>
      </c>
      <c r="U127" s="12" t="n">
        <v>280.107</v>
      </c>
      <c r="V127" s="12" t="n">
        <v>425.781</v>
      </c>
      <c r="W127" s="12" t="n">
        <v>397.936</v>
      </c>
      <c r="X127" s="12" t="n">
        <v>612.116</v>
      </c>
    </row>
    <row r="129">
      <c r="A129" s="16" t="inlineStr">
        <is>
          <t>부문 · 전 항목</t>
        </is>
      </c>
      <c r="B129" s="42" t="inlineStr">
        <is>
          <t>부문 · 항목</t>
        </is>
      </c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</row>
    <row r="130">
      <c r="A130" s="5" t="inlineStr">
        <is>
          <t>항목</t>
        </is>
      </c>
      <c r="B130" s="5" t="inlineStr">
        <is>
          <t>참고</t>
        </is>
      </c>
      <c r="C130" s="5" t="inlineStr">
        <is>
          <t>2024.1Q</t>
        </is>
      </c>
      <c r="D130" s="5" t="inlineStr">
        <is>
          <t>2024.2Q</t>
        </is>
      </c>
      <c r="E130" s="5" t="inlineStr">
        <is>
          <t>2024.3Q</t>
        </is>
      </c>
      <c r="F130" s="5" t="inlineStr">
        <is>
          <t>2024.4Q</t>
        </is>
      </c>
      <c r="G130" s="5" t="inlineStr">
        <is>
          <t>2025.1Q</t>
        </is>
      </c>
      <c r="H130" s="5" t="inlineStr">
        <is>
          <t>2025.2Q</t>
        </is>
      </c>
      <c r="I130" s="5" t="inlineStr">
        <is>
          <t>2025.3Q</t>
        </is>
      </c>
      <c r="J130" s="5" t="inlineStr">
        <is>
          <t>2025.4Q</t>
        </is>
      </c>
      <c r="K130" s="5" t="inlineStr">
        <is>
          <t>2026.1Q</t>
        </is>
      </c>
      <c r="L130" s="5" t="inlineStr">
        <is>
          <t>2026.2Q</t>
        </is>
      </c>
      <c r="M130" s="5" t="inlineStr">
        <is>
          <t>2026.3Q</t>
        </is>
      </c>
      <c r="N130" s="5" t="inlineStr">
        <is>
          <t>2026.4Q</t>
        </is>
      </c>
      <c r="O130" s="5" t="inlineStr">
        <is>
          <t>2017</t>
        </is>
      </c>
      <c r="P130" s="5" t="inlineStr">
        <is>
          <t>2018</t>
        </is>
      </c>
      <c r="Q130" s="5" t="inlineStr">
        <is>
          <t>2019</t>
        </is>
      </c>
      <c r="R130" s="5" t="inlineStr">
        <is>
          <t>2020</t>
        </is>
      </c>
      <c r="S130" s="5" t="inlineStr">
        <is>
          <t>2021</t>
        </is>
      </c>
      <c r="T130" s="5" t="inlineStr">
        <is>
          <t>2022</t>
        </is>
      </c>
      <c r="U130" s="5" t="inlineStr">
        <is>
          <t>2023</t>
        </is>
      </c>
      <c r="V130" s="5" t="inlineStr">
        <is>
          <t>2024</t>
        </is>
      </c>
      <c r="W130" s="5" t="inlineStr">
        <is>
          <t>2025</t>
        </is>
      </c>
      <c r="X130" s="5" t="inlineStr">
        <is>
          <t>2026</t>
        </is>
      </c>
      <c r="Y130" s="5" t="inlineStr">
        <is>
          <t>2027(MW)</t>
        </is>
      </c>
      <c r="Z130" s="5" t="inlineStr">
        <is>
          <t>2028(MW)</t>
        </is>
      </c>
      <c r="AA130" s="5" t="inlineStr">
        <is>
          <t>2029(MW)</t>
        </is>
      </c>
      <c r="AB130" s="5" t="inlineStr">
        <is>
          <t>2030(MW)</t>
        </is>
      </c>
      <c r="AC130" s="5" t="inlineStr">
        <is>
          <t>2031(MW)</t>
        </is>
      </c>
    </row>
    <row r="131">
      <c r="A131" s="18" t="inlineStr">
        <is>
          <t>디지털 인티그레이션 · 외부 고객 매출</t>
        </is>
      </c>
      <c r="C131" s="20" t="n">
        <v>5141.159</v>
      </c>
      <c r="D131" s="20" t="n">
        <v>5225.432</v>
      </c>
      <c r="E131" s="20" t="n">
        <v>5375.381</v>
      </c>
      <c r="F131" s="20" t="n">
        <v>5600.856</v>
      </c>
      <c r="G131" s="20" t="n">
        <v>5984.453</v>
      </c>
      <c r="H131" s="20" t="n">
        <v>5859.253</v>
      </c>
      <c r="I131" s="20" t="n">
        <v>6016.325</v>
      </c>
      <c r="J131" s="20" t="n">
        <v>6020.985</v>
      </c>
      <c r="K131" s="20" t="n">
        <v>6034.524</v>
      </c>
      <c r="L131" s="20" t="n">
        <v>6005.667</v>
      </c>
      <c r="M131" s="20" t="n">
        <v>6211.759</v>
      </c>
      <c r="N131" s="20" t="n">
        <v>6368.684</v>
      </c>
      <c r="V131" s="20" t="n">
        <v>5600.856</v>
      </c>
      <c r="W131" s="20" t="n">
        <v>6020.985</v>
      </c>
      <c r="X131" s="20" t="n">
        <v>6368.684</v>
      </c>
    </row>
    <row r="132">
      <c r="A132" s="18" t="inlineStr">
        <is>
          <t>미도리 클라우드 · 외부 고객 매출</t>
        </is>
      </c>
      <c r="C132" s="20" t="n">
        <v>71.71599999999999</v>
      </c>
      <c r="D132" s="20" t="n">
        <v>79.54600000000001</v>
      </c>
      <c r="E132" s="20" t="n">
        <v>71.90900000000001</v>
      </c>
      <c r="F132" s="20" t="n">
        <v>15.067</v>
      </c>
      <c r="G132" s="20" t="n">
        <v>56.705</v>
      </c>
      <c r="H132" s="20" t="n">
        <v>79.646</v>
      </c>
      <c r="I132" s="20" t="n">
        <v>64.354</v>
      </c>
      <c r="J132" s="20" t="n">
        <v>34.357</v>
      </c>
      <c r="K132" s="20" t="n">
        <v>50.369</v>
      </c>
      <c r="L132" s="20" t="n">
        <v>65.742</v>
      </c>
      <c r="M132" s="20" t="n">
        <v>49.404</v>
      </c>
      <c r="N132" s="20" t="n">
        <v>73.782</v>
      </c>
      <c r="V132" s="20" t="n">
        <v>15.067</v>
      </c>
      <c r="W132" s="20" t="n">
        <v>34.357</v>
      </c>
      <c r="X132" s="20" t="n">
        <v>73.782</v>
      </c>
    </row>
    <row r="133">
      <c r="A133" s="18" t="inlineStr">
        <is>
          <t>기계설계 엔지니어링 · 외부 고객 매출</t>
        </is>
      </c>
      <c r="C133" s="20" t="n">
        <v>151.369</v>
      </c>
      <c r="F133" s="20" t="n">
        <v>155.383</v>
      </c>
      <c r="G133" s="20" t="n">
        <v>158.997</v>
      </c>
      <c r="J133" s="20" t="n">
        <v>175.642</v>
      </c>
      <c r="K133" s="20" t="n">
        <v>168.042</v>
      </c>
      <c r="N133" s="20" t="n">
        <v>164.414</v>
      </c>
      <c r="V133" s="20" t="n">
        <v>155.383</v>
      </c>
      <c r="W133" s="20" t="n">
        <v>175.642</v>
      </c>
      <c r="X133" s="20" t="n">
        <v>164.414</v>
      </c>
    </row>
    <row r="134">
      <c r="A134" s="18" t="inlineStr">
        <is>
          <t>보고부문 합계 · 외부 고객 매출</t>
        </is>
      </c>
      <c r="C134" s="20" t="n">
        <v>5364.245</v>
      </c>
      <c r="D134" s="20" t="n">
        <v>5461.196</v>
      </c>
      <c r="E134" s="20" t="n">
        <v>5624.848</v>
      </c>
      <c r="F134" s="20" t="n">
        <v>5771.306</v>
      </c>
      <c r="G134" s="20" t="n">
        <v>6200.156</v>
      </c>
      <c r="H134" s="20" t="n">
        <v>6095.34</v>
      </c>
      <c r="I134" s="20" t="n">
        <v>6250.015</v>
      </c>
      <c r="J134" s="20" t="n">
        <v>6230.983</v>
      </c>
      <c r="K134" s="20" t="n">
        <v>6252.936</v>
      </c>
      <c r="L134" s="20" t="n">
        <v>6236.857</v>
      </c>
      <c r="M134" s="20" t="n">
        <v>6420.965</v>
      </c>
      <c r="N134" s="20" t="n">
        <v>6606.88</v>
      </c>
      <c r="V134" s="20" t="n">
        <v>5771.306</v>
      </c>
      <c r="W134" s="20" t="n">
        <v>6230.983</v>
      </c>
      <c r="X134" s="20" t="n">
        <v>6606.88</v>
      </c>
    </row>
    <row r="135">
      <c r="A135" s="18" t="inlineStr">
        <is>
          <t>조정액 · 외부 고객 매출</t>
        </is>
      </c>
      <c r="C135" s="20" t="n">
        <v>0</v>
      </c>
      <c r="D135" s="20" t="n">
        <v>0</v>
      </c>
      <c r="E135" s="20" t="n">
        <v>0</v>
      </c>
      <c r="F135" s="20" t="n">
        <v>0</v>
      </c>
      <c r="G135" s="20" t="n">
        <v>0</v>
      </c>
      <c r="H135" s="20" t="n">
        <v>0</v>
      </c>
      <c r="I135" s="20" t="n">
        <v>0</v>
      </c>
      <c r="J135" s="20" t="n">
        <v>0</v>
      </c>
      <c r="K135" s="20" t="n">
        <v>0</v>
      </c>
      <c r="L135" s="20" t="n">
        <v>0</v>
      </c>
      <c r="M135" s="20" t="n">
        <v>0</v>
      </c>
      <c r="N135" s="20" t="n">
        <v>0</v>
      </c>
      <c r="V135" s="20" t="n">
        <v>0</v>
      </c>
      <c r="W135" s="20" t="n">
        <v>0</v>
      </c>
      <c r="X135" s="20" t="n">
        <v>0</v>
      </c>
    </row>
    <row r="136">
      <c r="A136" s="9" t="inlineStr">
        <is>
          <t>외부 고객 매출</t>
        </is>
      </c>
      <c r="C136" s="12" t="n">
        <v>5364.245</v>
      </c>
      <c r="D136" s="12" t="n">
        <v>5461.196</v>
      </c>
      <c r="E136" s="12" t="n">
        <v>5624.848</v>
      </c>
      <c r="F136" s="12" t="n">
        <v>5771.306</v>
      </c>
      <c r="G136" s="12" t="n">
        <v>6200.156</v>
      </c>
      <c r="H136" s="12" t="n">
        <v>6095.34</v>
      </c>
      <c r="I136" s="12" t="n">
        <v>6250.015</v>
      </c>
      <c r="J136" s="12" t="n">
        <v>6230.983</v>
      </c>
      <c r="K136" s="12" t="n">
        <v>6252.936</v>
      </c>
      <c r="L136" s="12" t="n">
        <v>6236.857</v>
      </c>
      <c r="M136" s="12" t="n">
        <v>6420.965</v>
      </c>
      <c r="N136" s="12" t="n">
        <v>6606.88</v>
      </c>
      <c r="V136" s="12" t="n">
        <v>5771.306</v>
      </c>
      <c r="W136" s="12" t="n">
        <v>6230.983</v>
      </c>
      <c r="X136" s="12" t="n">
        <v>6606.88</v>
      </c>
    </row>
    <row r="137">
      <c r="A137" s="18" t="inlineStr">
        <is>
          <t>디지털 인티그레이션 · 부문 간 내부매출·대체</t>
        </is>
      </c>
      <c r="C137" s="20" t="n">
        <v>0</v>
      </c>
      <c r="D137" s="20" t="n">
        <v>0</v>
      </c>
      <c r="E137" s="20" t="n">
        <v>0</v>
      </c>
      <c r="F137" s="20" t="n">
        <v>0</v>
      </c>
      <c r="G137" s="20" t="n">
        <v>0.142</v>
      </c>
      <c r="H137" s="20" t="n">
        <v>-0.142</v>
      </c>
      <c r="I137" s="20" t="n">
        <v>0</v>
      </c>
      <c r="J137" s="20" t="n">
        <v>0</v>
      </c>
      <c r="K137" s="20" t="n">
        <v>0</v>
      </c>
      <c r="L137" s="20" t="n">
        <v>0.457</v>
      </c>
      <c r="M137" s="20" t="n">
        <v>0.098</v>
      </c>
      <c r="N137" s="20" t="n">
        <v>0.049</v>
      </c>
      <c r="V137" s="20" t="n">
        <v>0</v>
      </c>
      <c r="W137" s="20" t="n">
        <v>0</v>
      </c>
      <c r="X137" s="20" t="n">
        <v>0.049</v>
      </c>
    </row>
    <row r="138">
      <c r="A138" s="18" t="inlineStr">
        <is>
          <t>미도리 클라우드 · 부문 간 내부매출·대체</t>
        </is>
      </c>
      <c r="C138" s="20" t="n">
        <v>0</v>
      </c>
      <c r="D138" s="20" t="n">
        <v>0</v>
      </c>
      <c r="E138" s="20" t="n">
        <v>0</v>
      </c>
      <c r="F138" s="20" t="n">
        <v>0</v>
      </c>
      <c r="G138" s="20" t="n">
        <v>0</v>
      </c>
      <c r="H138" s="20" t="n">
        <v>0</v>
      </c>
      <c r="I138" s="20" t="n">
        <v>0</v>
      </c>
      <c r="J138" s="20" t="n">
        <v>0</v>
      </c>
      <c r="K138" s="20" t="n">
        <v>0</v>
      </c>
      <c r="L138" s="20" t="n">
        <v>0</v>
      </c>
      <c r="M138" s="20" t="n">
        <v>0</v>
      </c>
      <c r="N138" s="20" t="n">
        <v>0</v>
      </c>
      <c r="V138" s="20" t="n">
        <v>0</v>
      </c>
      <c r="W138" s="20" t="n">
        <v>0</v>
      </c>
      <c r="X138" s="20" t="n">
        <v>0</v>
      </c>
    </row>
    <row r="139">
      <c r="A139" s="18" t="inlineStr">
        <is>
          <t>기계설계 엔지니어링 · 부문 간 내부매출·대체</t>
        </is>
      </c>
      <c r="C139" s="20" t="n">
        <v>19.001</v>
      </c>
      <c r="F139" s="20" t="n">
        <v>26.963</v>
      </c>
      <c r="G139" s="20" t="n">
        <v>29.145</v>
      </c>
      <c r="J139" s="20" t="n">
        <v>33.607</v>
      </c>
      <c r="K139" s="20" t="n">
        <v>37.69</v>
      </c>
      <c r="N139" s="20" t="n">
        <v>33.046</v>
      </c>
      <c r="V139" s="20" t="n">
        <v>26.963</v>
      </c>
      <c r="W139" s="20" t="n">
        <v>33.607</v>
      </c>
      <c r="X139" s="20" t="n">
        <v>33.046</v>
      </c>
    </row>
    <row r="140">
      <c r="A140" s="18" t="inlineStr">
        <is>
          <t>보고부문 합계 · 부문 간 내부매출·대체</t>
        </is>
      </c>
      <c r="C140" s="20" t="n">
        <v>19.001</v>
      </c>
      <c r="D140" s="20" t="n">
        <v>29.311</v>
      </c>
      <c r="E140" s="20" t="n">
        <v>29.235</v>
      </c>
      <c r="F140" s="20" t="n">
        <v>26.963</v>
      </c>
      <c r="G140" s="20" t="n">
        <v>29.287</v>
      </c>
      <c r="H140" s="20" t="n">
        <v>29.784</v>
      </c>
      <c r="I140" s="20" t="n">
        <v>33.096</v>
      </c>
      <c r="J140" s="20" t="n">
        <v>33.607</v>
      </c>
      <c r="K140" s="20" t="n">
        <v>37.69</v>
      </c>
      <c r="L140" s="20" t="n">
        <v>37.094</v>
      </c>
      <c r="M140" s="20" t="n">
        <v>34.911</v>
      </c>
      <c r="N140" s="20" t="n">
        <v>33.094</v>
      </c>
      <c r="V140" s="20" t="n">
        <v>26.963</v>
      </c>
      <c r="W140" s="20" t="n">
        <v>33.607</v>
      </c>
      <c r="X140" s="20" t="n">
        <v>33.094</v>
      </c>
    </row>
    <row r="141">
      <c r="A141" s="18" t="inlineStr">
        <is>
          <t>조정액 · 부문 간 내부매출·대체</t>
        </is>
      </c>
      <c r="C141" s="20" t="n">
        <v>-19.001</v>
      </c>
      <c r="D141" s="20" t="n">
        <v>-29.311</v>
      </c>
      <c r="E141" s="20" t="n">
        <v>-29.235</v>
      </c>
      <c r="F141" s="20" t="n">
        <v>-26.963</v>
      </c>
      <c r="G141" s="20" t="n">
        <v>-29.287</v>
      </c>
      <c r="H141" s="20" t="n">
        <v>-29.784</v>
      </c>
      <c r="I141" s="20" t="n">
        <v>-33.096</v>
      </c>
      <c r="J141" s="20" t="n">
        <v>-33.607</v>
      </c>
      <c r="K141" s="20" t="n">
        <v>-37.69</v>
      </c>
      <c r="L141" s="20" t="n">
        <v>-37.094</v>
      </c>
      <c r="M141" s="20" t="n">
        <v>-34.911</v>
      </c>
      <c r="N141" s="20" t="n">
        <v>-33.094</v>
      </c>
      <c r="V141" s="20" t="n">
        <v>-26.963</v>
      </c>
      <c r="W141" s="20" t="n">
        <v>-33.607</v>
      </c>
      <c r="X141" s="20" t="n">
        <v>-33.094</v>
      </c>
    </row>
    <row r="142">
      <c r="A142" s="18" t="inlineStr">
        <is>
          <t>부문 간 내부매출·대체</t>
        </is>
      </c>
      <c r="C142" s="20" t="n">
        <v>0</v>
      </c>
      <c r="D142" s="20" t="n">
        <v>0</v>
      </c>
      <c r="E142" s="20" t="n">
        <v>0</v>
      </c>
      <c r="F142" s="20" t="n">
        <v>0</v>
      </c>
      <c r="G142" s="20" t="n">
        <v>0</v>
      </c>
      <c r="H142" s="20" t="n">
        <v>0</v>
      </c>
      <c r="I142" s="20" t="n">
        <v>0</v>
      </c>
      <c r="J142" s="20" t="n">
        <v>0</v>
      </c>
      <c r="K142" s="20" t="n">
        <v>0</v>
      </c>
      <c r="L142" s="20" t="n">
        <v>0</v>
      </c>
      <c r="M142" s="20" t="n">
        <v>0</v>
      </c>
      <c r="N142" s="20" t="n">
        <v>0</v>
      </c>
      <c r="V142" s="20" t="n">
        <v>0</v>
      </c>
      <c r="W142" s="20" t="n">
        <v>0</v>
      </c>
      <c r="X142" s="20" t="n">
        <v>0</v>
      </c>
    </row>
    <row r="143">
      <c r="A143" s="18" t="inlineStr">
        <is>
          <t>디지털 인티그레이션 · 계</t>
        </is>
      </c>
      <c r="C143" s="20" t="n">
        <v>5141.159</v>
      </c>
      <c r="D143" s="20" t="n">
        <v>5225.432</v>
      </c>
      <c r="E143" s="20" t="n">
        <v>5375.381</v>
      </c>
      <c r="F143" s="20" t="n">
        <v>5600.856</v>
      </c>
      <c r="G143" s="20" t="n">
        <v>5984.595</v>
      </c>
      <c r="H143" s="20" t="n">
        <v>5859.111</v>
      </c>
      <c r="I143" s="20" t="n">
        <v>6016.325</v>
      </c>
      <c r="J143" s="20" t="n">
        <v>6020.985</v>
      </c>
      <c r="K143" s="20" t="n">
        <v>6034.524</v>
      </c>
      <c r="L143" s="20" t="n">
        <v>6006.125</v>
      </c>
      <c r="M143" s="20" t="n">
        <v>6211.856</v>
      </c>
      <c r="N143" s="20" t="n">
        <v>6368.734</v>
      </c>
      <c r="V143" s="20" t="n">
        <v>5600.856</v>
      </c>
      <c r="W143" s="20" t="n">
        <v>6020.985</v>
      </c>
      <c r="X143" s="20" t="n">
        <v>6368.734</v>
      </c>
    </row>
    <row r="144">
      <c r="A144" s="18" t="inlineStr">
        <is>
          <t>미도리 클라우드 · 계</t>
        </is>
      </c>
      <c r="C144" s="20" t="n">
        <v>71.71599999999999</v>
      </c>
      <c r="D144" s="20" t="n">
        <v>79.54600000000001</v>
      </c>
      <c r="E144" s="20" t="n">
        <v>71.90900000000001</v>
      </c>
      <c r="F144" s="20" t="n">
        <v>15.067</v>
      </c>
      <c r="G144" s="20" t="n">
        <v>56.705</v>
      </c>
      <c r="H144" s="20" t="n">
        <v>79.646</v>
      </c>
      <c r="I144" s="20" t="n">
        <v>64.354</v>
      </c>
      <c r="J144" s="20" t="n">
        <v>34.357</v>
      </c>
      <c r="K144" s="20" t="n">
        <v>50.369</v>
      </c>
      <c r="L144" s="20" t="n">
        <v>65.742</v>
      </c>
      <c r="M144" s="20" t="n">
        <v>49.404</v>
      </c>
      <c r="N144" s="20" t="n">
        <v>73.782</v>
      </c>
      <c r="V144" s="20" t="n">
        <v>15.067</v>
      </c>
      <c r="W144" s="20" t="n">
        <v>34.357</v>
      </c>
      <c r="X144" s="20" t="n">
        <v>73.782</v>
      </c>
    </row>
    <row r="145">
      <c r="A145" s="18" t="inlineStr">
        <is>
          <t>기계설계 엔지니어링 · 계</t>
        </is>
      </c>
      <c r="C145" s="20" t="n">
        <v>170.371</v>
      </c>
      <c r="F145" s="20" t="n">
        <v>182.346</v>
      </c>
      <c r="G145" s="20" t="n">
        <v>188.142</v>
      </c>
      <c r="J145" s="20" t="n">
        <v>209.249</v>
      </c>
      <c r="K145" s="20" t="n">
        <v>205.733</v>
      </c>
      <c r="N145" s="20" t="n">
        <v>197.459</v>
      </c>
      <c r="V145" s="20" t="n">
        <v>182.346</v>
      </c>
      <c r="W145" s="20" t="n">
        <v>209.249</v>
      </c>
      <c r="X145" s="20" t="n">
        <v>197.459</v>
      </c>
    </row>
    <row r="146">
      <c r="A146" s="18" t="inlineStr">
        <is>
          <t>보고부문 합계 · 계</t>
        </is>
      </c>
      <c r="C146" s="20" t="n">
        <v>5383.247</v>
      </c>
      <c r="D146" s="20" t="n">
        <v>5490.506</v>
      </c>
      <c r="E146" s="20" t="n">
        <v>5654.083</v>
      </c>
      <c r="F146" s="20" t="n">
        <v>5798.269</v>
      </c>
      <c r="G146" s="20" t="n">
        <v>6229.443</v>
      </c>
      <c r="H146" s="20" t="n">
        <v>6125.124</v>
      </c>
      <c r="I146" s="20" t="n">
        <v>6283.111</v>
      </c>
      <c r="J146" s="20" t="n">
        <v>6264.591</v>
      </c>
      <c r="K146" s="20" t="n">
        <v>6290.627</v>
      </c>
      <c r="L146" s="20" t="n">
        <v>6273.951</v>
      </c>
      <c r="M146" s="20" t="n">
        <v>6455.875</v>
      </c>
      <c r="N146" s="20" t="n">
        <v>6639.975</v>
      </c>
      <c r="V146" s="20" t="n">
        <v>5798.269</v>
      </c>
      <c r="W146" s="20" t="n">
        <v>6264.591</v>
      </c>
      <c r="X146" s="20" t="n">
        <v>6639.975</v>
      </c>
    </row>
    <row r="147">
      <c r="A147" s="18" t="inlineStr">
        <is>
          <t>조정액 · 계</t>
        </is>
      </c>
      <c r="C147" s="20" t="n">
        <v>-19.001</v>
      </c>
      <c r="D147" s="20" t="n">
        <v>-29.311</v>
      </c>
      <c r="E147" s="20" t="n">
        <v>-29.235</v>
      </c>
      <c r="F147" s="20" t="n">
        <v>-26.963</v>
      </c>
      <c r="G147" s="20" t="n">
        <v>-29.287</v>
      </c>
      <c r="H147" s="20" t="n">
        <v>-29.784</v>
      </c>
      <c r="I147" s="20" t="n">
        <v>-33.096</v>
      </c>
      <c r="J147" s="20" t="n">
        <v>-33.607</v>
      </c>
      <c r="K147" s="20" t="n">
        <v>-37.69</v>
      </c>
      <c r="L147" s="20" t="n">
        <v>-37.094</v>
      </c>
      <c r="M147" s="20" t="n">
        <v>-34.911</v>
      </c>
      <c r="N147" s="20" t="n">
        <v>-33.094</v>
      </c>
      <c r="V147" s="20" t="n">
        <v>-26.963</v>
      </c>
      <c r="W147" s="20" t="n">
        <v>-33.607</v>
      </c>
      <c r="X147" s="20" t="n">
        <v>-33.094</v>
      </c>
    </row>
    <row r="148">
      <c r="A148" s="9" t="inlineStr">
        <is>
          <t>계</t>
        </is>
      </c>
      <c r="C148" s="12" t="n">
        <v>5364.245</v>
      </c>
      <c r="D148" s="12" t="n">
        <v>5461.196</v>
      </c>
      <c r="E148" s="12" t="n">
        <v>5624.848</v>
      </c>
      <c r="F148" s="12" t="n">
        <v>5771.306</v>
      </c>
      <c r="G148" s="12" t="n">
        <v>6200.156</v>
      </c>
      <c r="H148" s="12" t="n">
        <v>6095.34</v>
      </c>
      <c r="I148" s="12" t="n">
        <v>6250.015</v>
      </c>
      <c r="J148" s="12" t="n">
        <v>6230.983</v>
      </c>
      <c r="K148" s="12" t="n">
        <v>6252.936</v>
      </c>
      <c r="L148" s="12" t="n">
        <v>6236.857</v>
      </c>
      <c r="M148" s="12" t="n">
        <v>6420.965</v>
      </c>
      <c r="N148" s="12" t="n">
        <v>6606.88</v>
      </c>
      <c r="V148" s="12" t="n">
        <v>5771.306</v>
      </c>
      <c r="W148" s="12" t="n">
        <v>6230.983</v>
      </c>
      <c r="X148" s="12" t="n">
        <v>6606.88</v>
      </c>
    </row>
    <row r="149">
      <c r="A149" s="18" t="inlineStr">
        <is>
          <t>디지털 인티그레이션 · 부문 이익(손실)</t>
        </is>
      </c>
      <c r="C149" s="20" t="n">
        <v>531.7</v>
      </c>
      <c r="D149" s="20" t="n">
        <v>590.192</v>
      </c>
      <c r="E149" s="20" t="n">
        <v>666.691</v>
      </c>
      <c r="F149" s="20" t="n">
        <v>531.845</v>
      </c>
      <c r="G149" s="20" t="n">
        <v>787.124</v>
      </c>
      <c r="H149" s="20" t="n">
        <v>612.688</v>
      </c>
      <c r="I149" s="20" t="n">
        <v>654.971</v>
      </c>
      <c r="J149" s="20" t="n">
        <v>557.15</v>
      </c>
      <c r="K149" s="20" t="n">
        <v>605.553</v>
      </c>
      <c r="L149" s="20" t="n">
        <v>628.628</v>
      </c>
      <c r="M149" s="20" t="n">
        <v>828.345</v>
      </c>
      <c r="N149" s="20" t="n">
        <v>819.307</v>
      </c>
      <c r="V149" s="20" t="n">
        <v>531.845</v>
      </c>
      <c r="W149" s="20" t="n">
        <v>557.15</v>
      </c>
      <c r="X149" s="20" t="n">
        <v>819.307</v>
      </c>
    </row>
    <row r="150">
      <c r="A150" s="18" t="inlineStr">
        <is>
          <t>미도리 클라우드 · 부문 이익(손실)</t>
        </is>
      </c>
      <c r="C150" s="20" t="n">
        <v>-18.185</v>
      </c>
      <c r="D150" s="20" t="n">
        <v>-9.847</v>
      </c>
      <c r="E150" s="20" t="n">
        <v>-22.113</v>
      </c>
      <c r="F150" s="20" t="n">
        <v>-59.027</v>
      </c>
      <c r="G150" s="20" t="n">
        <v>-24.484</v>
      </c>
      <c r="H150" s="20" t="n">
        <v>-24.834</v>
      </c>
      <c r="I150" s="20" t="n">
        <v>-29.076</v>
      </c>
      <c r="J150" s="20" t="n">
        <v>-40.416</v>
      </c>
      <c r="K150" s="20" t="n">
        <v>-43.041</v>
      </c>
      <c r="L150" s="20" t="n">
        <v>-26.981</v>
      </c>
      <c r="M150" s="20" t="n">
        <v>-29.13</v>
      </c>
      <c r="N150" s="20" t="n">
        <v>3.231</v>
      </c>
      <c r="V150" s="20" t="n">
        <v>-59.027</v>
      </c>
      <c r="W150" s="20" t="n">
        <v>-40.416</v>
      </c>
      <c r="X150" s="20" t="n">
        <v>3.231</v>
      </c>
    </row>
    <row r="151">
      <c r="A151" s="18" t="inlineStr">
        <is>
          <t>기계설계 엔지니어링 · 부문 이익(손실)</t>
        </is>
      </c>
      <c r="C151" s="20" t="n">
        <v>8.31</v>
      </c>
      <c r="F151" s="20" t="n">
        <v>9.253</v>
      </c>
      <c r="G151" s="20" t="n">
        <v>5.785</v>
      </c>
      <c r="J151" s="20" t="n">
        <v>19.51</v>
      </c>
      <c r="K151" s="20" t="n">
        <v>14.834</v>
      </c>
      <c r="N151" s="20" t="n">
        <v>17.848</v>
      </c>
      <c r="V151" s="20" t="n">
        <v>9.253</v>
      </c>
      <c r="W151" s="20" t="n">
        <v>19.51</v>
      </c>
      <c r="X151" s="20" t="n">
        <v>17.848</v>
      </c>
    </row>
    <row r="152">
      <c r="A152" s="18" t="inlineStr">
        <is>
          <t>보고부문 합계 · 부문 이익(손실)</t>
        </is>
      </c>
      <c r="C152" s="20" t="n">
        <v>521.826</v>
      </c>
      <c r="D152" s="20" t="n">
        <v>589.304</v>
      </c>
      <c r="E152" s="20" t="n">
        <v>662.942</v>
      </c>
      <c r="F152" s="20" t="n">
        <v>482.071</v>
      </c>
      <c r="G152" s="20" t="n">
        <v>768.425</v>
      </c>
      <c r="H152" s="20" t="n">
        <v>586.484</v>
      </c>
      <c r="I152" s="20" t="n">
        <v>638.9880000000001</v>
      </c>
      <c r="J152" s="20" t="n">
        <v>536.2430000000001</v>
      </c>
      <c r="K152" s="20" t="n">
        <v>577.345</v>
      </c>
      <c r="L152" s="20" t="n">
        <v>614.871</v>
      </c>
      <c r="M152" s="20" t="n">
        <v>812.75</v>
      </c>
      <c r="N152" s="20" t="n">
        <v>840.385</v>
      </c>
      <c r="V152" s="20" t="n">
        <v>482.071</v>
      </c>
      <c r="W152" s="20" t="n">
        <v>536.2430000000001</v>
      </c>
      <c r="X152" s="20" t="n">
        <v>840.385</v>
      </c>
    </row>
    <row r="153">
      <c r="A153" s="18" t="inlineStr">
        <is>
          <t>조정액 · 부문 이익(손실)</t>
        </is>
      </c>
      <c r="C153" s="20" t="n">
        <v>3.3</v>
      </c>
      <c r="D153" s="20" t="n">
        <v>4.68</v>
      </c>
      <c r="E153" s="20" t="n">
        <v>4.68</v>
      </c>
      <c r="F153" s="20" t="n">
        <v>5.058</v>
      </c>
      <c r="G153" s="20" t="n">
        <v>0.553</v>
      </c>
      <c r="H153" s="20" t="n">
        <v>9.785</v>
      </c>
      <c r="I153" s="20" t="n">
        <v>4.998</v>
      </c>
      <c r="J153" s="20" t="n">
        <v>5.217</v>
      </c>
      <c r="K153" s="20" t="n">
        <v>4.999</v>
      </c>
      <c r="L153" s="20" t="n">
        <v>4.649</v>
      </c>
      <c r="M153" s="20" t="n">
        <v>4.776</v>
      </c>
      <c r="N153" s="20" t="n">
        <v>4.776</v>
      </c>
      <c r="V153" s="20" t="n">
        <v>5.058</v>
      </c>
      <c r="W153" s="20" t="n">
        <v>5.217</v>
      </c>
      <c r="X153" s="20" t="n">
        <v>4.776</v>
      </c>
    </row>
    <row r="154">
      <c r="A154" s="9" t="inlineStr">
        <is>
          <t>부문 이익(손실)</t>
        </is>
      </c>
      <c r="C154" s="12" t="n">
        <v>525.126</v>
      </c>
      <c r="D154" s="12" t="n">
        <v>593.984</v>
      </c>
      <c r="E154" s="12" t="n">
        <v>667.622</v>
      </c>
      <c r="F154" s="12" t="n">
        <v>487.13</v>
      </c>
      <c r="G154" s="12" t="n">
        <v>768.978</v>
      </c>
      <c r="H154" s="12" t="n">
        <v>596.269</v>
      </c>
      <c r="I154" s="12" t="n">
        <v>643.986</v>
      </c>
      <c r="J154" s="12" t="n">
        <v>541.46</v>
      </c>
      <c r="K154" s="12" t="n">
        <v>582.345</v>
      </c>
      <c r="L154" s="12" t="n">
        <v>619.519</v>
      </c>
      <c r="M154" s="12" t="n">
        <v>817.526</v>
      </c>
      <c r="N154" s="12" t="n">
        <v>845.1609999999999</v>
      </c>
      <c r="V154" s="12" t="n">
        <v>487.13</v>
      </c>
      <c r="W154" s="12" t="n">
        <v>541.46</v>
      </c>
      <c r="X154" s="12" t="n">
        <v>845.1609999999999</v>
      </c>
    </row>
    <row r="156">
      <c r="A156" s="16" t="inlineStr">
        <is>
          <t>현금흐름표 · 전 항목</t>
        </is>
      </c>
      <c r="B156" s="42" t="inlineStr">
        <is>
          <t>분기 = 결산기 첫날부터 누계(공시 그대로)</t>
        </is>
      </c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</row>
    <row r="157">
      <c r="A157" s="5" t="inlineStr">
        <is>
          <t>항목</t>
        </is>
      </c>
      <c r="B157" s="5" t="inlineStr">
        <is>
          <t>참고</t>
        </is>
      </c>
      <c r="C157" s="5" t="inlineStr">
        <is>
          <t>2024.1Q</t>
        </is>
      </c>
      <c r="D157" s="5" t="inlineStr">
        <is>
          <t>2024.2Q</t>
        </is>
      </c>
      <c r="E157" s="5" t="inlineStr">
        <is>
          <t>2024.3Q</t>
        </is>
      </c>
      <c r="F157" s="5" t="inlineStr">
        <is>
          <t>2024.4Q</t>
        </is>
      </c>
      <c r="G157" s="5" t="inlineStr">
        <is>
          <t>2025.1Q</t>
        </is>
      </c>
      <c r="H157" s="5" t="inlineStr">
        <is>
          <t>2025.2Q</t>
        </is>
      </c>
      <c r="I157" s="5" t="inlineStr">
        <is>
          <t>2025.3Q</t>
        </is>
      </c>
      <c r="J157" s="5" t="inlineStr">
        <is>
          <t>2025.4Q</t>
        </is>
      </c>
      <c r="K157" s="5" t="inlineStr">
        <is>
          <t>2026.1Q</t>
        </is>
      </c>
      <c r="L157" s="5" t="inlineStr">
        <is>
          <t>2026.2Q</t>
        </is>
      </c>
      <c r="M157" s="5" t="inlineStr">
        <is>
          <t>2026.3Q</t>
        </is>
      </c>
      <c r="N157" s="5" t="inlineStr">
        <is>
          <t>2026.4Q</t>
        </is>
      </c>
      <c r="O157" s="5" t="inlineStr">
        <is>
          <t>2017</t>
        </is>
      </c>
      <c r="P157" s="5" t="inlineStr">
        <is>
          <t>2018</t>
        </is>
      </c>
      <c r="Q157" s="5" t="inlineStr">
        <is>
          <t>2019</t>
        </is>
      </c>
      <c r="R157" s="5" t="inlineStr">
        <is>
          <t>2020</t>
        </is>
      </c>
      <c r="S157" s="5" t="inlineStr">
        <is>
          <t>2021</t>
        </is>
      </c>
      <c r="T157" s="5" t="inlineStr">
        <is>
          <t>2022</t>
        </is>
      </c>
      <c r="U157" s="5" t="inlineStr">
        <is>
          <t>2023</t>
        </is>
      </c>
      <c r="V157" s="5" t="inlineStr">
        <is>
          <t>2024</t>
        </is>
      </c>
      <c r="W157" s="5" t="inlineStr">
        <is>
          <t>2025</t>
        </is>
      </c>
      <c r="X157" s="5" t="inlineStr">
        <is>
          <t>2026</t>
        </is>
      </c>
      <c r="Y157" s="5" t="inlineStr">
        <is>
          <t>2027(MW)</t>
        </is>
      </c>
      <c r="Z157" s="5" t="inlineStr">
        <is>
          <t>2028(MW)</t>
        </is>
      </c>
      <c r="AA157" s="5" t="inlineStr">
        <is>
          <t>2029(MW)</t>
        </is>
      </c>
      <c r="AB157" s="5" t="inlineStr">
        <is>
          <t>2030(MW)</t>
        </is>
      </c>
      <c r="AC157" s="5" t="inlineStr">
        <is>
          <t>2031(MW)</t>
        </is>
      </c>
    </row>
    <row r="158">
      <c r="A158" s="9" t="inlineStr">
        <is>
          <t>법인세차감전 순이익</t>
        </is>
      </c>
      <c r="D158" s="12" t="n">
        <v>1122.106</v>
      </c>
      <c r="F158" s="12" t="n">
        <v>2317.631</v>
      </c>
      <c r="H158" s="12" t="n">
        <v>1388.468</v>
      </c>
      <c r="J158" s="12" t="n">
        <v>2601.084</v>
      </c>
      <c r="L158" s="12" t="n">
        <v>1239.011</v>
      </c>
      <c r="N158" s="12" t="n">
        <v>2957.613</v>
      </c>
      <c r="P158" s="12" t="n">
        <v>487.636</v>
      </c>
      <c r="Q158" s="12" t="n">
        <v>699.37</v>
      </c>
      <c r="R158" s="12" t="n">
        <v>1063.22</v>
      </c>
      <c r="S158" s="12" t="n">
        <v>1820.624</v>
      </c>
      <c r="T158" s="12" t="n">
        <v>1423.146</v>
      </c>
      <c r="U158" s="12" t="n">
        <v>2147.083</v>
      </c>
      <c r="V158" s="12" t="n">
        <v>2317.631</v>
      </c>
      <c r="W158" s="12" t="n">
        <v>2601.084</v>
      </c>
      <c r="X158" s="12" t="n">
        <v>2957.613</v>
      </c>
    </row>
    <row r="159">
      <c r="A159" s="18" t="inlineStr">
        <is>
          <t>감가상각비</t>
        </is>
      </c>
      <c r="D159" s="20" t="n">
        <v>20.778</v>
      </c>
      <c r="F159" s="20" t="n">
        <v>46.23</v>
      </c>
      <c r="H159" s="20" t="n">
        <v>25.939</v>
      </c>
      <c r="J159" s="20" t="n">
        <v>53.04</v>
      </c>
      <c r="L159" s="20" t="n">
        <v>28.079</v>
      </c>
      <c r="N159" s="20" t="n">
        <v>62.683</v>
      </c>
      <c r="P159" s="20" t="n">
        <v>32.968</v>
      </c>
      <c r="Q159" s="20" t="n">
        <v>32.774</v>
      </c>
      <c r="R159" s="20" t="n">
        <v>25.381</v>
      </c>
      <c r="S159" s="20" t="n">
        <v>31.545</v>
      </c>
      <c r="T159" s="20" t="n">
        <v>47.725</v>
      </c>
      <c r="U159" s="20" t="n">
        <v>39.888</v>
      </c>
      <c r="V159" s="20" t="n">
        <v>46.23</v>
      </c>
      <c r="W159" s="20" t="n">
        <v>53.04</v>
      </c>
      <c r="X159" s="20" t="n">
        <v>62.683</v>
      </c>
    </row>
    <row r="160">
      <c r="A160" s="18" t="inlineStr">
        <is>
          <t>손상차손</t>
        </is>
      </c>
      <c r="P160" s="20" t="n">
        <v>37.219</v>
      </c>
      <c r="Q160" s="20" t="n">
        <v>36.138</v>
      </c>
      <c r="R160" s="20" t="n">
        <v>13.825</v>
      </c>
      <c r="S160" s="20" t="n">
        <v>0</v>
      </c>
    </row>
    <row r="161">
      <c r="A161" s="18" t="inlineStr">
        <is>
          <t>영업권 상각</t>
        </is>
      </c>
      <c r="D161" s="20" t="n">
        <v>0</v>
      </c>
      <c r="F161" s="20" t="n">
        <v>3.791</v>
      </c>
      <c r="H161" s="20" t="n">
        <v>12.861</v>
      </c>
      <c r="J161" s="20" t="n">
        <v>25.723</v>
      </c>
      <c r="L161" s="20" t="n">
        <v>12.861</v>
      </c>
      <c r="N161" s="20" t="n">
        <v>25.723</v>
      </c>
      <c r="P161" s="20" t="n">
        <v>2.281</v>
      </c>
      <c r="Q161" s="20" t="n">
        <v>9.124000000000001</v>
      </c>
      <c r="R161" s="20" t="n">
        <v>9.124000000000001</v>
      </c>
      <c r="S161" s="20" t="n">
        <v>9.124000000000001</v>
      </c>
      <c r="T161" s="20" t="n">
        <v>9.124000000000001</v>
      </c>
      <c r="U161" s="20" t="n">
        <v>6.843</v>
      </c>
      <c r="V161" s="20" t="n">
        <v>3.791</v>
      </c>
      <c r="W161" s="20" t="n">
        <v>25.723</v>
      </c>
      <c r="X161" s="20" t="n">
        <v>25.723</v>
      </c>
    </row>
    <row r="162">
      <c r="A162" s="18" t="inlineStr">
        <is>
          <t>주식보상비용</t>
        </is>
      </c>
      <c r="F162" s="20" t="n">
        <v>0</v>
      </c>
      <c r="T162" s="20" t="n">
        <v>0</v>
      </c>
      <c r="U162" s="20" t="n">
        <v>31.736</v>
      </c>
      <c r="V162" s="20" t="n">
        <v>0</v>
      </c>
    </row>
    <row r="163">
      <c r="A163" s="18" t="inlineStr">
        <is>
          <t>주식급여 충당금 증감</t>
        </is>
      </c>
      <c r="F163" s="20" t="n">
        <v>0</v>
      </c>
      <c r="J163" s="20" t="n">
        <v>55.525</v>
      </c>
      <c r="N163" s="20" t="n">
        <v>-8.465999999999999</v>
      </c>
      <c r="V163" s="20" t="n">
        <v>0</v>
      </c>
      <c r="W163" s="20" t="n">
        <v>55.525</v>
      </c>
      <c r="X163" s="20" t="n">
        <v>-8.465999999999999</v>
      </c>
    </row>
    <row r="164">
      <c r="A164" s="18" t="inlineStr">
        <is>
          <t>대손충당금 증감</t>
        </is>
      </c>
      <c r="D164" s="20" t="n">
        <v>0</v>
      </c>
      <c r="F164" s="20" t="n">
        <v>0.28</v>
      </c>
      <c r="H164" s="20" t="n">
        <v>4.31</v>
      </c>
      <c r="J164" s="20" t="n">
        <v>4.496</v>
      </c>
      <c r="L164" s="20" t="n">
        <v>0.127</v>
      </c>
      <c r="N164" s="20" t="n">
        <v>-0.121</v>
      </c>
      <c r="P164" s="20" t="n">
        <v>2.404</v>
      </c>
      <c r="Q164" s="20" t="n">
        <v>0.147</v>
      </c>
      <c r="R164" s="20" t="n">
        <v>1.435</v>
      </c>
      <c r="S164" s="20" t="n">
        <v>-1.483</v>
      </c>
      <c r="T164" s="20" t="n">
        <v>-0.985</v>
      </c>
      <c r="U164" s="20" t="n">
        <v>-0.079</v>
      </c>
      <c r="V164" s="20" t="n">
        <v>0.28</v>
      </c>
      <c r="W164" s="20" t="n">
        <v>4.496</v>
      </c>
      <c r="X164" s="20" t="n">
        <v>-0.121</v>
      </c>
    </row>
    <row r="165">
      <c r="A165" s="18" t="inlineStr">
        <is>
          <t>상여충당금 증감</t>
        </is>
      </c>
      <c r="D165" s="20" t="n">
        <v>-9.276</v>
      </c>
      <c r="F165" s="20" t="n">
        <v>92.464</v>
      </c>
      <c r="H165" s="20" t="n">
        <v>-76.648</v>
      </c>
      <c r="J165" s="20" t="n">
        <v>-57.313</v>
      </c>
      <c r="L165" s="20" t="n">
        <v>10.187</v>
      </c>
      <c r="N165" s="20" t="n">
        <v>56.974</v>
      </c>
      <c r="P165" s="20" t="n">
        <v>76.876</v>
      </c>
      <c r="Q165" s="20" t="n">
        <v>196.688</v>
      </c>
      <c r="R165" s="20" t="n">
        <v>92.34399999999999</v>
      </c>
      <c r="S165" s="20" t="n">
        <v>117.854</v>
      </c>
      <c r="T165" s="20" t="n">
        <v>155.135</v>
      </c>
      <c r="U165" s="20" t="n">
        <v>193.022</v>
      </c>
      <c r="V165" s="20" t="n">
        <v>92.464</v>
      </c>
      <c r="W165" s="20" t="n">
        <v>-57.313</v>
      </c>
      <c r="X165" s="20" t="n">
        <v>56.974</v>
      </c>
    </row>
    <row r="166">
      <c r="A166" s="18" t="inlineStr">
        <is>
          <t>퇴직급여부채 증감</t>
        </is>
      </c>
      <c r="D166" s="20" t="n">
        <v>-6.56</v>
      </c>
      <c r="F166" s="20" t="n">
        <v>-12.639</v>
      </c>
      <c r="H166" s="20" t="n">
        <v>-4.187</v>
      </c>
      <c r="J166" s="20" t="n">
        <v>-9.423999999999999</v>
      </c>
      <c r="L166" s="20" t="n">
        <v>-5.074</v>
      </c>
      <c r="N166" s="20" t="n">
        <v>-10.099</v>
      </c>
      <c r="P166" s="20" t="n">
        <v>27.233</v>
      </c>
      <c r="Q166" s="20" t="n">
        <v>26.381</v>
      </c>
      <c r="R166" s="20" t="n">
        <v>20.795</v>
      </c>
      <c r="S166" s="20" t="n">
        <v>-6.737</v>
      </c>
      <c r="T166" s="20" t="n">
        <v>-14.088</v>
      </c>
      <c r="U166" s="20" t="n">
        <v>-11.119</v>
      </c>
      <c r="V166" s="20" t="n">
        <v>-12.639</v>
      </c>
      <c r="W166" s="20" t="n">
        <v>-9.423999999999999</v>
      </c>
      <c r="X166" s="20" t="n">
        <v>-10.099</v>
      </c>
    </row>
    <row r="167">
      <c r="A167" s="18" t="inlineStr">
        <is>
          <t>이자·배당금 수익</t>
        </is>
      </c>
      <c r="D167" s="20" t="n">
        <v>-0.8169999999999999</v>
      </c>
      <c r="F167" s="20" t="n">
        <v>-1.806</v>
      </c>
      <c r="H167" s="20" t="n">
        <v>-2.89</v>
      </c>
      <c r="J167" s="20" t="n">
        <v>-9.384</v>
      </c>
      <c r="L167" s="20" t="n">
        <v>-8.874000000000001</v>
      </c>
      <c r="N167" s="20" t="n">
        <v>-20.369</v>
      </c>
      <c r="P167" s="20" t="n">
        <v>-0.025</v>
      </c>
      <c r="Q167" s="20" t="n">
        <v>-1.954</v>
      </c>
      <c r="R167" s="20" t="n">
        <v>-2.038</v>
      </c>
      <c r="S167" s="20" t="n">
        <v>-1.619</v>
      </c>
      <c r="T167" s="20" t="n">
        <v>-1.622</v>
      </c>
      <c r="U167" s="20" t="n">
        <v>-1.635</v>
      </c>
      <c r="V167" s="20" t="n">
        <v>-1.806</v>
      </c>
      <c r="W167" s="20" t="n">
        <v>-9.384</v>
      </c>
      <c r="X167" s="20" t="n">
        <v>-20.369</v>
      </c>
    </row>
    <row r="168">
      <c r="A168" s="18" t="inlineStr">
        <is>
          <t>보조금 수입</t>
        </is>
      </c>
      <c r="D168" s="20" t="n">
        <v>0</v>
      </c>
      <c r="F168" s="20" t="n">
        <v>-26.093</v>
      </c>
      <c r="H168" s="20" t="n">
        <v>-15.127</v>
      </c>
      <c r="J168" s="20" t="n">
        <v>-32.798</v>
      </c>
      <c r="L168" s="20" t="n">
        <v>-25.324</v>
      </c>
      <c r="N168" s="20" t="n">
        <v>-25.324</v>
      </c>
      <c r="U168" s="20" t="n">
        <v>0</v>
      </c>
      <c r="V168" s="20" t="n">
        <v>-26.093</v>
      </c>
      <c r="W168" s="20" t="n">
        <v>-32.798</v>
      </c>
      <c r="X168" s="20" t="n">
        <v>-25.324</v>
      </c>
    </row>
    <row r="169">
      <c r="A169" s="18" t="inlineStr">
        <is>
          <t>보조금 수입</t>
        </is>
      </c>
      <c r="D169" s="20" t="n">
        <v>-4.49</v>
      </c>
      <c r="F169" s="20" t="n">
        <v>-14.319</v>
      </c>
      <c r="H169" s="20" t="n">
        <v>0</v>
      </c>
      <c r="J169" s="20" t="n">
        <v>0</v>
      </c>
      <c r="N169" s="20" t="n">
        <v>-2.902</v>
      </c>
      <c r="Q169" s="20" t="n">
        <v>0</v>
      </c>
      <c r="R169" s="20" t="n">
        <v>-31.091</v>
      </c>
      <c r="S169" s="20" t="n">
        <v>-471.61</v>
      </c>
      <c r="T169" s="20" t="n">
        <v>-543.0410000000001</v>
      </c>
      <c r="U169" s="20" t="n">
        <v>-201.82</v>
      </c>
      <c r="V169" s="20" t="n">
        <v>-14.319</v>
      </c>
      <c r="W169" s="20" t="n">
        <v>0</v>
      </c>
      <c r="X169" s="20" t="n">
        <v>-2.902</v>
      </c>
    </row>
    <row r="170">
      <c r="A170" s="18" t="inlineStr">
        <is>
          <t>지급수수료</t>
        </is>
      </c>
      <c r="F170" s="20" t="n">
        <v>1.048</v>
      </c>
      <c r="H170" s="20" t="n">
        <v>0</v>
      </c>
      <c r="J170" s="20" t="n">
        <v>2.358</v>
      </c>
      <c r="L170" s="20" t="n">
        <v>0.9330000000000001</v>
      </c>
      <c r="N170" s="20" t="n">
        <v>1.186</v>
      </c>
      <c r="U170" s="20" t="n">
        <v>0</v>
      </c>
      <c r="V170" s="20" t="n">
        <v>1.048</v>
      </c>
      <c r="W170" s="20" t="n">
        <v>2.358</v>
      </c>
      <c r="X170" s="20" t="n">
        <v>1.186</v>
      </c>
    </row>
    <row r="171">
      <c r="A171" s="18" t="inlineStr">
        <is>
          <t>신주예약권 환입이익</t>
        </is>
      </c>
      <c r="D171" s="20" t="n">
        <v>-0.353</v>
      </c>
      <c r="F171" s="20" t="n">
        <v>-6.094</v>
      </c>
      <c r="H171" s="20" t="n">
        <v>-0.019</v>
      </c>
      <c r="J171" s="20" t="n">
        <v>-2.262</v>
      </c>
      <c r="L171" s="20" t="n">
        <v>-0.955</v>
      </c>
      <c r="N171" s="20" t="n">
        <v>-1.074</v>
      </c>
      <c r="T171" s="20" t="n">
        <v>0</v>
      </c>
      <c r="U171" s="20" t="n">
        <v>-0.372</v>
      </c>
      <c r="V171" s="20" t="n">
        <v>-6.094</v>
      </c>
      <c r="W171" s="20" t="n">
        <v>-2.262</v>
      </c>
      <c r="X171" s="20" t="n">
        <v>-1.074</v>
      </c>
    </row>
    <row r="172">
      <c r="A172" s="18" t="inlineStr">
        <is>
          <t>투자유가증권 평가손익</t>
        </is>
      </c>
      <c r="D172" s="20" t="n">
        <v>3.339</v>
      </c>
      <c r="F172" s="20" t="n">
        <v>5.445</v>
      </c>
      <c r="H172" s="20" t="n">
        <v>0</v>
      </c>
      <c r="J172" s="20" t="n">
        <v>0</v>
      </c>
      <c r="Q172" s="20" t="n">
        <v>0</v>
      </c>
      <c r="R172" s="20" t="n">
        <v>88.429</v>
      </c>
      <c r="S172" s="20" t="n">
        <v>15.669</v>
      </c>
      <c r="T172" s="20" t="n">
        <v>10.711</v>
      </c>
      <c r="U172" s="20" t="n">
        <v>9.284000000000001</v>
      </c>
      <c r="V172" s="20" t="n">
        <v>5.445</v>
      </c>
      <c r="W172" s="20" t="n">
        <v>0</v>
      </c>
    </row>
    <row r="173">
      <c r="A173" s="18" t="inlineStr">
        <is>
          <t>이자비용</t>
        </is>
      </c>
      <c r="D173" s="20" t="n">
        <v>0.473</v>
      </c>
      <c r="F173" s="20" t="n">
        <v>0.848</v>
      </c>
      <c r="H173" s="20" t="n">
        <v>0.262</v>
      </c>
      <c r="J173" s="20" t="n">
        <v>0.425</v>
      </c>
      <c r="L173" s="20" t="n">
        <v>0.094</v>
      </c>
      <c r="N173" s="20" t="n">
        <v>0.121</v>
      </c>
      <c r="P173" s="20" t="n">
        <v>0.863</v>
      </c>
      <c r="Q173" s="20" t="n">
        <v>0.8159999999999999</v>
      </c>
      <c r="R173" s="20" t="n">
        <v>2.252</v>
      </c>
      <c r="S173" s="20" t="n">
        <v>4.039</v>
      </c>
      <c r="T173" s="20" t="n">
        <v>3.512</v>
      </c>
      <c r="U173" s="20" t="n">
        <v>2.211</v>
      </c>
      <c r="V173" s="20" t="n">
        <v>0.848</v>
      </c>
      <c r="W173" s="20" t="n">
        <v>0.425</v>
      </c>
      <c r="X173" s="20" t="n">
        <v>0.121</v>
      </c>
    </row>
    <row r="174">
      <c r="A174" s="18" t="inlineStr">
        <is>
          <t>고정자산 제각손실</t>
        </is>
      </c>
      <c r="D174" s="20" t="n">
        <v>0</v>
      </c>
      <c r="F174" s="20" t="n">
        <v>0.726</v>
      </c>
      <c r="H174" s="20" t="n">
        <v>0.215</v>
      </c>
      <c r="J174" s="20" t="n">
        <v>0.215</v>
      </c>
      <c r="L174" s="20" t="n">
        <v>0</v>
      </c>
      <c r="N174" s="20" t="n">
        <v>0</v>
      </c>
      <c r="P174" s="20" t="n">
        <v>0</v>
      </c>
      <c r="Q174" s="20" t="n">
        <v>1.921</v>
      </c>
      <c r="R174" s="20" t="n">
        <v>0</v>
      </c>
      <c r="S174" s="20" t="n">
        <v>0.571</v>
      </c>
      <c r="T174" s="20" t="n">
        <v>0.606</v>
      </c>
      <c r="U174" s="20" t="n">
        <v>0.504</v>
      </c>
      <c r="V174" s="20" t="n">
        <v>0.726</v>
      </c>
      <c r="W174" s="20" t="n">
        <v>0.215</v>
      </c>
      <c r="X174" s="20" t="n">
        <v>0</v>
      </c>
    </row>
    <row r="175">
      <c r="A175" s="18" t="inlineStr">
        <is>
          <t>관계회사 주식 평가손실</t>
        </is>
      </c>
      <c r="P175" s="20" t="n">
        <v>0.858</v>
      </c>
      <c r="Q175" s="20" t="n">
        <v>0</v>
      </c>
    </row>
    <row r="176">
      <c r="A176" s="18" t="inlineStr">
        <is>
          <t>고정자산 매각이익</t>
        </is>
      </c>
      <c r="H176" s="20" t="n">
        <v>0</v>
      </c>
      <c r="L176" s="20" t="n">
        <v>-0.425</v>
      </c>
    </row>
    <row r="177">
      <c r="A177" s="18" t="inlineStr">
        <is>
          <t>투자유가증권 매각손익</t>
        </is>
      </c>
      <c r="J177" s="20" t="n">
        <v>0</v>
      </c>
      <c r="N177" s="20" t="n">
        <v>-31.999</v>
      </c>
      <c r="W177" s="20" t="n">
        <v>0</v>
      </c>
      <c r="X177" s="20" t="n">
        <v>-31.999</v>
      </c>
    </row>
    <row r="178">
      <c r="A178" s="18" t="inlineStr">
        <is>
          <t>매출채권 증감</t>
        </is>
      </c>
      <c r="D178" s="20" t="n">
        <v>-15.157</v>
      </c>
      <c r="F178" s="20" t="n">
        <v>-121.317</v>
      </c>
      <c r="H178" s="20" t="n">
        <v>-179.428</v>
      </c>
      <c r="J178" s="20" t="n">
        <v>-98.324</v>
      </c>
      <c r="L178" s="20" t="n">
        <v>1.401</v>
      </c>
      <c r="N178" s="20" t="n">
        <v>-136.9</v>
      </c>
      <c r="P178" s="20" t="n">
        <v>-126.784</v>
      </c>
      <c r="Q178" s="20" t="n">
        <v>-433.428</v>
      </c>
      <c r="R178" s="20" t="n">
        <v>-229.556</v>
      </c>
      <c r="S178" s="20" t="n">
        <v>5.706</v>
      </c>
      <c r="T178" s="20" t="n">
        <v>-515.633</v>
      </c>
      <c r="U178" s="20" t="n">
        <v>-225.364</v>
      </c>
      <c r="V178" s="20" t="n">
        <v>-121.317</v>
      </c>
      <c r="W178" s="20" t="n">
        <v>-98.324</v>
      </c>
      <c r="X178" s="20" t="n">
        <v>-136.9</v>
      </c>
    </row>
    <row r="179">
      <c r="A179" s="18" t="inlineStr">
        <is>
          <t>재고자산 증감</t>
        </is>
      </c>
      <c r="D179" s="20" t="n">
        <v>11.83</v>
      </c>
      <c r="F179" s="20" t="n">
        <v>-165.598</v>
      </c>
      <c r="H179" s="20" t="n">
        <v>193.993</v>
      </c>
      <c r="J179" s="20" t="n">
        <v>170.497</v>
      </c>
      <c r="L179" s="20" t="n">
        <v>19.921</v>
      </c>
      <c r="N179" s="20" t="n">
        <v>45.378</v>
      </c>
      <c r="P179" s="20" t="n">
        <v>2.189</v>
      </c>
      <c r="Q179" s="20" t="n">
        <v>-6.474</v>
      </c>
      <c r="R179" s="20" t="n">
        <v>-9.6</v>
      </c>
      <c r="S179" s="20" t="n">
        <v>-39.5</v>
      </c>
      <c r="T179" s="20" t="n">
        <v>9.75</v>
      </c>
      <c r="U179" s="20" t="n">
        <v>-9.297000000000001</v>
      </c>
      <c r="V179" s="20" t="n">
        <v>-165.598</v>
      </c>
      <c r="W179" s="20" t="n">
        <v>170.497</v>
      </c>
      <c r="X179" s="20" t="n">
        <v>45.378</v>
      </c>
    </row>
    <row r="180">
      <c r="A180" s="18" t="inlineStr">
        <is>
          <t>선급비용 증감</t>
        </is>
      </c>
      <c r="D180" s="20" t="n">
        <v>-42.482</v>
      </c>
      <c r="F180" s="20" t="n">
        <v>15.065</v>
      </c>
      <c r="H180" s="20" t="n">
        <v>-93.631</v>
      </c>
      <c r="J180" s="20" t="n">
        <v>-33.258</v>
      </c>
      <c r="L180" s="20" t="n">
        <v>-60.028</v>
      </c>
      <c r="N180" s="20" t="n">
        <v>7.646</v>
      </c>
      <c r="Q180" s="20" t="n">
        <v>-6.521</v>
      </c>
      <c r="R180" s="20" t="n">
        <v>-39.692</v>
      </c>
      <c r="S180" s="20" t="n">
        <v>-33.645</v>
      </c>
      <c r="T180" s="20" t="n">
        <v>-3.19</v>
      </c>
      <c r="U180" s="20" t="n">
        <v>-23.96</v>
      </c>
      <c r="V180" s="20" t="n">
        <v>15.065</v>
      </c>
      <c r="W180" s="20" t="n">
        <v>-33.258</v>
      </c>
      <c r="X180" s="20" t="n">
        <v>7.646</v>
      </c>
    </row>
    <row r="181">
      <c r="A181" s="18" t="inlineStr">
        <is>
          <t>매입채무 증감</t>
        </is>
      </c>
      <c r="D181" s="20" t="n">
        <v>6.571</v>
      </c>
      <c r="F181" s="20" t="n">
        <v>123.678</v>
      </c>
      <c r="H181" s="20" t="n">
        <v>12.578</v>
      </c>
      <c r="J181" s="20" t="n">
        <v>70.267</v>
      </c>
      <c r="L181" s="20" t="n">
        <v>11.459</v>
      </c>
      <c r="N181" s="20" t="n">
        <v>44.574</v>
      </c>
      <c r="P181" s="20" t="n">
        <v>-4.538</v>
      </c>
      <c r="Q181" s="20" t="n">
        <v>21.466</v>
      </c>
      <c r="R181" s="20" t="n">
        <v>17.574</v>
      </c>
      <c r="S181" s="20" t="n">
        <v>53.753</v>
      </c>
      <c r="T181" s="20" t="n">
        <v>48.513</v>
      </c>
      <c r="U181" s="20" t="n">
        <v>-29.187</v>
      </c>
      <c r="V181" s="20" t="n">
        <v>123.678</v>
      </c>
      <c r="W181" s="20" t="n">
        <v>70.267</v>
      </c>
      <c r="X181" s="20" t="n">
        <v>44.574</v>
      </c>
    </row>
    <row r="182">
      <c r="A182" s="18" t="inlineStr">
        <is>
          <t>미지급금 증감</t>
        </is>
      </c>
      <c r="D182" s="20" t="n">
        <v>-97.777</v>
      </c>
      <c r="F182" s="20" t="n">
        <v>-14.897</v>
      </c>
      <c r="H182" s="20" t="n">
        <v>-81.176</v>
      </c>
      <c r="J182" s="20" t="n">
        <v>12.631</v>
      </c>
      <c r="L182" s="20" t="n">
        <v>-72.246</v>
      </c>
      <c r="N182" s="20" t="n">
        <v>-125.468</v>
      </c>
      <c r="P182" s="20" t="n">
        <v>102.936</v>
      </c>
      <c r="Q182" s="20" t="n">
        <v>169.342</v>
      </c>
      <c r="R182" s="20" t="n">
        <v>116.946</v>
      </c>
      <c r="S182" s="20" t="n">
        <v>258.57</v>
      </c>
      <c r="T182" s="20" t="n">
        <v>62.757</v>
      </c>
      <c r="U182" s="20" t="n">
        <v>186.589</v>
      </c>
      <c r="V182" s="20" t="n">
        <v>-14.897</v>
      </c>
      <c r="W182" s="20" t="n">
        <v>12.631</v>
      </c>
      <c r="X182" s="20" t="n">
        <v>-125.468</v>
      </c>
    </row>
    <row r="183">
      <c r="A183" s="18" t="inlineStr">
        <is>
          <t>미지급 소비세 증감</t>
        </is>
      </c>
      <c r="D183" s="20" t="n">
        <v>-212.64</v>
      </c>
      <c r="F183" s="20" t="n">
        <v>-161.788</v>
      </c>
      <c r="H183" s="20" t="n">
        <v>-35.506</v>
      </c>
      <c r="J183" s="20" t="n">
        <v>-0.864</v>
      </c>
      <c r="L183" s="20" t="n">
        <v>-78.39100000000001</v>
      </c>
      <c r="N183" s="20" t="n">
        <v>-52.268</v>
      </c>
      <c r="P183" s="20" t="n">
        <v>48.098</v>
      </c>
      <c r="Q183" s="20" t="n">
        <v>70.661</v>
      </c>
      <c r="R183" s="20" t="n">
        <v>240.585</v>
      </c>
      <c r="S183" s="20" t="n">
        <v>-189.22</v>
      </c>
      <c r="T183" s="20" t="n">
        <v>93.45699999999999</v>
      </c>
      <c r="U183" s="20" t="n">
        <v>132.828</v>
      </c>
      <c r="V183" s="20" t="n">
        <v>-161.788</v>
      </c>
      <c r="W183" s="20" t="n">
        <v>-0.864</v>
      </c>
      <c r="X183" s="20" t="n">
        <v>-52.268</v>
      </c>
    </row>
    <row r="184">
      <c r="A184" s="18" t="inlineStr">
        <is>
          <t>기타</t>
        </is>
      </c>
      <c r="D184" s="20" t="n">
        <v>-52.496</v>
      </c>
      <c r="F184" s="20" t="n">
        <v>65.05</v>
      </c>
      <c r="H184" s="20" t="n">
        <v>-49.962</v>
      </c>
      <c r="J184" s="20" t="n">
        <v>53.829</v>
      </c>
      <c r="L184" s="20" t="n">
        <v>-97.973</v>
      </c>
      <c r="N184" s="20" t="n">
        <v>-70.374</v>
      </c>
      <c r="P184" s="20" t="n">
        <v>30.033</v>
      </c>
      <c r="Q184" s="20" t="n">
        <v>94.306</v>
      </c>
      <c r="R184" s="20" t="n">
        <v>4.809</v>
      </c>
      <c r="S184" s="20" t="n">
        <v>-9.163</v>
      </c>
      <c r="T184" s="20" t="n">
        <v>39.674</v>
      </c>
      <c r="U184" s="20" t="n">
        <v>54.421</v>
      </c>
      <c r="V184" s="20" t="n">
        <v>65.05</v>
      </c>
      <c r="W184" s="20" t="n">
        <v>53.829</v>
      </c>
      <c r="X184" s="20" t="n">
        <v>-70.374</v>
      </c>
    </row>
    <row r="185">
      <c r="A185" s="18" t="inlineStr">
        <is>
          <t>소계</t>
        </is>
      </c>
      <c r="D185" s="20" t="n">
        <v>723.046</v>
      </c>
      <c r="F185" s="20" t="n">
        <v>2147.709</v>
      </c>
      <c r="H185" s="20" t="n">
        <v>1100.051</v>
      </c>
      <c r="J185" s="20" t="n">
        <v>2806.465</v>
      </c>
      <c r="L185" s="20" t="n">
        <v>974.784</v>
      </c>
      <c r="N185" s="20" t="n">
        <v>2716.532</v>
      </c>
      <c r="P185" s="20" t="n">
        <v>720.251</v>
      </c>
      <c r="Q185" s="20" t="n">
        <v>910.7619999999999</v>
      </c>
      <c r="R185" s="20" t="n">
        <v>1384.744</v>
      </c>
      <c r="S185" s="20" t="n">
        <v>1564.479</v>
      </c>
      <c r="T185" s="20" t="n">
        <v>825.554</v>
      </c>
      <c r="U185" s="20" t="n">
        <v>2301.575</v>
      </c>
      <c r="V185" s="20" t="n">
        <v>2147.709</v>
      </c>
      <c r="W185" s="20" t="n">
        <v>2806.465</v>
      </c>
      <c r="X185" s="20" t="n">
        <v>2716.532</v>
      </c>
    </row>
    <row r="186">
      <c r="A186" s="18" t="inlineStr">
        <is>
          <t>이자·배당금 수취</t>
        </is>
      </c>
      <c r="D186" s="20" t="n">
        <v>0.694</v>
      </c>
      <c r="F186" s="20" t="n">
        <v>1.792</v>
      </c>
      <c r="H186" s="20" t="n">
        <v>2.448</v>
      </c>
      <c r="J186" s="20" t="n">
        <v>7.947</v>
      </c>
      <c r="L186" s="20" t="n">
        <v>7.717</v>
      </c>
      <c r="N186" s="20" t="n">
        <v>17.451</v>
      </c>
      <c r="P186" s="20" t="n">
        <v>0.025</v>
      </c>
      <c r="Q186" s="20" t="n">
        <v>1.954</v>
      </c>
      <c r="R186" s="20" t="n">
        <v>1.448</v>
      </c>
      <c r="S186" s="20" t="n">
        <v>1.371</v>
      </c>
      <c r="T186" s="20" t="n">
        <v>1.374</v>
      </c>
      <c r="U186" s="20" t="n">
        <v>1.385</v>
      </c>
      <c r="V186" s="20" t="n">
        <v>1.792</v>
      </c>
      <c r="W186" s="20" t="n">
        <v>7.947</v>
      </c>
      <c r="X186" s="20" t="n">
        <v>17.451</v>
      </c>
    </row>
    <row r="187">
      <c r="A187" s="18" t="inlineStr">
        <is>
          <t>이자 지급</t>
        </is>
      </c>
      <c r="D187" s="20" t="n">
        <v>-0.468</v>
      </c>
      <c r="F187" s="20" t="n">
        <v>-0.741</v>
      </c>
      <c r="H187" s="20" t="n">
        <v>-0.187</v>
      </c>
      <c r="J187" s="20" t="n">
        <v>-0.337</v>
      </c>
      <c r="L187" s="20" t="n">
        <v>-0.08500000000000001</v>
      </c>
      <c r="N187" s="20" t="n">
        <v>-0.102</v>
      </c>
      <c r="P187" s="20" t="n">
        <v>-0.876</v>
      </c>
      <c r="Q187" s="20" t="n">
        <v>-0.798</v>
      </c>
      <c r="R187" s="20" t="n">
        <v>-2.62</v>
      </c>
      <c r="S187" s="20" t="n">
        <v>-4.012</v>
      </c>
      <c r="T187" s="20" t="n">
        <v>-3.436</v>
      </c>
      <c r="U187" s="20" t="n">
        <v>-1.97</v>
      </c>
      <c r="V187" s="20" t="n">
        <v>-0.741</v>
      </c>
      <c r="W187" s="20" t="n">
        <v>-0.337</v>
      </c>
      <c r="X187" s="20" t="n">
        <v>-0.102</v>
      </c>
    </row>
    <row r="188">
      <c r="A188" s="18" t="inlineStr">
        <is>
          <t>보조금 수취</t>
        </is>
      </c>
      <c r="D188" s="20" t="n">
        <v>4.49</v>
      </c>
      <c r="F188" s="20" t="n">
        <v>14.319</v>
      </c>
      <c r="H188" s="20" t="n">
        <v>0</v>
      </c>
      <c r="J188" s="20" t="n">
        <v>0</v>
      </c>
      <c r="N188" s="20" t="n">
        <v>2.902</v>
      </c>
      <c r="Q188" s="20" t="n">
        <v>0</v>
      </c>
      <c r="R188" s="20" t="n">
        <v>31.091</v>
      </c>
      <c r="S188" s="20" t="n">
        <v>471.61</v>
      </c>
      <c r="T188" s="20" t="n">
        <v>543.0410000000001</v>
      </c>
      <c r="U188" s="20" t="n">
        <v>201.82</v>
      </c>
      <c r="V188" s="20" t="n">
        <v>14.319</v>
      </c>
      <c r="W188" s="20" t="n">
        <v>0</v>
      </c>
      <c r="X188" s="20" t="n">
        <v>2.902</v>
      </c>
    </row>
    <row r="189">
      <c r="A189" s="18" t="inlineStr">
        <is>
          <t>보조금 수취</t>
        </is>
      </c>
      <c r="D189" s="20" t="n">
        <v>0</v>
      </c>
      <c r="F189" s="20" t="n">
        <v>26.093</v>
      </c>
      <c r="H189" s="20" t="n">
        <v>15.127</v>
      </c>
      <c r="J189" s="20" t="n">
        <v>32.798</v>
      </c>
      <c r="L189" s="20" t="n">
        <v>25.324</v>
      </c>
      <c r="N189" s="20" t="n">
        <v>25.324</v>
      </c>
      <c r="U189" s="20" t="n">
        <v>0</v>
      </c>
      <c r="V189" s="20" t="n">
        <v>26.093</v>
      </c>
      <c r="W189" s="20" t="n">
        <v>32.798</v>
      </c>
      <c r="X189" s="20" t="n">
        <v>25.324</v>
      </c>
    </row>
    <row r="190">
      <c r="A190" s="18" t="inlineStr">
        <is>
          <t>법인세 납부</t>
        </is>
      </c>
      <c r="D190" s="20" t="n">
        <v>-469.123</v>
      </c>
      <c r="F190" s="20" t="n">
        <v>-832.061</v>
      </c>
      <c r="H190" s="20" t="n">
        <v>-412.072</v>
      </c>
      <c r="J190" s="20" t="n">
        <v>-793.427</v>
      </c>
      <c r="L190" s="20" t="n">
        <v>-506.932</v>
      </c>
      <c r="N190" s="20" t="n">
        <v>-953.716</v>
      </c>
      <c r="P190" s="20" t="n">
        <v>-157.305</v>
      </c>
      <c r="Q190" s="20" t="n">
        <v>-256.861</v>
      </c>
      <c r="R190" s="20" t="n">
        <v>-419.133</v>
      </c>
      <c r="S190" s="20" t="n">
        <v>-565.587</v>
      </c>
      <c r="T190" s="20" t="n">
        <v>-662.051</v>
      </c>
      <c r="U190" s="20" t="n">
        <v>-475.056</v>
      </c>
      <c r="V190" s="20" t="n">
        <v>-832.061</v>
      </c>
      <c r="W190" s="20" t="n">
        <v>-793.427</v>
      </c>
      <c r="X190" s="20" t="n">
        <v>-953.716</v>
      </c>
    </row>
    <row r="191">
      <c r="A191" s="9" t="inlineStr">
        <is>
          <t>영업활동 현금흐름</t>
        </is>
      </c>
      <c r="D191" s="12" t="n">
        <v>258.638</v>
      </c>
      <c r="F191" s="12" t="n">
        <v>1357.112</v>
      </c>
      <c r="H191" s="12" t="n">
        <v>705.366</v>
      </c>
      <c r="J191" s="12" t="n">
        <v>2053.446</v>
      </c>
      <c r="L191" s="12" t="n">
        <v>500.808</v>
      </c>
      <c r="N191" s="12" t="n">
        <v>1808.392</v>
      </c>
      <c r="P191" s="12" t="n">
        <v>562.0940000000001</v>
      </c>
      <c r="Q191" s="12" t="n">
        <v>655.0549999999999</v>
      </c>
      <c r="R191" s="12" t="n">
        <v>995.53</v>
      </c>
      <c r="S191" s="12" t="n">
        <v>1467.861</v>
      </c>
      <c r="T191" s="12" t="n">
        <v>704.481</v>
      </c>
      <c r="U191" s="12" t="n">
        <v>2027.754</v>
      </c>
      <c r="V191" s="12" t="n">
        <v>1357.112</v>
      </c>
      <c r="W191" s="12" t="n">
        <v>2053.446</v>
      </c>
      <c r="X191" s="12" t="n">
        <v>1808.392</v>
      </c>
    </row>
    <row r="192">
      <c r="A192" s="18" t="inlineStr">
        <is>
          <t>정기예금 예입</t>
        </is>
      </c>
      <c r="D192" s="20" t="n">
        <v>-0.6</v>
      </c>
      <c r="F192" s="20" t="n">
        <v>-102.4</v>
      </c>
      <c r="H192" s="20" t="n">
        <v>-0.603</v>
      </c>
      <c r="J192" s="20" t="n">
        <v>-4.011</v>
      </c>
      <c r="L192" s="20" t="n">
        <v>-0.626</v>
      </c>
      <c r="N192" s="20" t="n">
        <v>-2.817</v>
      </c>
      <c r="P192" s="20" t="n">
        <v>-2.304</v>
      </c>
      <c r="Q192" s="20" t="n">
        <v>-2.103</v>
      </c>
      <c r="R192" s="20" t="n">
        <v>-2.504</v>
      </c>
      <c r="S192" s="20" t="n">
        <v>-6.703</v>
      </c>
      <c r="T192" s="20" t="n">
        <v>-4.6</v>
      </c>
      <c r="U192" s="20" t="n">
        <v>-3.1</v>
      </c>
      <c r="V192" s="20" t="n">
        <v>-102.4</v>
      </c>
      <c r="W192" s="20" t="n">
        <v>-4.011</v>
      </c>
      <c r="X192" s="20" t="n">
        <v>-2.817</v>
      </c>
    </row>
    <row r="193">
      <c r="A193" s="18" t="inlineStr">
        <is>
          <t>정기예금 인출</t>
        </is>
      </c>
      <c r="D193" s="20" t="n">
        <v>1.2</v>
      </c>
      <c r="F193" s="20" t="n">
        <v>2.4</v>
      </c>
      <c r="H193" s="20" t="n">
        <v>0</v>
      </c>
      <c r="J193" s="20" t="n">
        <v>2.8</v>
      </c>
      <c r="N193" s="20" t="n">
        <v>101.521</v>
      </c>
      <c r="Q193" s="20" t="n">
        <v>0</v>
      </c>
      <c r="R193" s="20" t="n">
        <v>5.06</v>
      </c>
      <c r="S193" s="20" t="n">
        <v>4.9</v>
      </c>
      <c r="T193" s="20" t="n">
        <v>2.4</v>
      </c>
      <c r="U193" s="20" t="n">
        <v>1.2</v>
      </c>
      <c r="V193" s="20" t="n">
        <v>2.4</v>
      </c>
      <c r="W193" s="20" t="n">
        <v>2.8</v>
      </c>
      <c r="X193" s="20" t="n">
        <v>101.521</v>
      </c>
    </row>
    <row r="194">
      <c r="A194" s="18" t="inlineStr">
        <is>
          <t>유가증권 취득</t>
        </is>
      </c>
      <c r="S194" s="20" t="n">
        <v>0</v>
      </c>
      <c r="T194" s="20" t="n">
        <v>-12</v>
      </c>
      <c r="U194" s="20" t="n">
        <v>0</v>
      </c>
    </row>
    <row r="195">
      <c r="A195" s="18" t="inlineStr">
        <is>
          <t>투자유가증권 상환</t>
        </is>
      </c>
      <c r="F195" s="20" t="n">
        <v>100</v>
      </c>
      <c r="J195" s="20" t="n">
        <v>0</v>
      </c>
      <c r="U195" s="20" t="n">
        <v>0</v>
      </c>
      <c r="V195" s="20" t="n">
        <v>100</v>
      </c>
      <c r="W195" s="20" t="n">
        <v>0</v>
      </c>
    </row>
    <row r="196">
      <c r="A196" s="18" t="inlineStr">
        <is>
          <t>유형자산 취득(설비투자)</t>
        </is>
      </c>
      <c r="D196" s="20" t="n">
        <v>-23.958</v>
      </c>
      <c r="F196" s="20" t="n">
        <v>-199.205</v>
      </c>
      <c r="H196" s="20" t="n">
        <v>-541.787</v>
      </c>
      <c r="J196" s="20" t="n">
        <v>-551.831</v>
      </c>
      <c r="L196" s="20" t="n">
        <v>-174.535</v>
      </c>
      <c r="N196" s="20" t="n">
        <v>-196.322</v>
      </c>
      <c r="P196" s="20" t="n">
        <v>-16.418</v>
      </c>
      <c r="Q196" s="20" t="n">
        <v>-22.815</v>
      </c>
      <c r="R196" s="20" t="n">
        <v>-63.7</v>
      </c>
      <c r="S196" s="20" t="n">
        <v>-70.627</v>
      </c>
      <c r="T196" s="20" t="n">
        <v>-65.078</v>
      </c>
      <c r="U196" s="20" t="n">
        <v>-55.289</v>
      </c>
      <c r="V196" s="20" t="n">
        <v>-199.205</v>
      </c>
      <c r="W196" s="20" t="n">
        <v>-551.831</v>
      </c>
      <c r="X196" s="20" t="n">
        <v>-196.322</v>
      </c>
    </row>
    <row r="197">
      <c r="A197" s="18" t="inlineStr">
        <is>
          <t>무형자산 취득</t>
        </is>
      </c>
      <c r="H197" s="20" t="n">
        <v>0</v>
      </c>
      <c r="L197" s="20" t="n">
        <v>-42.57</v>
      </c>
      <c r="P197" s="20" t="n">
        <v>-39.596</v>
      </c>
      <c r="Q197" s="20" t="n">
        <v>-17.081</v>
      </c>
      <c r="R197" s="20" t="n">
        <v>-4.194</v>
      </c>
      <c r="S197" s="20" t="n">
        <v>0</v>
      </c>
      <c r="T197" s="20" t="n">
        <v>-0.602</v>
      </c>
      <c r="U197" s="20" t="n">
        <v>0</v>
      </c>
    </row>
    <row r="198">
      <c r="A198" s="18" t="inlineStr">
        <is>
          <t>투자유가증권 취득</t>
        </is>
      </c>
      <c r="P198" s="20" t="n">
        <v>-100.75</v>
      </c>
      <c r="Q198" s="20" t="n">
        <v>-120.288</v>
      </c>
      <c r="R198" s="20" t="n">
        <v>0</v>
      </c>
    </row>
    <row r="199">
      <c r="A199" s="18" t="inlineStr">
        <is>
          <t>임차보증금·보증금 납입</t>
        </is>
      </c>
      <c r="D199" s="20" t="n">
        <v>-50.855</v>
      </c>
      <c r="F199" s="20" t="n">
        <v>-51.8</v>
      </c>
      <c r="H199" s="20" t="n">
        <v>-11.192</v>
      </c>
      <c r="J199" s="20" t="n">
        <v>-17.701</v>
      </c>
      <c r="L199" s="20" t="n">
        <v>-1.21</v>
      </c>
      <c r="N199" s="20" t="n">
        <v>-1.49</v>
      </c>
      <c r="P199" s="20" t="n">
        <v>-38.058</v>
      </c>
      <c r="Q199" s="20" t="n">
        <v>-28.916</v>
      </c>
      <c r="R199" s="20" t="n">
        <v>-55.602</v>
      </c>
      <c r="S199" s="20" t="n">
        <v>-40.171</v>
      </c>
      <c r="T199" s="20" t="n">
        <v>-28.9</v>
      </c>
      <c r="U199" s="20" t="n">
        <v>-57.971</v>
      </c>
      <c r="V199" s="20" t="n">
        <v>-51.8</v>
      </c>
      <c r="W199" s="20" t="n">
        <v>-17.701</v>
      </c>
      <c r="X199" s="20" t="n">
        <v>-1.49</v>
      </c>
    </row>
    <row r="200">
      <c r="A200" s="18" t="inlineStr">
        <is>
          <t>단기대여금 순증감</t>
        </is>
      </c>
      <c r="P200" s="20" t="n">
        <v>-1.154</v>
      </c>
      <c r="Q200" s="20" t="n">
        <v>-15</v>
      </c>
      <c r="R200" s="20" t="n">
        <v>15</v>
      </c>
      <c r="S200" s="20" t="n">
        <v>0</v>
      </c>
    </row>
    <row r="201">
      <c r="A201" s="18" t="inlineStr">
        <is>
          <t>기타 지출</t>
        </is>
      </c>
      <c r="P201" s="20" t="n">
        <v>-1.902</v>
      </c>
    </row>
    <row r="202">
      <c r="A202" s="18" t="inlineStr">
        <is>
          <t>유형자산 매각</t>
        </is>
      </c>
      <c r="H202" s="20" t="n">
        <v>0</v>
      </c>
      <c r="J202" s="20" t="n">
        <v>0</v>
      </c>
      <c r="L202" s="20" t="n">
        <v>0.782</v>
      </c>
      <c r="N202" s="20" t="n">
        <v>0.782</v>
      </c>
      <c r="W202" s="20" t="n">
        <v>0</v>
      </c>
      <c r="X202" s="20" t="n">
        <v>0.782</v>
      </c>
    </row>
    <row r="203">
      <c r="A203" s="18" t="inlineStr">
        <is>
          <t>임차보증금·보증금 회수</t>
        </is>
      </c>
      <c r="D203" s="20" t="n">
        <v>0.927</v>
      </c>
      <c r="F203" s="20" t="n">
        <v>1.638</v>
      </c>
      <c r="H203" s="20" t="n">
        <v>0.768</v>
      </c>
      <c r="J203" s="20" t="n">
        <v>1.404</v>
      </c>
      <c r="L203" s="20" t="n">
        <v>0.896</v>
      </c>
      <c r="N203" s="20" t="n">
        <v>10.348</v>
      </c>
      <c r="S203" s="20" t="n">
        <v>0</v>
      </c>
      <c r="T203" s="20" t="n">
        <v>15.435</v>
      </c>
      <c r="U203" s="20" t="n">
        <v>3.079</v>
      </c>
      <c r="V203" s="20" t="n">
        <v>1.638</v>
      </c>
      <c r="W203" s="20" t="n">
        <v>1.404</v>
      </c>
      <c r="X203" s="20" t="n">
        <v>10.348</v>
      </c>
    </row>
    <row r="204">
      <c r="A204" s="18" t="inlineStr">
        <is>
          <t>장기선급비용 지출</t>
        </is>
      </c>
      <c r="J204" s="20" t="n">
        <v>0</v>
      </c>
      <c r="N204" s="20" t="n">
        <v>-74.8</v>
      </c>
      <c r="W204" s="20" t="n">
        <v>0</v>
      </c>
      <c r="X204" s="20" t="n">
        <v>-74.8</v>
      </c>
    </row>
    <row r="205">
      <c r="A205" s="18" t="inlineStr">
        <is>
          <t>투자유가증권 매각</t>
        </is>
      </c>
      <c r="J205" s="20" t="n">
        <v>0</v>
      </c>
      <c r="N205" s="20" t="n">
        <v>32</v>
      </c>
      <c r="W205" s="20" t="n">
        <v>0</v>
      </c>
      <c r="X205" s="20" t="n">
        <v>32</v>
      </c>
    </row>
    <row r="206">
      <c r="A206" s="18" t="inlineStr">
        <is>
          <t>보험적립금 적립</t>
        </is>
      </c>
      <c r="D206" s="20" t="n">
        <v>-82.65000000000001</v>
      </c>
      <c r="F206" s="20" t="n">
        <v>-83.752</v>
      </c>
      <c r="H206" s="20" t="n">
        <v>-80.16200000000001</v>
      </c>
      <c r="J206" s="20" t="n">
        <v>-81.413</v>
      </c>
      <c r="L206" s="20" t="n">
        <v>-82.95</v>
      </c>
      <c r="N206" s="20" t="n">
        <v>-79.642</v>
      </c>
      <c r="P206" s="20" t="n">
        <v>-1.902</v>
      </c>
      <c r="Q206" s="20" t="n">
        <v>-54.538</v>
      </c>
      <c r="R206" s="20" t="n">
        <v>-54.538</v>
      </c>
      <c r="S206" s="20" t="n">
        <v>-83.602</v>
      </c>
      <c r="T206" s="20" t="n">
        <v>-83.602</v>
      </c>
      <c r="U206" s="20" t="n">
        <v>-83.602</v>
      </c>
      <c r="V206" s="20" t="n">
        <v>-83.752</v>
      </c>
      <c r="W206" s="20" t="n">
        <v>-81.413</v>
      </c>
      <c r="X206" s="20" t="n">
        <v>-79.642</v>
      </c>
    </row>
    <row r="207">
      <c r="A207" s="18" t="inlineStr">
        <is>
          <t>기타 수입</t>
        </is>
      </c>
      <c r="P207" s="20" t="n">
        <v>6.675</v>
      </c>
      <c r="Q207" s="20" t="n">
        <v>4.773</v>
      </c>
      <c r="R207" s="20" t="n">
        <v>0.025</v>
      </c>
      <c r="S207" s="20" t="n">
        <v>9.869999999999999</v>
      </c>
      <c r="T207" s="20" t="n">
        <v>0</v>
      </c>
    </row>
    <row r="208">
      <c r="A208" s="18" t="inlineStr">
        <is>
          <t>연결범위 변경 자회사 주식 취득</t>
        </is>
      </c>
      <c r="F208" s="20" t="n">
        <v>-70.98</v>
      </c>
      <c r="J208" s="20" t="n">
        <v>0</v>
      </c>
      <c r="P208" s="20" t="n">
        <v>-27.213</v>
      </c>
      <c r="Q208" s="20" t="n">
        <v>0</v>
      </c>
      <c r="U208" s="20" t="n">
        <v>0</v>
      </c>
      <c r="V208" s="20" t="n">
        <v>-70.98</v>
      </c>
      <c r="W208" s="20" t="n">
        <v>0</v>
      </c>
    </row>
    <row r="209">
      <c r="A209" s="18" t="inlineStr">
        <is>
          <t>기타</t>
        </is>
      </c>
      <c r="J209" s="20" t="n">
        <v>0</v>
      </c>
      <c r="N209" s="20" t="n">
        <v>9.738</v>
      </c>
      <c r="W209" s="20" t="n">
        <v>0</v>
      </c>
      <c r="X209" s="20" t="n">
        <v>9.738</v>
      </c>
    </row>
    <row r="210">
      <c r="A210" s="9" t="inlineStr">
        <is>
          <t>투자활동 현금흐름</t>
        </is>
      </c>
      <c r="D210" s="12" t="n">
        <v>-155.937</v>
      </c>
      <c r="F210" s="12" t="n">
        <v>-404.1</v>
      </c>
      <c r="H210" s="12" t="n">
        <v>-632.977</v>
      </c>
      <c r="J210" s="12" t="n">
        <v>-650.754</v>
      </c>
      <c r="L210" s="12" t="n">
        <v>-300.216</v>
      </c>
      <c r="N210" s="12" t="n">
        <v>-200.68</v>
      </c>
      <c r="P210" s="12" t="n">
        <v>-220.721</v>
      </c>
      <c r="Q210" s="12" t="n">
        <v>-255.969</v>
      </c>
      <c r="R210" s="12" t="n">
        <v>-160.453</v>
      </c>
      <c r="S210" s="12" t="n">
        <v>-186.333</v>
      </c>
      <c r="T210" s="12" t="n">
        <v>-176.949</v>
      </c>
      <c r="U210" s="12" t="n">
        <v>-195.684</v>
      </c>
      <c r="V210" s="12" t="n">
        <v>-404.1</v>
      </c>
      <c r="W210" s="12" t="n">
        <v>-650.754</v>
      </c>
      <c r="X210" s="12" t="n">
        <v>-200.68</v>
      </c>
    </row>
    <row r="211">
      <c r="A211" s="18" t="inlineStr">
        <is>
          <t>장기차입</t>
        </is>
      </c>
      <c r="F211" s="20" t="n">
        <v>0</v>
      </c>
      <c r="P211" s="20" t="n">
        <v>200</v>
      </c>
      <c r="Q211" s="20" t="n">
        <v>250</v>
      </c>
      <c r="R211" s="20" t="n">
        <v>900</v>
      </c>
      <c r="S211" s="20" t="n">
        <v>0</v>
      </c>
      <c r="T211" s="20" t="n">
        <v>0</v>
      </c>
      <c r="U211" s="20" t="n">
        <v>100</v>
      </c>
      <c r="V211" s="20" t="n">
        <v>0</v>
      </c>
    </row>
    <row r="212">
      <c r="A212" s="18" t="inlineStr">
        <is>
          <t>장기차입금 상환</t>
        </is>
      </c>
      <c r="D212" s="20" t="n">
        <v>-16.662</v>
      </c>
      <c r="F212" s="20" t="n">
        <v>-183.824</v>
      </c>
      <c r="H212" s="20" t="n">
        <v>-40.442</v>
      </c>
      <c r="J212" s="20" t="n">
        <v>-57.104</v>
      </c>
      <c r="L212" s="20" t="n">
        <v>-16.662</v>
      </c>
      <c r="N212" s="20" t="n">
        <v>-27.798</v>
      </c>
      <c r="P212" s="20" t="n">
        <v>-75.247</v>
      </c>
      <c r="Q212" s="20" t="n">
        <v>-152.197</v>
      </c>
      <c r="R212" s="20" t="n">
        <v>-136.215</v>
      </c>
      <c r="S212" s="20" t="n">
        <v>-106.66</v>
      </c>
      <c r="T212" s="20" t="n">
        <v>-255.57</v>
      </c>
      <c r="U212" s="20" t="n">
        <v>-605.554</v>
      </c>
      <c r="V212" s="20" t="n">
        <v>-183.824</v>
      </c>
      <c r="W212" s="20" t="n">
        <v>-57.104</v>
      </c>
      <c r="X212" s="20" t="n">
        <v>-27.798</v>
      </c>
    </row>
    <row r="213">
      <c r="A213" s="18" t="inlineStr">
        <is>
          <t>리스부채 상환</t>
        </is>
      </c>
      <c r="D213" s="20" t="n">
        <v>-0.353</v>
      </c>
      <c r="F213" s="20" t="n">
        <v>-0.706</v>
      </c>
      <c r="H213" s="20" t="n">
        <v>-0.353</v>
      </c>
      <c r="J213" s="20" t="n">
        <v>-0.706</v>
      </c>
      <c r="L213" s="20" t="n">
        <v>-1.208</v>
      </c>
      <c r="N213" s="20" t="n">
        <v>-2.3</v>
      </c>
      <c r="P213" s="20" t="n">
        <v>-1.167</v>
      </c>
      <c r="Q213" s="20" t="n">
        <v>-4.671</v>
      </c>
      <c r="R213" s="20" t="n">
        <v>-0.235</v>
      </c>
      <c r="S213" s="20" t="n">
        <v>-0.45</v>
      </c>
      <c r="T213" s="20" t="n">
        <v>-0.778</v>
      </c>
      <c r="U213" s="20" t="n">
        <v>-0.706</v>
      </c>
      <c r="V213" s="20" t="n">
        <v>-0.706</v>
      </c>
      <c r="W213" s="20" t="n">
        <v>-0.706</v>
      </c>
      <c r="X213" s="20" t="n">
        <v>-2.3</v>
      </c>
    </row>
    <row r="214">
      <c r="A214" s="18" t="inlineStr">
        <is>
          <t>주식 발행</t>
        </is>
      </c>
      <c r="P214" s="20" t="n">
        <v>2.79</v>
      </c>
      <c r="Q214" s="20" t="n">
        <v>0.36</v>
      </c>
      <c r="R214" s="20" t="n">
        <v>0</v>
      </c>
    </row>
    <row r="215">
      <c r="A215" s="18" t="inlineStr">
        <is>
          <t>자기주식 취득</t>
        </is>
      </c>
      <c r="D215" s="20" t="n">
        <v>-266.987</v>
      </c>
      <c r="F215" s="20" t="n">
        <v>-601.145</v>
      </c>
      <c r="H215" s="20" t="n">
        <v>-88.474</v>
      </c>
      <c r="J215" s="20" t="n">
        <v>-401.493</v>
      </c>
      <c r="L215" s="20" t="n">
        <v>-50.963</v>
      </c>
      <c r="N215" s="20" t="n">
        <v>-450.128</v>
      </c>
      <c r="P215" s="20" t="n">
        <v>-0.032</v>
      </c>
      <c r="Q215" s="20" t="n">
        <v>0</v>
      </c>
      <c r="R215" s="20" t="n">
        <v>-0.029</v>
      </c>
      <c r="S215" s="20" t="n">
        <v>-0.137</v>
      </c>
      <c r="T215" s="20" t="n">
        <v>0</v>
      </c>
      <c r="U215" s="20" t="n">
        <v>0</v>
      </c>
      <c r="V215" s="20" t="n">
        <v>-601.145</v>
      </c>
      <c r="W215" s="20" t="n">
        <v>-401.493</v>
      </c>
      <c r="X215" s="20" t="n">
        <v>-450.128</v>
      </c>
    </row>
    <row r="216">
      <c r="A216" s="18" t="inlineStr">
        <is>
          <t>기타 지출</t>
        </is>
      </c>
      <c r="P216" s="20" t="n">
        <v>0</v>
      </c>
      <c r="Q216" s="20" t="n">
        <v>-0.155</v>
      </c>
      <c r="R216" s="20" t="n">
        <v>0</v>
      </c>
    </row>
    <row r="217">
      <c r="A217" s="18" t="inlineStr">
        <is>
          <t>배당금 지급</t>
        </is>
      </c>
      <c r="D217" s="20" t="n">
        <v>-141.644</v>
      </c>
      <c r="F217" s="20" t="n">
        <v>-145.102</v>
      </c>
      <c r="H217" s="20" t="n">
        <v>-175.631</v>
      </c>
      <c r="J217" s="20" t="n">
        <v>-175.68</v>
      </c>
      <c r="L217" s="20" t="n">
        <v>-176.312</v>
      </c>
      <c r="N217" s="20" t="n">
        <v>-176.322</v>
      </c>
      <c r="P217" s="20" t="n">
        <v>-34.276</v>
      </c>
      <c r="Q217" s="20" t="n">
        <v>-37.009</v>
      </c>
      <c r="R217" s="20" t="n">
        <v>-41.413</v>
      </c>
      <c r="S217" s="20" t="n">
        <v>-59.648</v>
      </c>
      <c r="T217" s="20" t="n">
        <v>-77.73</v>
      </c>
      <c r="U217" s="20" t="n">
        <v>-119.567</v>
      </c>
      <c r="V217" s="20" t="n">
        <v>-145.102</v>
      </c>
      <c r="W217" s="20" t="n">
        <v>-175.68</v>
      </c>
      <c r="X217" s="20" t="n">
        <v>-176.322</v>
      </c>
    </row>
    <row r="218">
      <c r="A218" s="18" t="inlineStr">
        <is>
          <t>신주예약권 발행</t>
        </is>
      </c>
      <c r="D218" s="20" t="n">
        <v>1.947</v>
      </c>
      <c r="F218" s="20" t="n">
        <v>1.947</v>
      </c>
      <c r="H218" s="20" t="n">
        <v>0</v>
      </c>
      <c r="J218" s="20" t="n">
        <v>0</v>
      </c>
      <c r="P218" s="20" t="n">
        <v>1.421</v>
      </c>
      <c r="Q218" s="20" t="n">
        <v>0.674</v>
      </c>
      <c r="R218" s="20" t="n">
        <v>2.455</v>
      </c>
      <c r="S218" s="20" t="n">
        <v>0</v>
      </c>
      <c r="T218" s="20" t="n">
        <v>0.905</v>
      </c>
      <c r="U218" s="20" t="n">
        <v>0</v>
      </c>
      <c r="V218" s="20" t="n">
        <v>1.947</v>
      </c>
      <c r="W218" s="20" t="n">
        <v>0</v>
      </c>
    </row>
    <row r="219">
      <c r="A219" s="18" t="inlineStr">
        <is>
          <t>신주예약권 행사에 따른 주식 발행</t>
        </is>
      </c>
      <c r="D219" s="20" t="n">
        <v>4.068</v>
      </c>
      <c r="F219" s="20" t="n">
        <v>7.021</v>
      </c>
      <c r="H219" s="20" t="n">
        <v>0.599</v>
      </c>
      <c r="J219" s="20" t="n">
        <v>1.868</v>
      </c>
      <c r="L219" s="20" t="n">
        <v>19.142</v>
      </c>
      <c r="N219" s="20" t="n">
        <v>19.688</v>
      </c>
      <c r="R219" s="20" t="n">
        <v>0</v>
      </c>
      <c r="S219" s="20" t="n">
        <v>12.222</v>
      </c>
      <c r="T219" s="20" t="n">
        <v>4.293</v>
      </c>
      <c r="U219" s="20" t="n">
        <v>1.548</v>
      </c>
      <c r="V219" s="20" t="n">
        <v>7.021</v>
      </c>
      <c r="W219" s="20" t="n">
        <v>1.868</v>
      </c>
      <c r="X219" s="20" t="n">
        <v>19.688</v>
      </c>
    </row>
    <row r="220">
      <c r="A220" s="18" t="inlineStr">
        <is>
          <t>기타</t>
        </is>
      </c>
      <c r="D220" s="20" t="n">
        <v>-0.766</v>
      </c>
      <c r="F220" s="20" t="n">
        <v>-1.532</v>
      </c>
      <c r="H220" s="20" t="n">
        <v>-0.766</v>
      </c>
      <c r="J220" s="20" t="n">
        <v>-1.532</v>
      </c>
      <c r="L220" s="20" t="n">
        <v>-0.766</v>
      </c>
      <c r="N220" s="20" t="n">
        <v>-3.233</v>
      </c>
      <c r="T220" s="20" t="n">
        <v>0</v>
      </c>
      <c r="U220" s="20" t="n">
        <v>-1.532</v>
      </c>
      <c r="V220" s="20" t="n">
        <v>-1.532</v>
      </c>
      <c r="W220" s="20" t="n">
        <v>-1.532</v>
      </c>
      <c r="X220" s="20" t="n">
        <v>-3.233</v>
      </c>
    </row>
    <row r="221">
      <c r="A221" s="9" t="inlineStr">
        <is>
          <t>재무활동 현금흐름</t>
        </is>
      </c>
      <c r="D221" s="12" t="n">
        <v>-420.397</v>
      </c>
      <c r="F221" s="12" t="n">
        <v>-923.341</v>
      </c>
      <c r="H221" s="12" t="n">
        <v>-305.067</v>
      </c>
      <c r="J221" s="12" t="n">
        <v>-634.647</v>
      </c>
      <c r="L221" s="12" t="n">
        <v>-226.77</v>
      </c>
      <c r="N221" s="12" t="n">
        <v>-640.095</v>
      </c>
      <c r="P221" s="12" t="n">
        <v>93.488</v>
      </c>
      <c r="Q221" s="12" t="n">
        <v>57.001</v>
      </c>
      <c r="R221" s="12" t="n">
        <v>724.561</v>
      </c>
      <c r="S221" s="12" t="n">
        <v>-154.674</v>
      </c>
      <c r="T221" s="12" t="n">
        <v>-328.88</v>
      </c>
      <c r="U221" s="12" t="n">
        <v>-625.812</v>
      </c>
      <c r="V221" s="12" t="n">
        <v>-923.341</v>
      </c>
      <c r="W221" s="12" t="n">
        <v>-634.647</v>
      </c>
      <c r="X221" s="12" t="n">
        <v>-640.095</v>
      </c>
    </row>
    <row r="222">
      <c r="A222" s="18" t="inlineStr">
        <is>
          <t>현금성자산 환산차이</t>
        </is>
      </c>
      <c r="P222" s="20" t="n">
        <v>0</v>
      </c>
      <c r="Q222" s="20" t="n">
        <v>-0</v>
      </c>
      <c r="R222" s="20" t="n">
        <v>0</v>
      </c>
      <c r="S222" s="20" t="n">
        <v>0</v>
      </c>
      <c r="T222" s="20" t="n">
        <v>0</v>
      </c>
    </row>
    <row r="223">
      <c r="A223" s="18" t="inlineStr">
        <is>
          <t>현금성자산 증감</t>
        </is>
      </c>
      <c r="D223" s="20" t="n">
        <v>-317.696</v>
      </c>
      <c r="F223" s="20" t="n">
        <v>29.67</v>
      </c>
      <c r="H223" s="20" t="n">
        <v>-232.678</v>
      </c>
      <c r="J223" s="20" t="n">
        <v>768.044</v>
      </c>
      <c r="L223" s="20" t="n">
        <v>-26.177</v>
      </c>
      <c r="N223" s="20" t="n">
        <v>967.616</v>
      </c>
      <c r="P223" s="20" t="n">
        <v>434.861</v>
      </c>
      <c r="Q223" s="20" t="n">
        <v>456.087</v>
      </c>
      <c r="R223" s="20" t="n">
        <v>1559.639</v>
      </c>
      <c r="S223" s="20" t="n">
        <v>1126.853</v>
      </c>
      <c r="T223" s="20" t="n">
        <v>198.651</v>
      </c>
      <c r="U223" s="20" t="n">
        <v>1206.257</v>
      </c>
      <c r="V223" s="20" t="n">
        <v>29.67</v>
      </c>
      <c r="W223" s="20" t="n">
        <v>768.044</v>
      </c>
      <c r="X223" s="20" t="n">
        <v>967.616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세라크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10911.126</v>
      </c>
      <c r="D5" s="12" t="n">
        <v>11317.059</v>
      </c>
      <c r="E5" s="12" t="n">
        <v>10989.768</v>
      </c>
      <c r="F5" s="12" t="n">
        <v>11921.245</v>
      </c>
      <c r="G5" s="12" t="n">
        <v>11869.379</v>
      </c>
      <c r="H5" s="11" t="n">
        <v>8260.075999999999</v>
      </c>
      <c r="I5" s="12" t="n">
        <v>9725.739</v>
      </c>
      <c r="J5" s="12" t="n">
        <v>10085.344</v>
      </c>
      <c r="K5" s="12" t="n">
        <v>10911.126</v>
      </c>
      <c r="L5" s="12" t="n">
        <v>11869.379</v>
      </c>
    </row>
    <row r="6">
      <c r="A6" s="18" t="inlineStr">
        <is>
          <t>현금및현금성자산</t>
        </is>
      </c>
      <c r="B6" s="10" t="n"/>
      <c r="C6" s="19" t="n">
        <v>7765.946</v>
      </c>
      <c r="D6" s="20" t="n">
        <v>8065.954</v>
      </c>
      <c r="E6" s="20" t="n">
        <v>7740.396</v>
      </c>
      <c r="F6" s="20" t="n">
        <v>8838.638000000001</v>
      </c>
      <c r="G6" s="20" t="n">
        <v>8634.858</v>
      </c>
      <c r="H6" s="19" t="n">
        <v>5658.86</v>
      </c>
      <c r="I6" s="20" t="n">
        <v>6867.019</v>
      </c>
      <c r="J6" s="20" t="n">
        <v>6896.69</v>
      </c>
      <c r="K6" s="20" t="n">
        <v>7765.946</v>
      </c>
      <c r="L6" s="20" t="n">
        <v>8634.858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2835.099</v>
      </c>
      <c r="D8" s="20" t="n">
        <v>2900.993</v>
      </c>
      <c r="E8" s="20" t="n">
        <v>2833.697</v>
      </c>
      <c r="F8" s="20" t="n">
        <v>2750.926</v>
      </c>
      <c r="G8" s="20" t="n">
        <v>2972</v>
      </c>
      <c r="H8" s="19" t="n">
        <v>0</v>
      </c>
      <c r="I8" s="20" t="n">
        <v>2562.001</v>
      </c>
      <c r="J8" s="20" t="n">
        <v>2740.887</v>
      </c>
      <c r="K8" s="20" t="n">
        <v>2835.099</v>
      </c>
      <c r="L8" s="20" t="n">
        <v>2972</v>
      </c>
    </row>
    <row r="9">
      <c r="A9" s="18" t="inlineStr">
        <is>
          <t>재고자산</t>
        </is>
      </c>
      <c r="B9" s="10" t="n"/>
      <c r="C9" s="19" t="n">
        <v>95.655</v>
      </c>
      <c r="D9" s="20" t="n">
        <v>76.17</v>
      </c>
      <c r="E9" s="20" t="n">
        <v>75.733</v>
      </c>
      <c r="F9" s="20" t="n">
        <v>59.608</v>
      </c>
      <c r="G9" s="20" t="n">
        <v>50.275</v>
      </c>
      <c r="H9" s="19" t="n">
        <v>86.02</v>
      </c>
      <c r="I9" s="20" t="n">
        <v>95.31699999999999</v>
      </c>
      <c r="J9" s="20" t="n">
        <v>266.152</v>
      </c>
      <c r="K9" s="20" t="n">
        <v>95.655</v>
      </c>
      <c r="L9" s="20" t="n">
        <v>50.275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2413.21</v>
      </c>
      <c r="D11" s="12" t="n">
        <v>2761.663</v>
      </c>
      <c r="E11" s="12" t="n">
        <v>2675.909</v>
      </c>
      <c r="F11" s="12" t="n">
        <v>2869.146</v>
      </c>
      <c r="G11" s="12" t="n">
        <v>2703.822</v>
      </c>
      <c r="H11" s="11" t="n">
        <v>1360.352</v>
      </c>
      <c r="I11" s="12" t="n">
        <v>1527.925</v>
      </c>
      <c r="J11" s="12" t="n">
        <v>1966.777</v>
      </c>
      <c r="K11" s="12" t="n">
        <v>2413.21</v>
      </c>
      <c r="L11" s="12" t="n">
        <v>2703.822</v>
      </c>
    </row>
    <row r="12">
      <c r="A12" s="18" t="inlineStr">
        <is>
          <t>유형자산</t>
        </is>
      </c>
      <c r="B12" s="10" t="n"/>
      <c r="C12" s="19" t="n">
        <v>879.1</v>
      </c>
      <c r="D12" s="20" t="n">
        <v>1006.488</v>
      </c>
      <c r="E12" s="20" t="n">
        <v>1034.266</v>
      </c>
      <c r="F12" s="20" t="n">
        <v>1029.978</v>
      </c>
      <c r="G12" s="20" t="n">
        <v>1021.854</v>
      </c>
      <c r="H12" s="19" t="n">
        <v>207.318</v>
      </c>
      <c r="I12" s="20" t="n">
        <v>222.7</v>
      </c>
      <c r="J12" s="20" t="n">
        <v>384.897</v>
      </c>
      <c r="K12" s="20" t="n">
        <v>879.1</v>
      </c>
      <c r="L12" s="20" t="n">
        <v>1021.854</v>
      </c>
    </row>
    <row r="13">
      <c r="A13" s="18" t="inlineStr">
        <is>
          <t>무형자산</t>
        </is>
      </c>
      <c r="B13" s="10" t="n"/>
      <c r="C13" s="19" t="n">
        <v>101.032</v>
      </c>
      <c r="D13" s="20" t="n">
        <v>94.571</v>
      </c>
      <c r="E13" s="20" t="n">
        <v>130.68</v>
      </c>
      <c r="F13" s="20" t="n">
        <v>148.527</v>
      </c>
      <c r="G13" s="20" t="n">
        <v>75.227</v>
      </c>
      <c r="H13" s="19" t="n">
        <v>9.785</v>
      </c>
      <c r="I13" s="20" t="n">
        <v>2.456</v>
      </c>
      <c r="J13" s="20" t="n">
        <v>127.07</v>
      </c>
      <c r="K13" s="20" t="n">
        <v>101.032</v>
      </c>
      <c r="L13" s="20" t="n">
        <v>75.227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13324.336</v>
      </c>
      <c r="D16" s="12" t="n">
        <v>14078.723</v>
      </c>
      <c r="E16" s="12" t="n">
        <v>13665.677</v>
      </c>
      <c r="F16" s="12" t="n">
        <v>14790.392</v>
      </c>
      <c r="G16" s="12" t="n">
        <v>14573.202</v>
      </c>
      <c r="H16" s="11" t="n">
        <v>9620.428</v>
      </c>
      <c r="I16" s="12" t="n">
        <v>11253.664</v>
      </c>
      <c r="J16" s="12" t="n">
        <v>12052.121</v>
      </c>
      <c r="K16" s="12" t="n">
        <v>13324.336</v>
      </c>
      <c r="L16" s="12" t="n">
        <v>14573.202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4283.083</v>
      </c>
      <c r="D18" s="12" t="n">
        <v>4902.829</v>
      </c>
      <c r="E18" s="12" t="n">
        <v>4121.879</v>
      </c>
      <c r="F18" s="12" t="n">
        <v>4817.218</v>
      </c>
      <c r="G18" s="12" t="n">
        <v>4301.977</v>
      </c>
      <c r="H18" s="11" t="n">
        <v>3828.899</v>
      </c>
      <c r="I18" s="12" t="n">
        <v>4178.943</v>
      </c>
      <c r="J18" s="12" t="n">
        <v>4124.102</v>
      </c>
      <c r="K18" s="12" t="n">
        <v>4283.083</v>
      </c>
      <c r="L18" s="12" t="n">
        <v>4301.977</v>
      </c>
    </row>
    <row r="19">
      <c r="A19" s="18" t="inlineStr">
        <is>
          <t>매입채무</t>
        </is>
      </c>
      <c r="B19" s="10" t="n"/>
      <c r="C19" s="19" t="n">
        <v>332.631</v>
      </c>
      <c r="D19" s="20" t="n">
        <v>319.413</v>
      </c>
      <c r="E19" s="20" t="n">
        <v>344.09</v>
      </c>
      <c r="F19" s="20" t="n">
        <v>330.846</v>
      </c>
      <c r="G19" s="20" t="n">
        <v>377.206</v>
      </c>
      <c r="H19" s="19" t="n">
        <v>159.59</v>
      </c>
      <c r="I19" s="20" t="n">
        <v>130.402</v>
      </c>
      <c r="J19" s="20" t="n">
        <v>262.363</v>
      </c>
      <c r="K19" s="20" t="n">
        <v>332.631</v>
      </c>
      <c r="L19" s="20" t="n">
        <v>377.206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>
        <v>27.798</v>
      </c>
      <c r="D21" s="20" t="n">
        <v>19.467</v>
      </c>
      <c r="E21" s="20" t="n">
        <v>11.136</v>
      </c>
      <c r="F21" s="20" t="n">
        <v>2.805</v>
      </c>
      <c r="G21" s="20" t="n">
        <v>0</v>
      </c>
      <c r="H21" s="19" t="n">
        <v>600</v>
      </c>
      <c r="I21" s="20" t="n">
        <v>183.324</v>
      </c>
      <c r="J21" s="20" t="n">
        <v>39.204</v>
      </c>
      <c r="K21" s="20" t="n">
        <v>27.798</v>
      </c>
      <c r="L21" s="20" t="n">
        <v>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138.479</v>
      </c>
      <c r="D23" s="12" t="n">
        <v>143.514</v>
      </c>
      <c r="E23" s="12" t="n">
        <v>141.616</v>
      </c>
      <c r="F23" s="12" t="n">
        <v>137.358</v>
      </c>
      <c r="G23" s="12" t="n">
        <v>118.41</v>
      </c>
      <c r="H23" s="11" t="n">
        <v>272.376</v>
      </c>
      <c r="I23" s="12" t="n">
        <v>170.503</v>
      </c>
      <c r="J23" s="12" t="n">
        <v>165.405</v>
      </c>
      <c r="K23" s="12" t="n">
        <v>138.479</v>
      </c>
      <c r="L23" s="12" t="n">
        <v>118.41</v>
      </c>
    </row>
    <row r="24">
      <c r="A24" s="18" t="inlineStr">
        <is>
          <t>장기차입금</t>
        </is>
      </c>
      <c r="B24" s="10" t="n"/>
      <c r="C24" s="19" t="n">
        <v>0</v>
      </c>
      <c r="D24" s="20" t="n"/>
      <c r="E24" s="20" t="n"/>
      <c r="F24" s="20" t="n"/>
      <c r="G24" s="20" t="n"/>
      <c r="H24" s="19" t="n">
        <v>150</v>
      </c>
      <c r="I24" s="20" t="n">
        <v>61.122</v>
      </c>
      <c r="J24" s="20" t="n">
        <v>45.698</v>
      </c>
      <c r="K24" s="20" t="n">
        <v>0</v>
      </c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4421.562</v>
      </c>
      <c r="D27" s="12" t="n">
        <v>5046.344</v>
      </c>
      <c r="E27" s="12" t="n">
        <v>4263.495</v>
      </c>
      <c r="F27" s="12" t="n">
        <v>4954.577</v>
      </c>
      <c r="G27" s="12" t="n">
        <v>4420.388</v>
      </c>
      <c r="H27" s="11" t="n">
        <v>4101.275</v>
      </c>
      <c r="I27" s="12" t="n">
        <v>4349.447</v>
      </c>
      <c r="J27" s="12" t="n">
        <v>4289.507</v>
      </c>
      <c r="K27" s="12" t="n">
        <v>4421.562</v>
      </c>
      <c r="L27" s="12" t="n">
        <v>4420.388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8870.701999999999</v>
      </c>
      <c r="D31" s="12" t="n">
        <v>9000.307000000001</v>
      </c>
      <c r="E31" s="12" t="n">
        <v>9372.98</v>
      </c>
      <c r="F31" s="12" t="n">
        <v>9806.974</v>
      </c>
      <c r="G31" s="12" t="n">
        <v>10123.973</v>
      </c>
      <c r="H31" s="11" t="n">
        <v>5514.246</v>
      </c>
      <c r="I31" s="12" t="n">
        <v>6867.947</v>
      </c>
      <c r="J31" s="12" t="n">
        <v>7731.995</v>
      </c>
      <c r="K31" s="12" t="n">
        <v>8870.701999999999</v>
      </c>
      <c r="L31" s="12" t="n">
        <v>10123.973</v>
      </c>
    </row>
    <row r="32">
      <c r="A32" s="18" t="inlineStr">
        <is>
          <t>자본금</t>
        </is>
      </c>
      <c r="B32" s="10" t="n"/>
      <c r="C32" s="19" t="n">
        <v>312.433</v>
      </c>
      <c r="D32" s="20" t="n">
        <v>312.433</v>
      </c>
      <c r="E32" s="20" t="n">
        <v>322.962</v>
      </c>
      <c r="F32" s="20" t="n">
        <v>323.356</v>
      </c>
      <c r="G32" s="20" t="n">
        <v>323.356</v>
      </c>
      <c r="H32" s="19" t="n">
        <v>306.232</v>
      </c>
      <c r="I32" s="20" t="n">
        <v>307.006</v>
      </c>
      <c r="J32" s="20" t="n">
        <v>311.269</v>
      </c>
      <c r="K32" s="20" t="n">
        <v>312.433</v>
      </c>
      <c r="L32" s="20" t="n">
        <v>323.356</v>
      </c>
    </row>
    <row r="33">
      <c r="A33" s="18" t="inlineStr">
        <is>
          <t>이익잉여금</t>
        </is>
      </c>
      <c r="B33" s="10" t="n"/>
      <c r="C33" s="19" t="n">
        <v>8912.335999999999</v>
      </c>
      <c r="D33" s="20" t="n">
        <v>9092.916999999999</v>
      </c>
      <c r="E33" s="20" t="n">
        <v>9445.601000000001</v>
      </c>
      <c r="F33" s="20" t="n">
        <v>9983.609</v>
      </c>
      <c r="G33" s="20" t="n">
        <v>10387.197</v>
      </c>
      <c r="H33" s="19" t="n">
        <v>4700.243</v>
      </c>
      <c r="I33" s="20" t="n">
        <v>6052.693</v>
      </c>
      <c r="J33" s="20" t="n">
        <v>7482.934</v>
      </c>
      <c r="K33" s="20" t="n">
        <v>8912.335999999999</v>
      </c>
      <c r="L33" s="20" t="n">
        <v>10387.197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8902.773999999999</v>
      </c>
      <c r="D35" s="12" t="n">
        <v>9032.379000000001</v>
      </c>
      <c r="E35" s="12" t="n">
        <v>9402.181</v>
      </c>
      <c r="F35" s="12" t="n">
        <v>9835.814</v>
      </c>
      <c r="G35" s="12" t="n">
        <v>10152.813</v>
      </c>
      <c r="H35" s="11" t="n">
        <v>5519.152</v>
      </c>
      <c r="I35" s="12" t="n">
        <v>6904.217</v>
      </c>
      <c r="J35" s="12" t="n">
        <v>7762.614</v>
      </c>
      <c r="K35" s="12" t="n">
        <v>8902.773999999999</v>
      </c>
      <c r="L35" s="12" t="n">
        <v>10152.813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2053.446</v>
      </c>
      <c r="D37" s="12" t="n"/>
      <c r="E37" s="12" t="n">
        <v>1848.888</v>
      </c>
      <c r="F37" s="12" t="n"/>
      <c r="G37" s="12" t="n">
        <v>1808.392</v>
      </c>
      <c r="H37" s="11" t="n">
        <v>704.481</v>
      </c>
      <c r="I37" s="12" t="n">
        <v>2027.754</v>
      </c>
      <c r="J37" s="12" t="n">
        <v>1357.112</v>
      </c>
      <c r="K37" s="12" t="n">
        <v>2053.446</v>
      </c>
      <c r="L37" s="12" t="n">
        <v>1808.392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551.831</v>
      </c>
      <c r="D38" s="20" t="n"/>
      <c r="E38" s="20" t="n">
        <v>184.579</v>
      </c>
      <c r="F38" s="20" t="n"/>
      <c r="G38" s="20" t="n">
        <v>196.322</v>
      </c>
      <c r="H38" s="19" t="n">
        <v>65.68000000000001</v>
      </c>
      <c r="I38" s="20" t="n">
        <v>55.289</v>
      </c>
      <c r="J38" s="20" t="n">
        <v>199.205</v>
      </c>
      <c r="K38" s="20" t="n">
        <v>551.831</v>
      </c>
      <c r="L38" s="20" t="n">
        <v>196.322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175.68</v>
      </c>
      <c r="D40" s="20" t="n"/>
      <c r="E40" s="20" t="n">
        <v>176.361</v>
      </c>
      <c r="F40" s="20" t="n"/>
      <c r="G40" s="20" t="n">
        <v>176.322</v>
      </c>
      <c r="H40" s="19" t="n">
        <v>77.73</v>
      </c>
      <c r="I40" s="20" t="n">
        <v>119.567</v>
      </c>
      <c r="J40" s="20" t="n">
        <v>145.102</v>
      </c>
      <c r="K40" s="20" t="n">
        <v>175.68</v>
      </c>
      <c r="L40" s="20" t="n">
        <v>176.322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IFERROR(IF((IF(COUNT('연간'!G53:J53)&lt;4,"",SUM('연간'!G53:J53)))&lt;=0,"적자",C28/(IF(COUNT('연간'!G53:J53)&lt;4,"",SUM('연간'!G53:J53)))),"")</f>
        <v/>
      </c>
      <c r="D49" s="46">
        <f>IFERROR(IF((IF(COUNT('연간'!H53:K53)&lt;4,"",SUM('연간'!H53:K53)))&lt;=0,"적자",D28/(IF(COUNT('연간'!H53:K53)&lt;4,"",SUM('연간'!H53:K53)))),"")</f>
        <v/>
      </c>
      <c r="E49" s="46">
        <f>IFERROR(IF((IF(COUNT('연간'!I53:L53)&lt;4,"",SUM('연간'!I53:L53)))&lt;=0,"적자",E28/(IF(COUNT('연간'!I53:L53)&lt;4,"",SUM('연간'!I53:L53)))),"")</f>
        <v/>
      </c>
      <c r="F49" s="46">
        <f>IFERROR(IF((IF(COUNT('연간'!J53:M53)&lt;4,"",SUM('연간'!J53:M53)))&lt;=0,"적자",F28/(IF(COUNT('연간'!J53:M53)&lt;4,"",SUM('연간'!J53:M53)))),"")</f>
        <v/>
      </c>
      <c r="G49" s="46">
        <f>IFERROR(IF((IF(COUNT('연간'!K53:N53)&lt;4,"",SUM('연간'!K53:N53)))&lt;=0,"적자",G28/(IF(COUNT('연간'!K53:N53)&lt;4,"",SUM('연간'!K53:N53)))),"")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  <c r="L49" s="46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IFERROR(C9/(IF(COUNT('연간'!G20:J20)&lt;4,"",SUM('연간'!G20:J20)))*365,"")</f>
        <v/>
      </c>
      <c r="D60" s="48">
        <f>IFERROR(D9/(IF(COUNT('연간'!H20:K20)&lt;4,"",SUM('연간'!H20:K20)))*365,"")</f>
        <v/>
      </c>
      <c r="E60" s="48">
        <f>IFERROR(E9/(IF(COUNT('연간'!I20:L20)&lt;4,"",SUM('연간'!I20:L20)))*365,"")</f>
        <v/>
      </c>
      <c r="F60" s="48">
        <f>IFERROR(F9/(IF(COUNT('연간'!J20:M20)&lt;4,"",SUM('연간'!J20:M20)))*365,"")</f>
        <v/>
      </c>
      <c r="G60" s="48">
        <f>IFERROR(G9/(IF(COUNT('연간'!K20:N20)&lt;4,"",SUM('연간'!K20:N20)))*365,"")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  <c r="L60" s="48">
        <f>IFERROR(L9/('연간'!X20)*365,"")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IFERROR(C19/(IF(COUNT('연간'!G20:J20)&lt;4,"",SUM('연간'!G20:J20)))*365,"")</f>
        <v/>
      </c>
      <c r="D61" s="48">
        <f>IFERROR(D19/(IF(COUNT('연간'!H20:K20)&lt;4,"",SUM('연간'!H20:K20)))*365,"")</f>
        <v/>
      </c>
      <c r="E61" s="48">
        <f>IFERROR(E19/(IF(COUNT('연간'!I20:L20)&lt;4,"",SUM('연간'!I20:L20)))*365,"")</f>
        <v/>
      </c>
      <c r="F61" s="48">
        <f>IFERROR(F19/(IF(COUNT('연간'!J20:M20)&lt;4,"",SUM('연간'!J20:M20)))*365,"")</f>
        <v/>
      </c>
      <c r="G61" s="48">
        <f>IFERROR(G19/(IF(COUNT('연간'!K20:N20)&lt;4,"",SUM('연간'!K20:N20)))*365,"")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  <c r="L61" s="48">
        <f>IFERROR(L19/('연간'!X20)*365,"")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7765.946</v>
      </c>
      <c r="D71" s="20" t="n">
        <v>8065.954</v>
      </c>
      <c r="E71" s="20" t="n">
        <v>7740.396</v>
      </c>
      <c r="F71" s="20" t="n">
        <v>8838.638000000001</v>
      </c>
      <c r="G71" s="20" t="n">
        <v>8634.858</v>
      </c>
      <c r="H71" s="20" t="n">
        <v>5658.86</v>
      </c>
      <c r="I71" s="20" t="n">
        <v>6867.019</v>
      </c>
      <c r="J71" s="20" t="n">
        <v>6896.69</v>
      </c>
      <c r="K71" s="20" t="n">
        <v>7765.946</v>
      </c>
      <c r="L71" s="20" t="n">
        <v>8634.858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받을어음·매출채권·계약자산(순액)</t>
        </is>
      </c>
      <c r="H73" s="20" t="n">
        <v>2336.637</v>
      </c>
    </row>
    <row r="74">
      <c r="A74" s="18" t="inlineStr">
        <is>
          <t>매출채권·계약자산</t>
        </is>
      </c>
      <c r="H74" s="20" t="n">
        <v>2336.637</v>
      </c>
      <c r="I74" s="20" t="n">
        <v>2562.001</v>
      </c>
    </row>
    <row r="75">
      <c r="A75" s="18" t="inlineStr">
        <is>
          <t>매출채권·계약자산</t>
        </is>
      </c>
      <c r="C75" s="20" t="n">
        <v>2835.099</v>
      </c>
      <c r="D75" s="20" t="n">
        <v>2900.993</v>
      </c>
      <c r="E75" s="20" t="n">
        <v>2833.697</v>
      </c>
      <c r="F75" s="20" t="n">
        <v>2750.926</v>
      </c>
      <c r="G75" s="20" t="n">
        <v>2972</v>
      </c>
      <c r="I75" s="20" t="n">
        <v>2562.001</v>
      </c>
      <c r="J75" s="20" t="n">
        <v>2740.887</v>
      </c>
      <c r="K75" s="20" t="n">
        <v>2835.099</v>
      </c>
      <c r="L75" s="20" t="n">
        <v>2972</v>
      </c>
    </row>
    <row r="76">
      <c r="A76" s="18" t="inlineStr">
        <is>
          <t>재공품</t>
        </is>
      </c>
      <c r="C76" s="20" t="n">
        <v>38.026</v>
      </c>
      <c r="D76" s="20" t="n">
        <v>22.701</v>
      </c>
      <c r="E76" s="20" t="n">
        <v>25.94</v>
      </c>
      <c r="F76" s="20" t="n">
        <v>13.713</v>
      </c>
      <c r="G76" s="20" t="n">
        <v>10.071</v>
      </c>
      <c r="H76" s="20" t="n">
        <v>29.306</v>
      </c>
      <c r="I76" s="20" t="n">
        <v>34.497</v>
      </c>
      <c r="J76" s="20" t="n">
        <v>219.097</v>
      </c>
      <c r="K76" s="20" t="n">
        <v>38.026</v>
      </c>
      <c r="L76" s="20" t="n">
        <v>10.071</v>
      </c>
    </row>
    <row r="77">
      <c r="A77" s="18" t="inlineStr">
        <is>
          <t>원재료</t>
        </is>
      </c>
      <c r="C77" s="20" t="n">
        <v>57.629</v>
      </c>
      <c r="D77" s="20" t="n">
        <v>53.469</v>
      </c>
      <c r="E77" s="20" t="n">
        <v>49.793</v>
      </c>
      <c r="F77" s="20" t="n">
        <v>45.895</v>
      </c>
      <c r="G77" s="20" t="n">
        <v>40.204</v>
      </c>
      <c r="H77" s="20" t="n">
        <v>56.714</v>
      </c>
      <c r="I77" s="20" t="n">
        <v>60.82</v>
      </c>
      <c r="J77" s="20" t="n">
        <v>47.055</v>
      </c>
      <c r="K77" s="20" t="n">
        <v>57.629</v>
      </c>
      <c r="L77" s="20" t="n">
        <v>40.204</v>
      </c>
    </row>
    <row r="78">
      <c r="A78" s="18" t="inlineStr">
        <is>
          <t>기타</t>
        </is>
      </c>
      <c r="C78" s="20" t="n">
        <v>216.664</v>
      </c>
      <c r="D78" s="20" t="n">
        <v>276.049</v>
      </c>
      <c r="E78" s="20" t="n">
        <v>342.308</v>
      </c>
      <c r="F78" s="20" t="n">
        <v>274.032</v>
      </c>
      <c r="G78" s="20" t="n">
        <v>214.363</v>
      </c>
      <c r="H78" s="20" t="n">
        <v>180.212</v>
      </c>
      <c r="I78" s="20" t="n">
        <v>202.976</v>
      </c>
      <c r="J78" s="20" t="n">
        <v>183.469</v>
      </c>
      <c r="K78" s="20" t="n">
        <v>216.664</v>
      </c>
      <c r="L78" s="20" t="n">
        <v>214.363</v>
      </c>
    </row>
    <row r="79">
      <c r="A79" s="18" t="inlineStr">
        <is>
          <t>대손충당금</t>
        </is>
      </c>
      <c r="C79" s="20" t="n">
        <v>-2.239</v>
      </c>
      <c r="D79" s="20" t="n">
        <v>-2.109</v>
      </c>
      <c r="E79" s="20" t="n">
        <v>-2.367</v>
      </c>
      <c r="F79" s="20" t="n">
        <v>-1.961</v>
      </c>
      <c r="G79" s="20" t="n">
        <v>-2.118</v>
      </c>
      <c r="H79" s="20" t="n">
        <v>-1.655</v>
      </c>
      <c r="I79" s="20" t="n">
        <v>-1.575</v>
      </c>
      <c r="J79" s="20" t="n">
        <v>-1.856</v>
      </c>
      <c r="K79" s="20" t="n">
        <v>-2.239</v>
      </c>
      <c r="L79" s="20" t="n">
        <v>-2.118</v>
      </c>
    </row>
    <row r="80">
      <c r="A80" s="9" t="inlineStr">
        <is>
          <t>유동자산 합계</t>
        </is>
      </c>
      <c r="C80" s="12" t="n">
        <v>10911.126</v>
      </c>
      <c r="D80" s="12" t="n">
        <v>11317.059</v>
      </c>
      <c r="E80" s="12" t="n">
        <v>10989.768</v>
      </c>
      <c r="F80" s="12" t="n">
        <v>11921.245</v>
      </c>
      <c r="G80" s="12" t="n">
        <v>11869.379</v>
      </c>
      <c r="H80" s="12" t="n">
        <v>8260.075999999999</v>
      </c>
      <c r="I80" s="12" t="n">
        <v>9725.739</v>
      </c>
      <c r="J80" s="12" t="n">
        <v>10085.344</v>
      </c>
      <c r="K80" s="12" t="n">
        <v>10911.126</v>
      </c>
      <c r="L80" s="12" t="n">
        <v>11869.379</v>
      </c>
    </row>
    <row r="81">
      <c r="A81" s="18" t="inlineStr">
        <is>
          <t>건물(순액)</t>
        </is>
      </c>
      <c r="C81" s="20" t="n">
        <v>218.201</v>
      </c>
      <c r="D81" s="20" t="n">
        <v>210.738</v>
      </c>
      <c r="E81" s="20" t="n">
        <v>356.576</v>
      </c>
      <c r="F81" s="20" t="n">
        <v>363.341</v>
      </c>
      <c r="G81" s="20" t="n">
        <v>355.513</v>
      </c>
      <c r="H81" s="20" t="n">
        <v>158.67</v>
      </c>
      <c r="I81" s="20" t="n">
        <v>175.696</v>
      </c>
      <c r="J81" s="20" t="n">
        <v>195.904</v>
      </c>
      <c r="K81" s="20" t="n">
        <v>218.201</v>
      </c>
      <c r="L81" s="20" t="n">
        <v>355.513</v>
      </c>
    </row>
    <row r="82">
      <c r="A82" s="18" t="inlineStr">
        <is>
          <t>공구·기구·비품(순액)</t>
        </is>
      </c>
      <c r="C82" s="20" t="n">
        <v>45.822</v>
      </c>
      <c r="D82" s="20" t="n">
        <v>44.074</v>
      </c>
      <c r="E82" s="20" t="n">
        <v>42.25</v>
      </c>
      <c r="F82" s="20" t="n">
        <v>42.087</v>
      </c>
      <c r="G82" s="20" t="n">
        <v>41.149</v>
      </c>
      <c r="H82" s="20" t="n">
        <v>40.058</v>
      </c>
      <c r="I82" s="20" t="n">
        <v>41.257</v>
      </c>
      <c r="J82" s="20" t="n">
        <v>55.356</v>
      </c>
      <c r="K82" s="20" t="n">
        <v>45.822</v>
      </c>
      <c r="L82" s="20" t="n">
        <v>41.149</v>
      </c>
    </row>
    <row r="83">
      <c r="A83" s="18" t="inlineStr">
        <is>
          <t>토지</t>
        </is>
      </c>
      <c r="C83" s="20" t="n">
        <v>613.061</v>
      </c>
      <c r="D83" s="20" t="n">
        <v>613.061</v>
      </c>
      <c r="E83" s="20" t="n">
        <v>613.061</v>
      </c>
      <c r="F83" s="20" t="n">
        <v>613.061</v>
      </c>
      <c r="G83" s="20" t="n">
        <v>613.061</v>
      </c>
      <c r="J83" s="20" t="n">
        <v>0</v>
      </c>
      <c r="K83" s="20" t="n">
        <v>613.061</v>
      </c>
      <c r="L83" s="20" t="n">
        <v>613.061</v>
      </c>
    </row>
    <row r="84">
      <c r="A84" s="18" t="inlineStr">
        <is>
          <t>건설중인자산</t>
        </is>
      </c>
      <c r="C84" s="20" t="n">
        <v>0</v>
      </c>
      <c r="D84" s="20" t="n">
        <v>128.828</v>
      </c>
      <c r="E84" s="20" t="n">
        <v>13.251</v>
      </c>
      <c r="K84" s="20" t="n">
        <v>0</v>
      </c>
    </row>
    <row r="85">
      <c r="A85" s="18" t="inlineStr">
        <is>
          <t>기타</t>
        </is>
      </c>
      <c r="C85" s="20" t="n">
        <v>2.015</v>
      </c>
      <c r="D85" s="20" t="n">
        <v>9.785</v>
      </c>
      <c r="E85" s="20" t="n">
        <v>9.125</v>
      </c>
      <c r="F85" s="20" t="n">
        <v>11.487</v>
      </c>
      <c r="G85" s="20" t="n">
        <v>12.129</v>
      </c>
      <c r="H85" s="20" t="n">
        <v>8.59</v>
      </c>
      <c r="I85" s="20" t="n">
        <v>5.746</v>
      </c>
      <c r="J85" s="20" t="n">
        <v>133.636</v>
      </c>
      <c r="K85" s="20" t="n">
        <v>2.015</v>
      </c>
      <c r="L85" s="20" t="n">
        <v>12.129</v>
      </c>
    </row>
    <row r="86">
      <c r="A86" s="18" t="inlineStr">
        <is>
          <t>유형자산 합계</t>
        </is>
      </c>
      <c r="C86" s="20" t="n">
        <v>879.1</v>
      </c>
      <c r="D86" s="20" t="n">
        <v>1006.488</v>
      </c>
      <c r="E86" s="20" t="n">
        <v>1034.266</v>
      </c>
      <c r="F86" s="20" t="n">
        <v>1029.978</v>
      </c>
      <c r="G86" s="20" t="n">
        <v>1021.854</v>
      </c>
      <c r="H86" s="20" t="n">
        <v>207.318</v>
      </c>
      <c r="I86" s="20" t="n">
        <v>222.7</v>
      </c>
      <c r="J86" s="20" t="n">
        <v>384.897</v>
      </c>
      <c r="K86" s="20" t="n">
        <v>879.1</v>
      </c>
      <c r="L86" s="20" t="n">
        <v>1021.854</v>
      </c>
    </row>
    <row r="87">
      <c r="A87" s="18" t="inlineStr">
        <is>
          <t>영업권</t>
        </is>
      </c>
      <c r="C87" s="20" t="n">
        <v>99.10299999999999</v>
      </c>
      <c r="D87" s="20" t="n">
        <v>92.672</v>
      </c>
      <c r="E87" s="20" t="n">
        <v>86.241</v>
      </c>
      <c r="F87" s="20" t="n">
        <v>79.81</v>
      </c>
      <c r="G87" s="20" t="n">
        <v>73.379</v>
      </c>
      <c r="H87" s="20" t="n">
        <v>6.843</v>
      </c>
      <c r="I87" s="20" t="n">
        <v>0</v>
      </c>
      <c r="J87" s="20" t="n">
        <v>124.827</v>
      </c>
      <c r="K87" s="20" t="n">
        <v>99.10299999999999</v>
      </c>
      <c r="L87" s="20" t="n">
        <v>73.379</v>
      </c>
    </row>
    <row r="88">
      <c r="A88" s="18" t="inlineStr">
        <is>
          <t>소프트웨어</t>
        </is>
      </c>
      <c r="C88" s="20" t="n">
        <v>0.121</v>
      </c>
      <c r="D88" s="20" t="n">
        <v>0.091</v>
      </c>
      <c r="E88" s="20" t="n">
        <v>0.061</v>
      </c>
      <c r="F88" s="20" t="n">
        <v>0.109</v>
      </c>
      <c r="G88" s="20" t="n">
        <v>0.04</v>
      </c>
      <c r="H88" s="20" t="n">
        <v>1.279</v>
      </c>
      <c r="I88" s="20" t="n">
        <v>0.794</v>
      </c>
      <c r="J88" s="20" t="n">
        <v>0.435</v>
      </c>
      <c r="K88" s="20" t="n">
        <v>0.121</v>
      </c>
      <c r="L88" s="20" t="n">
        <v>0.04</v>
      </c>
    </row>
    <row r="89">
      <c r="A89" s="18" t="inlineStr">
        <is>
          <t>개발 중 소프트웨어</t>
        </is>
      </c>
      <c r="C89" s="20" t="n">
        <v>0</v>
      </c>
      <c r="E89" s="20" t="n">
        <v>42.57</v>
      </c>
      <c r="F89" s="20" t="n">
        <v>66.8</v>
      </c>
      <c r="K89" s="20" t="n">
        <v>0</v>
      </c>
    </row>
    <row r="90">
      <c r="A90" s="18" t="inlineStr">
        <is>
          <t>기타</t>
        </is>
      </c>
      <c r="C90" s="20" t="n">
        <v>1.807</v>
      </c>
      <c r="D90" s="20" t="n">
        <v>1.807</v>
      </c>
      <c r="E90" s="20" t="n">
        <v>1.807</v>
      </c>
      <c r="F90" s="20" t="n">
        <v>1.807</v>
      </c>
      <c r="G90" s="20" t="n">
        <v>1.807</v>
      </c>
      <c r="H90" s="20" t="n">
        <v>1.662</v>
      </c>
      <c r="I90" s="20" t="n">
        <v>1.662</v>
      </c>
      <c r="J90" s="20" t="n">
        <v>1.807</v>
      </c>
      <c r="K90" s="20" t="n">
        <v>1.807</v>
      </c>
      <c r="L90" s="20" t="n">
        <v>1.807</v>
      </c>
    </row>
    <row r="91">
      <c r="A91" s="18" t="inlineStr">
        <is>
          <t>무형자산 합계</t>
        </is>
      </c>
      <c r="C91" s="20" t="n">
        <v>101.032</v>
      </c>
      <c r="D91" s="20" t="n">
        <v>94.571</v>
      </c>
      <c r="E91" s="20" t="n">
        <v>130.68</v>
      </c>
      <c r="F91" s="20" t="n">
        <v>148.527</v>
      </c>
      <c r="G91" s="20" t="n">
        <v>75.227</v>
      </c>
      <c r="H91" s="20" t="n">
        <v>9.785</v>
      </c>
      <c r="I91" s="20" t="n">
        <v>2.456</v>
      </c>
      <c r="J91" s="20" t="n">
        <v>127.07</v>
      </c>
      <c r="K91" s="20" t="n">
        <v>101.032</v>
      </c>
      <c r="L91" s="20" t="n">
        <v>75.227</v>
      </c>
    </row>
    <row r="92">
      <c r="A92" s="18" t="inlineStr">
        <is>
          <t>투자유가증권</t>
        </is>
      </c>
      <c r="C92" s="20" t="n">
        <v>3.496</v>
      </c>
      <c r="D92" s="20" t="n">
        <v>3.496</v>
      </c>
      <c r="E92" s="20" t="n">
        <v>3.496</v>
      </c>
      <c r="F92" s="20" t="n">
        <v>3.496</v>
      </c>
      <c r="G92" s="20" t="n">
        <v>3.496</v>
      </c>
      <c r="H92" s="20" t="n">
        <v>118.34</v>
      </c>
      <c r="I92" s="20" t="n">
        <v>108.991</v>
      </c>
      <c r="J92" s="20" t="n">
        <v>3.496</v>
      </c>
      <c r="K92" s="20" t="n">
        <v>3.496</v>
      </c>
      <c r="L92" s="20" t="n">
        <v>3.496</v>
      </c>
    </row>
    <row r="93">
      <c r="A93" s="18" t="inlineStr">
        <is>
          <t>이연법인세자산</t>
        </is>
      </c>
      <c r="C93" s="20" t="n">
        <v>536.015</v>
      </c>
      <c r="D93" s="20" t="n">
        <v>736.373</v>
      </c>
      <c r="E93" s="20" t="n">
        <v>535.765</v>
      </c>
      <c r="F93" s="20" t="n">
        <v>734.116</v>
      </c>
      <c r="G93" s="20" t="n">
        <v>575.649</v>
      </c>
      <c r="H93" s="20" t="n">
        <v>449.378</v>
      </c>
      <c r="I93" s="20" t="n">
        <v>501.916</v>
      </c>
      <c r="J93" s="20" t="n">
        <v>532.306</v>
      </c>
      <c r="K93" s="20" t="n">
        <v>536.015</v>
      </c>
      <c r="L93" s="20" t="n">
        <v>575.649</v>
      </c>
    </row>
    <row r="94">
      <c r="A94" s="18" t="inlineStr">
        <is>
          <t>임차보증금·보증금</t>
        </is>
      </c>
      <c r="C94" s="20" t="n">
        <v>337.449</v>
      </c>
      <c r="D94" s="20" t="n">
        <v>334.582</v>
      </c>
      <c r="E94" s="20" t="n">
        <v>332.516</v>
      </c>
      <c r="F94" s="20" t="n">
        <v>320.877</v>
      </c>
      <c r="G94" s="20" t="n">
        <v>318.325</v>
      </c>
      <c r="H94" s="20" t="n">
        <v>241.783</v>
      </c>
      <c r="I94" s="20" t="n">
        <v>288.812</v>
      </c>
      <c r="J94" s="20" t="n">
        <v>332.158</v>
      </c>
      <c r="K94" s="20" t="n">
        <v>337.449</v>
      </c>
      <c r="L94" s="20" t="n">
        <v>318.325</v>
      </c>
    </row>
    <row r="95">
      <c r="A95" s="18" t="inlineStr">
        <is>
          <t>보험적립금</t>
        </is>
      </c>
      <c r="C95" s="20" t="n">
        <v>546.696</v>
      </c>
      <c r="D95" s="20" t="n">
        <v>576.385</v>
      </c>
      <c r="E95" s="20" t="n">
        <v>629.647</v>
      </c>
      <c r="F95" s="20" t="n">
        <v>625.782</v>
      </c>
      <c r="G95" s="20" t="n">
        <v>626.3390000000001</v>
      </c>
      <c r="H95" s="20" t="n">
        <v>292.29</v>
      </c>
      <c r="I95" s="20" t="n">
        <v>375.892</v>
      </c>
      <c r="J95" s="20" t="n">
        <v>465.282</v>
      </c>
      <c r="K95" s="20" t="n">
        <v>546.696</v>
      </c>
      <c r="L95" s="20" t="n">
        <v>626.3390000000001</v>
      </c>
    </row>
    <row r="96">
      <c r="A96" s="18" t="inlineStr">
        <is>
          <t>기타</t>
        </is>
      </c>
      <c r="C96" s="20" t="n">
        <v>13.532</v>
      </c>
      <c r="D96" s="20" t="n">
        <v>13.879</v>
      </c>
      <c r="E96" s="20" t="n">
        <v>13.65</v>
      </c>
      <c r="F96" s="20" t="n">
        <v>10.48</v>
      </c>
      <c r="G96" s="20" t="n">
        <v>87.04300000000001</v>
      </c>
      <c r="H96" s="20" t="n">
        <v>41.454</v>
      </c>
      <c r="I96" s="20" t="n">
        <v>27.154</v>
      </c>
      <c r="J96" s="20" t="n">
        <v>121.565</v>
      </c>
      <c r="K96" s="20" t="n">
        <v>13.532</v>
      </c>
      <c r="L96" s="20" t="n">
        <v>87.04300000000001</v>
      </c>
    </row>
    <row r="97">
      <c r="A97" s="18" t="inlineStr">
        <is>
          <t>대손충당금</t>
        </is>
      </c>
      <c r="C97" s="20" t="n">
        <v>-4.113</v>
      </c>
      <c r="D97" s="20" t="n">
        <v>-4.113</v>
      </c>
      <c r="E97" s="20" t="n">
        <v>-4.113</v>
      </c>
      <c r="F97" s="20" t="n">
        <v>-4.113</v>
      </c>
      <c r="G97" s="20" t="n">
        <v>-4.113</v>
      </c>
      <c r="J97" s="20" t="n">
        <v>0</v>
      </c>
      <c r="K97" s="20" t="n">
        <v>-4.113</v>
      </c>
      <c r="L97" s="20" t="n">
        <v>-4.113</v>
      </c>
    </row>
    <row r="98">
      <c r="A98" s="18" t="inlineStr">
        <is>
          <t>투자 및 기타자산 합계</t>
        </is>
      </c>
      <c r="C98" s="20" t="n">
        <v>1433.077</v>
      </c>
      <c r="D98" s="20" t="n">
        <v>1660.603</v>
      </c>
      <c r="E98" s="20" t="n">
        <v>1510.962</v>
      </c>
      <c r="F98" s="20" t="n">
        <v>1690.64</v>
      </c>
      <c r="G98" s="20" t="n">
        <v>1606.74</v>
      </c>
      <c r="H98" s="20" t="n">
        <v>1143.248</v>
      </c>
      <c r="I98" s="20" t="n">
        <v>1302.767</v>
      </c>
      <c r="J98" s="20" t="n">
        <v>1454.809</v>
      </c>
      <c r="K98" s="20" t="n">
        <v>1433.077</v>
      </c>
      <c r="L98" s="20" t="n">
        <v>1606.74</v>
      </c>
    </row>
    <row r="99">
      <c r="A99" s="9" t="inlineStr">
        <is>
          <t>비유동자산 합계</t>
        </is>
      </c>
      <c r="C99" s="12" t="n">
        <v>2413.21</v>
      </c>
      <c r="D99" s="12" t="n">
        <v>2761.663</v>
      </c>
      <c r="E99" s="12" t="n">
        <v>2675.909</v>
      </c>
      <c r="F99" s="12" t="n">
        <v>2869.146</v>
      </c>
      <c r="G99" s="12" t="n">
        <v>2703.822</v>
      </c>
      <c r="H99" s="12" t="n">
        <v>1360.352</v>
      </c>
      <c r="I99" s="12" t="n">
        <v>1527.925</v>
      </c>
      <c r="J99" s="12" t="n">
        <v>1966.777</v>
      </c>
      <c r="K99" s="12" t="n">
        <v>2413.21</v>
      </c>
      <c r="L99" s="12" t="n">
        <v>2703.822</v>
      </c>
    </row>
    <row r="100">
      <c r="A100" s="9" t="inlineStr">
        <is>
          <t>자산 합계</t>
        </is>
      </c>
      <c r="C100" s="12" t="n">
        <v>13324.336</v>
      </c>
      <c r="D100" s="12" t="n">
        <v>14078.723</v>
      </c>
      <c r="E100" s="12" t="n">
        <v>13665.677</v>
      </c>
      <c r="F100" s="12" t="n">
        <v>14790.392</v>
      </c>
      <c r="G100" s="12" t="n">
        <v>14573.202</v>
      </c>
      <c r="H100" s="12" t="n">
        <v>9620.428</v>
      </c>
      <c r="I100" s="12" t="n">
        <v>11253.664</v>
      </c>
      <c r="J100" s="12" t="n">
        <v>12052.121</v>
      </c>
      <c r="K100" s="12" t="n">
        <v>13324.336</v>
      </c>
      <c r="L100" s="12" t="n">
        <v>14573.202</v>
      </c>
    </row>
    <row r="101">
      <c r="A101" s="18" t="inlineStr">
        <is>
          <t>매입채무</t>
        </is>
      </c>
      <c r="C101" s="20" t="n">
        <v>332.631</v>
      </c>
      <c r="D101" s="20" t="n">
        <v>319.413</v>
      </c>
      <c r="E101" s="20" t="n">
        <v>344.09</v>
      </c>
      <c r="F101" s="20" t="n">
        <v>330.846</v>
      </c>
      <c r="G101" s="20" t="n">
        <v>377.206</v>
      </c>
      <c r="H101" s="20" t="n">
        <v>159.59</v>
      </c>
      <c r="I101" s="20" t="n">
        <v>130.402</v>
      </c>
      <c r="J101" s="20" t="n">
        <v>262.363</v>
      </c>
      <c r="K101" s="20" t="n">
        <v>332.631</v>
      </c>
      <c r="L101" s="20" t="n">
        <v>377.206</v>
      </c>
    </row>
    <row r="102">
      <c r="A102" s="18" t="inlineStr">
        <is>
          <t>1년 내 상환 장기차입금</t>
        </is>
      </c>
      <c r="C102" s="20" t="n">
        <v>27.798</v>
      </c>
      <c r="D102" s="20" t="n">
        <v>19.467</v>
      </c>
      <c r="E102" s="20" t="n">
        <v>11.136</v>
      </c>
      <c r="F102" s="20" t="n">
        <v>2.805</v>
      </c>
      <c r="G102" s="20" t="n">
        <v>0</v>
      </c>
      <c r="H102" s="20" t="n">
        <v>600</v>
      </c>
      <c r="I102" s="20" t="n">
        <v>183.324</v>
      </c>
      <c r="J102" s="20" t="n">
        <v>39.204</v>
      </c>
      <c r="K102" s="20" t="n">
        <v>27.798</v>
      </c>
      <c r="L102" s="20" t="n">
        <v>0</v>
      </c>
    </row>
    <row r="103">
      <c r="A103" s="18" t="inlineStr">
        <is>
          <t>미지급금</t>
        </is>
      </c>
      <c r="C103" s="20" t="n">
        <v>1484.676</v>
      </c>
      <c r="D103" s="20" t="n">
        <v>2751.686</v>
      </c>
      <c r="E103" s="20" t="n">
        <v>1456.638</v>
      </c>
      <c r="F103" s="20" t="n">
        <v>2701.612</v>
      </c>
      <c r="G103" s="20" t="n">
        <v>1357.483</v>
      </c>
      <c r="H103" s="20" t="n">
        <v>1251.202</v>
      </c>
      <c r="I103" s="20" t="n">
        <v>1417.198</v>
      </c>
      <c r="J103" s="20" t="n">
        <v>1461.721</v>
      </c>
      <c r="K103" s="20" t="n">
        <v>1484.676</v>
      </c>
      <c r="L103" s="20" t="n">
        <v>1357.483</v>
      </c>
    </row>
    <row r="104">
      <c r="A104" s="18" t="inlineStr">
        <is>
          <t>미지급법인세</t>
        </is>
      </c>
      <c r="C104" s="20" t="n">
        <v>543.327</v>
      </c>
      <c r="D104" s="20" t="n">
        <v>454.325</v>
      </c>
      <c r="E104" s="20" t="n">
        <v>565.2190000000001</v>
      </c>
      <c r="F104" s="20" t="n">
        <v>627.071</v>
      </c>
      <c r="G104" s="20" t="n">
        <v>741.866</v>
      </c>
      <c r="H104" s="20" t="n">
        <v>244.557</v>
      </c>
      <c r="I104" s="20" t="n">
        <v>500.088</v>
      </c>
      <c r="J104" s="20" t="n">
        <v>441.369</v>
      </c>
      <c r="K104" s="20" t="n">
        <v>543.327</v>
      </c>
      <c r="L104" s="20" t="n">
        <v>741.866</v>
      </c>
    </row>
    <row r="105">
      <c r="A105" s="18" t="inlineStr">
        <is>
          <t>미지급 소비세</t>
        </is>
      </c>
      <c r="C105" s="20" t="n">
        <v>384.36</v>
      </c>
      <c r="D105" s="20" t="n">
        <v>483.945</v>
      </c>
      <c r="E105" s="20" t="n">
        <v>305.969</v>
      </c>
      <c r="F105" s="20" t="n">
        <v>310.136</v>
      </c>
      <c r="G105" s="20" t="n">
        <v>332.091</v>
      </c>
      <c r="H105" s="20" t="n">
        <v>408.82</v>
      </c>
      <c r="I105" s="20" t="n">
        <v>541.648</v>
      </c>
      <c r="J105" s="20" t="n">
        <v>385.225</v>
      </c>
      <c r="K105" s="20" t="n">
        <v>384.36</v>
      </c>
      <c r="L105" s="20" t="n">
        <v>332.091</v>
      </c>
    </row>
    <row r="106">
      <c r="A106" s="18" t="inlineStr">
        <is>
          <t>상여충당금</t>
        </is>
      </c>
      <c r="C106" s="20" t="n">
        <v>1157.787</v>
      </c>
      <c r="D106" s="20" t="n">
        <v>605.592</v>
      </c>
      <c r="E106" s="20" t="n">
        <v>1167.975</v>
      </c>
      <c r="F106" s="20" t="n">
        <v>586.418</v>
      </c>
      <c r="G106" s="20" t="n">
        <v>1214.762</v>
      </c>
      <c r="H106" s="20" t="n">
        <v>912.9160000000001</v>
      </c>
      <c r="I106" s="20" t="n">
        <v>1105.938</v>
      </c>
      <c r="J106" s="20" t="n">
        <v>1215.1</v>
      </c>
      <c r="K106" s="20" t="n">
        <v>1157.787</v>
      </c>
      <c r="L106" s="20" t="n">
        <v>1214.762</v>
      </c>
    </row>
    <row r="107">
      <c r="A107" s="18" t="inlineStr">
        <is>
          <t>수주손실 충당금</t>
        </is>
      </c>
      <c r="C107" s="20" t="n">
        <v>1.539</v>
      </c>
      <c r="D107" s="20" t="n">
        <v>2.045</v>
      </c>
      <c r="E107" s="20" t="n">
        <v>0.269</v>
      </c>
      <c r="F107" s="20" t="n">
        <v>0</v>
      </c>
      <c r="G107" s="20" t="n">
        <v>0</v>
      </c>
      <c r="H107" s="20" t="n">
        <v>0.896</v>
      </c>
      <c r="I107" s="20" t="n">
        <v>0</v>
      </c>
      <c r="J107" s="20" t="n">
        <v>0.468</v>
      </c>
      <c r="K107" s="20" t="n">
        <v>1.539</v>
      </c>
      <c r="L107" s="20" t="n">
        <v>0</v>
      </c>
    </row>
    <row r="108">
      <c r="A108" s="18" t="inlineStr">
        <is>
          <t>기타</t>
        </is>
      </c>
      <c r="C108" s="20" t="n">
        <v>350.961</v>
      </c>
      <c r="D108" s="20" t="n">
        <v>266.355</v>
      </c>
      <c r="E108" s="20" t="n">
        <v>270.58</v>
      </c>
      <c r="F108" s="20" t="n">
        <v>258.328</v>
      </c>
      <c r="G108" s="20" t="n">
        <v>278.567</v>
      </c>
      <c r="H108" s="20" t="n">
        <v>250.915</v>
      </c>
      <c r="I108" s="20" t="n">
        <v>300.343</v>
      </c>
      <c r="J108" s="20" t="n">
        <v>318.65</v>
      </c>
      <c r="K108" s="20" t="n">
        <v>350.961</v>
      </c>
      <c r="L108" s="20" t="n">
        <v>278.567</v>
      </c>
    </row>
    <row r="109">
      <c r="A109" s="9" t="inlineStr">
        <is>
          <t>유동부채 합계</t>
        </is>
      </c>
      <c r="C109" s="12" t="n">
        <v>4283.083</v>
      </c>
      <c r="D109" s="12" t="n">
        <v>4902.829</v>
      </c>
      <c r="E109" s="12" t="n">
        <v>4121.879</v>
      </c>
      <c r="F109" s="12" t="n">
        <v>4817.218</v>
      </c>
      <c r="G109" s="12" t="n">
        <v>4301.977</v>
      </c>
      <c r="H109" s="12" t="n">
        <v>3828.899</v>
      </c>
      <c r="I109" s="12" t="n">
        <v>4178.943</v>
      </c>
      <c r="J109" s="12" t="n">
        <v>4124.102</v>
      </c>
      <c r="K109" s="12" t="n">
        <v>4283.083</v>
      </c>
      <c r="L109" s="12" t="n">
        <v>4301.977</v>
      </c>
    </row>
    <row r="110">
      <c r="A110" s="18" t="inlineStr">
        <is>
          <t>장기차입금</t>
        </is>
      </c>
      <c r="C110" s="20" t="n">
        <v>0</v>
      </c>
      <c r="H110" s="20" t="n">
        <v>150</v>
      </c>
      <c r="I110" s="20" t="n">
        <v>61.122</v>
      </c>
      <c r="J110" s="20" t="n">
        <v>45.698</v>
      </c>
      <c r="K110" s="20" t="n">
        <v>0</v>
      </c>
    </row>
    <row r="111">
      <c r="A111" s="18" t="inlineStr">
        <is>
          <t>퇴직급여부채</t>
        </is>
      </c>
      <c r="C111" s="20" t="n">
        <v>79.72</v>
      </c>
      <c r="D111" s="20" t="n">
        <v>78.51600000000001</v>
      </c>
      <c r="E111" s="20" t="n">
        <v>77.547</v>
      </c>
      <c r="F111" s="20" t="n">
        <v>76.303</v>
      </c>
      <c r="G111" s="20" t="n">
        <v>66.36799999999999</v>
      </c>
      <c r="H111" s="20" t="n">
        <v>113.074</v>
      </c>
      <c r="I111" s="20" t="n">
        <v>102.318</v>
      </c>
      <c r="J111" s="20" t="n">
        <v>91.38200000000001</v>
      </c>
      <c r="K111" s="20" t="n">
        <v>79.72</v>
      </c>
      <c r="L111" s="20" t="n">
        <v>66.36799999999999</v>
      </c>
    </row>
    <row r="112">
      <c r="A112" s="18" t="inlineStr">
        <is>
          <t>주식급여 충당금</t>
        </is>
      </c>
      <c r="C112" s="20" t="n">
        <v>55.525</v>
      </c>
      <c r="D112" s="20" t="n">
        <v>55.525</v>
      </c>
      <c r="E112" s="20" t="n">
        <v>55.525</v>
      </c>
      <c r="F112" s="20" t="n">
        <v>55.525</v>
      </c>
      <c r="G112" s="20" t="n">
        <v>47.058</v>
      </c>
      <c r="J112" s="20" t="n">
        <v>0</v>
      </c>
      <c r="K112" s="20" t="n">
        <v>55.525</v>
      </c>
      <c r="L112" s="20" t="n">
        <v>47.058</v>
      </c>
    </row>
    <row r="113">
      <c r="A113" s="18" t="inlineStr">
        <is>
          <t>기타</t>
        </is>
      </c>
      <c r="C113" s="20" t="n">
        <v>3.233</v>
      </c>
      <c r="D113" s="20" t="n">
        <v>9.472</v>
      </c>
      <c r="E113" s="20" t="n">
        <v>8.542999999999999</v>
      </c>
      <c r="F113" s="20" t="n">
        <v>5.529</v>
      </c>
      <c r="G113" s="20" t="n">
        <v>4.983</v>
      </c>
      <c r="H113" s="20" t="n">
        <v>9.302</v>
      </c>
      <c r="I113" s="20" t="n">
        <v>7.063</v>
      </c>
      <c r="J113" s="20" t="n">
        <v>28.325</v>
      </c>
      <c r="K113" s="20" t="n">
        <v>3.233</v>
      </c>
      <c r="L113" s="20" t="n">
        <v>4.983</v>
      </c>
    </row>
    <row r="114">
      <c r="A114" s="9" t="inlineStr">
        <is>
          <t>비유동부채 합계</t>
        </is>
      </c>
      <c r="C114" s="12" t="n">
        <v>138.479</v>
      </c>
      <c r="D114" s="12" t="n">
        <v>143.514</v>
      </c>
      <c r="E114" s="12" t="n">
        <v>141.616</v>
      </c>
      <c r="F114" s="12" t="n">
        <v>137.358</v>
      </c>
      <c r="G114" s="12" t="n">
        <v>118.41</v>
      </c>
      <c r="H114" s="12" t="n">
        <v>272.376</v>
      </c>
      <c r="I114" s="12" t="n">
        <v>170.503</v>
      </c>
      <c r="J114" s="12" t="n">
        <v>165.405</v>
      </c>
      <c r="K114" s="12" t="n">
        <v>138.479</v>
      </c>
      <c r="L114" s="12" t="n">
        <v>118.41</v>
      </c>
    </row>
    <row r="115">
      <c r="A115" s="9" t="inlineStr">
        <is>
          <t>부채 합계</t>
        </is>
      </c>
      <c r="C115" s="12" t="n">
        <v>4421.562</v>
      </c>
      <c r="D115" s="12" t="n">
        <v>5046.344</v>
      </c>
      <c r="E115" s="12" t="n">
        <v>4263.495</v>
      </c>
      <c r="F115" s="12" t="n">
        <v>4954.577</v>
      </c>
      <c r="G115" s="12" t="n">
        <v>4420.388</v>
      </c>
      <c r="H115" s="12" t="n">
        <v>4101.275</v>
      </c>
      <c r="I115" s="12" t="n">
        <v>4349.447</v>
      </c>
      <c r="J115" s="12" t="n">
        <v>4289.507</v>
      </c>
      <c r="K115" s="12" t="n">
        <v>4421.562</v>
      </c>
      <c r="L115" s="12" t="n">
        <v>4420.388</v>
      </c>
    </row>
    <row r="116">
      <c r="A116" s="18" t="inlineStr">
        <is>
          <t>자본금</t>
        </is>
      </c>
      <c r="C116" s="20" t="n">
        <v>312.433</v>
      </c>
      <c r="D116" s="20" t="n">
        <v>312.433</v>
      </c>
      <c r="E116" s="20" t="n">
        <v>322.962</v>
      </c>
      <c r="F116" s="20" t="n">
        <v>323.356</v>
      </c>
      <c r="G116" s="20" t="n">
        <v>323.356</v>
      </c>
      <c r="H116" s="20" t="n">
        <v>306.232</v>
      </c>
      <c r="I116" s="20" t="n">
        <v>307.006</v>
      </c>
      <c r="J116" s="20" t="n">
        <v>311.269</v>
      </c>
      <c r="K116" s="20" t="n">
        <v>312.433</v>
      </c>
      <c r="L116" s="20" t="n">
        <v>323.356</v>
      </c>
    </row>
    <row r="117">
      <c r="A117" s="18" t="inlineStr">
        <is>
          <t>자본잉여금</t>
        </is>
      </c>
      <c r="C117" s="20" t="n">
        <v>224.583</v>
      </c>
      <c r="D117" s="20" t="n">
        <v>224.583</v>
      </c>
      <c r="E117" s="20" t="n">
        <v>235.112</v>
      </c>
      <c r="F117" s="20" t="n">
        <v>235.506</v>
      </c>
      <c r="G117" s="20" t="n">
        <v>235.506</v>
      </c>
      <c r="H117" s="20" t="n">
        <v>503.982</v>
      </c>
      <c r="I117" s="20" t="n">
        <v>504.756</v>
      </c>
      <c r="J117" s="20" t="n">
        <v>309.835</v>
      </c>
      <c r="K117" s="20" t="n">
        <v>224.583</v>
      </c>
      <c r="L117" s="20" t="n">
        <v>235.506</v>
      </c>
    </row>
    <row r="118">
      <c r="A118" s="18" t="inlineStr">
        <is>
          <t>이익잉여금</t>
        </is>
      </c>
      <c r="C118" s="20" t="n">
        <v>8912.335999999999</v>
      </c>
      <c r="D118" s="20" t="n">
        <v>9092.916999999999</v>
      </c>
      <c r="E118" s="20" t="n">
        <v>9445.601000000001</v>
      </c>
      <c r="F118" s="20" t="n">
        <v>9983.609</v>
      </c>
      <c r="G118" s="20" t="n">
        <v>10387.197</v>
      </c>
      <c r="H118" s="20" t="n">
        <v>4700.243</v>
      </c>
      <c r="I118" s="20" t="n">
        <v>6052.693</v>
      </c>
      <c r="J118" s="20" t="n">
        <v>7482.934</v>
      </c>
      <c r="K118" s="20" t="n">
        <v>8912.335999999999</v>
      </c>
      <c r="L118" s="20" t="n">
        <v>10387.197</v>
      </c>
    </row>
    <row r="119">
      <c r="A119" s="18" t="inlineStr">
        <is>
          <t>자기주식</t>
        </is>
      </c>
      <c r="C119" s="20" t="n">
        <v>-582.678</v>
      </c>
      <c r="D119" s="20" t="n">
        <v>-632.648</v>
      </c>
      <c r="E119" s="20" t="n">
        <v>-632.7089999999999</v>
      </c>
      <c r="F119" s="20" t="n">
        <v>-736.504</v>
      </c>
      <c r="G119" s="20" t="n">
        <v>-828.371</v>
      </c>
      <c r="H119" s="20" t="n">
        <v>-0.199</v>
      </c>
      <c r="I119" s="20" t="n">
        <v>-0.199</v>
      </c>
      <c r="J119" s="20" t="n">
        <v>-374.518</v>
      </c>
      <c r="K119" s="20" t="n">
        <v>-582.678</v>
      </c>
      <c r="L119" s="20" t="n">
        <v>-828.371</v>
      </c>
    </row>
    <row r="120">
      <c r="A120" s="9" t="inlineStr">
        <is>
          <t>주주자본 합계</t>
        </is>
      </c>
      <c r="C120" s="12" t="n">
        <v>8866.674999999999</v>
      </c>
      <c r="D120" s="12" t="n">
        <v>8997.286</v>
      </c>
      <c r="E120" s="12" t="n">
        <v>9370.966</v>
      </c>
      <c r="F120" s="12" t="n">
        <v>9805.967000000001</v>
      </c>
      <c r="G120" s="12" t="n">
        <v>10117.69</v>
      </c>
      <c r="H120" s="12" t="n">
        <v>5510.259</v>
      </c>
      <c r="I120" s="12" t="n">
        <v>6864.256</v>
      </c>
      <c r="J120" s="12" t="n">
        <v>7729.52</v>
      </c>
      <c r="K120" s="12" t="n">
        <v>8866.674999999999</v>
      </c>
      <c r="L120" s="12" t="n">
        <v>10117.69</v>
      </c>
    </row>
    <row r="121">
      <c r="A121" s="18" t="inlineStr">
        <is>
          <t>기타유가증권 평가차액</t>
        </is>
      </c>
      <c r="H121" s="20" t="n">
        <v>0.079</v>
      </c>
      <c r="I121" s="20" t="n">
        <v>0.033</v>
      </c>
      <c r="J121" s="20" t="n">
        <v>0</v>
      </c>
    </row>
    <row r="122">
      <c r="A122" s="18" t="inlineStr">
        <is>
          <t>퇴직급여 조정누계액</t>
        </is>
      </c>
      <c r="C122" s="20" t="n">
        <v>4.027</v>
      </c>
      <c r="D122" s="20" t="n">
        <v>3.02</v>
      </c>
      <c r="E122" s="20" t="n">
        <v>2.013</v>
      </c>
      <c r="F122" s="20" t="n">
        <v>1.006</v>
      </c>
      <c r="G122" s="20" t="n">
        <v>6.283</v>
      </c>
      <c r="H122" s="20" t="n">
        <v>3.908</v>
      </c>
      <c r="I122" s="20" t="n">
        <v>3.656</v>
      </c>
      <c r="J122" s="20" t="n">
        <v>2.474</v>
      </c>
      <c r="K122" s="20" t="n">
        <v>4.027</v>
      </c>
      <c r="L122" s="20" t="n">
        <v>6.283</v>
      </c>
    </row>
    <row r="123">
      <c r="A123" s="18" t="inlineStr">
        <is>
          <t>기타포괄손익누계액 합계</t>
        </is>
      </c>
      <c r="C123" s="20" t="n">
        <v>4.027</v>
      </c>
      <c r="D123" s="20" t="n">
        <v>3.02</v>
      </c>
      <c r="E123" s="20" t="n">
        <v>2.013</v>
      </c>
      <c r="F123" s="20" t="n">
        <v>1.006</v>
      </c>
      <c r="G123" s="20" t="n">
        <v>6.283</v>
      </c>
      <c r="H123" s="20" t="n">
        <v>3.987</v>
      </c>
      <c r="I123" s="20" t="n">
        <v>3.69</v>
      </c>
      <c r="J123" s="20" t="n">
        <v>2.474</v>
      </c>
      <c r="K123" s="20" t="n">
        <v>4.027</v>
      </c>
      <c r="L123" s="20" t="n">
        <v>6.283</v>
      </c>
    </row>
    <row r="124">
      <c r="A124" s="18" t="inlineStr">
        <is>
          <t>신주예약권</t>
        </is>
      </c>
      <c r="C124" s="20" t="n">
        <v>32.072</v>
      </c>
      <c r="D124" s="20" t="n">
        <v>32.072</v>
      </c>
      <c r="E124" s="20" t="n">
        <v>29.201</v>
      </c>
      <c r="F124" s="20" t="n">
        <v>28.84</v>
      </c>
      <c r="G124" s="20" t="n">
        <v>28.84</v>
      </c>
      <c r="H124" s="20" t="n">
        <v>4.906</v>
      </c>
      <c r="I124" s="20" t="n">
        <v>36.27</v>
      </c>
      <c r="J124" s="20" t="n">
        <v>30.619</v>
      </c>
      <c r="K124" s="20" t="n">
        <v>32.072</v>
      </c>
      <c r="L124" s="20" t="n">
        <v>28.84</v>
      </c>
    </row>
    <row r="125">
      <c r="A125" s="9" t="inlineStr">
        <is>
          <t>순자산 합계</t>
        </is>
      </c>
      <c r="C125" s="12" t="n">
        <v>8902.773999999999</v>
      </c>
      <c r="D125" s="12" t="n">
        <v>9032.379000000001</v>
      </c>
      <c r="E125" s="12" t="n">
        <v>9402.181</v>
      </c>
      <c r="F125" s="12" t="n">
        <v>9835.814</v>
      </c>
      <c r="G125" s="12" t="n">
        <v>10152.813</v>
      </c>
      <c r="H125" s="12" t="n">
        <v>5519.152</v>
      </c>
      <c r="I125" s="12" t="n">
        <v>6904.217</v>
      </c>
      <c r="J125" s="12" t="n">
        <v>7762.614</v>
      </c>
      <c r="K125" s="12" t="n">
        <v>8902.773999999999</v>
      </c>
      <c r="L125" s="12" t="n">
        <v>10152.813</v>
      </c>
    </row>
    <row r="126">
      <c r="A126" s="9" t="inlineStr">
        <is>
          <t>부채·순자산 합계</t>
        </is>
      </c>
      <c r="C126" s="12" t="n">
        <v>13324.336</v>
      </c>
      <c r="D126" s="12" t="n">
        <v>14078.723</v>
      </c>
      <c r="E126" s="12" t="n">
        <v>13665.677</v>
      </c>
      <c r="F126" s="12" t="n">
        <v>14790.392</v>
      </c>
      <c r="G126" s="12" t="n">
        <v>14573.202</v>
      </c>
      <c r="H126" s="12" t="n">
        <v>9620.428</v>
      </c>
      <c r="I126" s="12" t="n">
        <v>11253.664</v>
      </c>
      <c r="J126" s="12" t="n">
        <v>12052.121</v>
      </c>
      <c r="K126" s="12" t="n">
        <v>13324.336</v>
      </c>
      <c r="L126" s="12" t="n">
        <v>14573.202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49" t="inlineStr">
        <is>
          <t>세라크 섹터·사업 데이터</t>
        </is>
      </c>
    </row>
    <row r="2">
      <c r="A2" s="50" t="inlineStr">
        <is>
          <t>2단계 보고서를 만들 때 모은 자료 · 월차 · 출처는 맨 오른쪽</t>
        </is>
      </c>
    </row>
    <row r="4">
      <c r="A4" s="51" t="inlineStr">
        <is>
          <t>가이던스 history FY8 26 · initial 2025 10</t>
        </is>
      </c>
      <c r="B4" s="51" t="n"/>
      <c r="C4" s="51" t="n"/>
      <c r="D4" s="51" t="n"/>
      <c r="E4" s="51" t="n"/>
      <c r="F4" s="51" t="n"/>
      <c r="G4" s="51" t="n"/>
    </row>
    <row r="5">
      <c r="A5" s="52" t="inlineStr">
        <is>
          <t>항목</t>
        </is>
      </c>
      <c r="B5" s="52" t="inlineStr">
        <is>
          <t>값</t>
        </is>
      </c>
      <c r="G5" s="52" t="inlineStr">
        <is>
          <t>출처</t>
        </is>
      </c>
    </row>
    <row r="6">
      <c r="A6" s="53" t="inlineStr">
        <is>
          <t>매출</t>
        </is>
      </c>
      <c r="B6" s="54" t="n">
        <v>274</v>
      </c>
      <c r="G6" s="55" t="inlineStr">
        <is>
          <t>매출 계획 대비 93.1%, 영업이익 100.5%</t>
        </is>
      </c>
    </row>
    <row r="7">
      <c r="A7" s="53" t="inlineStr">
        <is>
          <t>영업이익</t>
        </is>
      </c>
      <c r="B7" s="56" t="n">
        <v>28.5</v>
      </c>
    </row>
    <row r="9">
      <c r="A9" s="51" t="inlineStr">
        <is>
          <t>가이던스 history FY8 26 · final</t>
        </is>
      </c>
      <c r="B9" s="51" t="n"/>
      <c r="C9" s="51" t="n"/>
      <c r="D9" s="51" t="n"/>
      <c r="E9" s="51" t="n"/>
      <c r="F9" s="51" t="n"/>
      <c r="G9" s="51" t="n"/>
    </row>
    <row r="10">
      <c r="A10" s="52" t="inlineStr">
        <is>
          <t>항목</t>
        </is>
      </c>
      <c r="B10" s="52" t="inlineStr">
        <is>
          <t>값</t>
        </is>
      </c>
      <c r="G10" s="52" t="inlineStr">
        <is>
          <t>출처</t>
        </is>
      </c>
    </row>
    <row r="11">
      <c r="A11" s="53" t="inlineStr">
        <is>
          <t>매출</t>
        </is>
      </c>
      <c r="B11" s="54" t="n">
        <v>274</v>
      </c>
      <c r="G11" s="55" t="inlineStr">
        <is>
          <t>매출 계획 대비 93.1%, 영업이익 100.5%</t>
        </is>
      </c>
    </row>
    <row r="12">
      <c r="A12" s="53" t="inlineStr">
        <is>
          <t>영업이익</t>
        </is>
      </c>
      <c r="B12" s="56" t="n">
        <v>28.5</v>
      </c>
    </row>
    <row r="14">
      <c r="A14" s="51" t="inlineStr">
        <is>
          <t>가이던스 history FY8 26 · 실적</t>
        </is>
      </c>
      <c r="B14" s="51" t="n"/>
      <c r="C14" s="51" t="n"/>
      <c r="D14" s="51" t="n"/>
      <c r="E14" s="51" t="n"/>
      <c r="F14" s="51" t="n"/>
      <c r="G14" s="51" t="n"/>
    </row>
    <row r="15">
      <c r="A15" s="52" t="inlineStr">
        <is>
          <t>항목</t>
        </is>
      </c>
      <c r="B15" s="52" t="inlineStr">
        <is>
          <t>값</t>
        </is>
      </c>
      <c r="G15" s="52" t="inlineStr">
        <is>
          <t>출처</t>
        </is>
      </c>
    </row>
    <row r="16">
      <c r="A16" s="53" t="inlineStr">
        <is>
          <t>매출</t>
        </is>
      </c>
      <c r="B16" s="56" t="n">
        <v>255.17</v>
      </c>
      <c r="G16" s="55" t="inlineStr">
        <is>
          <t>매출 계획 대비 93.1%, 영업이익 100.5%</t>
        </is>
      </c>
    </row>
    <row r="17">
      <c r="A17" s="53" t="inlineStr">
        <is>
          <t>영업이익</t>
        </is>
      </c>
      <c r="B17" s="56" t="n">
        <v>28.64</v>
      </c>
    </row>
    <row r="19">
      <c r="A19" s="51" t="inlineStr">
        <is>
          <t>segments_FY8_26 · DI(디지털 인테그레이션)</t>
        </is>
      </c>
      <c r="B19" s="51" t="n"/>
      <c r="C19" s="51" t="n"/>
      <c r="D19" s="51" t="n"/>
      <c r="E19" s="51" t="n"/>
      <c r="F19" s="51" t="n"/>
      <c r="G19" s="51" t="n"/>
    </row>
    <row r="20">
      <c r="A20" s="52" t="inlineStr">
        <is>
          <t>항목</t>
        </is>
      </c>
      <c r="B20" s="52" t="inlineStr">
        <is>
          <t>값</t>
        </is>
      </c>
      <c r="G20" s="52" t="inlineStr">
        <is>
          <t>출처</t>
        </is>
      </c>
    </row>
    <row r="21">
      <c r="A21" s="53" t="inlineStr">
        <is>
          <t>매출</t>
        </is>
      </c>
      <c r="B21" s="56" t="n">
        <v>246.21</v>
      </c>
      <c r="G21" s="55" t="inlineStr">
        <is>
          <t>2단계 보고서 자료(회사 설명회 자료·공시)</t>
        </is>
      </c>
    </row>
    <row r="22">
      <c r="A22" s="53" t="inlineStr">
        <is>
          <t>매출 직전</t>
        </is>
      </c>
      <c r="B22" s="56" t="n">
        <v>238.81</v>
      </c>
    </row>
    <row r="23">
      <c r="A23" s="53" t="inlineStr">
        <is>
          <t>영업이익</t>
        </is>
      </c>
      <c r="B23" s="56" t="n">
        <v>28.82</v>
      </c>
    </row>
    <row r="24">
      <c r="A24" s="53" t="inlineStr">
        <is>
          <t>영업이익 직전</t>
        </is>
      </c>
      <c r="B24" s="56" t="n">
        <v>26.12</v>
      </c>
    </row>
    <row r="25">
      <c r="A25" s="53" t="inlineStr">
        <is>
          <t>4Q 매출</t>
        </is>
      </c>
      <c r="B25" s="56" t="n">
        <v>63.69</v>
      </c>
    </row>
    <row r="26">
      <c r="A26" s="53" t="inlineStr">
        <is>
          <t>4Q 매출 YoY</t>
        </is>
      </c>
      <c r="B26" s="56" t="n">
        <v>5.8</v>
      </c>
    </row>
    <row r="27">
      <c r="A27" s="53" t="inlineStr">
        <is>
          <t>4Q 영업이익</t>
        </is>
      </c>
      <c r="B27" s="56" t="n">
        <v>8.19</v>
      </c>
    </row>
    <row r="28">
      <c r="A28" s="53" t="inlineStr">
        <is>
          <t>4Q 영업이익 YoY</t>
        </is>
      </c>
      <c r="B28" s="56" t="n">
        <v>47.1</v>
      </c>
    </row>
    <row r="29">
      <c r="A29" s="53" t="inlineStr">
        <is>
          <t>4Q 영업이익률</t>
        </is>
      </c>
      <c r="B29" s="56" t="n">
        <v>12.9</v>
      </c>
    </row>
    <row r="31">
      <c r="A31" s="51" t="inlineStr">
        <is>
          <t>segments_FY8_26 · 미도리 클라우드(농업 IoT)</t>
        </is>
      </c>
      <c r="B31" s="51" t="n"/>
      <c r="C31" s="51" t="n"/>
      <c r="D31" s="51" t="n"/>
      <c r="E31" s="51" t="n"/>
      <c r="F31" s="51" t="n"/>
      <c r="G31" s="51" t="n"/>
    </row>
    <row r="32">
      <c r="A32" s="52" t="inlineStr">
        <is>
          <t>항목</t>
        </is>
      </c>
      <c r="B32" s="52" t="inlineStr">
        <is>
          <t>값</t>
        </is>
      </c>
      <c r="G32" s="52" t="inlineStr">
        <is>
          <t>출처</t>
        </is>
      </c>
    </row>
    <row r="33">
      <c r="A33" s="53" t="inlineStr">
        <is>
          <t>매출</t>
        </is>
      </c>
      <c r="B33" s="56" t="n">
        <v>2.39</v>
      </c>
      <c r="G33" s="55" t="inlineStr">
        <is>
          <t>2단계 보고서 자료(회사 설명회 자료·공시)</t>
        </is>
      </c>
    </row>
    <row r="34">
      <c r="A34" s="53" t="inlineStr">
        <is>
          <t>매출 직전</t>
        </is>
      </c>
      <c r="B34" s="56" t="n">
        <v>2.35</v>
      </c>
    </row>
    <row r="35">
      <c r="A35" s="53" t="inlineStr">
        <is>
          <t>영업이익</t>
        </is>
      </c>
      <c r="B35" s="56" t="n">
        <v>-0.96</v>
      </c>
    </row>
    <row r="36">
      <c r="A36" s="53" t="inlineStr">
        <is>
          <t>영업이익 직전</t>
        </is>
      </c>
      <c r="B36" s="56" t="n">
        <v>-1.19</v>
      </c>
    </row>
    <row r="37">
      <c r="A37" s="53" t="inlineStr">
        <is>
          <t>4Q 매출</t>
        </is>
      </c>
      <c r="B37" s="56" t="n">
        <v>0.73</v>
      </c>
    </row>
    <row r="38">
      <c r="A38" s="53" t="inlineStr">
        <is>
          <t>4Q 매출 YoY</t>
        </is>
      </c>
      <c r="B38" s="56" t="n">
        <v>114.8</v>
      </c>
    </row>
    <row r="39">
      <c r="A39" s="53" t="inlineStr">
        <is>
          <t>4Q 영업이익</t>
        </is>
      </c>
      <c r="B39" s="56" t="n">
        <v>0.03</v>
      </c>
    </row>
    <row r="41">
      <c r="A41" s="51" t="inlineStr">
        <is>
          <t>segments_FY8_26 · 기계설계 엔지니어링</t>
        </is>
      </c>
      <c r="B41" s="51" t="n"/>
      <c r="C41" s="51" t="n"/>
      <c r="D41" s="51" t="n"/>
      <c r="E41" s="51" t="n"/>
      <c r="F41" s="51" t="n"/>
      <c r="G41" s="51" t="n"/>
    </row>
    <row r="42">
      <c r="A42" s="52" t="inlineStr">
        <is>
          <t>항목</t>
        </is>
      </c>
      <c r="B42" s="52" t="inlineStr">
        <is>
          <t>값</t>
        </is>
      </c>
      <c r="G42" s="52" t="inlineStr">
        <is>
          <t>출처</t>
        </is>
      </c>
    </row>
    <row r="43">
      <c r="A43" s="53" t="inlineStr">
        <is>
          <t>매출</t>
        </is>
      </c>
      <c r="B43" s="56" t="n">
        <v>8</v>
      </c>
      <c r="G43" s="55" t="inlineStr">
        <is>
          <t>2단계 보고서 자료(회사 설명회 자료·공시)</t>
        </is>
      </c>
    </row>
    <row r="44">
      <c r="A44" s="53" t="inlineStr">
        <is>
          <t>매출 직전</t>
        </is>
      </c>
      <c r="B44" s="56" t="n">
        <v>7.86</v>
      </c>
    </row>
    <row r="45">
      <c r="A45" s="53" t="inlineStr">
        <is>
          <t>영업이익</t>
        </is>
      </c>
      <c r="B45" s="56" t="n">
        <v>0.59</v>
      </c>
    </row>
    <row r="46">
      <c r="A46" s="53" t="inlineStr">
        <is>
          <t>영업이익 직전</t>
        </is>
      </c>
      <c r="B46" s="56" t="n">
        <v>0.37</v>
      </c>
    </row>
    <row r="47">
      <c r="A47" s="53" t="inlineStr">
        <is>
          <t>4Q 매출</t>
        </is>
      </c>
      <c r="B47" s="56" t="n">
        <v>1.97</v>
      </c>
    </row>
    <row r="48">
      <c r="A48" s="53" t="inlineStr">
        <is>
          <t>4Q 매출 YoY</t>
        </is>
      </c>
      <c r="B48" s="56" t="n">
        <v>-5.6</v>
      </c>
    </row>
    <row r="49">
      <c r="A49" s="53" t="inlineStr">
        <is>
          <t>4Q 영업이익</t>
        </is>
      </c>
      <c r="B49" s="56" t="n">
        <v>0.17</v>
      </c>
    </row>
    <row r="51">
      <c r="A51" s="51" t="inlineStr">
        <is>
          <t>bs 2026 08</t>
        </is>
      </c>
      <c r="B51" s="51" t="n"/>
      <c r="C51" s="51" t="n"/>
      <c r="D51" s="51" t="n"/>
      <c r="E51" s="51" t="n"/>
      <c r="F51" s="51" t="n"/>
      <c r="G51" s="51" t="n"/>
    </row>
    <row r="52">
      <c r="A52" s="52" t="inlineStr">
        <is>
          <t>항목</t>
        </is>
      </c>
      <c r="B52" s="52" t="inlineStr">
        <is>
          <t>값</t>
        </is>
      </c>
      <c r="G52" s="52" t="inlineStr">
        <is>
          <t>출처</t>
        </is>
      </c>
    </row>
    <row r="53">
      <c r="A53" s="53" t="inlineStr">
        <is>
          <t>cash</t>
        </is>
      </c>
      <c r="B53" s="56" t="n">
        <v>86.34999999999999</v>
      </c>
      <c r="G53" s="55" t="inlineStr">
        <is>
          <t>2단계 보고서 자료(회사 설명회 자료·공시)</t>
        </is>
      </c>
    </row>
    <row r="54">
      <c r="A54" s="53" t="inlineStr">
        <is>
          <t>debt</t>
        </is>
      </c>
      <c r="B54" s="54" t="n">
        <v>0</v>
      </c>
    </row>
    <row r="55">
      <c r="A55" s="53" t="inlineStr">
        <is>
          <t>net assets</t>
        </is>
      </c>
      <c r="B55" s="56" t="n">
        <v>101.53</v>
      </c>
    </row>
    <row r="56">
      <c r="A56" s="53" t="inlineStr">
        <is>
          <t>합계 assets</t>
        </is>
      </c>
      <c r="B56" s="56" t="n">
        <v>145.73</v>
      </c>
    </row>
    <row r="58">
      <c r="A58" s="51" t="inlineStr">
        <is>
          <t>consensus · FY8/27</t>
        </is>
      </c>
      <c r="B58" s="51" t="n"/>
      <c r="C58" s="51" t="n"/>
      <c r="D58" s="51" t="n"/>
      <c r="E58" s="51" t="n"/>
      <c r="F58" s="51" t="n"/>
      <c r="G58" s="51" t="n"/>
    </row>
    <row r="59">
      <c r="A59" s="52" t="inlineStr">
        <is>
          <t>항목</t>
        </is>
      </c>
      <c r="B59" s="52" t="inlineStr">
        <is>
          <t>값</t>
        </is>
      </c>
      <c r="G59" s="52" t="inlineStr">
        <is>
          <t>출처</t>
        </is>
      </c>
    </row>
    <row r="60">
      <c r="A60" s="53" t="inlineStr">
        <is>
          <t>EPS</t>
        </is>
      </c>
      <c r="B60" s="56" t="n">
        <v>128.2</v>
      </c>
      <c r="G60" s="55" t="inlineStr">
        <is>
          <t>야후 파이낸스, 애널리스트 1명</t>
        </is>
      </c>
    </row>
    <row r="61">
      <c r="A61" s="53" t="inlineStr">
        <is>
          <t>매출</t>
        </is>
      </c>
      <c r="B61" s="54" t="n">
        <v>265</v>
      </c>
    </row>
    <row r="62">
      <c r="A62" s="53" t="inlineStr">
        <is>
          <t>EPS 90d</t>
        </is>
      </c>
      <c r="B62" s="56" t="n">
        <v>147</v>
      </c>
    </row>
    <row r="63">
      <c r="A63" s="53" t="inlineStr">
        <is>
          <t>EPS 7d</t>
        </is>
      </c>
      <c r="B63" s="56" t="n">
        <v>135.7</v>
      </c>
    </row>
    <row r="65">
      <c r="A65" s="51" t="inlineStr">
        <is>
          <t>consensus · FY8/28</t>
        </is>
      </c>
      <c r="B65" s="51" t="n"/>
      <c r="C65" s="51" t="n"/>
      <c r="D65" s="51" t="n"/>
      <c r="E65" s="51" t="n"/>
      <c r="F65" s="51" t="n"/>
      <c r="G65" s="51" t="n"/>
    </row>
    <row r="66">
      <c r="A66" s="52" t="inlineStr">
        <is>
          <t>항목</t>
        </is>
      </c>
      <c r="B66" s="52" t="inlineStr">
        <is>
          <t>값</t>
        </is>
      </c>
      <c r="G66" s="52" t="inlineStr">
        <is>
          <t>출처</t>
        </is>
      </c>
    </row>
    <row r="67">
      <c r="A67" s="53" t="inlineStr">
        <is>
          <t>EPS</t>
        </is>
      </c>
      <c r="B67" s="56" t="n">
        <v>132</v>
      </c>
      <c r="G67" s="55" t="inlineStr">
        <is>
          <t>야후 파이낸스, 애널리스트 1명</t>
        </is>
      </c>
    </row>
    <row r="68">
      <c r="A68" s="53" t="inlineStr">
        <is>
          <t>매출</t>
        </is>
      </c>
      <c r="B68" s="54" t="n">
        <v>277</v>
      </c>
    </row>
    <row r="70">
      <c r="A70" s="51" t="inlineStr">
        <is>
          <t>quarters</t>
        </is>
      </c>
      <c r="B70" s="51" t="n"/>
      <c r="C70" s="51" t="n"/>
      <c r="D70" s="51" t="n"/>
      <c r="E70" s="51" t="n"/>
      <c r="F70" s="51" t="n"/>
      <c r="G70" s="51" t="n"/>
    </row>
    <row r="71">
      <c r="A71" s="52" t="inlineStr">
        <is>
          <t>항목</t>
        </is>
      </c>
      <c r="B71" s="52" t="inlineStr">
        <is>
          <t>label</t>
        </is>
      </c>
      <c r="C71" s="52" t="inlineStr">
        <is>
          <t>매출</t>
        </is>
      </c>
      <c r="D71" s="52" t="inlineStr">
        <is>
          <t>영업이익</t>
        </is>
      </c>
      <c r="E71" s="52" t="inlineStr">
        <is>
          <t>순이익</t>
        </is>
      </c>
      <c r="F71" s="52" t="inlineStr">
        <is>
          <t>EPS</t>
        </is>
      </c>
      <c r="G71" s="52" t="inlineStr">
        <is>
          <t>출처</t>
        </is>
      </c>
    </row>
    <row r="72">
      <c r="A72" s="53" t="inlineStr">
        <is>
          <t>FY8/23 3Q</t>
        </is>
      </c>
      <c r="B72" s="57" t="inlineStr">
        <is>
          <t>23.3~5</t>
        </is>
      </c>
      <c r="C72" s="56" t="n">
        <v>53.07</v>
      </c>
      <c r="D72" s="56" t="n">
        <v>5.47</v>
      </c>
      <c r="E72" s="56" t="n">
        <v>3.39</v>
      </c>
      <c r="F72" s="56" t="n">
        <v>24.28</v>
      </c>
      <c r="G72" s="55" t="inlineStr">
        <is>
          <t>2단계 보고서 자료(회사 설명회 자료·공시)</t>
        </is>
      </c>
    </row>
    <row r="73">
      <c r="A73" s="53" t="inlineStr">
        <is>
          <t>FY8/23 4Q</t>
        </is>
      </c>
      <c r="B73" s="57" t="inlineStr">
        <is>
          <t>23.6~8</t>
        </is>
      </c>
      <c r="C73" s="56" t="n">
        <v>53.91</v>
      </c>
      <c r="D73" s="56" t="n">
        <v>3.06</v>
      </c>
      <c r="E73" s="56" t="n">
        <v>2.78</v>
      </c>
      <c r="F73" s="56" t="n">
        <v>19.83</v>
      </c>
    </row>
    <row r="74">
      <c r="A74" s="53" t="inlineStr">
        <is>
          <t>FY8/24 1Q</t>
        </is>
      </c>
      <c r="B74" s="57" t="inlineStr">
        <is>
          <t>23.9~11</t>
        </is>
      </c>
      <c r="C74" s="56" t="n">
        <v>53.64</v>
      </c>
      <c r="D74" s="56" t="n">
        <v>5.25</v>
      </c>
      <c r="E74" s="56" t="n">
        <v>3</v>
      </c>
      <c r="F74" s="56" t="n">
        <v>21.53</v>
      </c>
    </row>
    <row r="75">
      <c r="A75" s="53" t="inlineStr">
        <is>
          <t>FY8/24 2Q</t>
        </is>
      </c>
      <c r="B75" s="57" t="inlineStr">
        <is>
          <t>23.12~2</t>
        </is>
      </c>
      <c r="C75" s="56" t="n">
        <v>54.61</v>
      </c>
      <c r="D75" s="56" t="n">
        <v>5.94</v>
      </c>
      <c r="E75" s="56" t="n">
        <v>4.69</v>
      </c>
      <c r="F75" s="56" t="n">
        <v>33.89</v>
      </c>
    </row>
    <row r="76">
      <c r="A76" s="53" t="inlineStr">
        <is>
          <t>FY8/24 3Q</t>
        </is>
      </c>
      <c r="B76" s="57" t="inlineStr">
        <is>
          <t>24.3~5</t>
        </is>
      </c>
      <c r="C76" s="56" t="n">
        <v>56.25</v>
      </c>
      <c r="D76" s="56" t="n">
        <v>6.67</v>
      </c>
      <c r="E76" s="56" t="n">
        <v>3.82</v>
      </c>
      <c r="F76" s="56" t="n">
        <v>27.78</v>
      </c>
    </row>
    <row r="77">
      <c r="A77" s="53" t="inlineStr">
        <is>
          <t>FY8/24 4Q</t>
        </is>
      </c>
      <c r="B77" s="57" t="inlineStr">
        <is>
          <t>24.6~8</t>
        </is>
      </c>
      <c r="C77" s="56" t="n">
        <v>57.71</v>
      </c>
      <c r="D77" s="56" t="n">
        <v>4.87</v>
      </c>
      <c r="E77" s="56" t="n">
        <v>4.24</v>
      </c>
      <c r="F77" s="56" t="n">
        <v>31.04</v>
      </c>
    </row>
    <row r="78">
      <c r="A78" s="53" t="inlineStr">
        <is>
          <t>FY8/25 1Q</t>
        </is>
      </c>
      <c r="B78" s="57" t="inlineStr">
        <is>
          <t>24.9~11</t>
        </is>
      </c>
      <c r="C78" s="56" t="n">
        <v>62</v>
      </c>
      <c r="D78" s="56" t="n">
        <v>7.68</v>
      </c>
      <c r="E78" s="56" t="n">
        <v>4.81</v>
      </c>
      <c r="F78" s="56" t="n">
        <v>35.61</v>
      </c>
    </row>
    <row r="79">
      <c r="A79" s="53" t="inlineStr">
        <is>
          <t>FY8/25 2Q</t>
        </is>
      </c>
      <c r="B79" s="57" t="inlineStr">
        <is>
          <t>24.12~2</t>
        </is>
      </c>
      <c r="C79" s="56" t="n">
        <v>60.95</v>
      </c>
      <c r="D79" s="56" t="n">
        <v>5.97</v>
      </c>
      <c r="E79" s="56" t="n">
        <v>4.37</v>
      </c>
      <c r="F79" s="56" t="n">
        <v>32.47</v>
      </c>
    </row>
    <row r="80">
      <c r="A80" s="53" t="inlineStr">
        <is>
          <t>FY8/25 3Q</t>
        </is>
      </c>
      <c r="B80" s="57" t="inlineStr">
        <is>
          <t>25.3~5</t>
        </is>
      </c>
      <c r="C80" s="56" t="n">
        <v>62.5</v>
      </c>
      <c r="D80" s="56" t="n">
        <v>6.44</v>
      </c>
      <c r="E80" s="56" t="n">
        <v>3.97</v>
      </c>
      <c r="F80" s="56" t="n">
        <v>29.53</v>
      </c>
    </row>
    <row r="81">
      <c r="A81" s="53" t="inlineStr">
        <is>
          <t>FY8/25 4Q</t>
        </is>
      </c>
      <c r="B81" s="57" t="inlineStr">
        <is>
          <t>25.6~8</t>
        </is>
      </c>
      <c r="C81" s="56" t="n">
        <v>62.31</v>
      </c>
      <c r="D81" s="56" t="n">
        <v>5.41</v>
      </c>
      <c r="E81" s="56" t="n">
        <v>3.94</v>
      </c>
      <c r="F81" s="56" t="n">
        <v>29.55</v>
      </c>
    </row>
    <row r="82">
      <c r="A82" s="53" t="inlineStr">
        <is>
          <t>FY8/26 1Q</t>
        </is>
      </c>
      <c r="B82" s="57" t="inlineStr">
        <is>
          <t>25.9~11</t>
        </is>
      </c>
      <c r="C82" s="56" t="n">
        <v>62.52</v>
      </c>
      <c r="D82" s="56" t="n">
        <v>5.82</v>
      </c>
      <c r="E82" s="56" t="n">
        <v>3.56</v>
      </c>
      <c r="F82" s="56" t="n">
        <v>26.93</v>
      </c>
    </row>
    <row r="83">
      <c r="A83" s="53" t="inlineStr">
        <is>
          <t>FY8/26 2Q</t>
        </is>
      </c>
      <c r="B83" s="57" t="inlineStr">
        <is>
          <t>25.12~2</t>
        </is>
      </c>
      <c r="C83" s="56" t="n">
        <v>62.37</v>
      </c>
      <c r="D83" s="56" t="n">
        <v>6.19</v>
      </c>
      <c r="E83" s="56" t="n">
        <v>3.53</v>
      </c>
      <c r="F83" s="56" t="n">
        <v>26.63</v>
      </c>
    </row>
    <row r="84">
      <c r="A84" s="53" t="inlineStr">
        <is>
          <t>FY8/26 3Q</t>
        </is>
      </c>
      <c r="B84" s="57" t="inlineStr">
        <is>
          <t>26.3~5</t>
        </is>
      </c>
      <c r="C84" s="56" t="n">
        <v>64.20999999999999</v>
      </c>
      <c r="D84" s="56" t="n">
        <v>8.18</v>
      </c>
      <c r="E84" s="56" t="n">
        <v>5.38</v>
      </c>
      <c r="F84" s="56" t="n">
        <v>40.64</v>
      </c>
    </row>
    <row r="85">
      <c r="A85" s="53" t="inlineStr">
        <is>
          <t>FY8/26 4Q</t>
        </is>
      </c>
      <c r="B85" s="57" t="inlineStr">
        <is>
          <t>26.6~8</t>
        </is>
      </c>
      <c r="C85" s="56" t="n">
        <v>66.06999999999999</v>
      </c>
      <c r="D85" s="56" t="n">
        <v>8.449999999999999</v>
      </c>
      <c r="E85" s="56" t="n">
        <v>6.07</v>
      </c>
      <c r="F85" s="56" t="n">
        <v>46.26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2026-10-15</t>
        </is>
      </c>
      <c r="B4" t="inlineStr">
        <is>
          <t>2026년 8월 결산기 연간 결산단신</t>
        </is>
      </c>
      <c r="C4" t="inlineStr">
        <is>
          <t>https://www2.jpx.co.jp/disc/61990/140120261015551398.pdf</t>
        </is>
      </c>
    </row>
    <row r="5">
      <c r="A5" t="inlineStr">
        <is>
          <t>2026-07-15</t>
        </is>
      </c>
      <c r="B5" t="inlineStr">
        <is>
          <t>2026년 8월 결산기 ３분기 결산단신</t>
        </is>
      </c>
      <c r="C5" t="inlineStr">
        <is>
          <t>https://www2.jpx.co.jp/disc/61990/140120260715594349.pdf</t>
        </is>
      </c>
    </row>
    <row r="6">
      <c r="A6" t="inlineStr">
        <is>
          <t>2026-04-14</t>
        </is>
      </c>
      <c r="B6" t="inlineStr">
        <is>
          <t>2026년 8월 결산기 ２분기 결산단신</t>
        </is>
      </c>
      <c r="C6" t="inlineStr">
        <is>
          <t>https://www2.jpx.co.jp/disc/61990/140120260414503703.pdf</t>
        </is>
      </c>
    </row>
    <row r="7">
      <c r="A7" t="inlineStr">
        <is>
          <t>2026-01-14</t>
        </is>
      </c>
      <c r="B7" t="inlineStr">
        <is>
          <t>2026년 8월 결산기 １분기 결산단신</t>
        </is>
      </c>
      <c r="C7" t="inlineStr">
        <is>
          <t>https://www2.jpx.co.jp/disc/61990/140120260114533489.pdf</t>
        </is>
      </c>
    </row>
    <row r="8">
      <c r="A8" t="inlineStr">
        <is>
          <t>2025-10-15</t>
        </is>
      </c>
      <c r="B8" t="inlineStr">
        <is>
          <t>2025년 8월 결산기 연간 결산단신</t>
        </is>
      </c>
      <c r="C8" t="inlineStr">
        <is>
          <t>https://www2.jpx.co.jp/disc/61990/140120251015573895.pdf</t>
        </is>
      </c>
    </row>
    <row r="9">
      <c r="A9" t="inlineStr">
        <is>
          <t>2025-07-15</t>
        </is>
      </c>
      <c r="B9" t="inlineStr">
        <is>
          <t>2025년 8월 결산기 3분기 결산단신</t>
        </is>
      </c>
      <c r="C9" t="inlineStr">
        <is>
          <t>https://www2.jpx.co.jp/disc/61990/140120250715514420.pdf</t>
        </is>
      </c>
    </row>
    <row r="10">
      <c r="A10" t="inlineStr">
        <is>
          <t>2025-04-14</t>
        </is>
      </c>
      <c r="B10" t="inlineStr">
        <is>
          <t>2025년 8월 결산기 ２분기 결산단신</t>
        </is>
      </c>
      <c r="C10" t="inlineStr">
        <is>
          <t>https://www2.jpx.co.jp/disc/61990/140120250414514959.pdf</t>
        </is>
      </c>
    </row>
    <row r="11">
      <c r="A11" t="inlineStr">
        <is>
          <t>2025-01-14</t>
        </is>
      </c>
      <c r="B11" t="inlineStr">
        <is>
          <t>2025년 8월 결산기 1분기 결산단신</t>
        </is>
      </c>
      <c r="C11" t="inlineStr">
        <is>
          <t>https://www2.jpx.co.jp/disc/61990/140120250114550232.pdf</t>
        </is>
      </c>
    </row>
    <row r="12">
      <c r="A12" t="inlineStr">
        <is>
          <t>2024-10-15</t>
        </is>
      </c>
      <c r="B12" t="inlineStr">
        <is>
          <t>2024년 8월 결산기 연간 결산단신</t>
        </is>
      </c>
      <c r="C12" t="inlineStr">
        <is>
          <t>https://www2.jpx.co.jp/disc/61990/140120241015598140.pdf</t>
        </is>
      </c>
    </row>
    <row r="13">
      <c r="A13" t="inlineStr">
        <is>
          <t>2024-07-12</t>
        </is>
      </c>
      <c r="B13" t="inlineStr">
        <is>
          <t>2024년 8월 결산기 3분기 결산단신</t>
        </is>
      </c>
      <c r="C13" t="inlineStr">
        <is>
          <t>https://www2.jpx.co.jp/disc/61990/140120240712548391.pdf</t>
        </is>
      </c>
    </row>
    <row r="14">
      <c r="A14" t="inlineStr">
        <is>
          <t>2024-04-12</t>
        </is>
      </c>
      <c r="B14" t="inlineStr">
        <is>
          <t>2024년 8월 결산기 2분기 결산단신</t>
        </is>
      </c>
      <c r="C14" t="inlineStr">
        <is>
          <t>https://www2.jpx.co.jp/disc/61990/140120240216538725.pdf</t>
        </is>
      </c>
    </row>
    <row r="15">
      <c r="A15" t="inlineStr">
        <is>
          <t>2024-01-12</t>
        </is>
      </c>
      <c r="B15" t="inlineStr">
        <is>
          <t>2024년 8월 결산기 １분기 결산단신</t>
        </is>
      </c>
      <c r="C15" t="inlineStr">
        <is>
          <t>https://www2.jpx.co.jp/disc/61990/140120240112514251.pdf</t>
        </is>
      </c>
    </row>
    <row r="16">
      <c r="A16" t="inlineStr">
        <is>
          <t>2023-10-13</t>
        </is>
      </c>
      <c r="B16" t="inlineStr">
        <is>
          <t>2023년 8월 결산기 연간 결산단신</t>
        </is>
      </c>
      <c r="C16" t="inlineStr">
        <is>
          <t>https://www2.jpx.co.jp/disc/61990/140120231013566654.pdf</t>
        </is>
      </c>
    </row>
    <row r="17">
      <c r="A17" t="inlineStr">
        <is>
          <t>2023-07-14</t>
        </is>
      </c>
      <c r="B17" t="inlineStr">
        <is>
          <t>2023년 8월 결산기 3분기 결산단신</t>
        </is>
      </c>
      <c r="C17" t="inlineStr">
        <is>
          <t>https://www2.jpx.co.jp/disc/61990/140120230714522562.pdf</t>
        </is>
      </c>
    </row>
    <row r="18">
      <c r="A18" t="inlineStr">
        <is>
          <t>2023-04-14</t>
        </is>
      </c>
      <c r="B18" t="inlineStr">
        <is>
          <t>2023년 8월 결산기 2분기 결산단신</t>
        </is>
      </c>
      <c r="C18" t="inlineStr">
        <is>
          <t>https://www2.jpx.co.jp/disc/61990/140120230414547320.pdf</t>
        </is>
      </c>
    </row>
    <row r="19">
      <c r="A19" t="inlineStr">
        <is>
          <t>2023-01-13</t>
        </is>
      </c>
      <c r="B19" t="inlineStr">
        <is>
          <t>2023년 8월 결산기 1분기 결산단신</t>
        </is>
      </c>
      <c r="C19" t="inlineStr">
        <is>
          <t>https://www2.jpx.co.jp/disc/61990/140120230113588987.pdf</t>
        </is>
      </c>
    </row>
    <row r="20">
      <c r="A20" t="inlineStr">
        <is>
          <t>2022-10-14</t>
        </is>
      </c>
      <c r="B20" t="inlineStr">
        <is>
          <t>2022년 8월 결산기 연간 결산단신</t>
        </is>
      </c>
      <c r="C20" t="inlineStr">
        <is>
          <t>https://www2.jpx.co.jp/disc/61990/140120221014544678.pdf</t>
        </is>
      </c>
    </row>
    <row r="21">
      <c r="A21" t="inlineStr">
        <is>
          <t>2021-10-15</t>
        </is>
      </c>
      <c r="B21" t="inlineStr">
        <is>
          <t>2021년 8월 결산기 연간 결산단신</t>
        </is>
      </c>
      <c r="C21" t="inlineStr">
        <is>
          <t>https://www2.jpx.co.jp/disc/61990/140120211014411262.pdf</t>
        </is>
      </c>
    </row>
    <row r="22">
      <c r="A22" t="inlineStr">
        <is>
          <t>2020-10-15</t>
        </is>
      </c>
      <c r="B22" t="inlineStr">
        <is>
          <t>2020년 8월 결산기 연간 결산단신</t>
        </is>
      </c>
      <c r="C22" t="inlineStr">
        <is>
          <t>https://www2.jpx.co.jp/disc/61990/140120201015404148.pdf</t>
        </is>
      </c>
    </row>
    <row r="23">
      <c r="A23" t="inlineStr">
        <is>
          <t>2019-10-15</t>
        </is>
      </c>
      <c r="B23" t="inlineStr">
        <is>
          <t>2019년 8월 결산기 연간 결산단신</t>
        </is>
      </c>
      <c r="C23" t="inlineStr">
        <is>
          <t>https://www2.jpx.co.jp/disc/61990/140120191011407697.pdf</t>
        </is>
      </c>
    </row>
    <row r="24">
      <c r="A24" t="inlineStr">
        <is>
          <t>2018-10-15</t>
        </is>
      </c>
      <c r="B24" t="inlineStr">
        <is>
          <t>연간 결산단신</t>
        </is>
      </c>
      <c r="C24" t="inlineStr">
        <is>
          <t>https://www2.jpx.co.jp/disc/61990/140120180904403805.pdf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2026-10-26T02:22:20Z</dcterms:created>
  <dcterms:modified xmlns:dcterms="http://purl.org/dc/terms/" xmlns:xsi="http://www.w3.org/2001/XMLSchema-instance" xsi:type="dcterms:W3CDTF">2026-10-26T02:22:21Z</dcterms:modified>
</cp:coreProperties>
</file>