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6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세라크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8월 결산 · 일본 기준 · 2026.4Q = 2026년 8월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5364.245</v>
      </c>
      <c r="D4" s="12" t="n">
        <v>5461.196</v>
      </c>
      <c r="E4" s="12" t="n">
        <v>5624.848</v>
      </c>
      <c r="F4" s="12" t="n">
        <v>5771.306</v>
      </c>
      <c r="G4" s="12" t="n">
        <v>6200.156</v>
      </c>
      <c r="H4" s="12" t="n">
        <v>6095.34</v>
      </c>
      <c r="I4" s="12" t="n">
        <v>6250.015</v>
      </c>
      <c r="J4" s="12" t="n">
        <v>6230.983</v>
      </c>
      <c r="K4" s="12" t="n">
        <v>6252.936</v>
      </c>
      <c r="L4" s="12" t="n">
        <v>6236.857</v>
      </c>
      <c r="M4" s="12" t="n">
        <v>6420.965</v>
      </c>
      <c r="N4" s="12" t="n">
        <v>6606.88</v>
      </c>
      <c r="O4" s="11" t="n"/>
      <c r="P4" s="12" t="n">
        <v>9017.118</v>
      </c>
      <c r="Q4" s="12" t="n">
        <v>11410.214</v>
      </c>
      <c r="R4" s="12" t="n">
        <v>13771.62</v>
      </c>
      <c r="S4" s="12" t="n">
        <v>15263.442</v>
      </c>
      <c r="T4" s="12" t="n">
        <v>17859.101</v>
      </c>
      <c r="U4" s="12" t="n">
        <v>20858.857</v>
      </c>
      <c r="V4" s="12" t="n">
        <v>22221.595</v>
      </c>
      <c r="W4" s="12" t="n">
        <v>24776.494</v>
      </c>
      <c r="X4" s="12" t="n">
        <v>25517.638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디지털 인티그레이션</t>
        </is>
      </c>
      <c r="B7" s="10" t="n"/>
      <c r="C7" s="19" t="n">
        <v>5141.159</v>
      </c>
      <c r="D7" s="20" t="n">
        <v>5225.432</v>
      </c>
      <c r="E7" s="20" t="n">
        <v>5375.381</v>
      </c>
      <c r="F7" s="20" t="n">
        <v>5600.856</v>
      </c>
      <c r="G7" s="20" t="n">
        <v>5984.453</v>
      </c>
      <c r="H7" s="20" t="n">
        <v>5859.253</v>
      </c>
      <c r="I7" s="20" t="n">
        <v>6016.325</v>
      </c>
      <c r="J7" s="20" t="n">
        <v>6020.985</v>
      </c>
      <c r="K7" s="20" t="n">
        <v>6034.524</v>
      </c>
      <c r="L7" s="20" t="n">
        <v>6005.667</v>
      </c>
      <c r="M7" s="20" t="n">
        <v>6211.759</v>
      </c>
      <c r="N7" s="20" t="n">
        <v>6368.684</v>
      </c>
      <c r="O7" s="19" t="n"/>
      <c r="P7" s="20" t="n"/>
      <c r="Q7" s="20" t="n"/>
      <c r="R7" s="20" t="n"/>
      <c r="S7" s="20" t="n"/>
      <c r="T7" s="20" t="n"/>
      <c r="U7" s="20" t="n">
        <v>19920.43</v>
      </c>
      <c r="V7" s="20" t="n">
        <v>21342.828</v>
      </c>
      <c r="W7" s="20" t="n">
        <v>23881.016</v>
      </c>
      <c r="X7" s="20" t="n">
        <v>24620.634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미도리 클라우드</t>
        </is>
      </c>
      <c r="B10" s="10" t="n"/>
      <c r="C10" s="19" t="n">
        <v>71.71599999999999</v>
      </c>
      <c r="D10" s="20" t="n">
        <v>79.54600000000001</v>
      </c>
      <c r="E10" s="20" t="n">
        <v>71.90900000000001</v>
      </c>
      <c r="F10" s="20" t="n">
        <v>15.067</v>
      </c>
      <c r="G10" s="20" t="n">
        <v>56.705</v>
      </c>
      <c r="H10" s="20" t="n">
        <v>79.646</v>
      </c>
      <c r="I10" s="20" t="n">
        <v>64.354</v>
      </c>
      <c r="J10" s="20" t="n">
        <v>34.357</v>
      </c>
      <c r="K10" s="20" t="n">
        <v>50.369</v>
      </c>
      <c r="L10" s="20" t="n">
        <v>65.742</v>
      </c>
      <c r="M10" s="20" t="n">
        <v>49.404</v>
      </c>
      <c r="N10" s="20" t="n">
        <v>73.782</v>
      </c>
      <c r="O10" s="19" t="n"/>
      <c r="P10" s="20" t="n"/>
      <c r="Q10" s="20" t="n"/>
      <c r="R10" s="20" t="n"/>
      <c r="S10" s="20" t="n"/>
      <c r="T10" s="20" t="n"/>
      <c r="U10" s="20" t="n">
        <v>371.718</v>
      </c>
      <c r="V10" s="20" t="n">
        <v>238.238</v>
      </c>
      <c r="W10" s="20" t="n">
        <v>235.062</v>
      </c>
      <c r="X10" s="20" t="n">
        <v>239.297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기계설계 엔지니어링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기계설계 엔지니어링</t>
        </is>
      </c>
      <c r="B16" s="10" t="n"/>
      <c r="C16" s="19" t="n">
        <v>151.369</v>
      </c>
      <c r="D16" s="20" t="n"/>
      <c r="E16" s="20" t="n"/>
      <c r="F16" s="20" t="n">
        <v>155.383</v>
      </c>
      <c r="G16" s="20" t="n">
        <v>158.997</v>
      </c>
      <c r="H16" s="20" t="n"/>
      <c r="I16" s="20" t="n"/>
      <c r="J16" s="20" t="n">
        <v>175.642</v>
      </c>
      <c r="K16" s="20" t="n">
        <v>168.042</v>
      </c>
      <c r="L16" s="20" t="n"/>
      <c r="M16" s="20" t="n"/>
      <c r="N16" s="20" t="n">
        <v>164.414</v>
      </c>
      <c r="O16" s="19" t="n"/>
      <c r="P16" s="20" t="n"/>
      <c r="Q16" s="20" t="n"/>
      <c r="R16" s="20" t="n"/>
      <c r="S16" s="20" t="n"/>
      <c r="T16" s="20" t="n"/>
      <c r="U16" s="20" t="n">
        <v>566.708</v>
      </c>
      <c r="V16" s="20" t="n">
        <v>640.528</v>
      </c>
      <c r="W16" s="20" t="n">
        <v>660.4160000000001</v>
      </c>
      <c r="X16" s="20" t="n">
        <v>657.706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4054.148</v>
      </c>
      <c r="D20" s="20" t="n">
        <v>4082.495</v>
      </c>
      <c r="E20" s="20" t="n">
        <v>4104.437</v>
      </c>
      <c r="F20" s="20" t="n">
        <v>4280.462</v>
      </c>
      <c r="G20" s="20" t="n">
        <v>4487.162</v>
      </c>
      <c r="H20" s="20" t="n">
        <v>4531.081</v>
      </c>
      <c r="I20" s="20" t="n">
        <v>4631.279</v>
      </c>
      <c r="J20" s="20" t="n">
        <v>4670.771</v>
      </c>
      <c r="K20" s="20" t="n">
        <v>4642.303</v>
      </c>
      <c r="L20" s="20" t="n">
        <v>4561.585</v>
      </c>
      <c r="M20" s="20" t="n">
        <v>4614.547</v>
      </c>
      <c r="N20" s="20" t="n">
        <v>4757.834</v>
      </c>
      <c r="O20" s="19" t="n"/>
      <c r="P20" s="20" t="n">
        <v>7009.434</v>
      </c>
      <c r="Q20" s="20" t="n">
        <v>8792.468999999999</v>
      </c>
      <c r="R20" s="20" t="n">
        <v>10486.525</v>
      </c>
      <c r="S20" s="20" t="n">
        <v>11596.13</v>
      </c>
      <c r="T20" s="20" t="n">
        <v>13954.524</v>
      </c>
      <c r="U20" s="20" t="n">
        <v>15680.105</v>
      </c>
      <c r="V20" s="20" t="n">
        <v>16521.542</v>
      </c>
      <c r="W20" s="20" t="n">
        <v>18320.293</v>
      </c>
      <c r="X20" s="20" t="n">
        <v>18576.269</v>
      </c>
      <c r="Y20" s="19" t="n"/>
      <c r="Z20" s="20" t="n"/>
      <c r="AA20" s="20" t="n"/>
      <c r="AB20" s="20" t="n"/>
      <c r="AC20" s="20" t="n"/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IF(OR(G20="",C20=""),"",IF(C20&lt;=0,"",IFERROR(G20/C20-1,"")))</f>
        <v/>
      </c>
      <c r="H21" s="15">
        <f>IF(OR(H20="",D20=""),"",IF(D20&lt;=0,"",IFERROR(H20/D20-1,"")))</f>
        <v/>
      </c>
      <c r="I21" s="15">
        <f>IF(OR(I20="",E20=""),"",IF(E20&lt;=0,"",IFERROR(I20/E20-1,"")))</f>
        <v/>
      </c>
      <c r="J21" s="15">
        <f>IF(OR(J20="",F20=""),"",IF(F20&lt;=0,"",IFERROR(J20/F20-1,"")))</f>
        <v/>
      </c>
      <c r="K21" s="15">
        <f>IF(OR(K20="",G20=""),"",IF(G20&lt;=0,"",IFERROR(K20/G20-1,"")))</f>
        <v/>
      </c>
      <c r="L21" s="15">
        <f>IF(OR(L20="",H20=""),"",IF(H20&lt;=0,"",IFERROR(L20/H20-1,"")))</f>
        <v/>
      </c>
      <c r="M21" s="15">
        <f>IF(OR(M20="",I20=""),"",IF(I20&lt;=0,"",IFERROR(M20/I20-1,"")))</f>
        <v/>
      </c>
      <c r="N21" s="15">
        <f>IF(OR(N20="",J20=""),"",IF(J20&lt;=0,"",IFERROR(N20/J20-1,"")))</f>
        <v/>
      </c>
      <c r="O21" s="14" t="n"/>
      <c r="P21" s="15">
        <f>IF(OR(P20="",O20=""),"",IF(O20&lt;=0,"",IFERROR(P20/O20-1,"")))</f>
        <v/>
      </c>
      <c r="Q21" s="15">
        <f>IF(OR(Q20="",P20=""),"",IF(P20&lt;=0,"",IFERROR(Q20/P20-1,"")))</f>
        <v/>
      </c>
      <c r="R21" s="15">
        <f>IF(OR(R20="",Q20=""),"",IF(Q20&lt;=0,"",IFERROR(R20/Q20-1,"")))</f>
        <v/>
      </c>
      <c r="S21" s="15">
        <f>IF(OR(S20="",R20=""),"",IF(R20&lt;=0,"",IFERROR(S20/R20-1,"")))</f>
        <v/>
      </c>
      <c r="T21" s="15">
        <f>IF(OR(T20="",S20=""),"",IF(S20&lt;=0,"",IFERROR(T20/S20-1,"")))</f>
        <v/>
      </c>
      <c r="U21" s="15">
        <f>IF(OR(U20="",T20=""),"",IF(T20&lt;=0,"",IFERROR(U20/T20-1,"")))</f>
        <v/>
      </c>
      <c r="V21" s="15">
        <f>IF(OR(V20="",U20=""),"",IF(U20&lt;=0,"",IFERROR(V20/U20-1,"")))</f>
        <v/>
      </c>
      <c r="W21" s="15">
        <f>IF(OR(W20="",V20=""),"",IF(V20&lt;=0,"",IFERROR(W20/V20-1,"")))</f>
        <v/>
      </c>
      <c r="X21" s="15">
        <f>IF(OR(X20="",W20=""),"",IF(W20&lt;=0,"",IFERROR(X20/W20-1,"")))</f>
        <v/>
      </c>
      <c r="Y21" s="14">
        <f>IF(OR(Y20="",X20=""),"",IF(X20&lt;=0,"",IFERROR(Y20/X20-1,"")))</f>
        <v/>
      </c>
      <c r="Z21" s="15">
        <f>IF(OR(Z20="",Y20=""),"",IF(Y20&lt;=0,"",IFERROR(Z20/Y20-1,"")))</f>
        <v/>
      </c>
      <c r="AA21" s="15">
        <f>IF(OR(AA20="",Z20=""),"",IF(Z20&lt;=0,"",IFERROR(AA20/Z20-1,"")))</f>
        <v/>
      </c>
      <c r="AB21" s="15">
        <f>IF(OR(AB20="",AA20=""),"",IF(AA20&lt;=0,"",IFERROR(AB20/AA20-1,"")))</f>
        <v/>
      </c>
      <c r="AC21" s="15">
        <f>IF(OR(AC20="",AB20=""),"",IF(AB20&lt;=0,"",IFERROR(AC20/AB20-1,"")))</f>
        <v/>
      </c>
    </row>
    <row r="22">
      <c r="A22" s="18" t="inlineStr">
        <is>
          <t>매출총이익</t>
        </is>
      </c>
      <c r="B22" s="10" t="n"/>
      <c r="C22" s="19">
        <f>IF(OR(C4="",C20=""),"",IFERROR(C4-C20,""))</f>
        <v/>
      </c>
      <c r="D22" s="20">
        <f>IF(OR(D4="",D20=""),"",IFERROR(D4-D20,""))</f>
        <v/>
      </c>
      <c r="E22" s="20">
        <f>IF(OR(E4="",E20=""),"",IFERROR(E4-E20,""))</f>
        <v/>
      </c>
      <c r="F22" s="20">
        <f>IF(OR(F4="",F20=""),"",IFERROR(F4-F20,""))</f>
        <v/>
      </c>
      <c r="G22" s="20">
        <f>IF(OR(G4="",G20=""),"",IFERROR(G4-G20,""))</f>
        <v/>
      </c>
      <c r="H22" s="20">
        <f>IF(OR(H4="",H20=""),"",IFERROR(H4-H20,""))</f>
        <v/>
      </c>
      <c r="I22" s="20">
        <f>IF(OR(I4="",I20=""),"",IFERROR(I4-I20,""))</f>
        <v/>
      </c>
      <c r="J22" s="20">
        <f>IF(OR(J4="",J20=""),"",IFERROR(J4-J20,""))</f>
        <v/>
      </c>
      <c r="K22" s="20">
        <f>IF(OR(K4="",K20=""),"",IFERROR(K4-K20,""))</f>
        <v/>
      </c>
      <c r="L22" s="20">
        <f>IF(OR(L4="",L20=""),"",IFERROR(L4-L20,""))</f>
        <v/>
      </c>
      <c r="M22" s="20">
        <f>IF(OR(M4="",M20=""),"",IFERROR(M4-M20,""))</f>
        <v/>
      </c>
      <c r="N22" s="20">
        <f>IF(OR(N4="",N20=""),"",IFERROR(N4-N20,""))</f>
        <v/>
      </c>
      <c r="O22" s="19">
        <f>IF(OR(O4="",O20=""),"",IFERROR(O4-O20,""))</f>
        <v/>
      </c>
      <c r="P22" s="20">
        <f>IF(OR(P4="",P20=""),"",IFERROR(P4-P20,""))</f>
        <v/>
      </c>
      <c r="Q22" s="20">
        <f>IF(OR(Q4="",Q20=""),"",IFERROR(Q4-Q20,""))</f>
        <v/>
      </c>
      <c r="R22" s="20">
        <f>IF(OR(R4="",R20=""),"",IFERROR(R4-R20,""))</f>
        <v/>
      </c>
      <c r="S22" s="20">
        <f>IF(OR(S4="",S20=""),"",IFERROR(S4-S20,""))</f>
        <v/>
      </c>
      <c r="T22" s="20">
        <f>IF(OR(T4="",T20=""),"",IFERROR(T4-T20,""))</f>
        <v/>
      </c>
      <c r="U22" s="20">
        <f>IF(OR(U4="",U20=""),"",IFERROR(U4-U20,""))</f>
        <v/>
      </c>
      <c r="V22" s="20">
        <f>IF(OR(V4="",V20=""),"",IFERROR(V4-V20,""))</f>
        <v/>
      </c>
      <c r="W22" s="20">
        <f>IF(OR(W4="",W20=""),"",IFERROR(W4-W20,""))</f>
        <v/>
      </c>
      <c r="X22" s="20">
        <f>IF(OR(X4="",X20=""),"",IFERROR(X4-X20,""))</f>
        <v/>
      </c>
      <c r="Y22" s="19" t="n"/>
      <c r="Z22" s="20" t="n"/>
      <c r="AA22" s="20" t="n"/>
      <c r="AB22" s="20" t="n"/>
      <c r="AC22" s="20" t="n"/>
    </row>
    <row r="23">
      <c r="A23" s="13" t="inlineStr">
        <is>
          <t>GPM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IF(OR(G22="",C22=""),"",IF(C22&lt;=0,"",IFERROR(G22/C22-1,"")))</f>
        <v/>
      </c>
      <c r="H24" s="15">
        <f>IF(OR(H22="",D22=""),"",IF(D22&lt;=0,"",IFERROR(H22/D22-1,"")))</f>
        <v/>
      </c>
      <c r="I24" s="15">
        <f>IF(OR(I22="",E22=""),"",IF(E22&lt;=0,"",IFERROR(I22/E22-1,"")))</f>
        <v/>
      </c>
      <c r="J24" s="15">
        <f>IF(OR(J22="",F22=""),"",IF(F22&lt;=0,"",IFERROR(J22/F22-1,"")))</f>
        <v/>
      </c>
      <c r="K24" s="15">
        <f>IF(OR(K22="",G22=""),"",IF(G22&lt;=0,"",IFERROR(K22/G22-1,"")))</f>
        <v/>
      </c>
      <c r="L24" s="15">
        <f>IF(OR(L22="",H22=""),"",IF(H22&lt;=0,"",IFERROR(L22/H22-1,"")))</f>
        <v/>
      </c>
      <c r="M24" s="15">
        <f>IF(OR(M22="",I22=""),"",IF(I22&lt;=0,"",IFERROR(M22/I22-1,"")))</f>
        <v/>
      </c>
      <c r="N24" s="15">
        <f>IF(OR(N22="",J22=""),"",IF(J22&lt;=0,"",IFERROR(N22/J22-1,"")))</f>
        <v/>
      </c>
      <c r="O24" s="14" t="n"/>
      <c r="P24" s="15">
        <f>IF(OR(P22="",O22=""),"",IF(O22&lt;=0,"",IFERROR(P22/O22-1,"")))</f>
        <v/>
      </c>
      <c r="Q24" s="15">
        <f>IF(OR(Q22="",P22=""),"",IF(P22&lt;=0,"",IFERROR(Q22/P22-1,"")))</f>
        <v/>
      </c>
      <c r="R24" s="15">
        <f>IF(OR(R22="",Q22=""),"",IF(Q22&lt;=0,"",IFERROR(R22/Q22-1,"")))</f>
        <v/>
      </c>
      <c r="S24" s="15">
        <f>IF(OR(S22="",R22=""),"",IF(R22&lt;=0,"",IFERROR(S22/R22-1,"")))</f>
        <v/>
      </c>
      <c r="T24" s="15">
        <f>IF(OR(T22="",S22=""),"",IF(S22&lt;=0,"",IFERROR(T22/S22-1,"")))</f>
        <v/>
      </c>
      <c r="U24" s="15">
        <f>IF(OR(U22="",T22=""),"",IF(T22&lt;=0,"",IFERROR(U22/T22-1,"")))</f>
        <v/>
      </c>
      <c r="V24" s="15">
        <f>IF(OR(V22="",U22=""),"",IF(U22&lt;=0,"",IFERROR(V22/U22-1,"")))</f>
        <v/>
      </c>
      <c r="W24" s="15">
        <f>IF(OR(W22="",V22=""),"",IF(V22&lt;=0,"",IFERROR(W22/V22-1,"")))</f>
        <v/>
      </c>
      <c r="X24" s="15">
        <f>IF(OR(X22="",W22=""),"",IF(W22&lt;=0,"",IFERROR(X22/W22-1,"")))</f>
        <v/>
      </c>
      <c r="Y24" s="14">
        <f>IF(OR(Y22="",X22=""),"",IF(X22&lt;=0,"",IFERROR(Y22/X22-1,"")))</f>
        <v/>
      </c>
      <c r="Z24" s="15">
        <f>IF(OR(Z22="",Y22=""),"",IF(Y22&lt;=0,"",IFERROR(Z22/Y22-1,"")))</f>
        <v/>
      </c>
      <c r="AA24" s="15">
        <f>IF(OR(AA22="",Z22=""),"",IF(Z22&lt;=0,"",IFERROR(AA22/Z22-1,"")))</f>
        <v/>
      </c>
      <c r="AB24" s="15">
        <f>IF(OR(AB22="",AA22=""),"",IF(AA22&lt;=0,"",IFERROR(AB22/AA22-1,"")))</f>
        <v/>
      </c>
      <c r="AC24" s="15">
        <f>IF(OR(AC22="",AB22=""),"",IF(AB22&lt;=0,"",IFERROR(AC22/AB22-1,"")))</f>
        <v/>
      </c>
    </row>
    <row r="25">
      <c r="A25" s="23" t="inlineStr">
        <is>
          <t>판매관리비</t>
        </is>
      </c>
      <c r="B25" s="23" t="n"/>
      <c r="C25" s="24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4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4" t="n"/>
      <c r="Z25" s="23" t="n"/>
      <c r="AA25" s="23" t="n"/>
      <c r="AB25" s="23" t="n"/>
      <c r="AC25" s="23" t="n"/>
    </row>
    <row r="26">
      <c r="A26" s="18" t="inlineStr">
        <is>
          <t>전체 판관비</t>
        </is>
      </c>
      <c r="B26" s="10" t="n"/>
      <c r="C26" s="19" t="n">
        <v>784.971</v>
      </c>
      <c r="D26" s="20" t="n">
        <v>784.716</v>
      </c>
      <c r="E26" s="20" t="n">
        <v>852.788</v>
      </c>
      <c r="F26" s="20" t="n">
        <v>1003.715</v>
      </c>
      <c r="G26" s="20" t="n">
        <v>944.014</v>
      </c>
      <c r="H26" s="20" t="n">
        <v>967.99</v>
      </c>
      <c r="I26" s="20" t="n">
        <v>974.751</v>
      </c>
      <c r="J26" s="20" t="n">
        <v>1018.752</v>
      </c>
      <c r="K26" s="20" t="n">
        <v>1028.287</v>
      </c>
      <c r="L26" s="20" t="n">
        <v>1055.753</v>
      </c>
      <c r="M26" s="20" t="n">
        <v>988.8920000000001</v>
      </c>
      <c r="N26" s="20" t="n">
        <v>1003.885</v>
      </c>
      <c r="O26" s="19" t="n"/>
      <c r="P26" s="20" t="n">
        <v>1463.764</v>
      </c>
      <c r="Q26" s="20" t="n">
        <v>1890.153</v>
      </c>
      <c r="R26" s="20" t="n">
        <v>2150.623</v>
      </c>
      <c r="S26" s="20" t="n">
        <v>2311.097</v>
      </c>
      <c r="T26" s="20" t="n">
        <v>3017.913</v>
      </c>
      <c r="U26" s="20" t="n">
        <v>3233.833</v>
      </c>
      <c r="V26" s="20" t="n">
        <v>3426.19</v>
      </c>
      <c r="W26" s="20" t="n">
        <v>3905.507</v>
      </c>
      <c r="X26" s="20" t="n">
        <v>4076.817</v>
      </c>
      <c r="Y26" s="19" t="n"/>
      <c r="Z26" s="20" t="n"/>
      <c r="AA26" s="20" t="n"/>
      <c r="AB26" s="20" t="n"/>
      <c r="AC26" s="20" t="n"/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IF(OR(G26="",C26=""),"",IF(C26&lt;=0,"",IFERROR(G26/C26-1,"")))</f>
        <v/>
      </c>
      <c r="H27" s="15">
        <f>IF(OR(H26="",D26=""),"",IF(D26&lt;=0,"",IFERROR(H26/D26-1,"")))</f>
        <v/>
      </c>
      <c r="I27" s="15">
        <f>IF(OR(I26="",E26=""),"",IF(E26&lt;=0,"",IFERROR(I26/E26-1,"")))</f>
        <v/>
      </c>
      <c r="J27" s="15">
        <f>IF(OR(J26="",F26=""),"",IF(F26&lt;=0,"",IFERROR(J26/F26-1,"")))</f>
        <v/>
      </c>
      <c r="K27" s="15">
        <f>IF(OR(K26="",G26=""),"",IF(G26&lt;=0,"",IFERROR(K26/G26-1,"")))</f>
        <v/>
      </c>
      <c r="L27" s="15">
        <f>IF(OR(L26="",H26=""),"",IF(H26&lt;=0,"",IFERROR(L26/H26-1,"")))</f>
        <v/>
      </c>
      <c r="M27" s="15">
        <f>IF(OR(M26="",I26=""),"",IF(I26&lt;=0,"",IFERROR(M26/I26-1,"")))</f>
        <v/>
      </c>
      <c r="N27" s="15">
        <f>IF(OR(N26="",J26=""),"",IF(J26&lt;=0,"",IFERROR(N26/J26-1,"")))</f>
        <v/>
      </c>
      <c r="O27" s="14" t="n"/>
      <c r="P27" s="15">
        <f>IF(OR(P26="",O26=""),"",IF(O26&lt;=0,"",IFERROR(P26/O26-1,"")))</f>
        <v/>
      </c>
      <c r="Q27" s="15">
        <f>IF(OR(Q26="",P26=""),"",IF(P26&lt;=0,"",IFERROR(Q26/P26-1,"")))</f>
        <v/>
      </c>
      <c r="R27" s="15">
        <f>IF(OR(R26="",Q26=""),"",IF(Q26&lt;=0,"",IFERROR(R26/Q26-1,"")))</f>
        <v/>
      </c>
      <c r="S27" s="15">
        <f>IF(OR(S26="",R26=""),"",IF(R26&lt;=0,"",IFERROR(S26/R26-1,"")))</f>
        <v/>
      </c>
      <c r="T27" s="15">
        <f>IF(OR(T26="",S26=""),"",IF(S26&lt;=0,"",IFERROR(T26/S26-1,"")))</f>
        <v/>
      </c>
      <c r="U27" s="15">
        <f>IF(OR(U26="",T26=""),"",IF(T26&lt;=0,"",IFERROR(U26/T26-1,"")))</f>
        <v/>
      </c>
      <c r="V27" s="15">
        <f>IF(OR(V26="",U26=""),"",IF(U26&lt;=0,"",IFERROR(V26/U26-1,"")))</f>
        <v/>
      </c>
      <c r="W27" s="15">
        <f>IF(OR(W26="",V26=""),"",IF(V26&lt;=0,"",IFERROR(W26/V26-1,"")))</f>
        <v/>
      </c>
      <c r="X27" s="15">
        <f>IF(OR(X26="",W26=""),"",IF(W26&lt;=0,"",IFERROR(X26/W26-1,"")))</f>
        <v/>
      </c>
      <c r="Y27" s="14">
        <f>IF(OR(Y26="",X26=""),"",IF(X26&lt;=0,"",IFERROR(Y26/X26-1,"")))</f>
        <v/>
      </c>
      <c r="Z27" s="15">
        <f>IF(OR(Z26="",Y26=""),"",IF(Y26&lt;=0,"",IFERROR(Z26/Y26-1,"")))</f>
        <v/>
      </c>
      <c r="AA27" s="15">
        <f>IF(OR(AA26="",Z26=""),"",IF(Z26&lt;=0,"",IFERROR(AA26/Z26-1,"")))</f>
        <v/>
      </c>
      <c r="AB27" s="15">
        <f>IF(OR(AB26="",AA26=""),"",IF(AA26&lt;=0,"",IFERROR(AB26/AA26-1,"")))</f>
        <v/>
      </c>
      <c r="AC27" s="15">
        <f>IF(OR(AC26="",AB26=""),"",IF(AB26&lt;=0,"",IFERROR(AC26/AB26-1,"")))</f>
        <v/>
      </c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525.126</v>
      </c>
      <c r="D28" s="12" t="n">
        <v>593.984</v>
      </c>
      <c r="E28" s="12" t="n">
        <v>667.622</v>
      </c>
      <c r="F28" s="12" t="n">
        <v>487.13</v>
      </c>
      <c r="G28" s="12" t="n">
        <v>768.978</v>
      </c>
      <c r="H28" s="12" t="n">
        <v>596.269</v>
      </c>
      <c r="I28" s="12" t="n">
        <v>643.986</v>
      </c>
      <c r="J28" s="12" t="n">
        <v>541.46</v>
      </c>
      <c r="K28" s="12" t="n">
        <v>582.345</v>
      </c>
      <c r="L28" s="12" t="n">
        <v>619.519</v>
      </c>
      <c r="M28" s="12" t="n">
        <v>817.526</v>
      </c>
      <c r="N28" s="12" t="n">
        <v>845.1609999999999</v>
      </c>
      <c r="O28" s="11" t="n"/>
      <c r="P28" s="12" t="n">
        <v>543.918</v>
      </c>
      <c r="Q28" s="12" t="n">
        <v>727.592</v>
      </c>
      <c r="R28" s="12" t="n">
        <v>1134.471</v>
      </c>
      <c r="S28" s="12" t="n">
        <v>1356.213</v>
      </c>
      <c r="T28" s="12" t="n">
        <v>886.662</v>
      </c>
      <c r="U28" s="12" t="n">
        <v>1944.918</v>
      </c>
      <c r="V28" s="12" t="n">
        <v>2273.862</v>
      </c>
      <c r="W28" s="12" t="n">
        <v>2550.693</v>
      </c>
      <c r="X28" s="12" t="n">
        <v>2864.551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IF(O26="","",O26)</f>
        <v/>
      </c>
      <c r="P32" s="12">
        <f>IF(P26="","",P26)</f>
        <v/>
      </c>
      <c r="Q32" s="12">
        <f>IF(Q26="","",Q26)</f>
        <v/>
      </c>
      <c r="R32" s="12">
        <f>IF(R26="","",R26)</f>
        <v/>
      </c>
      <c r="S32" s="12">
        <f>IF(S26="","",S26)</f>
        <v/>
      </c>
      <c r="T32" s="12">
        <f>IF(T26="","",T26)</f>
        <v/>
      </c>
      <c r="U32" s="12">
        <f>IF(U26="","",U26)</f>
        <v/>
      </c>
      <c r="V32" s="12">
        <f>IF(V26="","",V26)</f>
        <v/>
      </c>
      <c r="W32" s="12">
        <f>IF(W26="","",W26)</f>
        <v/>
      </c>
      <c r="X32" s="12">
        <f>IF(X26="","",X26)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0.098</v>
      </c>
      <c r="D44" s="20" t="n">
        <v>0.255</v>
      </c>
      <c r="E44" s="20" t="n">
        <v>2.696</v>
      </c>
      <c r="F44" s="20" t="n">
        <v>3.045</v>
      </c>
      <c r="G44" s="20" t="n">
        <v>0.019</v>
      </c>
      <c r="H44" s="20" t="n">
        <v>0</v>
      </c>
      <c r="I44" s="20" t="n">
        <v>0.417</v>
      </c>
      <c r="J44" s="20" t="n">
        <v>1.826</v>
      </c>
      <c r="K44" s="20" t="n">
        <v>0.35</v>
      </c>
      <c r="L44" s="20" t="n">
        <v>1.031</v>
      </c>
      <c r="M44" s="20" t="n">
        <v>32.119</v>
      </c>
      <c r="N44" s="20" t="n">
        <v>0</v>
      </c>
      <c r="O44" s="19" t="n"/>
      <c r="P44" s="20" t="n">
        <v>0</v>
      </c>
      <c r="Q44" s="20" t="n">
        <v>0.155</v>
      </c>
      <c r="R44" s="20" t="n">
        <v>0.233</v>
      </c>
      <c r="S44" s="20" t="n">
        <v>0.161</v>
      </c>
      <c r="T44" s="20" t="n">
        <v>0.443</v>
      </c>
      <c r="U44" s="20" t="n">
        <v>0.372</v>
      </c>
      <c r="V44" s="20" t="n">
        <v>6.094</v>
      </c>
      <c r="W44" s="20" t="n">
        <v>2.262</v>
      </c>
      <c r="X44" s="20" t="n">
        <v>33.5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3.339</v>
      </c>
      <c r="D46" s="20" t="n">
        <v>0.089</v>
      </c>
      <c r="E46" s="20" t="n">
        <v>1.085</v>
      </c>
      <c r="F46" s="20" t="n">
        <v>1.659</v>
      </c>
      <c r="G46" s="20" t="n">
        <v>0</v>
      </c>
      <c r="H46" s="20" t="n">
        <v>0.215</v>
      </c>
      <c r="I46" s="20" t="n">
        <v>0</v>
      </c>
      <c r="J46" s="20" t="n">
        <v>0</v>
      </c>
      <c r="K46" s="20" t="n"/>
      <c r="L46" s="20" t="n"/>
      <c r="M46" s="20" t="n">
        <v>0</v>
      </c>
      <c r="N46" s="20" t="n">
        <v>0</v>
      </c>
      <c r="O46" s="19" t="n"/>
      <c r="P46" s="20" t="n">
        <v>38.078</v>
      </c>
      <c r="Q46" s="20" t="n">
        <v>38.06</v>
      </c>
      <c r="R46" s="20" t="n">
        <v>102.254</v>
      </c>
      <c r="S46" s="20" t="n">
        <v>16.241</v>
      </c>
      <c r="T46" s="20" t="n">
        <v>11.318</v>
      </c>
      <c r="U46" s="20" t="n">
        <v>9.788</v>
      </c>
      <c r="V46" s="20" t="n">
        <v>6.172</v>
      </c>
      <c r="W46" s="20" t="n">
        <v>0.215</v>
      </c>
      <c r="X46" s="20" t="n">
        <v>0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5.033</v>
      </c>
      <c r="D48" s="20" t="n">
        <v>1.917</v>
      </c>
      <c r="E48" s="20" t="n">
        <v>11.572</v>
      </c>
      <c r="F48" s="20" t="n">
        <v>27.234</v>
      </c>
      <c r="G48" s="20" t="n">
        <v>6.644</v>
      </c>
      <c r="H48" s="20" t="n">
        <v>18.163</v>
      </c>
      <c r="I48" s="20" t="n">
        <v>19.375</v>
      </c>
      <c r="J48" s="20" t="n">
        <v>6.952</v>
      </c>
      <c r="K48" s="20" t="n">
        <v>5.106</v>
      </c>
      <c r="L48" s="20" t="n">
        <v>31.687</v>
      </c>
      <c r="M48" s="20" t="n">
        <v>6.348</v>
      </c>
      <c r="N48" s="20" t="n">
        <v>17.729</v>
      </c>
      <c r="O48" s="19" t="n"/>
      <c r="P48" s="20" t="n">
        <v>5.031</v>
      </c>
      <c r="Q48" s="20" t="n">
        <v>10.548</v>
      </c>
      <c r="R48" s="20" t="n">
        <v>34.572</v>
      </c>
      <c r="S48" s="20" t="n">
        <v>484.531</v>
      </c>
      <c r="T48" s="20" t="n">
        <v>550.871</v>
      </c>
      <c r="U48" s="20" t="n">
        <v>213.792</v>
      </c>
      <c r="V48" s="20" t="n">
        <v>45.756</v>
      </c>
      <c r="W48" s="20" t="n">
        <v>51.134</v>
      </c>
      <c r="X48" s="20" t="n">
        <v>60.87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0.407</v>
      </c>
      <c r="D50" s="20" t="n">
        <v>0.471</v>
      </c>
      <c r="E50" s="20" t="n">
        <v>0.441</v>
      </c>
      <c r="F50" s="20" t="n">
        <v>0.59</v>
      </c>
      <c r="G50" s="20" t="n">
        <v>0.281</v>
      </c>
      <c r="H50" s="20" t="n">
        <v>1.11</v>
      </c>
      <c r="I50" s="20" t="n">
        <v>0.383</v>
      </c>
      <c r="J50" s="20" t="n">
        <v>1.017</v>
      </c>
      <c r="K50" s="20" t="n">
        <v>0.183</v>
      </c>
      <c r="L50" s="20" t="n">
        <v>0.844</v>
      </c>
      <c r="M50" s="20" t="n">
        <v>-0.375</v>
      </c>
      <c r="N50" s="20" t="n">
        <v>0.656</v>
      </c>
      <c r="O50" s="19" t="n"/>
      <c r="P50" s="20" t="n">
        <v>23.235</v>
      </c>
      <c r="Q50" s="20" t="n">
        <v>0.865</v>
      </c>
      <c r="R50" s="20" t="n">
        <v>3.801</v>
      </c>
      <c r="S50" s="20" t="n">
        <v>4.041</v>
      </c>
      <c r="T50" s="20" t="n">
        <v>3.512</v>
      </c>
      <c r="U50" s="20" t="n">
        <v>2.211</v>
      </c>
      <c r="V50" s="20" t="n">
        <v>1.909</v>
      </c>
      <c r="W50" s="20" t="n">
        <v>2.791</v>
      </c>
      <c r="X50" s="20" t="n">
        <v>1.308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526.511</v>
      </c>
      <c r="D52" s="12" t="n">
        <v>595.595</v>
      </c>
      <c r="E52" s="12" t="n">
        <v>680.366</v>
      </c>
      <c r="F52" s="12" t="n">
        <v>515.159</v>
      </c>
      <c r="G52" s="12" t="n">
        <v>775.36</v>
      </c>
      <c r="H52" s="12" t="n">
        <v>613.1079999999999</v>
      </c>
      <c r="I52" s="12" t="n">
        <v>663.394</v>
      </c>
      <c r="J52" s="12" t="n">
        <v>549.222</v>
      </c>
      <c r="K52" s="12" t="n">
        <v>587.619</v>
      </c>
      <c r="L52" s="12" t="n">
        <v>651.3920000000001</v>
      </c>
      <c r="M52" s="12" t="n">
        <v>856.369</v>
      </c>
      <c r="N52" s="12" t="n">
        <v>862.2329999999999</v>
      </c>
      <c r="O52" s="11" t="n"/>
      <c r="P52" s="12" t="n">
        <v>487.636</v>
      </c>
      <c r="Q52" s="12" t="n">
        <v>699.37</v>
      </c>
      <c r="R52" s="12" t="n">
        <v>1063.22</v>
      </c>
      <c r="S52" s="12" t="n">
        <v>1820.624</v>
      </c>
      <c r="T52" s="12" t="n">
        <v>1423.146</v>
      </c>
      <c r="U52" s="12" t="n">
        <v>2147.083</v>
      </c>
      <c r="V52" s="12" t="n">
        <v>2317.631</v>
      </c>
      <c r="W52" s="12" t="n">
        <v>2601.084</v>
      </c>
      <c r="X52" s="12" t="n">
        <v>2957.613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3" t="inlineStr">
        <is>
          <t>YoY</t>
        </is>
      </c>
      <c r="B53" s="10" t="n"/>
      <c r="C53" s="14" t="n"/>
      <c r="D53" s="15" t="n"/>
      <c r="E53" s="15" t="n"/>
      <c r="F53" s="15" t="n"/>
      <c r="G53" s="15">
        <f>IF(OR(G52="",C52=""),"",IF(C52&lt;=0,"",IFERROR(G52/C52-1,"")))</f>
        <v/>
      </c>
      <c r="H53" s="15">
        <f>IF(OR(H52="",D52=""),"",IF(D52&lt;=0,"",IFERROR(H52/D52-1,"")))</f>
        <v/>
      </c>
      <c r="I53" s="15">
        <f>IF(OR(I52="",E52=""),"",IF(E52&lt;=0,"",IFERROR(I52/E52-1,"")))</f>
        <v/>
      </c>
      <c r="J53" s="15">
        <f>IF(OR(J52="",F52=""),"",IF(F52&lt;=0,"",IFERROR(J52/F52-1,"")))</f>
        <v/>
      </c>
      <c r="K53" s="15">
        <f>IF(OR(K52="",G52=""),"",IF(G52&lt;=0,"",IFERROR(K52/G52-1,"")))</f>
        <v/>
      </c>
      <c r="L53" s="15">
        <f>IF(OR(L52="",H52=""),"",IF(H52&lt;=0,"",IFERROR(L52/H52-1,"")))</f>
        <v/>
      </c>
      <c r="M53" s="15">
        <f>IF(OR(M52="",I52=""),"",IF(I52&lt;=0,"",IFERROR(M52/I52-1,"")))</f>
        <v/>
      </c>
      <c r="N53" s="15">
        <f>IF(OR(N52="",J52=""),"",IF(J52&lt;=0,"",IFERROR(N52/J52-1,"")))</f>
        <v/>
      </c>
      <c r="O53" s="14" t="n"/>
      <c r="P53" s="15">
        <f>IF(OR(P52="",O52=""),"",IF(O52&lt;=0,"",IFERROR(P52/O52-1,"")))</f>
        <v/>
      </c>
      <c r="Q53" s="15">
        <f>IF(OR(Q52="",P52=""),"",IF(P52&lt;=0,"",IFERROR(Q52/P52-1,"")))</f>
        <v/>
      </c>
      <c r="R53" s="15">
        <f>IF(OR(R52="",Q52=""),"",IF(Q52&lt;=0,"",IFERROR(R52/Q52-1,"")))</f>
        <v/>
      </c>
      <c r="S53" s="15">
        <f>IF(OR(S52="",R52=""),"",IF(R52&lt;=0,"",IFERROR(S52/R52-1,"")))</f>
        <v/>
      </c>
      <c r="T53" s="15">
        <f>IF(OR(T52="",S52=""),"",IF(S52&lt;=0,"",IFERROR(T52/S52-1,"")))</f>
        <v/>
      </c>
      <c r="U53" s="15">
        <f>IF(OR(U52="",T52=""),"",IF(T52&lt;=0,"",IFERROR(U52/T52-1,"")))</f>
        <v/>
      </c>
      <c r="V53" s="15">
        <f>IF(OR(V52="",U52=""),"",IF(U52&lt;=0,"",IFERROR(V52/U52-1,"")))</f>
        <v/>
      </c>
      <c r="W53" s="15">
        <f>IF(OR(W52="",V52=""),"",IF(V52&lt;=0,"",IFERROR(W52/V52-1,"")))</f>
        <v/>
      </c>
      <c r="X53" s="15">
        <f>IF(OR(X52="",W52=""),"",IF(W52&lt;=0,"",IFERROR(X52/W52-1,"")))</f>
        <v/>
      </c>
      <c r="Y53" s="14">
        <f>IF(OR(Y52="",X52=""),"",IF(X52&lt;=0,"",IFERROR(Y52/X52-1,"")))</f>
        <v/>
      </c>
      <c r="Z53" s="15">
        <f>IF(OR(Z52="",Y52=""),"",IF(Y52&lt;=0,"",IFERROR(Z52/Y52-1,"")))</f>
        <v/>
      </c>
      <c r="AA53" s="15">
        <f>IF(OR(AA52="",Z52=""),"",IF(Z52&lt;=0,"",IFERROR(AA52/Z52-1,"")))</f>
        <v/>
      </c>
      <c r="AB53" s="15">
        <f>IF(OR(AB52="",AA52=""),"",IF(AA52&lt;=0,"",IFERROR(AB52/AA52-1,"")))</f>
        <v/>
      </c>
      <c r="AC53" s="15">
        <f>IF(OR(AC52="",AB52=""),"",IF(AB52&lt;=0,"",IFERROR(AC52/AB52-1,"")))</f>
        <v/>
      </c>
    </row>
    <row r="54">
      <c r="A54" s="18" t="inlineStr">
        <is>
          <t>법인세비용(수익)</t>
        </is>
      </c>
      <c r="B54" s="10" t="n"/>
      <c r="C54" s="19" t="n">
        <v>225.719</v>
      </c>
      <c r="D54" s="20" t="n">
        <v>126.76</v>
      </c>
      <c r="E54" s="20" t="n">
        <v>298.509</v>
      </c>
      <c r="F54" s="20" t="n">
        <v>90.92400000000001</v>
      </c>
      <c r="G54" s="20" t="n">
        <v>294.087</v>
      </c>
      <c r="H54" s="20" t="n">
        <v>175.395</v>
      </c>
      <c r="I54" s="20" t="n">
        <v>267.219</v>
      </c>
      <c r="J54" s="20" t="n">
        <v>154.694</v>
      </c>
      <c r="K54" s="20" t="n">
        <v>230.647</v>
      </c>
      <c r="L54" s="20" t="n">
        <v>298.709</v>
      </c>
      <c r="M54" s="20" t="n">
        <v>318.361</v>
      </c>
      <c r="N54" s="20" t="n">
        <v>255.395</v>
      </c>
      <c r="O54" s="19" t="n"/>
      <c r="P54" s="20" t="n">
        <v>176.02</v>
      </c>
      <c r="Q54" s="20" t="n">
        <v>258.425</v>
      </c>
      <c r="R54" s="20" t="n">
        <v>409.218</v>
      </c>
      <c r="S54" s="20" t="n">
        <v>579.84</v>
      </c>
      <c r="T54" s="20" t="n">
        <v>456.987</v>
      </c>
      <c r="U54" s="20" t="n">
        <v>674.63</v>
      </c>
      <c r="V54" s="20" t="n">
        <v>741.912</v>
      </c>
      <c r="W54" s="20" t="n">
        <v>891.395</v>
      </c>
      <c r="X54" s="20" t="n">
        <v>1103.112</v>
      </c>
      <c r="Y54" s="19">
        <f>IF(OR(Y52="",Y55=""),"",IFERROR(MAX(Y52,0)*Y55,""))</f>
        <v/>
      </c>
      <c r="Z54" s="20">
        <f>IF(OR(Z52="",Z55=""),"",IFERROR(MAX(Z52,0)*Z55,""))</f>
        <v/>
      </c>
      <c r="AA54" s="20">
        <f>IF(OR(AA52="",AA55=""),"",IFERROR(MAX(AA52,0)*AA55,""))</f>
        <v/>
      </c>
      <c r="AB54" s="20">
        <f>IF(OR(AB52="",AB55=""),"",IFERROR(MAX(AB52,0)*AB55,""))</f>
        <v/>
      </c>
      <c r="AC54" s="20">
        <f>IF(OR(AC52="",AC55=""),"",IFERROR(MAX(AC52,0)*AC55,""))</f>
        <v/>
      </c>
    </row>
    <row r="55">
      <c r="A55" s="13" t="inlineStr">
        <is>
          <t>법인세율</t>
        </is>
      </c>
      <c r="B55" s="10" t="inlineStr">
        <is>
          <t>MW 기본 30%</t>
        </is>
      </c>
      <c r="C55" s="14">
        <f>IF(OR(C54="",C52=""),"",IFERROR(C54/C52,""))</f>
        <v/>
      </c>
      <c r="D55" s="15">
        <f>IF(OR(D54="",D52=""),"",IFERROR(D54/D52,""))</f>
        <v/>
      </c>
      <c r="E55" s="15">
        <f>IF(OR(E54="",E52=""),"",IFERROR(E54/E52,""))</f>
        <v/>
      </c>
      <c r="F55" s="15">
        <f>IF(OR(F54="",F52=""),"",IFERROR(F54/F52,""))</f>
        <v/>
      </c>
      <c r="G55" s="15">
        <f>IF(OR(G54="",G52=""),"",IFERROR(G54/G52,""))</f>
        <v/>
      </c>
      <c r="H55" s="15">
        <f>IF(OR(H54="",H52=""),"",IFERROR(H54/H52,""))</f>
        <v/>
      </c>
      <c r="I55" s="15">
        <f>IF(OR(I54="",I52=""),"",IFERROR(I54/I52,""))</f>
        <v/>
      </c>
      <c r="J55" s="15">
        <f>IF(OR(J54="",J52=""),"",IFERROR(J54/J52,""))</f>
        <v/>
      </c>
      <c r="K55" s="15">
        <f>IF(OR(K54="",K52=""),"",IFERROR(K54/K52,""))</f>
        <v/>
      </c>
      <c r="L55" s="15">
        <f>IF(OR(L54="",L52=""),"",IFERROR(L54/L52,""))</f>
        <v/>
      </c>
      <c r="M55" s="15">
        <f>IF(OR(M54="",M52=""),"",IFERROR(M54/M52,""))</f>
        <v/>
      </c>
      <c r="N55" s="15">
        <f>IF(OR(N54="",N52=""),"",IFERROR(N54/N52,""))</f>
        <v/>
      </c>
      <c r="O55" s="14">
        <f>IF(OR(O54="",O52=""),"",IFERROR(O54/O52,""))</f>
        <v/>
      </c>
      <c r="P55" s="15">
        <f>IF(OR(P54="",P52=""),"",IFERROR(P54/P52,""))</f>
        <v/>
      </c>
      <c r="Q55" s="15">
        <f>IF(OR(Q54="",Q52=""),"",IFERROR(Q54/Q52,""))</f>
        <v/>
      </c>
      <c r="R55" s="15">
        <f>IF(OR(R54="",R52=""),"",IFERROR(R54/R52,""))</f>
        <v/>
      </c>
      <c r="S55" s="15">
        <f>IF(OR(S54="",S52=""),"",IFERROR(S54/S52,""))</f>
        <v/>
      </c>
      <c r="T55" s="15">
        <f>IF(OR(T54="",T52=""),"",IFERROR(T54/T52,""))</f>
        <v/>
      </c>
      <c r="U55" s="15">
        <f>IF(OR(U54="",U52=""),"",IFERROR(U54/U52,""))</f>
        <v/>
      </c>
      <c r="V55" s="15">
        <f>IF(OR(V54="",V52=""),"",IFERROR(V54/V52,""))</f>
        <v/>
      </c>
      <c r="W55" s="15">
        <f>IF(OR(W54="",W52=""),"",IFERROR(W54/W52,""))</f>
        <v/>
      </c>
      <c r="X55" s="15">
        <f>IF(OR(X54="",X52=""),"",IFERROR(X54/X52,""))</f>
        <v/>
      </c>
      <c r="Y55" s="25" t="n">
        <v>0.3</v>
      </c>
      <c r="Z55" s="26" t="n">
        <v>0.3</v>
      </c>
      <c r="AA55" s="26" t="n">
        <v>0.3</v>
      </c>
      <c r="AB55" s="26" t="n">
        <v>0.3</v>
      </c>
      <c r="AC55" s="26" t="n">
        <v>0.3</v>
      </c>
    </row>
    <row r="56">
      <c r="A56" s="9" t="inlineStr">
        <is>
          <t>당기순이익(손실)</t>
        </is>
      </c>
      <c r="B56" s="10" t="n"/>
      <c r="C56" s="11" t="n">
        <v>300.792</v>
      </c>
      <c r="D56" s="12" t="n">
        <v>468.835</v>
      </c>
      <c r="E56" s="12" t="n">
        <v>381.856</v>
      </c>
      <c r="F56" s="12" t="n">
        <v>424.236</v>
      </c>
      <c r="G56" s="12" t="n">
        <v>481.273</v>
      </c>
      <c r="H56" s="12" t="n">
        <v>437.713</v>
      </c>
      <c r="I56" s="12" t="n">
        <v>396.174</v>
      </c>
      <c r="J56" s="12" t="n">
        <v>394.528</v>
      </c>
      <c r="K56" s="12" t="n">
        <v>356.971</v>
      </c>
      <c r="L56" s="12" t="n">
        <v>352.684</v>
      </c>
      <c r="M56" s="12" t="n">
        <v>538.008</v>
      </c>
      <c r="N56" s="12" t="n">
        <v>606.838</v>
      </c>
      <c r="O56" s="11" t="n"/>
      <c r="P56" s="12" t="n">
        <v>311.615</v>
      </c>
      <c r="Q56" s="12" t="n">
        <v>440.945</v>
      </c>
      <c r="R56" s="12" t="n">
        <v>654.002</v>
      </c>
      <c r="S56" s="12" t="n">
        <v>1240.783</v>
      </c>
      <c r="T56" s="12" t="n">
        <v>966.159</v>
      </c>
      <c r="U56" s="12" t="n">
        <v>1472.452</v>
      </c>
      <c r="V56" s="12" t="n">
        <v>1575.719</v>
      </c>
      <c r="W56" s="12" t="n">
        <v>1709.688</v>
      </c>
      <c r="X56" s="12" t="n">
        <v>1854.501</v>
      </c>
      <c r="Y56" s="11">
        <f>IF(OR(Y52=""),"",IFERROR(Y52-Y54,""))</f>
        <v/>
      </c>
      <c r="Z56" s="12">
        <f>IF(OR(Z52=""),"",IFERROR(Z52-Z54,""))</f>
        <v/>
      </c>
      <c r="AA56" s="12">
        <f>IF(OR(AA52=""),"",IFERROR(AA52-AA54,""))</f>
        <v/>
      </c>
      <c r="AB56" s="12">
        <f>IF(OR(AB52=""),"",IFERROR(AB52-AB54,""))</f>
        <v/>
      </c>
      <c r="AC56" s="12">
        <f>IF(OR(AC52=""),"",IFERROR(AC52-AC54,""))</f>
        <v/>
      </c>
    </row>
    <row r="57">
      <c r="A57" s="13" t="inlineStr">
        <is>
          <t>YoY</t>
        </is>
      </c>
      <c r="B57" s="10" t="n"/>
      <c r="C57" s="14" t="n"/>
      <c r="D57" s="15" t="n"/>
      <c r="E57" s="15" t="n"/>
      <c r="F57" s="15" t="n"/>
      <c r="G57" s="15">
        <f>IF(OR(G56="",C56=""),"",IF(C56&lt;=0,"",IFERROR(G56/C56-1,"")))</f>
        <v/>
      </c>
      <c r="H57" s="15">
        <f>IF(OR(H56="",D56=""),"",IF(D56&lt;=0,"",IFERROR(H56/D56-1,"")))</f>
        <v/>
      </c>
      <c r="I57" s="15">
        <f>IF(OR(I56="",E56=""),"",IF(E56&lt;=0,"",IFERROR(I56/E56-1,"")))</f>
        <v/>
      </c>
      <c r="J57" s="15">
        <f>IF(OR(J56="",F56=""),"",IF(F56&lt;=0,"",IFERROR(J56/F56-1,"")))</f>
        <v/>
      </c>
      <c r="K57" s="15">
        <f>IF(OR(K56="",G56=""),"",IF(G56&lt;=0,"",IFERROR(K56/G56-1,"")))</f>
        <v/>
      </c>
      <c r="L57" s="15">
        <f>IF(OR(L56="",H56=""),"",IF(H56&lt;=0,"",IFERROR(L56/H56-1,"")))</f>
        <v/>
      </c>
      <c r="M57" s="15">
        <f>IF(OR(M56="",I56=""),"",IF(I56&lt;=0,"",IFERROR(M56/I56-1,"")))</f>
        <v/>
      </c>
      <c r="N57" s="15">
        <f>IF(OR(N56="",J56=""),"",IF(J56&lt;=0,"",IFERROR(N56/J56-1,"")))</f>
        <v/>
      </c>
      <c r="O57" s="14" t="n"/>
      <c r="P57" s="15">
        <f>IF(OR(P56="",O56=""),"",IF(O56&lt;=0,"",IFERROR(P56/O56-1,"")))</f>
        <v/>
      </c>
      <c r="Q57" s="15">
        <f>IF(OR(Q56="",P56=""),"",IF(P56&lt;=0,"",IFERROR(Q56/P56-1,"")))</f>
        <v/>
      </c>
      <c r="R57" s="15">
        <f>IF(OR(R56="",Q56=""),"",IF(Q56&lt;=0,"",IFERROR(R56/Q56-1,"")))</f>
        <v/>
      </c>
      <c r="S57" s="15">
        <f>IF(OR(S56="",R56=""),"",IF(R56&lt;=0,"",IFERROR(S56/R56-1,"")))</f>
        <v/>
      </c>
      <c r="T57" s="15">
        <f>IF(OR(T56="",S56=""),"",IF(S56&lt;=0,"",IFERROR(T56/S56-1,"")))</f>
        <v/>
      </c>
      <c r="U57" s="15">
        <f>IF(OR(U56="",T56=""),"",IF(T56&lt;=0,"",IFERROR(U56/T56-1,"")))</f>
        <v/>
      </c>
      <c r="V57" s="15">
        <f>IF(OR(V56="",U56=""),"",IF(U56&lt;=0,"",IFERROR(V56/U56-1,"")))</f>
        <v/>
      </c>
      <c r="W57" s="15">
        <f>IF(OR(W56="",V56=""),"",IF(V56&lt;=0,"",IFERROR(W56/V56-1,"")))</f>
        <v/>
      </c>
      <c r="X57" s="15">
        <f>IF(OR(X56="",W56=""),"",IF(W56&lt;=0,"",IFERROR(X56/W56-1,"")))</f>
        <v/>
      </c>
      <c r="Y57" s="14">
        <f>IF(OR(Y56="",X56=""),"",IF(X56&lt;=0,"",IFERROR(Y56/X56-1,"")))</f>
        <v/>
      </c>
      <c r="Z57" s="15">
        <f>IF(OR(Z56="",Y56=""),"",IF(Y56&lt;=0,"",IFERROR(Z56/Y56-1,"")))</f>
        <v/>
      </c>
      <c r="AA57" s="15">
        <f>IF(OR(AA56="",Z56=""),"",IF(Z56&lt;=0,"",IFERROR(AA56/Z56-1,"")))</f>
        <v/>
      </c>
      <c r="AB57" s="15">
        <f>IF(OR(AB56="",AA56=""),"",IF(AA56&lt;=0,"",IFERROR(AB56/AA56-1,"")))</f>
        <v/>
      </c>
      <c r="AC57" s="15">
        <f>IF(OR(AC56="",AB56=""),"",IF(AB56&lt;=0,"",IFERROR(AC56/AB56-1,"")))</f>
        <v/>
      </c>
    </row>
    <row r="58">
      <c r="A58" s="9" t="inlineStr">
        <is>
          <t>지배주주 순이익</t>
        </is>
      </c>
      <c r="B58" s="10" t="n"/>
      <c r="C58" s="11" t="n">
        <v>300.792</v>
      </c>
      <c r="D58" s="12" t="n">
        <v>468.835</v>
      </c>
      <c r="E58" s="12" t="n">
        <v>381.856</v>
      </c>
      <c r="F58" s="12" t="n">
        <v>424.236</v>
      </c>
      <c r="G58" s="12" t="n">
        <v>481.273</v>
      </c>
      <c r="H58" s="12" t="n">
        <v>437.713</v>
      </c>
      <c r="I58" s="12" t="n">
        <v>396.174</v>
      </c>
      <c r="J58" s="12" t="n">
        <v>394.528</v>
      </c>
      <c r="K58" s="12" t="n">
        <v>356.971</v>
      </c>
      <c r="L58" s="12" t="n">
        <v>352.684</v>
      </c>
      <c r="M58" s="12" t="n">
        <v>538.008</v>
      </c>
      <c r="N58" s="12" t="n">
        <v>606.838</v>
      </c>
      <c r="O58" s="11" t="n"/>
      <c r="P58" s="12" t="n">
        <v>311.615</v>
      </c>
      <c r="Q58" s="12" t="n">
        <v>440.945</v>
      </c>
      <c r="R58" s="12" t="n">
        <v>654.002</v>
      </c>
      <c r="S58" s="12" t="n">
        <v>1240.783</v>
      </c>
      <c r="T58" s="12" t="n">
        <v>966.159</v>
      </c>
      <c r="U58" s="12" t="n">
        <v>1472.452</v>
      </c>
      <c r="V58" s="12" t="n">
        <v>1575.719</v>
      </c>
      <c r="W58" s="12" t="n">
        <v>1709.688</v>
      </c>
      <c r="X58" s="12" t="n">
        <v>1854.501</v>
      </c>
      <c r="Y58" s="11">
        <f>IF(OR(Y56="",Y59=""),"",IFERROR(Y56*Y59,""))</f>
        <v/>
      </c>
      <c r="Z58" s="12">
        <f>IF(OR(Z56="",Z59=""),"",IFERROR(Z56*Z59,""))</f>
        <v/>
      </c>
      <c r="AA58" s="12">
        <f>IF(OR(AA56="",AA59=""),"",IFERROR(AA56*AA59,""))</f>
        <v/>
      </c>
      <c r="AB58" s="12">
        <f>IF(OR(AB56="",AB59=""),"",IFERROR(AB56*AB59,""))</f>
        <v/>
      </c>
      <c r="AC58" s="12">
        <f>IF(OR(AC56="",AC59=""),"",IFERROR(AC56*AC59,""))</f>
        <v/>
      </c>
    </row>
    <row r="59">
      <c r="A59" s="13" t="inlineStr">
        <is>
          <t>지배주주 순이익률</t>
        </is>
      </c>
      <c r="B59" s="10" t="inlineStr">
        <is>
          <t>MW 기본 100%</t>
        </is>
      </c>
      <c r="C59" s="14">
        <f>IF(OR(C58="",C56=""),"",IFERROR(C58/C56,""))</f>
        <v/>
      </c>
      <c r="D59" s="15">
        <f>IF(OR(D58="",D56=""),"",IFERROR(D58/D56,""))</f>
        <v/>
      </c>
      <c r="E59" s="15">
        <f>IF(OR(E58="",E56=""),"",IFERROR(E58/E56,""))</f>
        <v/>
      </c>
      <c r="F59" s="15">
        <f>IF(OR(F58="",F56=""),"",IFERROR(F58/F56,""))</f>
        <v/>
      </c>
      <c r="G59" s="15">
        <f>IF(OR(G58="",G56=""),"",IFERROR(G58/G56,""))</f>
        <v/>
      </c>
      <c r="H59" s="15">
        <f>IF(OR(H58="",H56=""),"",IFERROR(H58/H56,""))</f>
        <v/>
      </c>
      <c r="I59" s="15">
        <f>IF(OR(I58="",I56=""),"",IFERROR(I58/I56,""))</f>
        <v/>
      </c>
      <c r="J59" s="15">
        <f>IF(OR(J58="",J56=""),"",IFERROR(J58/J56,""))</f>
        <v/>
      </c>
      <c r="K59" s="15">
        <f>IF(OR(K58="",K56=""),"",IFERROR(K58/K56,""))</f>
        <v/>
      </c>
      <c r="L59" s="15">
        <f>IF(OR(L58="",L56=""),"",IFERROR(L58/L56,""))</f>
        <v/>
      </c>
      <c r="M59" s="15">
        <f>IF(OR(M58="",M56=""),"",IFERROR(M58/M56,""))</f>
        <v/>
      </c>
      <c r="N59" s="15">
        <f>IF(OR(N58="",N56=""),"",IFERROR(N58/N56,""))</f>
        <v/>
      </c>
      <c r="O59" s="14">
        <f>IF(OR(O58="",O56=""),"",IFERROR(O58/O56,""))</f>
        <v/>
      </c>
      <c r="P59" s="15">
        <f>IF(OR(P58="",P56=""),"",IFERROR(P58/P56,""))</f>
        <v/>
      </c>
      <c r="Q59" s="15">
        <f>IF(OR(Q58="",Q56=""),"",IFERROR(Q58/Q56,""))</f>
        <v/>
      </c>
      <c r="R59" s="15">
        <f>IF(OR(R58="",R56=""),"",IFERROR(R58/R56,""))</f>
        <v/>
      </c>
      <c r="S59" s="15">
        <f>IF(OR(S58="",S56=""),"",IFERROR(S58/S56,""))</f>
        <v/>
      </c>
      <c r="T59" s="15">
        <f>IF(OR(T58="",T56=""),"",IFERROR(T58/T56,""))</f>
        <v/>
      </c>
      <c r="U59" s="15">
        <f>IF(OR(U58="",U56=""),"",IFERROR(U58/U56,""))</f>
        <v/>
      </c>
      <c r="V59" s="15">
        <f>IF(OR(V58="",V56=""),"",IFERROR(V58/V56,""))</f>
        <v/>
      </c>
      <c r="W59" s="15">
        <f>IF(OR(W58="",W56=""),"",IFERROR(W58/W56,""))</f>
        <v/>
      </c>
      <c r="X59" s="15">
        <f>IF(OR(X58="",X56=""),"",IFERROR(X58/X56,""))</f>
        <v/>
      </c>
      <c r="Y59" s="25" t="n">
        <v>1</v>
      </c>
      <c r="Z59" s="26" t="n">
        <v>1</v>
      </c>
      <c r="AA59" s="26" t="n">
        <v>1</v>
      </c>
      <c r="AB59" s="26" t="n">
        <v>1</v>
      </c>
      <c r="AC59" s="26" t="n">
        <v>1</v>
      </c>
    </row>
    <row r="60">
      <c r="A60" s="13" t="inlineStr">
        <is>
          <t>지배주주 순이익 YoY</t>
        </is>
      </c>
      <c r="B60" s="10" t="n"/>
      <c r="C60" s="14" t="n"/>
      <c r="D60" s="15" t="n"/>
      <c r="E60" s="15" t="n"/>
      <c r="F60" s="15" t="n"/>
      <c r="G60" s="15">
        <f>IF(OR(G58="",C58=""),"",IF(C58&lt;=0,"",IFERROR(G58/C58-1,"")))</f>
        <v/>
      </c>
      <c r="H60" s="15">
        <f>IF(OR(H58="",D58=""),"",IF(D58&lt;=0,"",IFERROR(H58/D58-1,"")))</f>
        <v/>
      </c>
      <c r="I60" s="15">
        <f>IF(OR(I58="",E58=""),"",IF(E58&lt;=0,"",IFERROR(I58/E58-1,"")))</f>
        <v/>
      </c>
      <c r="J60" s="15">
        <f>IF(OR(J58="",F58=""),"",IF(F58&lt;=0,"",IFERROR(J58/F58-1,"")))</f>
        <v/>
      </c>
      <c r="K60" s="15">
        <f>IF(OR(K58="",G58=""),"",IF(G58&lt;=0,"",IFERROR(K58/G58-1,"")))</f>
        <v/>
      </c>
      <c r="L60" s="15">
        <f>IF(OR(L58="",H58=""),"",IF(H58&lt;=0,"",IFERROR(L58/H58-1,"")))</f>
        <v/>
      </c>
      <c r="M60" s="15">
        <f>IF(OR(M58="",I58=""),"",IF(I58&lt;=0,"",IFERROR(M58/I58-1,"")))</f>
        <v/>
      </c>
      <c r="N60" s="15">
        <f>IF(OR(N58="",J58=""),"",IF(J58&lt;=0,"",IFERROR(N58/J58-1,"")))</f>
        <v/>
      </c>
      <c r="O60" s="14" t="n"/>
      <c r="P60" s="15">
        <f>IF(OR(P58="",O58=""),"",IF(O58&lt;=0,"",IFERROR(P58/O58-1,"")))</f>
        <v/>
      </c>
      <c r="Q60" s="15">
        <f>IF(OR(Q58="",P58=""),"",IF(P58&lt;=0,"",IFERROR(Q58/P58-1,"")))</f>
        <v/>
      </c>
      <c r="R60" s="15">
        <f>IF(OR(R58="",Q58=""),"",IF(Q58&lt;=0,"",IFERROR(R58/Q58-1,"")))</f>
        <v/>
      </c>
      <c r="S60" s="15">
        <f>IF(OR(S58="",R58=""),"",IF(R58&lt;=0,"",IFERROR(S58/R58-1,"")))</f>
        <v/>
      </c>
      <c r="T60" s="15">
        <f>IF(OR(T58="",S58=""),"",IF(S58&lt;=0,"",IFERROR(T58/S58-1,"")))</f>
        <v/>
      </c>
      <c r="U60" s="15">
        <f>IF(OR(U58="",T58=""),"",IF(T58&lt;=0,"",IFERROR(U58/T58-1,"")))</f>
        <v/>
      </c>
      <c r="V60" s="15">
        <f>IF(OR(V58="",U58=""),"",IF(U58&lt;=0,"",IFERROR(V58/U58-1,"")))</f>
        <v/>
      </c>
      <c r="W60" s="15">
        <f>IF(OR(W58="",V58=""),"",IF(V58&lt;=0,"",IFERROR(W58/V58-1,"")))</f>
        <v/>
      </c>
      <c r="X60" s="15">
        <f>IF(OR(X58="",W58=""),"",IF(W58&lt;=0,"",IFERROR(X58/W58-1,"")))</f>
        <v/>
      </c>
      <c r="Y60" s="14">
        <f>IF(OR(Y58="",X58=""),"",IF(X58&lt;=0,"",IFERROR(Y58/X58-1,"")))</f>
        <v/>
      </c>
      <c r="Z60" s="15">
        <f>IF(OR(Z58="",Y58=""),"",IF(Y58&lt;=0,"",IFERROR(Z58/Y58-1,"")))</f>
        <v/>
      </c>
      <c r="AA60" s="15">
        <f>IF(OR(AA58="",Z58=""),"",IF(Z58&lt;=0,"",IFERROR(AA58/Z58-1,"")))</f>
        <v/>
      </c>
      <c r="AB60" s="15">
        <f>IF(OR(AB58="",AA58=""),"",IF(AA58&lt;=0,"",IFERROR(AB58/AA58-1,"")))</f>
        <v/>
      </c>
      <c r="AC60" s="15">
        <f>IF(OR(AC58="",AB58=""),"",IF(AB58&lt;=0,"",IFERROR(AC58/AB58-1,"")))</f>
        <v/>
      </c>
    </row>
    <row r="61">
      <c r="A61" s="16" t="inlineStr">
        <is>
          <t>목표주가 산출</t>
        </is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7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7" t="n"/>
      <c r="Z61" s="16" t="n"/>
      <c r="AA61" s="16" t="n"/>
      <c r="AB61" s="16" t="n"/>
      <c r="AC61" s="16" t="n"/>
    </row>
    <row r="62">
      <c r="A62" s="18" t="inlineStr">
        <is>
          <t>현재 주가 (2026.10.28)</t>
        </is>
      </c>
      <c r="B62" s="27" t="n">
        <v>1460</v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8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8" t="n"/>
      <c r="Z62" s="29" t="n"/>
      <c r="AA62" s="29" t="n"/>
      <c r="AB62" s="29" t="n"/>
      <c r="AC62" s="29" t="n"/>
    </row>
    <row r="63">
      <c r="A63" s="18" t="inlineStr">
        <is>
          <t>발행주식수 (보통주)</t>
        </is>
      </c>
      <c r="B63" s="27" t="n">
        <v>13560000</v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8" t="n"/>
      <c r="Z63" s="29" t="n"/>
      <c r="AA63" s="29" t="n"/>
      <c r="AB63" s="29" t="n"/>
      <c r="AC63" s="29" t="n"/>
    </row>
    <row r="64">
      <c r="A64" s="18" t="inlineStr">
        <is>
          <t>시가총액 (백만엔)</t>
        </is>
      </c>
      <c r="B64" s="12">
        <f>IF(OR(B62="",B63=""),"",B62*B63/1000000.0)</f>
        <v/>
      </c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19" t="n"/>
      <c r="Z64" s="20" t="n"/>
      <c r="AA64" s="20" t="n"/>
      <c r="AB64" s="20" t="n"/>
      <c r="AC64" s="20" t="n"/>
    </row>
    <row r="65">
      <c r="A65" s="13" t="inlineStr">
        <is>
          <t>OPM</t>
        </is>
      </c>
      <c r="B65" s="10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4">
        <f>IF(O29="","",O29)</f>
        <v/>
      </c>
      <c r="P65" s="15">
        <f>IF(P29="","",P29)</f>
        <v/>
      </c>
      <c r="Q65" s="15">
        <f>IF(Q29="","",Q29)</f>
        <v/>
      </c>
      <c r="R65" s="15">
        <f>IF(R29="","",R29)</f>
        <v/>
      </c>
      <c r="S65" s="15">
        <f>IF(S29="","",S29)</f>
        <v/>
      </c>
      <c r="T65" s="15">
        <f>IF(T29="","",T29)</f>
        <v/>
      </c>
      <c r="U65" s="15">
        <f>IF(U29="","",U29)</f>
        <v/>
      </c>
      <c r="V65" s="15">
        <f>IF(V29="","",V29)</f>
        <v/>
      </c>
      <c r="W65" s="15">
        <f>IF(W29="","",W29)</f>
        <v/>
      </c>
      <c r="X65" s="15">
        <f>IF(X29="","",X29)</f>
        <v/>
      </c>
      <c r="Y65" s="14">
        <f>IF(Y29="","",Y29)</f>
        <v/>
      </c>
      <c r="Z65" s="15">
        <f>IF(Z29="","",Z29)</f>
        <v/>
      </c>
      <c r="AA65" s="15">
        <f>IF(AA29="","",AA29)</f>
        <v/>
      </c>
      <c r="AB65" s="15">
        <f>IF(AB29="","",AB29)</f>
        <v/>
      </c>
      <c r="AC65" s="15">
        <f>IF(AC29="","",AC29)</f>
        <v/>
      </c>
    </row>
    <row r="66">
      <c r="A66" s="13" t="inlineStr">
        <is>
          <t>지배주주 순이익 증가율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>
        <f>IF(OR(P58="",O58=""),"",IFERROR(P58/O58-1,""))</f>
        <v/>
      </c>
      <c r="Q66" s="15">
        <f>IF(OR(Q58="",P58=""),"",IFERROR(Q58/P58-1,""))</f>
        <v/>
      </c>
      <c r="R66" s="15">
        <f>IF(OR(R58="",Q58=""),"",IFERROR(R58/Q58-1,""))</f>
        <v/>
      </c>
      <c r="S66" s="15">
        <f>IF(OR(S58="",R58=""),"",IFERROR(S58/R58-1,""))</f>
        <v/>
      </c>
      <c r="T66" s="15">
        <f>IF(OR(T58="",S58=""),"",IFERROR(T58/S58-1,""))</f>
        <v/>
      </c>
      <c r="U66" s="15">
        <f>IF(OR(U58="",T58=""),"",IFERROR(U58/T58-1,""))</f>
        <v/>
      </c>
      <c r="V66" s="15">
        <f>IF(OR(V58="",U58=""),"",IFERROR(V58/U58-1,""))</f>
        <v/>
      </c>
      <c r="W66" s="15">
        <f>IF(OR(W58="",V58=""),"",IFERROR(W58/V58-1,""))</f>
        <v/>
      </c>
      <c r="X66" s="15">
        <f>IF(OR(X58="",W58=""),"",IFERROR(X58/W58-1,""))</f>
        <v/>
      </c>
      <c r="Y66" s="14">
        <f>IF(OR(Y58="",X58=""),"",IFERROR(Y58/X58-1,""))</f>
        <v/>
      </c>
      <c r="Z66" s="15">
        <f>IF(OR(Z58="",Y58=""),"",IFERROR(Z58/Y58-1,""))</f>
        <v/>
      </c>
      <c r="AA66" s="15">
        <f>IF(OR(AA58="",Z58=""),"",IFERROR(AA58/Z58-1,""))</f>
        <v/>
      </c>
      <c r="AB66" s="15">
        <f>IF(OR(AB58="",AA58=""),"",IFERROR(AB58/AA58-1,""))</f>
        <v/>
      </c>
      <c r="AC66" s="15">
        <f>IF(OR(AC58="",AB58=""),"",IFERROR(AC58/AB58-1,""))</f>
        <v/>
      </c>
    </row>
    <row r="67">
      <c r="A67" s="18" t="inlineStr">
        <is>
          <t>P/E (현재 주가)</t>
        </is>
      </c>
      <c r="B67" s="10" t="inlineStr">
        <is>
          <t>시총 ÷ 지배순이익</t>
        </is>
      </c>
      <c r="C67" s="30" t="n"/>
      <c r="D67" s="31" t="n"/>
      <c r="E67" s="31" t="n"/>
      <c r="F67" s="31" t="n"/>
      <c r="G67" s="31" t="n"/>
      <c r="H67" s="31" t="n"/>
      <c r="I67" s="31" t="n"/>
      <c r="J67" s="31" t="n"/>
      <c r="K67" s="31" t="n"/>
      <c r="L67" s="31" t="n"/>
      <c r="M67" s="31" t="n"/>
      <c r="N67" s="31" t="n"/>
      <c r="O67" s="30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>
        <f>IF(OR($B$64="",X58=""),"",IFERROR($B$64/X58,""))</f>
        <v/>
      </c>
      <c r="Y67" s="30">
        <f>IF(OR($B$64="",Y58=""),"",IFERROR($B$64/Y58,""))</f>
        <v/>
      </c>
      <c r="Z67" s="31">
        <f>IF(OR($B$64="",Z58=""),"",IFERROR($B$64/Z58,""))</f>
        <v/>
      </c>
      <c r="AA67" s="31">
        <f>IF(OR($B$64="",AA58=""),"",IFERROR($B$64/AA58,""))</f>
        <v/>
      </c>
      <c r="AB67" s="31">
        <f>IF(OR($B$64="",AB58=""),"",IFERROR($B$64/AB58,""))</f>
        <v/>
      </c>
      <c r="AC67" s="31">
        <f>IF(OR($B$64="",AC58=""),"",IFERROR($B$64/AC58,""))</f>
        <v/>
      </c>
    </row>
    <row r="68">
      <c r="A68" s="18" t="inlineStr">
        <is>
          <t>Target P/E</t>
        </is>
      </c>
      <c r="B68" s="10" t="inlineStr">
        <is>
          <t>직접 입력</t>
        </is>
      </c>
      <c r="C68" s="30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1" t="n"/>
      <c r="M68" s="31" t="n"/>
      <c r="N68" s="31" t="n"/>
      <c r="O68" s="30" t="n"/>
      <c r="P68" s="31" t="n"/>
      <c r="Q68" s="31" t="n"/>
      <c r="R68" s="31" t="n"/>
      <c r="S68" s="31" t="n"/>
      <c r="T68" s="31" t="n"/>
      <c r="U68" s="31" t="n"/>
      <c r="V68" s="31" t="n"/>
      <c r="W68" s="31" t="n"/>
      <c r="X68" s="31" t="n"/>
      <c r="Y68" s="32" t="n"/>
      <c r="Z68" s="33" t="n"/>
      <c r="AA68" s="33" t="n"/>
      <c r="AB68" s="33" t="n"/>
      <c r="AC68" s="33" t="n"/>
    </row>
    <row r="69">
      <c r="A69" s="18" t="inlineStr">
        <is>
          <t>EPS</t>
        </is>
      </c>
      <c r="B69" s="10" t="inlineStr">
        <is>
          <t>지배순이익 ÷ 주식수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>
        <f>IF(OR(O58="",$B$63=""),"",IFERROR(O58*1000000.0/$B$63,""))</f>
        <v/>
      </c>
      <c r="P69" s="29">
        <f>IF(OR(P58="",$B$63=""),"",IFERROR(P58*1000000.0/$B$63,""))</f>
        <v/>
      </c>
      <c r="Q69" s="29">
        <f>IF(OR(Q58="",$B$63=""),"",IFERROR(Q58*1000000.0/$B$63,""))</f>
        <v/>
      </c>
      <c r="R69" s="29">
        <f>IF(OR(R58="",$B$63=""),"",IFERROR(R58*1000000.0/$B$63,""))</f>
        <v/>
      </c>
      <c r="S69" s="29">
        <f>IF(OR(S58="",$B$63=""),"",IFERROR(S58*1000000.0/$B$63,""))</f>
        <v/>
      </c>
      <c r="T69" s="29">
        <f>IF(OR(T58="",$B$63=""),"",IFERROR(T58*1000000.0/$B$63,""))</f>
        <v/>
      </c>
      <c r="U69" s="29">
        <f>IF(OR(U58="",$B$63=""),"",IFERROR(U58*1000000.0/$B$63,""))</f>
        <v/>
      </c>
      <c r="V69" s="29">
        <f>IF(OR(V58="",$B$63=""),"",IFERROR(V58*1000000.0/$B$63,""))</f>
        <v/>
      </c>
      <c r="W69" s="29">
        <f>IF(OR(W58="",$B$63=""),"",IFERROR(W58*1000000.0/$B$63,""))</f>
        <v/>
      </c>
      <c r="X69" s="29">
        <f>IF(OR(X58="",$B$63=""),"",IFERROR(X58*1000000.0/$B$63,""))</f>
        <v/>
      </c>
      <c r="Y69" s="28">
        <f>IF(OR(Y58="",$B$63=""),"",IFERROR(Y58*1000000.0/$B$63,""))</f>
        <v/>
      </c>
      <c r="Z69" s="29">
        <f>IF(OR(Z58="",$B$63=""),"",IFERROR(Z58*1000000.0/$B$63,""))</f>
        <v/>
      </c>
      <c r="AA69" s="29">
        <f>IF(OR(AA58="",$B$63=""),"",IFERROR(AA58*1000000.0/$B$63,""))</f>
        <v/>
      </c>
      <c r="AB69" s="29">
        <f>IF(OR(AB58="",$B$63=""),"",IFERROR(AB58*1000000.0/$B$63,""))</f>
        <v/>
      </c>
      <c r="AC69" s="29">
        <f>IF(OR(AC58="",$B$63=""),"",IFERROR(AC58*1000000.0/$B$63,""))</f>
        <v/>
      </c>
    </row>
    <row r="70">
      <c r="A70" s="9" t="inlineStr">
        <is>
          <t>목표주가</t>
        </is>
      </c>
      <c r="B70" s="10" t="n"/>
      <c r="C70" s="34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34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34">
        <f>IF(OR(Y69="",Y68=""),"",IFERROR(Y69*Y68,""))</f>
        <v/>
      </c>
      <c r="Z70" s="27">
        <f>IF(OR(Z69="",Z68=""),"",IFERROR(Z69*Z68,""))</f>
        <v/>
      </c>
      <c r="AA70" s="27">
        <f>IF(OR(AA69="",AA68=""),"",IFERROR(AA69*AA68,""))</f>
        <v/>
      </c>
      <c r="AB70" s="27">
        <f>IF(OR(AB69="",AB68=""),"",IFERROR(AB69*AB68,""))</f>
        <v/>
      </c>
      <c r="AC70" s="27">
        <f>IF(OR(AC69="",AC68=""),"",IFERROR(AC69*AC68,""))</f>
        <v/>
      </c>
    </row>
    <row r="71">
      <c r="A71" s="18" t="inlineStr">
        <is>
          <t>상승여력</t>
        </is>
      </c>
      <c r="B71" s="10" t="n"/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5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7">
        <f>IF(OR(Y70="",$B$62=""),"",IFERROR(Y70/$B$62-1,""))</f>
        <v/>
      </c>
      <c r="Z71" s="38">
        <f>IF(OR(Z70="",$B$62=""),"",IFERROR(Z70/$B$62-1,""))</f>
        <v/>
      </c>
      <c r="AA71" s="38">
        <f>IF(OR(AA70="",$B$62=""),"",IFERROR(AA70/$B$62-1,""))</f>
        <v/>
      </c>
      <c r="AB71" s="38">
        <f>IF(OR(AB70="",$B$62=""),"",IFERROR(AB70/$B$62-1,""))</f>
        <v/>
      </c>
      <c r="AC71" s="38">
        <f>IF(OR(AC70="",$B$62=""),"",IFERROR(AC70/$B$62-1,""))</f>
        <v/>
      </c>
    </row>
    <row r="72">
      <c r="A72" s="16" t="inlineStr">
        <is>
          <t>자산가치 산출</t>
        </is>
      </c>
      <c r="B72" s="16" t="inlineStr">
        <is>
          <t>최신 분기 BS</t>
        </is>
      </c>
      <c r="C72" s="17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7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7" t="n"/>
      <c r="Z72" s="16" t="n"/>
      <c r="AA72" s="16" t="n"/>
      <c r="AB72" s="16" t="n"/>
      <c r="AC72" s="16" t="n"/>
    </row>
    <row r="73">
      <c r="A73" s="18" t="inlineStr">
        <is>
          <t>현금및현금성자산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'재무상태표'!G6</f>
        <v/>
      </c>
      <c r="Y73" s="19">
        <f>'재무상태표'!G6</f>
        <v/>
      </c>
      <c r="Z73" s="20">
        <f>'재무상태표'!G6</f>
        <v/>
      </c>
      <c r="AA73" s="20">
        <f>'재무상태표'!G6</f>
        <v/>
      </c>
      <c r="AB73" s="20">
        <f>'재무상태표'!G6</f>
        <v/>
      </c>
      <c r="AC73" s="20">
        <f>'재무상태표'!G6</f>
        <v/>
      </c>
    </row>
    <row r="74">
      <c r="A74" s="18" t="inlineStr">
        <is>
          <t>단기금융상품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'재무상태표'!G7</f>
        <v/>
      </c>
      <c r="Y74" s="19">
        <f>'재무상태표'!G7</f>
        <v/>
      </c>
      <c r="Z74" s="20">
        <f>'재무상태표'!G7</f>
        <v/>
      </c>
      <c r="AA74" s="20">
        <f>'재무상태표'!G7</f>
        <v/>
      </c>
      <c r="AB74" s="20">
        <f>'재무상태표'!G7</f>
        <v/>
      </c>
      <c r="AC74" s="20">
        <f>'재무상태표'!G7</f>
        <v/>
      </c>
    </row>
    <row r="75">
      <c r="A75" s="18" t="inlineStr">
        <is>
          <t>투자부동산</t>
        </is>
      </c>
      <c r="B75" s="10" t="n"/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>
        <f>'재무상태표'!G14</f>
        <v/>
      </c>
      <c r="Y75" s="19">
        <f>'재무상태표'!G14</f>
        <v/>
      </c>
      <c r="Z75" s="20">
        <f>'재무상태표'!G14</f>
        <v/>
      </c>
      <c r="AA75" s="20">
        <f>'재무상태표'!G14</f>
        <v/>
      </c>
      <c r="AB75" s="20">
        <f>'재무상태표'!G14</f>
        <v/>
      </c>
      <c r="AC75" s="20">
        <f>'재무상태표'!G14</f>
        <v/>
      </c>
    </row>
    <row r="76">
      <c r="A76" s="18" t="inlineStr">
        <is>
          <t>지배자본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'재무상태표'!G31</f>
        <v/>
      </c>
      <c r="Y76" s="19">
        <f>'재무상태표'!G31</f>
        <v/>
      </c>
      <c r="Z76" s="20">
        <f>'재무상태표'!G31</f>
        <v/>
      </c>
      <c r="AA76" s="20">
        <f>'재무상태표'!G31</f>
        <v/>
      </c>
      <c r="AB76" s="20">
        <f>'재무상태표'!G31</f>
        <v/>
      </c>
      <c r="AC76" s="20">
        <f>'재무상태표'!G31</f>
        <v/>
      </c>
    </row>
    <row r="77">
      <c r="A77" s="18" t="inlineStr">
        <is>
          <t>부채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'재무상태표'!G27</f>
        <v/>
      </c>
      <c r="Y77" s="19">
        <f>'재무상태표'!G27</f>
        <v/>
      </c>
      <c r="Z77" s="20">
        <f>'재무상태표'!G27</f>
        <v/>
      </c>
      <c r="AA77" s="20">
        <f>'재무상태표'!G27</f>
        <v/>
      </c>
      <c r="AB77" s="20">
        <f>'재무상태표'!G27</f>
        <v/>
      </c>
      <c r="AC77" s="20">
        <f>'재무상태표'!G27</f>
        <v/>
      </c>
    </row>
    <row r="78">
      <c r="A78" s="13" t="inlineStr">
        <is>
          <t>부채비율</t>
        </is>
      </c>
      <c r="B78" s="10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4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>
        <f>IF(OR(X77="",X76=""),"",IFERROR(X77/X76,""))</f>
        <v/>
      </c>
      <c r="Y78" s="14">
        <f>IF(OR(Y77="",Y76=""),"",IFERROR(Y77/Y76,""))</f>
        <v/>
      </c>
      <c r="Z78" s="15">
        <f>IF(OR(Z77="",Z76=""),"",IFERROR(Z77/Z76,""))</f>
        <v/>
      </c>
      <c r="AA78" s="15">
        <f>IF(OR(AA77="",AA76=""),"",IFERROR(AA77/AA76,""))</f>
        <v/>
      </c>
      <c r="AB78" s="15">
        <f>IF(OR(AB77="",AB76=""),"",IFERROR(AB77/AB76,""))</f>
        <v/>
      </c>
      <c r="AC78" s="15">
        <f>IF(OR(AC77="",AC76=""),"",IFERROR(AC77/AC76,""))</f>
        <v/>
      </c>
    </row>
    <row r="79">
      <c r="A79" s="9" t="inlineStr">
        <is>
          <t>자산가치</t>
        </is>
      </c>
      <c r="B79" s="10" t="inlineStr">
        <is>
          <t>현금+단기금융+투자부동산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>
        <f>SUM(X73,X74,X75)</f>
        <v/>
      </c>
      <c r="Y79" s="11">
        <f>SUM(Y73,Y74,Y75)</f>
        <v/>
      </c>
      <c r="Z79" s="12">
        <f>SUM(Z73,Z74,Z75)</f>
        <v/>
      </c>
      <c r="AA79" s="12">
        <f>SUM(AA73,AA74,AA75)</f>
        <v/>
      </c>
      <c r="AB79" s="12">
        <f>SUM(AB73,AB74,AB75)</f>
        <v/>
      </c>
      <c r="AC79" s="12">
        <f>SUM(AC73,AC74,AC75)</f>
        <v/>
      </c>
    </row>
    <row r="80">
      <c r="A80" s="16" t="inlineStr">
        <is>
          <t>기업가치 산출</t>
        </is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7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7" t="n"/>
      <c r="Z80" s="16" t="n"/>
      <c r="AA80" s="16" t="n"/>
      <c r="AB80" s="16" t="n"/>
      <c r="AC80" s="16" t="n"/>
    </row>
    <row r="81">
      <c r="A81" s="18" t="inlineStr">
        <is>
          <t>목표 시가총액 (P/E)</t>
        </is>
      </c>
      <c r="B81" s="10" t="inlineStr">
        <is>
          <t>지배순이익 × Target P/E</t>
        </is>
      </c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19">
        <f>IF(OR(Y58="",Y68=""),"",IFERROR(Y58*Y68,""))</f>
        <v/>
      </c>
      <c r="Z81" s="20">
        <f>IF(OR(Z58="",Z68=""),"",IFERROR(Z58*Z68,""))</f>
        <v/>
      </c>
      <c r="AA81" s="20">
        <f>IF(OR(AA58="",AA68=""),"",IFERROR(AA58*AA68,""))</f>
        <v/>
      </c>
      <c r="AB81" s="20">
        <f>IF(OR(AB58="",AB68=""),"",IFERROR(AB58*AB68,""))</f>
        <v/>
      </c>
      <c r="AC81" s="20">
        <f>IF(OR(AC58="",AC68=""),"",IFERROR(AC58*AC68,""))</f>
        <v/>
      </c>
    </row>
    <row r="82">
      <c r="A82" s="9" t="inlineStr">
        <is>
          <t>기업가치</t>
        </is>
      </c>
      <c r="B82" s="10" t="inlineStr">
        <is>
          <t>목표시총 + 자산가치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1">
        <f>IF(OR(Y81=""),"",IFERROR(Y81+Y79,""))</f>
        <v/>
      </c>
      <c r="Z82" s="12">
        <f>IF(OR(Z81=""),"",IFERROR(Z81+Z79,""))</f>
        <v/>
      </c>
      <c r="AA82" s="12">
        <f>IF(OR(AA81=""),"",IFERROR(AA81+AA79,""))</f>
        <v/>
      </c>
      <c r="AB82" s="12">
        <f>IF(OR(AB81=""),"",IFERROR(AB81+AB79,""))</f>
        <v/>
      </c>
      <c r="AC82" s="12">
        <f>IF(OR(AC81=""),"",IFERROR(AC81+AC79,""))</f>
        <v/>
      </c>
    </row>
    <row r="83">
      <c r="A83" s="18" t="inlineStr">
        <is>
          <t>현재 시가총액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19">
        <f>$B$64</f>
        <v/>
      </c>
      <c r="Z83" s="20">
        <f>$B$64</f>
        <v/>
      </c>
      <c r="AA83" s="20">
        <f>$B$64</f>
        <v/>
      </c>
      <c r="AB83" s="20">
        <f>$B$64</f>
        <v/>
      </c>
      <c r="AC83" s="20">
        <f>$B$64</f>
        <v/>
      </c>
    </row>
    <row r="84">
      <c r="A84" s="18" t="inlineStr">
        <is>
          <t>상승여력</t>
        </is>
      </c>
      <c r="B84" s="10" t="n"/>
      <c r="C84" s="35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5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7">
        <f>IF(OR(Y82="",Y83=""),"",IFERROR(Y82/Y83-1,""))</f>
        <v/>
      </c>
      <c r="Z84" s="38">
        <f>IF(OR(Z82="",Z83=""),"",IFERROR(Z82/Z83-1,""))</f>
        <v/>
      </c>
      <c r="AA84" s="38">
        <f>IF(OR(AA82="",AA83=""),"",IFERROR(AA82/AA83-1,""))</f>
        <v/>
      </c>
      <c r="AB84" s="38">
        <f>IF(OR(AB82="",AB83=""),"",IFERROR(AB82/AB83-1,""))</f>
        <v/>
      </c>
      <c r="AC84" s="38">
        <f>IF(OR(AC82="",AC83=""),"",IFERROR(AC82/AC83-1,""))</f>
        <v/>
      </c>
    </row>
    <row r="85">
      <c r="C85" s="39" t="n"/>
      <c r="O85" s="39" t="n"/>
      <c r="Y85" s="39" t="n"/>
    </row>
    <row r="86">
      <c r="A86" s="40" t="inlineStr">
        <is>
          <t>출처</t>
        </is>
      </c>
      <c r="C86" s="39" t="n"/>
      <c r="O86" s="39" t="n"/>
      <c r="Y86" s="39" t="n"/>
    </row>
    <row r="87">
      <c r="A87" s="41" t="inlineStr">
        <is>
          <t>결산단신 XBRL(TDnet·JPX 보관소) — 쓴 문서는 '출처' 시트</t>
        </is>
      </c>
      <c r="C87" s="39" t="n"/>
      <c r="O87" s="39" t="n"/>
      <c r="Y87" s="39" t="n"/>
    </row>
    <row r="88">
      <c r="A88" s="41" t="inlineStr">
        <is>
          <t>분기 = 누계에서 앞 분기를 뺀 3개월 값</t>
        </is>
      </c>
      <c r="C88" s="39" t="n"/>
      <c r="O88" s="39" t="n"/>
      <c r="Y88" s="39" t="n"/>
    </row>
    <row r="89">
      <c r="A89" s="41" t="inlineStr">
        <is>
          <t>주가: 야후 파이낸스 일봉 2026.10.28</t>
        </is>
      </c>
      <c r="C89" s="39" t="n"/>
      <c r="O89" s="39" t="n"/>
      <c r="Y89" s="39" t="n"/>
    </row>
    <row r="91">
      <c r="A91" s="16" t="inlineStr">
        <is>
          <t>손익계산서 · 전 항목</t>
        </is>
      </c>
      <c r="B91" s="42" t="inlineStr">
        <is>
          <t>분기 = 3개월 단독</t>
        </is>
      </c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</row>
    <row r="92">
      <c r="A92" s="5" t="inlineStr">
        <is>
          <t>항목</t>
        </is>
      </c>
      <c r="B92" s="5" t="inlineStr">
        <is>
          <t>참고</t>
        </is>
      </c>
      <c r="C92" s="5" t="inlineStr">
        <is>
          <t>2024.1Q</t>
        </is>
      </c>
      <c r="D92" s="5" t="inlineStr">
        <is>
          <t>2024.2Q</t>
        </is>
      </c>
      <c r="E92" s="5" t="inlineStr">
        <is>
          <t>2024.3Q</t>
        </is>
      </c>
      <c r="F92" s="5" t="inlineStr">
        <is>
          <t>2024.4Q</t>
        </is>
      </c>
      <c r="G92" s="5" t="inlineStr">
        <is>
          <t>2025.1Q</t>
        </is>
      </c>
      <c r="H92" s="5" t="inlineStr">
        <is>
          <t>2025.2Q</t>
        </is>
      </c>
      <c r="I92" s="5" t="inlineStr">
        <is>
          <t>2025.3Q</t>
        </is>
      </c>
      <c r="J92" s="5" t="inlineStr">
        <is>
          <t>2025.4Q</t>
        </is>
      </c>
      <c r="K92" s="5" t="inlineStr">
        <is>
          <t>2026.1Q</t>
        </is>
      </c>
      <c r="L92" s="5" t="inlineStr">
        <is>
          <t>2026.2Q</t>
        </is>
      </c>
      <c r="M92" s="5" t="inlineStr">
        <is>
          <t>2026.3Q</t>
        </is>
      </c>
      <c r="N92" s="5" t="inlineStr">
        <is>
          <t>2026.4Q</t>
        </is>
      </c>
      <c r="O92" s="5" t="inlineStr">
        <is>
          <t>2017</t>
        </is>
      </c>
      <c r="P92" s="5" t="inlineStr">
        <is>
          <t>2018</t>
        </is>
      </c>
      <c r="Q92" s="5" t="inlineStr">
        <is>
          <t>2019</t>
        </is>
      </c>
      <c r="R92" s="5" t="inlineStr">
        <is>
          <t>2020</t>
        </is>
      </c>
      <c r="S92" s="5" t="inlineStr">
        <is>
          <t>2021</t>
        </is>
      </c>
      <c r="T92" s="5" t="inlineStr">
        <is>
          <t>2022</t>
        </is>
      </c>
      <c r="U92" s="5" t="inlineStr">
        <is>
          <t>2023</t>
        </is>
      </c>
      <c r="V92" s="5" t="inlineStr">
        <is>
          <t>2024</t>
        </is>
      </c>
      <c r="W92" s="5" t="inlineStr">
        <is>
          <t>2025</t>
        </is>
      </c>
      <c r="X92" s="5" t="inlineStr">
        <is>
          <t>2026</t>
        </is>
      </c>
      <c r="Y92" s="5" t="inlineStr">
        <is>
          <t>2027(MW)</t>
        </is>
      </c>
      <c r="Z92" s="5" t="inlineStr">
        <is>
          <t>2028(MW)</t>
        </is>
      </c>
      <c r="AA92" s="5" t="inlineStr">
        <is>
          <t>2029(MW)</t>
        </is>
      </c>
      <c r="AB92" s="5" t="inlineStr">
        <is>
          <t>2030(MW)</t>
        </is>
      </c>
      <c r="AC92" s="5" t="inlineStr">
        <is>
          <t>2031(MW)</t>
        </is>
      </c>
    </row>
    <row r="93">
      <c r="A93" s="9" t="inlineStr">
        <is>
          <t>매출액</t>
        </is>
      </c>
      <c r="C93" s="12" t="n">
        <v>5364.245</v>
      </c>
      <c r="D93" s="12" t="n">
        <v>5461.196</v>
      </c>
      <c r="E93" s="12" t="n">
        <v>5624.848</v>
      </c>
      <c r="F93" s="12" t="n">
        <v>5771.306</v>
      </c>
      <c r="G93" s="12" t="n">
        <v>6200.156</v>
      </c>
      <c r="H93" s="12" t="n">
        <v>6095.34</v>
      </c>
      <c r="I93" s="12" t="n">
        <v>6250.015</v>
      </c>
      <c r="J93" s="12" t="n">
        <v>6230.983</v>
      </c>
      <c r="K93" s="12" t="n">
        <v>6252.936</v>
      </c>
      <c r="L93" s="12" t="n">
        <v>6236.857</v>
      </c>
      <c r="M93" s="12" t="n">
        <v>6420.965</v>
      </c>
      <c r="N93" s="12" t="n">
        <v>6606.88</v>
      </c>
      <c r="T93" s="12" t="n">
        <v>4736.096</v>
      </c>
      <c r="U93" s="12" t="n">
        <v>5390.98</v>
      </c>
      <c r="V93" s="12" t="n">
        <v>5771.306</v>
      </c>
      <c r="W93" s="12" t="n">
        <v>6230.983</v>
      </c>
      <c r="X93" s="12" t="n">
        <v>6606.88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IF(OR(G93="",C93=""),"",IF(C93&lt;=0,"",IFERROR(G93/C93-1,"")))</f>
        <v/>
      </c>
      <c r="H94" s="15">
        <f>IF(OR(H93="",D93=""),"",IF(D93&lt;=0,"",IFERROR(H93/D93-1,"")))</f>
        <v/>
      </c>
      <c r="I94" s="15">
        <f>IF(OR(I93="",E93=""),"",IF(E93&lt;=0,"",IFERROR(I93/E93-1,"")))</f>
        <v/>
      </c>
      <c r="J94" s="15">
        <f>IF(OR(J93="",F93=""),"",IF(F93&lt;=0,"",IFERROR(J93/F93-1,"")))</f>
        <v/>
      </c>
      <c r="K94" s="15">
        <f>IF(OR(K93="",G93=""),"",IF(G93&lt;=0,"",IFERROR(K93/G93-1,"")))</f>
        <v/>
      </c>
      <c r="L94" s="15">
        <f>IF(OR(L93="",H93=""),"",IF(H93&lt;=0,"",IFERROR(L93/H93-1,"")))</f>
        <v/>
      </c>
      <c r="M94" s="15">
        <f>IF(OR(M93="",I93=""),"",IF(I93&lt;=0,"",IFERROR(M93/I93-1,"")))</f>
        <v/>
      </c>
      <c r="N94" s="15">
        <f>IF(OR(N93="",J93=""),"",IF(J93&lt;=0,"",IFERROR(N93/J93-1,"")))</f>
        <v/>
      </c>
      <c r="T94" s="15">
        <f>IF(OR(T93="",S93=""),"",IF(S93&lt;=0,"",IFERROR(T93/S93-1,"")))</f>
        <v/>
      </c>
      <c r="U94" s="15">
        <f>IF(OR(U93="",T93=""),"",IF(T93&lt;=0,"",IFERROR(U93/T93-1,"")))</f>
        <v/>
      </c>
      <c r="V94" s="15">
        <f>IF(OR(V93="",U93=""),"",IF(U93&lt;=0,"",IFERROR(V93/U93-1,"")))</f>
        <v/>
      </c>
      <c r="W94" s="15">
        <f>IF(OR(W93="",V93=""),"",IF(V93&lt;=0,"",IFERROR(W93/V93-1,"")))</f>
        <v/>
      </c>
      <c r="X94" s="15">
        <f>IF(OR(X93="",W93=""),"",IF(W93&lt;=0,"",IFERROR(X93/W93-1,"")))</f>
        <v/>
      </c>
    </row>
    <row r="95">
      <c r="A95" s="18" t="inlineStr">
        <is>
          <t>매출원가</t>
        </is>
      </c>
      <c r="C95" s="20" t="n">
        <v>4054.148</v>
      </c>
      <c r="D95" s="20" t="n">
        <v>4082.495</v>
      </c>
      <c r="E95" s="20" t="n">
        <v>4104.437</v>
      </c>
      <c r="F95" s="20" t="n">
        <v>4280.462</v>
      </c>
      <c r="G95" s="20" t="n">
        <v>4487.162</v>
      </c>
      <c r="H95" s="20" t="n">
        <v>4531.081</v>
      </c>
      <c r="I95" s="20" t="n">
        <v>4631.279</v>
      </c>
      <c r="J95" s="20" t="n">
        <v>4670.771</v>
      </c>
      <c r="K95" s="20" t="n">
        <v>4642.303</v>
      </c>
      <c r="L95" s="20" t="n">
        <v>4561.585</v>
      </c>
      <c r="M95" s="20" t="n">
        <v>4614.547</v>
      </c>
      <c r="N95" s="20" t="n">
        <v>4757.834</v>
      </c>
      <c r="T95" s="20" t="n">
        <v>3774.453</v>
      </c>
      <c r="U95" s="20" t="n">
        <v>4181.664</v>
      </c>
      <c r="V95" s="20" t="n">
        <v>4280.462</v>
      </c>
      <c r="W95" s="20" t="n">
        <v>4670.771</v>
      </c>
      <c r="X95" s="20" t="n">
        <v>4757.834</v>
      </c>
    </row>
    <row r="96">
      <c r="A96" s="43" t="inlineStr">
        <is>
          <t>YoY</t>
        </is>
      </c>
      <c r="B96" s="3" t="inlineStr">
        <is>
          <t>전년 같은 분기·전년 대비</t>
        </is>
      </c>
      <c r="G96" s="15">
        <f>IF(OR(G95="",C95=""),"",IF(G95*C95&lt;=0,"",IFERROR(G95/C95-1,"")))</f>
        <v/>
      </c>
      <c r="H96" s="15">
        <f>IF(OR(H95="",D95=""),"",IF(H95*D95&lt;=0,"",IFERROR(H95/D95-1,"")))</f>
        <v/>
      </c>
      <c r="I96" s="15">
        <f>IF(OR(I95="",E95=""),"",IF(I95*E95&lt;=0,"",IFERROR(I95/E95-1,"")))</f>
        <v/>
      </c>
      <c r="J96" s="15">
        <f>IF(OR(J95="",F95=""),"",IF(J95*F95&lt;=0,"",IFERROR(J95/F95-1,"")))</f>
        <v/>
      </c>
      <c r="K96" s="15">
        <f>IF(OR(K95="",G95=""),"",IF(K95*G95&lt;=0,"",IFERROR(K95/G95-1,"")))</f>
        <v/>
      </c>
      <c r="L96" s="15">
        <f>IF(OR(L95="",H95=""),"",IF(L95*H95&lt;=0,"",IFERROR(L95/H95-1,"")))</f>
        <v/>
      </c>
      <c r="M96" s="15">
        <f>IF(OR(M95="",I95=""),"",IF(M95*I95&lt;=0,"",IFERROR(M95/I95-1,"")))</f>
        <v/>
      </c>
      <c r="N96" s="15">
        <f>IF(OR(N95="",J95=""),"",IF(N95*J95&lt;=0,"",IFERROR(N95/J95-1,"")))</f>
        <v/>
      </c>
      <c r="T96" s="15">
        <f>IF(OR(T95="",S95=""),"",IF(T95*S95&lt;=0,"",IFERROR(T95/S95-1,"")))</f>
        <v/>
      </c>
      <c r="U96" s="15">
        <f>IF(OR(U95="",T95=""),"",IF(U95*T95&lt;=0,"",IFERROR(U95/T95-1,"")))</f>
        <v/>
      </c>
      <c r="V96" s="15">
        <f>IF(OR(V95="",U95=""),"",IF(V95*U95&lt;=0,"",IFERROR(V95/U95-1,"")))</f>
        <v/>
      </c>
      <c r="W96" s="15">
        <f>IF(OR(W95="",V95=""),"",IF(W95*V95&lt;=0,"",IFERROR(W95/V95-1,"")))</f>
        <v/>
      </c>
      <c r="X96" s="15">
        <f>IF(OR(X95="",W95=""),"",IF(X95*W95&lt;=0,"",IFERROR(X95/W95-1,"")))</f>
        <v/>
      </c>
    </row>
    <row r="97">
      <c r="A97" s="9" t="inlineStr">
        <is>
          <t>매출총이익</t>
        </is>
      </c>
      <c r="C97" s="12" t="n">
        <v>1310.097</v>
      </c>
      <c r="D97" s="12" t="n">
        <v>1378.701</v>
      </c>
      <c r="E97" s="12" t="n">
        <v>1520.41</v>
      </c>
      <c r="F97" s="12" t="n">
        <v>1490.844</v>
      </c>
      <c r="G97" s="12" t="n">
        <v>1712.993</v>
      </c>
      <c r="H97" s="12" t="n">
        <v>1564.259</v>
      </c>
      <c r="I97" s="12" t="n">
        <v>1618.736</v>
      </c>
      <c r="J97" s="12" t="n">
        <v>1560.212</v>
      </c>
      <c r="K97" s="12" t="n">
        <v>1610.633</v>
      </c>
      <c r="L97" s="12" t="n">
        <v>1675.272</v>
      </c>
      <c r="M97" s="12" t="n">
        <v>1806.417</v>
      </c>
      <c r="N97" s="12" t="n">
        <v>1849.047</v>
      </c>
      <c r="T97" s="12" t="n">
        <v>961.6420000000001</v>
      </c>
      <c r="U97" s="12" t="n">
        <v>1209.317</v>
      </c>
      <c r="V97" s="12" t="n">
        <v>1490.844</v>
      </c>
      <c r="W97" s="12" t="n">
        <v>1560.212</v>
      </c>
      <c r="X97" s="12" t="n">
        <v>1849.047</v>
      </c>
    </row>
    <row r="98">
      <c r="A98" s="43" t="inlineStr">
        <is>
          <t>YoY</t>
        </is>
      </c>
      <c r="B98" s="3" t="inlineStr">
        <is>
          <t>전년 같은 분기·전년 대비</t>
        </is>
      </c>
      <c r="G98" s="15">
        <f>IF(OR(G97="",C97=""),"",IF(C97&lt;=0,"",IFERROR(G97/C97-1,"")))</f>
        <v/>
      </c>
      <c r="H98" s="15">
        <f>IF(OR(H97="",D97=""),"",IF(D97&lt;=0,"",IFERROR(H97/D97-1,"")))</f>
        <v/>
      </c>
      <c r="I98" s="15">
        <f>IF(OR(I97="",E97=""),"",IF(E97&lt;=0,"",IFERROR(I97/E97-1,"")))</f>
        <v/>
      </c>
      <c r="J98" s="15">
        <f>IF(OR(J97="",F97=""),"",IF(F97&lt;=0,"",IFERROR(J97/F97-1,"")))</f>
        <v/>
      </c>
      <c r="K98" s="15">
        <f>IF(OR(K97="",G97=""),"",IF(G97&lt;=0,"",IFERROR(K97/G97-1,"")))</f>
        <v/>
      </c>
      <c r="L98" s="15">
        <f>IF(OR(L97="",H97=""),"",IF(H97&lt;=0,"",IFERROR(L97/H97-1,"")))</f>
        <v/>
      </c>
      <c r="M98" s="15">
        <f>IF(OR(M97="",I97=""),"",IF(I97&lt;=0,"",IFERROR(M97/I97-1,"")))</f>
        <v/>
      </c>
      <c r="N98" s="15">
        <f>IF(OR(N97="",J97=""),"",IF(J97&lt;=0,"",IFERROR(N97/J97-1,"")))</f>
        <v/>
      </c>
      <c r="T98" s="15">
        <f>IF(OR(T97="",S97=""),"",IF(S97&lt;=0,"",IFERROR(T97/S97-1,"")))</f>
        <v/>
      </c>
      <c r="U98" s="15">
        <f>IF(OR(U97="",T97=""),"",IF(T97&lt;=0,"",IFERROR(U97/T97-1,"")))</f>
        <v/>
      </c>
      <c r="V98" s="15">
        <f>IF(OR(V97="",U97=""),"",IF(U97&lt;=0,"",IFERROR(V97/U97-1,"")))</f>
        <v/>
      </c>
      <c r="W98" s="15">
        <f>IF(OR(W97="",V97=""),"",IF(V97&lt;=0,"",IFERROR(W97/V97-1,"")))</f>
        <v/>
      </c>
      <c r="X98" s="15">
        <f>IF(OR(X97="",W97=""),"",IF(W97&lt;=0,"",IFERROR(X97/W97-1,"")))</f>
        <v/>
      </c>
    </row>
    <row r="99">
      <c r="A99" s="18" t="inlineStr">
        <is>
          <t>판매비와 관리비</t>
        </is>
      </c>
      <c r="C99" s="20" t="n">
        <v>784.971</v>
      </c>
      <c r="D99" s="20" t="n">
        <v>784.716</v>
      </c>
      <c r="E99" s="20" t="n">
        <v>852.788</v>
      </c>
      <c r="F99" s="20" t="n">
        <v>1003.715</v>
      </c>
      <c r="G99" s="20" t="n">
        <v>944.014</v>
      </c>
      <c r="H99" s="20" t="n">
        <v>967.99</v>
      </c>
      <c r="I99" s="20" t="n">
        <v>974.751</v>
      </c>
      <c r="J99" s="20" t="n">
        <v>1018.752</v>
      </c>
      <c r="K99" s="20" t="n">
        <v>1028.287</v>
      </c>
      <c r="L99" s="20" t="n">
        <v>1055.753</v>
      </c>
      <c r="M99" s="20" t="n">
        <v>988.8920000000001</v>
      </c>
      <c r="N99" s="20" t="n">
        <v>1003.885</v>
      </c>
      <c r="T99" s="20" t="n">
        <v>770.208</v>
      </c>
      <c r="U99" s="20" t="n">
        <v>902.494</v>
      </c>
      <c r="V99" s="20" t="n">
        <v>1003.715</v>
      </c>
      <c r="W99" s="20" t="n">
        <v>1018.752</v>
      </c>
      <c r="X99" s="20" t="n">
        <v>1003.885</v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IF(OR(G99="",C99=""),"",IF(G99*C99&lt;=0,"",IFERROR(G99/C99-1,"")))</f>
        <v/>
      </c>
      <c r="H100" s="15">
        <f>IF(OR(H99="",D99=""),"",IF(H99*D99&lt;=0,"",IFERROR(H99/D99-1,"")))</f>
        <v/>
      </c>
      <c r="I100" s="15">
        <f>IF(OR(I99="",E99=""),"",IF(I99*E99&lt;=0,"",IFERROR(I99/E99-1,"")))</f>
        <v/>
      </c>
      <c r="J100" s="15">
        <f>IF(OR(J99="",F99=""),"",IF(J99*F99&lt;=0,"",IFERROR(J99/F99-1,"")))</f>
        <v/>
      </c>
      <c r="K100" s="15">
        <f>IF(OR(K99="",G99=""),"",IF(K99*G99&lt;=0,"",IFERROR(K99/G99-1,"")))</f>
        <v/>
      </c>
      <c r="L100" s="15">
        <f>IF(OR(L99="",H99=""),"",IF(L99*H99&lt;=0,"",IFERROR(L99/H99-1,"")))</f>
        <v/>
      </c>
      <c r="M100" s="15">
        <f>IF(OR(M99="",I99=""),"",IF(M99*I99&lt;=0,"",IFERROR(M99/I99-1,"")))</f>
        <v/>
      </c>
      <c r="N100" s="15">
        <f>IF(OR(N99="",J99=""),"",IF(N99*J99&lt;=0,"",IFERROR(N99/J99-1,"")))</f>
        <v/>
      </c>
      <c r="T100" s="15">
        <f>IF(OR(T99="",S99=""),"",IF(T99*S99&lt;=0,"",IFERROR(T99/S99-1,"")))</f>
        <v/>
      </c>
      <c r="U100" s="15">
        <f>IF(OR(U99="",T99=""),"",IF(U99*T99&lt;=0,"",IFERROR(U99/T99-1,"")))</f>
        <v/>
      </c>
      <c r="V100" s="15">
        <f>IF(OR(V99="",U99=""),"",IF(V99*U99&lt;=0,"",IFERROR(V99/U99-1,"")))</f>
        <v/>
      </c>
      <c r="W100" s="15">
        <f>IF(OR(W99="",V99=""),"",IF(W99*V99&lt;=0,"",IFERROR(W99/V99-1,"")))</f>
        <v/>
      </c>
      <c r="X100" s="15">
        <f>IF(OR(X99="",W99=""),"",IF(X99*W99&lt;=0,"",IFERROR(X99/W99-1,"")))</f>
        <v/>
      </c>
    </row>
    <row r="101">
      <c r="A101" s="9" t="inlineStr">
        <is>
          <t>영업이익</t>
        </is>
      </c>
      <c r="C101" s="12" t="n">
        <v>525.126</v>
      </c>
      <c r="D101" s="12" t="n">
        <v>593.984</v>
      </c>
      <c r="E101" s="12" t="n">
        <v>667.622</v>
      </c>
      <c r="F101" s="12" t="n">
        <v>487.13</v>
      </c>
      <c r="G101" s="12" t="n">
        <v>768.978</v>
      </c>
      <c r="H101" s="12" t="n">
        <v>596.269</v>
      </c>
      <c r="I101" s="12" t="n">
        <v>643.986</v>
      </c>
      <c r="J101" s="12" t="n">
        <v>541.46</v>
      </c>
      <c r="K101" s="12" t="n">
        <v>582.345</v>
      </c>
      <c r="L101" s="12" t="n">
        <v>619.519</v>
      </c>
      <c r="M101" s="12" t="n">
        <v>817.526</v>
      </c>
      <c r="N101" s="12" t="n">
        <v>845.1609999999999</v>
      </c>
      <c r="T101" s="12" t="n">
        <v>191.433</v>
      </c>
      <c r="U101" s="12" t="n">
        <v>306.822</v>
      </c>
      <c r="V101" s="12" t="n">
        <v>487.13</v>
      </c>
      <c r="W101" s="12" t="n">
        <v>541.46</v>
      </c>
      <c r="X101" s="12" t="n">
        <v>845.1609999999999</v>
      </c>
    </row>
    <row r="102">
      <c r="A102" s="43" t="inlineStr">
        <is>
          <t>OPM</t>
        </is>
      </c>
      <c r="B102" s="3" t="inlineStr">
        <is>
          <t>영업이익 ÷ 매출</t>
        </is>
      </c>
      <c r="C102" s="15">
        <f>IF(OR(C101="",C93=""),"",IF(C93&lt;=0,"",IFERROR(C101/C93,"")))</f>
        <v/>
      </c>
      <c r="D102" s="15">
        <f>IF(OR(D101="",D93=""),"",IF(D93&lt;=0,"",IFERROR(D101/D93,"")))</f>
        <v/>
      </c>
      <c r="E102" s="15">
        <f>IF(OR(E101="",E93=""),"",IF(E93&lt;=0,"",IFERROR(E101/E93,"")))</f>
        <v/>
      </c>
      <c r="F102" s="15">
        <f>IF(OR(F101="",F93=""),"",IF(F93&lt;=0,"",IFERROR(F101/F93,"")))</f>
        <v/>
      </c>
      <c r="G102" s="15">
        <f>IF(OR(G101="",G93=""),"",IF(G93&lt;=0,"",IFERROR(G101/G93,"")))</f>
        <v/>
      </c>
      <c r="H102" s="15">
        <f>IF(OR(H101="",H93=""),"",IF(H93&lt;=0,"",IFERROR(H101/H93,"")))</f>
        <v/>
      </c>
      <c r="I102" s="15">
        <f>IF(OR(I101="",I93=""),"",IF(I93&lt;=0,"",IFERROR(I101/I93,"")))</f>
        <v/>
      </c>
      <c r="J102" s="15">
        <f>IF(OR(J101="",J93=""),"",IF(J93&lt;=0,"",IFERROR(J101/J93,"")))</f>
        <v/>
      </c>
      <c r="K102" s="15">
        <f>IF(OR(K101="",K93=""),"",IF(K93&lt;=0,"",IFERROR(K101/K93,"")))</f>
        <v/>
      </c>
      <c r="L102" s="15">
        <f>IF(OR(L101="",L93=""),"",IF(L93&lt;=0,"",IFERROR(L101/L93,"")))</f>
        <v/>
      </c>
      <c r="M102" s="15">
        <f>IF(OR(M101="",M93=""),"",IF(M93&lt;=0,"",IFERROR(M101/M93,"")))</f>
        <v/>
      </c>
      <c r="N102" s="15">
        <f>IF(OR(N101="",N93=""),"",IF(N93&lt;=0,"",IFERROR(N101/N93,"")))</f>
        <v/>
      </c>
      <c r="T102" s="15">
        <f>IF(OR(T101="",T93=""),"",IF(T93&lt;=0,"",IFERROR(T101/T93,"")))</f>
        <v/>
      </c>
      <c r="U102" s="15">
        <f>IF(OR(U101="",U93=""),"",IF(U93&lt;=0,"",IFERROR(U101/U93,"")))</f>
        <v/>
      </c>
      <c r="V102" s="15">
        <f>IF(OR(V101="",V93=""),"",IF(V93&lt;=0,"",IFERROR(V101/V93,"")))</f>
        <v/>
      </c>
      <c r="W102" s="15">
        <f>IF(OR(W101="",W93=""),"",IF(W93&lt;=0,"",IFERROR(W101/W93,"")))</f>
        <v/>
      </c>
      <c r="X102" s="15">
        <f>IF(OR(X101="",X93=""),"",IF(X93&lt;=0,"",IFERROR(X101/X93,"")))</f>
        <v/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IF(OR(G101="",C101=""),"",IF(C101&lt;=0,"",IFERROR(G101/C101-1,"")))</f>
        <v/>
      </c>
      <c r="H103" s="15">
        <f>IF(OR(H101="",D101=""),"",IF(D101&lt;=0,"",IFERROR(H101/D101-1,"")))</f>
        <v/>
      </c>
      <c r="I103" s="15">
        <f>IF(OR(I101="",E101=""),"",IF(E101&lt;=0,"",IFERROR(I101/E101-1,"")))</f>
        <v/>
      </c>
      <c r="J103" s="15">
        <f>IF(OR(J101="",F101=""),"",IF(F101&lt;=0,"",IFERROR(J101/F101-1,"")))</f>
        <v/>
      </c>
      <c r="K103" s="15">
        <f>IF(OR(K101="",G101=""),"",IF(G101&lt;=0,"",IFERROR(K101/G101-1,"")))</f>
        <v/>
      </c>
      <c r="L103" s="15">
        <f>IF(OR(L101="",H101=""),"",IF(H101&lt;=0,"",IFERROR(L101/H101-1,"")))</f>
        <v/>
      </c>
      <c r="M103" s="15">
        <f>IF(OR(M101="",I101=""),"",IF(I101&lt;=0,"",IFERROR(M101/I101-1,"")))</f>
        <v/>
      </c>
      <c r="N103" s="15">
        <f>IF(OR(N101="",J101=""),"",IF(J101&lt;=0,"",IFERROR(N101/J101-1,"")))</f>
        <v/>
      </c>
      <c r="T103" s="15">
        <f>IF(OR(T101="",S101=""),"",IF(S101&lt;=0,"",IFERROR(T101/S101-1,"")))</f>
        <v/>
      </c>
      <c r="U103" s="15">
        <f>IF(OR(U101="",T101=""),"",IF(T101&lt;=0,"",IFERROR(U101/T101-1,"")))</f>
        <v/>
      </c>
      <c r="V103" s="15">
        <f>IF(OR(V101="",U101=""),"",IF(U101&lt;=0,"",IFERROR(V101/U101-1,"")))</f>
        <v/>
      </c>
      <c r="W103" s="15">
        <f>IF(OR(W101="",V101=""),"",IF(V101&lt;=0,"",IFERROR(W101/V101-1,"")))</f>
        <v/>
      </c>
      <c r="X103" s="15">
        <f>IF(OR(X101="",W101=""),"",IF(W101&lt;=0,"",IFERROR(X101/W101-1,"")))</f>
        <v/>
      </c>
    </row>
    <row r="104">
      <c r="A104" s="18" t="inlineStr">
        <is>
          <t>이자·배당금 수익</t>
        </is>
      </c>
      <c r="C104" s="20" t="n">
        <v>0.393</v>
      </c>
      <c r="D104" s="20" t="n">
        <v>0.424</v>
      </c>
      <c r="E104" s="20" t="n">
        <v>0.398</v>
      </c>
      <c r="F104" s="20" t="n">
        <v>0.591</v>
      </c>
      <c r="G104" s="20" t="n">
        <v>0.008999999999999999</v>
      </c>
      <c r="H104" s="20" t="n">
        <v>2.881</v>
      </c>
      <c r="I104" s="20" t="n">
        <v>0.034</v>
      </c>
      <c r="J104" s="20" t="n">
        <v>6.46</v>
      </c>
      <c r="K104" s="20" t="n">
        <v>1.377</v>
      </c>
      <c r="L104" s="20" t="n">
        <v>7.497</v>
      </c>
      <c r="M104" s="20" t="n">
        <v>0.113</v>
      </c>
      <c r="N104" s="20" t="n">
        <v>11.382</v>
      </c>
      <c r="V104" s="20" t="n">
        <v>0.591</v>
      </c>
      <c r="W104" s="20" t="n">
        <v>6.46</v>
      </c>
      <c r="X104" s="20" t="n">
        <v>11.382</v>
      </c>
    </row>
    <row r="105">
      <c r="A105" s="18" t="inlineStr">
        <is>
          <t>보조금 수입</t>
        </is>
      </c>
      <c r="C105" s="20" t="n">
        <v>3.82</v>
      </c>
      <c r="D105" s="20" t="n">
        <v>0.67</v>
      </c>
      <c r="E105" s="20" t="n">
        <v>9.489000000000001</v>
      </c>
      <c r="F105" s="20" t="n">
        <v>0.34</v>
      </c>
      <c r="G105" s="20" t="n">
        <v>0</v>
      </c>
      <c r="H105" s="20" t="n">
        <v>0</v>
      </c>
      <c r="I105" s="20" t="n">
        <v>0</v>
      </c>
      <c r="J105" s="20" t="n">
        <v>0</v>
      </c>
      <c r="N105" s="20" t="n">
        <v>0.648</v>
      </c>
      <c r="T105" s="20" t="n">
        <v>108.077</v>
      </c>
      <c r="U105" s="20" t="n">
        <v>3.88</v>
      </c>
      <c r="V105" s="20" t="n">
        <v>0.34</v>
      </c>
      <c r="W105" s="20" t="n">
        <v>0</v>
      </c>
      <c r="X105" s="20" t="n">
        <v>0.648</v>
      </c>
    </row>
    <row r="106">
      <c r="A106" s="18" t="inlineStr">
        <is>
          <t>부동산 임대료</t>
        </is>
      </c>
      <c r="C106" s="20" t="n">
        <v>0</v>
      </c>
      <c r="D106" s="20" t="n">
        <v>0</v>
      </c>
      <c r="E106" s="20" t="n">
        <v>0</v>
      </c>
      <c r="F106" s="20" t="n">
        <v>0</v>
      </c>
      <c r="G106" s="20" t="n">
        <v>1.349</v>
      </c>
      <c r="H106" s="20" t="n">
        <v>0.108</v>
      </c>
      <c r="I106" s="20" t="n">
        <v>0.114</v>
      </c>
      <c r="J106" s="20" t="n">
        <v>0.111</v>
      </c>
      <c r="K106" s="20" t="n">
        <v>0.104</v>
      </c>
      <c r="L106" s="20" t="n">
        <v>0.115</v>
      </c>
      <c r="M106" s="20" t="n">
        <v>0.108</v>
      </c>
      <c r="N106" s="20" t="n">
        <v>5.631</v>
      </c>
      <c r="V106" s="20" t="n">
        <v>0</v>
      </c>
      <c r="W106" s="20" t="n">
        <v>0.111</v>
      </c>
      <c r="X106" s="20" t="n">
        <v>5.631</v>
      </c>
    </row>
    <row r="107">
      <c r="A107" s="18" t="inlineStr">
        <is>
          <t>보험 해약환급금</t>
        </is>
      </c>
      <c r="C107" s="20" t="n">
        <v>0</v>
      </c>
      <c r="D107" s="20" t="n">
        <v>0</v>
      </c>
      <c r="E107" s="20" t="n">
        <v>0</v>
      </c>
      <c r="F107" s="20" t="n">
        <v>0</v>
      </c>
      <c r="G107" s="20" t="n">
        <v>5.216</v>
      </c>
      <c r="H107" s="20" t="n">
        <v>0</v>
      </c>
      <c r="I107" s="20" t="n">
        <v>0</v>
      </c>
      <c r="J107" s="20" t="n">
        <v>0</v>
      </c>
      <c r="K107" s="20" t="n">
        <v>0</v>
      </c>
      <c r="L107" s="20" t="n">
        <v>0</v>
      </c>
      <c r="M107" s="20" t="n">
        <v>3.78</v>
      </c>
      <c r="N107" s="20" t="n">
        <v>0</v>
      </c>
      <c r="V107" s="20" t="n">
        <v>0</v>
      </c>
      <c r="W107" s="20" t="n">
        <v>0</v>
      </c>
      <c r="X107" s="20" t="n">
        <v>0</v>
      </c>
    </row>
    <row r="108">
      <c r="A108" s="18" t="inlineStr">
        <is>
          <t>위약금 수입</t>
        </is>
      </c>
      <c r="G108" s="20" t="n">
        <v>0</v>
      </c>
      <c r="K108" s="20" t="n">
        <v>0.85</v>
      </c>
    </row>
    <row r="109">
      <c r="A109" s="18" t="inlineStr">
        <is>
          <t>물품 매각이익</t>
        </is>
      </c>
      <c r="G109" s="20" t="n">
        <v>0</v>
      </c>
      <c r="K109" s="20" t="n">
        <v>0.621</v>
      </c>
    </row>
    <row r="110">
      <c r="A110" s="18" t="inlineStr">
        <is>
          <t>보조금 수입</t>
        </is>
      </c>
      <c r="E110" s="20" t="n">
        <v>0</v>
      </c>
      <c r="F110" s="20" t="n">
        <v>26.093</v>
      </c>
      <c r="G110" s="20" t="n">
        <v>0</v>
      </c>
      <c r="H110" s="20" t="n">
        <v>15.127</v>
      </c>
      <c r="I110" s="20" t="n">
        <v>17.671</v>
      </c>
      <c r="J110" s="20" t="n">
        <v>0</v>
      </c>
      <c r="K110" s="20" t="n">
        <v>1.637</v>
      </c>
      <c r="L110" s="20" t="n">
        <v>23.687</v>
      </c>
      <c r="M110" s="20" t="n">
        <v>0</v>
      </c>
      <c r="N110" s="20" t="n">
        <v>0</v>
      </c>
      <c r="V110" s="20" t="n">
        <v>26.093</v>
      </c>
      <c r="W110" s="20" t="n">
        <v>0</v>
      </c>
      <c r="X110" s="20" t="n">
        <v>0</v>
      </c>
    </row>
    <row r="111">
      <c r="A111" s="18" t="inlineStr">
        <is>
          <t>기타</t>
        </is>
      </c>
      <c r="C111" s="20" t="n">
        <v>0.819</v>
      </c>
      <c r="D111" s="20" t="n">
        <v>0.823</v>
      </c>
      <c r="E111" s="20" t="n">
        <v>1.685</v>
      </c>
      <c r="F111" s="20" t="n">
        <v>0.21</v>
      </c>
      <c r="G111" s="20" t="n">
        <v>0.067</v>
      </c>
      <c r="H111" s="20" t="n">
        <v>0.049</v>
      </c>
      <c r="I111" s="20" t="n">
        <v>1.556</v>
      </c>
      <c r="J111" s="20" t="n">
        <v>0.38</v>
      </c>
      <c r="K111" s="20" t="n">
        <v>0.516</v>
      </c>
      <c r="L111" s="20" t="n">
        <v>1.858</v>
      </c>
      <c r="M111" s="20" t="n">
        <v>0.094</v>
      </c>
      <c r="N111" s="20" t="n">
        <v>0.066</v>
      </c>
      <c r="T111" s="20" t="n">
        <v>1.878</v>
      </c>
      <c r="U111" s="20" t="n">
        <v>1.016</v>
      </c>
      <c r="V111" s="20" t="n">
        <v>0.21</v>
      </c>
      <c r="W111" s="20" t="n">
        <v>0.38</v>
      </c>
      <c r="X111" s="20" t="n">
        <v>0.066</v>
      </c>
    </row>
    <row r="112">
      <c r="A112" s="18" t="inlineStr">
        <is>
          <t>영업외수익 합계</t>
        </is>
      </c>
      <c r="C112" s="20" t="n">
        <v>5.033</v>
      </c>
      <c r="D112" s="20" t="n">
        <v>1.917</v>
      </c>
      <c r="E112" s="20" t="n">
        <v>11.572</v>
      </c>
      <c r="F112" s="20" t="n">
        <v>27.234</v>
      </c>
      <c r="G112" s="20" t="n">
        <v>6.644</v>
      </c>
      <c r="H112" s="20" t="n">
        <v>18.163</v>
      </c>
      <c r="I112" s="20" t="n">
        <v>19.375</v>
      </c>
      <c r="J112" s="20" t="n">
        <v>6.952</v>
      </c>
      <c r="K112" s="20" t="n">
        <v>5.106</v>
      </c>
      <c r="L112" s="20" t="n">
        <v>31.687</v>
      </c>
      <c r="M112" s="20" t="n">
        <v>6.348</v>
      </c>
      <c r="N112" s="20" t="n">
        <v>17.729</v>
      </c>
      <c r="T112" s="20" t="n">
        <v>110.377</v>
      </c>
      <c r="U112" s="20" t="n">
        <v>5.325</v>
      </c>
      <c r="V112" s="20" t="n">
        <v>27.234</v>
      </c>
      <c r="W112" s="20" t="n">
        <v>6.952</v>
      </c>
      <c r="X112" s="20" t="n">
        <v>17.729</v>
      </c>
    </row>
    <row r="113">
      <c r="A113" s="43" t="inlineStr">
        <is>
          <t>YoY</t>
        </is>
      </c>
      <c r="B113" s="3" t="inlineStr">
        <is>
          <t>전년 같은 분기·전년 대비</t>
        </is>
      </c>
      <c r="G113" s="15">
        <f>IF(OR(G112="",C112=""),"",IF(G112*C112&lt;=0,"",IFERROR(G112/C112-1,"")))</f>
        <v/>
      </c>
      <c r="H113" s="15">
        <f>IF(OR(H112="",D112=""),"",IF(H112*D112&lt;=0,"",IFERROR(H112/D112-1,"")))</f>
        <v/>
      </c>
      <c r="I113" s="15">
        <f>IF(OR(I112="",E112=""),"",IF(I112*E112&lt;=0,"",IFERROR(I112/E112-1,"")))</f>
        <v/>
      </c>
      <c r="J113" s="15">
        <f>IF(OR(J112="",F112=""),"",IF(J112*F112&lt;=0,"",IFERROR(J112/F112-1,"")))</f>
        <v/>
      </c>
      <c r="K113" s="15">
        <f>IF(OR(K112="",G112=""),"",IF(K112*G112&lt;=0,"",IFERROR(K112/G112-1,"")))</f>
        <v/>
      </c>
      <c r="L113" s="15">
        <f>IF(OR(L112="",H112=""),"",IF(L112*H112&lt;=0,"",IFERROR(L112/H112-1,"")))</f>
        <v/>
      </c>
      <c r="M113" s="15">
        <f>IF(OR(M112="",I112=""),"",IF(M112*I112&lt;=0,"",IFERROR(M112/I112-1,"")))</f>
        <v/>
      </c>
      <c r="N113" s="15">
        <f>IF(OR(N112="",J112=""),"",IF(N112*J112&lt;=0,"",IFERROR(N112/J112-1,"")))</f>
        <v/>
      </c>
      <c r="T113" s="15">
        <f>IF(OR(T112="",S112=""),"",IF(T112*S112&lt;=0,"",IFERROR(T112/S112-1,"")))</f>
        <v/>
      </c>
      <c r="U113" s="15">
        <f>IF(OR(U112="",T112=""),"",IF(U112*T112&lt;=0,"",IFERROR(U112/T112-1,"")))</f>
        <v/>
      </c>
      <c r="V113" s="15">
        <f>IF(OR(V112="",U112=""),"",IF(V112*U112&lt;=0,"",IFERROR(V112/U112-1,"")))</f>
        <v/>
      </c>
      <c r="W113" s="15">
        <f>IF(OR(W112="",V112=""),"",IF(W112*V112&lt;=0,"",IFERROR(W112/V112-1,"")))</f>
        <v/>
      </c>
      <c r="X113" s="15">
        <f>IF(OR(X112="",W112=""),"",IF(X112*W112&lt;=0,"",IFERROR(X112/W112-1,"")))</f>
        <v/>
      </c>
    </row>
    <row r="114">
      <c r="A114" s="18" t="inlineStr">
        <is>
          <t>이자비용</t>
        </is>
      </c>
      <c r="C114" s="20" t="n">
        <v>0.225</v>
      </c>
      <c r="D114" s="20" t="n">
        <v>0.248</v>
      </c>
      <c r="E114" s="20" t="n">
        <v>0.228</v>
      </c>
      <c r="F114" s="20" t="n">
        <v>0.147</v>
      </c>
      <c r="G114" s="20" t="n">
        <v>0.176</v>
      </c>
      <c r="H114" s="20" t="n">
        <v>0.08599999999999999</v>
      </c>
      <c r="I114" s="20" t="n">
        <v>0.091</v>
      </c>
      <c r="J114" s="20" t="n">
        <v>0.07199999999999999</v>
      </c>
      <c r="K114" s="20" t="n">
        <v>0.052</v>
      </c>
      <c r="L114" s="20" t="n">
        <v>0.042</v>
      </c>
      <c r="M114" s="20" t="n">
        <v>0.024</v>
      </c>
      <c r="N114" s="20" t="n">
        <v>0.003</v>
      </c>
      <c r="T114" s="20" t="n">
        <v>0.732</v>
      </c>
      <c r="U114" s="20" t="n">
        <v>0.206</v>
      </c>
      <c r="V114" s="20" t="n">
        <v>0.147</v>
      </c>
      <c r="W114" s="20" t="n">
        <v>0.07199999999999999</v>
      </c>
      <c r="X114" s="20" t="n">
        <v>0.003</v>
      </c>
    </row>
    <row r="115">
      <c r="A115" s="18" t="inlineStr">
        <is>
          <t>지급수수료</t>
        </is>
      </c>
      <c r="C115" s="20" t="n">
        <v>0</v>
      </c>
      <c r="D115" s="20" t="n">
        <v>0.405</v>
      </c>
      <c r="E115" s="20" t="n">
        <v>0.212</v>
      </c>
      <c r="F115" s="20" t="n">
        <v>0.431</v>
      </c>
      <c r="G115" s="20" t="n">
        <v>0.097</v>
      </c>
      <c r="H115" s="20" t="n">
        <v>1.024</v>
      </c>
      <c r="I115" s="20" t="n">
        <v>0.291</v>
      </c>
      <c r="J115" s="20" t="n">
        <v>0.946</v>
      </c>
      <c r="K115" s="20" t="n">
        <v>0.13</v>
      </c>
      <c r="L115" s="20" t="n">
        <v>0.803</v>
      </c>
      <c r="M115" s="20" t="n">
        <v>-0.4</v>
      </c>
      <c r="N115" s="20" t="n">
        <v>0.653</v>
      </c>
      <c r="U115" s="20" t="n">
        <v>0</v>
      </c>
      <c r="V115" s="20" t="n">
        <v>0.431</v>
      </c>
      <c r="W115" s="20" t="n">
        <v>0.946</v>
      </c>
      <c r="X115" s="20" t="n">
        <v>0.653</v>
      </c>
    </row>
    <row r="116">
      <c r="A116" s="18" t="inlineStr">
        <is>
          <t>기타</t>
        </is>
      </c>
      <c r="C116" s="20" t="n">
        <v>0.181</v>
      </c>
      <c r="D116" s="20" t="n">
        <v>-0.181</v>
      </c>
      <c r="E116" s="20" t="n">
        <v>0</v>
      </c>
      <c r="F116" s="20" t="n">
        <v>0.011</v>
      </c>
      <c r="G116" s="20" t="n">
        <v>0.007</v>
      </c>
      <c r="H116" s="20" t="n">
        <v>0</v>
      </c>
      <c r="I116" s="20" t="n">
        <v>0</v>
      </c>
      <c r="J116" s="20" t="n">
        <v>0</v>
      </c>
      <c r="K116" s="20" t="n">
        <v>0</v>
      </c>
      <c r="L116" s="20" t="n">
        <v>0</v>
      </c>
      <c r="M116" s="20" t="n">
        <v>0</v>
      </c>
      <c r="N116" s="20" t="n">
        <v>0</v>
      </c>
      <c r="V116" s="20" t="n">
        <v>0.011</v>
      </c>
      <c r="W116" s="20" t="n">
        <v>0</v>
      </c>
      <c r="X116" s="20" t="n">
        <v>0</v>
      </c>
    </row>
    <row r="117">
      <c r="A117" s="18" t="inlineStr">
        <is>
          <t>영업외비용 합계</t>
        </is>
      </c>
      <c r="C117" s="20" t="n">
        <v>0.407</v>
      </c>
      <c r="D117" s="20" t="n">
        <v>0.471</v>
      </c>
      <c r="E117" s="20" t="n">
        <v>0.441</v>
      </c>
      <c r="F117" s="20" t="n">
        <v>0.59</v>
      </c>
      <c r="G117" s="20" t="n">
        <v>0.281</v>
      </c>
      <c r="H117" s="20" t="n">
        <v>1.11</v>
      </c>
      <c r="I117" s="20" t="n">
        <v>0.383</v>
      </c>
      <c r="J117" s="20" t="n">
        <v>1.017</v>
      </c>
      <c r="K117" s="20" t="n">
        <v>0.183</v>
      </c>
      <c r="L117" s="20" t="n">
        <v>0.844</v>
      </c>
      <c r="M117" s="20" t="n">
        <v>-0.375</v>
      </c>
      <c r="N117" s="20" t="n">
        <v>0.656</v>
      </c>
      <c r="T117" s="20" t="n">
        <v>0.732</v>
      </c>
      <c r="U117" s="20" t="n">
        <v>0.206</v>
      </c>
      <c r="V117" s="20" t="n">
        <v>0.59</v>
      </c>
      <c r="W117" s="20" t="n">
        <v>1.017</v>
      </c>
      <c r="X117" s="20" t="n">
        <v>0.656</v>
      </c>
    </row>
    <row r="118">
      <c r="A118" s="43" t="inlineStr">
        <is>
          <t>YoY</t>
        </is>
      </c>
      <c r="B118" s="3" t="inlineStr">
        <is>
          <t>전년 같은 분기·전년 대비</t>
        </is>
      </c>
      <c r="G118" s="15">
        <f>IF(OR(G117="",C117=""),"",IF(G117*C117&lt;=0,"",IFERROR(G117/C117-1,"")))</f>
        <v/>
      </c>
      <c r="H118" s="15">
        <f>IF(OR(H117="",D117=""),"",IF(H117*D117&lt;=0,"",IFERROR(H117/D117-1,"")))</f>
        <v/>
      </c>
      <c r="I118" s="15">
        <f>IF(OR(I117="",E117=""),"",IF(I117*E117&lt;=0,"",IFERROR(I117/E117-1,"")))</f>
        <v/>
      </c>
      <c r="J118" s="15">
        <f>IF(OR(J117="",F117=""),"",IF(J117*F117&lt;=0,"",IFERROR(J117/F117-1,"")))</f>
        <v/>
      </c>
      <c r="K118" s="15">
        <f>IF(OR(K117="",G117=""),"",IF(K117*G117&lt;=0,"",IFERROR(K117/G117-1,"")))</f>
        <v/>
      </c>
      <c r="L118" s="15">
        <f>IF(OR(L117="",H117=""),"",IF(L117*H117&lt;=0,"",IFERROR(L117/H117-1,"")))</f>
        <v/>
      </c>
      <c r="M118" s="15">
        <f>IF(OR(M117="",I117=""),"",IF(M117*I117&lt;=0,"",IFERROR(M117/I117-1,"")))</f>
        <v/>
      </c>
      <c r="N118" s="15">
        <f>IF(OR(N117="",J117=""),"",IF(N117*J117&lt;=0,"",IFERROR(N117/J117-1,"")))</f>
        <v/>
      </c>
      <c r="T118" s="15">
        <f>IF(OR(T117="",S117=""),"",IF(T117*S117&lt;=0,"",IFERROR(T117/S117-1,"")))</f>
        <v/>
      </c>
      <c r="U118" s="15">
        <f>IF(OR(U117="",T117=""),"",IF(U117*T117&lt;=0,"",IFERROR(U117/T117-1,"")))</f>
        <v/>
      </c>
      <c r="V118" s="15">
        <f>IF(OR(V117="",U117=""),"",IF(V117*U117&lt;=0,"",IFERROR(V117/U117-1,"")))</f>
        <v/>
      </c>
      <c r="W118" s="15">
        <f>IF(OR(W117="",V117=""),"",IF(W117*V117&lt;=0,"",IFERROR(W117/V117-1,"")))</f>
        <v/>
      </c>
      <c r="X118" s="15">
        <f>IF(OR(X117="",W117=""),"",IF(X117*W117&lt;=0,"",IFERROR(X117/W117-1,"")))</f>
        <v/>
      </c>
    </row>
    <row r="119">
      <c r="A119" s="9" t="inlineStr">
        <is>
          <t>경상이익</t>
        </is>
      </c>
      <c r="C119" s="12" t="n">
        <v>529.752</v>
      </c>
      <c r="D119" s="12" t="n">
        <v>595.429</v>
      </c>
      <c r="E119" s="12" t="n">
        <v>678.754</v>
      </c>
      <c r="F119" s="12" t="n">
        <v>513.774</v>
      </c>
      <c r="G119" s="12" t="n">
        <v>775.341</v>
      </c>
      <c r="H119" s="12" t="n">
        <v>613.323</v>
      </c>
      <c r="I119" s="12" t="n">
        <v>662.977</v>
      </c>
      <c r="J119" s="12" t="n">
        <v>547.396</v>
      </c>
      <c r="K119" s="12" t="n">
        <v>587.268</v>
      </c>
      <c r="L119" s="12" t="n">
        <v>650.362</v>
      </c>
      <c r="M119" s="12" t="n">
        <v>824.25</v>
      </c>
      <c r="N119" s="12" t="n">
        <v>862.2329999999999</v>
      </c>
      <c r="T119" s="12" t="n">
        <v>301.078</v>
      </c>
      <c r="U119" s="12" t="n">
        <v>311.942</v>
      </c>
      <c r="V119" s="12" t="n">
        <v>513.774</v>
      </c>
      <c r="W119" s="12" t="n">
        <v>547.396</v>
      </c>
      <c r="X119" s="12" t="n">
        <v>862.2329999999999</v>
      </c>
    </row>
    <row r="120">
      <c r="A120" s="43" t="inlineStr">
        <is>
          <t>YoY</t>
        </is>
      </c>
      <c r="B120" s="3" t="inlineStr">
        <is>
          <t>전년 같은 분기·전년 대비</t>
        </is>
      </c>
      <c r="G120" s="15">
        <f>IF(OR(G119="",C119=""),"",IF(C119&lt;=0,"",IFERROR(G119/C119-1,"")))</f>
        <v/>
      </c>
      <c r="H120" s="15">
        <f>IF(OR(H119="",D119=""),"",IF(D119&lt;=0,"",IFERROR(H119/D119-1,"")))</f>
        <v/>
      </c>
      <c r="I120" s="15">
        <f>IF(OR(I119="",E119=""),"",IF(E119&lt;=0,"",IFERROR(I119/E119-1,"")))</f>
        <v/>
      </c>
      <c r="J120" s="15">
        <f>IF(OR(J119="",F119=""),"",IF(F119&lt;=0,"",IFERROR(J119/F119-1,"")))</f>
        <v/>
      </c>
      <c r="K120" s="15">
        <f>IF(OR(K119="",G119=""),"",IF(G119&lt;=0,"",IFERROR(K119/G119-1,"")))</f>
        <v/>
      </c>
      <c r="L120" s="15">
        <f>IF(OR(L119="",H119=""),"",IF(H119&lt;=0,"",IFERROR(L119/H119-1,"")))</f>
        <v/>
      </c>
      <c r="M120" s="15">
        <f>IF(OR(M119="",I119=""),"",IF(I119&lt;=0,"",IFERROR(M119/I119-1,"")))</f>
        <v/>
      </c>
      <c r="N120" s="15">
        <f>IF(OR(N119="",J119=""),"",IF(J119&lt;=0,"",IFERROR(N119/J119-1,"")))</f>
        <v/>
      </c>
      <c r="T120" s="15">
        <f>IF(OR(T119="",S119=""),"",IF(S119&lt;=0,"",IFERROR(T119/S119-1,"")))</f>
        <v/>
      </c>
      <c r="U120" s="15">
        <f>IF(OR(U119="",T119=""),"",IF(T119&lt;=0,"",IFERROR(U119/T119-1,"")))</f>
        <v/>
      </c>
      <c r="V120" s="15">
        <f>IF(OR(V119="",U119=""),"",IF(U119&lt;=0,"",IFERROR(V119/U119-1,"")))</f>
        <v/>
      </c>
      <c r="W120" s="15">
        <f>IF(OR(W119="",V119=""),"",IF(V119&lt;=0,"",IFERROR(W119/V119-1,"")))</f>
        <v/>
      </c>
      <c r="X120" s="15">
        <f>IF(OR(X119="",W119=""),"",IF(W119&lt;=0,"",IFERROR(X119/W119-1,"")))</f>
        <v/>
      </c>
    </row>
    <row r="121">
      <c r="A121" s="18" t="inlineStr">
        <is>
          <t>신주예약권 환입이익</t>
        </is>
      </c>
      <c r="C121" s="20" t="n">
        <v>0.098</v>
      </c>
      <c r="D121" s="20" t="n">
        <v>0.255</v>
      </c>
      <c r="E121" s="20" t="n">
        <v>2.696</v>
      </c>
      <c r="F121" s="20" t="n">
        <v>3.045</v>
      </c>
      <c r="G121" s="20" t="n">
        <v>0.019</v>
      </c>
      <c r="H121" s="20" t="n">
        <v>0</v>
      </c>
      <c r="I121" s="20" t="n">
        <v>0.417</v>
      </c>
      <c r="J121" s="20" t="n">
        <v>1.826</v>
      </c>
      <c r="K121" s="20" t="n">
        <v>0</v>
      </c>
      <c r="L121" s="20" t="n">
        <v>0.955</v>
      </c>
      <c r="M121" s="20" t="n">
        <v>0.119</v>
      </c>
      <c r="N121" s="20" t="n">
        <v>0</v>
      </c>
      <c r="T121" s="20" t="n">
        <v>0.443</v>
      </c>
      <c r="U121" s="20" t="n">
        <v>0.004</v>
      </c>
      <c r="V121" s="20" t="n">
        <v>3.045</v>
      </c>
      <c r="W121" s="20" t="n">
        <v>1.826</v>
      </c>
      <c r="X121" s="20" t="n">
        <v>0</v>
      </c>
    </row>
    <row r="122">
      <c r="A122" s="18" t="inlineStr">
        <is>
          <t>고정자산 매각이익</t>
        </is>
      </c>
      <c r="G122" s="20" t="n">
        <v>0</v>
      </c>
      <c r="H122" s="20" t="n">
        <v>0</v>
      </c>
      <c r="I122" s="20" t="n">
        <v>0</v>
      </c>
      <c r="J122" s="20" t="n">
        <v>0</v>
      </c>
      <c r="K122" s="20" t="n">
        <v>0.35</v>
      </c>
      <c r="L122" s="20" t="n">
        <v>0.075</v>
      </c>
      <c r="M122" s="20" t="n">
        <v>0</v>
      </c>
      <c r="N122" s="20" t="n">
        <v>0</v>
      </c>
      <c r="W122" s="20" t="n">
        <v>0</v>
      </c>
      <c r="X122" s="20" t="n">
        <v>0</v>
      </c>
    </row>
    <row r="123">
      <c r="A123" s="18" t="inlineStr">
        <is>
          <t>투자유가증권 매각이익</t>
        </is>
      </c>
      <c r="J123" s="20" t="n">
        <v>0</v>
      </c>
      <c r="N123" s="20" t="n">
        <v>0</v>
      </c>
      <c r="W123" s="20" t="n">
        <v>0</v>
      </c>
      <c r="X123" s="20" t="n">
        <v>0</v>
      </c>
    </row>
    <row r="124">
      <c r="A124" s="18" t="inlineStr">
        <is>
          <t>특별이익 합계</t>
        </is>
      </c>
      <c r="C124" s="20" t="n">
        <v>0.098</v>
      </c>
      <c r="D124" s="20" t="n">
        <v>0.255</v>
      </c>
      <c r="E124" s="20" t="n">
        <v>2.696</v>
      </c>
      <c r="F124" s="20" t="n">
        <v>3.045</v>
      </c>
      <c r="G124" s="20" t="n">
        <v>0.019</v>
      </c>
      <c r="H124" s="20" t="n">
        <v>0</v>
      </c>
      <c r="I124" s="20" t="n">
        <v>0.417</v>
      </c>
      <c r="J124" s="20" t="n">
        <v>1.826</v>
      </c>
      <c r="K124" s="20" t="n">
        <v>0.35</v>
      </c>
      <c r="L124" s="20" t="n">
        <v>1.031</v>
      </c>
      <c r="M124" s="20" t="n">
        <v>32.119</v>
      </c>
      <c r="N124" s="20" t="n">
        <v>0</v>
      </c>
      <c r="T124" s="20" t="n">
        <v>0.443</v>
      </c>
      <c r="U124" s="20" t="n">
        <v>0.004</v>
      </c>
      <c r="V124" s="20" t="n">
        <v>3.045</v>
      </c>
      <c r="W124" s="20" t="n">
        <v>1.826</v>
      </c>
      <c r="X124" s="20" t="n">
        <v>0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G125" s="15">
        <f>IF(OR(G124="",C124=""),"",IF(G124*C124&lt;=0,"",IFERROR(G124/C124-1,"")))</f>
        <v/>
      </c>
      <c r="H125" s="15">
        <f>IF(OR(H124="",D124=""),"",IF(H124*D124&lt;=0,"",IFERROR(H124/D124-1,"")))</f>
        <v/>
      </c>
      <c r="I125" s="15">
        <f>IF(OR(I124="",E124=""),"",IF(I124*E124&lt;=0,"",IFERROR(I124/E124-1,"")))</f>
        <v/>
      </c>
      <c r="J125" s="15">
        <f>IF(OR(J124="",F124=""),"",IF(J124*F124&lt;=0,"",IFERROR(J124/F124-1,"")))</f>
        <v/>
      </c>
      <c r="K125" s="15">
        <f>IF(OR(K124="",G124=""),"",IF(K124*G124&lt;=0,"",IFERROR(K124/G124-1,"")))</f>
        <v/>
      </c>
      <c r="L125" s="15">
        <f>IF(OR(L124="",H124=""),"",IF(L124*H124&lt;=0,"",IFERROR(L124/H124-1,"")))</f>
        <v/>
      </c>
      <c r="M125" s="15">
        <f>IF(OR(M124="",I124=""),"",IF(M124*I124&lt;=0,"",IFERROR(M124/I124-1,"")))</f>
        <v/>
      </c>
      <c r="N125" s="15">
        <f>IF(OR(N124="",J124=""),"",IF(N124*J124&lt;=0,"",IFERROR(N124/J124-1,"")))</f>
        <v/>
      </c>
      <c r="T125" s="15">
        <f>IF(OR(T124="",S124=""),"",IF(T124*S124&lt;=0,"",IFERROR(T124/S124-1,"")))</f>
        <v/>
      </c>
      <c r="U125" s="15">
        <f>IF(OR(U124="",T124=""),"",IF(U124*T124&lt;=0,"",IFERROR(U124/T124-1,"")))</f>
        <v/>
      </c>
      <c r="V125" s="15">
        <f>IF(OR(V124="",U124=""),"",IF(V124*U124&lt;=0,"",IFERROR(V124/U124-1,"")))</f>
        <v/>
      </c>
      <c r="W125" s="15">
        <f>IF(OR(W124="",V124=""),"",IF(W124*V124&lt;=0,"",IFERROR(W124/V124-1,"")))</f>
        <v/>
      </c>
      <c r="X125" s="15">
        <f>IF(OR(X124="",W124=""),"",IF(X124*W124&lt;=0,"",IFERROR(X124/W124-1,"")))</f>
        <v/>
      </c>
    </row>
    <row r="126">
      <c r="A126" s="18" t="inlineStr">
        <is>
          <t>고정자산 제각손실</t>
        </is>
      </c>
      <c r="E126" s="20" t="n">
        <v>0</v>
      </c>
      <c r="F126" s="20" t="n">
        <v>0.637</v>
      </c>
      <c r="I126" s="20" t="n">
        <v>0</v>
      </c>
      <c r="J126" s="20" t="n">
        <v>0</v>
      </c>
      <c r="M126" s="20" t="n">
        <v>0</v>
      </c>
      <c r="N126" s="20" t="n">
        <v>0</v>
      </c>
      <c r="T126" s="20" t="n">
        <v>0.482</v>
      </c>
      <c r="U126" s="20" t="n">
        <v>0.504</v>
      </c>
      <c r="V126" s="20" t="n">
        <v>0.637</v>
      </c>
      <c r="W126" s="20" t="n">
        <v>0</v>
      </c>
      <c r="X126" s="20" t="n">
        <v>0</v>
      </c>
    </row>
    <row r="127">
      <c r="A127" s="18" t="inlineStr">
        <is>
          <t>투자유가증권 평가손실</t>
        </is>
      </c>
      <c r="C127" s="20" t="n">
        <v>3.339</v>
      </c>
      <c r="D127" s="20" t="n">
        <v>0</v>
      </c>
      <c r="E127" s="20" t="n">
        <v>1.084</v>
      </c>
      <c r="F127" s="20" t="n">
        <v>1.022</v>
      </c>
      <c r="G127" s="20" t="n">
        <v>0</v>
      </c>
      <c r="H127" s="20" t="n">
        <v>0</v>
      </c>
      <c r="I127" s="20" t="n">
        <v>0</v>
      </c>
      <c r="J127" s="20" t="n">
        <v>0</v>
      </c>
      <c r="T127" s="20" t="n">
        <v>4.715</v>
      </c>
      <c r="U127" s="20" t="n">
        <v>0</v>
      </c>
      <c r="V127" s="20" t="n">
        <v>1.022</v>
      </c>
      <c r="W127" s="20" t="n">
        <v>0</v>
      </c>
    </row>
    <row r="128">
      <c r="A128" s="18" t="inlineStr">
        <is>
          <t>특별손실 합계</t>
        </is>
      </c>
      <c r="C128" s="20" t="n">
        <v>3.339</v>
      </c>
      <c r="D128" s="20" t="n">
        <v>0.089</v>
      </c>
      <c r="E128" s="20" t="n">
        <v>1.085</v>
      </c>
      <c r="F128" s="20" t="n">
        <v>1.659</v>
      </c>
      <c r="G128" s="20" t="n">
        <v>0</v>
      </c>
      <c r="H128" s="20" t="n">
        <v>0.215</v>
      </c>
      <c r="I128" s="20" t="n">
        <v>0</v>
      </c>
      <c r="J128" s="20" t="n">
        <v>0</v>
      </c>
      <c r="M128" s="20" t="n">
        <v>0</v>
      </c>
      <c r="N128" s="20" t="n">
        <v>0</v>
      </c>
      <c r="T128" s="20" t="n">
        <v>5.197</v>
      </c>
      <c r="U128" s="20" t="n">
        <v>0.504</v>
      </c>
      <c r="V128" s="20" t="n">
        <v>1.659</v>
      </c>
      <c r="W128" s="20" t="n">
        <v>0</v>
      </c>
      <c r="X128" s="20" t="n">
        <v>0</v>
      </c>
    </row>
    <row r="129">
      <c r="A129" s="43" t="inlineStr">
        <is>
          <t>YoY</t>
        </is>
      </c>
      <c r="B129" s="3" t="inlineStr">
        <is>
          <t>전년 같은 분기·전년 대비</t>
        </is>
      </c>
      <c r="G129" s="15">
        <f>IF(OR(G128="",C128=""),"",IF(G128*C128&lt;=0,"",IFERROR(G128/C128-1,"")))</f>
        <v/>
      </c>
      <c r="H129" s="15">
        <f>IF(OR(H128="",D128=""),"",IF(H128*D128&lt;=0,"",IFERROR(H128/D128-1,"")))</f>
        <v/>
      </c>
      <c r="I129" s="15">
        <f>IF(OR(I128="",E128=""),"",IF(I128*E128&lt;=0,"",IFERROR(I128/E128-1,"")))</f>
        <v/>
      </c>
      <c r="J129" s="15">
        <f>IF(OR(J128="",F128=""),"",IF(J128*F128&lt;=0,"",IFERROR(J128/F128-1,"")))</f>
        <v/>
      </c>
      <c r="M129" s="15">
        <f>IF(OR(M128="",I128=""),"",IF(M128*I128&lt;=0,"",IFERROR(M128/I128-1,"")))</f>
        <v/>
      </c>
      <c r="N129" s="15">
        <f>IF(OR(N128="",J128=""),"",IF(N128*J128&lt;=0,"",IFERROR(N128/J128-1,"")))</f>
        <v/>
      </c>
      <c r="T129" s="15">
        <f>IF(OR(T128="",S128=""),"",IF(T128*S128&lt;=0,"",IFERROR(T128/S128-1,"")))</f>
        <v/>
      </c>
      <c r="U129" s="15">
        <f>IF(OR(U128="",T128=""),"",IF(U128*T128&lt;=0,"",IFERROR(U128/T128-1,"")))</f>
        <v/>
      </c>
      <c r="V129" s="15">
        <f>IF(OR(V128="",U128=""),"",IF(V128*U128&lt;=0,"",IFERROR(V128/U128-1,"")))</f>
        <v/>
      </c>
      <c r="W129" s="15">
        <f>IF(OR(W128="",V128=""),"",IF(W128*V128&lt;=0,"",IFERROR(W128/V128-1,"")))</f>
        <v/>
      </c>
      <c r="X129" s="15">
        <f>IF(OR(X128="",W128=""),"",IF(X128*W128&lt;=0,"",IFERROR(X128/W128-1,"")))</f>
        <v/>
      </c>
    </row>
    <row r="130">
      <c r="A130" s="9" t="inlineStr">
        <is>
          <t>법인세차감전 순이익</t>
        </is>
      </c>
      <c r="C130" s="12" t="n">
        <v>526.511</v>
      </c>
      <c r="D130" s="12" t="n">
        <v>595.595</v>
      </c>
      <c r="E130" s="12" t="n">
        <v>680.366</v>
      </c>
      <c r="F130" s="12" t="n">
        <v>515.159</v>
      </c>
      <c r="G130" s="12" t="n">
        <v>775.36</v>
      </c>
      <c r="H130" s="12" t="n">
        <v>613.1079999999999</v>
      </c>
      <c r="I130" s="12" t="n">
        <v>663.394</v>
      </c>
      <c r="J130" s="12" t="n">
        <v>549.222</v>
      </c>
      <c r="K130" s="12" t="n">
        <v>587.619</v>
      </c>
      <c r="L130" s="12" t="n">
        <v>651.3920000000001</v>
      </c>
      <c r="M130" s="12" t="n">
        <v>856.369</v>
      </c>
      <c r="N130" s="12" t="n">
        <v>862.2329999999999</v>
      </c>
      <c r="T130" s="12" t="n">
        <v>296.324</v>
      </c>
      <c r="U130" s="12" t="n">
        <v>311.441</v>
      </c>
      <c r="V130" s="12" t="n">
        <v>515.159</v>
      </c>
      <c r="W130" s="12" t="n">
        <v>549.222</v>
      </c>
      <c r="X130" s="12" t="n">
        <v>862.2329999999999</v>
      </c>
    </row>
    <row r="131">
      <c r="A131" s="43" t="inlineStr">
        <is>
          <t>YoY</t>
        </is>
      </c>
      <c r="B131" s="3" t="inlineStr">
        <is>
          <t>전년 같은 분기·전년 대비</t>
        </is>
      </c>
      <c r="G131" s="15">
        <f>IF(OR(G130="",C130=""),"",IF(C130&lt;=0,"",IFERROR(G130/C130-1,"")))</f>
        <v/>
      </c>
      <c r="H131" s="15">
        <f>IF(OR(H130="",D130=""),"",IF(D130&lt;=0,"",IFERROR(H130/D130-1,"")))</f>
        <v/>
      </c>
      <c r="I131" s="15">
        <f>IF(OR(I130="",E130=""),"",IF(E130&lt;=0,"",IFERROR(I130/E130-1,"")))</f>
        <v/>
      </c>
      <c r="J131" s="15">
        <f>IF(OR(J130="",F130=""),"",IF(F130&lt;=0,"",IFERROR(J130/F130-1,"")))</f>
        <v/>
      </c>
      <c r="K131" s="15">
        <f>IF(OR(K130="",G130=""),"",IF(G130&lt;=0,"",IFERROR(K130/G130-1,"")))</f>
        <v/>
      </c>
      <c r="L131" s="15">
        <f>IF(OR(L130="",H130=""),"",IF(H130&lt;=0,"",IFERROR(L130/H130-1,"")))</f>
        <v/>
      </c>
      <c r="M131" s="15">
        <f>IF(OR(M130="",I130=""),"",IF(I130&lt;=0,"",IFERROR(M130/I130-1,"")))</f>
        <v/>
      </c>
      <c r="N131" s="15">
        <f>IF(OR(N130="",J130=""),"",IF(J130&lt;=0,"",IFERROR(N130/J130-1,"")))</f>
        <v/>
      </c>
      <c r="T131" s="15">
        <f>IF(OR(T130="",S130=""),"",IF(S130&lt;=0,"",IFERROR(T130/S130-1,"")))</f>
        <v/>
      </c>
      <c r="U131" s="15">
        <f>IF(OR(U130="",T130=""),"",IF(T130&lt;=0,"",IFERROR(U130/T130-1,"")))</f>
        <v/>
      </c>
      <c r="V131" s="15">
        <f>IF(OR(V130="",U130=""),"",IF(U130&lt;=0,"",IFERROR(V130/U130-1,"")))</f>
        <v/>
      </c>
      <c r="W131" s="15">
        <f>IF(OR(W130="",V130=""),"",IF(V130&lt;=0,"",IFERROR(W130/V130-1,"")))</f>
        <v/>
      </c>
      <c r="X131" s="15">
        <f>IF(OR(X130="",W130=""),"",IF(W130&lt;=0,"",IFERROR(X130/W130-1,"")))</f>
        <v/>
      </c>
    </row>
    <row r="132">
      <c r="A132" s="18" t="inlineStr">
        <is>
          <t>법인세·주민세·사업세</t>
        </is>
      </c>
      <c r="C132" s="20" t="n">
        <v>376.659</v>
      </c>
      <c r="D132" s="20" t="n">
        <v>-43.257</v>
      </c>
      <c r="E132" s="20" t="n">
        <v>481.525</v>
      </c>
      <c r="F132" s="20" t="n">
        <v>-53.277</v>
      </c>
      <c r="G132" s="20" t="n">
        <v>456.684</v>
      </c>
      <c r="H132" s="20" t="n">
        <v>-8.119</v>
      </c>
      <c r="I132" s="20" t="n">
        <v>473.434</v>
      </c>
      <c r="J132" s="20" t="n">
        <v>-26.21</v>
      </c>
      <c r="K132" s="20" t="n">
        <v>430.56</v>
      </c>
      <c r="L132" s="20" t="n">
        <v>97.657</v>
      </c>
      <c r="M132" s="20" t="n">
        <v>516.2670000000001</v>
      </c>
      <c r="N132" s="20" t="n">
        <v>99.25700000000001</v>
      </c>
      <c r="T132" s="20" t="n">
        <v>-52.697</v>
      </c>
      <c r="U132" s="20" t="n">
        <v>-88.083</v>
      </c>
      <c r="V132" s="20" t="n">
        <v>-53.277</v>
      </c>
      <c r="W132" s="20" t="n">
        <v>-26.21</v>
      </c>
      <c r="X132" s="20" t="n">
        <v>99.25700000000001</v>
      </c>
    </row>
    <row r="133">
      <c r="A133" s="18" t="inlineStr">
        <is>
          <t>법인세 조정액</t>
        </is>
      </c>
      <c r="C133" s="20" t="n">
        <v>-150.94</v>
      </c>
      <c r="D133" s="20" t="n">
        <v>170.017</v>
      </c>
      <c r="E133" s="20" t="n">
        <v>-183.016</v>
      </c>
      <c r="F133" s="20" t="n">
        <v>144.201</v>
      </c>
      <c r="G133" s="20" t="n">
        <v>-162.596</v>
      </c>
      <c r="H133" s="20" t="n">
        <v>183.512</v>
      </c>
      <c r="I133" s="20" t="n">
        <v>-206.213</v>
      </c>
      <c r="J133" s="20" t="n">
        <v>180.903</v>
      </c>
      <c r="K133" s="20" t="n">
        <v>-199.913</v>
      </c>
      <c r="L133" s="20" t="n">
        <v>201.052</v>
      </c>
      <c r="M133" s="20" t="n">
        <v>-197.906</v>
      </c>
      <c r="N133" s="20" t="n">
        <v>156.138</v>
      </c>
      <c r="T133" s="20" t="n">
        <v>100.371</v>
      </c>
      <c r="U133" s="20" t="n">
        <v>122.069</v>
      </c>
      <c r="V133" s="20" t="n">
        <v>144.201</v>
      </c>
      <c r="W133" s="20" t="n">
        <v>180.903</v>
      </c>
      <c r="X133" s="20" t="n">
        <v>156.138</v>
      </c>
    </row>
    <row r="134">
      <c r="A134" s="18" t="inlineStr">
        <is>
          <t>법인세 등 합계</t>
        </is>
      </c>
      <c r="C134" s="20" t="n">
        <v>225.719</v>
      </c>
      <c r="D134" s="20" t="n">
        <v>126.76</v>
      </c>
      <c r="E134" s="20" t="n">
        <v>298.509</v>
      </c>
      <c r="F134" s="20" t="n">
        <v>90.92400000000001</v>
      </c>
      <c r="G134" s="20" t="n">
        <v>294.087</v>
      </c>
      <c r="H134" s="20" t="n">
        <v>175.395</v>
      </c>
      <c r="I134" s="20" t="n">
        <v>267.219</v>
      </c>
      <c r="J134" s="20" t="n">
        <v>154.694</v>
      </c>
      <c r="K134" s="20" t="n">
        <v>230.647</v>
      </c>
      <c r="L134" s="20" t="n">
        <v>298.709</v>
      </c>
      <c r="M134" s="20" t="n">
        <v>318.361</v>
      </c>
      <c r="N134" s="20" t="n">
        <v>255.395</v>
      </c>
      <c r="T134" s="20" t="n">
        <v>47.673</v>
      </c>
      <c r="U134" s="20" t="n">
        <v>33.986</v>
      </c>
      <c r="V134" s="20" t="n">
        <v>90.92400000000001</v>
      </c>
      <c r="W134" s="20" t="n">
        <v>154.694</v>
      </c>
      <c r="X134" s="20" t="n">
        <v>255.395</v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G135" s="15">
        <f>IF(OR(G134="",C134=""),"",IF(G134*C134&lt;=0,"",IFERROR(G134/C134-1,"")))</f>
        <v/>
      </c>
      <c r="H135" s="15">
        <f>IF(OR(H134="",D134=""),"",IF(H134*D134&lt;=0,"",IFERROR(H134/D134-1,"")))</f>
        <v/>
      </c>
      <c r="I135" s="15">
        <f>IF(OR(I134="",E134=""),"",IF(I134*E134&lt;=0,"",IFERROR(I134/E134-1,"")))</f>
        <v/>
      </c>
      <c r="J135" s="15">
        <f>IF(OR(J134="",F134=""),"",IF(J134*F134&lt;=0,"",IFERROR(J134/F134-1,"")))</f>
        <v/>
      </c>
      <c r="K135" s="15">
        <f>IF(OR(K134="",G134=""),"",IF(K134*G134&lt;=0,"",IFERROR(K134/G134-1,"")))</f>
        <v/>
      </c>
      <c r="L135" s="15">
        <f>IF(OR(L134="",H134=""),"",IF(L134*H134&lt;=0,"",IFERROR(L134/H134-1,"")))</f>
        <v/>
      </c>
      <c r="M135" s="15">
        <f>IF(OR(M134="",I134=""),"",IF(M134*I134&lt;=0,"",IFERROR(M134/I134-1,"")))</f>
        <v/>
      </c>
      <c r="N135" s="15">
        <f>IF(OR(N134="",J134=""),"",IF(N134*J134&lt;=0,"",IFERROR(N134/J134-1,"")))</f>
        <v/>
      </c>
      <c r="T135" s="15">
        <f>IF(OR(T134="",S134=""),"",IF(T134*S134&lt;=0,"",IFERROR(T134/S134-1,"")))</f>
        <v/>
      </c>
      <c r="U135" s="15">
        <f>IF(OR(U134="",T134=""),"",IF(U134*T134&lt;=0,"",IFERROR(U134/T134-1,"")))</f>
        <v/>
      </c>
      <c r="V135" s="15">
        <f>IF(OR(V134="",U134=""),"",IF(V134*U134&lt;=0,"",IFERROR(V134/U134-1,"")))</f>
        <v/>
      </c>
      <c r="W135" s="15">
        <f>IF(OR(W134="",V134=""),"",IF(W134*V134&lt;=0,"",IFERROR(W134/V134-1,"")))</f>
        <v/>
      </c>
      <c r="X135" s="15">
        <f>IF(OR(X134="",W134=""),"",IF(X134*W134&lt;=0,"",IFERROR(X134/W134-1,"")))</f>
        <v/>
      </c>
    </row>
    <row r="136">
      <c r="A136" s="9" t="inlineStr">
        <is>
          <t>순이익</t>
        </is>
      </c>
      <c r="C136" s="12" t="n">
        <v>300.792</v>
      </c>
      <c r="D136" s="12" t="n">
        <v>468.835</v>
      </c>
      <c r="E136" s="12" t="n">
        <v>381.856</v>
      </c>
      <c r="F136" s="12" t="n">
        <v>424.236</v>
      </c>
      <c r="G136" s="12" t="n">
        <v>481.273</v>
      </c>
      <c r="H136" s="12" t="n">
        <v>437.713</v>
      </c>
      <c r="I136" s="12" t="n">
        <v>396.174</v>
      </c>
      <c r="J136" s="12" t="n">
        <v>394.528</v>
      </c>
      <c r="K136" s="12" t="n">
        <v>356.971</v>
      </c>
      <c r="L136" s="12" t="n">
        <v>352.684</v>
      </c>
      <c r="M136" s="12" t="n">
        <v>538.008</v>
      </c>
      <c r="N136" s="12" t="n">
        <v>606.838</v>
      </c>
      <c r="T136" s="12" t="n">
        <v>248.652</v>
      </c>
      <c r="U136" s="12" t="n">
        <v>277.455</v>
      </c>
      <c r="V136" s="12" t="n">
        <v>424.236</v>
      </c>
      <c r="W136" s="12" t="n">
        <v>394.528</v>
      </c>
      <c r="X136" s="12" t="n">
        <v>606.838</v>
      </c>
    </row>
    <row r="137">
      <c r="A137" s="43" t="inlineStr">
        <is>
          <t>YoY</t>
        </is>
      </c>
      <c r="B137" s="3" t="inlineStr">
        <is>
          <t>전년 같은 분기·전년 대비</t>
        </is>
      </c>
      <c r="G137" s="15">
        <f>IF(OR(G136="",C136=""),"",IF(C136&lt;=0,"",IFERROR(G136/C136-1,"")))</f>
        <v/>
      </c>
      <c r="H137" s="15">
        <f>IF(OR(H136="",D136=""),"",IF(D136&lt;=0,"",IFERROR(H136/D136-1,"")))</f>
        <v/>
      </c>
      <c r="I137" s="15">
        <f>IF(OR(I136="",E136=""),"",IF(E136&lt;=0,"",IFERROR(I136/E136-1,"")))</f>
        <v/>
      </c>
      <c r="J137" s="15">
        <f>IF(OR(J136="",F136=""),"",IF(F136&lt;=0,"",IFERROR(J136/F136-1,"")))</f>
        <v/>
      </c>
      <c r="K137" s="15">
        <f>IF(OR(K136="",G136=""),"",IF(G136&lt;=0,"",IFERROR(K136/G136-1,"")))</f>
        <v/>
      </c>
      <c r="L137" s="15">
        <f>IF(OR(L136="",H136=""),"",IF(H136&lt;=0,"",IFERROR(L136/H136-1,"")))</f>
        <v/>
      </c>
      <c r="M137" s="15">
        <f>IF(OR(M136="",I136=""),"",IF(I136&lt;=0,"",IFERROR(M136/I136-1,"")))</f>
        <v/>
      </c>
      <c r="N137" s="15">
        <f>IF(OR(N136="",J136=""),"",IF(J136&lt;=0,"",IFERROR(N136/J136-1,"")))</f>
        <v/>
      </c>
      <c r="T137" s="15">
        <f>IF(OR(T136="",S136=""),"",IF(S136&lt;=0,"",IFERROR(T136/S136-1,"")))</f>
        <v/>
      </c>
      <c r="U137" s="15">
        <f>IF(OR(U136="",T136=""),"",IF(T136&lt;=0,"",IFERROR(U136/T136-1,"")))</f>
        <v/>
      </c>
      <c r="V137" s="15">
        <f>IF(OR(V136="",U136=""),"",IF(U136&lt;=0,"",IFERROR(V136/U136-1,"")))</f>
        <v/>
      </c>
      <c r="W137" s="15">
        <f>IF(OR(W136="",V136=""),"",IF(V136&lt;=0,"",IFERROR(W136/V136-1,"")))</f>
        <v/>
      </c>
      <c r="X137" s="15">
        <f>IF(OR(X136="",W136=""),"",IF(W136&lt;=0,"",IFERROR(X136/W136-1,"")))</f>
        <v/>
      </c>
    </row>
    <row r="138">
      <c r="A138" s="9" t="inlineStr">
        <is>
          <t>지배주주 순이익</t>
        </is>
      </c>
      <c r="C138" s="12" t="n">
        <v>300.792</v>
      </c>
      <c r="D138" s="12" t="n">
        <v>468.835</v>
      </c>
      <c r="E138" s="12" t="n">
        <v>381.856</v>
      </c>
      <c r="F138" s="12" t="n">
        <v>424.236</v>
      </c>
      <c r="G138" s="12" t="n">
        <v>481.273</v>
      </c>
      <c r="H138" s="12" t="n">
        <v>437.713</v>
      </c>
      <c r="I138" s="12" t="n">
        <v>396.174</v>
      </c>
      <c r="J138" s="12" t="n">
        <v>394.528</v>
      </c>
      <c r="K138" s="12" t="n">
        <v>356.971</v>
      </c>
      <c r="L138" s="12" t="n">
        <v>352.684</v>
      </c>
      <c r="M138" s="12" t="n">
        <v>538.008</v>
      </c>
      <c r="N138" s="12" t="n">
        <v>606.838</v>
      </c>
      <c r="T138" s="12" t="n">
        <v>248.652</v>
      </c>
      <c r="U138" s="12" t="n">
        <v>277.455</v>
      </c>
      <c r="V138" s="12" t="n">
        <v>424.236</v>
      </c>
      <c r="W138" s="12" t="n">
        <v>394.528</v>
      </c>
      <c r="X138" s="12" t="n">
        <v>606.838</v>
      </c>
    </row>
    <row r="139">
      <c r="A139" s="43" t="inlineStr">
        <is>
          <t>YoY</t>
        </is>
      </c>
      <c r="B139" s="3" t="inlineStr">
        <is>
          <t>전년 같은 분기·전년 대비</t>
        </is>
      </c>
      <c r="G139" s="15">
        <f>IF(OR(G138="",C138=""),"",IF(C138&lt;=0,"",IFERROR(G138/C138-1,"")))</f>
        <v/>
      </c>
      <c r="H139" s="15">
        <f>IF(OR(H138="",D138=""),"",IF(D138&lt;=0,"",IFERROR(H138/D138-1,"")))</f>
        <v/>
      </c>
      <c r="I139" s="15">
        <f>IF(OR(I138="",E138=""),"",IF(E138&lt;=0,"",IFERROR(I138/E138-1,"")))</f>
        <v/>
      </c>
      <c r="J139" s="15">
        <f>IF(OR(J138="",F138=""),"",IF(F138&lt;=0,"",IFERROR(J138/F138-1,"")))</f>
        <v/>
      </c>
      <c r="K139" s="15">
        <f>IF(OR(K138="",G138=""),"",IF(G138&lt;=0,"",IFERROR(K138/G138-1,"")))</f>
        <v/>
      </c>
      <c r="L139" s="15">
        <f>IF(OR(L138="",H138=""),"",IF(H138&lt;=0,"",IFERROR(L138/H138-1,"")))</f>
        <v/>
      </c>
      <c r="M139" s="15">
        <f>IF(OR(M138="",I138=""),"",IF(I138&lt;=0,"",IFERROR(M138/I138-1,"")))</f>
        <v/>
      </c>
      <c r="N139" s="15">
        <f>IF(OR(N138="",J138=""),"",IF(J138&lt;=0,"",IFERROR(N138/J138-1,"")))</f>
        <v/>
      </c>
      <c r="T139" s="15">
        <f>IF(OR(T138="",S138=""),"",IF(S138&lt;=0,"",IFERROR(T138/S138-1,"")))</f>
        <v/>
      </c>
      <c r="U139" s="15">
        <f>IF(OR(U138="",T138=""),"",IF(T138&lt;=0,"",IFERROR(U138/T138-1,"")))</f>
        <v/>
      </c>
      <c r="V139" s="15">
        <f>IF(OR(V138="",U138=""),"",IF(U138&lt;=0,"",IFERROR(V138/U138-1,"")))</f>
        <v/>
      </c>
      <c r="W139" s="15">
        <f>IF(OR(W138="",V138=""),"",IF(V138&lt;=0,"",IFERROR(W138/V138-1,"")))</f>
        <v/>
      </c>
      <c r="X139" s="15">
        <f>IF(OR(X138="",W138=""),"",IF(W138&lt;=0,"",IFERROR(X138/W138-1,"")))</f>
        <v/>
      </c>
    </row>
    <row r="141">
      <c r="A141" s="16" t="inlineStr">
        <is>
          <t>포괄손익 · 전 항목</t>
        </is>
      </c>
      <c r="B141" s="42" t="inlineStr">
        <is>
          <t>분기 = 3개월 단독</t>
        </is>
      </c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  <c r="AA141" s="16" t="n"/>
      <c r="AB141" s="16" t="n"/>
      <c r="AC141" s="16" t="n"/>
    </row>
    <row r="142">
      <c r="A142" s="5" t="inlineStr">
        <is>
          <t>항목</t>
        </is>
      </c>
      <c r="B142" s="5" t="inlineStr">
        <is>
          <t>참고</t>
        </is>
      </c>
      <c r="C142" s="5" t="inlineStr">
        <is>
          <t>2024.1Q</t>
        </is>
      </c>
      <c r="D142" s="5" t="inlineStr">
        <is>
          <t>2024.2Q</t>
        </is>
      </c>
      <c r="E142" s="5" t="inlineStr">
        <is>
          <t>2024.3Q</t>
        </is>
      </c>
      <c r="F142" s="5" t="inlineStr">
        <is>
          <t>2024.4Q</t>
        </is>
      </c>
      <c r="G142" s="5" t="inlineStr">
        <is>
          <t>2025.1Q</t>
        </is>
      </c>
      <c r="H142" s="5" t="inlineStr">
        <is>
          <t>2025.2Q</t>
        </is>
      </c>
      <c r="I142" s="5" t="inlineStr">
        <is>
          <t>2025.3Q</t>
        </is>
      </c>
      <c r="J142" s="5" t="inlineStr">
        <is>
          <t>2025.4Q</t>
        </is>
      </c>
      <c r="K142" s="5" t="inlineStr">
        <is>
          <t>2026.1Q</t>
        </is>
      </c>
      <c r="L142" s="5" t="inlineStr">
        <is>
          <t>2026.2Q</t>
        </is>
      </c>
      <c r="M142" s="5" t="inlineStr">
        <is>
          <t>2026.3Q</t>
        </is>
      </c>
      <c r="N142" s="5" t="inlineStr">
        <is>
          <t>2026.4Q</t>
        </is>
      </c>
      <c r="O142" s="5" t="inlineStr">
        <is>
          <t>2017</t>
        </is>
      </c>
      <c r="P142" s="5" t="inlineStr">
        <is>
          <t>2018</t>
        </is>
      </c>
      <c r="Q142" s="5" t="inlineStr">
        <is>
          <t>2019</t>
        </is>
      </c>
      <c r="R142" s="5" t="inlineStr">
        <is>
          <t>2020</t>
        </is>
      </c>
      <c r="S142" s="5" t="inlineStr">
        <is>
          <t>2021</t>
        </is>
      </c>
      <c r="T142" s="5" t="inlineStr">
        <is>
          <t>2022</t>
        </is>
      </c>
      <c r="U142" s="5" t="inlineStr">
        <is>
          <t>2023</t>
        </is>
      </c>
      <c r="V142" s="5" t="inlineStr">
        <is>
          <t>2024</t>
        </is>
      </c>
      <c r="W142" s="5" t="inlineStr">
        <is>
          <t>2025</t>
        </is>
      </c>
      <c r="X142" s="5" t="inlineStr">
        <is>
          <t>2026</t>
        </is>
      </c>
      <c r="Y142" s="5" t="inlineStr">
        <is>
          <t>2027(MW)</t>
        </is>
      </c>
      <c r="Z142" s="5" t="inlineStr">
        <is>
          <t>2028(MW)</t>
        </is>
      </c>
      <c r="AA142" s="5" t="inlineStr">
        <is>
          <t>2029(MW)</t>
        </is>
      </c>
      <c r="AB142" s="5" t="inlineStr">
        <is>
          <t>2030(MW)</t>
        </is>
      </c>
      <c r="AC142" s="5" t="inlineStr">
        <is>
          <t>2031(MW)</t>
        </is>
      </c>
    </row>
    <row r="143">
      <c r="A143" s="9" t="inlineStr">
        <is>
          <t>순이익</t>
        </is>
      </c>
      <c r="C143" s="12" t="n">
        <v>300.792</v>
      </c>
      <c r="D143" s="12" t="n">
        <v>468.835</v>
      </c>
      <c r="E143" s="12" t="n">
        <v>381.856</v>
      </c>
      <c r="F143" s="12" t="n">
        <v>424.236</v>
      </c>
      <c r="G143" s="12" t="n">
        <v>481.273</v>
      </c>
      <c r="H143" s="12" t="n">
        <v>437.713</v>
      </c>
      <c r="I143" s="12" t="n">
        <v>396.174</v>
      </c>
      <c r="J143" s="12" t="n">
        <v>394.528</v>
      </c>
      <c r="K143" s="12" t="n">
        <v>356.971</v>
      </c>
      <c r="L143" s="12" t="n">
        <v>352.684</v>
      </c>
      <c r="M143" s="12" t="n">
        <v>538.008</v>
      </c>
      <c r="N143" s="12" t="n">
        <v>606.838</v>
      </c>
      <c r="T143" s="12" t="n">
        <v>248.652</v>
      </c>
      <c r="U143" s="12" t="n">
        <v>277.455</v>
      </c>
      <c r="V143" s="12" t="n">
        <v>424.236</v>
      </c>
      <c r="W143" s="12" t="n">
        <v>394.528</v>
      </c>
      <c r="X143" s="12" t="n">
        <v>606.838</v>
      </c>
    </row>
    <row r="144">
      <c r="A144" s="18" t="inlineStr">
        <is>
          <t>기타유가증권 평가차액</t>
        </is>
      </c>
      <c r="C144" s="20" t="n">
        <v>0</v>
      </c>
      <c r="D144" s="20" t="n">
        <v>-0.02</v>
      </c>
      <c r="E144" s="20" t="n">
        <v>0.002</v>
      </c>
      <c r="F144" s="20" t="n">
        <v>-0.015</v>
      </c>
      <c r="I144" s="20" t="n">
        <v>0</v>
      </c>
      <c r="J144" s="20" t="n">
        <v>0</v>
      </c>
      <c r="T144" s="20" t="n">
        <v>0.025</v>
      </c>
      <c r="U144" s="20" t="n">
        <v>-0.027</v>
      </c>
      <c r="V144" s="20" t="n">
        <v>-0.015</v>
      </c>
      <c r="W144" s="20" t="n">
        <v>0</v>
      </c>
    </row>
    <row r="145">
      <c r="A145" s="18" t="inlineStr">
        <is>
          <t>퇴직급여 조정액</t>
        </is>
      </c>
      <c r="C145" s="20" t="n">
        <v>-0.914</v>
      </c>
      <c r="D145" s="20" t="n">
        <v>-0.914</v>
      </c>
      <c r="E145" s="20" t="n">
        <v>-0.914</v>
      </c>
      <c r="F145" s="20" t="n">
        <v>1.56</v>
      </c>
      <c r="G145" s="20" t="n">
        <v>-0.618</v>
      </c>
      <c r="H145" s="20" t="n">
        <v>-0.619</v>
      </c>
      <c r="I145" s="20" t="n">
        <v>-0.618</v>
      </c>
      <c r="J145" s="20" t="n">
        <v>3.407</v>
      </c>
      <c r="K145" s="20" t="n">
        <v>-1.006</v>
      </c>
      <c r="L145" s="20" t="n">
        <v>-1.007</v>
      </c>
      <c r="M145" s="20" t="n">
        <v>-1.007</v>
      </c>
      <c r="N145" s="20" t="n">
        <v>5.276</v>
      </c>
      <c r="T145" s="20" t="n">
        <v>3.949</v>
      </c>
      <c r="U145" s="20" t="n">
        <v>2.68</v>
      </c>
      <c r="V145" s="20" t="n">
        <v>1.56</v>
      </c>
      <c r="W145" s="20" t="n">
        <v>3.407</v>
      </c>
      <c r="X145" s="20" t="n">
        <v>5.276</v>
      </c>
    </row>
    <row r="146">
      <c r="A146" s="18" t="inlineStr">
        <is>
          <t>기타포괄손익 합계</t>
        </is>
      </c>
      <c r="C146" s="20" t="n">
        <v>-0.914</v>
      </c>
      <c r="D146" s="20" t="n">
        <v>-0.9340000000000001</v>
      </c>
      <c r="E146" s="20" t="n">
        <v>-0.912</v>
      </c>
      <c r="F146" s="20" t="n">
        <v>1.544</v>
      </c>
      <c r="G146" s="20" t="n">
        <v>-0.618</v>
      </c>
      <c r="H146" s="20" t="n">
        <v>-0.619</v>
      </c>
      <c r="I146" s="20" t="n">
        <v>-0.618</v>
      </c>
      <c r="J146" s="20" t="n">
        <v>3.407</v>
      </c>
      <c r="K146" s="20" t="n">
        <v>-1.006</v>
      </c>
      <c r="L146" s="20" t="n">
        <v>-1.007</v>
      </c>
      <c r="M146" s="20" t="n">
        <v>-1.007</v>
      </c>
      <c r="N146" s="20" t="n">
        <v>5.276</v>
      </c>
      <c r="T146" s="20" t="n">
        <v>3.972</v>
      </c>
      <c r="U146" s="20" t="n">
        <v>2.652</v>
      </c>
      <c r="V146" s="20" t="n">
        <v>1.544</v>
      </c>
      <c r="W146" s="20" t="n">
        <v>3.407</v>
      </c>
      <c r="X146" s="20" t="n">
        <v>5.276</v>
      </c>
    </row>
    <row r="147">
      <c r="A147" s="9" t="inlineStr">
        <is>
          <t>포괄이익</t>
        </is>
      </c>
      <c r="C147" s="12" t="n">
        <v>299.878</v>
      </c>
      <c r="D147" s="12" t="n">
        <v>467.9</v>
      </c>
      <c r="E147" s="12" t="n">
        <v>380.944</v>
      </c>
      <c r="F147" s="12" t="n">
        <v>425.781</v>
      </c>
      <c r="G147" s="12" t="n">
        <v>480.654</v>
      </c>
      <c r="H147" s="12" t="n">
        <v>437.095</v>
      </c>
      <c r="I147" s="12" t="n">
        <v>395.556</v>
      </c>
      <c r="J147" s="12" t="n">
        <v>397.936</v>
      </c>
      <c r="K147" s="12" t="n">
        <v>355.964</v>
      </c>
      <c r="L147" s="12" t="n">
        <v>351.677</v>
      </c>
      <c r="M147" s="12" t="n">
        <v>537.001</v>
      </c>
      <c r="N147" s="12" t="n">
        <v>612.116</v>
      </c>
      <c r="T147" s="12" t="n">
        <v>252.625</v>
      </c>
      <c r="U147" s="12" t="n">
        <v>280.107</v>
      </c>
      <c r="V147" s="12" t="n">
        <v>425.781</v>
      </c>
      <c r="W147" s="12" t="n">
        <v>397.936</v>
      </c>
      <c r="X147" s="12" t="n">
        <v>612.116</v>
      </c>
    </row>
    <row r="148">
      <c r="A148" s="9" t="inlineStr">
        <is>
          <t>지배주주 포괄이익</t>
        </is>
      </c>
      <c r="C148" s="12" t="n">
        <v>299.878</v>
      </c>
      <c r="D148" s="12" t="n">
        <v>467.9</v>
      </c>
      <c r="E148" s="12" t="n">
        <v>380.944</v>
      </c>
      <c r="F148" s="12" t="n">
        <v>425.781</v>
      </c>
      <c r="G148" s="12" t="n">
        <v>480.654</v>
      </c>
      <c r="H148" s="12" t="n">
        <v>437.095</v>
      </c>
      <c r="I148" s="12" t="n">
        <v>395.556</v>
      </c>
      <c r="J148" s="12" t="n">
        <v>397.936</v>
      </c>
      <c r="K148" s="12" t="n">
        <v>355.964</v>
      </c>
      <c r="L148" s="12" t="n">
        <v>351.677</v>
      </c>
      <c r="M148" s="12" t="n">
        <v>537.001</v>
      </c>
      <c r="N148" s="12" t="n">
        <v>612.116</v>
      </c>
      <c r="T148" s="12" t="n">
        <v>252.625</v>
      </c>
      <c r="U148" s="12" t="n">
        <v>280.107</v>
      </c>
      <c r="V148" s="12" t="n">
        <v>425.781</v>
      </c>
      <c r="W148" s="12" t="n">
        <v>397.936</v>
      </c>
      <c r="X148" s="12" t="n">
        <v>612.116</v>
      </c>
    </row>
    <row r="150">
      <c r="A150" s="16" t="inlineStr">
        <is>
          <t>부문 · 전 항목</t>
        </is>
      </c>
      <c r="B150" s="42" t="inlineStr">
        <is>
          <t>부문 · 항목</t>
        </is>
      </c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</row>
    <row r="151">
      <c r="A151" s="5" t="inlineStr">
        <is>
          <t>항목</t>
        </is>
      </c>
      <c r="B151" s="5" t="inlineStr">
        <is>
          <t>참고</t>
        </is>
      </c>
      <c r="C151" s="5" t="inlineStr">
        <is>
          <t>2024.1Q</t>
        </is>
      </c>
      <c r="D151" s="5" t="inlineStr">
        <is>
          <t>2024.2Q</t>
        </is>
      </c>
      <c r="E151" s="5" t="inlineStr">
        <is>
          <t>2024.3Q</t>
        </is>
      </c>
      <c r="F151" s="5" t="inlineStr">
        <is>
          <t>2024.4Q</t>
        </is>
      </c>
      <c r="G151" s="5" t="inlineStr">
        <is>
          <t>2025.1Q</t>
        </is>
      </c>
      <c r="H151" s="5" t="inlineStr">
        <is>
          <t>2025.2Q</t>
        </is>
      </c>
      <c r="I151" s="5" t="inlineStr">
        <is>
          <t>2025.3Q</t>
        </is>
      </c>
      <c r="J151" s="5" t="inlineStr">
        <is>
          <t>2025.4Q</t>
        </is>
      </c>
      <c r="K151" s="5" t="inlineStr">
        <is>
          <t>2026.1Q</t>
        </is>
      </c>
      <c r="L151" s="5" t="inlineStr">
        <is>
          <t>2026.2Q</t>
        </is>
      </c>
      <c r="M151" s="5" t="inlineStr">
        <is>
          <t>2026.3Q</t>
        </is>
      </c>
      <c r="N151" s="5" t="inlineStr">
        <is>
          <t>2026.4Q</t>
        </is>
      </c>
      <c r="O151" s="5" t="inlineStr">
        <is>
          <t>2017</t>
        </is>
      </c>
      <c r="P151" s="5" t="inlineStr">
        <is>
          <t>2018</t>
        </is>
      </c>
      <c r="Q151" s="5" t="inlineStr">
        <is>
          <t>2019</t>
        </is>
      </c>
      <c r="R151" s="5" t="inlineStr">
        <is>
          <t>2020</t>
        </is>
      </c>
      <c r="S151" s="5" t="inlineStr">
        <is>
          <t>2021</t>
        </is>
      </c>
      <c r="T151" s="5" t="inlineStr">
        <is>
          <t>2022</t>
        </is>
      </c>
      <c r="U151" s="5" t="inlineStr">
        <is>
          <t>2023</t>
        </is>
      </c>
      <c r="V151" s="5" t="inlineStr">
        <is>
          <t>2024</t>
        </is>
      </c>
      <c r="W151" s="5" t="inlineStr">
        <is>
          <t>2025</t>
        </is>
      </c>
      <c r="X151" s="5" t="inlineStr">
        <is>
          <t>2026</t>
        </is>
      </c>
      <c r="Y151" s="5" t="inlineStr">
        <is>
          <t>2027(MW)</t>
        </is>
      </c>
      <c r="Z151" s="5" t="inlineStr">
        <is>
          <t>2028(MW)</t>
        </is>
      </c>
      <c r="AA151" s="5" t="inlineStr">
        <is>
          <t>2029(MW)</t>
        </is>
      </c>
      <c r="AB151" s="5" t="inlineStr">
        <is>
          <t>2030(MW)</t>
        </is>
      </c>
      <c r="AC151" s="5" t="inlineStr">
        <is>
          <t>2031(MW)</t>
        </is>
      </c>
    </row>
    <row r="152">
      <c r="A152" s="18" t="inlineStr">
        <is>
          <t>디지털 인티그레이션 · 외부 고객 매출</t>
        </is>
      </c>
      <c r="C152" s="20" t="n">
        <v>5141.159</v>
      </c>
      <c r="D152" s="20" t="n">
        <v>5225.432</v>
      </c>
      <c r="E152" s="20" t="n">
        <v>5375.381</v>
      </c>
      <c r="F152" s="20" t="n">
        <v>5600.856</v>
      </c>
      <c r="G152" s="20" t="n">
        <v>5984.453</v>
      </c>
      <c r="H152" s="20" t="n">
        <v>5859.253</v>
      </c>
      <c r="I152" s="20" t="n">
        <v>6016.325</v>
      </c>
      <c r="J152" s="20" t="n">
        <v>6020.985</v>
      </c>
      <c r="K152" s="20" t="n">
        <v>6034.524</v>
      </c>
      <c r="L152" s="20" t="n">
        <v>6005.667</v>
      </c>
      <c r="M152" s="20" t="n">
        <v>6211.759</v>
      </c>
      <c r="N152" s="20" t="n">
        <v>6368.684</v>
      </c>
      <c r="V152" s="20" t="n">
        <v>5600.856</v>
      </c>
      <c r="W152" s="20" t="n">
        <v>6020.985</v>
      </c>
      <c r="X152" s="20" t="n">
        <v>6368.684</v>
      </c>
    </row>
    <row r="153">
      <c r="A153" s="43" t="inlineStr">
        <is>
          <t>YoY</t>
        </is>
      </c>
      <c r="B153" s="3" t="inlineStr">
        <is>
          <t>전년 같은 분기·전년 대비</t>
        </is>
      </c>
      <c r="G153" s="15">
        <f>IF(OR(G152="",C152=""),"",IF(C152&lt;=0,"",IFERROR(G152/C152-1,"")))</f>
        <v/>
      </c>
      <c r="H153" s="15">
        <f>IF(OR(H152="",D152=""),"",IF(D152&lt;=0,"",IFERROR(H152/D152-1,"")))</f>
        <v/>
      </c>
      <c r="I153" s="15">
        <f>IF(OR(I152="",E152=""),"",IF(E152&lt;=0,"",IFERROR(I152/E152-1,"")))</f>
        <v/>
      </c>
      <c r="J153" s="15">
        <f>IF(OR(J152="",F152=""),"",IF(F152&lt;=0,"",IFERROR(J152/F152-1,"")))</f>
        <v/>
      </c>
      <c r="K153" s="15">
        <f>IF(OR(K152="",G152=""),"",IF(G152&lt;=0,"",IFERROR(K152/G152-1,"")))</f>
        <v/>
      </c>
      <c r="L153" s="15">
        <f>IF(OR(L152="",H152=""),"",IF(H152&lt;=0,"",IFERROR(L152/H152-1,"")))</f>
        <v/>
      </c>
      <c r="M153" s="15">
        <f>IF(OR(M152="",I152=""),"",IF(I152&lt;=0,"",IFERROR(M152/I152-1,"")))</f>
        <v/>
      </c>
      <c r="N153" s="15">
        <f>IF(OR(N152="",J152=""),"",IF(J152&lt;=0,"",IFERROR(N152/J152-1,"")))</f>
        <v/>
      </c>
      <c r="V153" s="15">
        <f>IF(OR(V152="",U152=""),"",IF(U152&lt;=0,"",IFERROR(V152/U152-1,"")))</f>
        <v/>
      </c>
      <c r="W153" s="15">
        <f>IF(OR(W152="",V152=""),"",IF(V152&lt;=0,"",IFERROR(W152/V152-1,"")))</f>
        <v/>
      </c>
      <c r="X153" s="15">
        <f>IF(OR(X152="",W152=""),"",IF(W152&lt;=0,"",IFERROR(X152/W152-1,"")))</f>
        <v/>
      </c>
    </row>
    <row r="154">
      <c r="A154" s="18" t="inlineStr">
        <is>
          <t>미도리 클라우드 · 외부 고객 매출</t>
        </is>
      </c>
      <c r="C154" s="20" t="n">
        <v>71.71599999999999</v>
      </c>
      <c r="D154" s="20" t="n">
        <v>79.54600000000001</v>
      </c>
      <c r="E154" s="20" t="n">
        <v>71.90900000000001</v>
      </c>
      <c r="F154" s="20" t="n">
        <v>15.067</v>
      </c>
      <c r="G154" s="20" t="n">
        <v>56.705</v>
      </c>
      <c r="H154" s="20" t="n">
        <v>79.646</v>
      </c>
      <c r="I154" s="20" t="n">
        <v>64.354</v>
      </c>
      <c r="J154" s="20" t="n">
        <v>34.357</v>
      </c>
      <c r="K154" s="20" t="n">
        <v>50.369</v>
      </c>
      <c r="L154" s="20" t="n">
        <v>65.742</v>
      </c>
      <c r="M154" s="20" t="n">
        <v>49.404</v>
      </c>
      <c r="N154" s="20" t="n">
        <v>73.782</v>
      </c>
      <c r="V154" s="20" t="n">
        <v>15.067</v>
      </c>
      <c r="W154" s="20" t="n">
        <v>34.357</v>
      </c>
      <c r="X154" s="20" t="n">
        <v>73.782</v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G155" s="15">
        <f>IF(OR(G154="",C154=""),"",IF(C154&lt;=0,"",IFERROR(G154/C154-1,"")))</f>
        <v/>
      </c>
      <c r="H155" s="15">
        <f>IF(OR(H154="",D154=""),"",IF(D154&lt;=0,"",IFERROR(H154/D154-1,"")))</f>
        <v/>
      </c>
      <c r="I155" s="15">
        <f>IF(OR(I154="",E154=""),"",IF(E154&lt;=0,"",IFERROR(I154/E154-1,"")))</f>
        <v/>
      </c>
      <c r="J155" s="15">
        <f>IF(OR(J154="",F154=""),"",IF(F154&lt;=0,"",IFERROR(J154/F154-1,"")))</f>
        <v/>
      </c>
      <c r="K155" s="15">
        <f>IF(OR(K154="",G154=""),"",IF(G154&lt;=0,"",IFERROR(K154/G154-1,"")))</f>
        <v/>
      </c>
      <c r="L155" s="15">
        <f>IF(OR(L154="",H154=""),"",IF(H154&lt;=0,"",IFERROR(L154/H154-1,"")))</f>
        <v/>
      </c>
      <c r="M155" s="15">
        <f>IF(OR(M154="",I154=""),"",IF(I154&lt;=0,"",IFERROR(M154/I154-1,"")))</f>
        <v/>
      </c>
      <c r="N155" s="15">
        <f>IF(OR(N154="",J154=""),"",IF(J154&lt;=0,"",IFERROR(N154/J154-1,"")))</f>
        <v/>
      </c>
      <c r="V155" s="15">
        <f>IF(OR(V154="",U154=""),"",IF(U154&lt;=0,"",IFERROR(V154/U154-1,"")))</f>
        <v/>
      </c>
      <c r="W155" s="15">
        <f>IF(OR(W154="",V154=""),"",IF(V154&lt;=0,"",IFERROR(W154/V154-1,"")))</f>
        <v/>
      </c>
      <c r="X155" s="15">
        <f>IF(OR(X154="",W154=""),"",IF(W154&lt;=0,"",IFERROR(X154/W154-1,"")))</f>
        <v/>
      </c>
    </row>
    <row r="156">
      <c r="A156" s="18" t="inlineStr">
        <is>
          <t>기계설계 엔지니어링 · 외부 고객 매출</t>
        </is>
      </c>
      <c r="C156" s="20" t="n">
        <v>151.369</v>
      </c>
      <c r="F156" s="20" t="n">
        <v>155.383</v>
      </c>
      <c r="G156" s="20" t="n">
        <v>158.997</v>
      </c>
      <c r="J156" s="20" t="n">
        <v>175.642</v>
      </c>
      <c r="K156" s="20" t="n">
        <v>168.042</v>
      </c>
      <c r="N156" s="20" t="n">
        <v>164.414</v>
      </c>
      <c r="V156" s="20" t="n">
        <v>155.383</v>
      </c>
      <c r="W156" s="20" t="n">
        <v>175.642</v>
      </c>
      <c r="X156" s="20" t="n">
        <v>164.414</v>
      </c>
    </row>
    <row r="157">
      <c r="A157" s="43" t="inlineStr">
        <is>
          <t>YoY</t>
        </is>
      </c>
      <c r="B157" s="3" t="inlineStr">
        <is>
          <t>전년 같은 분기·전년 대비</t>
        </is>
      </c>
      <c r="G157" s="15">
        <f>IF(OR(G156="",C156=""),"",IF(C156&lt;=0,"",IFERROR(G156/C156-1,"")))</f>
        <v/>
      </c>
      <c r="J157" s="15">
        <f>IF(OR(J156="",F156=""),"",IF(F156&lt;=0,"",IFERROR(J156/F156-1,"")))</f>
        <v/>
      </c>
      <c r="K157" s="15">
        <f>IF(OR(K156="",G156=""),"",IF(G156&lt;=0,"",IFERROR(K156/G156-1,"")))</f>
        <v/>
      </c>
      <c r="N157" s="15">
        <f>IF(OR(N156="",J156=""),"",IF(J156&lt;=0,"",IFERROR(N156/J156-1,"")))</f>
        <v/>
      </c>
      <c r="V157" s="15">
        <f>IF(OR(V156="",U156=""),"",IF(U156&lt;=0,"",IFERROR(V156/U156-1,"")))</f>
        <v/>
      </c>
      <c r="W157" s="15">
        <f>IF(OR(W156="",V156=""),"",IF(V156&lt;=0,"",IFERROR(W156/V156-1,"")))</f>
        <v/>
      </c>
      <c r="X157" s="15">
        <f>IF(OR(X156="",W156=""),"",IF(W156&lt;=0,"",IFERROR(X156/W156-1,"")))</f>
        <v/>
      </c>
    </row>
    <row r="158">
      <c r="A158" s="18" t="inlineStr">
        <is>
          <t>보고부문 합계 · 외부 고객 매출</t>
        </is>
      </c>
      <c r="C158" s="20" t="n">
        <v>5364.245</v>
      </c>
      <c r="D158" s="20" t="n">
        <v>5461.196</v>
      </c>
      <c r="E158" s="20" t="n">
        <v>5624.848</v>
      </c>
      <c r="F158" s="20" t="n">
        <v>5771.306</v>
      </c>
      <c r="G158" s="20" t="n">
        <v>6200.156</v>
      </c>
      <c r="H158" s="20" t="n">
        <v>6095.34</v>
      </c>
      <c r="I158" s="20" t="n">
        <v>6250.015</v>
      </c>
      <c r="J158" s="20" t="n">
        <v>6230.983</v>
      </c>
      <c r="K158" s="20" t="n">
        <v>6252.936</v>
      </c>
      <c r="L158" s="20" t="n">
        <v>6236.857</v>
      </c>
      <c r="M158" s="20" t="n">
        <v>6420.965</v>
      </c>
      <c r="N158" s="20" t="n">
        <v>6606.88</v>
      </c>
      <c r="V158" s="20" t="n">
        <v>5771.306</v>
      </c>
      <c r="W158" s="20" t="n">
        <v>6230.983</v>
      </c>
      <c r="X158" s="20" t="n">
        <v>6606.88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IF(OR(G158="",C158=""),"",IF(C158&lt;=0,"",IFERROR(G158/C158-1,"")))</f>
        <v/>
      </c>
      <c r="H159" s="15">
        <f>IF(OR(H158="",D158=""),"",IF(D158&lt;=0,"",IFERROR(H158/D158-1,"")))</f>
        <v/>
      </c>
      <c r="I159" s="15">
        <f>IF(OR(I158="",E158=""),"",IF(E158&lt;=0,"",IFERROR(I158/E158-1,"")))</f>
        <v/>
      </c>
      <c r="J159" s="15">
        <f>IF(OR(J158="",F158=""),"",IF(F158&lt;=0,"",IFERROR(J158/F158-1,"")))</f>
        <v/>
      </c>
      <c r="K159" s="15">
        <f>IF(OR(K158="",G158=""),"",IF(G158&lt;=0,"",IFERROR(K158/G158-1,"")))</f>
        <v/>
      </c>
      <c r="L159" s="15">
        <f>IF(OR(L158="",H158=""),"",IF(H158&lt;=0,"",IFERROR(L158/H158-1,"")))</f>
        <v/>
      </c>
      <c r="M159" s="15">
        <f>IF(OR(M158="",I158=""),"",IF(I158&lt;=0,"",IFERROR(M158/I158-1,"")))</f>
        <v/>
      </c>
      <c r="N159" s="15">
        <f>IF(OR(N158="",J158=""),"",IF(J158&lt;=0,"",IFERROR(N158/J158-1,"")))</f>
        <v/>
      </c>
      <c r="V159" s="15">
        <f>IF(OR(V158="",U158=""),"",IF(U158&lt;=0,"",IFERROR(V158/U158-1,"")))</f>
        <v/>
      </c>
      <c r="W159" s="15">
        <f>IF(OR(W158="",V158=""),"",IF(V158&lt;=0,"",IFERROR(W158/V158-1,"")))</f>
        <v/>
      </c>
      <c r="X159" s="15">
        <f>IF(OR(X158="",W158=""),"",IF(W158&lt;=0,"",IFERROR(X158/W158-1,"")))</f>
        <v/>
      </c>
    </row>
    <row r="160">
      <c r="A160" s="18" t="inlineStr">
        <is>
          <t>조정액 · 외부 고객 매출</t>
        </is>
      </c>
      <c r="C160" s="20" t="n">
        <v>0</v>
      </c>
      <c r="D160" s="20" t="n">
        <v>0</v>
      </c>
      <c r="E160" s="20" t="n">
        <v>0</v>
      </c>
      <c r="F160" s="20" t="n">
        <v>0</v>
      </c>
      <c r="G160" s="20" t="n">
        <v>0</v>
      </c>
      <c r="H160" s="20" t="n">
        <v>0</v>
      </c>
      <c r="I160" s="20" t="n">
        <v>0</v>
      </c>
      <c r="J160" s="20" t="n">
        <v>0</v>
      </c>
      <c r="K160" s="20" t="n">
        <v>0</v>
      </c>
      <c r="L160" s="20" t="n">
        <v>0</v>
      </c>
      <c r="M160" s="20" t="n">
        <v>0</v>
      </c>
      <c r="N160" s="20" t="n">
        <v>0</v>
      </c>
      <c r="V160" s="20" t="n">
        <v>0</v>
      </c>
      <c r="W160" s="20" t="n">
        <v>0</v>
      </c>
      <c r="X160" s="20" t="n">
        <v>0</v>
      </c>
    </row>
    <row r="161">
      <c r="A161" s="9" t="inlineStr">
        <is>
          <t>외부 고객 매출</t>
        </is>
      </c>
      <c r="C161" s="12" t="n">
        <v>5364.245</v>
      </c>
      <c r="D161" s="12" t="n">
        <v>5461.196</v>
      </c>
      <c r="E161" s="12" t="n">
        <v>5624.848</v>
      </c>
      <c r="F161" s="12" t="n">
        <v>5771.306</v>
      </c>
      <c r="G161" s="12" t="n">
        <v>6200.156</v>
      </c>
      <c r="H161" s="12" t="n">
        <v>6095.34</v>
      </c>
      <c r="I161" s="12" t="n">
        <v>6250.015</v>
      </c>
      <c r="J161" s="12" t="n">
        <v>6230.983</v>
      </c>
      <c r="K161" s="12" t="n">
        <v>6252.936</v>
      </c>
      <c r="L161" s="12" t="n">
        <v>6236.857</v>
      </c>
      <c r="M161" s="12" t="n">
        <v>6420.965</v>
      </c>
      <c r="N161" s="12" t="n">
        <v>6606.88</v>
      </c>
      <c r="V161" s="12" t="n">
        <v>5771.306</v>
      </c>
      <c r="W161" s="12" t="n">
        <v>6230.983</v>
      </c>
      <c r="X161" s="12" t="n">
        <v>6606.88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IF(OR(G161="",C161=""),"",IF(C161&lt;=0,"",IFERROR(G161/C161-1,"")))</f>
        <v/>
      </c>
      <c r="H162" s="15">
        <f>IF(OR(H161="",D161=""),"",IF(D161&lt;=0,"",IFERROR(H161/D161-1,"")))</f>
        <v/>
      </c>
      <c r="I162" s="15">
        <f>IF(OR(I161="",E161=""),"",IF(E161&lt;=0,"",IFERROR(I161/E161-1,"")))</f>
        <v/>
      </c>
      <c r="J162" s="15">
        <f>IF(OR(J161="",F161=""),"",IF(F161&lt;=0,"",IFERROR(J161/F161-1,"")))</f>
        <v/>
      </c>
      <c r="K162" s="15">
        <f>IF(OR(K161="",G161=""),"",IF(G161&lt;=0,"",IFERROR(K161/G161-1,"")))</f>
        <v/>
      </c>
      <c r="L162" s="15">
        <f>IF(OR(L161="",H161=""),"",IF(H161&lt;=0,"",IFERROR(L161/H161-1,"")))</f>
        <v/>
      </c>
      <c r="M162" s="15">
        <f>IF(OR(M161="",I161=""),"",IF(I161&lt;=0,"",IFERROR(M161/I161-1,"")))</f>
        <v/>
      </c>
      <c r="N162" s="15">
        <f>IF(OR(N161="",J161=""),"",IF(J161&lt;=0,"",IFERROR(N161/J161-1,"")))</f>
        <v/>
      </c>
      <c r="V162" s="15">
        <f>IF(OR(V161="",U161=""),"",IF(U161&lt;=0,"",IFERROR(V161/U161-1,"")))</f>
        <v/>
      </c>
      <c r="W162" s="15">
        <f>IF(OR(W161="",V161=""),"",IF(V161&lt;=0,"",IFERROR(W161/V161-1,"")))</f>
        <v/>
      </c>
      <c r="X162" s="15">
        <f>IF(OR(X161="",W161=""),"",IF(W161&lt;=0,"",IFERROR(X161/W161-1,"")))</f>
        <v/>
      </c>
    </row>
    <row r="163">
      <c r="A163" s="18" t="inlineStr">
        <is>
          <t>디지털 인티그레이션 · 부문 간 내부매출·대체</t>
        </is>
      </c>
      <c r="C163" s="20" t="n">
        <v>0</v>
      </c>
      <c r="D163" s="20" t="n">
        <v>0</v>
      </c>
      <c r="E163" s="20" t="n">
        <v>0</v>
      </c>
      <c r="F163" s="20" t="n">
        <v>0</v>
      </c>
      <c r="G163" s="20" t="n">
        <v>0.142</v>
      </c>
      <c r="H163" s="20" t="n">
        <v>-0.142</v>
      </c>
      <c r="I163" s="20" t="n">
        <v>0</v>
      </c>
      <c r="J163" s="20" t="n">
        <v>0</v>
      </c>
      <c r="K163" s="20" t="n">
        <v>0</v>
      </c>
      <c r="L163" s="20" t="n">
        <v>0.457</v>
      </c>
      <c r="M163" s="20" t="n">
        <v>0.098</v>
      </c>
      <c r="N163" s="20" t="n">
        <v>0.049</v>
      </c>
      <c r="V163" s="20" t="n">
        <v>0</v>
      </c>
      <c r="W163" s="20" t="n">
        <v>0</v>
      </c>
      <c r="X163" s="20" t="n">
        <v>0.049</v>
      </c>
    </row>
    <row r="164">
      <c r="A164" s="18" t="inlineStr">
        <is>
          <t>미도리 클라우드 · 부문 간 내부매출·대체</t>
        </is>
      </c>
      <c r="C164" s="20" t="n">
        <v>0</v>
      </c>
      <c r="D164" s="20" t="n">
        <v>0</v>
      </c>
      <c r="E164" s="20" t="n">
        <v>0</v>
      </c>
      <c r="F164" s="20" t="n">
        <v>0</v>
      </c>
      <c r="G164" s="20" t="n">
        <v>0</v>
      </c>
      <c r="H164" s="20" t="n">
        <v>0</v>
      </c>
      <c r="I164" s="20" t="n">
        <v>0</v>
      </c>
      <c r="J164" s="20" t="n">
        <v>0</v>
      </c>
      <c r="K164" s="20" t="n">
        <v>0</v>
      </c>
      <c r="L164" s="20" t="n">
        <v>0</v>
      </c>
      <c r="M164" s="20" t="n">
        <v>0</v>
      </c>
      <c r="N164" s="20" t="n">
        <v>0</v>
      </c>
      <c r="V164" s="20" t="n">
        <v>0</v>
      </c>
      <c r="W164" s="20" t="n">
        <v>0</v>
      </c>
      <c r="X164" s="20" t="n">
        <v>0</v>
      </c>
    </row>
    <row r="165">
      <c r="A165" s="18" t="inlineStr">
        <is>
          <t>기계설계 엔지니어링 · 부문 간 내부매출·대체</t>
        </is>
      </c>
      <c r="C165" s="20" t="n">
        <v>19.001</v>
      </c>
      <c r="F165" s="20" t="n">
        <v>26.963</v>
      </c>
      <c r="G165" s="20" t="n">
        <v>29.145</v>
      </c>
      <c r="J165" s="20" t="n">
        <v>33.607</v>
      </c>
      <c r="K165" s="20" t="n">
        <v>37.69</v>
      </c>
      <c r="N165" s="20" t="n">
        <v>33.046</v>
      </c>
      <c r="V165" s="20" t="n">
        <v>26.963</v>
      </c>
      <c r="W165" s="20" t="n">
        <v>33.607</v>
      </c>
      <c r="X165" s="20" t="n">
        <v>33.046</v>
      </c>
    </row>
    <row r="166">
      <c r="A166" s="18" t="inlineStr">
        <is>
          <t>보고부문 합계 · 부문 간 내부매출·대체</t>
        </is>
      </c>
      <c r="C166" s="20" t="n">
        <v>19.001</v>
      </c>
      <c r="D166" s="20" t="n">
        <v>29.311</v>
      </c>
      <c r="E166" s="20" t="n">
        <v>29.235</v>
      </c>
      <c r="F166" s="20" t="n">
        <v>26.963</v>
      </c>
      <c r="G166" s="20" t="n">
        <v>29.287</v>
      </c>
      <c r="H166" s="20" t="n">
        <v>29.784</v>
      </c>
      <c r="I166" s="20" t="n">
        <v>33.096</v>
      </c>
      <c r="J166" s="20" t="n">
        <v>33.607</v>
      </c>
      <c r="K166" s="20" t="n">
        <v>37.69</v>
      </c>
      <c r="L166" s="20" t="n">
        <v>37.094</v>
      </c>
      <c r="M166" s="20" t="n">
        <v>34.911</v>
      </c>
      <c r="N166" s="20" t="n">
        <v>33.094</v>
      </c>
      <c r="V166" s="20" t="n">
        <v>26.963</v>
      </c>
      <c r="W166" s="20" t="n">
        <v>33.607</v>
      </c>
      <c r="X166" s="20" t="n">
        <v>33.094</v>
      </c>
    </row>
    <row r="167">
      <c r="A167" s="18" t="inlineStr">
        <is>
          <t>조정액 · 부문 간 내부매출·대체</t>
        </is>
      </c>
      <c r="C167" s="20" t="n">
        <v>-19.001</v>
      </c>
      <c r="D167" s="20" t="n">
        <v>-29.311</v>
      </c>
      <c r="E167" s="20" t="n">
        <v>-29.235</v>
      </c>
      <c r="F167" s="20" t="n">
        <v>-26.963</v>
      </c>
      <c r="G167" s="20" t="n">
        <v>-29.287</v>
      </c>
      <c r="H167" s="20" t="n">
        <v>-29.784</v>
      </c>
      <c r="I167" s="20" t="n">
        <v>-33.096</v>
      </c>
      <c r="J167" s="20" t="n">
        <v>-33.607</v>
      </c>
      <c r="K167" s="20" t="n">
        <v>-37.69</v>
      </c>
      <c r="L167" s="20" t="n">
        <v>-37.094</v>
      </c>
      <c r="M167" s="20" t="n">
        <v>-34.911</v>
      </c>
      <c r="N167" s="20" t="n">
        <v>-33.094</v>
      </c>
      <c r="V167" s="20" t="n">
        <v>-26.963</v>
      </c>
      <c r="W167" s="20" t="n">
        <v>-33.607</v>
      </c>
      <c r="X167" s="20" t="n">
        <v>-33.094</v>
      </c>
    </row>
    <row r="168">
      <c r="A168" s="18" t="inlineStr">
        <is>
          <t>부문 간 내부매출·대체</t>
        </is>
      </c>
      <c r="C168" s="20" t="n">
        <v>0</v>
      </c>
      <c r="D168" s="20" t="n">
        <v>0</v>
      </c>
      <c r="E168" s="20" t="n">
        <v>0</v>
      </c>
      <c r="F168" s="20" t="n">
        <v>0</v>
      </c>
      <c r="G168" s="20" t="n">
        <v>0</v>
      </c>
      <c r="H168" s="20" t="n">
        <v>0</v>
      </c>
      <c r="I168" s="20" t="n">
        <v>0</v>
      </c>
      <c r="J168" s="20" t="n">
        <v>0</v>
      </c>
      <c r="K168" s="20" t="n">
        <v>0</v>
      </c>
      <c r="L168" s="20" t="n">
        <v>0</v>
      </c>
      <c r="M168" s="20" t="n">
        <v>0</v>
      </c>
      <c r="N168" s="20" t="n">
        <v>0</v>
      </c>
      <c r="V168" s="20" t="n">
        <v>0</v>
      </c>
      <c r="W168" s="20" t="n">
        <v>0</v>
      </c>
      <c r="X168" s="20" t="n">
        <v>0</v>
      </c>
    </row>
    <row r="169">
      <c r="A169" s="18" t="inlineStr">
        <is>
          <t>디지털 인티그레이션 · 계</t>
        </is>
      </c>
      <c r="C169" s="20" t="n">
        <v>5141.159</v>
      </c>
      <c r="D169" s="20" t="n">
        <v>5225.432</v>
      </c>
      <c r="E169" s="20" t="n">
        <v>5375.381</v>
      </c>
      <c r="F169" s="20" t="n">
        <v>5600.856</v>
      </c>
      <c r="G169" s="20" t="n">
        <v>5984.595</v>
      </c>
      <c r="H169" s="20" t="n">
        <v>5859.111</v>
      </c>
      <c r="I169" s="20" t="n">
        <v>6016.325</v>
      </c>
      <c r="J169" s="20" t="n">
        <v>6020.985</v>
      </c>
      <c r="K169" s="20" t="n">
        <v>6034.524</v>
      </c>
      <c r="L169" s="20" t="n">
        <v>6006.125</v>
      </c>
      <c r="M169" s="20" t="n">
        <v>6211.856</v>
      </c>
      <c r="N169" s="20" t="n">
        <v>6368.734</v>
      </c>
      <c r="V169" s="20" t="n">
        <v>5600.856</v>
      </c>
      <c r="W169" s="20" t="n">
        <v>6020.985</v>
      </c>
      <c r="X169" s="20" t="n">
        <v>6368.734</v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G170" s="15">
        <f>IF(OR(G169="",C169=""),"",IF(C169&lt;=0,"",IFERROR(G169/C169-1,"")))</f>
        <v/>
      </c>
      <c r="H170" s="15">
        <f>IF(OR(H169="",D169=""),"",IF(D169&lt;=0,"",IFERROR(H169/D169-1,"")))</f>
        <v/>
      </c>
      <c r="I170" s="15">
        <f>IF(OR(I169="",E169=""),"",IF(E169&lt;=0,"",IFERROR(I169/E169-1,"")))</f>
        <v/>
      </c>
      <c r="J170" s="15">
        <f>IF(OR(J169="",F169=""),"",IF(F169&lt;=0,"",IFERROR(J169/F169-1,"")))</f>
        <v/>
      </c>
      <c r="K170" s="15">
        <f>IF(OR(K169="",G169=""),"",IF(G169&lt;=0,"",IFERROR(K169/G169-1,"")))</f>
        <v/>
      </c>
      <c r="L170" s="15">
        <f>IF(OR(L169="",H169=""),"",IF(H169&lt;=0,"",IFERROR(L169/H169-1,"")))</f>
        <v/>
      </c>
      <c r="M170" s="15">
        <f>IF(OR(M169="",I169=""),"",IF(I169&lt;=0,"",IFERROR(M169/I169-1,"")))</f>
        <v/>
      </c>
      <c r="N170" s="15">
        <f>IF(OR(N169="",J169=""),"",IF(J169&lt;=0,"",IFERROR(N169/J169-1,"")))</f>
        <v/>
      </c>
      <c r="V170" s="15">
        <f>IF(OR(V169="",U169=""),"",IF(U169&lt;=0,"",IFERROR(V169/U169-1,"")))</f>
        <v/>
      </c>
      <c r="W170" s="15">
        <f>IF(OR(W169="",V169=""),"",IF(V169&lt;=0,"",IFERROR(W169/V169-1,"")))</f>
        <v/>
      </c>
      <c r="X170" s="15">
        <f>IF(OR(X169="",W169=""),"",IF(W169&lt;=0,"",IFERROR(X169/W169-1,"")))</f>
        <v/>
      </c>
    </row>
    <row r="171">
      <c r="A171" s="18" t="inlineStr">
        <is>
          <t>미도리 클라우드 · 계</t>
        </is>
      </c>
      <c r="C171" s="20" t="n">
        <v>71.71599999999999</v>
      </c>
      <c r="D171" s="20" t="n">
        <v>79.54600000000001</v>
      </c>
      <c r="E171" s="20" t="n">
        <v>71.90900000000001</v>
      </c>
      <c r="F171" s="20" t="n">
        <v>15.067</v>
      </c>
      <c r="G171" s="20" t="n">
        <v>56.705</v>
      </c>
      <c r="H171" s="20" t="n">
        <v>79.646</v>
      </c>
      <c r="I171" s="20" t="n">
        <v>64.354</v>
      </c>
      <c r="J171" s="20" t="n">
        <v>34.357</v>
      </c>
      <c r="K171" s="20" t="n">
        <v>50.369</v>
      </c>
      <c r="L171" s="20" t="n">
        <v>65.742</v>
      </c>
      <c r="M171" s="20" t="n">
        <v>49.404</v>
      </c>
      <c r="N171" s="20" t="n">
        <v>73.782</v>
      </c>
      <c r="V171" s="20" t="n">
        <v>15.067</v>
      </c>
      <c r="W171" s="20" t="n">
        <v>34.357</v>
      </c>
      <c r="X171" s="20" t="n">
        <v>73.782</v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G172" s="15">
        <f>IF(OR(G171="",C171=""),"",IF(C171&lt;=0,"",IFERROR(G171/C171-1,"")))</f>
        <v/>
      </c>
      <c r="H172" s="15">
        <f>IF(OR(H171="",D171=""),"",IF(D171&lt;=0,"",IFERROR(H171/D171-1,"")))</f>
        <v/>
      </c>
      <c r="I172" s="15">
        <f>IF(OR(I171="",E171=""),"",IF(E171&lt;=0,"",IFERROR(I171/E171-1,"")))</f>
        <v/>
      </c>
      <c r="J172" s="15">
        <f>IF(OR(J171="",F171=""),"",IF(F171&lt;=0,"",IFERROR(J171/F171-1,"")))</f>
        <v/>
      </c>
      <c r="K172" s="15">
        <f>IF(OR(K171="",G171=""),"",IF(G171&lt;=0,"",IFERROR(K171/G171-1,"")))</f>
        <v/>
      </c>
      <c r="L172" s="15">
        <f>IF(OR(L171="",H171=""),"",IF(H171&lt;=0,"",IFERROR(L171/H171-1,"")))</f>
        <v/>
      </c>
      <c r="M172" s="15">
        <f>IF(OR(M171="",I171=""),"",IF(I171&lt;=0,"",IFERROR(M171/I171-1,"")))</f>
        <v/>
      </c>
      <c r="N172" s="15">
        <f>IF(OR(N171="",J171=""),"",IF(J171&lt;=0,"",IFERROR(N171/J171-1,"")))</f>
        <v/>
      </c>
      <c r="V172" s="15">
        <f>IF(OR(V171="",U171=""),"",IF(U171&lt;=0,"",IFERROR(V171/U171-1,"")))</f>
        <v/>
      </c>
      <c r="W172" s="15">
        <f>IF(OR(W171="",V171=""),"",IF(V171&lt;=0,"",IFERROR(W171/V171-1,"")))</f>
        <v/>
      </c>
      <c r="X172" s="15">
        <f>IF(OR(X171="",W171=""),"",IF(W171&lt;=0,"",IFERROR(X171/W171-1,"")))</f>
        <v/>
      </c>
    </row>
    <row r="173">
      <c r="A173" s="18" t="inlineStr">
        <is>
          <t>기계설계 엔지니어링 · 계</t>
        </is>
      </c>
      <c r="C173" s="20" t="n">
        <v>170.371</v>
      </c>
      <c r="F173" s="20" t="n">
        <v>182.346</v>
      </c>
      <c r="G173" s="20" t="n">
        <v>188.142</v>
      </c>
      <c r="J173" s="20" t="n">
        <v>209.249</v>
      </c>
      <c r="K173" s="20" t="n">
        <v>205.733</v>
      </c>
      <c r="N173" s="20" t="n">
        <v>197.459</v>
      </c>
      <c r="V173" s="20" t="n">
        <v>182.346</v>
      </c>
      <c r="W173" s="20" t="n">
        <v>209.249</v>
      </c>
      <c r="X173" s="20" t="n">
        <v>197.459</v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IF(OR(G173="",C173=""),"",IF(C173&lt;=0,"",IFERROR(G173/C173-1,"")))</f>
        <v/>
      </c>
      <c r="J174" s="15">
        <f>IF(OR(J173="",F173=""),"",IF(F173&lt;=0,"",IFERROR(J173/F173-1,"")))</f>
        <v/>
      </c>
      <c r="K174" s="15">
        <f>IF(OR(K173="",G173=""),"",IF(G173&lt;=0,"",IFERROR(K173/G173-1,"")))</f>
        <v/>
      </c>
      <c r="N174" s="15">
        <f>IF(OR(N173="",J173=""),"",IF(J173&lt;=0,"",IFERROR(N173/J173-1,"")))</f>
        <v/>
      </c>
      <c r="V174" s="15">
        <f>IF(OR(V173="",U173=""),"",IF(U173&lt;=0,"",IFERROR(V173/U173-1,"")))</f>
        <v/>
      </c>
      <c r="W174" s="15">
        <f>IF(OR(W173="",V173=""),"",IF(V173&lt;=0,"",IFERROR(W173/V173-1,"")))</f>
        <v/>
      </c>
      <c r="X174" s="15">
        <f>IF(OR(X173="",W173=""),"",IF(W173&lt;=0,"",IFERROR(X173/W173-1,"")))</f>
        <v/>
      </c>
    </row>
    <row r="175">
      <c r="A175" s="18" t="inlineStr">
        <is>
          <t>보고부문 합계 · 계</t>
        </is>
      </c>
      <c r="C175" s="20" t="n">
        <v>5383.247</v>
      </c>
      <c r="D175" s="20" t="n">
        <v>5490.506</v>
      </c>
      <c r="E175" s="20" t="n">
        <v>5654.083</v>
      </c>
      <c r="F175" s="20" t="n">
        <v>5798.269</v>
      </c>
      <c r="G175" s="20" t="n">
        <v>6229.443</v>
      </c>
      <c r="H175" s="20" t="n">
        <v>6125.124</v>
      </c>
      <c r="I175" s="20" t="n">
        <v>6283.111</v>
      </c>
      <c r="J175" s="20" t="n">
        <v>6264.591</v>
      </c>
      <c r="K175" s="20" t="n">
        <v>6290.627</v>
      </c>
      <c r="L175" s="20" t="n">
        <v>6273.951</v>
      </c>
      <c r="M175" s="20" t="n">
        <v>6455.875</v>
      </c>
      <c r="N175" s="20" t="n">
        <v>6639.975</v>
      </c>
      <c r="V175" s="20" t="n">
        <v>5798.269</v>
      </c>
      <c r="W175" s="20" t="n">
        <v>6264.591</v>
      </c>
      <c r="X175" s="20" t="n">
        <v>6639.975</v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G176" s="15">
        <f>IF(OR(G175="",C175=""),"",IF(C175&lt;=0,"",IFERROR(G175/C175-1,"")))</f>
        <v/>
      </c>
      <c r="H176" s="15">
        <f>IF(OR(H175="",D175=""),"",IF(D175&lt;=0,"",IFERROR(H175/D175-1,"")))</f>
        <v/>
      </c>
      <c r="I176" s="15">
        <f>IF(OR(I175="",E175=""),"",IF(E175&lt;=0,"",IFERROR(I175/E175-1,"")))</f>
        <v/>
      </c>
      <c r="J176" s="15">
        <f>IF(OR(J175="",F175=""),"",IF(F175&lt;=0,"",IFERROR(J175/F175-1,"")))</f>
        <v/>
      </c>
      <c r="K176" s="15">
        <f>IF(OR(K175="",G175=""),"",IF(G175&lt;=0,"",IFERROR(K175/G175-1,"")))</f>
        <v/>
      </c>
      <c r="L176" s="15">
        <f>IF(OR(L175="",H175=""),"",IF(H175&lt;=0,"",IFERROR(L175/H175-1,"")))</f>
        <v/>
      </c>
      <c r="M176" s="15">
        <f>IF(OR(M175="",I175=""),"",IF(I175&lt;=0,"",IFERROR(M175/I175-1,"")))</f>
        <v/>
      </c>
      <c r="N176" s="15">
        <f>IF(OR(N175="",J175=""),"",IF(J175&lt;=0,"",IFERROR(N175/J175-1,"")))</f>
        <v/>
      </c>
      <c r="V176" s="15">
        <f>IF(OR(V175="",U175=""),"",IF(U175&lt;=0,"",IFERROR(V175/U175-1,"")))</f>
        <v/>
      </c>
      <c r="W176" s="15">
        <f>IF(OR(W175="",V175=""),"",IF(V175&lt;=0,"",IFERROR(W175/V175-1,"")))</f>
        <v/>
      </c>
      <c r="X176" s="15">
        <f>IF(OR(X175="",W175=""),"",IF(W175&lt;=0,"",IFERROR(X175/W175-1,"")))</f>
        <v/>
      </c>
    </row>
    <row r="177">
      <c r="A177" s="18" t="inlineStr">
        <is>
          <t>조정액 · 계</t>
        </is>
      </c>
      <c r="C177" s="20" t="n">
        <v>-19.001</v>
      </c>
      <c r="D177" s="20" t="n">
        <v>-29.311</v>
      </c>
      <c r="E177" s="20" t="n">
        <v>-29.235</v>
      </c>
      <c r="F177" s="20" t="n">
        <v>-26.963</v>
      </c>
      <c r="G177" s="20" t="n">
        <v>-29.287</v>
      </c>
      <c r="H177" s="20" t="n">
        <v>-29.784</v>
      </c>
      <c r="I177" s="20" t="n">
        <v>-33.096</v>
      </c>
      <c r="J177" s="20" t="n">
        <v>-33.607</v>
      </c>
      <c r="K177" s="20" t="n">
        <v>-37.69</v>
      </c>
      <c r="L177" s="20" t="n">
        <v>-37.094</v>
      </c>
      <c r="M177" s="20" t="n">
        <v>-34.911</v>
      </c>
      <c r="N177" s="20" t="n">
        <v>-33.094</v>
      </c>
      <c r="V177" s="20" t="n">
        <v>-26.963</v>
      </c>
      <c r="W177" s="20" t="n">
        <v>-33.607</v>
      </c>
      <c r="X177" s="20" t="n">
        <v>-33.094</v>
      </c>
    </row>
    <row r="178">
      <c r="A178" s="9" t="inlineStr">
        <is>
          <t>계</t>
        </is>
      </c>
      <c r="C178" s="12" t="n">
        <v>5364.245</v>
      </c>
      <c r="D178" s="12" t="n">
        <v>5461.196</v>
      </c>
      <c r="E178" s="12" t="n">
        <v>5624.848</v>
      </c>
      <c r="F178" s="12" t="n">
        <v>5771.306</v>
      </c>
      <c r="G178" s="12" t="n">
        <v>6200.156</v>
      </c>
      <c r="H178" s="12" t="n">
        <v>6095.34</v>
      </c>
      <c r="I178" s="12" t="n">
        <v>6250.015</v>
      </c>
      <c r="J178" s="12" t="n">
        <v>6230.983</v>
      </c>
      <c r="K178" s="12" t="n">
        <v>6252.936</v>
      </c>
      <c r="L178" s="12" t="n">
        <v>6236.857</v>
      </c>
      <c r="M178" s="12" t="n">
        <v>6420.965</v>
      </c>
      <c r="N178" s="12" t="n">
        <v>6606.88</v>
      </c>
      <c r="V178" s="12" t="n">
        <v>5771.306</v>
      </c>
      <c r="W178" s="12" t="n">
        <v>6230.983</v>
      </c>
      <c r="X178" s="12" t="n">
        <v>6606.88</v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G179" s="15">
        <f>IF(OR(G178="",C178=""),"",IF(C178&lt;=0,"",IFERROR(G178/C178-1,"")))</f>
        <v/>
      </c>
      <c r="H179" s="15">
        <f>IF(OR(H178="",D178=""),"",IF(D178&lt;=0,"",IFERROR(H178/D178-1,"")))</f>
        <v/>
      </c>
      <c r="I179" s="15">
        <f>IF(OR(I178="",E178=""),"",IF(E178&lt;=0,"",IFERROR(I178/E178-1,"")))</f>
        <v/>
      </c>
      <c r="J179" s="15">
        <f>IF(OR(J178="",F178=""),"",IF(F178&lt;=0,"",IFERROR(J178/F178-1,"")))</f>
        <v/>
      </c>
      <c r="K179" s="15">
        <f>IF(OR(K178="",G178=""),"",IF(G178&lt;=0,"",IFERROR(K178/G178-1,"")))</f>
        <v/>
      </c>
      <c r="L179" s="15">
        <f>IF(OR(L178="",H178=""),"",IF(H178&lt;=0,"",IFERROR(L178/H178-1,"")))</f>
        <v/>
      </c>
      <c r="M179" s="15">
        <f>IF(OR(M178="",I178=""),"",IF(I178&lt;=0,"",IFERROR(M178/I178-1,"")))</f>
        <v/>
      </c>
      <c r="N179" s="15">
        <f>IF(OR(N178="",J178=""),"",IF(J178&lt;=0,"",IFERROR(N178/J178-1,"")))</f>
        <v/>
      </c>
      <c r="V179" s="15">
        <f>IF(OR(V178="",U178=""),"",IF(U178&lt;=0,"",IFERROR(V178/U178-1,"")))</f>
        <v/>
      </c>
      <c r="W179" s="15">
        <f>IF(OR(W178="",V178=""),"",IF(V178&lt;=0,"",IFERROR(W178/V178-1,"")))</f>
        <v/>
      </c>
      <c r="X179" s="15">
        <f>IF(OR(X178="",W178=""),"",IF(W178&lt;=0,"",IFERROR(X178/W178-1,"")))</f>
        <v/>
      </c>
    </row>
    <row r="180">
      <c r="A180" s="18" t="inlineStr">
        <is>
          <t>디지털 인티그레이션 · 부문 이익(손실)</t>
        </is>
      </c>
      <c r="C180" s="20" t="n">
        <v>531.7</v>
      </c>
      <c r="D180" s="20" t="n">
        <v>590.192</v>
      </c>
      <c r="E180" s="20" t="n">
        <v>666.691</v>
      </c>
      <c r="F180" s="20" t="n">
        <v>531.845</v>
      </c>
      <c r="G180" s="20" t="n">
        <v>787.124</v>
      </c>
      <c r="H180" s="20" t="n">
        <v>612.688</v>
      </c>
      <c r="I180" s="20" t="n">
        <v>654.971</v>
      </c>
      <c r="J180" s="20" t="n">
        <v>557.15</v>
      </c>
      <c r="K180" s="20" t="n">
        <v>605.553</v>
      </c>
      <c r="L180" s="20" t="n">
        <v>628.628</v>
      </c>
      <c r="M180" s="20" t="n">
        <v>828.345</v>
      </c>
      <c r="N180" s="20" t="n">
        <v>819.307</v>
      </c>
      <c r="V180" s="20" t="n">
        <v>531.845</v>
      </c>
      <c r="W180" s="20" t="n">
        <v>557.15</v>
      </c>
      <c r="X180" s="20" t="n">
        <v>819.307</v>
      </c>
    </row>
    <row r="181">
      <c r="A181" s="43" t="inlineStr">
        <is>
          <t>OPM</t>
        </is>
      </c>
      <c r="B181" s="3" t="inlineStr">
        <is>
          <t>영업이익 ÷ 매출</t>
        </is>
      </c>
      <c r="C181" s="15">
        <f>IF(OR(C180="",C169=""),"",IF(C169&lt;=0,"",IFERROR(C180/C169,"")))</f>
        <v/>
      </c>
      <c r="D181" s="15">
        <f>IF(OR(D180="",D169=""),"",IF(D169&lt;=0,"",IFERROR(D180/D169,"")))</f>
        <v/>
      </c>
      <c r="E181" s="15">
        <f>IF(OR(E180="",E169=""),"",IF(E169&lt;=0,"",IFERROR(E180/E169,"")))</f>
        <v/>
      </c>
      <c r="F181" s="15">
        <f>IF(OR(F180="",F169=""),"",IF(F169&lt;=0,"",IFERROR(F180/F169,"")))</f>
        <v/>
      </c>
      <c r="G181" s="15">
        <f>IF(OR(G180="",G169=""),"",IF(G169&lt;=0,"",IFERROR(G180/G169,"")))</f>
        <v/>
      </c>
      <c r="H181" s="15">
        <f>IF(OR(H180="",H169=""),"",IF(H169&lt;=0,"",IFERROR(H180/H169,"")))</f>
        <v/>
      </c>
      <c r="I181" s="15">
        <f>IF(OR(I180="",I169=""),"",IF(I169&lt;=0,"",IFERROR(I180/I169,"")))</f>
        <v/>
      </c>
      <c r="J181" s="15">
        <f>IF(OR(J180="",J169=""),"",IF(J169&lt;=0,"",IFERROR(J180/J169,"")))</f>
        <v/>
      </c>
      <c r="K181" s="15">
        <f>IF(OR(K180="",K169=""),"",IF(K169&lt;=0,"",IFERROR(K180/K169,"")))</f>
        <v/>
      </c>
      <c r="L181" s="15">
        <f>IF(OR(L180="",L169=""),"",IF(L169&lt;=0,"",IFERROR(L180/L169,"")))</f>
        <v/>
      </c>
      <c r="M181" s="15">
        <f>IF(OR(M180="",M169=""),"",IF(M169&lt;=0,"",IFERROR(M180/M169,"")))</f>
        <v/>
      </c>
      <c r="N181" s="15">
        <f>IF(OR(N180="",N169=""),"",IF(N169&lt;=0,"",IFERROR(N180/N169,"")))</f>
        <v/>
      </c>
      <c r="V181" s="15">
        <f>IF(OR(V180="",V169=""),"",IF(V169&lt;=0,"",IFERROR(V180/V169,"")))</f>
        <v/>
      </c>
      <c r="W181" s="15">
        <f>IF(OR(W180="",W169=""),"",IF(W169&lt;=0,"",IFERROR(W180/W169,"")))</f>
        <v/>
      </c>
      <c r="X181" s="15">
        <f>IF(OR(X180="",X169=""),"",IF(X169&lt;=0,"",IFERROR(X180/X169,"")))</f>
        <v/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G182" s="15">
        <f>IF(OR(G180="",C180=""),"",IF(C180&lt;=0,"",IFERROR(G180/C180-1,"")))</f>
        <v/>
      </c>
      <c r="H182" s="15">
        <f>IF(OR(H180="",D180=""),"",IF(D180&lt;=0,"",IFERROR(H180/D180-1,"")))</f>
        <v/>
      </c>
      <c r="I182" s="15">
        <f>IF(OR(I180="",E180=""),"",IF(E180&lt;=0,"",IFERROR(I180/E180-1,"")))</f>
        <v/>
      </c>
      <c r="J182" s="15">
        <f>IF(OR(J180="",F180=""),"",IF(F180&lt;=0,"",IFERROR(J180/F180-1,"")))</f>
        <v/>
      </c>
      <c r="K182" s="15">
        <f>IF(OR(K180="",G180=""),"",IF(G180&lt;=0,"",IFERROR(K180/G180-1,"")))</f>
        <v/>
      </c>
      <c r="L182" s="15">
        <f>IF(OR(L180="",H180=""),"",IF(H180&lt;=0,"",IFERROR(L180/H180-1,"")))</f>
        <v/>
      </c>
      <c r="M182" s="15">
        <f>IF(OR(M180="",I180=""),"",IF(I180&lt;=0,"",IFERROR(M180/I180-1,"")))</f>
        <v/>
      </c>
      <c r="N182" s="15">
        <f>IF(OR(N180="",J180=""),"",IF(J180&lt;=0,"",IFERROR(N180/J180-1,"")))</f>
        <v/>
      </c>
      <c r="V182" s="15">
        <f>IF(OR(V180="",U180=""),"",IF(U180&lt;=0,"",IFERROR(V180/U180-1,"")))</f>
        <v/>
      </c>
      <c r="W182" s="15">
        <f>IF(OR(W180="",V180=""),"",IF(V180&lt;=0,"",IFERROR(W180/V180-1,"")))</f>
        <v/>
      </c>
      <c r="X182" s="15">
        <f>IF(OR(X180="",W180=""),"",IF(W180&lt;=0,"",IFERROR(X180/W180-1,"")))</f>
        <v/>
      </c>
    </row>
    <row r="183">
      <c r="A183" s="18" t="inlineStr">
        <is>
          <t>미도리 클라우드 · 부문 이익(손실)</t>
        </is>
      </c>
      <c r="C183" s="20" t="n">
        <v>-18.185</v>
      </c>
      <c r="D183" s="20" t="n">
        <v>-9.847</v>
      </c>
      <c r="E183" s="20" t="n">
        <v>-22.113</v>
      </c>
      <c r="F183" s="20" t="n">
        <v>-59.027</v>
      </c>
      <c r="G183" s="20" t="n">
        <v>-24.484</v>
      </c>
      <c r="H183" s="20" t="n">
        <v>-24.834</v>
      </c>
      <c r="I183" s="20" t="n">
        <v>-29.076</v>
      </c>
      <c r="J183" s="20" t="n">
        <v>-40.416</v>
      </c>
      <c r="K183" s="20" t="n">
        <v>-43.041</v>
      </c>
      <c r="L183" s="20" t="n">
        <v>-26.981</v>
      </c>
      <c r="M183" s="20" t="n">
        <v>-29.13</v>
      </c>
      <c r="N183" s="20" t="n">
        <v>3.231</v>
      </c>
      <c r="V183" s="20" t="n">
        <v>-59.027</v>
      </c>
      <c r="W183" s="20" t="n">
        <v>-40.416</v>
      </c>
      <c r="X183" s="20" t="n">
        <v>3.231</v>
      </c>
    </row>
    <row r="184">
      <c r="A184" s="43" t="inlineStr">
        <is>
          <t>OPM</t>
        </is>
      </c>
      <c r="B184" s="3" t="inlineStr">
        <is>
          <t>영업이익 ÷ 매출</t>
        </is>
      </c>
      <c r="C184" s="15">
        <f>IF(OR(C183="",C171=""),"",IF(C171&lt;=0,"",IFERROR(C183/C171,"")))</f>
        <v/>
      </c>
      <c r="D184" s="15">
        <f>IF(OR(D183="",D171=""),"",IF(D171&lt;=0,"",IFERROR(D183/D171,"")))</f>
        <v/>
      </c>
      <c r="E184" s="15">
        <f>IF(OR(E183="",E171=""),"",IF(E171&lt;=0,"",IFERROR(E183/E171,"")))</f>
        <v/>
      </c>
      <c r="F184" s="15">
        <f>IF(OR(F183="",F171=""),"",IF(F171&lt;=0,"",IFERROR(F183/F171,"")))</f>
        <v/>
      </c>
      <c r="G184" s="15">
        <f>IF(OR(G183="",G171=""),"",IF(G171&lt;=0,"",IFERROR(G183/G171,"")))</f>
        <v/>
      </c>
      <c r="H184" s="15">
        <f>IF(OR(H183="",H171=""),"",IF(H171&lt;=0,"",IFERROR(H183/H171,"")))</f>
        <v/>
      </c>
      <c r="I184" s="15">
        <f>IF(OR(I183="",I171=""),"",IF(I171&lt;=0,"",IFERROR(I183/I171,"")))</f>
        <v/>
      </c>
      <c r="J184" s="15">
        <f>IF(OR(J183="",J171=""),"",IF(J171&lt;=0,"",IFERROR(J183/J171,"")))</f>
        <v/>
      </c>
      <c r="K184" s="15">
        <f>IF(OR(K183="",K171=""),"",IF(K171&lt;=0,"",IFERROR(K183/K171,"")))</f>
        <v/>
      </c>
      <c r="L184" s="15">
        <f>IF(OR(L183="",L171=""),"",IF(L171&lt;=0,"",IFERROR(L183/L171,"")))</f>
        <v/>
      </c>
      <c r="M184" s="15">
        <f>IF(OR(M183="",M171=""),"",IF(M171&lt;=0,"",IFERROR(M183/M171,"")))</f>
        <v/>
      </c>
      <c r="N184" s="15">
        <f>IF(OR(N183="",N171=""),"",IF(N171&lt;=0,"",IFERROR(N183/N171,"")))</f>
        <v/>
      </c>
      <c r="V184" s="15">
        <f>IF(OR(V183="",V171=""),"",IF(V171&lt;=0,"",IFERROR(V183/V171,"")))</f>
        <v/>
      </c>
      <c r="W184" s="15">
        <f>IF(OR(W183="",W171=""),"",IF(W171&lt;=0,"",IFERROR(W183/W171,"")))</f>
        <v/>
      </c>
      <c r="X184" s="15">
        <f>IF(OR(X183="",X171=""),"",IF(X171&lt;=0,"",IFERROR(X183/X171,"")))</f>
        <v/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G185" s="15">
        <f>IF(OR(G183="",C183=""),"",IF(C183&lt;=0,"",IFERROR(G183/C183-1,"")))</f>
        <v/>
      </c>
      <c r="H185" s="15">
        <f>IF(OR(H183="",D183=""),"",IF(D183&lt;=0,"",IFERROR(H183/D183-1,"")))</f>
        <v/>
      </c>
      <c r="I185" s="15">
        <f>IF(OR(I183="",E183=""),"",IF(E183&lt;=0,"",IFERROR(I183/E183-1,"")))</f>
        <v/>
      </c>
      <c r="J185" s="15">
        <f>IF(OR(J183="",F183=""),"",IF(F183&lt;=0,"",IFERROR(J183/F183-1,"")))</f>
        <v/>
      </c>
      <c r="K185" s="15">
        <f>IF(OR(K183="",G183=""),"",IF(G183&lt;=0,"",IFERROR(K183/G183-1,"")))</f>
        <v/>
      </c>
      <c r="L185" s="15">
        <f>IF(OR(L183="",H183=""),"",IF(H183&lt;=0,"",IFERROR(L183/H183-1,"")))</f>
        <v/>
      </c>
      <c r="M185" s="15">
        <f>IF(OR(M183="",I183=""),"",IF(I183&lt;=0,"",IFERROR(M183/I183-1,"")))</f>
        <v/>
      </c>
      <c r="N185" s="15">
        <f>IF(OR(N183="",J183=""),"",IF(J183&lt;=0,"",IFERROR(N183/J183-1,"")))</f>
        <v/>
      </c>
      <c r="V185" s="15">
        <f>IF(OR(V183="",U183=""),"",IF(U183&lt;=0,"",IFERROR(V183/U183-1,"")))</f>
        <v/>
      </c>
      <c r="W185" s="15">
        <f>IF(OR(W183="",V183=""),"",IF(V183&lt;=0,"",IFERROR(W183/V183-1,"")))</f>
        <v/>
      </c>
      <c r="X185" s="15">
        <f>IF(OR(X183="",W183=""),"",IF(W183&lt;=0,"",IFERROR(X183/W183-1,"")))</f>
        <v/>
      </c>
    </row>
    <row r="186">
      <c r="A186" s="18" t="inlineStr">
        <is>
          <t>기계설계 엔지니어링 · 부문 이익(손실)</t>
        </is>
      </c>
      <c r="C186" s="20" t="n">
        <v>8.31</v>
      </c>
      <c r="F186" s="20" t="n">
        <v>9.253</v>
      </c>
      <c r="G186" s="20" t="n">
        <v>5.785</v>
      </c>
      <c r="J186" s="20" t="n">
        <v>19.51</v>
      </c>
      <c r="K186" s="20" t="n">
        <v>14.834</v>
      </c>
      <c r="N186" s="20" t="n">
        <v>17.848</v>
      </c>
      <c r="V186" s="20" t="n">
        <v>9.253</v>
      </c>
      <c r="W186" s="20" t="n">
        <v>19.51</v>
      </c>
      <c r="X186" s="20" t="n">
        <v>17.848</v>
      </c>
    </row>
    <row r="187">
      <c r="A187" s="43" t="inlineStr">
        <is>
          <t>OPM</t>
        </is>
      </c>
      <c r="B187" s="3" t="inlineStr">
        <is>
          <t>영업이익 ÷ 매출</t>
        </is>
      </c>
      <c r="C187" s="15">
        <f>IF(OR(C186="",C173=""),"",IF(C173&lt;=0,"",IFERROR(C186/C173,"")))</f>
        <v/>
      </c>
      <c r="F187" s="15">
        <f>IF(OR(F186="",F173=""),"",IF(F173&lt;=0,"",IFERROR(F186/F173,"")))</f>
        <v/>
      </c>
      <c r="G187" s="15">
        <f>IF(OR(G186="",G173=""),"",IF(G173&lt;=0,"",IFERROR(G186/G173,"")))</f>
        <v/>
      </c>
      <c r="J187" s="15">
        <f>IF(OR(J186="",J173=""),"",IF(J173&lt;=0,"",IFERROR(J186/J173,"")))</f>
        <v/>
      </c>
      <c r="K187" s="15">
        <f>IF(OR(K186="",K173=""),"",IF(K173&lt;=0,"",IFERROR(K186/K173,"")))</f>
        <v/>
      </c>
      <c r="N187" s="15">
        <f>IF(OR(N186="",N173=""),"",IF(N173&lt;=0,"",IFERROR(N186/N173,"")))</f>
        <v/>
      </c>
      <c r="V187" s="15">
        <f>IF(OR(V186="",V173=""),"",IF(V173&lt;=0,"",IFERROR(V186/V173,"")))</f>
        <v/>
      </c>
      <c r="W187" s="15">
        <f>IF(OR(W186="",W173=""),"",IF(W173&lt;=0,"",IFERROR(W186/W173,"")))</f>
        <v/>
      </c>
      <c r="X187" s="15">
        <f>IF(OR(X186="",X173=""),"",IF(X173&lt;=0,"",IFERROR(X186/X173,"")))</f>
        <v/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G188" s="15">
        <f>IF(OR(G186="",C186=""),"",IF(C186&lt;=0,"",IFERROR(G186/C186-1,"")))</f>
        <v/>
      </c>
      <c r="J188" s="15">
        <f>IF(OR(J186="",F186=""),"",IF(F186&lt;=0,"",IFERROR(J186/F186-1,"")))</f>
        <v/>
      </c>
      <c r="K188" s="15">
        <f>IF(OR(K186="",G186=""),"",IF(G186&lt;=0,"",IFERROR(K186/G186-1,"")))</f>
        <v/>
      </c>
      <c r="N188" s="15">
        <f>IF(OR(N186="",J186=""),"",IF(J186&lt;=0,"",IFERROR(N186/J186-1,"")))</f>
        <v/>
      </c>
      <c r="V188" s="15">
        <f>IF(OR(V186="",U186=""),"",IF(U186&lt;=0,"",IFERROR(V186/U186-1,"")))</f>
        <v/>
      </c>
      <c r="W188" s="15">
        <f>IF(OR(W186="",V186=""),"",IF(V186&lt;=0,"",IFERROR(W186/V186-1,"")))</f>
        <v/>
      </c>
      <c r="X188" s="15">
        <f>IF(OR(X186="",W186=""),"",IF(W186&lt;=0,"",IFERROR(X186/W186-1,"")))</f>
        <v/>
      </c>
    </row>
    <row r="189">
      <c r="A189" s="18" t="inlineStr">
        <is>
          <t>보고부문 합계 · 부문 이익(손실)</t>
        </is>
      </c>
      <c r="C189" s="20" t="n">
        <v>521.826</v>
      </c>
      <c r="D189" s="20" t="n">
        <v>589.304</v>
      </c>
      <c r="E189" s="20" t="n">
        <v>662.942</v>
      </c>
      <c r="F189" s="20" t="n">
        <v>482.071</v>
      </c>
      <c r="G189" s="20" t="n">
        <v>768.425</v>
      </c>
      <c r="H189" s="20" t="n">
        <v>586.484</v>
      </c>
      <c r="I189" s="20" t="n">
        <v>638.9880000000001</v>
      </c>
      <c r="J189" s="20" t="n">
        <v>536.2430000000001</v>
      </c>
      <c r="K189" s="20" t="n">
        <v>577.345</v>
      </c>
      <c r="L189" s="20" t="n">
        <v>614.871</v>
      </c>
      <c r="M189" s="20" t="n">
        <v>812.75</v>
      </c>
      <c r="N189" s="20" t="n">
        <v>840.385</v>
      </c>
      <c r="V189" s="20" t="n">
        <v>482.071</v>
      </c>
      <c r="W189" s="20" t="n">
        <v>536.2430000000001</v>
      </c>
      <c r="X189" s="20" t="n">
        <v>840.385</v>
      </c>
    </row>
    <row r="190">
      <c r="A190" s="43" t="inlineStr">
        <is>
          <t>OPM</t>
        </is>
      </c>
      <c r="B190" s="3" t="inlineStr">
        <is>
          <t>영업이익 ÷ 매출</t>
        </is>
      </c>
      <c r="C190" s="15">
        <f>IF(OR(C189="",C175=""),"",IF(C175&lt;=0,"",IFERROR(C189/C175,"")))</f>
        <v/>
      </c>
      <c r="D190" s="15">
        <f>IF(OR(D189="",D175=""),"",IF(D175&lt;=0,"",IFERROR(D189/D175,"")))</f>
        <v/>
      </c>
      <c r="E190" s="15">
        <f>IF(OR(E189="",E175=""),"",IF(E175&lt;=0,"",IFERROR(E189/E175,"")))</f>
        <v/>
      </c>
      <c r="F190" s="15">
        <f>IF(OR(F189="",F175=""),"",IF(F175&lt;=0,"",IFERROR(F189/F175,"")))</f>
        <v/>
      </c>
      <c r="G190" s="15">
        <f>IF(OR(G189="",G175=""),"",IF(G175&lt;=0,"",IFERROR(G189/G175,"")))</f>
        <v/>
      </c>
      <c r="H190" s="15">
        <f>IF(OR(H189="",H175=""),"",IF(H175&lt;=0,"",IFERROR(H189/H175,"")))</f>
        <v/>
      </c>
      <c r="I190" s="15">
        <f>IF(OR(I189="",I175=""),"",IF(I175&lt;=0,"",IFERROR(I189/I175,"")))</f>
        <v/>
      </c>
      <c r="J190" s="15">
        <f>IF(OR(J189="",J175=""),"",IF(J175&lt;=0,"",IFERROR(J189/J175,"")))</f>
        <v/>
      </c>
      <c r="K190" s="15">
        <f>IF(OR(K189="",K175=""),"",IF(K175&lt;=0,"",IFERROR(K189/K175,"")))</f>
        <v/>
      </c>
      <c r="L190" s="15">
        <f>IF(OR(L189="",L175=""),"",IF(L175&lt;=0,"",IFERROR(L189/L175,"")))</f>
        <v/>
      </c>
      <c r="M190" s="15">
        <f>IF(OR(M189="",M175=""),"",IF(M175&lt;=0,"",IFERROR(M189/M175,"")))</f>
        <v/>
      </c>
      <c r="N190" s="15">
        <f>IF(OR(N189="",N175=""),"",IF(N175&lt;=0,"",IFERROR(N189/N175,"")))</f>
        <v/>
      </c>
      <c r="V190" s="15">
        <f>IF(OR(V189="",V175=""),"",IF(V175&lt;=0,"",IFERROR(V189/V175,"")))</f>
        <v/>
      </c>
      <c r="W190" s="15">
        <f>IF(OR(W189="",W175=""),"",IF(W175&lt;=0,"",IFERROR(W189/W175,"")))</f>
        <v/>
      </c>
      <c r="X190" s="15">
        <f>IF(OR(X189="",X175=""),"",IF(X175&lt;=0,"",IFERROR(X189/X175,"")))</f>
        <v/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G191" s="15">
        <f>IF(OR(G189="",C189=""),"",IF(C189&lt;=0,"",IFERROR(G189/C189-1,"")))</f>
        <v/>
      </c>
      <c r="H191" s="15">
        <f>IF(OR(H189="",D189=""),"",IF(D189&lt;=0,"",IFERROR(H189/D189-1,"")))</f>
        <v/>
      </c>
      <c r="I191" s="15">
        <f>IF(OR(I189="",E189=""),"",IF(E189&lt;=0,"",IFERROR(I189/E189-1,"")))</f>
        <v/>
      </c>
      <c r="J191" s="15">
        <f>IF(OR(J189="",F189=""),"",IF(F189&lt;=0,"",IFERROR(J189/F189-1,"")))</f>
        <v/>
      </c>
      <c r="K191" s="15">
        <f>IF(OR(K189="",G189=""),"",IF(G189&lt;=0,"",IFERROR(K189/G189-1,"")))</f>
        <v/>
      </c>
      <c r="L191" s="15">
        <f>IF(OR(L189="",H189=""),"",IF(H189&lt;=0,"",IFERROR(L189/H189-1,"")))</f>
        <v/>
      </c>
      <c r="M191" s="15">
        <f>IF(OR(M189="",I189=""),"",IF(I189&lt;=0,"",IFERROR(M189/I189-1,"")))</f>
        <v/>
      </c>
      <c r="N191" s="15">
        <f>IF(OR(N189="",J189=""),"",IF(J189&lt;=0,"",IFERROR(N189/J189-1,"")))</f>
        <v/>
      </c>
      <c r="V191" s="15">
        <f>IF(OR(V189="",U189=""),"",IF(U189&lt;=0,"",IFERROR(V189/U189-1,"")))</f>
        <v/>
      </c>
      <c r="W191" s="15">
        <f>IF(OR(W189="",V189=""),"",IF(V189&lt;=0,"",IFERROR(W189/V189-1,"")))</f>
        <v/>
      </c>
      <c r="X191" s="15">
        <f>IF(OR(X189="",W189=""),"",IF(W189&lt;=0,"",IFERROR(X189/W189-1,"")))</f>
        <v/>
      </c>
    </row>
    <row r="192">
      <c r="A192" s="18" t="inlineStr">
        <is>
          <t>조정액 · 부문 이익(손실)</t>
        </is>
      </c>
      <c r="C192" s="20" t="n">
        <v>3.3</v>
      </c>
      <c r="D192" s="20" t="n">
        <v>4.68</v>
      </c>
      <c r="E192" s="20" t="n">
        <v>4.68</v>
      </c>
      <c r="F192" s="20" t="n">
        <v>5.058</v>
      </c>
      <c r="G192" s="20" t="n">
        <v>0.553</v>
      </c>
      <c r="H192" s="20" t="n">
        <v>9.785</v>
      </c>
      <c r="I192" s="20" t="n">
        <v>4.998</v>
      </c>
      <c r="J192" s="20" t="n">
        <v>5.217</v>
      </c>
      <c r="K192" s="20" t="n">
        <v>4.999</v>
      </c>
      <c r="L192" s="20" t="n">
        <v>4.649</v>
      </c>
      <c r="M192" s="20" t="n">
        <v>4.776</v>
      </c>
      <c r="N192" s="20" t="n">
        <v>4.776</v>
      </c>
      <c r="V192" s="20" t="n">
        <v>5.058</v>
      </c>
      <c r="W192" s="20" t="n">
        <v>5.217</v>
      </c>
      <c r="X192" s="20" t="n">
        <v>4.776</v>
      </c>
    </row>
    <row r="193">
      <c r="A193" s="9" t="inlineStr">
        <is>
          <t>부문 이익(손실)</t>
        </is>
      </c>
      <c r="C193" s="12" t="n">
        <v>525.126</v>
      </c>
      <c r="D193" s="12" t="n">
        <v>593.984</v>
      </c>
      <c r="E193" s="12" t="n">
        <v>667.622</v>
      </c>
      <c r="F193" s="12" t="n">
        <v>487.13</v>
      </c>
      <c r="G193" s="12" t="n">
        <v>768.978</v>
      </c>
      <c r="H193" s="12" t="n">
        <v>596.269</v>
      </c>
      <c r="I193" s="12" t="n">
        <v>643.986</v>
      </c>
      <c r="J193" s="12" t="n">
        <v>541.46</v>
      </c>
      <c r="K193" s="12" t="n">
        <v>582.345</v>
      </c>
      <c r="L193" s="12" t="n">
        <v>619.519</v>
      </c>
      <c r="M193" s="12" t="n">
        <v>817.526</v>
      </c>
      <c r="N193" s="12" t="n">
        <v>845.1609999999999</v>
      </c>
      <c r="V193" s="12" t="n">
        <v>487.13</v>
      </c>
      <c r="W193" s="12" t="n">
        <v>541.46</v>
      </c>
      <c r="X193" s="12" t="n">
        <v>845.1609999999999</v>
      </c>
    </row>
    <row r="194">
      <c r="A194" s="43" t="inlineStr">
        <is>
          <t>OPM</t>
        </is>
      </c>
      <c r="B194" s="3" t="inlineStr">
        <is>
          <t>영업이익 ÷ 매출</t>
        </is>
      </c>
      <c r="C194" s="15">
        <f>IF(OR(C193="",C161=""),"",IF(C161&lt;=0,"",IFERROR(C193/C161,"")))</f>
        <v/>
      </c>
      <c r="D194" s="15">
        <f>IF(OR(D193="",D161=""),"",IF(D161&lt;=0,"",IFERROR(D193/D161,"")))</f>
        <v/>
      </c>
      <c r="E194" s="15">
        <f>IF(OR(E193="",E161=""),"",IF(E161&lt;=0,"",IFERROR(E193/E161,"")))</f>
        <v/>
      </c>
      <c r="F194" s="15">
        <f>IF(OR(F193="",F161=""),"",IF(F161&lt;=0,"",IFERROR(F193/F161,"")))</f>
        <v/>
      </c>
      <c r="G194" s="15">
        <f>IF(OR(G193="",G161=""),"",IF(G161&lt;=0,"",IFERROR(G193/G161,"")))</f>
        <v/>
      </c>
      <c r="H194" s="15">
        <f>IF(OR(H193="",H161=""),"",IF(H161&lt;=0,"",IFERROR(H193/H161,"")))</f>
        <v/>
      </c>
      <c r="I194" s="15">
        <f>IF(OR(I193="",I161=""),"",IF(I161&lt;=0,"",IFERROR(I193/I161,"")))</f>
        <v/>
      </c>
      <c r="J194" s="15">
        <f>IF(OR(J193="",J161=""),"",IF(J161&lt;=0,"",IFERROR(J193/J161,"")))</f>
        <v/>
      </c>
      <c r="K194" s="15">
        <f>IF(OR(K193="",K161=""),"",IF(K161&lt;=0,"",IFERROR(K193/K161,"")))</f>
        <v/>
      </c>
      <c r="L194" s="15">
        <f>IF(OR(L193="",L161=""),"",IF(L161&lt;=0,"",IFERROR(L193/L161,"")))</f>
        <v/>
      </c>
      <c r="M194" s="15">
        <f>IF(OR(M193="",M161=""),"",IF(M161&lt;=0,"",IFERROR(M193/M161,"")))</f>
        <v/>
      </c>
      <c r="N194" s="15">
        <f>IF(OR(N193="",N161=""),"",IF(N161&lt;=0,"",IFERROR(N193/N161,"")))</f>
        <v/>
      </c>
      <c r="V194" s="15">
        <f>IF(OR(V193="",V161=""),"",IF(V161&lt;=0,"",IFERROR(V193/V161,"")))</f>
        <v/>
      </c>
      <c r="W194" s="15">
        <f>IF(OR(W193="",W161=""),"",IF(W161&lt;=0,"",IFERROR(W193/W161,"")))</f>
        <v/>
      </c>
      <c r="X194" s="15">
        <f>IF(OR(X193="",X161=""),"",IF(X161&lt;=0,"",IFERROR(X193/X161,"")))</f>
        <v/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G195" s="15">
        <f>IF(OR(G193="",C193=""),"",IF(C193&lt;=0,"",IFERROR(G193/C193-1,"")))</f>
        <v/>
      </c>
      <c r="H195" s="15">
        <f>IF(OR(H193="",D193=""),"",IF(D193&lt;=0,"",IFERROR(H193/D193-1,"")))</f>
        <v/>
      </c>
      <c r="I195" s="15">
        <f>IF(OR(I193="",E193=""),"",IF(E193&lt;=0,"",IFERROR(I193/E193-1,"")))</f>
        <v/>
      </c>
      <c r="J195" s="15">
        <f>IF(OR(J193="",F193=""),"",IF(F193&lt;=0,"",IFERROR(J193/F193-1,"")))</f>
        <v/>
      </c>
      <c r="K195" s="15">
        <f>IF(OR(K193="",G193=""),"",IF(G193&lt;=0,"",IFERROR(K193/G193-1,"")))</f>
        <v/>
      </c>
      <c r="L195" s="15">
        <f>IF(OR(L193="",H193=""),"",IF(H193&lt;=0,"",IFERROR(L193/H193-1,"")))</f>
        <v/>
      </c>
      <c r="M195" s="15">
        <f>IF(OR(M193="",I193=""),"",IF(I193&lt;=0,"",IFERROR(M193/I193-1,"")))</f>
        <v/>
      </c>
      <c r="N195" s="15">
        <f>IF(OR(N193="",J193=""),"",IF(J193&lt;=0,"",IFERROR(N193/J193-1,"")))</f>
        <v/>
      </c>
      <c r="V195" s="15">
        <f>IF(OR(V193="",U193=""),"",IF(U193&lt;=0,"",IFERROR(V193/U193-1,"")))</f>
        <v/>
      </c>
      <c r="W195" s="15">
        <f>IF(OR(W193="",V193=""),"",IF(V193&lt;=0,"",IFERROR(W193/V193-1,"")))</f>
        <v/>
      </c>
      <c r="X195" s="15">
        <f>IF(OR(X193="",W193=""),"",IF(W193&lt;=0,"",IFERROR(X193/W193-1,"")))</f>
        <v/>
      </c>
    </row>
    <row r="197">
      <c r="A197" s="16" t="inlineStr">
        <is>
          <t>현금흐름표 · 전 항목</t>
        </is>
      </c>
      <c r="B197" s="42" t="inlineStr">
        <is>
          <t>분기 = 결산기 첫날부터 누계(공시 그대로)</t>
        </is>
      </c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  <c r="AA197" s="16" t="n"/>
      <c r="AB197" s="16" t="n"/>
      <c r="AC197" s="16" t="n"/>
    </row>
    <row r="198">
      <c r="A198" s="5" t="inlineStr">
        <is>
          <t>항목</t>
        </is>
      </c>
      <c r="B198" s="5" t="inlineStr">
        <is>
          <t>참고</t>
        </is>
      </c>
      <c r="C198" s="5" t="inlineStr">
        <is>
          <t>2024.1Q</t>
        </is>
      </c>
      <c r="D198" s="5" t="inlineStr">
        <is>
          <t>2024.2Q</t>
        </is>
      </c>
      <c r="E198" s="5" t="inlineStr">
        <is>
          <t>2024.3Q</t>
        </is>
      </c>
      <c r="F198" s="5" t="inlineStr">
        <is>
          <t>2024.4Q</t>
        </is>
      </c>
      <c r="G198" s="5" t="inlineStr">
        <is>
          <t>2025.1Q</t>
        </is>
      </c>
      <c r="H198" s="5" t="inlineStr">
        <is>
          <t>2025.2Q</t>
        </is>
      </c>
      <c r="I198" s="5" t="inlineStr">
        <is>
          <t>2025.3Q</t>
        </is>
      </c>
      <c r="J198" s="5" t="inlineStr">
        <is>
          <t>2025.4Q</t>
        </is>
      </c>
      <c r="K198" s="5" t="inlineStr">
        <is>
          <t>2026.1Q</t>
        </is>
      </c>
      <c r="L198" s="5" t="inlineStr">
        <is>
          <t>2026.2Q</t>
        </is>
      </c>
      <c r="M198" s="5" t="inlineStr">
        <is>
          <t>2026.3Q</t>
        </is>
      </c>
      <c r="N198" s="5" t="inlineStr">
        <is>
          <t>2026.4Q</t>
        </is>
      </c>
      <c r="O198" s="5" t="inlineStr">
        <is>
          <t>2017</t>
        </is>
      </c>
      <c r="P198" s="5" t="inlineStr">
        <is>
          <t>2018</t>
        </is>
      </c>
      <c r="Q198" s="5" t="inlineStr">
        <is>
          <t>2019</t>
        </is>
      </c>
      <c r="R198" s="5" t="inlineStr">
        <is>
          <t>2020</t>
        </is>
      </c>
      <c r="S198" s="5" t="inlineStr">
        <is>
          <t>2021</t>
        </is>
      </c>
      <c r="T198" s="5" t="inlineStr">
        <is>
          <t>2022</t>
        </is>
      </c>
      <c r="U198" s="5" t="inlineStr">
        <is>
          <t>2023</t>
        </is>
      </c>
      <c r="V198" s="5" t="inlineStr">
        <is>
          <t>2024</t>
        </is>
      </c>
      <c r="W198" s="5" t="inlineStr">
        <is>
          <t>2025</t>
        </is>
      </c>
      <c r="X198" s="5" t="inlineStr">
        <is>
          <t>2026</t>
        </is>
      </c>
      <c r="Y198" s="5" t="inlineStr">
        <is>
          <t>2027(MW)</t>
        </is>
      </c>
      <c r="Z198" s="5" t="inlineStr">
        <is>
          <t>2028(MW)</t>
        </is>
      </c>
      <c r="AA198" s="5" t="inlineStr">
        <is>
          <t>2029(MW)</t>
        </is>
      </c>
      <c r="AB198" s="5" t="inlineStr">
        <is>
          <t>2030(MW)</t>
        </is>
      </c>
      <c r="AC198" s="5" t="inlineStr">
        <is>
          <t>2031(MW)</t>
        </is>
      </c>
    </row>
    <row r="199">
      <c r="A199" s="9" t="inlineStr">
        <is>
          <t>법인세차감전 순이익</t>
        </is>
      </c>
      <c r="D199" s="12" t="n">
        <v>1122.106</v>
      </c>
      <c r="F199" s="12" t="n">
        <v>2317.631</v>
      </c>
      <c r="H199" s="12" t="n">
        <v>1388.468</v>
      </c>
      <c r="J199" s="12" t="n">
        <v>2601.084</v>
      </c>
      <c r="L199" s="12" t="n">
        <v>1239.011</v>
      </c>
      <c r="N199" s="12" t="n">
        <v>2957.613</v>
      </c>
      <c r="P199" s="12" t="n">
        <v>487.636</v>
      </c>
      <c r="Q199" s="12" t="n">
        <v>699.37</v>
      </c>
      <c r="R199" s="12" t="n">
        <v>1063.22</v>
      </c>
      <c r="S199" s="12" t="n">
        <v>1820.624</v>
      </c>
      <c r="T199" s="12" t="n">
        <v>1423.146</v>
      </c>
      <c r="U199" s="12" t="n">
        <v>2147.083</v>
      </c>
      <c r="V199" s="12" t="n">
        <v>2317.631</v>
      </c>
      <c r="W199" s="12" t="n">
        <v>2601.084</v>
      </c>
      <c r="X199" s="12" t="n">
        <v>2957.613</v>
      </c>
    </row>
    <row r="200">
      <c r="A200" s="18" t="inlineStr">
        <is>
          <t>감가상각비</t>
        </is>
      </c>
      <c r="D200" s="20" t="n">
        <v>20.778</v>
      </c>
      <c r="F200" s="20" t="n">
        <v>46.23</v>
      </c>
      <c r="H200" s="20" t="n">
        <v>25.939</v>
      </c>
      <c r="J200" s="20" t="n">
        <v>53.04</v>
      </c>
      <c r="L200" s="20" t="n">
        <v>28.079</v>
      </c>
      <c r="N200" s="20" t="n">
        <v>62.683</v>
      </c>
      <c r="P200" s="20" t="n">
        <v>32.968</v>
      </c>
      <c r="Q200" s="20" t="n">
        <v>32.774</v>
      </c>
      <c r="R200" s="20" t="n">
        <v>25.381</v>
      </c>
      <c r="S200" s="20" t="n">
        <v>31.545</v>
      </c>
      <c r="T200" s="20" t="n">
        <v>47.725</v>
      </c>
      <c r="U200" s="20" t="n">
        <v>39.888</v>
      </c>
      <c r="V200" s="20" t="n">
        <v>46.23</v>
      </c>
      <c r="W200" s="20" t="n">
        <v>53.04</v>
      </c>
      <c r="X200" s="20" t="n">
        <v>62.683</v>
      </c>
    </row>
    <row r="201">
      <c r="A201" s="18" t="inlineStr">
        <is>
          <t>손상차손</t>
        </is>
      </c>
      <c r="P201" s="20" t="n">
        <v>37.219</v>
      </c>
      <c r="Q201" s="20" t="n">
        <v>36.138</v>
      </c>
      <c r="R201" s="20" t="n">
        <v>13.825</v>
      </c>
      <c r="S201" s="20" t="n">
        <v>0</v>
      </c>
    </row>
    <row r="202">
      <c r="A202" s="18" t="inlineStr">
        <is>
          <t>영업권 상각</t>
        </is>
      </c>
      <c r="D202" s="20" t="n">
        <v>0</v>
      </c>
      <c r="F202" s="20" t="n">
        <v>3.791</v>
      </c>
      <c r="H202" s="20" t="n">
        <v>12.861</v>
      </c>
      <c r="J202" s="20" t="n">
        <v>25.723</v>
      </c>
      <c r="L202" s="20" t="n">
        <v>12.861</v>
      </c>
      <c r="N202" s="20" t="n">
        <v>25.723</v>
      </c>
      <c r="P202" s="20" t="n">
        <v>2.281</v>
      </c>
      <c r="Q202" s="20" t="n">
        <v>9.124000000000001</v>
      </c>
      <c r="R202" s="20" t="n">
        <v>9.124000000000001</v>
      </c>
      <c r="S202" s="20" t="n">
        <v>9.124000000000001</v>
      </c>
      <c r="T202" s="20" t="n">
        <v>9.124000000000001</v>
      </c>
      <c r="U202" s="20" t="n">
        <v>6.843</v>
      </c>
      <c r="V202" s="20" t="n">
        <v>3.791</v>
      </c>
      <c r="W202" s="20" t="n">
        <v>25.723</v>
      </c>
      <c r="X202" s="20" t="n">
        <v>25.723</v>
      </c>
    </row>
    <row r="203">
      <c r="A203" s="18" t="inlineStr">
        <is>
          <t>주식보상비용</t>
        </is>
      </c>
      <c r="F203" s="20" t="n">
        <v>0</v>
      </c>
      <c r="T203" s="20" t="n">
        <v>0</v>
      </c>
      <c r="U203" s="20" t="n">
        <v>31.736</v>
      </c>
      <c r="V203" s="20" t="n">
        <v>0</v>
      </c>
    </row>
    <row r="204">
      <c r="A204" s="18" t="inlineStr">
        <is>
          <t>주식급여 충당금 증감</t>
        </is>
      </c>
      <c r="F204" s="20" t="n">
        <v>0</v>
      </c>
      <c r="J204" s="20" t="n">
        <v>55.525</v>
      </c>
      <c r="N204" s="20" t="n">
        <v>-8.465999999999999</v>
      </c>
      <c r="V204" s="20" t="n">
        <v>0</v>
      </c>
      <c r="W204" s="20" t="n">
        <v>55.525</v>
      </c>
      <c r="X204" s="20" t="n">
        <v>-8.465999999999999</v>
      </c>
    </row>
    <row r="205">
      <c r="A205" s="18" t="inlineStr">
        <is>
          <t>대손충당금 증감</t>
        </is>
      </c>
      <c r="D205" s="20" t="n">
        <v>0</v>
      </c>
      <c r="F205" s="20" t="n">
        <v>0.28</v>
      </c>
      <c r="H205" s="20" t="n">
        <v>4.31</v>
      </c>
      <c r="J205" s="20" t="n">
        <v>4.496</v>
      </c>
      <c r="L205" s="20" t="n">
        <v>0.127</v>
      </c>
      <c r="N205" s="20" t="n">
        <v>-0.121</v>
      </c>
      <c r="P205" s="20" t="n">
        <v>2.404</v>
      </c>
      <c r="Q205" s="20" t="n">
        <v>0.147</v>
      </c>
      <c r="R205" s="20" t="n">
        <v>1.435</v>
      </c>
      <c r="S205" s="20" t="n">
        <v>-1.483</v>
      </c>
      <c r="T205" s="20" t="n">
        <v>-0.985</v>
      </c>
      <c r="U205" s="20" t="n">
        <v>-0.079</v>
      </c>
      <c r="V205" s="20" t="n">
        <v>0.28</v>
      </c>
      <c r="W205" s="20" t="n">
        <v>4.496</v>
      </c>
      <c r="X205" s="20" t="n">
        <v>-0.121</v>
      </c>
    </row>
    <row r="206">
      <c r="A206" s="18" t="inlineStr">
        <is>
          <t>상여충당금 증감</t>
        </is>
      </c>
      <c r="D206" s="20" t="n">
        <v>-9.276</v>
      </c>
      <c r="F206" s="20" t="n">
        <v>92.464</v>
      </c>
      <c r="H206" s="20" t="n">
        <v>-76.648</v>
      </c>
      <c r="J206" s="20" t="n">
        <v>-57.313</v>
      </c>
      <c r="L206" s="20" t="n">
        <v>10.187</v>
      </c>
      <c r="N206" s="20" t="n">
        <v>56.974</v>
      </c>
      <c r="P206" s="20" t="n">
        <v>76.876</v>
      </c>
      <c r="Q206" s="20" t="n">
        <v>196.688</v>
      </c>
      <c r="R206" s="20" t="n">
        <v>92.34399999999999</v>
      </c>
      <c r="S206" s="20" t="n">
        <v>117.854</v>
      </c>
      <c r="T206" s="20" t="n">
        <v>155.135</v>
      </c>
      <c r="U206" s="20" t="n">
        <v>193.022</v>
      </c>
      <c r="V206" s="20" t="n">
        <v>92.464</v>
      </c>
      <c r="W206" s="20" t="n">
        <v>-57.313</v>
      </c>
      <c r="X206" s="20" t="n">
        <v>56.974</v>
      </c>
    </row>
    <row r="207">
      <c r="A207" s="18" t="inlineStr">
        <is>
          <t>퇴직급여부채 증감</t>
        </is>
      </c>
      <c r="D207" s="20" t="n">
        <v>-6.56</v>
      </c>
      <c r="F207" s="20" t="n">
        <v>-12.639</v>
      </c>
      <c r="H207" s="20" t="n">
        <v>-4.187</v>
      </c>
      <c r="J207" s="20" t="n">
        <v>-9.423999999999999</v>
      </c>
      <c r="L207" s="20" t="n">
        <v>-5.074</v>
      </c>
      <c r="N207" s="20" t="n">
        <v>-10.099</v>
      </c>
      <c r="P207" s="20" t="n">
        <v>27.233</v>
      </c>
      <c r="Q207" s="20" t="n">
        <v>26.381</v>
      </c>
      <c r="R207" s="20" t="n">
        <v>20.795</v>
      </c>
      <c r="S207" s="20" t="n">
        <v>-6.737</v>
      </c>
      <c r="T207" s="20" t="n">
        <v>-14.088</v>
      </c>
      <c r="U207" s="20" t="n">
        <v>-11.119</v>
      </c>
      <c r="V207" s="20" t="n">
        <v>-12.639</v>
      </c>
      <c r="W207" s="20" t="n">
        <v>-9.423999999999999</v>
      </c>
      <c r="X207" s="20" t="n">
        <v>-10.099</v>
      </c>
    </row>
    <row r="208">
      <c r="A208" s="18" t="inlineStr">
        <is>
          <t>이자·배당금 수익</t>
        </is>
      </c>
      <c r="D208" s="20" t="n">
        <v>-0.8169999999999999</v>
      </c>
      <c r="F208" s="20" t="n">
        <v>-1.806</v>
      </c>
      <c r="H208" s="20" t="n">
        <v>-2.89</v>
      </c>
      <c r="J208" s="20" t="n">
        <v>-9.384</v>
      </c>
      <c r="L208" s="20" t="n">
        <v>-8.874000000000001</v>
      </c>
      <c r="N208" s="20" t="n">
        <v>-20.369</v>
      </c>
      <c r="P208" s="20" t="n">
        <v>-0.025</v>
      </c>
      <c r="Q208" s="20" t="n">
        <v>-1.954</v>
      </c>
      <c r="R208" s="20" t="n">
        <v>-2.038</v>
      </c>
      <c r="S208" s="20" t="n">
        <v>-1.619</v>
      </c>
      <c r="T208" s="20" t="n">
        <v>-1.622</v>
      </c>
      <c r="U208" s="20" t="n">
        <v>-1.635</v>
      </c>
      <c r="V208" s="20" t="n">
        <v>-1.806</v>
      </c>
      <c r="W208" s="20" t="n">
        <v>-9.384</v>
      </c>
      <c r="X208" s="20" t="n">
        <v>-20.369</v>
      </c>
    </row>
    <row r="209">
      <c r="A209" s="18" t="inlineStr">
        <is>
          <t>보조금 수입</t>
        </is>
      </c>
      <c r="D209" s="20" t="n">
        <v>0</v>
      </c>
      <c r="F209" s="20" t="n">
        <v>-26.093</v>
      </c>
      <c r="H209" s="20" t="n">
        <v>-15.127</v>
      </c>
      <c r="J209" s="20" t="n">
        <v>-32.798</v>
      </c>
      <c r="L209" s="20" t="n">
        <v>-25.324</v>
      </c>
      <c r="N209" s="20" t="n">
        <v>-25.324</v>
      </c>
      <c r="U209" s="20" t="n">
        <v>0</v>
      </c>
      <c r="V209" s="20" t="n">
        <v>-26.093</v>
      </c>
      <c r="W209" s="20" t="n">
        <v>-32.798</v>
      </c>
      <c r="X209" s="20" t="n">
        <v>-25.324</v>
      </c>
    </row>
    <row r="210">
      <c r="A210" s="18" t="inlineStr">
        <is>
          <t>보조금 수입</t>
        </is>
      </c>
      <c r="D210" s="20" t="n">
        <v>-4.49</v>
      </c>
      <c r="F210" s="20" t="n">
        <v>-14.319</v>
      </c>
      <c r="H210" s="20" t="n">
        <v>0</v>
      </c>
      <c r="J210" s="20" t="n">
        <v>0</v>
      </c>
      <c r="N210" s="20" t="n">
        <v>-2.902</v>
      </c>
      <c r="Q210" s="20" t="n">
        <v>0</v>
      </c>
      <c r="R210" s="20" t="n">
        <v>-31.091</v>
      </c>
      <c r="S210" s="20" t="n">
        <v>-471.61</v>
      </c>
      <c r="T210" s="20" t="n">
        <v>-543.0410000000001</v>
      </c>
      <c r="U210" s="20" t="n">
        <v>-201.82</v>
      </c>
      <c r="V210" s="20" t="n">
        <v>-14.319</v>
      </c>
      <c r="W210" s="20" t="n">
        <v>0</v>
      </c>
      <c r="X210" s="20" t="n">
        <v>-2.902</v>
      </c>
    </row>
    <row r="211">
      <c r="A211" s="18" t="inlineStr">
        <is>
          <t>지급수수료</t>
        </is>
      </c>
      <c r="F211" s="20" t="n">
        <v>1.048</v>
      </c>
      <c r="H211" s="20" t="n">
        <v>0</v>
      </c>
      <c r="J211" s="20" t="n">
        <v>2.358</v>
      </c>
      <c r="L211" s="20" t="n">
        <v>0.9330000000000001</v>
      </c>
      <c r="N211" s="20" t="n">
        <v>1.186</v>
      </c>
      <c r="U211" s="20" t="n">
        <v>0</v>
      </c>
      <c r="V211" s="20" t="n">
        <v>1.048</v>
      </c>
      <c r="W211" s="20" t="n">
        <v>2.358</v>
      </c>
      <c r="X211" s="20" t="n">
        <v>1.186</v>
      </c>
    </row>
    <row r="212">
      <c r="A212" s="18" t="inlineStr">
        <is>
          <t>신주예약권 환입이익</t>
        </is>
      </c>
      <c r="D212" s="20" t="n">
        <v>-0.353</v>
      </c>
      <c r="F212" s="20" t="n">
        <v>-6.094</v>
      </c>
      <c r="H212" s="20" t="n">
        <v>-0.019</v>
      </c>
      <c r="J212" s="20" t="n">
        <v>-2.262</v>
      </c>
      <c r="L212" s="20" t="n">
        <v>-0.955</v>
      </c>
      <c r="N212" s="20" t="n">
        <v>-1.074</v>
      </c>
      <c r="T212" s="20" t="n">
        <v>0</v>
      </c>
      <c r="U212" s="20" t="n">
        <v>-0.372</v>
      </c>
      <c r="V212" s="20" t="n">
        <v>-6.094</v>
      </c>
      <c r="W212" s="20" t="n">
        <v>-2.262</v>
      </c>
      <c r="X212" s="20" t="n">
        <v>-1.074</v>
      </c>
    </row>
    <row r="213">
      <c r="A213" s="18" t="inlineStr">
        <is>
          <t>투자유가증권 평가손익</t>
        </is>
      </c>
      <c r="D213" s="20" t="n">
        <v>3.339</v>
      </c>
      <c r="F213" s="20" t="n">
        <v>5.445</v>
      </c>
      <c r="H213" s="20" t="n">
        <v>0</v>
      </c>
      <c r="J213" s="20" t="n">
        <v>0</v>
      </c>
      <c r="Q213" s="20" t="n">
        <v>0</v>
      </c>
      <c r="R213" s="20" t="n">
        <v>88.429</v>
      </c>
      <c r="S213" s="20" t="n">
        <v>15.669</v>
      </c>
      <c r="T213" s="20" t="n">
        <v>10.711</v>
      </c>
      <c r="U213" s="20" t="n">
        <v>9.284000000000001</v>
      </c>
      <c r="V213" s="20" t="n">
        <v>5.445</v>
      </c>
      <c r="W213" s="20" t="n">
        <v>0</v>
      </c>
    </row>
    <row r="214">
      <c r="A214" s="18" t="inlineStr">
        <is>
          <t>이자비용</t>
        </is>
      </c>
      <c r="D214" s="20" t="n">
        <v>0.473</v>
      </c>
      <c r="F214" s="20" t="n">
        <v>0.848</v>
      </c>
      <c r="H214" s="20" t="n">
        <v>0.262</v>
      </c>
      <c r="J214" s="20" t="n">
        <v>0.425</v>
      </c>
      <c r="L214" s="20" t="n">
        <v>0.094</v>
      </c>
      <c r="N214" s="20" t="n">
        <v>0.121</v>
      </c>
      <c r="P214" s="20" t="n">
        <v>0.863</v>
      </c>
      <c r="Q214" s="20" t="n">
        <v>0.8159999999999999</v>
      </c>
      <c r="R214" s="20" t="n">
        <v>2.252</v>
      </c>
      <c r="S214" s="20" t="n">
        <v>4.039</v>
      </c>
      <c r="T214" s="20" t="n">
        <v>3.512</v>
      </c>
      <c r="U214" s="20" t="n">
        <v>2.211</v>
      </c>
      <c r="V214" s="20" t="n">
        <v>0.848</v>
      </c>
      <c r="W214" s="20" t="n">
        <v>0.425</v>
      </c>
      <c r="X214" s="20" t="n">
        <v>0.121</v>
      </c>
    </row>
    <row r="215">
      <c r="A215" s="18" t="inlineStr">
        <is>
          <t>고정자산 제각손실</t>
        </is>
      </c>
      <c r="D215" s="20" t="n">
        <v>0</v>
      </c>
      <c r="F215" s="20" t="n">
        <v>0.726</v>
      </c>
      <c r="H215" s="20" t="n">
        <v>0.215</v>
      </c>
      <c r="J215" s="20" t="n">
        <v>0.215</v>
      </c>
      <c r="L215" s="20" t="n">
        <v>0</v>
      </c>
      <c r="N215" s="20" t="n">
        <v>0</v>
      </c>
      <c r="P215" s="20" t="n">
        <v>0</v>
      </c>
      <c r="Q215" s="20" t="n">
        <v>1.921</v>
      </c>
      <c r="R215" s="20" t="n">
        <v>0</v>
      </c>
      <c r="S215" s="20" t="n">
        <v>0.571</v>
      </c>
      <c r="T215" s="20" t="n">
        <v>0.606</v>
      </c>
      <c r="U215" s="20" t="n">
        <v>0.504</v>
      </c>
      <c r="V215" s="20" t="n">
        <v>0.726</v>
      </c>
      <c r="W215" s="20" t="n">
        <v>0.215</v>
      </c>
      <c r="X215" s="20" t="n">
        <v>0</v>
      </c>
    </row>
    <row r="216">
      <c r="A216" s="18" t="inlineStr">
        <is>
          <t>관계회사 주식 평가손실</t>
        </is>
      </c>
      <c r="P216" s="20" t="n">
        <v>0.858</v>
      </c>
      <c r="Q216" s="20" t="n">
        <v>0</v>
      </c>
    </row>
    <row r="217">
      <c r="A217" s="18" t="inlineStr">
        <is>
          <t>고정자산 매각이익</t>
        </is>
      </c>
      <c r="H217" s="20" t="n">
        <v>0</v>
      </c>
      <c r="L217" s="20" t="n">
        <v>-0.425</v>
      </c>
    </row>
    <row r="218">
      <c r="A218" s="18" t="inlineStr">
        <is>
          <t>투자유가증권 매각손익</t>
        </is>
      </c>
      <c r="J218" s="20" t="n">
        <v>0</v>
      </c>
      <c r="N218" s="20" t="n">
        <v>-31.999</v>
      </c>
      <c r="W218" s="20" t="n">
        <v>0</v>
      </c>
      <c r="X218" s="20" t="n">
        <v>-31.999</v>
      </c>
    </row>
    <row r="219">
      <c r="A219" s="18" t="inlineStr">
        <is>
          <t>매출채권 증감</t>
        </is>
      </c>
      <c r="D219" s="20" t="n">
        <v>-15.157</v>
      </c>
      <c r="F219" s="20" t="n">
        <v>-121.317</v>
      </c>
      <c r="H219" s="20" t="n">
        <v>-179.428</v>
      </c>
      <c r="J219" s="20" t="n">
        <v>-98.324</v>
      </c>
      <c r="L219" s="20" t="n">
        <v>1.401</v>
      </c>
      <c r="N219" s="20" t="n">
        <v>-136.9</v>
      </c>
      <c r="P219" s="20" t="n">
        <v>-126.784</v>
      </c>
      <c r="Q219" s="20" t="n">
        <v>-433.428</v>
      </c>
      <c r="R219" s="20" t="n">
        <v>-229.556</v>
      </c>
      <c r="S219" s="20" t="n">
        <v>5.706</v>
      </c>
      <c r="T219" s="20" t="n">
        <v>-515.633</v>
      </c>
      <c r="U219" s="20" t="n">
        <v>-225.364</v>
      </c>
      <c r="V219" s="20" t="n">
        <v>-121.317</v>
      </c>
      <c r="W219" s="20" t="n">
        <v>-98.324</v>
      </c>
      <c r="X219" s="20" t="n">
        <v>-136.9</v>
      </c>
    </row>
    <row r="220">
      <c r="A220" s="18" t="inlineStr">
        <is>
          <t>재고자산 증감</t>
        </is>
      </c>
      <c r="D220" s="20" t="n">
        <v>11.83</v>
      </c>
      <c r="F220" s="20" t="n">
        <v>-165.598</v>
      </c>
      <c r="H220" s="20" t="n">
        <v>193.993</v>
      </c>
      <c r="J220" s="20" t="n">
        <v>170.497</v>
      </c>
      <c r="L220" s="20" t="n">
        <v>19.921</v>
      </c>
      <c r="N220" s="20" t="n">
        <v>45.378</v>
      </c>
      <c r="P220" s="20" t="n">
        <v>2.189</v>
      </c>
      <c r="Q220" s="20" t="n">
        <v>-6.474</v>
      </c>
      <c r="R220" s="20" t="n">
        <v>-9.6</v>
      </c>
      <c r="S220" s="20" t="n">
        <v>-39.5</v>
      </c>
      <c r="T220" s="20" t="n">
        <v>9.75</v>
      </c>
      <c r="U220" s="20" t="n">
        <v>-9.297000000000001</v>
      </c>
      <c r="V220" s="20" t="n">
        <v>-165.598</v>
      </c>
      <c r="W220" s="20" t="n">
        <v>170.497</v>
      </c>
      <c r="X220" s="20" t="n">
        <v>45.378</v>
      </c>
    </row>
    <row r="221">
      <c r="A221" s="18" t="inlineStr">
        <is>
          <t>선급비용 증감</t>
        </is>
      </c>
      <c r="D221" s="20" t="n">
        <v>-42.482</v>
      </c>
      <c r="F221" s="20" t="n">
        <v>15.065</v>
      </c>
      <c r="H221" s="20" t="n">
        <v>-93.631</v>
      </c>
      <c r="J221" s="20" t="n">
        <v>-33.258</v>
      </c>
      <c r="L221" s="20" t="n">
        <v>-60.028</v>
      </c>
      <c r="N221" s="20" t="n">
        <v>7.646</v>
      </c>
      <c r="Q221" s="20" t="n">
        <v>-6.521</v>
      </c>
      <c r="R221" s="20" t="n">
        <v>-39.692</v>
      </c>
      <c r="S221" s="20" t="n">
        <v>-33.645</v>
      </c>
      <c r="T221" s="20" t="n">
        <v>-3.19</v>
      </c>
      <c r="U221" s="20" t="n">
        <v>-23.96</v>
      </c>
      <c r="V221" s="20" t="n">
        <v>15.065</v>
      </c>
      <c r="W221" s="20" t="n">
        <v>-33.258</v>
      </c>
      <c r="X221" s="20" t="n">
        <v>7.646</v>
      </c>
    </row>
    <row r="222">
      <c r="A222" s="18" t="inlineStr">
        <is>
          <t>매입채무 증감</t>
        </is>
      </c>
      <c r="D222" s="20" t="n">
        <v>6.571</v>
      </c>
      <c r="F222" s="20" t="n">
        <v>123.678</v>
      </c>
      <c r="H222" s="20" t="n">
        <v>12.578</v>
      </c>
      <c r="J222" s="20" t="n">
        <v>70.267</v>
      </c>
      <c r="L222" s="20" t="n">
        <v>11.459</v>
      </c>
      <c r="N222" s="20" t="n">
        <v>44.574</v>
      </c>
      <c r="P222" s="20" t="n">
        <v>-4.538</v>
      </c>
      <c r="Q222" s="20" t="n">
        <v>21.466</v>
      </c>
      <c r="R222" s="20" t="n">
        <v>17.574</v>
      </c>
      <c r="S222" s="20" t="n">
        <v>53.753</v>
      </c>
      <c r="T222" s="20" t="n">
        <v>48.513</v>
      </c>
      <c r="U222" s="20" t="n">
        <v>-29.187</v>
      </c>
      <c r="V222" s="20" t="n">
        <v>123.678</v>
      </c>
      <c r="W222" s="20" t="n">
        <v>70.267</v>
      </c>
      <c r="X222" s="20" t="n">
        <v>44.574</v>
      </c>
    </row>
    <row r="223">
      <c r="A223" s="18" t="inlineStr">
        <is>
          <t>미지급금 증감</t>
        </is>
      </c>
      <c r="D223" s="20" t="n">
        <v>-97.777</v>
      </c>
      <c r="F223" s="20" t="n">
        <v>-14.897</v>
      </c>
      <c r="H223" s="20" t="n">
        <v>-81.176</v>
      </c>
      <c r="J223" s="20" t="n">
        <v>12.631</v>
      </c>
      <c r="L223" s="20" t="n">
        <v>-72.246</v>
      </c>
      <c r="N223" s="20" t="n">
        <v>-125.468</v>
      </c>
      <c r="P223" s="20" t="n">
        <v>102.936</v>
      </c>
      <c r="Q223" s="20" t="n">
        <v>169.342</v>
      </c>
      <c r="R223" s="20" t="n">
        <v>116.946</v>
      </c>
      <c r="S223" s="20" t="n">
        <v>258.57</v>
      </c>
      <c r="T223" s="20" t="n">
        <v>62.757</v>
      </c>
      <c r="U223" s="20" t="n">
        <v>186.589</v>
      </c>
      <c r="V223" s="20" t="n">
        <v>-14.897</v>
      </c>
      <c r="W223" s="20" t="n">
        <v>12.631</v>
      </c>
      <c r="X223" s="20" t="n">
        <v>-125.468</v>
      </c>
    </row>
    <row r="224">
      <c r="A224" s="18" t="inlineStr">
        <is>
          <t>미지급 소비세 증감</t>
        </is>
      </c>
      <c r="D224" s="20" t="n">
        <v>-212.64</v>
      </c>
      <c r="F224" s="20" t="n">
        <v>-161.788</v>
      </c>
      <c r="H224" s="20" t="n">
        <v>-35.506</v>
      </c>
      <c r="J224" s="20" t="n">
        <v>-0.864</v>
      </c>
      <c r="L224" s="20" t="n">
        <v>-78.39100000000001</v>
      </c>
      <c r="N224" s="20" t="n">
        <v>-52.268</v>
      </c>
      <c r="P224" s="20" t="n">
        <v>48.098</v>
      </c>
      <c r="Q224" s="20" t="n">
        <v>70.661</v>
      </c>
      <c r="R224" s="20" t="n">
        <v>240.585</v>
      </c>
      <c r="S224" s="20" t="n">
        <v>-189.22</v>
      </c>
      <c r="T224" s="20" t="n">
        <v>93.45699999999999</v>
      </c>
      <c r="U224" s="20" t="n">
        <v>132.828</v>
      </c>
      <c r="V224" s="20" t="n">
        <v>-161.788</v>
      </c>
      <c r="W224" s="20" t="n">
        <v>-0.864</v>
      </c>
      <c r="X224" s="20" t="n">
        <v>-52.268</v>
      </c>
    </row>
    <row r="225">
      <c r="A225" s="18" t="inlineStr">
        <is>
          <t>기타</t>
        </is>
      </c>
      <c r="D225" s="20" t="n">
        <v>-52.496</v>
      </c>
      <c r="F225" s="20" t="n">
        <v>65.05</v>
      </c>
      <c r="H225" s="20" t="n">
        <v>-49.962</v>
      </c>
      <c r="J225" s="20" t="n">
        <v>53.829</v>
      </c>
      <c r="L225" s="20" t="n">
        <v>-97.973</v>
      </c>
      <c r="N225" s="20" t="n">
        <v>-70.374</v>
      </c>
      <c r="P225" s="20" t="n">
        <v>30.033</v>
      </c>
      <c r="Q225" s="20" t="n">
        <v>94.306</v>
      </c>
      <c r="R225" s="20" t="n">
        <v>4.809</v>
      </c>
      <c r="S225" s="20" t="n">
        <v>-9.163</v>
      </c>
      <c r="T225" s="20" t="n">
        <v>39.674</v>
      </c>
      <c r="U225" s="20" t="n">
        <v>54.421</v>
      </c>
      <c r="V225" s="20" t="n">
        <v>65.05</v>
      </c>
      <c r="W225" s="20" t="n">
        <v>53.829</v>
      </c>
      <c r="X225" s="20" t="n">
        <v>-70.374</v>
      </c>
    </row>
    <row r="226">
      <c r="A226" s="18" t="inlineStr">
        <is>
          <t>소계</t>
        </is>
      </c>
      <c r="D226" s="20" t="n">
        <v>723.046</v>
      </c>
      <c r="F226" s="20" t="n">
        <v>2147.709</v>
      </c>
      <c r="H226" s="20" t="n">
        <v>1100.051</v>
      </c>
      <c r="J226" s="20" t="n">
        <v>2806.465</v>
      </c>
      <c r="L226" s="20" t="n">
        <v>974.784</v>
      </c>
      <c r="N226" s="20" t="n">
        <v>2716.532</v>
      </c>
      <c r="P226" s="20" t="n">
        <v>720.251</v>
      </c>
      <c r="Q226" s="20" t="n">
        <v>910.7619999999999</v>
      </c>
      <c r="R226" s="20" t="n">
        <v>1384.744</v>
      </c>
      <c r="S226" s="20" t="n">
        <v>1564.479</v>
      </c>
      <c r="T226" s="20" t="n">
        <v>825.554</v>
      </c>
      <c r="U226" s="20" t="n">
        <v>2301.575</v>
      </c>
      <c r="V226" s="20" t="n">
        <v>2147.709</v>
      </c>
      <c r="W226" s="20" t="n">
        <v>2806.465</v>
      </c>
      <c r="X226" s="20" t="n">
        <v>2716.532</v>
      </c>
    </row>
    <row r="227">
      <c r="A227" s="18" t="inlineStr">
        <is>
          <t>이자·배당금 수취</t>
        </is>
      </c>
      <c r="D227" s="20" t="n">
        <v>0.694</v>
      </c>
      <c r="F227" s="20" t="n">
        <v>1.792</v>
      </c>
      <c r="H227" s="20" t="n">
        <v>2.448</v>
      </c>
      <c r="J227" s="20" t="n">
        <v>7.947</v>
      </c>
      <c r="L227" s="20" t="n">
        <v>7.717</v>
      </c>
      <c r="N227" s="20" t="n">
        <v>17.451</v>
      </c>
      <c r="P227" s="20" t="n">
        <v>0.025</v>
      </c>
      <c r="Q227" s="20" t="n">
        <v>1.954</v>
      </c>
      <c r="R227" s="20" t="n">
        <v>1.448</v>
      </c>
      <c r="S227" s="20" t="n">
        <v>1.371</v>
      </c>
      <c r="T227" s="20" t="n">
        <v>1.374</v>
      </c>
      <c r="U227" s="20" t="n">
        <v>1.385</v>
      </c>
      <c r="V227" s="20" t="n">
        <v>1.792</v>
      </c>
      <c r="W227" s="20" t="n">
        <v>7.947</v>
      </c>
      <c r="X227" s="20" t="n">
        <v>17.451</v>
      </c>
    </row>
    <row r="228">
      <c r="A228" s="18" t="inlineStr">
        <is>
          <t>이자 지급</t>
        </is>
      </c>
      <c r="D228" s="20" t="n">
        <v>-0.468</v>
      </c>
      <c r="F228" s="20" t="n">
        <v>-0.741</v>
      </c>
      <c r="H228" s="20" t="n">
        <v>-0.187</v>
      </c>
      <c r="J228" s="20" t="n">
        <v>-0.337</v>
      </c>
      <c r="L228" s="20" t="n">
        <v>-0.08500000000000001</v>
      </c>
      <c r="N228" s="20" t="n">
        <v>-0.102</v>
      </c>
      <c r="P228" s="20" t="n">
        <v>-0.876</v>
      </c>
      <c r="Q228" s="20" t="n">
        <v>-0.798</v>
      </c>
      <c r="R228" s="20" t="n">
        <v>-2.62</v>
      </c>
      <c r="S228" s="20" t="n">
        <v>-4.012</v>
      </c>
      <c r="T228" s="20" t="n">
        <v>-3.436</v>
      </c>
      <c r="U228" s="20" t="n">
        <v>-1.97</v>
      </c>
      <c r="V228" s="20" t="n">
        <v>-0.741</v>
      </c>
      <c r="W228" s="20" t="n">
        <v>-0.337</v>
      </c>
      <c r="X228" s="20" t="n">
        <v>-0.102</v>
      </c>
    </row>
    <row r="229">
      <c r="A229" s="18" t="inlineStr">
        <is>
          <t>보조금 수취</t>
        </is>
      </c>
      <c r="D229" s="20" t="n">
        <v>4.49</v>
      </c>
      <c r="F229" s="20" t="n">
        <v>14.319</v>
      </c>
      <c r="H229" s="20" t="n">
        <v>0</v>
      </c>
      <c r="J229" s="20" t="n">
        <v>0</v>
      </c>
      <c r="N229" s="20" t="n">
        <v>2.902</v>
      </c>
      <c r="Q229" s="20" t="n">
        <v>0</v>
      </c>
      <c r="R229" s="20" t="n">
        <v>31.091</v>
      </c>
      <c r="S229" s="20" t="n">
        <v>471.61</v>
      </c>
      <c r="T229" s="20" t="n">
        <v>543.0410000000001</v>
      </c>
      <c r="U229" s="20" t="n">
        <v>201.82</v>
      </c>
      <c r="V229" s="20" t="n">
        <v>14.319</v>
      </c>
      <c r="W229" s="20" t="n">
        <v>0</v>
      </c>
      <c r="X229" s="20" t="n">
        <v>2.902</v>
      </c>
    </row>
    <row r="230">
      <c r="A230" s="18" t="inlineStr">
        <is>
          <t>보조금 수취</t>
        </is>
      </c>
      <c r="D230" s="20" t="n">
        <v>0</v>
      </c>
      <c r="F230" s="20" t="n">
        <v>26.093</v>
      </c>
      <c r="H230" s="20" t="n">
        <v>15.127</v>
      </c>
      <c r="J230" s="20" t="n">
        <v>32.798</v>
      </c>
      <c r="L230" s="20" t="n">
        <v>25.324</v>
      </c>
      <c r="N230" s="20" t="n">
        <v>25.324</v>
      </c>
      <c r="U230" s="20" t="n">
        <v>0</v>
      </c>
      <c r="V230" s="20" t="n">
        <v>26.093</v>
      </c>
      <c r="W230" s="20" t="n">
        <v>32.798</v>
      </c>
      <c r="X230" s="20" t="n">
        <v>25.324</v>
      </c>
    </row>
    <row r="231">
      <c r="A231" s="18" t="inlineStr">
        <is>
          <t>법인세 납부</t>
        </is>
      </c>
      <c r="D231" s="20" t="n">
        <v>-469.123</v>
      </c>
      <c r="F231" s="20" t="n">
        <v>-832.061</v>
      </c>
      <c r="H231" s="20" t="n">
        <v>-412.072</v>
      </c>
      <c r="J231" s="20" t="n">
        <v>-793.427</v>
      </c>
      <c r="L231" s="20" t="n">
        <v>-506.932</v>
      </c>
      <c r="N231" s="20" t="n">
        <v>-953.716</v>
      </c>
      <c r="P231" s="20" t="n">
        <v>-157.305</v>
      </c>
      <c r="Q231" s="20" t="n">
        <v>-256.861</v>
      </c>
      <c r="R231" s="20" t="n">
        <v>-419.133</v>
      </c>
      <c r="S231" s="20" t="n">
        <v>-565.587</v>
      </c>
      <c r="T231" s="20" t="n">
        <v>-662.051</v>
      </c>
      <c r="U231" s="20" t="n">
        <v>-475.056</v>
      </c>
      <c r="V231" s="20" t="n">
        <v>-832.061</v>
      </c>
      <c r="W231" s="20" t="n">
        <v>-793.427</v>
      </c>
      <c r="X231" s="20" t="n">
        <v>-953.716</v>
      </c>
    </row>
    <row r="232">
      <c r="A232" s="9" t="inlineStr">
        <is>
          <t>영업활동 현금흐름</t>
        </is>
      </c>
      <c r="D232" s="12" t="n">
        <v>258.638</v>
      </c>
      <c r="F232" s="12" t="n">
        <v>1357.112</v>
      </c>
      <c r="H232" s="12" t="n">
        <v>705.366</v>
      </c>
      <c r="J232" s="12" t="n">
        <v>2053.446</v>
      </c>
      <c r="L232" s="12" t="n">
        <v>500.808</v>
      </c>
      <c r="N232" s="12" t="n">
        <v>1808.392</v>
      </c>
      <c r="P232" s="12" t="n">
        <v>562.0940000000001</v>
      </c>
      <c r="Q232" s="12" t="n">
        <v>655.0549999999999</v>
      </c>
      <c r="R232" s="12" t="n">
        <v>995.53</v>
      </c>
      <c r="S232" s="12" t="n">
        <v>1467.861</v>
      </c>
      <c r="T232" s="12" t="n">
        <v>704.481</v>
      </c>
      <c r="U232" s="12" t="n">
        <v>2027.754</v>
      </c>
      <c r="V232" s="12" t="n">
        <v>1357.112</v>
      </c>
      <c r="W232" s="12" t="n">
        <v>2053.446</v>
      </c>
      <c r="X232" s="12" t="n">
        <v>1808.392</v>
      </c>
    </row>
    <row r="233">
      <c r="A233" s="18" t="inlineStr">
        <is>
          <t>정기예금 예입</t>
        </is>
      </c>
      <c r="D233" s="20" t="n">
        <v>-0.6</v>
      </c>
      <c r="F233" s="20" t="n">
        <v>-102.4</v>
      </c>
      <c r="H233" s="20" t="n">
        <v>-0.603</v>
      </c>
      <c r="J233" s="20" t="n">
        <v>-4.011</v>
      </c>
      <c r="L233" s="20" t="n">
        <v>-0.626</v>
      </c>
      <c r="N233" s="20" t="n">
        <v>-2.817</v>
      </c>
      <c r="P233" s="20" t="n">
        <v>-2.304</v>
      </c>
      <c r="Q233" s="20" t="n">
        <v>-2.103</v>
      </c>
      <c r="R233" s="20" t="n">
        <v>-2.504</v>
      </c>
      <c r="S233" s="20" t="n">
        <v>-6.703</v>
      </c>
      <c r="T233" s="20" t="n">
        <v>-4.6</v>
      </c>
      <c r="U233" s="20" t="n">
        <v>-3.1</v>
      </c>
      <c r="V233" s="20" t="n">
        <v>-102.4</v>
      </c>
      <c r="W233" s="20" t="n">
        <v>-4.011</v>
      </c>
      <c r="X233" s="20" t="n">
        <v>-2.817</v>
      </c>
    </row>
    <row r="234">
      <c r="A234" s="18" t="inlineStr">
        <is>
          <t>정기예금 인출</t>
        </is>
      </c>
      <c r="D234" s="20" t="n">
        <v>1.2</v>
      </c>
      <c r="F234" s="20" t="n">
        <v>2.4</v>
      </c>
      <c r="H234" s="20" t="n">
        <v>0</v>
      </c>
      <c r="J234" s="20" t="n">
        <v>2.8</v>
      </c>
      <c r="N234" s="20" t="n">
        <v>101.521</v>
      </c>
      <c r="Q234" s="20" t="n">
        <v>0</v>
      </c>
      <c r="R234" s="20" t="n">
        <v>5.06</v>
      </c>
      <c r="S234" s="20" t="n">
        <v>4.9</v>
      </c>
      <c r="T234" s="20" t="n">
        <v>2.4</v>
      </c>
      <c r="U234" s="20" t="n">
        <v>1.2</v>
      </c>
      <c r="V234" s="20" t="n">
        <v>2.4</v>
      </c>
      <c r="W234" s="20" t="n">
        <v>2.8</v>
      </c>
      <c r="X234" s="20" t="n">
        <v>101.521</v>
      </c>
    </row>
    <row r="235">
      <c r="A235" s="18" t="inlineStr">
        <is>
          <t>유가증권 취득</t>
        </is>
      </c>
      <c r="S235" s="20" t="n">
        <v>0</v>
      </c>
      <c r="T235" s="20" t="n">
        <v>-12</v>
      </c>
      <c r="U235" s="20" t="n">
        <v>0</v>
      </c>
    </row>
    <row r="236">
      <c r="A236" s="18" t="inlineStr">
        <is>
          <t>투자유가증권 상환</t>
        </is>
      </c>
      <c r="F236" s="20" t="n">
        <v>100</v>
      </c>
      <c r="J236" s="20" t="n">
        <v>0</v>
      </c>
      <c r="U236" s="20" t="n">
        <v>0</v>
      </c>
      <c r="V236" s="20" t="n">
        <v>100</v>
      </c>
      <c r="W236" s="20" t="n">
        <v>0</v>
      </c>
    </row>
    <row r="237">
      <c r="A237" s="18" t="inlineStr">
        <is>
          <t>유형자산 취득(설비투자)</t>
        </is>
      </c>
      <c r="D237" s="20" t="n">
        <v>-23.958</v>
      </c>
      <c r="F237" s="20" t="n">
        <v>-199.205</v>
      </c>
      <c r="H237" s="20" t="n">
        <v>-541.787</v>
      </c>
      <c r="J237" s="20" t="n">
        <v>-551.831</v>
      </c>
      <c r="L237" s="20" t="n">
        <v>-174.535</v>
      </c>
      <c r="N237" s="20" t="n">
        <v>-196.322</v>
      </c>
      <c r="P237" s="20" t="n">
        <v>-16.418</v>
      </c>
      <c r="Q237" s="20" t="n">
        <v>-22.815</v>
      </c>
      <c r="R237" s="20" t="n">
        <v>-63.7</v>
      </c>
      <c r="S237" s="20" t="n">
        <v>-70.627</v>
      </c>
      <c r="T237" s="20" t="n">
        <v>-65.078</v>
      </c>
      <c r="U237" s="20" t="n">
        <v>-55.289</v>
      </c>
      <c r="V237" s="20" t="n">
        <v>-199.205</v>
      </c>
      <c r="W237" s="20" t="n">
        <v>-551.831</v>
      </c>
      <c r="X237" s="20" t="n">
        <v>-196.322</v>
      </c>
    </row>
    <row r="238">
      <c r="A238" s="18" t="inlineStr">
        <is>
          <t>무형자산 취득</t>
        </is>
      </c>
      <c r="H238" s="20" t="n">
        <v>0</v>
      </c>
      <c r="L238" s="20" t="n">
        <v>-42.57</v>
      </c>
      <c r="P238" s="20" t="n">
        <v>-39.596</v>
      </c>
      <c r="Q238" s="20" t="n">
        <v>-17.081</v>
      </c>
      <c r="R238" s="20" t="n">
        <v>-4.194</v>
      </c>
      <c r="S238" s="20" t="n">
        <v>0</v>
      </c>
      <c r="T238" s="20" t="n">
        <v>-0.602</v>
      </c>
      <c r="U238" s="20" t="n">
        <v>0</v>
      </c>
    </row>
    <row r="239">
      <c r="A239" s="18" t="inlineStr">
        <is>
          <t>투자유가증권 취득</t>
        </is>
      </c>
      <c r="P239" s="20" t="n">
        <v>-100.75</v>
      </c>
      <c r="Q239" s="20" t="n">
        <v>-120.288</v>
      </c>
      <c r="R239" s="20" t="n">
        <v>0</v>
      </c>
    </row>
    <row r="240">
      <c r="A240" s="18" t="inlineStr">
        <is>
          <t>임차보증금·보증금 납입</t>
        </is>
      </c>
      <c r="D240" s="20" t="n">
        <v>-50.855</v>
      </c>
      <c r="F240" s="20" t="n">
        <v>-51.8</v>
      </c>
      <c r="H240" s="20" t="n">
        <v>-11.192</v>
      </c>
      <c r="J240" s="20" t="n">
        <v>-17.701</v>
      </c>
      <c r="L240" s="20" t="n">
        <v>-1.21</v>
      </c>
      <c r="N240" s="20" t="n">
        <v>-1.49</v>
      </c>
      <c r="P240" s="20" t="n">
        <v>-38.058</v>
      </c>
      <c r="Q240" s="20" t="n">
        <v>-28.916</v>
      </c>
      <c r="R240" s="20" t="n">
        <v>-55.602</v>
      </c>
      <c r="S240" s="20" t="n">
        <v>-40.171</v>
      </c>
      <c r="T240" s="20" t="n">
        <v>-28.9</v>
      </c>
      <c r="U240" s="20" t="n">
        <v>-57.971</v>
      </c>
      <c r="V240" s="20" t="n">
        <v>-51.8</v>
      </c>
      <c r="W240" s="20" t="n">
        <v>-17.701</v>
      </c>
      <c r="X240" s="20" t="n">
        <v>-1.49</v>
      </c>
    </row>
    <row r="241">
      <c r="A241" s="18" t="inlineStr">
        <is>
          <t>단기대여금 순증감</t>
        </is>
      </c>
      <c r="P241" s="20" t="n">
        <v>-1.154</v>
      </c>
      <c r="Q241" s="20" t="n">
        <v>-15</v>
      </c>
      <c r="R241" s="20" t="n">
        <v>15</v>
      </c>
      <c r="S241" s="20" t="n">
        <v>0</v>
      </c>
    </row>
    <row r="242">
      <c r="A242" s="18" t="inlineStr">
        <is>
          <t>기타 지출</t>
        </is>
      </c>
      <c r="P242" s="20" t="n">
        <v>-1.902</v>
      </c>
    </row>
    <row r="243">
      <c r="A243" s="18" t="inlineStr">
        <is>
          <t>유형자산 매각</t>
        </is>
      </c>
      <c r="H243" s="20" t="n">
        <v>0</v>
      </c>
      <c r="J243" s="20" t="n">
        <v>0</v>
      </c>
      <c r="L243" s="20" t="n">
        <v>0.782</v>
      </c>
      <c r="N243" s="20" t="n">
        <v>0.782</v>
      </c>
      <c r="W243" s="20" t="n">
        <v>0</v>
      </c>
      <c r="X243" s="20" t="n">
        <v>0.782</v>
      </c>
    </row>
    <row r="244">
      <c r="A244" s="18" t="inlineStr">
        <is>
          <t>임차보증금·보증금 회수</t>
        </is>
      </c>
      <c r="D244" s="20" t="n">
        <v>0.927</v>
      </c>
      <c r="F244" s="20" t="n">
        <v>1.638</v>
      </c>
      <c r="H244" s="20" t="n">
        <v>0.768</v>
      </c>
      <c r="J244" s="20" t="n">
        <v>1.404</v>
      </c>
      <c r="L244" s="20" t="n">
        <v>0.896</v>
      </c>
      <c r="N244" s="20" t="n">
        <v>10.348</v>
      </c>
      <c r="S244" s="20" t="n">
        <v>0</v>
      </c>
      <c r="T244" s="20" t="n">
        <v>15.435</v>
      </c>
      <c r="U244" s="20" t="n">
        <v>3.079</v>
      </c>
      <c r="V244" s="20" t="n">
        <v>1.638</v>
      </c>
      <c r="W244" s="20" t="n">
        <v>1.404</v>
      </c>
      <c r="X244" s="20" t="n">
        <v>10.348</v>
      </c>
    </row>
    <row r="245">
      <c r="A245" s="18" t="inlineStr">
        <is>
          <t>장기선급비용 지출</t>
        </is>
      </c>
      <c r="J245" s="20" t="n">
        <v>0</v>
      </c>
      <c r="N245" s="20" t="n">
        <v>-74.8</v>
      </c>
      <c r="W245" s="20" t="n">
        <v>0</v>
      </c>
      <c r="X245" s="20" t="n">
        <v>-74.8</v>
      </c>
    </row>
    <row r="246">
      <c r="A246" s="18" t="inlineStr">
        <is>
          <t>투자유가증권 매각</t>
        </is>
      </c>
      <c r="J246" s="20" t="n">
        <v>0</v>
      </c>
      <c r="N246" s="20" t="n">
        <v>32</v>
      </c>
      <c r="W246" s="20" t="n">
        <v>0</v>
      </c>
      <c r="X246" s="20" t="n">
        <v>32</v>
      </c>
    </row>
    <row r="247">
      <c r="A247" s="18" t="inlineStr">
        <is>
          <t>보험적립금 적립</t>
        </is>
      </c>
      <c r="D247" s="20" t="n">
        <v>-82.65000000000001</v>
      </c>
      <c r="F247" s="20" t="n">
        <v>-83.752</v>
      </c>
      <c r="H247" s="20" t="n">
        <v>-80.16200000000001</v>
      </c>
      <c r="J247" s="20" t="n">
        <v>-81.413</v>
      </c>
      <c r="L247" s="20" t="n">
        <v>-82.95</v>
      </c>
      <c r="N247" s="20" t="n">
        <v>-79.642</v>
      </c>
      <c r="P247" s="20" t="n">
        <v>-1.902</v>
      </c>
      <c r="Q247" s="20" t="n">
        <v>-54.538</v>
      </c>
      <c r="R247" s="20" t="n">
        <v>-54.538</v>
      </c>
      <c r="S247" s="20" t="n">
        <v>-83.602</v>
      </c>
      <c r="T247" s="20" t="n">
        <v>-83.602</v>
      </c>
      <c r="U247" s="20" t="n">
        <v>-83.602</v>
      </c>
      <c r="V247" s="20" t="n">
        <v>-83.752</v>
      </c>
      <c r="W247" s="20" t="n">
        <v>-81.413</v>
      </c>
      <c r="X247" s="20" t="n">
        <v>-79.642</v>
      </c>
    </row>
    <row r="248">
      <c r="A248" s="18" t="inlineStr">
        <is>
          <t>기타 수입</t>
        </is>
      </c>
      <c r="P248" s="20" t="n">
        <v>6.675</v>
      </c>
      <c r="Q248" s="20" t="n">
        <v>4.773</v>
      </c>
      <c r="R248" s="20" t="n">
        <v>0.025</v>
      </c>
      <c r="S248" s="20" t="n">
        <v>9.869999999999999</v>
      </c>
      <c r="T248" s="20" t="n">
        <v>0</v>
      </c>
    </row>
    <row r="249">
      <c r="A249" s="18" t="inlineStr">
        <is>
          <t>연결범위 변경 자회사 주식 취득</t>
        </is>
      </c>
      <c r="F249" s="20" t="n">
        <v>-70.98</v>
      </c>
      <c r="J249" s="20" t="n">
        <v>0</v>
      </c>
      <c r="P249" s="20" t="n">
        <v>-27.213</v>
      </c>
      <c r="Q249" s="20" t="n">
        <v>0</v>
      </c>
      <c r="U249" s="20" t="n">
        <v>0</v>
      </c>
      <c r="V249" s="20" t="n">
        <v>-70.98</v>
      </c>
      <c r="W249" s="20" t="n">
        <v>0</v>
      </c>
    </row>
    <row r="250">
      <c r="A250" s="18" t="inlineStr">
        <is>
          <t>기타</t>
        </is>
      </c>
      <c r="J250" s="20" t="n">
        <v>0</v>
      </c>
      <c r="N250" s="20" t="n">
        <v>9.738</v>
      </c>
      <c r="W250" s="20" t="n">
        <v>0</v>
      </c>
      <c r="X250" s="20" t="n">
        <v>9.738</v>
      </c>
    </row>
    <row r="251">
      <c r="A251" s="9" t="inlineStr">
        <is>
          <t>투자활동 현금흐름</t>
        </is>
      </c>
      <c r="D251" s="12" t="n">
        <v>-155.937</v>
      </c>
      <c r="F251" s="12" t="n">
        <v>-404.1</v>
      </c>
      <c r="H251" s="12" t="n">
        <v>-632.977</v>
      </c>
      <c r="J251" s="12" t="n">
        <v>-650.754</v>
      </c>
      <c r="L251" s="12" t="n">
        <v>-300.216</v>
      </c>
      <c r="N251" s="12" t="n">
        <v>-200.68</v>
      </c>
      <c r="P251" s="12" t="n">
        <v>-220.721</v>
      </c>
      <c r="Q251" s="12" t="n">
        <v>-255.969</v>
      </c>
      <c r="R251" s="12" t="n">
        <v>-160.453</v>
      </c>
      <c r="S251" s="12" t="n">
        <v>-186.333</v>
      </c>
      <c r="T251" s="12" t="n">
        <v>-176.949</v>
      </c>
      <c r="U251" s="12" t="n">
        <v>-195.684</v>
      </c>
      <c r="V251" s="12" t="n">
        <v>-404.1</v>
      </c>
      <c r="W251" s="12" t="n">
        <v>-650.754</v>
      </c>
      <c r="X251" s="12" t="n">
        <v>-200.68</v>
      </c>
    </row>
    <row r="252">
      <c r="A252" s="18" t="inlineStr">
        <is>
          <t>장기차입</t>
        </is>
      </c>
      <c r="F252" s="20" t="n">
        <v>0</v>
      </c>
      <c r="P252" s="20" t="n">
        <v>200</v>
      </c>
      <c r="Q252" s="20" t="n">
        <v>250</v>
      </c>
      <c r="R252" s="20" t="n">
        <v>900</v>
      </c>
      <c r="S252" s="20" t="n">
        <v>0</v>
      </c>
      <c r="T252" s="20" t="n">
        <v>0</v>
      </c>
      <c r="U252" s="20" t="n">
        <v>100</v>
      </c>
      <c r="V252" s="20" t="n">
        <v>0</v>
      </c>
    </row>
    <row r="253">
      <c r="A253" s="18" t="inlineStr">
        <is>
          <t>장기차입금 상환</t>
        </is>
      </c>
      <c r="D253" s="20" t="n">
        <v>-16.662</v>
      </c>
      <c r="F253" s="20" t="n">
        <v>-183.824</v>
      </c>
      <c r="H253" s="20" t="n">
        <v>-40.442</v>
      </c>
      <c r="J253" s="20" t="n">
        <v>-57.104</v>
      </c>
      <c r="L253" s="20" t="n">
        <v>-16.662</v>
      </c>
      <c r="N253" s="20" t="n">
        <v>-27.798</v>
      </c>
      <c r="P253" s="20" t="n">
        <v>-75.247</v>
      </c>
      <c r="Q253" s="20" t="n">
        <v>-152.197</v>
      </c>
      <c r="R253" s="20" t="n">
        <v>-136.215</v>
      </c>
      <c r="S253" s="20" t="n">
        <v>-106.66</v>
      </c>
      <c r="T253" s="20" t="n">
        <v>-255.57</v>
      </c>
      <c r="U253" s="20" t="n">
        <v>-605.554</v>
      </c>
      <c r="V253" s="20" t="n">
        <v>-183.824</v>
      </c>
      <c r="W253" s="20" t="n">
        <v>-57.104</v>
      </c>
      <c r="X253" s="20" t="n">
        <v>-27.798</v>
      </c>
    </row>
    <row r="254">
      <c r="A254" s="18" t="inlineStr">
        <is>
          <t>리스부채 상환</t>
        </is>
      </c>
      <c r="D254" s="20" t="n">
        <v>-0.353</v>
      </c>
      <c r="F254" s="20" t="n">
        <v>-0.706</v>
      </c>
      <c r="H254" s="20" t="n">
        <v>-0.353</v>
      </c>
      <c r="J254" s="20" t="n">
        <v>-0.706</v>
      </c>
      <c r="L254" s="20" t="n">
        <v>-1.208</v>
      </c>
      <c r="N254" s="20" t="n">
        <v>-2.3</v>
      </c>
      <c r="P254" s="20" t="n">
        <v>-1.167</v>
      </c>
      <c r="Q254" s="20" t="n">
        <v>-4.671</v>
      </c>
      <c r="R254" s="20" t="n">
        <v>-0.235</v>
      </c>
      <c r="S254" s="20" t="n">
        <v>-0.45</v>
      </c>
      <c r="T254" s="20" t="n">
        <v>-0.778</v>
      </c>
      <c r="U254" s="20" t="n">
        <v>-0.706</v>
      </c>
      <c r="V254" s="20" t="n">
        <v>-0.706</v>
      </c>
      <c r="W254" s="20" t="n">
        <v>-0.706</v>
      </c>
      <c r="X254" s="20" t="n">
        <v>-2.3</v>
      </c>
    </row>
    <row r="255">
      <c r="A255" s="18" t="inlineStr">
        <is>
          <t>주식 발행</t>
        </is>
      </c>
      <c r="P255" s="20" t="n">
        <v>2.79</v>
      </c>
      <c r="Q255" s="20" t="n">
        <v>0.36</v>
      </c>
      <c r="R255" s="20" t="n">
        <v>0</v>
      </c>
    </row>
    <row r="256">
      <c r="A256" s="18" t="inlineStr">
        <is>
          <t>자기주식 취득</t>
        </is>
      </c>
      <c r="D256" s="20" t="n">
        <v>-266.987</v>
      </c>
      <c r="F256" s="20" t="n">
        <v>-601.145</v>
      </c>
      <c r="H256" s="20" t="n">
        <v>-88.474</v>
      </c>
      <c r="J256" s="20" t="n">
        <v>-401.493</v>
      </c>
      <c r="L256" s="20" t="n">
        <v>-50.963</v>
      </c>
      <c r="N256" s="20" t="n">
        <v>-450.128</v>
      </c>
      <c r="P256" s="20" t="n">
        <v>-0.032</v>
      </c>
      <c r="Q256" s="20" t="n">
        <v>0</v>
      </c>
      <c r="R256" s="20" t="n">
        <v>-0.029</v>
      </c>
      <c r="S256" s="20" t="n">
        <v>-0.137</v>
      </c>
      <c r="T256" s="20" t="n">
        <v>0</v>
      </c>
      <c r="U256" s="20" t="n">
        <v>0</v>
      </c>
      <c r="V256" s="20" t="n">
        <v>-601.145</v>
      </c>
      <c r="W256" s="20" t="n">
        <v>-401.493</v>
      </c>
      <c r="X256" s="20" t="n">
        <v>-450.128</v>
      </c>
    </row>
    <row r="257">
      <c r="A257" s="18" t="inlineStr">
        <is>
          <t>기타 지출</t>
        </is>
      </c>
      <c r="P257" s="20" t="n">
        <v>0</v>
      </c>
      <c r="Q257" s="20" t="n">
        <v>-0.155</v>
      </c>
      <c r="R257" s="20" t="n">
        <v>0</v>
      </c>
    </row>
    <row r="258">
      <c r="A258" s="18" t="inlineStr">
        <is>
          <t>배당금 지급</t>
        </is>
      </c>
      <c r="D258" s="20" t="n">
        <v>-141.644</v>
      </c>
      <c r="F258" s="20" t="n">
        <v>-145.102</v>
      </c>
      <c r="H258" s="20" t="n">
        <v>-175.631</v>
      </c>
      <c r="J258" s="20" t="n">
        <v>-175.68</v>
      </c>
      <c r="L258" s="20" t="n">
        <v>-176.312</v>
      </c>
      <c r="N258" s="20" t="n">
        <v>-176.322</v>
      </c>
      <c r="P258" s="20" t="n">
        <v>-34.276</v>
      </c>
      <c r="Q258" s="20" t="n">
        <v>-37.009</v>
      </c>
      <c r="R258" s="20" t="n">
        <v>-41.413</v>
      </c>
      <c r="S258" s="20" t="n">
        <v>-59.648</v>
      </c>
      <c r="T258" s="20" t="n">
        <v>-77.73</v>
      </c>
      <c r="U258" s="20" t="n">
        <v>-119.567</v>
      </c>
      <c r="V258" s="20" t="n">
        <v>-145.102</v>
      </c>
      <c r="W258" s="20" t="n">
        <v>-175.68</v>
      </c>
      <c r="X258" s="20" t="n">
        <v>-176.322</v>
      </c>
    </row>
    <row r="259">
      <c r="A259" s="18" t="inlineStr">
        <is>
          <t>신주예약권 발행</t>
        </is>
      </c>
      <c r="D259" s="20" t="n">
        <v>1.947</v>
      </c>
      <c r="F259" s="20" t="n">
        <v>1.947</v>
      </c>
      <c r="H259" s="20" t="n">
        <v>0</v>
      </c>
      <c r="J259" s="20" t="n">
        <v>0</v>
      </c>
      <c r="P259" s="20" t="n">
        <v>1.421</v>
      </c>
      <c r="Q259" s="20" t="n">
        <v>0.674</v>
      </c>
      <c r="R259" s="20" t="n">
        <v>2.455</v>
      </c>
      <c r="S259" s="20" t="n">
        <v>0</v>
      </c>
      <c r="T259" s="20" t="n">
        <v>0.905</v>
      </c>
      <c r="U259" s="20" t="n">
        <v>0</v>
      </c>
      <c r="V259" s="20" t="n">
        <v>1.947</v>
      </c>
      <c r="W259" s="20" t="n">
        <v>0</v>
      </c>
    </row>
    <row r="260">
      <c r="A260" s="18" t="inlineStr">
        <is>
          <t>신주예약권 행사에 따른 주식 발행</t>
        </is>
      </c>
      <c r="D260" s="20" t="n">
        <v>4.068</v>
      </c>
      <c r="F260" s="20" t="n">
        <v>7.021</v>
      </c>
      <c r="H260" s="20" t="n">
        <v>0.599</v>
      </c>
      <c r="J260" s="20" t="n">
        <v>1.868</v>
      </c>
      <c r="L260" s="20" t="n">
        <v>19.142</v>
      </c>
      <c r="N260" s="20" t="n">
        <v>19.688</v>
      </c>
      <c r="R260" s="20" t="n">
        <v>0</v>
      </c>
      <c r="S260" s="20" t="n">
        <v>12.222</v>
      </c>
      <c r="T260" s="20" t="n">
        <v>4.293</v>
      </c>
      <c r="U260" s="20" t="n">
        <v>1.548</v>
      </c>
      <c r="V260" s="20" t="n">
        <v>7.021</v>
      </c>
      <c r="W260" s="20" t="n">
        <v>1.868</v>
      </c>
      <c r="X260" s="20" t="n">
        <v>19.688</v>
      </c>
    </row>
    <row r="261">
      <c r="A261" s="18" t="inlineStr">
        <is>
          <t>기타</t>
        </is>
      </c>
      <c r="D261" s="20" t="n">
        <v>-0.766</v>
      </c>
      <c r="F261" s="20" t="n">
        <v>-1.532</v>
      </c>
      <c r="H261" s="20" t="n">
        <v>-0.766</v>
      </c>
      <c r="J261" s="20" t="n">
        <v>-1.532</v>
      </c>
      <c r="L261" s="20" t="n">
        <v>-0.766</v>
      </c>
      <c r="N261" s="20" t="n">
        <v>-3.233</v>
      </c>
      <c r="T261" s="20" t="n">
        <v>0</v>
      </c>
      <c r="U261" s="20" t="n">
        <v>-1.532</v>
      </c>
      <c r="V261" s="20" t="n">
        <v>-1.532</v>
      </c>
      <c r="W261" s="20" t="n">
        <v>-1.532</v>
      </c>
      <c r="X261" s="20" t="n">
        <v>-3.233</v>
      </c>
    </row>
    <row r="262">
      <c r="A262" s="9" t="inlineStr">
        <is>
          <t>재무활동 현금흐름</t>
        </is>
      </c>
      <c r="D262" s="12" t="n">
        <v>-420.397</v>
      </c>
      <c r="F262" s="12" t="n">
        <v>-923.341</v>
      </c>
      <c r="H262" s="12" t="n">
        <v>-305.067</v>
      </c>
      <c r="J262" s="12" t="n">
        <v>-634.647</v>
      </c>
      <c r="L262" s="12" t="n">
        <v>-226.77</v>
      </c>
      <c r="N262" s="12" t="n">
        <v>-640.095</v>
      </c>
      <c r="P262" s="12" t="n">
        <v>93.488</v>
      </c>
      <c r="Q262" s="12" t="n">
        <v>57.001</v>
      </c>
      <c r="R262" s="12" t="n">
        <v>724.561</v>
      </c>
      <c r="S262" s="12" t="n">
        <v>-154.674</v>
      </c>
      <c r="T262" s="12" t="n">
        <v>-328.88</v>
      </c>
      <c r="U262" s="12" t="n">
        <v>-625.812</v>
      </c>
      <c r="V262" s="12" t="n">
        <v>-923.341</v>
      </c>
      <c r="W262" s="12" t="n">
        <v>-634.647</v>
      </c>
      <c r="X262" s="12" t="n">
        <v>-640.095</v>
      </c>
    </row>
    <row r="263">
      <c r="A263" s="18" t="inlineStr">
        <is>
          <t>현금성자산 환산차이</t>
        </is>
      </c>
      <c r="P263" s="20" t="n">
        <v>0</v>
      </c>
      <c r="Q263" s="20" t="n">
        <v>-0</v>
      </c>
      <c r="R263" s="20" t="n">
        <v>0</v>
      </c>
      <c r="S263" s="20" t="n">
        <v>0</v>
      </c>
      <c r="T263" s="20" t="n">
        <v>0</v>
      </c>
    </row>
    <row r="264">
      <c r="A264" s="18" t="inlineStr">
        <is>
          <t>현금성자산 증감</t>
        </is>
      </c>
      <c r="D264" s="20" t="n">
        <v>-317.696</v>
      </c>
      <c r="F264" s="20" t="n">
        <v>29.67</v>
      </c>
      <c r="H264" s="20" t="n">
        <v>-232.678</v>
      </c>
      <c r="J264" s="20" t="n">
        <v>768.044</v>
      </c>
      <c r="L264" s="20" t="n">
        <v>-26.177</v>
      </c>
      <c r="N264" s="20" t="n">
        <v>967.616</v>
      </c>
      <c r="P264" s="20" t="n">
        <v>434.861</v>
      </c>
      <c r="Q264" s="20" t="n">
        <v>456.087</v>
      </c>
      <c r="R264" s="20" t="n">
        <v>1559.639</v>
      </c>
      <c r="S264" s="20" t="n">
        <v>1126.853</v>
      </c>
      <c r="T264" s="20" t="n">
        <v>198.651</v>
      </c>
      <c r="U264" s="20" t="n">
        <v>1206.257</v>
      </c>
      <c r="V264" s="20" t="n">
        <v>29.67</v>
      </c>
      <c r="W264" s="20" t="n">
        <v>768.044</v>
      </c>
      <c r="X264" s="20" t="n">
        <v>967.616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세라크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10911.126</v>
      </c>
      <c r="D5" s="12" t="n">
        <v>11317.059</v>
      </c>
      <c r="E5" s="12" t="n">
        <v>10989.768</v>
      </c>
      <c r="F5" s="12" t="n">
        <v>11921.245</v>
      </c>
      <c r="G5" s="12" t="n">
        <v>11869.379</v>
      </c>
      <c r="H5" s="11" t="n">
        <v>8260.075999999999</v>
      </c>
      <c r="I5" s="12" t="n">
        <v>9725.739</v>
      </c>
      <c r="J5" s="12" t="n">
        <v>10085.344</v>
      </c>
      <c r="K5" s="12" t="n">
        <v>10911.126</v>
      </c>
      <c r="L5" s="12" t="n">
        <v>11869.379</v>
      </c>
    </row>
    <row r="6">
      <c r="A6" s="18" t="inlineStr">
        <is>
          <t>현금및현금성자산</t>
        </is>
      </c>
      <c r="B6" s="10" t="n"/>
      <c r="C6" s="19" t="n">
        <v>7765.946</v>
      </c>
      <c r="D6" s="20" t="n">
        <v>8065.954</v>
      </c>
      <c r="E6" s="20" t="n">
        <v>7740.396</v>
      </c>
      <c r="F6" s="20" t="n">
        <v>8838.638000000001</v>
      </c>
      <c r="G6" s="20" t="n">
        <v>8634.858</v>
      </c>
      <c r="H6" s="19" t="n">
        <v>5658.86</v>
      </c>
      <c r="I6" s="20" t="n">
        <v>6867.019</v>
      </c>
      <c r="J6" s="20" t="n">
        <v>6896.69</v>
      </c>
      <c r="K6" s="20" t="n">
        <v>7765.946</v>
      </c>
      <c r="L6" s="20" t="n">
        <v>8634.858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2835.099</v>
      </c>
      <c r="D8" s="20" t="n">
        <v>2900.993</v>
      </c>
      <c r="E8" s="20" t="n">
        <v>2833.697</v>
      </c>
      <c r="F8" s="20" t="n">
        <v>2750.926</v>
      </c>
      <c r="G8" s="20" t="n">
        <v>2972</v>
      </c>
      <c r="H8" s="19" t="n">
        <v>0</v>
      </c>
      <c r="I8" s="20" t="n">
        <v>2562.001</v>
      </c>
      <c r="J8" s="20" t="n">
        <v>2740.887</v>
      </c>
      <c r="K8" s="20" t="n">
        <v>2835.099</v>
      </c>
      <c r="L8" s="20" t="n">
        <v>2972</v>
      </c>
    </row>
    <row r="9">
      <c r="A9" s="18" t="inlineStr">
        <is>
          <t>재고자산</t>
        </is>
      </c>
      <c r="B9" s="10" t="n"/>
      <c r="C9" s="19" t="n">
        <v>95.655</v>
      </c>
      <c r="D9" s="20" t="n">
        <v>76.17</v>
      </c>
      <c r="E9" s="20" t="n">
        <v>75.733</v>
      </c>
      <c r="F9" s="20" t="n">
        <v>59.608</v>
      </c>
      <c r="G9" s="20" t="n">
        <v>50.275</v>
      </c>
      <c r="H9" s="19" t="n">
        <v>86.02</v>
      </c>
      <c r="I9" s="20" t="n">
        <v>95.31699999999999</v>
      </c>
      <c r="J9" s="20" t="n">
        <v>266.152</v>
      </c>
      <c r="K9" s="20" t="n">
        <v>95.655</v>
      </c>
      <c r="L9" s="20" t="n">
        <v>50.275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2413.21</v>
      </c>
      <c r="D11" s="12" t="n">
        <v>2761.663</v>
      </c>
      <c r="E11" s="12" t="n">
        <v>2675.909</v>
      </c>
      <c r="F11" s="12" t="n">
        <v>2869.146</v>
      </c>
      <c r="G11" s="12" t="n">
        <v>2703.822</v>
      </c>
      <c r="H11" s="11" t="n">
        <v>1360.352</v>
      </c>
      <c r="I11" s="12" t="n">
        <v>1527.925</v>
      </c>
      <c r="J11" s="12" t="n">
        <v>1966.777</v>
      </c>
      <c r="K11" s="12" t="n">
        <v>2413.21</v>
      </c>
      <c r="L11" s="12" t="n">
        <v>2703.822</v>
      </c>
    </row>
    <row r="12">
      <c r="A12" s="18" t="inlineStr">
        <is>
          <t>유형자산</t>
        </is>
      </c>
      <c r="B12" s="10" t="n"/>
      <c r="C12" s="19" t="n">
        <v>879.1</v>
      </c>
      <c r="D12" s="20" t="n">
        <v>1006.488</v>
      </c>
      <c r="E12" s="20" t="n">
        <v>1034.266</v>
      </c>
      <c r="F12" s="20" t="n">
        <v>1029.978</v>
      </c>
      <c r="G12" s="20" t="n">
        <v>1021.854</v>
      </c>
      <c r="H12" s="19" t="n">
        <v>207.318</v>
      </c>
      <c r="I12" s="20" t="n">
        <v>222.7</v>
      </c>
      <c r="J12" s="20" t="n">
        <v>384.897</v>
      </c>
      <c r="K12" s="20" t="n">
        <v>879.1</v>
      </c>
      <c r="L12" s="20" t="n">
        <v>1021.854</v>
      </c>
    </row>
    <row r="13">
      <c r="A13" s="18" t="inlineStr">
        <is>
          <t>무형자산</t>
        </is>
      </c>
      <c r="B13" s="10" t="n"/>
      <c r="C13" s="19" t="n">
        <v>101.032</v>
      </c>
      <c r="D13" s="20" t="n">
        <v>94.571</v>
      </c>
      <c r="E13" s="20" t="n">
        <v>130.68</v>
      </c>
      <c r="F13" s="20" t="n">
        <v>148.527</v>
      </c>
      <c r="G13" s="20" t="n">
        <v>75.227</v>
      </c>
      <c r="H13" s="19" t="n">
        <v>9.785</v>
      </c>
      <c r="I13" s="20" t="n">
        <v>2.456</v>
      </c>
      <c r="J13" s="20" t="n">
        <v>127.07</v>
      </c>
      <c r="K13" s="20" t="n">
        <v>101.032</v>
      </c>
      <c r="L13" s="20" t="n">
        <v>75.227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13324.336</v>
      </c>
      <c r="D16" s="12" t="n">
        <v>14078.723</v>
      </c>
      <c r="E16" s="12" t="n">
        <v>13665.677</v>
      </c>
      <c r="F16" s="12" t="n">
        <v>14790.392</v>
      </c>
      <c r="G16" s="12" t="n">
        <v>14573.202</v>
      </c>
      <c r="H16" s="11" t="n">
        <v>9620.428</v>
      </c>
      <c r="I16" s="12" t="n">
        <v>11253.664</v>
      </c>
      <c r="J16" s="12" t="n">
        <v>12052.121</v>
      </c>
      <c r="K16" s="12" t="n">
        <v>13324.336</v>
      </c>
      <c r="L16" s="12" t="n">
        <v>14573.202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4283.083</v>
      </c>
      <c r="D18" s="12" t="n">
        <v>4902.829</v>
      </c>
      <c r="E18" s="12" t="n">
        <v>4121.879</v>
      </c>
      <c r="F18" s="12" t="n">
        <v>4817.218</v>
      </c>
      <c r="G18" s="12" t="n">
        <v>4301.977</v>
      </c>
      <c r="H18" s="11" t="n">
        <v>3828.899</v>
      </c>
      <c r="I18" s="12" t="n">
        <v>4178.943</v>
      </c>
      <c r="J18" s="12" t="n">
        <v>4124.102</v>
      </c>
      <c r="K18" s="12" t="n">
        <v>4283.083</v>
      </c>
      <c r="L18" s="12" t="n">
        <v>4301.977</v>
      </c>
    </row>
    <row r="19">
      <c r="A19" s="18" t="inlineStr">
        <is>
          <t>매입채무</t>
        </is>
      </c>
      <c r="B19" s="10" t="n"/>
      <c r="C19" s="19" t="n">
        <v>332.631</v>
      </c>
      <c r="D19" s="20" t="n">
        <v>319.413</v>
      </c>
      <c r="E19" s="20" t="n">
        <v>344.09</v>
      </c>
      <c r="F19" s="20" t="n">
        <v>330.846</v>
      </c>
      <c r="G19" s="20" t="n">
        <v>377.206</v>
      </c>
      <c r="H19" s="19" t="n">
        <v>159.59</v>
      </c>
      <c r="I19" s="20" t="n">
        <v>130.402</v>
      </c>
      <c r="J19" s="20" t="n">
        <v>262.363</v>
      </c>
      <c r="K19" s="20" t="n">
        <v>332.631</v>
      </c>
      <c r="L19" s="20" t="n">
        <v>377.206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>
        <v>27.798</v>
      </c>
      <c r="D21" s="20" t="n">
        <v>19.467</v>
      </c>
      <c r="E21" s="20" t="n">
        <v>11.136</v>
      </c>
      <c r="F21" s="20" t="n">
        <v>2.805</v>
      </c>
      <c r="G21" s="20" t="n">
        <v>0</v>
      </c>
      <c r="H21" s="19" t="n">
        <v>600</v>
      </c>
      <c r="I21" s="20" t="n">
        <v>183.324</v>
      </c>
      <c r="J21" s="20" t="n">
        <v>39.204</v>
      </c>
      <c r="K21" s="20" t="n">
        <v>27.798</v>
      </c>
      <c r="L21" s="20" t="n">
        <v>0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138.479</v>
      </c>
      <c r="D23" s="12" t="n">
        <v>143.514</v>
      </c>
      <c r="E23" s="12" t="n">
        <v>141.616</v>
      </c>
      <c r="F23" s="12" t="n">
        <v>137.358</v>
      </c>
      <c r="G23" s="12" t="n">
        <v>118.41</v>
      </c>
      <c r="H23" s="11" t="n">
        <v>272.376</v>
      </c>
      <c r="I23" s="12" t="n">
        <v>170.503</v>
      </c>
      <c r="J23" s="12" t="n">
        <v>165.405</v>
      </c>
      <c r="K23" s="12" t="n">
        <v>138.479</v>
      </c>
      <c r="L23" s="12" t="n">
        <v>118.41</v>
      </c>
    </row>
    <row r="24">
      <c r="A24" s="18" t="inlineStr">
        <is>
          <t>장기차입금</t>
        </is>
      </c>
      <c r="B24" s="10" t="n"/>
      <c r="C24" s="19" t="n">
        <v>0</v>
      </c>
      <c r="D24" s="20" t="n"/>
      <c r="E24" s="20" t="n"/>
      <c r="F24" s="20" t="n"/>
      <c r="G24" s="20" t="n"/>
      <c r="H24" s="19" t="n">
        <v>150</v>
      </c>
      <c r="I24" s="20" t="n">
        <v>61.122</v>
      </c>
      <c r="J24" s="20" t="n">
        <v>45.698</v>
      </c>
      <c r="K24" s="20" t="n">
        <v>0</v>
      </c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4421.562</v>
      </c>
      <c r="D27" s="12" t="n">
        <v>5046.344</v>
      </c>
      <c r="E27" s="12" t="n">
        <v>4263.495</v>
      </c>
      <c r="F27" s="12" t="n">
        <v>4954.577</v>
      </c>
      <c r="G27" s="12" t="n">
        <v>4420.388</v>
      </c>
      <c r="H27" s="11" t="n">
        <v>4101.275</v>
      </c>
      <c r="I27" s="12" t="n">
        <v>4349.447</v>
      </c>
      <c r="J27" s="12" t="n">
        <v>4289.507</v>
      </c>
      <c r="K27" s="12" t="n">
        <v>4421.562</v>
      </c>
      <c r="L27" s="12" t="n">
        <v>4420.388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8870.701999999999</v>
      </c>
      <c r="D31" s="12" t="n">
        <v>9000.307000000001</v>
      </c>
      <c r="E31" s="12" t="n">
        <v>9372.98</v>
      </c>
      <c r="F31" s="12" t="n">
        <v>9806.974</v>
      </c>
      <c r="G31" s="12" t="n">
        <v>10123.973</v>
      </c>
      <c r="H31" s="11" t="n">
        <v>5514.246</v>
      </c>
      <c r="I31" s="12" t="n">
        <v>6867.947</v>
      </c>
      <c r="J31" s="12" t="n">
        <v>7731.995</v>
      </c>
      <c r="K31" s="12" t="n">
        <v>8870.701999999999</v>
      </c>
      <c r="L31" s="12" t="n">
        <v>10123.973</v>
      </c>
    </row>
    <row r="32">
      <c r="A32" s="18" t="inlineStr">
        <is>
          <t>자본금</t>
        </is>
      </c>
      <c r="B32" s="10" t="n"/>
      <c r="C32" s="19" t="n">
        <v>312.433</v>
      </c>
      <c r="D32" s="20" t="n">
        <v>312.433</v>
      </c>
      <c r="E32" s="20" t="n">
        <v>322.962</v>
      </c>
      <c r="F32" s="20" t="n">
        <v>323.356</v>
      </c>
      <c r="G32" s="20" t="n">
        <v>323.356</v>
      </c>
      <c r="H32" s="19" t="n">
        <v>306.232</v>
      </c>
      <c r="I32" s="20" t="n">
        <v>307.006</v>
      </c>
      <c r="J32" s="20" t="n">
        <v>311.269</v>
      </c>
      <c r="K32" s="20" t="n">
        <v>312.433</v>
      </c>
      <c r="L32" s="20" t="n">
        <v>323.356</v>
      </c>
    </row>
    <row r="33">
      <c r="A33" s="18" t="inlineStr">
        <is>
          <t>이익잉여금</t>
        </is>
      </c>
      <c r="B33" s="10" t="n"/>
      <c r="C33" s="19" t="n">
        <v>8912.335999999999</v>
      </c>
      <c r="D33" s="20" t="n">
        <v>9092.916999999999</v>
      </c>
      <c r="E33" s="20" t="n">
        <v>9445.601000000001</v>
      </c>
      <c r="F33" s="20" t="n">
        <v>9983.609</v>
      </c>
      <c r="G33" s="20" t="n">
        <v>10387.197</v>
      </c>
      <c r="H33" s="19" t="n">
        <v>4700.243</v>
      </c>
      <c r="I33" s="20" t="n">
        <v>6052.693</v>
      </c>
      <c r="J33" s="20" t="n">
        <v>7482.934</v>
      </c>
      <c r="K33" s="20" t="n">
        <v>8912.335999999999</v>
      </c>
      <c r="L33" s="20" t="n">
        <v>10387.197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8902.773999999999</v>
      </c>
      <c r="D35" s="12" t="n">
        <v>9032.379000000001</v>
      </c>
      <c r="E35" s="12" t="n">
        <v>9402.181</v>
      </c>
      <c r="F35" s="12" t="n">
        <v>9835.814</v>
      </c>
      <c r="G35" s="12" t="n">
        <v>10152.813</v>
      </c>
      <c r="H35" s="11" t="n">
        <v>5519.152</v>
      </c>
      <c r="I35" s="12" t="n">
        <v>6904.217</v>
      </c>
      <c r="J35" s="12" t="n">
        <v>7762.614</v>
      </c>
      <c r="K35" s="12" t="n">
        <v>8902.773999999999</v>
      </c>
      <c r="L35" s="12" t="n">
        <v>10152.813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2053.446</v>
      </c>
      <c r="D37" s="12" t="n"/>
      <c r="E37" s="12" t="n">
        <v>1848.888</v>
      </c>
      <c r="F37" s="12" t="n"/>
      <c r="G37" s="12" t="n">
        <v>1808.392</v>
      </c>
      <c r="H37" s="11" t="n">
        <v>704.481</v>
      </c>
      <c r="I37" s="12" t="n">
        <v>2027.754</v>
      </c>
      <c r="J37" s="12" t="n">
        <v>1357.112</v>
      </c>
      <c r="K37" s="12" t="n">
        <v>2053.446</v>
      </c>
      <c r="L37" s="12" t="n">
        <v>1808.392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551.831</v>
      </c>
      <c r="D38" s="20" t="n"/>
      <c r="E38" s="20" t="n">
        <v>184.579</v>
      </c>
      <c r="F38" s="20" t="n"/>
      <c r="G38" s="20" t="n">
        <v>196.322</v>
      </c>
      <c r="H38" s="19" t="n">
        <v>65.68000000000001</v>
      </c>
      <c r="I38" s="20" t="n">
        <v>55.289</v>
      </c>
      <c r="J38" s="20" t="n">
        <v>199.205</v>
      </c>
      <c r="K38" s="20" t="n">
        <v>551.831</v>
      </c>
      <c r="L38" s="20" t="n">
        <v>196.322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175.68</v>
      </c>
      <c r="D40" s="20" t="n"/>
      <c r="E40" s="20" t="n">
        <v>176.361</v>
      </c>
      <c r="F40" s="20" t="n"/>
      <c r="G40" s="20" t="n">
        <v>176.322</v>
      </c>
      <c r="H40" s="19" t="n">
        <v>77.73</v>
      </c>
      <c r="I40" s="20" t="n">
        <v>119.567</v>
      </c>
      <c r="J40" s="20" t="n">
        <v>145.102</v>
      </c>
      <c r="K40" s="20" t="n">
        <v>175.68</v>
      </c>
      <c r="L40" s="20" t="n">
        <v>176.322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IFERROR(IF((IF(COUNT('연간'!G58:J58)&lt;4,"",SUM('연간'!G58:J58)))&lt;=0,"적자",C28/(IF(COUNT('연간'!G58:J58)&lt;4,"",SUM('연간'!G58:J58)))),"")</f>
        <v/>
      </c>
      <c r="D49" s="47">
        <f>IFERROR(IF((IF(COUNT('연간'!H58:K58)&lt;4,"",SUM('연간'!H58:K58)))&lt;=0,"적자",D28/(IF(COUNT('연간'!H58:K58)&lt;4,"",SUM('연간'!H58:K58)))),"")</f>
        <v/>
      </c>
      <c r="E49" s="47">
        <f>IFERROR(IF((IF(COUNT('연간'!I58:L58)&lt;4,"",SUM('연간'!I58:L58)))&lt;=0,"적자",E28/(IF(COUNT('연간'!I58:L58)&lt;4,"",SUM('연간'!I58:L58)))),"")</f>
        <v/>
      </c>
      <c r="F49" s="47">
        <f>IFERROR(IF((IF(COUNT('연간'!J58:M58)&lt;4,"",SUM('연간'!J58:M58)))&lt;=0,"적자",F28/(IF(COUNT('연간'!J58:M58)&lt;4,"",SUM('연간'!J58:M58)))),"")</f>
        <v/>
      </c>
      <c r="G49" s="47">
        <f>IFERROR(IF((IF(COUNT('연간'!K58:N58)&lt;4,"",SUM('연간'!K58:N58)))&lt;=0,"적자",G28/(IF(COUNT('연간'!K58:N58)&lt;4,"",SUM('연간'!K58:N58)))),"")</f>
        <v/>
      </c>
      <c r="H49" s="46">
        <f>IFERROR(IF(('연간'!T58)&lt;=0,"적자",H28/('연간'!T58)),"")</f>
        <v/>
      </c>
      <c r="I49" s="47">
        <f>IFERROR(IF(('연간'!U58)&lt;=0,"적자",I28/('연간'!U58)),"")</f>
        <v/>
      </c>
      <c r="J49" s="47">
        <f>IFERROR(IF(('연간'!V58)&lt;=0,"적자",J28/('연간'!V58)),"")</f>
        <v/>
      </c>
      <c r="K49" s="47">
        <f>IFERROR(IF(('연간'!W58)&lt;=0,"적자",K28/('연간'!W58)),"")</f>
        <v/>
      </c>
      <c r="L49" s="47">
        <f>IFERROR(IF(('연간'!X58)&lt;=0,"적자",L28/('연간'!X58)),"")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IFERROR((IF(COUNT('연간'!G58:J58)&lt;4,"",SUM('연간'!G58:J58)))/C31,"")</f>
        <v/>
      </c>
      <c r="D51" s="36">
        <f>IFERROR((IF(COUNT('연간'!H58:K58)&lt;4,"",SUM('연간'!H58:K58)))/D31,"")</f>
        <v/>
      </c>
      <c r="E51" s="36">
        <f>IFERROR((IF(COUNT('연간'!I58:L58)&lt;4,"",SUM('연간'!I58:L58)))/E31,"")</f>
        <v/>
      </c>
      <c r="F51" s="36">
        <f>IFERROR((IF(COUNT('연간'!J58:M58)&lt;4,"",SUM('연간'!J58:M58)))/F31,"")</f>
        <v/>
      </c>
      <c r="G51" s="36">
        <f>IFERROR((IF(COUNT('연간'!K58:N58)&lt;4,"",SUM('연간'!K58:N58)))/G31,"")</f>
        <v/>
      </c>
      <c r="H51" s="35">
        <f>IFERROR(('연간'!T58)/H31,"")</f>
        <v/>
      </c>
      <c r="I51" s="36">
        <f>IFERROR(('연간'!U58)/I31,"")</f>
        <v/>
      </c>
      <c r="J51" s="36">
        <f>IFERROR(('연간'!V58)/J31,"")</f>
        <v/>
      </c>
      <c r="K51" s="36">
        <f>IFERROR(('연간'!W58)/K31,"")</f>
        <v/>
      </c>
      <c r="L51" s="36">
        <f>IFERROR(('연간'!X58)/L31,"")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IFERROR((IF(COUNT('연간'!G56:J56)&lt;4,"",SUM('연간'!G56:J56)))/C16,"")</f>
        <v/>
      </c>
      <c r="D52" s="36">
        <f>IFERROR((IF(COUNT('연간'!H56:K56)&lt;4,"",SUM('연간'!H56:K56)))/D16,"")</f>
        <v/>
      </c>
      <c r="E52" s="36">
        <f>IFERROR((IF(COUNT('연간'!I56:L56)&lt;4,"",SUM('연간'!I56:L56)))/E16,"")</f>
        <v/>
      </c>
      <c r="F52" s="36">
        <f>IFERROR((IF(COUNT('연간'!J56:M56)&lt;4,"",SUM('연간'!J56:M56)))/F16,"")</f>
        <v/>
      </c>
      <c r="G52" s="36">
        <f>IFERROR((IF(COUNT('연간'!K56:N56)&lt;4,"",SUM('연간'!K56:N56)))/G16,"")</f>
        <v/>
      </c>
      <c r="H52" s="35">
        <f>IFERROR(('연간'!T56)/H16,"")</f>
        <v/>
      </c>
      <c r="I52" s="36">
        <f>IFERROR(('연간'!U56)/I16,"")</f>
        <v/>
      </c>
      <c r="J52" s="36">
        <f>IFERROR(('연간'!V56)/J16,"")</f>
        <v/>
      </c>
      <c r="K52" s="36">
        <f>IFERROR(('연간'!W56)/K16,"")</f>
        <v/>
      </c>
      <c r="L52" s="36">
        <f>IFERROR(('연간'!X56)/L16,"")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IFERROR((IF(COUNT('연간'!G22:J22)&lt;4,"",SUM('연간'!G22:J22)))/(IF(COUNT('연간'!G4:J4)&lt;4,"",SUM('연간'!G4:J4))),"")</f>
        <v/>
      </c>
      <c r="D54" s="36">
        <f>IFERROR((IF(COUNT('연간'!H22:K22)&lt;4,"",SUM('연간'!H22:K22)))/(IF(COUNT('연간'!H4:K4)&lt;4,"",SUM('연간'!H4:K4))),"")</f>
        <v/>
      </c>
      <c r="E54" s="36">
        <f>IFERROR((IF(COUNT('연간'!I22:L22)&lt;4,"",SUM('연간'!I22:L22)))/(IF(COUNT('연간'!I4:L4)&lt;4,"",SUM('연간'!I4:L4))),"")</f>
        <v/>
      </c>
      <c r="F54" s="36">
        <f>IFERROR((IF(COUNT('연간'!J22:M22)&lt;4,"",SUM('연간'!J22:M22)))/(IF(COUNT('연간'!J4:M4)&lt;4,"",SUM('연간'!J4:M4))),"")</f>
        <v/>
      </c>
      <c r="G54" s="36">
        <f>IFERROR((IF(COUNT('연간'!K22:N22)&lt;4,"",SUM('연간'!K22:N22)))/(IF(COUNT('연간'!K4:N4)&lt;4,"",SUM('연간'!K4:N4))),"")</f>
        <v/>
      </c>
      <c r="H54" s="35">
        <f>IFERROR(('연간'!T22)/('연간'!T4),"")</f>
        <v/>
      </c>
      <c r="I54" s="36">
        <f>IFERROR(('연간'!U22)/('연간'!U4),"")</f>
        <v/>
      </c>
      <c r="J54" s="36">
        <f>IFERROR(('연간'!V22)/('연간'!V4),"")</f>
        <v/>
      </c>
      <c r="K54" s="36">
        <f>IFERROR(('연간'!W22)/('연간'!W4),"")</f>
        <v/>
      </c>
      <c r="L54" s="36">
        <f>IFERROR(('연간'!X22)/('연간'!X4),"")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IFERROR((IF(COUNT('연간'!G56:J56)&lt;4,"",SUM('연간'!G56:J56)))/(IF(COUNT('연간'!G4:J4)&lt;4,"",SUM('연간'!G4:J4))),"")</f>
        <v/>
      </c>
      <c r="D56" s="36">
        <f>IFERROR((IF(COUNT('연간'!H56:K56)&lt;4,"",SUM('연간'!H56:K56)))/(IF(COUNT('연간'!H4:K4)&lt;4,"",SUM('연간'!H4:K4))),"")</f>
        <v/>
      </c>
      <c r="E56" s="36">
        <f>IFERROR((IF(COUNT('연간'!I56:L56)&lt;4,"",SUM('연간'!I56:L56)))/(IF(COUNT('연간'!I4:L4)&lt;4,"",SUM('연간'!I4:L4))),"")</f>
        <v/>
      </c>
      <c r="F56" s="36">
        <f>IFERROR((IF(COUNT('연간'!J56:M56)&lt;4,"",SUM('연간'!J56:M56)))/(IF(COUNT('연간'!J4:M4)&lt;4,"",SUM('연간'!J4:M4))),"")</f>
        <v/>
      </c>
      <c r="G56" s="36">
        <f>IFERROR((IF(COUNT('연간'!K56:N56)&lt;4,"",SUM('연간'!K56:N56)))/(IF(COUNT('연간'!K4:N4)&lt;4,"",SUM('연간'!K4:N4))),"")</f>
        <v/>
      </c>
      <c r="H56" s="35">
        <f>IFERROR(('연간'!T56)/('연간'!T4),"")</f>
        <v/>
      </c>
      <c r="I56" s="36">
        <f>IFERROR(('연간'!U56)/('연간'!U4),"")</f>
        <v/>
      </c>
      <c r="J56" s="36">
        <f>IFERROR(('연간'!V56)/('연간'!V4),"")</f>
        <v/>
      </c>
      <c r="K56" s="36">
        <f>IFERROR(('연간'!W56)/('연간'!W4),"")</f>
        <v/>
      </c>
      <c r="L56" s="36">
        <f>IFERROR(('연간'!X56)/('연간'!X4),"")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IFERROR(C9/(IF(COUNT('연간'!G20:J20)&lt;4,"",SUM('연간'!G20:J20)))*365,"")</f>
        <v/>
      </c>
      <c r="D60" s="49">
        <f>IFERROR(D9/(IF(COUNT('연간'!H20:K20)&lt;4,"",SUM('연간'!H20:K20)))*365,"")</f>
        <v/>
      </c>
      <c r="E60" s="49">
        <f>IFERROR(E9/(IF(COUNT('연간'!I20:L20)&lt;4,"",SUM('연간'!I20:L20)))*365,"")</f>
        <v/>
      </c>
      <c r="F60" s="49">
        <f>IFERROR(F9/(IF(COUNT('연간'!J20:M20)&lt;4,"",SUM('연간'!J20:M20)))*365,"")</f>
        <v/>
      </c>
      <c r="G60" s="49">
        <f>IFERROR(G9/(IF(COUNT('연간'!K20:N20)&lt;4,"",SUM('연간'!K20:N20)))*365,"")</f>
        <v/>
      </c>
      <c r="H60" s="48">
        <f>IFERROR(H9/('연간'!T20)*365,"")</f>
        <v/>
      </c>
      <c r="I60" s="49">
        <f>IFERROR(I9/('연간'!U20)*365,"")</f>
        <v/>
      </c>
      <c r="J60" s="49">
        <f>IFERROR(J9/('연간'!V20)*365,"")</f>
        <v/>
      </c>
      <c r="K60" s="49">
        <f>IFERROR(K9/('연간'!W20)*365,"")</f>
        <v/>
      </c>
      <c r="L60" s="49">
        <f>IFERROR(L9/('연간'!X20)*365,"")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IFERROR(C19/(IF(COUNT('연간'!G20:J20)&lt;4,"",SUM('연간'!G20:J20)))*365,"")</f>
        <v/>
      </c>
      <c r="D61" s="49">
        <f>IFERROR(D19/(IF(COUNT('연간'!H20:K20)&lt;4,"",SUM('연간'!H20:K20)))*365,"")</f>
        <v/>
      </c>
      <c r="E61" s="49">
        <f>IFERROR(E19/(IF(COUNT('연간'!I20:L20)&lt;4,"",SUM('연간'!I20:L20)))*365,"")</f>
        <v/>
      </c>
      <c r="F61" s="49">
        <f>IFERROR(F19/(IF(COUNT('연간'!J20:M20)&lt;4,"",SUM('연간'!J20:M20)))*365,"")</f>
        <v/>
      </c>
      <c r="G61" s="49">
        <f>IFERROR(G19/(IF(COUNT('연간'!K20:N20)&lt;4,"",SUM('연간'!K20:N20)))*365,"")</f>
        <v/>
      </c>
      <c r="H61" s="48">
        <f>IFERROR(H19/('연간'!T20)*365,"")</f>
        <v/>
      </c>
      <c r="I61" s="49">
        <f>IFERROR(I19/('연간'!U20)*365,"")</f>
        <v/>
      </c>
      <c r="J61" s="49">
        <f>IFERROR(J19/('연간'!V20)*365,"")</f>
        <v/>
      </c>
      <c r="K61" s="49">
        <f>IFERROR(K19/('연간'!W20)*365,"")</f>
        <v/>
      </c>
      <c r="L61" s="49">
        <f>IFERROR(L19/('연간'!X20)*365,"")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IF(C37="","",IFERROR(C37/(IF(COUNT('연간'!G56:J56)&lt;4,"",SUM('연간'!G56:J56))),""))</f>
        <v/>
      </c>
      <c r="D64" s="31">
        <f>IF(D37="","",IFERROR(D37/(IF(COUNT('연간'!H56:K56)&lt;4,"",SUM('연간'!H56:K56))),""))</f>
        <v/>
      </c>
      <c r="E64" s="31">
        <f>IF(E37="","",IFERROR(E37/(IF(COUNT('연간'!I56:L56)&lt;4,"",SUM('연간'!I56:L56))),""))</f>
        <v/>
      </c>
      <c r="F64" s="31">
        <f>IF(F37="","",IFERROR(F37/(IF(COUNT('연간'!J56:M56)&lt;4,"",SUM('연간'!J56:M56))),""))</f>
        <v/>
      </c>
      <c r="G64" s="31">
        <f>IF(G37="","",IFERROR(G37/(IF(COUNT('연간'!K56:N56)&lt;4,"",SUM('연간'!K56:N56))),""))</f>
        <v/>
      </c>
      <c r="H64" s="30">
        <f>IF(H37="","",IFERROR(H37/('연간'!T56),""))</f>
        <v/>
      </c>
      <c r="I64" s="31">
        <f>IF(I37="","",IFERROR(I37/('연간'!U56),""))</f>
        <v/>
      </c>
      <c r="J64" s="31">
        <f>IF(J37="","",IFERROR(J37/('연간'!V56),""))</f>
        <v/>
      </c>
      <c r="K64" s="31">
        <f>IF(K37="","",IFERROR(K37/('연간'!W56),""))</f>
        <v/>
      </c>
      <c r="L64" s="31">
        <f>IF(L37="","",IFERROR(L37/('연간'!X56),""))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IF(C40="","",IFERROR(C40/(IF(COUNT('연간'!G58:J58)&lt;4,"",SUM('연간'!G58:J58))),""))</f>
        <v/>
      </c>
      <c r="D67" s="36">
        <f>IF(D40="","",IFERROR(D40/(IF(COUNT('연간'!H58:K58)&lt;4,"",SUM('연간'!H58:K58))),""))</f>
        <v/>
      </c>
      <c r="E67" s="36">
        <f>IF(E40="","",IFERROR(E40/(IF(COUNT('연간'!I58:L58)&lt;4,"",SUM('연간'!I58:L58))),""))</f>
        <v/>
      </c>
      <c r="F67" s="36">
        <f>IF(F40="","",IFERROR(F40/(IF(COUNT('연간'!J58:M58)&lt;4,"",SUM('연간'!J58:M58))),""))</f>
        <v/>
      </c>
      <c r="G67" s="36">
        <f>IF(G40="","",IFERROR(G40/(IF(COUNT('연간'!K58:N58)&lt;4,"",SUM('연간'!K58:N58))),""))</f>
        <v/>
      </c>
      <c r="H67" s="35">
        <f>IF(H40="","",IFERROR(H40/('연간'!T58),""))</f>
        <v/>
      </c>
      <c r="I67" s="36">
        <f>IF(I40="","",IFERROR(I40/('연간'!U58),""))</f>
        <v/>
      </c>
      <c r="J67" s="36">
        <f>IF(J40="","",IFERROR(J40/('연간'!V58),""))</f>
        <v/>
      </c>
      <c r="K67" s="36">
        <f>IF(K40="","",IFERROR(K40/('연간'!W58),""))</f>
        <v/>
      </c>
      <c r="L67" s="36">
        <f>IF(L40="","",IFERROR(L40/('연간'!X58),""))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7765.946</v>
      </c>
      <c r="D71" s="20" t="n">
        <v>8065.954</v>
      </c>
      <c r="E71" s="20" t="n">
        <v>7740.396</v>
      </c>
      <c r="F71" s="20" t="n">
        <v>8838.638000000001</v>
      </c>
      <c r="G71" s="20" t="n">
        <v>8634.858</v>
      </c>
      <c r="H71" s="20" t="n">
        <v>5658.86</v>
      </c>
      <c r="I71" s="20" t="n">
        <v>6867.019</v>
      </c>
      <c r="J71" s="20" t="n">
        <v>6896.69</v>
      </c>
      <c r="K71" s="20" t="n">
        <v>7765.946</v>
      </c>
      <c r="L71" s="20" t="n">
        <v>8634.858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받을어음·매출채권·계약자산(순액)</t>
        </is>
      </c>
      <c r="H73" s="20" t="n">
        <v>2336.637</v>
      </c>
    </row>
    <row r="74">
      <c r="A74" s="18" t="inlineStr">
        <is>
          <t>매출채권·계약자산</t>
        </is>
      </c>
      <c r="H74" s="20" t="n">
        <v>2336.637</v>
      </c>
      <c r="I74" s="20" t="n">
        <v>2562.001</v>
      </c>
    </row>
    <row r="75">
      <c r="A75" s="18" t="inlineStr">
        <is>
          <t>매출채권·계약자산</t>
        </is>
      </c>
      <c r="C75" s="20" t="n">
        <v>2835.099</v>
      </c>
      <c r="D75" s="20" t="n">
        <v>2900.993</v>
      </c>
      <c r="E75" s="20" t="n">
        <v>2833.697</v>
      </c>
      <c r="F75" s="20" t="n">
        <v>2750.926</v>
      </c>
      <c r="G75" s="20" t="n">
        <v>2972</v>
      </c>
      <c r="I75" s="20" t="n">
        <v>2562.001</v>
      </c>
      <c r="J75" s="20" t="n">
        <v>2740.887</v>
      </c>
      <c r="K75" s="20" t="n">
        <v>2835.099</v>
      </c>
      <c r="L75" s="20" t="n">
        <v>2972</v>
      </c>
    </row>
    <row r="76">
      <c r="A76" s="18" t="inlineStr">
        <is>
          <t>재공품</t>
        </is>
      </c>
      <c r="C76" s="20" t="n">
        <v>38.026</v>
      </c>
      <c r="D76" s="20" t="n">
        <v>22.701</v>
      </c>
      <c r="E76" s="20" t="n">
        <v>25.94</v>
      </c>
      <c r="F76" s="20" t="n">
        <v>13.713</v>
      </c>
      <c r="G76" s="20" t="n">
        <v>10.071</v>
      </c>
      <c r="H76" s="20" t="n">
        <v>29.306</v>
      </c>
      <c r="I76" s="20" t="n">
        <v>34.497</v>
      </c>
      <c r="J76" s="20" t="n">
        <v>219.097</v>
      </c>
      <c r="K76" s="20" t="n">
        <v>38.026</v>
      </c>
      <c r="L76" s="20" t="n">
        <v>10.071</v>
      </c>
    </row>
    <row r="77">
      <c r="A77" s="18" t="inlineStr">
        <is>
          <t>원재료</t>
        </is>
      </c>
      <c r="C77" s="20" t="n">
        <v>57.629</v>
      </c>
      <c r="D77" s="20" t="n">
        <v>53.469</v>
      </c>
      <c r="E77" s="20" t="n">
        <v>49.793</v>
      </c>
      <c r="F77" s="20" t="n">
        <v>45.895</v>
      </c>
      <c r="G77" s="20" t="n">
        <v>40.204</v>
      </c>
      <c r="H77" s="20" t="n">
        <v>56.714</v>
      </c>
      <c r="I77" s="20" t="n">
        <v>60.82</v>
      </c>
      <c r="J77" s="20" t="n">
        <v>47.055</v>
      </c>
      <c r="K77" s="20" t="n">
        <v>57.629</v>
      </c>
      <c r="L77" s="20" t="n">
        <v>40.204</v>
      </c>
    </row>
    <row r="78">
      <c r="A78" s="18" t="inlineStr">
        <is>
          <t>기타</t>
        </is>
      </c>
      <c r="C78" s="20" t="n">
        <v>216.664</v>
      </c>
      <c r="D78" s="20" t="n">
        <v>276.049</v>
      </c>
      <c r="E78" s="20" t="n">
        <v>342.308</v>
      </c>
      <c r="F78" s="20" t="n">
        <v>274.032</v>
      </c>
      <c r="G78" s="20" t="n">
        <v>214.363</v>
      </c>
      <c r="H78" s="20" t="n">
        <v>180.212</v>
      </c>
      <c r="I78" s="20" t="n">
        <v>202.976</v>
      </c>
      <c r="J78" s="20" t="n">
        <v>183.469</v>
      </c>
      <c r="K78" s="20" t="n">
        <v>216.664</v>
      </c>
      <c r="L78" s="20" t="n">
        <v>214.363</v>
      </c>
    </row>
    <row r="79">
      <c r="A79" s="18" t="inlineStr">
        <is>
          <t>대손충당금</t>
        </is>
      </c>
      <c r="C79" s="20" t="n">
        <v>-2.239</v>
      </c>
      <c r="D79" s="20" t="n">
        <v>-2.109</v>
      </c>
      <c r="E79" s="20" t="n">
        <v>-2.367</v>
      </c>
      <c r="F79" s="20" t="n">
        <v>-1.961</v>
      </c>
      <c r="G79" s="20" t="n">
        <v>-2.118</v>
      </c>
      <c r="H79" s="20" t="n">
        <v>-1.655</v>
      </c>
      <c r="I79" s="20" t="n">
        <v>-1.575</v>
      </c>
      <c r="J79" s="20" t="n">
        <v>-1.856</v>
      </c>
      <c r="K79" s="20" t="n">
        <v>-2.239</v>
      </c>
      <c r="L79" s="20" t="n">
        <v>-2.118</v>
      </c>
    </row>
    <row r="80">
      <c r="A80" s="9" t="inlineStr">
        <is>
          <t>유동자산 합계</t>
        </is>
      </c>
      <c r="C80" s="12" t="n">
        <v>10911.126</v>
      </c>
      <c r="D80" s="12" t="n">
        <v>11317.059</v>
      </c>
      <c r="E80" s="12" t="n">
        <v>10989.768</v>
      </c>
      <c r="F80" s="12" t="n">
        <v>11921.245</v>
      </c>
      <c r="G80" s="12" t="n">
        <v>11869.379</v>
      </c>
      <c r="H80" s="12" t="n">
        <v>8260.075999999999</v>
      </c>
      <c r="I80" s="12" t="n">
        <v>9725.739</v>
      </c>
      <c r="J80" s="12" t="n">
        <v>10085.344</v>
      </c>
      <c r="K80" s="12" t="n">
        <v>10911.126</v>
      </c>
      <c r="L80" s="12" t="n">
        <v>11869.379</v>
      </c>
    </row>
    <row r="81">
      <c r="A81" s="18" t="inlineStr">
        <is>
          <t>건물(순액)</t>
        </is>
      </c>
      <c r="C81" s="20" t="n">
        <v>218.201</v>
      </c>
      <c r="D81" s="20" t="n">
        <v>210.738</v>
      </c>
      <c r="E81" s="20" t="n">
        <v>356.576</v>
      </c>
      <c r="F81" s="20" t="n">
        <v>363.341</v>
      </c>
      <c r="G81" s="20" t="n">
        <v>355.513</v>
      </c>
      <c r="H81" s="20" t="n">
        <v>158.67</v>
      </c>
      <c r="I81" s="20" t="n">
        <v>175.696</v>
      </c>
      <c r="J81" s="20" t="n">
        <v>195.904</v>
      </c>
      <c r="K81" s="20" t="n">
        <v>218.201</v>
      </c>
      <c r="L81" s="20" t="n">
        <v>355.513</v>
      </c>
    </row>
    <row r="82">
      <c r="A82" s="18" t="inlineStr">
        <is>
          <t>공구·기구·비품(순액)</t>
        </is>
      </c>
      <c r="C82" s="20" t="n">
        <v>45.822</v>
      </c>
      <c r="D82" s="20" t="n">
        <v>44.074</v>
      </c>
      <c r="E82" s="20" t="n">
        <v>42.25</v>
      </c>
      <c r="F82" s="20" t="n">
        <v>42.087</v>
      </c>
      <c r="G82" s="20" t="n">
        <v>41.149</v>
      </c>
      <c r="H82" s="20" t="n">
        <v>40.058</v>
      </c>
      <c r="I82" s="20" t="n">
        <v>41.257</v>
      </c>
      <c r="J82" s="20" t="n">
        <v>55.356</v>
      </c>
      <c r="K82" s="20" t="n">
        <v>45.822</v>
      </c>
      <c r="L82" s="20" t="n">
        <v>41.149</v>
      </c>
    </row>
    <row r="83">
      <c r="A83" s="18" t="inlineStr">
        <is>
          <t>토지</t>
        </is>
      </c>
      <c r="C83" s="20" t="n">
        <v>613.061</v>
      </c>
      <c r="D83" s="20" t="n">
        <v>613.061</v>
      </c>
      <c r="E83" s="20" t="n">
        <v>613.061</v>
      </c>
      <c r="F83" s="20" t="n">
        <v>613.061</v>
      </c>
      <c r="G83" s="20" t="n">
        <v>613.061</v>
      </c>
      <c r="J83" s="20" t="n">
        <v>0</v>
      </c>
      <c r="K83" s="20" t="n">
        <v>613.061</v>
      </c>
      <c r="L83" s="20" t="n">
        <v>613.061</v>
      </c>
    </row>
    <row r="84">
      <c r="A84" s="18" t="inlineStr">
        <is>
          <t>건설중인자산</t>
        </is>
      </c>
      <c r="C84" s="20" t="n">
        <v>0</v>
      </c>
      <c r="D84" s="20" t="n">
        <v>128.828</v>
      </c>
      <c r="E84" s="20" t="n">
        <v>13.251</v>
      </c>
      <c r="K84" s="20" t="n">
        <v>0</v>
      </c>
    </row>
    <row r="85">
      <c r="A85" s="18" t="inlineStr">
        <is>
          <t>기타</t>
        </is>
      </c>
      <c r="C85" s="20" t="n">
        <v>2.015</v>
      </c>
      <c r="D85" s="20" t="n">
        <v>9.785</v>
      </c>
      <c r="E85" s="20" t="n">
        <v>9.125</v>
      </c>
      <c r="F85" s="20" t="n">
        <v>11.487</v>
      </c>
      <c r="G85" s="20" t="n">
        <v>12.129</v>
      </c>
      <c r="H85" s="20" t="n">
        <v>8.59</v>
      </c>
      <c r="I85" s="20" t="n">
        <v>5.746</v>
      </c>
      <c r="J85" s="20" t="n">
        <v>133.636</v>
      </c>
      <c r="K85" s="20" t="n">
        <v>2.015</v>
      </c>
      <c r="L85" s="20" t="n">
        <v>12.129</v>
      </c>
    </row>
    <row r="86">
      <c r="A86" s="18" t="inlineStr">
        <is>
          <t>유형자산 합계</t>
        </is>
      </c>
      <c r="C86" s="20" t="n">
        <v>879.1</v>
      </c>
      <c r="D86" s="20" t="n">
        <v>1006.488</v>
      </c>
      <c r="E86" s="20" t="n">
        <v>1034.266</v>
      </c>
      <c r="F86" s="20" t="n">
        <v>1029.978</v>
      </c>
      <c r="G86" s="20" t="n">
        <v>1021.854</v>
      </c>
      <c r="H86" s="20" t="n">
        <v>207.318</v>
      </c>
      <c r="I86" s="20" t="n">
        <v>222.7</v>
      </c>
      <c r="J86" s="20" t="n">
        <v>384.897</v>
      </c>
      <c r="K86" s="20" t="n">
        <v>879.1</v>
      </c>
      <c r="L86" s="20" t="n">
        <v>1021.854</v>
      </c>
    </row>
    <row r="87">
      <c r="A87" s="18" t="inlineStr">
        <is>
          <t>영업권</t>
        </is>
      </c>
      <c r="C87" s="20" t="n">
        <v>99.10299999999999</v>
      </c>
      <c r="D87" s="20" t="n">
        <v>92.672</v>
      </c>
      <c r="E87" s="20" t="n">
        <v>86.241</v>
      </c>
      <c r="F87" s="20" t="n">
        <v>79.81</v>
      </c>
      <c r="G87" s="20" t="n">
        <v>73.379</v>
      </c>
      <c r="H87" s="20" t="n">
        <v>6.843</v>
      </c>
      <c r="I87" s="20" t="n">
        <v>0</v>
      </c>
      <c r="J87" s="20" t="n">
        <v>124.827</v>
      </c>
      <c r="K87" s="20" t="n">
        <v>99.10299999999999</v>
      </c>
      <c r="L87" s="20" t="n">
        <v>73.379</v>
      </c>
    </row>
    <row r="88">
      <c r="A88" s="18" t="inlineStr">
        <is>
          <t>소프트웨어</t>
        </is>
      </c>
      <c r="C88" s="20" t="n">
        <v>0.121</v>
      </c>
      <c r="D88" s="20" t="n">
        <v>0.091</v>
      </c>
      <c r="E88" s="20" t="n">
        <v>0.061</v>
      </c>
      <c r="F88" s="20" t="n">
        <v>0.109</v>
      </c>
      <c r="G88" s="20" t="n">
        <v>0.04</v>
      </c>
      <c r="H88" s="20" t="n">
        <v>1.279</v>
      </c>
      <c r="I88" s="20" t="n">
        <v>0.794</v>
      </c>
      <c r="J88" s="20" t="n">
        <v>0.435</v>
      </c>
      <c r="K88" s="20" t="n">
        <v>0.121</v>
      </c>
      <c r="L88" s="20" t="n">
        <v>0.04</v>
      </c>
    </row>
    <row r="89">
      <c r="A89" s="18" t="inlineStr">
        <is>
          <t>개발 중 소프트웨어</t>
        </is>
      </c>
      <c r="C89" s="20" t="n">
        <v>0</v>
      </c>
      <c r="E89" s="20" t="n">
        <v>42.57</v>
      </c>
      <c r="F89" s="20" t="n">
        <v>66.8</v>
      </c>
      <c r="K89" s="20" t="n">
        <v>0</v>
      </c>
    </row>
    <row r="90">
      <c r="A90" s="18" t="inlineStr">
        <is>
          <t>기타</t>
        </is>
      </c>
      <c r="C90" s="20" t="n">
        <v>1.807</v>
      </c>
      <c r="D90" s="20" t="n">
        <v>1.807</v>
      </c>
      <c r="E90" s="20" t="n">
        <v>1.807</v>
      </c>
      <c r="F90" s="20" t="n">
        <v>1.807</v>
      </c>
      <c r="G90" s="20" t="n">
        <v>1.807</v>
      </c>
      <c r="H90" s="20" t="n">
        <v>1.662</v>
      </c>
      <c r="I90" s="20" t="n">
        <v>1.662</v>
      </c>
      <c r="J90" s="20" t="n">
        <v>1.807</v>
      </c>
      <c r="K90" s="20" t="n">
        <v>1.807</v>
      </c>
      <c r="L90" s="20" t="n">
        <v>1.807</v>
      </c>
    </row>
    <row r="91">
      <c r="A91" s="18" t="inlineStr">
        <is>
          <t>무형자산 합계</t>
        </is>
      </c>
      <c r="C91" s="20" t="n">
        <v>101.032</v>
      </c>
      <c r="D91" s="20" t="n">
        <v>94.571</v>
      </c>
      <c r="E91" s="20" t="n">
        <v>130.68</v>
      </c>
      <c r="F91" s="20" t="n">
        <v>148.527</v>
      </c>
      <c r="G91" s="20" t="n">
        <v>75.227</v>
      </c>
      <c r="H91" s="20" t="n">
        <v>9.785</v>
      </c>
      <c r="I91" s="20" t="n">
        <v>2.456</v>
      </c>
      <c r="J91" s="20" t="n">
        <v>127.07</v>
      </c>
      <c r="K91" s="20" t="n">
        <v>101.032</v>
      </c>
      <c r="L91" s="20" t="n">
        <v>75.227</v>
      </c>
    </row>
    <row r="92">
      <c r="A92" s="18" t="inlineStr">
        <is>
          <t>투자유가증권</t>
        </is>
      </c>
      <c r="C92" s="20" t="n">
        <v>3.496</v>
      </c>
      <c r="D92" s="20" t="n">
        <v>3.496</v>
      </c>
      <c r="E92" s="20" t="n">
        <v>3.496</v>
      </c>
      <c r="F92" s="20" t="n">
        <v>3.496</v>
      </c>
      <c r="G92" s="20" t="n">
        <v>3.496</v>
      </c>
      <c r="H92" s="20" t="n">
        <v>118.34</v>
      </c>
      <c r="I92" s="20" t="n">
        <v>108.991</v>
      </c>
      <c r="J92" s="20" t="n">
        <v>3.496</v>
      </c>
      <c r="K92" s="20" t="n">
        <v>3.496</v>
      </c>
      <c r="L92" s="20" t="n">
        <v>3.496</v>
      </c>
    </row>
    <row r="93">
      <c r="A93" s="18" t="inlineStr">
        <is>
          <t>이연법인세자산</t>
        </is>
      </c>
      <c r="C93" s="20" t="n">
        <v>536.015</v>
      </c>
      <c r="D93" s="20" t="n">
        <v>736.373</v>
      </c>
      <c r="E93" s="20" t="n">
        <v>535.765</v>
      </c>
      <c r="F93" s="20" t="n">
        <v>734.116</v>
      </c>
      <c r="G93" s="20" t="n">
        <v>575.649</v>
      </c>
      <c r="H93" s="20" t="n">
        <v>449.378</v>
      </c>
      <c r="I93" s="20" t="n">
        <v>501.916</v>
      </c>
      <c r="J93" s="20" t="n">
        <v>532.306</v>
      </c>
      <c r="K93" s="20" t="n">
        <v>536.015</v>
      </c>
      <c r="L93" s="20" t="n">
        <v>575.649</v>
      </c>
    </row>
    <row r="94">
      <c r="A94" s="18" t="inlineStr">
        <is>
          <t>임차보증금·보증금</t>
        </is>
      </c>
      <c r="C94" s="20" t="n">
        <v>337.449</v>
      </c>
      <c r="D94" s="20" t="n">
        <v>334.582</v>
      </c>
      <c r="E94" s="20" t="n">
        <v>332.516</v>
      </c>
      <c r="F94" s="20" t="n">
        <v>320.877</v>
      </c>
      <c r="G94" s="20" t="n">
        <v>318.325</v>
      </c>
      <c r="H94" s="20" t="n">
        <v>241.783</v>
      </c>
      <c r="I94" s="20" t="n">
        <v>288.812</v>
      </c>
      <c r="J94" s="20" t="n">
        <v>332.158</v>
      </c>
      <c r="K94" s="20" t="n">
        <v>337.449</v>
      </c>
      <c r="L94" s="20" t="n">
        <v>318.325</v>
      </c>
    </row>
    <row r="95">
      <c r="A95" s="18" t="inlineStr">
        <is>
          <t>보험적립금</t>
        </is>
      </c>
      <c r="C95" s="20" t="n">
        <v>546.696</v>
      </c>
      <c r="D95" s="20" t="n">
        <v>576.385</v>
      </c>
      <c r="E95" s="20" t="n">
        <v>629.647</v>
      </c>
      <c r="F95" s="20" t="n">
        <v>625.782</v>
      </c>
      <c r="G95" s="20" t="n">
        <v>626.3390000000001</v>
      </c>
      <c r="H95" s="20" t="n">
        <v>292.29</v>
      </c>
      <c r="I95" s="20" t="n">
        <v>375.892</v>
      </c>
      <c r="J95" s="20" t="n">
        <v>465.282</v>
      </c>
      <c r="K95" s="20" t="n">
        <v>546.696</v>
      </c>
      <c r="L95" s="20" t="n">
        <v>626.3390000000001</v>
      </c>
    </row>
    <row r="96">
      <c r="A96" s="18" t="inlineStr">
        <is>
          <t>기타</t>
        </is>
      </c>
      <c r="C96" s="20" t="n">
        <v>13.532</v>
      </c>
      <c r="D96" s="20" t="n">
        <v>13.879</v>
      </c>
      <c r="E96" s="20" t="n">
        <v>13.65</v>
      </c>
      <c r="F96" s="20" t="n">
        <v>10.48</v>
      </c>
      <c r="G96" s="20" t="n">
        <v>87.04300000000001</v>
      </c>
      <c r="H96" s="20" t="n">
        <v>41.454</v>
      </c>
      <c r="I96" s="20" t="n">
        <v>27.154</v>
      </c>
      <c r="J96" s="20" t="n">
        <v>121.565</v>
      </c>
      <c r="K96" s="20" t="n">
        <v>13.532</v>
      </c>
      <c r="L96" s="20" t="n">
        <v>87.04300000000001</v>
      </c>
    </row>
    <row r="97">
      <c r="A97" s="18" t="inlineStr">
        <is>
          <t>대손충당금</t>
        </is>
      </c>
      <c r="C97" s="20" t="n">
        <v>-4.113</v>
      </c>
      <c r="D97" s="20" t="n">
        <v>-4.113</v>
      </c>
      <c r="E97" s="20" t="n">
        <v>-4.113</v>
      </c>
      <c r="F97" s="20" t="n">
        <v>-4.113</v>
      </c>
      <c r="G97" s="20" t="n">
        <v>-4.113</v>
      </c>
      <c r="J97" s="20" t="n">
        <v>0</v>
      </c>
      <c r="K97" s="20" t="n">
        <v>-4.113</v>
      </c>
      <c r="L97" s="20" t="n">
        <v>-4.113</v>
      </c>
    </row>
    <row r="98">
      <c r="A98" s="18" t="inlineStr">
        <is>
          <t>투자 및 기타자산 합계</t>
        </is>
      </c>
      <c r="C98" s="20" t="n">
        <v>1433.077</v>
      </c>
      <c r="D98" s="20" t="n">
        <v>1660.603</v>
      </c>
      <c r="E98" s="20" t="n">
        <v>1510.962</v>
      </c>
      <c r="F98" s="20" t="n">
        <v>1690.64</v>
      </c>
      <c r="G98" s="20" t="n">
        <v>1606.74</v>
      </c>
      <c r="H98" s="20" t="n">
        <v>1143.248</v>
      </c>
      <c r="I98" s="20" t="n">
        <v>1302.767</v>
      </c>
      <c r="J98" s="20" t="n">
        <v>1454.809</v>
      </c>
      <c r="K98" s="20" t="n">
        <v>1433.077</v>
      </c>
      <c r="L98" s="20" t="n">
        <v>1606.74</v>
      </c>
    </row>
    <row r="99">
      <c r="A99" s="9" t="inlineStr">
        <is>
          <t>비유동자산 합계</t>
        </is>
      </c>
      <c r="C99" s="12" t="n">
        <v>2413.21</v>
      </c>
      <c r="D99" s="12" t="n">
        <v>2761.663</v>
      </c>
      <c r="E99" s="12" t="n">
        <v>2675.909</v>
      </c>
      <c r="F99" s="12" t="n">
        <v>2869.146</v>
      </c>
      <c r="G99" s="12" t="n">
        <v>2703.822</v>
      </c>
      <c r="H99" s="12" t="n">
        <v>1360.352</v>
      </c>
      <c r="I99" s="12" t="n">
        <v>1527.925</v>
      </c>
      <c r="J99" s="12" t="n">
        <v>1966.777</v>
      </c>
      <c r="K99" s="12" t="n">
        <v>2413.21</v>
      </c>
      <c r="L99" s="12" t="n">
        <v>2703.822</v>
      </c>
    </row>
    <row r="100">
      <c r="A100" s="9" t="inlineStr">
        <is>
          <t>자산 합계</t>
        </is>
      </c>
      <c r="C100" s="12" t="n">
        <v>13324.336</v>
      </c>
      <c r="D100" s="12" t="n">
        <v>14078.723</v>
      </c>
      <c r="E100" s="12" t="n">
        <v>13665.677</v>
      </c>
      <c r="F100" s="12" t="n">
        <v>14790.392</v>
      </c>
      <c r="G100" s="12" t="n">
        <v>14573.202</v>
      </c>
      <c r="H100" s="12" t="n">
        <v>9620.428</v>
      </c>
      <c r="I100" s="12" t="n">
        <v>11253.664</v>
      </c>
      <c r="J100" s="12" t="n">
        <v>12052.121</v>
      </c>
      <c r="K100" s="12" t="n">
        <v>13324.336</v>
      </c>
      <c r="L100" s="12" t="n">
        <v>14573.202</v>
      </c>
    </row>
    <row r="101">
      <c r="A101" s="18" t="inlineStr">
        <is>
          <t>매입채무</t>
        </is>
      </c>
      <c r="C101" s="20" t="n">
        <v>332.631</v>
      </c>
      <c r="D101" s="20" t="n">
        <v>319.413</v>
      </c>
      <c r="E101" s="20" t="n">
        <v>344.09</v>
      </c>
      <c r="F101" s="20" t="n">
        <v>330.846</v>
      </c>
      <c r="G101" s="20" t="n">
        <v>377.206</v>
      </c>
      <c r="H101" s="20" t="n">
        <v>159.59</v>
      </c>
      <c r="I101" s="20" t="n">
        <v>130.402</v>
      </c>
      <c r="J101" s="20" t="n">
        <v>262.363</v>
      </c>
      <c r="K101" s="20" t="n">
        <v>332.631</v>
      </c>
      <c r="L101" s="20" t="n">
        <v>377.206</v>
      </c>
    </row>
    <row r="102">
      <c r="A102" s="18" t="inlineStr">
        <is>
          <t>1년 내 상환 장기차입금</t>
        </is>
      </c>
      <c r="C102" s="20" t="n">
        <v>27.798</v>
      </c>
      <c r="D102" s="20" t="n">
        <v>19.467</v>
      </c>
      <c r="E102" s="20" t="n">
        <v>11.136</v>
      </c>
      <c r="F102" s="20" t="n">
        <v>2.805</v>
      </c>
      <c r="G102" s="20" t="n">
        <v>0</v>
      </c>
      <c r="H102" s="20" t="n">
        <v>600</v>
      </c>
      <c r="I102" s="20" t="n">
        <v>183.324</v>
      </c>
      <c r="J102" s="20" t="n">
        <v>39.204</v>
      </c>
      <c r="K102" s="20" t="n">
        <v>27.798</v>
      </c>
      <c r="L102" s="20" t="n">
        <v>0</v>
      </c>
    </row>
    <row r="103">
      <c r="A103" s="18" t="inlineStr">
        <is>
          <t>미지급금</t>
        </is>
      </c>
      <c r="C103" s="20" t="n">
        <v>1484.676</v>
      </c>
      <c r="D103" s="20" t="n">
        <v>2751.686</v>
      </c>
      <c r="E103" s="20" t="n">
        <v>1456.638</v>
      </c>
      <c r="F103" s="20" t="n">
        <v>2701.612</v>
      </c>
      <c r="G103" s="20" t="n">
        <v>1357.483</v>
      </c>
      <c r="H103" s="20" t="n">
        <v>1251.202</v>
      </c>
      <c r="I103" s="20" t="n">
        <v>1417.198</v>
      </c>
      <c r="J103" s="20" t="n">
        <v>1461.721</v>
      </c>
      <c r="K103" s="20" t="n">
        <v>1484.676</v>
      </c>
      <c r="L103" s="20" t="n">
        <v>1357.483</v>
      </c>
    </row>
    <row r="104">
      <c r="A104" s="18" t="inlineStr">
        <is>
          <t>미지급법인세</t>
        </is>
      </c>
      <c r="C104" s="20" t="n">
        <v>543.327</v>
      </c>
      <c r="D104" s="20" t="n">
        <v>454.325</v>
      </c>
      <c r="E104" s="20" t="n">
        <v>565.2190000000001</v>
      </c>
      <c r="F104" s="20" t="n">
        <v>627.071</v>
      </c>
      <c r="G104" s="20" t="n">
        <v>741.866</v>
      </c>
      <c r="H104" s="20" t="n">
        <v>244.557</v>
      </c>
      <c r="I104" s="20" t="n">
        <v>500.088</v>
      </c>
      <c r="J104" s="20" t="n">
        <v>441.369</v>
      </c>
      <c r="K104" s="20" t="n">
        <v>543.327</v>
      </c>
      <c r="L104" s="20" t="n">
        <v>741.866</v>
      </c>
    </row>
    <row r="105">
      <c r="A105" s="18" t="inlineStr">
        <is>
          <t>미지급 소비세</t>
        </is>
      </c>
      <c r="C105" s="20" t="n">
        <v>384.36</v>
      </c>
      <c r="D105" s="20" t="n">
        <v>483.945</v>
      </c>
      <c r="E105" s="20" t="n">
        <v>305.969</v>
      </c>
      <c r="F105" s="20" t="n">
        <v>310.136</v>
      </c>
      <c r="G105" s="20" t="n">
        <v>332.091</v>
      </c>
      <c r="H105" s="20" t="n">
        <v>408.82</v>
      </c>
      <c r="I105" s="20" t="n">
        <v>541.648</v>
      </c>
      <c r="J105" s="20" t="n">
        <v>385.225</v>
      </c>
      <c r="K105" s="20" t="n">
        <v>384.36</v>
      </c>
      <c r="L105" s="20" t="n">
        <v>332.091</v>
      </c>
    </row>
    <row r="106">
      <c r="A106" s="18" t="inlineStr">
        <is>
          <t>상여충당금</t>
        </is>
      </c>
      <c r="C106" s="20" t="n">
        <v>1157.787</v>
      </c>
      <c r="D106" s="20" t="n">
        <v>605.592</v>
      </c>
      <c r="E106" s="20" t="n">
        <v>1167.975</v>
      </c>
      <c r="F106" s="20" t="n">
        <v>586.418</v>
      </c>
      <c r="G106" s="20" t="n">
        <v>1214.762</v>
      </c>
      <c r="H106" s="20" t="n">
        <v>912.9160000000001</v>
      </c>
      <c r="I106" s="20" t="n">
        <v>1105.938</v>
      </c>
      <c r="J106" s="20" t="n">
        <v>1215.1</v>
      </c>
      <c r="K106" s="20" t="n">
        <v>1157.787</v>
      </c>
      <c r="L106" s="20" t="n">
        <v>1214.762</v>
      </c>
    </row>
    <row r="107">
      <c r="A107" s="18" t="inlineStr">
        <is>
          <t>수주손실 충당금</t>
        </is>
      </c>
      <c r="C107" s="20" t="n">
        <v>1.539</v>
      </c>
      <c r="D107" s="20" t="n">
        <v>2.045</v>
      </c>
      <c r="E107" s="20" t="n">
        <v>0.269</v>
      </c>
      <c r="F107" s="20" t="n">
        <v>0</v>
      </c>
      <c r="G107" s="20" t="n">
        <v>0</v>
      </c>
      <c r="H107" s="20" t="n">
        <v>0.896</v>
      </c>
      <c r="I107" s="20" t="n">
        <v>0</v>
      </c>
      <c r="J107" s="20" t="n">
        <v>0.468</v>
      </c>
      <c r="K107" s="20" t="n">
        <v>1.539</v>
      </c>
      <c r="L107" s="20" t="n">
        <v>0</v>
      </c>
    </row>
    <row r="108">
      <c r="A108" s="18" t="inlineStr">
        <is>
          <t>기타</t>
        </is>
      </c>
      <c r="C108" s="20" t="n">
        <v>350.961</v>
      </c>
      <c r="D108" s="20" t="n">
        <v>266.355</v>
      </c>
      <c r="E108" s="20" t="n">
        <v>270.58</v>
      </c>
      <c r="F108" s="20" t="n">
        <v>258.328</v>
      </c>
      <c r="G108" s="20" t="n">
        <v>278.567</v>
      </c>
      <c r="H108" s="20" t="n">
        <v>250.915</v>
      </c>
      <c r="I108" s="20" t="n">
        <v>300.343</v>
      </c>
      <c r="J108" s="20" t="n">
        <v>318.65</v>
      </c>
      <c r="K108" s="20" t="n">
        <v>350.961</v>
      </c>
      <c r="L108" s="20" t="n">
        <v>278.567</v>
      </c>
    </row>
    <row r="109">
      <c r="A109" s="9" t="inlineStr">
        <is>
          <t>유동부채 합계</t>
        </is>
      </c>
      <c r="C109" s="12" t="n">
        <v>4283.083</v>
      </c>
      <c r="D109" s="12" t="n">
        <v>4902.829</v>
      </c>
      <c r="E109" s="12" t="n">
        <v>4121.879</v>
      </c>
      <c r="F109" s="12" t="n">
        <v>4817.218</v>
      </c>
      <c r="G109" s="12" t="n">
        <v>4301.977</v>
      </c>
      <c r="H109" s="12" t="n">
        <v>3828.899</v>
      </c>
      <c r="I109" s="12" t="n">
        <v>4178.943</v>
      </c>
      <c r="J109" s="12" t="n">
        <v>4124.102</v>
      </c>
      <c r="K109" s="12" t="n">
        <v>4283.083</v>
      </c>
      <c r="L109" s="12" t="n">
        <v>4301.977</v>
      </c>
    </row>
    <row r="110">
      <c r="A110" s="18" t="inlineStr">
        <is>
          <t>장기차입금</t>
        </is>
      </c>
      <c r="C110" s="20" t="n">
        <v>0</v>
      </c>
      <c r="H110" s="20" t="n">
        <v>150</v>
      </c>
      <c r="I110" s="20" t="n">
        <v>61.122</v>
      </c>
      <c r="J110" s="20" t="n">
        <v>45.698</v>
      </c>
      <c r="K110" s="20" t="n">
        <v>0</v>
      </c>
    </row>
    <row r="111">
      <c r="A111" s="18" t="inlineStr">
        <is>
          <t>퇴직급여부채</t>
        </is>
      </c>
      <c r="C111" s="20" t="n">
        <v>79.72</v>
      </c>
      <c r="D111" s="20" t="n">
        <v>78.51600000000001</v>
      </c>
      <c r="E111" s="20" t="n">
        <v>77.547</v>
      </c>
      <c r="F111" s="20" t="n">
        <v>76.303</v>
      </c>
      <c r="G111" s="20" t="n">
        <v>66.36799999999999</v>
      </c>
      <c r="H111" s="20" t="n">
        <v>113.074</v>
      </c>
      <c r="I111" s="20" t="n">
        <v>102.318</v>
      </c>
      <c r="J111" s="20" t="n">
        <v>91.38200000000001</v>
      </c>
      <c r="K111" s="20" t="n">
        <v>79.72</v>
      </c>
      <c r="L111" s="20" t="n">
        <v>66.36799999999999</v>
      </c>
    </row>
    <row r="112">
      <c r="A112" s="18" t="inlineStr">
        <is>
          <t>주식급여 충당금</t>
        </is>
      </c>
      <c r="C112" s="20" t="n">
        <v>55.525</v>
      </c>
      <c r="D112" s="20" t="n">
        <v>55.525</v>
      </c>
      <c r="E112" s="20" t="n">
        <v>55.525</v>
      </c>
      <c r="F112" s="20" t="n">
        <v>55.525</v>
      </c>
      <c r="G112" s="20" t="n">
        <v>47.058</v>
      </c>
      <c r="J112" s="20" t="n">
        <v>0</v>
      </c>
      <c r="K112" s="20" t="n">
        <v>55.525</v>
      </c>
      <c r="L112" s="20" t="n">
        <v>47.058</v>
      </c>
    </row>
    <row r="113">
      <c r="A113" s="18" t="inlineStr">
        <is>
          <t>기타</t>
        </is>
      </c>
      <c r="C113" s="20" t="n">
        <v>3.233</v>
      </c>
      <c r="D113" s="20" t="n">
        <v>9.472</v>
      </c>
      <c r="E113" s="20" t="n">
        <v>8.542999999999999</v>
      </c>
      <c r="F113" s="20" t="n">
        <v>5.529</v>
      </c>
      <c r="G113" s="20" t="n">
        <v>4.983</v>
      </c>
      <c r="H113" s="20" t="n">
        <v>9.302</v>
      </c>
      <c r="I113" s="20" t="n">
        <v>7.063</v>
      </c>
      <c r="J113" s="20" t="n">
        <v>28.325</v>
      </c>
      <c r="K113" s="20" t="n">
        <v>3.233</v>
      </c>
      <c r="L113" s="20" t="n">
        <v>4.983</v>
      </c>
    </row>
    <row r="114">
      <c r="A114" s="9" t="inlineStr">
        <is>
          <t>비유동부채 합계</t>
        </is>
      </c>
      <c r="C114" s="12" t="n">
        <v>138.479</v>
      </c>
      <c r="D114" s="12" t="n">
        <v>143.514</v>
      </c>
      <c r="E114" s="12" t="n">
        <v>141.616</v>
      </c>
      <c r="F114" s="12" t="n">
        <v>137.358</v>
      </c>
      <c r="G114" s="12" t="n">
        <v>118.41</v>
      </c>
      <c r="H114" s="12" t="n">
        <v>272.376</v>
      </c>
      <c r="I114" s="12" t="n">
        <v>170.503</v>
      </c>
      <c r="J114" s="12" t="n">
        <v>165.405</v>
      </c>
      <c r="K114" s="12" t="n">
        <v>138.479</v>
      </c>
      <c r="L114" s="12" t="n">
        <v>118.41</v>
      </c>
    </row>
    <row r="115">
      <c r="A115" s="9" t="inlineStr">
        <is>
          <t>부채 합계</t>
        </is>
      </c>
      <c r="C115" s="12" t="n">
        <v>4421.562</v>
      </c>
      <c r="D115" s="12" t="n">
        <v>5046.344</v>
      </c>
      <c r="E115" s="12" t="n">
        <v>4263.495</v>
      </c>
      <c r="F115" s="12" t="n">
        <v>4954.577</v>
      </c>
      <c r="G115" s="12" t="n">
        <v>4420.388</v>
      </c>
      <c r="H115" s="12" t="n">
        <v>4101.275</v>
      </c>
      <c r="I115" s="12" t="n">
        <v>4349.447</v>
      </c>
      <c r="J115" s="12" t="n">
        <v>4289.507</v>
      </c>
      <c r="K115" s="12" t="n">
        <v>4421.562</v>
      </c>
      <c r="L115" s="12" t="n">
        <v>4420.388</v>
      </c>
    </row>
    <row r="116">
      <c r="A116" s="18" t="inlineStr">
        <is>
          <t>자본금</t>
        </is>
      </c>
      <c r="C116" s="20" t="n">
        <v>312.433</v>
      </c>
      <c r="D116" s="20" t="n">
        <v>312.433</v>
      </c>
      <c r="E116" s="20" t="n">
        <v>322.962</v>
      </c>
      <c r="F116" s="20" t="n">
        <v>323.356</v>
      </c>
      <c r="G116" s="20" t="n">
        <v>323.356</v>
      </c>
      <c r="H116" s="20" t="n">
        <v>306.232</v>
      </c>
      <c r="I116" s="20" t="n">
        <v>307.006</v>
      </c>
      <c r="J116" s="20" t="n">
        <v>311.269</v>
      </c>
      <c r="K116" s="20" t="n">
        <v>312.433</v>
      </c>
      <c r="L116" s="20" t="n">
        <v>323.356</v>
      </c>
    </row>
    <row r="117">
      <c r="A117" s="18" t="inlineStr">
        <is>
          <t>자본잉여금</t>
        </is>
      </c>
      <c r="C117" s="20" t="n">
        <v>224.583</v>
      </c>
      <c r="D117" s="20" t="n">
        <v>224.583</v>
      </c>
      <c r="E117" s="20" t="n">
        <v>235.112</v>
      </c>
      <c r="F117" s="20" t="n">
        <v>235.506</v>
      </c>
      <c r="G117" s="20" t="n">
        <v>235.506</v>
      </c>
      <c r="H117" s="20" t="n">
        <v>503.982</v>
      </c>
      <c r="I117" s="20" t="n">
        <v>504.756</v>
      </c>
      <c r="J117" s="20" t="n">
        <v>309.835</v>
      </c>
      <c r="K117" s="20" t="n">
        <v>224.583</v>
      </c>
      <c r="L117" s="20" t="n">
        <v>235.506</v>
      </c>
    </row>
    <row r="118">
      <c r="A118" s="18" t="inlineStr">
        <is>
          <t>이익잉여금</t>
        </is>
      </c>
      <c r="C118" s="20" t="n">
        <v>8912.335999999999</v>
      </c>
      <c r="D118" s="20" t="n">
        <v>9092.916999999999</v>
      </c>
      <c r="E118" s="20" t="n">
        <v>9445.601000000001</v>
      </c>
      <c r="F118" s="20" t="n">
        <v>9983.609</v>
      </c>
      <c r="G118" s="20" t="n">
        <v>10387.197</v>
      </c>
      <c r="H118" s="20" t="n">
        <v>4700.243</v>
      </c>
      <c r="I118" s="20" t="n">
        <v>6052.693</v>
      </c>
      <c r="J118" s="20" t="n">
        <v>7482.934</v>
      </c>
      <c r="K118" s="20" t="n">
        <v>8912.335999999999</v>
      </c>
      <c r="L118" s="20" t="n">
        <v>10387.197</v>
      </c>
    </row>
    <row r="119">
      <c r="A119" s="18" t="inlineStr">
        <is>
          <t>자기주식</t>
        </is>
      </c>
      <c r="C119" s="20" t="n">
        <v>-582.678</v>
      </c>
      <c r="D119" s="20" t="n">
        <v>-632.648</v>
      </c>
      <c r="E119" s="20" t="n">
        <v>-632.7089999999999</v>
      </c>
      <c r="F119" s="20" t="n">
        <v>-736.504</v>
      </c>
      <c r="G119" s="20" t="n">
        <v>-828.371</v>
      </c>
      <c r="H119" s="20" t="n">
        <v>-0.199</v>
      </c>
      <c r="I119" s="20" t="n">
        <v>-0.199</v>
      </c>
      <c r="J119" s="20" t="n">
        <v>-374.518</v>
      </c>
      <c r="K119" s="20" t="n">
        <v>-582.678</v>
      </c>
      <c r="L119" s="20" t="n">
        <v>-828.371</v>
      </c>
    </row>
    <row r="120">
      <c r="A120" s="9" t="inlineStr">
        <is>
          <t>주주자본 합계</t>
        </is>
      </c>
      <c r="C120" s="12" t="n">
        <v>8866.674999999999</v>
      </c>
      <c r="D120" s="12" t="n">
        <v>8997.286</v>
      </c>
      <c r="E120" s="12" t="n">
        <v>9370.966</v>
      </c>
      <c r="F120" s="12" t="n">
        <v>9805.967000000001</v>
      </c>
      <c r="G120" s="12" t="n">
        <v>10117.69</v>
      </c>
      <c r="H120" s="12" t="n">
        <v>5510.259</v>
      </c>
      <c r="I120" s="12" t="n">
        <v>6864.256</v>
      </c>
      <c r="J120" s="12" t="n">
        <v>7729.52</v>
      </c>
      <c r="K120" s="12" t="n">
        <v>8866.674999999999</v>
      </c>
      <c r="L120" s="12" t="n">
        <v>10117.69</v>
      </c>
    </row>
    <row r="121">
      <c r="A121" s="18" t="inlineStr">
        <is>
          <t>기타유가증권 평가차액</t>
        </is>
      </c>
      <c r="H121" s="20" t="n">
        <v>0.079</v>
      </c>
      <c r="I121" s="20" t="n">
        <v>0.033</v>
      </c>
      <c r="J121" s="20" t="n">
        <v>0</v>
      </c>
    </row>
    <row r="122">
      <c r="A122" s="18" t="inlineStr">
        <is>
          <t>퇴직급여 조정누계액</t>
        </is>
      </c>
      <c r="C122" s="20" t="n">
        <v>4.027</v>
      </c>
      <c r="D122" s="20" t="n">
        <v>3.02</v>
      </c>
      <c r="E122" s="20" t="n">
        <v>2.013</v>
      </c>
      <c r="F122" s="20" t="n">
        <v>1.006</v>
      </c>
      <c r="G122" s="20" t="n">
        <v>6.283</v>
      </c>
      <c r="H122" s="20" t="n">
        <v>3.908</v>
      </c>
      <c r="I122" s="20" t="n">
        <v>3.656</v>
      </c>
      <c r="J122" s="20" t="n">
        <v>2.474</v>
      </c>
      <c r="K122" s="20" t="n">
        <v>4.027</v>
      </c>
      <c r="L122" s="20" t="n">
        <v>6.283</v>
      </c>
    </row>
    <row r="123">
      <c r="A123" s="18" t="inlineStr">
        <is>
          <t>기타포괄손익누계액 합계</t>
        </is>
      </c>
      <c r="C123" s="20" t="n">
        <v>4.027</v>
      </c>
      <c r="D123" s="20" t="n">
        <v>3.02</v>
      </c>
      <c r="E123" s="20" t="n">
        <v>2.013</v>
      </c>
      <c r="F123" s="20" t="n">
        <v>1.006</v>
      </c>
      <c r="G123" s="20" t="n">
        <v>6.283</v>
      </c>
      <c r="H123" s="20" t="n">
        <v>3.987</v>
      </c>
      <c r="I123" s="20" t="n">
        <v>3.69</v>
      </c>
      <c r="J123" s="20" t="n">
        <v>2.474</v>
      </c>
      <c r="K123" s="20" t="n">
        <v>4.027</v>
      </c>
      <c r="L123" s="20" t="n">
        <v>6.283</v>
      </c>
    </row>
    <row r="124">
      <c r="A124" s="18" t="inlineStr">
        <is>
          <t>신주예약권</t>
        </is>
      </c>
      <c r="C124" s="20" t="n">
        <v>32.072</v>
      </c>
      <c r="D124" s="20" t="n">
        <v>32.072</v>
      </c>
      <c r="E124" s="20" t="n">
        <v>29.201</v>
      </c>
      <c r="F124" s="20" t="n">
        <v>28.84</v>
      </c>
      <c r="G124" s="20" t="n">
        <v>28.84</v>
      </c>
      <c r="H124" s="20" t="n">
        <v>4.906</v>
      </c>
      <c r="I124" s="20" t="n">
        <v>36.27</v>
      </c>
      <c r="J124" s="20" t="n">
        <v>30.619</v>
      </c>
      <c r="K124" s="20" t="n">
        <v>32.072</v>
      </c>
      <c r="L124" s="20" t="n">
        <v>28.84</v>
      </c>
    </row>
    <row r="125">
      <c r="A125" s="9" t="inlineStr">
        <is>
          <t>순자산 합계</t>
        </is>
      </c>
      <c r="C125" s="12" t="n">
        <v>8902.773999999999</v>
      </c>
      <c r="D125" s="12" t="n">
        <v>9032.379000000001</v>
      </c>
      <c r="E125" s="12" t="n">
        <v>9402.181</v>
      </c>
      <c r="F125" s="12" t="n">
        <v>9835.814</v>
      </c>
      <c r="G125" s="12" t="n">
        <v>10152.813</v>
      </c>
      <c r="H125" s="12" t="n">
        <v>5519.152</v>
      </c>
      <c r="I125" s="12" t="n">
        <v>6904.217</v>
      </c>
      <c r="J125" s="12" t="n">
        <v>7762.614</v>
      </c>
      <c r="K125" s="12" t="n">
        <v>8902.773999999999</v>
      </c>
      <c r="L125" s="12" t="n">
        <v>10152.813</v>
      </c>
    </row>
    <row r="126">
      <c r="A126" s="9" t="inlineStr">
        <is>
          <t>부채·순자산 합계</t>
        </is>
      </c>
      <c r="C126" s="12" t="n">
        <v>13324.336</v>
      </c>
      <c r="D126" s="12" t="n">
        <v>14078.723</v>
      </c>
      <c r="E126" s="12" t="n">
        <v>13665.677</v>
      </c>
      <c r="F126" s="12" t="n">
        <v>14790.392</v>
      </c>
      <c r="G126" s="12" t="n">
        <v>14573.202</v>
      </c>
      <c r="H126" s="12" t="n">
        <v>9620.428</v>
      </c>
      <c r="I126" s="12" t="n">
        <v>11253.664</v>
      </c>
      <c r="J126" s="12" t="n">
        <v>12052.121</v>
      </c>
      <c r="K126" s="12" t="n">
        <v>13324.336</v>
      </c>
      <c r="L126" s="12" t="n">
        <v>14573.202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44" customWidth="1" min="7" max="7"/>
  </cols>
  <sheetData>
    <row r="1">
      <c r="A1" s="50" t="inlineStr">
        <is>
          <t>세라크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가이던스 history FY8 26 · initial 2025 10</t>
        </is>
      </c>
      <c r="B4" s="52" t="n"/>
      <c r="C4" s="52" t="n"/>
      <c r="D4" s="52" t="n"/>
      <c r="E4" s="52" t="n"/>
      <c r="F4" s="52" t="n"/>
      <c r="G4" s="52" t="n"/>
    </row>
    <row r="5">
      <c r="A5" s="53" t="inlineStr">
        <is>
          <t>항목</t>
        </is>
      </c>
      <c r="B5" s="53" t="inlineStr">
        <is>
          <t>값</t>
        </is>
      </c>
      <c r="G5" s="53" t="inlineStr">
        <is>
          <t>출처</t>
        </is>
      </c>
    </row>
    <row r="6">
      <c r="A6" s="54" t="inlineStr">
        <is>
          <t>매출</t>
        </is>
      </c>
      <c r="B6" s="55" t="n">
        <v>274</v>
      </c>
      <c r="G6" s="56" t="inlineStr">
        <is>
          <t>매출 계획 대비 93.1%, 영업이익 100.5%</t>
        </is>
      </c>
    </row>
    <row r="7">
      <c r="A7" s="54" t="inlineStr">
        <is>
          <t>영업이익</t>
        </is>
      </c>
      <c r="B7" s="57" t="n">
        <v>28.5</v>
      </c>
    </row>
    <row r="9">
      <c r="A9" s="52" t="inlineStr">
        <is>
          <t>가이던스 history FY8 26 · final</t>
        </is>
      </c>
      <c r="B9" s="52" t="n"/>
      <c r="C9" s="52" t="n"/>
      <c r="D9" s="52" t="n"/>
      <c r="E9" s="52" t="n"/>
      <c r="F9" s="52" t="n"/>
      <c r="G9" s="52" t="n"/>
    </row>
    <row r="10">
      <c r="A10" s="53" t="inlineStr">
        <is>
          <t>항목</t>
        </is>
      </c>
      <c r="B10" s="53" t="inlineStr">
        <is>
          <t>값</t>
        </is>
      </c>
      <c r="G10" s="53" t="inlineStr">
        <is>
          <t>출처</t>
        </is>
      </c>
    </row>
    <row r="11">
      <c r="A11" s="54" t="inlineStr">
        <is>
          <t>매출</t>
        </is>
      </c>
      <c r="B11" s="55" t="n">
        <v>274</v>
      </c>
      <c r="G11" s="56" t="inlineStr">
        <is>
          <t>매출 계획 대비 93.1%, 영업이익 100.5%</t>
        </is>
      </c>
    </row>
    <row r="12">
      <c r="A12" s="54" t="inlineStr">
        <is>
          <t>영업이익</t>
        </is>
      </c>
      <c r="B12" s="57" t="n">
        <v>28.5</v>
      </c>
    </row>
    <row r="14">
      <c r="A14" s="52" t="inlineStr">
        <is>
          <t>가이던스 history FY8 26 · 실적</t>
        </is>
      </c>
      <c r="B14" s="52" t="n"/>
      <c r="C14" s="52" t="n"/>
      <c r="D14" s="52" t="n"/>
      <c r="E14" s="52" t="n"/>
      <c r="F14" s="52" t="n"/>
      <c r="G14" s="52" t="n"/>
    </row>
    <row r="15">
      <c r="A15" s="53" t="inlineStr">
        <is>
          <t>항목</t>
        </is>
      </c>
      <c r="B15" s="53" t="inlineStr">
        <is>
          <t>값</t>
        </is>
      </c>
      <c r="G15" s="53" t="inlineStr">
        <is>
          <t>출처</t>
        </is>
      </c>
    </row>
    <row r="16">
      <c r="A16" s="54" t="inlineStr">
        <is>
          <t>매출</t>
        </is>
      </c>
      <c r="B16" s="57" t="n">
        <v>255.17</v>
      </c>
      <c r="G16" s="56" t="inlineStr">
        <is>
          <t>매출 계획 대비 93.1%, 영업이익 100.5%</t>
        </is>
      </c>
    </row>
    <row r="17">
      <c r="A17" s="54" t="inlineStr">
        <is>
          <t>영업이익</t>
        </is>
      </c>
      <c r="B17" s="57" t="n">
        <v>28.64</v>
      </c>
    </row>
    <row r="19">
      <c r="A19" s="52" t="inlineStr">
        <is>
          <t>segments_FY8_26 · DI(디지털 인테그레이션)</t>
        </is>
      </c>
      <c r="B19" s="52" t="n"/>
      <c r="C19" s="52" t="n"/>
      <c r="D19" s="52" t="n"/>
      <c r="E19" s="52" t="n"/>
      <c r="F19" s="52" t="n"/>
      <c r="G19" s="52" t="n"/>
    </row>
    <row r="20">
      <c r="A20" s="53" t="inlineStr">
        <is>
          <t>항목</t>
        </is>
      </c>
      <c r="B20" s="53" t="inlineStr">
        <is>
          <t>값</t>
        </is>
      </c>
      <c r="G20" s="53" t="inlineStr">
        <is>
          <t>출처</t>
        </is>
      </c>
    </row>
    <row r="21">
      <c r="A21" s="54" t="inlineStr">
        <is>
          <t>매출</t>
        </is>
      </c>
      <c r="B21" s="57" t="n">
        <v>246.21</v>
      </c>
      <c r="G21" s="56" t="inlineStr">
        <is>
          <t>2단계 보고서 자료(회사 설명회 자료·공시)</t>
        </is>
      </c>
    </row>
    <row r="22">
      <c r="A22" s="54" t="inlineStr">
        <is>
          <t>매출 직전</t>
        </is>
      </c>
      <c r="B22" s="57" t="n">
        <v>238.81</v>
      </c>
    </row>
    <row r="23">
      <c r="A23" s="54" t="inlineStr">
        <is>
          <t>영업이익</t>
        </is>
      </c>
      <c r="B23" s="57" t="n">
        <v>28.82</v>
      </c>
    </row>
    <row r="24">
      <c r="A24" s="54" t="inlineStr">
        <is>
          <t>영업이익 직전</t>
        </is>
      </c>
      <c r="B24" s="57" t="n">
        <v>26.12</v>
      </c>
    </row>
    <row r="25">
      <c r="A25" s="54" t="inlineStr">
        <is>
          <t>4Q 매출</t>
        </is>
      </c>
      <c r="B25" s="57" t="n">
        <v>63.69</v>
      </c>
    </row>
    <row r="26">
      <c r="A26" s="54" t="inlineStr">
        <is>
          <t>4Q 매출 YoY</t>
        </is>
      </c>
      <c r="B26" s="57" t="n">
        <v>5.8</v>
      </c>
    </row>
    <row r="27">
      <c r="A27" s="54" t="inlineStr">
        <is>
          <t>4Q 영업이익</t>
        </is>
      </c>
      <c r="B27" s="57" t="n">
        <v>8.19</v>
      </c>
    </row>
    <row r="28">
      <c r="A28" s="54" t="inlineStr">
        <is>
          <t>4Q 영업이익 YoY</t>
        </is>
      </c>
      <c r="B28" s="57" t="n">
        <v>47.1</v>
      </c>
    </row>
    <row r="29">
      <c r="A29" s="54" t="inlineStr">
        <is>
          <t>4Q 영업이익률</t>
        </is>
      </c>
      <c r="B29" s="57" t="n">
        <v>12.9</v>
      </c>
    </row>
    <row r="31">
      <c r="A31" s="52" t="inlineStr">
        <is>
          <t>segments_FY8_26 · 미도리 클라우드(농업 IoT)</t>
        </is>
      </c>
      <c r="B31" s="52" t="n"/>
      <c r="C31" s="52" t="n"/>
      <c r="D31" s="52" t="n"/>
      <c r="E31" s="52" t="n"/>
      <c r="F31" s="52" t="n"/>
      <c r="G31" s="52" t="n"/>
    </row>
    <row r="32">
      <c r="A32" s="53" t="inlineStr">
        <is>
          <t>항목</t>
        </is>
      </c>
      <c r="B32" s="53" t="inlineStr">
        <is>
          <t>값</t>
        </is>
      </c>
      <c r="G32" s="53" t="inlineStr">
        <is>
          <t>출처</t>
        </is>
      </c>
    </row>
    <row r="33">
      <c r="A33" s="54" t="inlineStr">
        <is>
          <t>매출</t>
        </is>
      </c>
      <c r="B33" s="57" t="n">
        <v>2.39</v>
      </c>
      <c r="G33" s="56" t="inlineStr">
        <is>
          <t>2단계 보고서 자료(회사 설명회 자료·공시)</t>
        </is>
      </c>
    </row>
    <row r="34">
      <c r="A34" s="54" t="inlineStr">
        <is>
          <t>매출 직전</t>
        </is>
      </c>
      <c r="B34" s="57" t="n">
        <v>2.35</v>
      </c>
    </row>
    <row r="35">
      <c r="A35" s="54" t="inlineStr">
        <is>
          <t>영업이익</t>
        </is>
      </c>
      <c r="B35" s="57" t="n">
        <v>-0.96</v>
      </c>
    </row>
    <row r="36">
      <c r="A36" s="54" t="inlineStr">
        <is>
          <t>영업이익 직전</t>
        </is>
      </c>
      <c r="B36" s="57" t="n">
        <v>-1.19</v>
      </c>
    </row>
    <row r="37">
      <c r="A37" s="54" t="inlineStr">
        <is>
          <t>4Q 매출</t>
        </is>
      </c>
      <c r="B37" s="57" t="n">
        <v>0.73</v>
      </c>
    </row>
    <row r="38">
      <c r="A38" s="54" t="inlineStr">
        <is>
          <t>4Q 매출 YoY</t>
        </is>
      </c>
      <c r="B38" s="57" t="n">
        <v>114.8</v>
      </c>
    </row>
    <row r="39">
      <c r="A39" s="54" t="inlineStr">
        <is>
          <t>4Q 영업이익</t>
        </is>
      </c>
      <c r="B39" s="57" t="n">
        <v>0.03</v>
      </c>
    </row>
    <row r="41">
      <c r="A41" s="52" t="inlineStr">
        <is>
          <t>segments_FY8_26 · 기계설계 엔지니어링</t>
        </is>
      </c>
      <c r="B41" s="52" t="n"/>
      <c r="C41" s="52" t="n"/>
      <c r="D41" s="52" t="n"/>
      <c r="E41" s="52" t="n"/>
      <c r="F41" s="52" t="n"/>
      <c r="G41" s="52" t="n"/>
    </row>
    <row r="42">
      <c r="A42" s="53" t="inlineStr">
        <is>
          <t>항목</t>
        </is>
      </c>
      <c r="B42" s="53" t="inlineStr">
        <is>
          <t>값</t>
        </is>
      </c>
      <c r="G42" s="53" t="inlineStr">
        <is>
          <t>출처</t>
        </is>
      </c>
    </row>
    <row r="43">
      <c r="A43" s="54" t="inlineStr">
        <is>
          <t>매출</t>
        </is>
      </c>
      <c r="B43" s="57" t="n">
        <v>8</v>
      </c>
      <c r="G43" s="56" t="inlineStr">
        <is>
          <t>2단계 보고서 자료(회사 설명회 자료·공시)</t>
        </is>
      </c>
    </row>
    <row r="44">
      <c r="A44" s="54" t="inlineStr">
        <is>
          <t>매출 직전</t>
        </is>
      </c>
      <c r="B44" s="57" t="n">
        <v>7.86</v>
      </c>
    </row>
    <row r="45">
      <c r="A45" s="54" t="inlineStr">
        <is>
          <t>영업이익</t>
        </is>
      </c>
      <c r="B45" s="57" t="n">
        <v>0.59</v>
      </c>
    </row>
    <row r="46">
      <c r="A46" s="54" t="inlineStr">
        <is>
          <t>영업이익 직전</t>
        </is>
      </c>
      <c r="B46" s="57" t="n">
        <v>0.37</v>
      </c>
    </row>
    <row r="47">
      <c r="A47" s="54" t="inlineStr">
        <is>
          <t>4Q 매출</t>
        </is>
      </c>
      <c r="B47" s="57" t="n">
        <v>1.97</v>
      </c>
    </row>
    <row r="48">
      <c r="A48" s="54" t="inlineStr">
        <is>
          <t>4Q 매출 YoY</t>
        </is>
      </c>
      <c r="B48" s="57" t="n">
        <v>-5.6</v>
      </c>
    </row>
    <row r="49">
      <c r="A49" s="54" t="inlineStr">
        <is>
          <t>4Q 영업이익</t>
        </is>
      </c>
      <c r="B49" s="57" t="n">
        <v>0.17</v>
      </c>
    </row>
    <row r="51">
      <c r="A51" s="52" t="inlineStr">
        <is>
          <t>bs 2026 08</t>
        </is>
      </c>
      <c r="B51" s="52" t="n"/>
      <c r="C51" s="52" t="n"/>
      <c r="D51" s="52" t="n"/>
      <c r="E51" s="52" t="n"/>
      <c r="F51" s="52" t="n"/>
      <c r="G51" s="52" t="n"/>
    </row>
    <row r="52">
      <c r="A52" s="53" t="inlineStr">
        <is>
          <t>항목</t>
        </is>
      </c>
      <c r="B52" s="53" t="inlineStr">
        <is>
          <t>값</t>
        </is>
      </c>
      <c r="G52" s="53" t="inlineStr">
        <is>
          <t>출처</t>
        </is>
      </c>
    </row>
    <row r="53">
      <c r="A53" s="54" t="inlineStr">
        <is>
          <t>cash</t>
        </is>
      </c>
      <c r="B53" s="57" t="n">
        <v>86.34999999999999</v>
      </c>
      <c r="G53" s="56" t="inlineStr">
        <is>
          <t>2단계 보고서 자료(회사 설명회 자료·공시)</t>
        </is>
      </c>
    </row>
    <row r="54">
      <c r="A54" s="54" t="inlineStr">
        <is>
          <t>debt</t>
        </is>
      </c>
      <c r="B54" s="55" t="n">
        <v>0</v>
      </c>
    </row>
    <row r="55">
      <c r="A55" s="54" t="inlineStr">
        <is>
          <t>net assets</t>
        </is>
      </c>
      <c r="B55" s="57" t="n">
        <v>101.53</v>
      </c>
    </row>
    <row r="56">
      <c r="A56" s="54" t="inlineStr">
        <is>
          <t>합계 assets</t>
        </is>
      </c>
      <c r="B56" s="57" t="n">
        <v>145.73</v>
      </c>
    </row>
    <row r="58">
      <c r="A58" s="52" t="inlineStr">
        <is>
          <t>consensus · FY8/27</t>
        </is>
      </c>
      <c r="B58" s="52" t="n"/>
      <c r="C58" s="52" t="n"/>
      <c r="D58" s="52" t="n"/>
      <c r="E58" s="52" t="n"/>
      <c r="F58" s="52" t="n"/>
      <c r="G58" s="52" t="n"/>
    </row>
    <row r="59">
      <c r="A59" s="53" t="inlineStr">
        <is>
          <t>항목</t>
        </is>
      </c>
      <c r="B59" s="53" t="inlineStr">
        <is>
          <t>값</t>
        </is>
      </c>
      <c r="G59" s="53" t="inlineStr">
        <is>
          <t>출처</t>
        </is>
      </c>
    </row>
    <row r="60">
      <c r="A60" s="54" t="inlineStr">
        <is>
          <t>EPS</t>
        </is>
      </c>
      <c r="B60" s="57" t="n">
        <v>128.2</v>
      </c>
      <c r="G60" s="56" t="inlineStr">
        <is>
          <t>야후 파이낸스, 애널리스트 1명</t>
        </is>
      </c>
    </row>
    <row r="61">
      <c r="A61" s="54" t="inlineStr">
        <is>
          <t>매출</t>
        </is>
      </c>
      <c r="B61" s="55" t="n">
        <v>265</v>
      </c>
    </row>
    <row r="62">
      <c r="A62" s="54" t="inlineStr">
        <is>
          <t>EPS 90d</t>
        </is>
      </c>
      <c r="B62" s="57" t="n">
        <v>147</v>
      </c>
    </row>
    <row r="63">
      <c r="A63" s="54" t="inlineStr">
        <is>
          <t>EPS 7d</t>
        </is>
      </c>
      <c r="B63" s="57" t="n">
        <v>135.7</v>
      </c>
    </row>
    <row r="65">
      <c r="A65" s="52" t="inlineStr">
        <is>
          <t>consensus · FY8/28</t>
        </is>
      </c>
      <c r="B65" s="52" t="n"/>
      <c r="C65" s="52" t="n"/>
      <c r="D65" s="52" t="n"/>
      <c r="E65" s="52" t="n"/>
      <c r="F65" s="52" t="n"/>
      <c r="G65" s="52" t="n"/>
    </row>
    <row r="66">
      <c r="A66" s="53" t="inlineStr">
        <is>
          <t>항목</t>
        </is>
      </c>
      <c r="B66" s="53" t="inlineStr">
        <is>
          <t>값</t>
        </is>
      </c>
      <c r="G66" s="53" t="inlineStr">
        <is>
          <t>출처</t>
        </is>
      </c>
    </row>
    <row r="67">
      <c r="A67" s="54" t="inlineStr">
        <is>
          <t>EPS</t>
        </is>
      </c>
      <c r="B67" s="57" t="n">
        <v>132</v>
      </c>
      <c r="G67" s="56" t="inlineStr">
        <is>
          <t>야후 파이낸스, 애널리스트 1명</t>
        </is>
      </c>
    </row>
    <row r="68">
      <c r="A68" s="54" t="inlineStr">
        <is>
          <t>매출</t>
        </is>
      </c>
      <c r="B68" s="55" t="n">
        <v>277</v>
      </c>
    </row>
    <row r="70">
      <c r="A70" s="52" t="inlineStr">
        <is>
          <t>quarters</t>
        </is>
      </c>
      <c r="B70" s="52" t="n"/>
      <c r="C70" s="52" t="n"/>
      <c r="D70" s="52" t="n"/>
      <c r="E70" s="52" t="n"/>
      <c r="F70" s="52" t="n"/>
      <c r="G70" s="52" t="n"/>
    </row>
    <row r="71">
      <c r="A71" s="53" t="inlineStr">
        <is>
          <t>항목</t>
        </is>
      </c>
      <c r="B71" s="53" t="inlineStr">
        <is>
          <t>label</t>
        </is>
      </c>
      <c r="C71" s="53" t="inlineStr">
        <is>
          <t>매출</t>
        </is>
      </c>
      <c r="D71" s="53" t="inlineStr">
        <is>
          <t>영업이익</t>
        </is>
      </c>
      <c r="E71" s="53" t="inlineStr">
        <is>
          <t>순이익</t>
        </is>
      </c>
      <c r="F71" s="53" t="inlineStr">
        <is>
          <t>EPS</t>
        </is>
      </c>
      <c r="G71" s="53" t="inlineStr">
        <is>
          <t>출처</t>
        </is>
      </c>
    </row>
    <row r="72">
      <c r="A72" s="54" t="inlineStr">
        <is>
          <t>FY8/23 3Q</t>
        </is>
      </c>
      <c r="B72" s="58" t="inlineStr">
        <is>
          <t>23.3~5</t>
        </is>
      </c>
      <c r="C72" s="57" t="n">
        <v>53.07</v>
      </c>
      <c r="D72" s="57" t="n">
        <v>5.47</v>
      </c>
      <c r="E72" s="57" t="n">
        <v>3.39</v>
      </c>
      <c r="F72" s="57" t="n">
        <v>24.28</v>
      </c>
      <c r="G72" s="56" t="inlineStr">
        <is>
          <t>2단계 보고서 자료(회사 설명회 자료·공시)</t>
        </is>
      </c>
    </row>
    <row r="73">
      <c r="A73" s="54" t="inlineStr">
        <is>
          <t>FY8/23 4Q</t>
        </is>
      </c>
      <c r="B73" s="58" t="inlineStr">
        <is>
          <t>23.6~8</t>
        </is>
      </c>
      <c r="C73" s="57" t="n">
        <v>53.91</v>
      </c>
      <c r="D73" s="57" t="n">
        <v>3.06</v>
      </c>
      <c r="E73" s="57" t="n">
        <v>2.78</v>
      </c>
      <c r="F73" s="57" t="n">
        <v>19.83</v>
      </c>
    </row>
    <row r="74">
      <c r="A74" s="54" t="inlineStr">
        <is>
          <t>FY8/24 1Q</t>
        </is>
      </c>
      <c r="B74" s="58" t="inlineStr">
        <is>
          <t>23.9~11</t>
        </is>
      </c>
      <c r="C74" s="57" t="n">
        <v>53.64</v>
      </c>
      <c r="D74" s="57" t="n">
        <v>5.25</v>
      </c>
      <c r="E74" s="57" t="n">
        <v>3</v>
      </c>
      <c r="F74" s="57" t="n">
        <v>21.53</v>
      </c>
    </row>
    <row r="75">
      <c r="A75" s="54" t="inlineStr">
        <is>
          <t>FY8/24 2Q</t>
        </is>
      </c>
      <c r="B75" s="58" t="inlineStr">
        <is>
          <t>23.12~2</t>
        </is>
      </c>
      <c r="C75" s="57" t="n">
        <v>54.61</v>
      </c>
      <c r="D75" s="57" t="n">
        <v>5.94</v>
      </c>
      <c r="E75" s="57" t="n">
        <v>4.69</v>
      </c>
      <c r="F75" s="57" t="n">
        <v>33.89</v>
      </c>
    </row>
    <row r="76">
      <c r="A76" s="54" t="inlineStr">
        <is>
          <t>FY8/24 3Q</t>
        </is>
      </c>
      <c r="B76" s="58" t="inlineStr">
        <is>
          <t>24.3~5</t>
        </is>
      </c>
      <c r="C76" s="57" t="n">
        <v>56.25</v>
      </c>
      <c r="D76" s="57" t="n">
        <v>6.67</v>
      </c>
      <c r="E76" s="57" t="n">
        <v>3.82</v>
      </c>
      <c r="F76" s="57" t="n">
        <v>27.78</v>
      </c>
    </row>
    <row r="77">
      <c r="A77" s="54" t="inlineStr">
        <is>
          <t>FY8/24 4Q</t>
        </is>
      </c>
      <c r="B77" s="58" t="inlineStr">
        <is>
          <t>24.6~8</t>
        </is>
      </c>
      <c r="C77" s="57" t="n">
        <v>57.71</v>
      </c>
      <c r="D77" s="57" t="n">
        <v>4.87</v>
      </c>
      <c r="E77" s="57" t="n">
        <v>4.24</v>
      </c>
      <c r="F77" s="57" t="n">
        <v>31.04</v>
      </c>
    </row>
    <row r="78">
      <c r="A78" s="54" t="inlineStr">
        <is>
          <t>FY8/25 1Q</t>
        </is>
      </c>
      <c r="B78" s="58" t="inlineStr">
        <is>
          <t>24.9~11</t>
        </is>
      </c>
      <c r="C78" s="57" t="n">
        <v>62</v>
      </c>
      <c r="D78" s="57" t="n">
        <v>7.68</v>
      </c>
      <c r="E78" s="57" t="n">
        <v>4.81</v>
      </c>
      <c r="F78" s="57" t="n">
        <v>35.61</v>
      </c>
    </row>
    <row r="79">
      <c r="A79" s="54" t="inlineStr">
        <is>
          <t>FY8/25 2Q</t>
        </is>
      </c>
      <c r="B79" s="58" t="inlineStr">
        <is>
          <t>24.12~2</t>
        </is>
      </c>
      <c r="C79" s="57" t="n">
        <v>60.95</v>
      </c>
      <c r="D79" s="57" t="n">
        <v>5.97</v>
      </c>
      <c r="E79" s="57" t="n">
        <v>4.37</v>
      </c>
      <c r="F79" s="57" t="n">
        <v>32.47</v>
      </c>
    </row>
    <row r="80">
      <c r="A80" s="54" t="inlineStr">
        <is>
          <t>FY8/25 3Q</t>
        </is>
      </c>
      <c r="B80" s="58" t="inlineStr">
        <is>
          <t>25.3~5</t>
        </is>
      </c>
      <c r="C80" s="57" t="n">
        <v>62.5</v>
      </c>
      <c r="D80" s="57" t="n">
        <v>6.44</v>
      </c>
      <c r="E80" s="57" t="n">
        <v>3.97</v>
      </c>
      <c r="F80" s="57" t="n">
        <v>29.53</v>
      </c>
    </row>
    <row r="81">
      <c r="A81" s="54" t="inlineStr">
        <is>
          <t>FY8/25 4Q</t>
        </is>
      </c>
      <c r="B81" s="58" t="inlineStr">
        <is>
          <t>25.6~8</t>
        </is>
      </c>
      <c r="C81" s="57" t="n">
        <v>62.31</v>
      </c>
      <c r="D81" s="57" t="n">
        <v>5.41</v>
      </c>
      <c r="E81" s="57" t="n">
        <v>3.94</v>
      </c>
      <c r="F81" s="57" t="n">
        <v>29.55</v>
      </c>
    </row>
    <row r="82">
      <c r="A82" s="54" t="inlineStr">
        <is>
          <t>FY8/26 1Q</t>
        </is>
      </c>
      <c r="B82" s="58" t="inlineStr">
        <is>
          <t>25.9~11</t>
        </is>
      </c>
      <c r="C82" s="57" t="n">
        <v>62.52</v>
      </c>
      <c r="D82" s="57" t="n">
        <v>5.82</v>
      </c>
      <c r="E82" s="57" t="n">
        <v>3.56</v>
      </c>
      <c r="F82" s="57" t="n">
        <v>26.93</v>
      </c>
    </row>
    <row r="83">
      <c r="A83" s="54" t="inlineStr">
        <is>
          <t>FY8/26 2Q</t>
        </is>
      </c>
      <c r="B83" s="58" t="inlineStr">
        <is>
          <t>25.12~2</t>
        </is>
      </c>
      <c r="C83" s="57" t="n">
        <v>62.37</v>
      </c>
      <c r="D83" s="57" t="n">
        <v>6.19</v>
      </c>
      <c r="E83" s="57" t="n">
        <v>3.53</v>
      </c>
      <c r="F83" s="57" t="n">
        <v>26.63</v>
      </c>
    </row>
    <row r="84">
      <c r="A84" s="54" t="inlineStr">
        <is>
          <t>FY8/26 3Q</t>
        </is>
      </c>
      <c r="B84" s="58" t="inlineStr">
        <is>
          <t>26.3~5</t>
        </is>
      </c>
      <c r="C84" s="57" t="n">
        <v>64.20999999999999</v>
      </c>
      <c r="D84" s="57" t="n">
        <v>8.18</v>
      </c>
      <c r="E84" s="57" t="n">
        <v>5.38</v>
      </c>
      <c r="F84" s="57" t="n">
        <v>40.64</v>
      </c>
    </row>
    <row r="85">
      <c r="A85" s="54" t="inlineStr">
        <is>
          <t>FY8/26 4Q</t>
        </is>
      </c>
      <c r="B85" s="58" t="inlineStr">
        <is>
          <t>26.6~8</t>
        </is>
      </c>
      <c r="C85" s="57" t="n">
        <v>66.06999999999999</v>
      </c>
      <c r="D85" s="57" t="n">
        <v>8.449999999999999</v>
      </c>
      <c r="E85" s="57" t="n">
        <v>6.07</v>
      </c>
      <c r="F85" s="57" t="n">
        <v>46.26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9" t="inlineStr">
        <is>
          <t>공시일</t>
        </is>
      </c>
      <c r="B3" s="59" t="inlineStr">
        <is>
          <t>문서</t>
        </is>
      </c>
      <c r="C3" s="59" t="inlineStr">
        <is>
          <t>PDF</t>
        </is>
      </c>
    </row>
    <row r="4">
      <c r="A4" t="inlineStr">
        <is>
          <t>2026-10-15</t>
        </is>
      </c>
      <c r="B4" t="inlineStr">
        <is>
          <t>2026년 8월 결산기 연간 결산단신</t>
        </is>
      </c>
      <c r="C4" t="inlineStr">
        <is>
          <t>https://www2.jpx.co.jp/disc/61990/140120261015551398.pdf</t>
        </is>
      </c>
    </row>
    <row r="5">
      <c r="A5" t="inlineStr">
        <is>
          <t>2026-07-15</t>
        </is>
      </c>
      <c r="B5" t="inlineStr">
        <is>
          <t>2026년 8월 결산기 ３분기 결산단신</t>
        </is>
      </c>
      <c r="C5" t="inlineStr">
        <is>
          <t>https://www2.jpx.co.jp/disc/61990/140120260715594349.pdf</t>
        </is>
      </c>
    </row>
    <row r="6">
      <c r="A6" t="inlineStr">
        <is>
          <t>2026-04-14</t>
        </is>
      </c>
      <c r="B6" t="inlineStr">
        <is>
          <t>2026년 8월 결산기 ２분기 결산단신</t>
        </is>
      </c>
      <c r="C6" t="inlineStr">
        <is>
          <t>https://www2.jpx.co.jp/disc/61990/140120260414503703.pdf</t>
        </is>
      </c>
    </row>
    <row r="7">
      <c r="A7" t="inlineStr">
        <is>
          <t>2026-01-14</t>
        </is>
      </c>
      <c r="B7" t="inlineStr">
        <is>
          <t>2026년 8월 결산기 １분기 결산단신</t>
        </is>
      </c>
      <c r="C7" t="inlineStr">
        <is>
          <t>https://www2.jpx.co.jp/disc/61990/140120260114533489.pdf</t>
        </is>
      </c>
    </row>
    <row r="8">
      <c r="A8" t="inlineStr">
        <is>
          <t>2025-10-15</t>
        </is>
      </c>
      <c r="B8" t="inlineStr">
        <is>
          <t>2025년 8월 결산기 연간 결산단신</t>
        </is>
      </c>
      <c r="C8" t="inlineStr">
        <is>
          <t>https://www2.jpx.co.jp/disc/61990/140120251015573895.pdf</t>
        </is>
      </c>
    </row>
    <row r="9">
      <c r="A9" t="inlineStr">
        <is>
          <t>2025-07-15</t>
        </is>
      </c>
      <c r="B9" t="inlineStr">
        <is>
          <t>2025년 8월 결산기 3분기 결산단신</t>
        </is>
      </c>
      <c r="C9" t="inlineStr">
        <is>
          <t>https://www2.jpx.co.jp/disc/61990/140120250715514420.pdf</t>
        </is>
      </c>
    </row>
    <row r="10">
      <c r="A10" t="inlineStr">
        <is>
          <t>2025-04-14</t>
        </is>
      </c>
      <c r="B10" t="inlineStr">
        <is>
          <t>2025년 8월 결산기 ２분기 결산단신</t>
        </is>
      </c>
      <c r="C10" t="inlineStr">
        <is>
          <t>https://www2.jpx.co.jp/disc/61990/140120250414514959.pdf</t>
        </is>
      </c>
    </row>
    <row r="11">
      <c r="A11" t="inlineStr">
        <is>
          <t>2025-01-14</t>
        </is>
      </c>
      <c r="B11" t="inlineStr">
        <is>
          <t>2025년 8월 결산기 1분기 결산단신</t>
        </is>
      </c>
      <c r="C11" t="inlineStr">
        <is>
          <t>https://www2.jpx.co.jp/disc/61990/140120250114550232.pdf</t>
        </is>
      </c>
    </row>
    <row r="12">
      <c r="A12" t="inlineStr">
        <is>
          <t>2024-10-15</t>
        </is>
      </c>
      <c r="B12" t="inlineStr">
        <is>
          <t>2024년 8월 결산기 연간 결산단신</t>
        </is>
      </c>
      <c r="C12" t="inlineStr">
        <is>
          <t>https://www2.jpx.co.jp/disc/61990/140120241015598140.pdf</t>
        </is>
      </c>
    </row>
    <row r="13">
      <c r="A13" t="inlineStr">
        <is>
          <t>2024-07-12</t>
        </is>
      </c>
      <c r="B13" t="inlineStr">
        <is>
          <t>2024년 8월 결산기 3분기 결산단신</t>
        </is>
      </c>
      <c r="C13" t="inlineStr">
        <is>
          <t>https://www2.jpx.co.jp/disc/61990/140120240712548391.pdf</t>
        </is>
      </c>
    </row>
    <row r="14">
      <c r="A14" t="inlineStr">
        <is>
          <t>2024-04-12</t>
        </is>
      </c>
      <c r="B14" t="inlineStr">
        <is>
          <t>2024년 8월 결산기 2분기 결산단신</t>
        </is>
      </c>
      <c r="C14" t="inlineStr">
        <is>
          <t>https://www2.jpx.co.jp/disc/61990/140120240216538725.pdf</t>
        </is>
      </c>
    </row>
    <row r="15">
      <c r="A15" t="inlineStr">
        <is>
          <t>2024-01-12</t>
        </is>
      </c>
      <c r="B15" t="inlineStr">
        <is>
          <t>2024년 8월 결산기 １분기 결산단신</t>
        </is>
      </c>
      <c r="C15" t="inlineStr">
        <is>
          <t>https://www2.jpx.co.jp/disc/61990/140120240112514251.pdf</t>
        </is>
      </c>
    </row>
    <row r="16">
      <c r="A16" t="inlineStr">
        <is>
          <t>2023-10-13</t>
        </is>
      </c>
      <c r="B16" t="inlineStr">
        <is>
          <t>2023년 8월 결산기 연간 결산단신</t>
        </is>
      </c>
      <c r="C16" t="inlineStr">
        <is>
          <t>https://www2.jpx.co.jp/disc/61990/140120231013566654.pdf</t>
        </is>
      </c>
    </row>
    <row r="17">
      <c r="A17" t="inlineStr">
        <is>
          <t>2023-07-14</t>
        </is>
      </c>
      <c r="B17" t="inlineStr">
        <is>
          <t>2023년 8월 결산기 3분기 결산단신</t>
        </is>
      </c>
      <c r="C17" t="inlineStr">
        <is>
          <t>https://www2.jpx.co.jp/disc/61990/140120230714522562.pdf</t>
        </is>
      </c>
    </row>
    <row r="18">
      <c r="A18" t="inlineStr">
        <is>
          <t>2023-04-14</t>
        </is>
      </c>
      <c r="B18" t="inlineStr">
        <is>
          <t>2023년 8월 결산기 2분기 결산단신</t>
        </is>
      </c>
      <c r="C18" t="inlineStr">
        <is>
          <t>https://www2.jpx.co.jp/disc/61990/140120230414547320.pdf</t>
        </is>
      </c>
    </row>
    <row r="19">
      <c r="A19" t="inlineStr">
        <is>
          <t>2023-01-13</t>
        </is>
      </c>
      <c r="B19" t="inlineStr">
        <is>
          <t>2023년 8월 결산기 1분기 결산단신</t>
        </is>
      </c>
      <c r="C19" t="inlineStr">
        <is>
          <t>https://www2.jpx.co.jp/disc/61990/140120230113588987.pdf</t>
        </is>
      </c>
    </row>
    <row r="20">
      <c r="A20" t="inlineStr">
        <is>
          <t>2022-10-14</t>
        </is>
      </c>
      <c r="B20" t="inlineStr">
        <is>
          <t>2022년 8월 결산기 연간 결산단신</t>
        </is>
      </c>
      <c r="C20" t="inlineStr">
        <is>
          <t>https://www2.jpx.co.jp/disc/61990/140120221014544678.pdf</t>
        </is>
      </c>
    </row>
    <row r="21">
      <c r="A21" t="inlineStr">
        <is>
          <t>2021-10-15</t>
        </is>
      </c>
      <c r="B21" t="inlineStr">
        <is>
          <t>2021년 8월 결산기 연간 결산단신</t>
        </is>
      </c>
      <c r="C21" t="inlineStr">
        <is>
          <t>https://www2.jpx.co.jp/disc/61990/140120211014411262.pdf</t>
        </is>
      </c>
    </row>
    <row r="22">
      <c r="A22" t="inlineStr">
        <is>
          <t>2020-10-15</t>
        </is>
      </c>
      <c r="B22" t="inlineStr">
        <is>
          <t>2020년 8월 결산기 연간 결산단신</t>
        </is>
      </c>
      <c r="C22" t="inlineStr">
        <is>
          <t>https://www2.jpx.co.jp/disc/61990/140120201015404148.pdf</t>
        </is>
      </c>
    </row>
    <row r="23">
      <c r="A23" t="inlineStr">
        <is>
          <t>2019-10-15</t>
        </is>
      </c>
      <c r="B23" t="inlineStr">
        <is>
          <t>2019년 8월 결산기 연간 결산단신</t>
        </is>
      </c>
      <c r="C23" t="inlineStr">
        <is>
          <t>https://www2.jpx.co.jp/disc/61990/140120191011407697.pdf</t>
        </is>
      </c>
    </row>
    <row r="24">
      <c r="A24" t="inlineStr">
        <is>
          <t>2018-10-15</t>
        </is>
      </c>
      <c r="B24" t="inlineStr">
        <is>
          <t>연간 결산단신</t>
        </is>
      </c>
      <c r="C24" t="inlineStr">
        <is>
          <t>https://www2.jpx.co.jp/disc/61990/140120180904403805.pdf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2026-10-28T07:04:04Z</dcterms:created>
  <dcterms:modified xmlns:dcterms="http://purl.org/dc/terms/" xmlns:xsi="http://www.w3.org/2001/XMLSchema-instance" xsi:type="dcterms:W3CDTF">2026-10-28T07:04:04Z</dcterms:modified>
</cp:coreProperties>
</file>