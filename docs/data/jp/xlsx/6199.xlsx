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세라크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매출액</t>
        </is>
      </c>
      <c r="C4" s="6" t="n">
        <v>41.1032</v>
      </c>
      <c r="D4" s="6" t="n">
        <v>43.754</v>
      </c>
      <c r="E4" s="6" t="n">
        <v>46.3728</v>
      </c>
      <c r="F4" s="6" t="n">
        <v>47.361</v>
      </c>
      <c r="G4" s="6" t="n">
        <v>50.3038</v>
      </c>
      <c r="H4" s="6" t="n">
        <v>51.2986</v>
      </c>
      <c r="I4" s="6" t="n">
        <v>53.0764</v>
      </c>
      <c r="J4" s="6" t="n">
        <v>53.9098</v>
      </c>
      <c r="K4" s="6" t="n">
        <v>53.6424</v>
      </c>
      <c r="L4" s="6" t="n">
        <v>54.612</v>
      </c>
      <c r="M4" s="6" t="n">
        <v>56.2485</v>
      </c>
      <c r="N4" s="6" t="n">
        <v>57.7131</v>
      </c>
      <c r="O4" s="6" t="n">
        <v>62.0016</v>
      </c>
      <c r="P4" s="6" t="n">
        <v>60.9534</v>
      </c>
      <c r="Q4" s="6" t="n">
        <v>62.5001</v>
      </c>
      <c r="R4" s="6" t="n">
        <v>62.3098</v>
      </c>
      <c r="S4" s="6" t="n">
        <v>62.5294</v>
      </c>
      <c r="T4" s="6" t="n">
        <v>62.3686</v>
      </c>
      <c r="U4" s="6" t="n">
        <v>64.20959999999999</v>
      </c>
      <c r="V4" s="6" t="n">
        <v>66.0688</v>
      </c>
      <c r="W4" s="6" t="n">
        <v>90.1712</v>
      </c>
      <c r="X4" s="6" t="n">
        <v>114.1021</v>
      </c>
      <c r="Y4" s="6" t="n">
        <v>137.7162</v>
      </c>
      <c r="Z4" s="6" t="n">
        <v>152.6344</v>
      </c>
      <c r="AA4" s="6" t="n">
        <v>178.591</v>
      </c>
      <c r="AB4" s="6" t="n">
        <v>208.5886</v>
      </c>
      <c r="AC4" s="6" t="n">
        <v>222.2159</v>
      </c>
      <c r="AD4" s="6" t="n">
        <v>247.7649</v>
      </c>
      <c r="AE4" s="6" t="n">
        <v>255.1764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  <c r="AE5" s="9">
        <f>IF(OR(AE4="",AD4=""),"",IFERROR(AE4/AD4-1,""))</f>
        <v/>
      </c>
    </row>
    <row r="6">
      <c r="A6" s="5" t="inlineStr">
        <is>
          <t>매출원가</t>
        </is>
      </c>
      <c r="C6" s="6" t="n">
        <v>31.853</v>
      </c>
      <c r="D6" s="6" t="n">
        <v>34.0959</v>
      </c>
      <c r="E6" s="6" t="n">
        <v>35.8518</v>
      </c>
      <c r="F6" s="6" t="n">
        <v>37.7445</v>
      </c>
      <c r="G6" s="6" t="n">
        <v>37.6227</v>
      </c>
      <c r="H6" s="6" t="n">
        <v>37.5091</v>
      </c>
      <c r="I6" s="6" t="n">
        <v>39.8526</v>
      </c>
      <c r="J6" s="6" t="n">
        <v>41.8166</v>
      </c>
      <c r="K6" s="6" t="n">
        <v>40.5415</v>
      </c>
      <c r="L6" s="6" t="n">
        <v>40.825</v>
      </c>
      <c r="M6" s="6" t="n">
        <v>41.0444</v>
      </c>
      <c r="N6" s="6" t="n">
        <v>42.8046</v>
      </c>
      <c r="O6" s="6" t="n">
        <v>44.8716</v>
      </c>
      <c r="P6" s="6" t="n">
        <v>45.3108</v>
      </c>
      <c r="Q6" s="6" t="n">
        <v>46.3128</v>
      </c>
      <c r="R6" s="6" t="n">
        <v>46.7077</v>
      </c>
      <c r="S6" s="6" t="n">
        <v>46.423</v>
      </c>
      <c r="T6" s="6" t="n">
        <v>45.6159</v>
      </c>
      <c r="U6" s="6" t="n">
        <v>46.1455</v>
      </c>
      <c r="V6" s="6" t="n">
        <v>47.5783</v>
      </c>
      <c r="W6" s="6" t="n">
        <v>70.0943</v>
      </c>
      <c r="X6" s="6" t="n">
        <v>87.9247</v>
      </c>
      <c r="Y6" s="6" t="n">
        <v>104.8653</v>
      </c>
      <c r="Z6" s="6" t="n">
        <v>115.9613</v>
      </c>
      <c r="AA6" s="6" t="n">
        <v>139.5452</v>
      </c>
      <c r="AB6" s="6" t="n">
        <v>156.8011</v>
      </c>
      <c r="AC6" s="6" t="n">
        <v>165.2154</v>
      </c>
      <c r="AD6" s="6" t="n">
        <v>183.2029</v>
      </c>
      <c r="AE6" s="6" t="n">
        <v>185.7627</v>
      </c>
    </row>
    <row r="7">
      <c r="A7" s="5" t="inlineStr">
        <is>
          <t>매출총이익</t>
        </is>
      </c>
      <c r="C7" s="6" t="n">
        <v>9.2502</v>
      </c>
      <c r="D7" s="6" t="n">
        <v>9.658099999999999</v>
      </c>
      <c r="E7" s="6" t="n">
        <v>10.521</v>
      </c>
      <c r="F7" s="6" t="n">
        <v>9.616400000000001</v>
      </c>
      <c r="G7" s="6" t="n">
        <v>12.6811</v>
      </c>
      <c r="H7" s="6" t="n">
        <v>13.7896</v>
      </c>
      <c r="I7" s="6" t="n">
        <v>13.2238</v>
      </c>
      <c r="J7" s="6" t="n">
        <v>12.0932</v>
      </c>
      <c r="K7" s="6" t="n">
        <v>13.101</v>
      </c>
      <c r="L7" s="6" t="n">
        <v>13.787</v>
      </c>
      <c r="M7" s="6" t="n">
        <v>15.2041</v>
      </c>
      <c r="N7" s="6" t="n">
        <v>14.9084</v>
      </c>
      <c r="O7" s="6" t="n">
        <v>17.1299</v>
      </c>
      <c r="P7" s="6" t="n">
        <v>15.6426</v>
      </c>
      <c r="Q7" s="6" t="n">
        <v>16.1874</v>
      </c>
      <c r="R7" s="6" t="n">
        <v>15.6021</v>
      </c>
      <c r="S7" s="6" t="n">
        <v>16.1063</v>
      </c>
      <c r="T7" s="6" t="n">
        <v>16.7527</v>
      </c>
      <c r="U7" s="6" t="n">
        <v>18.0642</v>
      </c>
      <c r="V7" s="6" t="n">
        <v>18.4905</v>
      </c>
      <c r="W7" s="6" t="n">
        <v>20.0768</v>
      </c>
      <c r="X7" s="6" t="n">
        <v>26.1775</v>
      </c>
      <c r="Y7" s="6" t="n">
        <v>32.8509</v>
      </c>
      <c r="Z7" s="6" t="n">
        <v>36.6731</v>
      </c>
      <c r="AA7" s="6" t="n">
        <v>39.0458</v>
      </c>
      <c r="AB7" s="6" t="n">
        <v>51.7875</v>
      </c>
      <c r="AC7" s="6" t="n">
        <v>57.0005</v>
      </c>
      <c r="AD7" s="6" t="n">
        <v>64.562</v>
      </c>
      <c r="AE7" s="6" t="n">
        <v>69.41370000000001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  <c r="AE8" s="9">
        <f>IF(OR(AE7="",AE4=""),"",IFERROR(AE7/AE4,""))</f>
        <v/>
      </c>
    </row>
    <row r="9">
      <c r="A9" s="10" t="inlineStr">
        <is>
          <t>판매비와 관리비</t>
        </is>
      </c>
      <c r="C9" s="11" t="n">
        <v>7.278</v>
      </c>
      <c r="D9" s="11" t="n">
        <v>7.7118</v>
      </c>
      <c r="E9" s="11" t="n">
        <v>7.4872</v>
      </c>
      <c r="F9" s="11" t="n">
        <v>7.7021</v>
      </c>
      <c r="G9" s="11" t="n">
        <v>7.7361</v>
      </c>
      <c r="H9" s="11" t="n">
        <v>7.8223</v>
      </c>
      <c r="I9" s="11" t="n">
        <v>7.755</v>
      </c>
      <c r="J9" s="11" t="n">
        <v>9.024900000000001</v>
      </c>
      <c r="K9" s="11" t="n">
        <v>7.8497</v>
      </c>
      <c r="L9" s="11" t="n">
        <v>7.8472</v>
      </c>
      <c r="M9" s="11" t="n">
        <v>8.527900000000001</v>
      </c>
      <c r="N9" s="11" t="n">
        <v>10.0372</v>
      </c>
      <c r="O9" s="11" t="n">
        <v>9.440099999999999</v>
      </c>
      <c r="P9" s="11" t="n">
        <v>9.6799</v>
      </c>
      <c r="Q9" s="11" t="n">
        <v>9.7475</v>
      </c>
      <c r="R9" s="11" t="n">
        <v>10.1875</v>
      </c>
      <c r="S9" s="11" t="n">
        <v>10.2829</v>
      </c>
      <c r="T9" s="11" t="n">
        <v>10.5575</v>
      </c>
      <c r="U9" s="11" t="n">
        <v>9.8889</v>
      </c>
      <c r="V9" s="11" t="n">
        <v>10.0389</v>
      </c>
      <c r="W9" s="11" t="n">
        <v>14.6376</v>
      </c>
      <c r="X9" s="11" t="n">
        <v>18.9015</v>
      </c>
      <c r="Y9" s="11" t="n">
        <v>21.5062</v>
      </c>
      <c r="Z9" s="11" t="n">
        <v>23.111</v>
      </c>
      <c r="AA9" s="11" t="n">
        <v>30.1791</v>
      </c>
      <c r="AB9" s="11" t="n">
        <v>32.3383</v>
      </c>
      <c r="AC9" s="11" t="n">
        <v>34.2619</v>
      </c>
      <c r="AD9" s="11" t="n">
        <v>39.0551</v>
      </c>
      <c r="AE9" s="11" t="n">
        <v>40.7682</v>
      </c>
    </row>
    <row r="10">
      <c r="A10" s="5" t="inlineStr">
        <is>
          <t>영업이익</t>
        </is>
      </c>
      <c r="C10" s="6" t="n">
        <v>1.9722</v>
      </c>
      <c r="D10" s="6" t="n">
        <v>1.9464</v>
      </c>
      <c r="E10" s="6" t="n">
        <v>3.0337</v>
      </c>
      <c r="F10" s="6" t="n">
        <v>1.9143</v>
      </c>
      <c r="G10" s="6" t="n">
        <v>4.9449</v>
      </c>
      <c r="H10" s="6" t="n">
        <v>5.9673</v>
      </c>
      <c r="I10" s="6" t="n">
        <v>5.4687</v>
      </c>
      <c r="J10" s="6" t="n">
        <v>3.0682</v>
      </c>
      <c r="K10" s="6" t="n">
        <v>5.2513</v>
      </c>
      <c r="L10" s="6" t="n">
        <v>5.9398</v>
      </c>
      <c r="M10" s="6" t="n">
        <v>6.6762</v>
      </c>
      <c r="N10" s="6" t="n">
        <v>4.8713</v>
      </c>
      <c r="O10" s="6" t="n">
        <v>7.6898</v>
      </c>
      <c r="P10" s="6" t="n">
        <v>5.9627</v>
      </c>
      <c r="Q10" s="6" t="n">
        <v>6.4399</v>
      </c>
      <c r="R10" s="6" t="n">
        <v>5.4146</v>
      </c>
      <c r="S10" s="6" t="n">
        <v>5.8235</v>
      </c>
      <c r="T10" s="6" t="n">
        <v>6.1952</v>
      </c>
      <c r="U10" s="6" t="n">
        <v>8.1753</v>
      </c>
      <c r="V10" s="6" t="n">
        <v>8.451599999999999</v>
      </c>
      <c r="W10" s="6" t="n">
        <v>5.4392</v>
      </c>
      <c r="X10" s="6" t="n">
        <v>7.2759</v>
      </c>
      <c r="Y10" s="6" t="n">
        <v>11.3447</v>
      </c>
      <c r="Z10" s="6" t="n">
        <v>13.5621</v>
      </c>
      <c r="AA10" s="6" t="n">
        <v>8.8666</v>
      </c>
      <c r="AB10" s="6" t="n">
        <v>19.4492</v>
      </c>
      <c r="AC10" s="6" t="n">
        <v>22.7386</v>
      </c>
      <c r="AD10" s="6" t="n">
        <v>25.5069</v>
      </c>
      <c r="AE10" s="6" t="n">
        <v>28.6455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  <c r="AE11" s="9">
        <f>IF(OR(AE10="",AE4=""),"",IFERROR(AE10/AE4,""))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  <c r="AE12" s="9">
        <f>IF(OR(AE10="",AD10=""),"",IFERROR(AE10/AD10-1,""))</f>
        <v/>
      </c>
    </row>
    <row r="13">
      <c r="A13" s="10" t="inlineStr">
        <is>
          <t>이자·배당금 수익</t>
        </is>
      </c>
      <c r="C13" s="11" t="n">
        <v>0.0039</v>
      </c>
      <c r="D13" s="11" t="n">
        <v>0.0041</v>
      </c>
      <c r="G13" s="11" t="n">
        <v>0.0039</v>
      </c>
      <c r="H13" s="11" t="n">
        <v>0.0042</v>
      </c>
      <c r="K13" s="11" t="n">
        <v>0.0039</v>
      </c>
      <c r="L13" s="11" t="n">
        <v>0.0042</v>
      </c>
      <c r="M13" s="11" t="n">
        <v>0.004</v>
      </c>
      <c r="N13" s="11" t="n">
        <v>0.0059</v>
      </c>
      <c r="O13" s="11" t="n">
        <v>0.0001</v>
      </c>
      <c r="P13" s="11" t="n">
        <v>0.0288</v>
      </c>
      <c r="Q13" s="11" t="n">
        <v>0.0003</v>
      </c>
      <c r="R13" s="11" t="n">
        <v>0.0646</v>
      </c>
      <c r="S13" s="11" t="n">
        <v>0.0138</v>
      </c>
      <c r="T13" s="11" t="n">
        <v>0.075</v>
      </c>
      <c r="U13" s="11" t="n">
        <v>0.0011</v>
      </c>
      <c r="V13" s="11" t="n">
        <v>0.1138</v>
      </c>
      <c r="W13" s="11" t="n">
        <v>0.0003</v>
      </c>
      <c r="X13" s="11" t="n">
        <v>0.0195</v>
      </c>
      <c r="Y13" s="11" t="n">
        <v>0.0204</v>
      </c>
      <c r="Z13" s="11" t="n">
        <v>0.0162</v>
      </c>
      <c r="AA13" s="11" t="n">
        <v>0.0162</v>
      </c>
      <c r="AB13" s="11" t="n">
        <v>0.0163</v>
      </c>
      <c r="AC13" s="11" t="n">
        <v>0.0181</v>
      </c>
      <c r="AD13" s="11" t="n">
        <v>0.09379999999999999</v>
      </c>
      <c r="AE13" s="11" t="n">
        <v>0.2037</v>
      </c>
    </row>
    <row r="14">
      <c r="A14" s="10" t="inlineStr">
        <is>
          <t>보조금 수입</t>
        </is>
      </c>
      <c r="C14" s="11" t="n">
        <v>1.2163</v>
      </c>
      <c r="D14" s="11" t="n">
        <v>1.8096</v>
      </c>
      <c r="E14" s="11" t="n">
        <v>1.3237</v>
      </c>
      <c r="F14" s="11" t="n">
        <v>1.0808</v>
      </c>
      <c r="G14" s="11" t="n">
        <v>1.4078</v>
      </c>
      <c r="H14" s="11" t="n">
        <v>0.4842</v>
      </c>
      <c r="I14" s="11" t="n">
        <v>0.08740000000000001</v>
      </c>
      <c r="J14" s="11" t="n">
        <v>0.0388</v>
      </c>
      <c r="K14" s="11" t="n">
        <v>0.0382</v>
      </c>
      <c r="L14" s="11" t="n">
        <v>0.0067</v>
      </c>
      <c r="M14" s="11" t="n">
        <v>0.0949</v>
      </c>
      <c r="N14" s="11" t="n">
        <v>0.0034</v>
      </c>
      <c r="O14" s="11" t="n">
        <v>0</v>
      </c>
      <c r="P14" s="11" t="n">
        <v>0</v>
      </c>
      <c r="Q14" s="11" t="n">
        <v>0</v>
      </c>
      <c r="R14" s="11" t="n">
        <v>0</v>
      </c>
      <c r="V14" s="11" t="n">
        <v>0.0065</v>
      </c>
      <c r="W14" s="11" t="n">
        <v>0.0336</v>
      </c>
      <c r="X14" s="11" t="n">
        <v>0.067</v>
      </c>
      <c r="Y14" s="11" t="n">
        <v>0.3109</v>
      </c>
      <c r="Z14" s="11" t="n">
        <v>4.7161</v>
      </c>
      <c r="AA14" s="11" t="n">
        <v>5.4304</v>
      </c>
      <c r="AB14" s="11" t="n">
        <v>2.0182</v>
      </c>
      <c r="AC14" s="11" t="n">
        <v>0.1432</v>
      </c>
      <c r="AD14" s="11" t="n">
        <v>0</v>
      </c>
      <c r="AE14" s="11" t="n">
        <v>0.029</v>
      </c>
    </row>
    <row r="15">
      <c r="A15" s="10" t="inlineStr">
        <is>
          <t>보상금 수취</t>
        </is>
      </c>
      <c r="W15" s="11" t="n">
        <v>0.0094</v>
      </c>
      <c r="X15" s="11" t="n">
        <v>0.0041</v>
      </c>
    </row>
    <row r="16">
      <c r="A16" s="10" t="inlineStr">
        <is>
          <t>부동산 임대료</t>
        </is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0.0135</v>
      </c>
      <c r="P16" s="11" t="n">
        <v>0.0011</v>
      </c>
      <c r="Q16" s="11" t="n">
        <v>0.0011</v>
      </c>
      <c r="R16" s="11" t="n">
        <v>0.0011</v>
      </c>
      <c r="S16" s="11" t="n">
        <v>0.001</v>
      </c>
      <c r="T16" s="11" t="n">
        <v>0.0011</v>
      </c>
      <c r="U16" s="11" t="n">
        <v>0.0011</v>
      </c>
      <c r="V16" s="11" t="n">
        <v>0.0563</v>
      </c>
      <c r="AC16" s="11" t="n">
        <v>0</v>
      </c>
      <c r="AD16" s="11" t="n">
        <v>0.0168</v>
      </c>
      <c r="AE16" s="11" t="n">
        <v>0.0596</v>
      </c>
    </row>
    <row r="17">
      <c r="A17" s="10" t="inlineStr">
        <is>
          <t>보험 해약환급금</t>
        </is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0.0522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0.0378</v>
      </c>
      <c r="V17" s="11" t="n">
        <v>0</v>
      </c>
      <c r="AC17" s="11" t="n">
        <v>0</v>
      </c>
      <c r="AD17" s="11" t="n">
        <v>0.0522</v>
      </c>
      <c r="AE17" s="11" t="n">
        <v>0.0378</v>
      </c>
    </row>
    <row r="18">
      <c r="A18" s="10" t="inlineStr">
        <is>
          <t>위약금 수입</t>
        </is>
      </c>
      <c r="O18" s="11" t="n">
        <v>0</v>
      </c>
      <c r="S18" s="11" t="n">
        <v>0.008500000000000001</v>
      </c>
    </row>
    <row r="19">
      <c r="A19" s="10" t="inlineStr">
        <is>
          <t>물품 매각이익</t>
        </is>
      </c>
      <c r="O19" s="11" t="n">
        <v>0</v>
      </c>
      <c r="S19" s="11" t="n">
        <v>0.0062</v>
      </c>
    </row>
    <row r="20">
      <c r="A20" s="10" t="inlineStr">
        <is>
          <t>보조금 수입</t>
        </is>
      </c>
      <c r="M20" s="11" t="n">
        <v>0</v>
      </c>
      <c r="N20" s="11" t="n">
        <v>0.2609</v>
      </c>
      <c r="O20" s="11" t="n">
        <v>0</v>
      </c>
      <c r="P20" s="11" t="n">
        <v>0.1513</v>
      </c>
      <c r="Q20" s="11" t="n">
        <v>0.1767</v>
      </c>
      <c r="R20" s="11" t="n">
        <v>0</v>
      </c>
      <c r="S20" s="11" t="n">
        <v>0.0164</v>
      </c>
      <c r="T20" s="11" t="n">
        <v>0.2369</v>
      </c>
      <c r="U20" s="11" t="n">
        <v>0</v>
      </c>
      <c r="V20" s="11" t="n">
        <v>0</v>
      </c>
      <c r="AB20" s="11" t="n">
        <v>0</v>
      </c>
      <c r="AC20" s="11" t="n">
        <v>0.2609</v>
      </c>
      <c r="AD20" s="11" t="n">
        <v>0.328</v>
      </c>
      <c r="AE20" s="11" t="n">
        <v>0.2532</v>
      </c>
    </row>
    <row r="21">
      <c r="A21" s="10" t="inlineStr">
        <is>
          <t>기타</t>
        </is>
      </c>
      <c r="C21" s="11" t="n">
        <v>0.002</v>
      </c>
      <c r="D21" s="11" t="n">
        <v>0.0113</v>
      </c>
      <c r="E21" s="11" t="n">
        <v>0.03</v>
      </c>
      <c r="F21" s="11" t="n">
        <v>0.0188</v>
      </c>
      <c r="G21" s="11" t="n">
        <v>0.0127</v>
      </c>
      <c r="H21" s="11" t="n">
        <v>0.0209</v>
      </c>
      <c r="I21" s="11" t="n">
        <v>0.0596</v>
      </c>
      <c r="J21" s="11" t="n">
        <v>0.0102</v>
      </c>
      <c r="K21" s="11" t="n">
        <v>0.008200000000000001</v>
      </c>
      <c r="L21" s="11" t="n">
        <v>0.008200000000000001</v>
      </c>
      <c r="M21" s="11" t="n">
        <v>0.0169</v>
      </c>
      <c r="N21" s="11" t="n">
        <v>0.0021</v>
      </c>
      <c r="O21" s="11" t="n">
        <v>0.0007</v>
      </c>
      <c r="P21" s="11" t="n">
        <v>0.0005</v>
      </c>
      <c r="Q21" s="11" t="n">
        <v>0.0156</v>
      </c>
      <c r="R21" s="11" t="n">
        <v>0.0038</v>
      </c>
      <c r="S21" s="11" t="n">
        <v>0.0052</v>
      </c>
      <c r="T21" s="11" t="n">
        <v>0.0186</v>
      </c>
      <c r="U21" s="11" t="n">
        <v>0.0009</v>
      </c>
      <c r="V21" s="11" t="n">
        <v>0.0007</v>
      </c>
      <c r="W21" s="11" t="n">
        <v>0.007</v>
      </c>
      <c r="X21" s="11" t="n">
        <v>0.0189</v>
      </c>
      <c r="Y21" s="11" t="n">
        <v>0.0144</v>
      </c>
      <c r="Z21" s="11" t="n">
        <v>0.113</v>
      </c>
      <c r="AA21" s="11" t="n">
        <v>0.0621</v>
      </c>
      <c r="AB21" s="11" t="n">
        <v>0.1034</v>
      </c>
      <c r="AC21" s="11" t="n">
        <v>0.0354</v>
      </c>
      <c r="AD21" s="11" t="n">
        <v>0.0205</v>
      </c>
      <c r="AE21" s="11" t="n">
        <v>0.0253</v>
      </c>
    </row>
    <row r="22">
      <c r="A22" s="5" t="inlineStr">
        <is>
          <t>영업외수익 합계</t>
        </is>
      </c>
      <c r="C22" s="6" t="n">
        <v>1.2222</v>
      </c>
      <c r="D22" s="6" t="n">
        <v>1.8251</v>
      </c>
      <c r="E22" s="6" t="n">
        <v>1.3577</v>
      </c>
      <c r="F22" s="6" t="n">
        <v>1.1038</v>
      </c>
      <c r="G22" s="6" t="n">
        <v>1.4244</v>
      </c>
      <c r="H22" s="6" t="n">
        <v>0.5092</v>
      </c>
      <c r="I22" s="6" t="n">
        <v>0.151</v>
      </c>
      <c r="J22" s="6" t="n">
        <v>0.0532</v>
      </c>
      <c r="K22" s="6" t="n">
        <v>0.0503</v>
      </c>
      <c r="L22" s="6" t="n">
        <v>0.0192</v>
      </c>
      <c r="M22" s="6" t="n">
        <v>0.1157</v>
      </c>
      <c r="N22" s="6" t="n">
        <v>0.2723</v>
      </c>
      <c r="O22" s="6" t="n">
        <v>0.0664</v>
      </c>
      <c r="P22" s="6" t="n">
        <v>0.1816</v>
      </c>
      <c r="Q22" s="6" t="n">
        <v>0.1938</v>
      </c>
      <c r="R22" s="6" t="n">
        <v>0.06950000000000001</v>
      </c>
      <c r="S22" s="6" t="n">
        <v>0.0511</v>
      </c>
      <c r="T22" s="6" t="n">
        <v>0.3169</v>
      </c>
      <c r="U22" s="6" t="n">
        <v>0.0635</v>
      </c>
      <c r="V22" s="6" t="n">
        <v>0.1773</v>
      </c>
      <c r="W22" s="6" t="n">
        <v>0.0503</v>
      </c>
      <c r="X22" s="6" t="n">
        <v>0.1055</v>
      </c>
      <c r="Y22" s="6" t="n">
        <v>0.3457</v>
      </c>
      <c r="Z22" s="6" t="n">
        <v>4.8453</v>
      </c>
      <c r="AA22" s="6" t="n">
        <v>5.5087</v>
      </c>
      <c r="AB22" s="6" t="n">
        <v>2.1379</v>
      </c>
      <c r="AC22" s="6" t="n">
        <v>0.4576</v>
      </c>
      <c r="AD22" s="6" t="n">
        <v>0.5113</v>
      </c>
      <c r="AE22" s="6" t="n">
        <v>0.6087</v>
      </c>
    </row>
    <row r="23">
      <c r="A23" s="10" t="inlineStr">
        <is>
          <t>이자비용</t>
        </is>
      </c>
      <c r="C23" s="11" t="n">
        <v>0.0092</v>
      </c>
      <c r="D23" s="11" t="n">
        <v>0.008999999999999999</v>
      </c>
      <c r="E23" s="11" t="n">
        <v>0.009599999999999999</v>
      </c>
      <c r="F23" s="11" t="n">
        <v>0.0073</v>
      </c>
      <c r="G23" s="11" t="n">
        <v>0.0075</v>
      </c>
      <c r="H23" s="11" t="n">
        <v>0.0071</v>
      </c>
      <c r="I23" s="11" t="n">
        <v>0.0054</v>
      </c>
      <c r="J23" s="11" t="n">
        <v>0.0021</v>
      </c>
      <c r="K23" s="11" t="n">
        <v>0.0022</v>
      </c>
      <c r="L23" s="11" t="n">
        <v>0.0025</v>
      </c>
      <c r="M23" s="11" t="n">
        <v>0.0023</v>
      </c>
      <c r="N23" s="11" t="n">
        <v>0.0015</v>
      </c>
      <c r="O23" s="11" t="n">
        <v>0.0018</v>
      </c>
      <c r="P23" s="11" t="n">
        <v>0.0009</v>
      </c>
      <c r="Q23" s="11" t="n">
        <v>0.0009</v>
      </c>
      <c r="R23" s="11" t="n">
        <v>0.0007</v>
      </c>
      <c r="S23" s="11" t="n">
        <v>0.0005</v>
      </c>
      <c r="T23" s="11" t="n">
        <v>0.0004</v>
      </c>
      <c r="U23" s="11" t="n">
        <v>0.0002</v>
      </c>
      <c r="V23" s="11" t="n">
        <v>0</v>
      </c>
      <c r="W23" s="11" t="n">
        <v>0.0086</v>
      </c>
      <c r="X23" s="11" t="n">
        <v>0.008200000000000001</v>
      </c>
      <c r="Y23" s="11" t="n">
        <v>0.0225</v>
      </c>
      <c r="Z23" s="11" t="n">
        <v>0.0404</v>
      </c>
      <c r="AA23" s="11" t="n">
        <v>0.0351</v>
      </c>
      <c r="AB23" s="11" t="n">
        <v>0.0221</v>
      </c>
      <c r="AC23" s="11" t="n">
        <v>0.008500000000000001</v>
      </c>
      <c r="AD23" s="11" t="n">
        <v>0.0043</v>
      </c>
      <c r="AE23" s="11" t="n">
        <v>0.0012</v>
      </c>
    </row>
    <row r="24">
      <c r="A24" s="10" t="inlineStr">
        <is>
          <t>시장 변경 비용</t>
        </is>
      </c>
      <c r="W24" s="11" t="n">
        <v>0.2237</v>
      </c>
      <c r="X24" s="11" t="n">
        <v>0</v>
      </c>
    </row>
    <row r="25">
      <c r="A25" s="10" t="inlineStr">
        <is>
          <t>잡손실</t>
        </is>
      </c>
      <c r="C25" s="11" t="n">
        <v>0</v>
      </c>
    </row>
    <row r="26">
      <c r="A26" s="10" t="inlineStr">
        <is>
          <t>지급수수료</t>
        </is>
      </c>
      <c r="I26" s="11" t="n">
        <v>0</v>
      </c>
      <c r="J26" s="11" t="n">
        <v>0</v>
      </c>
      <c r="K26" s="11" t="n">
        <v>0</v>
      </c>
      <c r="L26" s="11" t="n">
        <v>0.004</v>
      </c>
      <c r="M26" s="11" t="n">
        <v>0.0021</v>
      </c>
      <c r="N26" s="11" t="n">
        <v>0.0043</v>
      </c>
      <c r="O26" s="11" t="n">
        <v>0.001</v>
      </c>
      <c r="P26" s="11" t="n">
        <v>0.0102</v>
      </c>
      <c r="Q26" s="11" t="n">
        <v>0.0029</v>
      </c>
      <c r="R26" s="11" t="n">
        <v>0.0095</v>
      </c>
      <c r="S26" s="11" t="n">
        <v>0.0013</v>
      </c>
      <c r="T26" s="11" t="n">
        <v>0.008</v>
      </c>
      <c r="U26" s="11" t="n">
        <v>-0.004</v>
      </c>
      <c r="V26" s="11" t="n">
        <v>0.0065</v>
      </c>
      <c r="AB26" s="11" t="n">
        <v>0</v>
      </c>
      <c r="AC26" s="11" t="n">
        <v>0.0105</v>
      </c>
      <c r="AD26" s="11" t="n">
        <v>0.0236</v>
      </c>
      <c r="AE26" s="11" t="n">
        <v>0.0119</v>
      </c>
    </row>
    <row r="27">
      <c r="A27" s="10" t="inlineStr">
        <is>
          <t>기타</t>
        </is>
      </c>
      <c r="G27" s="11" t="n">
        <v>0</v>
      </c>
      <c r="K27" s="11" t="n">
        <v>0.0018</v>
      </c>
      <c r="L27" s="11" t="n">
        <v>-0.0018</v>
      </c>
      <c r="M27" s="11" t="n">
        <v>0</v>
      </c>
      <c r="N27" s="11" t="n">
        <v>0.0001</v>
      </c>
      <c r="O27" s="11" t="n">
        <v>0.0001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  <c r="V27" s="11" t="n">
        <v>0</v>
      </c>
      <c r="W27" s="11" t="n">
        <v>0</v>
      </c>
      <c r="X27" s="11" t="n">
        <v>0.0005</v>
      </c>
      <c r="Y27" s="11" t="n">
        <v>0.0155</v>
      </c>
      <c r="Z27" s="11" t="n">
        <v>0</v>
      </c>
      <c r="AA27" s="11" t="n">
        <v>0</v>
      </c>
      <c r="AB27" s="11" t="n">
        <v>0</v>
      </c>
      <c r="AC27" s="11" t="n">
        <v>0.0001</v>
      </c>
      <c r="AD27" s="11" t="n">
        <v>0.0001</v>
      </c>
      <c r="AE27" s="11" t="n">
        <v>0</v>
      </c>
    </row>
    <row r="28">
      <c r="A28" s="10" t="inlineStr">
        <is>
          <t>영업외비용 합계</t>
        </is>
      </c>
      <c r="C28" s="11" t="n">
        <v>0.0092</v>
      </c>
      <c r="D28" s="11" t="n">
        <v>0.008999999999999999</v>
      </c>
      <c r="E28" s="11" t="n">
        <v>0.009599999999999999</v>
      </c>
      <c r="F28" s="11" t="n">
        <v>0.0073</v>
      </c>
      <c r="G28" s="11" t="n">
        <v>0.0075</v>
      </c>
      <c r="H28" s="11" t="n">
        <v>0.0071</v>
      </c>
      <c r="I28" s="11" t="n">
        <v>0.0054</v>
      </c>
      <c r="J28" s="11" t="n">
        <v>0.0021</v>
      </c>
      <c r="K28" s="11" t="n">
        <v>0.0041</v>
      </c>
      <c r="L28" s="11" t="n">
        <v>0.0047</v>
      </c>
      <c r="M28" s="11" t="n">
        <v>0.0044</v>
      </c>
      <c r="N28" s="11" t="n">
        <v>0.0059</v>
      </c>
      <c r="O28" s="11" t="n">
        <v>0.0028</v>
      </c>
      <c r="P28" s="11" t="n">
        <v>0.0111</v>
      </c>
      <c r="Q28" s="11" t="n">
        <v>0.0038</v>
      </c>
      <c r="R28" s="11" t="n">
        <v>0.0102</v>
      </c>
      <c r="S28" s="11" t="n">
        <v>0.0018</v>
      </c>
      <c r="T28" s="11" t="n">
        <v>0.008399999999999999</v>
      </c>
      <c r="U28" s="11" t="n">
        <v>-0.0037</v>
      </c>
      <c r="V28" s="11" t="n">
        <v>0.0066</v>
      </c>
      <c r="W28" s="11" t="n">
        <v>0.2324</v>
      </c>
      <c r="X28" s="11" t="n">
        <v>0.0086</v>
      </c>
      <c r="Y28" s="11" t="n">
        <v>0.038</v>
      </c>
      <c r="Z28" s="11" t="n">
        <v>0.0404</v>
      </c>
      <c r="AA28" s="11" t="n">
        <v>0.0351</v>
      </c>
      <c r="AB28" s="11" t="n">
        <v>0.0221</v>
      </c>
      <c r="AC28" s="11" t="n">
        <v>0.0191</v>
      </c>
      <c r="AD28" s="11" t="n">
        <v>0.0279</v>
      </c>
      <c r="AE28" s="11" t="n">
        <v>0.0131</v>
      </c>
    </row>
    <row r="29">
      <c r="A29" s="5" t="inlineStr">
        <is>
          <t>경상이익</t>
        </is>
      </c>
      <c r="C29" s="6" t="n">
        <v>3.1852</v>
      </c>
      <c r="D29" s="6" t="n">
        <v>3.7625</v>
      </c>
      <c r="E29" s="6" t="n">
        <v>4.3818</v>
      </c>
      <c r="F29" s="6" t="n">
        <v>3.0108</v>
      </c>
      <c r="G29" s="6" t="n">
        <v>6.3619</v>
      </c>
      <c r="H29" s="6" t="n">
        <v>6.4694</v>
      </c>
      <c r="I29" s="6" t="n">
        <v>5.6143</v>
      </c>
      <c r="J29" s="6" t="n">
        <v>3.1194</v>
      </c>
      <c r="K29" s="6" t="n">
        <v>5.2975</v>
      </c>
      <c r="L29" s="6" t="n">
        <v>5.9543</v>
      </c>
      <c r="M29" s="6" t="n">
        <v>6.7875</v>
      </c>
      <c r="N29" s="6" t="n">
        <v>5.1377</v>
      </c>
      <c r="O29" s="6" t="n">
        <v>7.7534</v>
      </c>
      <c r="P29" s="6" t="n">
        <v>6.1332</v>
      </c>
      <c r="Q29" s="6" t="n">
        <v>6.6298</v>
      </c>
      <c r="R29" s="6" t="n">
        <v>5.474</v>
      </c>
      <c r="S29" s="6" t="n">
        <v>5.8727</v>
      </c>
      <c r="T29" s="6" t="n">
        <v>6.5036</v>
      </c>
      <c r="U29" s="6" t="n">
        <v>8.2425</v>
      </c>
      <c r="V29" s="6" t="n">
        <v>8.622299999999999</v>
      </c>
      <c r="W29" s="6" t="n">
        <v>5.2571</v>
      </c>
      <c r="X29" s="6" t="n">
        <v>7.3727</v>
      </c>
      <c r="Y29" s="6" t="n">
        <v>11.6524</v>
      </c>
      <c r="Z29" s="6" t="n">
        <v>18.367</v>
      </c>
      <c r="AA29" s="6" t="n">
        <v>14.3402</v>
      </c>
      <c r="AB29" s="6" t="n">
        <v>21.565</v>
      </c>
      <c r="AC29" s="6" t="n">
        <v>23.1771</v>
      </c>
      <c r="AD29" s="6" t="n">
        <v>25.9904</v>
      </c>
      <c r="AE29" s="6" t="n">
        <v>29.2411</v>
      </c>
    </row>
    <row r="30">
      <c r="A30" s="8" t="inlineStr">
        <is>
          <t>경상이익률</t>
        </is>
      </c>
      <c r="C30" s="9">
        <f>IF(OR(C29="",C4=""),"",IFERROR(C29/C4,""))</f>
        <v/>
      </c>
      <c r="D30" s="9">
        <f>IF(OR(D29="",D4=""),"",IFERROR(D29/D4,""))</f>
        <v/>
      </c>
      <c r="E30" s="9">
        <f>IF(OR(E29="",E4=""),"",IFERROR(E29/E4,""))</f>
        <v/>
      </c>
      <c r="F30" s="9">
        <f>IF(OR(F29="",F4=""),"",IFERROR(F29/F4,""))</f>
        <v/>
      </c>
      <c r="G30" s="9">
        <f>IF(OR(G29="",G4=""),"",IFERROR(G29/G4,""))</f>
        <v/>
      </c>
      <c r="H30" s="9">
        <f>IF(OR(H29="",H4=""),"",IFERROR(H29/H4,""))</f>
        <v/>
      </c>
      <c r="I30" s="9">
        <f>IF(OR(I29="",I4=""),"",IFERROR(I29/I4,""))</f>
        <v/>
      </c>
      <c r="J30" s="9">
        <f>IF(OR(J29="",J4=""),"",IFERROR(J29/J4,""))</f>
        <v/>
      </c>
      <c r="K30" s="9">
        <f>IF(OR(K29="",K4=""),"",IFERROR(K29/K4,""))</f>
        <v/>
      </c>
      <c r="L30" s="9">
        <f>IF(OR(L29="",L4=""),"",IFERROR(L29/L4,""))</f>
        <v/>
      </c>
      <c r="M30" s="9">
        <f>IF(OR(M29="",M4=""),"",IFERROR(M29/M4,""))</f>
        <v/>
      </c>
      <c r="N30" s="9">
        <f>IF(OR(N29="",N4=""),"",IFERROR(N29/N4,""))</f>
        <v/>
      </c>
      <c r="O30" s="9">
        <f>IF(OR(O29="",O4=""),"",IFERROR(O29/O4,""))</f>
        <v/>
      </c>
      <c r="P30" s="9">
        <f>IF(OR(P29="",P4=""),"",IFERROR(P29/P4,""))</f>
        <v/>
      </c>
      <c r="Q30" s="9">
        <f>IF(OR(Q29="",Q4=""),"",IFERROR(Q29/Q4,""))</f>
        <v/>
      </c>
      <c r="R30" s="9">
        <f>IF(OR(R29="",R4=""),"",IFERROR(R29/R4,""))</f>
        <v/>
      </c>
      <c r="S30" s="9">
        <f>IF(OR(S29="",S4=""),"",IFERROR(S29/S4,""))</f>
        <v/>
      </c>
      <c r="T30" s="9">
        <f>IF(OR(T29="",T4=""),"",IFERROR(T29/T4,""))</f>
        <v/>
      </c>
      <c r="U30" s="9">
        <f>IF(OR(U29="",U4=""),"",IFERROR(U29/U4,""))</f>
        <v/>
      </c>
      <c r="V30" s="9">
        <f>IF(OR(V29="",V4=""),"",IFERROR(V29/V4,""))</f>
        <v/>
      </c>
      <c r="W30" s="9">
        <f>IF(OR(W29="",W4=""),"",IFERROR(W29/W4,""))</f>
        <v/>
      </c>
      <c r="X30" s="9">
        <f>IF(OR(X29="",X4=""),"",IFERROR(X29/X4,""))</f>
        <v/>
      </c>
      <c r="Y30" s="9">
        <f>IF(OR(Y29="",Y4=""),"",IFERROR(Y29/Y4,""))</f>
        <v/>
      </c>
      <c r="Z30" s="9">
        <f>IF(OR(Z29="",Z4=""),"",IFERROR(Z29/Z4,""))</f>
        <v/>
      </c>
      <c r="AA30" s="9">
        <f>IF(OR(AA29="",AA4=""),"",IFERROR(AA29/AA4,""))</f>
        <v/>
      </c>
      <c r="AB30" s="9">
        <f>IF(OR(AB29="",AB4=""),"",IFERROR(AB29/AB4,""))</f>
        <v/>
      </c>
      <c r="AC30" s="9">
        <f>IF(OR(AC29="",AC4=""),"",IFERROR(AC29/AC4,""))</f>
        <v/>
      </c>
      <c r="AD30" s="9">
        <f>IF(OR(AD29="",AD4=""),"",IFERROR(AD29/AD4,""))</f>
        <v/>
      </c>
      <c r="AE30" s="9">
        <f>IF(OR(AE29="",AE4=""),"",IFERROR(AE29/AE4,""))</f>
        <v/>
      </c>
    </row>
    <row r="31">
      <c r="A31" s="10" t="inlineStr">
        <is>
          <t>신주예약권 환입이익</t>
        </is>
      </c>
      <c r="C31" s="11" t="n">
        <v>0</v>
      </c>
      <c r="D31" s="11" t="n">
        <v>0</v>
      </c>
      <c r="E31" s="11" t="n">
        <v>0</v>
      </c>
      <c r="F31" s="11" t="n">
        <v>0.0044</v>
      </c>
      <c r="G31" s="11" t="n">
        <v>0.001</v>
      </c>
      <c r="H31" s="11" t="n">
        <v>0.0004</v>
      </c>
      <c r="I31" s="11" t="n">
        <v>0.0023</v>
      </c>
      <c r="J31" s="11" t="n">
        <v>0</v>
      </c>
      <c r="K31" s="11" t="n">
        <v>0.001</v>
      </c>
      <c r="L31" s="11" t="n">
        <v>0.0026</v>
      </c>
      <c r="M31" s="11" t="n">
        <v>0.027</v>
      </c>
      <c r="N31" s="11" t="n">
        <v>0.0305</v>
      </c>
      <c r="O31" s="11" t="n">
        <v>0.0002</v>
      </c>
      <c r="P31" s="11" t="n">
        <v>0</v>
      </c>
      <c r="Q31" s="11" t="n">
        <v>0.0042</v>
      </c>
      <c r="R31" s="11" t="n">
        <v>0.0183</v>
      </c>
      <c r="S31" s="11" t="n">
        <v>0</v>
      </c>
      <c r="T31" s="11" t="n">
        <v>0.0095</v>
      </c>
      <c r="U31" s="11" t="n">
        <v>0.0012</v>
      </c>
      <c r="V31" s="11" t="n">
        <v>0</v>
      </c>
      <c r="W31" s="11" t="n">
        <v>0</v>
      </c>
      <c r="X31" s="11" t="n">
        <v>0.0015</v>
      </c>
      <c r="Y31" s="11" t="n">
        <v>0.0023</v>
      </c>
      <c r="Z31" s="11" t="n">
        <v>0.0016</v>
      </c>
      <c r="AA31" s="11" t="n">
        <v>0.0044</v>
      </c>
      <c r="AB31" s="11" t="n">
        <v>0.0037</v>
      </c>
      <c r="AC31" s="11" t="n">
        <v>0.0609</v>
      </c>
      <c r="AD31" s="11" t="n">
        <v>0.0226</v>
      </c>
      <c r="AE31" s="11" t="n">
        <v>0.0107</v>
      </c>
    </row>
    <row r="32">
      <c r="A32" s="10" t="inlineStr">
        <is>
          <t>고정자산 매각이익</t>
        </is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0.0035</v>
      </c>
      <c r="T32" s="11" t="n">
        <v>0.0008</v>
      </c>
      <c r="U32" s="11" t="n">
        <v>0</v>
      </c>
      <c r="V32" s="11" t="n">
        <v>0</v>
      </c>
      <c r="AD32" s="11" t="n">
        <v>0</v>
      </c>
      <c r="AE32" s="11" t="n">
        <v>0.0043</v>
      </c>
    </row>
    <row r="33">
      <c r="A33" s="10" t="inlineStr">
        <is>
          <t>투자유가증권 매각이익</t>
        </is>
      </c>
      <c r="R33" s="11" t="n">
        <v>0</v>
      </c>
      <c r="V33" s="11" t="n">
        <v>0</v>
      </c>
      <c r="AD33" s="11" t="n">
        <v>0</v>
      </c>
      <c r="AE33" s="11" t="n">
        <v>0.32</v>
      </c>
    </row>
    <row r="34">
      <c r="A34" s="10" t="inlineStr">
        <is>
          <t>특별이익 합계</t>
        </is>
      </c>
      <c r="C34" s="11" t="n">
        <v>0</v>
      </c>
      <c r="D34" s="11" t="n">
        <v>0</v>
      </c>
      <c r="E34" s="11" t="n">
        <v>0</v>
      </c>
      <c r="F34" s="11" t="n">
        <v>0.0044</v>
      </c>
      <c r="G34" s="11" t="n">
        <v>0.001</v>
      </c>
      <c r="H34" s="11" t="n">
        <v>0.0004</v>
      </c>
      <c r="I34" s="11" t="n">
        <v>0.0023</v>
      </c>
      <c r="J34" s="11" t="n">
        <v>0</v>
      </c>
      <c r="K34" s="11" t="n">
        <v>0.001</v>
      </c>
      <c r="L34" s="11" t="n">
        <v>0.0026</v>
      </c>
      <c r="M34" s="11" t="n">
        <v>0.027</v>
      </c>
      <c r="N34" s="11" t="n">
        <v>0.0305</v>
      </c>
      <c r="O34" s="11" t="n">
        <v>0.0002</v>
      </c>
      <c r="P34" s="11" t="n">
        <v>0</v>
      </c>
      <c r="Q34" s="11" t="n">
        <v>0.0042</v>
      </c>
      <c r="R34" s="11" t="n">
        <v>0.0183</v>
      </c>
      <c r="S34" s="11" t="n">
        <v>0.0035</v>
      </c>
      <c r="T34" s="11" t="n">
        <v>0.0103</v>
      </c>
      <c r="U34" s="11" t="n">
        <v>0.3212</v>
      </c>
      <c r="V34" s="11" t="n">
        <v>0</v>
      </c>
      <c r="W34" s="11" t="n">
        <v>0</v>
      </c>
      <c r="X34" s="11" t="n">
        <v>0.0015</v>
      </c>
      <c r="Y34" s="11" t="n">
        <v>0.0023</v>
      </c>
      <c r="Z34" s="11" t="n">
        <v>0.0016</v>
      </c>
      <c r="AA34" s="11" t="n">
        <v>0.0044</v>
      </c>
      <c r="AB34" s="11" t="n">
        <v>0.0037</v>
      </c>
      <c r="AC34" s="11" t="n">
        <v>0.0609</v>
      </c>
      <c r="AD34" s="11" t="n">
        <v>0.0226</v>
      </c>
      <c r="AE34" s="11" t="n">
        <v>0.335</v>
      </c>
    </row>
    <row r="35">
      <c r="A35" s="10" t="inlineStr">
        <is>
          <t>고정자산 제각손실</t>
        </is>
      </c>
      <c r="E35" s="11" t="n">
        <v>0.0012</v>
      </c>
      <c r="F35" s="11" t="n">
        <v>0.0048</v>
      </c>
      <c r="I35" s="11" t="n">
        <v>0</v>
      </c>
      <c r="J35" s="11" t="n">
        <v>0.005</v>
      </c>
      <c r="M35" s="11" t="n">
        <v>0</v>
      </c>
      <c r="N35" s="11" t="n">
        <v>0.0064</v>
      </c>
      <c r="Q35" s="11" t="n">
        <v>0</v>
      </c>
      <c r="R35" s="11" t="n">
        <v>0</v>
      </c>
      <c r="U35" s="11" t="n">
        <v>0</v>
      </c>
      <c r="V35" s="11" t="n">
        <v>0</v>
      </c>
      <c r="W35" s="11" t="n">
        <v>0</v>
      </c>
      <c r="X35" s="11" t="n">
        <v>0.0192</v>
      </c>
      <c r="Y35" s="11" t="n">
        <v>0</v>
      </c>
      <c r="Z35" s="11" t="n">
        <v>0.0057</v>
      </c>
      <c r="AA35" s="11" t="n">
        <v>0.0061</v>
      </c>
      <c r="AB35" s="11" t="n">
        <v>0.005</v>
      </c>
      <c r="AC35" s="11" t="n">
        <v>0.0073</v>
      </c>
      <c r="AD35" s="11" t="n">
        <v>0.0022</v>
      </c>
      <c r="AE35" s="11" t="n">
        <v>0</v>
      </c>
    </row>
    <row r="36">
      <c r="A36" s="10" t="inlineStr">
        <is>
          <t>손상차손</t>
        </is>
      </c>
      <c r="W36" s="11" t="n">
        <v>0.3722</v>
      </c>
      <c r="X36" s="11" t="n">
        <v>0.3614</v>
      </c>
      <c r="Y36" s="11" t="n">
        <v>0.1383</v>
      </c>
      <c r="Z36" s="11" t="n">
        <v>0</v>
      </c>
    </row>
    <row r="37">
      <c r="A37" s="10" t="inlineStr">
        <is>
          <t>관계회사 주식 평가손실</t>
        </is>
      </c>
      <c r="W37" s="11" t="n">
        <v>0.0086</v>
      </c>
      <c r="X37" s="11" t="n">
        <v>0</v>
      </c>
    </row>
    <row r="38">
      <c r="A38" s="10" t="inlineStr">
        <is>
          <t>투자유가증권 평가손실</t>
        </is>
      </c>
      <c r="E38" s="11" t="n">
        <v>0.06</v>
      </c>
      <c r="F38" s="11" t="n">
        <v>0.0471</v>
      </c>
      <c r="G38" s="11" t="n">
        <v>0</v>
      </c>
      <c r="H38" s="11" t="n">
        <v>0.0365</v>
      </c>
      <c r="I38" s="11" t="n">
        <v>0.0563</v>
      </c>
      <c r="J38" s="11" t="n">
        <v>0</v>
      </c>
      <c r="K38" s="11" t="n">
        <v>0.0334</v>
      </c>
      <c r="L38" s="11" t="n">
        <v>0</v>
      </c>
      <c r="M38" s="11" t="n">
        <v>0.0108</v>
      </c>
      <c r="N38" s="11" t="n">
        <v>0.0102</v>
      </c>
      <c r="O38" s="11" t="n">
        <v>0</v>
      </c>
      <c r="P38" s="11" t="n">
        <v>0</v>
      </c>
      <c r="Q38" s="11" t="n">
        <v>0</v>
      </c>
      <c r="R38" s="11" t="n">
        <v>0</v>
      </c>
      <c r="X38" s="11" t="n">
        <v>0</v>
      </c>
      <c r="Y38" s="11" t="n">
        <v>0.8843</v>
      </c>
      <c r="Z38" s="11" t="n">
        <v>0.1567</v>
      </c>
      <c r="AA38" s="11" t="n">
        <v>0.1071</v>
      </c>
      <c r="AB38" s="11" t="n">
        <v>0.09279999999999999</v>
      </c>
      <c r="AC38" s="11" t="n">
        <v>0.0544</v>
      </c>
      <c r="AD38" s="11" t="n">
        <v>0</v>
      </c>
    </row>
    <row r="39">
      <c r="A39" s="10" t="inlineStr">
        <is>
          <t>특별손실 합계</t>
        </is>
      </c>
      <c r="E39" s="11" t="n">
        <v>0.0612</v>
      </c>
      <c r="F39" s="11" t="n">
        <v>0.052</v>
      </c>
      <c r="G39" s="11" t="n">
        <v>0</v>
      </c>
      <c r="H39" s="11" t="n">
        <v>0.0365</v>
      </c>
      <c r="I39" s="11" t="n">
        <v>0.0563</v>
      </c>
      <c r="J39" s="11" t="n">
        <v>0.005</v>
      </c>
      <c r="K39" s="11" t="n">
        <v>0.0334</v>
      </c>
      <c r="L39" s="11" t="n">
        <v>0.0009</v>
      </c>
      <c r="M39" s="11" t="n">
        <v>0.0109</v>
      </c>
      <c r="N39" s="11" t="n">
        <v>0.0166</v>
      </c>
      <c r="O39" s="11" t="n">
        <v>0</v>
      </c>
      <c r="P39" s="11" t="n">
        <v>0.0022</v>
      </c>
      <c r="Q39" s="11" t="n">
        <v>0</v>
      </c>
      <c r="R39" s="11" t="n">
        <v>0</v>
      </c>
      <c r="U39" s="11" t="n">
        <v>0</v>
      </c>
      <c r="V39" s="11" t="n">
        <v>0</v>
      </c>
      <c r="W39" s="11" t="n">
        <v>0.3808</v>
      </c>
      <c r="X39" s="11" t="n">
        <v>0.3806</v>
      </c>
      <c r="Y39" s="11" t="n">
        <v>1.0225</v>
      </c>
      <c r="Z39" s="11" t="n">
        <v>0.1624</v>
      </c>
      <c r="AA39" s="11" t="n">
        <v>0.1132</v>
      </c>
      <c r="AB39" s="11" t="n">
        <v>0.0979</v>
      </c>
      <c r="AC39" s="11" t="n">
        <v>0.0617</v>
      </c>
      <c r="AD39" s="11" t="n">
        <v>0.0022</v>
      </c>
      <c r="AE39" s="11" t="n">
        <v>0</v>
      </c>
    </row>
    <row r="40">
      <c r="A40" s="10" t="inlineStr">
        <is>
          <t>법인세차감전 순이익</t>
        </is>
      </c>
      <c r="C40" s="11" t="n">
        <v>3.1852</v>
      </c>
      <c r="D40" s="11" t="n">
        <v>3.7625</v>
      </c>
      <c r="E40" s="11" t="n">
        <v>4.3206</v>
      </c>
      <c r="F40" s="11" t="n">
        <v>2.9632</v>
      </c>
      <c r="G40" s="11" t="n">
        <v>6.3629</v>
      </c>
      <c r="H40" s="11" t="n">
        <v>6.4333</v>
      </c>
      <c r="I40" s="11" t="n">
        <v>5.5603</v>
      </c>
      <c r="J40" s="11" t="n">
        <v>3.1144</v>
      </c>
      <c r="K40" s="11" t="n">
        <v>5.2651</v>
      </c>
      <c r="L40" s="11" t="n">
        <v>5.9559</v>
      </c>
      <c r="M40" s="11" t="n">
        <v>6.8037</v>
      </c>
      <c r="N40" s="11" t="n">
        <v>5.1516</v>
      </c>
      <c r="O40" s="11" t="n">
        <v>7.7536</v>
      </c>
      <c r="P40" s="11" t="n">
        <v>6.1311</v>
      </c>
      <c r="Q40" s="11" t="n">
        <v>6.6339</v>
      </c>
      <c r="R40" s="11" t="n">
        <v>5.4922</v>
      </c>
      <c r="S40" s="11" t="n">
        <v>5.8762</v>
      </c>
      <c r="T40" s="11" t="n">
        <v>6.5139</v>
      </c>
      <c r="U40" s="11" t="n">
        <v>8.563700000000001</v>
      </c>
      <c r="V40" s="11" t="n">
        <v>8.622299999999999</v>
      </c>
      <c r="W40" s="11" t="n">
        <v>4.8764</v>
      </c>
      <c r="X40" s="11" t="n">
        <v>6.9937</v>
      </c>
      <c r="Y40" s="11" t="n">
        <v>10.6322</v>
      </c>
      <c r="Z40" s="11" t="n">
        <v>18.2062</v>
      </c>
      <c r="AA40" s="11" t="n">
        <v>14.2315</v>
      </c>
      <c r="AB40" s="11" t="n">
        <v>21.4708</v>
      </c>
      <c r="AC40" s="11" t="n">
        <v>23.1763</v>
      </c>
      <c r="AD40" s="11" t="n">
        <v>26.0108</v>
      </c>
      <c r="AE40" s="11" t="n">
        <v>29.5761</v>
      </c>
    </row>
    <row r="41">
      <c r="A41" s="10" t="inlineStr">
        <is>
          <t>법인세·주민세·사업세</t>
        </is>
      </c>
      <c r="C41" s="11" t="n">
        <v>2.8404</v>
      </c>
      <c r="D41" s="11" t="n">
        <v>-0.3791</v>
      </c>
      <c r="E41" s="11" t="n">
        <v>3.1983</v>
      </c>
      <c r="F41" s="11" t="n">
        <v>-0.527</v>
      </c>
      <c r="G41" s="11" t="n">
        <v>3.4211</v>
      </c>
      <c r="H41" s="11" t="n">
        <v>0.7138</v>
      </c>
      <c r="I41" s="11" t="n">
        <v>4.0163</v>
      </c>
      <c r="J41" s="11" t="n">
        <v>-0.8808</v>
      </c>
      <c r="K41" s="11" t="n">
        <v>3.7666</v>
      </c>
      <c r="L41" s="11" t="n">
        <v>-0.4326</v>
      </c>
      <c r="M41" s="11" t="n">
        <v>4.8152</v>
      </c>
      <c r="N41" s="11" t="n">
        <v>-0.5328000000000001</v>
      </c>
      <c r="O41" s="11" t="n">
        <v>4.5668</v>
      </c>
      <c r="P41" s="11" t="n">
        <v>-0.08119999999999999</v>
      </c>
      <c r="Q41" s="11" t="n">
        <v>4.7343</v>
      </c>
      <c r="R41" s="11" t="n">
        <v>-0.2621</v>
      </c>
      <c r="S41" s="11" t="n">
        <v>4.3056</v>
      </c>
      <c r="T41" s="11" t="n">
        <v>0.9766</v>
      </c>
      <c r="U41" s="11" t="n">
        <v>5.1627</v>
      </c>
      <c r="V41" s="11" t="n">
        <v>0.9926</v>
      </c>
      <c r="W41" s="11" t="n">
        <v>2.2593</v>
      </c>
      <c r="X41" s="11" t="n">
        <v>3.5661</v>
      </c>
      <c r="Y41" s="11" t="n">
        <v>5.1613</v>
      </c>
      <c r="Z41" s="11" t="n">
        <v>5.9199</v>
      </c>
      <c r="AA41" s="11" t="n">
        <v>5.1326</v>
      </c>
      <c r="AB41" s="11" t="n">
        <v>7.2704</v>
      </c>
      <c r="AC41" s="11" t="n">
        <v>7.6165</v>
      </c>
      <c r="AD41" s="11" t="n">
        <v>8.9579</v>
      </c>
      <c r="AE41" s="11" t="n">
        <v>11.4374</v>
      </c>
    </row>
    <row r="42">
      <c r="A42" s="10" t="inlineStr">
        <is>
          <t>법인세 조정액</t>
        </is>
      </c>
      <c r="C42" s="11" t="n">
        <v>-1.3622</v>
      </c>
      <c r="D42" s="11" t="n">
        <v>1.2686</v>
      </c>
      <c r="E42" s="11" t="n">
        <v>-1.4729</v>
      </c>
      <c r="F42" s="11" t="n">
        <v>1.0037</v>
      </c>
      <c r="G42" s="11" t="n">
        <v>-1.1138</v>
      </c>
      <c r="H42" s="11" t="n">
        <v>1.2227</v>
      </c>
      <c r="I42" s="11" t="n">
        <v>-1.8537</v>
      </c>
      <c r="J42" s="11" t="n">
        <v>1.2207</v>
      </c>
      <c r="K42" s="11" t="n">
        <v>-1.5094</v>
      </c>
      <c r="L42" s="11" t="n">
        <v>1.7002</v>
      </c>
      <c r="M42" s="11" t="n">
        <v>-1.8302</v>
      </c>
      <c r="N42" s="11" t="n">
        <v>1.442</v>
      </c>
      <c r="O42" s="11" t="n">
        <v>-1.626</v>
      </c>
      <c r="P42" s="11" t="n">
        <v>1.8351</v>
      </c>
      <c r="Q42" s="11" t="n">
        <v>-2.0621</v>
      </c>
      <c r="R42" s="11" t="n">
        <v>1.809</v>
      </c>
      <c r="S42" s="11" t="n">
        <v>-1.9991</v>
      </c>
      <c r="T42" s="11" t="n">
        <v>2.0105</v>
      </c>
      <c r="U42" s="11" t="n">
        <v>-1.9791</v>
      </c>
      <c r="V42" s="11" t="n">
        <v>1.5614</v>
      </c>
      <c r="W42" s="11" t="n">
        <v>-0.4991</v>
      </c>
      <c r="X42" s="11" t="n">
        <v>-0.9818</v>
      </c>
      <c r="Y42" s="11" t="n">
        <v>-1.0691</v>
      </c>
      <c r="Z42" s="11" t="n">
        <v>-0.1215</v>
      </c>
      <c r="AA42" s="11" t="n">
        <v>-0.5628</v>
      </c>
      <c r="AB42" s="11" t="n">
        <v>-0.5241</v>
      </c>
      <c r="AC42" s="11" t="n">
        <v>-0.1974</v>
      </c>
      <c r="AD42" s="11" t="n">
        <v>-0.0439</v>
      </c>
      <c r="AE42" s="11" t="n">
        <v>-0.4063</v>
      </c>
    </row>
    <row r="43">
      <c r="A43" s="10" t="inlineStr">
        <is>
          <t>법인세 등 합계</t>
        </is>
      </c>
      <c r="C43" s="11" t="n">
        <v>1.4782</v>
      </c>
      <c r="D43" s="11" t="n">
        <v>0.8895</v>
      </c>
      <c r="E43" s="11" t="n">
        <v>1.7254</v>
      </c>
      <c r="F43" s="11" t="n">
        <v>0.4767</v>
      </c>
      <c r="G43" s="11" t="n">
        <v>2.3074</v>
      </c>
      <c r="H43" s="11" t="n">
        <v>1.9365</v>
      </c>
      <c r="I43" s="11" t="n">
        <v>2.1626</v>
      </c>
      <c r="J43" s="11" t="n">
        <v>0.3399</v>
      </c>
      <c r="K43" s="11" t="n">
        <v>2.2572</v>
      </c>
      <c r="L43" s="11" t="n">
        <v>1.2676</v>
      </c>
      <c r="M43" s="11" t="n">
        <v>2.9851</v>
      </c>
      <c r="N43" s="11" t="n">
        <v>0.9092</v>
      </c>
      <c r="O43" s="11" t="n">
        <v>2.9409</v>
      </c>
      <c r="P43" s="11" t="n">
        <v>1.7539</v>
      </c>
      <c r="Q43" s="11" t="n">
        <v>2.6722</v>
      </c>
      <c r="R43" s="11" t="n">
        <v>1.5469</v>
      </c>
      <c r="S43" s="11" t="n">
        <v>2.3065</v>
      </c>
      <c r="T43" s="11" t="n">
        <v>2.9871</v>
      </c>
      <c r="U43" s="11" t="n">
        <v>3.1836</v>
      </c>
      <c r="V43" s="11" t="n">
        <v>2.5539</v>
      </c>
      <c r="W43" s="11" t="n">
        <v>1.7602</v>
      </c>
      <c r="X43" s="11" t="n">
        <v>2.5842</v>
      </c>
      <c r="Y43" s="11" t="n">
        <v>4.0922</v>
      </c>
      <c r="Z43" s="11" t="n">
        <v>5.7984</v>
      </c>
      <c r="AA43" s="11" t="n">
        <v>4.5699</v>
      </c>
      <c r="AB43" s="11" t="n">
        <v>6.7463</v>
      </c>
      <c r="AC43" s="11" t="n">
        <v>7.4191</v>
      </c>
      <c r="AD43" s="11" t="n">
        <v>8.9139</v>
      </c>
      <c r="AE43" s="11" t="n">
        <v>11.0311</v>
      </c>
    </row>
    <row r="44">
      <c r="A44" s="5" t="inlineStr">
        <is>
          <t>순이익</t>
        </is>
      </c>
      <c r="C44" s="6" t="n">
        <v>1.7069</v>
      </c>
      <c r="D44" s="6" t="n">
        <v>2.873</v>
      </c>
      <c r="E44" s="6" t="n">
        <v>2.5952</v>
      </c>
      <c r="F44" s="6" t="n">
        <v>2.4865</v>
      </c>
      <c r="G44" s="6" t="n">
        <v>4.0555</v>
      </c>
      <c r="H44" s="6" t="n">
        <v>4.4967</v>
      </c>
      <c r="I44" s="6" t="n">
        <v>3.3977</v>
      </c>
      <c r="J44" s="6" t="n">
        <v>2.7746</v>
      </c>
      <c r="K44" s="6" t="n">
        <v>3.0079</v>
      </c>
      <c r="L44" s="6" t="n">
        <v>4.6883</v>
      </c>
      <c r="M44" s="6" t="n">
        <v>3.8186</v>
      </c>
      <c r="N44" s="6" t="n">
        <v>4.2424</v>
      </c>
      <c r="O44" s="6" t="n">
        <v>4.8127</v>
      </c>
      <c r="P44" s="6" t="n">
        <v>4.3771</v>
      </c>
      <c r="Q44" s="6" t="n">
        <v>3.9617</v>
      </c>
      <c r="R44" s="6" t="n">
        <v>3.9453</v>
      </c>
      <c r="S44" s="6" t="n">
        <v>3.5697</v>
      </c>
      <c r="T44" s="6" t="n">
        <v>3.5268</v>
      </c>
      <c r="U44" s="6" t="n">
        <v>5.3801</v>
      </c>
      <c r="V44" s="6" t="n">
        <v>6.0684</v>
      </c>
      <c r="W44" s="6" t="n">
        <v>3.1162</v>
      </c>
      <c r="X44" s="6" t="n">
        <v>4.4094</v>
      </c>
      <c r="Y44" s="6" t="n">
        <v>6.54</v>
      </c>
      <c r="Z44" s="6" t="n">
        <v>12.4078</v>
      </c>
      <c r="AA44" s="6" t="n">
        <v>9.6616</v>
      </c>
      <c r="AB44" s="6" t="n">
        <v>14.7245</v>
      </c>
      <c r="AC44" s="6" t="n">
        <v>15.7572</v>
      </c>
      <c r="AD44" s="6" t="n">
        <v>17.0969</v>
      </c>
      <c r="AE44" s="6" t="n">
        <v>18.545</v>
      </c>
    </row>
    <row r="45">
      <c r="A45" s="5" t="inlineStr">
        <is>
          <t>지배주주 순이익</t>
        </is>
      </c>
      <c r="C45" s="6" t="n">
        <v>1.7069</v>
      </c>
      <c r="D45" s="6" t="n">
        <v>2.873</v>
      </c>
      <c r="E45" s="6" t="n">
        <v>2.5952</v>
      </c>
      <c r="F45" s="6" t="n">
        <v>2.4865</v>
      </c>
      <c r="G45" s="6" t="n">
        <v>4.0555</v>
      </c>
      <c r="H45" s="6" t="n">
        <v>4.4967</v>
      </c>
      <c r="I45" s="6" t="n">
        <v>3.3977</v>
      </c>
      <c r="J45" s="6" t="n">
        <v>2.7746</v>
      </c>
      <c r="K45" s="6" t="n">
        <v>3.0079</v>
      </c>
      <c r="L45" s="6" t="n">
        <v>4.6883</v>
      </c>
      <c r="M45" s="6" t="n">
        <v>3.8186</v>
      </c>
      <c r="N45" s="6" t="n">
        <v>4.2424</v>
      </c>
      <c r="O45" s="6" t="n">
        <v>4.8127</v>
      </c>
      <c r="P45" s="6" t="n">
        <v>4.3771</v>
      </c>
      <c r="Q45" s="6" t="n">
        <v>3.9617</v>
      </c>
      <c r="R45" s="6" t="n">
        <v>3.9453</v>
      </c>
      <c r="S45" s="6" t="n">
        <v>3.5697</v>
      </c>
      <c r="T45" s="6" t="n">
        <v>3.5268</v>
      </c>
      <c r="U45" s="6" t="n">
        <v>5.3801</v>
      </c>
      <c r="V45" s="6" t="n">
        <v>6.0684</v>
      </c>
      <c r="W45" s="6" t="n">
        <v>3.1162</v>
      </c>
      <c r="X45" s="6" t="n">
        <v>4.4094</v>
      </c>
      <c r="Y45" s="6" t="n">
        <v>6.54</v>
      </c>
      <c r="Z45" s="6" t="n">
        <v>12.4078</v>
      </c>
      <c r="AA45" s="6" t="n">
        <v>9.6616</v>
      </c>
      <c r="AB45" s="6" t="n">
        <v>14.7245</v>
      </c>
      <c r="AC45" s="6" t="n">
        <v>15.7572</v>
      </c>
      <c r="AD45" s="6" t="n">
        <v>17.0969</v>
      </c>
      <c r="AE45" s="6" t="n">
        <v>18.545</v>
      </c>
    </row>
    <row r="46">
      <c r="A46" s="8" t="inlineStr">
        <is>
          <t>순이익률</t>
        </is>
      </c>
      <c r="C46" s="9">
        <f>IF(OR(C45="",C4=""),"",IFERROR(C45/C4,""))</f>
        <v/>
      </c>
      <c r="D46" s="9">
        <f>IF(OR(D45="",D4=""),"",IFERROR(D45/D4,""))</f>
        <v/>
      </c>
      <c r="E46" s="9">
        <f>IF(OR(E45="",E4=""),"",IFERROR(E45/E4,""))</f>
        <v/>
      </c>
      <c r="F46" s="9">
        <f>IF(OR(F45="",F4=""),"",IFERROR(F45/F4,""))</f>
        <v/>
      </c>
      <c r="G46" s="9">
        <f>IF(OR(G45="",G4=""),"",IFERROR(G45/G4,""))</f>
        <v/>
      </c>
      <c r="H46" s="9">
        <f>IF(OR(H45="",H4=""),"",IFERROR(H45/H4,""))</f>
        <v/>
      </c>
      <c r="I46" s="9">
        <f>IF(OR(I45="",I4=""),"",IFERROR(I45/I4,""))</f>
        <v/>
      </c>
      <c r="J46" s="9">
        <f>IF(OR(J45="",J4=""),"",IFERROR(J45/J4,""))</f>
        <v/>
      </c>
      <c r="K46" s="9">
        <f>IF(OR(K45="",K4=""),"",IFERROR(K45/K4,""))</f>
        <v/>
      </c>
      <c r="L46" s="9">
        <f>IF(OR(L45="",L4=""),"",IFERROR(L45/L4,""))</f>
        <v/>
      </c>
      <c r="M46" s="9">
        <f>IF(OR(M45="",M4=""),"",IFERROR(M45/M4,""))</f>
        <v/>
      </c>
      <c r="N46" s="9">
        <f>IF(OR(N45="",N4=""),"",IFERROR(N45/N4,""))</f>
        <v/>
      </c>
      <c r="O46" s="9">
        <f>IF(OR(O45="",O4=""),"",IFERROR(O45/O4,""))</f>
        <v/>
      </c>
      <c r="P46" s="9">
        <f>IF(OR(P45="",P4=""),"",IFERROR(P45/P4,""))</f>
        <v/>
      </c>
      <c r="Q46" s="9">
        <f>IF(OR(Q45="",Q4=""),"",IFERROR(Q45/Q4,""))</f>
        <v/>
      </c>
      <c r="R46" s="9">
        <f>IF(OR(R45="",R4=""),"",IFERROR(R45/R4,""))</f>
        <v/>
      </c>
      <c r="S46" s="9">
        <f>IF(OR(S45="",S4=""),"",IFERROR(S45/S4,""))</f>
        <v/>
      </c>
      <c r="T46" s="9">
        <f>IF(OR(T45="",T4=""),"",IFERROR(T45/T4,""))</f>
        <v/>
      </c>
      <c r="U46" s="9">
        <f>IF(OR(U45="",U4=""),"",IFERROR(U45/U4,""))</f>
        <v/>
      </c>
      <c r="V46" s="9">
        <f>IF(OR(V45="",V4=""),"",IFERROR(V45/V4,""))</f>
        <v/>
      </c>
      <c r="W46" s="9">
        <f>IF(OR(W45="",W4=""),"",IFERROR(W45/W4,""))</f>
        <v/>
      </c>
      <c r="X46" s="9">
        <f>IF(OR(X45="",X4=""),"",IFERROR(X45/X4,""))</f>
        <v/>
      </c>
      <c r="Y46" s="9">
        <f>IF(OR(Y45="",Y4=""),"",IFERROR(Y45/Y4,""))</f>
        <v/>
      </c>
      <c r="Z46" s="9">
        <f>IF(OR(Z45="",Z4=""),"",IFERROR(Z45/Z4,""))</f>
        <v/>
      </c>
      <c r="AA46" s="9">
        <f>IF(OR(AA45="",AA4=""),"",IFERROR(AA45/AA4,""))</f>
        <v/>
      </c>
      <c r="AB46" s="9">
        <f>IF(OR(AB45="",AB4=""),"",IFERROR(AB45/AB4,""))</f>
        <v/>
      </c>
      <c r="AC46" s="9">
        <f>IF(OR(AC45="",AC4=""),"",IFERROR(AC45/AC4,""))</f>
        <v/>
      </c>
      <c r="AD46" s="9">
        <f>IF(OR(AD45="",AD4=""),"",IFERROR(AD45/AD4,""))</f>
        <v/>
      </c>
      <c r="AE46" s="9">
        <f>IF(OR(AE45="",AE4=""),"",IFERROR(AE45/AE4,""))</f>
        <v/>
      </c>
    </row>
    <row r="47">
      <c r="A47" s="8" t="inlineStr">
        <is>
          <t>YoY</t>
        </is>
      </c>
      <c r="G47" s="9">
        <f>IF(OR(G45="",C45=""),"",IFERROR(G45/C45-1,""))</f>
        <v/>
      </c>
      <c r="H47" s="9">
        <f>IF(OR(H45="",D45=""),"",IFERROR(H45/D45-1,""))</f>
        <v/>
      </c>
      <c r="I47" s="9">
        <f>IF(OR(I45="",E45=""),"",IFERROR(I45/E45-1,""))</f>
        <v/>
      </c>
      <c r="J47" s="9">
        <f>IF(OR(J45="",F45=""),"",IFERROR(J45/F45-1,""))</f>
        <v/>
      </c>
      <c r="K47" s="9">
        <f>IF(OR(K45="",G45=""),"",IFERROR(K45/G45-1,""))</f>
        <v/>
      </c>
      <c r="L47" s="9">
        <f>IF(OR(L45="",H45=""),"",IFERROR(L45/H45-1,""))</f>
        <v/>
      </c>
      <c r="M47" s="9">
        <f>IF(OR(M45="",I45=""),"",IFERROR(M45/I45-1,""))</f>
        <v/>
      </c>
      <c r="N47" s="9">
        <f>IF(OR(N45="",J45=""),"",IFERROR(N45/J45-1,""))</f>
        <v/>
      </c>
      <c r="O47" s="9">
        <f>IF(OR(O45="",K45=""),"",IFERROR(O45/K45-1,""))</f>
        <v/>
      </c>
      <c r="P47" s="9">
        <f>IF(OR(P45="",L45=""),"",IFERROR(P45/L45-1,""))</f>
        <v/>
      </c>
      <c r="Q47" s="9">
        <f>IF(OR(Q45="",M45=""),"",IFERROR(Q45/M45-1,""))</f>
        <v/>
      </c>
      <c r="R47" s="9">
        <f>IF(OR(R45="",N45=""),"",IFERROR(R45/N45-1,""))</f>
        <v/>
      </c>
      <c r="S47" s="9">
        <f>IF(OR(S45="",O45=""),"",IFERROR(S45/O45-1,""))</f>
        <v/>
      </c>
      <c r="T47" s="9">
        <f>IF(OR(T45="",P45=""),"",IFERROR(T45/P45-1,""))</f>
        <v/>
      </c>
      <c r="U47" s="9">
        <f>IF(OR(U45="",Q45=""),"",IFERROR(U45/Q45-1,""))</f>
        <v/>
      </c>
      <c r="V47" s="9">
        <f>IF(OR(V45="",R45=""),"",IFERROR(V45/R45-1,""))</f>
        <v/>
      </c>
      <c r="X47" s="9">
        <f>IF(OR(X45="",W45=""),"",IFERROR(X45/W45-1,""))</f>
        <v/>
      </c>
      <c r="Y47" s="9">
        <f>IF(OR(Y45="",X45=""),"",IFERROR(Y45/X45-1,""))</f>
        <v/>
      </c>
      <c r="Z47" s="9">
        <f>IF(OR(Z45="",Y45=""),"",IFERROR(Z45/Y45-1,""))</f>
        <v/>
      </c>
      <c r="AA47" s="9">
        <f>IF(OR(AA45="",Z45=""),"",IFERROR(AA45/Z45-1,""))</f>
        <v/>
      </c>
      <c r="AB47" s="9">
        <f>IF(OR(AB45="",AA45=""),"",IFERROR(AB45/AA45-1,""))</f>
        <v/>
      </c>
      <c r="AC47" s="9">
        <f>IF(OR(AC45="",AB45=""),"",IFERROR(AC45/AB45-1,""))</f>
        <v/>
      </c>
      <c r="AD47" s="9">
        <f>IF(OR(AD45="",AC45=""),"",IFERROR(AD45/AC45-1,""))</f>
        <v/>
      </c>
      <c r="AE47" s="9">
        <f>IF(OR(AE45="",AD45=""),"",IFERROR(AE45/AD45-1,""))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세라크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순이익</t>
        </is>
      </c>
      <c r="C4" s="6" t="n">
        <v>1.7069</v>
      </c>
      <c r="D4" s="6" t="n">
        <v>2.873</v>
      </c>
      <c r="E4" s="6" t="n">
        <v>2.5952</v>
      </c>
      <c r="F4" s="6" t="n">
        <v>2.4865</v>
      </c>
      <c r="G4" s="6" t="n">
        <v>4.0555</v>
      </c>
      <c r="H4" s="6" t="n">
        <v>4.4967</v>
      </c>
      <c r="I4" s="6" t="n">
        <v>3.3977</v>
      </c>
      <c r="J4" s="6" t="n">
        <v>2.7746</v>
      </c>
      <c r="K4" s="6" t="n">
        <v>3.0079</v>
      </c>
      <c r="L4" s="6" t="n">
        <v>4.6883</v>
      </c>
      <c r="M4" s="6" t="n">
        <v>3.8186</v>
      </c>
      <c r="N4" s="6" t="n">
        <v>4.2424</v>
      </c>
      <c r="O4" s="6" t="n">
        <v>4.8127</v>
      </c>
      <c r="P4" s="6" t="n">
        <v>4.3771</v>
      </c>
      <c r="Q4" s="6" t="n">
        <v>3.9617</v>
      </c>
      <c r="R4" s="6" t="n">
        <v>3.9453</v>
      </c>
      <c r="S4" s="6" t="n">
        <v>3.5697</v>
      </c>
      <c r="T4" s="6" t="n">
        <v>3.5268</v>
      </c>
      <c r="U4" s="6" t="n">
        <v>5.3801</v>
      </c>
      <c r="V4" s="6" t="n">
        <v>6.0684</v>
      </c>
      <c r="W4" s="6" t="n">
        <v>3.1162</v>
      </c>
      <c r="X4" s="6" t="n">
        <v>4.4094</v>
      </c>
      <c r="Y4" s="6" t="n">
        <v>6.54</v>
      </c>
      <c r="Z4" s="6" t="n">
        <v>12.4078</v>
      </c>
      <c r="AA4" s="6" t="n">
        <v>9.6616</v>
      </c>
      <c r="AB4" s="6" t="n">
        <v>14.7245</v>
      </c>
      <c r="AC4" s="6" t="n">
        <v>15.7572</v>
      </c>
      <c r="AD4" s="6" t="n">
        <v>17.0969</v>
      </c>
      <c r="AE4" s="6" t="n">
        <v>18.545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기타유가증권 평가차액</t>
        </is>
      </c>
      <c r="C5" s="11" t="n">
        <v>-0.0011</v>
      </c>
      <c r="D5" s="11" t="n">
        <v>-0.0063</v>
      </c>
      <c r="E5" s="11" t="n">
        <v>-0.0026</v>
      </c>
      <c r="F5" s="11" t="n">
        <v>0.0003</v>
      </c>
      <c r="G5" s="11" t="n">
        <v>-0.0005999999999999999</v>
      </c>
      <c r="H5" s="11" t="n">
        <v>0.0001</v>
      </c>
      <c r="I5" s="11" t="n">
        <v>0.0003</v>
      </c>
      <c r="J5" s="11" t="n">
        <v>-0.0003</v>
      </c>
      <c r="K5" s="11" t="n">
        <v>0</v>
      </c>
      <c r="L5" s="11" t="n">
        <v>-0.0002</v>
      </c>
      <c r="M5" s="11" t="n">
        <v>0</v>
      </c>
      <c r="N5" s="11" t="n">
        <v>-0.0001</v>
      </c>
      <c r="Q5" s="11" t="n">
        <v>0</v>
      </c>
      <c r="R5" s="11" t="n">
        <v>0</v>
      </c>
      <c r="W5" s="11" t="n">
        <v>0</v>
      </c>
      <c r="X5" s="11" t="n">
        <v>0.0097</v>
      </c>
      <c r="Y5" s="11" t="n">
        <v>-0.0091</v>
      </c>
      <c r="Z5" s="11" t="n">
        <v>0.009900000000000001</v>
      </c>
      <c r="AA5" s="11" t="n">
        <v>-0.0097</v>
      </c>
      <c r="AB5" s="11" t="n">
        <v>-0.0004</v>
      </c>
      <c r="AC5" s="11" t="n">
        <v>-0.0003</v>
      </c>
      <c r="AD5" s="11" t="n">
        <v>0</v>
      </c>
    </row>
    <row r="6">
      <c r="A6" s="10" t="inlineStr">
        <is>
          <t>퇴직급여 조정액</t>
        </is>
      </c>
      <c r="C6" s="11" t="n">
        <v>0.0004</v>
      </c>
      <c r="D6" s="11" t="n">
        <v>0.0004</v>
      </c>
      <c r="E6" s="11" t="n">
        <v>0.0004</v>
      </c>
      <c r="F6" s="11" t="n">
        <v>0.0395</v>
      </c>
      <c r="G6" s="11" t="n">
        <v>-0.0098</v>
      </c>
      <c r="H6" s="11" t="n">
        <v>-0.0098</v>
      </c>
      <c r="I6" s="11" t="n">
        <v>-0.0098</v>
      </c>
      <c r="J6" s="11" t="n">
        <v>0.0268</v>
      </c>
      <c r="K6" s="11" t="n">
        <v>-0.0091</v>
      </c>
      <c r="L6" s="11" t="n">
        <v>-0.0091</v>
      </c>
      <c r="M6" s="11" t="n">
        <v>-0.0091</v>
      </c>
      <c r="N6" s="11" t="n">
        <v>0.0156</v>
      </c>
      <c r="O6" s="11" t="n">
        <v>-0.0062</v>
      </c>
      <c r="P6" s="11" t="n">
        <v>-0.0062</v>
      </c>
      <c r="Q6" s="11" t="n">
        <v>-0.0062</v>
      </c>
      <c r="R6" s="11" t="n">
        <v>0.0341</v>
      </c>
      <c r="S6" s="11" t="n">
        <v>-0.0101</v>
      </c>
      <c r="T6" s="11" t="n">
        <v>-0.0101</v>
      </c>
      <c r="U6" s="11" t="n">
        <v>-0.0101</v>
      </c>
      <c r="V6" s="11" t="n">
        <v>0.0528</v>
      </c>
      <c r="W6" s="11" t="n">
        <v>0.0086</v>
      </c>
      <c r="X6" s="11" t="n">
        <v>-0.0402</v>
      </c>
      <c r="Y6" s="11" t="n">
        <v>0.06809999999999999</v>
      </c>
      <c r="Z6" s="11" t="n">
        <v>-0.0381</v>
      </c>
      <c r="AA6" s="11" t="n">
        <v>0.0407</v>
      </c>
      <c r="AB6" s="11" t="n">
        <v>-0.0025</v>
      </c>
      <c r="AC6" s="11" t="n">
        <v>-0.0118</v>
      </c>
      <c r="AD6" s="11" t="n">
        <v>0.0155</v>
      </c>
      <c r="AE6" s="11" t="n">
        <v>0.0226</v>
      </c>
    </row>
    <row r="7">
      <c r="A7" s="10" t="inlineStr">
        <is>
          <t>기타포괄손익 합계</t>
        </is>
      </c>
      <c r="C7" s="11" t="n">
        <v>-0.0007</v>
      </c>
      <c r="D7" s="11" t="n">
        <v>-0.0059</v>
      </c>
      <c r="E7" s="11" t="n">
        <v>-0.0022</v>
      </c>
      <c r="F7" s="11" t="n">
        <v>0.0397</v>
      </c>
      <c r="G7" s="11" t="n">
        <v>-0.0104</v>
      </c>
      <c r="H7" s="11" t="n">
        <v>-0.0097</v>
      </c>
      <c r="I7" s="11" t="n">
        <v>-0.0094</v>
      </c>
      <c r="J7" s="11" t="n">
        <v>0.0265</v>
      </c>
      <c r="K7" s="11" t="n">
        <v>-0.0091</v>
      </c>
      <c r="L7" s="11" t="n">
        <v>-0.009299999999999999</v>
      </c>
      <c r="M7" s="11" t="n">
        <v>-0.0091</v>
      </c>
      <c r="N7" s="11" t="n">
        <v>0.0154</v>
      </c>
      <c r="O7" s="11" t="n">
        <v>-0.0062</v>
      </c>
      <c r="P7" s="11" t="n">
        <v>-0.0062</v>
      </c>
      <c r="Q7" s="11" t="n">
        <v>-0.0062</v>
      </c>
      <c r="R7" s="11" t="n">
        <v>0.0341</v>
      </c>
      <c r="S7" s="11" t="n">
        <v>-0.0101</v>
      </c>
      <c r="T7" s="11" t="n">
        <v>-0.0101</v>
      </c>
      <c r="U7" s="11" t="n">
        <v>-0.0101</v>
      </c>
      <c r="V7" s="11" t="n">
        <v>0.0528</v>
      </c>
      <c r="W7" s="11" t="n">
        <v>0.0086</v>
      </c>
      <c r="X7" s="11" t="n">
        <v>-0.0305</v>
      </c>
      <c r="Y7" s="11" t="n">
        <v>0.059</v>
      </c>
      <c r="Z7" s="11" t="n">
        <v>-0.0282</v>
      </c>
      <c r="AA7" s="11" t="n">
        <v>0.031</v>
      </c>
      <c r="AB7" s="11" t="n">
        <v>-0.003</v>
      </c>
      <c r="AC7" s="11" t="n">
        <v>-0.0122</v>
      </c>
      <c r="AD7" s="11" t="n">
        <v>0.0155</v>
      </c>
      <c r="AE7" s="11" t="n">
        <v>0.0226</v>
      </c>
    </row>
    <row r="8">
      <c r="A8" s="10" t="inlineStr">
        <is>
          <t>포괄이익</t>
        </is>
      </c>
      <c r="C8" s="11" t="n">
        <v>1.7062</v>
      </c>
      <c r="D8" s="11" t="n">
        <v>2.8671</v>
      </c>
      <c r="E8" s="11" t="n">
        <v>2.593</v>
      </c>
      <c r="F8" s="11" t="n">
        <v>2.5263</v>
      </c>
      <c r="G8" s="11" t="n">
        <v>4.0451</v>
      </c>
      <c r="H8" s="11" t="n">
        <v>4.4871</v>
      </c>
      <c r="I8" s="11" t="n">
        <v>3.3883</v>
      </c>
      <c r="J8" s="11" t="n">
        <v>2.8011</v>
      </c>
      <c r="K8" s="11" t="n">
        <v>2.9988</v>
      </c>
      <c r="L8" s="11" t="n">
        <v>4.679</v>
      </c>
      <c r="M8" s="11" t="n">
        <v>3.8094</v>
      </c>
      <c r="N8" s="11" t="n">
        <v>4.2578</v>
      </c>
      <c r="O8" s="11" t="n">
        <v>4.8065</v>
      </c>
      <c r="P8" s="11" t="n">
        <v>4.3709</v>
      </c>
      <c r="Q8" s="11" t="n">
        <v>3.9556</v>
      </c>
      <c r="R8" s="11" t="n">
        <v>3.9794</v>
      </c>
      <c r="S8" s="11" t="n">
        <v>3.5596</v>
      </c>
      <c r="T8" s="11" t="n">
        <v>3.5168</v>
      </c>
      <c r="U8" s="11" t="n">
        <v>5.37</v>
      </c>
      <c r="V8" s="11" t="n">
        <v>6.1212</v>
      </c>
      <c r="W8" s="11" t="n">
        <v>3.1248</v>
      </c>
      <c r="X8" s="11" t="n">
        <v>4.3789</v>
      </c>
      <c r="Y8" s="11" t="n">
        <v>6.599</v>
      </c>
      <c r="Z8" s="11" t="n">
        <v>12.3796</v>
      </c>
      <c r="AA8" s="11" t="n">
        <v>9.692600000000001</v>
      </c>
      <c r="AB8" s="11" t="n">
        <v>14.7216</v>
      </c>
      <c r="AC8" s="11" t="n">
        <v>15.745</v>
      </c>
      <c r="AD8" s="11" t="n">
        <v>17.1124</v>
      </c>
      <c r="AE8" s="11" t="n">
        <v>18.5676</v>
      </c>
    </row>
    <row r="9">
      <c r="A9" s="10" t="inlineStr">
        <is>
          <t>지배주주 포괄이익</t>
        </is>
      </c>
      <c r="C9" s="11" t="n">
        <v>1.7062</v>
      </c>
      <c r="D9" s="11" t="n">
        <v>2.8671</v>
      </c>
      <c r="E9" s="11" t="n">
        <v>2.593</v>
      </c>
      <c r="F9" s="11" t="n">
        <v>2.5263</v>
      </c>
      <c r="G9" s="11" t="n">
        <v>4.0451</v>
      </c>
      <c r="H9" s="11" t="n">
        <v>4.4871</v>
      </c>
      <c r="I9" s="11" t="n">
        <v>3.3883</v>
      </c>
      <c r="J9" s="11" t="n">
        <v>2.8011</v>
      </c>
      <c r="K9" s="11" t="n">
        <v>2.9988</v>
      </c>
      <c r="L9" s="11" t="n">
        <v>4.679</v>
      </c>
      <c r="M9" s="11" t="n">
        <v>3.8094</v>
      </c>
      <c r="N9" s="11" t="n">
        <v>4.2578</v>
      </c>
      <c r="O9" s="11" t="n">
        <v>4.8065</v>
      </c>
      <c r="P9" s="11" t="n">
        <v>4.3709</v>
      </c>
      <c r="Q9" s="11" t="n">
        <v>3.9556</v>
      </c>
      <c r="R9" s="11" t="n">
        <v>3.9794</v>
      </c>
      <c r="S9" s="11" t="n">
        <v>3.5596</v>
      </c>
      <c r="T9" s="11" t="n">
        <v>3.5168</v>
      </c>
      <c r="U9" s="11" t="n">
        <v>5.37</v>
      </c>
      <c r="V9" s="11" t="n">
        <v>6.1212</v>
      </c>
      <c r="W9" s="11" t="n">
        <v>3.1248</v>
      </c>
      <c r="X9" s="11" t="n">
        <v>4.3789</v>
      </c>
      <c r="Y9" s="11" t="n">
        <v>6.599</v>
      </c>
      <c r="Z9" s="11" t="n">
        <v>12.3796</v>
      </c>
      <c r="AA9" s="11" t="n">
        <v>9.692600000000001</v>
      </c>
      <c r="AB9" s="11" t="n">
        <v>14.7216</v>
      </c>
      <c r="AC9" s="11" t="n">
        <v>15.745</v>
      </c>
      <c r="AD9" s="11" t="n">
        <v>17.1124</v>
      </c>
      <c r="AE9" s="11" t="n">
        <v>18.5676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세라크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현금 및 예금</t>
        </is>
      </c>
      <c r="C4" s="11" t="n">
        <v>54.8815</v>
      </c>
      <c r="D4" s="11" t="n">
        <v>53.4415</v>
      </c>
      <c r="E4" s="11" t="n">
        <v>58.7917</v>
      </c>
      <c r="F4" s="11" t="n">
        <v>56.5886</v>
      </c>
      <c r="G4" s="11" t="n">
        <v>61.9714</v>
      </c>
      <c r="H4" s="11" t="n">
        <v>62.9829</v>
      </c>
      <c r="I4" s="11" t="n">
        <v>69.37869999999999</v>
      </c>
      <c r="J4" s="11" t="n">
        <v>68.67019999999999</v>
      </c>
      <c r="K4" s="11" t="n">
        <v>67.70489999999999</v>
      </c>
      <c r="L4" s="11" t="n">
        <v>65.4872</v>
      </c>
      <c r="M4" s="11" t="n">
        <v>73.5484</v>
      </c>
      <c r="N4" s="11" t="n">
        <v>68.9669</v>
      </c>
      <c r="O4" s="11" t="n">
        <v>71.9435</v>
      </c>
      <c r="P4" s="11" t="n">
        <v>66.64619999999999</v>
      </c>
      <c r="Q4" s="11" t="n">
        <v>77.36199999999999</v>
      </c>
      <c r="R4" s="11" t="n">
        <v>77.65949999999999</v>
      </c>
      <c r="S4" s="11" t="n">
        <v>80.65949999999999</v>
      </c>
      <c r="T4" s="11" t="n">
        <v>77.404</v>
      </c>
      <c r="U4" s="11" t="n">
        <v>88.38639999999999</v>
      </c>
      <c r="V4" s="11" t="n">
        <v>86.3486</v>
      </c>
      <c r="W4" s="11" t="n">
        <v>23.1408</v>
      </c>
      <c r="X4" s="11" t="n">
        <v>27.7227</v>
      </c>
      <c r="Y4" s="11" t="n">
        <v>43.2935</v>
      </c>
      <c r="Z4" s="11" t="n">
        <v>54.5801</v>
      </c>
      <c r="AA4" s="11" t="n">
        <v>56.5886</v>
      </c>
      <c r="AB4" s="11" t="n">
        <v>68.67019999999999</v>
      </c>
      <c r="AC4" s="11" t="n">
        <v>68.9669</v>
      </c>
      <c r="AD4" s="11" t="n">
        <v>77.65949999999999</v>
      </c>
      <c r="AE4" s="11" t="n">
        <v>86.3486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받을어음·매출채권</t>
        </is>
      </c>
      <c r="C5" s="11" t="n">
        <v>0</v>
      </c>
      <c r="D5" s="11" t="n">
        <v>0</v>
      </c>
      <c r="E5" s="11" t="n">
        <v>0</v>
      </c>
      <c r="F5" s="11" t="n">
        <v>0</v>
      </c>
      <c r="W5" s="11" t="n">
        <v>11.6372</v>
      </c>
      <c r="X5" s="11" t="n">
        <v>15.9715</v>
      </c>
      <c r="Y5" s="11" t="n">
        <v>18.2671</v>
      </c>
      <c r="Z5" s="11" t="n">
        <v>18.21</v>
      </c>
      <c r="AA5" s="11" t="n">
        <v>0</v>
      </c>
    </row>
    <row r="6">
      <c r="A6" s="10" t="inlineStr">
        <is>
          <t>받을어음·매출채권·계약자산</t>
        </is>
      </c>
      <c r="C6" s="11" t="n">
        <v>19.271</v>
      </c>
      <c r="D6" s="11" t="n">
        <v>20.6279</v>
      </c>
      <c r="E6" s="11" t="n">
        <v>20.9212</v>
      </c>
      <c r="Z6" s="11" t="n">
        <v>0</v>
      </c>
    </row>
    <row r="7">
      <c r="A7" s="10" t="inlineStr">
        <is>
          <t>받을어음·매출채권·계약자산(순액)</t>
        </is>
      </c>
      <c r="F7" s="11" t="n">
        <v>23.3664</v>
      </c>
      <c r="Z7" s="11" t="n">
        <v>0</v>
      </c>
      <c r="AA7" s="11" t="n">
        <v>23.3664</v>
      </c>
    </row>
    <row r="8">
      <c r="A8" s="10" t="inlineStr">
        <is>
          <t>매출채권·계약자산</t>
        </is>
      </c>
      <c r="F8" s="11" t="n">
        <v>23.3664</v>
      </c>
      <c r="J8" s="11" t="n">
        <v>25.62</v>
      </c>
      <c r="AA8" s="11" t="n">
        <v>23.3664</v>
      </c>
      <c r="AB8" s="11" t="n">
        <v>25.62</v>
      </c>
    </row>
    <row r="9">
      <c r="A9" s="10" t="inlineStr">
        <is>
          <t>매출채권·계약자산</t>
        </is>
      </c>
      <c r="F9" s="11" t="n">
        <v>23.3664</v>
      </c>
      <c r="G9" s="11" t="n">
        <v>24.794</v>
      </c>
      <c r="H9" s="11" t="n">
        <v>24.9587</v>
      </c>
      <c r="I9" s="11" t="n">
        <v>23.5046</v>
      </c>
      <c r="J9" s="11" t="n">
        <v>25.62</v>
      </c>
      <c r="K9" s="11" t="n">
        <v>25.6137</v>
      </c>
      <c r="L9" s="11" t="n">
        <v>25.7716</v>
      </c>
      <c r="M9" s="11" t="n">
        <v>25.8612</v>
      </c>
      <c r="AA9" s="11" t="n">
        <v>23.3664</v>
      </c>
      <c r="AB9" s="11" t="n">
        <v>25.62</v>
      </c>
    </row>
    <row r="10">
      <c r="A10" s="10" t="inlineStr">
        <is>
          <t>매출채권·계약자산</t>
        </is>
      </c>
      <c r="J10" s="11" t="n">
        <v>25.62</v>
      </c>
      <c r="N10" s="11" t="n">
        <v>27.4089</v>
      </c>
      <c r="O10" s="11" t="n">
        <v>27.9055</v>
      </c>
      <c r="P10" s="11" t="n">
        <v>29.162</v>
      </c>
      <c r="Q10" s="11" t="n">
        <v>28.6137</v>
      </c>
      <c r="R10" s="11" t="n">
        <v>28.351</v>
      </c>
      <c r="S10" s="11" t="n">
        <v>29.0099</v>
      </c>
      <c r="T10" s="11" t="n">
        <v>28.337</v>
      </c>
      <c r="U10" s="11" t="n">
        <v>27.5093</v>
      </c>
      <c r="V10" s="11" t="n">
        <v>29.72</v>
      </c>
      <c r="AB10" s="11" t="n">
        <v>25.62</v>
      </c>
      <c r="AC10" s="11" t="n">
        <v>27.4089</v>
      </c>
      <c r="AD10" s="11" t="n">
        <v>28.351</v>
      </c>
      <c r="AE10" s="11" t="n">
        <v>29.72</v>
      </c>
    </row>
    <row r="11">
      <c r="A11" s="10" t="inlineStr">
        <is>
          <t>재공품</t>
        </is>
      </c>
      <c r="C11" s="11" t="n">
        <v>0.1329</v>
      </c>
      <c r="D11" s="11" t="n">
        <v>0.2386</v>
      </c>
      <c r="E11" s="11" t="n">
        <v>0.07539999999999999</v>
      </c>
      <c r="F11" s="11" t="n">
        <v>0.2931</v>
      </c>
      <c r="G11" s="11" t="n">
        <v>0.2571</v>
      </c>
      <c r="H11" s="11" t="n">
        <v>0.6098</v>
      </c>
      <c r="I11" s="11" t="n">
        <v>0.8586</v>
      </c>
      <c r="J11" s="11" t="n">
        <v>0.345</v>
      </c>
      <c r="K11" s="11" t="n">
        <v>0.4728</v>
      </c>
      <c r="L11" s="11" t="n">
        <v>0.2859</v>
      </c>
      <c r="M11" s="11" t="n">
        <v>0.2583</v>
      </c>
      <c r="N11" s="11" t="n">
        <v>2.191</v>
      </c>
      <c r="O11" s="11" t="n">
        <v>0.3752</v>
      </c>
      <c r="P11" s="11" t="n">
        <v>0.2881</v>
      </c>
      <c r="Q11" s="11" t="n">
        <v>0.1522</v>
      </c>
      <c r="R11" s="11" t="n">
        <v>0.3803</v>
      </c>
      <c r="S11" s="11" t="n">
        <v>0.227</v>
      </c>
      <c r="T11" s="11" t="n">
        <v>0.2594</v>
      </c>
      <c r="U11" s="11" t="n">
        <v>0.1371</v>
      </c>
      <c r="V11" s="11" t="n">
        <v>0.1007</v>
      </c>
      <c r="W11" s="11" t="n">
        <v>0.0808</v>
      </c>
      <c r="X11" s="11" t="n">
        <v>0.1803</v>
      </c>
      <c r="Y11" s="11" t="n">
        <v>0.1945</v>
      </c>
      <c r="Z11" s="11" t="n">
        <v>0.5081</v>
      </c>
      <c r="AA11" s="11" t="n">
        <v>0.2931</v>
      </c>
      <c r="AB11" s="11" t="n">
        <v>0.345</v>
      </c>
      <c r="AC11" s="11" t="n">
        <v>2.191</v>
      </c>
      <c r="AD11" s="11" t="n">
        <v>0.3803</v>
      </c>
      <c r="AE11" s="11" t="n">
        <v>0.1007</v>
      </c>
    </row>
    <row r="12">
      <c r="A12" s="10" t="inlineStr">
        <is>
          <t>원재료</t>
        </is>
      </c>
      <c r="C12" s="11" t="n">
        <v>0.6119</v>
      </c>
      <c r="D12" s="11" t="n">
        <v>0.5503</v>
      </c>
      <c r="E12" s="11" t="n">
        <v>0.4778</v>
      </c>
      <c r="F12" s="11" t="n">
        <v>0.5671</v>
      </c>
      <c r="G12" s="11" t="n">
        <v>0.5311</v>
      </c>
      <c r="H12" s="11" t="n">
        <v>0.5587</v>
      </c>
      <c r="I12" s="11" t="n">
        <v>0.5992</v>
      </c>
      <c r="J12" s="11" t="n">
        <v>0.6082</v>
      </c>
      <c r="K12" s="11" t="n">
        <v>0.5702</v>
      </c>
      <c r="L12" s="11" t="n">
        <v>0.549</v>
      </c>
      <c r="M12" s="11" t="n">
        <v>0.4853</v>
      </c>
      <c r="N12" s="11" t="n">
        <v>0.4706</v>
      </c>
      <c r="O12" s="11" t="n">
        <v>0.4883</v>
      </c>
      <c r="P12" s="11" t="n">
        <v>0.4335</v>
      </c>
      <c r="Q12" s="11" t="n">
        <v>0.4978</v>
      </c>
      <c r="R12" s="11" t="n">
        <v>0.5763</v>
      </c>
      <c r="S12" s="11" t="n">
        <v>0.5347</v>
      </c>
      <c r="T12" s="11" t="n">
        <v>0.4979</v>
      </c>
      <c r="U12" s="11" t="n">
        <v>0.459</v>
      </c>
      <c r="V12" s="11" t="n">
        <v>0.402</v>
      </c>
      <c r="W12" s="11" t="n">
        <v>0.3212</v>
      </c>
      <c r="X12" s="11" t="n">
        <v>0.2863</v>
      </c>
      <c r="Y12" s="11" t="n">
        <v>0.3682</v>
      </c>
      <c r="Z12" s="11" t="n">
        <v>0.4496</v>
      </c>
      <c r="AA12" s="11" t="n">
        <v>0.5671</v>
      </c>
      <c r="AB12" s="11" t="n">
        <v>0.6082</v>
      </c>
      <c r="AC12" s="11" t="n">
        <v>0.4706</v>
      </c>
      <c r="AD12" s="11" t="n">
        <v>0.5763</v>
      </c>
      <c r="AE12" s="11" t="n">
        <v>0.402</v>
      </c>
    </row>
    <row r="13">
      <c r="A13" s="10" t="inlineStr">
        <is>
          <t>기타</t>
        </is>
      </c>
      <c r="C13" s="11" t="n">
        <v>1.6584</v>
      </c>
      <c r="D13" s="11" t="n">
        <v>1.5272</v>
      </c>
      <c r="E13" s="11" t="n">
        <v>1.8018</v>
      </c>
      <c r="F13" s="11" t="n">
        <v>1.8021</v>
      </c>
      <c r="G13" s="11" t="n">
        <v>2.0744</v>
      </c>
      <c r="H13" s="11" t="n">
        <v>2.23</v>
      </c>
      <c r="I13" s="11" t="n">
        <v>2.2112</v>
      </c>
      <c r="J13" s="11" t="n">
        <v>2.0298</v>
      </c>
      <c r="K13" s="11" t="n">
        <v>2.3923</v>
      </c>
      <c r="L13" s="11" t="n">
        <v>2.4309</v>
      </c>
      <c r="M13" s="11" t="n">
        <v>2.2983</v>
      </c>
      <c r="N13" s="11" t="n">
        <v>1.8347</v>
      </c>
      <c r="O13" s="11" t="n">
        <v>2.4312</v>
      </c>
      <c r="P13" s="11" t="n">
        <v>3.1238</v>
      </c>
      <c r="Q13" s="11" t="n">
        <v>2.6419</v>
      </c>
      <c r="R13" s="11" t="n">
        <v>2.1666</v>
      </c>
      <c r="S13" s="11" t="n">
        <v>2.7605</v>
      </c>
      <c r="T13" s="11" t="n">
        <v>3.4231</v>
      </c>
      <c r="U13" s="11" t="n">
        <v>2.7403</v>
      </c>
      <c r="V13" s="11" t="n">
        <v>2.1436</v>
      </c>
      <c r="W13" s="11" t="n">
        <v>0.3792</v>
      </c>
      <c r="X13" s="11" t="n">
        <v>0.6733</v>
      </c>
      <c r="Y13" s="11" t="n">
        <v>1.0748</v>
      </c>
      <c r="Z13" s="11" t="n">
        <v>1.2399</v>
      </c>
      <c r="AA13" s="11" t="n">
        <v>1.8021</v>
      </c>
      <c r="AB13" s="11" t="n">
        <v>2.0298</v>
      </c>
      <c r="AC13" s="11" t="n">
        <v>1.8347</v>
      </c>
      <c r="AD13" s="11" t="n">
        <v>2.1666</v>
      </c>
      <c r="AE13" s="11" t="n">
        <v>2.1436</v>
      </c>
    </row>
    <row r="14">
      <c r="A14" s="10" t="inlineStr">
        <is>
          <t>대손충당금</t>
        </is>
      </c>
      <c r="C14" s="11" t="n">
        <v>-0.0204</v>
      </c>
      <c r="D14" s="11" t="n">
        <v>-0.019</v>
      </c>
      <c r="E14" s="11" t="n">
        <v>-0.0191</v>
      </c>
      <c r="F14" s="11" t="n">
        <v>-0.0165</v>
      </c>
      <c r="G14" s="11" t="n">
        <v>-0.0105</v>
      </c>
      <c r="H14" s="11" t="n">
        <v>-0.0105</v>
      </c>
      <c r="I14" s="11" t="n">
        <v>-0.0103</v>
      </c>
      <c r="J14" s="11" t="n">
        <v>-0.0158</v>
      </c>
      <c r="K14" s="11" t="n">
        <v>-0.0158</v>
      </c>
      <c r="L14" s="11" t="n">
        <v>-0.0158</v>
      </c>
      <c r="M14" s="11" t="n">
        <v>-0.0172</v>
      </c>
      <c r="N14" s="11" t="n">
        <v>-0.0186</v>
      </c>
      <c r="O14" s="11" t="n">
        <v>-0.0197</v>
      </c>
      <c r="P14" s="11" t="n">
        <v>-0.0205</v>
      </c>
      <c r="Q14" s="11" t="n">
        <v>-0.0272</v>
      </c>
      <c r="R14" s="11" t="n">
        <v>-0.0224</v>
      </c>
      <c r="S14" s="11" t="n">
        <v>-0.0211</v>
      </c>
      <c r="T14" s="11" t="n">
        <v>-0.0237</v>
      </c>
      <c r="U14" s="11" t="n">
        <v>-0.0196</v>
      </c>
      <c r="V14" s="11" t="n">
        <v>-0.0212</v>
      </c>
      <c r="W14" s="11" t="n">
        <v>-0.0254</v>
      </c>
      <c r="X14" s="11" t="n">
        <v>-0.0269</v>
      </c>
      <c r="Y14" s="11" t="n">
        <v>-0.0412</v>
      </c>
      <c r="Z14" s="11" t="n">
        <v>-0.0264</v>
      </c>
      <c r="AA14" s="11" t="n">
        <v>-0.0165</v>
      </c>
      <c r="AB14" s="11" t="n">
        <v>-0.0158</v>
      </c>
      <c r="AC14" s="11" t="n">
        <v>-0.0186</v>
      </c>
      <c r="AD14" s="11" t="n">
        <v>-0.0224</v>
      </c>
      <c r="AE14" s="11" t="n">
        <v>-0.0212</v>
      </c>
    </row>
    <row r="15">
      <c r="A15" s="10" t="inlineStr">
        <is>
          <t>유동자산 합계</t>
        </is>
      </c>
      <c r="C15" s="11" t="n">
        <v>76.5354</v>
      </c>
      <c r="D15" s="11" t="n">
        <v>76.3665</v>
      </c>
      <c r="E15" s="11" t="n">
        <v>82.0488</v>
      </c>
      <c r="F15" s="11" t="n">
        <v>82.60080000000001</v>
      </c>
      <c r="G15" s="11" t="n">
        <v>89.6174</v>
      </c>
      <c r="H15" s="11" t="n">
        <v>91.3296</v>
      </c>
      <c r="I15" s="11" t="n">
        <v>96.5421</v>
      </c>
      <c r="J15" s="11" t="n">
        <v>97.2574</v>
      </c>
      <c r="K15" s="11" t="n">
        <v>96.73820000000001</v>
      </c>
      <c r="L15" s="11" t="n">
        <v>94.50879999999999</v>
      </c>
      <c r="M15" s="11" t="n">
        <v>102.4344</v>
      </c>
      <c r="N15" s="11" t="n">
        <v>100.8534</v>
      </c>
      <c r="O15" s="11" t="n">
        <v>103.124</v>
      </c>
      <c r="P15" s="11" t="n">
        <v>99.6331</v>
      </c>
      <c r="Q15" s="11" t="n">
        <v>109.2404</v>
      </c>
      <c r="R15" s="11" t="n">
        <v>109.1113</v>
      </c>
      <c r="S15" s="11" t="n">
        <v>113.1706</v>
      </c>
      <c r="T15" s="11" t="n">
        <v>109.8977</v>
      </c>
      <c r="U15" s="11" t="n">
        <v>119.2125</v>
      </c>
      <c r="V15" s="11" t="n">
        <v>118.6938</v>
      </c>
      <c r="W15" s="11" t="n">
        <v>35.5337</v>
      </c>
      <c r="X15" s="11" t="n">
        <v>44.8073</v>
      </c>
      <c r="Y15" s="11" t="n">
        <v>63.1569</v>
      </c>
      <c r="Z15" s="11" t="n">
        <v>74.96129999999999</v>
      </c>
      <c r="AA15" s="11" t="n">
        <v>82.60080000000001</v>
      </c>
      <c r="AB15" s="11" t="n">
        <v>97.2574</v>
      </c>
      <c r="AC15" s="11" t="n">
        <v>100.8534</v>
      </c>
      <c r="AD15" s="11" t="n">
        <v>109.1113</v>
      </c>
      <c r="AE15" s="11" t="n">
        <v>118.6938</v>
      </c>
    </row>
    <row r="16">
      <c r="A16" s="10" t="inlineStr">
        <is>
          <t>건물(순액)</t>
        </is>
      </c>
      <c r="C16" s="11" t="n">
        <v>1.5268</v>
      </c>
      <c r="D16" s="11" t="n">
        <v>1.4498</v>
      </c>
      <c r="E16" s="11" t="n">
        <v>1.521</v>
      </c>
      <c r="F16" s="11" t="n">
        <v>1.5867</v>
      </c>
      <c r="G16" s="11" t="n">
        <v>1.5465</v>
      </c>
      <c r="H16" s="11" t="n">
        <v>1.5954</v>
      </c>
      <c r="I16" s="11" t="n">
        <v>1.7631</v>
      </c>
      <c r="J16" s="11" t="n">
        <v>1.757</v>
      </c>
      <c r="K16" s="11" t="n">
        <v>1.7297</v>
      </c>
      <c r="L16" s="11" t="n">
        <v>1.6892</v>
      </c>
      <c r="M16" s="11" t="n">
        <v>2.0101</v>
      </c>
      <c r="N16" s="11" t="n">
        <v>1.959</v>
      </c>
      <c r="O16" s="11" t="n">
        <v>2.396</v>
      </c>
      <c r="P16" s="11" t="n">
        <v>2.3026</v>
      </c>
      <c r="Q16" s="11" t="n">
        <v>2.2326</v>
      </c>
      <c r="R16" s="11" t="n">
        <v>2.182</v>
      </c>
      <c r="S16" s="11" t="n">
        <v>2.1074</v>
      </c>
      <c r="T16" s="11" t="n">
        <v>3.5658</v>
      </c>
      <c r="U16" s="11" t="n">
        <v>3.6334</v>
      </c>
      <c r="V16" s="11" t="n">
        <v>3.5551</v>
      </c>
      <c r="W16" s="11" t="n">
        <v>0.6577</v>
      </c>
      <c r="X16" s="11" t="n">
        <v>0.7242</v>
      </c>
      <c r="Y16" s="11" t="n">
        <v>1.1189</v>
      </c>
      <c r="Z16" s="11" t="n">
        <v>1.5562</v>
      </c>
      <c r="AA16" s="11" t="n">
        <v>1.5867</v>
      </c>
      <c r="AB16" s="11" t="n">
        <v>1.757</v>
      </c>
      <c r="AC16" s="11" t="n">
        <v>1.959</v>
      </c>
      <c r="AD16" s="11" t="n">
        <v>2.182</v>
      </c>
      <c r="AE16" s="11" t="n">
        <v>3.5551</v>
      </c>
    </row>
    <row r="17">
      <c r="A17" s="10" t="inlineStr">
        <is>
          <t>공구·기구·비품(순액)</t>
        </is>
      </c>
      <c r="C17" s="11" t="n">
        <v>0.4154</v>
      </c>
      <c r="D17" s="11" t="n">
        <v>0.3826</v>
      </c>
      <c r="E17" s="11" t="n">
        <v>0.3629</v>
      </c>
      <c r="F17" s="11" t="n">
        <v>0.4006</v>
      </c>
      <c r="G17" s="11" t="n">
        <v>0.3926</v>
      </c>
      <c r="H17" s="11" t="n">
        <v>0.3836</v>
      </c>
      <c r="I17" s="11" t="n">
        <v>0.4341</v>
      </c>
      <c r="J17" s="11" t="n">
        <v>0.4126</v>
      </c>
      <c r="K17" s="11" t="n">
        <v>0.5318000000000001</v>
      </c>
      <c r="L17" s="11" t="n">
        <v>0.5235</v>
      </c>
      <c r="M17" s="11" t="n">
        <v>0.5497</v>
      </c>
      <c r="N17" s="11" t="n">
        <v>0.5536</v>
      </c>
      <c r="O17" s="11" t="n">
        <v>0.5306</v>
      </c>
      <c r="P17" s="11" t="n">
        <v>0.507</v>
      </c>
      <c r="Q17" s="11" t="n">
        <v>0.4927</v>
      </c>
      <c r="R17" s="11" t="n">
        <v>0.4582</v>
      </c>
      <c r="S17" s="11" t="n">
        <v>0.4407</v>
      </c>
      <c r="T17" s="11" t="n">
        <v>0.4225</v>
      </c>
      <c r="U17" s="11" t="n">
        <v>0.4209</v>
      </c>
      <c r="V17" s="11" t="n">
        <v>0.4115</v>
      </c>
      <c r="W17" s="11" t="n">
        <v>0.1277</v>
      </c>
      <c r="X17" s="11" t="n">
        <v>0.1395</v>
      </c>
      <c r="Y17" s="11" t="n">
        <v>0.2279</v>
      </c>
      <c r="Z17" s="11" t="n">
        <v>0.4165</v>
      </c>
      <c r="AA17" s="11" t="n">
        <v>0.4006</v>
      </c>
      <c r="AB17" s="11" t="n">
        <v>0.4126</v>
      </c>
      <c r="AC17" s="11" t="n">
        <v>0.5536</v>
      </c>
      <c r="AD17" s="11" t="n">
        <v>0.4582</v>
      </c>
      <c r="AE17" s="11" t="n">
        <v>0.4115</v>
      </c>
    </row>
    <row r="18">
      <c r="A18" s="10" t="inlineStr">
        <is>
          <t>토지</t>
        </is>
      </c>
      <c r="N18" s="11" t="n">
        <v>0</v>
      </c>
      <c r="O18" s="11" t="n">
        <v>6.1306</v>
      </c>
      <c r="P18" s="11" t="n">
        <v>6.1306</v>
      </c>
      <c r="Q18" s="11" t="n">
        <v>6.1306</v>
      </c>
      <c r="R18" s="11" t="n">
        <v>6.1306</v>
      </c>
      <c r="S18" s="11" t="n">
        <v>6.1306</v>
      </c>
      <c r="T18" s="11" t="n">
        <v>6.1306</v>
      </c>
      <c r="U18" s="11" t="n">
        <v>6.1306</v>
      </c>
      <c r="V18" s="11" t="n">
        <v>6.1306</v>
      </c>
      <c r="AC18" s="11" t="n">
        <v>0</v>
      </c>
      <c r="AD18" s="11" t="n">
        <v>6.1306</v>
      </c>
      <c r="AE18" s="11" t="n">
        <v>6.1306</v>
      </c>
    </row>
    <row r="19">
      <c r="A19" s="10" t="inlineStr">
        <is>
          <t>건설중인자산</t>
        </is>
      </c>
      <c r="R19" s="11" t="n">
        <v>0</v>
      </c>
      <c r="S19" s="11" t="n">
        <v>1.2883</v>
      </c>
      <c r="T19" s="11" t="n">
        <v>0.1325</v>
      </c>
      <c r="X19" s="11" t="n">
        <v>0</v>
      </c>
      <c r="Y19" s="11" t="n">
        <v>0</v>
      </c>
      <c r="AD19" s="11" t="n">
        <v>0</v>
      </c>
    </row>
    <row r="20">
      <c r="A20" s="10" t="inlineStr">
        <is>
          <t>기타</t>
        </is>
      </c>
      <c r="C20" s="11" t="n">
        <v>0.0246</v>
      </c>
      <c r="D20" s="11" t="n">
        <v>0.023</v>
      </c>
      <c r="E20" s="11" t="n">
        <v>0.0941</v>
      </c>
      <c r="F20" s="11" t="n">
        <v>0.0859</v>
      </c>
      <c r="G20" s="11" t="n">
        <v>0.0788</v>
      </c>
      <c r="H20" s="11" t="n">
        <v>0.0717</v>
      </c>
      <c r="I20" s="11" t="n">
        <v>0.0646</v>
      </c>
      <c r="J20" s="11" t="n">
        <v>0.0575</v>
      </c>
      <c r="K20" s="11" t="n">
        <v>0.0522</v>
      </c>
      <c r="L20" s="11" t="n">
        <v>0.2086</v>
      </c>
      <c r="M20" s="11" t="n">
        <v>0.0416</v>
      </c>
      <c r="N20" s="11" t="n">
        <v>1.3364</v>
      </c>
      <c r="O20" s="11" t="n">
        <v>0.0323</v>
      </c>
      <c r="P20" s="11" t="n">
        <v>0.0283</v>
      </c>
      <c r="Q20" s="11" t="n">
        <v>0.0701</v>
      </c>
      <c r="R20" s="11" t="n">
        <v>0.0202</v>
      </c>
      <c r="S20" s="11" t="n">
        <v>0.0979</v>
      </c>
      <c r="T20" s="11" t="n">
        <v>0.0912</v>
      </c>
      <c r="U20" s="11" t="n">
        <v>0.1149</v>
      </c>
      <c r="V20" s="11" t="n">
        <v>0.1213</v>
      </c>
      <c r="W20" s="11" t="n">
        <v>0.0025</v>
      </c>
      <c r="X20" s="11" t="n">
        <v>0.001</v>
      </c>
      <c r="Y20" s="11" t="n">
        <v>0</v>
      </c>
      <c r="Z20" s="11" t="n">
        <v>0.0262</v>
      </c>
      <c r="AA20" s="11" t="n">
        <v>0.0859</v>
      </c>
      <c r="AB20" s="11" t="n">
        <v>0.0575</v>
      </c>
      <c r="AC20" s="11" t="n">
        <v>1.3364</v>
      </c>
      <c r="AD20" s="11" t="n">
        <v>0.0202</v>
      </c>
      <c r="AE20" s="11" t="n">
        <v>0.1213</v>
      </c>
    </row>
    <row r="21">
      <c r="A21" s="10" t="inlineStr">
        <is>
          <t>유형자산 합계</t>
        </is>
      </c>
      <c r="C21" s="11" t="n">
        <v>1.9667</v>
      </c>
      <c r="D21" s="11" t="n">
        <v>1.8554</v>
      </c>
      <c r="E21" s="11" t="n">
        <v>1.978</v>
      </c>
      <c r="F21" s="11" t="n">
        <v>2.0732</v>
      </c>
      <c r="G21" s="11" t="n">
        <v>2.0179</v>
      </c>
      <c r="H21" s="11" t="n">
        <v>2.0506</v>
      </c>
      <c r="I21" s="11" t="n">
        <v>2.2618</v>
      </c>
      <c r="J21" s="11" t="n">
        <v>2.227</v>
      </c>
      <c r="K21" s="11" t="n">
        <v>2.3136</v>
      </c>
      <c r="L21" s="11" t="n">
        <v>2.4213</v>
      </c>
      <c r="M21" s="11" t="n">
        <v>2.6014</v>
      </c>
      <c r="N21" s="11" t="n">
        <v>3.849</v>
      </c>
      <c r="O21" s="11" t="n">
        <v>9.089499999999999</v>
      </c>
      <c r="P21" s="11" t="n">
        <v>8.968500000000001</v>
      </c>
      <c r="Q21" s="11" t="n">
        <v>8.926</v>
      </c>
      <c r="R21" s="11" t="n">
        <v>8.791</v>
      </c>
      <c r="S21" s="11" t="n">
        <v>10.0649</v>
      </c>
      <c r="T21" s="11" t="n">
        <v>10.3427</v>
      </c>
      <c r="U21" s="11" t="n">
        <v>10.2998</v>
      </c>
      <c r="V21" s="11" t="n">
        <v>10.2185</v>
      </c>
      <c r="W21" s="11" t="n">
        <v>0.7879</v>
      </c>
      <c r="X21" s="11" t="n">
        <v>0.8647</v>
      </c>
      <c r="Y21" s="11" t="n">
        <v>1.3469</v>
      </c>
      <c r="Z21" s="11" t="n">
        <v>1.9989</v>
      </c>
      <c r="AA21" s="11" t="n">
        <v>2.0732</v>
      </c>
      <c r="AB21" s="11" t="n">
        <v>2.227</v>
      </c>
      <c r="AC21" s="11" t="n">
        <v>3.849</v>
      </c>
      <c r="AD21" s="11" t="n">
        <v>8.791</v>
      </c>
      <c r="AE21" s="11" t="n">
        <v>10.2185</v>
      </c>
    </row>
    <row r="22">
      <c r="A22" s="10" t="inlineStr">
        <is>
          <t>영업권</t>
        </is>
      </c>
      <c r="C22" s="11" t="n">
        <v>0.1369</v>
      </c>
      <c r="D22" s="11" t="n">
        <v>0.114</v>
      </c>
      <c r="E22" s="11" t="n">
        <v>0.0912</v>
      </c>
      <c r="F22" s="11" t="n">
        <v>0.0684</v>
      </c>
      <c r="G22" s="11" t="n">
        <v>0.0456</v>
      </c>
      <c r="H22" s="11" t="n">
        <v>0.0228</v>
      </c>
      <c r="I22" s="11" t="n">
        <v>0</v>
      </c>
      <c r="J22" s="11" t="n">
        <v>0</v>
      </c>
      <c r="M22" s="11" t="n">
        <v>0.7583</v>
      </c>
      <c r="N22" s="11" t="n">
        <v>1.2483</v>
      </c>
      <c r="O22" s="11" t="n">
        <v>1.184</v>
      </c>
      <c r="P22" s="11" t="n">
        <v>1.1197</v>
      </c>
      <c r="Q22" s="11" t="n">
        <v>1.0553</v>
      </c>
      <c r="R22" s="11" t="n">
        <v>0.991</v>
      </c>
      <c r="S22" s="11" t="n">
        <v>0.9267</v>
      </c>
      <c r="T22" s="11" t="n">
        <v>0.8624000000000001</v>
      </c>
      <c r="U22" s="11" t="n">
        <v>0.7981</v>
      </c>
      <c r="V22" s="11" t="n">
        <v>0.7338</v>
      </c>
      <c r="W22" s="11" t="n">
        <v>0.4334</v>
      </c>
      <c r="X22" s="11" t="n">
        <v>0.3422</v>
      </c>
      <c r="Y22" s="11" t="n">
        <v>0.2509</v>
      </c>
      <c r="Z22" s="11" t="n">
        <v>0.1597</v>
      </c>
      <c r="AA22" s="11" t="n">
        <v>0.0684</v>
      </c>
      <c r="AB22" s="11" t="n">
        <v>0</v>
      </c>
      <c r="AC22" s="11" t="n">
        <v>1.2483</v>
      </c>
      <c r="AD22" s="11" t="n">
        <v>0.991</v>
      </c>
      <c r="AE22" s="11" t="n">
        <v>0.7338</v>
      </c>
    </row>
    <row r="23">
      <c r="A23" s="10" t="inlineStr">
        <is>
          <t>소프트웨어</t>
        </is>
      </c>
      <c r="C23" s="11" t="n">
        <v>0.0349</v>
      </c>
      <c r="D23" s="11" t="n">
        <v>0.0307</v>
      </c>
      <c r="E23" s="11" t="n">
        <v>0.0234</v>
      </c>
      <c r="F23" s="11" t="n">
        <v>0.0128</v>
      </c>
      <c r="G23" s="11" t="n">
        <v>0.0116</v>
      </c>
      <c r="H23" s="11" t="n">
        <v>0.0104</v>
      </c>
      <c r="I23" s="11" t="n">
        <v>0.0092</v>
      </c>
      <c r="J23" s="11" t="n">
        <v>0.007900000000000001</v>
      </c>
      <c r="K23" s="11" t="n">
        <v>0.007</v>
      </c>
      <c r="L23" s="11" t="n">
        <v>0.0061</v>
      </c>
      <c r="M23" s="11" t="n">
        <v>0.0053</v>
      </c>
      <c r="N23" s="11" t="n">
        <v>0.0043</v>
      </c>
      <c r="O23" s="11" t="n">
        <v>0.0034</v>
      </c>
      <c r="P23" s="11" t="n">
        <v>0.0026</v>
      </c>
      <c r="Q23" s="11" t="n">
        <v>0.0017</v>
      </c>
      <c r="R23" s="11" t="n">
        <v>0.0012</v>
      </c>
      <c r="S23" s="11" t="n">
        <v>0.0009</v>
      </c>
      <c r="T23" s="11" t="n">
        <v>0.0005999999999999999</v>
      </c>
      <c r="U23" s="11" t="n">
        <v>0.0011</v>
      </c>
      <c r="V23" s="11" t="n">
        <v>0.0004</v>
      </c>
      <c r="W23" s="11" t="n">
        <v>0.6477000000000001</v>
      </c>
      <c r="X23" s="11" t="n">
        <v>0.2627</v>
      </c>
      <c r="Y23" s="11" t="n">
        <v>0.08690000000000001</v>
      </c>
      <c r="Z23" s="11" t="n">
        <v>0.0449</v>
      </c>
      <c r="AA23" s="11" t="n">
        <v>0.0128</v>
      </c>
      <c r="AB23" s="11" t="n">
        <v>0.007900000000000001</v>
      </c>
      <c r="AC23" s="11" t="n">
        <v>0.0043</v>
      </c>
      <c r="AD23" s="11" t="n">
        <v>0.0012</v>
      </c>
      <c r="AE23" s="11" t="n">
        <v>0.0004</v>
      </c>
    </row>
    <row r="24">
      <c r="A24" s="10" t="inlineStr">
        <is>
          <t>개발 중 소프트웨어</t>
        </is>
      </c>
      <c r="R24" s="11" t="n">
        <v>0</v>
      </c>
      <c r="T24" s="11" t="n">
        <v>0.4257</v>
      </c>
      <c r="U24" s="11" t="n">
        <v>0.668</v>
      </c>
      <c r="AD24" s="11" t="n">
        <v>0</v>
      </c>
    </row>
    <row r="25">
      <c r="A25" s="10" t="inlineStr">
        <is>
          <t>기타</t>
        </is>
      </c>
      <c r="C25" s="11" t="n">
        <v>0.017</v>
      </c>
      <c r="D25" s="11" t="n">
        <v>0.0167</v>
      </c>
      <c r="E25" s="11" t="n">
        <v>0.0166</v>
      </c>
      <c r="F25" s="11" t="n">
        <v>0.0166</v>
      </c>
      <c r="G25" s="11" t="n">
        <v>0.0166</v>
      </c>
      <c r="H25" s="11" t="n">
        <v>0.0166</v>
      </c>
      <c r="I25" s="11" t="n">
        <v>0.0166</v>
      </c>
      <c r="J25" s="11" t="n">
        <v>0.0166</v>
      </c>
      <c r="K25" s="11" t="n">
        <v>0.0166</v>
      </c>
      <c r="L25" s="11" t="n">
        <v>0.0166</v>
      </c>
      <c r="M25" s="11" t="n">
        <v>0.0166</v>
      </c>
      <c r="N25" s="11" t="n">
        <v>0.0181</v>
      </c>
      <c r="O25" s="11" t="n">
        <v>0.0181</v>
      </c>
      <c r="P25" s="11" t="n">
        <v>0.0181</v>
      </c>
      <c r="Q25" s="11" t="n">
        <v>0.0181</v>
      </c>
      <c r="R25" s="11" t="n">
        <v>0.0181</v>
      </c>
      <c r="S25" s="11" t="n">
        <v>0.0181</v>
      </c>
      <c r="T25" s="11" t="n">
        <v>0.0181</v>
      </c>
      <c r="U25" s="11" t="n">
        <v>0.0181</v>
      </c>
      <c r="V25" s="11" t="n">
        <v>0.0181</v>
      </c>
      <c r="W25" s="11" t="n">
        <v>0.0208</v>
      </c>
      <c r="X25" s="11" t="n">
        <v>0.0196</v>
      </c>
      <c r="Y25" s="11" t="n">
        <v>0.0184</v>
      </c>
      <c r="Z25" s="11" t="n">
        <v>0.0173</v>
      </c>
      <c r="AA25" s="11" t="n">
        <v>0.0166</v>
      </c>
      <c r="AB25" s="11" t="n">
        <v>0.0166</v>
      </c>
      <c r="AC25" s="11" t="n">
        <v>0.0181</v>
      </c>
      <c r="AD25" s="11" t="n">
        <v>0.0181</v>
      </c>
      <c r="AE25" s="11" t="n">
        <v>0.0181</v>
      </c>
    </row>
    <row r="26">
      <c r="A26" s="10" t="inlineStr">
        <is>
          <t>무형자산 합계</t>
        </is>
      </c>
      <c r="C26" s="11" t="n">
        <v>0.1887</v>
      </c>
      <c r="D26" s="11" t="n">
        <v>0.1614</v>
      </c>
      <c r="E26" s="11" t="n">
        <v>0.1313</v>
      </c>
      <c r="F26" s="11" t="n">
        <v>0.0979</v>
      </c>
      <c r="G26" s="11" t="n">
        <v>0.0738</v>
      </c>
      <c r="H26" s="11" t="n">
        <v>0.0498</v>
      </c>
      <c r="I26" s="11" t="n">
        <v>0.0259</v>
      </c>
      <c r="J26" s="11" t="n">
        <v>0.0246</v>
      </c>
      <c r="K26" s="11" t="n">
        <v>0.0237</v>
      </c>
      <c r="L26" s="11" t="n">
        <v>0.0228</v>
      </c>
      <c r="M26" s="11" t="n">
        <v>0.7801</v>
      </c>
      <c r="N26" s="11" t="n">
        <v>1.2707</v>
      </c>
      <c r="O26" s="11" t="n">
        <v>1.2055</v>
      </c>
      <c r="P26" s="11" t="n">
        <v>1.1403</v>
      </c>
      <c r="Q26" s="11" t="n">
        <v>1.0751</v>
      </c>
      <c r="R26" s="11" t="n">
        <v>1.0103</v>
      </c>
      <c r="S26" s="11" t="n">
        <v>0.9457</v>
      </c>
      <c r="T26" s="11" t="n">
        <v>1.3068</v>
      </c>
      <c r="U26" s="11" t="n">
        <v>1.4853</v>
      </c>
      <c r="V26" s="11" t="n">
        <v>0.7523</v>
      </c>
      <c r="W26" s="11" t="n">
        <v>1.1019</v>
      </c>
      <c r="X26" s="11" t="n">
        <v>0.6244</v>
      </c>
      <c r="Y26" s="11" t="n">
        <v>0.3563</v>
      </c>
      <c r="Z26" s="11" t="n">
        <v>0.2218</v>
      </c>
      <c r="AA26" s="11" t="n">
        <v>0.0979</v>
      </c>
      <c r="AB26" s="11" t="n">
        <v>0.0246</v>
      </c>
      <c r="AC26" s="11" t="n">
        <v>1.2707</v>
      </c>
      <c r="AD26" s="11" t="n">
        <v>1.0103</v>
      </c>
      <c r="AE26" s="11" t="n">
        <v>0.7523</v>
      </c>
    </row>
    <row r="27">
      <c r="A27" s="10" t="inlineStr">
        <is>
          <t>투자유가증권</t>
        </is>
      </c>
      <c r="C27" s="11" t="n">
        <v>1.183</v>
      </c>
      <c r="D27" s="11" t="n">
        <v>1.1739</v>
      </c>
      <c r="E27" s="11" t="n">
        <v>1.2302</v>
      </c>
      <c r="F27" s="11" t="n">
        <v>1.1834</v>
      </c>
      <c r="G27" s="11" t="n">
        <v>1.1825</v>
      </c>
      <c r="H27" s="11" t="n">
        <v>1.1461</v>
      </c>
      <c r="I27" s="11" t="n">
        <v>1.0903</v>
      </c>
      <c r="J27" s="11" t="n">
        <v>1.0899</v>
      </c>
      <c r="K27" s="11" t="n">
        <v>1.0565</v>
      </c>
      <c r="L27" s="11" t="n">
        <v>1.0562</v>
      </c>
      <c r="M27" s="11" t="n">
        <v>1.0454</v>
      </c>
      <c r="N27" s="11" t="n">
        <v>0.035</v>
      </c>
      <c r="O27" s="11" t="n">
        <v>0.035</v>
      </c>
      <c r="P27" s="11" t="n">
        <v>0.035</v>
      </c>
      <c r="Q27" s="11" t="n">
        <v>0.035</v>
      </c>
      <c r="R27" s="11" t="n">
        <v>0.035</v>
      </c>
      <c r="S27" s="11" t="n">
        <v>0.035</v>
      </c>
      <c r="T27" s="11" t="n">
        <v>0.035</v>
      </c>
      <c r="U27" s="11" t="n">
        <v>0.035</v>
      </c>
      <c r="V27" s="11" t="n">
        <v>0.035</v>
      </c>
      <c r="W27" s="11" t="n">
        <v>1.0075</v>
      </c>
      <c r="X27" s="11" t="n">
        <v>2.2244</v>
      </c>
      <c r="Y27" s="11" t="n">
        <v>1.327</v>
      </c>
      <c r="Z27" s="11" t="n">
        <v>1.1845</v>
      </c>
      <c r="AA27" s="11" t="n">
        <v>1.1834</v>
      </c>
      <c r="AB27" s="11" t="n">
        <v>1.0899</v>
      </c>
      <c r="AC27" s="11" t="n">
        <v>0.035</v>
      </c>
      <c r="AD27" s="11" t="n">
        <v>0.035</v>
      </c>
      <c r="AE27" s="11" t="n">
        <v>0.035</v>
      </c>
    </row>
    <row r="28">
      <c r="A28" s="10" t="inlineStr">
        <is>
          <t>이연법인세자산</t>
        </is>
      </c>
      <c r="W28" s="11" t="n">
        <v>1.7999</v>
      </c>
      <c r="X28" s="11" t="n">
        <v>2.7952</v>
      </c>
    </row>
    <row r="29">
      <c r="A29" s="10" t="inlineStr">
        <is>
          <t>이연법인세자산</t>
        </is>
      </c>
      <c r="C29" s="11" t="n">
        <v>5.3072</v>
      </c>
      <c r="D29" s="11" t="n">
        <v>4.0412</v>
      </c>
      <c r="E29" s="11" t="n">
        <v>5.515</v>
      </c>
      <c r="F29" s="11" t="n">
        <v>4.4938</v>
      </c>
      <c r="G29" s="11" t="n">
        <v>5.6121</v>
      </c>
      <c r="H29" s="11" t="n">
        <v>4.3937</v>
      </c>
      <c r="I29" s="11" t="n">
        <v>6.2515</v>
      </c>
      <c r="J29" s="11" t="n">
        <v>5.0192</v>
      </c>
      <c r="K29" s="11" t="n">
        <v>6.5326</v>
      </c>
      <c r="L29" s="11" t="n">
        <v>4.8365</v>
      </c>
      <c r="M29" s="11" t="n">
        <v>6.7443</v>
      </c>
      <c r="N29" s="11" t="n">
        <v>5.3231</v>
      </c>
      <c r="O29" s="11" t="n">
        <v>6.9518</v>
      </c>
      <c r="P29" s="11" t="n">
        <v>5.1193</v>
      </c>
      <c r="Q29" s="11" t="n">
        <v>7.1842</v>
      </c>
      <c r="R29" s="11" t="n">
        <v>5.3601</v>
      </c>
      <c r="S29" s="11" t="n">
        <v>7.3637</v>
      </c>
      <c r="T29" s="11" t="n">
        <v>5.3576</v>
      </c>
      <c r="U29" s="11" t="n">
        <v>7.3412</v>
      </c>
      <c r="V29" s="11" t="n">
        <v>5.7565</v>
      </c>
      <c r="X29" s="11" t="n">
        <v>2.7952</v>
      </c>
      <c r="Y29" s="11" t="n">
        <v>3.8383</v>
      </c>
      <c r="Z29" s="11" t="n">
        <v>3.9723</v>
      </c>
      <c r="AA29" s="11" t="n">
        <v>4.4938</v>
      </c>
      <c r="AB29" s="11" t="n">
        <v>5.0192</v>
      </c>
      <c r="AC29" s="11" t="n">
        <v>5.3231</v>
      </c>
      <c r="AD29" s="11" t="n">
        <v>5.3601</v>
      </c>
      <c r="AE29" s="11" t="n">
        <v>5.7565</v>
      </c>
    </row>
    <row r="30">
      <c r="A30" s="10" t="inlineStr">
        <is>
          <t>임차보증금·보증금</t>
        </is>
      </c>
      <c r="C30" s="11" t="n">
        <v>2.3226</v>
      </c>
      <c r="D30" s="11" t="n">
        <v>2.3102</v>
      </c>
      <c r="E30" s="11" t="n">
        <v>2.5515</v>
      </c>
      <c r="F30" s="11" t="n">
        <v>2.4178</v>
      </c>
      <c r="G30" s="11" t="n">
        <v>2.659</v>
      </c>
      <c r="H30" s="11" t="n">
        <v>2.6476</v>
      </c>
      <c r="I30" s="11" t="n">
        <v>2.9246</v>
      </c>
      <c r="J30" s="11" t="n">
        <v>2.8881</v>
      </c>
      <c r="K30" s="11" t="n">
        <v>3.3549</v>
      </c>
      <c r="L30" s="11" t="n">
        <v>3.3281</v>
      </c>
      <c r="M30" s="11" t="n">
        <v>3.349</v>
      </c>
      <c r="N30" s="11" t="n">
        <v>3.3216</v>
      </c>
      <c r="O30" s="11" t="n">
        <v>3.4017</v>
      </c>
      <c r="P30" s="11" t="n">
        <v>3.3738</v>
      </c>
      <c r="Q30" s="11" t="n">
        <v>3.3952</v>
      </c>
      <c r="R30" s="11" t="n">
        <v>3.3745</v>
      </c>
      <c r="S30" s="11" t="n">
        <v>3.3458</v>
      </c>
      <c r="T30" s="11" t="n">
        <v>3.3252</v>
      </c>
      <c r="U30" s="11" t="n">
        <v>3.2088</v>
      </c>
      <c r="V30" s="11" t="n">
        <v>3.1833</v>
      </c>
      <c r="W30" s="11" t="n">
        <v>1.5577</v>
      </c>
      <c r="X30" s="11" t="n">
        <v>1.6844</v>
      </c>
      <c r="Y30" s="11" t="n">
        <v>2.1461</v>
      </c>
      <c r="Z30" s="11" t="n">
        <v>2.3234</v>
      </c>
      <c r="AA30" s="11" t="n">
        <v>2.4178</v>
      </c>
      <c r="AB30" s="11" t="n">
        <v>2.8881</v>
      </c>
      <c r="AC30" s="11" t="n">
        <v>3.3216</v>
      </c>
      <c r="AD30" s="11" t="n">
        <v>3.3745</v>
      </c>
      <c r="AE30" s="11" t="n">
        <v>3.1833</v>
      </c>
    </row>
    <row r="31">
      <c r="A31" s="10" t="inlineStr">
        <is>
          <t>보험적립금</t>
        </is>
      </c>
      <c r="F31" s="11" t="n">
        <v>2.9229</v>
      </c>
      <c r="G31" s="11" t="n">
        <v>3.2183</v>
      </c>
      <c r="H31" s="11" t="n">
        <v>3.7494</v>
      </c>
      <c r="I31" s="11" t="n">
        <v>3.7542</v>
      </c>
      <c r="J31" s="11" t="n">
        <v>3.7589</v>
      </c>
      <c r="K31" s="11" t="n">
        <v>4.0543</v>
      </c>
      <c r="L31" s="11" t="n">
        <v>4.5854</v>
      </c>
      <c r="M31" s="11" t="n">
        <v>4.6187</v>
      </c>
      <c r="N31" s="11" t="n">
        <v>4.6528</v>
      </c>
      <c r="O31" s="11" t="n">
        <v>4.9218</v>
      </c>
      <c r="P31" s="11" t="n">
        <v>5.4544</v>
      </c>
      <c r="Q31" s="11" t="n">
        <v>5.4607</v>
      </c>
      <c r="R31" s="11" t="n">
        <v>5.467</v>
      </c>
      <c r="S31" s="11" t="n">
        <v>5.7638</v>
      </c>
      <c r="T31" s="11" t="n">
        <v>6.2965</v>
      </c>
      <c r="U31" s="11" t="n">
        <v>6.2578</v>
      </c>
      <c r="V31" s="11" t="n">
        <v>6.2634</v>
      </c>
      <c r="Z31" s="11" t="n">
        <v>2.0869</v>
      </c>
      <c r="AA31" s="11" t="n">
        <v>2.9229</v>
      </c>
      <c r="AB31" s="11" t="n">
        <v>3.7589</v>
      </c>
      <c r="AC31" s="11" t="n">
        <v>4.6528</v>
      </c>
      <c r="AD31" s="11" t="n">
        <v>5.467</v>
      </c>
      <c r="AE31" s="11" t="n">
        <v>6.2634</v>
      </c>
    </row>
    <row r="32">
      <c r="A32" s="10" t="inlineStr">
        <is>
          <t>기타</t>
        </is>
      </c>
      <c r="C32" s="11" t="n">
        <v>2.9041</v>
      </c>
      <c r="D32" s="11" t="n">
        <v>3.3994</v>
      </c>
      <c r="E32" s="11" t="n">
        <v>3.3685</v>
      </c>
      <c r="F32" s="11" t="n">
        <v>0.4145</v>
      </c>
      <c r="G32" s="11" t="n">
        <v>0.3788</v>
      </c>
      <c r="H32" s="11" t="n">
        <v>0.343</v>
      </c>
      <c r="I32" s="11" t="n">
        <v>0.3073</v>
      </c>
      <c r="J32" s="11" t="n">
        <v>0.2715</v>
      </c>
      <c r="K32" s="11" t="n">
        <v>0.2358</v>
      </c>
      <c r="L32" s="11" t="n">
        <v>0.2</v>
      </c>
      <c r="M32" s="11" t="n">
        <v>0.1643</v>
      </c>
      <c r="N32" s="11" t="n">
        <v>1.2156</v>
      </c>
      <c r="O32" s="11" t="n">
        <v>1.251</v>
      </c>
      <c r="P32" s="11" t="n">
        <v>1.1858</v>
      </c>
      <c r="Q32" s="11" t="n">
        <v>1.3915</v>
      </c>
      <c r="R32" s="11" t="n">
        <v>0.1353</v>
      </c>
      <c r="S32" s="11" t="n">
        <v>0.1388</v>
      </c>
      <c r="T32" s="11" t="n">
        <v>0.1365</v>
      </c>
      <c r="U32" s="11" t="n">
        <v>0.1048</v>
      </c>
      <c r="V32" s="11" t="n">
        <v>0.8704</v>
      </c>
      <c r="W32" s="11" t="n">
        <v>0.1631</v>
      </c>
      <c r="X32" s="11" t="n">
        <v>0.7068</v>
      </c>
      <c r="Y32" s="11" t="n">
        <v>1.2522</v>
      </c>
      <c r="Z32" s="11" t="n">
        <v>0.5575</v>
      </c>
      <c r="AA32" s="11" t="n">
        <v>0.4145</v>
      </c>
      <c r="AB32" s="11" t="n">
        <v>0.2715</v>
      </c>
      <c r="AC32" s="11" t="n">
        <v>1.2156</v>
      </c>
      <c r="AD32" s="11" t="n">
        <v>0.1353</v>
      </c>
      <c r="AE32" s="11" t="n">
        <v>0.8704</v>
      </c>
    </row>
    <row r="33">
      <c r="A33" s="10" t="inlineStr">
        <is>
          <t>대손충당금</t>
        </is>
      </c>
      <c r="N33" s="11" t="n">
        <v>0</v>
      </c>
      <c r="O33" s="11" t="n">
        <v>-0.0412</v>
      </c>
      <c r="P33" s="11" t="n">
        <v>-0.0411</v>
      </c>
      <c r="Q33" s="11" t="n">
        <v>-0.0411</v>
      </c>
      <c r="R33" s="11" t="n">
        <v>-0.0411</v>
      </c>
      <c r="S33" s="11" t="n">
        <v>-0.0411</v>
      </c>
      <c r="T33" s="11" t="n">
        <v>-0.0411</v>
      </c>
      <c r="U33" s="11" t="n">
        <v>-0.0411</v>
      </c>
      <c r="V33" s="11" t="n">
        <v>-0.0411</v>
      </c>
      <c r="AC33" s="11" t="n">
        <v>0</v>
      </c>
      <c r="AD33" s="11" t="n">
        <v>-0.0411</v>
      </c>
      <c r="AE33" s="11" t="n">
        <v>-0.0411</v>
      </c>
    </row>
    <row r="34">
      <c r="A34" s="10" t="inlineStr">
        <is>
          <t>투자 및 기타자산 합계</t>
        </is>
      </c>
      <c r="C34" s="11" t="n">
        <v>11.7168</v>
      </c>
      <c r="D34" s="11" t="n">
        <v>10.9246</v>
      </c>
      <c r="E34" s="11" t="n">
        <v>12.6652</v>
      </c>
      <c r="F34" s="11" t="n">
        <v>11.4325</v>
      </c>
      <c r="G34" s="11" t="n">
        <v>13.0508</v>
      </c>
      <c r="H34" s="11" t="n">
        <v>12.2799</v>
      </c>
      <c r="I34" s="11" t="n">
        <v>14.328</v>
      </c>
      <c r="J34" s="11" t="n">
        <v>13.0277</v>
      </c>
      <c r="K34" s="11" t="n">
        <v>15.2342</v>
      </c>
      <c r="L34" s="11" t="n">
        <v>14.0064</v>
      </c>
      <c r="M34" s="11" t="n">
        <v>15.9216</v>
      </c>
      <c r="N34" s="11" t="n">
        <v>14.5481</v>
      </c>
      <c r="O34" s="11" t="n">
        <v>16.52</v>
      </c>
      <c r="P34" s="11" t="n">
        <v>15.1272</v>
      </c>
      <c r="Q34" s="11" t="n">
        <v>17.4254</v>
      </c>
      <c r="R34" s="11" t="n">
        <v>14.3308</v>
      </c>
      <c r="S34" s="11" t="n">
        <v>16.606</v>
      </c>
      <c r="T34" s="11" t="n">
        <v>15.1096</v>
      </c>
      <c r="U34" s="11" t="n">
        <v>16.9064</v>
      </c>
      <c r="V34" s="11" t="n">
        <v>16.0674</v>
      </c>
      <c r="W34" s="11" t="n">
        <v>4.5283</v>
      </c>
      <c r="X34" s="11" t="n">
        <v>7.4108</v>
      </c>
      <c r="Y34" s="11" t="n">
        <v>8.563599999999999</v>
      </c>
      <c r="Z34" s="11" t="n">
        <v>10.1247</v>
      </c>
      <c r="AA34" s="11" t="n">
        <v>11.4325</v>
      </c>
      <c r="AB34" s="11" t="n">
        <v>13.0277</v>
      </c>
      <c r="AC34" s="11" t="n">
        <v>14.5481</v>
      </c>
      <c r="AD34" s="11" t="n">
        <v>14.3308</v>
      </c>
      <c r="AE34" s="11" t="n">
        <v>16.0674</v>
      </c>
    </row>
    <row r="35">
      <c r="A35" s="10" t="inlineStr">
        <is>
          <t>비유동자산 합계</t>
        </is>
      </c>
      <c r="C35" s="11" t="n">
        <v>13.8723</v>
      </c>
      <c r="D35" s="11" t="n">
        <v>12.9414</v>
      </c>
      <c r="E35" s="11" t="n">
        <v>14.7745</v>
      </c>
      <c r="F35" s="11" t="n">
        <v>13.6035</v>
      </c>
      <c r="G35" s="11" t="n">
        <v>15.1425</v>
      </c>
      <c r="H35" s="11" t="n">
        <v>14.3803</v>
      </c>
      <c r="I35" s="11" t="n">
        <v>16.6156</v>
      </c>
      <c r="J35" s="11" t="n">
        <v>15.2792</v>
      </c>
      <c r="K35" s="11" t="n">
        <v>17.5715</v>
      </c>
      <c r="L35" s="11" t="n">
        <v>16.4505</v>
      </c>
      <c r="M35" s="11" t="n">
        <v>19.3032</v>
      </c>
      <c r="N35" s="11" t="n">
        <v>19.6678</v>
      </c>
      <c r="O35" s="11" t="n">
        <v>26.815</v>
      </c>
      <c r="P35" s="11" t="n">
        <v>25.236</v>
      </c>
      <c r="Q35" s="11" t="n">
        <v>27.4265</v>
      </c>
      <c r="R35" s="11" t="n">
        <v>24.1321</v>
      </c>
      <c r="S35" s="11" t="n">
        <v>27.6166</v>
      </c>
      <c r="T35" s="11" t="n">
        <v>26.7591</v>
      </c>
      <c r="U35" s="11" t="n">
        <v>28.6915</v>
      </c>
      <c r="V35" s="11" t="n">
        <v>27.0382</v>
      </c>
      <c r="W35" s="11" t="n">
        <v>6.4181</v>
      </c>
      <c r="X35" s="11" t="n">
        <v>8.9</v>
      </c>
      <c r="Y35" s="11" t="n">
        <v>10.2668</v>
      </c>
      <c r="Z35" s="11" t="n">
        <v>12.3455</v>
      </c>
      <c r="AA35" s="11" t="n">
        <v>13.6035</v>
      </c>
      <c r="AB35" s="11" t="n">
        <v>15.2792</v>
      </c>
      <c r="AC35" s="11" t="n">
        <v>19.6678</v>
      </c>
      <c r="AD35" s="11" t="n">
        <v>24.1321</v>
      </c>
      <c r="AE35" s="11" t="n">
        <v>27.0382</v>
      </c>
    </row>
    <row r="36">
      <c r="A36" s="10" t="inlineStr">
        <is>
          <t>자산 합계</t>
        </is>
      </c>
      <c r="C36" s="11" t="n">
        <v>90.40770000000001</v>
      </c>
      <c r="D36" s="11" t="n">
        <v>89.30800000000001</v>
      </c>
      <c r="E36" s="11" t="n">
        <v>96.8233</v>
      </c>
      <c r="F36" s="11" t="n">
        <v>96.2043</v>
      </c>
      <c r="G36" s="11" t="n">
        <v>104.76</v>
      </c>
      <c r="H36" s="11" t="n">
        <v>105.7099</v>
      </c>
      <c r="I36" s="11" t="n">
        <v>113.1577</v>
      </c>
      <c r="J36" s="11" t="n">
        <v>112.5366</v>
      </c>
      <c r="K36" s="11" t="n">
        <v>114.3096</v>
      </c>
      <c r="L36" s="11" t="n">
        <v>110.9593</v>
      </c>
      <c r="M36" s="11" t="n">
        <v>121.7376</v>
      </c>
      <c r="N36" s="11" t="n">
        <v>120.5212</v>
      </c>
      <c r="O36" s="11" t="n">
        <v>129.9391</v>
      </c>
      <c r="P36" s="11" t="n">
        <v>124.8691</v>
      </c>
      <c r="Q36" s="11" t="n">
        <v>136.6668</v>
      </c>
      <c r="R36" s="11" t="n">
        <v>133.2434</v>
      </c>
      <c r="S36" s="11" t="n">
        <v>140.7872</v>
      </c>
      <c r="T36" s="11" t="n">
        <v>136.6568</v>
      </c>
      <c r="U36" s="11" t="n">
        <v>147.9039</v>
      </c>
      <c r="V36" s="11" t="n">
        <v>145.732</v>
      </c>
      <c r="W36" s="11" t="n">
        <v>41.9518</v>
      </c>
      <c r="X36" s="11" t="n">
        <v>53.7073</v>
      </c>
      <c r="Y36" s="11" t="n">
        <v>73.4237</v>
      </c>
      <c r="Z36" s="11" t="n">
        <v>87.3068</v>
      </c>
      <c r="AA36" s="11" t="n">
        <v>96.2043</v>
      </c>
      <c r="AB36" s="11" t="n">
        <v>112.5366</v>
      </c>
      <c r="AC36" s="11" t="n">
        <v>120.5212</v>
      </c>
      <c r="AD36" s="11" t="n">
        <v>133.2434</v>
      </c>
      <c r="AE36" s="11" t="n">
        <v>145.732</v>
      </c>
    </row>
    <row r="37">
      <c r="A37" s="10" t="inlineStr">
        <is>
          <t>매입채무</t>
        </is>
      </c>
      <c r="C37" s="11" t="n">
        <v>1.1067</v>
      </c>
      <c r="D37" s="11" t="n">
        <v>1.2709</v>
      </c>
      <c r="E37" s="11" t="n">
        <v>1.2872</v>
      </c>
      <c r="F37" s="11" t="n">
        <v>1.5959</v>
      </c>
      <c r="G37" s="11" t="n">
        <v>0.9873</v>
      </c>
      <c r="H37" s="11" t="n">
        <v>1.2242</v>
      </c>
      <c r="I37" s="11" t="n">
        <v>1.7373</v>
      </c>
      <c r="J37" s="11" t="n">
        <v>1.304</v>
      </c>
      <c r="K37" s="11" t="n">
        <v>1.2701</v>
      </c>
      <c r="L37" s="11" t="n">
        <v>1.3697</v>
      </c>
      <c r="M37" s="11" t="n">
        <v>1.5011</v>
      </c>
      <c r="N37" s="11" t="n">
        <v>2.6236</v>
      </c>
      <c r="O37" s="11" t="n">
        <v>2.6682</v>
      </c>
      <c r="P37" s="11" t="n">
        <v>2.7494</v>
      </c>
      <c r="Q37" s="11" t="n">
        <v>2.7766</v>
      </c>
      <c r="R37" s="11" t="n">
        <v>3.3263</v>
      </c>
      <c r="S37" s="11" t="n">
        <v>3.1941</v>
      </c>
      <c r="T37" s="11" t="n">
        <v>3.4409</v>
      </c>
      <c r="U37" s="11" t="n">
        <v>3.3085</v>
      </c>
      <c r="V37" s="11" t="n">
        <v>3.7721</v>
      </c>
      <c r="W37" s="11" t="n">
        <v>0.1828</v>
      </c>
      <c r="X37" s="11" t="n">
        <v>0.3975</v>
      </c>
      <c r="Y37" s="11" t="n">
        <v>0.5732</v>
      </c>
      <c r="Z37" s="11" t="n">
        <v>1.1108</v>
      </c>
      <c r="AA37" s="11" t="n">
        <v>1.5959</v>
      </c>
      <c r="AB37" s="11" t="n">
        <v>1.304</v>
      </c>
      <c r="AC37" s="11" t="n">
        <v>2.6236</v>
      </c>
      <c r="AD37" s="11" t="n">
        <v>3.3263</v>
      </c>
      <c r="AE37" s="11" t="n">
        <v>3.7721</v>
      </c>
    </row>
    <row r="38">
      <c r="A38" s="10" t="inlineStr">
        <is>
          <t>1년 내 상환 장기차입금</t>
        </is>
      </c>
      <c r="C38" s="11" t="n">
        <v>2.3891</v>
      </c>
      <c r="D38" s="11" t="n">
        <v>2.2224</v>
      </c>
      <c r="E38" s="11" t="n">
        <v>6.0557</v>
      </c>
      <c r="F38" s="11" t="n">
        <v>6</v>
      </c>
      <c r="G38" s="11" t="n">
        <v>6</v>
      </c>
      <c r="H38" s="11" t="n">
        <v>6</v>
      </c>
      <c r="I38" s="11" t="n">
        <v>1.5</v>
      </c>
      <c r="J38" s="11" t="n">
        <v>1.8332</v>
      </c>
      <c r="K38" s="11" t="n">
        <v>1.8332</v>
      </c>
      <c r="L38" s="11" t="n">
        <v>1.8332</v>
      </c>
      <c r="M38" s="11" t="n">
        <v>0.3632</v>
      </c>
      <c r="N38" s="11" t="n">
        <v>0.392</v>
      </c>
      <c r="O38" s="11" t="n">
        <v>0.3332</v>
      </c>
      <c r="P38" s="11" t="n">
        <v>0.3332</v>
      </c>
      <c r="Q38" s="11" t="n">
        <v>0.3332</v>
      </c>
      <c r="R38" s="11" t="n">
        <v>0.278</v>
      </c>
      <c r="S38" s="11" t="n">
        <v>0.1947</v>
      </c>
      <c r="T38" s="11" t="n">
        <v>0.1114</v>
      </c>
      <c r="U38" s="11" t="n">
        <v>0.028</v>
      </c>
      <c r="V38" s="11" t="n">
        <v>0</v>
      </c>
      <c r="W38" s="11" t="n">
        <v>1.3909</v>
      </c>
      <c r="X38" s="11" t="n">
        <v>1.3621</v>
      </c>
      <c r="Y38" s="11" t="n">
        <v>1.0666</v>
      </c>
      <c r="Z38" s="11" t="n">
        <v>2.5557</v>
      </c>
      <c r="AA38" s="11" t="n">
        <v>6</v>
      </c>
      <c r="AB38" s="11" t="n">
        <v>1.8332</v>
      </c>
      <c r="AC38" s="11" t="n">
        <v>0.392</v>
      </c>
      <c r="AD38" s="11" t="n">
        <v>0.278</v>
      </c>
      <c r="AE38" s="11" t="n">
        <v>0</v>
      </c>
    </row>
    <row r="39">
      <c r="A39" s="10" t="inlineStr">
        <is>
          <t>미지급금</t>
        </is>
      </c>
      <c r="C39" s="11" t="n">
        <v>19.263</v>
      </c>
      <c r="D39" s="11" t="n">
        <v>11.5667</v>
      </c>
      <c r="E39" s="11" t="n">
        <v>21.4739</v>
      </c>
      <c r="F39" s="11" t="n">
        <v>12.512</v>
      </c>
      <c r="G39" s="11" t="n">
        <v>22.4183</v>
      </c>
      <c r="H39" s="11" t="n">
        <v>12.6896</v>
      </c>
      <c r="I39" s="11" t="n">
        <v>24.4532</v>
      </c>
      <c r="J39" s="11" t="n">
        <v>14.172</v>
      </c>
      <c r="K39" s="11" t="n">
        <v>24.3351</v>
      </c>
      <c r="L39" s="11" t="n">
        <v>13.3923</v>
      </c>
      <c r="M39" s="11" t="n">
        <v>25.5933</v>
      </c>
      <c r="N39" s="11" t="n">
        <v>14.6172</v>
      </c>
      <c r="O39" s="11" t="n">
        <v>27.7792</v>
      </c>
      <c r="P39" s="11" t="n">
        <v>13.8879</v>
      </c>
      <c r="Q39" s="11" t="n">
        <v>26.9732</v>
      </c>
      <c r="R39" s="11" t="n">
        <v>14.8468</v>
      </c>
      <c r="S39" s="11" t="n">
        <v>27.5169</v>
      </c>
      <c r="T39" s="11" t="n">
        <v>14.5664</v>
      </c>
      <c r="U39" s="11" t="n">
        <v>27.0161</v>
      </c>
      <c r="V39" s="11" t="n">
        <v>13.5748</v>
      </c>
      <c r="W39" s="11" t="n">
        <v>6.3691</v>
      </c>
      <c r="X39" s="11" t="n">
        <v>8.0625</v>
      </c>
      <c r="Y39" s="11" t="n">
        <v>9.2401</v>
      </c>
      <c r="Z39" s="11" t="n">
        <v>12.0164</v>
      </c>
      <c r="AA39" s="11" t="n">
        <v>12.512</v>
      </c>
      <c r="AB39" s="11" t="n">
        <v>14.172</v>
      </c>
      <c r="AC39" s="11" t="n">
        <v>14.6172</v>
      </c>
      <c r="AD39" s="11" t="n">
        <v>14.8468</v>
      </c>
      <c r="AE39" s="11" t="n">
        <v>13.5748</v>
      </c>
    </row>
    <row r="40">
      <c r="A40" s="10" t="inlineStr">
        <is>
          <t>미지급법인세</t>
        </is>
      </c>
      <c r="C40" s="11" t="n">
        <v>3.0174</v>
      </c>
      <c r="D40" s="11" t="n">
        <v>2.7213</v>
      </c>
      <c r="E40" s="11" t="n">
        <v>2.8689</v>
      </c>
      <c r="F40" s="11" t="n">
        <v>2.4456</v>
      </c>
      <c r="G40" s="11" t="n">
        <v>3.6198</v>
      </c>
      <c r="H40" s="11" t="n">
        <v>4.4578</v>
      </c>
      <c r="I40" s="11" t="n">
        <v>5.8507</v>
      </c>
      <c r="J40" s="11" t="n">
        <v>5.0009</v>
      </c>
      <c r="K40" s="11" t="n">
        <v>3.9872</v>
      </c>
      <c r="L40" s="11" t="n">
        <v>3.6397</v>
      </c>
      <c r="M40" s="11" t="n">
        <v>4.8372</v>
      </c>
      <c r="N40" s="11" t="n">
        <v>4.4137</v>
      </c>
      <c r="O40" s="11" t="n">
        <v>4.8004</v>
      </c>
      <c r="P40" s="11" t="n">
        <v>4.7772</v>
      </c>
      <c r="Q40" s="11" t="n">
        <v>5.6401</v>
      </c>
      <c r="R40" s="11" t="n">
        <v>5.4333</v>
      </c>
      <c r="S40" s="11" t="n">
        <v>4.5432</v>
      </c>
      <c r="T40" s="11" t="n">
        <v>5.6522</v>
      </c>
      <c r="U40" s="11" t="n">
        <v>6.2707</v>
      </c>
      <c r="V40" s="11" t="n">
        <v>7.4187</v>
      </c>
      <c r="W40" s="11" t="n">
        <v>1.4461</v>
      </c>
      <c r="X40" s="11" t="n">
        <v>2.6754</v>
      </c>
      <c r="Y40" s="11" t="n">
        <v>3.6963</v>
      </c>
      <c r="Z40" s="11" t="n">
        <v>3.976</v>
      </c>
      <c r="AA40" s="11" t="n">
        <v>2.4456</v>
      </c>
      <c r="AB40" s="11" t="n">
        <v>5.0009</v>
      </c>
      <c r="AC40" s="11" t="n">
        <v>4.4137</v>
      </c>
      <c r="AD40" s="11" t="n">
        <v>5.4333</v>
      </c>
      <c r="AE40" s="11" t="n">
        <v>7.4187</v>
      </c>
    </row>
    <row r="41">
      <c r="A41" s="10" t="inlineStr">
        <is>
          <t>미지급 소비세</t>
        </is>
      </c>
      <c r="C41" s="11" t="n">
        <v>3.3426</v>
      </c>
      <c r="D41" s="11" t="n">
        <v>2.7055</v>
      </c>
      <c r="E41" s="11" t="n">
        <v>3.3778</v>
      </c>
      <c r="F41" s="11" t="n">
        <v>4.0882</v>
      </c>
      <c r="G41" s="11" t="n">
        <v>4.2655</v>
      </c>
      <c r="H41" s="11" t="n">
        <v>3.8375</v>
      </c>
      <c r="I41" s="11" t="n">
        <v>4.6579</v>
      </c>
      <c r="J41" s="11" t="n">
        <v>5.4165</v>
      </c>
      <c r="K41" s="11" t="n">
        <v>4.4874</v>
      </c>
      <c r="L41" s="11" t="n">
        <v>3.2901</v>
      </c>
      <c r="M41" s="11" t="n">
        <v>3.6954</v>
      </c>
      <c r="N41" s="11" t="n">
        <v>3.8523</v>
      </c>
      <c r="O41" s="11" t="n">
        <v>4.953</v>
      </c>
      <c r="P41" s="11" t="n">
        <v>3.4972</v>
      </c>
      <c r="Q41" s="11" t="n">
        <v>3.7338</v>
      </c>
      <c r="R41" s="11" t="n">
        <v>3.8436</v>
      </c>
      <c r="S41" s="11" t="n">
        <v>4.8395</v>
      </c>
      <c r="T41" s="11" t="n">
        <v>3.0597</v>
      </c>
      <c r="U41" s="11" t="n">
        <v>3.1014</v>
      </c>
      <c r="V41" s="11" t="n">
        <v>3.3209</v>
      </c>
      <c r="W41" s="11" t="n">
        <v>1.9334</v>
      </c>
      <c r="X41" s="11" t="n">
        <v>2.64</v>
      </c>
      <c r="Y41" s="11" t="n">
        <v>5.0458</v>
      </c>
      <c r="Z41" s="11" t="n">
        <v>3.1536</v>
      </c>
      <c r="AA41" s="11" t="n">
        <v>4.0882</v>
      </c>
      <c r="AB41" s="11" t="n">
        <v>5.4165</v>
      </c>
      <c r="AC41" s="11" t="n">
        <v>3.8523</v>
      </c>
      <c r="AD41" s="11" t="n">
        <v>3.8436</v>
      </c>
      <c r="AE41" s="11" t="n">
        <v>3.3209</v>
      </c>
    </row>
    <row r="42">
      <c r="A42" s="10" t="inlineStr">
        <is>
          <t>상여충당금</t>
        </is>
      </c>
      <c r="C42" s="11" t="n">
        <v>4.0843</v>
      </c>
      <c r="D42" s="11" t="n">
        <v>8.1784</v>
      </c>
      <c r="E42" s="11" t="n">
        <v>4.5059</v>
      </c>
      <c r="F42" s="11" t="n">
        <v>9.129200000000001</v>
      </c>
      <c r="G42" s="11" t="n">
        <v>5.0871</v>
      </c>
      <c r="H42" s="11" t="n">
        <v>9.970599999999999</v>
      </c>
      <c r="I42" s="11" t="n">
        <v>5.4297</v>
      </c>
      <c r="J42" s="11" t="n">
        <v>11.0594</v>
      </c>
      <c r="K42" s="11" t="n">
        <v>5.6367</v>
      </c>
      <c r="L42" s="11" t="n">
        <v>10.9666</v>
      </c>
      <c r="M42" s="11" t="n">
        <v>5.8755</v>
      </c>
      <c r="N42" s="11" t="n">
        <v>12.151</v>
      </c>
      <c r="O42" s="11" t="n">
        <v>5.8764</v>
      </c>
      <c r="P42" s="11" t="n">
        <v>11.5725</v>
      </c>
      <c r="Q42" s="11" t="n">
        <v>6.101</v>
      </c>
      <c r="R42" s="11" t="n">
        <v>11.5779</v>
      </c>
      <c r="S42" s="11" t="n">
        <v>6.0559</v>
      </c>
      <c r="T42" s="11" t="n">
        <v>11.6798</v>
      </c>
      <c r="U42" s="11" t="n">
        <v>5.8642</v>
      </c>
      <c r="V42" s="11" t="n">
        <v>12.1476</v>
      </c>
      <c r="W42" s="11" t="n">
        <v>3.5089</v>
      </c>
      <c r="X42" s="11" t="n">
        <v>5.4758</v>
      </c>
      <c r="Y42" s="11" t="n">
        <v>6.3993</v>
      </c>
      <c r="Z42" s="11" t="n">
        <v>7.5778</v>
      </c>
      <c r="AA42" s="11" t="n">
        <v>9.129200000000001</v>
      </c>
      <c r="AB42" s="11" t="n">
        <v>11.0594</v>
      </c>
      <c r="AC42" s="11" t="n">
        <v>12.151</v>
      </c>
      <c r="AD42" s="11" t="n">
        <v>11.5779</v>
      </c>
      <c r="AE42" s="11" t="n">
        <v>12.1476</v>
      </c>
    </row>
    <row r="43">
      <c r="A43" s="10" t="inlineStr">
        <is>
          <t>수주손실 충당금</t>
        </is>
      </c>
      <c r="C43" s="11" t="n">
        <v>0.002</v>
      </c>
      <c r="D43" s="11" t="n">
        <v>0.0616</v>
      </c>
      <c r="E43" s="11" t="n">
        <v>0.008999999999999999</v>
      </c>
      <c r="F43" s="11" t="n">
        <v>0.008999999999999999</v>
      </c>
      <c r="G43" s="11" t="n">
        <v>0.0007</v>
      </c>
      <c r="H43" s="11" t="n">
        <v>0.0073</v>
      </c>
      <c r="I43" s="11" t="n">
        <v>0</v>
      </c>
      <c r="J43" s="11" t="n">
        <v>0</v>
      </c>
      <c r="L43" s="11" t="n">
        <v>0.0007</v>
      </c>
      <c r="M43" s="11" t="n">
        <v>0.0111</v>
      </c>
      <c r="N43" s="11" t="n">
        <v>0.0047</v>
      </c>
      <c r="O43" s="11" t="n">
        <v>0.021</v>
      </c>
      <c r="P43" s="11" t="n">
        <v>0</v>
      </c>
      <c r="Q43" s="11" t="n">
        <v>0.0186</v>
      </c>
      <c r="R43" s="11" t="n">
        <v>0.0154</v>
      </c>
      <c r="S43" s="11" t="n">
        <v>0.0204</v>
      </c>
      <c r="T43" s="11" t="n">
        <v>0.0027</v>
      </c>
      <c r="U43" s="11" t="n">
        <v>0</v>
      </c>
      <c r="V43" s="11" t="n">
        <v>0</v>
      </c>
      <c r="W43" s="11" t="n">
        <v>0</v>
      </c>
      <c r="X43" s="11" t="n">
        <v>0.0037</v>
      </c>
      <c r="Y43" s="11" t="n">
        <v>0</v>
      </c>
      <c r="Z43" s="11" t="n">
        <v>0.09379999999999999</v>
      </c>
      <c r="AA43" s="11" t="n">
        <v>0.008999999999999999</v>
      </c>
      <c r="AB43" s="11" t="n">
        <v>0</v>
      </c>
      <c r="AC43" s="11" t="n">
        <v>0.0047</v>
      </c>
      <c r="AD43" s="11" t="n">
        <v>0.0154</v>
      </c>
      <c r="AE43" s="11" t="n">
        <v>0</v>
      </c>
    </row>
    <row r="44">
      <c r="A44" s="10" t="inlineStr">
        <is>
          <t>기타</t>
        </is>
      </c>
      <c r="C44" s="11" t="n">
        <v>1.267</v>
      </c>
      <c r="D44" s="11" t="n">
        <v>1.7657</v>
      </c>
      <c r="E44" s="11" t="n">
        <v>1.7853</v>
      </c>
      <c r="F44" s="11" t="n">
        <v>2.5091</v>
      </c>
      <c r="G44" s="11" t="n">
        <v>1.6475</v>
      </c>
      <c r="H44" s="11" t="n">
        <v>2.3027</v>
      </c>
      <c r="I44" s="11" t="n">
        <v>2.4425</v>
      </c>
      <c r="J44" s="11" t="n">
        <v>3.0034</v>
      </c>
      <c r="K44" s="11" t="n">
        <v>2.5836</v>
      </c>
      <c r="L44" s="11" t="n">
        <v>2.3271</v>
      </c>
      <c r="M44" s="11" t="n">
        <v>2.334</v>
      </c>
      <c r="N44" s="11" t="n">
        <v>3.1865</v>
      </c>
      <c r="O44" s="11" t="n">
        <v>1.7075</v>
      </c>
      <c r="P44" s="11" t="n">
        <v>2.7543</v>
      </c>
      <c r="Q44" s="11" t="n">
        <v>2.9144</v>
      </c>
      <c r="R44" s="11" t="n">
        <v>3.5096</v>
      </c>
      <c r="S44" s="11" t="n">
        <v>2.6635</v>
      </c>
      <c r="T44" s="11" t="n">
        <v>2.7058</v>
      </c>
      <c r="U44" s="11" t="n">
        <v>2.5833</v>
      </c>
      <c r="V44" s="11" t="n">
        <v>2.7857</v>
      </c>
      <c r="W44" s="11" t="n">
        <v>0.9927</v>
      </c>
      <c r="X44" s="11" t="n">
        <v>1.6199</v>
      </c>
      <c r="Y44" s="11" t="n">
        <v>1.7097</v>
      </c>
      <c r="Z44" s="11" t="n">
        <v>1.8664</v>
      </c>
      <c r="AA44" s="11" t="n">
        <v>2.5091</v>
      </c>
      <c r="AB44" s="11" t="n">
        <v>3.0034</v>
      </c>
      <c r="AC44" s="11" t="n">
        <v>3.1865</v>
      </c>
      <c r="AD44" s="11" t="n">
        <v>3.5096</v>
      </c>
      <c r="AE44" s="11" t="n">
        <v>2.7857</v>
      </c>
    </row>
    <row r="45">
      <c r="A45" s="10" t="inlineStr">
        <is>
          <t>유동부채 합계</t>
        </is>
      </c>
      <c r="C45" s="11" t="n">
        <v>34.4721</v>
      </c>
      <c r="D45" s="11" t="n">
        <v>30.4925</v>
      </c>
      <c r="E45" s="11" t="n">
        <v>41.3639</v>
      </c>
      <c r="F45" s="11" t="n">
        <v>38.289</v>
      </c>
      <c r="G45" s="11" t="n">
        <v>44.0261</v>
      </c>
      <c r="H45" s="11" t="n">
        <v>40.4896</v>
      </c>
      <c r="I45" s="11" t="n">
        <v>46.0714</v>
      </c>
      <c r="J45" s="11" t="n">
        <v>41.7894</v>
      </c>
      <c r="K45" s="11" t="n">
        <v>44.1332</v>
      </c>
      <c r="L45" s="11" t="n">
        <v>36.8194</v>
      </c>
      <c r="M45" s="11" t="n">
        <v>44.2109</v>
      </c>
      <c r="N45" s="11" t="n">
        <v>41.241</v>
      </c>
      <c r="O45" s="11" t="n">
        <v>48.1389</v>
      </c>
      <c r="P45" s="11" t="n">
        <v>39.5718</v>
      </c>
      <c r="Q45" s="11" t="n">
        <v>48.4912</v>
      </c>
      <c r="R45" s="11" t="n">
        <v>42.8308</v>
      </c>
      <c r="S45" s="11" t="n">
        <v>49.0283</v>
      </c>
      <c r="T45" s="11" t="n">
        <v>41.2188</v>
      </c>
      <c r="U45" s="11" t="n">
        <v>48.1722</v>
      </c>
      <c r="V45" s="11" t="n">
        <v>43.0198</v>
      </c>
      <c r="W45" s="11" t="n">
        <v>15.8239</v>
      </c>
      <c r="X45" s="11" t="n">
        <v>22.2369</v>
      </c>
      <c r="Y45" s="11" t="n">
        <v>27.731</v>
      </c>
      <c r="Z45" s="11" t="n">
        <v>32.3505</v>
      </c>
      <c r="AA45" s="11" t="n">
        <v>38.289</v>
      </c>
      <c r="AB45" s="11" t="n">
        <v>41.7894</v>
      </c>
      <c r="AC45" s="11" t="n">
        <v>41.241</v>
      </c>
      <c r="AD45" s="11" t="n">
        <v>42.8308</v>
      </c>
      <c r="AE45" s="11" t="n">
        <v>43.0198</v>
      </c>
    </row>
    <row r="46">
      <c r="A46" s="10" t="inlineStr">
        <is>
          <t>장기차입금</t>
        </is>
      </c>
      <c r="C46" s="11" t="n">
        <v>7.5</v>
      </c>
      <c r="D46" s="11" t="n">
        <v>7.5</v>
      </c>
      <c r="E46" s="11" t="n">
        <v>1.5</v>
      </c>
      <c r="F46" s="11" t="n">
        <v>1.5</v>
      </c>
      <c r="G46" s="11" t="n">
        <v>1.5</v>
      </c>
      <c r="H46" s="11" t="n">
        <v>1.5</v>
      </c>
      <c r="I46" s="11" t="n">
        <v>0</v>
      </c>
      <c r="J46" s="11" t="n">
        <v>0.6112</v>
      </c>
      <c r="K46" s="11" t="n">
        <v>0.5279</v>
      </c>
      <c r="L46" s="11" t="n">
        <v>0.4446</v>
      </c>
      <c r="M46" s="11" t="n">
        <v>0.4013</v>
      </c>
      <c r="N46" s="11" t="n">
        <v>0.457</v>
      </c>
      <c r="O46" s="11" t="n">
        <v>0.1947</v>
      </c>
      <c r="P46" s="11" t="n">
        <v>0.1114</v>
      </c>
      <c r="Q46" s="11" t="n">
        <v>0.028</v>
      </c>
      <c r="R46" s="11" t="n">
        <v>0</v>
      </c>
      <c r="W46" s="11" t="n">
        <v>1.1156</v>
      </c>
      <c r="X46" s="11" t="n">
        <v>2.1223</v>
      </c>
      <c r="Y46" s="11" t="n">
        <v>10.0557</v>
      </c>
      <c r="Z46" s="11" t="n">
        <v>7.5</v>
      </c>
      <c r="AA46" s="11" t="n">
        <v>1.5</v>
      </c>
      <c r="AB46" s="11" t="n">
        <v>0.6112</v>
      </c>
      <c r="AC46" s="11" t="n">
        <v>0.457</v>
      </c>
      <c r="AD46" s="11" t="n">
        <v>0</v>
      </c>
    </row>
    <row r="47">
      <c r="A47" s="10" t="inlineStr">
        <is>
          <t>퇴직급여부채</t>
        </is>
      </c>
      <c r="C47" s="11" t="n">
        <v>1.2624</v>
      </c>
      <c r="D47" s="11" t="n">
        <v>1.2542</v>
      </c>
      <c r="E47" s="11" t="n">
        <v>1.2104</v>
      </c>
      <c r="F47" s="11" t="n">
        <v>1.1307</v>
      </c>
      <c r="G47" s="11" t="n">
        <v>1.1109</v>
      </c>
      <c r="H47" s="11" t="n">
        <v>1.1007</v>
      </c>
      <c r="I47" s="11" t="n">
        <v>1.0863</v>
      </c>
      <c r="J47" s="11" t="n">
        <v>1.0232</v>
      </c>
      <c r="K47" s="11" t="n">
        <v>0.9978</v>
      </c>
      <c r="L47" s="11" t="n">
        <v>0.9839</v>
      </c>
      <c r="M47" s="11" t="n">
        <v>0.9802999999999999</v>
      </c>
      <c r="N47" s="11" t="n">
        <v>0.9137999999999999</v>
      </c>
      <c r="O47" s="11" t="n">
        <v>0.8984</v>
      </c>
      <c r="P47" s="11" t="n">
        <v>0.8898</v>
      </c>
      <c r="Q47" s="11" t="n">
        <v>0.872</v>
      </c>
      <c r="R47" s="11" t="n">
        <v>0.7972</v>
      </c>
      <c r="S47" s="11" t="n">
        <v>0.7852</v>
      </c>
      <c r="T47" s="11" t="n">
        <v>0.7755</v>
      </c>
      <c r="U47" s="11" t="n">
        <v>0.763</v>
      </c>
      <c r="V47" s="11" t="n">
        <v>0.6637</v>
      </c>
      <c r="W47" s="11" t="n">
        <v>0.9073</v>
      </c>
      <c r="X47" s="11" t="n">
        <v>1.2291</v>
      </c>
      <c r="Y47" s="11" t="n">
        <v>1.339</v>
      </c>
      <c r="Z47" s="11" t="n">
        <v>1.2716</v>
      </c>
      <c r="AA47" s="11" t="n">
        <v>1.1307</v>
      </c>
      <c r="AB47" s="11" t="n">
        <v>1.0232</v>
      </c>
      <c r="AC47" s="11" t="n">
        <v>0.9137999999999999</v>
      </c>
      <c r="AD47" s="11" t="n">
        <v>0.7972</v>
      </c>
      <c r="AE47" s="11" t="n">
        <v>0.6637</v>
      </c>
    </row>
    <row r="48">
      <c r="A48" s="10" t="inlineStr">
        <is>
          <t>주식급여 충당금</t>
        </is>
      </c>
      <c r="N48" s="11" t="n">
        <v>0</v>
      </c>
      <c r="Q48" s="11" t="n">
        <v>0.1829</v>
      </c>
      <c r="R48" s="11" t="n">
        <v>0.5553</v>
      </c>
      <c r="S48" s="11" t="n">
        <v>0.5553</v>
      </c>
      <c r="T48" s="11" t="n">
        <v>0.5553</v>
      </c>
      <c r="U48" s="11" t="n">
        <v>0.5553</v>
      </c>
      <c r="V48" s="11" t="n">
        <v>0.4706</v>
      </c>
      <c r="AC48" s="11" t="n">
        <v>0</v>
      </c>
      <c r="AD48" s="11" t="n">
        <v>0.5553</v>
      </c>
      <c r="AE48" s="11" t="n">
        <v>0.4706</v>
      </c>
    </row>
    <row r="49">
      <c r="A49" s="10" t="inlineStr">
        <is>
          <t>기타</t>
        </is>
      </c>
      <c r="C49" s="11" t="n">
        <v>0.02</v>
      </c>
      <c r="D49" s="11" t="n">
        <v>0.0182</v>
      </c>
      <c r="E49" s="11" t="n">
        <v>0.09859999999999999</v>
      </c>
      <c r="F49" s="11" t="n">
        <v>0.093</v>
      </c>
      <c r="G49" s="11" t="n">
        <v>0.08740000000000001</v>
      </c>
      <c r="H49" s="11" t="n">
        <v>0.0818</v>
      </c>
      <c r="I49" s="11" t="n">
        <v>0.0762</v>
      </c>
      <c r="J49" s="11" t="n">
        <v>0.0706</v>
      </c>
      <c r="K49" s="11" t="n">
        <v>0.065</v>
      </c>
      <c r="L49" s="11" t="n">
        <v>0.0594</v>
      </c>
      <c r="M49" s="11" t="n">
        <v>0.0538</v>
      </c>
      <c r="N49" s="11" t="n">
        <v>0.2833</v>
      </c>
      <c r="O49" s="11" t="n">
        <v>0.2083</v>
      </c>
      <c r="P49" s="11" t="n">
        <v>0.08699999999999999</v>
      </c>
      <c r="Q49" s="11" t="n">
        <v>0.0362</v>
      </c>
      <c r="R49" s="11" t="n">
        <v>0.0323</v>
      </c>
      <c r="S49" s="11" t="n">
        <v>0.09470000000000001</v>
      </c>
      <c r="T49" s="11" t="n">
        <v>0.0854</v>
      </c>
      <c r="U49" s="11" t="n">
        <v>0.0553</v>
      </c>
      <c r="V49" s="11" t="n">
        <v>0.0498</v>
      </c>
      <c r="W49" s="11" t="n">
        <v>0.0043</v>
      </c>
      <c r="X49" s="11" t="n">
        <v>0.002</v>
      </c>
      <c r="Y49" s="11" t="n">
        <v>0.0007</v>
      </c>
      <c r="Z49" s="11" t="n">
        <v>0.0218</v>
      </c>
      <c r="AA49" s="11" t="n">
        <v>0.093</v>
      </c>
      <c r="AB49" s="11" t="n">
        <v>0.0706</v>
      </c>
      <c r="AC49" s="11" t="n">
        <v>0.2833</v>
      </c>
      <c r="AD49" s="11" t="n">
        <v>0.0323</v>
      </c>
      <c r="AE49" s="11" t="n">
        <v>0.0498</v>
      </c>
    </row>
    <row r="50">
      <c r="A50" s="10" t="inlineStr">
        <is>
          <t>비유동부채 합계</t>
        </is>
      </c>
      <c r="C50" s="11" t="n">
        <v>8.782400000000001</v>
      </c>
      <c r="D50" s="11" t="n">
        <v>8.772399999999999</v>
      </c>
      <c r="E50" s="11" t="n">
        <v>2.809</v>
      </c>
      <c r="F50" s="11" t="n">
        <v>2.7238</v>
      </c>
      <c r="G50" s="11" t="n">
        <v>2.6983</v>
      </c>
      <c r="H50" s="11" t="n">
        <v>2.6825</v>
      </c>
      <c r="I50" s="11" t="n">
        <v>1.1625</v>
      </c>
      <c r="J50" s="11" t="n">
        <v>1.705</v>
      </c>
      <c r="K50" s="11" t="n">
        <v>1.5908</v>
      </c>
      <c r="L50" s="11" t="n">
        <v>1.488</v>
      </c>
      <c r="M50" s="11" t="n">
        <v>1.4355</v>
      </c>
      <c r="N50" s="11" t="n">
        <v>1.6541</v>
      </c>
      <c r="O50" s="11" t="n">
        <v>1.3014</v>
      </c>
      <c r="P50" s="11" t="n">
        <v>1.0881</v>
      </c>
      <c r="Q50" s="11" t="n">
        <v>1.119</v>
      </c>
      <c r="R50" s="11" t="n">
        <v>1.3848</v>
      </c>
      <c r="S50" s="11" t="n">
        <v>1.4351</v>
      </c>
      <c r="T50" s="11" t="n">
        <v>1.4162</v>
      </c>
      <c r="U50" s="11" t="n">
        <v>1.3736</v>
      </c>
      <c r="V50" s="11" t="n">
        <v>1.1841</v>
      </c>
      <c r="W50" s="11" t="n">
        <v>2.0272</v>
      </c>
      <c r="X50" s="11" t="n">
        <v>3.3534</v>
      </c>
      <c r="Y50" s="11" t="n">
        <v>11.3954</v>
      </c>
      <c r="Z50" s="11" t="n">
        <v>8.7934</v>
      </c>
      <c r="AA50" s="11" t="n">
        <v>2.7238</v>
      </c>
      <c r="AB50" s="11" t="n">
        <v>1.705</v>
      </c>
      <c r="AC50" s="11" t="n">
        <v>1.6541</v>
      </c>
      <c r="AD50" s="11" t="n">
        <v>1.3848</v>
      </c>
      <c r="AE50" s="11" t="n">
        <v>1.1841</v>
      </c>
    </row>
    <row r="51">
      <c r="A51" s="10" t="inlineStr">
        <is>
          <t>부채 합계</t>
        </is>
      </c>
      <c r="C51" s="11" t="n">
        <v>43.2545</v>
      </c>
      <c r="D51" s="11" t="n">
        <v>39.265</v>
      </c>
      <c r="E51" s="11" t="n">
        <v>44.1729</v>
      </c>
      <c r="F51" s="11" t="n">
        <v>41.0127</v>
      </c>
      <c r="G51" s="11" t="n">
        <v>46.7244</v>
      </c>
      <c r="H51" s="11" t="n">
        <v>43.1721</v>
      </c>
      <c r="I51" s="11" t="n">
        <v>47.2339</v>
      </c>
      <c r="J51" s="11" t="n">
        <v>43.4945</v>
      </c>
      <c r="K51" s="11" t="n">
        <v>45.724</v>
      </c>
      <c r="L51" s="11" t="n">
        <v>38.3074</v>
      </c>
      <c r="M51" s="11" t="n">
        <v>45.6463</v>
      </c>
      <c r="N51" s="11" t="n">
        <v>42.8951</v>
      </c>
      <c r="O51" s="11" t="n">
        <v>49.4404</v>
      </c>
      <c r="P51" s="11" t="n">
        <v>40.6599</v>
      </c>
      <c r="Q51" s="11" t="n">
        <v>49.6102</v>
      </c>
      <c r="R51" s="11" t="n">
        <v>44.2156</v>
      </c>
      <c r="S51" s="11" t="n">
        <v>50.4634</v>
      </c>
      <c r="T51" s="11" t="n">
        <v>42.635</v>
      </c>
      <c r="U51" s="11" t="n">
        <v>49.5458</v>
      </c>
      <c r="V51" s="11" t="n">
        <v>44.2039</v>
      </c>
      <c r="W51" s="11" t="n">
        <v>17.8512</v>
      </c>
      <c r="X51" s="11" t="n">
        <v>25.5904</v>
      </c>
      <c r="Y51" s="11" t="n">
        <v>39.1264</v>
      </c>
      <c r="Z51" s="11" t="n">
        <v>41.1439</v>
      </c>
      <c r="AA51" s="11" t="n">
        <v>41.0127</v>
      </c>
      <c r="AB51" s="11" t="n">
        <v>43.4945</v>
      </c>
      <c r="AC51" s="11" t="n">
        <v>42.8951</v>
      </c>
      <c r="AD51" s="11" t="n">
        <v>44.2156</v>
      </c>
      <c r="AE51" s="11" t="n">
        <v>44.2039</v>
      </c>
    </row>
    <row r="52">
      <c r="A52" s="10" t="inlineStr">
        <is>
          <t>자본금</t>
        </is>
      </c>
      <c r="C52" s="11" t="n">
        <v>3.0408</v>
      </c>
      <c r="D52" s="11" t="n">
        <v>3.0522</v>
      </c>
      <c r="E52" s="11" t="n">
        <v>3.0527</v>
      </c>
      <c r="F52" s="11" t="n">
        <v>3.0623</v>
      </c>
      <c r="G52" s="11" t="n">
        <v>3.0623</v>
      </c>
      <c r="H52" s="11" t="n">
        <v>3.0701</v>
      </c>
      <c r="I52" s="11" t="n">
        <v>3.0701</v>
      </c>
      <c r="J52" s="11" t="n">
        <v>3.0701</v>
      </c>
      <c r="K52" s="11" t="n">
        <v>3.0701</v>
      </c>
      <c r="L52" s="11" t="n">
        <v>3.0952</v>
      </c>
      <c r="M52" s="11" t="n">
        <v>3.1113</v>
      </c>
      <c r="N52" s="11" t="n">
        <v>3.1127</v>
      </c>
      <c r="O52" s="11" t="n">
        <v>3.1127</v>
      </c>
      <c r="P52" s="11" t="n">
        <v>3.1172</v>
      </c>
      <c r="Q52" s="11" t="n">
        <v>3.1187</v>
      </c>
      <c r="R52" s="11" t="n">
        <v>3.1243</v>
      </c>
      <c r="S52" s="11" t="n">
        <v>3.1243</v>
      </c>
      <c r="T52" s="11" t="n">
        <v>3.2296</v>
      </c>
      <c r="U52" s="11" t="n">
        <v>3.2336</v>
      </c>
      <c r="V52" s="11" t="n">
        <v>3.2336</v>
      </c>
      <c r="W52" s="11" t="n">
        <v>2.9779</v>
      </c>
      <c r="X52" s="11" t="n">
        <v>2.9797</v>
      </c>
      <c r="Y52" s="11" t="n">
        <v>2.9797</v>
      </c>
      <c r="Z52" s="11" t="n">
        <v>3.0408</v>
      </c>
      <c r="AA52" s="11" t="n">
        <v>3.0623</v>
      </c>
      <c r="AB52" s="11" t="n">
        <v>3.0701</v>
      </c>
      <c r="AC52" s="11" t="n">
        <v>3.1127</v>
      </c>
      <c r="AD52" s="11" t="n">
        <v>3.1243</v>
      </c>
      <c r="AE52" s="11" t="n">
        <v>3.2336</v>
      </c>
    </row>
    <row r="53">
      <c r="A53" s="10" t="inlineStr">
        <is>
          <t>자본잉여금</t>
        </is>
      </c>
      <c r="C53" s="11" t="n">
        <v>5.0183</v>
      </c>
      <c r="D53" s="11" t="n">
        <v>5.0297</v>
      </c>
      <c r="E53" s="11" t="n">
        <v>5.0302</v>
      </c>
      <c r="F53" s="11" t="n">
        <v>5.0398</v>
      </c>
      <c r="G53" s="11" t="n">
        <v>5.0398</v>
      </c>
      <c r="H53" s="11" t="n">
        <v>5.0476</v>
      </c>
      <c r="I53" s="11" t="n">
        <v>5.0476</v>
      </c>
      <c r="J53" s="11" t="n">
        <v>5.0476</v>
      </c>
      <c r="K53" s="11" t="n">
        <v>5.0476</v>
      </c>
      <c r="L53" s="11" t="n">
        <v>5.0727</v>
      </c>
      <c r="M53" s="11" t="n">
        <v>5.0539</v>
      </c>
      <c r="N53" s="11" t="n">
        <v>3.0983</v>
      </c>
      <c r="O53" s="11" t="n">
        <v>3.3354</v>
      </c>
      <c r="P53" s="11" t="n">
        <v>3.3399</v>
      </c>
      <c r="Q53" s="11" t="n">
        <v>3.3413</v>
      </c>
      <c r="R53" s="11" t="n">
        <v>2.2458</v>
      </c>
      <c r="S53" s="11" t="n">
        <v>2.2458</v>
      </c>
      <c r="T53" s="11" t="n">
        <v>2.3511</v>
      </c>
      <c r="U53" s="11" t="n">
        <v>2.3551</v>
      </c>
      <c r="V53" s="11" t="n">
        <v>2.3551</v>
      </c>
      <c r="W53" s="11" t="n">
        <v>4.9554</v>
      </c>
      <c r="X53" s="11" t="n">
        <v>4.9572</v>
      </c>
      <c r="Y53" s="11" t="n">
        <v>4.9572</v>
      </c>
      <c r="Z53" s="11" t="n">
        <v>5.0183</v>
      </c>
      <c r="AA53" s="11" t="n">
        <v>5.0398</v>
      </c>
      <c r="AB53" s="11" t="n">
        <v>5.0476</v>
      </c>
      <c r="AC53" s="11" t="n">
        <v>3.0983</v>
      </c>
      <c r="AD53" s="11" t="n">
        <v>2.2458</v>
      </c>
      <c r="AE53" s="11" t="n">
        <v>2.3551</v>
      </c>
    </row>
    <row r="54">
      <c r="A54" s="10" t="inlineStr">
        <is>
          <t>이익잉여금</t>
        </is>
      </c>
      <c r="C54" s="11" t="n">
        <v>39.0478</v>
      </c>
      <c r="D54" s="11" t="n">
        <v>41.9207</v>
      </c>
      <c r="E54" s="11" t="n">
        <v>44.5159</v>
      </c>
      <c r="F54" s="11" t="n">
        <v>47.0024</v>
      </c>
      <c r="G54" s="11" t="n">
        <v>49.8579</v>
      </c>
      <c r="H54" s="11" t="n">
        <v>54.3547</v>
      </c>
      <c r="I54" s="11" t="n">
        <v>57.7524</v>
      </c>
      <c r="J54" s="11" t="n">
        <v>60.5269</v>
      </c>
      <c r="K54" s="11" t="n">
        <v>62.0801</v>
      </c>
      <c r="L54" s="11" t="n">
        <v>66.7684</v>
      </c>
      <c r="M54" s="11" t="n">
        <v>70.587</v>
      </c>
      <c r="N54" s="11" t="n">
        <v>74.8293</v>
      </c>
      <c r="O54" s="11" t="n">
        <v>77.8848</v>
      </c>
      <c r="P54" s="11" t="n">
        <v>82.2619</v>
      </c>
      <c r="Q54" s="11" t="n">
        <v>86.22369999999999</v>
      </c>
      <c r="R54" s="11" t="n">
        <v>89.1234</v>
      </c>
      <c r="S54" s="11" t="n">
        <v>90.92919999999999</v>
      </c>
      <c r="T54" s="11" t="n">
        <v>94.456</v>
      </c>
      <c r="U54" s="11" t="n">
        <v>99.8361</v>
      </c>
      <c r="V54" s="11" t="n">
        <v>103.872</v>
      </c>
      <c r="W54" s="11" t="n">
        <v>16.1447</v>
      </c>
      <c r="X54" s="11" t="n">
        <v>20.1827</v>
      </c>
      <c r="Y54" s="11" t="n">
        <v>26.2822</v>
      </c>
      <c r="Z54" s="11" t="n">
        <v>38.0568</v>
      </c>
      <c r="AA54" s="11" t="n">
        <v>47.0024</v>
      </c>
      <c r="AB54" s="11" t="n">
        <v>60.5269</v>
      </c>
      <c r="AC54" s="11" t="n">
        <v>74.8293</v>
      </c>
      <c r="AD54" s="11" t="n">
        <v>89.1234</v>
      </c>
      <c r="AE54" s="11" t="n">
        <v>103.872</v>
      </c>
    </row>
    <row r="55">
      <c r="A55" s="10" t="inlineStr">
        <is>
          <t>자기주식</t>
        </is>
      </c>
      <c r="C55" s="11" t="n">
        <v>-0.002</v>
      </c>
      <c r="D55" s="11" t="n">
        <v>-0.002</v>
      </c>
      <c r="E55" s="11" t="n">
        <v>-0.002</v>
      </c>
      <c r="F55" s="11" t="n">
        <v>-0.002</v>
      </c>
      <c r="G55" s="11" t="n">
        <v>-0.002</v>
      </c>
      <c r="H55" s="11" t="n">
        <v>-0.002</v>
      </c>
      <c r="I55" s="11" t="n">
        <v>-0.002</v>
      </c>
      <c r="J55" s="11" t="n">
        <v>-0.002</v>
      </c>
      <c r="K55" s="11" t="n">
        <v>-2.0015</v>
      </c>
      <c r="L55" s="11" t="n">
        <v>-2.6719</v>
      </c>
      <c r="M55" s="11" t="n">
        <v>-3.0069</v>
      </c>
      <c r="N55" s="11" t="n">
        <v>-3.7452</v>
      </c>
      <c r="O55" s="11" t="n">
        <v>-4.2004</v>
      </c>
      <c r="P55" s="11" t="n">
        <v>-4.8669</v>
      </c>
      <c r="Q55" s="11" t="n">
        <v>-5.9736</v>
      </c>
      <c r="R55" s="11" t="n">
        <v>-5.8268</v>
      </c>
      <c r="S55" s="11" t="n">
        <v>-6.3265</v>
      </c>
      <c r="T55" s="11" t="n">
        <v>-6.3271</v>
      </c>
      <c r="U55" s="11" t="n">
        <v>-7.365</v>
      </c>
      <c r="V55" s="11" t="n">
        <v>-8.2837</v>
      </c>
      <c r="W55" s="11" t="n">
        <v>-0.0003</v>
      </c>
      <c r="X55" s="11" t="n">
        <v>-0.0003</v>
      </c>
      <c r="Y55" s="11" t="n">
        <v>-0.0005999999999999999</v>
      </c>
      <c r="Z55" s="11" t="n">
        <v>-0.002</v>
      </c>
      <c r="AA55" s="11" t="n">
        <v>-0.002</v>
      </c>
      <c r="AB55" s="11" t="n">
        <v>-0.002</v>
      </c>
      <c r="AC55" s="11" t="n">
        <v>-3.7452</v>
      </c>
      <c r="AD55" s="11" t="n">
        <v>-5.8268</v>
      </c>
      <c r="AE55" s="11" t="n">
        <v>-8.2837</v>
      </c>
    </row>
    <row r="56">
      <c r="A56" s="10" t="inlineStr">
        <is>
          <t>주주자본 합계</t>
        </is>
      </c>
      <c r="C56" s="11" t="n">
        <v>47.105</v>
      </c>
      <c r="D56" s="11" t="n">
        <v>50.0007</v>
      </c>
      <c r="E56" s="11" t="n">
        <v>52.5968</v>
      </c>
      <c r="F56" s="11" t="n">
        <v>55.1026</v>
      </c>
      <c r="G56" s="11" t="n">
        <v>57.9581</v>
      </c>
      <c r="H56" s="11" t="n">
        <v>62.4703</v>
      </c>
      <c r="I56" s="11" t="n">
        <v>65.86799999999999</v>
      </c>
      <c r="J56" s="11" t="n">
        <v>68.6426</v>
      </c>
      <c r="K56" s="11" t="n">
        <v>68.1962</v>
      </c>
      <c r="L56" s="11" t="n">
        <v>72.2645</v>
      </c>
      <c r="M56" s="11" t="n">
        <v>75.7453</v>
      </c>
      <c r="N56" s="11" t="n">
        <v>77.29519999999999</v>
      </c>
      <c r="O56" s="11" t="n">
        <v>80.1324</v>
      </c>
      <c r="P56" s="11" t="n">
        <v>83.8522</v>
      </c>
      <c r="Q56" s="11" t="n">
        <v>86.70999999999999</v>
      </c>
      <c r="R56" s="11" t="n">
        <v>88.66670000000001</v>
      </c>
      <c r="S56" s="11" t="n">
        <v>89.9729</v>
      </c>
      <c r="T56" s="11" t="n">
        <v>93.7097</v>
      </c>
      <c r="U56" s="11" t="n">
        <v>98.05970000000001</v>
      </c>
      <c r="V56" s="11" t="n">
        <v>101.1769</v>
      </c>
      <c r="W56" s="11" t="n">
        <v>24.0778</v>
      </c>
      <c r="X56" s="11" t="n">
        <v>28.1194</v>
      </c>
      <c r="Y56" s="11" t="n">
        <v>34.2186</v>
      </c>
      <c r="Z56" s="11" t="n">
        <v>46.114</v>
      </c>
      <c r="AA56" s="11" t="n">
        <v>55.1026</v>
      </c>
      <c r="AB56" s="11" t="n">
        <v>68.6426</v>
      </c>
      <c r="AC56" s="11" t="n">
        <v>77.29519999999999</v>
      </c>
      <c r="AD56" s="11" t="n">
        <v>88.66670000000001</v>
      </c>
      <c r="AE56" s="11" t="n">
        <v>101.1769</v>
      </c>
    </row>
    <row r="57">
      <c r="A57" s="10" t="inlineStr">
        <is>
          <t>기타유가증권 평가차액</t>
        </is>
      </c>
      <c r="C57" s="11" t="n">
        <v>0.0094</v>
      </c>
      <c r="D57" s="11" t="n">
        <v>0.0031</v>
      </c>
      <c r="E57" s="11" t="n">
        <v>0.0005</v>
      </c>
      <c r="F57" s="11" t="n">
        <v>0.0008</v>
      </c>
      <c r="G57" s="11" t="n">
        <v>0.0001</v>
      </c>
      <c r="H57" s="11" t="n">
        <v>0.0003</v>
      </c>
      <c r="I57" s="11" t="n">
        <v>0.0005999999999999999</v>
      </c>
      <c r="J57" s="11" t="n">
        <v>0.0003</v>
      </c>
      <c r="K57" s="11" t="n">
        <v>0.0003</v>
      </c>
      <c r="L57" s="11" t="n">
        <v>0.0001</v>
      </c>
      <c r="M57" s="11" t="n">
        <v>0.0001</v>
      </c>
      <c r="N57" s="11" t="n">
        <v>0</v>
      </c>
      <c r="W57" s="11" t="n">
        <v>0</v>
      </c>
      <c r="X57" s="11" t="n">
        <v>0.0097</v>
      </c>
      <c r="Y57" s="11" t="n">
        <v>0.0005999999999999999</v>
      </c>
      <c r="Z57" s="11" t="n">
        <v>0.0105</v>
      </c>
      <c r="AA57" s="11" t="n">
        <v>0.0008</v>
      </c>
      <c r="AB57" s="11" t="n">
        <v>0.0003</v>
      </c>
      <c r="AC57" s="11" t="n">
        <v>0</v>
      </c>
    </row>
    <row r="58">
      <c r="A58" s="10" t="inlineStr">
        <is>
          <t>퇴직급여 조정누계액</t>
        </is>
      </c>
      <c r="C58" s="11" t="n">
        <v>-0.0012</v>
      </c>
      <c r="D58" s="11" t="n">
        <v>-0.0008</v>
      </c>
      <c r="E58" s="11" t="n">
        <v>-0.0004</v>
      </c>
      <c r="F58" s="11" t="n">
        <v>0.0391</v>
      </c>
      <c r="G58" s="11" t="n">
        <v>0.0293</v>
      </c>
      <c r="H58" s="11" t="n">
        <v>0.0195</v>
      </c>
      <c r="I58" s="11" t="n">
        <v>0.0098</v>
      </c>
      <c r="J58" s="11" t="n">
        <v>0.0366</v>
      </c>
      <c r="K58" s="11" t="n">
        <v>0.0274</v>
      </c>
      <c r="L58" s="11" t="n">
        <v>0.0183</v>
      </c>
      <c r="M58" s="11" t="n">
        <v>0.0091</v>
      </c>
      <c r="N58" s="11" t="n">
        <v>0.0247</v>
      </c>
      <c r="O58" s="11" t="n">
        <v>0.0186</v>
      </c>
      <c r="P58" s="11" t="n">
        <v>0.0124</v>
      </c>
      <c r="Q58" s="11" t="n">
        <v>0.0062</v>
      </c>
      <c r="R58" s="11" t="n">
        <v>0.0403</v>
      </c>
      <c r="S58" s="11" t="n">
        <v>0.0302</v>
      </c>
      <c r="T58" s="11" t="n">
        <v>0.0201</v>
      </c>
      <c r="U58" s="11" t="n">
        <v>0.0101</v>
      </c>
      <c r="V58" s="11" t="n">
        <v>0.06279999999999999</v>
      </c>
      <c r="W58" s="11" t="n">
        <v>0.0086</v>
      </c>
      <c r="X58" s="11" t="n">
        <v>-0.0316</v>
      </c>
      <c r="Y58" s="11" t="n">
        <v>0.0365</v>
      </c>
      <c r="Z58" s="11" t="n">
        <v>-0.0016</v>
      </c>
      <c r="AA58" s="11" t="n">
        <v>0.0391</v>
      </c>
      <c r="AB58" s="11" t="n">
        <v>0.0366</v>
      </c>
      <c r="AC58" s="11" t="n">
        <v>0.0247</v>
      </c>
      <c r="AD58" s="11" t="n">
        <v>0.0403</v>
      </c>
      <c r="AE58" s="11" t="n">
        <v>0.06279999999999999</v>
      </c>
    </row>
    <row r="59">
      <c r="A59" s="10" t="inlineStr">
        <is>
          <t>기타포괄손익누계액 합계</t>
        </is>
      </c>
      <c r="C59" s="11" t="n">
        <v>0.008200000000000001</v>
      </c>
      <c r="D59" s="11" t="n">
        <v>0.0023</v>
      </c>
      <c r="E59" s="11" t="n">
        <v>0.0001</v>
      </c>
      <c r="F59" s="11" t="n">
        <v>0.0399</v>
      </c>
      <c r="G59" s="11" t="n">
        <v>0.0295</v>
      </c>
      <c r="H59" s="11" t="n">
        <v>0.0198</v>
      </c>
      <c r="I59" s="11" t="n">
        <v>0.0104</v>
      </c>
      <c r="J59" s="11" t="n">
        <v>0.0369</v>
      </c>
      <c r="K59" s="11" t="n">
        <v>0.0278</v>
      </c>
      <c r="L59" s="11" t="n">
        <v>0.0184</v>
      </c>
      <c r="M59" s="11" t="n">
        <v>0.009299999999999999</v>
      </c>
      <c r="N59" s="11" t="n">
        <v>0.0247</v>
      </c>
      <c r="O59" s="11" t="n">
        <v>0.0186</v>
      </c>
      <c r="P59" s="11" t="n">
        <v>0.0124</v>
      </c>
      <c r="Q59" s="11" t="n">
        <v>0.0062</v>
      </c>
      <c r="R59" s="11" t="n">
        <v>0.0403</v>
      </c>
      <c r="S59" s="11" t="n">
        <v>0.0302</v>
      </c>
      <c r="T59" s="11" t="n">
        <v>0.0201</v>
      </c>
      <c r="U59" s="11" t="n">
        <v>0.0101</v>
      </c>
      <c r="V59" s="11" t="n">
        <v>0.06279999999999999</v>
      </c>
      <c r="W59" s="11" t="n">
        <v>0.0086</v>
      </c>
      <c r="X59" s="11" t="n">
        <v>-0.0219</v>
      </c>
      <c r="Y59" s="11" t="n">
        <v>0.0371</v>
      </c>
      <c r="Z59" s="11" t="n">
        <v>0.0089</v>
      </c>
      <c r="AA59" s="11" t="n">
        <v>0.0399</v>
      </c>
      <c r="AB59" s="11" t="n">
        <v>0.0369</v>
      </c>
      <c r="AC59" s="11" t="n">
        <v>0.0247</v>
      </c>
      <c r="AD59" s="11" t="n">
        <v>0.0403</v>
      </c>
      <c r="AE59" s="11" t="n">
        <v>0.06279999999999999</v>
      </c>
    </row>
    <row r="60">
      <c r="A60" s="10" t="inlineStr">
        <is>
          <t>신주예약권</t>
        </is>
      </c>
      <c r="C60" s="11" t="n">
        <v>0.04</v>
      </c>
      <c r="D60" s="11" t="n">
        <v>0.04</v>
      </c>
      <c r="E60" s="11" t="n">
        <v>0.0535</v>
      </c>
      <c r="F60" s="11" t="n">
        <v>0.0491</v>
      </c>
      <c r="G60" s="11" t="n">
        <v>0.0481</v>
      </c>
      <c r="H60" s="11" t="n">
        <v>0.0477</v>
      </c>
      <c r="I60" s="11" t="n">
        <v>0.0454</v>
      </c>
      <c r="J60" s="11" t="n">
        <v>0.3627</v>
      </c>
      <c r="K60" s="11" t="n">
        <v>0.3617</v>
      </c>
      <c r="L60" s="11" t="n">
        <v>0.369</v>
      </c>
      <c r="M60" s="11" t="n">
        <v>0.3367</v>
      </c>
      <c r="N60" s="11" t="n">
        <v>0.3062</v>
      </c>
      <c r="O60" s="11" t="n">
        <v>0.3478</v>
      </c>
      <c r="P60" s="11" t="n">
        <v>0.3446</v>
      </c>
      <c r="Q60" s="11" t="n">
        <v>0.3404</v>
      </c>
      <c r="R60" s="11" t="n">
        <v>0.3207</v>
      </c>
      <c r="S60" s="11" t="n">
        <v>0.3207</v>
      </c>
      <c r="T60" s="11" t="n">
        <v>0.292</v>
      </c>
      <c r="U60" s="11" t="n">
        <v>0.2884</v>
      </c>
      <c r="V60" s="11" t="n">
        <v>0.2884</v>
      </c>
      <c r="W60" s="11" t="n">
        <v>0.0142</v>
      </c>
      <c r="X60" s="11" t="n">
        <v>0.0194</v>
      </c>
      <c r="Y60" s="11" t="n">
        <v>0.0416</v>
      </c>
      <c r="Z60" s="11" t="n">
        <v>0.04</v>
      </c>
      <c r="AA60" s="11" t="n">
        <v>0.0491</v>
      </c>
      <c r="AB60" s="11" t="n">
        <v>0.3627</v>
      </c>
      <c r="AC60" s="11" t="n">
        <v>0.3062</v>
      </c>
      <c r="AD60" s="11" t="n">
        <v>0.3207</v>
      </c>
      <c r="AE60" s="11" t="n">
        <v>0.2884</v>
      </c>
    </row>
    <row r="61">
      <c r="A61" s="10" t="inlineStr">
        <is>
          <t>순자산 합계</t>
        </is>
      </c>
      <c r="C61" s="11" t="n">
        <v>47.1532</v>
      </c>
      <c r="D61" s="11" t="n">
        <v>50.043</v>
      </c>
      <c r="E61" s="11" t="n">
        <v>52.6504</v>
      </c>
      <c r="F61" s="11" t="n">
        <v>55.1915</v>
      </c>
      <c r="G61" s="11" t="n">
        <v>58.0356</v>
      </c>
      <c r="H61" s="11" t="n">
        <v>62.5378</v>
      </c>
      <c r="I61" s="11" t="n">
        <v>65.9238</v>
      </c>
      <c r="J61" s="11" t="n">
        <v>69.04219999999999</v>
      </c>
      <c r="K61" s="11" t="n">
        <v>68.5857</v>
      </c>
      <c r="L61" s="11" t="n">
        <v>72.6519</v>
      </c>
      <c r="M61" s="11" t="n">
        <v>76.0912</v>
      </c>
      <c r="N61" s="11" t="n">
        <v>77.62609999999999</v>
      </c>
      <c r="O61" s="11" t="n">
        <v>80.4987</v>
      </c>
      <c r="P61" s="11" t="n">
        <v>84.20910000000001</v>
      </c>
      <c r="Q61" s="11" t="n">
        <v>87.0566</v>
      </c>
      <c r="R61" s="11" t="n">
        <v>89.0277</v>
      </c>
      <c r="S61" s="11" t="n">
        <v>90.32380000000001</v>
      </c>
      <c r="T61" s="11" t="n">
        <v>94.0218</v>
      </c>
      <c r="U61" s="11" t="n">
        <v>98.35809999999999</v>
      </c>
      <c r="V61" s="11" t="n">
        <v>101.5281</v>
      </c>
      <c r="W61" s="11" t="n">
        <v>24.1007</v>
      </c>
      <c r="X61" s="11" t="n">
        <v>28.1169</v>
      </c>
      <c r="Y61" s="11" t="n">
        <v>34.2973</v>
      </c>
      <c r="Z61" s="11" t="n">
        <v>46.1629</v>
      </c>
      <c r="AA61" s="11" t="n">
        <v>55.1915</v>
      </c>
      <c r="AB61" s="11" t="n">
        <v>69.04219999999999</v>
      </c>
      <c r="AC61" s="11" t="n">
        <v>77.62609999999999</v>
      </c>
      <c r="AD61" s="11" t="n">
        <v>89.0277</v>
      </c>
      <c r="AE61" s="11" t="n">
        <v>101.5281</v>
      </c>
    </row>
    <row r="62">
      <c r="A62" s="10" t="inlineStr">
        <is>
          <t>부채·순자산 합계</t>
        </is>
      </c>
      <c r="C62" s="11" t="n">
        <v>90.40770000000001</v>
      </c>
      <c r="D62" s="11" t="n">
        <v>89.30800000000001</v>
      </c>
      <c r="E62" s="11" t="n">
        <v>96.8233</v>
      </c>
      <c r="F62" s="11" t="n">
        <v>96.2043</v>
      </c>
      <c r="G62" s="11" t="n">
        <v>104.76</v>
      </c>
      <c r="H62" s="11" t="n">
        <v>105.7099</v>
      </c>
      <c r="I62" s="11" t="n">
        <v>113.1577</v>
      </c>
      <c r="J62" s="11" t="n">
        <v>112.5366</v>
      </c>
      <c r="K62" s="11" t="n">
        <v>114.3096</v>
      </c>
      <c r="L62" s="11" t="n">
        <v>110.9593</v>
      </c>
      <c r="M62" s="11" t="n">
        <v>121.7376</v>
      </c>
      <c r="N62" s="11" t="n">
        <v>120.5212</v>
      </c>
      <c r="O62" s="11" t="n">
        <v>129.9391</v>
      </c>
      <c r="P62" s="11" t="n">
        <v>124.8691</v>
      </c>
      <c r="Q62" s="11" t="n">
        <v>136.6668</v>
      </c>
      <c r="R62" s="11" t="n">
        <v>133.2434</v>
      </c>
      <c r="S62" s="11" t="n">
        <v>140.7872</v>
      </c>
      <c r="T62" s="11" t="n">
        <v>136.6568</v>
      </c>
      <c r="U62" s="11" t="n">
        <v>147.9039</v>
      </c>
      <c r="V62" s="11" t="n">
        <v>145.732</v>
      </c>
      <c r="W62" s="11" t="n">
        <v>41.9518</v>
      </c>
      <c r="X62" s="11" t="n">
        <v>53.7073</v>
      </c>
      <c r="Y62" s="11" t="n">
        <v>73.4237</v>
      </c>
      <c r="Z62" s="11" t="n">
        <v>87.3068</v>
      </c>
      <c r="AA62" s="11" t="n">
        <v>96.2043</v>
      </c>
      <c r="AB62" s="11" t="n">
        <v>112.5366</v>
      </c>
      <c r="AC62" s="11" t="n">
        <v>120.5212</v>
      </c>
      <c r="AD62" s="11" t="n">
        <v>133.2434</v>
      </c>
      <c r="AE62" s="11" t="n">
        <v>145.732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세라크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법인세차감전 순이익</t>
        </is>
      </c>
      <c r="D4" s="11" t="n">
        <v>6.9477</v>
      </c>
      <c r="F4" s="11" t="n">
        <v>14.2315</v>
      </c>
      <c r="H4" s="11" t="n">
        <v>12.7962</v>
      </c>
      <c r="J4" s="11" t="n">
        <v>21.4708</v>
      </c>
      <c r="L4" s="11" t="n">
        <v>11.2211</v>
      </c>
      <c r="N4" s="11" t="n">
        <v>23.1763</v>
      </c>
      <c r="P4" s="11" t="n">
        <v>13.8847</v>
      </c>
      <c r="R4" s="11" t="n">
        <v>26.0108</v>
      </c>
      <c r="T4" s="11" t="n">
        <v>12.3901</v>
      </c>
      <c r="V4" s="11" t="n">
        <v>29.5761</v>
      </c>
      <c r="W4" s="11" t="n">
        <v>4.8764</v>
      </c>
      <c r="X4" s="11" t="n">
        <v>6.9937</v>
      </c>
      <c r="Y4" s="11" t="n">
        <v>10.6322</v>
      </c>
      <c r="Z4" s="11" t="n">
        <v>18.2062</v>
      </c>
      <c r="AA4" s="11" t="n">
        <v>14.2315</v>
      </c>
      <c r="AB4" s="11" t="n">
        <v>21.4708</v>
      </c>
      <c r="AC4" s="11" t="n">
        <v>23.1763</v>
      </c>
      <c r="AD4" s="11" t="n">
        <v>26.0108</v>
      </c>
      <c r="AE4" s="11" t="n">
        <v>29.5761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감가상각비</t>
        </is>
      </c>
      <c r="D5" s="11" t="n">
        <v>0.2153</v>
      </c>
      <c r="F5" s="11" t="n">
        <v>0.4773</v>
      </c>
      <c r="H5" s="11" t="n">
        <v>0.1868</v>
      </c>
      <c r="J5" s="11" t="n">
        <v>0.3989</v>
      </c>
      <c r="L5" s="11" t="n">
        <v>0.2078</v>
      </c>
      <c r="N5" s="11" t="n">
        <v>0.4623</v>
      </c>
      <c r="P5" s="11" t="n">
        <v>0.2594</v>
      </c>
      <c r="R5" s="11" t="n">
        <v>0.5304</v>
      </c>
      <c r="T5" s="11" t="n">
        <v>0.2808</v>
      </c>
      <c r="V5" s="11" t="n">
        <v>0.6268</v>
      </c>
      <c r="W5" s="11" t="n">
        <v>0.3297</v>
      </c>
      <c r="X5" s="11" t="n">
        <v>0.3277</v>
      </c>
      <c r="Y5" s="11" t="n">
        <v>0.2538</v>
      </c>
      <c r="Z5" s="11" t="n">
        <v>0.3155</v>
      </c>
      <c r="AA5" s="11" t="n">
        <v>0.4773</v>
      </c>
      <c r="AB5" s="11" t="n">
        <v>0.3989</v>
      </c>
      <c r="AC5" s="11" t="n">
        <v>0.4623</v>
      </c>
      <c r="AD5" s="11" t="n">
        <v>0.5304</v>
      </c>
      <c r="AE5" s="11" t="n">
        <v>0.6268</v>
      </c>
    </row>
    <row r="6">
      <c r="A6" s="10" t="inlineStr">
        <is>
          <t>손상차손</t>
        </is>
      </c>
      <c r="W6" s="11" t="n">
        <v>0.3722</v>
      </c>
      <c r="X6" s="11" t="n">
        <v>0.3614</v>
      </c>
      <c r="Y6" s="11" t="n">
        <v>0.1383</v>
      </c>
      <c r="Z6" s="11" t="n">
        <v>0</v>
      </c>
    </row>
    <row r="7">
      <c r="A7" s="10" t="inlineStr">
        <is>
          <t>영업권 상각</t>
        </is>
      </c>
      <c r="D7" s="11" t="n">
        <v>0.0456</v>
      </c>
      <c r="F7" s="11" t="n">
        <v>0.0912</v>
      </c>
      <c r="H7" s="11" t="n">
        <v>0.0456</v>
      </c>
      <c r="J7" s="11" t="n">
        <v>0.0684</v>
      </c>
      <c r="L7" s="11" t="n">
        <v>0</v>
      </c>
      <c r="N7" s="11" t="n">
        <v>0.0379</v>
      </c>
      <c r="P7" s="11" t="n">
        <v>0.1286</v>
      </c>
      <c r="R7" s="11" t="n">
        <v>0.2572</v>
      </c>
      <c r="T7" s="11" t="n">
        <v>0.1286</v>
      </c>
      <c r="V7" s="11" t="n">
        <v>0.2572</v>
      </c>
      <c r="W7" s="11" t="n">
        <v>0.0228</v>
      </c>
      <c r="X7" s="11" t="n">
        <v>0.0912</v>
      </c>
      <c r="Y7" s="11" t="n">
        <v>0.0912</v>
      </c>
      <c r="Z7" s="11" t="n">
        <v>0.0912</v>
      </c>
      <c r="AA7" s="11" t="n">
        <v>0.0912</v>
      </c>
      <c r="AB7" s="11" t="n">
        <v>0.0684</v>
      </c>
      <c r="AC7" s="11" t="n">
        <v>0.0379</v>
      </c>
      <c r="AD7" s="11" t="n">
        <v>0.2572</v>
      </c>
      <c r="AE7" s="11" t="n">
        <v>0.2572</v>
      </c>
    </row>
    <row r="8">
      <c r="A8" s="10" t="inlineStr">
        <is>
          <t>주식보상비용</t>
        </is>
      </c>
      <c r="F8" s="11" t="n">
        <v>0</v>
      </c>
      <c r="J8" s="11" t="n">
        <v>0.3174</v>
      </c>
      <c r="N8" s="11" t="n">
        <v>0</v>
      </c>
      <c r="AA8" s="11" t="n">
        <v>0</v>
      </c>
      <c r="AB8" s="11" t="n">
        <v>0.3174</v>
      </c>
      <c r="AC8" s="11" t="n">
        <v>0</v>
      </c>
    </row>
    <row r="9">
      <c r="A9" s="10" t="inlineStr">
        <is>
          <t>주식급여 충당금 증감</t>
        </is>
      </c>
      <c r="N9" s="11" t="n">
        <v>0</v>
      </c>
      <c r="R9" s="11" t="n">
        <v>0.5553</v>
      </c>
      <c r="V9" s="11" t="n">
        <v>-0.0847</v>
      </c>
      <c r="AC9" s="11" t="n">
        <v>0</v>
      </c>
      <c r="AD9" s="11" t="n">
        <v>0.5553</v>
      </c>
      <c r="AE9" s="11" t="n">
        <v>-0.0847</v>
      </c>
    </row>
    <row r="10">
      <c r="A10" s="10" t="inlineStr">
        <is>
          <t>대손충당금 증감</t>
        </is>
      </c>
      <c r="D10" s="11" t="n">
        <v>-0.0074</v>
      </c>
      <c r="F10" s="11" t="n">
        <v>-0.0098</v>
      </c>
      <c r="H10" s="11" t="n">
        <v>-0.006</v>
      </c>
      <c r="J10" s="11" t="n">
        <v>-0.0008</v>
      </c>
      <c r="L10" s="11" t="n">
        <v>0</v>
      </c>
      <c r="N10" s="11" t="n">
        <v>0.0028</v>
      </c>
      <c r="P10" s="11" t="n">
        <v>0.0431</v>
      </c>
      <c r="R10" s="11" t="n">
        <v>0.045</v>
      </c>
      <c r="T10" s="11" t="n">
        <v>0.0013</v>
      </c>
      <c r="V10" s="11" t="n">
        <v>-0.0012</v>
      </c>
      <c r="W10" s="11" t="n">
        <v>0.024</v>
      </c>
      <c r="X10" s="11" t="n">
        <v>0.0015</v>
      </c>
      <c r="Y10" s="11" t="n">
        <v>0.0143</v>
      </c>
      <c r="Z10" s="11" t="n">
        <v>-0.0148</v>
      </c>
      <c r="AA10" s="11" t="n">
        <v>-0.0098</v>
      </c>
      <c r="AB10" s="11" t="n">
        <v>-0.0008</v>
      </c>
      <c r="AC10" s="11" t="n">
        <v>0.0028</v>
      </c>
      <c r="AD10" s="11" t="n">
        <v>0.045</v>
      </c>
      <c r="AE10" s="11" t="n">
        <v>-0.0012</v>
      </c>
    </row>
    <row r="11">
      <c r="A11" s="10" t="inlineStr">
        <is>
          <t>상여충당금 증감</t>
        </is>
      </c>
      <c r="D11" s="11" t="n">
        <v>0.6006</v>
      </c>
      <c r="F11" s="11" t="n">
        <v>1.5514</v>
      </c>
      <c r="H11" s="11" t="n">
        <v>0.8414</v>
      </c>
      <c r="J11" s="11" t="n">
        <v>1.9302</v>
      </c>
      <c r="L11" s="11" t="n">
        <v>-0.09279999999999999</v>
      </c>
      <c r="N11" s="11" t="n">
        <v>0.9246</v>
      </c>
      <c r="P11" s="11" t="n">
        <v>-0.7665</v>
      </c>
      <c r="R11" s="11" t="n">
        <v>-0.5731000000000001</v>
      </c>
      <c r="T11" s="11" t="n">
        <v>0.1019</v>
      </c>
      <c r="V11" s="11" t="n">
        <v>0.5697</v>
      </c>
      <c r="W11" s="11" t="n">
        <v>0.7688</v>
      </c>
      <c r="X11" s="11" t="n">
        <v>1.9669</v>
      </c>
      <c r="Y11" s="11" t="n">
        <v>0.9234</v>
      </c>
      <c r="Z11" s="11" t="n">
        <v>1.1785</v>
      </c>
      <c r="AA11" s="11" t="n">
        <v>1.5514</v>
      </c>
      <c r="AB11" s="11" t="n">
        <v>1.9302</v>
      </c>
      <c r="AC11" s="11" t="n">
        <v>0.9246</v>
      </c>
      <c r="AD11" s="11" t="n">
        <v>-0.5731000000000001</v>
      </c>
      <c r="AE11" s="11" t="n">
        <v>0.5697</v>
      </c>
    </row>
    <row r="12">
      <c r="A12" s="10" t="inlineStr">
        <is>
          <t>퇴직급여부채 증감</t>
        </is>
      </c>
      <c r="D12" s="11" t="n">
        <v>-0.0174</v>
      </c>
      <c r="F12" s="11" t="n">
        <v>-0.1409</v>
      </c>
      <c r="H12" s="11" t="n">
        <v>-0.0582</v>
      </c>
      <c r="J12" s="11" t="n">
        <v>-0.1112</v>
      </c>
      <c r="L12" s="11" t="n">
        <v>-0.06560000000000001</v>
      </c>
      <c r="N12" s="11" t="n">
        <v>-0.1264</v>
      </c>
      <c r="P12" s="11" t="n">
        <v>-0.0419</v>
      </c>
      <c r="R12" s="11" t="n">
        <v>-0.09420000000000001</v>
      </c>
      <c r="T12" s="11" t="n">
        <v>-0.0507</v>
      </c>
      <c r="V12" s="11" t="n">
        <v>-0.101</v>
      </c>
      <c r="W12" s="11" t="n">
        <v>0.2723</v>
      </c>
      <c r="X12" s="11" t="n">
        <v>0.2638</v>
      </c>
      <c r="Y12" s="11" t="n">
        <v>0.2079</v>
      </c>
      <c r="Z12" s="11" t="n">
        <v>-0.0674</v>
      </c>
      <c r="AA12" s="11" t="n">
        <v>-0.1409</v>
      </c>
      <c r="AB12" s="11" t="n">
        <v>-0.1112</v>
      </c>
      <c r="AC12" s="11" t="n">
        <v>-0.1264</v>
      </c>
      <c r="AD12" s="11" t="n">
        <v>-0.09420000000000001</v>
      </c>
      <c r="AE12" s="11" t="n">
        <v>-0.101</v>
      </c>
    </row>
    <row r="13">
      <c r="A13" s="10" t="inlineStr">
        <is>
          <t>이자·배당금 수익</t>
        </is>
      </c>
      <c r="D13" s="11" t="n">
        <v>-0.008</v>
      </c>
      <c r="F13" s="11" t="n">
        <v>-0.0162</v>
      </c>
      <c r="H13" s="11" t="n">
        <v>-0.0081</v>
      </c>
      <c r="J13" s="11" t="n">
        <v>-0.0163</v>
      </c>
      <c r="L13" s="11" t="n">
        <v>-0.008200000000000001</v>
      </c>
      <c r="N13" s="11" t="n">
        <v>-0.0181</v>
      </c>
      <c r="P13" s="11" t="n">
        <v>-0.0289</v>
      </c>
      <c r="R13" s="11" t="n">
        <v>-0.09379999999999999</v>
      </c>
      <c r="T13" s="11" t="n">
        <v>-0.0887</v>
      </c>
      <c r="V13" s="11" t="n">
        <v>-0.2037</v>
      </c>
      <c r="W13" s="11" t="n">
        <v>-0.0003</v>
      </c>
      <c r="X13" s="11" t="n">
        <v>-0.0195</v>
      </c>
      <c r="Y13" s="11" t="n">
        <v>-0.0204</v>
      </c>
      <c r="Z13" s="11" t="n">
        <v>-0.0162</v>
      </c>
      <c r="AA13" s="11" t="n">
        <v>-0.0162</v>
      </c>
      <c r="AB13" s="11" t="n">
        <v>-0.0163</v>
      </c>
      <c r="AC13" s="11" t="n">
        <v>-0.0181</v>
      </c>
      <c r="AD13" s="11" t="n">
        <v>-0.09379999999999999</v>
      </c>
      <c r="AE13" s="11" t="n">
        <v>-0.2037</v>
      </c>
    </row>
    <row r="14">
      <c r="A14" s="10" t="inlineStr">
        <is>
          <t>보조금 수입</t>
        </is>
      </c>
      <c r="J14" s="11" t="n">
        <v>0</v>
      </c>
      <c r="L14" s="11" t="n">
        <v>0</v>
      </c>
      <c r="N14" s="11" t="n">
        <v>-0.2609</v>
      </c>
      <c r="P14" s="11" t="n">
        <v>-0.1513</v>
      </c>
      <c r="R14" s="11" t="n">
        <v>-0.328</v>
      </c>
      <c r="T14" s="11" t="n">
        <v>-0.2532</v>
      </c>
      <c r="V14" s="11" t="n">
        <v>-0.2532</v>
      </c>
      <c r="AB14" s="11" t="n">
        <v>0</v>
      </c>
      <c r="AC14" s="11" t="n">
        <v>-0.2609</v>
      </c>
      <c r="AD14" s="11" t="n">
        <v>-0.328</v>
      </c>
      <c r="AE14" s="11" t="n">
        <v>-0.2532</v>
      </c>
    </row>
    <row r="15">
      <c r="A15" s="10" t="inlineStr">
        <is>
          <t>보조금 수입</t>
        </is>
      </c>
      <c r="D15" s="11" t="n">
        <v>-3.0259</v>
      </c>
      <c r="F15" s="11" t="n">
        <v>-5.4304</v>
      </c>
      <c r="H15" s="11" t="n">
        <v>-1.892</v>
      </c>
      <c r="J15" s="11" t="n">
        <v>-2.0182</v>
      </c>
      <c r="L15" s="11" t="n">
        <v>-0.0449</v>
      </c>
      <c r="N15" s="11" t="n">
        <v>-0.1432</v>
      </c>
      <c r="P15" s="11" t="n">
        <v>0</v>
      </c>
      <c r="R15" s="11" t="n">
        <v>0</v>
      </c>
      <c r="V15" s="11" t="n">
        <v>-0.029</v>
      </c>
      <c r="X15" s="11" t="n">
        <v>0</v>
      </c>
      <c r="Y15" s="11" t="n">
        <v>-0.3109</v>
      </c>
      <c r="Z15" s="11" t="n">
        <v>-4.7161</v>
      </c>
      <c r="AA15" s="11" t="n">
        <v>-5.4304</v>
      </c>
      <c r="AB15" s="11" t="n">
        <v>-2.0182</v>
      </c>
      <c r="AC15" s="11" t="n">
        <v>-0.1432</v>
      </c>
      <c r="AD15" s="11" t="n">
        <v>0</v>
      </c>
      <c r="AE15" s="11" t="n">
        <v>-0.029</v>
      </c>
    </row>
    <row r="16">
      <c r="A16" s="10" t="inlineStr">
        <is>
          <t>지급수수료</t>
        </is>
      </c>
      <c r="J16" s="11" t="n">
        <v>0</v>
      </c>
      <c r="N16" s="11" t="n">
        <v>0.0105</v>
      </c>
      <c r="P16" s="11" t="n">
        <v>0</v>
      </c>
      <c r="R16" s="11" t="n">
        <v>0.0236</v>
      </c>
      <c r="T16" s="11" t="n">
        <v>0.009299999999999999</v>
      </c>
      <c r="V16" s="11" t="n">
        <v>0.0119</v>
      </c>
      <c r="AB16" s="11" t="n">
        <v>0</v>
      </c>
      <c r="AC16" s="11" t="n">
        <v>0.0105</v>
      </c>
      <c r="AD16" s="11" t="n">
        <v>0.0236</v>
      </c>
      <c r="AE16" s="11" t="n">
        <v>0.0119</v>
      </c>
    </row>
    <row r="17">
      <c r="A17" s="10" t="inlineStr">
        <is>
          <t>신주예약권 환입이익</t>
        </is>
      </c>
      <c r="D17" s="11" t="n">
        <v>0</v>
      </c>
      <c r="F17" s="11" t="n">
        <v>0</v>
      </c>
      <c r="H17" s="11" t="n">
        <v>-0.0014</v>
      </c>
      <c r="J17" s="11" t="n">
        <v>-0.0037</v>
      </c>
      <c r="L17" s="11" t="n">
        <v>-0.0035</v>
      </c>
      <c r="N17" s="11" t="n">
        <v>-0.0609</v>
      </c>
      <c r="P17" s="11" t="n">
        <v>-0.0002</v>
      </c>
      <c r="R17" s="11" t="n">
        <v>-0.0226</v>
      </c>
      <c r="T17" s="11" t="n">
        <v>-0.0095</v>
      </c>
      <c r="V17" s="11" t="n">
        <v>-0.0107</v>
      </c>
      <c r="AA17" s="11" t="n">
        <v>0</v>
      </c>
      <c r="AB17" s="11" t="n">
        <v>-0.0037</v>
      </c>
      <c r="AC17" s="11" t="n">
        <v>-0.0609</v>
      </c>
      <c r="AD17" s="11" t="n">
        <v>-0.0226</v>
      </c>
      <c r="AE17" s="11" t="n">
        <v>-0.0107</v>
      </c>
    </row>
    <row r="18">
      <c r="A18" s="10" t="inlineStr">
        <is>
          <t>투자유가증권 평가손익</t>
        </is>
      </c>
      <c r="D18" s="11" t="n">
        <v>0</v>
      </c>
      <c r="F18" s="11" t="n">
        <v>0.1071</v>
      </c>
      <c r="H18" s="11" t="n">
        <v>0.0365</v>
      </c>
      <c r="J18" s="11" t="n">
        <v>0.09279999999999999</v>
      </c>
      <c r="L18" s="11" t="n">
        <v>0.0334</v>
      </c>
      <c r="N18" s="11" t="n">
        <v>0.0544</v>
      </c>
      <c r="P18" s="11" t="n">
        <v>0</v>
      </c>
      <c r="R18" s="11" t="n">
        <v>0</v>
      </c>
      <c r="X18" s="11" t="n">
        <v>0</v>
      </c>
      <c r="Y18" s="11" t="n">
        <v>0.8843</v>
      </c>
      <c r="Z18" s="11" t="n">
        <v>0.1567</v>
      </c>
      <c r="AA18" s="11" t="n">
        <v>0.1071</v>
      </c>
      <c r="AB18" s="11" t="n">
        <v>0.09279999999999999</v>
      </c>
      <c r="AC18" s="11" t="n">
        <v>0.0544</v>
      </c>
      <c r="AD18" s="11" t="n">
        <v>0</v>
      </c>
    </row>
    <row r="19">
      <c r="A19" s="10" t="inlineStr">
        <is>
          <t>이자비용</t>
        </is>
      </c>
      <c r="D19" s="11" t="n">
        <v>0.0182</v>
      </c>
      <c r="F19" s="11" t="n">
        <v>0.0351</v>
      </c>
      <c r="H19" s="11" t="n">
        <v>0.0146</v>
      </c>
      <c r="J19" s="11" t="n">
        <v>0.0221</v>
      </c>
      <c r="L19" s="11" t="n">
        <v>0.0047</v>
      </c>
      <c r="N19" s="11" t="n">
        <v>0.008500000000000001</v>
      </c>
      <c r="P19" s="11" t="n">
        <v>0.0026</v>
      </c>
      <c r="R19" s="11" t="n">
        <v>0.0043</v>
      </c>
      <c r="T19" s="11" t="n">
        <v>0.0009</v>
      </c>
      <c r="V19" s="11" t="n">
        <v>0.0012</v>
      </c>
      <c r="W19" s="11" t="n">
        <v>0.0086</v>
      </c>
      <c r="X19" s="11" t="n">
        <v>0.008200000000000001</v>
      </c>
      <c r="Y19" s="11" t="n">
        <v>0.0225</v>
      </c>
      <c r="Z19" s="11" t="n">
        <v>0.0404</v>
      </c>
      <c r="AA19" s="11" t="n">
        <v>0.0351</v>
      </c>
      <c r="AB19" s="11" t="n">
        <v>0.0221</v>
      </c>
      <c r="AC19" s="11" t="n">
        <v>0.008500000000000001</v>
      </c>
      <c r="AD19" s="11" t="n">
        <v>0.0043</v>
      </c>
      <c r="AE19" s="11" t="n">
        <v>0.0012</v>
      </c>
    </row>
    <row r="20">
      <c r="A20" s="10" t="inlineStr">
        <is>
          <t>고정자산 제각손실</t>
        </is>
      </c>
      <c r="D20" s="11" t="n">
        <v>0</v>
      </c>
      <c r="F20" s="11" t="n">
        <v>0.0061</v>
      </c>
      <c r="J20" s="11" t="n">
        <v>0.005</v>
      </c>
      <c r="L20" s="11" t="n">
        <v>0</v>
      </c>
      <c r="N20" s="11" t="n">
        <v>0.0073</v>
      </c>
      <c r="P20" s="11" t="n">
        <v>0.0022</v>
      </c>
      <c r="R20" s="11" t="n">
        <v>0.0022</v>
      </c>
      <c r="T20" s="11" t="n">
        <v>0</v>
      </c>
      <c r="V20" s="11" t="n">
        <v>0</v>
      </c>
      <c r="W20" s="11" t="n">
        <v>0</v>
      </c>
      <c r="X20" s="11" t="n">
        <v>0.0192</v>
      </c>
      <c r="Y20" s="11" t="n">
        <v>0</v>
      </c>
      <c r="Z20" s="11" t="n">
        <v>0.0057</v>
      </c>
      <c r="AA20" s="11" t="n">
        <v>0.0061</v>
      </c>
      <c r="AB20" s="11" t="n">
        <v>0.005</v>
      </c>
      <c r="AC20" s="11" t="n">
        <v>0.0073</v>
      </c>
      <c r="AD20" s="11" t="n">
        <v>0.0022</v>
      </c>
      <c r="AE20" s="11" t="n">
        <v>0</v>
      </c>
    </row>
    <row r="21">
      <c r="A21" s="10" t="inlineStr">
        <is>
          <t>관계회사 주식 평가손실</t>
        </is>
      </c>
      <c r="W21" s="11" t="n">
        <v>0.0086</v>
      </c>
      <c r="X21" s="11" t="n">
        <v>0</v>
      </c>
    </row>
    <row r="22">
      <c r="A22" s="10" t="inlineStr">
        <is>
          <t>고정자산 매각이익</t>
        </is>
      </c>
      <c r="P22" s="11" t="n">
        <v>0</v>
      </c>
      <c r="T22" s="11" t="n">
        <v>-0.0043</v>
      </c>
    </row>
    <row r="23">
      <c r="A23" s="10" t="inlineStr">
        <is>
          <t>투자유가증권 매각손익</t>
        </is>
      </c>
      <c r="R23" s="11" t="n">
        <v>0</v>
      </c>
      <c r="V23" s="11" t="n">
        <v>-0.32</v>
      </c>
      <c r="AD23" s="11" t="n">
        <v>0</v>
      </c>
      <c r="AE23" s="11" t="n">
        <v>-0.32</v>
      </c>
    </row>
    <row r="24">
      <c r="A24" s="10" t="inlineStr">
        <is>
          <t>매출채권 증감</t>
        </is>
      </c>
      <c r="D24" s="11" t="n">
        <v>-2.4178</v>
      </c>
      <c r="F24" s="11" t="n">
        <v>-5.1563</v>
      </c>
      <c r="H24" s="11" t="n">
        <v>-1.5923</v>
      </c>
      <c r="J24" s="11" t="n">
        <v>-2.2536</v>
      </c>
      <c r="L24" s="11" t="n">
        <v>-0.1516</v>
      </c>
      <c r="N24" s="11" t="n">
        <v>-1.2132</v>
      </c>
      <c r="P24" s="11" t="n">
        <v>-1.7943</v>
      </c>
      <c r="R24" s="11" t="n">
        <v>-0.9832</v>
      </c>
      <c r="T24" s="11" t="n">
        <v>0.014</v>
      </c>
      <c r="V24" s="11" t="n">
        <v>-1.369</v>
      </c>
      <c r="W24" s="11" t="n">
        <v>-1.2678</v>
      </c>
      <c r="X24" s="11" t="n">
        <v>-4.3343</v>
      </c>
      <c r="Y24" s="11" t="n">
        <v>-2.2956</v>
      </c>
      <c r="Z24" s="11" t="n">
        <v>0.0571</v>
      </c>
      <c r="AA24" s="11" t="n">
        <v>-5.1563</v>
      </c>
      <c r="AB24" s="11" t="n">
        <v>-2.2536</v>
      </c>
      <c r="AC24" s="11" t="n">
        <v>-1.2132</v>
      </c>
      <c r="AD24" s="11" t="n">
        <v>-0.9832</v>
      </c>
      <c r="AE24" s="11" t="n">
        <v>-1.369</v>
      </c>
    </row>
    <row r="25">
      <c r="A25" s="10" t="inlineStr">
        <is>
          <t>재고자산 증감</t>
        </is>
      </c>
      <c r="D25" s="11" t="n">
        <v>0.1687</v>
      </c>
      <c r="F25" s="11" t="n">
        <v>0.0975</v>
      </c>
      <c r="H25" s="11" t="n">
        <v>-0.3083</v>
      </c>
      <c r="J25" s="11" t="n">
        <v>-0.093</v>
      </c>
      <c r="L25" s="11" t="n">
        <v>0.1183</v>
      </c>
      <c r="N25" s="11" t="n">
        <v>-1.656</v>
      </c>
      <c r="P25" s="11" t="n">
        <v>1.9399</v>
      </c>
      <c r="R25" s="11" t="n">
        <v>1.705</v>
      </c>
      <c r="T25" s="11" t="n">
        <v>0.1992</v>
      </c>
      <c r="V25" s="11" t="n">
        <v>0.4538</v>
      </c>
      <c r="W25" s="11" t="n">
        <v>0.0219</v>
      </c>
      <c r="X25" s="11" t="n">
        <v>-0.06469999999999999</v>
      </c>
      <c r="Y25" s="11" t="n">
        <v>-0.096</v>
      </c>
      <c r="Z25" s="11" t="n">
        <v>-0.395</v>
      </c>
      <c r="AA25" s="11" t="n">
        <v>0.0975</v>
      </c>
      <c r="AB25" s="11" t="n">
        <v>-0.093</v>
      </c>
      <c r="AC25" s="11" t="n">
        <v>-1.656</v>
      </c>
      <c r="AD25" s="11" t="n">
        <v>1.705</v>
      </c>
      <c r="AE25" s="11" t="n">
        <v>0.4538</v>
      </c>
    </row>
    <row r="26">
      <c r="A26" s="10" t="inlineStr">
        <is>
          <t>선급비용 증감</t>
        </is>
      </c>
      <c r="D26" s="11" t="n">
        <v>0.1348</v>
      </c>
      <c r="F26" s="11" t="n">
        <v>-0.0319</v>
      </c>
      <c r="H26" s="11" t="n">
        <v>-0.3807</v>
      </c>
      <c r="J26" s="11" t="n">
        <v>-0.2396</v>
      </c>
      <c r="L26" s="11" t="n">
        <v>-0.4248</v>
      </c>
      <c r="N26" s="11" t="n">
        <v>0.1507</v>
      </c>
      <c r="P26" s="11" t="n">
        <v>-0.9363</v>
      </c>
      <c r="R26" s="11" t="n">
        <v>-0.3326</v>
      </c>
      <c r="T26" s="11" t="n">
        <v>-0.6002999999999999</v>
      </c>
      <c r="V26" s="11" t="n">
        <v>0.0765</v>
      </c>
      <c r="X26" s="11" t="n">
        <v>-0.06519999999999999</v>
      </c>
      <c r="Y26" s="11" t="n">
        <v>-0.3969</v>
      </c>
      <c r="Z26" s="11" t="n">
        <v>-0.3365</v>
      </c>
      <c r="AA26" s="11" t="n">
        <v>-0.0319</v>
      </c>
      <c r="AB26" s="11" t="n">
        <v>-0.2396</v>
      </c>
      <c r="AC26" s="11" t="n">
        <v>0.1507</v>
      </c>
      <c r="AD26" s="11" t="n">
        <v>-0.3326</v>
      </c>
      <c r="AE26" s="11" t="n">
        <v>0.0765</v>
      </c>
    </row>
    <row r="27">
      <c r="A27" s="10" t="inlineStr">
        <is>
          <t>매입채무 증감</t>
        </is>
      </c>
      <c r="D27" s="11" t="n">
        <v>0.1601</v>
      </c>
      <c r="F27" s="11" t="n">
        <v>0.4851</v>
      </c>
      <c r="H27" s="11" t="n">
        <v>-0.3717</v>
      </c>
      <c r="J27" s="11" t="n">
        <v>-0.2919</v>
      </c>
      <c r="L27" s="11" t="n">
        <v>0.06569999999999999</v>
      </c>
      <c r="N27" s="11" t="n">
        <v>1.2368</v>
      </c>
      <c r="P27" s="11" t="n">
        <v>0.1258</v>
      </c>
      <c r="R27" s="11" t="n">
        <v>0.7027</v>
      </c>
      <c r="T27" s="11" t="n">
        <v>0.1146</v>
      </c>
      <c r="V27" s="11" t="n">
        <v>0.4457</v>
      </c>
      <c r="W27" s="11" t="n">
        <v>-0.0454</v>
      </c>
      <c r="X27" s="11" t="n">
        <v>0.2147</v>
      </c>
      <c r="Y27" s="11" t="n">
        <v>0.1757</v>
      </c>
      <c r="Z27" s="11" t="n">
        <v>0.5375</v>
      </c>
      <c r="AA27" s="11" t="n">
        <v>0.4851</v>
      </c>
      <c r="AB27" s="11" t="n">
        <v>-0.2919</v>
      </c>
      <c r="AC27" s="11" t="n">
        <v>1.2368</v>
      </c>
      <c r="AD27" s="11" t="n">
        <v>0.7027</v>
      </c>
      <c r="AE27" s="11" t="n">
        <v>0.4457</v>
      </c>
    </row>
    <row r="28">
      <c r="A28" s="10" t="inlineStr">
        <is>
          <t>미지급금 증감</t>
        </is>
      </c>
      <c r="D28" s="11" t="n">
        <v>-0.2181</v>
      </c>
      <c r="F28" s="11" t="n">
        <v>0.6276</v>
      </c>
      <c r="H28" s="11" t="n">
        <v>0.1836</v>
      </c>
      <c r="J28" s="11" t="n">
        <v>1.8659</v>
      </c>
      <c r="L28" s="11" t="n">
        <v>-0.9778</v>
      </c>
      <c r="N28" s="11" t="n">
        <v>-0.149</v>
      </c>
      <c r="P28" s="11" t="n">
        <v>-0.8118</v>
      </c>
      <c r="R28" s="11" t="n">
        <v>0.1263</v>
      </c>
      <c r="T28" s="11" t="n">
        <v>-0.7225</v>
      </c>
      <c r="V28" s="11" t="n">
        <v>-1.2547</v>
      </c>
      <c r="W28" s="11" t="n">
        <v>1.0294</v>
      </c>
      <c r="X28" s="11" t="n">
        <v>1.6934</v>
      </c>
      <c r="Y28" s="11" t="n">
        <v>1.1695</v>
      </c>
      <c r="Z28" s="11" t="n">
        <v>2.5857</v>
      </c>
      <c r="AA28" s="11" t="n">
        <v>0.6276</v>
      </c>
      <c r="AB28" s="11" t="n">
        <v>1.8659</v>
      </c>
      <c r="AC28" s="11" t="n">
        <v>-0.149</v>
      </c>
      <c r="AD28" s="11" t="n">
        <v>0.1263</v>
      </c>
      <c r="AE28" s="11" t="n">
        <v>-1.2547</v>
      </c>
    </row>
    <row r="29">
      <c r="A29" s="10" t="inlineStr">
        <is>
          <t>미지급 소비세 증감</t>
        </is>
      </c>
      <c r="D29" s="11" t="n">
        <v>-0.4481</v>
      </c>
      <c r="F29" s="11" t="n">
        <v>0.9346</v>
      </c>
      <c r="H29" s="11" t="n">
        <v>-0.2507</v>
      </c>
      <c r="J29" s="11" t="n">
        <v>1.3283</v>
      </c>
      <c r="L29" s="11" t="n">
        <v>-2.1264</v>
      </c>
      <c r="N29" s="11" t="n">
        <v>-1.6179</v>
      </c>
      <c r="P29" s="11" t="n">
        <v>-0.3551</v>
      </c>
      <c r="R29" s="11" t="n">
        <v>-0.0086</v>
      </c>
      <c r="T29" s="11" t="n">
        <v>-0.7839</v>
      </c>
      <c r="V29" s="11" t="n">
        <v>-0.5227000000000001</v>
      </c>
      <c r="W29" s="11" t="n">
        <v>0.481</v>
      </c>
      <c r="X29" s="11" t="n">
        <v>0.7066</v>
      </c>
      <c r="Y29" s="11" t="n">
        <v>2.4059</v>
      </c>
      <c r="Z29" s="11" t="n">
        <v>-1.8922</v>
      </c>
      <c r="AA29" s="11" t="n">
        <v>0.9346</v>
      </c>
      <c r="AB29" s="11" t="n">
        <v>1.3283</v>
      </c>
      <c r="AC29" s="11" t="n">
        <v>-1.6179</v>
      </c>
      <c r="AD29" s="11" t="n">
        <v>-0.0086</v>
      </c>
      <c r="AE29" s="11" t="n">
        <v>-0.5227000000000001</v>
      </c>
    </row>
    <row r="30">
      <c r="A30" s="10" t="inlineStr">
        <is>
          <t>기타</t>
        </is>
      </c>
      <c r="D30" s="11" t="n">
        <v>-0.4265</v>
      </c>
      <c r="F30" s="11" t="n">
        <v>0.3967</v>
      </c>
      <c r="H30" s="11" t="n">
        <v>-0.1064</v>
      </c>
      <c r="J30" s="11" t="n">
        <v>0.5442</v>
      </c>
      <c r="L30" s="11" t="n">
        <v>-0.525</v>
      </c>
      <c r="N30" s="11" t="n">
        <v>0.6505</v>
      </c>
      <c r="P30" s="11" t="n">
        <v>-0.4996</v>
      </c>
      <c r="R30" s="11" t="n">
        <v>0.5383</v>
      </c>
      <c r="T30" s="11" t="n">
        <v>-0.9797</v>
      </c>
      <c r="V30" s="11" t="n">
        <v>-0.7037</v>
      </c>
      <c r="W30" s="11" t="n">
        <v>0.3003</v>
      </c>
      <c r="X30" s="11" t="n">
        <v>0.9431</v>
      </c>
      <c r="Y30" s="11" t="n">
        <v>0.0481</v>
      </c>
      <c r="Z30" s="11" t="n">
        <v>-0.0916</v>
      </c>
      <c r="AA30" s="11" t="n">
        <v>0.3967</v>
      </c>
      <c r="AB30" s="11" t="n">
        <v>0.5442</v>
      </c>
      <c r="AC30" s="11" t="n">
        <v>0.6505</v>
      </c>
      <c r="AD30" s="11" t="n">
        <v>0.5383</v>
      </c>
      <c r="AE30" s="11" t="n">
        <v>-0.7037</v>
      </c>
    </row>
    <row r="31">
      <c r="A31" s="10" t="inlineStr">
        <is>
          <t>소계</t>
        </is>
      </c>
      <c r="D31" s="11" t="n">
        <v>1.7215</v>
      </c>
      <c r="F31" s="11" t="n">
        <v>8.2555</v>
      </c>
      <c r="H31" s="11" t="n">
        <v>9.1288</v>
      </c>
      <c r="J31" s="11" t="n">
        <v>23.0158</v>
      </c>
      <c r="L31" s="11" t="n">
        <v>7.2305</v>
      </c>
      <c r="N31" s="11" t="n">
        <v>21.4771</v>
      </c>
      <c r="P31" s="11" t="n">
        <v>11.0005</v>
      </c>
      <c r="R31" s="11" t="n">
        <v>28.0647</v>
      </c>
      <c r="T31" s="11" t="n">
        <v>9.7478</v>
      </c>
      <c r="V31" s="11" t="n">
        <v>27.1653</v>
      </c>
      <c r="W31" s="11" t="n">
        <v>7.2025</v>
      </c>
      <c r="X31" s="11" t="n">
        <v>9.1076</v>
      </c>
      <c r="Y31" s="11" t="n">
        <v>13.8474</v>
      </c>
      <c r="Z31" s="11" t="n">
        <v>15.6448</v>
      </c>
      <c r="AA31" s="11" t="n">
        <v>8.2555</v>
      </c>
      <c r="AB31" s="11" t="n">
        <v>23.0158</v>
      </c>
      <c r="AC31" s="11" t="n">
        <v>21.4771</v>
      </c>
      <c r="AD31" s="11" t="n">
        <v>28.0647</v>
      </c>
      <c r="AE31" s="11" t="n">
        <v>27.1653</v>
      </c>
    </row>
    <row r="32">
      <c r="A32" s="10" t="inlineStr">
        <is>
          <t>이자·배당금 수취</t>
        </is>
      </c>
      <c r="D32" s="11" t="n">
        <v>0.0069</v>
      </c>
      <c r="F32" s="11" t="n">
        <v>0.0137</v>
      </c>
      <c r="H32" s="11" t="n">
        <v>0.0069</v>
      </c>
      <c r="J32" s="11" t="n">
        <v>0.0138</v>
      </c>
      <c r="L32" s="11" t="n">
        <v>0.0069</v>
      </c>
      <c r="N32" s="11" t="n">
        <v>0.0179</v>
      </c>
      <c r="P32" s="11" t="n">
        <v>0.0245</v>
      </c>
      <c r="R32" s="11" t="n">
        <v>0.0795</v>
      </c>
      <c r="T32" s="11" t="n">
        <v>0.0772</v>
      </c>
      <c r="V32" s="11" t="n">
        <v>0.1745</v>
      </c>
      <c r="W32" s="11" t="n">
        <v>0.0003</v>
      </c>
      <c r="X32" s="11" t="n">
        <v>0.0195</v>
      </c>
      <c r="Y32" s="11" t="n">
        <v>0.0145</v>
      </c>
      <c r="Z32" s="11" t="n">
        <v>0.0137</v>
      </c>
      <c r="AA32" s="11" t="n">
        <v>0.0137</v>
      </c>
      <c r="AB32" s="11" t="n">
        <v>0.0138</v>
      </c>
      <c r="AC32" s="11" t="n">
        <v>0.0179</v>
      </c>
      <c r="AD32" s="11" t="n">
        <v>0.0795</v>
      </c>
      <c r="AE32" s="11" t="n">
        <v>0.1745</v>
      </c>
    </row>
    <row r="33">
      <c r="A33" s="10" t="inlineStr">
        <is>
          <t>이자 지급</t>
        </is>
      </c>
      <c r="D33" s="11" t="n">
        <v>-0.0181</v>
      </c>
      <c r="F33" s="11" t="n">
        <v>-0.0344</v>
      </c>
      <c r="H33" s="11" t="n">
        <v>-0.0146</v>
      </c>
      <c r="J33" s="11" t="n">
        <v>-0.0197</v>
      </c>
      <c r="L33" s="11" t="n">
        <v>-0.0047</v>
      </c>
      <c r="N33" s="11" t="n">
        <v>-0.0074</v>
      </c>
      <c r="P33" s="11" t="n">
        <v>-0.0019</v>
      </c>
      <c r="R33" s="11" t="n">
        <v>-0.0034</v>
      </c>
      <c r="T33" s="11" t="n">
        <v>-0.0008</v>
      </c>
      <c r="V33" s="11" t="n">
        <v>-0.001</v>
      </c>
      <c r="W33" s="11" t="n">
        <v>-0.008800000000000001</v>
      </c>
      <c r="X33" s="11" t="n">
        <v>-0.008</v>
      </c>
      <c r="Y33" s="11" t="n">
        <v>-0.0262</v>
      </c>
      <c r="Z33" s="11" t="n">
        <v>-0.0401</v>
      </c>
      <c r="AA33" s="11" t="n">
        <v>-0.0344</v>
      </c>
      <c r="AB33" s="11" t="n">
        <v>-0.0197</v>
      </c>
      <c r="AC33" s="11" t="n">
        <v>-0.0074</v>
      </c>
      <c r="AD33" s="11" t="n">
        <v>-0.0034</v>
      </c>
      <c r="AE33" s="11" t="n">
        <v>-0.001</v>
      </c>
    </row>
    <row r="34">
      <c r="A34" s="10" t="inlineStr">
        <is>
          <t>보조금 수취</t>
        </is>
      </c>
      <c r="D34" s="11" t="n">
        <v>3.0259</v>
      </c>
      <c r="F34" s="11" t="n">
        <v>5.4304</v>
      </c>
      <c r="H34" s="11" t="n">
        <v>1.892</v>
      </c>
      <c r="J34" s="11" t="n">
        <v>2.0182</v>
      </c>
      <c r="L34" s="11" t="n">
        <v>0.0449</v>
      </c>
      <c r="N34" s="11" t="n">
        <v>0.1432</v>
      </c>
      <c r="P34" s="11" t="n">
        <v>0</v>
      </c>
      <c r="R34" s="11" t="n">
        <v>0</v>
      </c>
      <c r="V34" s="11" t="n">
        <v>0.029</v>
      </c>
      <c r="X34" s="11" t="n">
        <v>0</v>
      </c>
      <c r="Y34" s="11" t="n">
        <v>0.3109</v>
      </c>
      <c r="Z34" s="11" t="n">
        <v>4.7161</v>
      </c>
      <c r="AA34" s="11" t="n">
        <v>5.4304</v>
      </c>
      <c r="AB34" s="11" t="n">
        <v>2.0182</v>
      </c>
      <c r="AC34" s="11" t="n">
        <v>0.1432</v>
      </c>
      <c r="AD34" s="11" t="n">
        <v>0</v>
      </c>
      <c r="AE34" s="11" t="n">
        <v>0.029</v>
      </c>
    </row>
    <row r="35">
      <c r="A35" s="10" t="inlineStr">
        <is>
          <t>보조금 수취</t>
        </is>
      </c>
      <c r="J35" s="11" t="n">
        <v>0</v>
      </c>
      <c r="L35" s="11" t="n">
        <v>0</v>
      </c>
      <c r="N35" s="11" t="n">
        <v>0.2609</v>
      </c>
      <c r="P35" s="11" t="n">
        <v>0.1513</v>
      </c>
      <c r="R35" s="11" t="n">
        <v>0.328</v>
      </c>
      <c r="T35" s="11" t="n">
        <v>0.2532</v>
      </c>
      <c r="V35" s="11" t="n">
        <v>0.2532</v>
      </c>
      <c r="AB35" s="11" t="n">
        <v>0</v>
      </c>
      <c r="AC35" s="11" t="n">
        <v>0.2609</v>
      </c>
      <c r="AD35" s="11" t="n">
        <v>0.328</v>
      </c>
      <c r="AE35" s="11" t="n">
        <v>0.2532</v>
      </c>
    </row>
    <row r="36">
      <c r="A36" s="10" t="inlineStr">
        <is>
          <t>법인세 납부</t>
        </is>
      </c>
      <c r="D36" s="11" t="n">
        <v>-3.6635</v>
      </c>
      <c r="F36" s="11" t="n">
        <v>-6.6205</v>
      </c>
      <c r="H36" s="11" t="n">
        <v>-2.183</v>
      </c>
      <c r="J36" s="11" t="n">
        <v>-4.7506</v>
      </c>
      <c r="L36" s="11" t="n">
        <v>-4.6912</v>
      </c>
      <c r="N36" s="11" t="n">
        <v>-8.320600000000001</v>
      </c>
      <c r="P36" s="11" t="n">
        <v>-4.1207</v>
      </c>
      <c r="R36" s="11" t="n">
        <v>-7.9343</v>
      </c>
      <c r="T36" s="11" t="n">
        <v>-5.0693</v>
      </c>
      <c r="V36" s="11" t="n">
        <v>-9.5372</v>
      </c>
      <c r="W36" s="11" t="n">
        <v>-1.5731</v>
      </c>
      <c r="X36" s="11" t="n">
        <v>-2.5686</v>
      </c>
      <c r="Y36" s="11" t="n">
        <v>-4.1913</v>
      </c>
      <c r="Z36" s="11" t="n">
        <v>-5.6559</v>
      </c>
      <c r="AA36" s="11" t="n">
        <v>-6.6205</v>
      </c>
      <c r="AB36" s="11" t="n">
        <v>-4.7506</v>
      </c>
      <c r="AC36" s="11" t="n">
        <v>-8.320600000000001</v>
      </c>
      <c r="AD36" s="11" t="n">
        <v>-7.9343</v>
      </c>
      <c r="AE36" s="11" t="n">
        <v>-9.5372</v>
      </c>
    </row>
    <row r="37">
      <c r="A37" s="10" t="inlineStr">
        <is>
          <t>영업활동 현금흐름</t>
        </is>
      </c>
      <c r="D37" s="11" t="n">
        <v>1.0727</v>
      </c>
      <c r="F37" s="11" t="n">
        <v>7.0448</v>
      </c>
      <c r="H37" s="11" t="n">
        <v>8.8301</v>
      </c>
      <c r="J37" s="11" t="n">
        <v>20.2775</v>
      </c>
      <c r="L37" s="11" t="n">
        <v>2.5864</v>
      </c>
      <c r="N37" s="11" t="n">
        <v>13.5711</v>
      </c>
      <c r="P37" s="11" t="n">
        <v>7.0537</v>
      </c>
      <c r="R37" s="11" t="n">
        <v>20.5345</v>
      </c>
      <c r="T37" s="11" t="n">
        <v>5.0081</v>
      </c>
      <c r="V37" s="11" t="n">
        <v>18.0839</v>
      </c>
      <c r="W37" s="11" t="n">
        <v>5.6209</v>
      </c>
      <c r="X37" s="11" t="n">
        <v>6.5506</v>
      </c>
      <c r="Y37" s="11" t="n">
        <v>9.955299999999999</v>
      </c>
      <c r="Z37" s="11" t="n">
        <v>14.6786</v>
      </c>
      <c r="AA37" s="11" t="n">
        <v>7.0448</v>
      </c>
      <c r="AB37" s="11" t="n">
        <v>20.2775</v>
      </c>
      <c r="AC37" s="11" t="n">
        <v>13.5711</v>
      </c>
      <c r="AD37" s="11" t="n">
        <v>20.5345</v>
      </c>
      <c r="AE37" s="11" t="n">
        <v>18.0839</v>
      </c>
    </row>
    <row r="38">
      <c r="A38" s="10" t="inlineStr">
        <is>
          <t>정기예금 예입</t>
        </is>
      </c>
      <c r="D38" s="11" t="n">
        <v>-0.012</v>
      </c>
      <c r="F38" s="11" t="n">
        <v>-0.046</v>
      </c>
      <c r="H38" s="11" t="n">
        <v>-0.012</v>
      </c>
      <c r="J38" s="11" t="n">
        <v>-0.031</v>
      </c>
      <c r="L38" s="11" t="n">
        <v>-0.006</v>
      </c>
      <c r="N38" s="11" t="n">
        <v>-1.024</v>
      </c>
      <c r="P38" s="11" t="n">
        <v>-0.006</v>
      </c>
      <c r="R38" s="11" t="n">
        <v>-0.0401</v>
      </c>
      <c r="T38" s="11" t="n">
        <v>-0.0063</v>
      </c>
      <c r="V38" s="11" t="n">
        <v>-0.0282</v>
      </c>
      <c r="W38" s="11" t="n">
        <v>-0.023</v>
      </c>
      <c r="X38" s="11" t="n">
        <v>-0.021</v>
      </c>
      <c r="Y38" s="11" t="n">
        <v>-0.025</v>
      </c>
      <c r="Z38" s="11" t="n">
        <v>-0.067</v>
      </c>
      <c r="AA38" s="11" t="n">
        <v>-0.046</v>
      </c>
      <c r="AB38" s="11" t="n">
        <v>-0.031</v>
      </c>
      <c r="AC38" s="11" t="n">
        <v>-1.024</v>
      </c>
      <c r="AD38" s="11" t="n">
        <v>-0.0401</v>
      </c>
      <c r="AE38" s="11" t="n">
        <v>-0.0282</v>
      </c>
    </row>
    <row r="39">
      <c r="A39" s="10" t="inlineStr">
        <is>
          <t>정기예금 인출</t>
        </is>
      </c>
      <c r="F39" s="11" t="n">
        <v>0.024</v>
      </c>
      <c r="H39" s="11" t="n">
        <v>0</v>
      </c>
      <c r="J39" s="11" t="n">
        <v>0.012</v>
      </c>
      <c r="L39" s="11" t="n">
        <v>0.012</v>
      </c>
      <c r="N39" s="11" t="n">
        <v>0.024</v>
      </c>
      <c r="P39" s="11" t="n">
        <v>0</v>
      </c>
      <c r="R39" s="11" t="n">
        <v>0.028</v>
      </c>
      <c r="V39" s="11" t="n">
        <v>1.0152</v>
      </c>
      <c r="X39" s="11" t="n">
        <v>0</v>
      </c>
      <c r="Y39" s="11" t="n">
        <v>0.0506</v>
      </c>
      <c r="Z39" s="11" t="n">
        <v>0.049</v>
      </c>
      <c r="AA39" s="11" t="n">
        <v>0.024</v>
      </c>
      <c r="AB39" s="11" t="n">
        <v>0.012</v>
      </c>
      <c r="AC39" s="11" t="n">
        <v>0.024</v>
      </c>
      <c r="AD39" s="11" t="n">
        <v>0.028</v>
      </c>
      <c r="AE39" s="11" t="n">
        <v>1.0152</v>
      </c>
    </row>
    <row r="40">
      <c r="A40" s="10" t="inlineStr">
        <is>
          <t>유가증권 취득</t>
        </is>
      </c>
      <c r="F40" s="11" t="n">
        <v>-0.12</v>
      </c>
      <c r="J40" s="11" t="n">
        <v>0</v>
      </c>
      <c r="Z40" s="11" t="n">
        <v>0</v>
      </c>
      <c r="AA40" s="11" t="n">
        <v>-0.12</v>
      </c>
      <c r="AB40" s="11" t="n">
        <v>0</v>
      </c>
    </row>
    <row r="41">
      <c r="A41" s="10" t="inlineStr">
        <is>
          <t>투자유가증권 상환</t>
        </is>
      </c>
      <c r="J41" s="11" t="n">
        <v>0</v>
      </c>
      <c r="N41" s="11" t="n">
        <v>1</v>
      </c>
      <c r="R41" s="11" t="n">
        <v>0</v>
      </c>
      <c r="AB41" s="11" t="n">
        <v>0</v>
      </c>
      <c r="AC41" s="11" t="n">
        <v>1</v>
      </c>
      <c r="AD41" s="11" t="n">
        <v>0</v>
      </c>
    </row>
    <row r="42">
      <c r="A42" s="10" t="inlineStr">
        <is>
          <t>유형자산 취득(설비투자)</t>
        </is>
      </c>
      <c r="D42" s="11" t="n">
        <v>-0.2765</v>
      </c>
      <c r="F42" s="11" t="n">
        <v>-0.6508</v>
      </c>
      <c r="H42" s="11" t="n">
        <v>-0.1619</v>
      </c>
      <c r="J42" s="11" t="n">
        <v>-0.5528999999999999</v>
      </c>
      <c r="L42" s="11" t="n">
        <v>-0.2396</v>
      </c>
      <c r="N42" s="11" t="n">
        <v>-1.9921</v>
      </c>
      <c r="P42" s="11" t="n">
        <v>-5.4179</v>
      </c>
      <c r="R42" s="11" t="n">
        <v>-5.5183</v>
      </c>
      <c r="T42" s="11" t="n">
        <v>-1.7453</v>
      </c>
      <c r="V42" s="11" t="n">
        <v>-1.9632</v>
      </c>
      <c r="W42" s="11" t="n">
        <v>-0.1642</v>
      </c>
      <c r="X42" s="11" t="n">
        <v>-0.2281</v>
      </c>
      <c r="Y42" s="11" t="n">
        <v>-0.637</v>
      </c>
      <c r="Z42" s="11" t="n">
        <v>-0.7063</v>
      </c>
      <c r="AA42" s="11" t="n">
        <v>-0.6508</v>
      </c>
      <c r="AB42" s="11" t="n">
        <v>-0.5528999999999999</v>
      </c>
      <c r="AC42" s="11" t="n">
        <v>-1.9921</v>
      </c>
      <c r="AD42" s="11" t="n">
        <v>-5.5183</v>
      </c>
      <c r="AE42" s="11" t="n">
        <v>-1.9632</v>
      </c>
    </row>
    <row r="43">
      <c r="A43" s="10" t="inlineStr">
        <is>
          <t>무형자산 취득</t>
        </is>
      </c>
      <c r="D43" s="11" t="n">
        <v>-0.006</v>
      </c>
      <c r="F43" s="11" t="n">
        <v>-0.006</v>
      </c>
      <c r="H43" s="11" t="n">
        <v>0</v>
      </c>
      <c r="J43" s="11" t="n">
        <v>0</v>
      </c>
      <c r="P43" s="11" t="n">
        <v>0</v>
      </c>
      <c r="T43" s="11" t="n">
        <v>-0.4257</v>
      </c>
      <c r="W43" s="11" t="n">
        <v>-0.396</v>
      </c>
      <c r="X43" s="11" t="n">
        <v>-0.1708</v>
      </c>
      <c r="Y43" s="11" t="n">
        <v>-0.0419</v>
      </c>
      <c r="Z43" s="11" t="n">
        <v>0</v>
      </c>
      <c r="AA43" s="11" t="n">
        <v>-0.006</v>
      </c>
      <c r="AB43" s="11" t="n">
        <v>0</v>
      </c>
    </row>
    <row r="44">
      <c r="A44" s="10" t="inlineStr">
        <is>
          <t>투자유가증권 취득</t>
        </is>
      </c>
      <c r="W44" s="11" t="n">
        <v>-1.0075</v>
      </c>
      <c r="X44" s="11" t="n">
        <v>-1.2029</v>
      </c>
      <c r="Y44" s="11" t="n">
        <v>0</v>
      </c>
    </row>
    <row r="45">
      <c r="A45" s="10" t="inlineStr">
        <is>
          <t>임차보증금·보증금 납입</t>
        </is>
      </c>
      <c r="D45" s="11" t="n">
        <v>-0.0187</v>
      </c>
      <c r="F45" s="11" t="n">
        <v>-0.289</v>
      </c>
      <c r="H45" s="11" t="n">
        <v>-0.2688</v>
      </c>
      <c r="J45" s="11" t="n">
        <v>-0.5797</v>
      </c>
      <c r="L45" s="11" t="n">
        <v>-0.5085</v>
      </c>
      <c r="N45" s="11" t="n">
        <v>-0.518</v>
      </c>
      <c r="P45" s="11" t="n">
        <v>-0.1119</v>
      </c>
      <c r="R45" s="11" t="n">
        <v>-0.177</v>
      </c>
      <c r="T45" s="11" t="n">
        <v>-0.0121</v>
      </c>
      <c r="V45" s="11" t="n">
        <v>-0.0149</v>
      </c>
      <c r="W45" s="11" t="n">
        <v>-0.3806</v>
      </c>
      <c r="X45" s="11" t="n">
        <v>-0.2892</v>
      </c>
      <c r="Y45" s="11" t="n">
        <v>-0.556</v>
      </c>
      <c r="Z45" s="11" t="n">
        <v>-0.4017</v>
      </c>
      <c r="AA45" s="11" t="n">
        <v>-0.289</v>
      </c>
      <c r="AB45" s="11" t="n">
        <v>-0.5797</v>
      </c>
      <c r="AC45" s="11" t="n">
        <v>-0.518</v>
      </c>
      <c r="AD45" s="11" t="n">
        <v>-0.177</v>
      </c>
      <c r="AE45" s="11" t="n">
        <v>-0.0149</v>
      </c>
    </row>
    <row r="46">
      <c r="A46" s="10" t="inlineStr">
        <is>
          <t>단기대여금 순증감</t>
        </is>
      </c>
      <c r="W46" s="11" t="n">
        <v>-0.0115</v>
      </c>
      <c r="X46" s="11" t="n">
        <v>-0.15</v>
      </c>
      <c r="Y46" s="11" t="n">
        <v>0.15</v>
      </c>
      <c r="Z46" s="11" t="n">
        <v>0</v>
      </c>
    </row>
    <row r="47">
      <c r="A47" s="10" t="inlineStr">
        <is>
          <t>유형자산 매각</t>
        </is>
      </c>
      <c r="P47" s="11" t="n">
        <v>0</v>
      </c>
      <c r="R47" s="11" t="n">
        <v>0</v>
      </c>
      <c r="T47" s="11" t="n">
        <v>0.0078</v>
      </c>
      <c r="V47" s="11" t="n">
        <v>0.0078</v>
      </c>
      <c r="AD47" s="11" t="n">
        <v>0</v>
      </c>
      <c r="AE47" s="11" t="n">
        <v>0.0078</v>
      </c>
    </row>
    <row r="48">
      <c r="A48" s="10" t="inlineStr">
        <is>
          <t>임차보증금·보증금 회수</t>
        </is>
      </c>
      <c r="D48" s="11" t="n">
        <v>0.008399999999999999</v>
      </c>
      <c r="F48" s="11" t="n">
        <v>0.1543</v>
      </c>
      <c r="H48" s="11" t="n">
        <v>0.0124</v>
      </c>
      <c r="J48" s="11" t="n">
        <v>0.0308</v>
      </c>
      <c r="L48" s="11" t="n">
        <v>0.009299999999999999</v>
      </c>
      <c r="N48" s="11" t="n">
        <v>0.0164</v>
      </c>
      <c r="P48" s="11" t="n">
        <v>0.0077</v>
      </c>
      <c r="R48" s="11" t="n">
        <v>0.014</v>
      </c>
      <c r="T48" s="11" t="n">
        <v>0.008999999999999999</v>
      </c>
      <c r="V48" s="11" t="n">
        <v>0.1035</v>
      </c>
      <c r="Z48" s="11" t="n">
        <v>0</v>
      </c>
      <c r="AA48" s="11" t="n">
        <v>0.1543</v>
      </c>
      <c r="AB48" s="11" t="n">
        <v>0.0308</v>
      </c>
      <c r="AC48" s="11" t="n">
        <v>0.0164</v>
      </c>
      <c r="AD48" s="11" t="n">
        <v>0.014</v>
      </c>
      <c r="AE48" s="11" t="n">
        <v>0.1035</v>
      </c>
    </row>
    <row r="49">
      <c r="A49" s="10" t="inlineStr">
        <is>
          <t>장기선급비용 지출</t>
        </is>
      </c>
      <c r="R49" s="11" t="n">
        <v>0</v>
      </c>
      <c r="V49" s="11" t="n">
        <v>-0.748</v>
      </c>
      <c r="AD49" s="11" t="n">
        <v>0</v>
      </c>
      <c r="AE49" s="11" t="n">
        <v>-0.748</v>
      </c>
    </row>
    <row r="50">
      <c r="A50" s="10" t="inlineStr">
        <is>
          <t>투자유가증권 매각</t>
        </is>
      </c>
      <c r="R50" s="11" t="n">
        <v>0</v>
      </c>
      <c r="V50" s="11" t="n">
        <v>0.32</v>
      </c>
      <c r="AD50" s="11" t="n">
        <v>0</v>
      </c>
      <c r="AE50" s="11" t="n">
        <v>0.32</v>
      </c>
    </row>
    <row r="51">
      <c r="A51" s="10" t="inlineStr">
        <is>
          <t>보험적립금 적립</t>
        </is>
      </c>
      <c r="D51" s="11" t="n">
        <v>-0.8265</v>
      </c>
      <c r="F51" s="11" t="n">
        <v>-0.836</v>
      </c>
      <c r="H51" s="11" t="n">
        <v>-0.8265</v>
      </c>
      <c r="J51" s="11" t="n">
        <v>-0.836</v>
      </c>
      <c r="L51" s="11" t="n">
        <v>-0.8265</v>
      </c>
      <c r="N51" s="11" t="n">
        <v>-0.8375</v>
      </c>
      <c r="P51" s="11" t="n">
        <v>-0.8016</v>
      </c>
      <c r="R51" s="11" t="n">
        <v>-0.8141</v>
      </c>
      <c r="T51" s="11" t="n">
        <v>-0.8295</v>
      </c>
      <c r="V51" s="11" t="n">
        <v>-0.7964</v>
      </c>
      <c r="W51" s="11" t="n">
        <v>-0.019</v>
      </c>
      <c r="X51" s="11" t="n">
        <v>-0.5454</v>
      </c>
      <c r="Y51" s="11" t="n">
        <v>-0.5454</v>
      </c>
      <c r="Z51" s="11" t="n">
        <v>-0.836</v>
      </c>
      <c r="AA51" s="11" t="n">
        <v>-0.836</v>
      </c>
      <c r="AB51" s="11" t="n">
        <v>-0.836</v>
      </c>
      <c r="AC51" s="11" t="n">
        <v>-0.8375</v>
      </c>
      <c r="AD51" s="11" t="n">
        <v>-0.8141</v>
      </c>
      <c r="AE51" s="11" t="n">
        <v>-0.7964</v>
      </c>
    </row>
    <row r="52">
      <c r="A52" s="10" t="inlineStr">
        <is>
          <t>기타 수입</t>
        </is>
      </c>
      <c r="F52" s="11" t="n">
        <v>0</v>
      </c>
      <c r="W52" s="11" t="n">
        <v>0.0668</v>
      </c>
      <c r="X52" s="11" t="n">
        <v>0.0477</v>
      </c>
      <c r="Y52" s="11" t="n">
        <v>0.0003</v>
      </c>
      <c r="Z52" s="11" t="n">
        <v>0.0987</v>
      </c>
      <c r="AA52" s="11" t="n">
        <v>0</v>
      </c>
    </row>
    <row r="53">
      <c r="A53" s="10" t="inlineStr">
        <is>
          <t>연결범위 변경 자회사 주식 취득</t>
        </is>
      </c>
      <c r="J53" s="11" t="n">
        <v>0</v>
      </c>
      <c r="N53" s="11" t="n">
        <v>-0.7098</v>
      </c>
      <c r="R53" s="11" t="n">
        <v>0</v>
      </c>
      <c r="W53" s="11" t="n">
        <v>-0.2721</v>
      </c>
      <c r="X53" s="11" t="n">
        <v>0</v>
      </c>
      <c r="AB53" s="11" t="n">
        <v>0</v>
      </c>
      <c r="AC53" s="11" t="n">
        <v>-0.7098</v>
      </c>
      <c r="AD53" s="11" t="n">
        <v>0</v>
      </c>
    </row>
    <row r="54">
      <c r="A54" s="10" t="inlineStr">
        <is>
          <t>기타</t>
        </is>
      </c>
      <c r="R54" s="11" t="n">
        <v>0</v>
      </c>
      <c r="V54" s="11" t="n">
        <v>0.0974</v>
      </c>
      <c r="AD54" s="11" t="n">
        <v>0</v>
      </c>
      <c r="AE54" s="11" t="n">
        <v>0.0974</v>
      </c>
    </row>
    <row r="55">
      <c r="A55" s="10" t="inlineStr">
        <is>
          <t>투자활동 현금흐름</t>
        </is>
      </c>
      <c r="D55" s="11" t="n">
        <v>-1.1314</v>
      </c>
      <c r="F55" s="11" t="n">
        <v>-1.7695</v>
      </c>
      <c r="H55" s="11" t="n">
        <v>-1.2568</v>
      </c>
      <c r="J55" s="11" t="n">
        <v>-1.9568</v>
      </c>
      <c r="L55" s="11" t="n">
        <v>-1.5594</v>
      </c>
      <c r="N55" s="11" t="n">
        <v>-4.041</v>
      </c>
      <c r="P55" s="11" t="n">
        <v>-6.3298</v>
      </c>
      <c r="R55" s="11" t="n">
        <v>-6.5075</v>
      </c>
      <c r="T55" s="11" t="n">
        <v>-3.0022</v>
      </c>
      <c r="V55" s="11" t="n">
        <v>-2.0068</v>
      </c>
      <c r="W55" s="11" t="n">
        <v>-2.2072</v>
      </c>
      <c r="X55" s="11" t="n">
        <v>-2.5597</v>
      </c>
      <c r="Y55" s="11" t="n">
        <v>-1.6045</v>
      </c>
      <c r="Z55" s="11" t="n">
        <v>-1.8633</v>
      </c>
      <c r="AA55" s="11" t="n">
        <v>-1.7695</v>
      </c>
      <c r="AB55" s="11" t="n">
        <v>-1.9568</v>
      </c>
      <c r="AC55" s="11" t="n">
        <v>-4.041</v>
      </c>
      <c r="AD55" s="11" t="n">
        <v>-6.5075</v>
      </c>
      <c r="AE55" s="11" t="n">
        <v>-2.0068</v>
      </c>
    </row>
    <row r="56">
      <c r="A56" s="10" t="inlineStr">
        <is>
          <t>장기차입</t>
        </is>
      </c>
      <c r="F56" s="11" t="n">
        <v>0</v>
      </c>
      <c r="J56" s="11" t="n">
        <v>1</v>
      </c>
      <c r="N56" s="11" t="n">
        <v>0</v>
      </c>
      <c r="W56" s="11" t="n">
        <v>2</v>
      </c>
      <c r="X56" s="11" t="n">
        <v>2.5</v>
      </c>
      <c r="Y56" s="11" t="n">
        <v>9</v>
      </c>
      <c r="Z56" s="11" t="n">
        <v>0</v>
      </c>
      <c r="AA56" s="11" t="n">
        <v>0</v>
      </c>
      <c r="AB56" s="11" t="n">
        <v>1</v>
      </c>
      <c r="AC56" s="11" t="n">
        <v>0</v>
      </c>
    </row>
    <row r="57">
      <c r="A57" s="10" t="inlineStr">
        <is>
          <t>장기차입금 상환</t>
        </is>
      </c>
      <c r="D57" s="11" t="n">
        <v>-0.3333</v>
      </c>
      <c r="F57" s="11" t="n">
        <v>-2.5557</v>
      </c>
      <c r="H57" s="11" t="n">
        <v>0</v>
      </c>
      <c r="J57" s="11" t="n">
        <v>-6.0555</v>
      </c>
      <c r="L57" s="11" t="n">
        <v>-0.1666</v>
      </c>
      <c r="N57" s="11" t="n">
        <v>-1.8382</v>
      </c>
      <c r="P57" s="11" t="n">
        <v>-0.4044</v>
      </c>
      <c r="R57" s="11" t="n">
        <v>-0.571</v>
      </c>
      <c r="T57" s="11" t="n">
        <v>-0.1666</v>
      </c>
      <c r="V57" s="11" t="n">
        <v>-0.278</v>
      </c>
      <c r="W57" s="11" t="n">
        <v>-0.7524999999999999</v>
      </c>
      <c r="X57" s="11" t="n">
        <v>-1.522</v>
      </c>
      <c r="Y57" s="11" t="n">
        <v>-1.3621</v>
      </c>
      <c r="Z57" s="11" t="n">
        <v>-1.0666</v>
      </c>
      <c r="AA57" s="11" t="n">
        <v>-2.5557</v>
      </c>
      <c r="AB57" s="11" t="n">
        <v>-6.0555</v>
      </c>
      <c r="AC57" s="11" t="n">
        <v>-1.8382</v>
      </c>
      <c r="AD57" s="11" t="n">
        <v>-0.571</v>
      </c>
      <c r="AE57" s="11" t="n">
        <v>-0.278</v>
      </c>
    </row>
    <row r="58">
      <c r="A58" s="10" t="inlineStr">
        <is>
          <t>리스부채 상환</t>
        </is>
      </c>
      <c r="D58" s="11" t="n">
        <v>-0.0042</v>
      </c>
      <c r="F58" s="11" t="n">
        <v>-0.0078</v>
      </c>
      <c r="H58" s="11" t="n">
        <v>-0.0035</v>
      </c>
      <c r="J58" s="11" t="n">
        <v>-0.0071</v>
      </c>
      <c r="L58" s="11" t="n">
        <v>-0.0035</v>
      </c>
      <c r="N58" s="11" t="n">
        <v>-0.0071</v>
      </c>
      <c r="P58" s="11" t="n">
        <v>-0.0035</v>
      </c>
      <c r="R58" s="11" t="n">
        <v>-0.0071</v>
      </c>
      <c r="T58" s="11" t="n">
        <v>-0.0121</v>
      </c>
      <c r="V58" s="11" t="n">
        <v>-0.023</v>
      </c>
      <c r="W58" s="11" t="n">
        <v>-0.0117</v>
      </c>
      <c r="X58" s="11" t="n">
        <v>-0.0467</v>
      </c>
      <c r="Y58" s="11" t="n">
        <v>-0.0024</v>
      </c>
      <c r="Z58" s="11" t="n">
        <v>-0.0045</v>
      </c>
      <c r="AA58" s="11" t="n">
        <v>-0.0078</v>
      </c>
      <c r="AB58" s="11" t="n">
        <v>-0.0071</v>
      </c>
      <c r="AC58" s="11" t="n">
        <v>-0.0071</v>
      </c>
      <c r="AD58" s="11" t="n">
        <v>-0.0071</v>
      </c>
      <c r="AE58" s="11" t="n">
        <v>-0.023</v>
      </c>
    </row>
    <row r="59">
      <c r="A59" s="10" t="inlineStr">
        <is>
          <t>주식 발행</t>
        </is>
      </c>
      <c r="W59" s="11" t="n">
        <v>0.0279</v>
      </c>
      <c r="X59" s="11" t="n">
        <v>0.0036</v>
      </c>
      <c r="Y59" s="11" t="n">
        <v>0</v>
      </c>
    </row>
    <row r="60">
      <c r="A60" s="10" t="inlineStr">
        <is>
          <t>자기주식 취득</t>
        </is>
      </c>
      <c r="D60" s="11" t="n">
        <v>0</v>
      </c>
      <c r="F60" s="11" t="n">
        <v>0</v>
      </c>
      <c r="H60" s="11" t="n">
        <v>0</v>
      </c>
      <c r="J60" s="11" t="n">
        <v>0</v>
      </c>
      <c r="L60" s="11" t="n">
        <v>-2.6699</v>
      </c>
      <c r="N60" s="11" t="n">
        <v>-6.0114</v>
      </c>
      <c r="P60" s="11" t="n">
        <v>-0.8847</v>
      </c>
      <c r="R60" s="11" t="n">
        <v>-4.0149</v>
      </c>
      <c r="T60" s="11" t="n">
        <v>-0.5096000000000001</v>
      </c>
      <c r="V60" s="11" t="n">
        <v>-4.5013</v>
      </c>
      <c r="W60" s="11" t="n">
        <v>-0.0003</v>
      </c>
      <c r="X60" s="11" t="n">
        <v>0</v>
      </c>
      <c r="Y60" s="11" t="n">
        <v>-0.0003</v>
      </c>
      <c r="Z60" s="11" t="n">
        <v>-0.0014</v>
      </c>
      <c r="AA60" s="11" t="n">
        <v>0</v>
      </c>
      <c r="AB60" s="11" t="n">
        <v>0</v>
      </c>
      <c r="AC60" s="11" t="n">
        <v>-6.0114</v>
      </c>
      <c r="AD60" s="11" t="n">
        <v>-4.0149</v>
      </c>
      <c r="AE60" s="11" t="n">
        <v>-4.5013</v>
      </c>
    </row>
    <row r="61">
      <c r="A61" s="10" t="inlineStr">
        <is>
          <t>기타 지출</t>
        </is>
      </c>
      <c r="W61" s="11" t="n">
        <v>0</v>
      </c>
      <c r="X61" s="11" t="n">
        <v>-0.0015</v>
      </c>
      <c r="Y61" s="11" t="n">
        <v>0</v>
      </c>
    </row>
    <row r="62">
      <c r="A62" s="10" t="inlineStr">
        <is>
          <t>배당금 지급</t>
        </is>
      </c>
      <c r="D62" s="11" t="n">
        <v>-0.7771</v>
      </c>
      <c r="F62" s="11" t="n">
        <v>-0.7773</v>
      </c>
      <c r="H62" s="11" t="n">
        <v>-1.1953</v>
      </c>
      <c r="J62" s="11" t="n">
        <v>-1.1957</v>
      </c>
      <c r="L62" s="11" t="n">
        <v>-1.4164</v>
      </c>
      <c r="N62" s="11" t="n">
        <v>-1.451</v>
      </c>
      <c r="P62" s="11" t="n">
        <v>-1.7563</v>
      </c>
      <c r="R62" s="11" t="n">
        <v>-1.7568</v>
      </c>
      <c r="T62" s="11" t="n">
        <v>-1.7631</v>
      </c>
      <c r="V62" s="11" t="n">
        <v>-1.7632</v>
      </c>
      <c r="W62" s="11" t="n">
        <v>-0.3428</v>
      </c>
      <c r="X62" s="11" t="n">
        <v>-0.3701</v>
      </c>
      <c r="Y62" s="11" t="n">
        <v>-0.4141</v>
      </c>
      <c r="Z62" s="11" t="n">
        <v>-0.5965</v>
      </c>
      <c r="AA62" s="11" t="n">
        <v>-0.7773</v>
      </c>
      <c r="AB62" s="11" t="n">
        <v>-1.1957</v>
      </c>
      <c r="AC62" s="11" t="n">
        <v>-1.451</v>
      </c>
      <c r="AD62" s="11" t="n">
        <v>-1.7568</v>
      </c>
      <c r="AE62" s="11" t="n">
        <v>-1.7632</v>
      </c>
    </row>
    <row r="63">
      <c r="A63" s="10" t="inlineStr">
        <is>
          <t>신주예약권 발행</t>
        </is>
      </c>
      <c r="F63" s="11" t="n">
        <v>0.0091</v>
      </c>
      <c r="H63" s="11" t="n">
        <v>0</v>
      </c>
      <c r="J63" s="11" t="n">
        <v>0</v>
      </c>
      <c r="L63" s="11" t="n">
        <v>0.0195</v>
      </c>
      <c r="N63" s="11" t="n">
        <v>0.0195</v>
      </c>
      <c r="P63" s="11" t="n">
        <v>0</v>
      </c>
      <c r="R63" s="11" t="n">
        <v>0</v>
      </c>
      <c r="W63" s="11" t="n">
        <v>0.0142</v>
      </c>
      <c r="X63" s="11" t="n">
        <v>0.0067</v>
      </c>
      <c r="Y63" s="11" t="n">
        <v>0.0245</v>
      </c>
      <c r="Z63" s="11" t="n">
        <v>0</v>
      </c>
      <c r="AA63" s="11" t="n">
        <v>0.0091</v>
      </c>
      <c r="AB63" s="11" t="n">
        <v>0</v>
      </c>
      <c r="AC63" s="11" t="n">
        <v>0.0195</v>
      </c>
      <c r="AD63" s="11" t="n">
        <v>0</v>
      </c>
    </row>
    <row r="64">
      <c r="A64" s="10" t="inlineStr">
        <is>
          <t>신주예약권 행사에 따른 주식 발행</t>
        </is>
      </c>
      <c r="D64" s="11" t="n">
        <v>0.0227</v>
      </c>
      <c r="F64" s="11" t="n">
        <v>0.0429</v>
      </c>
      <c r="H64" s="11" t="n">
        <v>0.0155</v>
      </c>
      <c r="J64" s="11" t="n">
        <v>0.0155</v>
      </c>
      <c r="L64" s="11" t="n">
        <v>0.0407</v>
      </c>
      <c r="N64" s="11" t="n">
        <v>0.0702</v>
      </c>
      <c r="P64" s="11" t="n">
        <v>0.006</v>
      </c>
      <c r="R64" s="11" t="n">
        <v>0.0187</v>
      </c>
      <c r="T64" s="11" t="n">
        <v>0.1914</v>
      </c>
      <c r="V64" s="11" t="n">
        <v>0.1969</v>
      </c>
      <c r="Y64" s="11" t="n">
        <v>0</v>
      </c>
      <c r="Z64" s="11" t="n">
        <v>0.1222</v>
      </c>
      <c r="AA64" s="11" t="n">
        <v>0.0429</v>
      </c>
      <c r="AB64" s="11" t="n">
        <v>0.0155</v>
      </c>
      <c r="AC64" s="11" t="n">
        <v>0.0702</v>
      </c>
      <c r="AD64" s="11" t="n">
        <v>0.0187</v>
      </c>
      <c r="AE64" s="11" t="n">
        <v>0.1969</v>
      </c>
    </row>
    <row r="65">
      <c r="A65" s="10" t="inlineStr">
        <is>
          <t>기타</t>
        </is>
      </c>
      <c r="D65" s="11" t="n">
        <v>0</v>
      </c>
      <c r="F65" s="11" t="n">
        <v>0</v>
      </c>
      <c r="H65" s="11" t="n">
        <v>-0.0077</v>
      </c>
      <c r="J65" s="11" t="n">
        <v>-0.0153</v>
      </c>
      <c r="L65" s="11" t="n">
        <v>-0.0077</v>
      </c>
      <c r="N65" s="11" t="n">
        <v>-0.0153</v>
      </c>
      <c r="P65" s="11" t="n">
        <v>-0.0077</v>
      </c>
      <c r="R65" s="11" t="n">
        <v>-0.0153</v>
      </c>
      <c r="T65" s="11" t="n">
        <v>-0.0077</v>
      </c>
      <c r="V65" s="11" t="n">
        <v>-0.0323</v>
      </c>
      <c r="AA65" s="11" t="n">
        <v>0</v>
      </c>
      <c r="AB65" s="11" t="n">
        <v>-0.0153</v>
      </c>
      <c r="AC65" s="11" t="n">
        <v>-0.0153</v>
      </c>
      <c r="AD65" s="11" t="n">
        <v>-0.0153</v>
      </c>
      <c r="AE65" s="11" t="n">
        <v>-0.0323</v>
      </c>
    </row>
    <row r="66">
      <c r="A66" s="10" t="inlineStr">
        <is>
          <t>재무활동 현금흐름</t>
        </is>
      </c>
      <c r="D66" s="11" t="n">
        <v>-1.0919</v>
      </c>
      <c r="F66" s="11" t="n">
        <v>-3.2888</v>
      </c>
      <c r="H66" s="11" t="n">
        <v>-1.191</v>
      </c>
      <c r="J66" s="11" t="n">
        <v>-6.2581</v>
      </c>
      <c r="L66" s="11" t="n">
        <v>-4.204</v>
      </c>
      <c r="N66" s="11" t="n">
        <v>-9.2334</v>
      </c>
      <c r="P66" s="11" t="n">
        <v>-3.0507</v>
      </c>
      <c r="R66" s="11" t="n">
        <v>-6.3465</v>
      </c>
      <c r="T66" s="11" t="n">
        <v>-2.2677</v>
      </c>
      <c r="V66" s="11" t="n">
        <v>-6.4009</v>
      </c>
      <c r="W66" s="11" t="n">
        <v>0.9349</v>
      </c>
      <c r="X66" s="11" t="n">
        <v>0.57</v>
      </c>
      <c r="Y66" s="11" t="n">
        <v>7.2456</v>
      </c>
      <c r="Z66" s="11" t="n">
        <v>-1.5467</v>
      </c>
      <c r="AA66" s="11" t="n">
        <v>-3.2888</v>
      </c>
      <c r="AB66" s="11" t="n">
        <v>-6.2581</v>
      </c>
      <c r="AC66" s="11" t="n">
        <v>-9.2334</v>
      </c>
      <c r="AD66" s="11" t="n">
        <v>-6.3465</v>
      </c>
      <c r="AE66" s="11" t="n">
        <v>-6.4009</v>
      </c>
    </row>
    <row r="67">
      <c r="A67" s="10" t="inlineStr">
        <is>
          <t>현금성자산 환산차이</t>
        </is>
      </c>
      <c r="D67" s="11" t="n">
        <v>0</v>
      </c>
      <c r="F67" s="11" t="n">
        <v>0</v>
      </c>
      <c r="W67" s="11" t="n">
        <v>0</v>
      </c>
      <c r="X67" s="11" t="n">
        <v>-0</v>
      </c>
      <c r="Y67" s="11" t="n">
        <v>0</v>
      </c>
      <c r="Z67" s="11" t="n">
        <v>0</v>
      </c>
      <c r="AA67" s="11" t="n">
        <v>0</v>
      </c>
    </row>
    <row r="68">
      <c r="A68" s="10" t="inlineStr">
        <is>
          <t>현금성자산 증감</t>
        </is>
      </c>
      <c r="D68" s="11" t="n">
        <v>-1.1506</v>
      </c>
      <c r="F68" s="11" t="n">
        <v>1.9865</v>
      </c>
      <c r="H68" s="11" t="n">
        <v>6.3823</v>
      </c>
      <c r="J68" s="11" t="n">
        <v>12.0626</v>
      </c>
      <c r="L68" s="11" t="n">
        <v>-3.177</v>
      </c>
      <c r="N68" s="11" t="n">
        <v>0.2967</v>
      </c>
      <c r="P68" s="11" t="n">
        <v>-2.3268</v>
      </c>
      <c r="R68" s="11" t="n">
        <v>7.6804</v>
      </c>
      <c r="T68" s="11" t="n">
        <v>-0.2618</v>
      </c>
      <c r="V68" s="11" t="n">
        <v>9.6762</v>
      </c>
      <c r="W68" s="11" t="n">
        <v>4.3486</v>
      </c>
      <c r="X68" s="11" t="n">
        <v>4.5609</v>
      </c>
      <c r="Y68" s="11" t="n">
        <v>15.5964</v>
      </c>
      <c r="Z68" s="11" t="n">
        <v>11.2685</v>
      </c>
      <c r="AA68" s="11" t="n">
        <v>1.9865</v>
      </c>
      <c r="AB68" s="11" t="n">
        <v>12.0626</v>
      </c>
      <c r="AC68" s="11" t="n">
        <v>0.2967</v>
      </c>
      <c r="AD68" s="11" t="n">
        <v>7.6804</v>
      </c>
      <c r="AE68" s="11" t="n">
        <v>9.6762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5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세라크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DigitalintegrationReportableSegmentMember · 외부 고객 매출</t>
        </is>
      </c>
      <c r="AB4" s="11" t="n">
        <v>199.2043</v>
      </c>
      <c r="AC4" s="11" t="n">
        <v>213.4283</v>
      </c>
      <c r="AD4" s="11" t="n">
        <v>238.8102</v>
      </c>
      <c r="AE4" s="11" t="n">
        <v>246.2063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MidoriCloudReportableSegmentMember · 외부 고객 매출</t>
        </is>
      </c>
      <c r="AB5" s="11" t="n">
        <v>3.7172</v>
      </c>
      <c r="AC5" s="11" t="n">
        <v>2.3824</v>
      </c>
      <c r="AD5" s="11" t="n">
        <v>2.3506</v>
      </c>
      <c r="AE5" s="11" t="n">
        <v>2.393</v>
      </c>
    </row>
    <row r="6">
      <c r="A6" s="10" t="inlineStr">
        <is>
          <t>MechanicalDesignEngineeringReportableSegmentMember · 외부 고객 매출</t>
        </is>
      </c>
      <c r="AB6" s="11" t="n">
        <v>5.6671</v>
      </c>
      <c r="AC6" s="11" t="n">
        <v>6.4053</v>
      </c>
      <c r="AD6" s="11" t="n">
        <v>6.6042</v>
      </c>
      <c r="AE6" s="11" t="n">
        <v>6.5771</v>
      </c>
    </row>
    <row r="7">
      <c r="A7" s="10" t="inlineStr">
        <is>
          <t>ReportableSegmentsMember · 외부 고객 매출</t>
        </is>
      </c>
      <c r="K7" s="11" t="n">
        <v>53.6424</v>
      </c>
      <c r="L7" s="11" t="n">
        <v>54.612</v>
      </c>
      <c r="M7" s="11" t="n">
        <v>56.2485</v>
      </c>
      <c r="N7" s="11" t="n">
        <v>57.7131</v>
      </c>
      <c r="O7" s="11" t="n">
        <v>62.0016</v>
      </c>
      <c r="P7" s="11" t="n">
        <v>60.9534</v>
      </c>
      <c r="Q7" s="11" t="n">
        <v>62.5001</v>
      </c>
      <c r="R7" s="11" t="n">
        <v>62.3098</v>
      </c>
      <c r="S7" s="11" t="n">
        <v>62.5294</v>
      </c>
      <c r="T7" s="11" t="n">
        <v>62.3686</v>
      </c>
      <c r="U7" s="11" t="n">
        <v>64.20959999999999</v>
      </c>
      <c r="V7" s="11" t="n">
        <v>66.0688</v>
      </c>
      <c r="AB7" s="11" t="n">
        <v>208.5886</v>
      </c>
      <c r="AC7" s="11" t="n">
        <v>222.2159</v>
      </c>
      <c r="AD7" s="11" t="n">
        <v>247.7649</v>
      </c>
      <c r="AE7" s="11" t="n">
        <v>255.1764</v>
      </c>
    </row>
    <row r="8">
      <c r="A8" s="10" t="inlineStr">
        <is>
          <t>ReconcilingItemsMember · 외부 고객 매출</t>
        </is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  <c r="V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</row>
    <row r="9">
      <c r="A9" s="5" t="inlineStr">
        <is>
          <t>외부 고객 매출</t>
        </is>
      </c>
      <c r="K9" s="6" t="n">
        <v>53.6424</v>
      </c>
      <c r="L9" s="6" t="n">
        <v>54.612</v>
      </c>
      <c r="M9" s="6" t="n">
        <v>56.2485</v>
      </c>
      <c r="N9" s="6" t="n">
        <v>57.7131</v>
      </c>
      <c r="O9" s="6" t="n">
        <v>62.0016</v>
      </c>
      <c r="P9" s="6" t="n">
        <v>60.9534</v>
      </c>
      <c r="Q9" s="6" t="n">
        <v>62.5001</v>
      </c>
      <c r="R9" s="6" t="n">
        <v>62.3098</v>
      </c>
      <c r="S9" s="6" t="n">
        <v>62.5294</v>
      </c>
      <c r="T9" s="6" t="n">
        <v>62.3686</v>
      </c>
      <c r="U9" s="6" t="n">
        <v>64.20959999999999</v>
      </c>
      <c r="V9" s="6" t="n">
        <v>66.0688</v>
      </c>
      <c r="AB9" s="6" t="n">
        <v>208.5886</v>
      </c>
      <c r="AC9" s="6" t="n">
        <v>222.2159</v>
      </c>
      <c r="AD9" s="6" t="n">
        <v>247.7649</v>
      </c>
      <c r="AE9" s="6" t="n">
        <v>255.1764</v>
      </c>
    </row>
    <row r="10">
      <c r="A10" s="10" t="inlineStr">
        <is>
          <t>DigitalintegrationReportableSegmentMember · 부문 간 내부매출·대체</t>
        </is>
      </c>
      <c r="K10" s="11" t="n">
        <v>0</v>
      </c>
      <c r="O10" s="11" t="n">
        <v>0.0014</v>
      </c>
      <c r="S10" s="11" t="n">
        <v>0</v>
      </c>
    </row>
    <row r="11">
      <c r="A11" s="10" t="inlineStr">
        <is>
          <t>MidoriCloudReportableSegmentMember · 부문 간 내부매출·대체</t>
        </is>
      </c>
      <c r="K11" s="11" t="n">
        <v>0</v>
      </c>
      <c r="O11" s="11" t="n">
        <v>0</v>
      </c>
      <c r="S11" s="11" t="n">
        <v>0</v>
      </c>
    </row>
    <row r="12">
      <c r="A12" s="10" t="inlineStr">
        <is>
          <t>MechanicalDesignEngineeringReportableSegmentMember · 부문 간 내부매출·대체</t>
        </is>
      </c>
      <c r="K12" s="11" t="n">
        <v>0.19</v>
      </c>
      <c r="O12" s="11" t="n">
        <v>0.2914</v>
      </c>
      <c r="S12" s="11" t="n">
        <v>0.3769</v>
      </c>
    </row>
    <row r="13">
      <c r="A13" s="10" t="inlineStr">
        <is>
          <t>DigitalintegrationReportableSegmentMember · 부문 간 내부매출·대체</t>
        </is>
      </c>
      <c r="AB13" s="11" t="n">
        <v>0</v>
      </c>
      <c r="AC13" s="11" t="n">
        <v>0</v>
      </c>
      <c r="AD13" s="11" t="n">
        <v>0</v>
      </c>
      <c r="AE13" s="11" t="n">
        <v>0.006</v>
      </c>
    </row>
    <row r="14">
      <c r="A14" s="10" t="inlineStr">
        <is>
          <t>MidoriCloudReportableSegmentMember · 부문 간 내부매출·대체</t>
        </is>
      </c>
      <c r="AB14" s="11" t="n">
        <v>0</v>
      </c>
      <c r="AC14" s="11" t="n">
        <v>0</v>
      </c>
      <c r="AD14" s="11" t="n">
        <v>0</v>
      </c>
      <c r="AE14" s="11" t="n">
        <v>0</v>
      </c>
    </row>
    <row r="15">
      <c r="A15" s="10" t="inlineStr">
        <is>
          <t>MechanicalDesignEngineeringReportableSegmentMember · 부문 간 내부매출·대체</t>
        </is>
      </c>
      <c r="AB15" s="11" t="n">
        <v>0.5699</v>
      </c>
      <c r="AC15" s="11" t="n">
        <v>1.0451</v>
      </c>
      <c r="AD15" s="11" t="n">
        <v>1.2577</v>
      </c>
      <c r="AE15" s="11" t="n">
        <v>1.4219</v>
      </c>
    </row>
    <row r="16">
      <c r="A16" s="10" t="inlineStr">
        <is>
          <t>ReportableSegmentsMember · 부문 간 내부매출·대체</t>
        </is>
      </c>
      <c r="K16" s="11" t="n">
        <v>0.19</v>
      </c>
      <c r="L16" s="11" t="n">
        <v>0.2931</v>
      </c>
      <c r="M16" s="11" t="n">
        <v>0.2923</v>
      </c>
      <c r="N16" s="11" t="n">
        <v>0.2696</v>
      </c>
      <c r="O16" s="11" t="n">
        <v>0.2929</v>
      </c>
      <c r="P16" s="11" t="n">
        <v>0.2978</v>
      </c>
      <c r="Q16" s="11" t="n">
        <v>0.331</v>
      </c>
      <c r="R16" s="11" t="n">
        <v>0.3361</v>
      </c>
      <c r="S16" s="11" t="n">
        <v>0.3769</v>
      </c>
      <c r="T16" s="11" t="n">
        <v>0.3709</v>
      </c>
      <c r="U16" s="11" t="n">
        <v>0.3491</v>
      </c>
      <c r="V16" s="11" t="n">
        <v>0.3309</v>
      </c>
      <c r="AB16" s="11" t="n">
        <v>0.5699</v>
      </c>
      <c r="AC16" s="11" t="n">
        <v>1.0451</v>
      </c>
      <c r="AD16" s="11" t="n">
        <v>1.2577</v>
      </c>
      <c r="AE16" s="11" t="n">
        <v>1.4279</v>
      </c>
    </row>
    <row r="17">
      <c r="A17" s="10" t="inlineStr">
        <is>
          <t>ReconcilingItemsMember · 부문 간 내부매출·대체</t>
        </is>
      </c>
      <c r="K17" s="11" t="n">
        <v>-0.19</v>
      </c>
      <c r="L17" s="11" t="n">
        <v>-0.2931</v>
      </c>
      <c r="M17" s="11" t="n">
        <v>-0.2923</v>
      </c>
      <c r="N17" s="11" t="n">
        <v>-0.2696</v>
      </c>
      <c r="O17" s="11" t="n">
        <v>-0.2929</v>
      </c>
      <c r="P17" s="11" t="n">
        <v>-0.2978</v>
      </c>
      <c r="Q17" s="11" t="n">
        <v>-0.331</v>
      </c>
      <c r="R17" s="11" t="n">
        <v>-0.3361</v>
      </c>
      <c r="S17" s="11" t="n">
        <v>-0.3769</v>
      </c>
      <c r="T17" s="11" t="n">
        <v>-0.3709</v>
      </c>
      <c r="U17" s="11" t="n">
        <v>-0.3491</v>
      </c>
      <c r="V17" s="11" t="n">
        <v>-0.3309</v>
      </c>
      <c r="AB17" s="11" t="n">
        <v>-0.5699</v>
      </c>
      <c r="AC17" s="11" t="n">
        <v>-1.0451</v>
      </c>
      <c r="AD17" s="11" t="n">
        <v>-1.2577</v>
      </c>
      <c r="AE17" s="11" t="n">
        <v>-1.4279</v>
      </c>
    </row>
    <row r="18">
      <c r="A18" s="10" t="inlineStr">
        <is>
          <t>부문 간 내부매출·대체</t>
        </is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AB18" s="11" t="n">
        <v>0</v>
      </c>
      <c r="AC18" s="11" t="n">
        <v>0</v>
      </c>
      <c r="AD18" s="11" t="n">
        <v>0</v>
      </c>
      <c r="AE18" s="11" t="n">
        <v>0</v>
      </c>
    </row>
    <row r="19">
      <c r="A19" s="10" t="inlineStr">
        <is>
          <t>DigitalintegrationReportableSegmentMember · 계</t>
        </is>
      </c>
      <c r="K19" s="11" t="n">
        <v>51.4116</v>
      </c>
      <c r="O19" s="11" t="n">
        <v>59.846</v>
      </c>
      <c r="S19" s="11" t="n">
        <v>60.3452</v>
      </c>
    </row>
    <row r="20">
      <c r="A20" s="10" t="inlineStr">
        <is>
          <t>MidoriCloudReportableSegmentMember · 계</t>
        </is>
      </c>
      <c r="K20" s="11" t="n">
        <v>0.7171999999999999</v>
      </c>
      <c r="O20" s="11" t="n">
        <v>0.5671</v>
      </c>
      <c r="S20" s="11" t="n">
        <v>0.5037</v>
      </c>
    </row>
    <row r="21">
      <c r="A21" s="10" t="inlineStr">
        <is>
          <t>MechanicalDesignEngineeringReportableSegmentMember · 계</t>
        </is>
      </c>
      <c r="K21" s="11" t="n">
        <v>1.7037</v>
      </c>
      <c r="O21" s="11" t="n">
        <v>1.8814</v>
      </c>
      <c r="S21" s="11" t="n">
        <v>2.0573</v>
      </c>
    </row>
    <row r="22">
      <c r="A22" s="10" t="inlineStr">
        <is>
          <t>DigitalintegrationReportableSegmentMember · 계</t>
        </is>
      </c>
      <c r="AB22" s="11" t="n">
        <v>199.2043</v>
      </c>
      <c r="AC22" s="11" t="n">
        <v>213.4283</v>
      </c>
      <c r="AD22" s="11" t="n">
        <v>238.8102</v>
      </c>
      <c r="AE22" s="11" t="n">
        <v>246.2124</v>
      </c>
    </row>
    <row r="23">
      <c r="A23" s="10" t="inlineStr">
        <is>
          <t>MidoriCloudReportableSegmentMember · 계</t>
        </is>
      </c>
      <c r="AB23" s="11" t="n">
        <v>3.7172</v>
      </c>
      <c r="AC23" s="11" t="n">
        <v>2.3824</v>
      </c>
      <c r="AD23" s="11" t="n">
        <v>2.3506</v>
      </c>
      <c r="AE23" s="11" t="n">
        <v>2.393</v>
      </c>
    </row>
    <row r="24">
      <c r="A24" s="10" t="inlineStr">
        <is>
          <t>MechanicalDesignEngineeringReportableSegmentMember · 계</t>
        </is>
      </c>
      <c r="AB24" s="11" t="n">
        <v>6.237</v>
      </c>
      <c r="AC24" s="11" t="n">
        <v>7.4504</v>
      </c>
      <c r="AD24" s="11" t="n">
        <v>7.8619</v>
      </c>
      <c r="AE24" s="11" t="n">
        <v>7.9989</v>
      </c>
    </row>
    <row r="25">
      <c r="A25" s="10" t="inlineStr">
        <is>
          <t>ReportableSegmentsMember · 계</t>
        </is>
      </c>
      <c r="K25" s="11" t="n">
        <v>53.8325</v>
      </c>
      <c r="L25" s="11" t="n">
        <v>54.9051</v>
      </c>
      <c r="M25" s="11" t="n">
        <v>56.5408</v>
      </c>
      <c r="N25" s="11" t="n">
        <v>57.9827</v>
      </c>
      <c r="O25" s="11" t="n">
        <v>62.2944</v>
      </c>
      <c r="P25" s="11" t="n">
        <v>61.2512</v>
      </c>
      <c r="Q25" s="11" t="n">
        <v>62.8311</v>
      </c>
      <c r="R25" s="11" t="n">
        <v>62.6459</v>
      </c>
      <c r="S25" s="11" t="n">
        <v>62.9063</v>
      </c>
      <c r="T25" s="11" t="n">
        <v>62.7395</v>
      </c>
      <c r="U25" s="11" t="n">
        <v>64.55880000000001</v>
      </c>
      <c r="V25" s="11" t="n">
        <v>66.3997</v>
      </c>
      <c r="AB25" s="11" t="n">
        <v>209.1585</v>
      </c>
      <c r="AC25" s="11" t="n">
        <v>223.2611</v>
      </c>
      <c r="AD25" s="11" t="n">
        <v>249.0227</v>
      </c>
      <c r="AE25" s="11" t="n">
        <v>256.6043</v>
      </c>
    </row>
    <row r="26">
      <c r="A26" s="10" t="inlineStr">
        <is>
          <t>ReconcilingItemsMember · 계</t>
        </is>
      </c>
      <c r="K26" s="11" t="n">
        <v>-0.19</v>
      </c>
      <c r="L26" s="11" t="n">
        <v>-0.2931</v>
      </c>
      <c r="M26" s="11" t="n">
        <v>-0.2923</v>
      </c>
      <c r="N26" s="11" t="n">
        <v>-0.2696</v>
      </c>
      <c r="O26" s="11" t="n">
        <v>-0.2929</v>
      </c>
      <c r="P26" s="11" t="n">
        <v>-0.2978</v>
      </c>
      <c r="Q26" s="11" t="n">
        <v>-0.331</v>
      </c>
      <c r="R26" s="11" t="n">
        <v>-0.3361</v>
      </c>
      <c r="S26" s="11" t="n">
        <v>-0.3769</v>
      </c>
      <c r="T26" s="11" t="n">
        <v>-0.3709</v>
      </c>
      <c r="U26" s="11" t="n">
        <v>-0.3491</v>
      </c>
      <c r="V26" s="11" t="n">
        <v>-0.3309</v>
      </c>
      <c r="AB26" s="11" t="n">
        <v>-0.5699</v>
      </c>
      <c r="AC26" s="11" t="n">
        <v>-1.0451</v>
      </c>
      <c r="AD26" s="11" t="n">
        <v>-1.2577</v>
      </c>
      <c r="AE26" s="11" t="n">
        <v>-1.4279</v>
      </c>
    </row>
    <row r="27">
      <c r="A27" s="5" t="inlineStr">
        <is>
          <t>계</t>
        </is>
      </c>
      <c r="K27" s="6" t="n">
        <v>53.6424</v>
      </c>
      <c r="L27" s="6" t="n">
        <v>54.612</v>
      </c>
      <c r="M27" s="6" t="n">
        <v>56.2485</v>
      </c>
      <c r="N27" s="6" t="n">
        <v>57.7131</v>
      </c>
      <c r="O27" s="6" t="n">
        <v>62.0016</v>
      </c>
      <c r="P27" s="6" t="n">
        <v>60.9534</v>
      </c>
      <c r="Q27" s="6" t="n">
        <v>62.5001</v>
      </c>
      <c r="R27" s="6" t="n">
        <v>62.3098</v>
      </c>
      <c r="S27" s="6" t="n">
        <v>62.5294</v>
      </c>
      <c r="T27" s="6" t="n">
        <v>62.3686</v>
      </c>
      <c r="U27" s="6" t="n">
        <v>64.20959999999999</v>
      </c>
      <c r="V27" s="6" t="n">
        <v>66.0688</v>
      </c>
      <c r="AB27" s="6" t="n">
        <v>208.5886</v>
      </c>
      <c r="AC27" s="6" t="n">
        <v>222.2159</v>
      </c>
      <c r="AD27" s="6" t="n">
        <v>247.7649</v>
      </c>
      <c r="AE27" s="6" t="n">
        <v>255.1764</v>
      </c>
    </row>
    <row r="28">
      <c r="A28" s="10" t="inlineStr">
        <is>
          <t>DigitalintegrationReportableSegmentMember · 부문 이익(손실)</t>
        </is>
      </c>
      <c r="K28" s="11" t="n">
        <v>5.317</v>
      </c>
      <c r="O28" s="11" t="n">
        <v>7.8712</v>
      </c>
      <c r="S28" s="11" t="n">
        <v>6.0555</v>
      </c>
    </row>
    <row r="29">
      <c r="A29" s="10" t="inlineStr">
        <is>
          <t>MidoriCloudReportableSegmentMember · 부문 이익(손실)</t>
        </is>
      </c>
      <c r="K29" s="11" t="n">
        <v>-0.1819</v>
      </c>
      <c r="O29" s="11" t="n">
        <v>-0.2448</v>
      </c>
      <c r="S29" s="11" t="n">
        <v>-0.4304</v>
      </c>
    </row>
    <row r="30">
      <c r="A30" s="10" t="inlineStr">
        <is>
          <t>MechanicalDesignEngineeringReportableSegmentMember · 부문 이익(손실)</t>
        </is>
      </c>
      <c r="K30" s="11" t="n">
        <v>0.08309999999999999</v>
      </c>
      <c r="O30" s="11" t="n">
        <v>0.0578</v>
      </c>
      <c r="S30" s="11" t="n">
        <v>0.1483</v>
      </c>
    </row>
    <row r="31">
      <c r="A31" s="10" t="inlineStr">
        <is>
          <t>DigitalintegrationReportableSegmentMember · 부문 이익(손실)</t>
        </is>
      </c>
      <c r="AB31" s="11" t="n">
        <v>19.139</v>
      </c>
      <c r="AC31" s="11" t="n">
        <v>23.2043</v>
      </c>
      <c r="AD31" s="11" t="n">
        <v>26.1193</v>
      </c>
      <c r="AE31" s="11" t="n">
        <v>28.8183</v>
      </c>
    </row>
    <row r="32">
      <c r="A32" s="10" t="inlineStr">
        <is>
          <t>MidoriCloudReportableSegmentMember · 부문 이익(손실)</t>
        </is>
      </c>
      <c r="AB32" s="11" t="n">
        <v>-0.3183</v>
      </c>
      <c r="AC32" s="11" t="n">
        <v>-1.0917</v>
      </c>
      <c r="AD32" s="11" t="n">
        <v>-1.1881</v>
      </c>
      <c r="AE32" s="11" t="n">
        <v>-0.9592000000000001</v>
      </c>
    </row>
    <row r="33">
      <c r="A33" s="10" t="inlineStr">
        <is>
          <t>MechanicalDesignEngineeringReportableSegmentMember · 부문 이익(손실)</t>
        </is>
      </c>
      <c r="AB33" s="11" t="n">
        <v>0.5335</v>
      </c>
      <c r="AC33" s="11" t="n">
        <v>0.4489</v>
      </c>
      <c r="AD33" s="11" t="n">
        <v>0.3702</v>
      </c>
      <c r="AE33" s="11" t="n">
        <v>0.5944</v>
      </c>
    </row>
    <row r="34">
      <c r="A34" s="10" t="inlineStr">
        <is>
          <t>ReportableSegmentsMember · 부문 이익(손실)</t>
        </is>
      </c>
      <c r="K34" s="11" t="n">
        <v>5.2183</v>
      </c>
      <c r="L34" s="11" t="n">
        <v>5.893</v>
      </c>
      <c r="M34" s="11" t="n">
        <v>6.6294</v>
      </c>
      <c r="N34" s="11" t="n">
        <v>4.8207</v>
      </c>
      <c r="O34" s="11" t="n">
        <v>7.6842</v>
      </c>
      <c r="P34" s="11" t="n">
        <v>5.8648</v>
      </c>
      <c r="Q34" s="11" t="n">
        <v>6.3899</v>
      </c>
      <c r="R34" s="11" t="n">
        <v>5.3624</v>
      </c>
      <c r="S34" s="11" t="n">
        <v>5.7735</v>
      </c>
      <c r="T34" s="11" t="n">
        <v>6.1487</v>
      </c>
      <c r="U34" s="11" t="n">
        <v>8.1275</v>
      </c>
      <c r="V34" s="11" t="n">
        <v>8.4039</v>
      </c>
      <c r="AB34" s="11" t="n">
        <v>19.3543</v>
      </c>
      <c r="AC34" s="11" t="n">
        <v>22.5614</v>
      </c>
      <c r="AD34" s="11" t="n">
        <v>25.3014</v>
      </c>
      <c r="AE34" s="11" t="n">
        <v>28.4535</v>
      </c>
    </row>
    <row r="35">
      <c r="A35" s="10" t="inlineStr">
        <is>
          <t>ReconcilingItemsMember · 부문 이익(손실)</t>
        </is>
      </c>
      <c r="K35" s="11" t="n">
        <v>0.033</v>
      </c>
      <c r="L35" s="11" t="n">
        <v>0.0468</v>
      </c>
      <c r="M35" s="11" t="n">
        <v>0.0468</v>
      </c>
      <c r="N35" s="11" t="n">
        <v>0.0506</v>
      </c>
      <c r="O35" s="11" t="n">
        <v>0.0055</v>
      </c>
      <c r="P35" s="11" t="n">
        <v>0.0979</v>
      </c>
      <c r="Q35" s="11" t="n">
        <v>0.05</v>
      </c>
      <c r="R35" s="11" t="n">
        <v>0.0522</v>
      </c>
      <c r="S35" s="11" t="n">
        <v>0.05</v>
      </c>
      <c r="T35" s="11" t="n">
        <v>0.0465</v>
      </c>
      <c r="U35" s="11" t="n">
        <v>0.0478</v>
      </c>
      <c r="V35" s="11" t="n">
        <v>0.0478</v>
      </c>
      <c r="AB35" s="11" t="n">
        <v>0.0949</v>
      </c>
      <c r="AC35" s="11" t="n">
        <v>0.1772</v>
      </c>
      <c r="AD35" s="11" t="n">
        <v>0.2055</v>
      </c>
      <c r="AE35" s="11" t="n">
        <v>0.192</v>
      </c>
    </row>
    <row r="36">
      <c r="A36" s="5" t="inlineStr">
        <is>
          <t>부문 이익(손실)</t>
        </is>
      </c>
      <c r="K36" s="6" t="n">
        <v>5.2513</v>
      </c>
      <c r="L36" s="6" t="n">
        <v>5.9398</v>
      </c>
      <c r="M36" s="6" t="n">
        <v>6.6762</v>
      </c>
      <c r="N36" s="6" t="n">
        <v>4.8713</v>
      </c>
      <c r="O36" s="6" t="n">
        <v>7.6898</v>
      </c>
      <c r="P36" s="6" t="n">
        <v>5.9627</v>
      </c>
      <c r="Q36" s="6" t="n">
        <v>6.4399</v>
      </c>
      <c r="R36" s="6" t="n">
        <v>5.4146</v>
      </c>
      <c r="S36" s="6" t="n">
        <v>5.8235</v>
      </c>
      <c r="T36" s="6" t="n">
        <v>6.1952</v>
      </c>
      <c r="U36" s="6" t="n">
        <v>8.1753</v>
      </c>
      <c r="V36" s="6" t="n">
        <v>8.451599999999999</v>
      </c>
      <c r="AB36" s="6" t="n">
        <v>19.4492</v>
      </c>
      <c r="AC36" s="6" t="n">
        <v>22.7386</v>
      </c>
      <c r="AD36" s="6" t="n">
        <v>25.5069</v>
      </c>
      <c r="AE36" s="6" t="n">
        <v>28.6455</v>
      </c>
    </row>
    <row r="37">
      <c r="A37" s="10" t="inlineStr">
        <is>
          <t>DigitalintegrationReportableSegmentMember · 영업권 상각</t>
        </is>
      </c>
      <c r="AB37" s="11" t="n">
        <v>0</v>
      </c>
      <c r="AC37" s="11" t="n">
        <v>0.0379</v>
      </c>
      <c r="AD37" s="11" t="n">
        <v>0.2572</v>
      </c>
      <c r="AE37" s="11" t="n">
        <v>0.2572</v>
      </c>
    </row>
    <row r="38">
      <c r="A38" s="10" t="inlineStr">
        <is>
          <t>MidoriCloudReportableSegmentMember · 영업권 상각</t>
        </is>
      </c>
      <c r="AB38" s="11" t="n">
        <v>0</v>
      </c>
      <c r="AC38" s="11" t="n">
        <v>0</v>
      </c>
      <c r="AD38" s="11" t="n">
        <v>0</v>
      </c>
      <c r="AE38" s="11" t="n">
        <v>0</v>
      </c>
    </row>
    <row r="39">
      <c r="A39" s="10" t="inlineStr">
        <is>
          <t>MechanicalDesignEngineeringReportableSegmentMember · 영업권 상각</t>
        </is>
      </c>
      <c r="AB39" s="11" t="n">
        <v>0.0684</v>
      </c>
      <c r="AC39" s="11" t="n">
        <v>0</v>
      </c>
      <c r="AD39" s="11" t="n">
        <v>0</v>
      </c>
      <c r="AE39" s="11" t="n">
        <v>0</v>
      </c>
    </row>
    <row r="40">
      <c r="A40" s="10" t="inlineStr">
        <is>
          <t>ReportableSegmentsMember · 영업권 상각</t>
        </is>
      </c>
      <c r="AB40" s="11" t="n">
        <v>0.0684</v>
      </c>
      <c r="AC40" s="11" t="n">
        <v>0.0379</v>
      </c>
      <c r="AD40" s="11" t="n">
        <v>0.2572</v>
      </c>
      <c r="AE40" s="11" t="n">
        <v>0.2572</v>
      </c>
    </row>
    <row r="41">
      <c r="A41" s="10" t="inlineStr">
        <is>
          <t>UnallocatedAmountsAndEliminationMember · 상각액</t>
        </is>
      </c>
      <c r="AB41" s="11" t="n">
        <v>0</v>
      </c>
      <c r="AC41" s="11" t="n">
        <v>0</v>
      </c>
      <c r="AD41" s="11" t="n">
        <v>0</v>
      </c>
      <c r="AE41" s="11" t="n">
        <v>0</v>
      </c>
    </row>
    <row r="42">
      <c r="A42" s="10" t="inlineStr">
        <is>
          <t>ReconcilingItemsMember · 영업권 상각</t>
        </is>
      </c>
      <c r="AB42" s="11" t="n">
        <v>0</v>
      </c>
      <c r="AC42" s="11" t="n">
        <v>0</v>
      </c>
      <c r="AD42" s="11" t="n">
        <v>0</v>
      </c>
      <c r="AE42" s="11" t="n">
        <v>0</v>
      </c>
    </row>
    <row r="43">
      <c r="A43" s="10" t="inlineStr">
        <is>
          <t>영업권 상각</t>
        </is>
      </c>
      <c r="AB43" s="11" t="n">
        <v>0.0684</v>
      </c>
      <c r="AC43" s="11" t="n">
        <v>0.0379</v>
      </c>
      <c r="AD43" s="11" t="n">
        <v>0.2572</v>
      </c>
      <c r="AE43" s="11" t="n">
        <v>0.2572</v>
      </c>
    </row>
    <row r="44">
      <c r="A44" s="10" t="inlineStr">
        <is>
          <t>DigitalintegrationReportableSegmentMember · 감가상각비</t>
        </is>
      </c>
      <c r="AB44" s="11" t="n">
        <v>0.388</v>
      </c>
      <c r="AC44" s="11" t="n">
        <v>0.452</v>
      </c>
      <c r="AD44" s="11" t="n">
        <v>0.5205</v>
      </c>
      <c r="AE44" s="11" t="n">
        <v>0.6179</v>
      </c>
    </row>
    <row r="45">
      <c r="A45" s="10" t="inlineStr">
        <is>
          <t>MidoriCloudReportableSegmentMember · 감가상각비</t>
        </is>
      </c>
      <c r="AB45" s="11" t="n">
        <v>0.0076</v>
      </c>
      <c r="AC45" s="11" t="n">
        <v>0.0069</v>
      </c>
      <c r="AD45" s="11" t="n">
        <v>0.0065</v>
      </c>
      <c r="AE45" s="11" t="n">
        <v>0.0064</v>
      </c>
    </row>
    <row r="46">
      <c r="A46" s="10" t="inlineStr">
        <is>
          <t>MechanicalDesignEngineeringReportableSegmentMember · 감가상각비</t>
        </is>
      </c>
      <c r="AB46" s="11" t="n">
        <v>0.0033</v>
      </c>
      <c r="AC46" s="11" t="n">
        <v>0.0034</v>
      </c>
      <c r="AD46" s="11" t="n">
        <v>0.0034</v>
      </c>
      <c r="AE46" s="11" t="n">
        <v>0.0025</v>
      </c>
    </row>
    <row r="47">
      <c r="A47" s="10" t="inlineStr">
        <is>
          <t>ReportableSegmentsMember · 감가상각비</t>
        </is>
      </c>
      <c r="AB47" s="11" t="n">
        <v>0.3989</v>
      </c>
      <c r="AC47" s="11" t="n">
        <v>0.4623</v>
      </c>
      <c r="AD47" s="11" t="n">
        <v>0.5304</v>
      </c>
      <c r="AE47" s="11" t="n">
        <v>0.6268</v>
      </c>
    </row>
    <row r="48">
      <c r="A48" s="10" t="inlineStr">
        <is>
          <t>ReconcilingItemsMember · 감가상각비</t>
        </is>
      </c>
      <c r="AB48" s="11" t="n">
        <v>0</v>
      </c>
      <c r="AC48" s="11" t="n">
        <v>0</v>
      </c>
      <c r="AD48" s="11" t="n">
        <v>0</v>
      </c>
      <c r="AE48" s="11" t="n">
        <v>0</v>
      </c>
    </row>
    <row r="49">
      <c r="A49" s="10" t="inlineStr">
        <is>
          <t>감가상각비</t>
        </is>
      </c>
      <c r="AB49" s="11" t="n">
        <v>0.3989</v>
      </c>
      <c r="AC49" s="11" t="n">
        <v>0.4623</v>
      </c>
      <c r="AD49" s="11" t="n">
        <v>0.5304</v>
      </c>
      <c r="AE49" s="11" t="n">
        <v>0.6268</v>
      </c>
    </row>
    <row r="50">
      <c r="A50" s="10" t="inlineStr">
        <is>
          <t>DigitalintegrationReportableSegmentMember · 유형·무형자산 증가액</t>
        </is>
      </c>
      <c r="AB50" s="11" t="n">
        <v>0</v>
      </c>
      <c r="AC50" s="11" t="n">
        <v>1.2862</v>
      </c>
      <c r="AD50" s="11" t="n">
        <v>0</v>
      </c>
      <c r="AE50" s="11" t="n">
        <v>0</v>
      </c>
    </row>
    <row r="51">
      <c r="A51" s="10" t="inlineStr">
        <is>
          <t>MidoriCloudReportableSegmentMember · 유형·무형자산 증가액</t>
        </is>
      </c>
      <c r="AB51" s="11" t="n">
        <v>0</v>
      </c>
      <c r="AC51" s="11" t="n">
        <v>0</v>
      </c>
      <c r="AD51" s="11" t="n">
        <v>0</v>
      </c>
      <c r="AE51" s="11" t="n">
        <v>0</v>
      </c>
    </row>
    <row r="52">
      <c r="A52" s="10" t="inlineStr">
        <is>
          <t>MechanicalDesignEngineeringReportableSegmentMember · 유형·무형자산 증가액</t>
        </is>
      </c>
      <c r="AB52" s="11" t="n">
        <v>0</v>
      </c>
      <c r="AC52" s="11" t="n">
        <v>0</v>
      </c>
      <c r="AD52" s="11" t="n">
        <v>0</v>
      </c>
      <c r="AE52" s="11" t="n">
        <v>0</v>
      </c>
    </row>
    <row r="53">
      <c r="A53" s="10" t="inlineStr">
        <is>
          <t>ReportableSegmentsMember · 유형·무형자산 증가액</t>
        </is>
      </c>
      <c r="AB53" s="11" t="n">
        <v>0</v>
      </c>
      <c r="AC53" s="11" t="n">
        <v>1.2862</v>
      </c>
      <c r="AD53" s="11" t="n">
        <v>0</v>
      </c>
      <c r="AE53" s="11" t="n">
        <v>0</v>
      </c>
    </row>
    <row r="54">
      <c r="A54" s="10" t="inlineStr">
        <is>
          <t>ReconcilingItemsMember · 유형·무형자산 증가액</t>
        </is>
      </c>
      <c r="AB54" s="11" t="n">
        <v>0.5528999999999999</v>
      </c>
      <c r="AC54" s="11" t="n">
        <v>2.0428</v>
      </c>
      <c r="AD54" s="11" t="n">
        <v>6.7714</v>
      </c>
      <c r="AE54" s="11" t="n">
        <v>2.188</v>
      </c>
    </row>
    <row r="55">
      <c r="A55" s="10" t="inlineStr">
        <is>
          <t>유형·무형자산 증가액</t>
        </is>
      </c>
      <c r="AB55" s="11" t="n">
        <v>0.5528999999999999</v>
      </c>
      <c r="AC55" s="11" t="n">
        <v>3.329</v>
      </c>
      <c r="AD55" s="11" t="n">
        <v>6.7714</v>
      </c>
      <c r="AE55" s="11" t="n">
        <v>2.188</v>
      </c>
    </row>
    <row r="56">
      <c r="A56" s="10" t="inlineStr">
        <is>
          <t>DigitalintegrationReportableSegmentMember · 외부 고객 매출</t>
        </is>
      </c>
      <c r="K56" s="11" t="n">
        <v>51.4116</v>
      </c>
      <c r="O56" s="11" t="n">
        <v>59.8445</v>
      </c>
      <c r="S56" s="11" t="n">
        <v>60.3452</v>
      </c>
    </row>
    <row r="57">
      <c r="A57" s="10" t="inlineStr">
        <is>
          <t>MidoriCloudReportableSegmentMember · 외부 고객 매출</t>
        </is>
      </c>
      <c r="K57" s="11" t="n">
        <v>0.7171999999999999</v>
      </c>
      <c r="O57" s="11" t="n">
        <v>0.5671</v>
      </c>
      <c r="S57" s="11" t="n">
        <v>0.5037</v>
      </c>
    </row>
    <row r="58">
      <c r="A58" s="10" t="inlineStr">
        <is>
          <t>MechanicalDesignEngineeringReportableSegmentMember · 외부 고객 매출</t>
        </is>
      </c>
      <c r="K58" s="11" t="n">
        <v>1.5137</v>
      </c>
      <c r="O58" s="11" t="n">
        <v>1.59</v>
      </c>
      <c r="S58" s="11" t="n">
        <v>1.6804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1" t="inlineStr">
        <is>
          <t>세라크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가이던스 history FY8 26 · initial 2025 10</t>
        </is>
      </c>
      <c r="B4" s="12" t="n"/>
      <c r="C4" s="12" t="n"/>
      <c r="D4" s="12" t="n"/>
      <c r="E4" s="12" t="n"/>
      <c r="F4" s="12" t="n"/>
      <c r="G4" s="12" t="n"/>
    </row>
    <row r="5">
      <c r="A5" s="13" t="inlineStr">
        <is>
          <t>항목</t>
        </is>
      </c>
      <c r="B5" s="13" t="inlineStr">
        <is>
          <t>값</t>
        </is>
      </c>
      <c r="G5" s="13" t="inlineStr">
        <is>
          <t>출처</t>
        </is>
      </c>
    </row>
    <row r="6">
      <c r="A6" s="14" t="inlineStr">
        <is>
          <t>매출</t>
        </is>
      </c>
      <c r="B6" s="15" t="n">
        <v>274</v>
      </c>
      <c r="G6" s="3" t="inlineStr">
        <is>
          <t>매출 계획 대비 93.1%, 영업이익 100.5%</t>
        </is>
      </c>
    </row>
    <row r="7">
      <c r="A7" s="14" t="inlineStr">
        <is>
          <t>영업이익</t>
        </is>
      </c>
      <c r="B7" s="11" t="n">
        <v>28.5</v>
      </c>
    </row>
    <row r="9">
      <c r="A9" s="12" t="inlineStr">
        <is>
          <t>가이던스 history FY8 26 · final</t>
        </is>
      </c>
      <c r="B9" s="12" t="n"/>
      <c r="C9" s="12" t="n"/>
      <c r="D9" s="12" t="n"/>
      <c r="E9" s="12" t="n"/>
      <c r="F9" s="12" t="n"/>
      <c r="G9" s="12" t="n"/>
    </row>
    <row r="10">
      <c r="A10" s="13" t="inlineStr">
        <is>
          <t>항목</t>
        </is>
      </c>
      <c r="B10" s="13" t="inlineStr">
        <is>
          <t>값</t>
        </is>
      </c>
      <c r="G10" s="13" t="inlineStr">
        <is>
          <t>출처</t>
        </is>
      </c>
    </row>
    <row r="11">
      <c r="A11" s="14" t="inlineStr">
        <is>
          <t>매출</t>
        </is>
      </c>
      <c r="B11" s="15" t="n">
        <v>274</v>
      </c>
      <c r="G11" s="3" t="inlineStr">
        <is>
          <t>매출 계획 대비 93.1%, 영업이익 100.5%</t>
        </is>
      </c>
    </row>
    <row r="12">
      <c r="A12" s="14" t="inlineStr">
        <is>
          <t>영업이익</t>
        </is>
      </c>
      <c r="B12" s="11" t="n">
        <v>28.5</v>
      </c>
    </row>
    <row r="14">
      <c r="A14" s="12" t="inlineStr">
        <is>
          <t>가이던스 history FY8 26 · 실적</t>
        </is>
      </c>
      <c r="B14" s="12" t="n"/>
      <c r="C14" s="12" t="n"/>
      <c r="D14" s="12" t="n"/>
      <c r="E14" s="12" t="n"/>
      <c r="F14" s="12" t="n"/>
      <c r="G14" s="12" t="n"/>
    </row>
    <row r="15">
      <c r="A15" s="13" t="inlineStr">
        <is>
          <t>항목</t>
        </is>
      </c>
      <c r="B15" s="13" t="inlineStr">
        <is>
          <t>값</t>
        </is>
      </c>
      <c r="G15" s="13" t="inlineStr">
        <is>
          <t>출처</t>
        </is>
      </c>
    </row>
    <row r="16">
      <c r="A16" s="14" t="inlineStr">
        <is>
          <t>매출</t>
        </is>
      </c>
      <c r="B16" s="11" t="n">
        <v>255.17</v>
      </c>
      <c r="G16" s="3" t="inlineStr">
        <is>
          <t>매출 계획 대비 93.1%, 영업이익 100.5%</t>
        </is>
      </c>
    </row>
    <row r="17">
      <c r="A17" s="14" t="inlineStr">
        <is>
          <t>영업이익</t>
        </is>
      </c>
      <c r="B17" s="11" t="n">
        <v>28.64</v>
      </c>
    </row>
    <row r="19">
      <c r="A19" s="12" t="inlineStr">
        <is>
          <t>segments_FY8_26 · DI(디지털 인테그레이션)</t>
        </is>
      </c>
      <c r="B19" s="12" t="n"/>
      <c r="C19" s="12" t="n"/>
      <c r="D19" s="12" t="n"/>
      <c r="E19" s="12" t="n"/>
      <c r="F19" s="12" t="n"/>
      <c r="G19" s="12" t="n"/>
    </row>
    <row r="20">
      <c r="A20" s="13" t="inlineStr">
        <is>
          <t>항목</t>
        </is>
      </c>
      <c r="B20" s="13" t="inlineStr">
        <is>
          <t>값</t>
        </is>
      </c>
      <c r="G20" s="13" t="inlineStr">
        <is>
          <t>출처</t>
        </is>
      </c>
    </row>
    <row r="21">
      <c r="A21" s="14" t="inlineStr">
        <is>
          <t>매출</t>
        </is>
      </c>
      <c r="B21" s="11" t="n">
        <v>246.21</v>
      </c>
      <c r="G21" s="3" t="inlineStr">
        <is>
          <t>2단계 보고서 자료(회사 설명회 자료·공시)</t>
        </is>
      </c>
    </row>
    <row r="22">
      <c r="A22" s="14" t="inlineStr">
        <is>
          <t>매출 직전</t>
        </is>
      </c>
      <c r="B22" s="11" t="n">
        <v>238.81</v>
      </c>
    </row>
    <row r="23">
      <c r="A23" s="14" t="inlineStr">
        <is>
          <t>영업이익</t>
        </is>
      </c>
      <c r="B23" s="11" t="n">
        <v>28.82</v>
      </c>
    </row>
    <row r="24">
      <c r="A24" s="14" t="inlineStr">
        <is>
          <t>영업이익 직전</t>
        </is>
      </c>
      <c r="B24" s="11" t="n">
        <v>26.12</v>
      </c>
    </row>
    <row r="25">
      <c r="A25" s="14" t="inlineStr">
        <is>
          <t>4Q 매출</t>
        </is>
      </c>
      <c r="B25" s="11" t="n">
        <v>63.69</v>
      </c>
    </row>
    <row r="26">
      <c r="A26" s="14" t="inlineStr">
        <is>
          <t>4Q 매출 YoY</t>
        </is>
      </c>
      <c r="B26" s="11" t="n">
        <v>5.8</v>
      </c>
    </row>
    <row r="27">
      <c r="A27" s="14" t="inlineStr">
        <is>
          <t>4Q 영업이익</t>
        </is>
      </c>
      <c r="B27" s="11" t="n">
        <v>8.19</v>
      </c>
    </row>
    <row r="28">
      <c r="A28" s="14" t="inlineStr">
        <is>
          <t>4Q 영업이익 YoY</t>
        </is>
      </c>
      <c r="B28" s="11" t="n">
        <v>47.1</v>
      </c>
    </row>
    <row r="29">
      <c r="A29" s="14" t="inlineStr">
        <is>
          <t>4Q 영업이익률</t>
        </is>
      </c>
      <c r="B29" s="11" t="n">
        <v>12.9</v>
      </c>
    </row>
    <row r="31">
      <c r="A31" s="12" t="inlineStr">
        <is>
          <t>segments_FY8_26 · 미도리 클라우드(농업 IoT)</t>
        </is>
      </c>
      <c r="B31" s="12" t="n"/>
      <c r="C31" s="12" t="n"/>
      <c r="D31" s="12" t="n"/>
      <c r="E31" s="12" t="n"/>
      <c r="F31" s="12" t="n"/>
      <c r="G31" s="12" t="n"/>
    </row>
    <row r="32">
      <c r="A32" s="13" t="inlineStr">
        <is>
          <t>항목</t>
        </is>
      </c>
      <c r="B32" s="13" t="inlineStr">
        <is>
          <t>값</t>
        </is>
      </c>
      <c r="G32" s="13" t="inlineStr">
        <is>
          <t>출처</t>
        </is>
      </c>
    </row>
    <row r="33">
      <c r="A33" s="14" t="inlineStr">
        <is>
          <t>매출</t>
        </is>
      </c>
      <c r="B33" s="11" t="n">
        <v>2.39</v>
      </c>
      <c r="G33" s="3" t="inlineStr">
        <is>
          <t>2단계 보고서 자료(회사 설명회 자료·공시)</t>
        </is>
      </c>
    </row>
    <row r="34">
      <c r="A34" s="14" t="inlineStr">
        <is>
          <t>매출 직전</t>
        </is>
      </c>
      <c r="B34" s="11" t="n">
        <v>2.35</v>
      </c>
    </row>
    <row r="35">
      <c r="A35" s="14" t="inlineStr">
        <is>
          <t>영업이익</t>
        </is>
      </c>
      <c r="B35" s="11" t="n">
        <v>-0.96</v>
      </c>
    </row>
    <row r="36">
      <c r="A36" s="14" t="inlineStr">
        <is>
          <t>영업이익 직전</t>
        </is>
      </c>
      <c r="B36" s="11" t="n">
        <v>-1.19</v>
      </c>
    </row>
    <row r="37">
      <c r="A37" s="14" t="inlineStr">
        <is>
          <t>4Q 매출</t>
        </is>
      </c>
      <c r="B37" s="11" t="n">
        <v>0.73</v>
      </c>
    </row>
    <row r="38">
      <c r="A38" s="14" t="inlineStr">
        <is>
          <t>4Q 매출 YoY</t>
        </is>
      </c>
      <c r="B38" s="11" t="n">
        <v>114.8</v>
      </c>
    </row>
    <row r="39">
      <c r="A39" s="14" t="inlineStr">
        <is>
          <t>4Q 영업이익</t>
        </is>
      </c>
      <c r="B39" s="11" t="n">
        <v>0.03</v>
      </c>
    </row>
    <row r="41">
      <c r="A41" s="12" t="inlineStr">
        <is>
          <t>segments_FY8_26 · 기계설계 엔지니어링</t>
        </is>
      </c>
      <c r="B41" s="12" t="n"/>
      <c r="C41" s="12" t="n"/>
      <c r="D41" s="12" t="n"/>
      <c r="E41" s="12" t="n"/>
      <c r="F41" s="12" t="n"/>
      <c r="G41" s="12" t="n"/>
    </row>
    <row r="42">
      <c r="A42" s="13" t="inlineStr">
        <is>
          <t>항목</t>
        </is>
      </c>
      <c r="B42" s="13" t="inlineStr">
        <is>
          <t>값</t>
        </is>
      </c>
      <c r="G42" s="13" t="inlineStr">
        <is>
          <t>출처</t>
        </is>
      </c>
    </row>
    <row r="43">
      <c r="A43" s="14" t="inlineStr">
        <is>
          <t>매출</t>
        </is>
      </c>
      <c r="B43" s="11" t="n">
        <v>8</v>
      </c>
      <c r="G43" s="3" t="inlineStr">
        <is>
          <t>2단계 보고서 자료(회사 설명회 자료·공시)</t>
        </is>
      </c>
    </row>
    <row r="44">
      <c r="A44" s="14" t="inlineStr">
        <is>
          <t>매출 직전</t>
        </is>
      </c>
      <c r="B44" s="11" t="n">
        <v>7.86</v>
      </c>
    </row>
    <row r="45">
      <c r="A45" s="14" t="inlineStr">
        <is>
          <t>영업이익</t>
        </is>
      </c>
      <c r="B45" s="11" t="n">
        <v>0.59</v>
      </c>
    </row>
    <row r="46">
      <c r="A46" s="14" t="inlineStr">
        <is>
          <t>영업이익 직전</t>
        </is>
      </c>
      <c r="B46" s="11" t="n">
        <v>0.37</v>
      </c>
    </row>
    <row r="47">
      <c r="A47" s="14" t="inlineStr">
        <is>
          <t>4Q 매출</t>
        </is>
      </c>
      <c r="B47" s="11" t="n">
        <v>1.97</v>
      </c>
    </row>
    <row r="48">
      <c r="A48" s="14" t="inlineStr">
        <is>
          <t>4Q 매출 YoY</t>
        </is>
      </c>
      <c r="B48" s="11" t="n">
        <v>-5.6</v>
      </c>
    </row>
    <row r="49">
      <c r="A49" s="14" t="inlineStr">
        <is>
          <t>4Q 영업이익</t>
        </is>
      </c>
      <c r="B49" s="11" t="n">
        <v>0.17</v>
      </c>
    </row>
    <row r="51">
      <c r="A51" s="12" t="inlineStr">
        <is>
          <t>bs 2026 08</t>
        </is>
      </c>
      <c r="B51" s="12" t="n"/>
      <c r="C51" s="12" t="n"/>
      <c r="D51" s="12" t="n"/>
      <c r="E51" s="12" t="n"/>
      <c r="F51" s="12" t="n"/>
      <c r="G51" s="12" t="n"/>
    </row>
    <row r="52">
      <c r="A52" s="13" t="inlineStr">
        <is>
          <t>항목</t>
        </is>
      </c>
      <c r="B52" s="13" t="inlineStr">
        <is>
          <t>값</t>
        </is>
      </c>
      <c r="G52" s="13" t="inlineStr">
        <is>
          <t>출처</t>
        </is>
      </c>
    </row>
    <row r="53">
      <c r="A53" s="14" t="inlineStr">
        <is>
          <t>cash</t>
        </is>
      </c>
      <c r="B53" s="11" t="n">
        <v>86.34999999999999</v>
      </c>
      <c r="G53" s="3" t="inlineStr">
        <is>
          <t>2단계 보고서 자료(회사 설명회 자료·공시)</t>
        </is>
      </c>
    </row>
    <row r="54">
      <c r="A54" s="14" t="inlineStr">
        <is>
          <t>debt</t>
        </is>
      </c>
      <c r="B54" s="15" t="n">
        <v>0</v>
      </c>
    </row>
    <row r="55">
      <c r="A55" s="14" t="inlineStr">
        <is>
          <t>net assets</t>
        </is>
      </c>
      <c r="B55" s="11" t="n">
        <v>101.53</v>
      </c>
    </row>
    <row r="56">
      <c r="A56" s="14" t="inlineStr">
        <is>
          <t>합계 assets</t>
        </is>
      </c>
      <c r="B56" s="11" t="n">
        <v>145.73</v>
      </c>
    </row>
    <row r="58">
      <c r="A58" s="12" t="inlineStr">
        <is>
          <t>consensus · FY8/27</t>
        </is>
      </c>
      <c r="B58" s="12" t="n"/>
      <c r="C58" s="12" t="n"/>
      <c r="D58" s="12" t="n"/>
      <c r="E58" s="12" t="n"/>
      <c r="F58" s="12" t="n"/>
      <c r="G58" s="12" t="n"/>
    </row>
    <row r="59">
      <c r="A59" s="13" t="inlineStr">
        <is>
          <t>항목</t>
        </is>
      </c>
      <c r="B59" s="13" t="inlineStr">
        <is>
          <t>값</t>
        </is>
      </c>
      <c r="G59" s="13" t="inlineStr">
        <is>
          <t>출처</t>
        </is>
      </c>
    </row>
    <row r="60">
      <c r="A60" s="14" t="inlineStr">
        <is>
          <t>EPS</t>
        </is>
      </c>
      <c r="B60" s="11" t="n">
        <v>128.2</v>
      </c>
      <c r="G60" s="3" t="inlineStr">
        <is>
          <t>야후 파이낸스, 애널리스트 1명</t>
        </is>
      </c>
    </row>
    <row r="61">
      <c r="A61" s="14" t="inlineStr">
        <is>
          <t>매출</t>
        </is>
      </c>
      <c r="B61" s="15" t="n">
        <v>265</v>
      </c>
    </row>
    <row r="62">
      <c r="A62" s="14" t="inlineStr">
        <is>
          <t>EPS 90d</t>
        </is>
      </c>
      <c r="B62" s="11" t="n">
        <v>147</v>
      </c>
    </row>
    <row r="63">
      <c r="A63" s="14" t="inlineStr">
        <is>
          <t>EPS 7d</t>
        </is>
      </c>
      <c r="B63" s="11" t="n">
        <v>135.7</v>
      </c>
    </row>
    <row r="65">
      <c r="A65" s="12" t="inlineStr">
        <is>
          <t>consensus · FY8/28</t>
        </is>
      </c>
      <c r="B65" s="12" t="n"/>
      <c r="C65" s="12" t="n"/>
      <c r="D65" s="12" t="n"/>
      <c r="E65" s="12" t="n"/>
      <c r="F65" s="12" t="n"/>
      <c r="G65" s="12" t="n"/>
    </row>
    <row r="66">
      <c r="A66" s="13" t="inlineStr">
        <is>
          <t>항목</t>
        </is>
      </c>
      <c r="B66" s="13" t="inlineStr">
        <is>
          <t>값</t>
        </is>
      </c>
      <c r="G66" s="13" t="inlineStr">
        <is>
          <t>출처</t>
        </is>
      </c>
    </row>
    <row r="67">
      <c r="A67" s="14" t="inlineStr">
        <is>
          <t>EPS</t>
        </is>
      </c>
      <c r="B67" s="11" t="n">
        <v>132</v>
      </c>
      <c r="G67" s="3" t="inlineStr">
        <is>
          <t>야후 파이낸스, 애널리스트 1명</t>
        </is>
      </c>
    </row>
    <row r="68">
      <c r="A68" s="14" t="inlineStr">
        <is>
          <t>매출</t>
        </is>
      </c>
      <c r="B68" s="15" t="n">
        <v>277</v>
      </c>
    </row>
    <row r="70">
      <c r="A70" s="12" t="inlineStr">
        <is>
          <t>quarters</t>
        </is>
      </c>
      <c r="B70" s="12" t="n"/>
      <c r="C70" s="12" t="n"/>
      <c r="D70" s="12" t="n"/>
      <c r="E70" s="12" t="n"/>
      <c r="F70" s="12" t="n"/>
      <c r="G70" s="12" t="n"/>
    </row>
    <row r="71">
      <c r="A71" s="13" t="inlineStr">
        <is>
          <t>항목</t>
        </is>
      </c>
      <c r="B71" s="13" t="inlineStr">
        <is>
          <t>label</t>
        </is>
      </c>
      <c r="C71" s="13" t="inlineStr">
        <is>
          <t>매출</t>
        </is>
      </c>
      <c r="D71" s="13" t="inlineStr">
        <is>
          <t>영업이익</t>
        </is>
      </c>
      <c r="E71" s="13" t="inlineStr">
        <is>
          <t>순이익</t>
        </is>
      </c>
      <c r="F71" s="13" t="inlineStr">
        <is>
          <t>EPS</t>
        </is>
      </c>
      <c r="G71" s="13" t="inlineStr">
        <is>
          <t>출처</t>
        </is>
      </c>
    </row>
    <row r="72">
      <c r="A72" s="14" t="inlineStr">
        <is>
          <t>FY8/23 3Q</t>
        </is>
      </c>
      <c r="B72" s="16" t="inlineStr">
        <is>
          <t>23.3~5</t>
        </is>
      </c>
      <c r="C72" s="11" t="n">
        <v>53.07</v>
      </c>
      <c r="D72" s="11" t="n">
        <v>5.47</v>
      </c>
      <c r="E72" s="11" t="n">
        <v>3.39</v>
      </c>
      <c r="F72" s="11" t="n">
        <v>24.28</v>
      </c>
      <c r="G72" s="3" t="inlineStr">
        <is>
          <t>2단계 보고서 자료(회사 설명회 자료·공시)</t>
        </is>
      </c>
    </row>
    <row r="73">
      <c r="A73" s="14" t="inlineStr">
        <is>
          <t>FY8/23 4Q</t>
        </is>
      </c>
      <c r="B73" s="16" t="inlineStr">
        <is>
          <t>23.6~8</t>
        </is>
      </c>
      <c r="C73" s="11" t="n">
        <v>53.91</v>
      </c>
      <c r="D73" s="11" t="n">
        <v>3.06</v>
      </c>
      <c r="E73" s="11" t="n">
        <v>2.78</v>
      </c>
      <c r="F73" s="11" t="n">
        <v>19.83</v>
      </c>
    </row>
    <row r="74">
      <c r="A74" s="14" t="inlineStr">
        <is>
          <t>FY8/24 1Q</t>
        </is>
      </c>
      <c r="B74" s="16" t="inlineStr">
        <is>
          <t>23.9~11</t>
        </is>
      </c>
      <c r="C74" s="11" t="n">
        <v>53.64</v>
      </c>
      <c r="D74" s="11" t="n">
        <v>5.25</v>
      </c>
      <c r="E74" s="11" t="n">
        <v>3</v>
      </c>
      <c r="F74" s="11" t="n">
        <v>21.53</v>
      </c>
    </row>
    <row r="75">
      <c r="A75" s="14" t="inlineStr">
        <is>
          <t>FY8/24 2Q</t>
        </is>
      </c>
      <c r="B75" s="16" t="inlineStr">
        <is>
          <t>23.12~2</t>
        </is>
      </c>
      <c r="C75" s="11" t="n">
        <v>54.61</v>
      </c>
      <c r="D75" s="11" t="n">
        <v>5.94</v>
      </c>
      <c r="E75" s="11" t="n">
        <v>4.69</v>
      </c>
      <c r="F75" s="11" t="n">
        <v>33.89</v>
      </c>
    </row>
    <row r="76">
      <c r="A76" s="14" t="inlineStr">
        <is>
          <t>FY8/24 3Q</t>
        </is>
      </c>
      <c r="B76" s="16" t="inlineStr">
        <is>
          <t>24.3~5</t>
        </is>
      </c>
      <c r="C76" s="11" t="n">
        <v>56.25</v>
      </c>
      <c r="D76" s="11" t="n">
        <v>6.67</v>
      </c>
      <c r="E76" s="11" t="n">
        <v>3.82</v>
      </c>
      <c r="F76" s="11" t="n">
        <v>27.78</v>
      </c>
    </row>
    <row r="77">
      <c r="A77" s="14" t="inlineStr">
        <is>
          <t>FY8/24 4Q</t>
        </is>
      </c>
      <c r="B77" s="16" t="inlineStr">
        <is>
          <t>24.6~8</t>
        </is>
      </c>
      <c r="C77" s="11" t="n">
        <v>57.71</v>
      </c>
      <c r="D77" s="11" t="n">
        <v>4.87</v>
      </c>
      <c r="E77" s="11" t="n">
        <v>4.24</v>
      </c>
      <c r="F77" s="11" t="n">
        <v>31.04</v>
      </c>
    </row>
    <row r="78">
      <c r="A78" s="14" t="inlineStr">
        <is>
          <t>FY8/25 1Q</t>
        </is>
      </c>
      <c r="B78" s="16" t="inlineStr">
        <is>
          <t>24.9~11</t>
        </is>
      </c>
      <c r="C78" s="11" t="n">
        <v>62</v>
      </c>
      <c r="D78" s="11" t="n">
        <v>7.68</v>
      </c>
      <c r="E78" s="11" t="n">
        <v>4.81</v>
      </c>
      <c r="F78" s="11" t="n">
        <v>35.61</v>
      </c>
    </row>
    <row r="79">
      <c r="A79" s="14" t="inlineStr">
        <is>
          <t>FY8/25 2Q</t>
        </is>
      </c>
      <c r="B79" s="16" t="inlineStr">
        <is>
          <t>24.12~2</t>
        </is>
      </c>
      <c r="C79" s="11" t="n">
        <v>60.95</v>
      </c>
      <c r="D79" s="11" t="n">
        <v>5.97</v>
      </c>
      <c r="E79" s="11" t="n">
        <v>4.37</v>
      </c>
      <c r="F79" s="11" t="n">
        <v>32.47</v>
      </c>
    </row>
    <row r="80">
      <c r="A80" s="14" t="inlineStr">
        <is>
          <t>FY8/25 3Q</t>
        </is>
      </c>
      <c r="B80" s="16" t="inlineStr">
        <is>
          <t>25.3~5</t>
        </is>
      </c>
      <c r="C80" s="11" t="n">
        <v>62.5</v>
      </c>
      <c r="D80" s="11" t="n">
        <v>6.44</v>
      </c>
      <c r="E80" s="11" t="n">
        <v>3.97</v>
      </c>
      <c r="F80" s="11" t="n">
        <v>29.53</v>
      </c>
    </row>
    <row r="81">
      <c r="A81" s="14" t="inlineStr">
        <is>
          <t>FY8/25 4Q</t>
        </is>
      </c>
      <c r="B81" s="16" t="inlineStr">
        <is>
          <t>25.6~8</t>
        </is>
      </c>
      <c r="C81" s="11" t="n">
        <v>62.31</v>
      </c>
      <c r="D81" s="11" t="n">
        <v>5.41</v>
      </c>
      <c r="E81" s="11" t="n">
        <v>3.94</v>
      </c>
      <c r="F81" s="11" t="n">
        <v>29.55</v>
      </c>
    </row>
    <row r="82">
      <c r="A82" s="14" t="inlineStr">
        <is>
          <t>FY8/26 1Q</t>
        </is>
      </c>
      <c r="B82" s="16" t="inlineStr">
        <is>
          <t>25.9~11</t>
        </is>
      </c>
      <c r="C82" s="11" t="n">
        <v>62.52</v>
      </c>
      <c r="D82" s="11" t="n">
        <v>5.82</v>
      </c>
      <c r="E82" s="11" t="n">
        <v>3.56</v>
      </c>
      <c r="F82" s="11" t="n">
        <v>26.93</v>
      </c>
    </row>
    <row r="83">
      <c r="A83" s="14" t="inlineStr">
        <is>
          <t>FY8/26 2Q</t>
        </is>
      </c>
      <c r="B83" s="16" t="inlineStr">
        <is>
          <t>25.12~2</t>
        </is>
      </c>
      <c r="C83" s="11" t="n">
        <v>62.37</v>
      </c>
      <c r="D83" s="11" t="n">
        <v>6.19</v>
      </c>
      <c r="E83" s="11" t="n">
        <v>3.53</v>
      </c>
      <c r="F83" s="11" t="n">
        <v>26.63</v>
      </c>
    </row>
    <row r="84">
      <c r="A84" s="14" t="inlineStr">
        <is>
          <t>FY8/26 3Q</t>
        </is>
      </c>
      <c r="B84" s="16" t="inlineStr">
        <is>
          <t>26.3~5</t>
        </is>
      </c>
      <c r="C84" s="11" t="n">
        <v>64.20999999999999</v>
      </c>
      <c r="D84" s="11" t="n">
        <v>8.18</v>
      </c>
      <c r="E84" s="11" t="n">
        <v>5.38</v>
      </c>
      <c r="F84" s="11" t="n">
        <v>40.64</v>
      </c>
    </row>
    <row r="85">
      <c r="A85" s="14" t="inlineStr">
        <is>
          <t>FY8/26 4Q</t>
        </is>
      </c>
      <c r="B85" s="16" t="inlineStr">
        <is>
          <t>26.6~8</t>
        </is>
      </c>
      <c r="C85" s="11" t="n">
        <v>66.06999999999999</v>
      </c>
      <c r="D85" s="11" t="n">
        <v>8.449999999999999</v>
      </c>
      <c r="E85" s="11" t="n">
        <v>6.07</v>
      </c>
      <c r="F85" s="11" t="n">
        <v>46.26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7" t="inlineStr">
        <is>
          <t>공시일</t>
        </is>
      </c>
      <c r="B3" s="17" t="inlineStr">
        <is>
          <t>문서</t>
        </is>
      </c>
      <c r="C3" s="17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https://www2.jpx.co.jp/disc/61990/140120261015551398.pdf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https://www2.jpx.co.jp/disc/61990/140120260715594349.pdf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https://www2.jpx.co.jp/disc/61990/140120260414503703.pdf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https://www2.jpx.co.jp/disc/61990/140120260114533489.pdf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https://www2.jpx.co.jp/disc/61990/140120251015573895.pdf</t>
        </is>
      </c>
    </row>
    <row r="9">
      <c r="A9" t="inlineStr">
        <is>
          <t>2025-07-15</t>
        </is>
      </c>
      <c r="B9" t="inlineStr">
        <is>
          <t>2025년 8월 결산기 3분기 결산단신</t>
        </is>
      </c>
      <c r="C9" t="inlineStr">
        <is>
          <t>https://www2.jpx.co.jp/disc/61990/140120250715514420.pdf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https://www2.jpx.co.jp/disc/61990/140120250414514959.pdf</t>
        </is>
      </c>
    </row>
    <row r="11">
      <c r="A11" t="inlineStr">
        <is>
          <t>2025-01-14</t>
        </is>
      </c>
      <c r="B11" t="inlineStr">
        <is>
          <t>2025년 8월 결산기 1분기 결산단신</t>
        </is>
      </c>
      <c r="C11" t="inlineStr">
        <is>
          <t>https://www2.jpx.co.jp/disc/61990/140120250114550232.pdf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https://www2.jpx.co.jp/disc/61990/140120241015598140.pdf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https://www2.jpx.co.jp/disc/61990/140120240712548391.pdf</t>
        </is>
      </c>
    </row>
    <row r="14">
      <c r="A14" t="inlineStr">
        <is>
          <t>2024-04-12</t>
        </is>
      </c>
      <c r="B14" t="inlineStr">
        <is>
          <t>2024년 8월 결산기 2분기 결산단신</t>
        </is>
      </c>
      <c r="C14" t="inlineStr">
        <is>
          <t>https://www2.jpx.co.jp/disc/61990/140120240216538725.pdf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https://www2.jpx.co.jp/disc/61990/140120240112514251.pdf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https://www2.jpx.co.jp/disc/61990/140120231013566654.pdf</t>
        </is>
      </c>
    </row>
    <row r="17">
      <c r="A17" t="inlineStr">
        <is>
          <t>2023-07-14</t>
        </is>
      </c>
      <c r="B17" t="inlineStr">
        <is>
          <t>2023년 8월 결산기 3분기 결산단신</t>
        </is>
      </c>
      <c r="C17" t="inlineStr">
        <is>
          <t>https://www2.jpx.co.jp/disc/61990/140120230714522562.pdf</t>
        </is>
      </c>
    </row>
    <row r="18">
      <c r="A18" t="inlineStr">
        <is>
          <t>2023-04-14</t>
        </is>
      </c>
      <c r="B18" t="inlineStr">
        <is>
          <t>2023년 8월 결산기 2분기 결산단신</t>
        </is>
      </c>
      <c r="C18" t="inlineStr">
        <is>
          <t>https://www2.jpx.co.jp/disc/61990/140120230414547320.pdf</t>
        </is>
      </c>
    </row>
    <row r="19">
      <c r="A19" t="inlineStr">
        <is>
          <t>2023-01-13</t>
        </is>
      </c>
      <c r="B19" t="inlineStr">
        <is>
          <t>2023년 8월 결산기 1분기 결산단신</t>
        </is>
      </c>
      <c r="C19" t="inlineStr">
        <is>
          <t>https://www2.jpx.co.jp/disc/61990/140120230113588987.pdf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https://www2.jpx.co.jp/disc/61990/140120221014544678.pdf</t>
        </is>
      </c>
    </row>
    <row r="21">
      <c r="A21" t="inlineStr">
        <is>
          <t>2022-07-14</t>
        </is>
      </c>
      <c r="B21" t="inlineStr">
        <is>
          <t>2022년 8월 결산기 3분기 결산단신</t>
        </is>
      </c>
      <c r="C21" t="inlineStr">
        <is>
          <t>https://www2.jpx.co.jp/disc/61990/140120220712598612.pdf</t>
        </is>
      </c>
    </row>
    <row r="22">
      <c r="A22" t="inlineStr">
        <is>
          <t>2022-04-13</t>
        </is>
      </c>
      <c r="B22" t="inlineStr">
        <is>
          <t>2022년 8월 결산기 2분기 결산단신</t>
        </is>
      </c>
      <c r="C22" t="inlineStr">
        <is>
          <t>https://www2.jpx.co.jp/disc/61990/140120220412520556.pdf</t>
        </is>
      </c>
    </row>
    <row r="23">
      <c r="A23" t="inlineStr">
        <is>
          <t>2022-01-13</t>
        </is>
      </c>
      <c r="B23" t="inlineStr">
        <is>
          <t>2022년 8월 결산기 1분기 결산단신</t>
        </is>
      </c>
      <c r="C23" t="inlineStr">
        <is>
          <t>https://www2.jpx.co.jp/disc/61990/140120220112566874.pdf</t>
        </is>
      </c>
    </row>
    <row r="24">
      <c r="A24" t="inlineStr">
        <is>
          <t>2021-10-15</t>
        </is>
      </c>
      <c r="B24" t="inlineStr">
        <is>
          <t>2021년 8월 결산기 연간 결산단신</t>
        </is>
      </c>
      <c r="C24" t="inlineStr">
        <is>
          <t>https://www2.jpx.co.jp/disc/61990/140120211014411262.pdf</t>
        </is>
      </c>
    </row>
    <row r="25">
      <c r="A25" t="inlineStr">
        <is>
          <t>2021-07-14</t>
        </is>
      </c>
      <c r="B25" t="inlineStr">
        <is>
          <t>2021년 8월 결산기 3분기 결산단신</t>
        </is>
      </c>
      <c r="C25" t="inlineStr">
        <is>
          <t>https://www2.jpx.co.jp/disc/61990/140120210712465501.pdf</t>
        </is>
      </c>
    </row>
    <row r="26">
      <c r="A26" t="inlineStr">
        <is>
          <t>2021-04-13</t>
        </is>
      </c>
      <c r="B26" t="inlineStr">
        <is>
          <t>2021년 8월 결산기 2분기 결산단신</t>
        </is>
      </c>
      <c r="C26" t="inlineStr">
        <is>
          <t>https://www2.jpx.co.jp/disc/61990/140120210412492845.pdf</t>
        </is>
      </c>
    </row>
    <row r="27">
      <c r="A27" t="inlineStr">
        <is>
          <t>2021-01-13</t>
        </is>
      </c>
      <c r="B27" t="inlineStr">
        <is>
          <t>2021년 8월 결산기 1분기 결산단신</t>
        </is>
      </c>
      <c r="C27" t="inlineStr">
        <is>
          <t>https://www2.jpx.co.jp/disc/61990/140120210112443270.pdf</t>
        </is>
      </c>
    </row>
    <row r="28">
      <c r="A28" t="inlineStr">
        <is>
          <t>2020-10-15</t>
        </is>
      </c>
      <c r="B28" t="inlineStr">
        <is>
          <t>2020년 8월 결산기 연간 결산단신</t>
        </is>
      </c>
      <c r="C28" t="inlineStr">
        <is>
          <t>https://www2.jpx.co.jp/disc/61990/140120201015404148.pdf</t>
        </is>
      </c>
    </row>
    <row r="29">
      <c r="A29" t="inlineStr">
        <is>
          <t>2020-07-14</t>
        </is>
      </c>
      <c r="B29" t="inlineStr">
        <is>
          <t>2020년 8월 결산기 ３분기 결산단신</t>
        </is>
      </c>
      <c r="C29" t="inlineStr">
        <is>
          <t>https://www2.jpx.co.jp/disc/61990/140120200713461734.pdf</t>
        </is>
      </c>
    </row>
    <row r="30">
      <c r="A30" t="inlineStr">
        <is>
          <t>2020-04-14</t>
        </is>
      </c>
      <c r="B30" t="inlineStr">
        <is>
          <t>2020년 8월 결산기 ２분기 결산단신</t>
        </is>
      </c>
      <c r="C30" t="inlineStr">
        <is>
          <t>https://www2.jpx.co.jp/disc/61990/140120200414493501.pdf</t>
        </is>
      </c>
    </row>
    <row r="31">
      <c r="A31" t="inlineStr">
        <is>
          <t>2020-01-14</t>
        </is>
      </c>
      <c r="B31" t="inlineStr">
        <is>
          <t>2020년 8월 결산기 １분기 결산단신</t>
        </is>
      </c>
      <c r="C31" t="inlineStr">
        <is>
          <t>https://www2.jpx.co.jp/disc/61990/140120200110445703.pdf</t>
        </is>
      </c>
    </row>
    <row r="32">
      <c r="A32" t="inlineStr">
        <is>
          <t>2019-10-15</t>
        </is>
      </c>
      <c r="B32" t="inlineStr">
        <is>
          <t>2019년 8월 결산기 연간 결산단신</t>
        </is>
      </c>
      <c r="C32" t="inlineStr">
        <is>
          <t>https://www2.jpx.co.jp/disc/61990/140120191011407697.pdf</t>
        </is>
      </c>
    </row>
    <row r="33">
      <c r="A33" t="inlineStr">
        <is>
          <t>2019-07-11</t>
        </is>
      </c>
      <c r="B33" t="inlineStr">
        <is>
          <t>2019년 8월 결산기 ３분기 결산단신</t>
        </is>
      </c>
      <c r="C33" t="inlineStr">
        <is>
          <t>https://www2.jpx.co.jp/disc/61990/140120190708468867.pdf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2026-10-25T06:59:12Z</dcterms:created>
  <dcterms:modified xmlns:dcterms="http://purl.org/dc/terms/" xmlns:xsi="http://www.w3.org/2001/XMLSchema-instance" xsi:type="dcterms:W3CDTF">2026-10-25T06:59:13Z</dcterms:modified>
</cp:coreProperties>
</file>