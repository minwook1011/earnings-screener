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319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9202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541703</v>
      </c>
      <c r="D4" s="12" t="n">
        <v>540852</v>
      </c>
      <c r="E4" s="12" t="n">
        <v>512347</v>
      </c>
      <c r="F4" s="12" t="n">
        <v>516775</v>
      </c>
      <c r="G4" s="12" t="n">
        <v>582812</v>
      </c>
      <c r="H4" s="12" t="n">
        <v>603197</v>
      </c>
      <c r="I4" s="12" t="n">
        <v>559072</v>
      </c>
      <c r="J4" s="12" t="n">
        <v>548701</v>
      </c>
      <c r="K4" s="12" t="n">
        <v>641699</v>
      </c>
      <c r="L4" s="12" t="n">
        <v>686984</v>
      </c>
      <c r="M4" s="12" t="n">
        <v>661849</v>
      </c>
      <c r="N4" s="12" t="n">
        <v>672729</v>
      </c>
      <c r="O4" s="11" t="n">
        <v>1765259</v>
      </c>
      <c r="P4" s="12" t="n">
        <v>1971799</v>
      </c>
      <c r="Q4" s="12" t="n">
        <v>2058312</v>
      </c>
      <c r="R4" s="12" t="n">
        <v>1974216</v>
      </c>
      <c r="S4" s="12" t="n">
        <v>728683</v>
      </c>
      <c r="T4" s="12" t="n">
        <v>1020324</v>
      </c>
      <c r="U4" s="12" t="n">
        <v>1707484</v>
      </c>
      <c r="V4" s="12" t="n">
        <v>2055928</v>
      </c>
      <c r="W4" s="12" t="n">
        <v>2261856</v>
      </c>
      <c r="X4" s="12" t="n">
        <v>2539233</v>
      </c>
      <c r="Y4" s="11">
        <f>IF(COUNT(Y7,Y10,Y13,Y16,Y19)=0,"",SUM(Y7,Y10,Y13,Y16,Y19))</f>
        <v/>
      </c>
      <c r="Z4" s="12">
        <f>IF(COUNT(Z7,Z10,Z13,Z16,Z19)=0,"",SUM(Z7,Z10,Z13,Z16,Z19))</f>
        <v/>
      </c>
      <c r="AA4" s="12">
        <f>IF(COUNT(AA7,AA10,AA13,AA16,AA19)=0,"",SUM(AA7,AA10,AA13,AA16,AA19))</f>
        <v/>
      </c>
      <c r="AB4" s="12">
        <f>IF(COUNT(AB7,AB10,AB13,AB16,AB19)=0,"",SUM(AB7,AB10,AB13,AB16,AB19))</f>
        <v/>
      </c>
      <c r="AC4" s="12">
        <f>IF(COUNT(AC7,AC10,AC13,AC16,AC19)=0,"",SUM(AC7,AC10,AC13,AC16,AC19))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Air Transportation Reportable Segments</t>
        </is>
      </c>
      <c r="B7" s="10" t="n"/>
      <c r="C7" s="19" t="n">
        <v>483407</v>
      </c>
      <c r="D7" s="20" t="n">
        <v>483909</v>
      </c>
      <c r="E7" s="20" t="n">
        <v>452263</v>
      </c>
      <c r="F7" s="20" t="n">
        <v>459299</v>
      </c>
      <c r="G7" s="20" t="n">
        <v>521342</v>
      </c>
      <c r="H7" s="20" t="n">
        <v>540803</v>
      </c>
      <c r="I7" s="20" t="n">
        <v>498437</v>
      </c>
      <c r="J7" s="20" t="n">
        <v>488033</v>
      </c>
      <c r="K7" s="20" t="n">
        <v>575169</v>
      </c>
      <c r="L7" s="20" t="n">
        <v>616203</v>
      </c>
      <c r="M7" s="20" t="n">
        <v>597313</v>
      </c>
      <c r="N7" s="20" t="n">
        <v>610980</v>
      </c>
      <c r="O7" s="19" t="n"/>
      <c r="P7" s="20" t="n"/>
      <c r="Q7" s="20" t="n"/>
      <c r="R7" s="20" t="n"/>
      <c r="S7" s="20" t="n"/>
      <c r="T7" s="20" t="n"/>
      <c r="U7" s="20" t="n"/>
      <c r="V7" s="20" t="n">
        <v>1828424</v>
      </c>
      <c r="W7" s="20" t="n">
        <v>2019881</v>
      </c>
      <c r="X7" s="20" t="n">
        <v>2276718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Airline Related Reportable Segments</t>
        </is>
      </c>
      <c r="B10" s="10" t="n"/>
      <c r="C10" s="19" t="n">
        <v>11101</v>
      </c>
      <c r="D10" s="20" t="n">
        <v>12407</v>
      </c>
      <c r="E10" s="20" t="n">
        <v>14634</v>
      </c>
      <c r="F10" s="20" t="n">
        <v>12956</v>
      </c>
      <c r="G10" s="20" t="n">
        <v>14038</v>
      </c>
      <c r="H10" s="20" t="n">
        <v>15542</v>
      </c>
      <c r="I10" s="20" t="n">
        <v>12939</v>
      </c>
      <c r="J10" s="20" t="n">
        <v>14261</v>
      </c>
      <c r="K10" s="20" t="n">
        <v>14162</v>
      </c>
      <c r="L10" s="20" t="n">
        <v>15377</v>
      </c>
      <c r="M10" s="20" t="n">
        <v>16419</v>
      </c>
      <c r="N10" s="20" t="n">
        <v>14580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48904</v>
      </c>
      <c r="W10" s="20" t="n">
        <v>55475</v>
      </c>
      <c r="X10" s="20" t="n">
        <v>60219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Travel Services Reportable Segments</t>
        </is>
      </c>
      <c r="B13" s="10" t="n"/>
      <c r="C13" s="19" t="n">
        <v>17450</v>
      </c>
      <c r="D13" s="20" t="n">
        <v>14812</v>
      </c>
      <c r="E13" s="20" t="n">
        <v>13866</v>
      </c>
      <c r="F13" s="20" t="n">
        <v>13035</v>
      </c>
      <c r="G13" s="20" t="n">
        <v>15650</v>
      </c>
      <c r="H13" s="20" t="n">
        <v>13660</v>
      </c>
      <c r="I13" s="20" t="n">
        <v>13549</v>
      </c>
      <c r="J13" s="20" t="n">
        <v>11640</v>
      </c>
      <c r="K13" s="20" t="n">
        <v>14936</v>
      </c>
      <c r="L13" s="20" t="n">
        <v>12234</v>
      </c>
      <c r="M13" s="20" t="n">
        <v>11344</v>
      </c>
      <c r="N13" s="20" t="n">
        <v>10896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60163</v>
      </c>
      <c r="W13" s="20" t="n">
        <v>55894</v>
      </c>
      <c r="X13" s="20" t="n">
        <v>50154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Trade And Retail Reportable Segments</t>
        </is>
      </c>
      <c r="B16" s="10" t="n"/>
      <c r="C16" s="19" t="n">
        <v>25934</v>
      </c>
      <c r="D16" s="20" t="n">
        <v>25805</v>
      </c>
      <c r="E16" s="20" t="n">
        <v>25706</v>
      </c>
      <c r="F16" s="20" t="n">
        <v>27523</v>
      </c>
      <c r="G16" s="20" t="n">
        <v>27911</v>
      </c>
      <c r="H16" s="20" t="n">
        <v>28334</v>
      </c>
      <c r="I16" s="20" t="n">
        <v>28182</v>
      </c>
      <c r="J16" s="20" t="n">
        <v>30286</v>
      </c>
      <c r="K16" s="20" t="n">
        <v>33232</v>
      </c>
      <c r="L16" s="20" t="n">
        <v>38072</v>
      </c>
      <c r="M16" s="20" t="n">
        <v>31343</v>
      </c>
      <c r="N16" s="20" t="n">
        <v>31849</v>
      </c>
      <c r="O16" s="19" t="n"/>
      <c r="P16" s="20" t="n"/>
      <c r="Q16" s="20" t="n"/>
      <c r="R16" s="20" t="n"/>
      <c r="S16" s="20" t="n"/>
      <c r="T16" s="20" t="n"/>
      <c r="U16" s="20" t="n"/>
      <c r="V16" s="20" t="n">
        <v>101491</v>
      </c>
      <c r="W16" s="20" t="n">
        <v>111950</v>
      </c>
      <c r="X16" s="20" t="n">
        <v>132933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기타</t>
        </is>
      </c>
      <c r="B19" s="10" t="n"/>
      <c r="C19" s="19" t="n">
        <v>3811</v>
      </c>
      <c r="D19" s="20" t="n">
        <v>3919</v>
      </c>
      <c r="E19" s="20" t="n">
        <v>5878</v>
      </c>
      <c r="F19" s="20" t="n">
        <v>3962</v>
      </c>
      <c r="G19" s="20" t="n">
        <v>3871</v>
      </c>
      <c r="H19" s="20" t="n">
        <v>4858</v>
      </c>
      <c r="I19" s="20" t="n">
        <v>5965</v>
      </c>
      <c r="J19" s="20" t="n">
        <v>4481</v>
      </c>
      <c r="K19" s="20" t="n">
        <v>4200</v>
      </c>
      <c r="L19" s="20" t="n">
        <v>5098</v>
      </c>
      <c r="M19" s="20" t="n">
        <v>5430</v>
      </c>
      <c r="N19" s="20" t="n">
        <v>4424</v>
      </c>
      <c r="O19" s="19" t="n"/>
      <c r="P19" s="20" t="n"/>
      <c r="Q19" s="20" t="n"/>
      <c r="R19" s="20" t="n"/>
      <c r="S19" s="20" t="n"/>
      <c r="T19" s="20" t="n"/>
      <c r="U19" s="20" t="n"/>
      <c r="V19" s="20" t="n">
        <v>16946</v>
      </c>
      <c r="W19" s="20" t="n">
        <v>18656</v>
      </c>
      <c r="X19" s="20" t="n">
        <v>19209</v>
      </c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6" t="inlineStr">
        <is>
          <t>매출원가</t>
        </is>
      </c>
      <c r="B22" s="16" t="n"/>
      <c r="C22" s="17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7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7" t="n"/>
      <c r="Z22" s="16" t="n"/>
      <c r="AA22" s="16" t="n"/>
      <c r="AB22" s="16" t="n"/>
      <c r="AC22" s="16" t="n"/>
    </row>
    <row r="23">
      <c r="A23" s="18" t="inlineStr">
        <is>
          <t>전체 매출원가</t>
        </is>
      </c>
      <c r="B23" s="10" t="n"/>
      <c r="C23" s="19" t="n">
        <v>405616</v>
      </c>
      <c r="D23" s="20" t="n">
        <v>411589</v>
      </c>
      <c r="E23" s="20" t="n">
        <v>454972</v>
      </c>
      <c r="F23" s="20" t="n">
        <v>433811</v>
      </c>
      <c r="G23" s="20" t="n">
        <v>450885</v>
      </c>
      <c r="H23" s="20" t="n">
        <v>485562</v>
      </c>
      <c r="I23" s="20" t="n">
        <v>473284</v>
      </c>
      <c r="J23" s="20" t="n">
        <v>456915</v>
      </c>
      <c r="K23" s="20" t="n">
        <v>522220</v>
      </c>
      <c r="L23" s="20" t="n">
        <v>542837</v>
      </c>
      <c r="M23" s="20" t="n">
        <v>552786</v>
      </c>
      <c r="N23" s="20" t="n">
        <v>590110</v>
      </c>
      <c r="O23" s="19" t="n">
        <v>1324846</v>
      </c>
      <c r="P23" s="20" t="n">
        <v>1481881</v>
      </c>
      <c r="Q23" s="20" t="n">
        <v>1559876</v>
      </c>
      <c r="R23" s="20" t="n">
        <v>1583434</v>
      </c>
      <c r="S23" s="20" t="n">
        <v>1000000</v>
      </c>
      <c r="T23" s="20" t="n">
        <v>1049414</v>
      </c>
      <c r="U23" s="20" t="n">
        <v>1403567</v>
      </c>
      <c r="V23" s="20" t="n">
        <v>1642263</v>
      </c>
      <c r="W23" s="20" t="n">
        <v>1843542</v>
      </c>
      <c r="X23" s="20" t="n">
        <v>2074758</v>
      </c>
      <c r="Y23" s="19" t="n"/>
      <c r="Z23" s="20" t="n"/>
      <c r="AA23" s="20" t="n"/>
      <c r="AB23" s="20" t="n"/>
      <c r="AC23" s="20" t="n"/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IF(OR(G23="",C23=""),"",IF(C23&lt;=0,"",IFERROR(G23/C23-1,"")))</f>
        <v/>
      </c>
      <c r="H24" s="15">
        <f>IF(OR(H23="",D23=""),"",IF(D23&lt;=0,"",IFERROR(H23/D23-1,"")))</f>
        <v/>
      </c>
      <c r="I24" s="15">
        <f>IF(OR(I23="",E23=""),"",IF(E23&lt;=0,"",IFERROR(I23/E23-1,"")))</f>
        <v/>
      </c>
      <c r="J24" s="15">
        <f>IF(OR(J23="",F23=""),"",IF(F23&lt;=0,"",IFERROR(J23/F23-1,"")))</f>
        <v/>
      </c>
      <c r="K24" s="15">
        <f>IF(OR(K23="",G23=""),"",IF(G23&lt;=0,"",IFERROR(K23/G23-1,"")))</f>
        <v/>
      </c>
      <c r="L24" s="15">
        <f>IF(OR(L23="",H23=""),"",IF(H23&lt;=0,"",IFERROR(L23/H23-1,"")))</f>
        <v/>
      </c>
      <c r="M24" s="15">
        <f>IF(OR(M23="",I23=""),"",IF(I23&lt;=0,"",IFERROR(M23/I23-1,"")))</f>
        <v/>
      </c>
      <c r="N24" s="15">
        <f>IF(OR(N23="",J23=""),"",IF(J23&lt;=0,"",IFERROR(N23/J23-1,"")))</f>
        <v/>
      </c>
      <c r="O24" s="14" t="n"/>
      <c r="P24" s="15">
        <f>IF(OR(P23="",O23=""),"",IF(O23&lt;=0,"",IFERROR(P23/O23-1,"")))</f>
        <v/>
      </c>
      <c r="Q24" s="15">
        <f>IF(OR(Q23="",P23=""),"",IF(P23&lt;=0,"",IFERROR(Q23/P23-1,"")))</f>
        <v/>
      </c>
      <c r="R24" s="15">
        <f>IF(OR(R23="",Q23=""),"",IF(Q23&lt;=0,"",IFERROR(R23/Q23-1,"")))</f>
        <v/>
      </c>
      <c r="S24" s="15">
        <f>IF(OR(S23="",R23=""),"",IF(R23&lt;=0,"",IFERROR(S23/R23-1,"")))</f>
        <v/>
      </c>
      <c r="T24" s="15">
        <f>IF(OR(T23="",S23=""),"",IF(S23&lt;=0,"",IFERROR(T23/S23-1,"")))</f>
        <v/>
      </c>
      <c r="U24" s="15">
        <f>IF(OR(U23="",T23=""),"",IF(T23&lt;=0,"",IFERROR(U23/T23-1,"")))</f>
        <v/>
      </c>
      <c r="V24" s="15">
        <f>IF(OR(V23="",U23=""),"",IF(U23&lt;=0,"",IFERROR(V23/U23-1,"")))</f>
        <v/>
      </c>
      <c r="W24" s="15">
        <f>IF(OR(W23="",V23=""),"",IF(V23&lt;=0,"",IFERROR(W23/V23-1,"")))</f>
        <v/>
      </c>
      <c r="X24" s="15">
        <f>IF(OR(X23="",W23=""),"",IF(W23&lt;=0,"",IFERROR(X23/W23-1,"")))</f>
        <v/>
      </c>
      <c r="Y24" s="14">
        <f>IF(OR(Y23="",X23=""),"",IF(X23&lt;=0,"",IFERROR(Y23/X23-1,"")))</f>
        <v/>
      </c>
      <c r="Z24" s="15">
        <f>IF(OR(Z23="",Y23=""),"",IF(Y23&lt;=0,"",IFERROR(Z23/Y23-1,"")))</f>
        <v/>
      </c>
      <c r="AA24" s="15">
        <f>IF(OR(AA23="",Z23=""),"",IF(Z23&lt;=0,"",IFERROR(AA23/Z23-1,"")))</f>
        <v/>
      </c>
      <c r="AB24" s="15">
        <f>IF(OR(AB23="",AA23=""),"",IF(AA23&lt;=0,"",IFERROR(AB23/AA23-1,"")))</f>
        <v/>
      </c>
      <c r="AC24" s="15">
        <f>IF(OR(AC23="",AB23=""),"",IF(AB23&lt;=0,"",IFERROR(AC23/AB23-1,"")))</f>
        <v/>
      </c>
    </row>
    <row r="25">
      <c r="A25" s="18" t="inlineStr">
        <is>
          <t>매출총이익</t>
        </is>
      </c>
      <c r="B25" s="10" t="n"/>
      <c r="C25" s="19">
        <f>IF(OR(C4="",C23=""),"",IFERROR(C4-C23,""))</f>
        <v/>
      </c>
      <c r="D25" s="20">
        <f>IF(OR(D4="",D23=""),"",IFERROR(D4-D23,""))</f>
        <v/>
      </c>
      <c r="E25" s="20">
        <f>IF(OR(E4="",E23=""),"",IFERROR(E4-E23,""))</f>
        <v/>
      </c>
      <c r="F25" s="20">
        <f>IF(OR(F4="",F23=""),"",IFERROR(F4-F23,""))</f>
        <v/>
      </c>
      <c r="G25" s="20">
        <f>IF(OR(G4="",G23=""),"",IFERROR(G4-G23,""))</f>
        <v/>
      </c>
      <c r="H25" s="20">
        <f>IF(OR(H4="",H23=""),"",IFERROR(H4-H23,""))</f>
        <v/>
      </c>
      <c r="I25" s="20">
        <f>IF(OR(I4="",I23=""),"",IFERROR(I4-I23,""))</f>
        <v/>
      </c>
      <c r="J25" s="20">
        <f>IF(OR(J4="",J23=""),"",IFERROR(J4-J23,""))</f>
        <v/>
      </c>
      <c r="K25" s="20">
        <f>IF(OR(K4="",K23=""),"",IFERROR(K4-K23,""))</f>
        <v/>
      </c>
      <c r="L25" s="20">
        <f>IF(OR(L4="",L23=""),"",IFERROR(L4-L23,""))</f>
        <v/>
      </c>
      <c r="M25" s="20">
        <f>IF(OR(M4="",M23=""),"",IFERROR(M4-M23,""))</f>
        <v/>
      </c>
      <c r="N25" s="20">
        <f>IF(OR(N4="",N23=""),"",IFERROR(N4-N23,""))</f>
        <v/>
      </c>
      <c r="O25" s="19">
        <f>IF(OR(O4="",O23=""),"",IFERROR(O4-O23,""))</f>
        <v/>
      </c>
      <c r="P25" s="20">
        <f>IF(OR(P4="",P23=""),"",IFERROR(P4-P23,""))</f>
        <v/>
      </c>
      <c r="Q25" s="20">
        <f>IF(OR(Q4="",Q23=""),"",IFERROR(Q4-Q23,""))</f>
        <v/>
      </c>
      <c r="R25" s="20">
        <f>IF(OR(R4="",R23=""),"",IFERROR(R4-R23,""))</f>
        <v/>
      </c>
      <c r="S25" s="20">
        <f>IF(OR(S4="",S23=""),"",IFERROR(S4-S23,""))</f>
        <v/>
      </c>
      <c r="T25" s="20">
        <f>IF(OR(T4="",T23=""),"",IFERROR(T4-T23,""))</f>
        <v/>
      </c>
      <c r="U25" s="20">
        <f>IF(OR(U4="",U23=""),"",IFERROR(U4-U23,""))</f>
        <v/>
      </c>
      <c r="V25" s="20">
        <f>IF(OR(V4="",V23=""),"",IFERROR(V4-V23,""))</f>
        <v/>
      </c>
      <c r="W25" s="20">
        <f>IF(OR(W4="",W23=""),"",IFERROR(W4-W23,""))</f>
        <v/>
      </c>
      <c r="X25" s="20">
        <f>IF(OR(X4="",X23=""),"",IFERROR(X4-X23,""))</f>
        <v/>
      </c>
      <c r="Y25" s="19" t="n"/>
      <c r="Z25" s="20" t="n"/>
      <c r="AA25" s="20" t="n"/>
      <c r="AB25" s="20" t="n"/>
      <c r="AC25" s="20" t="n"/>
    </row>
    <row r="26">
      <c r="A26" s="13" t="inlineStr">
        <is>
          <t>GPM</t>
        </is>
      </c>
      <c r="B26" s="10" t="n"/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14">
        <f>IF(OR(Y25="",Y4=""),"",IFERROR(Y25/Y4,""))</f>
        <v/>
      </c>
      <c r="Z26" s="15">
        <f>IF(OR(Z25="",Z4=""),"",IFERROR(Z25/Z4,""))</f>
        <v/>
      </c>
      <c r="AA26" s="15">
        <f>IF(OR(AA25="",AA4=""),"",IFERROR(AA25/AA4,""))</f>
        <v/>
      </c>
      <c r="AB26" s="15">
        <f>IF(OR(AB25="",AB4=""),"",IFERROR(AB25/AB4,""))</f>
        <v/>
      </c>
      <c r="AC26" s="15">
        <f>IF(OR(AC25="",AC4=""),"",IFERROR(AC25/AC4,""))</f>
        <v/>
      </c>
    </row>
    <row r="27">
      <c r="A27" s="13" t="inlineStr">
        <is>
          <t>YoY</t>
        </is>
      </c>
      <c r="B27" s="10" t="n"/>
      <c r="C27" s="14" t="n"/>
      <c r="D27" s="15" t="n"/>
      <c r="E27" s="15" t="n"/>
      <c r="F27" s="15" t="n"/>
      <c r="G27" s="15">
        <f>IF(OR(G25="",C25=""),"",IF(C25&lt;=0,"",IFERROR(G25/C25-1,"")))</f>
        <v/>
      </c>
      <c r="H27" s="15">
        <f>IF(OR(H25="",D25=""),"",IF(D25&lt;=0,"",IFERROR(H25/D25-1,"")))</f>
        <v/>
      </c>
      <c r="I27" s="15">
        <f>IF(OR(I25="",E25=""),"",IF(E25&lt;=0,"",IFERROR(I25/E25-1,"")))</f>
        <v/>
      </c>
      <c r="J27" s="15">
        <f>IF(OR(J25="",F25=""),"",IF(F25&lt;=0,"",IFERROR(J25/F25-1,"")))</f>
        <v/>
      </c>
      <c r="K27" s="15">
        <f>IF(OR(K25="",G25=""),"",IF(G25&lt;=0,"",IFERROR(K25/G25-1,"")))</f>
        <v/>
      </c>
      <c r="L27" s="15">
        <f>IF(OR(L25="",H25=""),"",IF(H25&lt;=0,"",IFERROR(L25/H25-1,"")))</f>
        <v/>
      </c>
      <c r="M27" s="15">
        <f>IF(OR(M25="",I25=""),"",IF(I25&lt;=0,"",IFERROR(M25/I25-1,"")))</f>
        <v/>
      </c>
      <c r="N27" s="15">
        <f>IF(OR(N25="",J25=""),"",IF(J25&lt;=0,"",IFERROR(N25/J25-1,"")))</f>
        <v/>
      </c>
      <c r="O27" s="14" t="n"/>
      <c r="P27" s="15">
        <f>IF(OR(P25="",O25=""),"",IF(O25&lt;=0,"",IFERROR(P25/O25-1,"")))</f>
        <v/>
      </c>
      <c r="Q27" s="15">
        <f>IF(OR(Q25="",P25=""),"",IF(P25&lt;=0,"",IFERROR(Q25/P25-1,"")))</f>
        <v/>
      </c>
      <c r="R27" s="15">
        <f>IF(OR(R25="",Q25=""),"",IF(Q25&lt;=0,"",IFERROR(R25/Q25-1,"")))</f>
        <v/>
      </c>
      <c r="S27" s="15">
        <f>IF(OR(S25="",R25=""),"",IF(R25&lt;=0,"",IFERROR(S25/R25-1,"")))</f>
        <v/>
      </c>
      <c r="T27" s="15">
        <f>IF(OR(T25="",S25=""),"",IF(S25&lt;=0,"",IFERROR(T25/S25-1,"")))</f>
        <v/>
      </c>
      <c r="U27" s="15">
        <f>IF(OR(U25="",T25=""),"",IF(T25&lt;=0,"",IFERROR(U25/T25-1,"")))</f>
        <v/>
      </c>
      <c r="V27" s="15">
        <f>IF(OR(V25="",U25=""),"",IF(U25&lt;=0,"",IFERROR(V25/U25-1,"")))</f>
        <v/>
      </c>
      <c r="W27" s="15">
        <f>IF(OR(W25="",V25=""),"",IF(V25&lt;=0,"",IFERROR(W25/V25-1,"")))</f>
        <v/>
      </c>
      <c r="X27" s="15">
        <f>IF(OR(X25="",W25=""),"",IF(W25&lt;=0,"",IFERROR(X25/W25-1,"")))</f>
        <v/>
      </c>
      <c r="Y27" s="14">
        <f>IF(OR(Y25="",X25=""),"",IF(X25&lt;=0,"",IFERROR(Y25/X25-1,"")))</f>
        <v/>
      </c>
      <c r="Z27" s="15">
        <f>IF(OR(Z25="",Y25=""),"",IF(Y25&lt;=0,"",IFERROR(Z25/Y25-1,"")))</f>
        <v/>
      </c>
      <c r="AA27" s="15">
        <f>IF(OR(AA25="",Z25=""),"",IF(Z25&lt;=0,"",IFERROR(AA25/Z25-1,"")))</f>
        <v/>
      </c>
      <c r="AB27" s="15">
        <f>IF(OR(AB25="",AA25=""),"",IF(AA25&lt;=0,"",IFERROR(AB25/AA25-1,"")))</f>
        <v/>
      </c>
      <c r="AC27" s="15">
        <f>IF(OR(AC25="",AB25=""),"",IF(AB25&lt;=0,"",IFERROR(AC25/AB25-1,"")))</f>
        <v/>
      </c>
    </row>
    <row r="28">
      <c r="A28" s="23" t="inlineStr">
        <is>
          <t>판매관리비</t>
        </is>
      </c>
      <c r="B28" s="23" t="n"/>
      <c r="C28" s="24" t="n"/>
      <c r="D28" s="23" t="n"/>
      <c r="E28" s="23" t="n"/>
      <c r="F28" s="23" t="n"/>
      <c r="G28" s="23" t="n"/>
      <c r="H28" s="23" t="n"/>
      <c r="I28" s="23" t="n"/>
      <c r="J28" s="23" t="n"/>
      <c r="K28" s="23" t="n"/>
      <c r="L28" s="23" t="n"/>
      <c r="M28" s="23" t="n"/>
      <c r="N28" s="23" t="n"/>
      <c r="O28" s="24" t="n"/>
      <c r="P28" s="23" t="n"/>
      <c r="Q28" s="23" t="n"/>
      <c r="R28" s="23" t="n"/>
      <c r="S28" s="23" t="n"/>
      <c r="T28" s="23" t="n"/>
      <c r="U28" s="23" t="n"/>
      <c r="V28" s="23" t="n"/>
      <c r="W28" s="23" t="n"/>
      <c r="X28" s="23" t="n"/>
      <c r="Y28" s="24" t="n"/>
      <c r="Z28" s="23" t="n"/>
      <c r="AA28" s="23" t="n"/>
      <c r="AB28" s="23" t="n"/>
      <c r="AC28" s="23" t="n"/>
    </row>
    <row r="29">
      <c r="A29" s="18" t="inlineStr">
        <is>
          <t>전체 판관비</t>
        </is>
      </c>
      <c r="B29" s="10" t="n"/>
      <c r="C29" s="19" t="n">
        <v>50134</v>
      </c>
      <c r="D29" s="20" t="n">
        <v>48886</v>
      </c>
      <c r="E29" s="20" t="n">
        <v>59578</v>
      </c>
      <c r="F29" s="20" t="n">
        <v>52610</v>
      </c>
      <c r="G29" s="20" t="n">
        <v>53907</v>
      </c>
      <c r="H29" s="20" t="n">
        <v>54849</v>
      </c>
      <c r="I29" s="20" t="n">
        <v>60309</v>
      </c>
      <c r="J29" s="20" t="n">
        <v>55000</v>
      </c>
      <c r="K29" s="20" t="n">
        <v>58637</v>
      </c>
      <c r="L29" s="20" t="n">
        <v>61061</v>
      </c>
      <c r="M29" s="20" t="n">
        <v>72340</v>
      </c>
      <c r="N29" s="20" t="n">
        <v>61837</v>
      </c>
      <c r="O29" s="19" t="n">
        <v>294874</v>
      </c>
      <c r="P29" s="20" t="n">
        <v>325402</v>
      </c>
      <c r="Q29" s="20" t="n">
        <v>333417</v>
      </c>
      <c r="R29" s="20" t="n">
        <v>329976</v>
      </c>
      <c r="S29" s="20" t="n">
        <v>193457</v>
      </c>
      <c r="T29" s="20" t="n">
        <v>144037</v>
      </c>
      <c r="U29" s="20" t="n">
        <v>183887</v>
      </c>
      <c r="V29" s="20" t="n">
        <v>205754</v>
      </c>
      <c r="W29" s="20" t="n">
        <v>221675</v>
      </c>
      <c r="X29" s="20" t="n">
        <v>247038</v>
      </c>
      <c r="Y29" s="19" t="n"/>
      <c r="Z29" s="20" t="n"/>
      <c r="AA29" s="20" t="n"/>
      <c r="AB29" s="20" t="n"/>
      <c r="AC29" s="20" t="n"/>
    </row>
    <row r="30">
      <c r="A30" s="13" t="inlineStr">
        <is>
          <t>YoY</t>
        </is>
      </c>
      <c r="B30" s="10" t="n"/>
      <c r="C30" s="14" t="n"/>
      <c r="D30" s="15" t="n"/>
      <c r="E30" s="15" t="n"/>
      <c r="F30" s="15" t="n"/>
      <c r="G30" s="15">
        <f>IF(OR(G29="",C29=""),"",IF(C29&lt;=0,"",IFERROR(G29/C29-1,"")))</f>
        <v/>
      </c>
      <c r="H30" s="15">
        <f>IF(OR(H29="",D29=""),"",IF(D29&lt;=0,"",IFERROR(H29/D29-1,"")))</f>
        <v/>
      </c>
      <c r="I30" s="15">
        <f>IF(OR(I29="",E29=""),"",IF(E29&lt;=0,"",IFERROR(I29/E29-1,"")))</f>
        <v/>
      </c>
      <c r="J30" s="15">
        <f>IF(OR(J29="",F29=""),"",IF(F29&lt;=0,"",IFERROR(J29/F29-1,"")))</f>
        <v/>
      </c>
      <c r="K30" s="15">
        <f>IF(OR(K29="",G29=""),"",IF(G29&lt;=0,"",IFERROR(K29/G29-1,"")))</f>
        <v/>
      </c>
      <c r="L30" s="15">
        <f>IF(OR(L29="",H29=""),"",IF(H29&lt;=0,"",IFERROR(L29/H29-1,"")))</f>
        <v/>
      </c>
      <c r="M30" s="15">
        <f>IF(OR(M29="",I29=""),"",IF(I29&lt;=0,"",IFERROR(M29/I29-1,"")))</f>
        <v/>
      </c>
      <c r="N30" s="15">
        <f>IF(OR(N29="",J29=""),"",IF(J29&lt;=0,"",IFERROR(N29/J29-1,"")))</f>
        <v/>
      </c>
      <c r="O30" s="14" t="n"/>
      <c r="P30" s="15">
        <f>IF(OR(P29="",O29=""),"",IF(O29&lt;=0,"",IFERROR(P29/O29-1,"")))</f>
        <v/>
      </c>
      <c r="Q30" s="15">
        <f>IF(OR(Q29="",P29=""),"",IF(P29&lt;=0,"",IFERROR(Q29/P29-1,"")))</f>
        <v/>
      </c>
      <c r="R30" s="15">
        <f>IF(OR(R29="",Q29=""),"",IF(Q29&lt;=0,"",IFERROR(R29/Q29-1,"")))</f>
        <v/>
      </c>
      <c r="S30" s="15">
        <f>IF(OR(S29="",R29=""),"",IF(R29&lt;=0,"",IFERROR(S29/R29-1,"")))</f>
        <v/>
      </c>
      <c r="T30" s="15">
        <f>IF(OR(T29="",S29=""),"",IF(S29&lt;=0,"",IFERROR(T29/S29-1,"")))</f>
        <v/>
      </c>
      <c r="U30" s="15">
        <f>IF(OR(U29="",T29=""),"",IF(T29&lt;=0,"",IFERROR(U29/T29-1,"")))</f>
        <v/>
      </c>
      <c r="V30" s="15">
        <f>IF(OR(V29="",U29=""),"",IF(U29&lt;=0,"",IFERROR(V29/U29-1,"")))</f>
        <v/>
      </c>
      <c r="W30" s="15">
        <f>IF(OR(W29="",V29=""),"",IF(V29&lt;=0,"",IFERROR(W29/V29-1,"")))</f>
        <v/>
      </c>
      <c r="X30" s="15">
        <f>IF(OR(X29="",W29=""),"",IF(W29&lt;=0,"",IFERROR(X29/W29-1,"")))</f>
        <v/>
      </c>
      <c r="Y30" s="14">
        <f>IF(OR(Y29="",X29=""),"",IF(X29&lt;=0,"",IFERROR(Y29/X29-1,"")))</f>
        <v/>
      </c>
      <c r="Z30" s="15">
        <f>IF(OR(Z29="",Y29=""),"",IF(Y29&lt;=0,"",IFERROR(Z29/Y29-1,"")))</f>
        <v/>
      </c>
      <c r="AA30" s="15">
        <f>IF(OR(AA29="",Z29=""),"",IF(Z29&lt;=0,"",IFERROR(AA29/Z29-1,"")))</f>
        <v/>
      </c>
      <c r="AB30" s="15">
        <f>IF(OR(AB29="",AA29=""),"",IF(AA29&lt;=0,"",IFERROR(AB29/AA29-1,"")))</f>
        <v/>
      </c>
      <c r="AC30" s="15">
        <f>IF(OR(AC29="",AB29=""),"",IF(AB29&lt;=0,"",IFERROR(AC29/AB29-1,"")))</f>
        <v/>
      </c>
    </row>
    <row r="31">
      <c r="A31" s="9" t="inlineStr">
        <is>
          <t>영업이익</t>
        </is>
      </c>
      <c r="B31" s="10" t="inlineStr">
        <is>
          <t>MW = 매출 × OPM</t>
        </is>
      </c>
      <c r="C31" s="11" t="n">
        <v>85953</v>
      </c>
      <c r="D31" s="12" t="n">
        <v>80377</v>
      </c>
      <c r="E31" s="12" t="n">
        <v>-2203</v>
      </c>
      <c r="F31" s="12" t="n">
        <v>30354</v>
      </c>
      <c r="G31" s="12" t="n">
        <v>78020</v>
      </c>
      <c r="H31" s="12" t="n">
        <v>62786</v>
      </c>
      <c r="I31" s="12" t="n">
        <v>25479</v>
      </c>
      <c r="J31" s="12" t="n">
        <v>36786</v>
      </c>
      <c r="K31" s="12" t="n">
        <v>60842</v>
      </c>
      <c r="L31" s="12" t="n">
        <v>83086</v>
      </c>
      <c r="M31" s="12" t="n">
        <v>36723</v>
      </c>
      <c r="N31" s="12" t="n">
        <v>20782</v>
      </c>
      <c r="O31" s="11" t="n">
        <v>145539</v>
      </c>
      <c r="P31" s="12" t="n">
        <v>164516</v>
      </c>
      <c r="Q31" s="12" t="n">
        <v>165019</v>
      </c>
      <c r="R31" s="12" t="n">
        <v>60806</v>
      </c>
      <c r="S31" s="12" t="n">
        <v>-464774</v>
      </c>
      <c r="T31" s="12" t="n">
        <v>-173127</v>
      </c>
      <c r="U31" s="12" t="n">
        <v>120030</v>
      </c>
      <c r="V31" s="12" t="n">
        <v>207911</v>
      </c>
      <c r="W31" s="12" t="n">
        <v>196639</v>
      </c>
      <c r="X31" s="12" t="n">
        <v>217437</v>
      </c>
      <c r="Y31" s="11">
        <f>IF(OR(Y4="",Y32=""),"",IFERROR(Y4*Y32,""))</f>
        <v/>
      </c>
      <c r="Z31" s="12">
        <f>IF(OR(Z4="",Z32=""),"",IFERROR(Z4*Z32,""))</f>
        <v/>
      </c>
      <c r="AA31" s="12">
        <f>IF(OR(AA4="",AA32=""),"",IFERROR(AA4*AA32,""))</f>
        <v/>
      </c>
      <c r="AB31" s="12">
        <f>IF(OR(AB4="",AB32=""),"",IFERROR(AB4*AB32,""))</f>
        <v/>
      </c>
      <c r="AC31" s="12">
        <f>IF(OR(AC4="",AC32=""),"",IFERROR(AC4*AC32,""))</f>
        <v/>
      </c>
    </row>
    <row r="32">
      <c r="A32" s="13" t="inlineStr">
        <is>
          <t>OPM</t>
        </is>
      </c>
      <c r="B32" s="10" t="inlineStr">
        <is>
          <t>MW 입력</t>
        </is>
      </c>
      <c r="C32" s="14">
        <f>IF(OR(C31="",C4=""),"",IFERROR(C31/C4,""))</f>
        <v/>
      </c>
      <c r="D32" s="15">
        <f>IF(OR(D31="",D4=""),"",IFERROR(D31/D4,""))</f>
        <v/>
      </c>
      <c r="E32" s="15">
        <f>IF(OR(E31="",E4=""),"",IFERROR(E31/E4,""))</f>
        <v/>
      </c>
      <c r="F32" s="15">
        <f>IF(OR(F31="",F4=""),"",IFERROR(F31/F4,""))</f>
        <v/>
      </c>
      <c r="G32" s="15">
        <f>IF(OR(G31="",G4=""),"",IFERROR(G31/G4,""))</f>
        <v/>
      </c>
      <c r="H32" s="15">
        <f>IF(OR(H31="",H4=""),"",IFERROR(H31/H4,""))</f>
        <v/>
      </c>
      <c r="I32" s="15">
        <f>IF(OR(I31="",I4=""),"",IFERROR(I31/I4,""))</f>
        <v/>
      </c>
      <c r="J32" s="15">
        <f>IF(OR(J31="",J4=""),"",IFERROR(J31/J4,""))</f>
        <v/>
      </c>
      <c r="K32" s="15">
        <f>IF(OR(K31="",K4=""),"",IFERROR(K31/K4,""))</f>
        <v/>
      </c>
      <c r="L32" s="15">
        <f>IF(OR(L31="",L4=""),"",IFERROR(L31/L4,""))</f>
        <v/>
      </c>
      <c r="M32" s="15">
        <f>IF(OR(M31="",M4=""),"",IFERROR(M31/M4,""))</f>
        <v/>
      </c>
      <c r="N32" s="15">
        <f>IF(OR(N31="",N4=""),"",IFERROR(N31/N4,""))</f>
        <v/>
      </c>
      <c r="O32" s="14">
        <f>IF(OR(O31="",O4=""),"",IFERROR(O31/O4,""))</f>
        <v/>
      </c>
      <c r="P32" s="15">
        <f>IF(OR(P31="",P4=""),"",IFERROR(P31/P4,""))</f>
        <v/>
      </c>
      <c r="Q32" s="15">
        <f>IF(OR(Q31="",Q4=""),"",IFERROR(Q31/Q4,""))</f>
        <v/>
      </c>
      <c r="R32" s="15">
        <f>IF(OR(R31="",R4=""),"",IFERROR(R31/R4,""))</f>
        <v/>
      </c>
      <c r="S32" s="15">
        <f>IF(OR(S31="",S4=""),"",IFERROR(S31/S4,""))</f>
        <v/>
      </c>
      <c r="T32" s="15">
        <f>IF(OR(T31="",T4=""),"",IFERROR(T31/T4,""))</f>
        <v/>
      </c>
      <c r="U32" s="15">
        <f>IF(OR(U31="",U4=""),"",IFERROR(U31/U4,""))</f>
        <v/>
      </c>
      <c r="V32" s="15">
        <f>IF(OR(V31="",V4=""),"",IFERROR(V31/V4,""))</f>
        <v/>
      </c>
      <c r="W32" s="15">
        <f>IF(OR(W31="",W4=""),"",IFERROR(W31/W4,""))</f>
        <v/>
      </c>
      <c r="X32" s="15">
        <f>IF(OR(X31="",X4=""),"",IFERROR(X31/X4,""))</f>
        <v/>
      </c>
      <c r="Y32" s="25" t="n"/>
      <c r="Z32" s="26" t="n"/>
      <c r="AA32" s="26" t="n"/>
      <c r="AB32" s="26" t="n"/>
      <c r="AC32" s="26" t="n"/>
    </row>
    <row r="33">
      <c r="A33" s="13" t="inlineStr">
        <is>
          <t>증가율</t>
        </is>
      </c>
      <c r="B33" s="10" t="n"/>
      <c r="C33" s="14" t="n"/>
      <c r="D33" s="15" t="n"/>
      <c r="E33" s="15" t="n"/>
      <c r="F33" s="15" t="n"/>
      <c r="G33" s="15">
        <f>IF(OR(G31="",C31=""),"",IFERROR(G31/C31-1,""))</f>
        <v/>
      </c>
      <c r="H33" s="15">
        <f>IF(OR(H31="",D31=""),"",IFERROR(H31/D31-1,""))</f>
        <v/>
      </c>
      <c r="I33" s="15">
        <f>IF(OR(I31="",E31=""),"",IFERROR(I31/E31-1,""))</f>
        <v/>
      </c>
      <c r="J33" s="15">
        <f>IF(OR(J31="",F31=""),"",IFERROR(J31/F31-1,""))</f>
        <v/>
      </c>
      <c r="K33" s="15">
        <f>IF(OR(K31="",G31=""),"",IFERROR(K31/G31-1,""))</f>
        <v/>
      </c>
      <c r="L33" s="15">
        <f>IF(OR(L31="",H31=""),"",IFERROR(L31/H31-1,""))</f>
        <v/>
      </c>
      <c r="M33" s="15">
        <f>IF(OR(M31="",I31=""),"",IFERROR(M31/I31-1,""))</f>
        <v/>
      </c>
      <c r="N33" s="15">
        <f>IF(OR(N31="",J31=""),"",IFERROR(N31/J31-1,""))</f>
        <v/>
      </c>
      <c r="O33" s="14" t="n"/>
      <c r="P33" s="15">
        <f>IF(OR(P31="",O31=""),"",IFERROR(P31/O31-1,""))</f>
        <v/>
      </c>
      <c r="Q33" s="15">
        <f>IF(OR(Q31="",P31=""),"",IFERROR(Q31/P31-1,""))</f>
        <v/>
      </c>
      <c r="R33" s="15">
        <f>IF(OR(R31="",Q31=""),"",IFERROR(R31/Q31-1,""))</f>
        <v/>
      </c>
      <c r="S33" s="15">
        <f>IF(OR(S31="",R31=""),"",IFERROR(S31/R31-1,""))</f>
        <v/>
      </c>
      <c r="T33" s="15">
        <f>IF(OR(T31="",S31=""),"",IFERROR(T31/S31-1,""))</f>
        <v/>
      </c>
      <c r="U33" s="15">
        <f>IF(OR(U31="",T31=""),"",IFERROR(U31/T31-1,""))</f>
        <v/>
      </c>
      <c r="V33" s="15">
        <f>IF(OR(V31="",U31=""),"",IFERROR(V31/U31-1,""))</f>
        <v/>
      </c>
      <c r="W33" s="15">
        <f>IF(OR(W31="",V31=""),"",IFERROR(W31/V31-1,""))</f>
        <v/>
      </c>
      <c r="X33" s="15">
        <f>IF(OR(X31="",W31=""),"",IFERROR(X31/W31-1,""))</f>
        <v/>
      </c>
      <c r="Y33" s="14">
        <f>IF(OR(Y31="",X31=""),"",IFERROR(Y31/X31-1,""))</f>
        <v/>
      </c>
      <c r="Z33" s="15">
        <f>IF(OR(Z31="",Y31=""),"",IFERROR(Z31/Y31-1,""))</f>
        <v/>
      </c>
      <c r="AA33" s="15">
        <f>IF(OR(AA31="",Z31=""),"",IFERROR(AA31/Z31-1,""))</f>
        <v/>
      </c>
      <c r="AB33" s="15">
        <f>IF(OR(AB31="",AA31=""),"",IFERROR(AB31/AA31-1,""))</f>
        <v/>
      </c>
      <c r="AC33" s="15">
        <f>IF(OR(AC31="",AB31=""),"",IFERROR(AC31/AB31-1,""))</f>
        <v/>
      </c>
    </row>
    <row r="34">
      <c r="A34" s="16" t="inlineStr">
        <is>
          <t>비용의 성격별 분류</t>
        </is>
      </c>
      <c r="B34" s="16" t="inlineStr">
        <is>
          <t>참고 데이터</t>
        </is>
      </c>
      <c r="C34" s="17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7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7" t="n"/>
      <c r="Z34" s="16" t="n"/>
      <c r="AA34" s="16" t="n"/>
      <c r="AB34" s="16" t="n"/>
      <c r="AC34" s="16" t="n"/>
    </row>
    <row r="35">
      <c r="A35" s="9" t="inlineStr">
        <is>
          <t>총 판관비</t>
        </is>
      </c>
      <c r="B35" s="10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1">
        <f>IF(O29="","",O29)</f>
        <v/>
      </c>
      <c r="P35" s="12">
        <f>IF(P29="","",P29)</f>
        <v/>
      </c>
      <c r="Q35" s="12">
        <f>IF(Q29="","",Q29)</f>
        <v/>
      </c>
      <c r="R35" s="12">
        <f>IF(R29="","",R29)</f>
        <v/>
      </c>
      <c r="S35" s="12">
        <f>IF(S29="","",S29)</f>
        <v/>
      </c>
      <c r="T35" s="12">
        <f>IF(T29="","",T29)</f>
        <v/>
      </c>
      <c r="U35" s="12">
        <f>IF(U29="","",U29)</f>
        <v/>
      </c>
      <c r="V35" s="12">
        <f>IF(V29="","",V29)</f>
        <v/>
      </c>
      <c r="W35" s="12">
        <f>IF(W29="","",W29)</f>
        <v/>
      </c>
      <c r="X35" s="12">
        <f>IF(X29="","",X29)</f>
        <v/>
      </c>
      <c r="Y35" s="11" t="n"/>
      <c r="Z35" s="12" t="n"/>
      <c r="AA35" s="12" t="n"/>
      <c r="AB35" s="12" t="n"/>
      <c r="AC35" s="12" t="n"/>
    </row>
    <row r="36">
      <c r="A36" s="18" t="inlineStr">
        <is>
          <t>급여</t>
        </is>
      </c>
      <c r="B36" s="10" t="inlineStr">
        <is>
          <t>고정비</t>
        </is>
      </c>
      <c r="C36" s="19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19" t="n">
        <v>36653</v>
      </c>
      <c r="P36" s="20" t="n">
        <v>38976</v>
      </c>
      <c r="Q36" s="20" t="n">
        <v>39760</v>
      </c>
      <c r="R36" s="20" t="n">
        <v>39446</v>
      </c>
      <c r="S36" s="20" t="n">
        <v>31299</v>
      </c>
      <c r="T36" s="20" t="n">
        <v>30357</v>
      </c>
      <c r="U36" s="20" t="n">
        <v>33578</v>
      </c>
      <c r="V36" s="20" t="n">
        <v>35249</v>
      </c>
      <c r="W36" s="20" t="n">
        <v>38599</v>
      </c>
      <c r="X36" s="20" t="n">
        <v>43050</v>
      </c>
      <c r="Y36" s="19" t="n"/>
      <c r="Z36" s="20" t="n"/>
      <c r="AA36" s="20" t="n"/>
      <c r="AB36" s="20" t="n"/>
      <c r="AC36" s="20" t="n"/>
    </row>
    <row r="37">
      <c r="A37" s="13" t="inlineStr">
        <is>
          <t>% of Sales</t>
        </is>
      </c>
      <c r="B37" s="10" t="n"/>
      <c r="C37" s="14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4">
        <f>IF(OR(O36="",O4=""),"",IFERROR(O36/O4,""))</f>
        <v/>
      </c>
      <c r="P37" s="15">
        <f>IF(OR(P36="",P4=""),"",IFERROR(P36/P4,""))</f>
        <v/>
      </c>
      <c r="Q37" s="15">
        <f>IF(OR(Q36="",Q4=""),"",IFERROR(Q36/Q4,""))</f>
        <v/>
      </c>
      <c r="R37" s="15">
        <f>IF(OR(R36="",R4=""),"",IFERROR(R36/R4,""))</f>
        <v/>
      </c>
      <c r="S37" s="15">
        <f>IF(OR(S36="",S4=""),"",IFERROR(S36/S4,""))</f>
        <v/>
      </c>
      <c r="T37" s="15">
        <f>IF(OR(T36="",T4=""),"",IFERROR(T36/T4,""))</f>
        <v/>
      </c>
      <c r="U37" s="15">
        <f>IF(OR(U36="",U4=""),"",IFERROR(U36/U4,""))</f>
        <v/>
      </c>
      <c r="V37" s="15">
        <f>IF(OR(V36="",V4=""),"",IFERROR(V36/V4,""))</f>
        <v/>
      </c>
      <c r="W37" s="15">
        <f>IF(OR(W36="",W4=""),"",IFERROR(W36/W4,""))</f>
        <v/>
      </c>
      <c r="X37" s="15">
        <f>IF(OR(X36="",X4=""),"",IFERROR(X36/X4,""))</f>
        <v/>
      </c>
      <c r="Y37" s="14" t="n"/>
      <c r="Z37" s="15" t="n"/>
      <c r="AA37" s="15" t="n"/>
      <c r="AB37" s="15" t="n"/>
      <c r="AC37" s="15" t="n"/>
    </row>
    <row r="38">
      <c r="A38" s="18" t="inlineStr">
        <is>
          <t>감가상각비</t>
        </is>
      </c>
      <c r="B38" s="10" t="inlineStr">
        <is>
          <t>고정비</t>
        </is>
      </c>
      <c r="C38" s="19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19" t="n">
        <v>18342</v>
      </c>
      <c r="P38" s="20" t="n">
        <v>22014</v>
      </c>
      <c r="Q38" s="20" t="n">
        <v>24828</v>
      </c>
      <c r="R38" s="20" t="n">
        <v>27616</v>
      </c>
      <c r="S38" s="20" t="n">
        <v>26968</v>
      </c>
      <c r="T38" s="20" t="n">
        <v>25379</v>
      </c>
      <c r="U38" s="20" t="n">
        <v>22113</v>
      </c>
      <c r="V38" s="20" t="n">
        <v>17779</v>
      </c>
      <c r="W38" s="20" t="n">
        <v>15199</v>
      </c>
      <c r="X38" s="20" t="n">
        <v>21884</v>
      </c>
      <c r="Y38" s="19" t="n"/>
      <c r="Z38" s="20" t="n"/>
      <c r="AA38" s="20" t="n"/>
      <c r="AB38" s="20" t="n"/>
      <c r="AC38" s="20" t="n"/>
    </row>
    <row r="39">
      <c r="A39" s="13" t="inlineStr">
        <is>
          <t>% of Sales</t>
        </is>
      </c>
      <c r="B39" s="10" t="n"/>
      <c r="C39" s="14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14" t="n"/>
      <c r="Z39" s="15" t="n"/>
      <c r="AA39" s="15" t="n"/>
      <c r="AB39" s="15" t="n"/>
      <c r="AC39" s="15" t="n"/>
    </row>
    <row r="40">
      <c r="A40" s="18" t="inlineStr">
        <is>
          <t>지급수수료</t>
        </is>
      </c>
      <c r="B40" s="10" t="inlineStr">
        <is>
          <t>고정비</t>
        </is>
      </c>
      <c r="C40" s="19" t="n"/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19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19" t="n"/>
      <c r="Z40" s="20" t="n"/>
      <c r="AA40" s="20" t="n"/>
      <c r="AB40" s="20" t="n"/>
      <c r="AC40" s="20" t="n"/>
    </row>
    <row r="41">
      <c r="A41" s="13" t="inlineStr">
        <is>
          <t>% of Sales</t>
        </is>
      </c>
      <c r="B41" s="10" t="n"/>
      <c r="C41" s="14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4">
        <f>IF(OR(O40="",O4=""),"",IFERROR(O40/O4,""))</f>
        <v/>
      </c>
      <c r="P41" s="15">
        <f>IF(OR(P40="",P4=""),"",IFERROR(P40/P4,""))</f>
        <v/>
      </c>
      <c r="Q41" s="15">
        <f>IF(OR(Q40="",Q4=""),"",IFERROR(Q40/Q4,""))</f>
        <v/>
      </c>
      <c r="R41" s="15">
        <f>IF(OR(R40="",R4=""),"",IFERROR(R40/R4,""))</f>
        <v/>
      </c>
      <c r="S41" s="15">
        <f>IF(OR(S40="",S4=""),"",IFERROR(S40/S4,""))</f>
        <v/>
      </c>
      <c r="T41" s="15">
        <f>IF(OR(T40="",T4=""),"",IFERROR(T40/T4,""))</f>
        <v/>
      </c>
      <c r="U41" s="15">
        <f>IF(OR(U40="",U4=""),"",IFERROR(U40/U4,""))</f>
        <v/>
      </c>
      <c r="V41" s="15">
        <f>IF(OR(V40="",V4=""),"",IFERROR(V40/V4,""))</f>
        <v/>
      </c>
      <c r="W41" s="15">
        <f>IF(OR(W40="",W4=""),"",IFERROR(W40/W4,""))</f>
        <v/>
      </c>
      <c r="X41" s="15">
        <f>IF(OR(X40="",X4=""),"",IFERROR(X40/X4,""))</f>
        <v/>
      </c>
      <c r="Y41" s="14" t="n"/>
      <c r="Z41" s="15" t="n"/>
      <c r="AA41" s="15" t="n"/>
      <c r="AB41" s="15" t="n"/>
      <c r="AC41" s="15" t="n"/>
    </row>
    <row r="42">
      <c r="A42" s="18" t="inlineStr">
        <is>
          <t>연구개발비</t>
        </is>
      </c>
      <c r="B42" s="10" t="inlineStr">
        <is>
          <t>변동비</t>
        </is>
      </c>
      <c r="C42" s="19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19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19" t="n"/>
      <c r="Z42" s="20" t="n"/>
      <c r="AA42" s="20" t="n"/>
      <c r="AB42" s="20" t="n"/>
      <c r="AC42" s="20" t="n"/>
    </row>
    <row r="43">
      <c r="A43" s="13" t="inlineStr">
        <is>
          <t>% of Sales</t>
        </is>
      </c>
      <c r="B43" s="10" t="n"/>
      <c r="C43" s="14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4">
        <f>IF(OR(O42="",O4=""),"",IFERROR(O42/O4,""))</f>
        <v/>
      </c>
      <c r="P43" s="15">
        <f>IF(OR(P42="",P4=""),"",IFERROR(P42/P4,""))</f>
        <v/>
      </c>
      <c r="Q43" s="15">
        <f>IF(OR(Q42="",Q4=""),"",IFERROR(Q42/Q4,""))</f>
        <v/>
      </c>
      <c r="R43" s="15">
        <f>IF(OR(R42="",R4=""),"",IFERROR(R42/R4,""))</f>
        <v/>
      </c>
      <c r="S43" s="15">
        <f>IF(OR(S42="",S4=""),"",IFERROR(S42/S4,""))</f>
        <v/>
      </c>
      <c r="T43" s="15">
        <f>IF(OR(T42="",T4=""),"",IFERROR(T42/T4,""))</f>
        <v/>
      </c>
      <c r="U43" s="15">
        <f>IF(OR(U42="",U4=""),"",IFERROR(U42/U4,""))</f>
        <v/>
      </c>
      <c r="V43" s="15">
        <f>IF(OR(V42="",V4=""),"",IFERROR(V42/V4,""))</f>
        <v/>
      </c>
      <c r="W43" s="15">
        <f>IF(OR(W42="",W4=""),"",IFERROR(W42/W4,""))</f>
        <v/>
      </c>
      <c r="X43" s="15">
        <f>IF(OR(X42="",X4=""),"",IFERROR(X42/X4,""))</f>
        <v/>
      </c>
      <c r="Y43" s="14" t="n"/>
      <c r="Z43" s="15" t="n"/>
      <c r="AA43" s="15" t="n"/>
      <c r="AB43" s="15" t="n"/>
      <c r="AC43" s="15" t="n"/>
    </row>
    <row r="44">
      <c r="A44" s="18" t="inlineStr">
        <is>
          <t>기타비용</t>
        </is>
      </c>
      <c r="B44" s="10" t="inlineStr">
        <is>
          <t>변동비</t>
        </is>
      </c>
      <c r="C44" s="19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19">
        <f>IF(OR(O35="",O36="",O38="",O40="",O42=""),"",IFERROR(O35-O36-O38-O40-O42,""))</f>
        <v/>
      </c>
      <c r="P44" s="20">
        <f>IF(OR(P35="",P36="",P38="",P40="",P42=""),"",IFERROR(P35-P36-P38-P40-P42,""))</f>
        <v/>
      </c>
      <c r="Q44" s="20">
        <f>IF(OR(Q35="",Q36="",Q38="",Q40="",Q42=""),"",IFERROR(Q35-Q36-Q38-Q40-Q42,""))</f>
        <v/>
      </c>
      <c r="R44" s="20">
        <f>IF(OR(R35="",R36="",R38="",R40="",R42=""),"",IFERROR(R35-R36-R38-R40-R42,""))</f>
        <v/>
      </c>
      <c r="S44" s="20">
        <f>IF(OR(S35="",S36="",S38="",S40="",S42=""),"",IFERROR(S35-S36-S38-S40-S42,""))</f>
        <v/>
      </c>
      <c r="T44" s="20">
        <f>IF(OR(T35="",T36="",T38="",T40="",T42=""),"",IFERROR(T35-T36-T38-T40-T42,""))</f>
        <v/>
      </c>
      <c r="U44" s="20">
        <f>IF(OR(U35="",U36="",U38="",U40="",U42=""),"",IFERROR(U35-U36-U38-U40-U42,""))</f>
        <v/>
      </c>
      <c r="V44" s="20">
        <f>IF(OR(V35="",V36="",V38="",V40="",V42=""),"",IFERROR(V35-V36-V38-V40-V42,""))</f>
        <v/>
      </c>
      <c r="W44" s="20">
        <f>IF(OR(W35="",W36="",W38="",W40="",W42=""),"",IFERROR(W35-W36-W38-W40-W42,""))</f>
        <v/>
      </c>
      <c r="X44" s="20">
        <f>IF(OR(X35="",X36="",X38="",X40="",X42=""),"",IFERROR(X35-X36-X38-X40-X42,""))</f>
        <v/>
      </c>
      <c r="Y44" s="19" t="n"/>
      <c r="Z44" s="20" t="n"/>
      <c r="AA44" s="20" t="n"/>
      <c r="AB44" s="20" t="n"/>
      <c r="AC44" s="20" t="n"/>
    </row>
    <row r="45">
      <c r="A45" s="13" t="inlineStr">
        <is>
          <t>% of Sales</t>
        </is>
      </c>
      <c r="B45" s="10" t="n"/>
      <c r="C45" s="14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14" t="n"/>
      <c r="Z45" s="15" t="n"/>
      <c r="AA45" s="15" t="n"/>
      <c r="AB45" s="15" t="n"/>
      <c r="AC45" s="15" t="n"/>
    </row>
    <row r="46">
      <c r="A46" s="16" t="inlineStr">
        <is>
          <t>당기순이익 추정</t>
        </is>
      </c>
      <c r="B46" s="16" t="n"/>
      <c r="C46" s="17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7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7" t="n"/>
      <c r="Z46" s="16" t="n"/>
      <c r="AA46" s="16" t="n"/>
      <c r="AB46" s="16" t="n"/>
      <c r="AC46" s="16" t="n"/>
    </row>
    <row r="47">
      <c r="A47" s="18" t="inlineStr">
        <is>
          <t>특별이익</t>
        </is>
      </c>
      <c r="B47" s="10" t="n"/>
      <c r="C47" s="19" t="n"/>
      <c r="D47" s="20" t="n">
        <v>0</v>
      </c>
      <c r="E47" s="20" t="n">
        <v>0</v>
      </c>
      <c r="F47" s="20" t="n"/>
      <c r="G47" s="20" t="n"/>
      <c r="H47" s="20" t="n">
        <v>35</v>
      </c>
      <c r="I47" s="20" t="n">
        <v>104</v>
      </c>
      <c r="J47" s="20" t="n">
        <v>0</v>
      </c>
      <c r="K47" s="20" t="n">
        <v>11256</v>
      </c>
      <c r="L47" s="20" t="n">
        <v>642</v>
      </c>
      <c r="M47" s="20" t="n">
        <v>13</v>
      </c>
      <c r="N47" s="20" t="n">
        <v>2051</v>
      </c>
      <c r="O47" s="19" t="n">
        <v>2283</v>
      </c>
      <c r="P47" s="20" t="n">
        <v>44758</v>
      </c>
      <c r="Q47" s="20" t="n">
        <v>6813</v>
      </c>
      <c r="R47" s="20" t="n">
        <v>19254</v>
      </c>
      <c r="S47" s="20" t="n">
        <v>5220</v>
      </c>
      <c r="T47" s="20" t="n">
        <v>28310</v>
      </c>
      <c r="U47" s="20" t="n">
        <v>3574</v>
      </c>
      <c r="V47" s="20" t="n">
        <v>0</v>
      </c>
      <c r="W47" s="20" t="n">
        <v>404</v>
      </c>
      <c r="X47" s="20" t="n">
        <v>11911</v>
      </c>
      <c r="Y47" s="19">
        <f>IF(OR(Y4="",Y48=""),"",IFERROR(Y4*Y48,""))</f>
        <v/>
      </c>
      <c r="Z47" s="20">
        <f>IF(OR(Z4="",Z48=""),"",IFERROR(Z4*Z48,""))</f>
        <v/>
      </c>
      <c r="AA47" s="20">
        <f>IF(OR(AA4="",AA48=""),"",IFERROR(AA4*AA48,""))</f>
        <v/>
      </c>
      <c r="AB47" s="20">
        <f>IF(OR(AB4="",AB48=""),"",IFERROR(AB4*AB48,""))</f>
        <v/>
      </c>
      <c r="AC47" s="20">
        <f>IF(OR(AC4="",AC48=""),"",IFERROR(AC4*AC48,""))</f>
        <v/>
      </c>
    </row>
    <row r="48">
      <c r="A48" s="13" t="inlineStr">
        <is>
          <t>% of Sales</t>
        </is>
      </c>
      <c r="B48" s="10" t="inlineStr">
        <is>
          <t>MW = 최근 3년 평균</t>
        </is>
      </c>
      <c r="C48" s="14">
        <f>IF(OR(C47="",C4=""),"",IFERROR(C47/C4,""))</f>
        <v/>
      </c>
      <c r="D48" s="15">
        <f>IF(OR(D47="",D4=""),"",IFERROR(D47/D4,""))</f>
        <v/>
      </c>
      <c r="E48" s="15">
        <f>IF(OR(E47="",E4=""),"",IFERROR(E47/E4,""))</f>
        <v/>
      </c>
      <c r="F48" s="15">
        <f>IF(OR(F47="",F4=""),"",IFERROR(F47/F4,""))</f>
        <v/>
      </c>
      <c r="G48" s="15">
        <f>IF(OR(G47="",G4=""),"",IFERROR(G47/G4,""))</f>
        <v/>
      </c>
      <c r="H48" s="15">
        <f>IF(OR(H47="",H4=""),"",IFERROR(H47/H4,""))</f>
        <v/>
      </c>
      <c r="I48" s="15">
        <f>IF(OR(I47="",I4=""),"",IFERROR(I47/I4,""))</f>
        <v/>
      </c>
      <c r="J48" s="15">
        <f>IF(OR(J47="",J4=""),"",IFERROR(J47/J4,""))</f>
        <v/>
      </c>
      <c r="K48" s="15">
        <f>IF(OR(K47="",K4=""),"",IFERROR(K47/K4,""))</f>
        <v/>
      </c>
      <c r="L48" s="15">
        <f>IF(OR(L47="",L4=""),"",IFERROR(L47/L4,""))</f>
        <v/>
      </c>
      <c r="M48" s="15">
        <f>IF(OR(M47="",M4=""),"",IFERROR(M47/M4,""))</f>
        <v/>
      </c>
      <c r="N48" s="15">
        <f>IF(OR(N47="",N4=""),"",IFERROR(N47/N4,""))</f>
        <v/>
      </c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25">
        <f>IFERROR(AVERAGE(V48,W48,X48),"")</f>
        <v/>
      </c>
      <c r="Z48" s="26">
        <f>Y48</f>
        <v/>
      </c>
      <c r="AA48" s="26">
        <f>Z48</f>
        <v/>
      </c>
      <c r="AB48" s="26">
        <f>AA48</f>
        <v/>
      </c>
      <c r="AC48" s="26">
        <f>AB48</f>
        <v/>
      </c>
    </row>
    <row r="49">
      <c r="A49" s="18" t="inlineStr">
        <is>
          <t>특별손실</t>
        </is>
      </c>
      <c r="B49" s="10" t="n"/>
      <c r="C49" s="19" t="n">
        <v>451</v>
      </c>
      <c r="D49" s="20" t="n">
        <v>6</v>
      </c>
      <c r="E49" s="20" t="n">
        <v>2361</v>
      </c>
      <c r="F49" s="20" t="n"/>
      <c r="G49" s="20" t="n"/>
      <c r="H49" s="20" t="n">
        <v>3525</v>
      </c>
      <c r="I49" s="20" t="n">
        <v>399</v>
      </c>
      <c r="J49" s="20" t="n"/>
      <c r="K49" s="20" t="n"/>
      <c r="L49" s="20" t="n">
        <v>0</v>
      </c>
      <c r="M49" s="20" t="n">
        <v>7034</v>
      </c>
      <c r="N49" s="20" t="n"/>
      <c r="O49" s="19" t="n">
        <v>3196</v>
      </c>
      <c r="P49" s="20" t="n">
        <v>8753</v>
      </c>
      <c r="Q49" s="20" t="n">
        <v>9471</v>
      </c>
      <c r="R49" s="20" t="n">
        <v>27111</v>
      </c>
      <c r="S49" s="20" t="n">
        <v>99237</v>
      </c>
      <c r="T49" s="20" t="n">
        <v>18749</v>
      </c>
      <c r="U49" s="20" t="n">
        <v>1042</v>
      </c>
      <c r="V49" s="20" t="n">
        <v>2818</v>
      </c>
      <c r="W49" s="20" t="n">
        <v>3924</v>
      </c>
      <c r="X49" s="20" t="n">
        <v>8061</v>
      </c>
      <c r="Y49" s="19">
        <f>IF(OR(Y4="",Y50=""),"",IFERROR(Y4*Y50,""))</f>
        <v/>
      </c>
      <c r="Z49" s="20">
        <f>IF(OR(Z4="",Z50=""),"",IFERROR(Z4*Z50,""))</f>
        <v/>
      </c>
      <c r="AA49" s="20">
        <f>IF(OR(AA4="",AA50=""),"",IFERROR(AA4*AA50,""))</f>
        <v/>
      </c>
      <c r="AB49" s="20">
        <f>IF(OR(AB4="",AB50=""),"",IFERROR(AB4*AB50,""))</f>
        <v/>
      </c>
      <c r="AC49" s="20">
        <f>IF(OR(AC4="",AC50=""),"",IFERROR(AC4*AC50,""))</f>
        <v/>
      </c>
    </row>
    <row r="50">
      <c r="A50" s="13" t="inlineStr">
        <is>
          <t>% of Sales</t>
        </is>
      </c>
      <c r="B50" s="10" t="n"/>
      <c r="C50" s="14">
        <f>IF(OR(C49="",C4=""),"",IFERROR(C49/C4,""))</f>
        <v/>
      </c>
      <c r="D50" s="15">
        <f>IF(OR(D49="",D4=""),"",IFERROR(D49/D4,""))</f>
        <v/>
      </c>
      <c r="E50" s="15">
        <f>IF(OR(E49="",E4=""),"",IFERROR(E49/E4,""))</f>
        <v/>
      </c>
      <c r="F50" s="15">
        <f>IF(OR(F49="",F4=""),"",IFERROR(F49/F4,""))</f>
        <v/>
      </c>
      <c r="G50" s="15">
        <f>IF(OR(G49="",G4=""),"",IFERROR(G49/G4,""))</f>
        <v/>
      </c>
      <c r="H50" s="15">
        <f>IF(OR(H49="",H4=""),"",IFERROR(H49/H4,""))</f>
        <v/>
      </c>
      <c r="I50" s="15">
        <f>IF(OR(I49="",I4=""),"",IFERROR(I49/I4,""))</f>
        <v/>
      </c>
      <c r="J50" s="15">
        <f>IF(OR(J49="",J4=""),"",IFERROR(J49/J4,""))</f>
        <v/>
      </c>
      <c r="K50" s="15">
        <f>IF(OR(K49="",K4=""),"",IFERROR(K49/K4,""))</f>
        <v/>
      </c>
      <c r="L50" s="15">
        <f>IF(OR(L49="",L4=""),"",IFERROR(L49/L4,""))</f>
        <v/>
      </c>
      <c r="M50" s="15">
        <f>IF(OR(M49="",M4=""),"",IFERROR(M49/M4,""))</f>
        <v/>
      </c>
      <c r="N50" s="15">
        <f>IF(OR(N49="",N4=""),"",IFERROR(N49/N4,""))</f>
        <v/>
      </c>
      <c r="O50" s="14">
        <f>IF(OR(O49="",O4=""),"",IFERROR(O49/O4,""))</f>
        <v/>
      </c>
      <c r="P50" s="15">
        <f>IF(OR(P49="",P4=""),"",IFERROR(P49/P4,""))</f>
        <v/>
      </c>
      <c r="Q50" s="15">
        <f>IF(OR(Q49="",Q4=""),"",IFERROR(Q49/Q4,""))</f>
        <v/>
      </c>
      <c r="R50" s="15">
        <f>IF(OR(R49="",R4=""),"",IFERROR(R49/R4,""))</f>
        <v/>
      </c>
      <c r="S50" s="15">
        <f>IF(OR(S49="",S4=""),"",IFERROR(S49/S4,""))</f>
        <v/>
      </c>
      <c r="T50" s="15">
        <f>IF(OR(T49="",T4=""),"",IFERROR(T49/T4,""))</f>
        <v/>
      </c>
      <c r="U50" s="15">
        <f>IF(OR(U49="",U4=""),"",IFERROR(U49/U4,""))</f>
        <v/>
      </c>
      <c r="V50" s="15">
        <f>IF(OR(V49="",V4=""),"",IFERROR(V49/V4,""))</f>
        <v/>
      </c>
      <c r="W50" s="15">
        <f>IF(OR(W49="",W4=""),"",IFERROR(W49/W4,""))</f>
        <v/>
      </c>
      <c r="X50" s="15">
        <f>IF(OR(X49="",X4=""),"",IFERROR(X49/X4,""))</f>
        <v/>
      </c>
      <c r="Y50" s="25">
        <f>IFERROR(AVERAGE(V50,W50,X50),"")</f>
        <v/>
      </c>
      <c r="Z50" s="26">
        <f>Y50</f>
        <v/>
      </c>
      <c r="AA50" s="26">
        <f>Z50</f>
        <v/>
      </c>
      <c r="AB50" s="26">
        <f>AA50</f>
        <v/>
      </c>
      <c r="AC50" s="26">
        <f>AB50</f>
        <v/>
      </c>
    </row>
    <row r="51">
      <c r="A51" s="18" t="inlineStr">
        <is>
          <t>영업외수익</t>
        </is>
      </c>
      <c r="B51" s="10" t="n"/>
      <c r="C51" s="19" t="n">
        <v>5257</v>
      </c>
      <c r="D51" s="20" t="n">
        <v>6514</v>
      </c>
      <c r="E51" s="20" t="n">
        <v>12779</v>
      </c>
      <c r="F51" s="20" t="n">
        <v>13652</v>
      </c>
      <c r="G51" s="20" t="n">
        <v>5090</v>
      </c>
      <c r="H51" s="20" t="n">
        <v>14046</v>
      </c>
      <c r="I51" s="20" t="n">
        <v>3313</v>
      </c>
      <c r="J51" s="20" t="n">
        <v>6950</v>
      </c>
      <c r="K51" s="20" t="n">
        <v>7177</v>
      </c>
      <c r="L51" s="20" t="n">
        <v>10789</v>
      </c>
      <c r="M51" s="20" t="n">
        <v>9849</v>
      </c>
      <c r="N51" s="20" t="n">
        <v>7968</v>
      </c>
      <c r="O51" s="19" t="n">
        <v>15042</v>
      </c>
      <c r="P51" s="20" t="n">
        <v>12615</v>
      </c>
      <c r="Q51" s="20" t="n">
        <v>16599</v>
      </c>
      <c r="R51" s="20" t="n">
        <v>18657</v>
      </c>
      <c r="S51" s="20" t="n">
        <v>60700</v>
      </c>
      <c r="T51" s="20" t="n">
        <v>40551</v>
      </c>
      <c r="U51" s="20" t="n">
        <v>28589</v>
      </c>
      <c r="V51" s="20" t="n">
        <v>30774</v>
      </c>
      <c r="W51" s="20" t="n">
        <v>36101</v>
      </c>
      <c r="X51" s="20" t="n">
        <v>34765</v>
      </c>
      <c r="Y51" s="19">
        <f>IF(OR(Y4="",Y52=""),"",IFERROR(Y4*Y52,""))</f>
        <v/>
      </c>
      <c r="Z51" s="20">
        <f>IF(OR(Z4="",Z52=""),"",IFERROR(Z4*Z52,""))</f>
        <v/>
      </c>
      <c r="AA51" s="20">
        <f>IF(OR(AA4="",AA52=""),"",IFERROR(AA4*AA52,""))</f>
        <v/>
      </c>
      <c r="AB51" s="20">
        <f>IF(OR(AB4="",AB52=""),"",IFERROR(AB4*AB52,""))</f>
        <v/>
      </c>
      <c r="AC51" s="20">
        <f>IF(OR(AC4="",AC52=""),"",IFERROR(AC4*AC52,""))</f>
        <v/>
      </c>
    </row>
    <row r="52">
      <c r="A52" s="13" t="inlineStr">
        <is>
          <t>% of Sales</t>
        </is>
      </c>
      <c r="B52" s="10" t="n"/>
      <c r="C52" s="14">
        <f>IF(OR(C51="",C4=""),"",IFERROR(C51/C4,""))</f>
        <v/>
      </c>
      <c r="D52" s="15">
        <f>IF(OR(D51="",D4=""),"",IFERROR(D51/D4,""))</f>
        <v/>
      </c>
      <c r="E52" s="15">
        <f>IF(OR(E51="",E4=""),"",IFERROR(E51/E4,""))</f>
        <v/>
      </c>
      <c r="F52" s="15">
        <f>IF(OR(F51="",F4=""),"",IFERROR(F51/F4,""))</f>
        <v/>
      </c>
      <c r="G52" s="15">
        <f>IF(OR(G51="",G4=""),"",IFERROR(G51/G4,""))</f>
        <v/>
      </c>
      <c r="H52" s="15">
        <f>IF(OR(H51="",H4=""),"",IFERROR(H51/H4,""))</f>
        <v/>
      </c>
      <c r="I52" s="15">
        <f>IF(OR(I51="",I4=""),"",IFERROR(I51/I4,""))</f>
        <v/>
      </c>
      <c r="J52" s="15">
        <f>IF(OR(J51="",J4=""),"",IFERROR(J51/J4,""))</f>
        <v/>
      </c>
      <c r="K52" s="15">
        <f>IF(OR(K51="",K4=""),"",IFERROR(K51/K4,""))</f>
        <v/>
      </c>
      <c r="L52" s="15">
        <f>IF(OR(L51="",L4=""),"",IFERROR(L51/L4,""))</f>
        <v/>
      </c>
      <c r="M52" s="15">
        <f>IF(OR(M51="",M4=""),"",IFERROR(M51/M4,""))</f>
        <v/>
      </c>
      <c r="N52" s="15">
        <f>IF(OR(N51="",N4=""),"",IFERROR(N51/N4,""))</f>
        <v/>
      </c>
      <c r="O52" s="14">
        <f>IF(OR(O51="",O4=""),"",IFERROR(O51/O4,""))</f>
        <v/>
      </c>
      <c r="P52" s="15">
        <f>IF(OR(P51="",P4=""),"",IFERROR(P51/P4,""))</f>
        <v/>
      </c>
      <c r="Q52" s="15">
        <f>IF(OR(Q51="",Q4=""),"",IFERROR(Q51/Q4,""))</f>
        <v/>
      </c>
      <c r="R52" s="15">
        <f>IF(OR(R51="",R4=""),"",IFERROR(R51/R4,""))</f>
        <v/>
      </c>
      <c r="S52" s="15">
        <f>IF(OR(S51="",S4=""),"",IFERROR(S51/S4,""))</f>
        <v/>
      </c>
      <c r="T52" s="15">
        <f>IF(OR(T51="",T4=""),"",IFERROR(T51/T4,""))</f>
        <v/>
      </c>
      <c r="U52" s="15">
        <f>IF(OR(U51="",U4=""),"",IFERROR(U51/U4,""))</f>
        <v/>
      </c>
      <c r="V52" s="15">
        <f>IF(OR(V51="",V4=""),"",IFERROR(V51/V4,""))</f>
        <v/>
      </c>
      <c r="W52" s="15">
        <f>IF(OR(W51="",W4=""),"",IFERROR(W51/W4,""))</f>
        <v/>
      </c>
      <c r="X52" s="15">
        <f>IF(OR(X51="",X4=""),"",IFERROR(X51/X4,""))</f>
        <v/>
      </c>
      <c r="Y52" s="25">
        <f>IFERROR(AVERAGE(V52,W52,X52),"")</f>
        <v/>
      </c>
      <c r="Z52" s="26">
        <f>Y52</f>
        <v/>
      </c>
      <c r="AA52" s="26">
        <f>Z52</f>
        <v/>
      </c>
      <c r="AB52" s="26">
        <f>AA52</f>
        <v/>
      </c>
      <c r="AC52" s="26">
        <f>AB52</f>
        <v/>
      </c>
    </row>
    <row r="53">
      <c r="A53" s="18" t="inlineStr">
        <is>
          <t>영업외비용</t>
        </is>
      </c>
      <c r="B53" s="10" t="n"/>
      <c r="C53" s="19" t="n">
        <v>7154</v>
      </c>
      <c r="D53" s="20" t="n">
        <v>7088</v>
      </c>
      <c r="E53" s="20" t="n">
        <v>10053</v>
      </c>
      <c r="F53" s="20" t="n">
        <v>7184</v>
      </c>
      <c r="G53" s="20" t="n">
        <v>7549</v>
      </c>
      <c r="H53" s="20" t="n">
        <v>7626</v>
      </c>
      <c r="I53" s="20" t="n">
        <v>10295</v>
      </c>
      <c r="J53" s="20" t="n">
        <v>7817</v>
      </c>
      <c r="K53" s="20" t="n">
        <v>8751</v>
      </c>
      <c r="L53" s="20" t="n">
        <v>6441</v>
      </c>
      <c r="M53" s="20" t="n">
        <v>9542</v>
      </c>
      <c r="N53" s="20" t="n">
        <v>6237</v>
      </c>
      <c r="O53" s="19" t="n">
        <v>20206</v>
      </c>
      <c r="P53" s="20" t="n">
        <v>16495</v>
      </c>
      <c r="Q53" s="20" t="n">
        <v>24937</v>
      </c>
      <c r="R53" s="20" t="n">
        <v>20105</v>
      </c>
      <c r="S53" s="20" t="n">
        <v>47281</v>
      </c>
      <c r="T53" s="20" t="n">
        <v>52359</v>
      </c>
      <c r="U53" s="20" t="n">
        <v>36809</v>
      </c>
      <c r="V53" s="20" t="n">
        <v>31029</v>
      </c>
      <c r="W53" s="20" t="n">
        <v>32654</v>
      </c>
      <c r="X53" s="20" t="n">
        <v>32551</v>
      </c>
      <c r="Y53" s="19">
        <f>IF(OR(Y4="",Y54=""),"",IFERROR(Y4*Y54,""))</f>
        <v/>
      </c>
      <c r="Z53" s="20">
        <f>IF(OR(Z4="",Z54=""),"",IFERROR(Z4*Z54,""))</f>
        <v/>
      </c>
      <c r="AA53" s="20">
        <f>IF(OR(AA4="",AA54=""),"",IFERROR(AA4*AA54,""))</f>
        <v/>
      </c>
      <c r="AB53" s="20">
        <f>IF(OR(AB4="",AB54=""),"",IFERROR(AB4*AB54,""))</f>
        <v/>
      </c>
      <c r="AC53" s="20">
        <f>IF(OR(AC4="",AC54=""),"",IFERROR(AC4*AC54,""))</f>
        <v/>
      </c>
    </row>
    <row r="54">
      <c r="A54" s="13" t="inlineStr">
        <is>
          <t>% of Sales</t>
        </is>
      </c>
      <c r="B54" s="10" t="n"/>
      <c r="C54" s="14">
        <f>IF(OR(C53="",C4=""),"",IFERROR(C53/C4,""))</f>
        <v/>
      </c>
      <c r="D54" s="15">
        <f>IF(OR(D53="",D4=""),"",IFERROR(D53/D4,""))</f>
        <v/>
      </c>
      <c r="E54" s="15">
        <f>IF(OR(E53="",E4=""),"",IFERROR(E53/E4,""))</f>
        <v/>
      </c>
      <c r="F54" s="15">
        <f>IF(OR(F53="",F4=""),"",IFERROR(F53/F4,""))</f>
        <v/>
      </c>
      <c r="G54" s="15">
        <f>IF(OR(G53="",G4=""),"",IFERROR(G53/G4,""))</f>
        <v/>
      </c>
      <c r="H54" s="15">
        <f>IF(OR(H53="",H4=""),"",IFERROR(H53/H4,""))</f>
        <v/>
      </c>
      <c r="I54" s="15">
        <f>IF(OR(I53="",I4=""),"",IFERROR(I53/I4,""))</f>
        <v/>
      </c>
      <c r="J54" s="15">
        <f>IF(OR(J53="",J4=""),"",IFERROR(J53/J4,""))</f>
        <v/>
      </c>
      <c r="K54" s="15">
        <f>IF(OR(K53="",K4=""),"",IFERROR(K53/K4,""))</f>
        <v/>
      </c>
      <c r="L54" s="15">
        <f>IF(OR(L53="",L4=""),"",IFERROR(L53/L4,""))</f>
        <v/>
      </c>
      <c r="M54" s="15">
        <f>IF(OR(M53="",M4=""),"",IFERROR(M53/M4,""))</f>
        <v/>
      </c>
      <c r="N54" s="15">
        <f>IF(OR(N53="",N4=""),"",IFERROR(N53/N4,""))</f>
        <v/>
      </c>
      <c r="O54" s="14">
        <f>IF(OR(O53="",O4=""),"",IFERROR(O53/O4,""))</f>
        <v/>
      </c>
      <c r="P54" s="15">
        <f>IF(OR(P53="",P4=""),"",IFERROR(P53/P4,""))</f>
        <v/>
      </c>
      <c r="Q54" s="15">
        <f>IF(OR(Q53="",Q4=""),"",IFERROR(Q53/Q4,""))</f>
        <v/>
      </c>
      <c r="R54" s="15">
        <f>IF(OR(R53="",R4=""),"",IFERROR(R53/R4,""))</f>
        <v/>
      </c>
      <c r="S54" s="15">
        <f>IF(OR(S53="",S4=""),"",IFERROR(S53/S4,""))</f>
        <v/>
      </c>
      <c r="T54" s="15">
        <f>IF(OR(T53="",T4=""),"",IFERROR(T53/T4,""))</f>
        <v/>
      </c>
      <c r="U54" s="15">
        <f>IF(OR(U53="",U4=""),"",IFERROR(U53/U4,""))</f>
        <v/>
      </c>
      <c r="V54" s="15">
        <f>IF(OR(V53="",V4=""),"",IFERROR(V53/V4,""))</f>
        <v/>
      </c>
      <c r="W54" s="15">
        <f>IF(OR(W53="",W4=""),"",IFERROR(W53/W4,""))</f>
        <v/>
      </c>
      <c r="X54" s="15">
        <f>IF(OR(X53="",X4=""),"",IFERROR(X53/X4,""))</f>
        <v/>
      </c>
      <c r="Y54" s="25">
        <f>IFERROR(AVERAGE(V54,W54,X54),"")</f>
        <v/>
      </c>
      <c r="Z54" s="26">
        <f>Y54</f>
        <v/>
      </c>
      <c r="AA54" s="26">
        <f>Z54</f>
        <v/>
      </c>
      <c r="AB54" s="26">
        <f>AA54</f>
        <v/>
      </c>
      <c r="AC54" s="26">
        <f>AB54</f>
        <v/>
      </c>
    </row>
    <row r="55">
      <c r="A55" s="9" t="inlineStr">
        <is>
          <t>법인세비용차감전순이익(손실)</t>
        </is>
      </c>
      <c r="B55" s="10" t="n"/>
      <c r="C55" s="11" t="n">
        <v>83605</v>
      </c>
      <c r="D55" s="12" t="n">
        <v>79797</v>
      </c>
      <c r="E55" s="12" t="n">
        <v>-1838</v>
      </c>
      <c r="F55" s="12" t="n">
        <v>36822</v>
      </c>
      <c r="G55" s="12" t="n">
        <v>75826</v>
      </c>
      <c r="H55" s="12" t="n">
        <v>65716</v>
      </c>
      <c r="I55" s="12" t="n">
        <v>18202</v>
      </c>
      <c r="J55" s="12" t="n">
        <v>35919</v>
      </c>
      <c r="K55" s="12" t="n">
        <v>69497</v>
      </c>
      <c r="L55" s="12" t="n">
        <v>88076</v>
      </c>
      <c r="M55" s="12" t="n">
        <v>30009</v>
      </c>
      <c r="N55" s="12" t="n">
        <v>24564</v>
      </c>
      <c r="O55" s="11" t="n">
        <v>139462</v>
      </c>
      <c r="P55" s="12" t="n">
        <v>196641</v>
      </c>
      <c r="Q55" s="12" t="n">
        <v>154023</v>
      </c>
      <c r="R55" s="12" t="n">
        <v>51501</v>
      </c>
      <c r="S55" s="12" t="n">
        <v>-545372</v>
      </c>
      <c r="T55" s="12" t="n">
        <v>-175374</v>
      </c>
      <c r="U55" s="12" t="n">
        <v>114342</v>
      </c>
      <c r="V55" s="12" t="n">
        <v>204838</v>
      </c>
      <c r="W55" s="12" t="n">
        <v>196566</v>
      </c>
      <c r="X55" s="12" t="n">
        <v>223501</v>
      </c>
      <c r="Y55" s="11">
        <f>IF(OR(Y31=""),"",IFERROR(Y31+N(Y47)-N(Y49)+N(Y51)-N(Y53),""))</f>
        <v/>
      </c>
      <c r="Z55" s="12">
        <f>IF(OR(Z31=""),"",IFERROR(Z31+N(Z47)-N(Z49)+N(Z51)-N(Z53),""))</f>
        <v/>
      </c>
      <c r="AA55" s="12">
        <f>IF(OR(AA31=""),"",IFERROR(AA31+N(AA47)-N(AA49)+N(AA51)-N(AA53),""))</f>
        <v/>
      </c>
      <c r="AB55" s="12">
        <f>IF(OR(AB31=""),"",IFERROR(AB31+N(AB47)-N(AB49)+N(AB51)-N(AB53),""))</f>
        <v/>
      </c>
      <c r="AC55" s="12">
        <f>IF(OR(AC31=""),"",IFERROR(AC31+N(AC47)-N(AC49)+N(AC51)-N(AC53),""))</f>
        <v/>
      </c>
    </row>
    <row r="56">
      <c r="A56" s="13" t="inlineStr">
        <is>
          <t>YoY</t>
        </is>
      </c>
      <c r="B56" s="10" t="n"/>
      <c r="C56" s="14" t="n"/>
      <c r="D56" s="15" t="n"/>
      <c r="E56" s="15" t="n"/>
      <c r="F56" s="15" t="n"/>
      <c r="G56" s="15">
        <f>IF(OR(G55="",C55=""),"",IF(C55&lt;=0,"",IFERROR(G55/C55-1,"")))</f>
        <v/>
      </c>
      <c r="H56" s="15">
        <f>IF(OR(H55="",D55=""),"",IF(D55&lt;=0,"",IFERROR(H55/D55-1,"")))</f>
        <v/>
      </c>
      <c r="I56" s="15">
        <f>IF(OR(I55="",E55=""),"",IF(E55&lt;=0,"",IFERROR(I55/E55-1,"")))</f>
        <v/>
      </c>
      <c r="J56" s="15">
        <f>IF(OR(J55="",F55=""),"",IF(F55&lt;=0,"",IFERROR(J55/F55-1,"")))</f>
        <v/>
      </c>
      <c r="K56" s="15">
        <f>IF(OR(K55="",G55=""),"",IF(G55&lt;=0,"",IFERROR(K55/G55-1,"")))</f>
        <v/>
      </c>
      <c r="L56" s="15">
        <f>IF(OR(L55="",H55=""),"",IF(H55&lt;=0,"",IFERROR(L55/H55-1,"")))</f>
        <v/>
      </c>
      <c r="M56" s="15">
        <f>IF(OR(M55="",I55=""),"",IF(I55&lt;=0,"",IFERROR(M55/I55-1,"")))</f>
        <v/>
      </c>
      <c r="N56" s="15">
        <f>IF(OR(N55="",J55=""),"",IF(J55&lt;=0,"",IFERROR(N55/J55-1,"")))</f>
        <v/>
      </c>
      <c r="O56" s="14" t="n"/>
      <c r="P56" s="15">
        <f>IF(OR(P55="",O55=""),"",IF(O55&lt;=0,"",IFERROR(P55/O55-1,"")))</f>
        <v/>
      </c>
      <c r="Q56" s="15">
        <f>IF(OR(Q55="",P55=""),"",IF(P55&lt;=0,"",IFERROR(Q55/P55-1,"")))</f>
        <v/>
      </c>
      <c r="R56" s="15">
        <f>IF(OR(R55="",Q55=""),"",IF(Q55&lt;=0,"",IFERROR(R55/Q55-1,"")))</f>
        <v/>
      </c>
      <c r="S56" s="15">
        <f>IF(OR(S55="",R55=""),"",IF(R55&lt;=0,"",IFERROR(S55/R55-1,"")))</f>
        <v/>
      </c>
      <c r="T56" s="15">
        <f>IF(OR(T55="",S55=""),"",IF(S55&lt;=0,"",IFERROR(T55/S55-1,"")))</f>
        <v/>
      </c>
      <c r="U56" s="15">
        <f>IF(OR(U55="",T55=""),"",IF(T55&lt;=0,"",IFERROR(U55/T55-1,"")))</f>
        <v/>
      </c>
      <c r="V56" s="15">
        <f>IF(OR(V55="",U55=""),"",IF(U55&lt;=0,"",IFERROR(V55/U55-1,"")))</f>
        <v/>
      </c>
      <c r="W56" s="15">
        <f>IF(OR(W55="",V55=""),"",IF(V55&lt;=0,"",IFERROR(W55/V55-1,"")))</f>
        <v/>
      </c>
      <c r="X56" s="15">
        <f>IF(OR(X55="",W55=""),"",IF(W55&lt;=0,"",IFERROR(X55/W55-1,"")))</f>
        <v/>
      </c>
      <c r="Y56" s="14">
        <f>IF(OR(Y55="",X55=""),"",IF(X55&lt;=0,"",IFERROR(Y55/X55-1,"")))</f>
        <v/>
      </c>
      <c r="Z56" s="15">
        <f>IF(OR(Z55="",Y55=""),"",IF(Y55&lt;=0,"",IFERROR(Z55/Y55-1,"")))</f>
        <v/>
      </c>
      <c r="AA56" s="15">
        <f>IF(OR(AA55="",Z55=""),"",IF(Z55&lt;=0,"",IFERROR(AA55/Z55-1,"")))</f>
        <v/>
      </c>
      <c r="AB56" s="15">
        <f>IF(OR(AB55="",AA55=""),"",IF(AA55&lt;=0,"",IFERROR(AB55/AA55-1,"")))</f>
        <v/>
      </c>
      <c r="AC56" s="15">
        <f>IF(OR(AC55="",AB55=""),"",IF(AB55&lt;=0,"",IFERROR(AC55/AB55-1,"")))</f>
        <v/>
      </c>
    </row>
    <row r="57">
      <c r="A57" s="18" t="inlineStr">
        <is>
          <t>법인세비용(수익)</t>
        </is>
      </c>
      <c r="B57" s="10" t="n"/>
      <c r="C57" s="19" t="n">
        <v>20830</v>
      </c>
      <c r="D57" s="20" t="n">
        <v>23685</v>
      </c>
      <c r="E57" s="20" t="n">
        <v>-10360</v>
      </c>
      <c r="F57" s="20" t="n">
        <v>12140</v>
      </c>
      <c r="G57" s="20" t="n">
        <v>19476</v>
      </c>
      <c r="H57" s="20" t="n">
        <v>12013</v>
      </c>
      <c r="I57" s="20" t="n">
        <v>-941</v>
      </c>
      <c r="J57" s="20" t="n">
        <v>12275</v>
      </c>
      <c r="K57" s="20" t="n">
        <v>16541</v>
      </c>
      <c r="L57" s="20" t="n">
        <v>23624</v>
      </c>
      <c r="M57" s="20" t="n">
        <v>78</v>
      </c>
      <c r="N57" s="20" t="n">
        <v>4781</v>
      </c>
      <c r="O57" s="19" t="n">
        <v>40155</v>
      </c>
      <c r="P57" s="20" t="n">
        <v>51003</v>
      </c>
      <c r="Q57" s="20" t="n">
        <v>42186</v>
      </c>
      <c r="R57" s="20" t="n">
        <v>25582</v>
      </c>
      <c r="S57" s="20" t="n">
        <v>-137682</v>
      </c>
      <c r="T57" s="20" t="n">
        <v>-33135</v>
      </c>
      <c r="U57" s="20" t="n">
        <v>24244</v>
      </c>
      <c r="V57" s="20" t="n">
        <v>46511</v>
      </c>
      <c r="W57" s="20" t="n">
        <v>42688</v>
      </c>
      <c r="X57" s="20" t="n">
        <v>52518</v>
      </c>
      <c r="Y57" s="19">
        <f>IF(OR(Y55="",Y58=""),"",IFERROR(MAX(Y55,0)*Y58,""))</f>
        <v/>
      </c>
      <c r="Z57" s="20">
        <f>IF(OR(Z55="",Z58=""),"",IFERROR(MAX(Z55,0)*Z58,""))</f>
        <v/>
      </c>
      <c r="AA57" s="20">
        <f>IF(OR(AA55="",AA58=""),"",IFERROR(MAX(AA55,0)*AA58,""))</f>
        <v/>
      </c>
      <c r="AB57" s="20">
        <f>IF(OR(AB55="",AB58=""),"",IFERROR(MAX(AB55,0)*AB58,""))</f>
        <v/>
      </c>
      <c r="AC57" s="20">
        <f>IF(OR(AC55="",AC58=""),"",IFERROR(MAX(AC55,0)*AC58,""))</f>
        <v/>
      </c>
    </row>
    <row r="58">
      <c r="A58" s="13" t="inlineStr">
        <is>
          <t>법인세율</t>
        </is>
      </c>
      <c r="B58" s="10" t="inlineStr">
        <is>
          <t>MW 기본 30%</t>
        </is>
      </c>
      <c r="C58" s="14">
        <f>IF(OR(C57="",C55=""),"",IFERROR(C57/C55,""))</f>
        <v/>
      </c>
      <c r="D58" s="15">
        <f>IF(OR(D57="",D55=""),"",IFERROR(D57/D55,""))</f>
        <v/>
      </c>
      <c r="E58" s="15">
        <f>IF(OR(E57="",E55=""),"",IFERROR(E57/E55,""))</f>
        <v/>
      </c>
      <c r="F58" s="15">
        <f>IF(OR(F57="",F55=""),"",IFERROR(F57/F55,""))</f>
        <v/>
      </c>
      <c r="G58" s="15">
        <f>IF(OR(G57="",G55=""),"",IFERROR(G57/G55,""))</f>
        <v/>
      </c>
      <c r="H58" s="15">
        <f>IF(OR(H57="",H55=""),"",IFERROR(H57/H55,""))</f>
        <v/>
      </c>
      <c r="I58" s="15">
        <f>IF(OR(I57="",I55=""),"",IFERROR(I57/I55,""))</f>
        <v/>
      </c>
      <c r="J58" s="15">
        <f>IF(OR(J57="",J55=""),"",IFERROR(J57/J55,""))</f>
        <v/>
      </c>
      <c r="K58" s="15">
        <f>IF(OR(K57="",K55=""),"",IFERROR(K57/K55,""))</f>
        <v/>
      </c>
      <c r="L58" s="15">
        <f>IF(OR(L57="",L55=""),"",IFERROR(L57/L55,""))</f>
        <v/>
      </c>
      <c r="M58" s="15">
        <f>IF(OR(M57="",M55=""),"",IFERROR(M57/M55,""))</f>
        <v/>
      </c>
      <c r="N58" s="15">
        <f>IF(OR(N57="",N55=""),"",IFERROR(N57/N55,""))</f>
        <v/>
      </c>
      <c r="O58" s="14">
        <f>IF(OR(O57="",O55=""),"",IFERROR(O57/O55,""))</f>
        <v/>
      </c>
      <c r="P58" s="15">
        <f>IF(OR(P57="",P55=""),"",IFERROR(P57/P55,""))</f>
        <v/>
      </c>
      <c r="Q58" s="15">
        <f>IF(OR(Q57="",Q55=""),"",IFERROR(Q57/Q55,""))</f>
        <v/>
      </c>
      <c r="R58" s="15">
        <f>IF(OR(R57="",R55=""),"",IFERROR(R57/R55,""))</f>
        <v/>
      </c>
      <c r="S58" s="15">
        <f>IF(OR(S57="",S55=""),"",IFERROR(S57/S55,""))</f>
        <v/>
      </c>
      <c r="T58" s="15">
        <f>IF(OR(T57="",T55=""),"",IFERROR(T57/T55,""))</f>
        <v/>
      </c>
      <c r="U58" s="15">
        <f>IF(OR(U57="",U55=""),"",IFERROR(U57/U55,""))</f>
        <v/>
      </c>
      <c r="V58" s="15">
        <f>IF(OR(V57="",V55=""),"",IFERROR(V57/V55,""))</f>
        <v/>
      </c>
      <c r="W58" s="15">
        <f>IF(OR(W57="",W55=""),"",IFERROR(W57/W55,""))</f>
        <v/>
      </c>
      <c r="X58" s="15">
        <f>IF(OR(X57="",X55=""),"",IFERROR(X57/X55,""))</f>
        <v/>
      </c>
      <c r="Y58" s="25" t="n">
        <v>0.3</v>
      </c>
      <c r="Z58" s="26" t="n">
        <v>0.3</v>
      </c>
      <c r="AA58" s="26" t="n">
        <v>0.3</v>
      </c>
      <c r="AB58" s="26" t="n">
        <v>0.3</v>
      </c>
      <c r="AC58" s="26" t="n">
        <v>0.3</v>
      </c>
    </row>
    <row r="59">
      <c r="A59" s="9" t="inlineStr">
        <is>
          <t>당기순이익(손실)</t>
        </is>
      </c>
      <c r="B59" s="10" t="n"/>
      <c r="C59" s="11" t="n">
        <v>62775</v>
      </c>
      <c r="D59" s="12" t="n">
        <v>56112</v>
      </c>
      <c r="E59" s="12" t="n">
        <v>8522</v>
      </c>
      <c r="F59" s="12" t="n">
        <v>24682</v>
      </c>
      <c r="G59" s="12" t="n">
        <v>56350</v>
      </c>
      <c r="H59" s="12" t="n">
        <v>53703</v>
      </c>
      <c r="I59" s="12" t="n">
        <v>19143</v>
      </c>
      <c r="J59" s="12" t="n">
        <v>23644</v>
      </c>
      <c r="K59" s="12" t="n">
        <v>52956</v>
      </c>
      <c r="L59" s="12" t="n">
        <v>64452</v>
      </c>
      <c r="M59" s="12" t="n">
        <v>29931</v>
      </c>
      <c r="N59" s="12" t="n">
        <v>19783</v>
      </c>
      <c r="O59" s="11" t="n">
        <v>99307</v>
      </c>
      <c r="P59" s="12" t="n">
        <v>145638</v>
      </c>
      <c r="Q59" s="12" t="n">
        <v>111837</v>
      </c>
      <c r="R59" s="12" t="n">
        <v>25919</v>
      </c>
      <c r="S59" s="12" t="n">
        <v>-407690</v>
      </c>
      <c r="T59" s="12" t="n">
        <v>-142239</v>
      </c>
      <c r="U59" s="12" t="n">
        <v>90098</v>
      </c>
      <c r="V59" s="12" t="n">
        <v>158327</v>
      </c>
      <c r="W59" s="12" t="n">
        <v>153878</v>
      </c>
      <c r="X59" s="12" t="n">
        <v>170983</v>
      </c>
      <c r="Y59" s="11">
        <f>IF(OR(Y55=""),"",IFERROR(Y55-Y57,""))</f>
        <v/>
      </c>
      <c r="Z59" s="12">
        <f>IF(OR(Z55=""),"",IFERROR(Z55-Z57,""))</f>
        <v/>
      </c>
      <c r="AA59" s="12">
        <f>IF(OR(AA55=""),"",IFERROR(AA55-AA57,""))</f>
        <v/>
      </c>
      <c r="AB59" s="12">
        <f>IF(OR(AB55=""),"",IFERROR(AB55-AB57,""))</f>
        <v/>
      </c>
      <c r="AC59" s="12">
        <f>IF(OR(AC55=""),"",IFERROR(AC55-AC57,""))</f>
        <v/>
      </c>
    </row>
    <row r="60">
      <c r="A60" s="13" t="inlineStr">
        <is>
          <t>YoY</t>
        </is>
      </c>
      <c r="B60" s="10" t="n"/>
      <c r="C60" s="14" t="n"/>
      <c r="D60" s="15" t="n"/>
      <c r="E60" s="15" t="n"/>
      <c r="F60" s="15" t="n"/>
      <c r="G60" s="15">
        <f>IF(OR(G59="",C59=""),"",IF(C59&lt;=0,"",IFERROR(G59/C59-1,"")))</f>
        <v/>
      </c>
      <c r="H60" s="15">
        <f>IF(OR(H59="",D59=""),"",IF(D59&lt;=0,"",IFERROR(H59/D59-1,"")))</f>
        <v/>
      </c>
      <c r="I60" s="15">
        <f>IF(OR(I59="",E59=""),"",IF(E59&lt;=0,"",IFERROR(I59/E59-1,"")))</f>
        <v/>
      </c>
      <c r="J60" s="15">
        <f>IF(OR(J59="",F59=""),"",IF(F59&lt;=0,"",IFERROR(J59/F59-1,"")))</f>
        <v/>
      </c>
      <c r="K60" s="15">
        <f>IF(OR(K59="",G59=""),"",IF(G59&lt;=0,"",IFERROR(K59/G59-1,"")))</f>
        <v/>
      </c>
      <c r="L60" s="15">
        <f>IF(OR(L59="",H59=""),"",IF(H59&lt;=0,"",IFERROR(L59/H59-1,"")))</f>
        <v/>
      </c>
      <c r="M60" s="15">
        <f>IF(OR(M59="",I59=""),"",IF(I59&lt;=0,"",IFERROR(M59/I59-1,"")))</f>
        <v/>
      </c>
      <c r="N60" s="15">
        <f>IF(OR(N59="",J59=""),"",IF(J59&lt;=0,"",IFERROR(N59/J59-1,"")))</f>
        <v/>
      </c>
      <c r="O60" s="14" t="n"/>
      <c r="P60" s="15">
        <f>IF(OR(P59="",O59=""),"",IF(O59&lt;=0,"",IFERROR(P59/O59-1,"")))</f>
        <v/>
      </c>
      <c r="Q60" s="15">
        <f>IF(OR(Q59="",P59=""),"",IF(P59&lt;=0,"",IFERROR(Q59/P59-1,"")))</f>
        <v/>
      </c>
      <c r="R60" s="15">
        <f>IF(OR(R59="",Q59=""),"",IF(Q59&lt;=0,"",IFERROR(R59/Q59-1,"")))</f>
        <v/>
      </c>
      <c r="S60" s="15">
        <f>IF(OR(S59="",R59=""),"",IF(R59&lt;=0,"",IFERROR(S59/R59-1,"")))</f>
        <v/>
      </c>
      <c r="T60" s="15">
        <f>IF(OR(T59="",S59=""),"",IF(S59&lt;=0,"",IFERROR(T59/S59-1,"")))</f>
        <v/>
      </c>
      <c r="U60" s="15">
        <f>IF(OR(U59="",T59=""),"",IF(T59&lt;=0,"",IFERROR(U59/T59-1,"")))</f>
        <v/>
      </c>
      <c r="V60" s="15">
        <f>IF(OR(V59="",U59=""),"",IF(U59&lt;=0,"",IFERROR(V59/U59-1,"")))</f>
        <v/>
      </c>
      <c r="W60" s="15">
        <f>IF(OR(W59="",V59=""),"",IF(V59&lt;=0,"",IFERROR(W59/V59-1,"")))</f>
        <v/>
      </c>
      <c r="X60" s="15">
        <f>IF(OR(X59="",W59=""),"",IF(W59&lt;=0,"",IFERROR(X59/W59-1,"")))</f>
        <v/>
      </c>
      <c r="Y60" s="14">
        <f>IF(OR(Y59="",X59=""),"",IF(X59&lt;=0,"",IFERROR(Y59/X59-1,"")))</f>
        <v/>
      </c>
      <c r="Z60" s="15">
        <f>IF(OR(Z59="",Y59=""),"",IF(Y59&lt;=0,"",IFERROR(Z59/Y59-1,"")))</f>
        <v/>
      </c>
      <c r="AA60" s="15">
        <f>IF(OR(AA59="",Z59=""),"",IF(Z59&lt;=0,"",IFERROR(AA59/Z59-1,"")))</f>
        <v/>
      </c>
      <c r="AB60" s="15">
        <f>IF(OR(AB59="",AA59=""),"",IF(AA59&lt;=0,"",IFERROR(AB59/AA59-1,"")))</f>
        <v/>
      </c>
      <c r="AC60" s="15">
        <f>IF(OR(AC59="",AB59=""),"",IF(AB59&lt;=0,"",IFERROR(AC59/AB59-1,"")))</f>
        <v/>
      </c>
    </row>
    <row r="61">
      <c r="A61" s="9" t="inlineStr">
        <is>
          <t>지배주주 순이익</t>
        </is>
      </c>
      <c r="B61" s="10" t="n"/>
      <c r="C61" s="11" t="n">
        <v>62520</v>
      </c>
      <c r="D61" s="12" t="n">
        <v>55743</v>
      </c>
      <c r="E61" s="12" t="n">
        <v>8148</v>
      </c>
      <c r="F61" s="12" t="n">
        <v>24712</v>
      </c>
      <c r="G61" s="12" t="n">
        <v>56066</v>
      </c>
      <c r="H61" s="12" t="n">
        <v>53252</v>
      </c>
      <c r="I61" s="12" t="n">
        <v>18997</v>
      </c>
      <c r="J61" s="12" t="n">
        <v>22953</v>
      </c>
      <c r="K61" s="12" t="n">
        <v>53132</v>
      </c>
      <c r="L61" s="12" t="n">
        <v>63150</v>
      </c>
      <c r="M61" s="12" t="n">
        <v>29840</v>
      </c>
      <c r="N61" s="12" t="n">
        <v>19411</v>
      </c>
      <c r="O61" s="11" t="n">
        <v>98827</v>
      </c>
      <c r="P61" s="12" t="n">
        <v>143887</v>
      </c>
      <c r="Q61" s="12" t="n">
        <v>110777</v>
      </c>
      <c r="R61" s="12" t="n">
        <v>27655</v>
      </c>
      <c r="S61" s="12" t="n">
        <v>-404624</v>
      </c>
      <c r="T61" s="12" t="n">
        <v>-143628</v>
      </c>
      <c r="U61" s="12" t="n">
        <v>89477</v>
      </c>
      <c r="V61" s="12" t="n">
        <v>157097</v>
      </c>
      <c r="W61" s="12" t="n">
        <v>153027</v>
      </c>
      <c r="X61" s="12" t="n">
        <v>169075</v>
      </c>
      <c r="Y61" s="11">
        <f>IF(OR(Y59="",Y62=""),"",IFERROR(Y59*Y62,""))</f>
        <v/>
      </c>
      <c r="Z61" s="12">
        <f>IF(OR(Z59="",Z62=""),"",IFERROR(Z59*Z62,""))</f>
        <v/>
      </c>
      <c r="AA61" s="12">
        <f>IF(OR(AA59="",AA62=""),"",IFERROR(AA59*AA62,""))</f>
        <v/>
      </c>
      <c r="AB61" s="12">
        <f>IF(OR(AB59="",AB62=""),"",IFERROR(AB59*AB62,""))</f>
        <v/>
      </c>
      <c r="AC61" s="12">
        <f>IF(OR(AC59="",AC62=""),"",IFERROR(AC59*AC62,""))</f>
        <v/>
      </c>
    </row>
    <row r="62">
      <c r="A62" s="13" t="inlineStr">
        <is>
          <t>지배주주 순이익률</t>
        </is>
      </c>
      <c r="B62" s="10" t="inlineStr">
        <is>
          <t>MW 기본 100%</t>
        </is>
      </c>
      <c r="C62" s="14">
        <f>IF(OR(C61="",C59=""),"",IFERROR(C61/C59,""))</f>
        <v/>
      </c>
      <c r="D62" s="15">
        <f>IF(OR(D61="",D59=""),"",IFERROR(D61/D59,""))</f>
        <v/>
      </c>
      <c r="E62" s="15">
        <f>IF(OR(E61="",E59=""),"",IFERROR(E61/E59,""))</f>
        <v/>
      </c>
      <c r="F62" s="15">
        <f>IF(OR(F61="",F59=""),"",IFERROR(F61/F59,""))</f>
        <v/>
      </c>
      <c r="G62" s="15">
        <f>IF(OR(G61="",G59=""),"",IFERROR(G61/G59,""))</f>
        <v/>
      </c>
      <c r="H62" s="15">
        <f>IF(OR(H61="",H59=""),"",IFERROR(H61/H59,""))</f>
        <v/>
      </c>
      <c r="I62" s="15">
        <f>IF(OR(I61="",I59=""),"",IFERROR(I61/I59,""))</f>
        <v/>
      </c>
      <c r="J62" s="15">
        <f>IF(OR(J61="",J59=""),"",IFERROR(J61/J59,""))</f>
        <v/>
      </c>
      <c r="K62" s="15">
        <f>IF(OR(K61="",K59=""),"",IFERROR(K61/K59,""))</f>
        <v/>
      </c>
      <c r="L62" s="15">
        <f>IF(OR(L61="",L59=""),"",IFERROR(L61/L59,""))</f>
        <v/>
      </c>
      <c r="M62" s="15">
        <f>IF(OR(M61="",M59=""),"",IFERROR(M61/M59,""))</f>
        <v/>
      </c>
      <c r="N62" s="15">
        <f>IF(OR(N61="",N59=""),"",IFERROR(N61/N59,""))</f>
        <v/>
      </c>
      <c r="O62" s="14">
        <f>IF(OR(O61="",O59=""),"",IFERROR(O61/O59,""))</f>
        <v/>
      </c>
      <c r="P62" s="15">
        <f>IF(OR(P61="",P59=""),"",IFERROR(P61/P59,""))</f>
        <v/>
      </c>
      <c r="Q62" s="15">
        <f>IF(OR(Q61="",Q59=""),"",IFERROR(Q61/Q59,""))</f>
        <v/>
      </c>
      <c r="R62" s="15">
        <f>IF(OR(R61="",R59=""),"",IFERROR(R61/R59,""))</f>
        <v/>
      </c>
      <c r="S62" s="15">
        <f>IF(OR(S61="",S59=""),"",IFERROR(S61/S59,""))</f>
        <v/>
      </c>
      <c r="T62" s="15">
        <f>IF(OR(T61="",T59=""),"",IFERROR(T61/T59,""))</f>
        <v/>
      </c>
      <c r="U62" s="15">
        <f>IF(OR(U61="",U59=""),"",IFERROR(U61/U59,""))</f>
        <v/>
      </c>
      <c r="V62" s="15">
        <f>IF(OR(V61="",V59=""),"",IFERROR(V61/V59,""))</f>
        <v/>
      </c>
      <c r="W62" s="15">
        <f>IF(OR(W61="",W59=""),"",IFERROR(W61/W59,""))</f>
        <v/>
      </c>
      <c r="X62" s="15">
        <f>IF(OR(X61="",X59=""),"",IFERROR(X61/X59,""))</f>
        <v/>
      </c>
      <c r="Y62" s="25" t="n">
        <v>1</v>
      </c>
      <c r="Z62" s="26" t="n">
        <v>1</v>
      </c>
      <c r="AA62" s="26" t="n">
        <v>1</v>
      </c>
      <c r="AB62" s="26" t="n">
        <v>1</v>
      </c>
      <c r="AC62" s="26" t="n">
        <v>1</v>
      </c>
    </row>
    <row r="63">
      <c r="A63" s="13" t="inlineStr">
        <is>
          <t>지배주주 순이익 YoY</t>
        </is>
      </c>
      <c r="B63" s="10" t="n"/>
      <c r="C63" s="14" t="n"/>
      <c r="D63" s="15" t="n"/>
      <c r="E63" s="15" t="n"/>
      <c r="F63" s="15" t="n"/>
      <c r="G63" s="15">
        <f>IF(OR(G61="",C61=""),"",IF(C61&lt;=0,"",IFERROR(G61/C61-1,"")))</f>
        <v/>
      </c>
      <c r="H63" s="15">
        <f>IF(OR(H61="",D61=""),"",IF(D61&lt;=0,"",IFERROR(H61/D61-1,"")))</f>
        <v/>
      </c>
      <c r="I63" s="15">
        <f>IF(OR(I61="",E61=""),"",IF(E61&lt;=0,"",IFERROR(I61/E61-1,"")))</f>
        <v/>
      </c>
      <c r="J63" s="15">
        <f>IF(OR(J61="",F61=""),"",IF(F61&lt;=0,"",IFERROR(J61/F61-1,"")))</f>
        <v/>
      </c>
      <c r="K63" s="15">
        <f>IF(OR(K61="",G61=""),"",IF(G61&lt;=0,"",IFERROR(K61/G61-1,"")))</f>
        <v/>
      </c>
      <c r="L63" s="15">
        <f>IF(OR(L61="",H61=""),"",IF(H61&lt;=0,"",IFERROR(L61/H61-1,"")))</f>
        <v/>
      </c>
      <c r="M63" s="15">
        <f>IF(OR(M61="",I61=""),"",IF(I61&lt;=0,"",IFERROR(M61/I61-1,"")))</f>
        <v/>
      </c>
      <c r="N63" s="15">
        <f>IF(OR(N61="",J61=""),"",IF(J61&lt;=0,"",IFERROR(N61/J61-1,"")))</f>
        <v/>
      </c>
      <c r="O63" s="14" t="n"/>
      <c r="P63" s="15">
        <f>IF(OR(P61="",O61=""),"",IF(O61&lt;=0,"",IFERROR(P61/O61-1,"")))</f>
        <v/>
      </c>
      <c r="Q63" s="15">
        <f>IF(OR(Q61="",P61=""),"",IF(P61&lt;=0,"",IFERROR(Q61/P61-1,"")))</f>
        <v/>
      </c>
      <c r="R63" s="15">
        <f>IF(OR(R61="",Q61=""),"",IF(Q61&lt;=0,"",IFERROR(R61/Q61-1,"")))</f>
        <v/>
      </c>
      <c r="S63" s="15">
        <f>IF(OR(S61="",R61=""),"",IF(R61&lt;=0,"",IFERROR(S61/R61-1,"")))</f>
        <v/>
      </c>
      <c r="T63" s="15">
        <f>IF(OR(T61="",S61=""),"",IF(S61&lt;=0,"",IFERROR(T61/S61-1,"")))</f>
        <v/>
      </c>
      <c r="U63" s="15">
        <f>IF(OR(U61="",T61=""),"",IF(T61&lt;=0,"",IFERROR(U61/T61-1,"")))</f>
        <v/>
      </c>
      <c r="V63" s="15">
        <f>IF(OR(V61="",U61=""),"",IF(U61&lt;=0,"",IFERROR(V61/U61-1,"")))</f>
        <v/>
      </c>
      <c r="W63" s="15">
        <f>IF(OR(W61="",V61=""),"",IF(V61&lt;=0,"",IFERROR(W61/V61-1,"")))</f>
        <v/>
      </c>
      <c r="X63" s="15">
        <f>IF(OR(X61="",W61=""),"",IF(W61&lt;=0,"",IFERROR(X61/W61-1,"")))</f>
        <v/>
      </c>
      <c r="Y63" s="14">
        <f>IF(OR(Y61="",X61=""),"",IF(X61&lt;=0,"",IFERROR(Y61/X61-1,"")))</f>
        <v/>
      </c>
      <c r="Z63" s="15">
        <f>IF(OR(Z61="",Y61=""),"",IF(Y61&lt;=0,"",IFERROR(Z61/Y61-1,"")))</f>
        <v/>
      </c>
      <c r="AA63" s="15">
        <f>IF(OR(AA61="",Z61=""),"",IF(Z61&lt;=0,"",IFERROR(AA61/Z61-1,"")))</f>
        <v/>
      </c>
      <c r="AB63" s="15">
        <f>IF(OR(AB61="",AA61=""),"",IF(AA61&lt;=0,"",IFERROR(AB61/AA61-1,"")))</f>
        <v/>
      </c>
      <c r="AC63" s="15">
        <f>IF(OR(AC61="",AB61=""),"",IF(AB61&lt;=0,"",IFERROR(AC61/AB61-1,"")))</f>
        <v/>
      </c>
    </row>
    <row r="64">
      <c r="A64" s="16" t="inlineStr">
        <is>
          <t>목표주가 산출</t>
        </is>
      </c>
      <c r="B64" s="16" t="n"/>
      <c r="C64" s="17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7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7" t="n"/>
      <c r="Z64" s="16" t="n"/>
      <c r="AA64" s="16" t="n"/>
      <c r="AB64" s="16" t="n"/>
      <c r="AC64" s="16" t="n"/>
    </row>
    <row r="65">
      <c r="A65" s="18" t="inlineStr">
        <is>
          <t>현재 주가 (2026.10.28)</t>
        </is>
      </c>
      <c r="B65" s="27" t="n">
        <v>2861</v>
      </c>
      <c r="C65" s="28" t="n"/>
      <c r="D65" s="29" t="n"/>
      <c r="E65" s="29" t="n"/>
      <c r="F65" s="29" t="n"/>
      <c r="G65" s="29" t="n"/>
      <c r="H65" s="29" t="n"/>
      <c r="I65" s="29" t="n"/>
      <c r="J65" s="29" t="n"/>
      <c r="K65" s="29" t="n"/>
      <c r="L65" s="29" t="n"/>
      <c r="M65" s="29" t="n"/>
      <c r="N65" s="29" t="n"/>
      <c r="O65" s="28" t="n"/>
      <c r="P65" s="29" t="n"/>
      <c r="Q65" s="29" t="n"/>
      <c r="R65" s="29" t="n"/>
      <c r="S65" s="29" t="n"/>
      <c r="T65" s="29" t="n"/>
      <c r="U65" s="29" t="n"/>
      <c r="V65" s="29" t="n"/>
      <c r="W65" s="29" t="n"/>
      <c r="X65" s="29" t="n"/>
      <c r="Y65" s="28" t="n"/>
      <c r="Z65" s="29" t="n"/>
      <c r="AA65" s="29" t="n"/>
      <c r="AB65" s="29" t="n"/>
      <c r="AC65" s="29" t="n"/>
    </row>
    <row r="66">
      <c r="A66" s="18" t="inlineStr">
        <is>
          <t>발행주식수 (보통주)</t>
        </is>
      </c>
      <c r="B66" s="27" t="n">
        <v>484293561</v>
      </c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8" t="n"/>
      <c r="P66" s="29" t="n"/>
      <c r="Q66" s="29" t="n"/>
      <c r="R66" s="29" t="n"/>
      <c r="S66" s="29" t="n"/>
      <c r="T66" s="29" t="n"/>
      <c r="U66" s="29" t="n"/>
      <c r="V66" s="29" t="n"/>
      <c r="W66" s="29" t="n"/>
      <c r="X66" s="29" t="n"/>
      <c r="Y66" s="28" t="n"/>
      <c r="Z66" s="29" t="n"/>
      <c r="AA66" s="29" t="n"/>
      <c r="AB66" s="29" t="n"/>
      <c r="AC66" s="29" t="n"/>
    </row>
    <row r="67">
      <c r="A67" s="18" t="inlineStr">
        <is>
          <t>시가총액 (백만엔)</t>
        </is>
      </c>
      <c r="B67" s="12">
        <f>IF(OR(B65="",B66=""),"",B65*B66/1000000.0)</f>
        <v/>
      </c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19" t="n"/>
      <c r="Z67" s="20" t="n"/>
      <c r="AA67" s="20" t="n"/>
      <c r="AB67" s="20" t="n"/>
      <c r="AC67" s="20" t="n"/>
    </row>
    <row r="68">
      <c r="A68" s="13" t="inlineStr">
        <is>
          <t>OPM</t>
        </is>
      </c>
      <c r="B68" s="10" t="n"/>
      <c r="C68" s="14" t="n"/>
      <c r="D68" s="15" t="n"/>
      <c r="E68" s="15" t="n"/>
      <c r="F68" s="15" t="n"/>
      <c r="G68" s="15" t="n"/>
      <c r="H68" s="15" t="n"/>
      <c r="I68" s="15" t="n"/>
      <c r="J68" s="15" t="n"/>
      <c r="K68" s="15" t="n"/>
      <c r="L68" s="15" t="n"/>
      <c r="M68" s="15" t="n"/>
      <c r="N68" s="15" t="n"/>
      <c r="O68" s="14">
        <f>IF(O32="","",O32)</f>
        <v/>
      </c>
      <c r="P68" s="15">
        <f>IF(P32="","",P32)</f>
        <v/>
      </c>
      <c r="Q68" s="15">
        <f>IF(Q32="","",Q32)</f>
        <v/>
      </c>
      <c r="R68" s="15">
        <f>IF(R32="","",R32)</f>
        <v/>
      </c>
      <c r="S68" s="15">
        <f>IF(S32="","",S32)</f>
        <v/>
      </c>
      <c r="T68" s="15">
        <f>IF(T32="","",T32)</f>
        <v/>
      </c>
      <c r="U68" s="15">
        <f>IF(U32="","",U32)</f>
        <v/>
      </c>
      <c r="V68" s="15">
        <f>IF(V32="","",V32)</f>
        <v/>
      </c>
      <c r="W68" s="15">
        <f>IF(W32="","",W32)</f>
        <v/>
      </c>
      <c r="X68" s="15">
        <f>IF(X32="","",X32)</f>
        <v/>
      </c>
      <c r="Y68" s="14">
        <f>IF(Y32="","",Y32)</f>
        <v/>
      </c>
      <c r="Z68" s="15">
        <f>IF(Z32="","",Z32)</f>
        <v/>
      </c>
      <c r="AA68" s="15">
        <f>IF(AA32="","",AA32)</f>
        <v/>
      </c>
      <c r="AB68" s="15">
        <f>IF(AB32="","",AB32)</f>
        <v/>
      </c>
      <c r="AC68" s="15">
        <f>IF(AC32="","",AC32)</f>
        <v/>
      </c>
    </row>
    <row r="69">
      <c r="A69" s="13" t="inlineStr">
        <is>
          <t>지배주주 순이익 증가율</t>
        </is>
      </c>
      <c r="B69" s="10" t="n"/>
      <c r="C69" s="14" t="n"/>
      <c r="D69" s="15" t="n"/>
      <c r="E69" s="15" t="n"/>
      <c r="F69" s="15" t="n"/>
      <c r="G69" s="15" t="n"/>
      <c r="H69" s="15" t="n"/>
      <c r="I69" s="15" t="n"/>
      <c r="J69" s="15" t="n"/>
      <c r="K69" s="15" t="n"/>
      <c r="L69" s="15" t="n"/>
      <c r="M69" s="15" t="n"/>
      <c r="N69" s="15" t="n"/>
      <c r="O69" s="14" t="n"/>
      <c r="P69" s="15">
        <f>IF(OR(P61="",O61=""),"",IFERROR(P61/O61-1,""))</f>
        <v/>
      </c>
      <c r="Q69" s="15">
        <f>IF(OR(Q61="",P61=""),"",IFERROR(Q61/P61-1,""))</f>
        <v/>
      </c>
      <c r="R69" s="15">
        <f>IF(OR(R61="",Q61=""),"",IFERROR(R61/Q61-1,""))</f>
        <v/>
      </c>
      <c r="S69" s="15">
        <f>IF(OR(S61="",R61=""),"",IFERROR(S61/R61-1,""))</f>
        <v/>
      </c>
      <c r="T69" s="15">
        <f>IF(OR(T61="",S61=""),"",IFERROR(T61/S61-1,""))</f>
        <v/>
      </c>
      <c r="U69" s="15">
        <f>IF(OR(U61="",T61=""),"",IFERROR(U61/T61-1,""))</f>
        <v/>
      </c>
      <c r="V69" s="15">
        <f>IF(OR(V61="",U61=""),"",IFERROR(V61/U61-1,""))</f>
        <v/>
      </c>
      <c r="W69" s="15">
        <f>IF(OR(W61="",V61=""),"",IFERROR(W61/V61-1,""))</f>
        <v/>
      </c>
      <c r="X69" s="15">
        <f>IF(OR(X61="",W61=""),"",IFERROR(X61/W61-1,""))</f>
        <v/>
      </c>
      <c r="Y69" s="14">
        <f>IF(OR(Y61="",X61=""),"",IFERROR(Y61/X61-1,""))</f>
        <v/>
      </c>
      <c r="Z69" s="15">
        <f>IF(OR(Z61="",Y61=""),"",IFERROR(Z61/Y61-1,""))</f>
        <v/>
      </c>
      <c r="AA69" s="15">
        <f>IF(OR(AA61="",Z61=""),"",IFERROR(AA61/Z61-1,""))</f>
        <v/>
      </c>
      <c r="AB69" s="15">
        <f>IF(OR(AB61="",AA61=""),"",IFERROR(AB61/AA61-1,""))</f>
        <v/>
      </c>
      <c r="AC69" s="15">
        <f>IF(OR(AC61="",AB61=""),"",IFERROR(AC61/AB61-1,""))</f>
        <v/>
      </c>
    </row>
    <row r="70">
      <c r="A70" s="18" t="inlineStr">
        <is>
          <t>P/E (현재 주가)</t>
        </is>
      </c>
      <c r="B70" s="10" t="inlineStr">
        <is>
          <t>시총 ÷ 지배순이익</t>
        </is>
      </c>
      <c r="C70" s="30" t="n"/>
      <c r="D70" s="31" t="n"/>
      <c r="E70" s="31" t="n"/>
      <c r="F70" s="31" t="n"/>
      <c r="G70" s="31" t="n"/>
      <c r="H70" s="31" t="n"/>
      <c r="I70" s="31" t="n"/>
      <c r="J70" s="31" t="n"/>
      <c r="K70" s="31" t="n"/>
      <c r="L70" s="31" t="n"/>
      <c r="M70" s="31" t="n"/>
      <c r="N70" s="31" t="n"/>
      <c r="O70" s="30" t="n"/>
      <c r="P70" s="31" t="n"/>
      <c r="Q70" s="31" t="n"/>
      <c r="R70" s="31" t="n"/>
      <c r="S70" s="31" t="n"/>
      <c r="T70" s="31" t="n"/>
      <c r="U70" s="31" t="n"/>
      <c r="V70" s="31" t="n"/>
      <c r="W70" s="31" t="n"/>
      <c r="X70" s="31">
        <f>IF(OR($B$67="",X61=""),"",IFERROR($B$67/X61,""))</f>
        <v/>
      </c>
      <c r="Y70" s="30">
        <f>IF(OR($B$67="",Y61=""),"",IFERROR($B$67/Y61,""))</f>
        <v/>
      </c>
      <c r="Z70" s="31">
        <f>IF(OR($B$67="",Z61=""),"",IFERROR($B$67/Z61,""))</f>
        <v/>
      </c>
      <c r="AA70" s="31">
        <f>IF(OR($B$67="",AA61=""),"",IFERROR($B$67/AA61,""))</f>
        <v/>
      </c>
      <c r="AB70" s="31">
        <f>IF(OR($B$67="",AB61=""),"",IFERROR($B$67/AB61,""))</f>
        <v/>
      </c>
      <c r="AC70" s="31">
        <f>IF(OR($B$67="",AC61=""),"",IFERROR($B$67/AC61,""))</f>
        <v/>
      </c>
    </row>
    <row r="71">
      <c r="A71" s="18" t="inlineStr">
        <is>
          <t>Target P/E</t>
        </is>
      </c>
      <c r="B71" s="10" t="inlineStr">
        <is>
          <t>직접 입력</t>
        </is>
      </c>
      <c r="C71" s="30" t="n"/>
      <c r="D71" s="31" t="n"/>
      <c r="E71" s="31" t="n"/>
      <c r="F71" s="31" t="n"/>
      <c r="G71" s="31" t="n"/>
      <c r="H71" s="31" t="n"/>
      <c r="I71" s="31" t="n"/>
      <c r="J71" s="31" t="n"/>
      <c r="K71" s="31" t="n"/>
      <c r="L71" s="31" t="n"/>
      <c r="M71" s="31" t="n"/>
      <c r="N71" s="31" t="n"/>
      <c r="O71" s="30" t="n"/>
      <c r="P71" s="31" t="n"/>
      <c r="Q71" s="31" t="n"/>
      <c r="R71" s="31" t="n"/>
      <c r="S71" s="31" t="n"/>
      <c r="T71" s="31" t="n"/>
      <c r="U71" s="31" t="n"/>
      <c r="V71" s="31" t="n"/>
      <c r="W71" s="31" t="n"/>
      <c r="X71" s="31" t="n"/>
      <c r="Y71" s="32" t="n"/>
      <c r="Z71" s="33" t="n"/>
      <c r="AA71" s="33" t="n"/>
      <c r="AB71" s="33" t="n"/>
      <c r="AC71" s="33" t="n"/>
    </row>
    <row r="72">
      <c r="A72" s="18" t="inlineStr">
        <is>
          <t>EPS</t>
        </is>
      </c>
      <c r="B72" s="10" t="inlineStr">
        <is>
          <t>지배순이익 ÷ 주식수</t>
        </is>
      </c>
      <c r="C72" s="28" t="n"/>
      <c r="D72" s="29" t="n"/>
      <c r="E72" s="29" t="n"/>
      <c r="F72" s="29" t="n"/>
      <c r="G72" s="29" t="n"/>
      <c r="H72" s="29" t="n"/>
      <c r="I72" s="29" t="n"/>
      <c r="J72" s="29" t="n"/>
      <c r="K72" s="29" t="n"/>
      <c r="L72" s="29" t="n"/>
      <c r="M72" s="29" t="n"/>
      <c r="N72" s="29" t="n"/>
      <c r="O72" s="28">
        <f>IF(OR(O61="",$B$66=""),"",IFERROR(O61*1000000.0/$B$66,""))</f>
        <v/>
      </c>
      <c r="P72" s="29">
        <f>IF(OR(P61="",$B$66=""),"",IFERROR(P61*1000000.0/$B$66,""))</f>
        <v/>
      </c>
      <c r="Q72" s="29">
        <f>IF(OR(Q61="",$B$66=""),"",IFERROR(Q61*1000000.0/$B$66,""))</f>
        <v/>
      </c>
      <c r="R72" s="29">
        <f>IF(OR(R61="",$B$66=""),"",IFERROR(R61*1000000.0/$B$66,""))</f>
        <v/>
      </c>
      <c r="S72" s="29">
        <f>IF(OR(S61="",$B$66=""),"",IFERROR(S61*1000000.0/$B$66,""))</f>
        <v/>
      </c>
      <c r="T72" s="29">
        <f>IF(OR(T61="",$B$66=""),"",IFERROR(T61*1000000.0/$B$66,""))</f>
        <v/>
      </c>
      <c r="U72" s="29">
        <f>IF(OR(U61="",$B$66=""),"",IFERROR(U61*1000000.0/$B$66,""))</f>
        <v/>
      </c>
      <c r="V72" s="29">
        <f>IF(OR(V61="",$B$66=""),"",IFERROR(V61*1000000.0/$B$66,""))</f>
        <v/>
      </c>
      <c r="W72" s="29">
        <f>IF(OR(W61="",$B$66=""),"",IFERROR(W61*1000000.0/$B$66,""))</f>
        <v/>
      </c>
      <c r="X72" s="29">
        <f>IF(OR(X61="",$B$66=""),"",IFERROR(X61*1000000.0/$B$66,""))</f>
        <v/>
      </c>
      <c r="Y72" s="28">
        <f>IF(OR(Y61="",$B$66=""),"",IFERROR(Y61*1000000.0/$B$66,""))</f>
        <v/>
      </c>
      <c r="Z72" s="29">
        <f>IF(OR(Z61="",$B$66=""),"",IFERROR(Z61*1000000.0/$B$66,""))</f>
        <v/>
      </c>
      <c r="AA72" s="29">
        <f>IF(OR(AA61="",$B$66=""),"",IFERROR(AA61*1000000.0/$B$66,""))</f>
        <v/>
      </c>
      <c r="AB72" s="29">
        <f>IF(OR(AB61="",$B$66=""),"",IFERROR(AB61*1000000.0/$B$66,""))</f>
        <v/>
      </c>
      <c r="AC72" s="29">
        <f>IF(OR(AC61="",$B$66=""),"",IFERROR(AC61*1000000.0/$B$66,""))</f>
        <v/>
      </c>
    </row>
    <row r="73">
      <c r="A73" s="9" t="inlineStr">
        <is>
          <t>목표주가</t>
        </is>
      </c>
      <c r="B73" s="10" t="n"/>
      <c r="C73" s="34" t="n"/>
      <c r="D73" s="27" t="n"/>
      <c r="E73" s="27" t="n"/>
      <c r="F73" s="27" t="n"/>
      <c r="G73" s="27" t="n"/>
      <c r="H73" s="27" t="n"/>
      <c r="I73" s="27" t="n"/>
      <c r="J73" s="27" t="n"/>
      <c r="K73" s="27" t="n"/>
      <c r="L73" s="27" t="n"/>
      <c r="M73" s="27" t="n"/>
      <c r="N73" s="27" t="n"/>
      <c r="O73" s="34" t="n"/>
      <c r="P73" s="27" t="n"/>
      <c r="Q73" s="27" t="n"/>
      <c r="R73" s="27" t="n"/>
      <c r="S73" s="27" t="n"/>
      <c r="T73" s="27" t="n"/>
      <c r="U73" s="27" t="n"/>
      <c r="V73" s="27" t="n"/>
      <c r="W73" s="27" t="n"/>
      <c r="X73" s="27" t="n"/>
      <c r="Y73" s="34">
        <f>IF(OR(Y72="",Y71=""),"",IFERROR(Y72*Y71,""))</f>
        <v/>
      </c>
      <c r="Z73" s="27">
        <f>IF(OR(Z72="",Z71=""),"",IFERROR(Z72*Z71,""))</f>
        <v/>
      </c>
      <c r="AA73" s="27">
        <f>IF(OR(AA72="",AA71=""),"",IFERROR(AA72*AA71,""))</f>
        <v/>
      </c>
      <c r="AB73" s="27">
        <f>IF(OR(AB72="",AB71=""),"",IFERROR(AB72*AB71,""))</f>
        <v/>
      </c>
      <c r="AC73" s="27">
        <f>IF(OR(AC72="",AC71=""),"",IFERROR(AC72*AC71,""))</f>
        <v/>
      </c>
    </row>
    <row r="74">
      <c r="A74" s="18" t="inlineStr">
        <is>
          <t>상승여력</t>
        </is>
      </c>
      <c r="B74" s="10" t="n"/>
      <c r="C74" s="35" t="n"/>
      <c r="D74" s="36" t="n"/>
      <c r="E74" s="36" t="n"/>
      <c r="F74" s="36" t="n"/>
      <c r="G74" s="36" t="n"/>
      <c r="H74" s="36" t="n"/>
      <c r="I74" s="36" t="n"/>
      <c r="J74" s="36" t="n"/>
      <c r="K74" s="36" t="n"/>
      <c r="L74" s="36" t="n"/>
      <c r="M74" s="36" t="n"/>
      <c r="N74" s="36" t="n"/>
      <c r="O74" s="35" t="n"/>
      <c r="P74" s="36" t="n"/>
      <c r="Q74" s="36" t="n"/>
      <c r="R74" s="36" t="n"/>
      <c r="S74" s="36" t="n"/>
      <c r="T74" s="36" t="n"/>
      <c r="U74" s="36" t="n"/>
      <c r="V74" s="36" t="n"/>
      <c r="W74" s="36" t="n"/>
      <c r="X74" s="36" t="n"/>
      <c r="Y74" s="37">
        <f>IF(OR(Y73="",$B$65=""),"",IFERROR(Y73/$B$65-1,""))</f>
        <v/>
      </c>
      <c r="Z74" s="38">
        <f>IF(OR(Z73="",$B$65=""),"",IFERROR(Z73/$B$65-1,""))</f>
        <v/>
      </c>
      <c r="AA74" s="38">
        <f>IF(OR(AA73="",$B$65=""),"",IFERROR(AA73/$B$65-1,""))</f>
        <v/>
      </c>
      <c r="AB74" s="38">
        <f>IF(OR(AB73="",$B$65=""),"",IFERROR(AB73/$B$65-1,""))</f>
        <v/>
      </c>
      <c r="AC74" s="38">
        <f>IF(OR(AC73="",$B$65=""),"",IFERROR(AC73/$B$65-1,""))</f>
        <v/>
      </c>
    </row>
    <row r="75">
      <c r="A75" s="16" t="inlineStr">
        <is>
          <t>자산가치 산출</t>
        </is>
      </c>
      <c r="B75" s="16" t="inlineStr">
        <is>
          <t>최신 분기 BS</t>
        </is>
      </c>
      <c r="C75" s="17" t="n"/>
      <c r="D75" s="16" t="n"/>
      <c r="E75" s="16" t="n"/>
      <c r="F75" s="16" t="n"/>
      <c r="G75" s="16" t="n"/>
      <c r="H75" s="16" t="n"/>
      <c r="I75" s="16" t="n"/>
      <c r="J75" s="16" t="n"/>
      <c r="K75" s="16" t="n"/>
      <c r="L75" s="16" t="n"/>
      <c r="M75" s="16" t="n"/>
      <c r="N75" s="16" t="n"/>
      <c r="O75" s="17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7" t="n"/>
      <c r="Z75" s="16" t="n"/>
      <c r="AA75" s="16" t="n"/>
      <c r="AB75" s="16" t="n"/>
      <c r="AC75" s="16" t="n"/>
    </row>
    <row r="76">
      <c r="A76" s="18" t="inlineStr">
        <is>
          <t>현금및현금성자산</t>
        </is>
      </c>
      <c r="B76" s="10" t="n"/>
      <c r="C76" s="19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19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>
        <f>'재무상태표'!G6</f>
        <v/>
      </c>
      <c r="Y76" s="19">
        <f>'재무상태표'!G6</f>
        <v/>
      </c>
      <c r="Z76" s="20">
        <f>'재무상태표'!G6</f>
        <v/>
      </c>
      <c r="AA76" s="20">
        <f>'재무상태표'!G6</f>
        <v/>
      </c>
      <c r="AB76" s="20">
        <f>'재무상태표'!G6</f>
        <v/>
      </c>
      <c r="AC76" s="20">
        <f>'재무상태표'!G6</f>
        <v/>
      </c>
    </row>
    <row r="77">
      <c r="A77" s="18" t="inlineStr">
        <is>
          <t>단기금융상품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>
        <f>'재무상태표'!G7</f>
        <v/>
      </c>
      <c r="Y77" s="19">
        <f>'재무상태표'!G7</f>
        <v/>
      </c>
      <c r="Z77" s="20">
        <f>'재무상태표'!G7</f>
        <v/>
      </c>
      <c r="AA77" s="20">
        <f>'재무상태표'!G7</f>
        <v/>
      </c>
      <c r="AB77" s="20">
        <f>'재무상태표'!G7</f>
        <v/>
      </c>
      <c r="AC77" s="20">
        <f>'재무상태표'!G7</f>
        <v/>
      </c>
    </row>
    <row r="78">
      <c r="A78" s="18" t="inlineStr">
        <is>
          <t>투자부동산</t>
        </is>
      </c>
      <c r="B78" s="10" t="n"/>
      <c r="C78" s="19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19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>
        <f>'재무상태표'!G14</f>
        <v/>
      </c>
      <c r="Y78" s="19">
        <f>'재무상태표'!G14</f>
        <v/>
      </c>
      <c r="Z78" s="20">
        <f>'재무상태표'!G14</f>
        <v/>
      </c>
      <c r="AA78" s="20">
        <f>'재무상태표'!G14</f>
        <v/>
      </c>
      <c r="AB78" s="20">
        <f>'재무상태표'!G14</f>
        <v/>
      </c>
      <c r="AC78" s="20">
        <f>'재무상태표'!G14</f>
        <v/>
      </c>
    </row>
    <row r="79">
      <c r="A79" s="18" t="inlineStr">
        <is>
          <t>지배자본</t>
        </is>
      </c>
      <c r="B79" s="10" t="n"/>
      <c r="C79" s="19" t="n"/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19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>
        <f>'재무상태표'!G31</f>
        <v/>
      </c>
      <c r="Y79" s="19">
        <f>'재무상태표'!G31</f>
        <v/>
      </c>
      <c r="Z79" s="20">
        <f>'재무상태표'!G31</f>
        <v/>
      </c>
      <c r="AA79" s="20">
        <f>'재무상태표'!G31</f>
        <v/>
      </c>
      <c r="AB79" s="20">
        <f>'재무상태표'!G31</f>
        <v/>
      </c>
      <c r="AC79" s="20">
        <f>'재무상태표'!G31</f>
        <v/>
      </c>
    </row>
    <row r="80">
      <c r="A80" s="18" t="inlineStr">
        <is>
          <t>부채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>
        <f>'재무상태표'!G27</f>
        <v/>
      </c>
      <c r="Y80" s="19">
        <f>'재무상태표'!G27</f>
        <v/>
      </c>
      <c r="Z80" s="20">
        <f>'재무상태표'!G27</f>
        <v/>
      </c>
      <c r="AA80" s="20">
        <f>'재무상태표'!G27</f>
        <v/>
      </c>
      <c r="AB80" s="20">
        <f>'재무상태표'!G27</f>
        <v/>
      </c>
      <c r="AC80" s="20">
        <f>'재무상태표'!G27</f>
        <v/>
      </c>
    </row>
    <row r="81">
      <c r="A81" s="13" t="inlineStr">
        <is>
          <t>부채비율</t>
        </is>
      </c>
      <c r="B81" s="10" t="n"/>
      <c r="C81" s="14" t="n"/>
      <c r="D81" s="15" t="n"/>
      <c r="E81" s="15" t="n"/>
      <c r="F81" s="15" t="n"/>
      <c r="G81" s="15" t="n"/>
      <c r="H81" s="15" t="n"/>
      <c r="I81" s="15" t="n"/>
      <c r="J81" s="15" t="n"/>
      <c r="K81" s="15" t="n"/>
      <c r="L81" s="15" t="n"/>
      <c r="M81" s="15" t="n"/>
      <c r="N81" s="15" t="n"/>
      <c r="O81" s="14" t="n"/>
      <c r="P81" s="15" t="n"/>
      <c r="Q81" s="15" t="n"/>
      <c r="R81" s="15" t="n"/>
      <c r="S81" s="15" t="n"/>
      <c r="T81" s="15" t="n"/>
      <c r="U81" s="15" t="n"/>
      <c r="V81" s="15" t="n"/>
      <c r="W81" s="15" t="n"/>
      <c r="X81" s="15">
        <f>IF(OR(X80="",X79=""),"",IFERROR(X80/X79,""))</f>
        <v/>
      </c>
      <c r="Y81" s="14">
        <f>IF(OR(Y80="",Y79=""),"",IFERROR(Y80/Y79,""))</f>
        <v/>
      </c>
      <c r="Z81" s="15">
        <f>IF(OR(Z80="",Z79=""),"",IFERROR(Z80/Z79,""))</f>
        <v/>
      </c>
      <c r="AA81" s="15">
        <f>IF(OR(AA80="",AA79=""),"",IFERROR(AA80/AA79,""))</f>
        <v/>
      </c>
      <c r="AB81" s="15">
        <f>IF(OR(AB80="",AB79=""),"",IFERROR(AB80/AB79,""))</f>
        <v/>
      </c>
      <c r="AC81" s="15">
        <f>IF(OR(AC80="",AC79=""),"",IFERROR(AC80/AC79,""))</f>
        <v/>
      </c>
    </row>
    <row r="82">
      <c r="A82" s="9" t="inlineStr">
        <is>
          <t>자산가치</t>
        </is>
      </c>
      <c r="B82" s="10" t="inlineStr">
        <is>
          <t>현금+단기금융+투자부동산</t>
        </is>
      </c>
      <c r="C82" s="11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1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>
        <f>SUM(X76,X77,X78)</f>
        <v/>
      </c>
      <c r="Y82" s="11">
        <f>SUM(Y76,Y77,Y78)</f>
        <v/>
      </c>
      <c r="Z82" s="12">
        <f>SUM(Z76,Z77,Z78)</f>
        <v/>
      </c>
      <c r="AA82" s="12">
        <f>SUM(AA76,AA77,AA78)</f>
        <v/>
      </c>
      <c r="AB82" s="12">
        <f>SUM(AB76,AB77,AB78)</f>
        <v/>
      </c>
      <c r="AC82" s="12">
        <f>SUM(AC76,AC77,AC78)</f>
        <v/>
      </c>
    </row>
    <row r="83">
      <c r="A83" s="16" t="inlineStr">
        <is>
          <t>기업가치 산출</t>
        </is>
      </c>
      <c r="B83" s="16" t="n"/>
      <c r="C83" s="17" t="n"/>
      <c r="D83" s="16" t="n"/>
      <c r="E83" s="16" t="n"/>
      <c r="F83" s="16" t="n"/>
      <c r="G83" s="16" t="n"/>
      <c r="H83" s="16" t="n"/>
      <c r="I83" s="16" t="n"/>
      <c r="J83" s="16" t="n"/>
      <c r="K83" s="16" t="n"/>
      <c r="L83" s="16" t="n"/>
      <c r="M83" s="16" t="n"/>
      <c r="N83" s="16" t="n"/>
      <c r="O83" s="17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7" t="n"/>
      <c r="Z83" s="16" t="n"/>
      <c r="AA83" s="16" t="n"/>
      <c r="AB83" s="16" t="n"/>
      <c r="AC83" s="16" t="n"/>
    </row>
    <row r="84">
      <c r="A84" s="18" t="inlineStr">
        <is>
          <t>목표 시가총액 (P/E)</t>
        </is>
      </c>
      <c r="B84" s="10" t="inlineStr">
        <is>
          <t>지배순이익 × Target P/E</t>
        </is>
      </c>
      <c r="C84" s="19" t="n"/>
      <c r="D84" s="20" t="n"/>
      <c r="E84" s="20" t="n"/>
      <c r="F84" s="20" t="n"/>
      <c r="G84" s="20" t="n"/>
      <c r="H84" s="20" t="n"/>
      <c r="I84" s="20" t="n"/>
      <c r="J84" s="20" t="n"/>
      <c r="K84" s="20" t="n"/>
      <c r="L84" s="20" t="n"/>
      <c r="M84" s="20" t="n"/>
      <c r="N84" s="20" t="n"/>
      <c r="O84" s="19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19">
        <f>IF(OR(Y61="",Y71=""),"",IFERROR(Y61*Y71,""))</f>
        <v/>
      </c>
      <c r="Z84" s="20">
        <f>IF(OR(Z61="",Z71=""),"",IFERROR(Z61*Z71,""))</f>
        <v/>
      </c>
      <c r="AA84" s="20">
        <f>IF(OR(AA61="",AA71=""),"",IFERROR(AA61*AA71,""))</f>
        <v/>
      </c>
      <c r="AB84" s="20">
        <f>IF(OR(AB61="",AB71=""),"",IFERROR(AB61*AB71,""))</f>
        <v/>
      </c>
      <c r="AC84" s="20">
        <f>IF(OR(AC61="",AC71=""),"",IFERROR(AC61*AC71,""))</f>
        <v/>
      </c>
    </row>
    <row r="85">
      <c r="A85" s="9" t="inlineStr">
        <is>
          <t>기업가치</t>
        </is>
      </c>
      <c r="B85" s="10" t="inlineStr">
        <is>
          <t>목표시총 + 자산가치</t>
        </is>
      </c>
      <c r="C85" s="11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1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1">
        <f>IF(OR(Y84=""),"",IFERROR(Y84+Y82,""))</f>
        <v/>
      </c>
      <c r="Z85" s="12">
        <f>IF(OR(Z84=""),"",IFERROR(Z84+Z82,""))</f>
        <v/>
      </c>
      <c r="AA85" s="12">
        <f>IF(OR(AA84=""),"",IFERROR(AA84+AA82,""))</f>
        <v/>
      </c>
      <c r="AB85" s="12">
        <f>IF(OR(AB84=""),"",IFERROR(AB84+AB82,""))</f>
        <v/>
      </c>
      <c r="AC85" s="12">
        <f>IF(OR(AC84=""),"",IFERROR(AC84+AC82,""))</f>
        <v/>
      </c>
    </row>
    <row r="86">
      <c r="A86" s="18" t="inlineStr">
        <is>
          <t>현재 시가총액</t>
        </is>
      </c>
      <c r="B86" s="10" t="n"/>
      <c r="C86" s="19" t="n"/>
      <c r="D86" s="20" t="n"/>
      <c r="E86" s="20" t="n"/>
      <c r="F86" s="20" t="n"/>
      <c r="G86" s="20" t="n"/>
      <c r="H86" s="20" t="n"/>
      <c r="I86" s="20" t="n"/>
      <c r="J86" s="20" t="n"/>
      <c r="K86" s="20" t="n"/>
      <c r="L86" s="20" t="n"/>
      <c r="M86" s="20" t="n"/>
      <c r="N86" s="20" t="n"/>
      <c r="O86" s="19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19">
        <f>$B$67</f>
        <v/>
      </c>
      <c r="Z86" s="20">
        <f>$B$67</f>
        <v/>
      </c>
      <c r="AA86" s="20">
        <f>$B$67</f>
        <v/>
      </c>
      <c r="AB86" s="20">
        <f>$B$67</f>
        <v/>
      </c>
      <c r="AC86" s="20">
        <f>$B$67</f>
        <v/>
      </c>
    </row>
    <row r="87">
      <c r="A87" s="18" t="inlineStr">
        <is>
          <t>상승여력</t>
        </is>
      </c>
      <c r="B87" s="10" t="n"/>
      <c r="C87" s="35" t="n"/>
      <c r="D87" s="36" t="n"/>
      <c r="E87" s="36" t="n"/>
      <c r="F87" s="36" t="n"/>
      <c r="G87" s="36" t="n"/>
      <c r="H87" s="36" t="n"/>
      <c r="I87" s="36" t="n"/>
      <c r="J87" s="36" t="n"/>
      <c r="K87" s="36" t="n"/>
      <c r="L87" s="36" t="n"/>
      <c r="M87" s="36" t="n"/>
      <c r="N87" s="36" t="n"/>
      <c r="O87" s="35" t="n"/>
      <c r="P87" s="36" t="n"/>
      <c r="Q87" s="36" t="n"/>
      <c r="R87" s="36" t="n"/>
      <c r="S87" s="36" t="n"/>
      <c r="T87" s="36" t="n"/>
      <c r="U87" s="36" t="n"/>
      <c r="V87" s="36" t="n"/>
      <c r="W87" s="36" t="n"/>
      <c r="X87" s="36" t="n"/>
      <c r="Y87" s="37">
        <f>IF(OR(Y85="",Y86=""),"",IFERROR(Y85/Y86-1,""))</f>
        <v/>
      </c>
      <c r="Z87" s="38">
        <f>IF(OR(Z85="",Z86=""),"",IFERROR(Z85/Z86-1,""))</f>
        <v/>
      </c>
      <c r="AA87" s="38">
        <f>IF(OR(AA85="",AA86=""),"",IFERROR(AA85/AA86-1,""))</f>
        <v/>
      </c>
      <c r="AB87" s="38">
        <f>IF(OR(AB85="",AB86=""),"",IFERROR(AB85/AB86-1,""))</f>
        <v/>
      </c>
      <c r="AC87" s="38">
        <f>IF(OR(AC85="",AC86=""),"",IFERROR(AC85/AC86-1,""))</f>
        <v/>
      </c>
    </row>
    <row r="88">
      <c r="C88" s="39" t="n"/>
      <c r="O88" s="39" t="n"/>
      <c r="Y88" s="39" t="n"/>
    </row>
    <row r="89">
      <c r="A89" s="40" t="inlineStr">
        <is>
          <t>출처</t>
        </is>
      </c>
      <c r="C89" s="39" t="n"/>
      <c r="O89" s="39" t="n"/>
      <c r="Y89" s="39" t="n"/>
    </row>
    <row r="90">
      <c r="A90" s="41" t="inlineStr">
        <is>
          <t>결산단신 XBRL(TDnet·JPX 보관소) — 쓴 문서는 '출처' 시트</t>
        </is>
      </c>
      <c r="C90" s="39" t="n"/>
      <c r="O90" s="39" t="n"/>
      <c r="Y90" s="39" t="n"/>
    </row>
    <row r="91">
      <c r="A91" s="41" t="inlineStr">
        <is>
          <t>분기 = 누계에서 앞 분기를 뺀 3개월 값</t>
        </is>
      </c>
      <c r="C91" s="39" t="n"/>
      <c r="O91" s="39" t="n"/>
      <c r="Y91" s="39" t="n"/>
    </row>
    <row r="92">
      <c r="A92" s="41" t="inlineStr">
        <is>
          <t>주가: 야후 파이낸스 일봉 2026.10.28</t>
        </is>
      </c>
      <c r="C92" s="39" t="n"/>
      <c r="O92" s="39" t="n"/>
      <c r="Y92" s="39" t="n"/>
    </row>
    <row r="94">
      <c r="A94" s="16" t="inlineStr">
        <is>
          <t>손익계산서 · 전 항목</t>
        </is>
      </c>
      <c r="B94" s="42" t="inlineStr">
        <is>
          <t>분기 = 3개월 단독</t>
        </is>
      </c>
      <c r="C94" s="16" t="n"/>
      <c r="D94" s="16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  <c r="AA94" s="16" t="n"/>
      <c r="AB94" s="16" t="n"/>
      <c r="AC94" s="16" t="n"/>
    </row>
    <row r="95">
      <c r="A95" s="5" t="inlineStr">
        <is>
          <t>항목</t>
        </is>
      </c>
      <c r="B95" s="5" t="inlineStr">
        <is>
          <t>참고</t>
        </is>
      </c>
      <c r="C95" s="5" t="inlineStr">
        <is>
          <t>2024.2Q</t>
        </is>
      </c>
      <c r="D95" s="5" t="inlineStr">
        <is>
          <t>2024.3Q</t>
        </is>
      </c>
      <c r="E95" s="5" t="inlineStr">
        <is>
          <t>2024.4Q</t>
        </is>
      </c>
      <c r="F95" s="5" t="inlineStr">
        <is>
          <t>2025.1Q</t>
        </is>
      </c>
      <c r="G95" s="5" t="inlineStr">
        <is>
          <t>2025.2Q</t>
        </is>
      </c>
      <c r="H95" s="5" t="inlineStr">
        <is>
          <t>2025.3Q</t>
        </is>
      </c>
      <c r="I95" s="5" t="inlineStr">
        <is>
          <t>2025.4Q</t>
        </is>
      </c>
      <c r="J95" s="5" t="inlineStr">
        <is>
          <t>2026.1Q</t>
        </is>
      </c>
      <c r="K95" s="5" t="inlineStr">
        <is>
          <t>2026.2Q</t>
        </is>
      </c>
      <c r="L95" s="5" t="inlineStr">
        <is>
          <t>2026.3Q</t>
        </is>
      </c>
      <c r="M95" s="5" t="inlineStr">
        <is>
          <t>2026.4Q</t>
        </is>
      </c>
      <c r="N95" s="5" t="inlineStr">
        <is>
          <t>2027.1Q</t>
        </is>
      </c>
      <c r="O95" s="5" t="inlineStr">
        <is>
          <t>2017</t>
        </is>
      </c>
      <c r="P95" s="5" t="inlineStr">
        <is>
          <t>2018</t>
        </is>
      </c>
      <c r="Q95" s="5" t="inlineStr">
        <is>
          <t>2019</t>
        </is>
      </c>
      <c r="R95" s="5" t="inlineStr">
        <is>
          <t>2020</t>
        </is>
      </c>
      <c r="S95" s="5" t="inlineStr">
        <is>
          <t>2021</t>
        </is>
      </c>
      <c r="T95" s="5" t="inlineStr">
        <is>
          <t>2022</t>
        </is>
      </c>
      <c r="U95" s="5" t="inlineStr">
        <is>
          <t>2023</t>
        </is>
      </c>
      <c r="V95" s="5" t="inlineStr">
        <is>
          <t>2024</t>
        </is>
      </c>
      <c r="W95" s="5" t="inlineStr">
        <is>
          <t>2025</t>
        </is>
      </c>
      <c r="X95" s="5" t="inlineStr">
        <is>
          <t>2026</t>
        </is>
      </c>
      <c r="Y95" s="5" t="inlineStr">
        <is>
          <t>2027(MW)</t>
        </is>
      </c>
      <c r="Z95" s="5" t="inlineStr">
        <is>
          <t>2028(MW)</t>
        </is>
      </c>
      <c r="AA95" s="5" t="inlineStr">
        <is>
          <t>2029(MW)</t>
        </is>
      </c>
      <c r="AB95" s="5" t="inlineStr">
        <is>
          <t>2030(MW)</t>
        </is>
      </c>
      <c r="AC95" s="5" t="inlineStr">
        <is>
          <t>2031(MW)</t>
        </is>
      </c>
    </row>
    <row r="96">
      <c r="A96" s="9" t="inlineStr">
        <is>
          <t>매출액</t>
        </is>
      </c>
      <c r="C96" s="12" t="n">
        <v>541703</v>
      </c>
      <c r="D96" s="12" t="n">
        <v>540852</v>
      </c>
      <c r="E96" s="12" t="n">
        <v>512347</v>
      </c>
      <c r="F96" s="12" t="n">
        <v>516775</v>
      </c>
      <c r="G96" s="12" t="n">
        <v>582812</v>
      </c>
      <c r="H96" s="12" t="n">
        <v>603197</v>
      </c>
      <c r="I96" s="12" t="n">
        <v>559072</v>
      </c>
      <c r="J96" s="12" t="n">
        <v>548701</v>
      </c>
      <c r="K96" s="12" t="n">
        <v>641699</v>
      </c>
      <c r="L96" s="12" t="n">
        <v>686984</v>
      </c>
      <c r="M96" s="12" t="n">
        <v>661849</v>
      </c>
      <c r="N96" s="12" t="n">
        <v>672729</v>
      </c>
      <c r="T96" s="12" t="n">
        <v>282278</v>
      </c>
      <c r="U96" s="12" t="n">
        <v>448829</v>
      </c>
      <c r="V96" s="12" t="n">
        <v>512347</v>
      </c>
      <c r="W96" s="12" t="n">
        <v>559072</v>
      </c>
      <c r="X96" s="12" t="n">
        <v>661849</v>
      </c>
    </row>
    <row r="97">
      <c r="A97" s="43" t="inlineStr">
        <is>
          <t>YoY</t>
        </is>
      </c>
      <c r="B97" s="3" t="inlineStr">
        <is>
          <t>전년 같은 분기·전년 대비</t>
        </is>
      </c>
      <c r="G97" s="15">
        <f>IF(OR(G96="",C96=""),"",IF(C96&lt;=0,"",IFERROR(G96/C96-1,"")))</f>
        <v/>
      </c>
      <c r="H97" s="15">
        <f>IF(OR(H96="",D96=""),"",IF(D96&lt;=0,"",IFERROR(H96/D96-1,"")))</f>
        <v/>
      </c>
      <c r="I97" s="15">
        <f>IF(OR(I96="",E96=""),"",IF(E96&lt;=0,"",IFERROR(I96/E96-1,"")))</f>
        <v/>
      </c>
      <c r="J97" s="15">
        <f>IF(OR(J96="",F96=""),"",IF(F96&lt;=0,"",IFERROR(J96/F96-1,"")))</f>
        <v/>
      </c>
      <c r="K97" s="15">
        <f>IF(OR(K96="",G96=""),"",IF(G96&lt;=0,"",IFERROR(K96/G96-1,"")))</f>
        <v/>
      </c>
      <c r="L97" s="15">
        <f>IF(OR(L96="",H96=""),"",IF(H96&lt;=0,"",IFERROR(L96/H96-1,"")))</f>
        <v/>
      </c>
      <c r="M97" s="15">
        <f>IF(OR(M96="",I96=""),"",IF(I96&lt;=0,"",IFERROR(M96/I96-1,"")))</f>
        <v/>
      </c>
      <c r="N97" s="15">
        <f>IF(OR(N96="",J96=""),"",IF(J96&lt;=0,"",IFERROR(N96/J96-1,"")))</f>
        <v/>
      </c>
      <c r="T97" s="15">
        <f>IF(OR(T96="",S96=""),"",IF(S96&lt;=0,"",IFERROR(T96/S96-1,"")))</f>
        <v/>
      </c>
      <c r="U97" s="15">
        <f>IF(OR(U96="",T96=""),"",IF(T96&lt;=0,"",IFERROR(U96/T96-1,"")))</f>
        <v/>
      </c>
      <c r="V97" s="15">
        <f>IF(OR(V96="",U96=""),"",IF(U96&lt;=0,"",IFERROR(V96/U96-1,"")))</f>
        <v/>
      </c>
      <c r="W97" s="15">
        <f>IF(OR(W96="",V96=""),"",IF(V96&lt;=0,"",IFERROR(W96/V96-1,"")))</f>
        <v/>
      </c>
      <c r="X97" s="15">
        <f>IF(OR(X96="",W96=""),"",IF(W96&lt;=0,"",IFERROR(X96/W96-1,"")))</f>
        <v/>
      </c>
    </row>
    <row r="98">
      <c r="A98" s="18" t="inlineStr">
        <is>
          <t>매출원가</t>
        </is>
      </c>
      <c r="C98" s="20" t="n">
        <v>405616</v>
      </c>
      <c r="D98" s="20" t="n">
        <v>411589</v>
      </c>
      <c r="E98" s="20" t="n">
        <v>454972</v>
      </c>
      <c r="F98" s="20" t="n">
        <v>433811</v>
      </c>
      <c r="G98" s="20" t="n">
        <v>450885</v>
      </c>
      <c r="H98" s="20" t="n">
        <v>485562</v>
      </c>
      <c r="I98" s="20" t="n">
        <v>473284</v>
      </c>
      <c r="J98" s="20" t="n">
        <v>456915</v>
      </c>
      <c r="K98" s="20" t="n">
        <v>522220</v>
      </c>
      <c r="L98" s="20" t="n">
        <v>542837</v>
      </c>
      <c r="M98" s="20" t="n">
        <v>552786</v>
      </c>
      <c r="N98" s="20" t="n">
        <v>590110</v>
      </c>
      <c r="T98" s="20" t="n">
        <v>302222</v>
      </c>
      <c r="U98" s="20" t="n">
        <v>374394</v>
      </c>
      <c r="V98" s="20" t="n">
        <v>454972</v>
      </c>
      <c r="W98" s="20" t="n">
        <v>473284</v>
      </c>
      <c r="X98" s="20" t="n">
        <v>552786</v>
      </c>
    </row>
    <row r="99">
      <c r="A99" s="43" t="inlineStr">
        <is>
          <t>YoY</t>
        </is>
      </c>
      <c r="B99" s="3" t="inlineStr">
        <is>
          <t>전년 같은 분기·전년 대비</t>
        </is>
      </c>
      <c r="G99" s="15">
        <f>IF(OR(G98="",C98=""),"",IF(G98*C98&lt;=0,"",IFERROR(G98/C98-1,"")))</f>
        <v/>
      </c>
      <c r="H99" s="15">
        <f>IF(OR(H98="",D98=""),"",IF(H98*D98&lt;=0,"",IFERROR(H98/D98-1,"")))</f>
        <v/>
      </c>
      <c r="I99" s="15">
        <f>IF(OR(I98="",E98=""),"",IF(I98*E98&lt;=0,"",IFERROR(I98/E98-1,"")))</f>
        <v/>
      </c>
      <c r="J99" s="15">
        <f>IF(OR(J98="",F98=""),"",IF(J98*F98&lt;=0,"",IFERROR(J98/F98-1,"")))</f>
        <v/>
      </c>
      <c r="K99" s="15">
        <f>IF(OR(K98="",G98=""),"",IF(K98*G98&lt;=0,"",IFERROR(K98/G98-1,"")))</f>
        <v/>
      </c>
      <c r="L99" s="15">
        <f>IF(OR(L98="",H98=""),"",IF(L98*H98&lt;=0,"",IFERROR(L98/H98-1,"")))</f>
        <v/>
      </c>
      <c r="M99" s="15">
        <f>IF(OR(M98="",I98=""),"",IF(M98*I98&lt;=0,"",IFERROR(M98/I98-1,"")))</f>
        <v/>
      </c>
      <c r="N99" s="15">
        <f>IF(OR(N98="",J98=""),"",IF(N98*J98&lt;=0,"",IFERROR(N98/J98-1,"")))</f>
        <v/>
      </c>
      <c r="T99" s="15">
        <f>IF(OR(T98="",S98=""),"",IF(T98*S98&lt;=0,"",IFERROR(T98/S98-1,"")))</f>
        <v/>
      </c>
      <c r="U99" s="15">
        <f>IF(OR(U98="",T98=""),"",IF(U98*T98&lt;=0,"",IFERROR(U98/T98-1,"")))</f>
        <v/>
      </c>
      <c r="V99" s="15">
        <f>IF(OR(V98="",U98=""),"",IF(V98*U98&lt;=0,"",IFERROR(V98/U98-1,"")))</f>
        <v/>
      </c>
      <c r="W99" s="15">
        <f>IF(OR(W98="",V98=""),"",IF(W98*V98&lt;=0,"",IFERROR(W98/V98-1,"")))</f>
        <v/>
      </c>
      <c r="X99" s="15">
        <f>IF(OR(X98="",W98=""),"",IF(X98*W98&lt;=0,"",IFERROR(X98/W98-1,"")))</f>
        <v/>
      </c>
    </row>
    <row r="100">
      <c r="A100" s="9" t="inlineStr">
        <is>
          <t>매출총이익</t>
        </is>
      </c>
      <c r="C100" s="12" t="n">
        <v>136087</v>
      </c>
      <c r="D100" s="12" t="n">
        <v>129263</v>
      </c>
      <c r="E100" s="12" t="n">
        <v>57375</v>
      </c>
      <c r="F100" s="12" t="n">
        <v>82964</v>
      </c>
      <c r="G100" s="12" t="n">
        <v>131927</v>
      </c>
      <c r="H100" s="12" t="n">
        <v>117635</v>
      </c>
      <c r="I100" s="12" t="n">
        <v>85788</v>
      </c>
      <c r="J100" s="12" t="n">
        <v>91786</v>
      </c>
      <c r="K100" s="12" t="n">
        <v>119479</v>
      </c>
      <c r="L100" s="12" t="n">
        <v>144147</v>
      </c>
      <c r="M100" s="12" t="n">
        <v>109063</v>
      </c>
      <c r="N100" s="12" t="n">
        <v>82619</v>
      </c>
      <c r="T100" s="12" t="n">
        <v>-19944</v>
      </c>
      <c r="U100" s="12" t="n">
        <v>74435</v>
      </c>
      <c r="V100" s="12" t="n">
        <v>57375</v>
      </c>
      <c r="W100" s="12" t="n">
        <v>85788</v>
      </c>
      <c r="X100" s="12" t="n">
        <v>109063</v>
      </c>
    </row>
    <row r="101">
      <c r="A101" s="43" t="inlineStr">
        <is>
          <t>YoY</t>
        </is>
      </c>
      <c r="B101" s="3" t="inlineStr">
        <is>
          <t>전년 같은 분기·전년 대비</t>
        </is>
      </c>
      <c r="G101" s="15">
        <f>IF(OR(G100="",C100=""),"",IF(C100&lt;=0,"",IFERROR(G100/C100-1,"")))</f>
        <v/>
      </c>
      <c r="H101" s="15">
        <f>IF(OR(H100="",D100=""),"",IF(D100&lt;=0,"",IFERROR(H100/D100-1,"")))</f>
        <v/>
      </c>
      <c r="I101" s="15">
        <f>IF(OR(I100="",E100=""),"",IF(E100&lt;=0,"",IFERROR(I100/E100-1,"")))</f>
        <v/>
      </c>
      <c r="J101" s="15">
        <f>IF(OR(J100="",F100=""),"",IF(F100&lt;=0,"",IFERROR(J100/F100-1,"")))</f>
        <v/>
      </c>
      <c r="K101" s="15">
        <f>IF(OR(K100="",G100=""),"",IF(G100&lt;=0,"",IFERROR(K100/G100-1,"")))</f>
        <v/>
      </c>
      <c r="L101" s="15">
        <f>IF(OR(L100="",H100=""),"",IF(H100&lt;=0,"",IFERROR(L100/H100-1,"")))</f>
        <v/>
      </c>
      <c r="M101" s="15">
        <f>IF(OR(M100="",I100=""),"",IF(I100&lt;=0,"",IFERROR(M100/I100-1,"")))</f>
        <v/>
      </c>
      <c r="N101" s="15">
        <f>IF(OR(N100="",J100=""),"",IF(J100&lt;=0,"",IFERROR(N100/J100-1,"")))</f>
        <v/>
      </c>
      <c r="T101" s="15">
        <f>IF(OR(T100="",S100=""),"",IF(S100&lt;=0,"",IFERROR(T100/S100-1,"")))</f>
        <v/>
      </c>
      <c r="U101" s="15">
        <f>IF(OR(U100="",T100=""),"",IF(T100&lt;=0,"",IFERROR(U100/T100-1,"")))</f>
        <v/>
      </c>
      <c r="V101" s="15">
        <f>IF(OR(V100="",U100=""),"",IF(U100&lt;=0,"",IFERROR(V100/U100-1,"")))</f>
        <v/>
      </c>
      <c r="W101" s="15">
        <f>IF(OR(W100="",V100=""),"",IF(V100&lt;=0,"",IFERROR(W100/V100-1,"")))</f>
        <v/>
      </c>
      <c r="X101" s="15">
        <f>IF(OR(X100="",W100=""),"",IF(W100&lt;=0,"",IFERROR(X100/W100-1,"")))</f>
        <v/>
      </c>
    </row>
    <row r="102">
      <c r="A102" s="18" t="inlineStr">
        <is>
          <t>판매수수료</t>
        </is>
      </c>
      <c r="C102" s="20" t="n">
        <v>13860</v>
      </c>
      <c r="D102" s="20" t="n">
        <v>13141</v>
      </c>
      <c r="E102" s="20" t="n">
        <v>15048</v>
      </c>
      <c r="F102" s="20" t="n">
        <v>15268</v>
      </c>
      <c r="G102" s="20" t="n">
        <v>14713</v>
      </c>
      <c r="H102" s="20" t="n">
        <v>15029</v>
      </c>
      <c r="I102" s="20" t="n">
        <v>17148</v>
      </c>
      <c r="J102" s="20" t="n">
        <v>14640</v>
      </c>
      <c r="K102" s="20" t="n">
        <v>15079</v>
      </c>
      <c r="L102" s="20" t="n">
        <v>15825</v>
      </c>
      <c r="M102" s="20" t="n">
        <v>17616</v>
      </c>
      <c r="N102" s="20" t="n">
        <v>15638</v>
      </c>
      <c r="T102" s="20" t="n">
        <v>5305</v>
      </c>
      <c r="U102" s="20" t="n">
        <v>12011</v>
      </c>
      <c r="V102" s="20" t="n">
        <v>15048</v>
      </c>
      <c r="W102" s="20" t="n">
        <v>17148</v>
      </c>
      <c r="X102" s="20" t="n">
        <v>17616</v>
      </c>
    </row>
    <row r="103">
      <c r="A103" s="18" t="inlineStr">
        <is>
          <t>광고선전비</t>
        </is>
      </c>
      <c r="C103" s="20" t="n">
        <v>1674</v>
      </c>
      <c r="D103" s="20" t="n">
        <v>1340</v>
      </c>
      <c r="E103" s="20" t="n">
        <v>2068</v>
      </c>
      <c r="F103" s="20" t="n">
        <v>1694</v>
      </c>
      <c r="G103" s="20" t="n">
        <v>2182</v>
      </c>
      <c r="H103" s="20" t="n">
        <v>1734</v>
      </c>
      <c r="I103" s="20" t="n">
        <v>2047</v>
      </c>
      <c r="J103" s="20" t="n">
        <v>1555</v>
      </c>
      <c r="K103" s="20" t="n">
        <v>1917</v>
      </c>
      <c r="L103" s="20" t="n">
        <v>1141</v>
      </c>
      <c r="M103" s="20" t="n">
        <v>2219</v>
      </c>
      <c r="N103" s="20" t="n">
        <v>1821</v>
      </c>
      <c r="T103" s="20" t="n">
        <v>578</v>
      </c>
      <c r="U103" s="20" t="n">
        <v>1644</v>
      </c>
      <c r="V103" s="20" t="n">
        <v>2068</v>
      </c>
      <c r="W103" s="20" t="n">
        <v>2047</v>
      </c>
      <c r="X103" s="20" t="n">
        <v>2219</v>
      </c>
    </row>
    <row r="104">
      <c r="A104" s="18" t="inlineStr">
        <is>
          <t>종업원 급여·상여</t>
        </is>
      </c>
      <c r="C104" s="20" t="n">
        <v>8471</v>
      </c>
      <c r="D104" s="20" t="n">
        <v>11161</v>
      </c>
      <c r="E104" s="20" t="n">
        <v>8276</v>
      </c>
      <c r="F104" s="20" t="n">
        <v>7996</v>
      </c>
      <c r="G104" s="20" t="n">
        <v>9649</v>
      </c>
      <c r="H104" s="20" t="n">
        <v>12436</v>
      </c>
      <c r="I104" s="20" t="n">
        <v>8518</v>
      </c>
      <c r="J104" s="20" t="n">
        <v>8349</v>
      </c>
      <c r="K104" s="20" t="n">
        <v>10673</v>
      </c>
      <c r="L104" s="20" t="n">
        <v>13915</v>
      </c>
      <c r="M104" s="20" t="n">
        <v>10113</v>
      </c>
      <c r="N104" s="20" t="n">
        <v>10503</v>
      </c>
      <c r="T104" s="20" t="n">
        <v>6189</v>
      </c>
      <c r="U104" s="20" t="n">
        <v>7383</v>
      </c>
      <c r="V104" s="20" t="n">
        <v>8276</v>
      </c>
      <c r="W104" s="20" t="n">
        <v>8518</v>
      </c>
      <c r="X104" s="20" t="n">
        <v>10113</v>
      </c>
    </row>
    <row r="105">
      <c r="A105" s="18" t="inlineStr">
        <is>
          <t>대손충당금 전입</t>
        </is>
      </c>
      <c r="C105" s="20" t="n">
        <v>37</v>
      </c>
      <c r="D105" s="20" t="n">
        <v>9</v>
      </c>
      <c r="E105" s="20" t="n">
        <v>57</v>
      </c>
      <c r="F105" s="20" t="n">
        <v>15</v>
      </c>
      <c r="G105" s="20" t="n">
        <v>38</v>
      </c>
      <c r="H105" s="20" t="n">
        <v>1</v>
      </c>
      <c r="I105" s="20" t="n">
        <v>49</v>
      </c>
      <c r="J105" s="20" t="n">
        <v>6</v>
      </c>
      <c r="K105" s="20" t="n">
        <v>41</v>
      </c>
      <c r="L105" s="20" t="n">
        <v>-2</v>
      </c>
      <c r="M105" s="20" t="n">
        <v>29</v>
      </c>
      <c r="N105" s="20" t="n">
        <v>2</v>
      </c>
      <c r="T105" s="20" t="n">
        <v>31</v>
      </c>
      <c r="U105" s="20" t="n">
        <v>39</v>
      </c>
      <c r="V105" s="20" t="n">
        <v>57</v>
      </c>
      <c r="W105" s="20" t="n">
        <v>49</v>
      </c>
      <c r="X105" s="20" t="n">
        <v>29</v>
      </c>
    </row>
    <row r="106">
      <c r="A106" s="18" t="inlineStr">
        <is>
          <t>상여충당금 전입</t>
        </is>
      </c>
      <c r="C106" s="20" t="n">
        <v>1733</v>
      </c>
      <c r="D106" s="20" t="n">
        <v>-1043</v>
      </c>
      <c r="E106" s="20" t="n">
        <v>6812</v>
      </c>
      <c r="F106" s="20" t="n">
        <v>2768</v>
      </c>
      <c r="G106" s="20" t="n">
        <v>1976</v>
      </c>
      <c r="H106" s="20" t="n">
        <v>-323</v>
      </c>
      <c r="I106" s="20" t="n">
        <v>5582</v>
      </c>
      <c r="J106" s="20" t="n">
        <v>3056</v>
      </c>
      <c r="K106" s="20" t="n">
        <v>1707</v>
      </c>
      <c r="L106" s="20" t="n">
        <v>-1503</v>
      </c>
      <c r="M106" s="20" t="n">
        <v>7785</v>
      </c>
      <c r="N106" s="20" t="n">
        <v>2480</v>
      </c>
      <c r="T106" s="20" t="n">
        <v>1350</v>
      </c>
      <c r="U106" s="20" t="n">
        <v>3437</v>
      </c>
      <c r="V106" s="20" t="n">
        <v>6812</v>
      </c>
      <c r="W106" s="20" t="n">
        <v>5582</v>
      </c>
      <c r="X106" s="20" t="n">
        <v>7785</v>
      </c>
    </row>
    <row r="107">
      <c r="A107" s="18" t="inlineStr">
        <is>
          <t>퇴직급여비용</t>
        </is>
      </c>
      <c r="C107" s="20" t="n">
        <v>651</v>
      </c>
      <c r="D107" s="20" t="n">
        <v>648</v>
      </c>
      <c r="E107" s="20" t="n">
        <v>633</v>
      </c>
      <c r="F107" s="20" t="n">
        <v>692</v>
      </c>
      <c r="G107" s="20" t="n">
        <v>664</v>
      </c>
      <c r="H107" s="20" t="n">
        <v>679</v>
      </c>
      <c r="I107" s="20" t="n">
        <v>670</v>
      </c>
      <c r="J107" s="20" t="n">
        <v>629</v>
      </c>
      <c r="K107" s="20" t="n">
        <v>624</v>
      </c>
      <c r="L107" s="20" t="n">
        <v>614</v>
      </c>
      <c r="M107" s="20" t="n">
        <v>713</v>
      </c>
      <c r="N107" s="20" t="n">
        <v>575</v>
      </c>
      <c r="T107" s="20" t="n">
        <v>790</v>
      </c>
      <c r="U107" s="20" t="n">
        <v>778</v>
      </c>
      <c r="V107" s="20" t="n">
        <v>633</v>
      </c>
      <c r="W107" s="20" t="n">
        <v>670</v>
      </c>
      <c r="X107" s="20" t="n">
        <v>713</v>
      </c>
    </row>
    <row r="108">
      <c r="A108" s="18" t="inlineStr">
        <is>
          <t>감가상각비</t>
        </is>
      </c>
      <c r="C108" s="20" t="n">
        <v>4397</v>
      </c>
      <c r="D108" s="20" t="n">
        <v>4218</v>
      </c>
      <c r="E108" s="20" t="n">
        <v>4370</v>
      </c>
      <c r="F108" s="20" t="n">
        <v>3755</v>
      </c>
      <c r="G108" s="20" t="n">
        <v>3721</v>
      </c>
      <c r="H108" s="20" t="n">
        <v>3736</v>
      </c>
      <c r="I108" s="20" t="n">
        <v>3987</v>
      </c>
      <c r="J108" s="20" t="n">
        <v>4636</v>
      </c>
      <c r="K108" s="20" t="n">
        <v>5507</v>
      </c>
      <c r="L108" s="20" t="n">
        <v>5724</v>
      </c>
      <c r="M108" s="20" t="n">
        <v>6017</v>
      </c>
      <c r="N108" s="20" t="n">
        <v>6045</v>
      </c>
      <c r="T108" s="20" t="n">
        <v>6219</v>
      </c>
      <c r="U108" s="20" t="n">
        <v>5315</v>
      </c>
      <c r="V108" s="20" t="n">
        <v>4370</v>
      </c>
      <c r="W108" s="20" t="n">
        <v>3987</v>
      </c>
      <c r="X108" s="20" t="n">
        <v>6017</v>
      </c>
    </row>
    <row r="109">
      <c r="A109" s="18" t="inlineStr">
        <is>
          <t>Outsourcing Expenses</t>
        </is>
      </c>
      <c r="D109" s="20" t="n">
        <v>6657</v>
      </c>
      <c r="H109" s="20" t="n">
        <v>7692</v>
      </c>
      <c r="L109" s="20" t="n">
        <v>9103</v>
      </c>
    </row>
    <row r="110">
      <c r="A110" s="18" t="inlineStr">
        <is>
          <t>Outsourcing Fee SGA</t>
        </is>
      </c>
      <c r="F110" s="20" t="n">
        <v>7040</v>
      </c>
      <c r="J110" s="20" t="n">
        <v>8239</v>
      </c>
      <c r="N110" s="20" t="n">
        <v>9701</v>
      </c>
    </row>
    <row r="111">
      <c r="A111" s="18" t="inlineStr">
        <is>
          <t>기타</t>
        </is>
      </c>
      <c r="C111" s="20" t="n">
        <v>13617</v>
      </c>
      <c r="D111" s="20" t="n">
        <v>12755</v>
      </c>
      <c r="E111" s="20" t="n">
        <v>14601</v>
      </c>
      <c r="F111" s="20" t="n">
        <v>13382</v>
      </c>
      <c r="G111" s="20" t="n">
        <v>13974</v>
      </c>
      <c r="H111" s="20" t="n">
        <v>13865</v>
      </c>
      <c r="I111" s="20" t="n">
        <v>15111</v>
      </c>
      <c r="J111" s="20" t="n">
        <v>13890</v>
      </c>
      <c r="K111" s="20" t="n">
        <v>15173</v>
      </c>
      <c r="L111" s="20" t="n">
        <v>16244</v>
      </c>
      <c r="M111" s="20" t="n">
        <v>18005</v>
      </c>
      <c r="N111" s="20" t="n">
        <v>15072</v>
      </c>
      <c r="T111" s="20" t="n">
        <v>10201</v>
      </c>
      <c r="U111" s="20" t="n">
        <v>16827</v>
      </c>
      <c r="V111" s="20" t="n">
        <v>14601</v>
      </c>
      <c r="W111" s="20" t="n">
        <v>15111</v>
      </c>
      <c r="X111" s="20" t="n">
        <v>18005</v>
      </c>
    </row>
    <row r="112">
      <c r="A112" s="18" t="inlineStr">
        <is>
          <t>판매비와 관리비 합계</t>
        </is>
      </c>
      <c r="C112" s="20" t="n">
        <v>50134</v>
      </c>
      <c r="D112" s="20" t="n">
        <v>48886</v>
      </c>
      <c r="E112" s="20" t="n">
        <v>59578</v>
      </c>
      <c r="F112" s="20" t="n">
        <v>52610</v>
      </c>
      <c r="G112" s="20" t="n">
        <v>53907</v>
      </c>
      <c r="H112" s="20" t="n">
        <v>54849</v>
      </c>
      <c r="I112" s="20" t="n">
        <v>60309</v>
      </c>
      <c r="J112" s="20" t="n">
        <v>55000</v>
      </c>
      <c r="K112" s="20" t="n">
        <v>58637</v>
      </c>
      <c r="L112" s="20" t="n">
        <v>61061</v>
      </c>
      <c r="M112" s="20" t="n">
        <v>72340</v>
      </c>
      <c r="N112" s="20" t="n">
        <v>61837</v>
      </c>
      <c r="T112" s="20" t="n">
        <v>37366</v>
      </c>
      <c r="U112" s="20" t="n">
        <v>53387</v>
      </c>
      <c r="V112" s="20" t="n">
        <v>59578</v>
      </c>
      <c r="W112" s="20" t="n">
        <v>60309</v>
      </c>
      <c r="X112" s="20" t="n">
        <v>72340</v>
      </c>
    </row>
    <row r="113">
      <c r="A113" s="43" t="inlineStr">
        <is>
          <t>YoY</t>
        </is>
      </c>
      <c r="B113" s="3" t="inlineStr">
        <is>
          <t>전년 같은 분기·전년 대비</t>
        </is>
      </c>
      <c r="G113" s="15">
        <f>IF(OR(G112="",C112=""),"",IF(G112*C112&lt;=0,"",IFERROR(G112/C112-1,"")))</f>
        <v/>
      </c>
      <c r="H113" s="15">
        <f>IF(OR(H112="",D112=""),"",IF(H112*D112&lt;=0,"",IFERROR(H112/D112-1,"")))</f>
        <v/>
      </c>
      <c r="I113" s="15">
        <f>IF(OR(I112="",E112=""),"",IF(I112*E112&lt;=0,"",IFERROR(I112/E112-1,"")))</f>
        <v/>
      </c>
      <c r="J113" s="15">
        <f>IF(OR(J112="",F112=""),"",IF(J112*F112&lt;=0,"",IFERROR(J112/F112-1,"")))</f>
        <v/>
      </c>
      <c r="K113" s="15">
        <f>IF(OR(K112="",G112=""),"",IF(K112*G112&lt;=0,"",IFERROR(K112/G112-1,"")))</f>
        <v/>
      </c>
      <c r="L113" s="15">
        <f>IF(OR(L112="",H112=""),"",IF(L112*H112&lt;=0,"",IFERROR(L112/H112-1,"")))</f>
        <v/>
      </c>
      <c r="M113" s="15">
        <f>IF(OR(M112="",I112=""),"",IF(M112*I112&lt;=0,"",IFERROR(M112/I112-1,"")))</f>
        <v/>
      </c>
      <c r="N113" s="15">
        <f>IF(OR(N112="",J112=""),"",IF(N112*J112&lt;=0,"",IFERROR(N112/J112-1,"")))</f>
        <v/>
      </c>
      <c r="T113" s="15">
        <f>IF(OR(T112="",S112=""),"",IF(T112*S112&lt;=0,"",IFERROR(T112/S112-1,"")))</f>
        <v/>
      </c>
      <c r="U113" s="15">
        <f>IF(OR(U112="",T112=""),"",IF(U112*T112&lt;=0,"",IFERROR(U112/T112-1,"")))</f>
        <v/>
      </c>
      <c r="V113" s="15">
        <f>IF(OR(V112="",U112=""),"",IF(V112*U112&lt;=0,"",IFERROR(V112/U112-1,"")))</f>
        <v/>
      </c>
      <c r="W113" s="15">
        <f>IF(OR(W112="",V112=""),"",IF(W112*V112&lt;=0,"",IFERROR(W112/V112-1,"")))</f>
        <v/>
      </c>
      <c r="X113" s="15">
        <f>IF(OR(X112="",W112=""),"",IF(X112*W112&lt;=0,"",IFERROR(X112/W112-1,"")))</f>
        <v/>
      </c>
    </row>
    <row r="114">
      <c r="A114" s="9" t="inlineStr">
        <is>
          <t>영업이익</t>
        </is>
      </c>
      <c r="C114" s="12" t="n">
        <v>85953</v>
      </c>
      <c r="D114" s="12" t="n">
        <v>80377</v>
      </c>
      <c r="E114" s="12" t="n">
        <v>-2203</v>
      </c>
      <c r="F114" s="12" t="n">
        <v>30354</v>
      </c>
      <c r="G114" s="12" t="n">
        <v>78020</v>
      </c>
      <c r="H114" s="12" t="n">
        <v>62786</v>
      </c>
      <c r="I114" s="12" t="n">
        <v>25479</v>
      </c>
      <c r="J114" s="12" t="n">
        <v>36786</v>
      </c>
      <c r="K114" s="12" t="n">
        <v>60842</v>
      </c>
      <c r="L114" s="12" t="n">
        <v>83086</v>
      </c>
      <c r="M114" s="12" t="n">
        <v>36723</v>
      </c>
      <c r="N114" s="12" t="n">
        <v>20782</v>
      </c>
      <c r="T114" s="12" t="n">
        <v>-57310</v>
      </c>
      <c r="U114" s="12" t="n">
        <v>21048</v>
      </c>
      <c r="V114" s="12" t="n">
        <v>-2203</v>
      </c>
      <c r="W114" s="12" t="n">
        <v>25479</v>
      </c>
      <c r="X114" s="12" t="n">
        <v>36723</v>
      </c>
    </row>
    <row r="115">
      <c r="A115" s="43" t="inlineStr">
        <is>
          <t>OPM</t>
        </is>
      </c>
      <c r="B115" s="3" t="inlineStr">
        <is>
          <t>영업이익 ÷ 매출</t>
        </is>
      </c>
      <c r="C115" s="15">
        <f>IF(OR(C114="",C96=""),"",IF(C96&lt;=0,"",IFERROR(C114/C96,"")))</f>
        <v/>
      </c>
      <c r="D115" s="15">
        <f>IF(OR(D114="",D96=""),"",IF(D96&lt;=0,"",IFERROR(D114/D96,"")))</f>
        <v/>
      </c>
      <c r="E115" s="15">
        <f>IF(OR(E114="",E96=""),"",IF(E96&lt;=0,"",IFERROR(E114/E96,"")))</f>
        <v/>
      </c>
      <c r="F115" s="15">
        <f>IF(OR(F114="",F96=""),"",IF(F96&lt;=0,"",IFERROR(F114/F96,"")))</f>
        <v/>
      </c>
      <c r="G115" s="15">
        <f>IF(OR(G114="",G96=""),"",IF(G96&lt;=0,"",IFERROR(G114/G96,"")))</f>
        <v/>
      </c>
      <c r="H115" s="15">
        <f>IF(OR(H114="",H96=""),"",IF(H96&lt;=0,"",IFERROR(H114/H96,"")))</f>
        <v/>
      </c>
      <c r="I115" s="15">
        <f>IF(OR(I114="",I96=""),"",IF(I96&lt;=0,"",IFERROR(I114/I96,"")))</f>
        <v/>
      </c>
      <c r="J115" s="15">
        <f>IF(OR(J114="",J96=""),"",IF(J96&lt;=0,"",IFERROR(J114/J96,"")))</f>
        <v/>
      </c>
      <c r="K115" s="15">
        <f>IF(OR(K114="",K96=""),"",IF(K96&lt;=0,"",IFERROR(K114/K96,"")))</f>
        <v/>
      </c>
      <c r="L115" s="15">
        <f>IF(OR(L114="",L96=""),"",IF(L96&lt;=0,"",IFERROR(L114/L96,"")))</f>
        <v/>
      </c>
      <c r="M115" s="15">
        <f>IF(OR(M114="",M96=""),"",IF(M96&lt;=0,"",IFERROR(M114/M96,"")))</f>
        <v/>
      </c>
      <c r="N115" s="15">
        <f>IF(OR(N114="",N96=""),"",IF(N96&lt;=0,"",IFERROR(N114/N96,"")))</f>
        <v/>
      </c>
      <c r="T115" s="15">
        <f>IF(OR(T114="",T96=""),"",IF(T96&lt;=0,"",IFERROR(T114/T96,"")))</f>
        <v/>
      </c>
      <c r="U115" s="15">
        <f>IF(OR(U114="",U96=""),"",IF(U96&lt;=0,"",IFERROR(U114/U96,"")))</f>
        <v/>
      </c>
      <c r="V115" s="15">
        <f>IF(OR(V114="",V96=""),"",IF(V96&lt;=0,"",IFERROR(V114/V96,"")))</f>
        <v/>
      </c>
      <c r="W115" s="15">
        <f>IF(OR(W114="",W96=""),"",IF(W96&lt;=0,"",IFERROR(W114/W96,"")))</f>
        <v/>
      </c>
      <c r="X115" s="15">
        <f>IF(OR(X114="",X96=""),"",IF(X96&lt;=0,"",IFERROR(X114/X96,"")))</f>
        <v/>
      </c>
    </row>
    <row r="116">
      <c r="A116" s="43" t="inlineStr">
        <is>
          <t>YoY</t>
        </is>
      </c>
      <c r="B116" s="3" t="inlineStr">
        <is>
          <t>전년 같은 분기·전년 대비</t>
        </is>
      </c>
      <c r="G116" s="15">
        <f>IF(OR(G114="",C114=""),"",IF(C114&lt;=0,"",IFERROR(G114/C114-1,"")))</f>
        <v/>
      </c>
      <c r="H116" s="15">
        <f>IF(OR(H114="",D114=""),"",IF(D114&lt;=0,"",IFERROR(H114/D114-1,"")))</f>
        <v/>
      </c>
      <c r="I116" s="15">
        <f>IF(OR(I114="",E114=""),"",IF(E114&lt;=0,"",IFERROR(I114/E114-1,"")))</f>
        <v/>
      </c>
      <c r="J116" s="15">
        <f>IF(OR(J114="",F114=""),"",IF(F114&lt;=0,"",IFERROR(J114/F114-1,"")))</f>
        <v/>
      </c>
      <c r="K116" s="15">
        <f>IF(OR(K114="",G114=""),"",IF(G114&lt;=0,"",IFERROR(K114/G114-1,"")))</f>
        <v/>
      </c>
      <c r="L116" s="15">
        <f>IF(OR(L114="",H114=""),"",IF(H114&lt;=0,"",IFERROR(L114/H114-1,"")))</f>
        <v/>
      </c>
      <c r="M116" s="15">
        <f>IF(OR(M114="",I114=""),"",IF(I114&lt;=0,"",IFERROR(M114/I114-1,"")))</f>
        <v/>
      </c>
      <c r="N116" s="15">
        <f>IF(OR(N114="",J114=""),"",IF(J114&lt;=0,"",IFERROR(N114/J114-1,"")))</f>
        <v/>
      </c>
      <c r="T116" s="15">
        <f>IF(OR(T114="",S114=""),"",IF(S114&lt;=0,"",IFERROR(T114/S114-1,"")))</f>
        <v/>
      </c>
      <c r="U116" s="15">
        <f>IF(OR(U114="",T114=""),"",IF(T114&lt;=0,"",IFERROR(U114/T114-1,"")))</f>
        <v/>
      </c>
      <c r="V116" s="15">
        <f>IF(OR(V114="",U114=""),"",IF(U114&lt;=0,"",IFERROR(V114/U114-1,"")))</f>
        <v/>
      </c>
      <c r="W116" s="15">
        <f>IF(OR(W114="",V114=""),"",IF(V114&lt;=0,"",IFERROR(W114/V114-1,"")))</f>
        <v/>
      </c>
      <c r="X116" s="15">
        <f>IF(OR(X114="",W114=""),"",IF(W114&lt;=0,"",IFERROR(X114/W114-1,"")))</f>
        <v/>
      </c>
    </row>
    <row r="117">
      <c r="A117" s="18" t="inlineStr">
        <is>
          <t>이자수익</t>
        </is>
      </c>
      <c r="C117" s="20" t="n">
        <v>514</v>
      </c>
      <c r="D117" s="20" t="n">
        <v>168</v>
      </c>
      <c r="E117" s="20" t="n">
        <v>464</v>
      </c>
      <c r="F117" s="20" t="n">
        <v>318</v>
      </c>
      <c r="G117" s="20" t="n">
        <v>1054</v>
      </c>
      <c r="H117" s="20" t="n">
        <v>717</v>
      </c>
      <c r="I117" s="20" t="n">
        <v>1636</v>
      </c>
      <c r="J117" s="20" t="n">
        <v>1429</v>
      </c>
      <c r="K117" s="20" t="n">
        <v>1958</v>
      </c>
      <c r="L117" s="20" t="n">
        <v>1692</v>
      </c>
      <c r="M117" s="20" t="n">
        <v>2435</v>
      </c>
      <c r="N117" s="20" t="n">
        <v>2525</v>
      </c>
      <c r="T117" s="20" t="n">
        <v>76</v>
      </c>
      <c r="U117" s="20" t="n">
        <v>552</v>
      </c>
      <c r="V117" s="20" t="n">
        <v>464</v>
      </c>
      <c r="W117" s="20" t="n">
        <v>1636</v>
      </c>
      <c r="X117" s="20" t="n">
        <v>2435</v>
      </c>
    </row>
    <row r="118">
      <c r="A118" s="18" t="inlineStr">
        <is>
          <t>배당금수익</t>
        </is>
      </c>
      <c r="C118" s="20" t="n">
        <v>583</v>
      </c>
      <c r="D118" s="20" t="n">
        <v>-22</v>
      </c>
      <c r="E118" s="20" t="n">
        <v>448</v>
      </c>
      <c r="F118" s="20" t="n">
        <v>993</v>
      </c>
      <c r="G118" s="20" t="n">
        <v>117</v>
      </c>
      <c r="H118" s="20" t="n">
        <v>527</v>
      </c>
      <c r="I118" s="20" t="n">
        <v>658</v>
      </c>
      <c r="J118" s="20" t="n">
        <v>1063</v>
      </c>
      <c r="K118" s="20" t="n">
        <v>141</v>
      </c>
      <c r="L118" s="20" t="n">
        <v>620</v>
      </c>
      <c r="M118" s="20" t="n">
        <v>622</v>
      </c>
      <c r="N118" s="20" t="n">
        <v>1061</v>
      </c>
      <c r="T118" s="20" t="n">
        <v>164</v>
      </c>
      <c r="U118" s="20" t="n">
        <v>419</v>
      </c>
      <c r="V118" s="20" t="n">
        <v>448</v>
      </c>
      <c r="W118" s="20" t="n">
        <v>658</v>
      </c>
      <c r="X118" s="20" t="n">
        <v>622</v>
      </c>
    </row>
    <row r="119">
      <c r="A119" s="18" t="inlineStr">
        <is>
          <t>지분법이익</t>
        </is>
      </c>
      <c r="C119" s="20" t="n">
        <v>415</v>
      </c>
      <c r="D119" s="20" t="n">
        <v>227</v>
      </c>
      <c r="E119" s="20" t="n">
        <v>149</v>
      </c>
      <c r="F119" s="20" t="n">
        <v>353</v>
      </c>
      <c r="G119" s="20" t="n">
        <v>382</v>
      </c>
      <c r="H119" s="20" t="n">
        <v>429</v>
      </c>
      <c r="I119" s="20" t="n">
        <v>428</v>
      </c>
      <c r="J119" s="20" t="n">
        <v>282</v>
      </c>
      <c r="K119" s="20" t="n">
        <v>234</v>
      </c>
      <c r="L119" s="20" t="n">
        <v>402</v>
      </c>
      <c r="M119" s="20" t="n">
        <v>481</v>
      </c>
      <c r="N119" s="20" t="n">
        <v>461</v>
      </c>
      <c r="T119" s="20" t="n">
        <v>0</v>
      </c>
      <c r="U119" s="20" t="n">
        <v>454</v>
      </c>
      <c r="V119" s="20" t="n">
        <v>149</v>
      </c>
      <c r="W119" s="20" t="n">
        <v>428</v>
      </c>
      <c r="X119" s="20" t="n">
        <v>481</v>
      </c>
    </row>
    <row r="120">
      <c r="A120" s="18" t="inlineStr">
        <is>
          <t>외환차익</t>
        </is>
      </c>
      <c r="C120" s="20" t="n">
        <v>-32</v>
      </c>
      <c r="D120" s="20" t="n">
        <v>1867</v>
      </c>
      <c r="E120" s="20" t="n">
        <v>774</v>
      </c>
      <c r="F120" s="20" t="n">
        <v>6257</v>
      </c>
      <c r="G120" s="20" t="n">
        <v>-855</v>
      </c>
      <c r="H120" s="20" t="n">
        <v>2457</v>
      </c>
      <c r="I120" s="20" t="n">
        <v>-5374</v>
      </c>
      <c r="J120" s="20" t="n">
        <v>0</v>
      </c>
      <c r="K120" s="20" t="n">
        <v>191</v>
      </c>
      <c r="L120" s="20" t="n">
        <v>4398</v>
      </c>
      <c r="M120" s="20" t="n">
        <v>549</v>
      </c>
      <c r="N120" s="20" t="n">
        <v>245</v>
      </c>
      <c r="T120" s="20" t="n">
        <v>1406</v>
      </c>
      <c r="U120" s="20" t="n">
        <v>1244</v>
      </c>
      <c r="V120" s="20" t="n">
        <v>774</v>
      </c>
      <c r="W120" s="20" t="n">
        <v>-5374</v>
      </c>
      <c r="X120" s="20" t="n">
        <v>549</v>
      </c>
    </row>
    <row r="121">
      <c r="A121" s="18" t="inlineStr">
        <is>
          <t>Gain On Sales Of Assets NOI</t>
        </is>
      </c>
      <c r="C121" s="20" t="n">
        <v>1562</v>
      </c>
      <c r="D121" s="20" t="n">
        <v>34</v>
      </c>
      <c r="E121" s="20" t="n">
        <v>514</v>
      </c>
      <c r="F121" s="20" t="n">
        <v>21</v>
      </c>
      <c r="G121" s="20" t="n">
        <v>178</v>
      </c>
      <c r="H121" s="20" t="n">
        <v>68</v>
      </c>
      <c r="I121" s="20" t="n">
        <v>248</v>
      </c>
      <c r="J121" s="20" t="n">
        <v>5</v>
      </c>
      <c r="K121" s="20" t="n">
        <v>807</v>
      </c>
      <c r="L121" s="20" t="n">
        <v>357</v>
      </c>
      <c r="M121" s="20" t="n">
        <v>1602</v>
      </c>
      <c r="N121" s="20" t="n">
        <v>37</v>
      </c>
      <c r="T121" s="20" t="n">
        <v>637</v>
      </c>
      <c r="U121" s="20" t="n">
        <v>3897</v>
      </c>
      <c r="V121" s="20" t="n">
        <v>514</v>
      </c>
      <c r="W121" s="20" t="n">
        <v>248</v>
      </c>
      <c r="X121" s="20" t="n">
        <v>1602</v>
      </c>
    </row>
    <row r="122">
      <c r="A122" s="18" t="inlineStr">
        <is>
          <t>고정자산 수증이익</t>
        </is>
      </c>
      <c r="C122" s="20" t="n">
        <v>121</v>
      </c>
      <c r="D122" s="20" t="n">
        <v>280</v>
      </c>
      <c r="E122" s="20" t="n">
        <v>-168</v>
      </c>
      <c r="F122" s="20" t="n">
        <v>203</v>
      </c>
      <c r="G122" s="20" t="n">
        <v>218</v>
      </c>
      <c r="H122" s="20" t="n">
        <v>159</v>
      </c>
      <c r="I122" s="20" t="n">
        <v>463</v>
      </c>
      <c r="J122" s="20" t="n">
        <v>73</v>
      </c>
      <c r="K122" s="20" t="n">
        <v>112</v>
      </c>
      <c r="L122" s="20" t="n">
        <v>1481</v>
      </c>
      <c r="M122" s="20" t="n">
        <v>428</v>
      </c>
      <c r="N122" s="20" t="n">
        <v>253</v>
      </c>
      <c r="T122" s="20" t="n">
        <v>107</v>
      </c>
      <c r="U122" s="20" t="n">
        <v>367</v>
      </c>
      <c r="V122" s="20" t="n">
        <v>-168</v>
      </c>
      <c r="W122" s="20" t="n">
        <v>463</v>
      </c>
      <c r="X122" s="20" t="n">
        <v>428</v>
      </c>
    </row>
    <row r="123">
      <c r="A123" s="18" t="inlineStr">
        <is>
          <t>고용조정 보조금</t>
        </is>
      </c>
      <c r="C123" s="20" t="n">
        <v>0</v>
      </c>
      <c r="D123" s="20" t="n">
        <v>0</v>
      </c>
      <c r="E123" s="20" t="n">
        <v>0</v>
      </c>
      <c r="T123" s="20" t="n">
        <v>4254</v>
      </c>
      <c r="U123" s="20" t="n">
        <v>60</v>
      </c>
      <c r="V123" s="20" t="n">
        <v>0</v>
      </c>
    </row>
    <row r="124">
      <c r="A124" s="18" t="inlineStr">
        <is>
          <t>Compensation Payments Received NOI</t>
        </is>
      </c>
      <c r="C124" s="20" t="n">
        <v>0</v>
      </c>
      <c r="D124" s="20" t="n">
        <v>0</v>
      </c>
      <c r="E124" s="20" t="n">
        <v>14404</v>
      </c>
      <c r="F124" s="20" t="n">
        <v>4174</v>
      </c>
      <c r="G124" s="20" t="n">
        <v>2159</v>
      </c>
      <c r="H124" s="20" t="n">
        <v>9077</v>
      </c>
      <c r="I124" s="20" t="n">
        <v>4098</v>
      </c>
      <c r="J124" s="20" t="n">
        <v>3094</v>
      </c>
      <c r="K124" s="20" t="n">
        <v>1618</v>
      </c>
      <c r="L124" s="20" t="n">
        <v>992</v>
      </c>
      <c r="M124" s="20" t="n">
        <v>1581</v>
      </c>
      <c r="N124" s="20" t="n">
        <v>1877</v>
      </c>
      <c r="V124" s="20" t="n">
        <v>14404</v>
      </c>
      <c r="W124" s="20" t="n">
        <v>4098</v>
      </c>
      <c r="X124" s="20" t="n">
        <v>1581</v>
      </c>
    </row>
    <row r="125">
      <c r="A125" s="18" t="inlineStr">
        <is>
          <t>기타</t>
        </is>
      </c>
      <c r="C125" s="20" t="n">
        <v>2094</v>
      </c>
      <c r="D125" s="20" t="n">
        <v>3960</v>
      </c>
      <c r="E125" s="20" t="n">
        <v>-3806</v>
      </c>
      <c r="F125" s="20" t="n">
        <v>1333</v>
      </c>
      <c r="G125" s="20" t="n">
        <v>1837</v>
      </c>
      <c r="H125" s="20" t="n">
        <v>612</v>
      </c>
      <c r="I125" s="20" t="n">
        <v>1156</v>
      </c>
      <c r="J125" s="20" t="n">
        <v>1004</v>
      </c>
      <c r="K125" s="20" t="n">
        <v>2116</v>
      </c>
      <c r="L125" s="20" t="n">
        <v>847</v>
      </c>
      <c r="M125" s="20" t="n">
        <v>2151</v>
      </c>
      <c r="N125" s="20" t="n">
        <v>1509</v>
      </c>
      <c r="T125" s="20" t="n">
        <v>1707</v>
      </c>
      <c r="U125" s="20" t="n">
        <v>943</v>
      </c>
      <c r="V125" s="20" t="n">
        <v>-3806</v>
      </c>
      <c r="W125" s="20" t="n">
        <v>1156</v>
      </c>
      <c r="X125" s="20" t="n">
        <v>2151</v>
      </c>
    </row>
    <row r="126">
      <c r="A126" s="18" t="inlineStr">
        <is>
          <t>영업외수익 합계</t>
        </is>
      </c>
      <c r="C126" s="20" t="n">
        <v>5257</v>
      </c>
      <c r="D126" s="20" t="n">
        <v>6514</v>
      </c>
      <c r="E126" s="20" t="n">
        <v>12779</v>
      </c>
      <c r="F126" s="20" t="n">
        <v>13652</v>
      </c>
      <c r="G126" s="20" t="n">
        <v>5090</v>
      </c>
      <c r="H126" s="20" t="n">
        <v>14046</v>
      </c>
      <c r="I126" s="20" t="n">
        <v>3313</v>
      </c>
      <c r="J126" s="20" t="n">
        <v>6950</v>
      </c>
      <c r="K126" s="20" t="n">
        <v>7177</v>
      </c>
      <c r="L126" s="20" t="n">
        <v>10789</v>
      </c>
      <c r="M126" s="20" t="n">
        <v>9849</v>
      </c>
      <c r="N126" s="20" t="n">
        <v>7968</v>
      </c>
      <c r="T126" s="20" t="n">
        <v>8351</v>
      </c>
      <c r="U126" s="20" t="n">
        <v>7936</v>
      </c>
      <c r="V126" s="20" t="n">
        <v>12779</v>
      </c>
      <c r="W126" s="20" t="n">
        <v>3313</v>
      </c>
      <c r="X126" s="20" t="n">
        <v>9849</v>
      </c>
    </row>
    <row r="127">
      <c r="A127" s="43" t="inlineStr">
        <is>
          <t>YoY</t>
        </is>
      </c>
      <c r="B127" s="3" t="inlineStr">
        <is>
          <t>전년 같은 분기·전년 대비</t>
        </is>
      </c>
      <c r="G127" s="15">
        <f>IF(OR(G126="",C126=""),"",IF(G126*C126&lt;=0,"",IFERROR(G126/C126-1,"")))</f>
        <v/>
      </c>
      <c r="H127" s="15">
        <f>IF(OR(H126="",D126=""),"",IF(H126*D126&lt;=0,"",IFERROR(H126/D126-1,"")))</f>
        <v/>
      </c>
      <c r="I127" s="15">
        <f>IF(OR(I126="",E126=""),"",IF(I126*E126&lt;=0,"",IFERROR(I126/E126-1,"")))</f>
        <v/>
      </c>
      <c r="J127" s="15">
        <f>IF(OR(J126="",F126=""),"",IF(J126*F126&lt;=0,"",IFERROR(J126/F126-1,"")))</f>
        <v/>
      </c>
      <c r="K127" s="15">
        <f>IF(OR(K126="",G126=""),"",IF(K126*G126&lt;=0,"",IFERROR(K126/G126-1,"")))</f>
        <v/>
      </c>
      <c r="L127" s="15">
        <f>IF(OR(L126="",H126=""),"",IF(L126*H126&lt;=0,"",IFERROR(L126/H126-1,"")))</f>
        <v/>
      </c>
      <c r="M127" s="15">
        <f>IF(OR(M126="",I126=""),"",IF(M126*I126&lt;=0,"",IFERROR(M126/I126-1,"")))</f>
        <v/>
      </c>
      <c r="N127" s="15">
        <f>IF(OR(N126="",J126=""),"",IF(N126*J126&lt;=0,"",IFERROR(N126/J126-1,"")))</f>
        <v/>
      </c>
      <c r="T127" s="15">
        <f>IF(OR(T126="",S126=""),"",IF(T126*S126&lt;=0,"",IFERROR(T126/S126-1,"")))</f>
        <v/>
      </c>
      <c r="U127" s="15">
        <f>IF(OR(U126="",T126=""),"",IF(U126*T126&lt;=0,"",IFERROR(U126/T126-1,"")))</f>
        <v/>
      </c>
      <c r="V127" s="15">
        <f>IF(OR(V126="",U126=""),"",IF(V126*U126&lt;=0,"",IFERROR(V126/U126-1,"")))</f>
        <v/>
      </c>
      <c r="W127" s="15">
        <f>IF(OR(W126="",V126=""),"",IF(W126*V126&lt;=0,"",IFERROR(W126/V126-1,"")))</f>
        <v/>
      </c>
      <c r="X127" s="15">
        <f>IF(OR(X126="",W126=""),"",IF(X126*W126&lt;=0,"",IFERROR(X126/W126-1,"")))</f>
        <v/>
      </c>
    </row>
    <row r="128">
      <c r="A128" s="18" t="inlineStr">
        <is>
          <t>이자비용</t>
        </is>
      </c>
      <c r="C128" s="20" t="n">
        <v>5852</v>
      </c>
      <c r="D128" s="20" t="n">
        <v>5819</v>
      </c>
      <c r="E128" s="20" t="n">
        <v>5674</v>
      </c>
      <c r="F128" s="20" t="n">
        <v>5714</v>
      </c>
      <c r="G128" s="20" t="n">
        <v>5644</v>
      </c>
      <c r="H128" s="20" t="n">
        <v>5997</v>
      </c>
      <c r="I128" s="20" t="n">
        <v>6004</v>
      </c>
      <c r="J128" s="20" t="n">
        <v>6223</v>
      </c>
      <c r="K128" s="20" t="n">
        <v>6527</v>
      </c>
      <c r="L128" s="20" t="n">
        <v>5295</v>
      </c>
      <c r="M128" s="20" t="n">
        <v>4542</v>
      </c>
      <c r="N128" s="20" t="n">
        <v>4668</v>
      </c>
      <c r="T128" s="20" t="n">
        <v>6335</v>
      </c>
      <c r="U128" s="20" t="n">
        <v>5963</v>
      </c>
      <c r="V128" s="20" t="n">
        <v>5674</v>
      </c>
      <c r="W128" s="20" t="n">
        <v>6004</v>
      </c>
      <c r="X128" s="20" t="n">
        <v>4542</v>
      </c>
    </row>
    <row r="129">
      <c r="A129" s="18" t="inlineStr">
        <is>
          <t>지분법손실</t>
        </is>
      </c>
      <c r="C129" s="20" t="n">
        <v>0</v>
      </c>
      <c r="T129" s="20" t="n">
        <v>1053</v>
      </c>
      <c r="U129" s="20" t="n">
        <v>0</v>
      </c>
    </row>
    <row r="130">
      <c r="A130" s="18" t="inlineStr">
        <is>
          <t>외환차손</t>
        </is>
      </c>
      <c r="F130" s="20" t="n">
        <v>0</v>
      </c>
      <c r="J130" s="20" t="n">
        <v>562</v>
      </c>
      <c r="N130" s="20" t="n">
        <v>0</v>
      </c>
    </row>
    <row r="131">
      <c r="A131" s="18" t="inlineStr">
        <is>
          <t>Loss On Sales Of Assets NOE</t>
        </is>
      </c>
      <c r="C131" s="20" t="n">
        <v>22</v>
      </c>
      <c r="D131" s="20" t="n">
        <v>7</v>
      </c>
      <c r="E131" s="20" t="n">
        <v>2</v>
      </c>
      <c r="F131" s="20" t="n">
        <v>1</v>
      </c>
      <c r="G131" s="20" t="n">
        <v>13</v>
      </c>
      <c r="H131" s="20" t="n">
        <v>154</v>
      </c>
      <c r="I131" s="20" t="n">
        <v>12</v>
      </c>
      <c r="J131" s="20" t="n">
        <v>6</v>
      </c>
      <c r="K131" s="20" t="n">
        <v>1</v>
      </c>
      <c r="L131" s="20" t="n">
        <v>3</v>
      </c>
      <c r="M131" s="20" t="n">
        <v>10</v>
      </c>
      <c r="N131" s="20" t="n">
        <v>0</v>
      </c>
      <c r="T131" s="20" t="n">
        <v>214</v>
      </c>
      <c r="U131" s="20" t="n">
        <v>75</v>
      </c>
      <c r="V131" s="20" t="n">
        <v>2</v>
      </c>
      <c r="W131" s="20" t="n">
        <v>12</v>
      </c>
      <c r="X131" s="20" t="n">
        <v>10</v>
      </c>
    </row>
    <row r="132">
      <c r="A132" s="18" t="inlineStr">
        <is>
          <t>Loss On Retirement Of Assets NOE</t>
        </is>
      </c>
      <c r="C132" s="20" t="n">
        <v>813</v>
      </c>
      <c r="D132" s="20" t="n">
        <v>557</v>
      </c>
      <c r="E132" s="20" t="n">
        <v>3211</v>
      </c>
      <c r="F132" s="20" t="n">
        <v>995</v>
      </c>
      <c r="G132" s="20" t="n">
        <v>1421</v>
      </c>
      <c r="H132" s="20" t="n">
        <v>1059</v>
      </c>
      <c r="I132" s="20" t="n">
        <v>3291</v>
      </c>
      <c r="J132" s="20" t="n">
        <v>491</v>
      </c>
      <c r="K132" s="20" t="n">
        <v>2365</v>
      </c>
      <c r="L132" s="20" t="n">
        <v>702</v>
      </c>
      <c r="M132" s="20" t="n">
        <v>3484</v>
      </c>
      <c r="N132" s="20" t="n">
        <v>779</v>
      </c>
      <c r="T132" s="20" t="n">
        <v>5188</v>
      </c>
      <c r="U132" s="20" t="n">
        <v>1499</v>
      </c>
      <c r="V132" s="20" t="n">
        <v>3211</v>
      </c>
      <c r="W132" s="20" t="n">
        <v>3291</v>
      </c>
      <c r="X132" s="20" t="n">
        <v>3484</v>
      </c>
    </row>
    <row r="133">
      <c r="A133" s="18" t="inlineStr">
        <is>
          <t>Grounded Aircraft Expense NOE</t>
        </is>
      </c>
      <c r="C133" s="20" t="n">
        <v>0</v>
      </c>
      <c r="D133" s="20" t="n">
        <v>0</v>
      </c>
      <c r="E133" s="20" t="n">
        <v>0</v>
      </c>
      <c r="T133" s="20" t="n">
        <v>3085</v>
      </c>
      <c r="U133" s="20" t="n">
        <v>0</v>
      </c>
      <c r="V133" s="20" t="n">
        <v>0</v>
      </c>
    </row>
    <row r="134">
      <c r="A134" s="18" t="inlineStr">
        <is>
          <t>기타</t>
        </is>
      </c>
      <c r="C134" s="20" t="n">
        <v>467</v>
      </c>
      <c r="D134" s="20" t="n">
        <v>705</v>
      </c>
      <c r="E134" s="20" t="n">
        <v>1166</v>
      </c>
      <c r="F134" s="20" t="n">
        <v>474</v>
      </c>
      <c r="G134" s="20" t="n">
        <v>471</v>
      </c>
      <c r="H134" s="20" t="n">
        <v>416</v>
      </c>
      <c r="I134" s="20" t="n">
        <v>988</v>
      </c>
      <c r="J134" s="20" t="n">
        <v>535</v>
      </c>
      <c r="K134" s="20" t="n">
        <v>420</v>
      </c>
      <c r="L134" s="20" t="n">
        <v>441</v>
      </c>
      <c r="M134" s="20" t="n">
        <v>1506</v>
      </c>
      <c r="N134" s="20" t="n">
        <v>790</v>
      </c>
      <c r="T134" s="20" t="n">
        <v>1761</v>
      </c>
      <c r="U134" s="20" t="n">
        <v>1986</v>
      </c>
      <c r="V134" s="20" t="n">
        <v>1166</v>
      </c>
      <c r="W134" s="20" t="n">
        <v>988</v>
      </c>
      <c r="X134" s="20" t="n">
        <v>1506</v>
      </c>
    </row>
    <row r="135">
      <c r="A135" s="18" t="inlineStr">
        <is>
          <t>영업외비용 합계</t>
        </is>
      </c>
      <c r="C135" s="20" t="n">
        <v>7154</v>
      </c>
      <c r="D135" s="20" t="n">
        <v>7088</v>
      </c>
      <c r="E135" s="20" t="n">
        <v>10053</v>
      </c>
      <c r="F135" s="20" t="n">
        <v>7184</v>
      </c>
      <c r="G135" s="20" t="n">
        <v>7549</v>
      </c>
      <c r="H135" s="20" t="n">
        <v>7626</v>
      </c>
      <c r="I135" s="20" t="n">
        <v>10295</v>
      </c>
      <c r="J135" s="20" t="n">
        <v>7817</v>
      </c>
      <c r="K135" s="20" t="n">
        <v>8751</v>
      </c>
      <c r="L135" s="20" t="n">
        <v>6441</v>
      </c>
      <c r="M135" s="20" t="n">
        <v>9542</v>
      </c>
      <c r="N135" s="20" t="n">
        <v>6237</v>
      </c>
      <c r="T135" s="20" t="n">
        <v>17636</v>
      </c>
      <c r="U135" s="20" t="n">
        <v>9523</v>
      </c>
      <c r="V135" s="20" t="n">
        <v>10053</v>
      </c>
      <c r="W135" s="20" t="n">
        <v>10295</v>
      </c>
      <c r="X135" s="20" t="n">
        <v>9542</v>
      </c>
    </row>
    <row r="136">
      <c r="A136" s="43" t="inlineStr">
        <is>
          <t>YoY</t>
        </is>
      </c>
      <c r="B136" s="3" t="inlineStr">
        <is>
          <t>전년 같은 분기·전년 대비</t>
        </is>
      </c>
      <c r="G136" s="15">
        <f>IF(OR(G135="",C135=""),"",IF(G135*C135&lt;=0,"",IFERROR(G135/C135-1,"")))</f>
        <v/>
      </c>
      <c r="H136" s="15">
        <f>IF(OR(H135="",D135=""),"",IF(H135*D135&lt;=0,"",IFERROR(H135/D135-1,"")))</f>
        <v/>
      </c>
      <c r="I136" s="15">
        <f>IF(OR(I135="",E135=""),"",IF(I135*E135&lt;=0,"",IFERROR(I135/E135-1,"")))</f>
        <v/>
      </c>
      <c r="J136" s="15">
        <f>IF(OR(J135="",F135=""),"",IF(J135*F135&lt;=0,"",IFERROR(J135/F135-1,"")))</f>
        <v/>
      </c>
      <c r="K136" s="15">
        <f>IF(OR(K135="",G135=""),"",IF(K135*G135&lt;=0,"",IFERROR(K135/G135-1,"")))</f>
        <v/>
      </c>
      <c r="L136" s="15">
        <f>IF(OR(L135="",H135=""),"",IF(L135*H135&lt;=0,"",IFERROR(L135/H135-1,"")))</f>
        <v/>
      </c>
      <c r="M136" s="15">
        <f>IF(OR(M135="",I135=""),"",IF(M135*I135&lt;=0,"",IFERROR(M135/I135-1,"")))</f>
        <v/>
      </c>
      <c r="N136" s="15">
        <f>IF(OR(N135="",J135=""),"",IF(N135*J135&lt;=0,"",IFERROR(N135/J135-1,"")))</f>
        <v/>
      </c>
      <c r="T136" s="15">
        <f>IF(OR(T135="",S135=""),"",IF(T135*S135&lt;=0,"",IFERROR(T135/S135-1,"")))</f>
        <v/>
      </c>
      <c r="U136" s="15">
        <f>IF(OR(U135="",T135=""),"",IF(U135*T135&lt;=0,"",IFERROR(U135/T135-1,"")))</f>
        <v/>
      </c>
      <c r="V136" s="15">
        <f>IF(OR(V135="",U135=""),"",IF(V135*U135&lt;=0,"",IFERROR(V135/U135-1,"")))</f>
        <v/>
      </c>
      <c r="W136" s="15">
        <f>IF(OR(W135="",V135=""),"",IF(W135*V135&lt;=0,"",IFERROR(W135/V135-1,"")))</f>
        <v/>
      </c>
      <c r="X136" s="15">
        <f>IF(OR(X135="",W135=""),"",IF(X135*W135&lt;=0,"",IFERROR(X135/W135-1,"")))</f>
        <v/>
      </c>
    </row>
    <row r="137">
      <c r="A137" s="9" t="inlineStr">
        <is>
          <t>경상이익</t>
        </is>
      </c>
      <c r="C137" s="12" t="n">
        <v>84056</v>
      </c>
      <c r="D137" s="12" t="n">
        <v>79803</v>
      </c>
      <c r="E137" s="12" t="n">
        <v>523</v>
      </c>
      <c r="F137" s="12" t="n">
        <v>36822</v>
      </c>
      <c r="G137" s="12" t="n">
        <v>75561</v>
      </c>
      <c r="H137" s="12" t="n">
        <v>69206</v>
      </c>
      <c r="I137" s="12" t="n">
        <v>18497</v>
      </c>
      <c r="J137" s="12" t="n">
        <v>35919</v>
      </c>
      <c r="K137" s="12" t="n">
        <v>59268</v>
      </c>
      <c r="L137" s="12" t="n">
        <v>87434</v>
      </c>
      <c r="M137" s="12" t="n">
        <v>37030</v>
      </c>
      <c r="N137" s="12" t="n">
        <v>22513</v>
      </c>
      <c r="T137" s="12" t="n">
        <v>-66595</v>
      </c>
      <c r="U137" s="12" t="n">
        <v>19461</v>
      </c>
      <c r="V137" s="12" t="n">
        <v>523</v>
      </c>
      <c r="W137" s="12" t="n">
        <v>18497</v>
      </c>
      <c r="X137" s="12" t="n">
        <v>37030</v>
      </c>
    </row>
    <row r="138">
      <c r="A138" s="43" t="inlineStr">
        <is>
          <t>YoY</t>
        </is>
      </c>
      <c r="B138" s="3" t="inlineStr">
        <is>
          <t>전년 같은 분기·전년 대비</t>
        </is>
      </c>
      <c r="G138" s="15">
        <f>IF(OR(G137="",C137=""),"",IF(C137&lt;=0,"",IFERROR(G137/C137-1,"")))</f>
        <v/>
      </c>
      <c r="H138" s="15">
        <f>IF(OR(H137="",D137=""),"",IF(D137&lt;=0,"",IFERROR(H137/D137-1,"")))</f>
        <v/>
      </c>
      <c r="I138" s="15">
        <f>IF(OR(I137="",E137=""),"",IF(E137&lt;=0,"",IFERROR(I137/E137-1,"")))</f>
        <v/>
      </c>
      <c r="J138" s="15">
        <f>IF(OR(J137="",F137=""),"",IF(F137&lt;=0,"",IFERROR(J137/F137-1,"")))</f>
        <v/>
      </c>
      <c r="K138" s="15">
        <f>IF(OR(K137="",G137=""),"",IF(G137&lt;=0,"",IFERROR(K137/G137-1,"")))</f>
        <v/>
      </c>
      <c r="L138" s="15">
        <f>IF(OR(L137="",H137=""),"",IF(H137&lt;=0,"",IFERROR(L137/H137-1,"")))</f>
        <v/>
      </c>
      <c r="M138" s="15">
        <f>IF(OR(M137="",I137=""),"",IF(I137&lt;=0,"",IFERROR(M137/I137-1,"")))</f>
        <v/>
      </c>
      <c r="N138" s="15">
        <f>IF(OR(N137="",J137=""),"",IF(J137&lt;=0,"",IFERROR(N137/J137-1,"")))</f>
        <v/>
      </c>
      <c r="T138" s="15">
        <f>IF(OR(T137="",S137=""),"",IF(S137&lt;=0,"",IFERROR(T137/S137-1,"")))</f>
        <v/>
      </c>
      <c r="U138" s="15">
        <f>IF(OR(U137="",T137=""),"",IF(T137&lt;=0,"",IFERROR(U137/T137-1,"")))</f>
        <v/>
      </c>
      <c r="V138" s="15">
        <f>IF(OR(V137="",U137=""),"",IF(U137&lt;=0,"",IFERROR(V137/U137-1,"")))</f>
        <v/>
      </c>
      <c r="W138" s="15">
        <f>IF(OR(W137="",V137=""),"",IF(V137&lt;=0,"",IFERROR(W137/V137-1,"")))</f>
        <v/>
      </c>
      <c r="X138" s="15">
        <f>IF(OR(X137="",W137=""),"",IF(W137&lt;=0,"",IFERROR(X137/W137-1,"")))</f>
        <v/>
      </c>
    </row>
    <row r="139">
      <c r="A139" s="18" t="inlineStr">
        <is>
          <t>부의 영업권 발생이익</t>
        </is>
      </c>
      <c r="H139" s="20" t="n">
        <v>0</v>
      </c>
      <c r="I139" s="20" t="n">
        <v>0</v>
      </c>
      <c r="L139" s="20" t="n">
        <v>0</v>
      </c>
      <c r="M139" s="20" t="n">
        <v>0</v>
      </c>
      <c r="W139" s="20" t="n">
        <v>0</v>
      </c>
      <c r="X139" s="20" t="n">
        <v>0</v>
      </c>
    </row>
    <row r="140">
      <c r="A140" s="18" t="inlineStr">
        <is>
          <t>투자유가증권 매각이익</t>
        </is>
      </c>
      <c r="D140" s="20" t="n">
        <v>0</v>
      </c>
      <c r="E140" s="20" t="n">
        <v>0</v>
      </c>
      <c r="H140" s="20" t="n">
        <v>35</v>
      </c>
      <c r="I140" s="20" t="n">
        <v>104</v>
      </c>
      <c r="J140" s="20" t="n">
        <v>0</v>
      </c>
      <c r="K140" s="20" t="n">
        <v>4091</v>
      </c>
      <c r="L140" s="20" t="n">
        <v>642</v>
      </c>
      <c r="M140" s="20" t="n">
        <v>13</v>
      </c>
      <c r="N140" s="20" t="n">
        <v>2051</v>
      </c>
      <c r="V140" s="20" t="n">
        <v>0</v>
      </c>
      <c r="W140" s="20" t="n">
        <v>104</v>
      </c>
      <c r="X140" s="20" t="n">
        <v>13</v>
      </c>
    </row>
    <row r="141">
      <c r="A141" s="18" t="inlineStr">
        <is>
          <t>특별이익 합계</t>
        </is>
      </c>
      <c r="D141" s="20" t="n">
        <v>0</v>
      </c>
      <c r="E141" s="20" t="n">
        <v>0</v>
      </c>
      <c r="H141" s="20" t="n">
        <v>35</v>
      </c>
      <c r="I141" s="20" t="n">
        <v>104</v>
      </c>
      <c r="J141" s="20" t="n">
        <v>0</v>
      </c>
      <c r="K141" s="20" t="n">
        <v>11256</v>
      </c>
      <c r="L141" s="20" t="n">
        <v>642</v>
      </c>
      <c r="M141" s="20" t="n">
        <v>13</v>
      </c>
      <c r="N141" s="20" t="n">
        <v>2051</v>
      </c>
      <c r="V141" s="20" t="n">
        <v>0</v>
      </c>
      <c r="W141" s="20" t="n">
        <v>104</v>
      </c>
      <c r="X141" s="20" t="n">
        <v>13</v>
      </c>
    </row>
    <row r="142">
      <c r="A142" s="43" t="inlineStr">
        <is>
          <t>YoY</t>
        </is>
      </c>
      <c r="B142" s="3" t="inlineStr">
        <is>
          <t>전년 같은 분기·전년 대비</t>
        </is>
      </c>
      <c r="H142" s="15">
        <f>IF(OR(H141="",D141=""),"",IF(H141*D141&lt;=0,"",IFERROR(H141/D141-1,"")))</f>
        <v/>
      </c>
      <c r="I142" s="15">
        <f>IF(OR(I141="",E141=""),"",IF(I141*E141&lt;=0,"",IFERROR(I141/E141-1,"")))</f>
        <v/>
      </c>
      <c r="J142" s="15">
        <f>IF(OR(J141="",F141=""),"",IF(J141*F141&lt;=0,"",IFERROR(J141/F141-1,"")))</f>
        <v/>
      </c>
      <c r="K142" s="15">
        <f>IF(OR(K141="",G141=""),"",IF(K141*G141&lt;=0,"",IFERROR(K141/G141-1,"")))</f>
        <v/>
      </c>
      <c r="L142" s="15">
        <f>IF(OR(L141="",H141=""),"",IF(L141*H141&lt;=0,"",IFERROR(L141/H141-1,"")))</f>
        <v/>
      </c>
      <c r="M142" s="15">
        <f>IF(OR(M141="",I141=""),"",IF(M141*I141&lt;=0,"",IFERROR(M141/I141-1,"")))</f>
        <v/>
      </c>
      <c r="N142" s="15">
        <f>IF(OR(N141="",J141=""),"",IF(N141*J141&lt;=0,"",IFERROR(N141/J141-1,"")))</f>
        <v/>
      </c>
      <c r="V142" s="15">
        <f>IF(OR(V141="",U141=""),"",IF(V141*U141&lt;=0,"",IFERROR(V141/U141-1,"")))</f>
        <v/>
      </c>
      <c r="W142" s="15">
        <f>IF(OR(W141="",V141=""),"",IF(W141*V141&lt;=0,"",IFERROR(W141/V141-1,"")))</f>
        <v/>
      </c>
      <c r="X142" s="15">
        <f>IF(OR(X141="",W141=""),"",IF(X141*W141&lt;=0,"",IFERROR(X141/W141-1,"")))</f>
        <v/>
      </c>
    </row>
    <row r="143">
      <c r="A143" s="18" t="inlineStr">
        <is>
          <t>손상차손</t>
        </is>
      </c>
      <c r="H143" s="20" t="n">
        <v>0</v>
      </c>
      <c r="I143" s="20" t="n">
        <v>0</v>
      </c>
      <c r="L143" s="20" t="n">
        <v>0</v>
      </c>
      <c r="M143" s="20" t="n">
        <v>6705</v>
      </c>
      <c r="W143" s="20" t="n">
        <v>0</v>
      </c>
      <c r="X143" s="20" t="n">
        <v>6705</v>
      </c>
    </row>
    <row r="144">
      <c r="A144" s="18" t="inlineStr">
        <is>
          <t>Lease Receivables And Investments In Leases EL</t>
        </is>
      </c>
      <c r="T144" s="20" t="n">
        <v>2326</v>
      </c>
      <c r="U144" s="20" t="n">
        <v>0</v>
      </c>
    </row>
    <row r="145">
      <c r="A145" s="18" t="inlineStr">
        <is>
          <t>대손충당금 전입</t>
        </is>
      </c>
      <c r="E145" s="20" t="n">
        <v>0</v>
      </c>
      <c r="I145" s="20" t="n">
        <v>399</v>
      </c>
      <c r="M145" s="20" t="n">
        <v>0</v>
      </c>
      <c r="V145" s="20" t="n">
        <v>0</v>
      </c>
      <c r="W145" s="20" t="n">
        <v>399</v>
      </c>
      <c r="X145" s="20" t="n">
        <v>0</v>
      </c>
    </row>
    <row r="146">
      <c r="A146" s="18" t="inlineStr">
        <is>
          <t>투자유가증권 평가손실</t>
        </is>
      </c>
      <c r="C146" s="20" t="n">
        <v>451</v>
      </c>
      <c r="D146" s="20" t="n">
        <v>6</v>
      </c>
      <c r="E146" s="20" t="n">
        <v>2361</v>
      </c>
      <c r="H146" s="20" t="n">
        <v>0</v>
      </c>
      <c r="I146" s="20" t="n">
        <v>0</v>
      </c>
      <c r="T146" s="20" t="n">
        <v>768</v>
      </c>
      <c r="U146" s="20" t="n">
        <v>1017</v>
      </c>
      <c r="V146" s="20" t="n">
        <v>2361</v>
      </c>
      <c r="W146" s="20" t="n">
        <v>0</v>
      </c>
    </row>
    <row r="147">
      <c r="A147" s="18" t="inlineStr">
        <is>
          <t>특별손실 합계</t>
        </is>
      </c>
      <c r="C147" s="20" t="n">
        <v>451</v>
      </c>
      <c r="D147" s="20" t="n">
        <v>6</v>
      </c>
      <c r="E147" s="20" t="n">
        <v>2361</v>
      </c>
      <c r="H147" s="20" t="n">
        <v>3525</v>
      </c>
      <c r="I147" s="20" t="n">
        <v>399</v>
      </c>
      <c r="L147" s="20" t="n">
        <v>0</v>
      </c>
      <c r="M147" s="20" t="n">
        <v>7034</v>
      </c>
      <c r="T147" s="20" t="n">
        <v>12451</v>
      </c>
      <c r="U147" s="20" t="n">
        <v>1017</v>
      </c>
      <c r="V147" s="20" t="n">
        <v>2361</v>
      </c>
      <c r="W147" s="20" t="n">
        <v>399</v>
      </c>
      <c r="X147" s="20" t="n">
        <v>7034</v>
      </c>
    </row>
    <row r="148">
      <c r="A148" s="43" t="inlineStr">
        <is>
          <t>YoY</t>
        </is>
      </c>
      <c r="B148" s="3" t="inlineStr">
        <is>
          <t>전년 같은 분기·전년 대비</t>
        </is>
      </c>
      <c r="H148" s="15">
        <f>IF(OR(H147="",D147=""),"",IF(H147*D147&lt;=0,"",IFERROR(H147/D147-1,"")))</f>
        <v/>
      </c>
      <c r="I148" s="15">
        <f>IF(OR(I147="",E147=""),"",IF(I147*E147&lt;=0,"",IFERROR(I147/E147-1,"")))</f>
        <v/>
      </c>
      <c r="L148" s="15">
        <f>IF(OR(L147="",H147=""),"",IF(L147*H147&lt;=0,"",IFERROR(L147/H147-1,"")))</f>
        <v/>
      </c>
      <c r="M148" s="15">
        <f>IF(OR(M147="",I147=""),"",IF(M147*I147&lt;=0,"",IFERROR(M147/I147-1,"")))</f>
        <v/>
      </c>
      <c r="T148" s="15">
        <f>IF(OR(T147="",S147=""),"",IF(T147*S147&lt;=0,"",IFERROR(T147/S147-1,"")))</f>
        <v/>
      </c>
      <c r="U148" s="15">
        <f>IF(OR(U147="",T147=""),"",IF(U147*T147&lt;=0,"",IFERROR(U147/T147-1,"")))</f>
        <v/>
      </c>
      <c r="V148" s="15">
        <f>IF(OR(V147="",U147=""),"",IF(V147*U147&lt;=0,"",IFERROR(V147/U147-1,"")))</f>
        <v/>
      </c>
      <c r="W148" s="15">
        <f>IF(OR(W147="",V147=""),"",IF(W147*V147&lt;=0,"",IFERROR(W147/V147-1,"")))</f>
        <v/>
      </c>
      <c r="X148" s="15">
        <f>IF(OR(X147="",W147=""),"",IF(X147*W147&lt;=0,"",IFERROR(X147/W147-1,"")))</f>
        <v/>
      </c>
    </row>
    <row r="149">
      <c r="A149" s="9" t="inlineStr">
        <is>
          <t>법인세차감전 순이익</t>
        </is>
      </c>
      <c r="C149" s="12" t="n">
        <v>83605</v>
      </c>
      <c r="D149" s="12" t="n">
        <v>79797</v>
      </c>
      <c r="E149" s="12" t="n">
        <v>-1838</v>
      </c>
      <c r="F149" s="12" t="n">
        <v>36822</v>
      </c>
      <c r="G149" s="12" t="n">
        <v>75826</v>
      </c>
      <c r="H149" s="12" t="n">
        <v>65716</v>
      </c>
      <c r="I149" s="12" t="n">
        <v>18202</v>
      </c>
      <c r="J149" s="12" t="n">
        <v>35919</v>
      </c>
      <c r="K149" s="12" t="n">
        <v>69497</v>
      </c>
      <c r="L149" s="12" t="n">
        <v>88076</v>
      </c>
      <c r="M149" s="12" t="n">
        <v>30009</v>
      </c>
      <c r="N149" s="12" t="n">
        <v>24564</v>
      </c>
      <c r="T149" s="12" t="n">
        <v>-50736</v>
      </c>
      <c r="U149" s="12" t="n">
        <v>22018</v>
      </c>
      <c r="V149" s="12" t="n">
        <v>-1838</v>
      </c>
      <c r="W149" s="12" t="n">
        <v>18202</v>
      </c>
      <c r="X149" s="12" t="n">
        <v>30009</v>
      </c>
    </row>
    <row r="150">
      <c r="A150" s="43" t="inlineStr">
        <is>
          <t>YoY</t>
        </is>
      </c>
      <c r="B150" s="3" t="inlineStr">
        <is>
          <t>전년 같은 분기·전년 대비</t>
        </is>
      </c>
      <c r="G150" s="15">
        <f>IF(OR(G149="",C149=""),"",IF(C149&lt;=0,"",IFERROR(G149/C149-1,"")))</f>
        <v/>
      </c>
      <c r="H150" s="15">
        <f>IF(OR(H149="",D149=""),"",IF(D149&lt;=0,"",IFERROR(H149/D149-1,"")))</f>
        <v/>
      </c>
      <c r="I150" s="15">
        <f>IF(OR(I149="",E149=""),"",IF(E149&lt;=0,"",IFERROR(I149/E149-1,"")))</f>
        <v/>
      </c>
      <c r="J150" s="15">
        <f>IF(OR(J149="",F149=""),"",IF(F149&lt;=0,"",IFERROR(J149/F149-1,"")))</f>
        <v/>
      </c>
      <c r="K150" s="15">
        <f>IF(OR(K149="",G149=""),"",IF(G149&lt;=0,"",IFERROR(K149/G149-1,"")))</f>
        <v/>
      </c>
      <c r="L150" s="15">
        <f>IF(OR(L149="",H149=""),"",IF(H149&lt;=0,"",IFERROR(L149/H149-1,"")))</f>
        <v/>
      </c>
      <c r="M150" s="15">
        <f>IF(OR(M149="",I149=""),"",IF(I149&lt;=0,"",IFERROR(M149/I149-1,"")))</f>
        <v/>
      </c>
      <c r="N150" s="15">
        <f>IF(OR(N149="",J149=""),"",IF(J149&lt;=0,"",IFERROR(N149/J149-1,"")))</f>
        <v/>
      </c>
      <c r="T150" s="15">
        <f>IF(OR(T149="",S149=""),"",IF(S149&lt;=0,"",IFERROR(T149/S149-1,"")))</f>
        <v/>
      </c>
      <c r="U150" s="15">
        <f>IF(OR(U149="",T149=""),"",IF(T149&lt;=0,"",IFERROR(U149/T149-1,"")))</f>
        <v/>
      </c>
      <c r="V150" s="15">
        <f>IF(OR(V149="",U149=""),"",IF(U149&lt;=0,"",IFERROR(V149/U149-1,"")))</f>
        <v/>
      </c>
      <c r="W150" s="15">
        <f>IF(OR(W149="",V149=""),"",IF(V149&lt;=0,"",IFERROR(W149/V149-1,"")))</f>
        <v/>
      </c>
      <c r="X150" s="15">
        <f>IF(OR(X149="",W149=""),"",IF(W149&lt;=0,"",IFERROR(X149/W149-1,"")))</f>
        <v/>
      </c>
    </row>
    <row r="151">
      <c r="A151" s="18" t="inlineStr">
        <is>
          <t>법인세 등</t>
        </is>
      </c>
      <c r="C151" s="20" t="n">
        <v>20830</v>
      </c>
      <c r="D151" s="20" t="n">
        <v>23685</v>
      </c>
      <c r="E151" s="20" t="n">
        <v>-10360</v>
      </c>
      <c r="F151" s="20" t="n">
        <v>12140</v>
      </c>
      <c r="G151" s="20" t="n">
        <v>19476</v>
      </c>
      <c r="H151" s="20" t="n">
        <v>12013</v>
      </c>
      <c r="I151" s="20" t="n">
        <v>-941</v>
      </c>
      <c r="J151" s="20" t="n">
        <v>12275</v>
      </c>
      <c r="K151" s="20" t="n">
        <v>16541</v>
      </c>
      <c r="L151" s="20" t="n">
        <v>23624</v>
      </c>
      <c r="M151" s="20" t="n">
        <v>78</v>
      </c>
      <c r="N151" s="20" t="n">
        <v>4781</v>
      </c>
      <c r="T151" s="20" t="n">
        <v>-10236</v>
      </c>
      <c r="U151" s="20" t="n">
        <v>-4420</v>
      </c>
      <c r="V151" s="20" t="n">
        <v>-10360</v>
      </c>
      <c r="W151" s="20" t="n">
        <v>-941</v>
      </c>
      <c r="X151" s="20" t="n">
        <v>78</v>
      </c>
    </row>
    <row r="152">
      <c r="A152" s="43" t="inlineStr">
        <is>
          <t>YoY</t>
        </is>
      </c>
      <c r="B152" s="3" t="inlineStr">
        <is>
          <t>전년 같은 분기·전년 대비</t>
        </is>
      </c>
      <c r="G152" s="15">
        <f>IF(OR(G151="",C151=""),"",IF(G151*C151&lt;=0,"",IFERROR(G151/C151-1,"")))</f>
        <v/>
      </c>
      <c r="H152" s="15">
        <f>IF(OR(H151="",D151=""),"",IF(H151*D151&lt;=0,"",IFERROR(H151/D151-1,"")))</f>
        <v/>
      </c>
      <c r="I152" s="15">
        <f>IF(OR(I151="",E151=""),"",IF(I151*E151&lt;=0,"",IFERROR(I151/E151-1,"")))</f>
        <v/>
      </c>
      <c r="J152" s="15">
        <f>IF(OR(J151="",F151=""),"",IF(J151*F151&lt;=0,"",IFERROR(J151/F151-1,"")))</f>
        <v/>
      </c>
      <c r="K152" s="15">
        <f>IF(OR(K151="",G151=""),"",IF(K151*G151&lt;=0,"",IFERROR(K151/G151-1,"")))</f>
        <v/>
      </c>
      <c r="L152" s="15">
        <f>IF(OR(L151="",H151=""),"",IF(L151*H151&lt;=0,"",IFERROR(L151/H151-1,"")))</f>
        <v/>
      </c>
      <c r="M152" s="15">
        <f>IF(OR(M151="",I151=""),"",IF(M151*I151&lt;=0,"",IFERROR(M151/I151-1,"")))</f>
        <v/>
      </c>
      <c r="N152" s="15">
        <f>IF(OR(N151="",J151=""),"",IF(N151*J151&lt;=0,"",IFERROR(N151/J151-1,"")))</f>
        <v/>
      </c>
      <c r="T152" s="15">
        <f>IF(OR(T151="",S151=""),"",IF(T151*S151&lt;=0,"",IFERROR(T151/S151-1,"")))</f>
        <v/>
      </c>
      <c r="U152" s="15">
        <f>IF(OR(U151="",T151=""),"",IF(U151*T151&lt;=0,"",IFERROR(U151/T151-1,"")))</f>
        <v/>
      </c>
      <c r="V152" s="15">
        <f>IF(OR(V151="",U151=""),"",IF(V151*U151&lt;=0,"",IFERROR(V151/U151-1,"")))</f>
        <v/>
      </c>
      <c r="W152" s="15">
        <f>IF(OR(W151="",V151=""),"",IF(W151*V151&lt;=0,"",IFERROR(W151/V151-1,"")))</f>
        <v/>
      </c>
      <c r="X152" s="15">
        <f>IF(OR(X151="",W151=""),"",IF(X151*W151&lt;=0,"",IFERROR(X151/W151-1,"")))</f>
        <v/>
      </c>
    </row>
    <row r="153">
      <c r="A153" s="9" t="inlineStr">
        <is>
          <t>순이익</t>
        </is>
      </c>
      <c r="C153" s="12" t="n">
        <v>62775</v>
      </c>
      <c r="D153" s="12" t="n">
        <v>56112</v>
      </c>
      <c r="E153" s="12" t="n">
        <v>8522</v>
      </c>
      <c r="F153" s="12" t="n">
        <v>24682</v>
      </c>
      <c r="G153" s="12" t="n">
        <v>56350</v>
      </c>
      <c r="H153" s="12" t="n">
        <v>53703</v>
      </c>
      <c r="I153" s="12" t="n">
        <v>19143</v>
      </c>
      <c r="J153" s="12" t="n">
        <v>23644</v>
      </c>
      <c r="K153" s="12" t="n">
        <v>52956</v>
      </c>
      <c r="L153" s="12" t="n">
        <v>64452</v>
      </c>
      <c r="M153" s="12" t="n">
        <v>29931</v>
      </c>
      <c r="N153" s="12" t="n">
        <v>19783</v>
      </c>
      <c r="T153" s="12" t="n">
        <v>-40500</v>
      </c>
      <c r="U153" s="12" t="n">
        <v>26438</v>
      </c>
      <c r="V153" s="12" t="n">
        <v>8522</v>
      </c>
      <c r="W153" s="12" t="n">
        <v>19143</v>
      </c>
      <c r="X153" s="12" t="n">
        <v>29931</v>
      </c>
    </row>
    <row r="154">
      <c r="A154" s="43" t="inlineStr">
        <is>
          <t>YoY</t>
        </is>
      </c>
      <c r="B154" s="3" t="inlineStr">
        <is>
          <t>전년 같은 분기·전년 대비</t>
        </is>
      </c>
      <c r="G154" s="15">
        <f>IF(OR(G153="",C153=""),"",IF(C153&lt;=0,"",IFERROR(G153/C153-1,"")))</f>
        <v/>
      </c>
      <c r="H154" s="15">
        <f>IF(OR(H153="",D153=""),"",IF(D153&lt;=0,"",IFERROR(H153/D153-1,"")))</f>
        <v/>
      </c>
      <c r="I154" s="15">
        <f>IF(OR(I153="",E153=""),"",IF(E153&lt;=0,"",IFERROR(I153/E153-1,"")))</f>
        <v/>
      </c>
      <c r="J154" s="15">
        <f>IF(OR(J153="",F153=""),"",IF(F153&lt;=0,"",IFERROR(J153/F153-1,"")))</f>
        <v/>
      </c>
      <c r="K154" s="15">
        <f>IF(OR(K153="",G153=""),"",IF(G153&lt;=0,"",IFERROR(K153/G153-1,"")))</f>
        <v/>
      </c>
      <c r="L154" s="15">
        <f>IF(OR(L153="",H153=""),"",IF(H153&lt;=0,"",IFERROR(L153/H153-1,"")))</f>
        <v/>
      </c>
      <c r="M154" s="15">
        <f>IF(OR(M153="",I153=""),"",IF(I153&lt;=0,"",IFERROR(M153/I153-1,"")))</f>
        <v/>
      </c>
      <c r="N154" s="15">
        <f>IF(OR(N153="",J153=""),"",IF(J153&lt;=0,"",IFERROR(N153/J153-1,"")))</f>
        <v/>
      </c>
      <c r="T154" s="15">
        <f>IF(OR(T153="",S153=""),"",IF(S153&lt;=0,"",IFERROR(T153/S153-1,"")))</f>
        <v/>
      </c>
      <c r="U154" s="15">
        <f>IF(OR(U153="",T153=""),"",IF(T153&lt;=0,"",IFERROR(U153/T153-1,"")))</f>
        <v/>
      </c>
      <c r="V154" s="15">
        <f>IF(OR(V153="",U153=""),"",IF(U153&lt;=0,"",IFERROR(V153/U153-1,"")))</f>
        <v/>
      </c>
      <c r="W154" s="15">
        <f>IF(OR(W153="",V153=""),"",IF(V153&lt;=0,"",IFERROR(W153/V153-1,"")))</f>
        <v/>
      </c>
      <c r="X154" s="15">
        <f>IF(OR(X153="",W153=""),"",IF(W153&lt;=0,"",IFERROR(X153/W153-1,"")))</f>
        <v/>
      </c>
    </row>
    <row r="155">
      <c r="A155" s="9" t="inlineStr">
        <is>
          <t>비지배주주 순이익</t>
        </is>
      </c>
      <c r="C155" s="12" t="n">
        <v>255</v>
      </c>
      <c r="D155" s="12" t="n">
        <v>369</v>
      </c>
      <c r="E155" s="12" t="n">
        <v>374</v>
      </c>
      <c r="F155" s="12" t="n">
        <v>-30</v>
      </c>
      <c r="G155" s="12" t="n">
        <v>284</v>
      </c>
      <c r="H155" s="12" t="n">
        <v>451</v>
      </c>
      <c r="I155" s="12" t="n">
        <v>146</v>
      </c>
      <c r="J155" s="12" t="n">
        <v>691</v>
      </c>
      <c r="K155" s="12" t="n">
        <v>-176</v>
      </c>
      <c r="L155" s="12" t="n">
        <v>1302</v>
      </c>
      <c r="M155" s="12" t="n">
        <v>91</v>
      </c>
      <c r="N155" s="12" t="n">
        <v>372</v>
      </c>
      <c r="T155" s="12" t="n">
        <v>324</v>
      </c>
      <c r="U155" s="12" t="n">
        <v>-438</v>
      </c>
      <c r="V155" s="12" t="n">
        <v>374</v>
      </c>
      <c r="W155" s="12" t="n">
        <v>146</v>
      </c>
      <c r="X155" s="12" t="n">
        <v>91</v>
      </c>
    </row>
    <row r="156">
      <c r="A156" s="9" t="inlineStr">
        <is>
          <t>지배주주 순이익</t>
        </is>
      </c>
      <c r="C156" s="12" t="n">
        <v>62520</v>
      </c>
      <c r="D156" s="12" t="n">
        <v>55743</v>
      </c>
      <c r="E156" s="12" t="n">
        <v>8148</v>
      </c>
      <c r="F156" s="12" t="n">
        <v>24712</v>
      </c>
      <c r="G156" s="12" t="n">
        <v>56066</v>
      </c>
      <c r="H156" s="12" t="n">
        <v>53252</v>
      </c>
      <c r="I156" s="12" t="n">
        <v>18997</v>
      </c>
      <c r="J156" s="12" t="n">
        <v>22953</v>
      </c>
      <c r="K156" s="12" t="n">
        <v>53132</v>
      </c>
      <c r="L156" s="12" t="n">
        <v>63150</v>
      </c>
      <c r="M156" s="12" t="n">
        <v>29840</v>
      </c>
      <c r="N156" s="12" t="n">
        <v>19411</v>
      </c>
      <c r="T156" s="12" t="n">
        <v>-40824</v>
      </c>
      <c r="U156" s="12" t="n">
        <v>26876</v>
      </c>
      <c r="V156" s="12" t="n">
        <v>8148</v>
      </c>
      <c r="W156" s="12" t="n">
        <v>18997</v>
      </c>
      <c r="X156" s="12" t="n">
        <v>29840</v>
      </c>
    </row>
    <row r="157">
      <c r="A157" s="43" t="inlineStr">
        <is>
          <t>YoY</t>
        </is>
      </c>
      <c r="B157" s="3" t="inlineStr">
        <is>
          <t>전년 같은 분기·전년 대비</t>
        </is>
      </c>
      <c r="G157" s="15">
        <f>IF(OR(G156="",C156=""),"",IF(C156&lt;=0,"",IFERROR(G156/C156-1,"")))</f>
        <v/>
      </c>
      <c r="H157" s="15">
        <f>IF(OR(H156="",D156=""),"",IF(D156&lt;=0,"",IFERROR(H156/D156-1,"")))</f>
        <v/>
      </c>
      <c r="I157" s="15">
        <f>IF(OR(I156="",E156=""),"",IF(E156&lt;=0,"",IFERROR(I156/E156-1,"")))</f>
        <v/>
      </c>
      <c r="J157" s="15">
        <f>IF(OR(J156="",F156=""),"",IF(F156&lt;=0,"",IFERROR(J156/F156-1,"")))</f>
        <v/>
      </c>
      <c r="K157" s="15">
        <f>IF(OR(K156="",G156=""),"",IF(G156&lt;=0,"",IFERROR(K156/G156-1,"")))</f>
        <v/>
      </c>
      <c r="L157" s="15">
        <f>IF(OR(L156="",H156=""),"",IF(H156&lt;=0,"",IFERROR(L156/H156-1,"")))</f>
        <v/>
      </c>
      <c r="M157" s="15">
        <f>IF(OR(M156="",I156=""),"",IF(I156&lt;=0,"",IFERROR(M156/I156-1,"")))</f>
        <v/>
      </c>
      <c r="N157" s="15">
        <f>IF(OR(N156="",J156=""),"",IF(J156&lt;=0,"",IFERROR(N156/J156-1,"")))</f>
        <v/>
      </c>
      <c r="T157" s="15">
        <f>IF(OR(T156="",S156=""),"",IF(S156&lt;=0,"",IFERROR(T156/S156-1,"")))</f>
        <v/>
      </c>
      <c r="U157" s="15">
        <f>IF(OR(U156="",T156=""),"",IF(T156&lt;=0,"",IFERROR(U156/T156-1,"")))</f>
        <v/>
      </c>
      <c r="V157" s="15">
        <f>IF(OR(V156="",U156=""),"",IF(U156&lt;=0,"",IFERROR(V156/U156-1,"")))</f>
        <v/>
      </c>
      <c r="W157" s="15">
        <f>IF(OR(W156="",V156=""),"",IF(V156&lt;=0,"",IFERROR(W156/V156-1,"")))</f>
        <v/>
      </c>
      <c r="X157" s="15">
        <f>IF(OR(X156="",W156=""),"",IF(W156&lt;=0,"",IFERROR(X156/W156-1,"")))</f>
        <v/>
      </c>
    </row>
    <row r="159">
      <c r="A159" s="16" t="inlineStr">
        <is>
          <t>포괄손익 · 전 항목</t>
        </is>
      </c>
      <c r="B159" s="42" t="inlineStr">
        <is>
          <t>분기 = 3개월 단독</t>
        </is>
      </c>
      <c r="C159" s="16" t="n"/>
      <c r="D159" s="16" t="n"/>
      <c r="E159" s="16" t="n"/>
      <c r="F159" s="16" t="n"/>
      <c r="G159" s="16" t="n"/>
      <c r="H159" s="16" t="n"/>
      <c r="I159" s="16" t="n"/>
      <c r="J159" s="16" t="n"/>
      <c r="K159" s="16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  <c r="Z159" s="16" t="n"/>
      <c r="AA159" s="16" t="n"/>
      <c r="AB159" s="16" t="n"/>
      <c r="AC159" s="16" t="n"/>
    </row>
    <row r="160">
      <c r="A160" s="5" t="inlineStr">
        <is>
          <t>항목</t>
        </is>
      </c>
      <c r="B160" s="5" t="inlineStr">
        <is>
          <t>참고</t>
        </is>
      </c>
      <c r="C160" s="5" t="inlineStr">
        <is>
          <t>2024.2Q</t>
        </is>
      </c>
      <c r="D160" s="5" t="inlineStr">
        <is>
          <t>2024.3Q</t>
        </is>
      </c>
      <c r="E160" s="5" t="inlineStr">
        <is>
          <t>2024.4Q</t>
        </is>
      </c>
      <c r="F160" s="5" t="inlineStr">
        <is>
          <t>2025.1Q</t>
        </is>
      </c>
      <c r="G160" s="5" t="inlineStr">
        <is>
          <t>2025.2Q</t>
        </is>
      </c>
      <c r="H160" s="5" t="inlineStr">
        <is>
          <t>2025.3Q</t>
        </is>
      </c>
      <c r="I160" s="5" t="inlineStr">
        <is>
          <t>2025.4Q</t>
        </is>
      </c>
      <c r="J160" s="5" t="inlineStr">
        <is>
          <t>2026.1Q</t>
        </is>
      </c>
      <c r="K160" s="5" t="inlineStr">
        <is>
          <t>2026.2Q</t>
        </is>
      </c>
      <c r="L160" s="5" t="inlineStr">
        <is>
          <t>2026.3Q</t>
        </is>
      </c>
      <c r="M160" s="5" t="inlineStr">
        <is>
          <t>2026.4Q</t>
        </is>
      </c>
      <c r="N160" s="5" t="inlineStr">
        <is>
          <t>2027.1Q</t>
        </is>
      </c>
      <c r="O160" s="5" t="inlineStr">
        <is>
          <t>2017</t>
        </is>
      </c>
      <c r="P160" s="5" t="inlineStr">
        <is>
          <t>2018</t>
        </is>
      </c>
      <c r="Q160" s="5" t="inlineStr">
        <is>
          <t>2019</t>
        </is>
      </c>
      <c r="R160" s="5" t="inlineStr">
        <is>
          <t>2020</t>
        </is>
      </c>
      <c r="S160" s="5" t="inlineStr">
        <is>
          <t>2021</t>
        </is>
      </c>
      <c r="T160" s="5" t="inlineStr">
        <is>
          <t>2022</t>
        </is>
      </c>
      <c r="U160" s="5" t="inlineStr">
        <is>
          <t>2023</t>
        </is>
      </c>
      <c r="V160" s="5" t="inlineStr">
        <is>
          <t>2024</t>
        </is>
      </c>
      <c r="W160" s="5" t="inlineStr">
        <is>
          <t>2025</t>
        </is>
      </c>
      <c r="X160" s="5" t="inlineStr">
        <is>
          <t>2026</t>
        </is>
      </c>
      <c r="Y160" s="5" t="inlineStr">
        <is>
          <t>2027(MW)</t>
        </is>
      </c>
      <c r="Z160" s="5" t="inlineStr">
        <is>
          <t>2028(MW)</t>
        </is>
      </c>
      <c r="AA160" s="5" t="inlineStr">
        <is>
          <t>2029(MW)</t>
        </is>
      </c>
      <c r="AB160" s="5" t="inlineStr">
        <is>
          <t>2030(MW)</t>
        </is>
      </c>
      <c r="AC160" s="5" t="inlineStr">
        <is>
          <t>2031(MW)</t>
        </is>
      </c>
    </row>
    <row r="161">
      <c r="A161" s="9" t="inlineStr">
        <is>
          <t>순이익</t>
        </is>
      </c>
      <c r="C161" s="12" t="n">
        <v>62775</v>
      </c>
      <c r="D161" s="12" t="n">
        <v>56112</v>
      </c>
      <c r="E161" s="12" t="n">
        <v>8522</v>
      </c>
      <c r="F161" s="12" t="n">
        <v>24682</v>
      </c>
      <c r="G161" s="12" t="n">
        <v>56350</v>
      </c>
      <c r="H161" s="12" t="n">
        <v>53703</v>
      </c>
      <c r="I161" s="12" t="n">
        <v>19143</v>
      </c>
      <c r="J161" s="12" t="n">
        <v>23644</v>
      </c>
      <c r="K161" s="12" t="n">
        <v>52956</v>
      </c>
      <c r="L161" s="12" t="n">
        <v>64452</v>
      </c>
      <c r="M161" s="12" t="n">
        <v>29931</v>
      </c>
      <c r="N161" s="12" t="n">
        <v>19783</v>
      </c>
      <c r="T161" s="12" t="n">
        <v>-40500</v>
      </c>
      <c r="U161" s="12" t="n">
        <v>26438</v>
      </c>
      <c r="V161" s="12" t="n">
        <v>8522</v>
      </c>
      <c r="W161" s="12" t="n">
        <v>19143</v>
      </c>
      <c r="X161" s="12" t="n">
        <v>29931</v>
      </c>
    </row>
    <row r="162">
      <c r="A162" s="18" t="inlineStr">
        <is>
          <t>기타유가증권 평가차액</t>
        </is>
      </c>
      <c r="C162" s="20" t="n">
        <v>-4435</v>
      </c>
      <c r="D162" s="20" t="n">
        <v>-1374</v>
      </c>
      <c r="E162" s="20" t="n">
        <v>4389</v>
      </c>
      <c r="F162" s="20" t="n">
        <v>6939</v>
      </c>
      <c r="G162" s="20" t="n">
        <v>-12174</v>
      </c>
      <c r="H162" s="20" t="n">
        <v>4557</v>
      </c>
      <c r="I162" s="20" t="n">
        <v>-5085</v>
      </c>
      <c r="J162" s="20" t="n">
        <v>5043</v>
      </c>
      <c r="K162" s="20" t="n">
        <v>4995</v>
      </c>
      <c r="L162" s="20" t="n">
        <v>-6947</v>
      </c>
      <c r="M162" s="20" t="n">
        <v>22</v>
      </c>
      <c r="N162" s="20" t="n">
        <v>-1272</v>
      </c>
      <c r="T162" s="20" t="n">
        <v>4328</v>
      </c>
      <c r="U162" s="20" t="n">
        <v>-77</v>
      </c>
      <c r="V162" s="20" t="n">
        <v>4389</v>
      </c>
      <c r="W162" s="20" t="n">
        <v>-5085</v>
      </c>
      <c r="X162" s="20" t="n">
        <v>22</v>
      </c>
    </row>
    <row r="163">
      <c r="A163" s="18" t="inlineStr">
        <is>
          <t>이연헤지손익</t>
        </is>
      </c>
      <c r="C163" s="20" t="n">
        <v>27290</v>
      </c>
      <c r="D163" s="20" t="n">
        <v>-47274</v>
      </c>
      <c r="E163" s="20" t="n">
        <v>16860</v>
      </c>
      <c r="F163" s="20" t="n">
        <v>16058</v>
      </c>
      <c r="G163" s="20" t="n">
        <v>-56792</v>
      </c>
      <c r="H163" s="20" t="n">
        <v>33453</v>
      </c>
      <c r="I163" s="20" t="n">
        <v>-26159</v>
      </c>
      <c r="J163" s="20" t="n">
        <v>-17468</v>
      </c>
      <c r="K163" s="20" t="n">
        <v>12082</v>
      </c>
      <c r="L163" s="20" t="n">
        <v>14294</v>
      </c>
      <c r="M163" s="20" t="n">
        <v>54335</v>
      </c>
      <c r="N163" s="20" t="n">
        <v>-31386</v>
      </c>
      <c r="T163" s="20" t="n">
        <v>34190</v>
      </c>
      <c r="U163" s="20" t="n">
        <v>-2640</v>
      </c>
      <c r="V163" s="20" t="n">
        <v>16860</v>
      </c>
      <c r="W163" s="20" t="n">
        <v>-26159</v>
      </c>
      <c r="X163" s="20" t="n">
        <v>54335</v>
      </c>
    </row>
    <row r="164">
      <c r="A164" s="18" t="inlineStr">
        <is>
          <t>해외사업환산조정</t>
        </is>
      </c>
      <c r="C164" s="20" t="n">
        <v>511</v>
      </c>
      <c r="D164" s="20" t="n">
        <v>-490</v>
      </c>
      <c r="E164" s="20" t="n">
        <v>433</v>
      </c>
      <c r="F164" s="20" t="n">
        <v>879</v>
      </c>
      <c r="G164" s="20" t="n">
        <v>-829</v>
      </c>
      <c r="H164" s="20" t="n">
        <v>537</v>
      </c>
      <c r="I164" s="20" t="n">
        <v>-102</v>
      </c>
      <c r="J164" s="20" t="n">
        <v>-760</v>
      </c>
      <c r="K164" s="20" t="n">
        <v>137</v>
      </c>
      <c r="L164" s="20" t="n">
        <v>774</v>
      </c>
      <c r="M164" s="20" t="n">
        <v>790</v>
      </c>
      <c r="N164" s="20" t="n">
        <v>490</v>
      </c>
      <c r="T164" s="20" t="n">
        <v>590</v>
      </c>
      <c r="U164" s="20" t="n">
        <v>-2387</v>
      </c>
      <c r="V164" s="20" t="n">
        <v>433</v>
      </c>
      <c r="W164" s="20" t="n">
        <v>-102</v>
      </c>
      <c r="X164" s="20" t="n">
        <v>790</v>
      </c>
    </row>
    <row r="165">
      <c r="A165" s="18" t="inlineStr">
        <is>
          <t>퇴직급여 조정액</t>
        </is>
      </c>
      <c r="C165" s="20" t="n">
        <v>472</v>
      </c>
      <c r="D165" s="20" t="n">
        <v>475</v>
      </c>
      <c r="E165" s="20" t="n">
        <v>920</v>
      </c>
      <c r="F165" s="20" t="n">
        <v>508</v>
      </c>
      <c r="G165" s="20" t="n">
        <v>501</v>
      </c>
      <c r="H165" s="20" t="n">
        <v>505</v>
      </c>
      <c r="I165" s="20" t="n">
        <v>3127</v>
      </c>
      <c r="J165" s="20" t="n">
        <v>362</v>
      </c>
      <c r="K165" s="20" t="n">
        <v>431</v>
      </c>
      <c r="L165" s="20" t="n">
        <v>435</v>
      </c>
      <c r="M165" s="20" t="n">
        <v>5614</v>
      </c>
      <c r="N165" s="20" t="n">
        <v>364</v>
      </c>
      <c r="T165" s="20" t="n">
        <v>1230</v>
      </c>
      <c r="U165" s="20" t="n">
        <v>-2164</v>
      </c>
      <c r="V165" s="20" t="n">
        <v>920</v>
      </c>
      <c r="W165" s="20" t="n">
        <v>3127</v>
      </c>
      <c r="X165" s="20" t="n">
        <v>5614</v>
      </c>
    </row>
    <row r="166">
      <c r="A166" s="18" t="inlineStr">
        <is>
          <t>지분법 적용회사 지분 해당액</t>
        </is>
      </c>
      <c r="C166" s="20" t="n">
        <v>-11</v>
      </c>
      <c r="D166" s="20" t="n">
        <v>-9</v>
      </c>
      <c r="E166" s="20" t="n">
        <v>45</v>
      </c>
      <c r="F166" s="20" t="n">
        <v>8</v>
      </c>
      <c r="G166" s="20" t="n">
        <v>-85</v>
      </c>
      <c r="H166" s="20" t="n">
        <v>42</v>
      </c>
      <c r="I166" s="20" t="n">
        <v>-104</v>
      </c>
      <c r="J166" s="20" t="n">
        <v>77</v>
      </c>
      <c r="K166" s="20" t="n">
        <v>63</v>
      </c>
      <c r="L166" s="20" t="n">
        <v>-5</v>
      </c>
      <c r="M166" s="20" t="n">
        <v>32</v>
      </c>
      <c r="N166" s="20" t="n">
        <v>44</v>
      </c>
      <c r="T166" s="20" t="n">
        <v>50</v>
      </c>
      <c r="U166" s="20" t="n">
        <v>-34</v>
      </c>
      <c r="V166" s="20" t="n">
        <v>45</v>
      </c>
      <c r="W166" s="20" t="n">
        <v>-104</v>
      </c>
      <c r="X166" s="20" t="n">
        <v>32</v>
      </c>
    </row>
    <row r="167">
      <c r="A167" s="18" t="inlineStr">
        <is>
          <t>기타포괄손익 합계</t>
        </is>
      </c>
      <c r="C167" s="20" t="n">
        <v>23827</v>
      </c>
      <c r="D167" s="20" t="n">
        <v>-48672</v>
      </c>
      <c r="E167" s="20" t="n">
        <v>22647</v>
      </c>
      <c r="F167" s="20" t="n">
        <v>24392</v>
      </c>
      <c r="G167" s="20" t="n">
        <v>-69379</v>
      </c>
      <c r="H167" s="20" t="n">
        <v>39094</v>
      </c>
      <c r="I167" s="20" t="n">
        <v>-28323</v>
      </c>
      <c r="J167" s="20" t="n">
        <v>-12746</v>
      </c>
      <c r="K167" s="20" t="n">
        <v>17708</v>
      </c>
      <c r="L167" s="20" t="n">
        <v>8551</v>
      </c>
      <c r="M167" s="20" t="n">
        <v>60793</v>
      </c>
      <c r="N167" s="20" t="n">
        <v>-31760</v>
      </c>
      <c r="T167" s="20" t="n">
        <v>40388</v>
      </c>
      <c r="U167" s="20" t="n">
        <v>-7302</v>
      </c>
      <c r="V167" s="20" t="n">
        <v>22647</v>
      </c>
      <c r="W167" s="20" t="n">
        <v>-28323</v>
      </c>
      <c r="X167" s="20" t="n">
        <v>60793</v>
      </c>
    </row>
    <row r="168">
      <c r="A168" s="9" t="inlineStr">
        <is>
          <t>포괄이익</t>
        </is>
      </c>
      <c r="C168" s="12" t="n">
        <v>86602</v>
      </c>
      <c r="D168" s="12" t="n">
        <v>7440</v>
      </c>
      <c r="E168" s="12" t="n">
        <v>31169</v>
      </c>
      <c r="F168" s="12" t="n">
        <v>49074</v>
      </c>
      <c r="G168" s="12" t="n">
        <v>-13029</v>
      </c>
      <c r="H168" s="12" t="n">
        <v>92797</v>
      </c>
      <c r="I168" s="12" t="n">
        <v>-9180</v>
      </c>
      <c r="J168" s="12" t="n">
        <v>10898</v>
      </c>
      <c r="K168" s="12" t="n">
        <v>70664</v>
      </c>
      <c r="L168" s="12" t="n">
        <v>73003</v>
      </c>
      <c r="M168" s="12" t="n">
        <v>90724</v>
      </c>
      <c r="N168" s="12" t="n">
        <v>-11977</v>
      </c>
      <c r="T168" s="12" t="n">
        <v>-112</v>
      </c>
      <c r="U168" s="12" t="n">
        <v>19136</v>
      </c>
      <c r="V168" s="12" t="n">
        <v>31169</v>
      </c>
      <c r="W168" s="12" t="n">
        <v>-9180</v>
      </c>
      <c r="X168" s="12" t="n">
        <v>90724</v>
      </c>
    </row>
    <row r="169">
      <c r="A169" s="9" t="inlineStr">
        <is>
          <t>지배주주 포괄이익</t>
        </is>
      </c>
      <c r="C169" s="12" t="n">
        <v>86292</v>
      </c>
      <c r="D169" s="12" t="n">
        <v>7054</v>
      </c>
      <c r="E169" s="12" t="n">
        <v>30835</v>
      </c>
      <c r="F169" s="12" t="n">
        <v>48998</v>
      </c>
      <c r="G169" s="12" t="n">
        <v>-13430</v>
      </c>
      <c r="H169" s="12" t="n">
        <v>92533</v>
      </c>
      <c r="I169" s="12" t="n">
        <v>-9468</v>
      </c>
      <c r="J169" s="12" t="n">
        <v>10353</v>
      </c>
      <c r="K169" s="12" t="n">
        <v>70886</v>
      </c>
      <c r="L169" s="12" t="n">
        <v>71614</v>
      </c>
      <c r="M169" s="12" t="n">
        <v>90440</v>
      </c>
      <c r="N169" s="12" t="n">
        <v>-12464</v>
      </c>
      <c r="T169" s="12" t="n">
        <v>-507</v>
      </c>
      <c r="U169" s="12" t="n">
        <v>19750</v>
      </c>
      <c r="V169" s="12" t="n">
        <v>30835</v>
      </c>
      <c r="W169" s="12" t="n">
        <v>-9468</v>
      </c>
      <c r="X169" s="12" t="n">
        <v>90440</v>
      </c>
    </row>
    <row r="170">
      <c r="A170" s="9" t="inlineStr">
        <is>
          <t>비지배주주 포괄이익</t>
        </is>
      </c>
      <c r="C170" s="12" t="n">
        <v>310</v>
      </c>
      <c r="D170" s="12" t="n">
        <v>386</v>
      </c>
      <c r="E170" s="12" t="n">
        <v>334</v>
      </c>
      <c r="F170" s="12" t="n">
        <v>76</v>
      </c>
      <c r="G170" s="12" t="n">
        <v>401</v>
      </c>
      <c r="H170" s="12" t="n">
        <v>264</v>
      </c>
      <c r="I170" s="12" t="n">
        <v>288</v>
      </c>
      <c r="J170" s="12" t="n">
        <v>545</v>
      </c>
      <c r="K170" s="12" t="n">
        <v>-222</v>
      </c>
      <c r="L170" s="12" t="n">
        <v>1389</v>
      </c>
      <c r="M170" s="12" t="n">
        <v>284</v>
      </c>
      <c r="N170" s="12" t="n">
        <v>487</v>
      </c>
      <c r="T170" s="12" t="n">
        <v>395</v>
      </c>
      <c r="U170" s="12" t="n">
        <v>-614</v>
      </c>
      <c r="V170" s="12" t="n">
        <v>334</v>
      </c>
      <c r="W170" s="12" t="n">
        <v>288</v>
      </c>
      <c r="X170" s="12" t="n">
        <v>284</v>
      </c>
    </row>
    <row r="172">
      <c r="A172" s="16" t="inlineStr">
        <is>
          <t>부문 · 전 항목</t>
        </is>
      </c>
      <c r="B172" s="42" t="inlineStr">
        <is>
          <t>부문 · 항목</t>
        </is>
      </c>
      <c r="C172" s="16" t="n"/>
      <c r="D172" s="16" t="n"/>
      <c r="E172" s="16" t="n"/>
      <c r="F172" s="1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  <c r="AA172" s="16" t="n"/>
      <c r="AB172" s="16" t="n"/>
      <c r="AC172" s="16" t="n"/>
    </row>
    <row r="173">
      <c r="A173" s="5" t="inlineStr">
        <is>
          <t>항목</t>
        </is>
      </c>
      <c r="B173" s="5" t="inlineStr">
        <is>
          <t>참고</t>
        </is>
      </c>
      <c r="C173" s="5" t="inlineStr">
        <is>
          <t>2024.2Q</t>
        </is>
      </c>
      <c r="D173" s="5" t="inlineStr">
        <is>
          <t>2024.3Q</t>
        </is>
      </c>
      <c r="E173" s="5" t="inlineStr">
        <is>
          <t>2024.4Q</t>
        </is>
      </c>
      <c r="F173" s="5" t="inlineStr">
        <is>
          <t>2025.1Q</t>
        </is>
      </c>
      <c r="G173" s="5" t="inlineStr">
        <is>
          <t>2025.2Q</t>
        </is>
      </c>
      <c r="H173" s="5" t="inlineStr">
        <is>
          <t>2025.3Q</t>
        </is>
      </c>
      <c r="I173" s="5" t="inlineStr">
        <is>
          <t>2025.4Q</t>
        </is>
      </c>
      <c r="J173" s="5" t="inlineStr">
        <is>
          <t>2026.1Q</t>
        </is>
      </c>
      <c r="K173" s="5" t="inlineStr">
        <is>
          <t>2026.2Q</t>
        </is>
      </c>
      <c r="L173" s="5" t="inlineStr">
        <is>
          <t>2026.3Q</t>
        </is>
      </c>
      <c r="M173" s="5" t="inlineStr">
        <is>
          <t>2026.4Q</t>
        </is>
      </c>
      <c r="N173" s="5" t="inlineStr">
        <is>
          <t>2027.1Q</t>
        </is>
      </c>
      <c r="O173" s="5" t="inlineStr">
        <is>
          <t>2017</t>
        </is>
      </c>
      <c r="P173" s="5" t="inlineStr">
        <is>
          <t>2018</t>
        </is>
      </c>
      <c r="Q173" s="5" t="inlineStr">
        <is>
          <t>2019</t>
        </is>
      </c>
      <c r="R173" s="5" t="inlineStr">
        <is>
          <t>2020</t>
        </is>
      </c>
      <c r="S173" s="5" t="inlineStr">
        <is>
          <t>2021</t>
        </is>
      </c>
      <c r="T173" s="5" t="inlineStr">
        <is>
          <t>2022</t>
        </is>
      </c>
      <c r="U173" s="5" t="inlineStr">
        <is>
          <t>2023</t>
        </is>
      </c>
      <c r="V173" s="5" t="inlineStr">
        <is>
          <t>2024</t>
        </is>
      </c>
      <c r="W173" s="5" t="inlineStr">
        <is>
          <t>2025</t>
        </is>
      </c>
      <c r="X173" s="5" t="inlineStr">
        <is>
          <t>2026</t>
        </is>
      </c>
      <c r="Y173" s="5" t="inlineStr">
        <is>
          <t>2027(MW)</t>
        </is>
      </c>
      <c r="Z173" s="5" t="inlineStr">
        <is>
          <t>2028(MW)</t>
        </is>
      </c>
      <c r="AA173" s="5" t="inlineStr">
        <is>
          <t>2029(MW)</t>
        </is>
      </c>
      <c r="AB173" s="5" t="inlineStr">
        <is>
          <t>2030(MW)</t>
        </is>
      </c>
      <c r="AC173" s="5" t="inlineStr">
        <is>
          <t>2031(MW)</t>
        </is>
      </c>
    </row>
    <row r="174">
      <c r="A174" s="18" t="inlineStr">
        <is>
          <t>부문 · Revenues From External Customers</t>
        </is>
      </c>
      <c r="C174" s="20" t="n">
        <v>483407</v>
      </c>
      <c r="D174" s="20" t="n">
        <v>483909</v>
      </c>
      <c r="E174" s="20" t="n">
        <v>452263</v>
      </c>
      <c r="F174" s="20" t="n">
        <v>459299</v>
      </c>
      <c r="G174" s="20" t="n">
        <v>521342</v>
      </c>
      <c r="H174" s="20" t="n">
        <v>540803</v>
      </c>
      <c r="I174" s="20" t="n">
        <v>498437</v>
      </c>
      <c r="J174" s="20" t="n">
        <v>488033</v>
      </c>
      <c r="K174" s="20" t="n">
        <v>575169</v>
      </c>
      <c r="L174" s="20" t="n">
        <v>616203</v>
      </c>
      <c r="M174" s="20" t="n">
        <v>597313</v>
      </c>
      <c r="N174" s="20" t="n">
        <v>610980</v>
      </c>
      <c r="V174" s="20" t="n">
        <v>452263</v>
      </c>
      <c r="W174" s="20" t="n">
        <v>498437</v>
      </c>
      <c r="X174" s="20" t="n">
        <v>597313</v>
      </c>
    </row>
    <row r="175">
      <c r="A175" s="43" t="inlineStr">
        <is>
          <t>YoY</t>
        </is>
      </c>
      <c r="B175" s="3" t="inlineStr">
        <is>
          <t>전년 같은 분기·전년 대비</t>
        </is>
      </c>
      <c r="G175" s="15">
        <f>IF(OR(G174="",C174=""),"",IF(C174&lt;=0,"",IFERROR(G174/C174-1,"")))</f>
        <v/>
      </c>
      <c r="H175" s="15">
        <f>IF(OR(H174="",D174=""),"",IF(D174&lt;=0,"",IFERROR(H174/D174-1,"")))</f>
        <v/>
      </c>
      <c r="I175" s="15">
        <f>IF(OR(I174="",E174=""),"",IF(E174&lt;=0,"",IFERROR(I174/E174-1,"")))</f>
        <v/>
      </c>
      <c r="J175" s="15">
        <f>IF(OR(J174="",F174=""),"",IF(F174&lt;=0,"",IFERROR(J174/F174-1,"")))</f>
        <v/>
      </c>
      <c r="K175" s="15">
        <f>IF(OR(K174="",G174=""),"",IF(G174&lt;=0,"",IFERROR(K174/G174-1,"")))</f>
        <v/>
      </c>
      <c r="L175" s="15">
        <f>IF(OR(L174="",H174=""),"",IF(H174&lt;=0,"",IFERROR(L174/H174-1,"")))</f>
        <v/>
      </c>
      <c r="M175" s="15">
        <f>IF(OR(M174="",I174=""),"",IF(I174&lt;=0,"",IFERROR(M174/I174-1,"")))</f>
        <v/>
      </c>
      <c r="N175" s="15">
        <f>IF(OR(N174="",J174=""),"",IF(J174&lt;=0,"",IFERROR(N174/J174-1,"")))</f>
        <v/>
      </c>
      <c r="V175" s="15">
        <f>IF(OR(V174="",U174=""),"",IF(U174&lt;=0,"",IFERROR(V174/U174-1,"")))</f>
        <v/>
      </c>
      <c r="W175" s="15">
        <f>IF(OR(W174="",V174=""),"",IF(V174&lt;=0,"",IFERROR(W174/V174-1,"")))</f>
        <v/>
      </c>
      <c r="X175" s="15">
        <f>IF(OR(X174="",W174=""),"",IF(W174&lt;=0,"",IFERROR(X174/W174-1,"")))</f>
        <v/>
      </c>
    </row>
    <row r="176">
      <c r="A176" s="18" t="inlineStr">
        <is>
          <t>부문 · Revenues From External Customers</t>
        </is>
      </c>
      <c r="C176" s="20" t="n">
        <v>11101</v>
      </c>
      <c r="D176" s="20" t="n">
        <v>12407</v>
      </c>
      <c r="E176" s="20" t="n">
        <v>14634</v>
      </c>
      <c r="F176" s="20" t="n">
        <v>12956</v>
      </c>
      <c r="G176" s="20" t="n">
        <v>14038</v>
      </c>
      <c r="H176" s="20" t="n">
        <v>15542</v>
      </c>
      <c r="I176" s="20" t="n">
        <v>12939</v>
      </c>
      <c r="J176" s="20" t="n">
        <v>14261</v>
      </c>
      <c r="K176" s="20" t="n">
        <v>14162</v>
      </c>
      <c r="L176" s="20" t="n">
        <v>15377</v>
      </c>
      <c r="M176" s="20" t="n">
        <v>16419</v>
      </c>
      <c r="N176" s="20" t="n">
        <v>14580</v>
      </c>
      <c r="V176" s="20" t="n">
        <v>14634</v>
      </c>
      <c r="W176" s="20" t="n">
        <v>12939</v>
      </c>
      <c r="X176" s="20" t="n">
        <v>16419</v>
      </c>
    </row>
    <row r="177">
      <c r="A177" s="43" t="inlineStr">
        <is>
          <t>YoY</t>
        </is>
      </c>
      <c r="B177" s="3" t="inlineStr">
        <is>
          <t>전년 같은 분기·전년 대비</t>
        </is>
      </c>
      <c r="G177" s="15">
        <f>IF(OR(G176="",C176=""),"",IF(C176&lt;=0,"",IFERROR(G176/C176-1,"")))</f>
        <v/>
      </c>
      <c r="H177" s="15">
        <f>IF(OR(H176="",D176=""),"",IF(D176&lt;=0,"",IFERROR(H176/D176-1,"")))</f>
        <v/>
      </c>
      <c r="I177" s="15">
        <f>IF(OR(I176="",E176=""),"",IF(E176&lt;=0,"",IFERROR(I176/E176-1,"")))</f>
        <v/>
      </c>
      <c r="J177" s="15">
        <f>IF(OR(J176="",F176=""),"",IF(F176&lt;=0,"",IFERROR(J176/F176-1,"")))</f>
        <v/>
      </c>
      <c r="K177" s="15">
        <f>IF(OR(K176="",G176=""),"",IF(G176&lt;=0,"",IFERROR(K176/G176-1,"")))</f>
        <v/>
      </c>
      <c r="L177" s="15">
        <f>IF(OR(L176="",H176=""),"",IF(H176&lt;=0,"",IFERROR(L176/H176-1,"")))</f>
        <v/>
      </c>
      <c r="M177" s="15">
        <f>IF(OR(M176="",I176=""),"",IF(I176&lt;=0,"",IFERROR(M176/I176-1,"")))</f>
        <v/>
      </c>
      <c r="N177" s="15">
        <f>IF(OR(N176="",J176=""),"",IF(J176&lt;=0,"",IFERROR(N176/J176-1,"")))</f>
        <v/>
      </c>
      <c r="V177" s="15">
        <f>IF(OR(V176="",U176=""),"",IF(U176&lt;=0,"",IFERROR(V176/U176-1,"")))</f>
        <v/>
      </c>
      <c r="W177" s="15">
        <f>IF(OR(W176="",V176=""),"",IF(V176&lt;=0,"",IFERROR(W176/V176-1,"")))</f>
        <v/>
      </c>
      <c r="X177" s="15">
        <f>IF(OR(X176="",W176=""),"",IF(W176&lt;=0,"",IFERROR(X176/W176-1,"")))</f>
        <v/>
      </c>
    </row>
    <row r="178">
      <c r="A178" s="18" t="inlineStr">
        <is>
          <t>부문 · Revenues From External Customers</t>
        </is>
      </c>
      <c r="C178" s="20" t="n">
        <v>17450</v>
      </c>
      <c r="D178" s="20" t="n">
        <v>14812</v>
      </c>
      <c r="E178" s="20" t="n">
        <v>13866</v>
      </c>
      <c r="F178" s="20" t="n">
        <v>13035</v>
      </c>
      <c r="G178" s="20" t="n">
        <v>15650</v>
      </c>
      <c r="H178" s="20" t="n">
        <v>13660</v>
      </c>
      <c r="I178" s="20" t="n">
        <v>13549</v>
      </c>
      <c r="J178" s="20" t="n">
        <v>11640</v>
      </c>
      <c r="K178" s="20" t="n">
        <v>14936</v>
      </c>
      <c r="L178" s="20" t="n">
        <v>12234</v>
      </c>
      <c r="M178" s="20" t="n">
        <v>11344</v>
      </c>
      <c r="N178" s="20" t="n">
        <v>10896</v>
      </c>
      <c r="V178" s="20" t="n">
        <v>13866</v>
      </c>
      <c r="W178" s="20" t="n">
        <v>13549</v>
      </c>
      <c r="X178" s="20" t="n">
        <v>11344</v>
      </c>
    </row>
    <row r="179">
      <c r="A179" s="43" t="inlineStr">
        <is>
          <t>YoY</t>
        </is>
      </c>
      <c r="B179" s="3" t="inlineStr">
        <is>
          <t>전년 같은 분기·전년 대비</t>
        </is>
      </c>
      <c r="G179" s="15">
        <f>IF(OR(G178="",C178=""),"",IF(C178&lt;=0,"",IFERROR(G178/C178-1,"")))</f>
        <v/>
      </c>
      <c r="H179" s="15">
        <f>IF(OR(H178="",D178=""),"",IF(D178&lt;=0,"",IFERROR(H178/D178-1,"")))</f>
        <v/>
      </c>
      <c r="I179" s="15">
        <f>IF(OR(I178="",E178=""),"",IF(E178&lt;=0,"",IFERROR(I178/E178-1,"")))</f>
        <v/>
      </c>
      <c r="J179" s="15">
        <f>IF(OR(J178="",F178=""),"",IF(F178&lt;=0,"",IFERROR(J178/F178-1,"")))</f>
        <v/>
      </c>
      <c r="K179" s="15">
        <f>IF(OR(K178="",G178=""),"",IF(G178&lt;=0,"",IFERROR(K178/G178-1,"")))</f>
        <v/>
      </c>
      <c r="L179" s="15">
        <f>IF(OR(L178="",H178=""),"",IF(H178&lt;=0,"",IFERROR(L178/H178-1,"")))</f>
        <v/>
      </c>
      <c r="M179" s="15">
        <f>IF(OR(M178="",I178=""),"",IF(I178&lt;=0,"",IFERROR(M178/I178-1,"")))</f>
        <v/>
      </c>
      <c r="N179" s="15">
        <f>IF(OR(N178="",J178=""),"",IF(J178&lt;=0,"",IFERROR(N178/J178-1,"")))</f>
        <v/>
      </c>
      <c r="V179" s="15">
        <f>IF(OR(V178="",U178=""),"",IF(U178&lt;=0,"",IFERROR(V178/U178-1,"")))</f>
        <v/>
      </c>
      <c r="W179" s="15">
        <f>IF(OR(W178="",V178=""),"",IF(V178&lt;=0,"",IFERROR(W178/V178-1,"")))</f>
        <v/>
      </c>
      <c r="X179" s="15">
        <f>IF(OR(X178="",W178=""),"",IF(W178&lt;=0,"",IFERROR(X178/W178-1,"")))</f>
        <v/>
      </c>
    </row>
    <row r="180">
      <c r="A180" s="18" t="inlineStr">
        <is>
          <t>부문 · Revenues From External Customers</t>
        </is>
      </c>
      <c r="C180" s="20" t="n">
        <v>25934</v>
      </c>
      <c r="D180" s="20" t="n">
        <v>25805</v>
      </c>
      <c r="E180" s="20" t="n">
        <v>25706</v>
      </c>
      <c r="F180" s="20" t="n">
        <v>27523</v>
      </c>
      <c r="G180" s="20" t="n">
        <v>27911</v>
      </c>
      <c r="H180" s="20" t="n">
        <v>28334</v>
      </c>
      <c r="I180" s="20" t="n">
        <v>28182</v>
      </c>
      <c r="J180" s="20" t="n">
        <v>30286</v>
      </c>
      <c r="K180" s="20" t="n">
        <v>33232</v>
      </c>
      <c r="L180" s="20" t="n">
        <v>38072</v>
      </c>
      <c r="M180" s="20" t="n">
        <v>31343</v>
      </c>
      <c r="N180" s="20" t="n">
        <v>31849</v>
      </c>
      <c r="V180" s="20" t="n">
        <v>25706</v>
      </c>
      <c r="W180" s="20" t="n">
        <v>28182</v>
      </c>
      <c r="X180" s="20" t="n">
        <v>31343</v>
      </c>
    </row>
    <row r="181">
      <c r="A181" s="43" t="inlineStr">
        <is>
          <t>YoY</t>
        </is>
      </c>
      <c r="B181" s="3" t="inlineStr">
        <is>
          <t>전년 같은 분기·전년 대비</t>
        </is>
      </c>
      <c r="G181" s="15">
        <f>IF(OR(G180="",C180=""),"",IF(C180&lt;=0,"",IFERROR(G180/C180-1,"")))</f>
        <v/>
      </c>
      <c r="H181" s="15">
        <f>IF(OR(H180="",D180=""),"",IF(D180&lt;=0,"",IFERROR(H180/D180-1,"")))</f>
        <v/>
      </c>
      <c r="I181" s="15">
        <f>IF(OR(I180="",E180=""),"",IF(E180&lt;=0,"",IFERROR(I180/E180-1,"")))</f>
        <v/>
      </c>
      <c r="J181" s="15">
        <f>IF(OR(J180="",F180=""),"",IF(F180&lt;=0,"",IFERROR(J180/F180-1,"")))</f>
        <v/>
      </c>
      <c r="K181" s="15">
        <f>IF(OR(K180="",G180=""),"",IF(G180&lt;=0,"",IFERROR(K180/G180-1,"")))</f>
        <v/>
      </c>
      <c r="L181" s="15">
        <f>IF(OR(L180="",H180=""),"",IF(H180&lt;=0,"",IFERROR(L180/H180-1,"")))</f>
        <v/>
      </c>
      <c r="M181" s="15">
        <f>IF(OR(M180="",I180=""),"",IF(I180&lt;=0,"",IFERROR(M180/I180-1,"")))</f>
        <v/>
      </c>
      <c r="N181" s="15">
        <f>IF(OR(N180="",J180=""),"",IF(J180&lt;=0,"",IFERROR(N180/J180-1,"")))</f>
        <v/>
      </c>
      <c r="V181" s="15">
        <f>IF(OR(V180="",U180=""),"",IF(U180&lt;=0,"",IFERROR(V180/U180-1,"")))</f>
        <v/>
      </c>
      <c r="W181" s="15">
        <f>IF(OR(W180="",V180=""),"",IF(V180&lt;=0,"",IFERROR(W180/V180-1,"")))</f>
        <v/>
      </c>
      <c r="X181" s="15">
        <f>IF(OR(X180="",W180=""),"",IF(W180&lt;=0,"",IFERROR(X180/W180-1,"")))</f>
        <v/>
      </c>
    </row>
    <row r="182">
      <c r="A182" s="18" t="inlineStr">
        <is>
          <t>보고부문 합계 · Revenues From External Customers</t>
        </is>
      </c>
      <c r="C182" s="20" t="n">
        <v>537892</v>
      </c>
      <c r="D182" s="20" t="n">
        <v>536933</v>
      </c>
      <c r="E182" s="20" t="n">
        <v>506469</v>
      </c>
      <c r="F182" s="20" t="n">
        <v>512813</v>
      </c>
      <c r="G182" s="20" t="n">
        <v>578941</v>
      </c>
      <c r="H182" s="20" t="n">
        <v>598339</v>
      </c>
      <c r="I182" s="20" t="n">
        <v>553107</v>
      </c>
      <c r="J182" s="20" t="n">
        <v>544220</v>
      </c>
      <c r="K182" s="20" t="n">
        <v>637499</v>
      </c>
      <c r="L182" s="20" t="n">
        <v>681886</v>
      </c>
      <c r="M182" s="20" t="n">
        <v>656419</v>
      </c>
      <c r="N182" s="20" t="n">
        <v>668305</v>
      </c>
      <c r="V182" s="20" t="n">
        <v>506469</v>
      </c>
      <c r="W182" s="20" t="n">
        <v>553107</v>
      </c>
      <c r="X182" s="20" t="n">
        <v>656419</v>
      </c>
    </row>
    <row r="183">
      <c r="A183" s="43" t="inlineStr">
        <is>
          <t>YoY</t>
        </is>
      </c>
      <c r="B183" s="3" t="inlineStr">
        <is>
          <t>전년 같은 분기·전년 대비</t>
        </is>
      </c>
      <c r="G183" s="15">
        <f>IF(OR(G182="",C182=""),"",IF(C182&lt;=0,"",IFERROR(G182/C182-1,"")))</f>
        <v/>
      </c>
      <c r="H183" s="15">
        <f>IF(OR(H182="",D182=""),"",IF(D182&lt;=0,"",IFERROR(H182/D182-1,"")))</f>
        <v/>
      </c>
      <c r="I183" s="15">
        <f>IF(OR(I182="",E182=""),"",IF(E182&lt;=0,"",IFERROR(I182/E182-1,"")))</f>
        <v/>
      </c>
      <c r="J183" s="15">
        <f>IF(OR(J182="",F182=""),"",IF(F182&lt;=0,"",IFERROR(J182/F182-1,"")))</f>
        <v/>
      </c>
      <c r="K183" s="15">
        <f>IF(OR(K182="",G182=""),"",IF(G182&lt;=0,"",IFERROR(K182/G182-1,"")))</f>
        <v/>
      </c>
      <c r="L183" s="15">
        <f>IF(OR(L182="",H182=""),"",IF(H182&lt;=0,"",IFERROR(L182/H182-1,"")))</f>
        <v/>
      </c>
      <c r="M183" s="15">
        <f>IF(OR(M182="",I182=""),"",IF(I182&lt;=0,"",IFERROR(M182/I182-1,"")))</f>
        <v/>
      </c>
      <c r="N183" s="15">
        <f>IF(OR(N182="",J182=""),"",IF(J182&lt;=0,"",IFERROR(N182/J182-1,"")))</f>
        <v/>
      </c>
      <c r="V183" s="15">
        <f>IF(OR(V182="",U182=""),"",IF(U182&lt;=0,"",IFERROR(V182/U182-1,"")))</f>
        <v/>
      </c>
      <c r="W183" s="15">
        <f>IF(OR(W182="",V182=""),"",IF(V182&lt;=0,"",IFERROR(W182/V182-1,"")))</f>
        <v/>
      </c>
      <c r="X183" s="15">
        <f>IF(OR(X182="",W182=""),"",IF(W182&lt;=0,"",IFERROR(X182/W182-1,"")))</f>
        <v/>
      </c>
    </row>
    <row r="184">
      <c r="A184" s="18" t="inlineStr">
        <is>
          <t>부문 · Transactions With Other Segments</t>
        </is>
      </c>
      <c r="C184" s="20" t="n">
        <v>11188</v>
      </c>
      <c r="D184" s="20" t="n">
        <v>11118</v>
      </c>
      <c r="E184" s="20" t="n">
        <v>9099</v>
      </c>
      <c r="F184" s="20" t="n">
        <v>10293</v>
      </c>
      <c r="G184" s="20" t="n">
        <v>10136</v>
      </c>
      <c r="H184" s="20" t="n">
        <v>9861</v>
      </c>
      <c r="I184" s="20" t="n">
        <v>8608</v>
      </c>
      <c r="J184" s="20" t="n">
        <v>8853</v>
      </c>
      <c r="K184" s="20" t="n">
        <v>9889</v>
      </c>
      <c r="L184" s="20" t="n">
        <v>9528</v>
      </c>
      <c r="M184" s="20" t="n">
        <v>8231</v>
      </c>
      <c r="N184" s="20" t="n">
        <v>9848</v>
      </c>
      <c r="V184" s="20" t="n">
        <v>9099</v>
      </c>
      <c r="W184" s="20" t="n">
        <v>8608</v>
      </c>
      <c r="X184" s="20" t="n">
        <v>8231</v>
      </c>
    </row>
    <row r="185">
      <c r="A185" s="18" t="inlineStr">
        <is>
          <t>부문 · Transactions With Other Segments</t>
        </is>
      </c>
      <c r="C185" s="20" t="n">
        <v>57876</v>
      </c>
      <c r="D185" s="20" t="n">
        <v>60312</v>
      </c>
      <c r="E185" s="20" t="n">
        <v>74974</v>
      </c>
      <c r="F185" s="20" t="n">
        <v>62112</v>
      </c>
      <c r="G185" s="20" t="n">
        <v>68252</v>
      </c>
      <c r="H185" s="20" t="n">
        <v>70331</v>
      </c>
      <c r="I185" s="20" t="n">
        <v>81100</v>
      </c>
      <c r="J185" s="20" t="n">
        <v>72004</v>
      </c>
      <c r="K185" s="20" t="n">
        <v>73441</v>
      </c>
      <c r="L185" s="20" t="n">
        <v>76500</v>
      </c>
      <c r="M185" s="20" t="n">
        <v>79455</v>
      </c>
      <c r="N185" s="20" t="n">
        <v>78071</v>
      </c>
      <c r="V185" s="20" t="n">
        <v>74974</v>
      </c>
      <c r="W185" s="20" t="n">
        <v>81100</v>
      </c>
      <c r="X185" s="20" t="n">
        <v>79455</v>
      </c>
    </row>
    <row r="186">
      <c r="A186" s="18" t="inlineStr">
        <is>
          <t>부문 · Transactions With Other Segments</t>
        </is>
      </c>
      <c r="C186" s="20" t="n">
        <v>4345</v>
      </c>
      <c r="D186" s="20" t="n">
        <v>4876</v>
      </c>
      <c r="E186" s="20" t="n">
        <v>5467</v>
      </c>
      <c r="F186" s="20" t="n">
        <v>3661</v>
      </c>
      <c r="G186" s="20" t="n">
        <v>4291</v>
      </c>
      <c r="H186" s="20" t="n">
        <v>4657</v>
      </c>
      <c r="I186" s="20" t="n">
        <v>5068</v>
      </c>
      <c r="J186" s="20" t="n">
        <v>3724</v>
      </c>
      <c r="K186" s="20" t="n">
        <v>3520</v>
      </c>
      <c r="L186" s="20" t="n">
        <v>3906</v>
      </c>
      <c r="M186" s="20" t="n">
        <v>4028</v>
      </c>
      <c r="N186" s="20" t="n">
        <v>3034</v>
      </c>
      <c r="V186" s="20" t="n">
        <v>5467</v>
      </c>
      <c r="W186" s="20" t="n">
        <v>5068</v>
      </c>
      <c r="X186" s="20" t="n">
        <v>4028</v>
      </c>
    </row>
    <row r="187">
      <c r="A187" s="18" t="inlineStr">
        <is>
          <t>부문 · Transactions With Other Segments</t>
        </is>
      </c>
      <c r="C187" s="20" t="n">
        <v>3894</v>
      </c>
      <c r="D187" s="20" t="n">
        <v>3580</v>
      </c>
      <c r="E187" s="20" t="n">
        <v>5476</v>
      </c>
      <c r="F187" s="20" t="n">
        <v>4281</v>
      </c>
      <c r="G187" s="20" t="n">
        <v>4449</v>
      </c>
      <c r="H187" s="20" t="n">
        <v>5042</v>
      </c>
      <c r="I187" s="20" t="n">
        <v>4277</v>
      </c>
      <c r="J187" s="20" t="n">
        <v>4434</v>
      </c>
      <c r="K187" s="20" t="n">
        <v>5019</v>
      </c>
      <c r="L187" s="20" t="n">
        <v>6377</v>
      </c>
      <c r="M187" s="20" t="n">
        <v>5486</v>
      </c>
      <c r="N187" s="20" t="n">
        <v>5613</v>
      </c>
      <c r="V187" s="20" t="n">
        <v>5476</v>
      </c>
      <c r="W187" s="20" t="n">
        <v>4277</v>
      </c>
      <c r="X187" s="20" t="n">
        <v>5486</v>
      </c>
    </row>
    <row r="188">
      <c r="A188" s="18" t="inlineStr">
        <is>
          <t>보고부문 합계 · Transactions With Other Segments</t>
        </is>
      </c>
      <c r="C188" s="20" t="n">
        <v>77303</v>
      </c>
      <c r="D188" s="20" t="n">
        <v>79886</v>
      </c>
      <c r="E188" s="20" t="n">
        <v>95016</v>
      </c>
      <c r="F188" s="20" t="n">
        <v>80347</v>
      </c>
      <c r="G188" s="20" t="n">
        <v>87128</v>
      </c>
      <c r="H188" s="20" t="n">
        <v>89891</v>
      </c>
      <c r="I188" s="20" t="n">
        <v>99053</v>
      </c>
      <c r="J188" s="20" t="n">
        <v>89015</v>
      </c>
      <c r="K188" s="20" t="n">
        <v>91869</v>
      </c>
      <c r="L188" s="20" t="n">
        <v>96311</v>
      </c>
      <c r="M188" s="20" t="n">
        <v>97200</v>
      </c>
      <c r="N188" s="20" t="n">
        <v>96566</v>
      </c>
      <c r="V188" s="20" t="n">
        <v>95016</v>
      </c>
      <c r="W188" s="20" t="n">
        <v>99053</v>
      </c>
      <c r="X188" s="20" t="n">
        <v>97200</v>
      </c>
    </row>
    <row r="189">
      <c r="A189" s="18" t="inlineStr">
        <is>
          <t>부문 · 계</t>
        </is>
      </c>
      <c r="C189" s="20" t="n">
        <v>494595</v>
      </c>
      <c r="D189" s="20" t="n">
        <v>495027</v>
      </c>
      <c r="E189" s="20" t="n">
        <v>461362</v>
      </c>
      <c r="F189" s="20" t="n">
        <v>469592</v>
      </c>
      <c r="G189" s="20" t="n">
        <v>531478</v>
      </c>
      <c r="H189" s="20" t="n">
        <v>550664</v>
      </c>
      <c r="I189" s="20" t="n">
        <v>507045</v>
      </c>
      <c r="J189" s="20" t="n">
        <v>496886</v>
      </c>
      <c r="K189" s="20" t="n">
        <v>585058</v>
      </c>
      <c r="L189" s="20" t="n">
        <v>625731</v>
      </c>
      <c r="M189" s="20" t="n">
        <v>605544</v>
      </c>
      <c r="N189" s="20" t="n">
        <v>620828</v>
      </c>
      <c r="V189" s="20" t="n">
        <v>461362</v>
      </c>
      <c r="W189" s="20" t="n">
        <v>507045</v>
      </c>
      <c r="X189" s="20" t="n">
        <v>605544</v>
      </c>
    </row>
    <row r="190">
      <c r="A190" s="43" t="inlineStr">
        <is>
          <t>YoY</t>
        </is>
      </c>
      <c r="B190" s="3" t="inlineStr">
        <is>
          <t>전년 같은 분기·전년 대비</t>
        </is>
      </c>
      <c r="G190" s="15">
        <f>IF(OR(G189="",C189=""),"",IF(C189&lt;=0,"",IFERROR(G189/C189-1,"")))</f>
        <v/>
      </c>
      <c r="H190" s="15">
        <f>IF(OR(H189="",D189=""),"",IF(D189&lt;=0,"",IFERROR(H189/D189-1,"")))</f>
        <v/>
      </c>
      <c r="I190" s="15">
        <f>IF(OR(I189="",E189=""),"",IF(E189&lt;=0,"",IFERROR(I189/E189-1,"")))</f>
        <v/>
      </c>
      <c r="J190" s="15">
        <f>IF(OR(J189="",F189=""),"",IF(F189&lt;=0,"",IFERROR(J189/F189-1,"")))</f>
        <v/>
      </c>
      <c r="K190" s="15">
        <f>IF(OR(K189="",G189=""),"",IF(G189&lt;=0,"",IFERROR(K189/G189-1,"")))</f>
        <v/>
      </c>
      <c r="L190" s="15">
        <f>IF(OR(L189="",H189=""),"",IF(H189&lt;=0,"",IFERROR(L189/H189-1,"")))</f>
        <v/>
      </c>
      <c r="M190" s="15">
        <f>IF(OR(M189="",I189=""),"",IF(I189&lt;=0,"",IFERROR(M189/I189-1,"")))</f>
        <v/>
      </c>
      <c r="N190" s="15">
        <f>IF(OR(N189="",J189=""),"",IF(J189&lt;=0,"",IFERROR(N189/J189-1,"")))</f>
        <v/>
      </c>
      <c r="V190" s="15">
        <f>IF(OR(V189="",U189=""),"",IF(U189&lt;=0,"",IFERROR(V189/U189-1,"")))</f>
        <v/>
      </c>
      <c r="W190" s="15">
        <f>IF(OR(W189="",V189=""),"",IF(V189&lt;=0,"",IFERROR(W189/V189-1,"")))</f>
        <v/>
      </c>
      <c r="X190" s="15">
        <f>IF(OR(X189="",W189=""),"",IF(W189&lt;=0,"",IFERROR(X189/W189-1,"")))</f>
        <v/>
      </c>
    </row>
    <row r="191">
      <c r="A191" s="18" t="inlineStr">
        <is>
          <t>부문 · 계</t>
        </is>
      </c>
      <c r="C191" s="20" t="n">
        <v>68977</v>
      </c>
      <c r="D191" s="20" t="n">
        <v>72719</v>
      </c>
      <c r="E191" s="20" t="n">
        <v>89608</v>
      </c>
      <c r="F191" s="20" t="n">
        <v>75068</v>
      </c>
      <c r="G191" s="20" t="n">
        <v>82290</v>
      </c>
      <c r="H191" s="20" t="n">
        <v>85873</v>
      </c>
      <c r="I191" s="20" t="n">
        <v>94039</v>
      </c>
      <c r="J191" s="20" t="n">
        <v>86265</v>
      </c>
      <c r="K191" s="20" t="n">
        <v>87603</v>
      </c>
      <c r="L191" s="20" t="n">
        <v>91877</v>
      </c>
      <c r="M191" s="20" t="n">
        <v>95874</v>
      </c>
      <c r="N191" s="20" t="n">
        <v>92651</v>
      </c>
      <c r="V191" s="20" t="n">
        <v>89608</v>
      </c>
      <c r="W191" s="20" t="n">
        <v>94039</v>
      </c>
      <c r="X191" s="20" t="n">
        <v>95874</v>
      </c>
    </row>
    <row r="192">
      <c r="A192" s="43" t="inlineStr">
        <is>
          <t>YoY</t>
        </is>
      </c>
      <c r="B192" s="3" t="inlineStr">
        <is>
          <t>전년 같은 분기·전년 대비</t>
        </is>
      </c>
      <c r="G192" s="15">
        <f>IF(OR(G191="",C191=""),"",IF(C191&lt;=0,"",IFERROR(G191/C191-1,"")))</f>
        <v/>
      </c>
      <c r="H192" s="15">
        <f>IF(OR(H191="",D191=""),"",IF(D191&lt;=0,"",IFERROR(H191/D191-1,"")))</f>
        <v/>
      </c>
      <c r="I192" s="15">
        <f>IF(OR(I191="",E191=""),"",IF(E191&lt;=0,"",IFERROR(I191/E191-1,"")))</f>
        <v/>
      </c>
      <c r="J192" s="15">
        <f>IF(OR(J191="",F191=""),"",IF(F191&lt;=0,"",IFERROR(J191/F191-1,"")))</f>
        <v/>
      </c>
      <c r="K192" s="15">
        <f>IF(OR(K191="",G191=""),"",IF(G191&lt;=0,"",IFERROR(K191/G191-1,"")))</f>
        <v/>
      </c>
      <c r="L192" s="15">
        <f>IF(OR(L191="",H191=""),"",IF(H191&lt;=0,"",IFERROR(L191/H191-1,"")))</f>
        <v/>
      </c>
      <c r="M192" s="15">
        <f>IF(OR(M191="",I191=""),"",IF(I191&lt;=0,"",IFERROR(M191/I191-1,"")))</f>
        <v/>
      </c>
      <c r="N192" s="15">
        <f>IF(OR(N191="",J191=""),"",IF(J191&lt;=0,"",IFERROR(N191/J191-1,"")))</f>
        <v/>
      </c>
      <c r="V192" s="15">
        <f>IF(OR(V191="",U191=""),"",IF(U191&lt;=0,"",IFERROR(V191/U191-1,"")))</f>
        <v/>
      </c>
      <c r="W192" s="15">
        <f>IF(OR(W191="",V191=""),"",IF(V191&lt;=0,"",IFERROR(W191/V191-1,"")))</f>
        <v/>
      </c>
      <c r="X192" s="15">
        <f>IF(OR(X191="",W191=""),"",IF(W191&lt;=0,"",IFERROR(X191/W191-1,"")))</f>
        <v/>
      </c>
    </row>
    <row r="193">
      <c r="A193" s="18" t="inlineStr">
        <is>
          <t>부문 · 계</t>
        </is>
      </c>
      <c r="C193" s="20" t="n">
        <v>21795</v>
      </c>
      <c r="D193" s="20" t="n">
        <v>19688</v>
      </c>
      <c r="E193" s="20" t="n">
        <v>19333</v>
      </c>
      <c r="F193" s="20" t="n">
        <v>16696</v>
      </c>
      <c r="G193" s="20" t="n">
        <v>19941</v>
      </c>
      <c r="H193" s="20" t="n">
        <v>18317</v>
      </c>
      <c r="I193" s="20" t="n">
        <v>18617</v>
      </c>
      <c r="J193" s="20" t="n">
        <v>15364</v>
      </c>
      <c r="K193" s="20" t="n">
        <v>18456</v>
      </c>
      <c r="L193" s="20" t="n">
        <v>16140</v>
      </c>
      <c r="M193" s="20" t="n">
        <v>15372</v>
      </c>
      <c r="N193" s="20" t="n">
        <v>13930</v>
      </c>
      <c r="V193" s="20" t="n">
        <v>19333</v>
      </c>
      <c r="W193" s="20" t="n">
        <v>18617</v>
      </c>
      <c r="X193" s="20" t="n">
        <v>15372</v>
      </c>
    </row>
    <row r="194">
      <c r="A194" s="43" t="inlineStr">
        <is>
          <t>YoY</t>
        </is>
      </c>
      <c r="B194" s="3" t="inlineStr">
        <is>
          <t>전년 같은 분기·전년 대비</t>
        </is>
      </c>
      <c r="G194" s="15">
        <f>IF(OR(G193="",C193=""),"",IF(C193&lt;=0,"",IFERROR(G193/C193-1,"")))</f>
        <v/>
      </c>
      <c r="H194" s="15">
        <f>IF(OR(H193="",D193=""),"",IF(D193&lt;=0,"",IFERROR(H193/D193-1,"")))</f>
        <v/>
      </c>
      <c r="I194" s="15">
        <f>IF(OR(I193="",E193=""),"",IF(E193&lt;=0,"",IFERROR(I193/E193-1,"")))</f>
        <v/>
      </c>
      <c r="J194" s="15">
        <f>IF(OR(J193="",F193=""),"",IF(F193&lt;=0,"",IFERROR(J193/F193-1,"")))</f>
        <v/>
      </c>
      <c r="K194" s="15">
        <f>IF(OR(K193="",G193=""),"",IF(G193&lt;=0,"",IFERROR(K193/G193-1,"")))</f>
        <v/>
      </c>
      <c r="L194" s="15">
        <f>IF(OR(L193="",H193=""),"",IF(H193&lt;=0,"",IFERROR(L193/H193-1,"")))</f>
        <v/>
      </c>
      <c r="M194" s="15">
        <f>IF(OR(M193="",I193=""),"",IF(I193&lt;=0,"",IFERROR(M193/I193-1,"")))</f>
        <v/>
      </c>
      <c r="N194" s="15">
        <f>IF(OR(N193="",J193=""),"",IF(J193&lt;=0,"",IFERROR(N193/J193-1,"")))</f>
        <v/>
      </c>
      <c r="V194" s="15">
        <f>IF(OR(V193="",U193=""),"",IF(U193&lt;=0,"",IFERROR(V193/U193-1,"")))</f>
        <v/>
      </c>
      <c r="W194" s="15">
        <f>IF(OR(W193="",V193=""),"",IF(V193&lt;=0,"",IFERROR(W193/V193-1,"")))</f>
        <v/>
      </c>
      <c r="X194" s="15">
        <f>IF(OR(X193="",W193=""),"",IF(W193&lt;=0,"",IFERROR(X193/W193-1,"")))</f>
        <v/>
      </c>
    </row>
    <row r="195">
      <c r="A195" s="18" t="inlineStr">
        <is>
          <t>부문 · 계</t>
        </is>
      </c>
      <c r="C195" s="20" t="n">
        <v>29828</v>
      </c>
      <c r="D195" s="20" t="n">
        <v>29385</v>
      </c>
      <c r="E195" s="20" t="n">
        <v>31182</v>
      </c>
      <c r="F195" s="20" t="n">
        <v>31804</v>
      </c>
      <c r="G195" s="20" t="n">
        <v>32360</v>
      </c>
      <c r="H195" s="20" t="n">
        <v>33376</v>
      </c>
      <c r="I195" s="20" t="n">
        <v>32459</v>
      </c>
      <c r="J195" s="20" t="n">
        <v>34720</v>
      </c>
      <c r="K195" s="20" t="n">
        <v>38251</v>
      </c>
      <c r="L195" s="20" t="n">
        <v>44449</v>
      </c>
      <c r="M195" s="20" t="n">
        <v>36829</v>
      </c>
      <c r="N195" s="20" t="n">
        <v>37462</v>
      </c>
      <c r="V195" s="20" t="n">
        <v>31182</v>
      </c>
      <c r="W195" s="20" t="n">
        <v>32459</v>
      </c>
      <c r="X195" s="20" t="n">
        <v>36829</v>
      </c>
    </row>
    <row r="196">
      <c r="A196" s="43" t="inlineStr">
        <is>
          <t>YoY</t>
        </is>
      </c>
      <c r="B196" s="3" t="inlineStr">
        <is>
          <t>전년 같은 분기·전년 대비</t>
        </is>
      </c>
      <c r="G196" s="15">
        <f>IF(OR(G195="",C195=""),"",IF(C195&lt;=0,"",IFERROR(G195/C195-1,"")))</f>
        <v/>
      </c>
      <c r="H196" s="15">
        <f>IF(OR(H195="",D195=""),"",IF(D195&lt;=0,"",IFERROR(H195/D195-1,"")))</f>
        <v/>
      </c>
      <c r="I196" s="15">
        <f>IF(OR(I195="",E195=""),"",IF(E195&lt;=0,"",IFERROR(I195/E195-1,"")))</f>
        <v/>
      </c>
      <c r="J196" s="15">
        <f>IF(OR(J195="",F195=""),"",IF(F195&lt;=0,"",IFERROR(J195/F195-1,"")))</f>
        <v/>
      </c>
      <c r="K196" s="15">
        <f>IF(OR(K195="",G195=""),"",IF(G195&lt;=0,"",IFERROR(K195/G195-1,"")))</f>
        <v/>
      </c>
      <c r="L196" s="15">
        <f>IF(OR(L195="",H195=""),"",IF(H195&lt;=0,"",IFERROR(L195/H195-1,"")))</f>
        <v/>
      </c>
      <c r="M196" s="15">
        <f>IF(OR(M195="",I195=""),"",IF(I195&lt;=0,"",IFERROR(M195/I195-1,"")))</f>
        <v/>
      </c>
      <c r="N196" s="15">
        <f>IF(OR(N195="",J195=""),"",IF(J195&lt;=0,"",IFERROR(N195/J195-1,"")))</f>
        <v/>
      </c>
      <c r="V196" s="15">
        <f>IF(OR(V195="",U195=""),"",IF(U195&lt;=0,"",IFERROR(V195/U195-1,"")))</f>
        <v/>
      </c>
      <c r="W196" s="15">
        <f>IF(OR(W195="",V195=""),"",IF(V195&lt;=0,"",IFERROR(W195/V195-1,"")))</f>
        <v/>
      </c>
      <c r="X196" s="15">
        <f>IF(OR(X195="",W195=""),"",IF(W195&lt;=0,"",IFERROR(X195/W195-1,"")))</f>
        <v/>
      </c>
    </row>
    <row r="197">
      <c r="A197" s="18" t="inlineStr">
        <is>
          <t>보고부문 합계 · 계</t>
        </is>
      </c>
      <c r="C197" s="20" t="n">
        <v>615195</v>
      </c>
      <c r="D197" s="20" t="n">
        <v>616819</v>
      </c>
      <c r="E197" s="20" t="n">
        <v>601485</v>
      </c>
      <c r="F197" s="20" t="n">
        <v>593160</v>
      </c>
      <c r="G197" s="20" t="n">
        <v>666069</v>
      </c>
      <c r="H197" s="20" t="n">
        <v>688230</v>
      </c>
      <c r="I197" s="20" t="n">
        <v>652160</v>
      </c>
      <c r="J197" s="20" t="n">
        <v>633235</v>
      </c>
      <c r="K197" s="20" t="n">
        <v>729368</v>
      </c>
      <c r="L197" s="20" t="n">
        <v>778197</v>
      </c>
      <c r="M197" s="20" t="n">
        <v>753619</v>
      </c>
      <c r="N197" s="20" t="n">
        <v>764871</v>
      </c>
      <c r="V197" s="20" t="n">
        <v>601485</v>
      </c>
      <c r="W197" s="20" t="n">
        <v>652160</v>
      </c>
      <c r="X197" s="20" t="n">
        <v>753619</v>
      </c>
    </row>
    <row r="198">
      <c r="A198" s="43" t="inlineStr">
        <is>
          <t>YoY</t>
        </is>
      </c>
      <c r="B198" s="3" t="inlineStr">
        <is>
          <t>전년 같은 분기·전년 대비</t>
        </is>
      </c>
      <c r="G198" s="15">
        <f>IF(OR(G197="",C197=""),"",IF(C197&lt;=0,"",IFERROR(G197/C197-1,"")))</f>
        <v/>
      </c>
      <c r="H198" s="15">
        <f>IF(OR(H197="",D197=""),"",IF(D197&lt;=0,"",IFERROR(H197/D197-1,"")))</f>
        <v/>
      </c>
      <c r="I198" s="15">
        <f>IF(OR(I197="",E197=""),"",IF(E197&lt;=0,"",IFERROR(I197/E197-1,"")))</f>
        <v/>
      </c>
      <c r="J198" s="15">
        <f>IF(OR(J197="",F197=""),"",IF(F197&lt;=0,"",IFERROR(J197/F197-1,"")))</f>
        <v/>
      </c>
      <c r="K198" s="15">
        <f>IF(OR(K197="",G197=""),"",IF(G197&lt;=0,"",IFERROR(K197/G197-1,"")))</f>
        <v/>
      </c>
      <c r="L198" s="15">
        <f>IF(OR(L197="",H197=""),"",IF(H197&lt;=0,"",IFERROR(L197/H197-1,"")))</f>
        <v/>
      </c>
      <c r="M198" s="15">
        <f>IF(OR(M197="",I197=""),"",IF(I197&lt;=0,"",IFERROR(M197/I197-1,"")))</f>
        <v/>
      </c>
      <c r="N198" s="15">
        <f>IF(OR(N197="",J197=""),"",IF(J197&lt;=0,"",IFERROR(N197/J197-1,"")))</f>
        <v/>
      </c>
      <c r="V198" s="15">
        <f>IF(OR(V197="",U197=""),"",IF(U197&lt;=0,"",IFERROR(V197/U197-1,"")))</f>
        <v/>
      </c>
      <c r="W198" s="15">
        <f>IF(OR(W197="",V197=""),"",IF(V197&lt;=0,"",IFERROR(W197/V197-1,"")))</f>
        <v/>
      </c>
      <c r="X198" s="15">
        <f>IF(OR(X197="",W197=""),"",IF(W197&lt;=0,"",IFERROR(X197/W197-1,"")))</f>
        <v/>
      </c>
    </row>
    <row r="199">
      <c r="A199" s="18" t="inlineStr">
        <is>
          <t>부문 · 부문 이익(손실)</t>
        </is>
      </c>
      <c r="C199" s="20" t="n">
        <v>85397</v>
      </c>
      <c r="D199" s="20" t="n">
        <v>75838</v>
      </c>
      <c r="E199" s="20" t="n">
        <v>4358</v>
      </c>
      <c r="F199" s="20" t="n">
        <v>33167</v>
      </c>
      <c r="G199" s="20" t="n">
        <v>76133</v>
      </c>
      <c r="H199" s="20" t="n">
        <v>62128</v>
      </c>
      <c r="I199" s="20" t="n">
        <v>27688</v>
      </c>
      <c r="J199" s="20" t="n">
        <v>35412</v>
      </c>
      <c r="K199" s="20" t="n">
        <v>59805</v>
      </c>
      <c r="L199" s="20" t="n">
        <v>78671</v>
      </c>
      <c r="M199" s="20" t="n">
        <v>48032</v>
      </c>
      <c r="N199" s="20" t="n">
        <v>18149</v>
      </c>
      <c r="V199" s="20" t="n">
        <v>4358</v>
      </c>
      <c r="W199" s="20" t="n">
        <v>27688</v>
      </c>
      <c r="X199" s="20" t="n">
        <v>48032</v>
      </c>
    </row>
    <row r="200">
      <c r="A200" s="43" t="inlineStr">
        <is>
          <t>OPM</t>
        </is>
      </c>
      <c r="B200" s="3" t="inlineStr">
        <is>
          <t>영업이익 ÷ 매출</t>
        </is>
      </c>
      <c r="C200" s="15">
        <f>IF(OR(C199="",C189=""),"",IF(C189&lt;=0,"",IFERROR(C199/C189,"")))</f>
        <v/>
      </c>
      <c r="D200" s="15">
        <f>IF(OR(D199="",D189=""),"",IF(D189&lt;=0,"",IFERROR(D199/D189,"")))</f>
        <v/>
      </c>
      <c r="E200" s="15">
        <f>IF(OR(E199="",E189=""),"",IF(E189&lt;=0,"",IFERROR(E199/E189,"")))</f>
        <v/>
      </c>
      <c r="F200" s="15">
        <f>IF(OR(F199="",F189=""),"",IF(F189&lt;=0,"",IFERROR(F199/F189,"")))</f>
        <v/>
      </c>
      <c r="G200" s="15">
        <f>IF(OR(G199="",G189=""),"",IF(G189&lt;=0,"",IFERROR(G199/G189,"")))</f>
        <v/>
      </c>
      <c r="H200" s="15">
        <f>IF(OR(H199="",H189=""),"",IF(H189&lt;=0,"",IFERROR(H199/H189,"")))</f>
        <v/>
      </c>
      <c r="I200" s="15">
        <f>IF(OR(I199="",I189=""),"",IF(I189&lt;=0,"",IFERROR(I199/I189,"")))</f>
        <v/>
      </c>
      <c r="J200" s="15">
        <f>IF(OR(J199="",J189=""),"",IF(J189&lt;=0,"",IFERROR(J199/J189,"")))</f>
        <v/>
      </c>
      <c r="K200" s="15">
        <f>IF(OR(K199="",K189=""),"",IF(K189&lt;=0,"",IFERROR(K199/K189,"")))</f>
        <v/>
      </c>
      <c r="L200" s="15">
        <f>IF(OR(L199="",L189=""),"",IF(L189&lt;=0,"",IFERROR(L199/L189,"")))</f>
        <v/>
      </c>
      <c r="M200" s="15">
        <f>IF(OR(M199="",M189=""),"",IF(M189&lt;=0,"",IFERROR(M199/M189,"")))</f>
        <v/>
      </c>
      <c r="N200" s="15">
        <f>IF(OR(N199="",N189=""),"",IF(N189&lt;=0,"",IFERROR(N199/N189,"")))</f>
        <v/>
      </c>
      <c r="V200" s="15">
        <f>IF(OR(V199="",V189=""),"",IF(V189&lt;=0,"",IFERROR(V199/V189,"")))</f>
        <v/>
      </c>
      <c r="W200" s="15">
        <f>IF(OR(W199="",W189=""),"",IF(W189&lt;=0,"",IFERROR(W199/W189,"")))</f>
        <v/>
      </c>
      <c r="X200" s="15">
        <f>IF(OR(X199="",X189=""),"",IF(X189&lt;=0,"",IFERROR(X199/X189,"")))</f>
        <v/>
      </c>
    </row>
    <row r="201">
      <c r="A201" s="43" t="inlineStr">
        <is>
          <t>YoY</t>
        </is>
      </c>
      <c r="B201" s="3" t="inlineStr">
        <is>
          <t>전년 같은 분기·전년 대비</t>
        </is>
      </c>
      <c r="G201" s="15">
        <f>IF(OR(G199="",C199=""),"",IF(C199&lt;=0,"",IFERROR(G199/C199-1,"")))</f>
        <v/>
      </c>
      <c r="H201" s="15">
        <f>IF(OR(H199="",D199=""),"",IF(D199&lt;=0,"",IFERROR(H199/D199-1,"")))</f>
        <v/>
      </c>
      <c r="I201" s="15">
        <f>IF(OR(I199="",E199=""),"",IF(E199&lt;=0,"",IFERROR(I199/E199-1,"")))</f>
        <v/>
      </c>
      <c r="J201" s="15">
        <f>IF(OR(J199="",F199=""),"",IF(F199&lt;=0,"",IFERROR(J199/F199-1,"")))</f>
        <v/>
      </c>
      <c r="K201" s="15">
        <f>IF(OR(K199="",G199=""),"",IF(G199&lt;=0,"",IFERROR(K199/G199-1,"")))</f>
        <v/>
      </c>
      <c r="L201" s="15">
        <f>IF(OR(L199="",H199=""),"",IF(H199&lt;=0,"",IFERROR(L199/H199-1,"")))</f>
        <v/>
      </c>
      <c r="M201" s="15">
        <f>IF(OR(M199="",I199=""),"",IF(I199&lt;=0,"",IFERROR(M199/I199-1,"")))</f>
        <v/>
      </c>
      <c r="N201" s="15">
        <f>IF(OR(N199="",J199=""),"",IF(J199&lt;=0,"",IFERROR(N199/J199-1,"")))</f>
        <v/>
      </c>
      <c r="V201" s="15">
        <f>IF(OR(V199="",U199=""),"",IF(U199&lt;=0,"",IFERROR(V199/U199-1,"")))</f>
        <v/>
      </c>
      <c r="W201" s="15">
        <f>IF(OR(W199="",V199=""),"",IF(V199&lt;=0,"",IFERROR(W199/V199-1,"")))</f>
        <v/>
      </c>
      <c r="X201" s="15">
        <f>IF(OR(X199="",W199=""),"",IF(W199&lt;=0,"",IFERROR(X199/W199-1,"")))</f>
        <v/>
      </c>
    </row>
    <row r="202">
      <c r="A202" s="18" t="inlineStr">
        <is>
          <t>부문 · 부문 이익(손실)</t>
        </is>
      </c>
      <c r="C202" s="20" t="n">
        <v>1203</v>
      </c>
      <c r="D202" s="20" t="n">
        <v>5289</v>
      </c>
      <c r="E202" s="20" t="n">
        <v>-2886</v>
      </c>
      <c r="F202" s="20" t="n">
        <v>-78</v>
      </c>
      <c r="G202" s="20" t="n">
        <v>3139</v>
      </c>
      <c r="H202" s="20" t="n">
        <v>737</v>
      </c>
      <c r="I202" s="20" t="n">
        <v>237</v>
      </c>
      <c r="J202" s="20" t="n">
        <v>3192</v>
      </c>
      <c r="K202" s="20" t="n">
        <v>764</v>
      </c>
      <c r="L202" s="20" t="n">
        <v>5250</v>
      </c>
      <c r="M202" s="20" t="n">
        <v>-7750</v>
      </c>
      <c r="N202" s="20" t="n">
        <v>4925</v>
      </c>
      <c r="V202" s="20" t="n">
        <v>-2886</v>
      </c>
      <c r="W202" s="20" t="n">
        <v>237</v>
      </c>
      <c r="X202" s="20" t="n">
        <v>-7750</v>
      </c>
    </row>
    <row r="203">
      <c r="A203" s="43" t="inlineStr">
        <is>
          <t>OPM</t>
        </is>
      </c>
      <c r="B203" s="3" t="inlineStr">
        <is>
          <t>영업이익 ÷ 매출</t>
        </is>
      </c>
      <c r="C203" s="15">
        <f>IF(OR(C202="",C191=""),"",IF(C191&lt;=0,"",IFERROR(C202/C191,"")))</f>
        <v/>
      </c>
      <c r="D203" s="15">
        <f>IF(OR(D202="",D191=""),"",IF(D191&lt;=0,"",IFERROR(D202/D191,"")))</f>
        <v/>
      </c>
      <c r="E203" s="15">
        <f>IF(OR(E202="",E191=""),"",IF(E191&lt;=0,"",IFERROR(E202/E191,"")))</f>
        <v/>
      </c>
      <c r="F203" s="15">
        <f>IF(OR(F202="",F191=""),"",IF(F191&lt;=0,"",IFERROR(F202/F191,"")))</f>
        <v/>
      </c>
      <c r="G203" s="15">
        <f>IF(OR(G202="",G191=""),"",IF(G191&lt;=0,"",IFERROR(G202/G191,"")))</f>
        <v/>
      </c>
      <c r="H203" s="15">
        <f>IF(OR(H202="",H191=""),"",IF(H191&lt;=0,"",IFERROR(H202/H191,"")))</f>
        <v/>
      </c>
      <c r="I203" s="15">
        <f>IF(OR(I202="",I191=""),"",IF(I191&lt;=0,"",IFERROR(I202/I191,"")))</f>
        <v/>
      </c>
      <c r="J203" s="15">
        <f>IF(OR(J202="",J191=""),"",IF(J191&lt;=0,"",IFERROR(J202/J191,"")))</f>
        <v/>
      </c>
      <c r="K203" s="15">
        <f>IF(OR(K202="",K191=""),"",IF(K191&lt;=0,"",IFERROR(K202/K191,"")))</f>
        <v/>
      </c>
      <c r="L203" s="15">
        <f>IF(OR(L202="",L191=""),"",IF(L191&lt;=0,"",IFERROR(L202/L191,"")))</f>
        <v/>
      </c>
      <c r="M203" s="15">
        <f>IF(OR(M202="",M191=""),"",IF(M191&lt;=0,"",IFERROR(M202/M191,"")))</f>
        <v/>
      </c>
      <c r="N203" s="15">
        <f>IF(OR(N202="",N191=""),"",IF(N191&lt;=0,"",IFERROR(N202/N191,"")))</f>
        <v/>
      </c>
      <c r="V203" s="15">
        <f>IF(OR(V202="",V191=""),"",IF(V191&lt;=0,"",IFERROR(V202/V191,"")))</f>
        <v/>
      </c>
      <c r="W203" s="15">
        <f>IF(OR(W202="",W191=""),"",IF(W191&lt;=0,"",IFERROR(W202/W191,"")))</f>
        <v/>
      </c>
      <c r="X203" s="15">
        <f>IF(OR(X202="",X191=""),"",IF(X191&lt;=0,"",IFERROR(X202/X191,"")))</f>
        <v/>
      </c>
    </row>
    <row r="204">
      <c r="A204" s="43" t="inlineStr">
        <is>
          <t>YoY</t>
        </is>
      </c>
      <c r="B204" s="3" t="inlineStr">
        <is>
          <t>전년 같은 분기·전년 대비</t>
        </is>
      </c>
      <c r="G204" s="15">
        <f>IF(OR(G202="",C202=""),"",IF(C202&lt;=0,"",IFERROR(G202/C202-1,"")))</f>
        <v/>
      </c>
      <c r="H204" s="15">
        <f>IF(OR(H202="",D202=""),"",IF(D202&lt;=0,"",IFERROR(H202/D202-1,"")))</f>
        <v/>
      </c>
      <c r="I204" s="15">
        <f>IF(OR(I202="",E202=""),"",IF(E202&lt;=0,"",IFERROR(I202/E202-1,"")))</f>
        <v/>
      </c>
      <c r="J204" s="15">
        <f>IF(OR(J202="",F202=""),"",IF(F202&lt;=0,"",IFERROR(J202/F202-1,"")))</f>
        <v/>
      </c>
      <c r="K204" s="15">
        <f>IF(OR(K202="",G202=""),"",IF(G202&lt;=0,"",IFERROR(K202/G202-1,"")))</f>
        <v/>
      </c>
      <c r="L204" s="15">
        <f>IF(OR(L202="",H202=""),"",IF(H202&lt;=0,"",IFERROR(L202/H202-1,"")))</f>
        <v/>
      </c>
      <c r="M204" s="15">
        <f>IF(OR(M202="",I202=""),"",IF(I202&lt;=0,"",IFERROR(M202/I202-1,"")))</f>
        <v/>
      </c>
      <c r="N204" s="15">
        <f>IF(OR(N202="",J202=""),"",IF(J202&lt;=0,"",IFERROR(N202/J202-1,"")))</f>
        <v/>
      </c>
      <c r="V204" s="15">
        <f>IF(OR(V202="",U202=""),"",IF(U202&lt;=0,"",IFERROR(V202/U202-1,"")))</f>
        <v/>
      </c>
      <c r="W204" s="15">
        <f>IF(OR(W202="",V202=""),"",IF(V202&lt;=0,"",IFERROR(W202/V202-1,"")))</f>
        <v/>
      </c>
      <c r="X204" s="15">
        <f>IF(OR(X202="",W202=""),"",IF(W202&lt;=0,"",IFERROR(X202/W202-1,"")))</f>
        <v/>
      </c>
    </row>
    <row r="205">
      <c r="A205" s="18" t="inlineStr">
        <is>
          <t>부문 · 부문 이익(손실)</t>
        </is>
      </c>
      <c r="C205" s="20" t="n">
        <v>835</v>
      </c>
      <c r="D205" s="20" t="n">
        <v>307</v>
      </c>
      <c r="E205" s="20" t="n">
        <v>59</v>
      </c>
      <c r="F205" s="20" t="n">
        <v>-716</v>
      </c>
      <c r="G205" s="20" t="n">
        <v>24</v>
      </c>
      <c r="H205" s="20" t="n">
        <v>526</v>
      </c>
      <c r="I205" s="20" t="n">
        <v>359</v>
      </c>
      <c r="J205" s="20" t="n">
        <v>-202</v>
      </c>
      <c r="K205" s="20" t="n">
        <v>491</v>
      </c>
      <c r="L205" s="20" t="n">
        <v>338</v>
      </c>
      <c r="M205" s="20" t="n">
        <v>-773</v>
      </c>
      <c r="N205" s="20" t="n">
        <v>140</v>
      </c>
      <c r="V205" s="20" t="n">
        <v>59</v>
      </c>
      <c r="W205" s="20" t="n">
        <v>359</v>
      </c>
      <c r="X205" s="20" t="n">
        <v>-773</v>
      </c>
    </row>
    <row r="206">
      <c r="A206" s="43" t="inlineStr">
        <is>
          <t>OPM</t>
        </is>
      </c>
      <c r="B206" s="3" t="inlineStr">
        <is>
          <t>영업이익 ÷ 매출</t>
        </is>
      </c>
      <c r="C206" s="15">
        <f>IF(OR(C205="",C193=""),"",IF(C193&lt;=0,"",IFERROR(C205/C193,"")))</f>
        <v/>
      </c>
      <c r="D206" s="15">
        <f>IF(OR(D205="",D193=""),"",IF(D193&lt;=0,"",IFERROR(D205/D193,"")))</f>
        <v/>
      </c>
      <c r="E206" s="15">
        <f>IF(OR(E205="",E193=""),"",IF(E193&lt;=0,"",IFERROR(E205/E193,"")))</f>
        <v/>
      </c>
      <c r="F206" s="15">
        <f>IF(OR(F205="",F193=""),"",IF(F193&lt;=0,"",IFERROR(F205/F193,"")))</f>
        <v/>
      </c>
      <c r="G206" s="15">
        <f>IF(OR(G205="",G193=""),"",IF(G193&lt;=0,"",IFERROR(G205/G193,"")))</f>
        <v/>
      </c>
      <c r="H206" s="15">
        <f>IF(OR(H205="",H193=""),"",IF(H193&lt;=0,"",IFERROR(H205/H193,"")))</f>
        <v/>
      </c>
      <c r="I206" s="15">
        <f>IF(OR(I205="",I193=""),"",IF(I193&lt;=0,"",IFERROR(I205/I193,"")))</f>
        <v/>
      </c>
      <c r="J206" s="15">
        <f>IF(OR(J205="",J193=""),"",IF(J193&lt;=0,"",IFERROR(J205/J193,"")))</f>
        <v/>
      </c>
      <c r="K206" s="15">
        <f>IF(OR(K205="",K193=""),"",IF(K193&lt;=0,"",IFERROR(K205/K193,"")))</f>
        <v/>
      </c>
      <c r="L206" s="15">
        <f>IF(OR(L205="",L193=""),"",IF(L193&lt;=0,"",IFERROR(L205/L193,"")))</f>
        <v/>
      </c>
      <c r="M206" s="15">
        <f>IF(OR(M205="",M193=""),"",IF(M193&lt;=0,"",IFERROR(M205/M193,"")))</f>
        <v/>
      </c>
      <c r="N206" s="15">
        <f>IF(OR(N205="",N193=""),"",IF(N193&lt;=0,"",IFERROR(N205/N193,"")))</f>
        <v/>
      </c>
      <c r="V206" s="15">
        <f>IF(OR(V205="",V193=""),"",IF(V193&lt;=0,"",IFERROR(V205/V193,"")))</f>
        <v/>
      </c>
      <c r="W206" s="15">
        <f>IF(OR(W205="",W193=""),"",IF(W193&lt;=0,"",IFERROR(W205/W193,"")))</f>
        <v/>
      </c>
      <c r="X206" s="15">
        <f>IF(OR(X205="",X193=""),"",IF(X193&lt;=0,"",IFERROR(X205/X193,"")))</f>
        <v/>
      </c>
    </row>
    <row r="207">
      <c r="A207" s="43" t="inlineStr">
        <is>
          <t>YoY</t>
        </is>
      </c>
      <c r="B207" s="3" t="inlineStr">
        <is>
          <t>전년 같은 분기·전년 대비</t>
        </is>
      </c>
      <c r="G207" s="15">
        <f>IF(OR(G205="",C205=""),"",IF(C205&lt;=0,"",IFERROR(G205/C205-1,"")))</f>
        <v/>
      </c>
      <c r="H207" s="15">
        <f>IF(OR(H205="",D205=""),"",IF(D205&lt;=0,"",IFERROR(H205/D205-1,"")))</f>
        <v/>
      </c>
      <c r="I207" s="15">
        <f>IF(OR(I205="",E205=""),"",IF(E205&lt;=0,"",IFERROR(I205/E205-1,"")))</f>
        <v/>
      </c>
      <c r="J207" s="15">
        <f>IF(OR(J205="",F205=""),"",IF(F205&lt;=0,"",IFERROR(J205/F205-1,"")))</f>
        <v/>
      </c>
      <c r="K207" s="15">
        <f>IF(OR(K205="",G205=""),"",IF(G205&lt;=0,"",IFERROR(K205/G205-1,"")))</f>
        <v/>
      </c>
      <c r="L207" s="15">
        <f>IF(OR(L205="",H205=""),"",IF(H205&lt;=0,"",IFERROR(L205/H205-1,"")))</f>
        <v/>
      </c>
      <c r="M207" s="15">
        <f>IF(OR(M205="",I205=""),"",IF(I205&lt;=0,"",IFERROR(M205/I205-1,"")))</f>
        <v/>
      </c>
      <c r="N207" s="15">
        <f>IF(OR(N205="",J205=""),"",IF(J205&lt;=0,"",IFERROR(N205/J205-1,"")))</f>
        <v/>
      </c>
      <c r="V207" s="15">
        <f>IF(OR(V205="",U205=""),"",IF(U205&lt;=0,"",IFERROR(V205/U205-1,"")))</f>
        <v/>
      </c>
      <c r="W207" s="15">
        <f>IF(OR(W205="",V205=""),"",IF(V205&lt;=0,"",IFERROR(W205/V205-1,"")))</f>
        <v/>
      </c>
      <c r="X207" s="15">
        <f>IF(OR(X205="",W205=""),"",IF(W205&lt;=0,"",IFERROR(X205/W205-1,"")))</f>
        <v/>
      </c>
    </row>
    <row r="208">
      <c r="A208" s="18" t="inlineStr">
        <is>
          <t>부문 · 부문 이익(손실)</t>
        </is>
      </c>
      <c r="C208" s="20" t="n">
        <v>1516</v>
      </c>
      <c r="D208" s="20" t="n">
        <v>1568</v>
      </c>
      <c r="E208" s="20" t="n">
        <v>302</v>
      </c>
      <c r="F208" s="20" t="n">
        <v>1312</v>
      </c>
      <c r="G208" s="20" t="n">
        <v>1367</v>
      </c>
      <c r="H208" s="20" t="n">
        <v>1252</v>
      </c>
      <c r="I208" s="20" t="n">
        <v>632</v>
      </c>
      <c r="J208" s="20" t="n">
        <v>1332</v>
      </c>
      <c r="K208" s="20" t="n">
        <v>2253</v>
      </c>
      <c r="L208" s="20" t="n">
        <v>2638</v>
      </c>
      <c r="M208" s="20" t="n">
        <v>1334</v>
      </c>
      <c r="N208" s="20" t="n">
        <v>1068</v>
      </c>
      <c r="V208" s="20" t="n">
        <v>302</v>
      </c>
      <c r="W208" s="20" t="n">
        <v>632</v>
      </c>
      <c r="X208" s="20" t="n">
        <v>1334</v>
      </c>
    </row>
    <row r="209">
      <c r="A209" s="43" t="inlineStr">
        <is>
          <t>OPM</t>
        </is>
      </c>
      <c r="B209" s="3" t="inlineStr">
        <is>
          <t>영업이익 ÷ 매출</t>
        </is>
      </c>
      <c r="C209" s="15">
        <f>IF(OR(C208="",C195=""),"",IF(C195&lt;=0,"",IFERROR(C208/C195,"")))</f>
        <v/>
      </c>
      <c r="D209" s="15">
        <f>IF(OR(D208="",D195=""),"",IF(D195&lt;=0,"",IFERROR(D208/D195,"")))</f>
        <v/>
      </c>
      <c r="E209" s="15">
        <f>IF(OR(E208="",E195=""),"",IF(E195&lt;=0,"",IFERROR(E208/E195,"")))</f>
        <v/>
      </c>
      <c r="F209" s="15">
        <f>IF(OR(F208="",F195=""),"",IF(F195&lt;=0,"",IFERROR(F208/F195,"")))</f>
        <v/>
      </c>
      <c r="G209" s="15">
        <f>IF(OR(G208="",G195=""),"",IF(G195&lt;=0,"",IFERROR(G208/G195,"")))</f>
        <v/>
      </c>
      <c r="H209" s="15">
        <f>IF(OR(H208="",H195=""),"",IF(H195&lt;=0,"",IFERROR(H208/H195,"")))</f>
        <v/>
      </c>
      <c r="I209" s="15">
        <f>IF(OR(I208="",I195=""),"",IF(I195&lt;=0,"",IFERROR(I208/I195,"")))</f>
        <v/>
      </c>
      <c r="J209" s="15">
        <f>IF(OR(J208="",J195=""),"",IF(J195&lt;=0,"",IFERROR(J208/J195,"")))</f>
        <v/>
      </c>
      <c r="K209" s="15">
        <f>IF(OR(K208="",K195=""),"",IF(K195&lt;=0,"",IFERROR(K208/K195,"")))</f>
        <v/>
      </c>
      <c r="L209" s="15">
        <f>IF(OR(L208="",L195=""),"",IF(L195&lt;=0,"",IFERROR(L208/L195,"")))</f>
        <v/>
      </c>
      <c r="M209" s="15">
        <f>IF(OR(M208="",M195=""),"",IF(M195&lt;=0,"",IFERROR(M208/M195,"")))</f>
        <v/>
      </c>
      <c r="N209" s="15">
        <f>IF(OR(N208="",N195=""),"",IF(N195&lt;=0,"",IFERROR(N208/N195,"")))</f>
        <v/>
      </c>
      <c r="V209" s="15">
        <f>IF(OR(V208="",V195=""),"",IF(V195&lt;=0,"",IFERROR(V208/V195,"")))</f>
        <v/>
      </c>
      <c r="W209" s="15">
        <f>IF(OR(W208="",W195=""),"",IF(W195&lt;=0,"",IFERROR(W208/W195,"")))</f>
        <v/>
      </c>
      <c r="X209" s="15">
        <f>IF(OR(X208="",X195=""),"",IF(X195&lt;=0,"",IFERROR(X208/X195,"")))</f>
        <v/>
      </c>
    </row>
    <row r="210">
      <c r="A210" s="43" t="inlineStr">
        <is>
          <t>YoY</t>
        </is>
      </c>
      <c r="B210" s="3" t="inlineStr">
        <is>
          <t>전년 같은 분기·전년 대비</t>
        </is>
      </c>
      <c r="G210" s="15">
        <f>IF(OR(G208="",C208=""),"",IF(C208&lt;=0,"",IFERROR(G208/C208-1,"")))</f>
        <v/>
      </c>
      <c r="H210" s="15">
        <f>IF(OR(H208="",D208=""),"",IF(D208&lt;=0,"",IFERROR(H208/D208-1,"")))</f>
        <v/>
      </c>
      <c r="I210" s="15">
        <f>IF(OR(I208="",E208=""),"",IF(E208&lt;=0,"",IFERROR(I208/E208-1,"")))</f>
        <v/>
      </c>
      <c r="J210" s="15">
        <f>IF(OR(J208="",F208=""),"",IF(F208&lt;=0,"",IFERROR(J208/F208-1,"")))</f>
        <v/>
      </c>
      <c r="K210" s="15">
        <f>IF(OR(K208="",G208=""),"",IF(G208&lt;=0,"",IFERROR(K208/G208-1,"")))</f>
        <v/>
      </c>
      <c r="L210" s="15">
        <f>IF(OR(L208="",H208=""),"",IF(H208&lt;=0,"",IFERROR(L208/H208-1,"")))</f>
        <v/>
      </c>
      <c r="M210" s="15">
        <f>IF(OR(M208="",I208=""),"",IF(I208&lt;=0,"",IFERROR(M208/I208-1,"")))</f>
        <v/>
      </c>
      <c r="N210" s="15">
        <f>IF(OR(N208="",J208=""),"",IF(J208&lt;=0,"",IFERROR(N208/J208-1,"")))</f>
        <v/>
      </c>
      <c r="V210" s="15">
        <f>IF(OR(V208="",U208=""),"",IF(U208&lt;=0,"",IFERROR(V208/U208-1,"")))</f>
        <v/>
      </c>
      <c r="W210" s="15">
        <f>IF(OR(W208="",V208=""),"",IF(V208&lt;=0,"",IFERROR(W208/V208-1,"")))</f>
        <v/>
      </c>
      <c r="X210" s="15">
        <f>IF(OR(X208="",W208=""),"",IF(W208&lt;=0,"",IFERROR(X208/W208-1,"")))</f>
        <v/>
      </c>
    </row>
    <row r="211">
      <c r="A211" s="18" t="inlineStr">
        <is>
          <t>보고부문 합계 · 부문 이익(손실)</t>
        </is>
      </c>
      <c r="C211" s="20" t="n">
        <v>88951</v>
      </c>
      <c r="D211" s="20" t="n">
        <v>83002</v>
      </c>
      <c r="E211" s="20" t="n">
        <v>1833</v>
      </c>
      <c r="F211" s="20" t="n">
        <v>33685</v>
      </c>
      <c r="G211" s="20" t="n">
        <v>80663</v>
      </c>
      <c r="H211" s="20" t="n">
        <v>64643</v>
      </c>
      <c r="I211" s="20" t="n">
        <v>28916</v>
      </c>
      <c r="J211" s="20" t="n">
        <v>39734</v>
      </c>
      <c r="K211" s="20" t="n">
        <v>63313</v>
      </c>
      <c r="L211" s="20" t="n">
        <v>86897</v>
      </c>
      <c r="M211" s="20" t="n">
        <v>40843</v>
      </c>
      <c r="N211" s="20" t="n">
        <v>24282</v>
      </c>
      <c r="V211" s="20" t="n">
        <v>1833</v>
      </c>
      <c r="W211" s="20" t="n">
        <v>28916</v>
      </c>
      <c r="X211" s="20" t="n">
        <v>40843</v>
      </c>
    </row>
    <row r="212">
      <c r="A212" s="43" t="inlineStr">
        <is>
          <t>OPM</t>
        </is>
      </c>
      <c r="B212" s="3" t="inlineStr">
        <is>
          <t>영업이익 ÷ 매출</t>
        </is>
      </c>
      <c r="C212" s="15">
        <f>IF(OR(C211="",C197=""),"",IF(C197&lt;=0,"",IFERROR(C211/C197,"")))</f>
        <v/>
      </c>
      <c r="D212" s="15">
        <f>IF(OR(D211="",D197=""),"",IF(D197&lt;=0,"",IFERROR(D211/D197,"")))</f>
        <v/>
      </c>
      <c r="E212" s="15">
        <f>IF(OR(E211="",E197=""),"",IF(E197&lt;=0,"",IFERROR(E211/E197,"")))</f>
        <v/>
      </c>
      <c r="F212" s="15">
        <f>IF(OR(F211="",F197=""),"",IF(F197&lt;=0,"",IFERROR(F211/F197,"")))</f>
        <v/>
      </c>
      <c r="G212" s="15">
        <f>IF(OR(G211="",G197=""),"",IF(G197&lt;=0,"",IFERROR(G211/G197,"")))</f>
        <v/>
      </c>
      <c r="H212" s="15">
        <f>IF(OR(H211="",H197=""),"",IF(H197&lt;=0,"",IFERROR(H211/H197,"")))</f>
        <v/>
      </c>
      <c r="I212" s="15">
        <f>IF(OR(I211="",I197=""),"",IF(I197&lt;=0,"",IFERROR(I211/I197,"")))</f>
        <v/>
      </c>
      <c r="J212" s="15">
        <f>IF(OR(J211="",J197=""),"",IF(J197&lt;=0,"",IFERROR(J211/J197,"")))</f>
        <v/>
      </c>
      <c r="K212" s="15">
        <f>IF(OR(K211="",K197=""),"",IF(K197&lt;=0,"",IFERROR(K211/K197,"")))</f>
        <v/>
      </c>
      <c r="L212" s="15">
        <f>IF(OR(L211="",L197=""),"",IF(L197&lt;=0,"",IFERROR(L211/L197,"")))</f>
        <v/>
      </c>
      <c r="M212" s="15">
        <f>IF(OR(M211="",M197=""),"",IF(M197&lt;=0,"",IFERROR(M211/M197,"")))</f>
        <v/>
      </c>
      <c r="N212" s="15">
        <f>IF(OR(N211="",N197=""),"",IF(N197&lt;=0,"",IFERROR(N211/N197,"")))</f>
        <v/>
      </c>
      <c r="V212" s="15">
        <f>IF(OR(V211="",V197=""),"",IF(V197&lt;=0,"",IFERROR(V211/V197,"")))</f>
        <v/>
      </c>
      <c r="W212" s="15">
        <f>IF(OR(W211="",W197=""),"",IF(W197&lt;=0,"",IFERROR(W211/W197,"")))</f>
        <v/>
      </c>
      <c r="X212" s="15">
        <f>IF(OR(X211="",X197=""),"",IF(X197&lt;=0,"",IFERROR(X211/X197,"")))</f>
        <v/>
      </c>
    </row>
    <row r="213">
      <c r="A213" s="43" t="inlineStr">
        <is>
          <t>YoY</t>
        </is>
      </c>
      <c r="B213" s="3" t="inlineStr">
        <is>
          <t>전년 같은 분기·전년 대비</t>
        </is>
      </c>
      <c r="G213" s="15">
        <f>IF(OR(G211="",C211=""),"",IF(C211&lt;=0,"",IFERROR(G211/C211-1,"")))</f>
        <v/>
      </c>
      <c r="H213" s="15">
        <f>IF(OR(H211="",D211=""),"",IF(D211&lt;=0,"",IFERROR(H211/D211-1,"")))</f>
        <v/>
      </c>
      <c r="I213" s="15">
        <f>IF(OR(I211="",E211=""),"",IF(E211&lt;=0,"",IFERROR(I211/E211-1,"")))</f>
        <v/>
      </c>
      <c r="J213" s="15">
        <f>IF(OR(J211="",F211=""),"",IF(F211&lt;=0,"",IFERROR(J211/F211-1,"")))</f>
        <v/>
      </c>
      <c r="K213" s="15">
        <f>IF(OR(K211="",G211=""),"",IF(G211&lt;=0,"",IFERROR(K211/G211-1,"")))</f>
        <v/>
      </c>
      <c r="L213" s="15">
        <f>IF(OR(L211="",H211=""),"",IF(H211&lt;=0,"",IFERROR(L211/H211-1,"")))</f>
        <v/>
      </c>
      <c r="M213" s="15">
        <f>IF(OR(M211="",I211=""),"",IF(I211&lt;=0,"",IFERROR(M211/I211-1,"")))</f>
        <v/>
      </c>
      <c r="N213" s="15">
        <f>IF(OR(N211="",J211=""),"",IF(J211&lt;=0,"",IFERROR(N211/J211-1,"")))</f>
        <v/>
      </c>
      <c r="V213" s="15">
        <f>IF(OR(V211="",U211=""),"",IF(U211&lt;=0,"",IFERROR(V211/U211-1,"")))</f>
        <v/>
      </c>
      <c r="W213" s="15">
        <f>IF(OR(W211="",V211=""),"",IF(V211&lt;=0,"",IFERROR(W211/V211-1,"")))</f>
        <v/>
      </c>
      <c r="X213" s="15">
        <f>IF(OR(X211="",W211=""),"",IF(W211&lt;=0,"",IFERROR(X211/W211-1,"")))</f>
        <v/>
      </c>
    </row>
    <row r="214">
      <c r="A214" s="18" t="inlineStr">
        <is>
          <t>기타 · Revenues From External Customers</t>
        </is>
      </c>
      <c r="C214" s="20" t="n">
        <v>3811</v>
      </c>
      <c r="D214" s="20" t="n">
        <v>3919</v>
      </c>
      <c r="E214" s="20" t="n">
        <v>5878</v>
      </c>
      <c r="F214" s="20" t="n">
        <v>3962</v>
      </c>
      <c r="G214" s="20" t="n">
        <v>3871</v>
      </c>
      <c r="H214" s="20" t="n">
        <v>4858</v>
      </c>
      <c r="I214" s="20" t="n">
        <v>5965</v>
      </c>
      <c r="J214" s="20" t="n">
        <v>4481</v>
      </c>
      <c r="K214" s="20" t="n">
        <v>4200</v>
      </c>
      <c r="L214" s="20" t="n">
        <v>5098</v>
      </c>
      <c r="M214" s="20" t="n">
        <v>5430</v>
      </c>
      <c r="N214" s="20" t="n">
        <v>4424</v>
      </c>
      <c r="V214" s="20" t="n">
        <v>5878</v>
      </c>
      <c r="W214" s="20" t="n">
        <v>5965</v>
      </c>
      <c r="X214" s="20" t="n">
        <v>5430</v>
      </c>
    </row>
    <row r="215">
      <c r="A215" s="43" t="inlineStr">
        <is>
          <t>YoY</t>
        </is>
      </c>
      <c r="B215" s="3" t="inlineStr">
        <is>
          <t>전년 같은 분기·전년 대비</t>
        </is>
      </c>
      <c r="G215" s="15">
        <f>IF(OR(G214="",C214=""),"",IF(C214&lt;=0,"",IFERROR(G214/C214-1,"")))</f>
        <v/>
      </c>
      <c r="H215" s="15">
        <f>IF(OR(H214="",D214=""),"",IF(D214&lt;=0,"",IFERROR(H214/D214-1,"")))</f>
        <v/>
      </c>
      <c r="I215" s="15">
        <f>IF(OR(I214="",E214=""),"",IF(E214&lt;=0,"",IFERROR(I214/E214-1,"")))</f>
        <v/>
      </c>
      <c r="J215" s="15">
        <f>IF(OR(J214="",F214=""),"",IF(F214&lt;=0,"",IFERROR(J214/F214-1,"")))</f>
        <v/>
      </c>
      <c r="K215" s="15">
        <f>IF(OR(K214="",G214=""),"",IF(G214&lt;=0,"",IFERROR(K214/G214-1,"")))</f>
        <v/>
      </c>
      <c r="L215" s="15">
        <f>IF(OR(L214="",H214=""),"",IF(H214&lt;=0,"",IFERROR(L214/H214-1,"")))</f>
        <v/>
      </c>
      <c r="M215" s="15">
        <f>IF(OR(M214="",I214=""),"",IF(I214&lt;=0,"",IFERROR(M214/I214-1,"")))</f>
        <v/>
      </c>
      <c r="N215" s="15">
        <f>IF(OR(N214="",J214=""),"",IF(J214&lt;=0,"",IFERROR(N214/J214-1,"")))</f>
        <v/>
      </c>
      <c r="V215" s="15">
        <f>IF(OR(V214="",U214=""),"",IF(U214&lt;=0,"",IFERROR(V214/U214-1,"")))</f>
        <v/>
      </c>
      <c r="W215" s="15">
        <f>IF(OR(W214="",V214=""),"",IF(V214&lt;=0,"",IFERROR(W214/V214-1,"")))</f>
        <v/>
      </c>
      <c r="X215" s="15">
        <f>IF(OR(X214="",W214=""),"",IF(W214&lt;=0,"",IFERROR(X214/W214-1,"")))</f>
        <v/>
      </c>
    </row>
    <row r="216">
      <c r="A216" s="18" t="inlineStr">
        <is>
          <t>합계 · Revenues From External Customers</t>
        </is>
      </c>
      <c r="C216" s="20" t="n">
        <v>541703</v>
      </c>
      <c r="D216" s="20" t="n">
        <v>540852</v>
      </c>
      <c r="E216" s="20" t="n">
        <v>512347</v>
      </c>
      <c r="F216" s="20" t="n">
        <v>516775</v>
      </c>
      <c r="G216" s="20" t="n">
        <v>582812</v>
      </c>
      <c r="H216" s="20" t="n">
        <v>603197</v>
      </c>
      <c r="I216" s="20" t="n">
        <v>559072</v>
      </c>
      <c r="J216" s="20" t="n">
        <v>548701</v>
      </c>
      <c r="K216" s="20" t="n">
        <v>641699</v>
      </c>
      <c r="L216" s="20" t="n">
        <v>686984</v>
      </c>
      <c r="M216" s="20" t="n">
        <v>661849</v>
      </c>
      <c r="N216" s="20" t="n">
        <v>672729</v>
      </c>
      <c r="V216" s="20" t="n">
        <v>512347</v>
      </c>
      <c r="W216" s="20" t="n">
        <v>559072</v>
      </c>
      <c r="X216" s="20" t="n">
        <v>661849</v>
      </c>
    </row>
    <row r="217">
      <c r="A217" s="43" t="inlineStr">
        <is>
          <t>YoY</t>
        </is>
      </c>
      <c r="B217" s="3" t="inlineStr">
        <is>
          <t>전년 같은 분기·전년 대비</t>
        </is>
      </c>
      <c r="G217" s="15">
        <f>IF(OR(G216="",C216=""),"",IF(C216&lt;=0,"",IFERROR(G216/C216-1,"")))</f>
        <v/>
      </c>
      <c r="H217" s="15">
        <f>IF(OR(H216="",D216=""),"",IF(D216&lt;=0,"",IFERROR(H216/D216-1,"")))</f>
        <v/>
      </c>
      <c r="I217" s="15">
        <f>IF(OR(I216="",E216=""),"",IF(E216&lt;=0,"",IFERROR(I216/E216-1,"")))</f>
        <v/>
      </c>
      <c r="J217" s="15">
        <f>IF(OR(J216="",F216=""),"",IF(F216&lt;=0,"",IFERROR(J216/F216-1,"")))</f>
        <v/>
      </c>
      <c r="K217" s="15">
        <f>IF(OR(K216="",G216=""),"",IF(G216&lt;=0,"",IFERROR(K216/G216-1,"")))</f>
        <v/>
      </c>
      <c r="L217" s="15">
        <f>IF(OR(L216="",H216=""),"",IF(H216&lt;=0,"",IFERROR(L216/H216-1,"")))</f>
        <v/>
      </c>
      <c r="M217" s="15">
        <f>IF(OR(M216="",I216=""),"",IF(I216&lt;=0,"",IFERROR(M216/I216-1,"")))</f>
        <v/>
      </c>
      <c r="N217" s="15">
        <f>IF(OR(N216="",J216=""),"",IF(J216&lt;=0,"",IFERROR(N216/J216-1,"")))</f>
        <v/>
      </c>
      <c r="V217" s="15">
        <f>IF(OR(V216="",U216=""),"",IF(U216&lt;=0,"",IFERROR(V216/U216-1,"")))</f>
        <v/>
      </c>
      <c r="W217" s="15">
        <f>IF(OR(W216="",V216=""),"",IF(V216&lt;=0,"",IFERROR(W216/V216-1,"")))</f>
        <v/>
      </c>
      <c r="X217" s="15">
        <f>IF(OR(X216="",W216=""),"",IF(W216&lt;=0,"",IFERROR(X216/W216-1,"")))</f>
        <v/>
      </c>
    </row>
    <row r="218">
      <c r="A218" s="18" t="inlineStr">
        <is>
          <t>조정액 · Revenues From External Customers</t>
        </is>
      </c>
      <c r="C218" s="20" t="n">
        <v>0</v>
      </c>
      <c r="D218" s="20" t="n">
        <v>0</v>
      </c>
      <c r="E218" s="20" t="n">
        <v>0</v>
      </c>
      <c r="F218" s="20" t="n">
        <v>0</v>
      </c>
      <c r="G218" s="20" t="n">
        <v>0</v>
      </c>
      <c r="H218" s="20" t="n">
        <v>0</v>
      </c>
      <c r="I218" s="20" t="n">
        <v>0</v>
      </c>
      <c r="J218" s="20" t="n">
        <v>0</v>
      </c>
      <c r="K218" s="20" t="n">
        <v>0</v>
      </c>
      <c r="L218" s="20" t="n">
        <v>0</v>
      </c>
      <c r="M218" s="20" t="n">
        <v>0</v>
      </c>
      <c r="N218" s="20" t="n">
        <v>0</v>
      </c>
      <c r="V218" s="20" t="n">
        <v>0</v>
      </c>
      <c r="W218" s="20" t="n">
        <v>0</v>
      </c>
      <c r="X218" s="20" t="n">
        <v>0</v>
      </c>
    </row>
    <row r="219">
      <c r="A219" s="9" t="inlineStr">
        <is>
          <t>Revenues From External Customers</t>
        </is>
      </c>
      <c r="C219" s="12" t="n">
        <v>541703</v>
      </c>
      <c r="D219" s="12" t="n">
        <v>540852</v>
      </c>
      <c r="E219" s="12" t="n">
        <v>512347</v>
      </c>
      <c r="F219" s="12" t="n">
        <v>516775</v>
      </c>
      <c r="G219" s="12" t="n">
        <v>582812</v>
      </c>
      <c r="H219" s="12" t="n">
        <v>603197</v>
      </c>
      <c r="I219" s="12" t="n">
        <v>559072</v>
      </c>
      <c r="J219" s="12" t="n">
        <v>548701</v>
      </c>
      <c r="K219" s="12" t="n">
        <v>641699</v>
      </c>
      <c r="L219" s="12" t="n">
        <v>686984</v>
      </c>
      <c r="M219" s="12" t="n">
        <v>661849</v>
      </c>
      <c r="N219" s="12" t="n">
        <v>672729</v>
      </c>
      <c r="V219" s="12" t="n">
        <v>512347</v>
      </c>
      <c r="W219" s="12" t="n">
        <v>559072</v>
      </c>
      <c r="X219" s="12" t="n">
        <v>661849</v>
      </c>
    </row>
    <row r="220">
      <c r="A220" s="43" t="inlineStr">
        <is>
          <t>YoY</t>
        </is>
      </c>
      <c r="B220" s="3" t="inlineStr">
        <is>
          <t>전년 같은 분기·전년 대비</t>
        </is>
      </c>
      <c r="G220" s="15">
        <f>IF(OR(G219="",C219=""),"",IF(C219&lt;=0,"",IFERROR(G219/C219-1,"")))</f>
        <v/>
      </c>
      <c r="H220" s="15">
        <f>IF(OR(H219="",D219=""),"",IF(D219&lt;=0,"",IFERROR(H219/D219-1,"")))</f>
        <v/>
      </c>
      <c r="I220" s="15">
        <f>IF(OR(I219="",E219=""),"",IF(E219&lt;=0,"",IFERROR(I219/E219-1,"")))</f>
        <v/>
      </c>
      <c r="J220" s="15">
        <f>IF(OR(J219="",F219=""),"",IF(F219&lt;=0,"",IFERROR(J219/F219-1,"")))</f>
        <v/>
      </c>
      <c r="K220" s="15">
        <f>IF(OR(K219="",G219=""),"",IF(G219&lt;=0,"",IFERROR(K219/G219-1,"")))</f>
        <v/>
      </c>
      <c r="L220" s="15">
        <f>IF(OR(L219="",H219=""),"",IF(H219&lt;=0,"",IFERROR(L219/H219-1,"")))</f>
        <v/>
      </c>
      <c r="M220" s="15">
        <f>IF(OR(M219="",I219=""),"",IF(I219&lt;=0,"",IFERROR(M219/I219-1,"")))</f>
        <v/>
      </c>
      <c r="N220" s="15">
        <f>IF(OR(N219="",J219=""),"",IF(J219&lt;=0,"",IFERROR(N219/J219-1,"")))</f>
        <v/>
      </c>
      <c r="V220" s="15">
        <f>IF(OR(V219="",U219=""),"",IF(U219&lt;=0,"",IFERROR(V219/U219-1,"")))</f>
        <v/>
      </c>
      <c r="W220" s="15">
        <f>IF(OR(W219="",V219=""),"",IF(V219&lt;=0,"",IFERROR(W219/V219-1,"")))</f>
        <v/>
      </c>
      <c r="X220" s="15">
        <f>IF(OR(X219="",W219=""),"",IF(W219&lt;=0,"",IFERROR(X219/W219-1,"")))</f>
        <v/>
      </c>
    </row>
    <row r="221">
      <c r="A221" s="18" t="inlineStr">
        <is>
          <t>기타 · Transactions With Other Segments</t>
        </is>
      </c>
      <c r="C221" s="20" t="n">
        <v>5850</v>
      </c>
      <c r="D221" s="20" t="n">
        <v>6112</v>
      </c>
      <c r="E221" s="20" t="n">
        <v>6599</v>
      </c>
      <c r="F221" s="20" t="n">
        <v>6362</v>
      </c>
      <c r="G221" s="20" t="n">
        <v>6623</v>
      </c>
      <c r="H221" s="20" t="n">
        <v>6430</v>
      </c>
      <c r="I221" s="20" t="n">
        <v>7446</v>
      </c>
      <c r="J221" s="20" t="n">
        <v>7021</v>
      </c>
      <c r="K221" s="20" t="n">
        <v>7288</v>
      </c>
      <c r="L221" s="20" t="n">
        <v>7676</v>
      </c>
      <c r="M221" s="20" t="n">
        <v>8534</v>
      </c>
      <c r="N221" s="20" t="n">
        <v>7920</v>
      </c>
      <c r="V221" s="20" t="n">
        <v>6599</v>
      </c>
      <c r="W221" s="20" t="n">
        <v>7446</v>
      </c>
      <c r="X221" s="20" t="n">
        <v>8534</v>
      </c>
    </row>
    <row r="222">
      <c r="A222" s="18" t="inlineStr">
        <is>
          <t>합계 · Transactions With Other Segments</t>
        </is>
      </c>
      <c r="C222" s="20" t="n">
        <v>83153</v>
      </c>
      <c r="D222" s="20" t="n">
        <v>85998</v>
      </c>
      <c r="E222" s="20" t="n">
        <v>101615</v>
      </c>
      <c r="F222" s="20" t="n">
        <v>86709</v>
      </c>
      <c r="G222" s="20" t="n">
        <v>93751</v>
      </c>
      <c r="H222" s="20" t="n">
        <v>96321</v>
      </c>
      <c r="I222" s="20" t="n">
        <v>106499</v>
      </c>
      <c r="J222" s="20" t="n">
        <v>96036</v>
      </c>
      <c r="K222" s="20" t="n">
        <v>99157</v>
      </c>
      <c r="L222" s="20" t="n">
        <v>103987</v>
      </c>
      <c r="M222" s="20" t="n">
        <v>105734</v>
      </c>
      <c r="N222" s="20" t="n">
        <v>104486</v>
      </c>
      <c r="V222" s="20" t="n">
        <v>101615</v>
      </c>
      <c r="W222" s="20" t="n">
        <v>106499</v>
      </c>
      <c r="X222" s="20" t="n">
        <v>105734</v>
      </c>
    </row>
    <row r="223">
      <c r="A223" s="18" t="inlineStr">
        <is>
          <t>조정액 · Transactions With Other Segments</t>
        </is>
      </c>
      <c r="C223" s="20" t="n">
        <v>-83153</v>
      </c>
      <c r="D223" s="20" t="n">
        <v>-85998</v>
      </c>
      <c r="E223" s="20" t="n">
        <v>-101615</v>
      </c>
      <c r="F223" s="20" t="n">
        <v>-86709</v>
      </c>
      <c r="G223" s="20" t="n">
        <v>-93751</v>
      </c>
      <c r="H223" s="20" t="n">
        <v>-96321</v>
      </c>
      <c r="I223" s="20" t="n">
        <v>-106499</v>
      </c>
      <c r="J223" s="20" t="n">
        <v>-96036</v>
      </c>
      <c r="K223" s="20" t="n">
        <v>-99157</v>
      </c>
      <c r="L223" s="20" t="n">
        <v>-103987</v>
      </c>
      <c r="M223" s="20" t="n">
        <v>-105734</v>
      </c>
      <c r="N223" s="20" t="n">
        <v>-104486</v>
      </c>
      <c r="V223" s="20" t="n">
        <v>-101615</v>
      </c>
      <c r="W223" s="20" t="n">
        <v>-106499</v>
      </c>
      <c r="X223" s="20" t="n">
        <v>-105734</v>
      </c>
    </row>
    <row r="224">
      <c r="A224" s="18" t="inlineStr">
        <is>
          <t>Transactions With Other Segments</t>
        </is>
      </c>
      <c r="C224" s="20" t="n">
        <v>0</v>
      </c>
      <c r="D224" s="20" t="n">
        <v>0</v>
      </c>
      <c r="E224" s="20" t="n">
        <v>0</v>
      </c>
      <c r="F224" s="20" t="n">
        <v>0</v>
      </c>
      <c r="G224" s="20" t="n">
        <v>0</v>
      </c>
      <c r="H224" s="20" t="n">
        <v>0</v>
      </c>
      <c r="I224" s="20" t="n">
        <v>0</v>
      </c>
      <c r="J224" s="20" t="n">
        <v>0</v>
      </c>
      <c r="K224" s="20" t="n">
        <v>0</v>
      </c>
      <c r="L224" s="20" t="n">
        <v>0</v>
      </c>
      <c r="M224" s="20" t="n">
        <v>0</v>
      </c>
      <c r="N224" s="20" t="n">
        <v>0</v>
      </c>
      <c r="V224" s="20" t="n">
        <v>0</v>
      </c>
      <c r="W224" s="20" t="n">
        <v>0</v>
      </c>
      <c r="X224" s="20" t="n">
        <v>0</v>
      </c>
    </row>
    <row r="225">
      <c r="A225" s="18" t="inlineStr">
        <is>
          <t>기타 · 계</t>
        </is>
      </c>
      <c r="C225" s="20" t="n">
        <v>9661</v>
      </c>
      <c r="D225" s="20" t="n">
        <v>10031</v>
      </c>
      <c r="E225" s="20" t="n">
        <v>12477</v>
      </c>
      <c r="F225" s="20" t="n">
        <v>10324</v>
      </c>
      <c r="G225" s="20" t="n">
        <v>10494</v>
      </c>
      <c r="H225" s="20" t="n">
        <v>11288</v>
      </c>
      <c r="I225" s="20" t="n">
        <v>13411</v>
      </c>
      <c r="J225" s="20" t="n">
        <v>11502</v>
      </c>
      <c r="K225" s="20" t="n">
        <v>11488</v>
      </c>
      <c r="L225" s="20" t="n">
        <v>12774</v>
      </c>
      <c r="M225" s="20" t="n">
        <v>13964</v>
      </c>
      <c r="N225" s="20" t="n">
        <v>12344</v>
      </c>
      <c r="V225" s="20" t="n">
        <v>12477</v>
      </c>
      <c r="W225" s="20" t="n">
        <v>13411</v>
      </c>
      <c r="X225" s="20" t="n">
        <v>13964</v>
      </c>
    </row>
    <row r="226">
      <c r="A226" s="43" t="inlineStr">
        <is>
          <t>YoY</t>
        </is>
      </c>
      <c r="B226" s="3" t="inlineStr">
        <is>
          <t>전년 같은 분기·전년 대비</t>
        </is>
      </c>
      <c r="G226" s="15">
        <f>IF(OR(G225="",C225=""),"",IF(C225&lt;=0,"",IFERROR(G225/C225-1,"")))</f>
        <v/>
      </c>
      <c r="H226" s="15">
        <f>IF(OR(H225="",D225=""),"",IF(D225&lt;=0,"",IFERROR(H225/D225-1,"")))</f>
        <v/>
      </c>
      <c r="I226" s="15">
        <f>IF(OR(I225="",E225=""),"",IF(E225&lt;=0,"",IFERROR(I225/E225-1,"")))</f>
        <v/>
      </c>
      <c r="J226" s="15">
        <f>IF(OR(J225="",F225=""),"",IF(F225&lt;=0,"",IFERROR(J225/F225-1,"")))</f>
        <v/>
      </c>
      <c r="K226" s="15">
        <f>IF(OR(K225="",G225=""),"",IF(G225&lt;=0,"",IFERROR(K225/G225-1,"")))</f>
        <v/>
      </c>
      <c r="L226" s="15">
        <f>IF(OR(L225="",H225=""),"",IF(H225&lt;=0,"",IFERROR(L225/H225-1,"")))</f>
        <v/>
      </c>
      <c r="M226" s="15">
        <f>IF(OR(M225="",I225=""),"",IF(I225&lt;=0,"",IFERROR(M225/I225-1,"")))</f>
        <v/>
      </c>
      <c r="N226" s="15">
        <f>IF(OR(N225="",J225=""),"",IF(J225&lt;=0,"",IFERROR(N225/J225-1,"")))</f>
        <v/>
      </c>
      <c r="V226" s="15">
        <f>IF(OR(V225="",U225=""),"",IF(U225&lt;=0,"",IFERROR(V225/U225-1,"")))</f>
        <v/>
      </c>
      <c r="W226" s="15">
        <f>IF(OR(W225="",V225=""),"",IF(V225&lt;=0,"",IFERROR(W225/V225-1,"")))</f>
        <v/>
      </c>
      <c r="X226" s="15">
        <f>IF(OR(X225="",W225=""),"",IF(W225&lt;=0,"",IFERROR(X225/W225-1,"")))</f>
        <v/>
      </c>
    </row>
    <row r="227">
      <c r="A227" s="18" t="inlineStr">
        <is>
          <t>합계 · 계</t>
        </is>
      </c>
      <c r="C227" s="20" t="n">
        <v>624856</v>
      </c>
      <c r="D227" s="20" t="n">
        <v>626850</v>
      </c>
      <c r="E227" s="20" t="n">
        <v>613962</v>
      </c>
      <c r="F227" s="20" t="n">
        <v>603484</v>
      </c>
      <c r="G227" s="20" t="n">
        <v>676563</v>
      </c>
      <c r="H227" s="20" t="n">
        <v>699518</v>
      </c>
      <c r="I227" s="20" t="n">
        <v>665571</v>
      </c>
      <c r="J227" s="20" t="n">
        <v>644737</v>
      </c>
      <c r="K227" s="20" t="n">
        <v>740856</v>
      </c>
      <c r="L227" s="20" t="n">
        <v>790971</v>
      </c>
      <c r="M227" s="20" t="n">
        <v>767583</v>
      </c>
      <c r="N227" s="20" t="n">
        <v>777215</v>
      </c>
      <c r="V227" s="20" t="n">
        <v>613962</v>
      </c>
      <c r="W227" s="20" t="n">
        <v>665571</v>
      </c>
      <c r="X227" s="20" t="n">
        <v>767583</v>
      </c>
    </row>
    <row r="228">
      <c r="A228" s="43" t="inlineStr">
        <is>
          <t>YoY</t>
        </is>
      </c>
      <c r="B228" s="3" t="inlineStr">
        <is>
          <t>전년 같은 분기·전년 대비</t>
        </is>
      </c>
      <c r="G228" s="15">
        <f>IF(OR(G227="",C227=""),"",IF(C227&lt;=0,"",IFERROR(G227/C227-1,"")))</f>
        <v/>
      </c>
      <c r="H228" s="15">
        <f>IF(OR(H227="",D227=""),"",IF(D227&lt;=0,"",IFERROR(H227/D227-1,"")))</f>
        <v/>
      </c>
      <c r="I228" s="15">
        <f>IF(OR(I227="",E227=""),"",IF(E227&lt;=0,"",IFERROR(I227/E227-1,"")))</f>
        <v/>
      </c>
      <c r="J228" s="15">
        <f>IF(OR(J227="",F227=""),"",IF(F227&lt;=0,"",IFERROR(J227/F227-1,"")))</f>
        <v/>
      </c>
      <c r="K228" s="15">
        <f>IF(OR(K227="",G227=""),"",IF(G227&lt;=0,"",IFERROR(K227/G227-1,"")))</f>
        <v/>
      </c>
      <c r="L228" s="15">
        <f>IF(OR(L227="",H227=""),"",IF(H227&lt;=0,"",IFERROR(L227/H227-1,"")))</f>
        <v/>
      </c>
      <c r="M228" s="15">
        <f>IF(OR(M227="",I227=""),"",IF(I227&lt;=0,"",IFERROR(M227/I227-1,"")))</f>
        <v/>
      </c>
      <c r="N228" s="15">
        <f>IF(OR(N227="",J227=""),"",IF(J227&lt;=0,"",IFERROR(N227/J227-1,"")))</f>
        <v/>
      </c>
      <c r="V228" s="15">
        <f>IF(OR(V227="",U227=""),"",IF(U227&lt;=0,"",IFERROR(V227/U227-1,"")))</f>
        <v/>
      </c>
      <c r="W228" s="15">
        <f>IF(OR(W227="",V227=""),"",IF(V227&lt;=0,"",IFERROR(W227/V227-1,"")))</f>
        <v/>
      </c>
      <c r="X228" s="15">
        <f>IF(OR(X227="",W227=""),"",IF(W227&lt;=0,"",IFERROR(X227/W227-1,"")))</f>
        <v/>
      </c>
    </row>
    <row r="229">
      <c r="A229" s="18" t="inlineStr">
        <is>
          <t>조정액 · 계</t>
        </is>
      </c>
      <c r="C229" s="20" t="n">
        <v>-83153</v>
      </c>
      <c r="D229" s="20" t="n">
        <v>-85998</v>
      </c>
      <c r="E229" s="20" t="n">
        <v>-101615</v>
      </c>
      <c r="F229" s="20" t="n">
        <v>-86709</v>
      </c>
      <c r="G229" s="20" t="n">
        <v>-93751</v>
      </c>
      <c r="H229" s="20" t="n">
        <v>-96321</v>
      </c>
      <c r="I229" s="20" t="n">
        <v>-106499</v>
      </c>
      <c r="J229" s="20" t="n">
        <v>-96036</v>
      </c>
      <c r="K229" s="20" t="n">
        <v>-99157</v>
      </c>
      <c r="L229" s="20" t="n">
        <v>-103987</v>
      </c>
      <c r="M229" s="20" t="n">
        <v>-105734</v>
      </c>
      <c r="N229" s="20" t="n">
        <v>-104486</v>
      </c>
      <c r="V229" s="20" t="n">
        <v>-101615</v>
      </c>
      <c r="W229" s="20" t="n">
        <v>-106499</v>
      </c>
      <c r="X229" s="20" t="n">
        <v>-105734</v>
      </c>
    </row>
    <row r="230">
      <c r="A230" s="9" t="inlineStr">
        <is>
          <t>계</t>
        </is>
      </c>
      <c r="C230" s="12" t="n">
        <v>541703</v>
      </c>
      <c r="D230" s="12" t="n">
        <v>540852</v>
      </c>
      <c r="E230" s="12" t="n">
        <v>512347</v>
      </c>
      <c r="F230" s="12" t="n">
        <v>516775</v>
      </c>
      <c r="G230" s="12" t="n">
        <v>582812</v>
      </c>
      <c r="H230" s="12" t="n">
        <v>603197</v>
      </c>
      <c r="I230" s="12" t="n">
        <v>559072</v>
      </c>
      <c r="J230" s="12" t="n">
        <v>548701</v>
      </c>
      <c r="K230" s="12" t="n">
        <v>641699</v>
      </c>
      <c r="L230" s="12" t="n">
        <v>686984</v>
      </c>
      <c r="M230" s="12" t="n">
        <v>661849</v>
      </c>
      <c r="N230" s="12" t="n">
        <v>672729</v>
      </c>
      <c r="V230" s="12" t="n">
        <v>512347</v>
      </c>
      <c r="W230" s="12" t="n">
        <v>559072</v>
      </c>
      <c r="X230" s="12" t="n">
        <v>661849</v>
      </c>
    </row>
    <row r="231">
      <c r="A231" s="43" t="inlineStr">
        <is>
          <t>YoY</t>
        </is>
      </c>
      <c r="B231" s="3" t="inlineStr">
        <is>
          <t>전년 같은 분기·전년 대비</t>
        </is>
      </c>
      <c r="G231" s="15">
        <f>IF(OR(G230="",C230=""),"",IF(C230&lt;=0,"",IFERROR(G230/C230-1,"")))</f>
        <v/>
      </c>
      <c r="H231" s="15">
        <f>IF(OR(H230="",D230=""),"",IF(D230&lt;=0,"",IFERROR(H230/D230-1,"")))</f>
        <v/>
      </c>
      <c r="I231" s="15">
        <f>IF(OR(I230="",E230=""),"",IF(E230&lt;=0,"",IFERROR(I230/E230-1,"")))</f>
        <v/>
      </c>
      <c r="J231" s="15">
        <f>IF(OR(J230="",F230=""),"",IF(F230&lt;=0,"",IFERROR(J230/F230-1,"")))</f>
        <v/>
      </c>
      <c r="K231" s="15">
        <f>IF(OR(K230="",G230=""),"",IF(G230&lt;=0,"",IFERROR(K230/G230-1,"")))</f>
        <v/>
      </c>
      <c r="L231" s="15">
        <f>IF(OR(L230="",H230=""),"",IF(H230&lt;=0,"",IFERROR(L230/H230-1,"")))</f>
        <v/>
      </c>
      <c r="M231" s="15">
        <f>IF(OR(M230="",I230=""),"",IF(I230&lt;=0,"",IFERROR(M230/I230-1,"")))</f>
        <v/>
      </c>
      <c r="N231" s="15">
        <f>IF(OR(N230="",J230=""),"",IF(J230&lt;=0,"",IFERROR(N230/J230-1,"")))</f>
        <v/>
      </c>
      <c r="V231" s="15">
        <f>IF(OR(V230="",U230=""),"",IF(U230&lt;=0,"",IFERROR(V230/U230-1,"")))</f>
        <v/>
      </c>
      <c r="W231" s="15">
        <f>IF(OR(W230="",V230=""),"",IF(V230&lt;=0,"",IFERROR(W230/V230-1,"")))</f>
        <v/>
      </c>
      <c r="X231" s="15">
        <f>IF(OR(X230="",W230=""),"",IF(W230&lt;=0,"",IFERROR(X230/W230-1,"")))</f>
        <v/>
      </c>
    </row>
    <row r="232">
      <c r="A232" s="18" t="inlineStr">
        <is>
          <t>기타 · 부문 이익(손실)</t>
        </is>
      </c>
      <c r="C232" s="20" t="n">
        <v>11</v>
      </c>
      <c r="D232" s="20" t="n">
        <v>701</v>
      </c>
      <c r="E232" s="20" t="n">
        <v>-167</v>
      </c>
      <c r="F232" s="20" t="n">
        <v>228</v>
      </c>
      <c r="G232" s="20" t="n">
        <v>324</v>
      </c>
      <c r="H232" s="20" t="n">
        <v>538</v>
      </c>
      <c r="I232" s="20" t="n">
        <v>61</v>
      </c>
      <c r="J232" s="20" t="n">
        <v>543</v>
      </c>
      <c r="K232" s="20" t="n">
        <v>849</v>
      </c>
      <c r="L232" s="20" t="n">
        <v>685</v>
      </c>
      <c r="M232" s="20" t="n">
        <v>199</v>
      </c>
      <c r="N232" s="20" t="n">
        <v>675</v>
      </c>
      <c r="V232" s="20" t="n">
        <v>-167</v>
      </c>
      <c r="W232" s="20" t="n">
        <v>61</v>
      </c>
      <c r="X232" s="20" t="n">
        <v>199</v>
      </c>
    </row>
    <row r="233">
      <c r="A233" s="43" t="inlineStr">
        <is>
          <t>OPM</t>
        </is>
      </c>
      <c r="B233" s="3" t="inlineStr">
        <is>
          <t>영업이익 ÷ 매출</t>
        </is>
      </c>
      <c r="C233" s="15">
        <f>IF(OR(C232="",C225=""),"",IF(C225&lt;=0,"",IFERROR(C232/C225,"")))</f>
        <v/>
      </c>
      <c r="D233" s="15">
        <f>IF(OR(D232="",D225=""),"",IF(D225&lt;=0,"",IFERROR(D232/D225,"")))</f>
        <v/>
      </c>
      <c r="E233" s="15">
        <f>IF(OR(E232="",E225=""),"",IF(E225&lt;=0,"",IFERROR(E232/E225,"")))</f>
        <v/>
      </c>
      <c r="F233" s="15">
        <f>IF(OR(F232="",F225=""),"",IF(F225&lt;=0,"",IFERROR(F232/F225,"")))</f>
        <v/>
      </c>
      <c r="G233" s="15">
        <f>IF(OR(G232="",G225=""),"",IF(G225&lt;=0,"",IFERROR(G232/G225,"")))</f>
        <v/>
      </c>
      <c r="H233" s="15">
        <f>IF(OR(H232="",H225=""),"",IF(H225&lt;=0,"",IFERROR(H232/H225,"")))</f>
        <v/>
      </c>
      <c r="I233" s="15">
        <f>IF(OR(I232="",I225=""),"",IF(I225&lt;=0,"",IFERROR(I232/I225,"")))</f>
        <v/>
      </c>
      <c r="J233" s="15">
        <f>IF(OR(J232="",J225=""),"",IF(J225&lt;=0,"",IFERROR(J232/J225,"")))</f>
        <v/>
      </c>
      <c r="K233" s="15">
        <f>IF(OR(K232="",K225=""),"",IF(K225&lt;=0,"",IFERROR(K232/K225,"")))</f>
        <v/>
      </c>
      <c r="L233" s="15">
        <f>IF(OR(L232="",L225=""),"",IF(L225&lt;=0,"",IFERROR(L232/L225,"")))</f>
        <v/>
      </c>
      <c r="M233" s="15">
        <f>IF(OR(M232="",M225=""),"",IF(M225&lt;=0,"",IFERROR(M232/M225,"")))</f>
        <v/>
      </c>
      <c r="N233" s="15">
        <f>IF(OR(N232="",N225=""),"",IF(N225&lt;=0,"",IFERROR(N232/N225,"")))</f>
        <v/>
      </c>
      <c r="V233" s="15">
        <f>IF(OR(V232="",V225=""),"",IF(V225&lt;=0,"",IFERROR(V232/V225,"")))</f>
        <v/>
      </c>
      <c r="W233" s="15">
        <f>IF(OR(W232="",W225=""),"",IF(W225&lt;=0,"",IFERROR(W232/W225,"")))</f>
        <v/>
      </c>
      <c r="X233" s="15">
        <f>IF(OR(X232="",X225=""),"",IF(X225&lt;=0,"",IFERROR(X232/X225,"")))</f>
        <v/>
      </c>
    </row>
    <row r="234">
      <c r="A234" s="43" t="inlineStr">
        <is>
          <t>YoY</t>
        </is>
      </c>
      <c r="B234" s="3" t="inlineStr">
        <is>
          <t>전년 같은 분기·전년 대비</t>
        </is>
      </c>
      <c r="G234" s="15">
        <f>IF(OR(G232="",C232=""),"",IF(C232&lt;=0,"",IFERROR(G232/C232-1,"")))</f>
        <v/>
      </c>
      <c r="H234" s="15">
        <f>IF(OR(H232="",D232=""),"",IF(D232&lt;=0,"",IFERROR(H232/D232-1,"")))</f>
        <v/>
      </c>
      <c r="I234" s="15">
        <f>IF(OR(I232="",E232=""),"",IF(E232&lt;=0,"",IFERROR(I232/E232-1,"")))</f>
        <v/>
      </c>
      <c r="J234" s="15">
        <f>IF(OR(J232="",F232=""),"",IF(F232&lt;=0,"",IFERROR(J232/F232-1,"")))</f>
        <v/>
      </c>
      <c r="K234" s="15">
        <f>IF(OR(K232="",G232=""),"",IF(G232&lt;=0,"",IFERROR(K232/G232-1,"")))</f>
        <v/>
      </c>
      <c r="L234" s="15">
        <f>IF(OR(L232="",H232=""),"",IF(H232&lt;=0,"",IFERROR(L232/H232-1,"")))</f>
        <v/>
      </c>
      <c r="M234" s="15">
        <f>IF(OR(M232="",I232=""),"",IF(I232&lt;=0,"",IFERROR(M232/I232-1,"")))</f>
        <v/>
      </c>
      <c r="N234" s="15">
        <f>IF(OR(N232="",J232=""),"",IF(J232&lt;=0,"",IFERROR(N232/J232-1,"")))</f>
        <v/>
      </c>
      <c r="V234" s="15">
        <f>IF(OR(V232="",U232=""),"",IF(U232&lt;=0,"",IFERROR(V232/U232-1,"")))</f>
        <v/>
      </c>
      <c r="W234" s="15">
        <f>IF(OR(W232="",V232=""),"",IF(V232&lt;=0,"",IFERROR(W232/V232-1,"")))</f>
        <v/>
      </c>
      <c r="X234" s="15">
        <f>IF(OR(X232="",W232=""),"",IF(W232&lt;=0,"",IFERROR(X232/W232-1,"")))</f>
        <v/>
      </c>
    </row>
    <row r="235">
      <c r="A235" s="18" t="inlineStr">
        <is>
          <t>합계 · 부문 이익(손실)</t>
        </is>
      </c>
      <c r="C235" s="20" t="n">
        <v>88962</v>
      </c>
      <c r="D235" s="20" t="n">
        <v>83703</v>
      </c>
      <c r="E235" s="20" t="n">
        <v>1666</v>
      </c>
      <c r="F235" s="20" t="n">
        <v>33913</v>
      </c>
      <c r="G235" s="20" t="n">
        <v>80987</v>
      </c>
      <c r="H235" s="20" t="n">
        <v>65181</v>
      </c>
      <c r="I235" s="20" t="n">
        <v>28977</v>
      </c>
      <c r="J235" s="20" t="n">
        <v>40277</v>
      </c>
      <c r="K235" s="20" t="n">
        <v>64162</v>
      </c>
      <c r="L235" s="20" t="n">
        <v>87582</v>
      </c>
      <c r="M235" s="20" t="n">
        <v>41042</v>
      </c>
      <c r="N235" s="20" t="n">
        <v>24957</v>
      </c>
      <c r="V235" s="20" t="n">
        <v>1666</v>
      </c>
      <c r="W235" s="20" t="n">
        <v>28977</v>
      </c>
      <c r="X235" s="20" t="n">
        <v>41042</v>
      </c>
    </row>
    <row r="236">
      <c r="A236" s="43" t="inlineStr">
        <is>
          <t>OPM</t>
        </is>
      </c>
      <c r="B236" s="3" t="inlineStr">
        <is>
          <t>영업이익 ÷ 매출</t>
        </is>
      </c>
      <c r="C236" s="15">
        <f>IF(OR(C235="",C227=""),"",IF(C227&lt;=0,"",IFERROR(C235/C227,"")))</f>
        <v/>
      </c>
      <c r="D236" s="15">
        <f>IF(OR(D235="",D227=""),"",IF(D227&lt;=0,"",IFERROR(D235/D227,"")))</f>
        <v/>
      </c>
      <c r="E236" s="15">
        <f>IF(OR(E235="",E227=""),"",IF(E227&lt;=0,"",IFERROR(E235/E227,"")))</f>
        <v/>
      </c>
      <c r="F236" s="15">
        <f>IF(OR(F235="",F227=""),"",IF(F227&lt;=0,"",IFERROR(F235/F227,"")))</f>
        <v/>
      </c>
      <c r="G236" s="15">
        <f>IF(OR(G235="",G227=""),"",IF(G227&lt;=0,"",IFERROR(G235/G227,"")))</f>
        <v/>
      </c>
      <c r="H236" s="15">
        <f>IF(OR(H235="",H227=""),"",IF(H227&lt;=0,"",IFERROR(H235/H227,"")))</f>
        <v/>
      </c>
      <c r="I236" s="15">
        <f>IF(OR(I235="",I227=""),"",IF(I227&lt;=0,"",IFERROR(I235/I227,"")))</f>
        <v/>
      </c>
      <c r="J236" s="15">
        <f>IF(OR(J235="",J227=""),"",IF(J227&lt;=0,"",IFERROR(J235/J227,"")))</f>
        <v/>
      </c>
      <c r="K236" s="15">
        <f>IF(OR(K235="",K227=""),"",IF(K227&lt;=0,"",IFERROR(K235/K227,"")))</f>
        <v/>
      </c>
      <c r="L236" s="15">
        <f>IF(OR(L235="",L227=""),"",IF(L227&lt;=0,"",IFERROR(L235/L227,"")))</f>
        <v/>
      </c>
      <c r="M236" s="15">
        <f>IF(OR(M235="",M227=""),"",IF(M227&lt;=0,"",IFERROR(M235/M227,"")))</f>
        <v/>
      </c>
      <c r="N236" s="15">
        <f>IF(OR(N235="",N227=""),"",IF(N227&lt;=0,"",IFERROR(N235/N227,"")))</f>
        <v/>
      </c>
      <c r="V236" s="15">
        <f>IF(OR(V235="",V227=""),"",IF(V227&lt;=0,"",IFERROR(V235/V227,"")))</f>
        <v/>
      </c>
      <c r="W236" s="15">
        <f>IF(OR(W235="",W227=""),"",IF(W227&lt;=0,"",IFERROR(W235/W227,"")))</f>
        <v/>
      </c>
      <c r="X236" s="15">
        <f>IF(OR(X235="",X227=""),"",IF(X227&lt;=0,"",IFERROR(X235/X227,"")))</f>
        <v/>
      </c>
    </row>
    <row r="237">
      <c r="A237" s="43" t="inlineStr">
        <is>
          <t>YoY</t>
        </is>
      </c>
      <c r="B237" s="3" t="inlineStr">
        <is>
          <t>전년 같은 분기·전년 대비</t>
        </is>
      </c>
      <c r="G237" s="15">
        <f>IF(OR(G235="",C235=""),"",IF(C235&lt;=0,"",IFERROR(G235/C235-1,"")))</f>
        <v/>
      </c>
      <c r="H237" s="15">
        <f>IF(OR(H235="",D235=""),"",IF(D235&lt;=0,"",IFERROR(H235/D235-1,"")))</f>
        <v/>
      </c>
      <c r="I237" s="15">
        <f>IF(OR(I235="",E235=""),"",IF(E235&lt;=0,"",IFERROR(I235/E235-1,"")))</f>
        <v/>
      </c>
      <c r="J237" s="15">
        <f>IF(OR(J235="",F235=""),"",IF(F235&lt;=0,"",IFERROR(J235/F235-1,"")))</f>
        <v/>
      </c>
      <c r="K237" s="15">
        <f>IF(OR(K235="",G235=""),"",IF(G235&lt;=0,"",IFERROR(K235/G235-1,"")))</f>
        <v/>
      </c>
      <c r="L237" s="15">
        <f>IF(OR(L235="",H235=""),"",IF(H235&lt;=0,"",IFERROR(L235/H235-1,"")))</f>
        <v/>
      </c>
      <c r="M237" s="15">
        <f>IF(OR(M235="",I235=""),"",IF(I235&lt;=0,"",IFERROR(M235/I235-1,"")))</f>
        <v/>
      </c>
      <c r="N237" s="15">
        <f>IF(OR(N235="",J235=""),"",IF(J235&lt;=0,"",IFERROR(N235/J235-1,"")))</f>
        <v/>
      </c>
      <c r="V237" s="15">
        <f>IF(OR(V235="",U235=""),"",IF(U235&lt;=0,"",IFERROR(V235/U235-1,"")))</f>
        <v/>
      </c>
      <c r="W237" s="15">
        <f>IF(OR(W235="",V235=""),"",IF(V235&lt;=0,"",IFERROR(W235/V235-1,"")))</f>
        <v/>
      </c>
      <c r="X237" s="15">
        <f>IF(OR(X235="",W235=""),"",IF(W235&lt;=0,"",IFERROR(X235/W235-1,"")))</f>
        <v/>
      </c>
    </row>
    <row r="238">
      <c r="A238" s="18" t="inlineStr">
        <is>
          <t>조정액 · 부문 이익(손실)</t>
        </is>
      </c>
      <c r="C238" s="20" t="n">
        <v>-3009</v>
      </c>
      <c r="D238" s="20" t="n">
        <v>-3326</v>
      </c>
      <c r="E238" s="20" t="n">
        <v>-3869</v>
      </c>
      <c r="F238" s="20" t="n">
        <v>-3559</v>
      </c>
      <c r="G238" s="20" t="n">
        <v>-2967</v>
      </c>
      <c r="H238" s="20" t="n">
        <v>-2395</v>
      </c>
      <c r="I238" s="20" t="n">
        <v>-3498</v>
      </c>
      <c r="J238" s="20" t="n">
        <v>-3491</v>
      </c>
      <c r="K238" s="20" t="n">
        <v>-3320</v>
      </c>
      <c r="L238" s="20" t="n">
        <v>-4496</v>
      </c>
      <c r="M238" s="20" t="n">
        <v>-4319</v>
      </c>
      <c r="N238" s="20" t="n">
        <v>-4175</v>
      </c>
      <c r="V238" s="20" t="n">
        <v>-3869</v>
      </c>
      <c r="W238" s="20" t="n">
        <v>-3498</v>
      </c>
      <c r="X238" s="20" t="n">
        <v>-4319</v>
      </c>
    </row>
    <row r="239">
      <c r="A239" s="9" t="inlineStr">
        <is>
          <t>부문 이익(손실)</t>
        </is>
      </c>
      <c r="C239" s="12" t="n">
        <v>85953</v>
      </c>
      <c r="D239" s="12" t="n">
        <v>80377</v>
      </c>
      <c r="E239" s="12" t="n">
        <v>-2203</v>
      </c>
      <c r="F239" s="12" t="n">
        <v>30354</v>
      </c>
      <c r="G239" s="12" t="n">
        <v>78020</v>
      </c>
      <c r="H239" s="12" t="n">
        <v>62786</v>
      </c>
      <c r="I239" s="12" t="n">
        <v>25479</v>
      </c>
      <c r="J239" s="12" t="n">
        <v>36786</v>
      </c>
      <c r="K239" s="12" t="n">
        <v>60842</v>
      </c>
      <c r="L239" s="12" t="n">
        <v>83086</v>
      </c>
      <c r="M239" s="12" t="n">
        <v>36723</v>
      </c>
      <c r="N239" s="12" t="n">
        <v>20782</v>
      </c>
      <c r="V239" s="12" t="n">
        <v>-2203</v>
      </c>
      <c r="W239" s="12" t="n">
        <v>25479</v>
      </c>
      <c r="X239" s="12" t="n">
        <v>36723</v>
      </c>
    </row>
    <row r="240">
      <c r="A240" s="43" t="inlineStr">
        <is>
          <t>OPM</t>
        </is>
      </c>
      <c r="B240" s="3" t="inlineStr">
        <is>
          <t>영업이익 ÷ 매출</t>
        </is>
      </c>
      <c r="C240" s="15">
        <f>IF(OR(C239="",C219=""),"",IF(C219&lt;=0,"",IFERROR(C239/C219,"")))</f>
        <v/>
      </c>
      <c r="D240" s="15">
        <f>IF(OR(D239="",D219=""),"",IF(D219&lt;=0,"",IFERROR(D239/D219,"")))</f>
        <v/>
      </c>
      <c r="E240" s="15">
        <f>IF(OR(E239="",E219=""),"",IF(E219&lt;=0,"",IFERROR(E239/E219,"")))</f>
        <v/>
      </c>
      <c r="F240" s="15">
        <f>IF(OR(F239="",F219=""),"",IF(F219&lt;=0,"",IFERROR(F239/F219,"")))</f>
        <v/>
      </c>
      <c r="G240" s="15">
        <f>IF(OR(G239="",G219=""),"",IF(G219&lt;=0,"",IFERROR(G239/G219,"")))</f>
        <v/>
      </c>
      <c r="H240" s="15">
        <f>IF(OR(H239="",H219=""),"",IF(H219&lt;=0,"",IFERROR(H239/H219,"")))</f>
        <v/>
      </c>
      <c r="I240" s="15">
        <f>IF(OR(I239="",I219=""),"",IF(I219&lt;=0,"",IFERROR(I239/I219,"")))</f>
        <v/>
      </c>
      <c r="J240" s="15">
        <f>IF(OR(J239="",J219=""),"",IF(J219&lt;=0,"",IFERROR(J239/J219,"")))</f>
        <v/>
      </c>
      <c r="K240" s="15">
        <f>IF(OR(K239="",K219=""),"",IF(K219&lt;=0,"",IFERROR(K239/K219,"")))</f>
        <v/>
      </c>
      <c r="L240" s="15">
        <f>IF(OR(L239="",L219=""),"",IF(L219&lt;=0,"",IFERROR(L239/L219,"")))</f>
        <v/>
      </c>
      <c r="M240" s="15">
        <f>IF(OR(M239="",M219=""),"",IF(M219&lt;=0,"",IFERROR(M239/M219,"")))</f>
        <v/>
      </c>
      <c r="N240" s="15">
        <f>IF(OR(N239="",N219=""),"",IF(N219&lt;=0,"",IFERROR(N239/N219,"")))</f>
        <v/>
      </c>
      <c r="V240" s="15">
        <f>IF(OR(V239="",V219=""),"",IF(V219&lt;=0,"",IFERROR(V239/V219,"")))</f>
        <v/>
      </c>
      <c r="W240" s="15">
        <f>IF(OR(W239="",W219=""),"",IF(W219&lt;=0,"",IFERROR(W239/W219,"")))</f>
        <v/>
      </c>
      <c r="X240" s="15">
        <f>IF(OR(X239="",X219=""),"",IF(X219&lt;=0,"",IFERROR(X239/X219,"")))</f>
        <v/>
      </c>
    </row>
    <row r="241">
      <c r="A241" s="43" t="inlineStr">
        <is>
          <t>YoY</t>
        </is>
      </c>
      <c r="B241" s="3" t="inlineStr">
        <is>
          <t>전년 같은 분기·전년 대비</t>
        </is>
      </c>
      <c r="G241" s="15">
        <f>IF(OR(G239="",C239=""),"",IF(C239&lt;=0,"",IFERROR(G239/C239-1,"")))</f>
        <v/>
      </c>
      <c r="H241" s="15">
        <f>IF(OR(H239="",D239=""),"",IF(D239&lt;=0,"",IFERROR(H239/D239-1,"")))</f>
        <v/>
      </c>
      <c r="I241" s="15">
        <f>IF(OR(I239="",E239=""),"",IF(E239&lt;=0,"",IFERROR(I239/E239-1,"")))</f>
        <v/>
      </c>
      <c r="J241" s="15">
        <f>IF(OR(J239="",F239=""),"",IF(F239&lt;=0,"",IFERROR(J239/F239-1,"")))</f>
        <v/>
      </c>
      <c r="K241" s="15">
        <f>IF(OR(K239="",G239=""),"",IF(G239&lt;=0,"",IFERROR(K239/G239-1,"")))</f>
        <v/>
      </c>
      <c r="L241" s="15">
        <f>IF(OR(L239="",H239=""),"",IF(H239&lt;=0,"",IFERROR(L239/H239-1,"")))</f>
        <v/>
      </c>
      <c r="M241" s="15">
        <f>IF(OR(M239="",I239=""),"",IF(I239&lt;=0,"",IFERROR(M239/I239-1,"")))</f>
        <v/>
      </c>
      <c r="N241" s="15">
        <f>IF(OR(N239="",J239=""),"",IF(J239&lt;=0,"",IFERROR(N239/J239-1,"")))</f>
        <v/>
      </c>
      <c r="V241" s="15">
        <f>IF(OR(V239="",U239=""),"",IF(U239&lt;=0,"",IFERROR(V239/U239-1,"")))</f>
        <v/>
      </c>
      <c r="W241" s="15">
        <f>IF(OR(W239="",V239=""),"",IF(V239&lt;=0,"",IFERROR(W239/V239-1,"")))</f>
        <v/>
      </c>
      <c r="X241" s="15">
        <f>IF(OR(X239="",W239=""),"",IF(W239&lt;=0,"",IFERROR(X239/W239-1,"")))</f>
        <v/>
      </c>
    </row>
    <row r="243">
      <c r="A243" s="16" t="inlineStr">
        <is>
          <t>현금흐름표 · 전 항목</t>
        </is>
      </c>
      <c r="B243" s="42" t="inlineStr">
        <is>
          <t>분기 = 결산기 첫날부터 누계(공시 그대로)</t>
        </is>
      </c>
      <c r="C243" s="16" t="n"/>
      <c r="D243" s="16" t="n"/>
      <c r="E243" s="16" t="n"/>
      <c r="F243" s="16" t="n"/>
      <c r="G243" s="16" t="n"/>
      <c r="H243" s="16" t="n"/>
      <c r="I243" s="16" t="n"/>
      <c r="J243" s="16" t="n"/>
      <c r="K243" s="16" t="n"/>
      <c r="L243" s="16" t="n"/>
      <c r="M243" s="16" t="n"/>
      <c r="N243" s="16" t="n"/>
      <c r="O243" s="16" t="n"/>
      <c r="P243" s="16" t="n"/>
      <c r="Q243" s="16" t="n"/>
      <c r="R243" s="16" t="n"/>
      <c r="S243" s="16" t="n"/>
      <c r="T243" s="16" t="n"/>
      <c r="U243" s="16" t="n"/>
      <c r="V243" s="16" t="n"/>
      <c r="W243" s="16" t="n"/>
      <c r="X243" s="16" t="n"/>
      <c r="Y243" s="16" t="n"/>
      <c r="Z243" s="16" t="n"/>
      <c r="AA243" s="16" t="n"/>
      <c r="AB243" s="16" t="n"/>
      <c r="AC243" s="16" t="n"/>
    </row>
    <row r="244">
      <c r="A244" s="5" t="inlineStr">
        <is>
          <t>항목</t>
        </is>
      </c>
      <c r="B244" s="5" t="inlineStr">
        <is>
          <t>참고</t>
        </is>
      </c>
      <c r="C244" s="5" t="inlineStr">
        <is>
          <t>2024.2Q</t>
        </is>
      </c>
      <c r="D244" s="5" t="inlineStr">
        <is>
          <t>2024.3Q</t>
        </is>
      </c>
      <c r="E244" s="5" t="inlineStr">
        <is>
          <t>2024.4Q</t>
        </is>
      </c>
      <c r="F244" s="5" t="inlineStr">
        <is>
          <t>2025.1Q</t>
        </is>
      </c>
      <c r="G244" s="5" t="inlineStr">
        <is>
          <t>2025.2Q</t>
        </is>
      </c>
      <c r="H244" s="5" t="inlineStr">
        <is>
          <t>2025.3Q</t>
        </is>
      </c>
      <c r="I244" s="5" t="inlineStr">
        <is>
          <t>2025.4Q</t>
        </is>
      </c>
      <c r="J244" s="5" t="inlineStr">
        <is>
          <t>2026.1Q</t>
        </is>
      </c>
      <c r="K244" s="5" t="inlineStr">
        <is>
          <t>2026.2Q</t>
        </is>
      </c>
      <c r="L244" s="5" t="inlineStr">
        <is>
          <t>2026.3Q</t>
        </is>
      </c>
      <c r="M244" s="5" t="inlineStr">
        <is>
          <t>2026.4Q</t>
        </is>
      </c>
      <c r="N244" s="5" t="inlineStr">
        <is>
          <t>2027.1Q</t>
        </is>
      </c>
      <c r="O244" s="5" t="inlineStr">
        <is>
          <t>2017</t>
        </is>
      </c>
      <c r="P244" s="5" t="inlineStr">
        <is>
          <t>2018</t>
        </is>
      </c>
      <c r="Q244" s="5" t="inlineStr">
        <is>
          <t>2019</t>
        </is>
      </c>
      <c r="R244" s="5" t="inlineStr">
        <is>
          <t>2020</t>
        </is>
      </c>
      <c r="S244" s="5" t="inlineStr">
        <is>
          <t>2021</t>
        </is>
      </c>
      <c r="T244" s="5" t="inlineStr">
        <is>
          <t>2022</t>
        </is>
      </c>
      <c r="U244" s="5" t="inlineStr">
        <is>
          <t>2023</t>
        </is>
      </c>
      <c r="V244" s="5" t="inlineStr">
        <is>
          <t>2024</t>
        </is>
      </c>
      <c r="W244" s="5" t="inlineStr">
        <is>
          <t>2025</t>
        </is>
      </c>
      <c r="X244" s="5" t="inlineStr">
        <is>
          <t>2026</t>
        </is>
      </c>
      <c r="Y244" s="5" t="inlineStr">
        <is>
          <t>2027(MW)</t>
        </is>
      </c>
      <c r="Z244" s="5" t="inlineStr">
        <is>
          <t>2028(MW)</t>
        </is>
      </c>
      <c r="AA244" s="5" t="inlineStr">
        <is>
          <t>2029(MW)</t>
        </is>
      </c>
      <c r="AB244" s="5" t="inlineStr">
        <is>
          <t>2030(MW)</t>
        </is>
      </c>
      <c r="AC244" s="5" t="inlineStr">
        <is>
          <t>2031(MW)</t>
        </is>
      </c>
    </row>
    <row r="245">
      <c r="A245" s="9" t="inlineStr">
        <is>
          <t>법인세차감전 순이익</t>
        </is>
      </c>
      <c r="C245" s="12" t="n">
        <v>126879</v>
      </c>
      <c r="E245" s="12" t="n">
        <v>204838</v>
      </c>
      <c r="G245" s="12" t="n">
        <v>112648</v>
      </c>
      <c r="I245" s="12" t="n">
        <v>196566</v>
      </c>
      <c r="K245" s="12" t="n">
        <v>105416</v>
      </c>
      <c r="M245" s="12" t="n">
        <v>223501</v>
      </c>
      <c r="O245" s="12" t="n">
        <v>139462</v>
      </c>
      <c r="P245" s="12" t="n">
        <v>196641</v>
      </c>
      <c r="Q245" s="12" t="n">
        <v>154023</v>
      </c>
      <c r="R245" s="12" t="n">
        <v>51501</v>
      </c>
      <c r="V245" s="12" t="n">
        <v>204838</v>
      </c>
      <c r="W245" s="12" t="n">
        <v>196566</v>
      </c>
      <c r="X245" s="12" t="n">
        <v>223501</v>
      </c>
    </row>
    <row r="246">
      <c r="A246" s="18" t="inlineStr">
        <is>
          <t>감가상각비</t>
        </is>
      </c>
      <c r="C246" s="20" t="n">
        <v>70424</v>
      </c>
      <c r="E246" s="20" t="n">
        <v>142315</v>
      </c>
      <c r="G246" s="20" t="n">
        <v>73488</v>
      </c>
      <c r="I246" s="20" t="n">
        <v>148659</v>
      </c>
      <c r="K246" s="20" t="n">
        <v>81196</v>
      </c>
      <c r="M246" s="20" t="n">
        <v>169012</v>
      </c>
      <c r="O246" s="20" t="n">
        <v>140354</v>
      </c>
      <c r="P246" s="20" t="n">
        <v>150408</v>
      </c>
      <c r="Q246" s="20" t="n">
        <v>159541</v>
      </c>
      <c r="R246" s="20" t="n">
        <v>175739</v>
      </c>
      <c r="S246" s="20" t="n">
        <v>176352</v>
      </c>
      <c r="T246" s="20" t="n">
        <v>157505</v>
      </c>
      <c r="U246" s="20" t="n">
        <v>148270</v>
      </c>
      <c r="V246" s="20" t="n">
        <v>142315</v>
      </c>
      <c r="W246" s="20" t="n">
        <v>148659</v>
      </c>
      <c r="X246" s="20" t="n">
        <v>169012</v>
      </c>
    </row>
    <row r="247">
      <c r="A247" s="18" t="inlineStr">
        <is>
          <t>영업권 상각</t>
        </is>
      </c>
      <c r="C247" s="20" t="n">
        <v>1058</v>
      </c>
      <c r="E247" s="20" t="n">
        <v>2116</v>
      </c>
      <c r="G247" s="20" t="n">
        <v>1000</v>
      </c>
      <c r="I247" s="20" t="n">
        <v>2001</v>
      </c>
      <c r="K247" s="20" t="n">
        <v>1000</v>
      </c>
      <c r="M247" s="20" t="n">
        <v>2001</v>
      </c>
      <c r="O247" s="20" t="n">
        <v>176</v>
      </c>
      <c r="P247" s="20" t="n">
        <v>4031</v>
      </c>
      <c r="Q247" s="20" t="n">
        <v>4031</v>
      </c>
      <c r="R247" s="20" t="n">
        <v>4006</v>
      </c>
      <c r="S247" s="20" t="n">
        <v>2115</v>
      </c>
      <c r="T247" s="20" t="n">
        <v>2116</v>
      </c>
      <c r="U247" s="20" t="n">
        <v>2115</v>
      </c>
      <c r="V247" s="20" t="n">
        <v>2116</v>
      </c>
      <c r="W247" s="20" t="n">
        <v>2001</v>
      </c>
      <c r="X247" s="20" t="n">
        <v>2001</v>
      </c>
    </row>
    <row r="248">
      <c r="A248" s="18" t="inlineStr">
        <is>
          <t>부의 영업권 발생이익</t>
        </is>
      </c>
      <c r="G248" s="20" t="n">
        <v>0</v>
      </c>
      <c r="I248" s="20" t="n">
        <v>0</v>
      </c>
      <c r="K248" s="20" t="n">
        <v>-7165</v>
      </c>
      <c r="M248" s="20" t="n">
        <v>-7165</v>
      </c>
      <c r="W248" s="20" t="n">
        <v>0</v>
      </c>
      <c r="X248" s="20" t="n">
        <v>-7165</v>
      </c>
    </row>
    <row r="249">
      <c r="A249" s="18" t="inlineStr">
        <is>
          <t>손상차손</t>
        </is>
      </c>
      <c r="G249" s="20" t="n">
        <v>0</v>
      </c>
      <c r="I249" s="20" t="n">
        <v>0</v>
      </c>
      <c r="K249" s="20" t="n">
        <v>1027</v>
      </c>
      <c r="M249" s="20" t="n">
        <v>7732</v>
      </c>
      <c r="O249" s="20" t="n">
        <v>2208</v>
      </c>
      <c r="P249" s="20" t="n">
        <v>6061</v>
      </c>
      <c r="Q249" s="20" t="n">
        <v>1997</v>
      </c>
      <c r="R249" s="20" t="n">
        <v>25159</v>
      </c>
      <c r="S249" s="20" t="n">
        <v>75575</v>
      </c>
      <c r="T249" s="20" t="n">
        <v>9357</v>
      </c>
      <c r="U249" s="20" t="n">
        <v>0</v>
      </c>
      <c r="W249" s="20" t="n">
        <v>0</v>
      </c>
      <c r="X249" s="20" t="n">
        <v>7732</v>
      </c>
    </row>
    <row r="250">
      <c r="A250" s="18" t="inlineStr">
        <is>
          <t>Loss Gain On Disposal And Sale Of Property And Equipment Ope CF</t>
        </is>
      </c>
      <c r="C250" s="20" t="n">
        <v>-578</v>
      </c>
      <c r="E250" s="20" t="n">
        <v>2651</v>
      </c>
      <c r="G250" s="20" t="n">
        <v>2231</v>
      </c>
      <c r="I250" s="20" t="n">
        <v>6431</v>
      </c>
      <c r="K250" s="20" t="n">
        <v>2051</v>
      </c>
      <c r="M250" s="20" t="n">
        <v>4291</v>
      </c>
      <c r="O250" s="20" t="n">
        <v>4160</v>
      </c>
      <c r="P250" s="20" t="n">
        <v>-7970</v>
      </c>
      <c r="Q250" s="20" t="n">
        <v>9204</v>
      </c>
      <c r="R250" s="20" t="n">
        <v>689</v>
      </c>
      <c r="S250" s="20" t="n">
        <v>10759</v>
      </c>
      <c r="T250" s="20" t="n">
        <v>-15637</v>
      </c>
      <c r="U250" s="20" t="n">
        <v>-6123</v>
      </c>
      <c r="V250" s="20" t="n">
        <v>2651</v>
      </c>
      <c r="W250" s="20" t="n">
        <v>6431</v>
      </c>
      <c r="X250" s="20" t="n">
        <v>4291</v>
      </c>
    </row>
    <row r="251">
      <c r="A251" s="18" t="inlineStr">
        <is>
          <t>Loss On Cancellation Of Contracts Ope CF</t>
        </is>
      </c>
      <c r="S251" s="20" t="n">
        <v>0</v>
      </c>
      <c r="T251" s="20" t="n">
        <v>4055</v>
      </c>
      <c r="U251" s="20" t="n">
        <v>0</v>
      </c>
    </row>
    <row r="252">
      <c r="A252" s="18" t="inlineStr">
        <is>
          <t>투자유가증권 매각·평가손익</t>
        </is>
      </c>
      <c r="O252" s="20" t="n">
        <v>-1976</v>
      </c>
      <c r="P252" s="20" t="n">
        <v>-1170</v>
      </c>
      <c r="Q252" s="20" t="n">
        <v>-149</v>
      </c>
      <c r="R252" s="20" t="n">
        <v>-269</v>
      </c>
      <c r="S252" s="20" t="n">
        <v>8058</v>
      </c>
      <c r="T252" s="20" t="n">
        <v>-2941</v>
      </c>
    </row>
    <row r="253">
      <c r="A253" s="18" t="inlineStr">
        <is>
          <t>관계회사 주식 평가손실</t>
        </is>
      </c>
      <c r="O253" s="20" t="n">
        <v>571</v>
      </c>
      <c r="P253" s="20" t="n">
        <v>446</v>
      </c>
      <c r="Q253" s="20" t="n">
        <v>0</v>
      </c>
    </row>
    <row r="254">
      <c r="A254" s="18" t="inlineStr">
        <is>
          <t>관계회사 주식 매각손익</t>
        </is>
      </c>
      <c r="P254" s="20" t="n">
        <v>0</v>
      </c>
      <c r="Q254" s="20" t="n">
        <v>343</v>
      </c>
      <c r="R254" s="20" t="n">
        <v>7</v>
      </c>
      <c r="S254" s="20" t="n">
        <v>0</v>
      </c>
    </row>
    <row r="255">
      <c r="A255" s="18" t="inlineStr">
        <is>
          <t>Loss On Sale And Valuation Of Investment Securities</t>
        </is>
      </c>
      <c r="E255" s="20" t="n">
        <v>2818</v>
      </c>
      <c r="T255" s="20" t="n">
        <v>-2941</v>
      </c>
      <c r="U255" s="20" t="n">
        <v>841</v>
      </c>
      <c r="V255" s="20" t="n">
        <v>2818</v>
      </c>
    </row>
    <row r="256">
      <c r="A256" s="18" t="inlineStr">
        <is>
          <t>환산조정 환입이익</t>
        </is>
      </c>
      <c r="E256" s="20" t="n">
        <v>0</v>
      </c>
      <c r="T256" s="20" t="n">
        <v>0</v>
      </c>
      <c r="U256" s="20" t="n">
        <v>-1987</v>
      </c>
      <c r="V256" s="20" t="n">
        <v>0</v>
      </c>
    </row>
    <row r="257">
      <c r="A257" s="18" t="inlineStr">
        <is>
          <t>Loss Gain On Sales And Valuation Of Securities Ope CF</t>
        </is>
      </c>
      <c r="C257" s="20" t="n">
        <v>451</v>
      </c>
      <c r="G257" s="20" t="n">
        <v>-265</v>
      </c>
      <c r="K257" s="20" t="n">
        <v>-4091</v>
      </c>
    </row>
    <row r="258">
      <c r="A258" s="18" t="inlineStr">
        <is>
          <t>Loss On Sale And Valuation Of Investment Securities Ope CF</t>
        </is>
      </c>
      <c r="E258" s="20" t="n">
        <v>2818</v>
      </c>
      <c r="I258" s="20" t="n">
        <v>-404</v>
      </c>
      <c r="M258" s="20" t="n">
        <v>-4746</v>
      </c>
      <c r="V258" s="20" t="n">
        <v>2818</v>
      </c>
      <c r="W258" s="20" t="n">
        <v>-404</v>
      </c>
      <c r="X258" s="20" t="n">
        <v>-4746</v>
      </c>
    </row>
    <row r="259">
      <c r="A259" s="18" t="inlineStr">
        <is>
          <t>대손충당금 증감</t>
        </is>
      </c>
      <c r="C259" s="20" t="n">
        <v>88</v>
      </c>
      <c r="E259" s="20" t="n">
        <v>-11</v>
      </c>
      <c r="G259" s="20" t="n">
        <v>-7</v>
      </c>
      <c r="I259" s="20" t="n">
        <v>3855</v>
      </c>
      <c r="K259" s="20" t="n">
        <v>112</v>
      </c>
      <c r="M259" s="20" t="n">
        <v>359</v>
      </c>
      <c r="O259" s="20" t="n">
        <v>143</v>
      </c>
      <c r="P259" s="20" t="n">
        <v>339</v>
      </c>
      <c r="Q259" s="20" t="n">
        <v>51</v>
      </c>
      <c r="R259" s="20" t="n">
        <v>419</v>
      </c>
      <c r="S259" s="20" t="n">
        <v>-251</v>
      </c>
      <c r="T259" s="20" t="n">
        <v>770</v>
      </c>
      <c r="U259" s="20" t="n">
        <v>506</v>
      </c>
      <c r="V259" s="20" t="n">
        <v>-11</v>
      </c>
      <c r="W259" s="20" t="n">
        <v>3855</v>
      </c>
      <c r="X259" s="20" t="n">
        <v>359</v>
      </c>
    </row>
    <row r="260">
      <c r="A260" s="18" t="inlineStr">
        <is>
          <t>퇴직급여부채 증감</t>
        </is>
      </c>
      <c r="C260" s="20" t="n">
        <v>679</v>
      </c>
      <c r="E260" s="20" t="n">
        <v>1554</v>
      </c>
      <c r="G260" s="20" t="n">
        <v>923</v>
      </c>
      <c r="I260" s="20" t="n">
        <v>1062</v>
      </c>
      <c r="K260" s="20" t="n">
        <v>-1399</v>
      </c>
      <c r="M260" s="20" t="n">
        <v>-780</v>
      </c>
      <c r="O260" s="20" t="n">
        <v>1615</v>
      </c>
      <c r="P260" s="20" t="n">
        <v>6430</v>
      </c>
      <c r="Q260" s="20" t="n">
        <v>4801</v>
      </c>
      <c r="R260" s="20" t="n">
        <v>5503</v>
      </c>
      <c r="S260" s="20" t="n">
        <v>-44</v>
      </c>
      <c r="T260" s="20" t="n">
        <v>664</v>
      </c>
      <c r="U260" s="20" t="n">
        <v>2906</v>
      </c>
      <c r="V260" s="20" t="n">
        <v>1554</v>
      </c>
      <c r="W260" s="20" t="n">
        <v>1062</v>
      </c>
      <c r="X260" s="20" t="n">
        <v>-780</v>
      </c>
    </row>
    <row r="261">
      <c r="A261" s="18" t="inlineStr">
        <is>
          <t>이자·배당금 수익</t>
        </is>
      </c>
      <c r="C261" s="20" t="n">
        <v>-1547</v>
      </c>
      <c r="E261" s="20" t="n">
        <v>-2605</v>
      </c>
      <c r="G261" s="20" t="n">
        <v>-2482</v>
      </c>
      <c r="I261" s="20" t="n">
        <v>-6020</v>
      </c>
      <c r="K261" s="20" t="n">
        <v>-4591</v>
      </c>
      <c r="M261" s="20" t="n">
        <v>-9960</v>
      </c>
      <c r="O261" s="20" t="n">
        <v>-1691</v>
      </c>
      <c r="P261" s="20" t="n">
        <v>-2014</v>
      </c>
      <c r="Q261" s="20" t="n">
        <v>-2926</v>
      </c>
      <c r="R261" s="20" t="n">
        <v>-3031</v>
      </c>
      <c r="S261" s="20" t="n">
        <v>-2109</v>
      </c>
      <c r="T261" s="20" t="n">
        <v>-1285</v>
      </c>
      <c r="U261" s="20" t="n">
        <v>-1930</v>
      </c>
      <c r="V261" s="20" t="n">
        <v>-2605</v>
      </c>
      <c r="W261" s="20" t="n">
        <v>-6020</v>
      </c>
      <c r="X261" s="20" t="n">
        <v>-9960</v>
      </c>
    </row>
    <row r="262">
      <c r="A262" s="18" t="inlineStr">
        <is>
          <t>이자비용</t>
        </is>
      </c>
      <c r="C262" s="20" t="n">
        <v>11831</v>
      </c>
      <c r="E262" s="20" t="n">
        <v>23324</v>
      </c>
      <c r="G262" s="20" t="n">
        <v>11358</v>
      </c>
      <c r="I262" s="20" t="n">
        <v>23359</v>
      </c>
      <c r="K262" s="20" t="n">
        <v>12750</v>
      </c>
      <c r="M262" s="20" t="n">
        <v>22587</v>
      </c>
      <c r="O262" s="20" t="n">
        <v>9804</v>
      </c>
      <c r="P262" s="20" t="n">
        <v>8676</v>
      </c>
      <c r="Q262" s="20" t="n">
        <v>6995</v>
      </c>
      <c r="R262" s="20" t="n">
        <v>6291</v>
      </c>
      <c r="S262" s="20" t="n">
        <v>16689</v>
      </c>
      <c r="T262" s="20" t="n">
        <v>25343</v>
      </c>
      <c r="U262" s="20" t="n">
        <v>24845</v>
      </c>
      <c r="V262" s="20" t="n">
        <v>23324</v>
      </c>
      <c r="W262" s="20" t="n">
        <v>23359</v>
      </c>
      <c r="X262" s="20" t="n">
        <v>22587</v>
      </c>
    </row>
    <row r="263">
      <c r="A263" s="18" t="inlineStr">
        <is>
          <t>고용조정 보조금</t>
        </is>
      </c>
      <c r="R263" s="20" t="n">
        <v>0</v>
      </c>
      <c r="S263" s="20" t="n">
        <v>-43470</v>
      </c>
    </row>
    <row r="264">
      <c r="A264" s="18" t="inlineStr">
        <is>
          <t>고용조정 보조금</t>
        </is>
      </c>
      <c r="S264" s="20" t="n">
        <v>-43470</v>
      </c>
      <c r="T264" s="20" t="n">
        <v>-23955</v>
      </c>
    </row>
    <row r="265">
      <c r="A265" s="18" t="inlineStr">
        <is>
          <t>고용조정 보조금</t>
        </is>
      </c>
      <c r="C265" s="20" t="n">
        <v>0</v>
      </c>
      <c r="E265" s="20" t="n">
        <v>0</v>
      </c>
      <c r="T265" s="20" t="n">
        <v>-23955</v>
      </c>
      <c r="U265" s="20" t="n">
        <v>-5043</v>
      </c>
      <c r="V265" s="20" t="n">
        <v>0</v>
      </c>
    </row>
    <row r="266">
      <c r="A266" s="18" t="inlineStr">
        <is>
          <t>외환차손익</t>
        </is>
      </c>
      <c r="C266" s="20" t="n">
        <v>-3736</v>
      </c>
      <c r="E266" s="20" t="n">
        <v>-4268</v>
      </c>
      <c r="G266" s="20" t="n">
        <v>-4198</v>
      </c>
      <c r="I266" s="20" t="n">
        <v>-5063</v>
      </c>
      <c r="K266" s="20" t="n">
        <v>-553</v>
      </c>
      <c r="M266" s="20" t="n">
        <v>-3947</v>
      </c>
      <c r="O266" s="20" t="n">
        <v>1668</v>
      </c>
      <c r="P266" s="20" t="n">
        <v>261</v>
      </c>
      <c r="Q266" s="20" t="n">
        <v>-534</v>
      </c>
      <c r="R266" s="20" t="n">
        <v>273</v>
      </c>
      <c r="S266" s="20" t="n">
        <v>-2454</v>
      </c>
      <c r="T266" s="20" t="n">
        <v>-3404</v>
      </c>
      <c r="U266" s="20" t="n">
        <v>-2348</v>
      </c>
      <c r="V266" s="20" t="n">
        <v>-4268</v>
      </c>
      <c r="W266" s="20" t="n">
        <v>-5063</v>
      </c>
      <c r="X266" s="20" t="n">
        <v>-3947</v>
      </c>
    </row>
    <row r="267">
      <c r="A267" s="18" t="inlineStr">
        <is>
          <t>단계적 취득 차손익</t>
        </is>
      </c>
      <c r="O267" s="20" t="n">
        <v>0</v>
      </c>
      <c r="P267" s="20" t="n">
        <v>-33801</v>
      </c>
      <c r="Q267" s="20" t="n">
        <v>0</v>
      </c>
    </row>
    <row r="268">
      <c r="A268" s="18" t="inlineStr">
        <is>
          <t>매출채권 증감</t>
        </is>
      </c>
      <c r="C268" s="20" t="n">
        <v>-14496</v>
      </c>
      <c r="E268" s="20" t="n">
        <v>-33419</v>
      </c>
      <c r="G268" s="20" t="n">
        <v>-6521</v>
      </c>
      <c r="I268" s="20" t="n">
        <v>-29566</v>
      </c>
      <c r="K268" s="20" t="n">
        <v>4086</v>
      </c>
      <c r="M268" s="20" t="n">
        <v>-36258</v>
      </c>
      <c r="O268" s="20" t="n">
        <v>-16092</v>
      </c>
      <c r="P268" s="20" t="n">
        <v>-14201</v>
      </c>
      <c r="Q268" s="20" t="n">
        <v>-7195</v>
      </c>
      <c r="R268" s="20" t="n">
        <v>82312</v>
      </c>
      <c r="S268" s="20" t="n">
        <v>-5107</v>
      </c>
      <c r="T268" s="20" t="n">
        <v>-44964</v>
      </c>
      <c r="U268" s="20" t="n">
        <v>-36523</v>
      </c>
      <c r="V268" s="20" t="n">
        <v>-33419</v>
      </c>
      <c r="W268" s="20" t="n">
        <v>-29566</v>
      </c>
      <c r="X268" s="20" t="n">
        <v>-36258</v>
      </c>
    </row>
    <row r="269">
      <c r="A269" s="18" t="inlineStr">
        <is>
          <t>Increase Decrease In Other Current Assets Ope CF</t>
        </is>
      </c>
      <c r="C269" s="20" t="n">
        <v>-14832</v>
      </c>
      <c r="E269" s="20" t="n">
        <v>-25279</v>
      </c>
      <c r="G269" s="20" t="n">
        <v>-24654</v>
      </c>
      <c r="I269" s="20" t="n">
        <v>-14403</v>
      </c>
      <c r="K269" s="20" t="n">
        <v>-6457</v>
      </c>
      <c r="M269" s="20" t="n">
        <v>-3066</v>
      </c>
      <c r="O269" s="20" t="n">
        <v>5808</v>
      </c>
      <c r="P269" s="20" t="n">
        <v>-19784</v>
      </c>
      <c r="Q269" s="20" t="n">
        <v>-20788</v>
      </c>
      <c r="R269" s="20" t="n">
        <v>-9284</v>
      </c>
      <c r="S269" s="20" t="n">
        <v>52880</v>
      </c>
      <c r="T269" s="20" t="n">
        <v>20687</v>
      </c>
      <c r="U269" s="20" t="n">
        <v>5758</v>
      </c>
      <c r="V269" s="20" t="n">
        <v>-25279</v>
      </c>
      <c r="W269" s="20" t="n">
        <v>-14403</v>
      </c>
      <c r="X269" s="20" t="n">
        <v>-3066</v>
      </c>
    </row>
    <row r="270">
      <c r="A270" s="18" t="inlineStr">
        <is>
          <t>매입채무 증감</t>
        </is>
      </c>
      <c r="C270" s="20" t="n">
        <v>61180</v>
      </c>
      <c r="E270" s="20" t="n">
        <v>62539</v>
      </c>
      <c r="G270" s="20" t="n">
        <v>-17979</v>
      </c>
      <c r="I270" s="20" t="n">
        <v>-825</v>
      </c>
      <c r="K270" s="20" t="n">
        <v>-9232</v>
      </c>
      <c r="M270" s="20" t="n">
        <v>20882</v>
      </c>
      <c r="O270" s="20" t="n">
        <v>13026</v>
      </c>
      <c r="P270" s="20" t="n">
        <v>37149</v>
      </c>
      <c r="Q270" s="20" t="n">
        <v>3355</v>
      </c>
      <c r="R270" s="20" t="n">
        <v>-38045</v>
      </c>
      <c r="S270" s="20" t="n">
        <v>-25160</v>
      </c>
      <c r="T270" s="20" t="n">
        <v>2473</v>
      </c>
      <c r="U270" s="20" t="n">
        <v>35612</v>
      </c>
      <c r="V270" s="20" t="n">
        <v>62539</v>
      </c>
      <c r="W270" s="20" t="n">
        <v>-825</v>
      </c>
      <c r="X270" s="20" t="n">
        <v>20882</v>
      </c>
    </row>
    <row r="271">
      <c r="A271" s="18" t="inlineStr">
        <is>
          <t>Increase Decrease In Advance Ticket Sales Ope CF</t>
        </is>
      </c>
      <c r="O271" s="20" t="n">
        <v>21996</v>
      </c>
      <c r="P271" s="20" t="n">
        <v>22949</v>
      </c>
      <c r="Q271" s="20" t="n">
        <v>37597</v>
      </c>
      <c r="R271" s="20" t="n">
        <v>-107123</v>
      </c>
      <c r="S271" s="20" t="n">
        <v>-67109</v>
      </c>
      <c r="T271" s="20" t="n">
        <v>0</v>
      </c>
    </row>
    <row r="272">
      <c r="A272" s="18" t="inlineStr">
        <is>
          <t>계약부채 증감</t>
        </is>
      </c>
      <c r="C272" s="20" t="n">
        <v>52496</v>
      </c>
      <c r="E272" s="20" t="n">
        <v>51437</v>
      </c>
      <c r="G272" s="20" t="n">
        <v>57548</v>
      </c>
      <c r="I272" s="20" t="n">
        <v>81129</v>
      </c>
      <c r="K272" s="20" t="n">
        <v>44894</v>
      </c>
      <c r="M272" s="20" t="n">
        <v>69836</v>
      </c>
      <c r="S272" s="20" t="n">
        <v>0</v>
      </c>
      <c r="T272" s="20" t="n">
        <v>15445</v>
      </c>
      <c r="U272" s="20" t="n">
        <v>137522</v>
      </c>
      <c r="V272" s="20" t="n">
        <v>51437</v>
      </c>
      <c r="W272" s="20" t="n">
        <v>81129</v>
      </c>
      <c r="X272" s="20" t="n">
        <v>69836</v>
      </c>
    </row>
    <row r="273">
      <c r="A273" s="18" t="inlineStr">
        <is>
          <t>기타</t>
        </is>
      </c>
      <c r="C273" s="20" t="n">
        <v>-25096</v>
      </c>
      <c r="E273" s="20" t="n">
        <v>14111</v>
      </c>
      <c r="G273" s="20" t="n">
        <v>-30396</v>
      </c>
      <c r="I273" s="20" t="n">
        <v>-10885</v>
      </c>
      <c r="K273" s="20" t="n">
        <v>-26790</v>
      </c>
      <c r="M273" s="20" t="n">
        <v>11005</v>
      </c>
      <c r="O273" s="20" t="n">
        <v>-2041</v>
      </c>
      <c r="P273" s="20" t="n">
        <v>2742</v>
      </c>
      <c r="Q273" s="20" t="n">
        <v>12694</v>
      </c>
      <c r="R273" s="20" t="n">
        <v>-14510</v>
      </c>
      <c r="S273" s="20" t="n">
        <v>49496</v>
      </c>
      <c r="T273" s="20" t="n">
        <v>-43432</v>
      </c>
      <c r="U273" s="20" t="n">
        <v>50230</v>
      </c>
      <c r="V273" s="20" t="n">
        <v>14111</v>
      </c>
      <c r="W273" s="20" t="n">
        <v>-10885</v>
      </c>
      <c r="X273" s="20" t="n">
        <v>11005</v>
      </c>
    </row>
    <row r="274">
      <c r="A274" s="18" t="inlineStr">
        <is>
          <t>소계</t>
        </is>
      </c>
      <c r="C274" s="20" t="n">
        <v>264801</v>
      </c>
      <c r="E274" s="20" t="n">
        <v>442121</v>
      </c>
      <c r="G274" s="20" t="n">
        <v>172694</v>
      </c>
      <c r="I274" s="20" t="n">
        <v>395896</v>
      </c>
      <c r="K274" s="20" t="n">
        <v>192254</v>
      </c>
      <c r="M274" s="20" t="n">
        <v>465284</v>
      </c>
      <c r="O274" s="20" t="n">
        <v>319191</v>
      </c>
      <c r="P274" s="20" t="n">
        <v>357193</v>
      </c>
      <c r="Q274" s="20" t="n">
        <v>363040</v>
      </c>
      <c r="R274" s="20" t="n">
        <v>179637</v>
      </c>
      <c r="S274" s="20" t="n">
        <v>-299152</v>
      </c>
      <c r="T274" s="20" t="n">
        <v>-72577</v>
      </c>
      <c r="U274" s="20" t="n">
        <v>468993</v>
      </c>
      <c r="V274" s="20" t="n">
        <v>442121</v>
      </c>
      <c r="W274" s="20" t="n">
        <v>395896</v>
      </c>
      <c r="X274" s="20" t="n">
        <v>465284</v>
      </c>
    </row>
    <row r="275">
      <c r="A275" s="18" t="inlineStr">
        <is>
          <t>이자·배당금 수취</t>
        </is>
      </c>
      <c r="C275" s="20" t="n">
        <v>1891</v>
      </c>
      <c r="E275" s="20" t="n">
        <v>3563</v>
      </c>
      <c r="G275" s="20" t="n">
        <v>2548</v>
      </c>
      <c r="I275" s="20" t="n">
        <v>5762</v>
      </c>
      <c r="K275" s="20" t="n">
        <v>4962</v>
      </c>
      <c r="M275" s="20" t="n">
        <v>10199</v>
      </c>
      <c r="O275" s="20" t="n">
        <v>3519</v>
      </c>
      <c r="P275" s="20" t="n">
        <v>2906</v>
      </c>
      <c r="Q275" s="20" t="n">
        <v>3447</v>
      </c>
      <c r="R275" s="20" t="n">
        <v>3831</v>
      </c>
      <c r="S275" s="20" t="n">
        <v>2427</v>
      </c>
      <c r="T275" s="20" t="n">
        <v>1682</v>
      </c>
      <c r="U275" s="20" t="n">
        <v>2202</v>
      </c>
      <c r="V275" s="20" t="n">
        <v>3563</v>
      </c>
      <c r="W275" s="20" t="n">
        <v>5762</v>
      </c>
      <c r="X275" s="20" t="n">
        <v>10199</v>
      </c>
    </row>
    <row r="276">
      <c r="A276" s="18" t="inlineStr">
        <is>
          <t>이자 지급</t>
        </is>
      </c>
      <c r="C276" s="20" t="n">
        <v>-11790</v>
      </c>
      <c r="E276" s="20" t="n">
        <v>-23419</v>
      </c>
      <c r="G276" s="20" t="n">
        <v>-11238</v>
      </c>
      <c r="I276" s="20" t="n">
        <v>-23061</v>
      </c>
      <c r="K276" s="20" t="n">
        <v>-12586</v>
      </c>
      <c r="M276" s="20" t="n">
        <v>-23747</v>
      </c>
      <c r="O276" s="20" t="n">
        <v>-9910</v>
      </c>
      <c r="P276" s="20" t="n">
        <v>-8763</v>
      </c>
      <c r="Q276" s="20" t="n">
        <v>-7175</v>
      </c>
      <c r="R276" s="20" t="n">
        <v>-6371</v>
      </c>
      <c r="S276" s="20" t="n">
        <v>-12466</v>
      </c>
      <c r="T276" s="20" t="n">
        <v>-26081</v>
      </c>
      <c r="U276" s="20" t="n">
        <v>-24990</v>
      </c>
      <c r="V276" s="20" t="n">
        <v>-23419</v>
      </c>
      <c r="W276" s="20" t="n">
        <v>-23061</v>
      </c>
      <c r="X276" s="20" t="n">
        <v>-23747</v>
      </c>
    </row>
    <row r="277">
      <c r="A277" s="18" t="inlineStr">
        <is>
          <t>법인세 납부</t>
        </is>
      </c>
      <c r="O277" s="20" t="n">
        <v>-75716</v>
      </c>
      <c r="P277" s="20" t="n">
        <v>-35322</v>
      </c>
      <c r="Q277" s="20" t="n">
        <v>-63164</v>
      </c>
      <c r="R277" s="20" t="n">
        <v>-46928</v>
      </c>
    </row>
    <row r="278">
      <c r="A278" s="18" t="inlineStr">
        <is>
          <t>보조금 수취</t>
        </is>
      </c>
      <c r="C278" s="20" t="n">
        <v>15</v>
      </c>
      <c r="E278" s="20" t="n">
        <v>15</v>
      </c>
      <c r="G278" s="20" t="n">
        <v>0</v>
      </c>
      <c r="I278" s="20" t="n">
        <v>0</v>
      </c>
      <c r="R278" s="20" t="n">
        <v>0</v>
      </c>
      <c r="S278" s="20" t="n">
        <v>38001</v>
      </c>
      <c r="T278" s="20" t="n">
        <v>26046</v>
      </c>
      <c r="U278" s="20" t="n">
        <v>7300</v>
      </c>
      <c r="V278" s="20" t="n">
        <v>15</v>
      </c>
      <c r="W278" s="20" t="n">
        <v>0</v>
      </c>
    </row>
    <row r="279">
      <c r="A279" s="18" t="inlineStr">
        <is>
          <t>법인세 납부·환급</t>
        </is>
      </c>
      <c r="C279" s="20" t="n">
        <v>-306</v>
      </c>
      <c r="E279" s="20" t="n">
        <v>-1658</v>
      </c>
      <c r="G279" s="20" t="n">
        <v>-3566</v>
      </c>
      <c r="I279" s="20" t="n">
        <v>-5563</v>
      </c>
      <c r="K279" s="20" t="n">
        <v>-5615</v>
      </c>
      <c r="M279" s="20" t="n">
        <v>-8277</v>
      </c>
      <c r="R279" s="20" t="n">
        <v>-46928</v>
      </c>
      <c r="S279" s="20" t="n">
        <v>749</v>
      </c>
      <c r="T279" s="20" t="n">
        <v>-5483</v>
      </c>
      <c r="U279" s="20" t="n">
        <v>-3683</v>
      </c>
      <c r="V279" s="20" t="n">
        <v>-1658</v>
      </c>
      <c r="W279" s="20" t="n">
        <v>-5563</v>
      </c>
      <c r="X279" s="20" t="n">
        <v>-8277</v>
      </c>
    </row>
    <row r="280">
      <c r="A280" s="9" t="inlineStr">
        <is>
          <t>영업활동 현금흐름</t>
        </is>
      </c>
      <c r="C280" s="12" t="n">
        <v>254611</v>
      </c>
      <c r="E280" s="12" t="n">
        <v>420622</v>
      </c>
      <c r="G280" s="12" t="n">
        <v>160438</v>
      </c>
      <c r="I280" s="12" t="n">
        <v>373034</v>
      </c>
      <c r="K280" s="12" t="n">
        <v>179015</v>
      </c>
      <c r="M280" s="12" t="n">
        <v>443459</v>
      </c>
      <c r="O280" s="12" t="n">
        <v>237084</v>
      </c>
      <c r="P280" s="12" t="n">
        <v>316014</v>
      </c>
      <c r="Q280" s="12" t="n">
        <v>296148</v>
      </c>
      <c r="R280" s="12" t="n">
        <v>130169</v>
      </c>
      <c r="S280" s="12" t="n">
        <v>-270441</v>
      </c>
      <c r="T280" s="12" t="n">
        <v>-76413</v>
      </c>
      <c r="U280" s="12" t="n">
        <v>449822</v>
      </c>
      <c r="V280" s="12" t="n">
        <v>420622</v>
      </c>
      <c r="W280" s="12" t="n">
        <v>373034</v>
      </c>
      <c r="X280" s="12" t="n">
        <v>443459</v>
      </c>
    </row>
    <row r="281">
      <c r="A281" s="18" t="inlineStr">
        <is>
          <t>정기예금 예입</t>
        </is>
      </c>
      <c r="G281" s="20" t="n">
        <v>0</v>
      </c>
      <c r="I281" s="20" t="n">
        <v>0</v>
      </c>
      <c r="K281" s="20" t="n">
        <v>-200</v>
      </c>
      <c r="M281" s="20" t="n">
        <v>-200</v>
      </c>
      <c r="O281" s="20" t="n">
        <v>0</v>
      </c>
      <c r="P281" s="20" t="n">
        <v>-28265</v>
      </c>
      <c r="Q281" s="20" t="n">
        <v>-45811</v>
      </c>
      <c r="R281" s="20" t="n">
        <v>-55819</v>
      </c>
      <c r="S281" s="20" t="n">
        <v>-372626</v>
      </c>
      <c r="T281" s="20" t="n">
        <v>-655500</v>
      </c>
      <c r="U281" s="20" t="n">
        <v>-861080</v>
      </c>
      <c r="W281" s="20" t="n">
        <v>0</v>
      </c>
      <c r="X281" s="20" t="n">
        <v>-200</v>
      </c>
    </row>
    <row r="282">
      <c r="A282" s="18" t="inlineStr">
        <is>
          <t>정기예금 인출</t>
        </is>
      </c>
      <c r="O282" s="20" t="n">
        <v>118</v>
      </c>
      <c r="P282" s="20" t="n">
        <v>25705</v>
      </c>
      <c r="Q282" s="20" t="n">
        <v>30794</v>
      </c>
      <c r="R282" s="20" t="n">
        <v>50789</v>
      </c>
      <c r="S282" s="20" t="n">
        <v>162300</v>
      </c>
      <c r="T282" s="20" t="n">
        <v>635713</v>
      </c>
      <c r="U282" s="20" t="n">
        <v>735354</v>
      </c>
    </row>
    <row r="283">
      <c r="A283" s="18" t="inlineStr">
        <is>
          <t>유가증권 취득</t>
        </is>
      </c>
      <c r="C283" s="20" t="n">
        <v>-262916</v>
      </c>
      <c r="E283" s="20" t="n">
        <v>-528209</v>
      </c>
      <c r="G283" s="20" t="n">
        <v>-739004</v>
      </c>
      <c r="I283" s="20" t="n">
        <v>-1392578</v>
      </c>
      <c r="K283" s="20" t="n">
        <v>-711589</v>
      </c>
      <c r="M283" s="20" t="n">
        <v>-1498630</v>
      </c>
      <c r="O283" s="20" t="n">
        <v>-29460</v>
      </c>
      <c r="P283" s="20" t="n">
        <v>-159970</v>
      </c>
      <c r="Q283" s="20" t="n">
        <v>-176060</v>
      </c>
      <c r="R283" s="20" t="n">
        <v>-175070</v>
      </c>
      <c r="S283" s="20" t="n">
        <v>-437280</v>
      </c>
      <c r="T283" s="20" t="n">
        <v>-253889</v>
      </c>
      <c r="U283" s="20" t="n">
        <v>-154321</v>
      </c>
      <c r="V283" s="20" t="n">
        <v>-528209</v>
      </c>
      <c r="W283" s="20" t="n">
        <v>-1392578</v>
      </c>
      <c r="X283" s="20" t="n">
        <v>-1498630</v>
      </c>
    </row>
    <row r="284">
      <c r="A284" s="18" t="inlineStr">
        <is>
          <t>유가증권 상환 수입</t>
        </is>
      </c>
      <c r="C284" s="20" t="n">
        <v>91822</v>
      </c>
      <c r="E284" s="20" t="n">
        <v>343158</v>
      </c>
      <c r="G284" s="20" t="n">
        <v>461771</v>
      </c>
      <c r="I284" s="20" t="n">
        <v>1294172</v>
      </c>
      <c r="K284" s="20" t="n">
        <v>541327</v>
      </c>
      <c r="M284" s="20" t="n">
        <v>1331949</v>
      </c>
      <c r="O284" s="20" t="n">
        <v>32120</v>
      </c>
      <c r="P284" s="20" t="n">
        <v>92640</v>
      </c>
      <c r="Q284" s="20" t="n">
        <v>196582</v>
      </c>
      <c r="R284" s="20" t="n">
        <v>159200</v>
      </c>
      <c r="S284" s="20" t="n">
        <v>154870</v>
      </c>
      <c r="T284" s="20" t="n">
        <v>539230</v>
      </c>
      <c r="U284" s="20" t="n">
        <v>152739</v>
      </c>
      <c r="V284" s="20" t="n">
        <v>343158</v>
      </c>
      <c r="W284" s="20" t="n">
        <v>1294172</v>
      </c>
      <c r="X284" s="20" t="n">
        <v>1331949</v>
      </c>
    </row>
    <row r="285">
      <c r="A285" s="18" t="inlineStr">
        <is>
          <t>유형자산 취득(설비투자)</t>
        </is>
      </c>
      <c r="C285" s="20" t="n">
        <v>-66421</v>
      </c>
      <c r="E285" s="20" t="n">
        <v>-202066</v>
      </c>
      <c r="G285" s="20" t="n">
        <v>-74661</v>
      </c>
      <c r="I285" s="20" t="n">
        <v>-216859</v>
      </c>
      <c r="K285" s="20" t="n">
        <v>-100544</v>
      </c>
      <c r="M285" s="20" t="n">
        <v>-215029</v>
      </c>
      <c r="O285" s="20" t="n">
        <v>-224888</v>
      </c>
      <c r="P285" s="20" t="n">
        <v>-265531</v>
      </c>
      <c r="Q285" s="20" t="n">
        <v>-336807</v>
      </c>
      <c r="R285" s="20" t="n">
        <v>-317604</v>
      </c>
      <c r="S285" s="20" t="n">
        <v>-134174</v>
      </c>
      <c r="T285" s="20" t="n">
        <v>-120591</v>
      </c>
      <c r="U285" s="20" t="n">
        <v>-93450</v>
      </c>
      <c r="V285" s="20" t="n">
        <v>-202066</v>
      </c>
      <c r="W285" s="20" t="n">
        <v>-216859</v>
      </c>
      <c r="X285" s="20" t="n">
        <v>-215029</v>
      </c>
    </row>
    <row r="286">
      <c r="A286" s="18" t="inlineStr">
        <is>
          <t>유형자산 매각</t>
        </is>
      </c>
      <c r="C286" s="20" t="n">
        <v>21569</v>
      </c>
      <c r="E286" s="20" t="n">
        <v>29171</v>
      </c>
      <c r="G286" s="20" t="n">
        <v>17097</v>
      </c>
      <c r="I286" s="20" t="n">
        <v>17555</v>
      </c>
      <c r="K286" s="20" t="n">
        <v>11776</v>
      </c>
      <c r="M286" s="20" t="n">
        <v>13126</v>
      </c>
      <c r="O286" s="20" t="n">
        <v>68145</v>
      </c>
      <c r="P286" s="20" t="n">
        <v>75807</v>
      </c>
      <c r="Q286" s="20" t="n">
        <v>84917</v>
      </c>
      <c r="R286" s="20" t="n">
        <v>151652</v>
      </c>
      <c r="S286" s="20" t="n">
        <v>54415</v>
      </c>
      <c r="T286" s="20" t="n">
        <v>87055</v>
      </c>
      <c r="U286" s="20" t="n">
        <v>42717</v>
      </c>
      <c r="V286" s="20" t="n">
        <v>29171</v>
      </c>
      <c r="W286" s="20" t="n">
        <v>17555</v>
      </c>
      <c r="X286" s="20" t="n">
        <v>13126</v>
      </c>
    </row>
    <row r="287">
      <c r="A287" s="18" t="inlineStr">
        <is>
          <t>무형자산 취득</t>
        </is>
      </c>
      <c r="C287" s="20" t="n">
        <v>-21060</v>
      </c>
      <c r="E287" s="20" t="n">
        <v>-38403</v>
      </c>
      <c r="G287" s="20" t="n">
        <v>-18077</v>
      </c>
      <c r="I287" s="20" t="n">
        <v>-39071</v>
      </c>
      <c r="K287" s="20" t="n">
        <v>-23269</v>
      </c>
      <c r="M287" s="20" t="n">
        <v>-47271</v>
      </c>
      <c r="O287" s="20" t="n">
        <v>-29537</v>
      </c>
      <c r="P287" s="20" t="n">
        <v>-39176</v>
      </c>
      <c r="Q287" s="20" t="n">
        <v>-39057</v>
      </c>
      <c r="R287" s="20" t="n">
        <v>-33757</v>
      </c>
      <c r="S287" s="20" t="n">
        <v>-22536</v>
      </c>
      <c r="T287" s="20" t="n">
        <v>-12773</v>
      </c>
      <c r="U287" s="20" t="n">
        <v>-23442</v>
      </c>
      <c r="V287" s="20" t="n">
        <v>-38403</v>
      </c>
      <c r="W287" s="20" t="n">
        <v>-39071</v>
      </c>
      <c r="X287" s="20" t="n">
        <v>-47271</v>
      </c>
    </row>
    <row r="288">
      <c r="A288" s="18" t="inlineStr">
        <is>
          <t>투자유가증권 취득</t>
        </is>
      </c>
      <c r="C288" s="20" t="n">
        <v>-793</v>
      </c>
      <c r="E288" s="20" t="n">
        <v>-2534</v>
      </c>
      <c r="G288" s="20" t="n">
        <v>-1255</v>
      </c>
      <c r="I288" s="20" t="n">
        <v>-2167</v>
      </c>
      <c r="K288" s="20" t="n">
        <v>-4191</v>
      </c>
      <c r="M288" s="20" t="n">
        <v>-4967</v>
      </c>
      <c r="O288" s="20" t="n">
        <v>-13898</v>
      </c>
      <c r="P288" s="20" t="n">
        <v>-3539</v>
      </c>
      <c r="Q288" s="20" t="n">
        <v>-18978</v>
      </c>
      <c r="R288" s="20" t="n">
        <v>-8339</v>
      </c>
      <c r="S288" s="20" t="n">
        <v>-7168</v>
      </c>
      <c r="T288" s="20" t="n">
        <v>-2975</v>
      </c>
      <c r="U288" s="20" t="n">
        <v>-674</v>
      </c>
      <c r="V288" s="20" t="n">
        <v>-2534</v>
      </c>
      <c r="W288" s="20" t="n">
        <v>-2167</v>
      </c>
      <c r="X288" s="20" t="n">
        <v>-4967</v>
      </c>
    </row>
    <row r="289">
      <c r="A289" s="18" t="inlineStr">
        <is>
          <t>투자유가증권 매각</t>
        </is>
      </c>
      <c r="C289" s="20" t="n">
        <v>0</v>
      </c>
      <c r="E289" s="20" t="n">
        <v>1153</v>
      </c>
      <c r="G289" s="20" t="n">
        <v>320</v>
      </c>
      <c r="I289" s="20" t="n">
        <v>487</v>
      </c>
      <c r="K289" s="20" t="n">
        <v>7832</v>
      </c>
      <c r="M289" s="20" t="n">
        <v>8567</v>
      </c>
      <c r="O289" s="20" t="n">
        <v>4701</v>
      </c>
      <c r="P289" s="20" t="n">
        <v>2379</v>
      </c>
      <c r="Q289" s="20" t="n">
        <v>153</v>
      </c>
      <c r="R289" s="20" t="n">
        <v>1424</v>
      </c>
      <c r="S289" s="20" t="n">
        <v>1207</v>
      </c>
      <c r="T289" s="20" t="n">
        <v>12806</v>
      </c>
      <c r="U289" s="20" t="n">
        <v>277</v>
      </c>
      <c r="V289" s="20" t="n">
        <v>1153</v>
      </c>
      <c r="W289" s="20" t="n">
        <v>487</v>
      </c>
      <c r="X289" s="20" t="n">
        <v>8567</v>
      </c>
    </row>
    <row r="290">
      <c r="A290" s="18" t="inlineStr">
        <is>
          <t>투자유가증권 환급 수입</t>
        </is>
      </c>
      <c r="O290" s="20" t="n">
        <v>162</v>
      </c>
      <c r="P290" s="20" t="n">
        <v>0</v>
      </c>
    </row>
    <row r="291">
      <c r="A291" s="18" t="inlineStr">
        <is>
          <t>연결범위 변경 자회사 주식 취득</t>
        </is>
      </c>
      <c r="O291" s="20" t="n">
        <v>0</v>
      </c>
      <c r="P291" s="20" t="n">
        <v>-19476</v>
      </c>
      <c r="Q291" s="20" t="n">
        <v>0</v>
      </c>
    </row>
    <row r="292">
      <c r="A292" s="18" t="inlineStr">
        <is>
          <t>연결범위 변경 자회사 주식 취득(수입)</t>
        </is>
      </c>
      <c r="O292" s="20" t="n">
        <v>64</v>
      </c>
      <c r="P292" s="20" t="n">
        <v>0</v>
      </c>
    </row>
    <row r="293">
      <c r="A293" s="18" t="inlineStr">
        <is>
          <t>관계회사 청산 수입</t>
        </is>
      </c>
      <c r="O293" s="20" t="n">
        <v>167</v>
      </c>
      <c r="P293" s="20" t="n">
        <v>0</v>
      </c>
    </row>
    <row r="294">
      <c r="A294" s="18" t="inlineStr">
        <is>
          <t>투자유가증권 환급 수입</t>
        </is>
      </c>
      <c r="R294" s="20" t="n">
        <v>0</v>
      </c>
      <c r="S294" s="20" t="n">
        <v>2527</v>
      </c>
    </row>
    <row r="295">
      <c r="A295" s="18" t="inlineStr">
        <is>
          <t>투자유가증권 환급 수입</t>
        </is>
      </c>
      <c r="C295" s="20" t="n">
        <v>0</v>
      </c>
      <c r="E295" s="20" t="n">
        <v>0</v>
      </c>
      <c r="G295" s="20" t="n">
        <v>727</v>
      </c>
      <c r="I295" s="20" t="n">
        <v>1327</v>
      </c>
      <c r="K295" s="20" t="n">
        <v>12</v>
      </c>
      <c r="S295" s="20" t="n">
        <v>2527</v>
      </c>
      <c r="T295" s="20" t="n">
        <v>1670</v>
      </c>
      <c r="U295" s="20" t="n">
        <v>0</v>
      </c>
      <c r="V295" s="20" t="n">
        <v>0</v>
      </c>
      <c r="W295" s="20" t="n">
        <v>1327</v>
      </c>
    </row>
    <row r="296">
      <c r="A296" s="18" t="inlineStr">
        <is>
          <t>투자유가증권 환급 수입</t>
        </is>
      </c>
      <c r="I296" s="20" t="n">
        <v>1327</v>
      </c>
      <c r="M296" s="20" t="n">
        <v>91</v>
      </c>
      <c r="W296" s="20" t="n">
        <v>1327</v>
      </c>
      <c r="X296" s="20" t="n">
        <v>91</v>
      </c>
    </row>
    <row r="297">
      <c r="A297" s="18" t="inlineStr">
        <is>
          <t>대여</t>
        </is>
      </c>
      <c r="E297" s="20" t="n">
        <v>0</v>
      </c>
      <c r="I297" s="20" t="n">
        <v>-5603</v>
      </c>
      <c r="M297" s="20" t="n">
        <v>-37</v>
      </c>
      <c r="V297" s="20" t="n">
        <v>0</v>
      </c>
      <c r="W297" s="20" t="n">
        <v>-5603</v>
      </c>
      <c r="X297" s="20" t="n">
        <v>-37</v>
      </c>
    </row>
    <row r="298">
      <c r="A298" s="18" t="inlineStr">
        <is>
          <t>기타</t>
        </is>
      </c>
      <c r="C298" s="20" t="n">
        <v>-294</v>
      </c>
      <c r="E298" s="20" t="n">
        <v>-1795</v>
      </c>
      <c r="G298" s="20" t="n">
        <v>-633</v>
      </c>
      <c r="I298" s="20" t="n">
        <v>-919</v>
      </c>
      <c r="K298" s="20" t="n">
        <v>-1359</v>
      </c>
      <c r="M298" s="20" t="n">
        <v>-2820</v>
      </c>
      <c r="O298" s="20" t="n">
        <v>-2345</v>
      </c>
      <c r="P298" s="20" t="n">
        <v>-5068</v>
      </c>
      <c r="Q298" s="20" t="n">
        <v>-4404</v>
      </c>
      <c r="R298" s="20" t="n">
        <v>-2694</v>
      </c>
      <c r="S298" s="20" t="n">
        <v>2706</v>
      </c>
      <c r="T298" s="20" t="n">
        <v>-727</v>
      </c>
      <c r="U298" s="20" t="n">
        <v>-2146</v>
      </c>
      <c r="V298" s="20" t="n">
        <v>-1795</v>
      </c>
      <c r="W298" s="20" t="n">
        <v>-919</v>
      </c>
      <c r="X298" s="20" t="n">
        <v>-2820</v>
      </c>
    </row>
    <row r="299">
      <c r="A299" s="9" t="inlineStr">
        <is>
          <t>투자활동 현금흐름</t>
        </is>
      </c>
      <c r="C299" s="12" t="n">
        <v>-238093</v>
      </c>
      <c r="E299" s="12" t="n">
        <v>-399525</v>
      </c>
      <c r="G299" s="12" t="n">
        <v>-353715</v>
      </c>
      <c r="I299" s="12" t="n">
        <v>-343656</v>
      </c>
      <c r="K299" s="12" t="n">
        <v>-280205</v>
      </c>
      <c r="M299" s="12" t="n">
        <v>-415221</v>
      </c>
      <c r="O299" s="12" t="n">
        <v>-194651</v>
      </c>
      <c r="P299" s="12" t="n">
        <v>-324494</v>
      </c>
      <c r="Q299" s="12" t="n">
        <v>-308671</v>
      </c>
      <c r="R299" s="12" t="n">
        <v>-230218</v>
      </c>
      <c r="S299" s="12" t="n">
        <v>-595759</v>
      </c>
      <c r="T299" s="12" t="n">
        <v>230019</v>
      </c>
      <c r="U299" s="12" t="n">
        <v>-78300</v>
      </c>
      <c r="V299" s="12" t="n">
        <v>-399525</v>
      </c>
      <c r="W299" s="12" t="n">
        <v>-343656</v>
      </c>
      <c r="X299" s="12" t="n">
        <v>-415221</v>
      </c>
    </row>
    <row r="300">
      <c r="A300" s="18" t="inlineStr">
        <is>
          <t>단기차입금 순증감</t>
        </is>
      </c>
      <c r="C300" s="20" t="n">
        <v>-8000</v>
      </c>
      <c r="E300" s="20" t="n">
        <v>-8000</v>
      </c>
      <c r="G300" s="20" t="n">
        <v>-7850</v>
      </c>
      <c r="I300" s="20" t="n">
        <v>-7251</v>
      </c>
      <c r="K300" s="20" t="n">
        <v>-16572</v>
      </c>
      <c r="M300" s="20" t="n">
        <v>-16215</v>
      </c>
      <c r="O300" s="20" t="n">
        <v>-95</v>
      </c>
      <c r="P300" s="20" t="n">
        <v>111</v>
      </c>
      <c r="Q300" s="20" t="n">
        <v>156</v>
      </c>
      <c r="R300" s="20" t="n">
        <v>98</v>
      </c>
      <c r="S300" s="20" t="n">
        <v>97747</v>
      </c>
      <c r="T300" s="20" t="n">
        <v>0</v>
      </c>
      <c r="U300" s="20" t="n">
        <v>-7900</v>
      </c>
      <c r="V300" s="20" t="n">
        <v>-8000</v>
      </c>
      <c r="W300" s="20" t="n">
        <v>-7251</v>
      </c>
      <c r="X300" s="20" t="n">
        <v>-16215</v>
      </c>
    </row>
    <row r="301">
      <c r="A301" s="18" t="inlineStr">
        <is>
          <t>장기차입</t>
        </is>
      </c>
      <c r="C301" s="20" t="n">
        <v>0</v>
      </c>
      <c r="E301" s="20" t="n">
        <v>0</v>
      </c>
      <c r="G301" s="20" t="n">
        <v>14001</v>
      </c>
      <c r="I301" s="20" t="n">
        <v>15786</v>
      </c>
      <c r="K301" s="20" t="n">
        <v>100681</v>
      </c>
      <c r="M301" s="20" t="n">
        <v>138529</v>
      </c>
      <c r="O301" s="20" t="n">
        <v>79729</v>
      </c>
      <c r="P301" s="20" t="n">
        <v>35078</v>
      </c>
      <c r="Q301" s="20" t="n">
        <v>69710</v>
      </c>
      <c r="R301" s="20" t="n">
        <v>96684</v>
      </c>
      <c r="S301" s="20" t="n">
        <v>827988</v>
      </c>
      <c r="T301" s="20" t="n">
        <v>0</v>
      </c>
      <c r="V301" s="20" t="n">
        <v>0</v>
      </c>
      <c r="W301" s="20" t="n">
        <v>15786</v>
      </c>
      <c r="X301" s="20" t="n">
        <v>138529</v>
      </c>
    </row>
    <row r="302">
      <c r="A302" s="18" t="inlineStr">
        <is>
          <t>장기차입금 상환</t>
        </is>
      </c>
      <c r="C302" s="20" t="n">
        <v>-42765</v>
      </c>
      <c r="E302" s="20" t="n">
        <v>-84633</v>
      </c>
      <c r="G302" s="20" t="n">
        <v>-38464</v>
      </c>
      <c r="I302" s="20" t="n">
        <v>-74295</v>
      </c>
      <c r="K302" s="20" t="n">
        <v>-108799</v>
      </c>
      <c r="M302" s="20" t="n">
        <v>-349651</v>
      </c>
      <c r="O302" s="20" t="n">
        <v>-91761</v>
      </c>
      <c r="P302" s="20" t="n">
        <v>-95170</v>
      </c>
      <c r="Q302" s="20" t="n">
        <v>-87903</v>
      </c>
      <c r="R302" s="20" t="n">
        <v>-82035</v>
      </c>
      <c r="S302" s="20" t="n">
        <v>-98949</v>
      </c>
      <c r="T302" s="20" t="n">
        <v>-72702</v>
      </c>
      <c r="U302" s="20" t="n">
        <v>-62775</v>
      </c>
      <c r="V302" s="20" t="n">
        <v>-84633</v>
      </c>
      <c r="W302" s="20" t="n">
        <v>-74295</v>
      </c>
      <c r="X302" s="20" t="n">
        <v>-349651</v>
      </c>
    </row>
    <row r="303">
      <c r="A303" s="18" t="inlineStr">
        <is>
          <t>사채 발행</t>
        </is>
      </c>
      <c r="O303" s="20" t="n">
        <v>39769</v>
      </c>
      <c r="P303" s="20" t="n">
        <v>149863</v>
      </c>
      <c r="Q303" s="20" t="n">
        <v>19876</v>
      </c>
      <c r="R303" s="20" t="n">
        <v>69586</v>
      </c>
      <c r="S303" s="20" t="n">
        <v>0</v>
      </c>
      <c r="T303" s="20" t="n">
        <v>169799</v>
      </c>
      <c r="U303" s="20" t="n">
        <v>0</v>
      </c>
    </row>
    <row r="304">
      <c r="A304" s="18" t="inlineStr">
        <is>
          <t>사채 상환</t>
        </is>
      </c>
      <c r="C304" s="20" t="n">
        <v>0</v>
      </c>
      <c r="E304" s="20" t="n">
        <v>-30000</v>
      </c>
      <c r="G304" s="20" t="n">
        <v>-70000</v>
      </c>
      <c r="I304" s="20" t="n">
        <v>-70000</v>
      </c>
      <c r="K304" s="20" t="n">
        <v>0</v>
      </c>
      <c r="M304" s="20" t="n">
        <v>-30000</v>
      </c>
      <c r="O304" s="20" t="n">
        <v>0</v>
      </c>
      <c r="P304" s="20" t="n">
        <v>-20000</v>
      </c>
      <c r="Q304" s="20" t="n">
        <v>-10000</v>
      </c>
      <c r="R304" s="20" t="n">
        <v>-30000</v>
      </c>
      <c r="S304" s="20" t="n">
        <v>-20000</v>
      </c>
      <c r="T304" s="20" t="n">
        <v>0</v>
      </c>
      <c r="U304" s="20" t="n">
        <v>-70000</v>
      </c>
      <c r="V304" s="20" t="n">
        <v>-30000</v>
      </c>
      <c r="W304" s="20" t="n">
        <v>-70000</v>
      </c>
      <c r="X304" s="20" t="n">
        <v>-30000</v>
      </c>
    </row>
    <row r="305">
      <c r="A305" s="18" t="inlineStr">
        <is>
          <t>리스부채 상환</t>
        </is>
      </c>
      <c r="C305" s="20" t="n">
        <v>-1445</v>
      </c>
      <c r="E305" s="20" t="n">
        <v>-2947</v>
      </c>
      <c r="G305" s="20" t="n">
        <v>-1134</v>
      </c>
      <c r="I305" s="20" t="n">
        <v>-2207</v>
      </c>
      <c r="K305" s="20" t="n">
        <v>-839</v>
      </c>
      <c r="M305" s="20" t="n">
        <v>-1651</v>
      </c>
      <c r="O305" s="20" t="n">
        <v>-8162</v>
      </c>
      <c r="P305" s="20" t="n">
        <v>-6187</v>
      </c>
      <c r="Q305" s="20" t="n">
        <v>-5602</v>
      </c>
      <c r="R305" s="20" t="n">
        <v>-4609</v>
      </c>
      <c r="S305" s="20" t="n">
        <v>-4668</v>
      </c>
      <c r="T305" s="20" t="n">
        <v>-3011</v>
      </c>
      <c r="U305" s="20" t="n">
        <v>-3764</v>
      </c>
      <c r="V305" s="20" t="n">
        <v>-2947</v>
      </c>
      <c r="W305" s="20" t="n">
        <v>-2207</v>
      </c>
      <c r="X305" s="20" t="n">
        <v>-1651</v>
      </c>
    </row>
    <row r="306">
      <c r="A306" s="18" t="inlineStr">
        <is>
          <t>연결범위 변경 없는 자회사 주식 취득</t>
        </is>
      </c>
      <c r="C306" s="20" t="n">
        <v>0</v>
      </c>
      <c r="E306" s="20" t="n">
        <v>0</v>
      </c>
      <c r="G306" s="20" t="n">
        <v>-6678</v>
      </c>
      <c r="I306" s="20" t="n">
        <v>-11363</v>
      </c>
      <c r="K306" s="20" t="n">
        <v>0</v>
      </c>
      <c r="M306" s="20" t="n">
        <v>0</v>
      </c>
      <c r="P306" s="20" t="n">
        <v>0</v>
      </c>
      <c r="Q306" s="20" t="n">
        <v>-11326</v>
      </c>
      <c r="R306" s="20" t="n">
        <v>-96</v>
      </c>
      <c r="S306" s="20" t="n">
        <v>0</v>
      </c>
      <c r="V306" s="20" t="n">
        <v>0</v>
      </c>
      <c r="W306" s="20" t="n">
        <v>-11363</v>
      </c>
      <c r="X306" s="20" t="n">
        <v>0</v>
      </c>
    </row>
    <row r="307">
      <c r="A307" s="18" t="inlineStr">
        <is>
          <t>주식 발행</t>
        </is>
      </c>
      <c r="I307" s="20" t="n">
        <v>0</v>
      </c>
      <c r="M307" s="20" t="n">
        <v>193940</v>
      </c>
      <c r="R307" s="20" t="n">
        <v>0</v>
      </c>
      <c r="S307" s="20" t="n">
        <v>296098</v>
      </c>
      <c r="T307" s="20" t="n">
        <v>0</v>
      </c>
      <c r="W307" s="20" t="n">
        <v>0</v>
      </c>
      <c r="X307" s="20" t="n">
        <v>193940</v>
      </c>
    </row>
    <row r="308">
      <c r="A308" s="18" t="inlineStr">
        <is>
          <t>비지배주주 납입</t>
        </is>
      </c>
      <c r="C308" s="20" t="n">
        <v>0</v>
      </c>
      <c r="E308" s="20" t="n">
        <v>0</v>
      </c>
      <c r="G308" s="20" t="n">
        <v>3700</v>
      </c>
      <c r="I308" s="20" t="n">
        <v>3708</v>
      </c>
      <c r="K308" s="20" t="n">
        <v>4</v>
      </c>
      <c r="M308" s="20" t="n">
        <v>8</v>
      </c>
      <c r="R308" s="20" t="n">
        <v>0</v>
      </c>
      <c r="S308" s="20" t="n">
        <v>318</v>
      </c>
      <c r="T308" s="20" t="n">
        <v>0</v>
      </c>
      <c r="U308" s="20" t="n">
        <v>2000</v>
      </c>
      <c r="V308" s="20" t="n">
        <v>0</v>
      </c>
      <c r="W308" s="20" t="n">
        <v>3708</v>
      </c>
      <c r="X308" s="20" t="n">
        <v>8</v>
      </c>
    </row>
    <row r="309">
      <c r="A309" s="18" t="inlineStr">
        <is>
          <t>Net Decrease Increase In Treasury Stock Fin CF</t>
        </is>
      </c>
      <c r="C309" s="20" t="n">
        <v>-8295</v>
      </c>
      <c r="E309" s="20" t="n">
        <v>-9339</v>
      </c>
      <c r="G309" s="20" t="n">
        <v>-27</v>
      </c>
      <c r="I309" s="20" t="n">
        <v>-38</v>
      </c>
      <c r="K309" s="20" t="n">
        <v>-18532</v>
      </c>
      <c r="M309" s="20" t="n">
        <v>-60732</v>
      </c>
      <c r="O309" s="20" t="n">
        <v>1580</v>
      </c>
      <c r="P309" s="20" t="n">
        <v>-67652</v>
      </c>
      <c r="Q309" s="20" t="n">
        <v>-17</v>
      </c>
      <c r="R309" s="20" t="n">
        <v>-405</v>
      </c>
      <c r="S309" s="20" t="n">
        <v>99</v>
      </c>
      <c r="T309" s="20" t="n">
        <v>-16</v>
      </c>
      <c r="U309" s="20" t="n">
        <v>-15</v>
      </c>
      <c r="V309" s="20" t="n">
        <v>-9339</v>
      </c>
      <c r="W309" s="20" t="n">
        <v>-38</v>
      </c>
      <c r="X309" s="20" t="n">
        <v>-60732</v>
      </c>
    </row>
    <row r="310">
      <c r="A310" s="18" t="inlineStr">
        <is>
          <t>배당금 지급</t>
        </is>
      </c>
      <c r="C310" s="20" t="n">
        <v>0</v>
      </c>
      <c r="E310" s="20" t="n">
        <v>0</v>
      </c>
      <c r="G310" s="20" t="n">
        <v>-23521</v>
      </c>
      <c r="I310" s="20" t="n">
        <v>-23521</v>
      </c>
      <c r="K310" s="20" t="n">
        <v>-28220</v>
      </c>
      <c r="M310" s="20" t="n">
        <v>-28220</v>
      </c>
      <c r="O310" s="20" t="n">
        <v>-17492</v>
      </c>
      <c r="P310" s="20" t="n">
        <v>-21021</v>
      </c>
      <c r="Q310" s="20" t="n">
        <v>-20084</v>
      </c>
      <c r="R310" s="20" t="n">
        <v>-25105</v>
      </c>
      <c r="S310" s="20" t="n">
        <v>0</v>
      </c>
      <c r="V310" s="20" t="n">
        <v>0</v>
      </c>
      <c r="W310" s="20" t="n">
        <v>-23521</v>
      </c>
      <c r="X310" s="20" t="n">
        <v>-28220</v>
      </c>
    </row>
    <row r="311">
      <c r="A311" s="18" t="inlineStr">
        <is>
          <t>기타</t>
        </is>
      </c>
      <c r="C311" s="20" t="n">
        <v>-979</v>
      </c>
      <c r="E311" s="20" t="n">
        <v>-1126</v>
      </c>
      <c r="G311" s="20" t="n">
        <v>-970</v>
      </c>
      <c r="I311" s="20" t="n">
        <v>-973</v>
      </c>
      <c r="K311" s="20" t="n">
        <v>-1514</v>
      </c>
      <c r="M311" s="20" t="n">
        <v>-5368</v>
      </c>
      <c r="O311" s="20" t="n">
        <v>-219</v>
      </c>
      <c r="P311" s="20" t="n">
        <v>-5011</v>
      </c>
      <c r="Q311" s="20" t="n">
        <v>-1290</v>
      </c>
      <c r="R311" s="20" t="n">
        <v>-249</v>
      </c>
      <c r="S311" s="20" t="n">
        <v>-461</v>
      </c>
      <c r="T311" s="20" t="n">
        <v>-424</v>
      </c>
      <c r="U311" s="20" t="n">
        <v>-455</v>
      </c>
      <c r="V311" s="20" t="n">
        <v>-1126</v>
      </c>
      <c r="W311" s="20" t="n">
        <v>-973</v>
      </c>
      <c r="X311" s="20" t="n">
        <v>-5368</v>
      </c>
    </row>
    <row r="312">
      <c r="A312" s="9" t="inlineStr">
        <is>
          <t>재무활동 현금흐름</t>
        </is>
      </c>
      <c r="C312" s="12" t="n">
        <v>-61484</v>
      </c>
      <c r="E312" s="12" t="n">
        <v>-136045</v>
      </c>
      <c r="G312" s="12" t="n">
        <v>-130943</v>
      </c>
      <c r="I312" s="12" t="n">
        <v>-170154</v>
      </c>
      <c r="K312" s="12" t="n">
        <v>-73791</v>
      </c>
      <c r="M312" s="12" t="n">
        <v>-159360</v>
      </c>
      <c r="O312" s="12" t="n">
        <v>3349</v>
      </c>
      <c r="P312" s="12" t="n">
        <v>-29989</v>
      </c>
      <c r="Q312" s="12" t="n">
        <v>-46480</v>
      </c>
      <c r="R312" s="12" t="n">
        <v>23869</v>
      </c>
      <c r="S312" s="12" t="n">
        <v>1098172</v>
      </c>
      <c r="T312" s="12" t="n">
        <v>93646</v>
      </c>
      <c r="U312" s="12" t="n">
        <v>-142909</v>
      </c>
      <c r="V312" s="12" t="n">
        <v>-136045</v>
      </c>
      <c r="W312" s="12" t="n">
        <v>-170154</v>
      </c>
      <c r="X312" s="12" t="n">
        <v>-159360</v>
      </c>
    </row>
    <row r="313">
      <c r="A313" s="18" t="inlineStr">
        <is>
          <t>현금성자산 환산차이</t>
        </is>
      </c>
      <c r="C313" s="20" t="n">
        <v>3930</v>
      </c>
      <c r="E313" s="20" t="n">
        <v>3979</v>
      </c>
      <c r="G313" s="20" t="n">
        <v>30</v>
      </c>
      <c r="I313" s="20" t="n">
        <v>982</v>
      </c>
      <c r="K313" s="20" t="n">
        <v>-24</v>
      </c>
      <c r="M313" s="20" t="n">
        <v>3365</v>
      </c>
      <c r="O313" s="20" t="n">
        <v>-1847</v>
      </c>
      <c r="P313" s="20" t="n">
        <v>-80</v>
      </c>
      <c r="Q313" s="20" t="n">
        <v>332</v>
      </c>
      <c r="R313" s="20" t="n">
        <v>-274</v>
      </c>
      <c r="S313" s="20" t="n">
        <v>2649</v>
      </c>
      <c r="T313" s="20" t="n">
        <v>3626</v>
      </c>
      <c r="U313" s="20" t="n">
        <v>2539</v>
      </c>
      <c r="V313" s="20" t="n">
        <v>3979</v>
      </c>
      <c r="W313" s="20" t="n">
        <v>982</v>
      </c>
      <c r="X313" s="20" t="n">
        <v>3365</v>
      </c>
    </row>
    <row r="314">
      <c r="A314" s="18" t="inlineStr">
        <is>
          <t>현금성자산 증감</t>
        </is>
      </c>
      <c r="C314" s="20" t="n">
        <v>-41036</v>
      </c>
      <c r="E314" s="20" t="n">
        <v>-110969</v>
      </c>
      <c r="G314" s="20" t="n">
        <v>-324190</v>
      </c>
      <c r="I314" s="20" t="n">
        <v>-139794</v>
      </c>
      <c r="K314" s="20" t="n">
        <v>-175005</v>
      </c>
      <c r="M314" s="20" t="n">
        <v>-127757</v>
      </c>
      <c r="O314" s="20" t="n">
        <v>43935</v>
      </c>
      <c r="P314" s="20" t="n">
        <v>-38549</v>
      </c>
      <c r="Q314" s="20" t="n">
        <v>-58671</v>
      </c>
      <c r="R314" s="20" t="n">
        <v>-76454</v>
      </c>
      <c r="S314" s="20" t="n">
        <v>234621</v>
      </c>
      <c r="T314" s="20" t="n">
        <v>250878</v>
      </c>
      <c r="U314" s="20" t="n">
        <v>231152</v>
      </c>
      <c r="V314" s="20" t="n">
        <v>-110969</v>
      </c>
      <c r="W314" s="20" t="n">
        <v>-139794</v>
      </c>
      <c r="X314" s="20" t="n">
        <v>-127757</v>
      </c>
    </row>
    <row r="315">
      <c r="A315" s="18" t="inlineStr">
        <is>
          <t>Net Increase Resulting From Changes In Scope Of</t>
        </is>
      </c>
      <c r="Q315" s="20" t="n">
        <v>0</v>
      </c>
      <c r="R315" s="20" t="n">
        <v>553</v>
      </c>
      <c r="S315" s="20" t="n">
        <v>-236</v>
      </c>
      <c r="T315" s="20" t="n">
        <v>-163</v>
      </c>
      <c r="U315" s="20" t="n">
        <v>0</v>
      </c>
    </row>
    <row r="316">
      <c r="A316" s="18" t="inlineStr">
        <is>
          <t>주식교환 현금성자산 증가</t>
        </is>
      </c>
      <c r="G316" s="20" t="n">
        <v>0</v>
      </c>
      <c r="I316" s="20" t="n">
        <v>0</v>
      </c>
      <c r="K316" s="20" t="n">
        <v>1046</v>
      </c>
      <c r="M316" s="20" t="n">
        <v>1046</v>
      </c>
      <c r="W316" s="20" t="n">
        <v>0</v>
      </c>
      <c r="X316" s="20" t="n">
        <v>1046</v>
      </c>
    </row>
    <row r="317">
      <c r="A317" s="18" t="inlineStr">
        <is>
          <t>연결범위 변경에 따른 현금성자산 증감</t>
        </is>
      </c>
      <c r="G317" s="20" t="n">
        <v>0</v>
      </c>
      <c r="I317" s="20" t="n">
        <v>0</v>
      </c>
      <c r="K317" s="20" t="n">
        <v>378</v>
      </c>
      <c r="M317" s="20" t="n">
        <v>378</v>
      </c>
      <c r="W317" s="20" t="n">
        <v>0</v>
      </c>
      <c r="X317" s="20" t="n">
        <v>378</v>
      </c>
    </row>
    <row r="318">
      <c r="A318" s="18" t="inlineStr">
        <is>
          <t>법인세차감전 순이익</t>
        </is>
      </c>
      <c r="E318" s="20" t="n">
        <v>204838</v>
      </c>
      <c r="R318" s="20" t="n">
        <v>51501</v>
      </c>
      <c r="S318" s="20" t="n">
        <v>-545372</v>
      </c>
      <c r="T318" s="20" t="n">
        <v>-175374</v>
      </c>
      <c r="U318" s="20" t="n">
        <v>114342</v>
      </c>
      <c r="V318" s="20" t="n">
        <v>204838</v>
      </c>
    </row>
    <row r="319">
      <c r="A319" s="18" t="inlineStr">
        <is>
          <t>Loss Before Income Taxes Ope CF</t>
        </is>
      </c>
      <c r="S319" s="20" t="n">
        <v>-545372</v>
      </c>
      <c r="T319" s="20" t="n">
        <v>-175374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9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9202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1748939</v>
      </c>
      <c r="D5" s="12" t="n">
        <v>1732757</v>
      </c>
      <c r="E5" s="12" t="n">
        <v>1790756</v>
      </c>
      <c r="F5" s="12" t="n">
        <v>1890505</v>
      </c>
      <c r="G5" s="12" t="n">
        <v>1829907</v>
      </c>
      <c r="H5" s="11" t="n">
        <v>1293921</v>
      </c>
      <c r="I5" s="12" t="n">
        <v>1550820</v>
      </c>
      <c r="J5" s="12" t="n">
        <v>1701190</v>
      </c>
      <c r="K5" s="12" t="n">
        <v>1693726</v>
      </c>
      <c r="L5" s="12" t="n">
        <v>1890505</v>
      </c>
    </row>
    <row r="6">
      <c r="A6" s="18" t="inlineStr">
        <is>
          <t>현금및현금성자산</t>
        </is>
      </c>
      <c r="B6" s="10" t="n"/>
      <c r="C6" s="19" t="n">
        <v>545305</v>
      </c>
      <c r="D6" s="20" t="n">
        <v>531447</v>
      </c>
      <c r="E6" s="20" t="n">
        <v>541570</v>
      </c>
      <c r="F6" s="20" t="n">
        <v>552792</v>
      </c>
      <c r="G6" s="20" t="n">
        <v>572799</v>
      </c>
      <c r="H6" s="19" t="n">
        <v>452679</v>
      </c>
      <c r="I6" s="20" t="n">
        <v>603686</v>
      </c>
      <c r="J6" s="20" t="n">
        <v>600893</v>
      </c>
      <c r="K6" s="20" t="n">
        <v>454709</v>
      </c>
      <c r="L6" s="20" t="n">
        <v>552792</v>
      </c>
    </row>
    <row r="7">
      <c r="A7" s="18" t="inlineStr">
        <is>
          <t>단기금융상품</t>
        </is>
      </c>
      <c r="B7" s="10" t="n"/>
      <c r="C7" s="19" t="n">
        <v>742690</v>
      </c>
      <c r="D7" s="20" t="n">
        <v>681852</v>
      </c>
      <c r="E7" s="20" t="n">
        <v>688380</v>
      </c>
      <c r="F7" s="20" t="n">
        <v>704174</v>
      </c>
      <c r="G7" s="20" t="n">
        <v>636972</v>
      </c>
      <c r="H7" s="19" t="n">
        <v>498310</v>
      </c>
      <c r="I7" s="20" t="n">
        <v>580037</v>
      </c>
      <c r="J7" s="20" t="n">
        <v>656913</v>
      </c>
      <c r="K7" s="20" t="n">
        <v>761709</v>
      </c>
      <c r="L7" s="20" t="n">
        <v>704174</v>
      </c>
    </row>
    <row r="8">
      <c r="A8" s="18" t="inlineStr">
        <is>
          <t>매출채권</t>
        </is>
      </c>
      <c r="B8" s="10" t="n"/>
      <c r="C8" s="19" t="n"/>
      <c r="D8" s="20" t="n"/>
      <c r="E8" s="20" t="n"/>
      <c r="F8" s="20" t="n"/>
      <c r="G8" s="20" t="n"/>
      <c r="H8" s="19" t="n"/>
      <c r="I8" s="20" t="n"/>
      <c r="J8" s="20" t="n"/>
      <c r="K8" s="20" t="n"/>
      <c r="L8" s="20" t="n"/>
    </row>
    <row r="9">
      <c r="A9" s="18" t="inlineStr">
        <is>
          <t>재고자산</t>
        </is>
      </c>
      <c r="B9" s="10" t="n"/>
      <c r="C9" s="19" t="n">
        <v>77474</v>
      </c>
      <c r="D9" s="20" t="n">
        <v>86624</v>
      </c>
      <c r="E9" s="20" t="n">
        <v>89112</v>
      </c>
      <c r="F9" s="20" t="n">
        <v>89946</v>
      </c>
      <c r="G9" s="20" t="n">
        <v>94680</v>
      </c>
      <c r="H9" s="19" t="n">
        <v>44074</v>
      </c>
      <c r="I9" s="20" t="n">
        <v>44655</v>
      </c>
      <c r="J9" s="20" t="n">
        <v>53961</v>
      </c>
      <c r="K9" s="20" t="n">
        <v>75844</v>
      </c>
      <c r="L9" s="20" t="n">
        <v>89946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1914906</v>
      </c>
      <c r="D11" s="12" t="n">
        <v>2015358</v>
      </c>
      <c r="E11" s="12" t="n">
        <v>2031534</v>
      </c>
      <c r="F11" s="12" t="n">
        <v>2063336</v>
      </c>
      <c r="G11" s="12" t="n">
        <v>2092138</v>
      </c>
      <c r="H11" s="11" t="n">
        <v>1922885</v>
      </c>
      <c r="I11" s="12" t="n">
        <v>1814907</v>
      </c>
      <c r="J11" s="12" t="n">
        <v>1867807</v>
      </c>
      <c r="K11" s="12" t="n">
        <v>1926140</v>
      </c>
      <c r="L11" s="12" t="n">
        <v>2063336</v>
      </c>
    </row>
    <row r="12">
      <c r="A12" s="18" t="inlineStr">
        <is>
          <t>유형자산</t>
        </is>
      </c>
      <c r="B12" s="10" t="n"/>
      <c r="C12" s="19" t="n">
        <v>1397193</v>
      </c>
      <c r="D12" s="20" t="n">
        <v>1493094</v>
      </c>
      <c r="E12" s="20" t="n">
        <v>1508866</v>
      </c>
      <c r="F12" s="20" t="n">
        <v>1526765</v>
      </c>
      <c r="G12" s="20" t="n">
        <v>1548586</v>
      </c>
      <c r="H12" s="19" t="n">
        <v>1350337</v>
      </c>
      <c r="I12" s="20" t="n">
        <v>1271312</v>
      </c>
      <c r="J12" s="20" t="n">
        <v>1330753</v>
      </c>
      <c r="K12" s="20" t="n">
        <v>1404955</v>
      </c>
      <c r="L12" s="20" t="n">
        <v>1526765</v>
      </c>
    </row>
    <row r="13">
      <c r="A13" s="18" t="inlineStr">
        <is>
          <t>무형자산</t>
        </is>
      </c>
      <c r="B13" s="10" t="n"/>
      <c r="C13" s="19" t="n">
        <v>133741</v>
      </c>
      <c r="D13" s="20" t="n">
        <v>138568</v>
      </c>
      <c r="E13" s="20" t="n">
        <v>144100</v>
      </c>
      <c r="F13" s="20" t="n">
        <v>146784</v>
      </c>
      <c r="G13" s="20" t="n">
        <v>151507</v>
      </c>
      <c r="H13" s="19" t="n">
        <v>93280</v>
      </c>
      <c r="I13" s="20" t="n">
        <v>87820</v>
      </c>
      <c r="J13" s="20" t="n">
        <v>103907</v>
      </c>
      <c r="K13" s="20" t="n">
        <v>130172</v>
      </c>
      <c r="L13" s="20" t="n">
        <v>146784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3664251</v>
      </c>
      <c r="D16" s="12" t="n">
        <v>3748496</v>
      </c>
      <c r="E16" s="12" t="n">
        <v>3823680</v>
      </c>
      <c r="F16" s="12" t="n">
        <v>3955128</v>
      </c>
      <c r="G16" s="12" t="n">
        <v>3923232</v>
      </c>
      <c r="H16" s="11" t="n">
        <v>3218433</v>
      </c>
      <c r="I16" s="12" t="n">
        <v>3366724</v>
      </c>
      <c r="J16" s="12" t="n">
        <v>3569530</v>
      </c>
      <c r="K16" s="12" t="n">
        <v>3620297</v>
      </c>
      <c r="L16" s="12" t="n">
        <v>3955128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1307322</v>
      </c>
      <c r="D18" s="12" t="n">
        <v>1336541</v>
      </c>
      <c r="E18" s="12" t="n">
        <v>1126052</v>
      </c>
      <c r="F18" s="12" t="n">
        <v>1231487</v>
      </c>
      <c r="G18" s="12" t="n">
        <v>1237661</v>
      </c>
      <c r="H18" s="11" t="n">
        <v>687889</v>
      </c>
      <c r="I18" s="12" t="n">
        <v>883401</v>
      </c>
      <c r="J18" s="12" t="n">
        <v>1035428</v>
      </c>
      <c r="K18" s="12" t="n">
        <v>1276542</v>
      </c>
      <c r="L18" s="12" t="n">
        <v>1231487</v>
      </c>
    </row>
    <row r="19">
      <c r="A19" s="18" t="inlineStr">
        <is>
          <t>매입채무</t>
        </is>
      </c>
      <c r="B19" s="10" t="n"/>
      <c r="C19" s="19" t="n"/>
      <c r="D19" s="20" t="n"/>
      <c r="E19" s="20" t="n"/>
      <c r="F19" s="20" t="n"/>
      <c r="G19" s="20" t="n"/>
      <c r="H19" s="19" t="n"/>
      <c r="I19" s="20" t="n"/>
      <c r="J19" s="20" t="n"/>
      <c r="K19" s="20" t="n"/>
      <c r="L19" s="20" t="n"/>
    </row>
    <row r="20">
      <c r="A20" s="18" t="inlineStr">
        <is>
          <t>단기차입금</t>
        </is>
      </c>
      <c r="B20" s="10" t="n"/>
      <c r="C20" s="19" t="n">
        <v>68900</v>
      </c>
      <c r="D20" s="20" t="n">
        <v>68591</v>
      </c>
      <c r="E20" s="20" t="n">
        <v>69009</v>
      </c>
      <c r="F20" s="20" t="n">
        <v>68950</v>
      </c>
      <c r="G20" s="20" t="n">
        <v>60084</v>
      </c>
      <c r="H20" s="19" t="n">
        <v>100070</v>
      </c>
      <c r="I20" s="20" t="n">
        <v>92170</v>
      </c>
      <c r="J20" s="20" t="n">
        <v>84170</v>
      </c>
      <c r="K20" s="20" t="n">
        <v>76919</v>
      </c>
      <c r="L20" s="20" t="n">
        <v>68950</v>
      </c>
    </row>
    <row r="21">
      <c r="A21" s="18" t="inlineStr">
        <is>
          <t>유동성장기부채</t>
        </is>
      </c>
      <c r="B21" s="10" t="n"/>
      <c r="C21" s="19" t="n">
        <v>329247</v>
      </c>
      <c r="D21" s="20" t="n">
        <v>347180</v>
      </c>
      <c r="E21" s="20" t="n">
        <v>118799</v>
      </c>
      <c r="F21" s="20" t="n">
        <v>117368</v>
      </c>
      <c r="G21" s="20" t="n">
        <v>99033</v>
      </c>
      <c r="H21" s="19" t="n">
        <v>62775</v>
      </c>
      <c r="I21" s="20" t="n">
        <v>114633</v>
      </c>
      <c r="J21" s="20" t="n">
        <v>73777</v>
      </c>
      <c r="K21" s="20" t="n">
        <v>297166</v>
      </c>
      <c r="L21" s="20" t="n">
        <v>117368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1234283</v>
      </c>
      <c r="D23" s="12" t="n">
        <v>1227013</v>
      </c>
      <c r="E23" s="12" t="n">
        <v>1246865</v>
      </c>
      <c r="F23" s="12" t="n">
        <v>1221008</v>
      </c>
      <c r="G23" s="12" t="n">
        <v>1277272</v>
      </c>
      <c r="H23" s="11" t="n">
        <v>1727129</v>
      </c>
      <c r="I23" s="12" t="n">
        <v>1612932</v>
      </c>
      <c r="J23" s="12" t="n">
        <v>1481475</v>
      </c>
      <c r="K23" s="12" t="n">
        <v>1203660</v>
      </c>
      <c r="L23" s="12" t="n">
        <v>1221008</v>
      </c>
    </row>
    <row r="24">
      <c r="A24" s="18" t="inlineStr">
        <is>
          <t>장기차입금</t>
        </is>
      </c>
      <c r="B24" s="10" t="n"/>
      <c r="C24" s="19" t="n">
        <v>743386</v>
      </c>
      <c r="D24" s="20" t="n">
        <v>746523</v>
      </c>
      <c r="E24" s="20" t="n">
        <v>758353</v>
      </c>
      <c r="F24" s="20" t="n">
        <v>743336</v>
      </c>
      <c r="G24" s="20" t="n">
        <v>792495</v>
      </c>
      <c r="H24" s="19" t="n">
        <v>1102218</v>
      </c>
      <c r="I24" s="20" t="n">
        <v>1017585</v>
      </c>
      <c r="J24" s="20" t="n">
        <v>943808</v>
      </c>
      <c r="K24" s="20" t="n">
        <v>691910</v>
      </c>
      <c r="L24" s="20" t="n">
        <v>743336</v>
      </c>
    </row>
    <row r="25">
      <c r="A25" s="18" t="inlineStr">
        <is>
          <t>사채</t>
        </is>
      </c>
      <c r="B25" s="10" t="n"/>
      <c r="C25" s="19" t="n">
        <v>100000</v>
      </c>
      <c r="D25" s="20" t="n">
        <v>85000</v>
      </c>
      <c r="E25" s="20" t="n">
        <v>85000</v>
      </c>
      <c r="F25" s="20" t="n">
        <v>85000</v>
      </c>
      <c r="G25" s="20" t="n">
        <v>85000</v>
      </c>
      <c r="H25" s="19" t="n">
        <v>185000</v>
      </c>
      <c r="I25" s="20" t="n">
        <v>155000</v>
      </c>
      <c r="J25" s="20" t="n">
        <v>155000</v>
      </c>
      <c r="K25" s="20" t="n">
        <v>125000</v>
      </c>
      <c r="L25" s="20" t="n">
        <v>85000</v>
      </c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2541605</v>
      </c>
      <c r="D27" s="12" t="n">
        <v>2563554</v>
      </c>
      <c r="E27" s="12" t="n">
        <v>2372917</v>
      </c>
      <c r="F27" s="12" t="n">
        <v>2452495</v>
      </c>
      <c r="G27" s="12" t="n">
        <v>2514933</v>
      </c>
      <c r="H27" s="11" t="n">
        <v>2415018</v>
      </c>
      <c r="I27" s="12" t="n">
        <v>2496333</v>
      </c>
      <c r="J27" s="12" t="n">
        <v>2516903</v>
      </c>
      <c r="K27" s="12" t="n">
        <v>2480202</v>
      </c>
      <c r="L27" s="12" t="n">
        <v>2452495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1112446</v>
      </c>
      <c r="D31" s="12" t="n">
        <v>1175984</v>
      </c>
      <c r="E31" s="12" t="n">
        <v>1440416</v>
      </c>
      <c r="F31" s="12" t="n">
        <v>1491999</v>
      </c>
      <c r="G31" s="12" t="n">
        <v>1397356</v>
      </c>
      <c r="H31" s="11" t="n">
        <v>797249</v>
      </c>
      <c r="I31" s="12" t="n">
        <v>862419</v>
      </c>
      <c r="J31" s="12" t="n">
        <v>1044508</v>
      </c>
      <c r="K31" s="12" t="n">
        <v>1130317</v>
      </c>
      <c r="L31" s="12" t="n">
        <v>1491999</v>
      </c>
    </row>
    <row r="32">
      <c r="A32" s="18" t="inlineStr">
        <is>
          <t>자본금</t>
        </is>
      </c>
      <c r="B32" s="10" t="n"/>
      <c r="C32" s="19" t="n">
        <v>467601</v>
      </c>
      <c r="D32" s="20" t="n">
        <v>467601</v>
      </c>
      <c r="E32" s="20" t="n">
        <v>467601</v>
      </c>
      <c r="F32" s="20" t="n">
        <v>467601</v>
      </c>
      <c r="G32" s="20" t="n">
        <v>467601</v>
      </c>
      <c r="H32" s="19" t="n">
        <v>467601</v>
      </c>
      <c r="I32" s="20" t="n">
        <v>467601</v>
      </c>
      <c r="J32" s="20" t="n">
        <v>467601</v>
      </c>
      <c r="K32" s="20" t="n">
        <v>467601</v>
      </c>
      <c r="L32" s="20" t="n">
        <v>467601</v>
      </c>
    </row>
    <row r="33">
      <c r="A33" s="18" t="inlineStr">
        <is>
          <t>이익잉여금</t>
        </is>
      </c>
      <c r="B33" s="10" t="n"/>
      <c r="C33" s="19" t="n">
        <v>260210</v>
      </c>
      <c r="D33" s="20" t="n">
        <v>313421</v>
      </c>
      <c r="E33" s="20" t="n">
        <v>377744</v>
      </c>
      <c r="F33" s="20" t="n">
        <v>407584</v>
      </c>
      <c r="G33" s="20" t="n">
        <v>394993</v>
      </c>
      <c r="H33" s="19" t="n">
        <v>-113228</v>
      </c>
      <c r="I33" s="20" t="n">
        <v>-21126</v>
      </c>
      <c r="J33" s="20" t="n">
        <v>135971</v>
      </c>
      <c r="K33" s="20" t="n">
        <v>265477</v>
      </c>
      <c r="L33" s="20" t="n">
        <v>407584</v>
      </c>
    </row>
    <row r="34">
      <c r="A34" s="18" t="inlineStr">
        <is>
          <t>비지배지분</t>
        </is>
      </c>
      <c r="B34" s="10" t="n"/>
      <c r="C34" s="19" t="n">
        <v>10200</v>
      </c>
      <c r="D34" s="20" t="n">
        <v>8958</v>
      </c>
      <c r="E34" s="20" t="n">
        <v>10347</v>
      </c>
      <c r="F34" s="20" t="n">
        <v>10634</v>
      </c>
      <c r="G34" s="20" t="n">
        <v>10943</v>
      </c>
      <c r="H34" s="19" t="n">
        <v>6166</v>
      </c>
      <c r="I34" s="20" t="n">
        <v>7972</v>
      </c>
      <c r="J34" s="20" t="n">
        <v>8119</v>
      </c>
      <c r="K34" s="20" t="n">
        <v>9778</v>
      </c>
      <c r="L34" s="20" t="n">
        <v>10634</v>
      </c>
    </row>
    <row r="35">
      <c r="A35" s="9" t="inlineStr">
        <is>
          <t>자본총계</t>
        </is>
      </c>
      <c r="B35" s="10" t="n"/>
      <c r="C35" s="11" t="n">
        <v>1122646</v>
      </c>
      <c r="D35" s="12" t="n">
        <v>1184942</v>
      </c>
      <c r="E35" s="12" t="n">
        <v>1450763</v>
      </c>
      <c r="F35" s="12" t="n">
        <v>1502633</v>
      </c>
      <c r="G35" s="12" t="n">
        <v>1408299</v>
      </c>
      <c r="H35" s="11" t="n">
        <v>803415</v>
      </c>
      <c r="I35" s="12" t="n">
        <v>870391</v>
      </c>
      <c r="J35" s="12" t="n">
        <v>1052627</v>
      </c>
      <c r="K35" s="12" t="n">
        <v>1140095</v>
      </c>
      <c r="L35" s="12" t="n">
        <v>1502633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>
        <v>391611</v>
      </c>
      <c r="E37" s="12" t="n"/>
      <c r="F37" s="12" t="n">
        <v>443459</v>
      </c>
      <c r="G37" s="12" t="n"/>
      <c r="H37" s="11" t="n">
        <v>-76413</v>
      </c>
      <c r="I37" s="12" t="n">
        <v>449822</v>
      </c>
      <c r="J37" s="12" t="n">
        <v>420622</v>
      </c>
      <c r="K37" s="12" t="n">
        <v>373034</v>
      </c>
      <c r="L37" s="12" t="n">
        <v>443459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>
        <v>287005</v>
      </c>
      <c r="E38" s="20" t="n"/>
      <c r="F38" s="20" t="n">
        <v>262300</v>
      </c>
      <c r="G38" s="20" t="n"/>
      <c r="H38" s="19" t="n">
        <v>133364</v>
      </c>
      <c r="I38" s="20" t="n">
        <v>116892</v>
      </c>
      <c r="J38" s="20" t="n">
        <v>240469</v>
      </c>
      <c r="K38" s="20" t="n">
        <v>255930</v>
      </c>
      <c r="L38" s="20" t="n">
        <v>262300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>
        <v>28220</v>
      </c>
      <c r="E40" s="20" t="n"/>
      <c r="F40" s="20" t="n">
        <v>28220</v>
      </c>
      <c r="G40" s="20" t="n"/>
      <c r="H40" s="19" t="n"/>
      <c r="I40" s="20" t="n"/>
      <c r="J40" s="20" t="n">
        <v>0</v>
      </c>
      <c r="K40" s="20" t="n">
        <v>23521</v>
      </c>
      <c r="L40" s="20" t="n">
        <v>28220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IFERROR((IF(COUNT('연간'!G31:J31)&lt;4,"",SUM('연간'!G31:J31)))/(IF(COUNT('연간'!G53:J53)&lt;4,"",SUM('연간'!G53:J53))),"")</f>
        <v/>
      </c>
      <c r="D48" s="31">
        <f>IFERROR((IF(COUNT('연간'!H31:K31)&lt;4,"",SUM('연간'!H31:K31)))/(IF(COUNT('연간'!H53:K53)&lt;4,"",SUM('연간'!H53:K53))),"")</f>
        <v/>
      </c>
      <c r="E48" s="31">
        <f>IFERROR((IF(COUNT('연간'!I31:L31)&lt;4,"",SUM('연간'!I31:L31)))/(IF(COUNT('연간'!I53:L53)&lt;4,"",SUM('연간'!I53:L53))),"")</f>
        <v/>
      </c>
      <c r="F48" s="31">
        <f>IFERROR((IF(COUNT('연간'!J31:M31)&lt;4,"",SUM('연간'!J31:M31)))/(IF(COUNT('연간'!J53:M53)&lt;4,"",SUM('연간'!J53:M53))),"")</f>
        <v/>
      </c>
      <c r="G48" s="31">
        <f>IFERROR((IF(COUNT('연간'!K31:N31)&lt;4,"",SUM('연간'!K31:N31)))/(IF(COUNT('연간'!K53:N53)&lt;4,"",SUM('연간'!K53:N53))),"")</f>
        <v/>
      </c>
      <c r="H48" s="30">
        <f>IFERROR(('연간'!T31)/('연간'!T53),"")</f>
        <v/>
      </c>
      <c r="I48" s="31">
        <f>IFERROR(('연간'!U31)/('연간'!U53),"")</f>
        <v/>
      </c>
      <c r="J48" s="31">
        <f>IFERROR(('연간'!V31)/('연간'!V53),"")</f>
        <v/>
      </c>
      <c r="K48" s="31">
        <f>IFERROR(('연간'!W31)/('연간'!W53),"")</f>
        <v/>
      </c>
      <c r="L48" s="31">
        <f>IFERROR(('연간'!X31)/('연간'!X53),"")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IFERROR(IF((IF(COUNT('연간'!G61:J61)&lt;4,"",SUM('연간'!G61:J61)))&lt;=0,"적자",C28/(IF(COUNT('연간'!G61:J61)&lt;4,"",SUM('연간'!G61:J61)))),"")</f>
        <v/>
      </c>
      <c r="D49" s="47">
        <f>IFERROR(IF((IF(COUNT('연간'!H61:K61)&lt;4,"",SUM('연간'!H61:K61)))&lt;=0,"적자",D28/(IF(COUNT('연간'!H61:K61)&lt;4,"",SUM('연간'!H61:K61)))),"")</f>
        <v/>
      </c>
      <c r="E49" s="47">
        <f>IFERROR(IF((IF(COUNT('연간'!I61:L61)&lt;4,"",SUM('연간'!I61:L61)))&lt;=0,"적자",E28/(IF(COUNT('연간'!I61:L61)&lt;4,"",SUM('연간'!I61:L61)))),"")</f>
        <v/>
      </c>
      <c r="F49" s="47">
        <f>IFERROR(IF((IF(COUNT('연간'!J61:M61)&lt;4,"",SUM('연간'!J61:M61)))&lt;=0,"적자",F28/(IF(COUNT('연간'!J61:M61)&lt;4,"",SUM('연간'!J61:M61)))),"")</f>
        <v/>
      </c>
      <c r="G49" s="47">
        <f>IFERROR(IF((IF(COUNT('연간'!K61:N61)&lt;4,"",SUM('연간'!K61:N61)))&lt;=0,"적자",G28/(IF(COUNT('연간'!K61:N61)&lt;4,"",SUM('연간'!K61:N61)))),"")</f>
        <v/>
      </c>
      <c r="H49" s="46">
        <f>IFERROR(IF(('연간'!T61)&lt;=0,"적자",H28/('연간'!T61)),"")</f>
        <v/>
      </c>
      <c r="I49" s="47">
        <f>IFERROR(IF(('연간'!U61)&lt;=0,"적자",I28/('연간'!U61)),"")</f>
        <v/>
      </c>
      <c r="J49" s="47">
        <f>IFERROR(IF(('연간'!V61)&lt;=0,"적자",J28/('연간'!V61)),"")</f>
        <v/>
      </c>
      <c r="K49" s="47">
        <f>IFERROR(IF(('연간'!W61)&lt;=0,"적자",K28/('연간'!W61)),"")</f>
        <v/>
      </c>
      <c r="L49" s="47">
        <f>IFERROR(IF(('연간'!X61)&lt;=0,"적자",L28/('연간'!X61)),"")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IFERROR((IF(COUNT('연간'!G61:J61)&lt;4,"",SUM('연간'!G61:J61)))/C31,"")</f>
        <v/>
      </c>
      <c r="D51" s="36">
        <f>IFERROR((IF(COUNT('연간'!H61:K61)&lt;4,"",SUM('연간'!H61:K61)))/D31,"")</f>
        <v/>
      </c>
      <c r="E51" s="36">
        <f>IFERROR((IF(COUNT('연간'!I61:L61)&lt;4,"",SUM('연간'!I61:L61)))/E31,"")</f>
        <v/>
      </c>
      <c r="F51" s="36">
        <f>IFERROR((IF(COUNT('연간'!J61:M61)&lt;4,"",SUM('연간'!J61:M61)))/F31,"")</f>
        <v/>
      </c>
      <c r="G51" s="36">
        <f>IFERROR((IF(COUNT('연간'!K61:N61)&lt;4,"",SUM('연간'!K61:N61)))/G31,"")</f>
        <v/>
      </c>
      <c r="H51" s="35">
        <f>IFERROR(('연간'!T61)/H31,"")</f>
        <v/>
      </c>
      <c r="I51" s="36">
        <f>IFERROR(('연간'!U61)/I31,"")</f>
        <v/>
      </c>
      <c r="J51" s="36">
        <f>IFERROR(('연간'!V61)/J31,"")</f>
        <v/>
      </c>
      <c r="K51" s="36">
        <f>IFERROR(('연간'!W61)/K31,"")</f>
        <v/>
      </c>
      <c r="L51" s="36">
        <f>IFERROR(('연간'!X61)/L31,"")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IFERROR((IF(COUNT('연간'!G59:J59)&lt;4,"",SUM('연간'!G59:J59)))/C16,"")</f>
        <v/>
      </c>
      <c r="D52" s="36">
        <f>IFERROR((IF(COUNT('연간'!H59:K59)&lt;4,"",SUM('연간'!H59:K59)))/D16,"")</f>
        <v/>
      </c>
      <c r="E52" s="36">
        <f>IFERROR((IF(COUNT('연간'!I59:L59)&lt;4,"",SUM('연간'!I59:L59)))/E16,"")</f>
        <v/>
      </c>
      <c r="F52" s="36">
        <f>IFERROR((IF(COUNT('연간'!J59:M59)&lt;4,"",SUM('연간'!J59:M59)))/F16,"")</f>
        <v/>
      </c>
      <c r="G52" s="36">
        <f>IFERROR((IF(COUNT('연간'!K59:N59)&lt;4,"",SUM('연간'!K59:N59)))/G16,"")</f>
        <v/>
      </c>
      <c r="H52" s="35">
        <f>IFERROR(('연간'!T59)/H16,"")</f>
        <v/>
      </c>
      <c r="I52" s="36">
        <f>IFERROR(('연간'!U59)/I16,"")</f>
        <v/>
      </c>
      <c r="J52" s="36">
        <f>IFERROR(('연간'!V59)/J16,"")</f>
        <v/>
      </c>
      <c r="K52" s="36">
        <f>IFERROR(('연간'!W59)/K16,"")</f>
        <v/>
      </c>
      <c r="L52" s="36">
        <f>IFERROR(('연간'!X59)/L16,"")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IFERROR((IF(COUNT('연간'!G31:J31)&lt;4,"",SUM('연간'!G31:J31)))*(1-0.3)/(C35+C29),"")</f>
        <v/>
      </c>
      <c r="D53" s="36">
        <f>IFERROR((IF(COUNT('연간'!H31:K31)&lt;4,"",SUM('연간'!H31:K31)))*(1-0.3)/(D35+D29),"")</f>
        <v/>
      </c>
      <c r="E53" s="36">
        <f>IFERROR((IF(COUNT('연간'!I31:L31)&lt;4,"",SUM('연간'!I31:L31)))*(1-0.3)/(E35+E29),"")</f>
        <v/>
      </c>
      <c r="F53" s="36">
        <f>IFERROR((IF(COUNT('연간'!J31:M31)&lt;4,"",SUM('연간'!J31:M31)))*(1-0.3)/(F35+F29),"")</f>
        <v/>
      </c>
      <c r="G53" s="36">
        <f>IFERROR((IF(COUNT('연간'!K31:N31)&lt;4,"",SUM('연간'!K31:N31)))*(1-0.3)/(G35+G29),"")</f>
        <v/>
      </c>
      <c r="H53" s="35">
        <f>IFERROR(('연간'!T31)*(1-0.3)/(H35+H29),"")</f>
        <v/>
      </c>
      <c r="I53" s="36">
        <f>IFERROR(('연간'!U31)*(1-0.3)/(I35+I29),"")</f>
        <v/>
      </c>
      <c r="J53" s="36">
        <f>IFERROR(('연간'!V31)*(1-0.3)/(J35+J29),"")</f>
        <v/>
      </c>
      <c r="K53" s="36">
        <f>IFERROR(('연간'!W31)*(1-0.3)/(K35+K29),"")</f>
        <v/>
      </c>
      <c r="L53" s="36">
        <f>IFERROR(('연간'!X31)*(1-0.3)/(L35+L29),"")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IFERROR((IF(COUNT('연간'!G25:J25)&lt;4,"",SUM('연간'!G25:J25)))/(IF(COUNT('연간'!G4:J4)&lt;4,"",SUM('연간'!G4:J4))),"")</f>
        <v/>
      </c>
      <c r="D54" s="36">
        <f>IFERROR((IF(COUNT('연간'!H25:K25)&lt;4,"",SUM('연간'!H25:K25)))/(IF(COUNT('연간'!H4:K4)&lt;4,"",SUM('연간'!H4:K4))),"")</f>
        <v/>
      </c>
      <c r="E54" s="36">
        <f>IFERROR((IF(COUNT('연간'!I25:L25)&lt;4,"",SUM('연간'!I25:L25)))/(IF(COUNT('연간'!I4:L4)&lt;4,"",SUM('연간'!I4:L4))),"")</f>
        <v/>
      </c>
      <c r="F54" s="36">
        <f>IFERROR((IF(COUNT('연간'!J25:M25)&lt;4,"",SUM('연간'!J25:M25)))/(IF(COUNT('연간'!J4:M4)&lt;4,"",SUM('연간'!J4:M4))),"")</f>
        <v/>
      </c>
      <c r="G54" s="36">
        <f>IFERROR((IF(COUNT('연간'!K25:N25)&lt;4,"",SUM('연간'!K25:N25)))/(IF(COUNT('연간'!K4:N4)&lt;4,"",SUM('연간'!K4:N4))),"")</f>
        <v/>
      </c>
      <c r="H54" s="35">
        <f>IFERROR(('연간'!T25)/('연간'!T4),"")</f>
        <v/>
      </c>
      <c r="I54" s="36">
        <f>IFERROR(('연간'!U25)/('연간'!U4),"")</f>
        <v/>
      </c>
      <c r="J54" s="36">
        <f>IFERROR(('연간'!V25)/('연간'!V4),"")</f>
        <v/>
      </c>
      <c r="K54" s="36">
        <f>IFERROR(('연간'!W25)/('연간'!W4),"")</f>
        <v/>
      </c>
      <c r="L54" s="36">
        <f>IFERROR(('연간'!X25)/('연간'!X4),"")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IFERROR((IF(COUNT('연간'!G31:J31)&lt;4,"",SUM('연간'!G31:J31)))/(IF(COUNT('연간'!G4:J4)&lt;4,"",SUM('연간'!G4:J4))),"")</f>
        <v/>
      </c>
      <c r="D55" s="36">
        <f>IFERROR((IF(COUNT('연간'!H31:K31)&lt;4,"",SUM('연간'!H31:K31)))/(IF(COUNT('연간'!H4:K4)&lt;4,"",SUM('연간'!H4:K4))),"")</f>
        <v/>
      </c>
      <c r="E55" s="36">
        <f>IFERROR((IF(COUNT('연간'!I31:L31)&lt;4,"",SUM('연간'!I31:L31)))/(IF(COUNT('연간'!I4:L4)&lt;4,"",SUM('연간'!I4:L4))),"")</f>
        <v/>
      </c>
      <c r="F55" s="36">
        <f>IFERROR((IF(COUNT('연간'!J31:M31)&lt;4,"",SUM('연간'!J31:M31)))/(IF(COUNT('연간'!J4:M4)&lt;4,"",SUM('연간'!J4:M4))),"")</f>
        <v/>
      </c>
      <c r="G55" s="36">
        <f>IFERROR((IF(COUNT('연간'!K31:N31)&lt;4,"",SUM('연간'!K31:N31)))/(IF(COUNT('연간'!K4:N4)&lt;4,"",SUM('연간'!K4:N4))),"")</f>
        <v/>
      </c>
      <c r="H55" s="35">
        <f>IFERROR(('연간'!T31)/('연간'!T4),"")</f>
        <v/>
      </c>
      <c r="I55" s="36">
        <f>IFERROR(('연간'!U31)/('연간'!U4),"")</f>
        <v/>
      </c>
      <c r="J55" s="36">
        <f>IFERROR(('연간'!V31)/('연간'!V4),"")</f>
        <v/>
      </c>
      <c r="K55" s="36">
        <f>IFERROR(('연간'!W31)/('연간'!W4),"")</f>
        <v/>
      </c>
      <c r="L55" s="36">
        <f>IFERROR(('연간'!X31)/('연간'!X4),"")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IFERROR((IF(COUNT('연간'!G59:J59)&lt;4,"",SUM('연간'!G59:J59)))/(IF(COUNT('연간'!G4:J4)&lt;4,"",SUM('연간'!G4:J4))),"")</f>
        <v/>
      </c>
      <c r="D56" s="36">
        <f>IFERROR((IF(COUNT('연간'!H59:K59)&lt;4,"",SUM('연간'!H59:K59)))/(IF(COUNT('연간'!H4:K4)&lt;4,"",SUM('연간'!H4:K4))),"")</f>
        <v/>
      </c>
      <c r="E56" s="36">
        <f>IFERROR((IF(COUNT('연간'!I59:L59)&lt;4,"",SUM('연간'!I59:L59)))/(IF(COUNT('연간'!I4:L4)&lt;4,"",SUM('연간'!I4:L4))),"")</f>
        <v/>
      </c>
      <c r="F56" s="36">
        <f>IFERROR((IF(COUNT('연간'!J59:M59)&lt;4,"",SUM('연간'!J59:M59)))/(IF(COUNT('연간'!J4:M4)&lt;4,"",SUM('연간'!J4:M4))),"")</f>
        <v/>
      </c>
      <c r="G56" s="36">
        <f>IFERROR((IF(COUNT('연간'!K59:N59)&lt;4,"",SUM('연간'!K59:N59)))/(IF(COUNT('연간'!K4:N4)&lt;4,"",SUM('연간'!K4:N4))),"")</f>
        <v/>
      </c>
      <c r="H56" s="35">
        <f>IFERROR(('연간'!T59)/('연간'!T4),"")</f>
        <v/>
      </c>
      <c r="I56" s="36">
        <f>IFERROR(('연간'!U59)/('연간'!U4),"")</f>
        <v/>
      </c>
      <c r="J56" s="36">
        <f>IFERROR(('연간'!V59)/('연간'!V4),"")</f>
        <v/>
      </c>
      <c r="K56" s="36">
        <f>IFERROR(('연간'!W59)/('연간'!W4),"")</f>
        <v/>
      </c>
      <c r="L56" s="36">
        <f>IFERROR(('연간'!X59)/('연간'!X4),"")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IFERROR(C9/(IF(COUNT('연간'!G23:J23)&lt;4,"",SUM('연간'!G23:J23)))*365,"")</f>
        <v/>
      </c>
      <c r="D60" s="49">
        <f>IFERROR(D9/(IF(COUNT('연간'!H23:K23)&lt;4,"",SUM('연간'!H23:K23)))*365,"")</f>
        <v/>
      </c>
      <c r="E60" s="49">
        <f>IFERROR(E9/(IF(COUNT('연간'!I23:L23)&lt;4,"",SUM('연간'!I23:L23)))*365,"")</f>
        <v/>
      </c>
      <c r="F60" s="49">
        <f>IFERROR(F9/(IF(COUNT('연간'!J23:M23)&lt;4,"",SUM('연간'!J23:M23)))*365,"")</f>
        <v/>
      </c>
      <c r="G60" s="49">
        <f>IFERROR(G9/(IF(COUNT('연간'!K23:N23)&lt;4,"",SUM('연간'!K23:N23)))*365,"")</f>
        <v/>
      </c>
      <c r="H60" s="48">
        <f>IFERROR(H9/('연간'!T23)*365,"")</f>
        <v/>
      </c>
      <c r="I60" s="49">
        <f>IFERROR(I9/('연간'!U23)*365,"")</f>
        <v/>
      </c>
      <c r="J60" s="49">
        <f>IFERROR(J9/('연간'!V23)*365,"")</f>
        <v/>
      </c>
      <c r="K60" s="49">
        <f>IFERROR(K9/('연간'!W23)*365,"")</f>
        <v/>
      </c>
      <c r="L60" s="49">
        <f>IFERROR(L9/('연간'!X23)*365,"")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IFERROR(C19/(IF(COUNT('연간'!G23:J23)&lt;4,"",SUM('연간'!G23:J23)))*365,"")</f>
        <v/>
      </c>
      <c r="D61" s="49">
        <f>IFERROR(D19/(IF(COUNT('연간'!H23:K23)&lt;4,"",SUM('연간'!H23:K23)))*365,"")</f>
        <v/>
      </c>
      <c r="E61" s="49">
        <f>IFERROR(E19/(IF(COUNT('연간'!I23:L23)&lt;4,"",SUM('연간'!I23:L23)))*365,"")</f>
        <v/>
      </c>
      <c r="F61" s="49">
        <f>IFERROR(F19/(IF(COUNT('연간'!J23:M23)&lt;4,"",SUM('연간'!J23:M23)))*365,"")</f>
        <v/>
      </c>
      <c r="G61" s="49">
        <f>IFERROR(G19/(IF(COUNT('연간'!K23:N23)&lt;4,"",SUM('연간'!K23:N23)))*365,"")</f>
        <v/>
      </c>
      <c r="H61" s="48">
        <f>IFERROR(H19/('연간'!T23)*365,"")</f>
        <v/>
      </c>
      <c r="I61" s="49">
        <f>IFERROR(I19/('연간'!U23)*365,"")</f>
        <v/>
      </c>
      <c r="J61" s="49">
        <f>IFERROR(J19/('연간'!V23)*365,"")</f>
        <v/>
      </c>
      <c r="K61" s="49">
        <f>IFERROR(K19/('연간'!W23)*365,"")</f>
        <v/>
      </c>
      <c r="L61" s="49">
        <f>IFERROR(L19/('연간'!X23)*365,"")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IF(C37="","",IFERROR(C37/(IF(COUNT('연간'!G59:J59)&lt;4,"",SUM('연간'!G59:J59))),""))</f>
        <v/>
      </c>
      <c r="D64" s="31">
        <f>IF(D37="","",IFERROR(D37/(IF(COUNT('연간'!H59:K59)&lt;4,"",SUM('연간'!H59:K59))),""))</f>
        <v/>
      </c>
      <c r="E64" s="31">
        <f>IF(E37="","",IFERROR(E37/(IF(COUNT('연간'!I59:L59)&lt;4,"",SUM('연간'!I59:L59))),""))</f>
        <v/>
      </c>
      <c r="F64" s="31">
        <f>IF(F37="","",IFERROR(F37/(IF(COUNT('연간'!J59:M59)&lt;4,"",SUM('연간'!J59:M59))),""))</f>
        <v/>
      </c>
      <c r="G64" s="31">
        <f>IF(G37="","",IFERROR(G37/(IF(COUNT('연간'!K59:N59)&lt;4,"",SUM('연간'!K59:N59))),""))</f>
        <v/>
      </c>
      <c r="H64" s="30">
        <f>IF(H37="","",IFERROR(H37/('연간'!T59),""))</f>
        <v/>
      </c>
      <c r="I64" s="31">
        <f>IF(I37="","",IFERROR(I37/('연간'!U59),""))</f>
        <v/>
      </c>
      <c r="J64" s="31">
        <f>IF(J37="","",IFERROR(J37/('연간'!V59),""))</f>
        <v/>
      </c>
      <c r="K64" s="31">
        <f>IF(K37="","",IFERROR(K37/('연간'!W59),""))</f>
        <v/>
      </c>
      <c r="L64" s="31">
        <f>IF(L37="","",IFERROR(L37/('연간'!X59),""))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IF(C40="","",IFERROR(C40/(IF(COUNT('연간'!G61:J61)&lt;4,"",SUM('연간'!G61:J61))),""))</f>
        <v/>
      </c>
      <c r="D67" s="36">
        <f>IF(D40="","",IFERROR(D40/(IF(COUNT('연간'!H61:K61)&lt;4,"",SUM('연간'!H61:K61))),""))</f>
        <v/>
      </c>
      <c r="E67" s="36">
        <f>IF(E40="","",IFERROR(E40/(IF(COUNT('연간'!I61:L61)&lt;4,"",SUM('연간'!I61:L61))),""))</f>
        <v/>
      </c>
      <c r="F67" s="36">
        <f>IF(F40="","",IFERROR(F40/(IF(COUNT('연간'!J61:M61)&lt;4,"",SUM('연간'!J61:M61))),""))</f>
        <v/>
      </c>
      <c r="G67" s="36">
        <f>IF(G40="","",IFERROR(G40/(IF(COUNT('연간'!K61:N61)&lt;4,"",SUM('연간'!K61:N61))),""))</f>
        <v/>
      </c>
      <c r="H67" s="35">
        <f>IF(H40="","",IFERROR(H40/('연간'!T61),""))</f>
        <v/>
      </c>
      <c r="I67" s="36">
        <f>IF(I40="","",IFERROR(I40/('연간'!U61),""))</f>
        <v/>
      </c>
      <c r="J67" s="36">
        <f>IF(J40="","",IFERROR(J40/('연간'!V61),""))</f>
        <v/>
      </c>
      <c r="K67" s="36">
        <f>IF(K40="","",IFERROR(K40/('연간'!W61),""))</f>
        <v/>
      </c>
      <c r="L67" s="36">
        <f>IF(L40="","",IFERROR(L40/('연간'!X61),""))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545305</v>
      </c>
      <c r="D71" s="20" t="n">
        <v>531447</v>
      </c>
      <c r="E71" s="20" t="n">
        <v>541570</v>
      </c>
      <c r="F71" s="20" t="n">
        <v>552792</v>
      </c>
      <c r="G71" s="20" t="n">
        <v>572799</v>
      </c>
      <c r="H71" s="20" t="n">
        <v>452679</v>
      </c>
      <c r="I71" s="20" t="n">
        <v>603686</v>
      </c>
      <c r="J71" s="20" t="n">
        <v>600893</v>
      </c>
      <c r="K71" s="20" t="n">
        <v>454709</v>
      </c>
      <c r="L71" s="20" t="n">
        <v>552792</v>
      </c>
    </row>
    <row r="72">
      <c r="A72" s="18" t="inlineStr">
        <is>
          <t>Notes And Operating Accounts Receivable CA</t>
        </is>
      </c>
      <c r="C72" s="20" t="n">
        <v>232193</v>
      </c>
      <c r="D72" s="20" t="n">
        <v>258597</v>
      </c>
      <c r="E72" s="20" t="n">
        <v>274827</v>
      </c>
      <c r="F72" s="20" t="n">
        <v>298941</v>
      </c>
      <c r="G72" s="20" t="n">
        <v>290050</v>
      </c>
      <c r="H72" s="20" t="n">
        <v>148942</v>
      </c>
      <c r="I72" s="20" t="n">
        <v>186085</v>
      </c>
      <c r="J72" s="20" t="n">
        <v>217084</v>
      </c>
      <c r="K72" s="20" t="n">
        <v>246650</v>
      </c>
      <c r="L72" s="20" t="n">
        <v>298941</v>
      </c>
    </row>
    <row r="73">
      <c r="A73" s="18" t="inlineStr">
        <is>
          <t>Lease Receivables And Investment Assets CA</t>
        </is>
      </c>
      <c r="C73" s="20" t="n">
        <v>8908</v>
      </c>
      <c r="D73" s="20" t="n">
        <v>8306</v>
      </c>
      <c r="E73" s="20" t="n">
        <v>7749</v>
      </c>
      <c r="F73" s="20" t="n">
        <v>7919</v>
      </c>
      <c r="G73" s="20" t="n">
        <v>7335</v>
      </c>
      <c r="H73" s="20" t="n">
        <v>17628</v>
      </c>
      <c r="I73" s="20" t="n">
        <v>14724</v>
      </c>
      <c r="J73" s="20" t="n">
        <v>12219</v>
      </c>
      <c r="K73" s="20" t="n">
        <v>9565</v>
      </c>
      <c r="L73" s="20" t="n">
        <v>7919</v>
      </c>
    </row>
    <row r="74">
      <c r="A74" s="18" t="inlineStr">
        <is>
          <t>유가증권</t>
        </is>
      </c>
      <c r="C74" s="20" t="n">
        <v>742690</v>
      </c>
      <c r="D74" s="20" t="n">
        <v>681852</v>
      </c>
      <c r="E74" s="20" t="n">
        <v>688380</v>
      </c>
      <c r="F74" s="20" t="n">
        <v>704174</v>
      </c>
      <c r="G74" s="20" t="n">
        <v>636972</v>
      </c>
      <c r="H74" s="20" t="n">
        <v>498310</v>
      </c>
      <c r="I74" s="20" t="n">
        <v>580037</v>
      </c>
      <c r="J74" s="20" t="n">
        <v>656913</v>
      </c>
      <c r="K74" s="20" t="n">
        <v>761709</v>
      </c>
      <c r="L74" s="20" t="n">
        <v>704174</v>
      </c>
    </row>
    <row r="75">
      <c r="A75" s="18" t="inlineStr">
        <is>
          <t>상품</t>
        </is>
      </c>
      <c r="C75" s="20" t="n">
        <v>16999</v>
      </c>
      <c r="D75" s="20" t="n">
        <v>18236</v>
      </c>
      <c r="E75" s="20" t="n">
        <v>19841</v>
      </c>
      <c r="F75" s="20" t="n">
        <v>18243</v>
      </c>
      <c r="G75" s="20" t="n">
        <v>19153</v>
      </c>
      <c r="H75" s="20" t="n">
        <v>9218</v>
      </c>
      <c r="I75" s="20" t="n">
        <v>8958</v>
      </c>
      <c r="J75" s="20" t="n">
        <v>11743</v>
      </c>
      <c r="K75" s="20" t="n">
        <v>14519</v>
      </c>
      <c r="L75" s="20" t="n">
        <v>18243</v>
      </c>
    </row>
    <row r="76">
      <c r="A76" s="18" t="inlineStr">
        <is>
          <t>저장품</t>
        </is>
      </c>
      <c r="C76" s="20" t="n">
        <v>60475</v>
      </c>
      <c r="D76" s="20" t="n">
        <v>68388</v>
      </c>
      <c r="E76" s="20" t="n">
        <v>69271</v>
      </c>
      <c r="F76" s="20" t="n">
        <v>71703</v>
      </c>
      <c r="G76" s="20" t="n">
        <v>75527</v>
      </c>
      <c r="H76" s="20" t="n">
        <v>34856</v>
      </c>
      <c r="I76" s="20" t="n">
        <v>35697</v>
      </c>
      <c r="J76" s="20" t="n">
        <v>42218</v>
      </c>
      <c r="K76" s="20" t="n">
        <v>61325</v>
      </c>
      <c r="L76" s="20" t="n">
        <v>71703</v>
      </c>
    </row>
    <row r="77">
      <c r="A77" s="18" t="inlineStr">
        <is>
          <t>기타</t>
        </is>
      </c>
      <c r="C77" s="20" t="n">
        <v>142653</v>
      </c>
      <c r="D77" s="20" t="n">
        <v>166229</v>
      </c>
      <c r="E77" s="20" t="n">
        <v>189432</v>
      </c>
      <c r="F77" s="20" t="n">
        <v>237056</v>
      </c>
      <c r="G77" s="20" t="n">
        <v>228397</v>
      </c>
      <c r="H77" s="20" t="n">
        <v>132533</v>
      </c>
      <c r="I77" s="20" t="n">
        <v>121891</v>
      </c>
      <c r="J77" s="20" t="n">
        <v>160405</v>
      </c>
      <c r="K77" s="20" t="n">
        <v>145528</v>
      </c>
      <c r="L77" s="20" t="n">
        <v>237056</v>
      </c>
    </row>
    <row r="78">
      <c r="A78" s="18" t="inlineStr">
        <is>
          <t>대손충당금</t>
        </is>
      </c>
      <c r="C78" s="20" t="n">
        <v>-284</v>
      </c>
      <c r="D78" s="20" t="n">
        <v>-298</v>
      </c>
      <c r="E78" s="20" t="n">
        <v>-314</v>
      </c>
      <c r="F78" s="20" t="n">
        <v>-323</v>
      </c>
      <c r="G78" s="20" t="n">
        <v>-326</v>
      </c>
      <c r="H78" s="20" t="n">
        <v>-245</v>
      </c>
      <c r="I78" s="20" t="n">
        <v>-258</v>
      </c>
      <c r="J78" s="20" t="n">
        <v>-285</v>
      </c>
      <c r="K78" s="20" t="n">
        <v>-279</v>
      </c>
      <c r="L78" s="20" t="n">
        <v>-323</v>
      </c>
    </row>
    <row r="79">
      <c r="A79" s="9" t="inlineStr">
        <is>
          <t>유동자산 합계</t>
        </is>
      </c>
      <c r="C79" s="12" t="n">
        <v>1748939</v>
      </c>
      <c r="D79" s="12" t="n">
        <v>1732757</v>
      </c>
      <c r="E79" s="12" t="n">
        <v>1790756</v>
      </c>
      <c r="F79" s="12" t="n">
        <v>1890505</v>
      </c>
      <c r="G79" s="12" t="n">
        <v>1829907</v>
      </c>
      <c r="H79" s="12" t="n">
        <v>1293921</v>
      </c>
      <c r="I79" s="12" t="n">
        <v>1550820</v>
      </c>
      <c r="J79" s="12" t="n">
        <v>1701190</v>
      </c>
      <c r="K79" s="12" t="n">
        <v>1693726</v>
      </c>
      <c r="L79" s="12" t="n">
        <v>1890505</v>
      </c>
    </row>
    <row r="80">
      <c r="A80" s="18" t="inlineStr">
        <is>
          <t>건물·구축물(순액)</t>
        </is>
      </c>
      <c r="C80" s="20" t="n">
        <v>81198</v>
      </c>
      <c r="D80" s="20" t="n">
        <v>83096</v>
      </c>
      <c r="E80" s="20" t="n">
        <v>82650</v>
      </c>
      <c r="F80" s="20" t="n">
        <v>83445</v>
      </c>
      <c r="G80" s="20" t="n">
        <v>81294</v>
      </c>
      <c r="H80" s="20" t="n">
        <v>101911</v>
      </c>
      <c r="I80" s="20" t="n">
        <v>92156</v>
      </c>
      <c r="J80" s="20" t="n">
        <v>85057</v>
      </c>
      <c r="K80" s="20" t="n">
        <v>82693</v>
      </c>
      <c r="L80" s="20" t="n">
        <v>83445</v>
      </c>
    </row>
    <row r="81">
      <c r="A81" s="18" t="inlineStr">
        <is>
          <t>Aircraft Net</t>
        </is>
      </c>
      <c r="C81" s="20" t="n">
        <v>963076</v>
      </c>
      <c r="D81" s="20" t="n">
        <v>1068113</v>
      </c>
      <c r="E81" s="20" t="n">
        <v>1080076</v>
      </c>
      <c r="F81" s="20" t="n">
        <v>1065954</v>
      </c>
      <c r="G81" s="20" t="n">
        <v>1082865</v>
      </c>
      <c r="H81" s="20" t="n">
        <v>978122</v>
      </c>
      <c r="I81" s="20" t="n">
        <v>904339</v>
      </c>
      <c r="J81" s="20" t="n">
        <v>933838</v>
      </c>
      <c r="K81" s="20" t="n">
        <v>978856</v>
      </c>
      <c r="L81" s="20" t="n">
        <v>1065954</v>
      </c>
    </row>
    <row r="82">
      <c r="A82" s="18" t="inlineStr">
        <is>
          <t>기계장치·운반구(순액)</t>
        </is>
      </c>
      <c r="C82" s="20" t="n">
        <v>32723</v>
      </c>
      <c r="D82" s="20" t="n">
        <v>34399</v>
      </c>
      <c r="E82" s="20" t="n">
        <v>34824</v>
      </c>
      <c r="F82" s="20" t="n">
        <v>35323</v>
      </c>
      <c r="G82" s="20" t="n">
        <v>34560</v>
      </c>
      <c r="H82" s="20" t="n">
        <v>29802</v>
      </c>
      <c r="I82" s="20" t="n">
        <v>27423</v>
      </c>
      <c r="J82" s="20" t="n">
        <v>28476</v>
      </c>
      <c r="K82" s="20" t="n">
        <v>33227</v>
      </c>
      <c r="L82" s="20" t="n">
        <v>35323</v>
      </c>
    </row>
    <row r="83">
      <c r="A83" s="18" t="inlineStr">
        <is>
          <t>공구·기구·비품(순액)</t>
        </is>
      </c>
      <c r="C83" s="20" t="n">
        <v>10635</v>
      </c>
      <c r="D83" s="20" t="n">
        <v>10941</v>
      </c>
      <c r="E83" s="20" t="n">
        <v>12359</v>
      </c>
      <c r="F83" s="20" t="n">
        <v>13807</v>
      </c>
      <c r="G83" s="20" t="n">
        <v>14152</v>
      </c>
      <c r="H83" s="20" t="n">
        <v>15425</v>
      </c>
      <c r="I83" s="20" t="n">
        <v>12600</v>
      </c>
      <c r="J83" s="20" t="n">
        <v>11112</v>
      </c>
      <c r="K83" s="20" t="n">
        <v>11100</v>
      </c>
      <c r="L83" s="20" t="n">
        <v>13807</v>
      </c>
    </row>
    <row r="84">
      <c r="A84" s="18" t="inlineStr">
        <is>
          <t>토지</t>
        </is>
      </c>
      <c r="C84" s="20" t="n">
        <v>44003</v>
      </c>
      <c r="D84" s="20" t="n">
        <v>43975</v>
      </c>
      <c r="E84" s="20" t="n">
        <v>43991</v>
      </c>
      <c r="F84" s="20" t="n">
        <v>43690</v>
      </c>
      <c r="G84" s="20" t="n">
        <v>43694</v>
      </c>
      <c r="H84" s="20" t="n">
        <v>44385</v>
      </c>
      <c r="I84" s="20" t="n">
        <v>44045</v>
      </c>
      <c r="J84" s="20" t="n">
        <v>44069</v>
      </c>
      <c r="K84" s="20" t="n">
        <v>44010</v>
      </c>
      <c r="L84" s="20" t="n">
        <v>43690</v>
      </c>
    </row>
    <row r="85">
      <c r="A85" s="18" t="inlineStr">
        <is>
          <t>리스자산(순액)</t>
        </is>
      </c>
      <c r="C85" s="20" t="n">
        <v>3809</v>
      </c>
      <c r="D85" s="20" t="n">
        <v>3765</v>
      </c>
      <c r="E85" s="20" t="n">
        <v>3657</v>
      </c>
      <c r="F85" s="20" t="n">
        <v>3414</v>
      </c>
      <c r="G85" s="20" t="n">
        <v>3163</v>
      </c>
      <c r="H85" s="20" t="n">
        <v>4246</v>
      </c>
      <c r="I85" s="20" t="n">
        <v>3782</v>
      </c>
      <c r="J85" s="20" t="n">
        <v>4028</v>
      </c>
      <c r="K85" s="20" t="n">
        <v>4041</v>
      </c>
      <c r="L85" s="20" t="n">
        <v>3414</v>
      </c>
    </row>
    <row r="86">
      <c r="A86" s="18" t="inlineStr">
        <is>
          <t>건설중인자산</t>
        </is>
      </c>
      <c r="C86" s="20" t="n">
        <v>261749</v>
      </c>
      <c r="D86" s="20" t="n">
        <v>248805</v>
      </c>
      <c r="E86" s="20" t="n">
        <v>251309</v>
      </c>
      <c r="F86" s="20" t="n">
        <v>281132</v>
      </c>
      <c r="G86" s="20" t="n">
        <v>288858</v>
      </c>
      <c r="H86" s="20" t="n">
        <v>176446</v>
      </c>
      <c r="I86" s="20" t="n">
        <v>186967</v>
      </c>
      <c r="J86" s="20" t="n">
        <v>224173</v>
      </c>
      <c r="K86" s="20" t="n">
        <v>251028</v>
      </c>
      <c r="L86" s="20" t="n">
        <v>281132</v>
      </c>
    </row>
    <row r="87">
      <c r="A87" s="18" t="inlineStr">
        <is>
          <t>유형자산 합계</t>
        </is>
      </c>
      <c r="C87" s="20" t="n">
        <v>1397193</v>
      </c>
      <c r="D87" s="20" t="n">
        <v>1493094</v>
      </c>
      <c r="E87" s="20" t="n">
        <v>1508866</v>
      </c>
      <c r="F87" s="20" t="n">
        <v>1526765</v>
      </c>
      <c r="G87" s="20" t="n">
        <v>1548586</v>
      </c>
      <c r="H87" s="20" t="n">
        <v>1350337</v>
      </c>
      <c r="I87" s="20" t="n">
        <v>1271312</v>
      </c>
      <c r="J87" s="20" t="n">
        <v>1330753</v>
      </c>
      <c r="K87" s="20" t="n">
        <v>1404955</v>
      </c>
      <c r="L87" s="20" t="n">
        <v>1526765</v>
      </c>
    </row>
    <row r="88">
      <c r="A88" s="18" t="inlineStr">
        <is>
          <t>영업권</t>
        </is>
      </c>
      <c r="C88" s="20" t="n">
        <v>13498</v>
      </c>
      <c r="D88" s="20" t="n">
        <v>12998</v>
      </c>
      <c r="E88" s="20" t="n">
        <v>12497</v>
      </c>
      <c r="F88" s="20" t="n">
        <v>11997</v>
      </c>
      <c r="G88" s="20" t="n">
        <v>11497</v>
      </c>
      <c r="H88" s="20" t="n">
        <v>20230</v>
      </c>
      <c r="I88" s="20" t="n">
        <v>18115</v>
      </c>
      <c r="J88" s="20" t="n">
        <v>15999</v>
      </c>
      <c r="K88" s="20" t="n">
        <v>13998</v>
      </c>
      <c r="L88" s="20" t="n">
        <v>11997</v>
      </c>
    </row>
    <row r="89">
      <c r="A89" s="18" t="inlineStr">
        <is>
          <t>기타</t>
        </is>
      </c>
      <c r="C89" s="20" t="n">
        <v>120243</v>
      </c>
      <c r="D89" s="20" t="n">
        <v>125570</v>
      </c>
      <c r="E89" s="20" t="n">
        <v>131603</v>
      </c>
      <c r="F89" s="20" t="n">
        <v>134787</v>
      </c>
      <c r="G89" s="20" t="n">
        <v>140010</v>
      </c>
      <c r="H89" s="20" t="n">
        <v>73050</v>
      </c>
      <c r="I89" s="20" t="n">
        <v>69705</v>
      </c>
      <c r="J89" s="20" t="n">
        <v>87908</v>
      </c>
      <c r="K89" s="20" t="n">
        <v>116174</v>
      </c>
      <c r="L89" s="20" t="n">
        <v>134787</v>
      </c>
    </row>
    <row r="90">
      <c r="A90" s="18" t="inlineStr">
        <is>
          <t>무형자산 합계</t>
        </is>
      </c>
      <c r="C90" s="20" t="n">
        <v>133741</v>
      </c>
      <c r="D90" s="20" t="n">
        <v>138568</v>
      </c>
      <c r="E90" s="20" t="n">
        <v>144100</v>
      </c>
      <c r="F90" s="20" t="n">
        <v>146784</v>
      </c>
      <c r="G90" s="20" t="n">
        <v>151507</v>
      </c>
      <c r="H90" s="20" t="n">
        <v>93280</v>
      </c>
      <c r="I90" s="20" t="n">
        <v>87820</v>
      </c>
      <c r="J90" s="20" t="n">
        <v>103907</v>
      </c>
      <c r="K90" s="20" t="n">
        <v>130172</v>
      </c>
      <c r="L90" s="20" t="n">
        <v>146784</v>
      </c>
    </row>
    <row r="91">
      <c r="A91" s="18" t="inlineStr">
        <is>
          <t>투자유가증권</t>
        </is>
      </c>
      <c r="C91" s="20" t="n">
        <v>158953</v>
      </c>
      <c r="D91" s="20" t="n">
        <v>166286</v>
      </c>
      <c r="E91" s="20" t="n">
        <v>158692</v>
      </c>
      <c r="F91" s="20" t="n">
        <v>162094</v>
      </c>
      <c r="G91" s="20" t="n">
        <v>161770</v>
      </c>
      <c r="H91" s="20" t="n">
        <v>140746</v>
      </c>
      <c r="I91" s="20" t="n">
        <v>149952</v>
      </c>
      <c r="J91" s="20" t="n">
        <v>156425</v>
      </c>
      <c r="K91" s="20" t="n">
        <v>150654</v>
      </c>
      <c r="L91" s="20" t="n">
        <v>162094</v>
      </c>
    </row>
    <row r="92">
      <c r="A92" s="18" t="inlineStr">
        <is>
          <t>장기대여금</t>
        </is>
      </c>
      <c r="C92" s="20" t="n">
        <v>7387</v>
      </c>
      <c r="D92" s="20" t="n">
        <v>7492</v>
      </c>
      <c r="E92" s="20" t="n">
        <v>7441</v>
      </c>
      <c r="F92" s="20" t="n">
        <v>7434</v>
      </c>
      <c r="G92" s="20" t="n">
        <v>6709</v>
      </c>
      <c r="H92" s="20" t="n">
        <v>6850</v>
      </c>
      <c r="I92" s="20" t="n">
        <v>6635</v>
      </c>
      <c r="J92" s="20" t="n">
        <v>6144</v>
      </c>
      <c r="K92" s="20" t="n">
        <v>7524</v>
      </c>
      <c r="L92" s="20" t="n">
        <v>7434</v>
      </c>
    </row>
    <row r="93">
      <c r="A93" s="18" t="inlineStr">
        <is>
          <t>이연법인세자산</t>
        </is>
      </c>
      <c r="C93" s="20" t="n">
        <v>184718</v>
      </c>
      <c r="D93" s="20" t="n">
        <v>166363</v>
      </c>
      <c r="E93" s="20" t="n">
        <v>154116</v>
      </c>
      <c r="F93" s="20" t="n">
        <v>144358</v>
      </c>
      <c r="G93" s="20" t="n">
        <v>158569</v>
      </c>
      <c r="H93" s="20" t="n">
        <v>273452</v>
      </c>
      <c r="I93" s="20" t="n">
        <v>263303</v>
      </c>
      <c r="J93" s="20" t="n">
        <v>213374</v>
      </c>
      <c r="K93" s="20" t="n">
        <v>190747</v>
      </c>
      <c r="L93" s="20" t="n">
        <v>144358</v>
      </c>
    </row>
    <row r="94">
      <c r="A94" s="18" t="inlineStr">
        <is>
          <t>퇴직급여자산</t>
        </is>
      </c>
      <c r="C94" s="20" t="n">
        <v>3878</v>
      </c>
      <c r="D94" s="20" t="n">
        <v>3912</v>
      </c>
      <c r="E94" s="20" t="n">
        <v>3928</v>
      </c>
      <c r="F94" s="20" t="n">
        <v>5320</v>
      </c>
      <c r="G94" s="20" t="n">
        <v>5333</v>
      </c>
      <c r="H94" s="20" t="n">
        <v>960</v>
      </c>
      <c r="I94" s="20" t="n">
        <v>1618</v>
      </c>
      <c r="J94" s="20" t="n">
        <v>3198</v>
      </c>
      <c r="K94" s="20" t="n">
        <v>3866</v>
      </c>
      <c r="L94" s="20" t="n">
        <v>5320</v>
      </c>
    </row>
    <row r="95">
      <c r="A95" s="18" t="inlineStr">
        <is>
          <t>기타</t>
        </is>
      </c>
      <c r="C95" s="20" t="n">
        <v>36147</v>
      </c>
      <c r="D95" s="20" t="n">
        <v>47153</v>
      </c>
      <c r="E95" s="20" t="n">
        <v>58010</v>
      </c>
      <c r="F95" s="20" t="n">
        <v>74389</v>
      </c>
      <c r="G95" s="20" t="n">
        <v>62971</v>
      </c>
      <c r="H95" s="20" t="n">
        <v>60253</v>
      </c>
      <c r="I95" s="20" t="n">
        <v>37753</v>
      </c>
      <c r="J95" s="20" t="n">
        <v>57216</v>
      </c>
      <c r="K95" s="20" t="n">
        <v>45293</v>
      </c>
      <c r="L95" s="20" t="n">
        <v>74389</v>
      </c>
    </row>
    <row r="96">
      <c r="A96" s="18" t="inlineStr">
        <is>
          <t>대손충당금</t>
        </is>
      </c>
      <c r="C96" s="20" t="n">
        <v>-7111</v>
      </c>
      <c r="D96" s="20" t="n">
        <v>-7510</v>
      </c>
      <c r="E96" s="20" t="n">
        <v>-3619</v>
      </c>
      <c r="F96" s="20" t="n">
        <v>-3808</v>
      </c>
      <c r="G96" s="20" t="n">
        <v>-3307</v>
      </c>
      <c r="H96" s="20" t="n">
        <v>-2993</v>
      </c>
      <c r="I96" s="20" t="n">
        <v>-3486</v>
      </c>
      <c r="J96" s="20" t="n">
        <v>-3210</v>
      </c>
      <c r="K96" s="20" t="n">
        <v>-7071</v>
      </c>
      <c r="L96" s="20" t="n">
        <v>-3808</v>
      </c>
    </row>
    <row r="97">
      <c r="A97" s="18" t="inlineStr">
        <is>
          <t>투자 및 기타자산 합계</t>
        </is>
      </c>
      <c r="C97" s="20" t="n">
        <v>383972</v>
      </c>
      <c r="D97" s="20" t="n">
        <v>383696</v>
      </c>
      <c r="E97" s="20" t="n">
        <v>378568</v>
      </c>
      <c r="F97" s="20" t="n">
        <v>389787</v>
      </c>
      <c r="G97" s="20" t="n">
        <v>392045</v>
      </c>
      <c r="H97" s="20" t="n">
        <v>479268</v>
      </c>
      <c r="I97" s="20" t="n">
        <v>455775</v>
      </c>
      <c r="J97" s="20" t="n">
        <v>433147</v>
      </c>
      <c r="K97" s="20" t="n">
        <v>391013</v>
      </c>
      <c r="L97" s="20" t="n">
        <v>389787</v>
      </c>
    </row>
    <row r="98">
      <c r="A98" s="9" t="inlineStr">
        <is>
          <t>비유동자산 합계</t>
        </is>
      </c>
      <c r="C98" s="12" t="n">
        <v>1914906</v>
      </c>
      <c r="D98" s="12" t="n">
        <v>2015358</v>
      </c>
      <c r="E98" s="12" t="n">
        <v>2031534</v>
      </c>
      <c r="F98" s="12" t="n">
        <v>2063336</v>
      </c>
      <c r="G98" s="12" t="n">
        <v>2092138</v>
      </c>
      <c r="H98" s="12" t="n">
        <v>1922885</v>
      </c>
      <c r="I98" s="12" t="n">
        <v>1814907</v>
      </c>
      <c r="J98" s="12" t="n">
        <v>1867807</v>
      </c>
      <c r="K98" s="12" t="n">
        <v>1926140</v>
      </c>
      <c r="L98" s="12" t="n">
        <v>2063336</v>
      </c>
    </row>
    <row r="99">
      <c r="A99" s="18" t="inlineStr">
        <is>
          <t>이연자산</t>
        </is>
      </c>
      <c r="C99" s="20" t="n">
        <v>406</v>
      </c>
      <c r="D99" s="20" t="n">
        <v>381</v>
      </c>
      <c r="E99" s="20" t="n">
        <v>1390</v>
      </c>
      <c r="F99" s="20" t="n">
        <v>1287</v>
      </c>
      <c r="G99" s="20" t="n">
        <v>1187</v>
      </c>
      <c r="H99" s="20" t="n">
        <v>1627</v>
      </c>
      <c r="I99" s="20" t="n">
        <v>997</v>
      </c>
      <c r="J99" s="20" t="n">
        <v>533</v>
      </c>
      <c r="K99" s="20" t="n">
        <v>431</v>
      </c>
      <c r="L99" s="20" t="n">
        <v>1287</v>
      </c>
    </row>
    <row r="100">
      <c r="A100" s="9" t="inlineStr">
        <is>
          <t>자산 합계</t>
        </is>
      </c>
      <c r="C100" s="12" t="n">
        <v>3664251</v>
      </c>
      <c r="D100" s="12" t="n">
        <v>3748496</v>
      </c>
      <c r="E100" s="12" t="n">
        <v>3823680</v>
      </c>
      <c r="F100" s="12" t="n">
        <v>3955128</v>
      </c>
      <c r="G100" s="12" t="n">
        <v>3923232</v>
      </c>
      <c r="H100" s="12" t="n">
        <v>3218433</v>
      </c>
      <c r="I100" s="12" t="n">
        <v>3366724</v>
      </c>
      <c r="J100" s="12" t="n">
        <v>3569530</v>
      </c>
      <c r="K100" s="12" t="n">
        <v>3620297</v>
      </c>
      <c r="L100" s="12" t="n">
        <v>3955128</v>
      </c>
    </row>
    <row r="101">
      <c r="A101" s="18" t="inlineStr">
        <is>
          <t>영업미지급금</t>
        </is>
      </c>
      <c r="C101" s="20" t="n">
        <v>213628</v>
      </c>
      <c r="D101" s="20" t="n">
        <v>232050</v>
      </c>
      <c r="E101" s="20" t="n">
        <v>264831</v>
      </c>
      <c r="F101" s="20" t="n">
        <v>260042</v>
      </c>
      <c r="G101" s="20" t="n">
        <v>283673</v>
      </c>
      <c r="H101" s="20" t="n">
        <v>125001</v>
      </c>
      <c r="I101" s="20" t="n">
        <v>162969</v>
      </c>
      <c r="J101" s="20" t="n">
        <v>229273</v>
      </c>
      <c r="K101" s="20" t="n">
        <v>235512</v>
      </c>
      <c r="L101" s="20" t="n">
        <v>260042</v>
      </c>
    </row>
    <row r="102">
      <c r="A102" s="18" t="inlineStr">
        <is>
          <t>단기차입금</t>
        </is>
      </c>
      <c r="C102" s="20" t="n">
        <v>68900</v>
      </c>
      <c r="D102" s="20" t="n">
        <v>68591</v>
      </c>
      <c r="E102" s="20" t="n">
        <v>69009</v>
      </c>
      <c r="F102" s="20" t="n">
        <v>68950</v>
      </c>
      <c r="G102" s="20" t="n">
        <v>60084</v>
      </c>
      <c r="H102" s="20" t="n">
        <v>100070</v>
      </c>
      <c r="I102" s="20" t="n">
        <v>92170</v>
      </c>
      <c r="J102" s="20" t="n">
        <v>84170</v>
      </c>
      <c r="K102" s="20" t="n">
        <v>76919</v>
      </c>
      <c r="L102" s="20" t="n">
        <v>68950</v>
      </c>
    </row>
    <row r="103">
      <c r="A103" s="18" t="inlineStr">
        <is>
          <t>1년 내 상환 장기차입금</t>
        </is>
      </c>
      <c r="C103" s="20" t="n">
        <v>274247</v>
      </c>
      <c r="D103" s="20" t="n">
        <v>277180</v>
      </c>
      <c r="E103" s="20" t="n">
        <v>78799</v>
      </c>
      <c r="F103" s="20" t="n">
        <v>77368</v>
      </c>
      <c r="G103" s="20" t="n">
        <v>84033</v>
      </c>
      <c r="H103" s="20" t="n">
        <v>62775</v>
      </c>
      <c r="I103" s="20" t="n">
        <v>84633</v>
      </c>
      <c r="J103" s="20" t="n">
        <v>73777</v>
      </c>
      <c r="K103" s="20" t="n">
        <v>267166</v>
      </c>
      <c r="L103" s="20" t="n">
        <v>77368</v>
      </c>
    </row>
    <row r="104">
      <c r="A104" s="18" t="inlineStr">
        <is>
          <t>1년 내 상환 사채</t>
        </is>
      </c>
      <c r="C104" s="20" t="n">
        <v>55000</v>
      </c>
      <c r="D104" s="20" t="n">
        <v>70000</v>
      </c>
      <c r="E104" s="20" t="n">
        <v>40000</v>
      </c>
      <c r="F104" s="20" t="n">
        <v>40000</v>
      </c>
      <c r="G104" s="20" t="n">
        <v>15000</v>
      </c>
      <c r="H104" s="20" t="n">
        <v>0</v>
      </c>
      <c r="I104" s="20" t="n">
        <v>30000</v>
      </c>
      <c r="J104" s="20" t="n">
        <v>0</v>
      </c>
      <c r="K104" s="20" t="n">
        <v>30000</v>
      </c>
      <c r="L104" s="20" t="n">
        <v>40000</v>
      </c>
    </row>
    <row r="105">
      <c r="A105" s="18" t="inlineStr">
        <is>
          <t>1년 내 상환 예정 전환사채형 신주예약권부 사채</t>
        </is>
      </c>
      <c r="H105" s="20" t="n">
        <v>70000</v>
      </c>
      <c r="I105" s="20" t="n">
        <v>0</v>
      </c>
      <c r="J105" s="20" t="n">
        <v>70000</v>
      </c>
      <c r="K105" s="20" t="n">
        <v>0</v>
      </c>
    </row>
    <row r="106">
      <c r="A106" s="18" t="inlineStr">
        <is>
          <t>리스부채</t>
        </is>
      </c>
      <c r="C106" s="20" t="n">
        <v>2065</v>
      </c>
      <c r="D106" s="20" t="n">
        <v>2003</v>
      </c>
      <c r="E106" s="20" t="n">
        <v>2021</v>
      </c>
      <c r="F106" s="20" t="n">
        <v>2131</v>
      </c>
      <c r="G106" s="20" t="n">
        <v>1532</v>
      </c>
      <c r="H106" s="20" t="n">
        <v>4057</v>
      </c>
      <c r="I106" s="20" t="n">
        <v>3047</v>
      </c>
      <c r="J106" s="20" t="n">
        <v>2051</v>
      </c>
      <c r="K106" s="20" t="n">
        <v>2232</v>
      </c>
      <c r="L106" s="20" t="n">
        <v>2131</v>
      </c>
    </row>
    <row r="107">
      <c r="A107" s="18" t="inlineStr">
        <is>
          <t>미지급법인세</t>
        </is>
      </c>
      <c r="C107" s="20" t="n">
        <v>3041</v>
      </c>
      <c r="D107" s="20" t="n">
        <v>6166</v>
      </c>
      <c r="E107" s="20" t="n">
        <v>18696</v>
      </c>
      <c r="F107" s="20" t="n">
        <v>37299</v>
      </c>
      <c r="G107" s="20" t="n">
        <v>5716</v>
      </c>
      <c r="H107" s="20" t="n">
        <v>2908</v>
      </c>
      <c r="I107" s="20" t="n">
        <v>6910</v>
      </c>
      <c r="J107" s="20" t="n">
        <v>8015</v>
      </c>
      <c r="K107" s="20" t="n">
        <v>7471</v>
      </c>
      <c r="L107" s="20" t="n">
        <v>37299</v>
      </c>
    </row>
    <row r="108">
      <c r="A108" s="18" t="inlineStr">
        <is>
          <t>Deposit Received CL</t>
        </is>
      </c>
      <c r="H108" s="20" t="n">
        <v>0</v>
      </c>
    </row>
    <row r="109">
      <c r="A109" s="18" t="inlineStr">
        <is>
          <t>계약부채</t>
        </is>
      </c>
      <c r="C109" s="20" t="n">
        <v>558055</v>
      </c>
      <c r="D109" s="20" t="n">
        <v>571878</v>
      </c>
      <c r="E109" s="20" t="n">
        <v>535301</v>
      </c>
      <c r="F109" s="20" t="n">
        <v>596820</v>
      </c>
      <c r="G109" s="20" t="n">
        <v>653703</v>
      </c>
      <c r="H109" s="20" t="n">
        <v>256023</v>
      </c>
      <c r="I109" s="20" t="n">
        <v>393545</v>
      </c>
      <c r="J109" s="20" t="n">
        <v>444982</v>
      </c>
      <c r="K109" s="20" t="n">
        <v>526111</v>
      </c>
      <c r="L109" s="20" t="n">
        <v>596820</v>
      </c>
    </row>
    <row r="110">
      <c r="A110" s="18" t="inlineStr">
        <is>
          <t>상여충당금</t>
        </is>
      </c>
      <c r="C110" s="20" t="n">
        <v>43998</v>
      </c>
      <c r="D110" s="20" t="n">
        <v>34363</v>
      </c>
      <c r="E110" s="20" t="n">
        <v>27859</v>
      </c>
      <c r="F110" s="20" t="n">
        <v>70786</v>
      </c>
      <c r="G110" s="20" t="n">
        <v>43550</v>
      </c>
      <c r="H110" s="20" t="n">
        <v>10342</v>
      </c>
      <c r="I110" s="20" t="n">
        <v>33686</v>
      </c>
      <c r="J110" s="20" t="n">
        <v>55688</v>
      </c>
      <c r="K110" s="20" t="n">
        <v>60401</v>
      </c>
      <c r="L110" s="20" t="n">
        <v>70786</v>
      </c>
    </row>
    <row r="111">
      <c r="A111" s="18" t="inlineStr">
        <is>
          <t>기타 충당금</t>
        </is>
      </c>
      <c r="C111" s="20" t="n">
        <v>7495</v>
      </c>
      <c r="D111" s="20" t="n">
        <v>4934</v>
      </c>
      <c r="E111" s="20" t="n">
        <v>4263</v>
      </c>
      <c r="F111" s="20" t="n">
        <v>3281</v>
      </c>
      <c r="G111" s="20" t="n">
        <v>3478</v>
      </c>
      <c r="H111" s="20" t="n">
        <v>13071</v>
      </c>
      <c r="I111" s="20" t="n">
        <v>19629</v>
      </c>
      <c r="J111" s="20" t="n">
        <v>8213</v>
      </c>
      <c r="K111" s="20" t="n">
        <v>10062</v>
      </c>
      <c r="L111" s="20" t="n">
        <v>3281</v>
      </c>
    </row>
    <row r="112">
      <c r="A112" s="18" t="inlineStr">
        <is>
          <t>기타</t>
        </is>
      </c>
      <c r="C112" s="20" t="n">
        <v>80893</v>
      </c>
      <c r="D112" s="20" t="n">
        <v>69376</v>
      </c>
      <c r="E112" s="20" t="n">
        <v>85273</v>
      </c>
      <c r="F112" s="20" t="n">
        <v>74810</v>
      </c>
      <c r="G112" s="20" t="n">
        <v>86892</v>
      </c>
      <c r="H112" s="20" t="n">
        <v>43642</v>
      </c>
      <c r="I112" s="20" t="n">
        <v>56812</v>
      </c>
      <c r="J112" s="20" t="n">
        <v>59259</v>
      </c>
      <c r="K112" s="20" t="n">
        <v>60668</v>
      </c>
      <c r="L112" s="20" t="n">
        <v>74810</v>
      </c>
    </row>
    <row r="113">
      <c r="A113" s="9" t="inlineStr">
        <is>
          <t>유동부채 합계</t>
        </is>
      </c>
      <c r="C113" s="12" t="n">
        <v>1307322</v>
      </c>
      <c r="D113" s="12" t="n">
        <v>1336541</v>
      </c>
      <c r="E113" s="12" t="n">
        <v>1126052</v>
      </c>
      <c r="F113" s="12" t="n">
        <v>1231487</v>
      </c>
      <c r="G113" s="12" t="n">
        <v>1237661</v>
      </c>
      <c r="H113" s="12" t="n">
        <v>687889</v>
      </c>
      <c r="I113" s="12" t="n">
        <v>883401</v>
      </c>
      <c r="J113" s="12" t="n">
        <v>1035428</v>
      </c>
      <c r="K113" s="12" t="n">
        <v>1276542</v>
      </c>
      <c r="L113" s="12" t="n">
        <v>1231487</v>
      </c>
    </row>
    <row r="114">
      <c r="A114" s="18" t="inlineStr">
        <is>
          <t>사채</t>
        </is>
      </c>
      <c r="C114" s="20" t="n">
        <v>100000</v>
      </c>
      <c r="D114" s="20" t="n">
        <v>85000</v>
      </c>
      <c r="E114" s="20" t="n">
        <v>85000</v>
      </c>
      <c r="F114" s="20" t="n">
        <v>85000</v>
      </c>
      <c r="G114" s="20" t="n">
        <v>85000</v>
      </c>
      <c r="H114" s="20" t="n">
        <v>185000</v>
      </c>
      <c r="I114" s="20" t="n">
        <v>155000</v>
      </c>
      <c r="J114" s="20" t="n">
        <v>155000</v>
      </c>
      <c r="K114" s="20" t="n">
        <v>125000</v>
      </c>
      <c r="L114" s="20" t="n">
        <v>85000</v>
      </c>
    </row>
    <row r="115">
      <c r="A115" s="18" t="inlineStr">
        <is>
          <t>전환사채형 신주예약권부 사채</t>
        </is>
      </c>
      <c r="C115" s="20" t="n">
        <v>150000</v>
      </c>
      <c r="D115" s="20" t="n">
        <v>150000</v>
      </c>
      <c r="E115" s="20" t="n">
        <v>150000</v>
      </c>
      <c r="F115" s="20" t="n">
        <v>150000</v>
      </c>
      <c r="G115" s="20" t="n">
        <v>150000</v>
      </c>
      <c r="H115" s="20" t="n">
        <v>220000</v>
      </c>
      <c r="I115" s="20" t="n">
        <v>220000</v>
      </c>
      <c r="J115" s="20" t="n">
        <v>150000</v>
      </c>
      <c r="K115" s="20" t="n">
        <v>150000</v>
      </c>
      <c r="L115" s="20" t="n">
        <v>150000</v>
      </c>
    </row>
    <row r="116">
      <c r="A116" s="18" t="inlineStr">
        <is>
          <t>장기차입금</t>
        </is>
      </c>
      <c r="C116" s="20" t="n">
        <v>743386</v>
      </c>
      <c r="D116" s="20" t="n">
        <v>746523</v>
      </c>
      <c r="E116" s="20" t="n">
        <v>758353</v>
      </c>
      <c r="F116" s="20" t="n">
        <v>743336</v>
      </c>
      <c r="G116" s="20" t="n">
        <v>792495</v>
      </c>
      <c r="H116" s="20" t="n">
        <v>1102218</v>
      </c>
      <c r="I116" s="20" t="n">
        <v>1017585</v>
      </c>
      <c r="J116" s="20" t="n">
        <v>943808</v>
      </c>
      <c r="K116" s="20" t="n">
        <v>691910</v>
      </c>
      <c r="L116" s="20" t="n">
        <v>743336</v>
      </c>
    </row>
    <row r="117">
      <c r="A117" s="18" t="inlineStr">
        <is>
          <t>리스부채</t>
        </is>
      </c>
      <c r="C117" s="20" t="n">
        <v>5363</v>
      </c>
      <c r="D117" s="20" t="n">
        <v>5097</v>
      </c>
      <c r="E117" s="20" t="n">
        <v>5112</v>
      </c>
      <c r="F117" s="20" t="n">
        <v>4946</v>
      </c>
      <c r="G117" s="20" t="n">
        <v>5023</v>
      </c>
      <c r="H117" s="20" t="n">
        <v>5988</v>
      </c>
      <c r="I117" s="20" t="n">
        <v>5483</v>
      </c>
      <c r="J117" s="20" t="n">
        <v>5230</v>
      </c>
      <c r="K117" s="20" t="n">
        <v>5831</v>
      </c>
      <c r="L117" s="20" t="n">
        <v>4946</v>
      </c>
    </row>
    <row r="118">
      <c r="A118" s="18" t="inlineStr">
        <is>
          <t>이연법인세부채</t>
        </is>
      </c>
      <c r="C118" s="20" t="n">
        <v>151</v>
      </c>
      <c r="D118" s="20" t="n">
        <v>156</v>
      </c>
      <c r="E118" s="20" t="n">
        <v>164</v>
      </c>
      <c r="F118" s="20" t="n">
        <v>167</v>
      </c>
      <c r="G118" s="20" t="n">
        <v>264</v>
      </c>
      <c r="H118" s="20" t="n">
        <v>1498</v>
      </c>
      <c r="I118" s="20" t="n">
        <v>206</v>
      </c>
      <c r="J118" s="20" t="n">
        <v>505</v>
      </c>
      <c r="K118" s="20" t="n">
        <v>482</v>
      </c>
      <c r="L118" s="20" t="n">
        <v>167</v>
      </c>
    </row>
    <row r="119">
      <c r="A119" s="18" t="inlineStr">
        <is>
          <t>상여충당금</t>
        </is>
      </c>
      <c r="C119" s="20" t="n">
        <v>1179</v>
      </c>
      <c r="F119" s="20" t="n">
        <v>0</v>
      </c>
      <c r="G119" s="20" t="n">
        <v>942</v>
      </c>
      <c r="I119" s="20" t="n">
        <v>0</v>
      </c>
      <c r="J119" s="20" t="n">
        <v>0</v>
      </c>
      <c r="K119" s="20" t="n">
        <v>0</v>
      </c>
      <c r="L119" s="20" t="n">
        <v>0</v>
      </c>
    </row>
    <row r="120">
      <c r="A120" s="18" t="inlineStr">
        <is>
          <t>임원 퇴직위로 충당금</t>
        </is>
      </c>
      <c r="C120" s="20" t="n">
        <v>891</v>
      </c>
      <c r="D120" s="20" t="n">
        <v>844</v>
      </c>
      <c r="E120" s="20" t="n">
        <v>889</v>
      </c>
      <c r="F120" s="20" t="n">
        <v>979</v>
      </c>
      <c r="G120" s="20" t="n">
        <v>1046</v>
      </c>
      <c r="H120" s="20" t="n">
        <v>612</v>
      </c>
      <c r="I120" s="20" t="n">
        <v>586</v>
      </c>
      <c r="J120" s="20" t="n">
        <v>707</v>
      </c>
      <c r="K120" s="20" t="n">
        <v>848</v>
      </c>
      <c r="L120" s="20" t="n">
        <v>979</v>
      </c>
    </row>
    <row r="121">
      <c r="A121" s="18" t="inlineStr">
        <is>
          <t>퇴직급여부채</t>
        </is>
      </c>
      <c r="C121" s="20" t="n">
        <v>153008</v>
      </c>
      <c r="D121" s="20" t="n">
        <v>152324</v>
      </c>
      <c r="E121" s="20" t="n">
        <v>151405</v>
      </c>
      <c r="F121" s="20" t="n">
        <v>144560</v>
      </c>
      <c r="G121" s="20" t="n">
        <v>144104</v>
      </c>
      <c r="H121" s="20" t="n">
        <v>157395</v>
      </c>
      <c r="I121" s="20" t="n">
        <v>161129</v>
      </c>
      <c r="J121" s="20" t="n">
        <v>160027</v>
      </c>
      <c r="K121" s="20" t="n">
        <v>153843</v>
      </c>
      <c r="L121" s="20" t="n">
        <v>144560</v>
      </c>
    </row>
    <row r="122">
      <c r="A122" s="18" t="inlineStr">
        <is>
          <t>기타 충당금</t>
        </is>
      </c>
      <c r="C122" s="20" t="n">
        <v>45007</v>
      </c>
      <c r="D122" s="20" t="n">
        <v>51933</v>
      </c>
      <c r="E122" s="20" t="n">
        <v>59226</v>
      </c>
      <c r="F122" s="20" t="n">
        <v>60746</v>
      </c>
      <c r="G122" s="20" t="n">
        <v>65272</v>
      </c>
      <c r="H122" s="20" t="n">
        <v>20500</v>
      </c>
      <c r="I122" s="20" t="n">
        <v>23112</v>
      </c>
      <c r="J122" s="20" t="n">
        <v>33781</v>
      </c>
      <c r="K122" s="20" t="n">
        <v>42372</v>
      </c>
      <c r="L122" s="20" t="n">
        <v>60746</v>
      </c>
    </row>
    <row r="123">
      <c r="A123" s="18" t="inlineStr">
        <is>
          <t>자산복구부채</t>
        </is>
      </c>
      <c r="C123" s="20" t="n">
        <v>1385</v>
      </c>
      <c r="D123" s="20" t="n">
        <v>1770</v>
      </c>
      <c r="E123" s="20" t="n">
        <v>1796</v>
      </c>
      <c r="F123" s="20" t="n">
        <v>3078</v>
      </c>
      <c r="G123" s="20" t="n">
        <v>3093</v>
      </c>
      <c r="H123" s="20" t="n">
        <v>1550</v>
      </c>
      <c r="I123" s="20" t="n">
        <v>1537</v>
      </c>
      <c r="J123" s="20" t="n">
        <v>1312</v>
      </c>
      <c r="K123" s="20" t="n">
        <v>1377</v>
      </c>
      <c r="L123" s="20" t="n">
        <v>3078</v>
      </c>
    </row>
    <row r="124">
      <c r="A124" s="18" t="inlineStr">
        <is>
          <t>기타</t>
        </is>
      </c>
      <c r="C124" s="20" t="n">
        <v>33913</v>
      </c>
      <c r="D124" s="20" t="n">
        <v>33366</v>
      </c>
      <c r="E124" s="20" t="n">
        <v>34920</v>
      </c>
      <c r="F124" s="20" t="n">
        <v>28196</v>
      </c>
      <c r="G124" s="20" t="n">
        <v>30033</v>
      </c>
      <c r="H124" s="20" t="n">
        <v>32368</v>
      </c>
      <c r="I124" s="20" t="n">
        <v>28294</v>
      </c>
      <c r="J124" s="20" t="n">
        <v>31105</v>
      </c>
      <c r="K124" s="20" t="n">
        <v>31997</v>
      </c>
      <c r="L124" s="20" t="n">
        <v>28196</v>
      </c>
    </row>
    <row r="125">
      <c r="A125" s="9" t="inlineStr">
        <is>
          <t>비유동부채 합계</t>
        </is>
      </c>
      <c r="C125" s="12" t="n">
        <v>1234283</v>
      </c>
      <c r="D125" s="12" t="n">
        <v>1227013</v>
      </c>
      <c r="E125" s="12" t="n">
        <v>1246865</v>
      </c>
      <c r="F125" s="12" t="n">
        <v>1221008</v>
      </c>
      <c r="G125" s="12" t="n">
        <v>1277272</v>
      </c>
      <c r="H125" s="12" t="n">
        <v>1727129</v>
      </c>
      <c r="I125" s="12" t="n">
        <v>1612932</v>
      </c>
      <c r="J125" s="12" t="n">
        <v>1481475</v>
      </c>
      <c r="K125" s="12" t="n">
        <v>1203660</v>
      </c>
      <c r="L125" s="12" t="n">
        <v>1221008</v>
      </c>
    </row>
    <row r="126">
      <c r="A126" s="9" t="inlineStr">
        <is>
          <t>부채 합계</t>
        </is>
      </c>
      <c r="C126" s="12" t="n">
        <v>2541605</v>
      </c>
      <c r="D126" s="12" t="n">
        <v>2563554</v>
      </c>
      <c r="E126" s="12" t="n">
        <v>2372917</v>
      </c>
      <c r="F126" s="12" t="n">
        <v>2452495</v>
      </c>
      <c r="G126" s="12" t="n">
        <v>2514933</v>
      </c>
      <c r="H126" s="12" t="n">
        <v>2415018</v>
      </c>
      <c r="I126" s="12" t="n">
        <v>2496333</v>
      </c>
      <c r="J126" s="12" t="n">
        <v>2516903</v>
      </c>
      <c r="K126" s="12" t="n">
        <v>2480202</v>
      </c>
      <c r="L126" s="12" t="n">
        <v>2452495</v>
      </c>
    </row>
    <row r="127">
      <c r="A127" s="18" t="inlineStr">
        <is>
          <t>자본금</t>
        </is>
      </c>
      <c r="C127" s="20" t="n">
        <v>467601</v>
      </c>
      <c r="D127" s="20" t="n">
        <v>467601</v>
      </c>
      <c r="E127" s="20" t="n">
        <v>467601</v>
      </c>
      <c r="F127" s="20" t="n">
        <v>467601</v>
      </c>
      <c r="G127" s="20" t="n">
        <v>467601</v>
      </c>
      <c r="H127" s="20" t="n">
        <v>467601</v>
      </c>
      <c r="I127" s="20" t="n">
        <v>467601</v>
      </c>
      <c r="J127" s="20" t="n">
        <v>467601</v>
      </c>
      <c r="K127" s="20" t="n">
        <v>467601</v>
      </c>
      <c r="L127" s="20" t="n">
        <v>467601</v>
      </c>
    </row>
    <row r="128">
      <c r="A128" s="18" t="inlineStr">
        <is>
          <t>자본잉여금</t>
        </is>
      </c>
      <c r="C128" s="20" t="n">
        <v>394799</v>
      </c>
      <c r="D128" s="20" t="n">
        <v>390171</v>
      </c>
      <c r="E128" s="20" t="n">
        <v>585171</v>
      </c>
      <c r="F128" s="20" t="n">
        <v>585171</v>
      </c>
      <c r="G128" s="20" t="n">
        <v>585171</v>
      </c>
      <c r="H128" s="20" t="n">
        <v>407328</v>
      </c>
      <c r="I128" s="20" t="n">
        <v>407328</v>
      </c>
      <c r="J128" s="20" t="n">
        <v>404065</v>
      </c>
      <c r="K128" s="20" t="n">
        <v>394800</v>
      </c>
      <c r="L128" s="20" t="n">
        <v>585171</v>
      </c>
    </row>
    <row r="129">
      <c r="A129" s="18" t="inlineStr">
        <is>
          <t>이익잉여금</t>
        </is>
      </c>
      <c r="C129" s="20" t="n">
        <v>260210</v>
      </c>
      <c r="D129" s="20" t="n">
        <v>313421</v>
      </c>
      <c r="E129" s="20" t="n">
        <v>377744</v>
      </c>
      <c r="F129" s="20" t="n">
        <v>407584</v>
      </c>
      <c r="G129" s="20" t="n">
        <v>394993</v>
      </c>
      <c r="H129" s="20" t="n">
        <v>-113228</v>
      </c>
      <c r="I129" s="20" t="n">
        <v>-21126</v>
      </c>
      <c r="J129" s="20" t="n">
        <v>135971</v>
      </c>
      <c r="K129" s="20" t="n">
        <v>265477</v>
      </c>
      <c r="L129" s="20" t="n">
        <v>407584</v>
      </c>
    </row>
    <row r="130">
      <c r="A130" s="18" t="inlineStr">
        <is>
          <t>자기주식</t>
        </is>
      </c>
      <c r="C130" s="20" t="n">
        <v>-56553</v>
      </c>
      <c r="D130" s="20" t="n">
        <v>-59352</v>
      </c>
      <c r="E130" s="20" t="n">
        <v>-62707</v>
      </c>
      <c r="F130" s="20" t="n">
        <v>-101564</v>
      </c>
      <c r="G130" s="20" t="n">
        <v>-151741</v>
      </c>
      <c r="H130" s="20" t="n">
        <v>-59350</v>
      </c>
      <c r="I130" s="20" t="n">
        <v>-59365</v>
      </c>
      <c r="J130" s="20" t="n">
        <v>-56512</v>
      </c>
      <c r="K130" s="20" t="n">
        <v>-56550</v>
      </c>
      <c r="L130" s="20" t="n">
        <v>-101564</v>
      </c>
    </row>
    <row r="131">
      <c r="A131" s="9" t="inlineStr">
        <is>
          <t>주주자본 합계</t>
        </is>
      </c>
      <c r="C131" s="12" t="n">
        <v>1066057</v>
      </c>
      <c r="D131" s="12" t="n">
        <v>1111841</v>
      </c>
      <c r="E131" s="12" t="n">
        <v>1367809</v>
      </c>
      <c r="F131" s="12" t="n">
        <v>1358792</v>
      </c>
      <c r="G131" s="12" t="n">
        <v>1296024</v>
      </c>
      <c r="H131" s="12" t="n">
        <v>702351</v>
      </c>
      <c r="I131" s="12" t="n">
        <v>794438</v>
      </c>
      <c r="J131" s="12" t="n">
        <v>951125</v>
      </c>
      <c r="K131" s="12" t="n">
        <v>1071328</v>
      </c>
      <c r="L131" s="12" t="n">
        <v>1358792</v>
      </c>
    </row>
    <row r="132">
      <c r="A132" s="18" t="inlineStr">
        <is>
          <t>기타유가증권 평가차액</t>
        </is>
      </c>
      <c r="C132" s="20" t="n">
        <v>40590</v>
      </c>
      <c r="D132" s="20" t="n">
        <v>45618</v>
      </c>
      <c r="E132" s="20" t="n">
        <v>38665</v>
      </c>
      <c r="F132" s="20" t="n">
        <v>38719</v>
      </c>
      <c r="G132" s="20" t="n">
        <v>37477</v>
      </c>
      <c r="H132" s="20" t="n">
        <v>32311</v>
      </c>
      <c r="I132" s="20" t="n">
        <v>36824</v>
      </c>
      <c r="J132" s="20" t="n">
        <v>41360</v>
      </c>
      <c r="K132" s="20" t="n">
        <v>35482</v>
      </c>
      <c r="L132" s="20" t="n">
        <v>38719</v>
      </c>
    </row>
    <row r="133">
      <c r="A133" s="18" t="inlineStr">
        <is>
          <t>이연헤지손익</t>
        </is>
      </c>
      <c r="C133" s="20" t="n">
        <v>8867</v>
      </c>
      <c r="D133" s="20" t="n">
        <v>20949</v>
      </c>
      <c r="E133" s="20" t="n">
        <v>35243</v>
      </c>
      <c r="F133" s="20" t="n">
        <v>89578</v>
      </c>
      <c r="G133" s="20" t="n">
        <v>58192</v>
      </c>
      <c r="H133" s="20" t="n">
        <v>72167</v>
      </c>
      <c r="I133" s="20" t="n">
        <v>42496</v>
      </c>
      <c r="J133" s="20" t="n">
        <v>59782</v>
      </c>
      <c r="K133" s="20" t="n">
        <v>26324</v>
      </c>
      <c r="L133" s="20" t="n">
        <v>89578</v>
      </c>
    </row>
    <row r="134">
      <c r="A134" s="18" t="inlineStr">
        <is>
          <t>해외사업환산조정</t>
        </is>
      </c>
      <c r="C134" s="20" t="n">
        <v>3357</v>
      </c>
      <c r="D134" s="20" t="n">
        <v>3540</v>
      </c>
      <c r="E134" s="20" t="n">
        <v>4228</v>
      </c>
      <c r="F134" s="20" t="n">
        <v>4825</v>
      </c>
      <c r="G134" s="20" t="n">
        <v>5200</v>
      </c>
      <c r="H134" s="20" t="n">
        <v>3688</v>
      </c>
      <c r="I134" s="20" t="n">
        <v>2481</v>
      </c>
      <c r="J134" s="20" t="n">
        <v>3677</v>
      </c>
      <c r="K134" s="20" t="n">
        <v>3971</v>
      </c>
      <c r="L134" s="20" t="n">
        <v>4825</v>
      </c>
    </row>
    <row r="135">
      <c r="A135" s="18" t="inlineStr">
        <is>
          <t>퇴직급여 조정누계액</t>
        </is>
      </c>
      <c r="C135" s="20" t="n">
        <v>-6425</v>
      </c>
      <c r="D135" s="20" t="n">
        <v>-5964</v>
      </c>
      <c r="E135" s="20" t="n">
        <v>-5529</v>
      </c>
      <c r="F135" s="20" t="n">
        <v>85</v>
      </c>
      <c r="G135" s="20" t="n">
        <v>463</v>
      </c>
      <c r="H135" s="20" t="n">
        <v>-13268</v>
      </c>
      <c r="I135" s="20" t="n">
        <v>-13820</v>
      </c>
      <c r="J135" s="20" t="n">
        <v>-11436</v>
      </c>
      <c r="K135" s="20" t="n">
        <v>-6788</v>
      </c>
      <c r="L135" s="20" t="n">
        <v>85</v>
      </c>
    </row>
    <row r="136">
      <c r="A136" s="18" t="inlineStr">
        <is>
          <t>기타포괄손익누계액 합계</t>
        </is>
      </c>
      <c r="C136" s="20" t="n">
        <v>46389</v>
      </c>
      <c r="D136" s="20" t="n">
        <v>64143</v>
      </c>
      <c r="E136" s="20" t="n">
        <v>72607</v>
      </c>
      <c r="F136" s="20" t="n">
        <v>133207</v>
      </c>
      <c r="G136" s="20" t="n">
        <v>101332</v>
      </c>
      <c r="H136" s="20" t="n">
        <v>94898</v>
      </c>
      <c r="I136" s="20" t="n">
        <v>67981</v>
      </c>
      <c r="J136" s="20" t="n">
        <v>93383</v>
      </c>
      <c r="K136" s="20" t="n">
        <v>58989</v>
      </c>
      <c r="L136" s="20" t="n">
        <v>133207</v>
      </c>
    </row>
    <row r="137">
      <c r="A137" s="18" t="inlineStr">
        <is>
          <t>비지배지분</t>
        </is>
      </c>
      <c r="C137" s="20" t="n">
        <v>10200</v>
      </c>
      <c r="D137" s="20" t="n">
        <v>8958</v>
      </c>
      <c r="E137" s="20" t="n">
        <v>10347</v>
      </c>
      <c r="F137" s="20" t="n">
        <v>10634</v>
      </c>
      <c r="G137" s="20" t="n">
        <v>10943</v>
      </c>
      <c r="H137" s="20" t="n">
        <v>6166</v>
      </c>
      <c r="I137" s="20" t="n">
        <v>7972</v>
      </c>
      <c r="J137" s="20" t="n">
        <v>8119</v>
      </c>
      <c r="K137" s="20" t="n">
        <v>9778</v>
      </c>
      <c r="L137" s="20" t="n">
        <v>10634</v>
      </c>
    </row>
    <row r="138">
      <c r="A138" s="9" t="inlineStr">
        <is>
          <t>순자산 합계</t>
        </is>
      </c>
      <c r="C138" s="12" t="n">
        <v>1122646</v>
      </c>
      <c r="D138" s="12" t="n">
        <v>1184942</v>
      </c>
      <c r="E138" s="12" t="n">
        <v>1450763</v>
      </c>
      <c r="F138" s="12" t="n">
        <v>1502633</v>
      </c>
      <c r="G138" s="12" t="n">
        <v>1408299</v>
      </c>
      <c r="H138" s="12" t="n">
        <v>803415</v>
      </c>
      <c r="I138" s="12" t="n">
        <v>870391</v>
      </c>
      <c r="J138" s="12" t="n">
        <v>1052627</v>
      </c>
      <c r="K138" s="12" t="n">
        <v>1140095</v>
      </c>
      <c r="L138" s="12" t="n">
        <v>1502633</v>
      </c>
    </row>
    <row r="139">
      <c r="A139" s="9" t="inlineStr">
        <is>
          <t>부채·순자산 합계</t>
        </is>
      </c>
      <c r="C139" s="12" t="n">
        <v>3664251</v>
      </c>
      <c r="D139" s="12" t="n">
        <v>3748496</v>
      </c>
      <c r="E139" s="12" t="n">
        <v>3823680</v>
      </c>
      <c r="F139" s="12" t="n">
        <v>3955128</v>
      </c>
      <c r="G139" s="12" t="n">
        <v>3923232</v>
      </c>
      <c r="H139" s="12" t="n">
        <v>3218433</v>
      </c>
      <c r="I139" s="12" t="n">
        <v>3366724</v>
      </c>
      <c r="J139" s="12" t="n">
        <v>3569530</v>
      </c>
      <c r="K139" s="12" t="n">
        <v>3620297</v>
      </c>
      <c r="L139" s="12" t="n">
        <v>3955128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1" t="inlineStr">
        <is>
          <t>공시일</t>
        </is>
      </c>
      <c r="B3" s="51" t="inlineStr">
        <is>
          <t>문서</t>
        </is>
      </c>
      <c r="C3" s="51" t="inlineStr">
        <is>
          <t>PDF</t>
        </is>
      </c>
    </row>
    <row r="4">
      <c r="A4" t="inlineStr">
        <is>
          <t>2026-07-29</t>
        </is>
      </c>
      <c r="B4" t="inlineStr">
        <is>
          <t>2027년 3월 결산기 １분기 결산단신</t>
        </is>
      </c>
      <c r="C4" t="inlineStr">
        <is>
          <t>https://www2.jpx.co.jp/disc/92020/140120260729501430.pdf</t>
        </is>
      </c>
    </row>
    <row r="5">
      <c r="A5" t="inlineStr">
        <is>
          <t>2026-04-30</t>
        </is>
      </c>
      <c r="B5" t="inlineStr">
        <is>
          <t>2026년 3월 결산기 연간 결산단신</t>
        </is>
      </c>
      <c r="C5" t="inlineStr">
        <is>
          <t>https://www2.jpx.co.jp/disc/92020/140120260430514576.pdf</t>
        </is>
      </c>
    </row>
    <row r="6">
      <c r="A6" t="inlineStr">
        <is>
          <t>2026-01-30</t>
        </is>
      </c>
      <c r="B6" t="inlineStr">
        <is>
          <t>2026년 3월 결산기 ３분기 결산단신</t>
        </is>
      </c>
      <c r="C6" t="inlineStr">
        <is>
          <t>https://www2.jpx.co.jp/disc/92020/140120260129542243.pdf</t>
        </is>
      </c>
    </row>
    <row r="7">
      <c r="A7" t="inlineStr">
        <is>
          <t>2025-10-30</t>
        </is>
      </c>
      <c r="B7" t="inlineStr">
        <is>
          <t>2026년 3월 결산기 ２분기 결산단신</t>
        </is>
      </c>
      <c r="C7" t="inlineStr">
        <is>
          <t>https://www2.jpx.co.jp/disc/92020/140120251029581620.pdf</t>
        </is>
      </c>
    </row>
    <row r="8">
      <c r="A8" t="inlineStr">
        <is>
          <t>2025-07-29</t>
        </is>
      </c>
      <c r="B8" t="inlineStr">
        <is>
          <t>2026년 3월 결산기 １분기 결산단신</t>
        </is>
      </c>
      <c r="C8" t="inlineStr">
        <is>
          <t>https://www2.jpx.co.jp/disc/92020/140120250729522393.pdf</t>
        </is>
      </c>
    </row>
    <row r="9">
      <c r="A9" t="inlineStr">
        <is>
          <t>2025-04-30</t>
        </is>
      </c>
      <c r="B9" t="inlineStr">
        <is>
          <t>2025년 3월 결산기 연간 결산단신</t>
        </is>
      </c>
      <c r="C9" t="inlineStr">
        <is>
          <t>https://www2.jpx.co.jp/disc/92020/140120250430527609.pdf</t>
        </is>
      </c>
    </row>
    <row r="10">
      <c r="A10" t="inlineStr">
        <is>
          <t>2025-02-03</t>
        </is>
      </c>
      <c r="B10" t="inlineStr">
        <is>
          <t>2025년 3월 결산기 ３분기 결산단신</t>
        </is>
      </c>
      <c r="C10" t="inlineStr">
        <is>
          <t>https://www2.jpx.co.jp/disc/92020/140120250203561043.pdf</t>
        </is>
      </c>
    </row>
    <row r="11">
      <c r="A11" t="inlineStr">
        <is>
          <t>2024-10-31</t>
        </is>
      </c>
      <c r="B11" t="inlineStr">
        <is>
          <t>2025년 3월 결산기 ２분기 결산단신</t>
        </is>
      </c>
      <c r="C11" t="inlineStr">
        <is>
          <t>https://www2.jpx.co.jp/disc/92020/140120241031507679.pdf</t>
        </is>
      </c>
    </row>
    <row r="12">
      <c r="A12" t="inlineStr">
        <is>
          <t>2024-07-30</t>
        </is>
      </c>
      <c r="B12" t="inlineStr">
        <is>
          <t>2025년 3월 결산기 １분기 결산단신</t>
        </is>
      </c>
      <c r="C12" t="inlineStr">
        <is>
          <t>https://www2.jpx.co.jp/disc/92020/140120240730557260.pdf</t>
        </is>
      </c>
    </row>
    <row r="13">
      <c r="A13" t="inlineStr">
        <is>
          <t>2024-04-26</t>
        </is>
      </c>
      <c r="B13" t="inlineStr">
        <is>
          <t>2024년 3월 결산기 연간 결산단신</t>
        </is>
      </c>
      <c r="C13" t="inlineStr">
        <is>
          <t>https://www2.jpx.co.jp/disc/92020/140120240426577892.pdf</t>
        </is>
      </c>
    </row>
    <row r="14">
      <c r="A14" t="inlineStr">
        <is>
          <t>2024-01-31</t>
        </is>
      </c>
      <c r="B14" t="inlineStr">
        <is>
          <t>2024년 3월 결산기 ３분기 결산단신</t>
        </is>
      </c>
      <c r="C14" t="inlineStr">
        <is>
          <t>https://www2.jpx.co.jp/disc/92020/140120240131522901.pdf</t>
        </is>
      </c>
    </row>
    <row r="15">
      <c r="A15" t="inlineStr">
        <is>
          <t>2023-10-31</t>
        </is>
      </c>
      <c r="B15" t="inlineStr">
        <is>
          <t>2024년 3월 결산기 ２분기 결산단신</t>
        </is>
      </c>
      <c r="C15" t="inlineStr">
        <is>
          <t>https://www2.jpx.co.jp/disc/92020/140120231031575951.pdf</t>
        </is>
      </c>
    </row>
    <row r="16">
      <c r="A16" t="inlineStr">
        <is>
          <t>2023-07-28</t>
        </is>
      </c>
      <c r="B16" t="inlineStr">
        <is>
          <t>2024년 3월 결산기 １분기 결산단신</t>
        </is>
      </c>
      <c r="C16" t="inlineStr">
        <is>
          <t>https://www2.jpx.co.jp/disc/92020/140120230728529102.pdf</t>
        </is>
      </c>
    </row>
    <row r="17">
      <c r="A17" t="inlineStr">
        <is>
          <t>2023-04-27</t>
        </is>
      </c>
      <c r="B17" t="inlineStr">
        <is>
          <t>2023년 3월 결산기 연간 결산단신</t>
        </is>
      </c>
      <c r="C17" t="inlineStr">
        <is>
          <t>https://www2.jpx.co.jp/disc/92020/140120230427554462.pdf</t>
        </is>
      </c>
    </row>
    <row r="18">
      <c r="A18" t="inlineStr">
        <is>
          <t>2023-02-02</t>
        </is>
      </c>
      <c r="B18" t="inlineStr">
        <is>
          <t>2023년 3월 결산기 ３분기 결산단신</t>
        </is>
      </c>
      <c r="C18" t="inlineStr">
        <is>
          <t>https://www2.jpx.co.jp/disc/92020/140120230202599055.pdf</t>
        </is>
      </c>
    </row>
    <row r="19">
      <c r="A19" t="inlineStr">
        <is>
          <t>2022-10-31</t>
        </is>
      </c>
      <c r="B19" t="inlineStr">
        <is>
          <t>2023년 3월 결산기 ２분기 결산단신</t>
        </is>
      </c>
      <c r="C19" t="inlineStr">
        <is>
          <t>https://www2.jpx.co.jp/disc/92020/140120221031553149.pdf</t>
        </is>
      </c>
    </row>
    <row r="20">
      <c r="A20" t="inlineStr">
        <is>
          <t>2022-04-28</t>
        </is>
      </c>
      <c r="B20" t="inlineStr">
        <is>
          <t>2022년 3월 결산기 연간 결산단신</t>
        </is>
      </c>
      <c r="C20" t="inlineStr">
        <is>
          <t>https://www2.jpx.co.jp/disc/92020/140120220428531186.pdf</t>
        </is>
      </c>
    </row>
    <row r="21">
      <c r="A21" t="inlineStr">
        <is>
          <t>2021-04-30</t>
        </is>
      </c>
      <c r="B21" t="inlineStr">
        <is>
          <t>2021년 3월 결산기 연간 결산단신</t>
        </is>
      </c>
      <c r="C21" t="inlineStr">
        <is>
          <t>https://www2.jpx.co.jp/disc/92020/140120210430404371.pdf</t>
        </is>
      </c>
    </row>
    <row r="22">
      <c r="A22" t="inlineStr">
        <is>
          <t>2020-04-28</t>
        </is>
      </c>
      <c r="B22" t="inlineStr">
        <is>
          <t>2020년 3월 결산기 연간 결산단신</t>
        </is>
      </c>
      <c r="C22" t="inlineStr">
        <is>
          <t>https://www2.jpx.co.jp/disc/92020/140120200428400983.pdf</t>
        </is>
      </c>
    </row>
    <row r="23">
      <c r="A23" t="inlineStr">
        <is>
          <t>2019-04-26</t>
        </is>
      </c>
      <c r="B23" t="inlineStr">
        <is>
          <t>2019년 3월 결산기 연간 결산단신</t>
        </is>
      </c>
      <c r="C23" t="inlineStr">
        <is>
          <t>https://www2.jpx.co.jp/disc/92020/140120190426412635.pdf</t>
        </is>
      </c>
    </row>
    <row r="24">
      <c r="A24" t="inlineStr">
        <is>
          <t>2018-04-27</t>
        </is>
      </c>
      <c r="B24" t="inlineStr">
        <is>
          <t>연간 결산단신</t>
        </is>
      </c>
      <c r="C24" t="inlineStr">
        <is>
          <t>https://www2.jpx.co.jp/disc/92020/140120180427423519.pdf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2026-10-28T07:00:54Z</dcterms:created>
  <dcterms:modified xmlns:dcterms="http://purl.org/dc/terms/" xmlns:xsi="http://www.w3.org/2001/XMLSchema-instance" xsi:type="dcterms:W3CDTF">2026-10-28T07:00:55Z</dcterms:modified>
</cp:coreProperties>
</file>