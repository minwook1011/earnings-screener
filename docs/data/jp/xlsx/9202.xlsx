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0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9202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541703</v>
      </c>
      <c r="D4" s="12" t="n">
        <v>540852</v>
      </c>
      <c r="E4" s="12" t="n">
        <v>512347</v>
      </c>
      <c r="F4" s="12" t="n">
        <v>516775</v>
      </c>
      <c r="G4" s="12" t="n">
        <v>582812</v>
      </c>
      <c r="H4" s="12" t="n">
        <v>603197</v>
      </c>
      <c r="I4" s="12" t="n">
        <v>559072</v>
      </c>
      <c r="J4" s="12" t="n">
        <v>548701</v>
      </c>
      <c r="K4" s="12" t="n">
        <v>641699</v>
      </c>
      <c r="L4" s="12" t="n">
        <v>686984</v>
      </c>
      <c r="M4" s="12" t="n">
        <v>661849</v>
      </c>
      <c r="N4" s="12" t="n">
        <v>672729</v>
      </c>
      <c r="O4" s="11" t="n">
        <v>1765259</v>
      </c>
      <c r="P4" s="12" t="n">
        <v>1971799</v>
      </c>
      <c r="Q4" s="12" t="n">
        <v>2058312</v>
      </c>
      <c r="R4" s="12" t="n">
        <v>1974216</v>
      </c>
      <c r="S4" s="12" t="n">
        <v>728683</v>
      </c>
      <c r="T4" s="12" t="n">
        <v>1020324</v>
      </c>
      <c r="U4" s="12" t="n">
        <v>1707484</v>
      </c>
      <c r="V4" s="12" t="n">
        <v>2055928</v>
      </c>
      <c r="W4" s="12" t="n">
        <v>2261856</v>
      </c>
      <c r="X4" s="12" t="n">
        <v>2539233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Air Transportation Reportable Segments</t>
        </is>
      </c>
      <c r="B7" s="10" t="n"/>
      <c r="C7" s="19" t="n">
        <v>483407</v>
      </c>
      <c r="D7" s="20" t="n">
        <v>483909</v>
      </c>
      <c r="E7" s="20" t="n">
        <v>452263</v>
      </c>
      <c r="F7" s="20" t="n">
        <v>459299</v>
      </c>
      <c r="G7" s="20" t="n">
        <v>521342</v>
      </c>
      <c r="H7" s="20" t="n">
        <v>540803</v>
      </c>
      <c r="I7" s="20" t="n">
        <v>498437</v>
      </c>
      <c r="J7" s="20" t="n">
        <v>488033</v>
      </c>
      <c r="K7" s="20" t="n">
        <v>575169</v>
      </c>
      <c r="L7" s="20" t="n">
        <v>616203</v>
      </c>
      <c r="M7" s="20" t="n">
        <v>597313</v>
      </c>
      <c r="N7" s="20" t="n">
        <v>610980</v>
      </c>
      <c r="O7" s="19" t="n"/>
      <c r="P7" s="20" t="n"/>
      <c r="Q7" s="20" t="n"/>
      <c r="R7" s="20" t="n"/>
      <c r="S7" s="20" t="n"/>
      <c r="T7" s="20" t="n"/>
      <c r="U7" s="20" t="n"/>
      <c r="V7" s="20" t="n">
        <v>1828424</v>
      </c>
      <c r="W7" s="20" t="n">
        <v>2019881</v>
      </c>
      <c r="X7" s="20" t="n">
        <v>2276718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Airline Related Reportable Segments</t>
        </is>
      </c>
      <c r="B10" s="10" t="n"/>
      <c r="C10" s="19" t="n">
        <v>11101</v>
      </c>
      <c r="D10" s="20" t="n">
        <v>12407</v>
      </c>
      <c r="E10" s="20" t="n">
        <v>14634</v>
      </c>
      <c r="F10" s="20" t="n">
        <v>12956</v>
      </c>
      <c r="G10" s="20" t="n">
        <v>14038</v>
      </c>
      <c r="H10" s="20" t="n">
        <v>15542</v>
      </c>
      <c r="I10" s="20" t="n">
        <v>12939</v>
      </c>
      <c r="J10" s="20" t="n">
        <v>14261</v>
      </c>
      <c r="K10" s="20" t="n">
        <v>14162</v>
      </c>
      <c r="L10" s="20" t="n">
        <v>15377</v>
      </c>
      <c r="M10" s="20" t="n">
        <v>16419</v>
      </c>
      <c r="N10" s="20" t="n">
        <v>14580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48904</v>
      </c>
      <c r="W10" s="20" t="n">
        <v>55475</v>
      </c>
      <c r="X10" s="20" t="n">
        <v>60219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Travel Services Reportable Segments</t>
        </is>
      </c>
      <c r="B13" s="10" t="n"/>
      <c r="C13" s="19" t="n">
        <v>17450</v>
      </c>
      <c r="D13" s="20" t="n">
        <v>14812</v>
      </c>
      <c r="E13" s="20" t="n">
        <v>13866</v>
      </c>
      <c r="F13" s="20" t="n">
        <v>13035</v>
      </c>
      <c r="G13" s="20" t="n">
        <v>15650</v>
      </c>
      <c r="H13" s="20" t="n">
        <v>13660</v>
      </c>
      <c r="I13" s="20" t="n">
        <v>13549</v>
      </c>
      <c r="J13" s="20" t="n">
        <v>11640</v>
      </c>
      <c r="K13" s="20" t="n">
        <v>14936</v>
      </c>
      <c r="L13" s="20" t="n">
        <v>12234</v>
      </c>
      <c r="M13" s="20" t="n">
        <v>11344</v>
      </c>
      <c r="N13" s="20" t="n">
        <v>10896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60163</v>
      </c>
      <c r="W13" s="20" t="n">
        <v>55894</v>
      </c>
      <c r="X13" s="20" t="n">
        <v>50154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Trade And Retail Reportable Segments</t>
        </is>
      </c>
      <c r="B16" s="10" t="n"/>
      <c r="C16" s="19" t="n">
        <v>25934</v>
      </c>
      <c r="D16" s="20" t="n">
        <v>25805</v>
      </c>
      <c r="E16" s="20" t="n">
        <v>25706</v>
      </c>
      <c r="F16" s="20" t="n">
        <v>27523</v>
      </c>
      <c r="G16" s="20" t="n">
        <v>27911</v>
      </c>
      <c r="H16" s="20" t="n">
        <v>28334</v>
      </c>
      <c r="I16" s="20" t="n">
        <v>28182</v>
      </c>
      <c r="J16" s="20" t="n">
        <v>30286</v>
      </c>
      <c r="K16" s="20" t="n">
        <v>33232</v>
      </c>
      <c r="L16" s="20" t="n">
        <v>38072</v>
      </c>
      <c r="M16" s="20" t="n">
        <v>31343</v>
      </c>
      <c r="N16" s="20" t="n">
        <v>31849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101491</v>
      </c>
      <c r="W16" s="20" t="n">
        <v>111950</v>
      </c>
      <c r="X16" s="20" t="n">
        <v>132933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3811</v>
      </c>
      <c r="D19" s="20" t="n">
        <v>3919</v>
      </c>
      <c r="E19" s="20" t="n">
        <v>5878</v>
      </c>
      <c r="F19" s="20" t="n">
        <v>3962</v>
      </c>
      <c r="G19" s="20" t="n">
        <v>3871</v>
      </c>
      <c r="H19" s="20" t="n">
        <v>4858</v>
      </c>
      <c r="I19" s="20" t="n">
        <v>5965</v>
      </c>
      <c r="J19" s="20" t="n">
        <v>4481</v>
      </c>
      <c r="K19" s="20" t="n">
        <v>4200</v>
      </c>
      <c r="L19" s="20" t="n">
        <v>5098</v>
      </c>
      <c r="M19" s="20" t="n">
        <v>5430</v>
      </c>
      <c r="N19" s="20" t="n">
        <v>4424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16946</v>
      </c>
      <c r="W19" s="20" t="n">
        <v>18656</v>
      </c>
      <c r="X19" s="20" t="n">
        <v>19209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405616</v>
      </c>
      <c r="D23" s="20" t="n">
        <v>411589</v>
      </c>
      <c r="E23" s="20" t="n">
        <v>454972</v>
      </c>
      <c r="F23" s="20" t="n">
        <v>433811</v>
      </c>
      <c r="G23" s="20" t="n">
        <v>450885</v>
      </c>
      <c r="H23" s="20" t="n">
        <v>485562</v>
      </c>
      <c r="I23" s="20" t="n">
        <v>473284</v>
      </c>
      <c r="J23" s="20" t="n">
        <v>456915</v>
      </c>
      <c r="K23" s="20" t="n">
        <v>522220</v>
      </c>
      <c r="L23" s="20" t="n">
        <v>542837</v>
      </c>
      <c r="M23" s="20" t="n">
        <v>552786</v>
      </c>
      <c r="N23" s="20" t="n">
        <v>590110</v>
      </c>
      <c r="O23" s="19" t="n">
        <v>1324846</v>
      </c>
      <c r="P23" s="20" t="n">
        <v>1481881</v>
      </c>
      <c r="Q23" s="20" t="n">
        <v>1559876</v>
      </c>
      <c r="R23" s="20" t="n">
        <v>1583434</v>
      </c>
      <c r="S23" s="20" t="n">
        <v>1000000</v>
      </c>
      <c r="T23" s="20" t="n">
        <v>1049414</v>
      </c>
      <c r="U23" s="20" t="n">
        <v>1403567</v>
      </c>
      <c r="V23" s="20" t="n">
        <v>1642263</v>
      </c>
      <c r="W23" s="20" t="n">
        <v>1843542</v>
      </c>
      <c r="X23" s="20" t="n">
        <v>2074758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50134</v>
      </c>
      <c r="D27" s="20" t="n">
        <v>48886</v>
      </c>
      <c r="E27" s="20" t="n">
        <v>59578</v>
      </c>
      <c r="F27" s="20" t="n">
        <v>52610</v>
      </c>
      <c r="G27" s="20" t="n">
        <v>53907</v>
      </c>
      <c r="H27" s="20" t="n">
        <v>54849</v>
      </c>
      <c r="I27" s="20" t="n">
        <v>60309</v>
      </c>
      <c r="J27" s="20" t="n">
        <v>55000</v>
      </c>
      <c r="K27" s="20" t="n">
        <v>58637</v>
      </c>
      <c r="L27" s="20" t="n">
        <v>61061</v>
      </c>
      <c r="M27" s="20" t="n">
        <v>72340</v>
      </c>
      <c r="N27" s="20" t="n">
        <v>61837</v>
      </c>
      <c r="O27" s="19" t="n">
        <v>294874</v>
      </c>
      <c r="P27" s="20" t="n">
        <v>325402</v>
      </c>
      <c r="Q27" s="20" t="n">
        <v>333417</v>
      </c>
      <c r="R27" s="20" t="n">
        <v>329976</v>
      </c>
      <c r="S27" s="20" t="n">
        <v>193457</v>
      </c>
      <c r="T27" s="20" t="n">
        <v>144037</v>
      </c>
      <c r="U27" s="20" t="n">
        <v>183887</v>
      </c>
      <c r="V27" s="20" t="n">
        <v>205754</v>
      </c>
      <c r="W27" s="20" t="n">
        <v>221675</v>
      </c>
      <c r="X27" s="20" t="n">
        <v>247038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85953</v>
      </c>
      <c r="D28" s="12" t="n">
        <v>80377</v>
      </c>
      <c r="E28" s="12" t="n">
        <v>-2203</v>
      </c>
      <c r="F28" s="12" t="n">
        <v>30354</v>
      </c>
      <c r="G28" s="12" t="n">
        <v>78020</v>
      </c>
      <c r="H28" s="12" t="n">
        <v>62786</v>
      </c>
      <c r="I28" s="12" t="n">
        <v>25479</v>
      </c>
      <c r="J28" s="12" t="n">
        <v>36786</v>
      </c>
      <c r="K28" s="12" t="n">
        <v>60842</v>
      </c>
      <c r="L28" s="12" t="n">
        <v>83086</v>
      </c>
      <c r="M28" s="12" t="n">
        <v>36723</v>
      </c>
      <c r="N28" s="12" t="n">
        <v>20782</v>
      </c>
      <c r="O28" s="11" t="n">
        <v>145539</v>
      </c>
      <c r="P28" s="12" t="n">
        <v>164516</v>
      </c>
      <c r="Q28" s="12" t="n">
        <v>165019</v>
      </c>
      <c r="R28" s="12" t="n">
        <v>60806</v>
      </c>
      <c r="S28" s="12" t="n">
        <v>-464774</v>
      </c>
      <c r="T28" s="12" t="n">
        <v>-173127</v>
      </c>
      <c r="U28" s="12" t="n">
        <v>120030</v>
      </c>
      <c r="V28" s="12" t="n">
        <v>207911</v>
      </c>
      <c r="W28" s="12" t="n">
        <v>196639</v>
      </c>
      <c r="X28" s="12" t="n">
        <v>217437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>
        <v>36653</v>
      </c>
      <c r="P33" s="20" t="n">
        <v>38976</v>
      </c>
      <c r="Q33" s="20" t="n">
        <v>39760</v>
      </c>
      <c r="R33" s="20" t="n">
        <v>39446</v>
      </c>
      <c r="S33" s="20" t="n">
        <v>31299</v>
      </c>
      <c r="T33" s="20" t="n">
        <v>30357</v>
      </c>
      <c r="U33" s="20" t="n">
        <v>33578</v>
      </c>
      <c r="V33" s="20" t="n">
        <v>35249</v>
      </c>
      <c r="W33" s="20" t="n">
        <v>38599</v>
      </c>
      <c r="X33" s="20" t="n">
        <v>43050</v>
      </c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>
        <v>18342</v>
      </c>
      <c r="P35" s="20" t="n">
        <v>22014</v>
      </c>
      <c r="Q35" s="20" t="n">
        <v>24828</v>
      </c>
      <c r="R35" s="20" t="n">
        <v>27616</v>
      </c>
      <c r="S35" s="20" t="n">
        <v>26968</v>
      </c>
      <c r="T35" s="20" t="n">
        <v>25379</v>
      </c>
      <c r="U35" s="20" t="n">
        <v>22113</v>
      </c>
      <c r="V35" s="20" t="n">
        <v>17779</v>
      </c>
      <c r="W35" s="20" t="n">
        <v>15199</v>
      </c>
      <c r="X35" s="20" t="n">
        <v>21884</v>
      </c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/>
      <c r="D44" s="20" t="n">
        <v>0</v>
      </c>
      <c r="E44" s="20" t="n">
        <v>0</v>
      </c>
      <c r="F44" s="20" t="n"/>
      <c r="G44" s="20" t="n"/>
      <c r="H44" s="20" t="n">
        <v>35</v>
      </c>
      <c r="I44" s="20" t="n">
        <v>104</v>
      </c>
      <c r="J44" s="20" t="n">
        <v>0</v>
      </c>
      <c r="K44" s="20" t="n">
        <v>11256</v>
      </c>
      <c r="L44" s="20" t="n">
        <v>642</v>
      </c>
      <c r="M44" s="20" t="n">
        <v>13</v>
      </c>
      <c r="N44" s="20" t="n">
        <v>2051</v>
      </c>
      <c r="O44" s="19" t="n">
        <v>2283</v>
      </c>
      <c r="P44" s="20" t="n">
        <v>44758</v>
      </c>
      <c r="Q44" s="20" t="n">
        <v>6813</v>
      </c>
      <c r="R44" s="20" t="n">
        <v>19254</v>
      </c>
      <c r="S44" s="20" t="n">
        <v>5220</v>
      </c>
      <c r="T44" s="20" t="n">
        <v>28310</v>
      </c>
      <c r="U44" s="20" t="n">
        <v>3574</v>
      </c>
      <c r="V44" s="20" t="n">
        <v>0</v>
      </c>
      <c r="W44" s="20" t="n">
        <v>404</v>
      </c>
      <c r="X44" s="20" t="n">
        <v>11911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451</v>
      </c>
      <c r="D46" s="20" t="n">
        <v>6</v>
      </c>
      <c r="E46" s="20" t="n">
        <v>2361</v>
      </c>
      <c r="F46" s="20" t="n"/>
      <c r="G46" s="20" t="n"/>
      <c r="H46" s="20" t="n">
        <v>3525</v>
      </c>
      <c r="I46" s="20" t="n">
        <v>399</v>
      </c>
      <c r="J46" s="20" t="n"/>
      <c r="K46" s="20" t="n"/>
      <c r="L46" s="20" t="n">
        <v>0</v>
      </c>
      <c r="M46" s="20" t="n">
        <v>7034</v>
      </c>
      <c r="N46" s="20" t="n"/>
      <c r="O46" s="19" t="n">
        <v>3196</v>
      </c>
      <c r="P46" s="20" t="n">
        <v>8753</v>
      </c>
      <c r="Q46" s="20" t="n">
        <v>9471</v>
      </c>
      <c r="R46" s="20" t="n">
        <v>27111</v>
      </c>
      <c r="S46" s="20" t="n">
        <v>99237</v>
      </c>
      <c r="T46" s="20" t="n">
        <v>18749</v>
      </c>
      <c r="U46" s="20" t="n">
        <v>1042</v>
      </c>
      <c r="V46" s="20" t="n">
        <v>2818</v>
      </c>
      <c r="W46" s="20" t="n">
        <v>3924</v>
      </c>
      <c r="X46" s="20" t="n">
        <v>8061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5257</v>
      </c>
      <c r="D48" s="20" t="n">
        <v>6514</v>
      </c>
      <c r="E48" s="20" t="n">
        <v>12779</v>
      </c>
      <c r="F48" s="20" t="n">
        <v>13652</v>
      </c>
      <c r="G48" s="20" t="n">
        <v>5090</v>
      </c>
      <c r="H48" s="20" t="n">
        <v>14046</v>
      </c>
      <c r="I48" s="20" t="n">
        <v>3313</v>
      </c>
      <c r="J48" s="20" t="n">
        <v>6950</v>
      </c>
      <c r="K48" s="20" t="n">
        <v>7177</v>
      </c>
      <c r="L48" s="20" t="n">
        <v>10789</v>
      </c>
      <c r="M48" s="20" t="n">
        <v>9849</v>
      </c>
      <c r="N48" s="20" t="n">
        <v>7968</v>
      </c>
      <c r="O48" s="19" t="n">
        <v>15042</v>
      </c>
      <c r="P48" s="20" t="n">
        <v>12615</v>
      </c>
      <c r="Q48" s="20" t="n">
        <v>16599</v>
      </c>
      <c r="R48" s="20" t="n">
        <v>18657</v>
      </c>
      <c r="S48" s="20" t="n">
        <v>60700</v>
      </c>
      <c r="T48" s="20" t="n">
        <v>40551</v>
      </c>
      <c r="U48" s="20" t="n">
        <v>28589</v>
      </c>
      <c r="V48" s="20" t="n">
        <v>30774</v>
      </c>
      <c r="W48" s="20" t="n">
        <v>36101</v>
      </c>
      <c r="X48" s="20" t="n">
        <v>34765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7154</v>
      </c>
      <c r="D50" s="20" t="n">
        <v>7088</v>
      </c>
      <c r="E50" s="20" t="n">
        <v>10053</v>
      </c>
      <c r="F50" s="20" t="n">
        <v>7184</v>
      </c>
      <c r="G50" s="20" t="n">
        <v>7549</v>
      </c>
      <c r="H50" s="20" t="n">
        <v>7626</v>
      </c>
      <c r="I50" s="20" t="n">
        <v>10295</v>
      </c>
      <c r="J50" s="20" t="n">
        <v>7817</v>
      </c>
      <c r="K50" s="20" t="n">
        <v>8751</v>
      </c>
      <c r="L50" s="20" t="n">
        <v>6441</v>
      </c>
      <c r="M50" s="20" t="n">
        <v>9542</v>
      </c>
      <c r="N50" s="20" t="n">
        <v>6237</v>
      </c>
      <c r="O50" s="19" t="n">
        <v>20206</v>
      </c>
      <c r="P50" s="20" t="n">
        <v>16495</v>
      </c>
      <c r="Q50" s="20" t="n">
        <v>24937</v>
      </c>
      <c r="R50" s="20" t="n">
        <v>20105</v>
      </c>
      <c r="S50" s="20" t="n">
        <v>47281</v>
      </c>
      <c r="T50" s="20" t="n">
        <v>52359</v>
      </c>
      <c r="U50" s="20" t="n">
        <v>36809</v>
      </c>
      <c r="V50" s="20" t="n">
        <v>31029</v>
      </c>
      <c r="W50" s="20" t="n">
        <v>32654</v>
      </c>
      <c r="X50" s="20" t="n">
        <v>32551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83605</v>
      </c>
      <c r="D52" s="12" t="n">
        <v>79797</v>
      </c>
      <c r="E52" s="12" t="n">
        <v>-1838</v>
      </c>
      <c r="F52" s="12" t="n">
        <v>36822</v>
      </c>
      <c r="G52" s="12" t="n">
        <v>75826</v>
      </c>
      <c r="H52" s="12" t="n">
        <v>65716</v>
      </c>
      <c r="I52" s="12" t="n">
        <v>18202</v>
      </c>
      <c r="J52" s="12" t="n">
        <v>35919</v>
      </c>
      <c r="K52" s="12" t="n">
        <v>69497</v>
      </c>
      <c r="L52" s="12" t="n">
        <v>88076</v>
      </c>
      <c r="M52" s="12" t="n">
        <v>30009</v>
      </c>
      <c r="N52" s="12" t="n">
        <v>24564</v>
      </c>
      <c r="O52" s="11" t="n">
        <v>139462</v>
      </c>
      <c r="P52" s="12" t="n">
        <v>196641</v>
      </c>
      <c r="Q52" s="12" t="n">
        <v>154023</v>
      </c>
      <c r="R52" s="12" t="n">
        <v>51501</v>
      </c>
      <c r="S52" s="12" t="n">
        <v>-545372</v>
      </c>
      <c r="T52" s="12" t="n">
        <v>-175374</v>
      </c>
      <c r="U52" s="12" t="n">
        <v>114342</v>
      </c>
      <c r="V52" s="12" t="n">
        <v>204838</v>
      </c>
      <c r="W52" s="12" t="n">
        <v>196566</v>
      </c>
      <c r="X52" s="12" t="n">
        <v>223501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20830</v>
      </c>
      <c r="D53" s="20" t="n">
        <v>23685</v>
      </c>
      <c r="E53" s="20" t="n">
        <v>-10360</v>
      </c>
      <c r="F53" s="20" t="n">
        <v>12140</v>
      </c>
      <c r="G53" s="20" t="n">
        <v>19476</v>
      </c>
      <c r="H53" s="20" t="n">
        <v>12013</v>
      </c>
      <c r="I53" s="20" t="n">
        <v>-941</v>
      </c>
      <c r="J53" s="20" t="n">
        <v>12275</v>
      </c>
      <c r="K53" s="20" t="n">
        <v>16541</v>
      </c>
      <c r="L53" s="20" t="n">
        <v>23624</v>
      </c>
      <c r="M53" s="20" t="n">
        <v>78</v>
      </c>
      <c r="N53" s="20" t="n">
        <v>4781</v>
      </c>
      <c r="O53" s="19" t="n">
        <v>40155</v>
      </c>
      <c r="P53" s="20" t="n">
        <v>51003</v>
      </c>
      <c r="Q53" s="20" t="n">
        <v>42186</v>
      </c>
      <c r="R53" s="20" t="n">
        <v>25582</v>
      </c>
      <c r="S53" s="20" t="n">
        <v>-137682</v>
      </c>
      <c r="T53" s="20" t="n">
        <v>-33135</v>
      </c>
      <c r="U53" s="20" t="n">
        <v>24244</v>
      </c>
      <c r="V53" s="20" t="n">
        <v>46511</v>
      </c>
      <c r="W53" s="20" t="n">
        <v>42688</v>
      </c>
      <c r="X53" s="20" t="n">
        <v>52518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62775</v>
      </c>
      <c r="D55" s="12" t="n">
        <v>56112</v>
      </c>
      <c r="E55" s="12" t="n">
        <v>8522</v>
      </c>
      <c r="F55" s="12" t="n">
        <v>24682</v>
      </c>
      <c r="G55" s="12" t="n">
        <v>56350</v>
      </c>
      <c r="H55" s="12" t="n">
        <v>53703</v>
      </c>
      <c r="I55" s="12" t="n">
        <v>19143</v>
      </c>
      <c r="J55" s="12" t="n">
        <v>23644</v>
      </c>
      <c r="K55" s="12" t="n">
        <v>52956</v>
      </c>
      <c r="L55" s="12" t="n">
        <v>64452</v>
      </c>
      <c r="M55" s="12" t="n">
        <v>29931</v>
      </c>
      <c r="N55" s="12" t="n">
        <v>19783</v>
      </c>
      <c r="O55" s="11" t="n">
        <v>99307</v>
      </c>
      <c r="P55" s="12" t="n">
        <v>145638</v>
      </c>
      <c r="Q55" s="12" t="n">
        <v>111837</v>
      </c>
      <c r="R55" s="12" t="n">
        <v>25919</v>
      </c>
      <c r="S55" s="12" t="n">
        <v>-407690</v>
      </c>
      <c r="T55" s="12" t="n">
        <v>-142239</v>
      </c>
      <c r="U55" s="12" t="n">
        <v>90098</v>
      </c>
      <c r="V55" s="12" t="n">
        <v>158327</v>
      </c>
      <c r="W55" s="12" t="n">
        <v>153878</v>
      </c>
      <c r="X55" s="12" t="n">
        <v>170983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62520</v>
      </c>
      <c r="D56" s="12" t="n">
        <v>55743</v>
      </c>
      <c r="E56" s="12" t="n">
        <v>8148</v>
      </c>
      <c r="F56" s="12" t="n">
        <v>24712</v>
      </c>
      <c r="G56" s="12" t="n">
        <v>56066</v>
      </c>
      <c r="H56" s="12" t="n">
        <v>53252</v>
      </c>
      <c r="I56" s="12" t="n">
        <v>18997</v>
      </c>
      <c r="J56" s="12" t="n">
        <v>22953</v>
      </c>
      <c r="K56" s="12" t="n">
        <v>53132</v>
      </c>
      <c r="L56" s="12" t="n">
        <v>63150</v>
      </c>
      <c r="M56" s="12" t="n">
        <v>29840</v>
      </c>
      <c r="N56" s="12" t="n">
        <v>19411</v>
      </c>
      <c r="O56" s="11" t="n">
        <v>98827</v>
      </c>
      <c r="P56" s="12" t="n">
        <v>143887</v>
      </c>
      <c r="Q56" s="12" t="n">
        <v>110777</v>
      </c>
      <c r="R56" s="12" t="n">
        <v>27655</v>
      </c>
      <c r="S56" s="12" t="n">
        <v>-404624</v>
      </c>
      <c r="T56" s="12" t="n">
        <v>-143628</v>
      </c>
      <c r="U56" s="12" t="n">
        <v>89477</v>
      </c>
      <c r="V56" s="12" t="n">
        <v>157097</v>
      </c>
      <c r="W56" s="12" t="n">
        <v>153027</v>
      </c>
      <c r="X56" s="12" t="n">
        <v>169075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(2026.10.26)</t>
        </is>
      </c>
      <c r="B59" s="27" t="n">
        <v>2887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484293561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2026.10.26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541703</v>
      </c>
      <c r="D90" s="12" t="n">
        <v>540852</v>
      </c>
      <c r="E90" s="12" t="n">
        <v>512347</v>
      </c>
      <c r="F90" s="12" t="n">
        <v>516775</v>
      </c>
      <c r="G90" s="12" t="n">
        <v>582812</v>
      </c>
      <c r="H90" s="12" t="n">
        <v>603197</v>
      </c>
      <c r="I90" s="12" t="n">
        <v>559072</v>
      </c>
      <c r="J90" s="12" t="n">
        <v>548701</v>
      </c>
      <c r="K90" s="12" t="n">
        <v>641699</v>
      </c>
      <c r="L90" s="12" t="n">
        <v>686984</v>
      </c>
      <c r="M90" s="12" t="n">
        <v>661849</v>
      </c>
      <c r="N90" s="12" t="n">
        <v>672729</v>
      </c>
      <c r="T90" s="12" t="n">
        <v>282278</v>
      </c>
      <c r="U90" s="12" t="n">
        <v>448829</v>
      </c>
      <c r="V90" s="12" t="n">
        <v>512347</v>
      </c>
      <c r="W90" s="12" t="n">
        <v>559072</v>
      </c>
      <c r="X90" s="12" t="n">
        <v>661849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405616</v>
      </c>
      <c r="D92" s="20" t="n">
        <v>411589</v>
      </c>
      <c r="E92" s="20" t="n">
        <v>454972</v>
      </c>
      <c r="F92" s="20" t="n">
        <v>433811</v>
      </c>
      <c r="G92" s="20" t="n">
        <v>450885</v>
      </c>
      <c r="H92" s="20" t="n">
        <v>485562</v>
      </c>
      <c r="I92" s="20" t="n">
        <v>473284</v>
      </c>
      <c r="J92" s="20" t="n">
        <v>456915</v>
      </c>
      <c r="K92" s="20" t="n">
        <v>522220</v>
      </c>
      <c r="L92" s="20" t="n">
        <v>542837</v>
      </c>
      <c r="M92" s="20" t="n">
        <v>552786</v>
      </c>
      <c r="N92" s="20" t="n">
        <v>590110</v>
      </c>
      <c r="T92" s="20" t="n">
        <v>302222</v>
      </c>
      <c r="U92" s="20" t="n">
        <v>374394</v>
      </c>
      <c r="V92" s="20" t="n">
        <v>454972</v>
      </c>
      <c r="W92" s="20" t="n">
        <v>473284</v>
      </c>
      <c r="X92" s="20" t="n">
        <v>552786</v>
      </c>
    </row>
    <row r="93">
      <c r="A93" s="9" t="inlineStr">
        <is>
          <t>매출총이익</t>
        </is>
      </c>
      <c r="C93" s="12" t="n">
        <v>136087</v>
      </c>
      <c r="D93" s="12" t="n">
        <v>129263</v>
      </c>
      <c r="E93" s="12" t="n">
        <v>57375</v>
      </c>
      <c r="F93" s="12" t="n">
        <v>82964</v>
      </c>
      <c r="G93" s="12" t="n">
        <v>131927</v>
      </c>
      <c r="H93" s="12" t="n">
        <v>117635</v>
      </c>
      <c r="I93" s="12" t="n">
        <v>85788</v>
      </c>
      <c r="J93" s="12" t="n">
        <v>91786</v>
      </c>
      <c r="K93" s="12" t="n">
        <v>119479</v>
      </c>
      <c r="L93" s="12" t="n">
        <v>144147</v>
      </c>
      <c r="M93" s="12" t="n">
        <v>109063</v>
      </c>
      <c r="N93" s="12" t="n">
        <v>82619</v>
      </c>
      <c r="T93" s="12" t="n">
        <v>-19944</v>
      </c>
      <c r="U93" s="12" t="n">
        <v>74435</v>
      </c>
      <c r="V93" s="12" t="n">
        <v>57375</v>
      </c>
      <c r="W93" s="12" t="n">
        <v>85788</v>
      </c>
      <c r="X93" s="12" t="n">
        <v>109063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판매수수료</t>
        </is>
      </c>
      <c r="C95" s="20" t="n">
        <v>13860</v>
      </c>
      <c r="D95" s="20" t="n">
        <v>13141</v>
      </c>
      <c r="E95" s="20" t="n">
        <v>15048</v>
      </c>
      <c r="F95" s="20" t="n">
        <v>15268</v>
      </c>
      <c r="G95" s="20" t="n">
        <v>14713</v>
      </c>
      <c r="H95" s="20" t="n">
        <v>15029</v>
      </c>
      <c r="I95" s="20" t="n">
        <v>17148</v>
      </c>
      <c r="J95" s="20" t="n">
        <v>14640</v>
      </c>
      <c r="K95" s="20" t="n">
        <v>15079</v>
      </c>
      <c r="L95" s="20" t="n">
        <v>15825</v>
      </c>
      <c r="M95" s="20" t="n">
        <v>17616</v>
      </c>
      <c r="N95" s="20" t="n">
        <v>15638</v>
      </c>
      <c r="T95" s="20" t="n">
        <v>5305</v>
      </c>
      <c r="U95" s="20" t="n">
        <v>12011</v>
      </c>
      <c r="V95" s="20" t="n">
        <v>15048</v>
      </c>
      <c r="W95" s="20" t="n">
        <v>17148</v>
      </c>
      <c r="X95" s="20" t="n">
        <v>17616</v>
      </c>
    </row>
    <row r="96">
      <c r="A96" s="18" t="inlineStr">
        <is>
          <t>광고선전비</t>
        </is>
      </c>
      <c r="C96" s="20" t="n">
        <v>1674</v>
      </c>
      <c r="D96" s="20" t="n">
        <v>1340</v>
      </c>
      <c r="E96" s="20" t="n">
        <v>2068</v>
      </c>
      <c r="F96" s="20" t="n">
        <v>1694</v>
      </c>
      <c r="G96" s="20" t="n">
        <v>2182</v>
      </c>
      <c r="H96" s="20" t="n">
        <v>1734</v>
      </c>
      <c r="I96" s="20" t="n">
        <v>2047</v>
      </c>
      <c r="J96" s="20" t="n">
        <v>1555</v>
      </c>
      <c r="K96" s="20" t="n">
        <v>1917</v>
      </c>
      <c r="L96" s="20" t="n">
        <v>1141</v>
      </c>
      <c r="M96" s="20" t="n">
        <v>2219</v>
      </c>
      <c r="N96" s="20" t="n">
        <v>1821</v>
      </c>
      <c r="T96" s="20" t="n">
        <v>578</v>
      </c>
      <c r="U96" s="20" t="n">
        <v>1644</v>
      </c>
      <c r="V96" s="20" t="n">
        <v>2068</v>
      </c>
      <c r="W96" s="20" t="n">
        <v>2047</v>
      </c>
      <c r="X96" s="20" t="n">
        <v>2219</v>
      </c>
    </row>
    <row r="97">
      <c r="A97" s="18" t="inlineStr">
        <is>
          <t>종업원 급여·상여</t>
        </is>
      </c>
      <c r="C97" s="20" t="n">
        <v>8471</v>
      </c>
      <c r="D97" s="20" t="n">
        <v>11161</v>
      </c>
      <c r="E97" s="20" t="n">
        <v>8276</v>
      </c>
      <c r="F97" s="20" t="n">
        <v>7996</v>
      </c>
      <c r="G97" s="20" t="n">
        <v>9649</v>
      </c>
      <c r="H97" s="20" t="n">
        <v>12436</v>
      </c>
      <c r="I97" s="20" t="n">
        <v>8518</v>
      </c>
      <c r="J97" s="20" t="n">
        <v>8349</v>
      </c>
      <c r="K97" s="20" t="n">
        <v>10673</v>
      </c>
      <c r="L97" s="20" t="n">
        <v>13915</v>
      </c>
      <c r="M97" s="20" t="n">
        <v>10113</v>
      </c>
      <c r="N97" s="20" t="n">
        <v>10503</v>
      </c>
      <c r="T97" s="20" t="n">
        <v>6189</v>
      </c>
      <c r="U97" s="20" t="n">
        <v>7383</v>
      </c>
      <c r="V97" s="20" t="n">
        <v>8276</v>
      </c>
      <c r="W97" s="20" t="n">
        <v>8518</v>
      </c>
      <c r="X97" s="20" t="n">
        <v>10113</v>
      </c>
    </row>
    <row r="98">
      <c r="A98" s="18" t="inlineStr">
        <is>
          <t>대손충당금 전입</t>
        </is>
      </c>
      <c r="C98" s="20" t="n">
        <v>37</v>
      </c>
      <c r="D98" s="20" t="n">
        <v>9</v>
      </c>
      <c r="E98" s="20" t="n">
        <v>57</v>
      </c>
      <c r="F98" s="20" t="n">
        <v>15</v>
      </c>
      <c r="G98" s="20" t="n">
        <v>38</v>
      </c>
      <c r="H98" s="20" t="n">
        <v>1</v>
      </c>
      <c r="I98" s="20" t="n">
        <v>49</v>
      </c>
      <c r="J98" s="20" t="n">
        <v>6</v>
      </c>
      <c r="K98" s="20" t="n">
        <v>41</v>
      </c>
      <c r="L98" s="20" t="n">
        <v>-2</v>
      </c>
      <c r="M98" s="20" t="n">
        <v>29</v>
      </c>
      <c r="N98" s="20" t="n">
        <v>2</v>
      </c>
      <c r="T98" s="20" t="n">
        <v>31</v>
      </c>
      <c r="U98" s="20" t="n">
        <v>39</v>
      </c>
      <c r="V98" s="20" t="n">
        <v>57</v>
      </c>
      <c r="W98" s="20" t="n">
        <v>49</v>
      </c>
      <c r="X98" s="20" t="n">
        <v>29</v>
      </c>
    </row>
    <row r="99">
      <c r="A99" s="18" t="inlineStr">
        <is>
          <t>상여충당금 전입</t>
        </is>
      </c>
      <c r="C99" s="20" t="n">
        <v>1733</v>
      </c>
      <c r="D99" s="20" t="n">
        <v>-1043</v>
      </c>
      <c r="E99" s="20" t="n">
        <v>6812</v>
      </c>
      <c r="F99" s="20" t="n">
        <v>2768</v>
      </c>
      <c r="G99" s="20" t="n">
        <v>1976</v>
      </c>
      <c r="H99" s="20" t="n">
        <v>-323</v>
      </c>
      <c r="I99" s="20" t="n">
        <v>5582</v>
      </c>
      <c r="J99" s="20" t="n">
        <v>3056</v>
      </c>
      <c r="K99" s="20" t="n">
        <v>1707</v>
      </c>
      <c r="L99" s="20" t="n">
        <v>-1503</v>
      </c>
      <c r="M99" s="20" t="n">
        <v>7785</v>
      </c>
      <c r="N99" s="20" t="n">
        <v>2480</v>
      </c>
      <c r="T99" s="20" t="n">
        <v>1350</v>
      </c>
      <c r="U99" s="20" t="n">
        <v>3437</v>
      </c>
      <c r="V99" s="20" t="n">
        <v>6812</v>
      </c>
      <c r="W99" s="20" t="n">
        <v>5582</v>
      </c>
      <c r="X99" s="20" t="n">
        <v>7785</v>
      </c>
    </row>
    <row r="100">
      <c r="A100" s="18" t="inlineStr">
        <is>
          <t>퇴직급여비용</t>
        </is>
      </c>
      <c r="C100" s="20" t="n">
        <v>651</v>
      </c>
      <c r="D100" s="20" t="n">
        <v>648</v>
      </c>
      <c r="E100" s="20" t="n">
        <v>633</v>
      </c>
      <c r="F100" s="20" t="n">
        <v>692</v>
      </c>
      <c r="G100" s="20" t="n">
        <v>664</v>
      </c>
      <c r="H100" s="20" t="n">
        <v>679</v>
      </c>
      <c r="I100" s="20" t="n">
        <v>670</v>
      </c>
      <c r="J100" s="20" t="n">
        <v>629</v>
      </c>
      <c r="K100" s="20" t="n">
        <v>624</v>
      </c>
      <c r="L100" s="20" t="n">
        <v>614</v>
      </c>
      <c r="M100" s="20" t="n">
        <v>713</v>
      </c>
      <c r="N100" s="20" t="n">
        <v>575</v>
      </c>
      <c r="T100" s="20" t="n">
        <v>790</v>
      </c>
      <c r="U100" s="20" t="n">
        <v>778</v>
      </c>
      <c r="V100" s="20" t="n">
        <v>633</v>
      </c>
      <c r="W100" s="20" t="n">
        <v>670</v>
      </c>
      <c r="X100" s="20" t="n">
        <v>713</v>
      </c>
    </row>
    <row r="101">
      <c r="A101" s="18" t="inlineStr">
        <is>
          <t>감가상각비</t>
        </is>
      </c>
      <c r="C101" s="20" t="n">
        <v>4397</v>
      </c>
      <c r="D101" s="20" t="n">
        <v>4218</v>
      </c>
      <c r="E101" s="20" t="n">
        <v>4370</v>
      </c>
      <c r="F101" s="20" t="n">
        <v>3755</v>
      </c>
      <c r="G101" s="20" t="n">
        <v>3721</v>
      </c>
      <c r="H101" s="20" t="n">
        <v>3736</v>
      </c>
      <c r="I101" s="20" t="n">
        <v>3987</v>
      </c>
      <c r="J101" s="20" t="n">
        <v>4636</v>
      </c>
      <c r="K101" s="20" t="n">
        <v>5507</v>
      </c>
      <c r="L101" s="20" t="n">
        <v>5724</v>
      </c>
      <c r="M101" s="20" t="n">
        <v>6017</v>
      </c>
      <c r="N101" s="20" t="n">
        <v>6045</v>
      </c>
      <c r="T101" s="20" t="n">
        <v>6219</v>
      </c>
      <c r="U101" s="20" t="n">
        <v>5315</v>
      </c>
      <c r="V101" s="20" t="n">
        <v>4370</v>
      </c>
      <c r="W101" s="20" t="n">
        <v>3987</v>
      </c>
      <c r="X101" s="20" t="n">
        <v>6017</v>
      </c>
    </row>
    <row r="102">
      <c r="A102" s="18" t="inlineStr">
        <is>
          <t>Outsourcing Expenses</t>
        </is>
      </c>
      <c r="D102" s="20" t="n">
        <v>6657</v>
      </c>
      <c r="H102" s="20" t="n">
        <v>7692</v>
      </c>
      <c r="L102" s="20" t="n">
        <v>9103</v>
      </c>
    </row>
    <row r="103">
      <c r="A103" s="18" t="inlineStr">
        <is>
          <t>Outsourcing Fee SGA</t>
        </is>
      </c>
      <c r="F103" s="20" t="n">
        <v>7040</v>
      </c>
      <c r="J103" s="20" t="n">
        <v>8239</v>
      </c>
      <c r="N103" s="20" t="n">
        <v>9701</v>
      </c>
    </row>
    <row r="104">
      <c r="A104" s="18" t="inlineStr">
        <is>
          <t>기타</t>
        </is>
      </c>
      <c r="C104" s="20" t="n">
        <v>13617</v>
      </c>
      <c r="D104" s="20" t="n">
        <v>12755</v>
      </c>
      <c r="E104" s="20" t="n">
        <v>14601</v>
      </c>
      <c r="F104" s="20" t="n">
        <v>13382</v>
      </c>
      <c r="G104" s="20" t="n">
        <v>13974</v>
      </c>
      <c r="H104" s="20" t="n">
        <v>13865</v>
      </c>
      <c r="I104" s="20" t="n">
        <v>15111</v>
      </c>
      <c r="J104" s="20" t="n">
        <v>13890</v>
      </c>
      <c r="K104" s="20" t="n">
        <v>15173</v>
      </c>
      <c r="L104" s="20" t="n">
        <v>16244</v>
      </c>
      <c r="M104" s="20" t="n">
        <v>18005</v>
      </c>
      <c r="N104" s="20" t="n">
        <v>15072</v>
      </c>
      <c r="T104" s="20" t="n">
        <v>10201</v>
      </c>
      <c r="U104" s="20" t="n">
        <v>16827</v>
      </c>
      <c r="V104" s="20" t="n">
        <v>14601</v>
      </c>
      <c r="W104" s="20" t="n">
        <v>15111</v>
      </c>
      <c r="X104" s="20" t="n">
        <v>18005</v>
      </c>
    </row>
    <row r="105">
      <c r="A105" s="18" t="inlineStr">
        <is>
          <t>판매비와 관리비 합계</t>
        </is>
      </c>
      <c r="C105" s="20" t="n">
        <v>50134</v>
      </c>
      <c r="D105" s="20" t="n">
        <v>48886</v>
      </c>
      <c r="E105" s="20" t="n">
        <v>59578</v>
      </c>
      <c r="F105" s="20" t="n">
        <v>52610</v>
      </c>
      <c r="G105" s="20" t="n">
        <v>53907</v>
      </c>
      <c r="H105" s="20" t="n">
        <v>54849</v>
      </c>
      <c r="I105" s="20" t="n">
        <v>60309</v>
      </c>
      <c r="J105" s="20" t="n">
        <v>55000</v>
      </c>
      <c r="K105" s="20" t="n">
        <v>58637</v>
      </c>
      <c r="L105" s="20" t="n">
        <v>61061</v>
      </c>
      <c r="M105" s="20" t="n">
        <v>72340</v>
      </c>
      <c r="N105" s="20" t="n">
        <v>61837</v>
      </c>
      <c r="T105" s="20" t="n">
        <v>37366</v>
      </c>
      <c r="U105" s="20" t="n">
        <v>53387</v>
      </c>
      <c r="V105" s="20" t="n">
        <v>59578</v>
      </c>
      <c r="W105" s="20" t="n">
        <v>60309</v>
      </c>
      <c r="X105" s="20" t="n">
        <v>72340</v>
      </c>
    </row>
    <row r="106">
      <c r="A106" s="9" t="inlineStr">
        <is>
          <t>영업이익</t>
        </is>
      </c>
      <c r="C106" s="12" t="n">
        <v>85953</v>
      </c>
      <c r="D106" s="12" t="n">
        <v>80377</v>
      </c>
      <c r="E106" s="12" t="n">
        <v>-2203</v>
      </c>
      <c r="F106" s="12" t="n">
        <v>30354</v>
      </c>
      <c r="G106" s="12" t="n">
        <v>78020</v>
      </c>
      <c r="H106" s="12" t="n">
        <v>62786</v>
      </c>
      <c r="I106" s="12" t="n">
        <v>25479</v>
      </c>
      <c r="J106" s="12" t="n">
        <v>36786</v>
      </c>
      <c r="K106" s="12" t="n">
        <v>60842</v>
      </c>
      <c r="L106" s="12" t="n">
        <v>83086</v>
      </c>
      <c r="M106" s="12" t="n">
        <v>36723</v>
      </c>
      <c r="N106" s="12" t="n">
        <v>20782</v>
      </c>
      <c r="T106" s="12" t="n">
        <v>-57310</v>
      </c>
      <c r="U106" s="12" t="n">
        <v>21048</v>
      </c>
      <c r="V106" s="12" t="n">
        <v>-2203</v>
      </c>
      <c r="W106" s="12" t="n">
        <v>25479</v>
      </c>
      <c r="X106" s="12" t="n">
        <v>36723</v>
      </c>
    </row>
    <row r="107">
      <c r="A107" s="43" t="inlineStr">
        <is>
          <t>OPM</t>
        </is>
      </c>
      <c r="B107" s="3" t="inlineStr">
        <is>
          <t>영업이익 ÷ 매출</t>
        </is>
      </c>
      <c r="C107" s="15">
        <f>IF(OR(C106="",C90=""),"",IF(C90&lt;=0,"",IFERROR(C106/C90,"")))</f>
        <v/>
      </c>
      <c r="D107" s="15">
        <f>IF(OR(D106="",D90=""),"",IF(D90&lt;=0,"",IFERROR(D106/D90,"")))</f>
        <v/>
      </c>
      <c r="E107" s="15">
        <f>IF(OR(E106="",E90=""),"",IF(E90&lt;=0,"",IFERROR(E106/E90,"")))</f>
        <v/>
      </c>
      <c r="F107" s="15">
        <f>IF(OR(F106="",F90=""),"",IF(F90&lt;=0,"",IFERROR(F106/F90,"")))</f>
        <v/>
      </c>
      <c r="G107" s="15">
        <f>IF(OR(G106="",G90=""),"",IF(G90&lt;=0,"",IFERROR(G106/G90,"")))</f>
        <v/>
      </c>
      <c r="H107" s="15">
        <f>IF(OR(H106="",H90=""),"",IF(H90&lt;=0,"",IFERROR(H106/H90,"")))</f>
        <v/>
      </c>
      <c r="I107" s="15">
        <f>IF(OR(I106="",I90=""),"",IF(I90&lt;=0,"",IFERROR(I106/I90,"")))</f>
        <v/>
      </c>
      <c r="J107" s="15">
        <f>IF(OR(J106="",J90=""),"",IF(J90&lt;=0,"",IFERROR(J106/J90,"")))</f>
        <v/>
      </c>
      <c r="K107" s="15">
        <f>IF(OR(K106="",K90=""),"",IF(K90&lt;=0,"",IFERROR(K106/K90,"")))</f>
        <v/>
      </c>
      <c r="L107" s="15">
        <f>IF(OR(L106="",L90=""),"",IF(L90&lt;=0,"",IFERROR(L106/L90,"")))</f>
        <v/>
      </c>
      <c r="M107" s="15">
        <f>IF(OR(M106="",M90=""),"",IF(M90&lt;=0,"",IFERROR(M106/M90,"")))</f>
        <v/>
      </c>
      <c r="N107" s="15">
        <f>IF(OR(N106="",N90=""),"",IF(N90&lt;=0,"",IFERROR(N106/N90,"")))</f>
        <v/>
      </c>
      <c r="T107" s="15">
        <f>IF(OR(T106="",T90=""),"",IF(T90&lt;=0,"",IFERROR(T106/T90,"")))</f>
        <v/>
      </c>
      <c r="U107" s="15">
        <f>IF(OR(U106="",U90=""),"",IF(U90&lt;=0,"",IFERROR(U106/U90,"")))</f>
        <v/>
      </c>
      <c r="V107" s="15">
        <f>IF(OR(V106="",V90=""),"",IF(V90&lt;=0,"",IFERROR(V106/V90,"")))</f>
        <v/>
      </c>
      <c r="W107" s="15">
        <f>IF(OR(W106="",W90=""),"",IF(W90&lt;=0,"",IFERROR(W106/W90,"")))</f>
        <v/>
      </c>
      <c r="X107" s="15">
        <f>IF(OR(X106="",X90=""),"",IF(X90&lt;=0,"",IFERROR(X106/X90,"")))</f>
        <v/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IF(OR(G106="",C106=""),"",IF(C106&lt;=0,"",IFERROR(G106/C106-1,"")))</f>
        <v/>
      </c>
      <c r="H108" s="15">
        <f>IF(OR(H106="",D106=""),"",IF(D106&lt;=0,"",IFERROR(H106/D106-1,"")))</f>
        <v/>
      </c>
      <c r="I108" s="15">
        <f>IF(OR(I106="",E106=""),"",IF(E106&lt;=0,"",IFERROR(I106/E106-1,"")))</f>
        <v/>
      </c>
      <c r="J108" s="15">
        <f>IF(OR(J106="",F106=""),"",IF(F106&lt;=0,"",IFERROR(J106/F106-1,"")))</f>
        <v/>
      </c>
      <c r="K108" s="15">
        <f>IF(OR(K106="",G106=""),"",IF(G106&lt;=0,"",IFERROR(K106/G106-1,"")))</f>
        <v/>
      </c>
      <c r="L108" s="15">
        <f>IF(OR(L106="",H106=""),"",IF(H106&lt;=0,"",IFERROR(L106/H106-1,"")))</f>
        <v/>
      </c>
      <c r="M108" s="15">
        <f>IF(OR(M106="",I106=""),"",IF(I106&lt;=0,"",IFERROR(M106/I106-1,"")))</f>
        <v/>
      </c>
      <c r="N108" s="15">
        <f>IF(OR(N106="",J106=""),"",IF(J106&lt;=0,"",IFERROR(N106/J106-1,"")))</f>
        <v/>
      </c>
      <c r="T108" s="15">
        <f>IF(OR(T106="",S106=""),"",IF(S106&lt;=0,"",IFERROR(T106/S106-1,"")))</f>
        <v/>
      </c>
      <c r="U108" s="15">
        <f>IF(OR(U106="",T106=""),"",IF(T106&lt;=0,"",IFERROR(U106/T106-1,"")))</f>
        <v/>
      </c>
      <c r="V108" s="15">
        <f>IF(OR(V106="",U106=""),"",IF(U106&lt;=0,"",IFERROR(V106/U106-1,"")))</f>
        <v/>
      </c>
      <c r="W108" s="15">
        <f>IF(OR(W106="",V106=""),"",IF(V106&lt;=0,"",IFERROR(W106/V106-1,"")))</f>
        <v/>
      </c>
      <c r="X108" s="15">
        <f>IF(OR(X106="",W106=""),"",IF(W106&lt;=0,"",IFERROR(X106/W106-1,"")))</f>
        <v/>
      </c>
    </row>
    <row r="109">
      <c r="A109" s="18" t="inlineStr">
        <is>
          <t>이자수익</t>
        </is>
      </c>
      <c r="C109" s="20" t="n">
        <v>514</v>
      </c>
      <c r="D109" s="20" t="n">
        <v>168</v>
      </c>
      <c r="E109" s="20" t="n">
        <v>464</v>
      </c>
      <c r="F109" s="20" t="n">
        <v>318</v>
      </c>
      <c r="G109" s="20" t="n">
        <v>1054</v>
      </c>
      <c r="H109" s="20" t="n">
        <v>717</v>
      </c>
      <c r="I109" s="20" t="n">
        <v>1636</v>
      </c>
      <c r="J109" s="20" t="n">
        <v>1429</v>
      </c>
      <c r="K109" s="20" t="n">
        <v>1958</v>
      </c>
      <c r="L109" s="20" t="n">
        <v>1692</v>
      </c>
      <c r="M109" s="20" t="n">
        <v>2435</v>
      </c>
      <c r="N109" s="20" t="n">
        <v>2525</v>
      </c>
      <c r="T109" s="20" t="n">
        <v>76</v>
      </c>
      <c r="U109" s="20" t="n">
        <v>552</v>
      </c>
      <c r="V109" s="20" t="n">
        <v>464</v>
      </c>
      <c r="W109" s="20" t="n">
        <v>1636</v>
      </c>
      <c r="X109" s="20" t="n">
        <v>2435</v>
      </c>
    </row>
    <row r="110">
      <c r="A110" s="18" t="inlineStr">
        <is>
          <t>배당금수익</t>
        </is>
      </c>
      <c r="C110" s="20" t="n">
        <v>583</v>
      </c>
      <c r="D110" s="20" t="n">
        <v>-22</v>
      </c>
      <c r="E110" s="20" t="n">
        <v>448</v>
      </c>
      <c r="F110" s="20" t="n">
        <v>993</v>
      </c>
      <c r="G110" s="20" t="n">
        <v>117</v>
      </c>
      <c r="H110" s="20" t="n">
        <v>527</v>
      </c>
      <c r="I110" s="20" t="n">
        <v>658</v>
      </c>
      <c r="J110" s="20" t="n">
        <v>1063</v>
      </c>
      <c r="K110" s="20" t="n">
        <v>141</v>
      </c>
      <c r="L110" s="20" t="n">
        <v>620</v>
      </c>
      <c r="M110" s="20" t="n">
        <v>622</v>
      </c>
      <c r="N110" s="20" t="n">
        <v>1061</v>
      </c>
      <c r="T110" s="20" t="n">
        <v>164</v>
      </c>
      <c r="U110" s="20" t="n">
        <v>419</v>
      </c>
      <c r="V110" s="20" t="n">
        <v>448</v>
      </c>
      <c r="W110" s="20" t="n">
        <v>658</v>
      </c>
      <c r="X110" s="20" t="n">
        <v>622</v>
      </c>
    </row>
    <row r="111">
      <c r="A111" s="18" t="inlineStr">
        <is>
          <t>지분법이익</t>
        </is>
      </c>
      <c r="C111" s="20" t="n">
        <v>415</v>
      </c>
      <c r="D111" s="20" t="n">
        <v>227</v>
      </c>
      <c r="E111" s="20" t="n">
        <v>149</v>
      </c>
      <c r="F111" s="20" t="n">
        <v>353</v>
      </c>
      <c r="G111" s="20" t="n">
        <v>382</v>
      </c>
      <c r="H111" s="20" t="n">
        <v>429</v>
      </c>
      <c r="I111" s="20" t="n">
        <v>428</v>
      </c>
      <c r="J111" s="20" t="n">
        <v>282</v>
      </c>
      <c r="K111" s="20" t="n">
        <v>234</v>
      </c>
      <c r="L111" s="20" t="n">
        <v>402</v>
      </c>
      <c r="M111" s="20" t="n">
        <v>481</v>
      </c>
      <c r="N111" s="20" t="n">
        <v>461</v>
      </c>
      <c r="T111" s="20" t="n">
        <v>0</v>
      </c>
      <c r="U111" s="20" t="n">
        <v>454</v>
      </c>
      <c r="V111" s="20" t="n">
        <v>149</v>
      </c>
      <c r="W111" s="20" t="n">
        <v>428</v>
      </c>
      <c r="X111" s="20" t="n">
        <v>481</v>
      </c>
    </row>
    <row r="112">
      <c r="A112" s="18" t="inlineStr">
        <is>
          <t>외환차익</t>
        </is>
      </c>
      <c r="C112" s="20" t="n">
        <v>-32</v>
      </c>
      <c r="D112" s="20" t="n">
        <v>1867</v>
      </c>
      <c r="E112" s="20" t="n">
        <v>774</v>
      </c>
      <c r="F112" s="20" t="n">
        <v>6257</v>
      </c>
      <c r="G112" s="20" t="n">
        <v>-855</v>
      </c>
      <c r="H112" s="20" t="n">
        <v>2457</v>
      </c>
      <c r="I112" s="20" t="n">
        <v>-5374</v>
      </c>
      <c r="J112" s="20" t="n">
        <v>0</v>
      </c>
      <c r="K112" s="20" t="n">
        <v>191</v>
      </c>
      <c r="L112" s="20" t="n">
        <v>4398</v>
      </c>
      <c r="M112" s="20" t="n">
        <v>549</v>
      </c>
      <c r="N112" s="20" t="n">
        <v>245</v>
      </c>
      <c r="T112" s="20" t="n">
        <v>1406</v>
      </c>
      <c r="U112" s="20" t="n">
        <v>1244</v>
      </c>
      <c r="V112" s="20" t="n">
        <v>774</v>
      </c>
      <c r="W112" s="20" t="n">
        <v>-5374</v>
      </c>
      <c r="X112" s="20" t="n">
        <v>549</v>
      </c>
    </row>
    <row r="113">
      <c r="A113" s="18" t="inlineStr">
        <is>
          <t>Gain On Sales Of Assets NOI</t>
        </is>
      </c>
      <c r="C113" s="20" t="n">
        <v>1562</v>
      </c>
      <c r="D113" s="20" t="n">
        <v>34</v>
      </c>
      <c r="E113" s="20" t="n">
        <v>514</v>
      </c>
      <c r="F113" s="20" t="n">
        <v>21</v>
      </c>
      <c r="G113" s="20" t="n">
        <v>178</v>
      </c>
      <c r="H113" s="20" t="n">
        <v>68</v>
      </c>
      <c r="I113" s="20" t="n">
        <v>248</v>
      </c>
      <c r="J113" s="20" t="n">
        <v>5</v>
      </c>
      <c r="K113" s="20" t="n">
        <v>807</v>
      </c>
      <c r="L113" s="20" t="n">
        <v>357</v>
      </c>
      <c r="M113" s="20" t="n">
        <v>1602</v>
      </c>
      <c r="N113" s="20" t="n">
        <v>37</v>
      </c>
      <c r="T113" s="20" t="n">
        <v>637</v>
      </c>
      <c r="U113" s="20" t="n">
        <v>3897</v>
      </c>
      <c r="V113" s="20" t="n">
        <v>514</v>
      </c>
      <c r="W113" s="20" t="n">
        <v>248</v>
      </c>
      <c r="X113" s="20" t="n">
        <v>1602</v>
      </c>
    </row>
    <row r="114">
      <c r="A114" s="18" t="inlineStr">
        <is>
          <t>고정자산 수증이익</t>
        </is>
      </c>
      <c r="C114" s="20" t="n">
        <v>121</v>
      </c>
      <c r="D114" s="20" t="n">
        <v>280</v>
      </c>
      <c r="E114" s="20" t="n">
        <v>-168</v>
      </c>
      <c r="F114" s="20" t="n">
        <v>203</v>
      </c>
      <c r="G114" s="20" t="n">
        <v>218</v>
      </c>
      <c r="H114" s="20" t="n">
        <v>159</v>
      </c>
      <c r="I114" s="20" t="n">
        <v>463</v>
      </c>
      <c r="J114" s="20" t="n">
        <v>73</v>
      </c>
      <c r="K114" s="20" t="n">
        <v>112</v>
      </c>
      <c r="L114" s="20" t="n">
        <v>1481</v>
      </c>
      <c r="M114" s="20" t="n">
        <v>428</v>
      </c>
      <c r="N114" s="20" t="n">
        <v>253</v>
      </c>
      <c r="T114" s="20" t="n">
        <v>107</v>
      </c>
      <c r="U114" s="20" t="n">
        <v>367</v>
      </c>
      <c r="V114" s="20" t="n">
        <v>-168</v>
      </c>
      <c r="W114" s="20" t="n">
        <v>463</v>
      </c>
      <c r="X114" s="20" t="n">
        <v>428</v>
      </c>
    </row>
    <row r="115">
      <c r="A115" s="18" t="inlineStr">
        <is>
          <t>고용조정 보조금</t>
        </is>
      </c>
      <c r="C115" s="20" t="n">
        <v>0</v>
      </c>
      <c r="D115" s="20" t="n">
        <v>0</v>
      </c>
      <c r="E115" s="20" t="n">
        <v>0</v>
      </c>
      <c r="T115" s="20" t="n">
        <v>4254</v>
      </c>
      <c r="U115" s="20" t="n">
        <v>60</v>
      </c>
      <c r="V115" s="20" t="n">
        <v>0</v>
      </c>
    </row>
    <row r="116">
      <c r="A116" s="18" t="inlineStr">
        <is>
          <t>Compensation Payments Received NOI</t>
        </is>
      </c>
      <c r="C116" s="20" t="n">
        <v>0</v>
      </c>
      <c r="D116" s="20" t="n">
        <v>0</v>
      </c>
      <c r="E116" s="20" t="n">
        <v>14404</v>
      </c>
      <c r="F116" s="20" t="n">
        <v>4174</v>
      </c>
      <c r="G116" s="20" t="n">
        <v>2159</v>
      </c>
      <c r="H116" s="20" t="n">
        <v>9077</v>
      </c>
      <c r="I116" s="20" t="n">
        <v>4098</v>
      </c>
      <c r="J116" s="20" t="n">
        <v>3094</v>
      </c>
      <c r="K116" s="20" t="n">
        <v>1618</v>
      </c>
      <c r="L116" s="20" t="n">
        <v>992</v>
      </c>
      <c r="M116" s="20" t="n">
        <v>1581</v>
      </c>
      <c r="N116" s="20" t="n">
        <v>1877</v>
      </c>
      <c r="V116" s="20" t="n">
        <v>14404</v>
      </c>
      <c r="W116" s="20" t="n">
        <v>4098</v>
      </c>
      <c r="X116" s="20" t="n">
        <v>1581</v>
      </c>
    </row>
    <row r="117">
      <c r="A117" s="18" t="inlineStr">
        <is>
          <t>기타</t>
        </is>
      </c>
      <c r="C117" s="20" t="n">
        <v>2094</v>
      </c>
      <c r="D117" s="20" t="n">
        <v>3960</v>
      </c>
      <c r="E117" s="20" t="n">
        <v>-3806</v>
      </c>
      <c r="F117" s="20" t="n">
        <v>1333</v>
      </c>
      <c r="G117" s="20" t="n">
        <v>1837</v>
      </c>
      <c r="H117" s="20" t="n">
        <v>612</v>
      </c>
      <c r="I117" s="20" t="n">
        <v>1156</v>
      </c>
      <c r="J117" s="20" t="n">
        <v>1004</v>
      </c>
      <c r="K117" s="20" t="n">
        <v>2116</v>
      </c>
      <c r="L117" s="20" t="n">
        <v>847</v>
      </c>
      <c r="M117" s="20" t="n">
        <v>2151</v>
      </c>
      <c r="N117" s="20" t="n">
        <v>1509</v>
      </c>
      <c r="T117" s="20" t="n">
        <v>1707</v>
      </c>
      <c r="U117" s="20" t="n">
        <v>943</v>
      </c>
      <c r="V117" s="20" t="n">
        <v>-3806</v>
      </c>
      <c r="W117" s="20" t="n">
        <v>1156</v>
      </c>
      <c r="X117" s="20" t="n">
        <v>2151</v>
      </c>
    </row>
    <row r="118">
      <c r="A118" s="18" t="inlineStr">
        <is>
          <t>영업외수익 합계</t>
        </is>
      </c>
      <c r="C118" s="20" t="n">
        <v>5257</v>
      </c>
      <c r="D118" s="20" t="n">
        <v>6514</v>
      </c>
      <c r="E118" s="20" t="n">
        <v>12779</v>
      </c>
      <c r="F118" s="20" t="n">
        <v>13652</v>
      </c>
      <c r="G118" s="20" t="n">
        <v>5090</v>
      </c>
      <c r="H118" s="20" t="n">
        <v>14046</v>
      </c>
      <c r="I118" s="20" t="n">
        <v>3313</v>
      </c>
      <c r="J118" s="20" t="n">
        <v>6950</v>
      </c>
      <c r="K118" s="20" t="n">
        <v>7177</v>
      </c>
      <c r="L118" s="20" t="n">
        <v>10789</v>
      </c>
      <c r="M118" s="20" t="n">
        <v>9849</v>
      </c>
      <c r="N118" s="20" t="n">
        <v>7968</v>
      </c>
      <c r="T118" s="20" t="n">
        <v>8351</v>
      </c>
      <c r="U118" s="20" t="n">
        <v>7936</v>
      </c>
      <c r="V118" s="20" t="n">
        <v>12779</v>
      </c>
      <c r="W118" s="20" t="n">
        <v>3313</v>
      </c>
      <c r="X118" s="20" t="n">
        <v>9849</v>
      </c>
    </row>
    <row r="119">
      <c r="A119" s="18" t="inlineStr">
        <is>
          <t>이자비용</t>
        </is>
      </c>
      <c r="C119" s="20" t="n">
        <v>5852</v>
      </c>
      <c r="D119" s="20" t="n">
        <v>5819</v>
      </c>
      <c r="E119" s="20" t="n">
        <v>5674</v>
      </c>
      <c r="F119" s="20" t="n">
        <v>5714</v>
      </c>
      <c r="G119" s="20" t="n">
        <v>5644</v>
      </c>
      <c r="H119" s="20" t="n">
        <v>5997</v>
      </c>
      <c r="I119" s="20" t="n">
        <v>6004</v>
      </c>
      <c r="J119" s="20" t="n">
        <v>6223</v>
      </c>
      <c r="K119" s="20" t="n">
        <v>6527</v>
      </c>
      <c r="L119" s="20" t="n">
        <v>5295</v>
      </c>
      <c r="M119" s="20" t="n">
        <v>4542</v>
      </c>
      <c r="N119" s="20" t="n">
        <v>4668</v>
      </c>
      <c r="T119" s="20" t="n">
        <v>6335</v>
      </c>
      <c r="U119" s="20" t="n">
        <v>5963</v>
      </c>
      <c r="V119" s="20" t="n">
        <v>5674</v>
      </c>
      <c r="W119" s="20" t="n">
        <v>6004</v>
      </c>
      <c r="X119" s="20" t="n">
        <v>4542</v>
      </c>
    </row>
    <row r="120">
      <c r="A120" s="18" t="inlineStr">
        <is>
          <t>지분법손실</t>
        </is>
      </c>
      <c r="C120" s="20" t="n">
        <v>0</v>
      </c>
      <c r="T120" s="20" t="n">
        <v>1053</v>
      </c>
      <c r="U120" s="20" t="n">
        <v>0</v>
      </c>
    </row>
    <row r="121">
      <c r="A121" s="18" t="inlineStr">
        <is>
          <t>외환차손</t>
        </is>
      </c>
      <c r="F121" s="20" t="n">
        <v>0</v>
      </c>
      <c r="J121" s="20" t="n">
        <v>562</v>
      </c>
      <c r="N121" s="20" t="n">
        <v>0</v>
      </c>
    </row>
    <row r="122">
      <c r="A122" s="18" t="inlineStr">
        <is>
          <t>Loss On Sales Of Assets NOE</t>
        </is>
      </c>
      <c r="C122" s="20" t="n">
        <v>22</v>
      </c>
      <c r="D122" s="20" t="n">
        <v>7</v>
      </c>
      <c r="E122" s="20" t="n">
        <v>2</v>
      </c>
      <c r="F122" s="20" t="n">
        <v>1</v>
      </c>
      <c r="G122" s="20" t="n">
        <v>13</v>
      </c>
      <c r="H122" s="20" t="n">
        <v>154</v>
      </c>
      <c r="I122" s="20" t="n">
        <v>12</v>
      </c>
      <c r="J122" s="20" t="n">
        <v>6</v>
      </c>
      <c r="K122" s="20" t="n">
        <v>1</v>
      </c>
      <c r="L122" s="20" t="n">
        <v>3</v>
      </c>
      <c r="M122" s="20" t="n">
        <v>10</v>
      </c>
      <c r="N122" s="20" t="n">
        <v>0</v>
      </c>
      <c r="T122" s="20" t="n">
        <v>214</v>
      </c>
      <c r="U122" s="20" t="n">
        <v>75</v>
      </c>
      <c r="V122" s="20" t="n">
        <v>2</v>
      </c>
      <c r="W122" s="20" t="n">
        <v>12</v>
      </c>
      <c r="X122" s="20" t="n">
        <v>10</v>
      </c>
    </row>
    <row r="123">
      <c r="A123" s="18" t="inlineStr">
        <is>
          <t>Loss On Retirement Of Assets NOE</t>
        </is>
      </c>
      <c r="C123" s="20" t="n">
        <v>813</v>
      </c>
      <c r="D123" s="20" t="n">
        <v>557</v>
      </c>
      <c r="E123" s="20" t="n">
        <v>3211</v>
      </c>
      <c r="F123" s="20" t="n">
        <v>995</v>
      </c>
      <c r="G123" s="20" t="n">
        <v>1421</v>
      </c>
      <c r="H123" s="20" t="n">
        <v>1059</v>
      </c>
      <c r="I123" s="20" t="n">
        <v>3291</v>
      </c>
      <c r="J123" s="20" t="n">
        <v>491</v>
      </c>
      <c r="K123" s="20" t="n">
        <v>2365</v>
      </c>
      <c r="L123" s="20" t="n">
        <v>702</v>
      </c>
      <c r="M123" s="20" t="n">
        <v>3484</v>
      </c>
      <c r="N123" s="20" t="n">
        <v>779</v>
      </c>
      <c r="T123" s="20" t="n">
        <v>5188</v>
      </c>
      <c r="U123" s="20" t="n">
        <v>1499</v>
      </c>
      <c r="V123" s="20" t="n">
        <v>3211</v>
      </c>
      <c r="W123" s="20" t="n">
        <v>3291</v>
      </c>
      <c r="X123" s="20" t="n">
        <v>3484</v>
      </c>
    </row>
    <row r="124">
      <c r="A124" s="18" t="inlineStr">
        <is>
          <t>Grounded Aircraft Expense NOE</t>
        </is>
      </c>
      <c r="C124" s="20" t="n">
        <v>0</v>
      </c>
      <c r="D124" s="20" t="n">
        <v>0</v>
      </c>
      <c r="E124" s="20" t="n">
        <v>0</v>
      </c>
      <c r="T124" s="20" t="n">
        <v>3085</v>
      </c>
      <c r="U124" s="20" t="n">
        <v>0</v>
      </c>
      <c r="V124" s="20" t="n">
        <v>0</v>
      </c>
    </row>
    <row r="125">
      <c r="A125" s="18" t="inlineStr">
        <is>
          <t>기타</t>
        </is>
      </c>
      <c r="C125" s="20" t="n">
        <v>467</v>
      </c>
      <c r="D125" s="20" t="n">
        <v>705</v>
      </c>
      <c r="E125" s="20" t="n">
        <v>1166</v>
      </c>
      <c r="F125" s="20" t="n">
        <v>474</v>
      </c>
      <c r="G125" s="20" t="n">
        <v>471</v>
      </c>
      <c r="H125" s="20" t="n">
        <v>416</v>
      </c>
      <c r="I125" s="20" t="n">
        <v>988</v>
      </c>
      <c r="J125" s="20" t="n">
        <v>535</v>
      </c>
      <c r="K125" s="20" t="n">
        <v>420</v>
      </c>
      <c r="L125" s="20" t="n">
        <v>441</v>
      </c>
      <c r="M125" s="20" t="n">
        <v>1506</v>
      </c>
      <c r="N125" s="20" t="n">
        <v>790</v>
      </c>
      <c r="T125" s="20" t="n">
        <v>1761</v>
      </c>
      <c r="U125" s="20" t="n">
        <v>1986</v>
      </c>
      <c r="V125" s="20" t="n">
        <v>1166</v>
      </c>
      <c r="W125" s="20" t="n">
        <v>988</v>
      </c>
      <c r="X125" s="20" t="n">
        <v>1506</v>
      </c>
    </row>
    <row r="126">
      <c r="A126" s="18" t="inlineStr">
        <is>
          <t>영업외비용 합계</t>
        </is>
      </c>
      <c r="C126" s="20" t="n">
        <v>7154</v>
      </c>
      <c r="D126" s="20" t="n">
        <v>7088</v>
      </c>
      <c r="E126" s="20" t="n">
        <v>10053</v>
      </c>
      <c r="F126" s="20" t="n">
        <v>7184</v>
      </c>
      <c r="G126" s="20" t="n">
        <v>7549</v>
      </c>
      <c r="H126" s="20" t="n">
        <v>7626</v>
      </c>
      <c r="I126" s="20" t="n">
        <v>10295</v>
      </c>
      <c r="J126" s="20" t="n">
        <v>7817</v>
      </c>
      <c r="K126" s="20" t="n">
        <v>8751</v>
      </c>
      <c r="L126" s="20" t="n">
        <v>6441</v>
      </c>
      <c r="M126" s="20" t="n">
        <v>9542</v>
      </c>
      <c r="N126" s="20" t="n">
        <v>6237</v>
      </c>
      <c r="T126" s="20" t="n">
        <v>17636</v>
      </c>
      <c r="U126" s="20" t="n">
        <v>9523</v>
      </c>
      <c r="V126" s="20" t="n">
        <v>10053</v>
      </c>
      <c r="W126" s="20" t="n">
        <v>10295</v>
      </c>
      <c r="X126" s="20" t="n">
        <v>9542</v>
      </c>
    </row>
    <row r="127">
      <c r="A127" s="9" t="inlineStr">
        <is>
          <t>경상이익</t>
        </is>
      </c>
      <c r="C127" s="12" t="n">
        <v>84056</v>
      </c>
      <c r="D127" s="12" t="n">
        <v>79803</v>
      </c>
      <c r="E127" s="12" t="n">
        <v>523</v>
      </c>
      <c r="F127" s="12" t="n">
        <v>36822</v>
      </c>
      <c r="G127" s="12" t="n">
        <v>75561</v>
      </c>
      <c r="H127" s="12" t="n">
        <v>69206</v>
      </c>
      <c r="I127" s="12" t="n">
        <v>18497</v>
      </c>
      <c r="J127" s="12" t="n">
        <v>35919</v>
      </c>
      <c r="K127" s="12" t="n">
        <v>59268</v>
      </c>
      <c r="L127" s="12" t="n">
        <v>87434</v>
      </c>
      <c r="M127" s="12" t="n">
        <v>37030</v>
      </c>
      <c r="N127" s="12" t="n">
        <v>22513</v>
      </c>
      <c r="T127" s="12" t="n">
        <v>-66595</v>
      </c>
      <c r="U127" s="12" t="n">
        <v>19461</v>
      </c>
      <c r="V127" s="12" t="n">
        <v>523</v>
      </c>
      <c r="W127" s="12" t="n">
        <v>18497</v>
      </c>
      <c r="X127" s="12" t="n">
        <v>37030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IF(OR(G127="",C127=""),"",IF(C127&lt;=0,"",IFERROR(G127/C127-1,"")))</f>
        <v/>
      </c>
      <c r="H128" s="15">
        <f>IF(OR(H127="",D127=""),"",IF(D127&lt;=0,"",IFERROR(H127/D127-1,"")))</f>
        <v/>
      </c>
      <c r="I128" s="15">
        <f>IF(OR(I127="",E127=""),"",IF(E127&lt;=0,"",IFERROR(I127/E127-1,"")))</f>
        <v/>
      </c>
      <c r="J128" s="15">
        <f>IF(OR(J127="",F127=""),"",IF(F127&lt;=0,"",IFERROR(J127/F127-1,"")))</f>
        <v/>
      </c>
      <c r="K128" s="15">
        <f>IF(OR(K127="",G127=""),"",IF(G127&lt;=0,"",IFERROR(K127/G127-1,"")))</f>
        <v/>
      </c>
      <c r="L128" s="15">
        <f>IF(OR(L127="",H127=""),"",IF(H127&lt;=0,"",IFERROR(L127/H127-1,"")))</f>
        <v/>
      </c>
      <c r="M128" s="15">
        <f>IF(OR(M127="",I127=""),"",IF(I127&lt;=0,"",IFERROR(M127/I127-1,"")))</f>
        <v/>
      </c>
      <c r="N128" s="15">
        <f>IF(OR(N127="",J127=""),"",IF(J127&lt;=0,"",IFERROR(N127/J127-1,"")))</f>
        <v/>
      </c>
      <c r="T128" s="15">
        <f>IF(OR(T127="",S127=""),"",IF(S127&lt;=0,"",IFERROR(T127/S127-1,"")))</f>
        <v/>
      </c>
      <c r="U128" s="15">
        <f>IF(OR(U127="",T127=""),"",IF(T127&lt;=0,"",IFERROR(U127/T127-1,"")))</f>
        <v/>
      </c>
      <c r="V128" s="15">
        <f>IF(OR(V127="",U127=""),"",IF(U127&lt;=0,"",IFERROR(V127/U127-1,"")))</f>
        <v/>
      </c>
      <c r="W128" s="15">
        <f>IF(OR(W127="",V127=""),"",IF(V127&lt;=0,"",IFERROR(W127/V127-1,"")))</f>
        <v/>
      </c>
      <c r="X128" s="15">
        <f>IF(OR(X127="",W127=""),"",IF(W127&lt;=0,"",IFERROR(X127/W127-1,"")))</f>
        <v/>
      </c>
    </row>
    <row r="129">
      <c r="A129" s="18" t="inlineStr">
        <is>
          <t>부의 영업권 발생이익</t>
        </is>
      </c>
      <c r="H129" s="20" t="n">
        <v>0</v>
      </c>
      <c r="I129" s="20" t="n">
        <v>0</v>
      </c>
      <c r="L129" s="20" t="n">
        <v>0</v>
      </c>
      <c r="M129" s="20" t="n">
        <v>0</v>
      </c>
      <c r="W129" s="20" t="n">
        <v>0</v>
      </c>
      <c r="X129" s="20" t="n">
        <v>0</v>
      </c>
    </row>
    <row r="130">
      <c r="A130" s="18" t="inlineStr">
        <is>
          <t>투자유가증권 매각이익</t>
        </is>
      </c>
      <c r="D130" s="20" t="n">
        <v>0</v>
      </c>
      <c r="E130" s="20" t="n">
        <v>0</v>
      </c>
      <c r="H130" s="20" t="n">
        <v>35</v>
      </c>
      <c r="I130" s="20" t="n">
        <v>104</v>
      </c>
      <c r="J130" s="20" t="n">
        <v>0</v>
      </c>
      <c r="K130" s="20" t="n">
        <v>4091</v>
      </c>
      <c r="L130" s="20" t="n">
        <v>642</v>
      </c>
      <c r="M130" s="20" t="n">
        <v>13</v>
      </c>
      <c r="N130" s="20" t="n">
        <v>2051</v>
      </c>
      <c r="V130" s="20" t="n">
        <v>0</v>
      </c>
      <c r="W130" s="20" t="n">
        <v>104</v>
      </c>
      <c r="X130" s="20" t="n">
        <v>13</v>
      </c>
    </row>
    <row r="131">
      <c r="A131" s="18" t="inlineStr">
        <is>
          <t>특별이익 합계</t>
        </is>
      </c>
      <c r="D131" s="20" t="n">
        <v>0</v>
      </c>
      <c r="E131" s="20" t="n">
        <v>0</v>
      </c>
      <c r="H131" s="20" t="n">
        <v>35</v>
      </c>
      <c r="I131" s="20" t="n">
        <v>104</v>
      </c>
      <c r="J131" s="20" t="n">
        <v>0</v>
      </c>
      <c r="K131" s="20" t="n">
        <v>11256</v>
      </c>
      <c r="L131" s="20" t="n">
        <v>642</v>
      </c>
      <c r="M131" s="20" t="n">
        <v>13</v>
      </c>
      <c r="N131" s="20" t="n">
        <v>2051</v>
      </c>
      <c r="V131" s="20" t="n">
        <v>0</v>
      </c>
      <c r="W131" s="20" t="n">
        <v>104</v>
      </c>
      <c r="X131" s="20" t="n">
        <v>13</v>
      </c>
    </row>
    <row r="132">
      <c r="A132" s="18" t="inlineStr">
        <is>
          <t>손상차손</t>
        </is>
      </c>
      <c r="H132" s="20" t="n">
        <v>0</v>
      </c>
      <c r="I132" s="20" t="n">
        <v>0</v>
      </c>
      <c r="L132" s="20" t="n">
        <v>0</v>
      </c>
      <c r="M132" s="20" t="n">
        <v>6705</v>
      </c>
      <c r="W132" s="20" t="n">
        <v>0</v>
      </c>
      <c r="X132" s="20" t="n">
        <v>6705</v>
      </c>
    </row>
    <row r="133">
      <c r="A133" s="18" t="inlineStr">
        <is>
          <t>Lease Receivables And Investments In Leases EL</t>
        </is>
      </c>
      <c r="T133" s="20" t="n">
        <v>2326</v>
      </c>
      <c r="U133" s="20" t="n">
        <v>0</v>
      </c>
    </row>
    <row r="134">
      <c r="A134" s="18" t="inlineStr">
        <is>
          <t>대손충당금 전입</t>
        </is>
      </c>
      <c r="E134" s="20" t="n">
        <v>0</v>
      </c>
      <c r="I134" s="20" t="n">
        <v>399</v>
      </c>
      <c r="M134" s="20" t="n">
        <v>0</v>
      </c>
      <c r="V134" s="20" t="n">
        <v>0</v>
      </c>
      <c r="W134" s="20" t="n">
        <v>399</v>
      </c>
      <c r="X134" s="20" t="n">
        <v>0</v>
      </c>
    </row>
    <row r="135">
      <c r="A135" s="18" t="inlineStr">
        <is>
          <t>투자유가증권 평가손실</t>
        </is>
      </c>
      <c r="C135" s="20" t="n">
        <v>451</v>
      </c>
      <c r="D135" s="20" t="n">
        <v>6</v>
      </c>
      <c r="E135" s="20" t="n">
        <v>2361</v>
      </c>
      <c r="H135" s="20" t="n">
        <v>0</v>
      </c>
      <c r="I135" s="20" t="n">
        <v>0</v>
      </c>
      <c r="T135" s="20" t="n">
        <v>768</v>
      </c>
      <c r="U135" s="20" t="n">
        <v>1017</v>
      </c>
      <c r="V135" s="20" t="n">
        <v>2361</v>
      </c>
      <c r="W135" s="20" t="n">
        <v>0</v>
      </c>
    </row>
    <row r="136">
      <c r="A136" s="18" t="inlineStr">
        <is>
          <t>특별손실 합계</t>
        </is>
      </c>
      <c r="C136" s="20" t="n">
        <v>451</v>
      </c>
      <c r="D136" s="20" t="n">
        <v>6</v>
      </c>
      <c r="E136" s="20" t="n">
        <v>2361</v>
      </c>
      <c r="H136" s="20" t="n">
        <v>3525</v>
      </c>
      <c r="I136" s="20" t="n">
        <v>399</v>
      </c>
      <c r="L136" s="20" t="n">
        <v>0</v>
      </c>
      <c r="M136" s="20" t="n">
        <v>7034</v>
      </c>
      <c r="T136" s="20" t="n">
        <v>12451</v>
      </c>
      <c r="U136" s="20" t="n">
        <v>1017</v>
      </c>
      <c r="V136" s="20" t="n">
        <v>2361</v>
      </c>
      <c r="W136" s="20" t="n">
        <v>399</v>
      </c>
      <c r="X136" s="20" t="n">
        <v>7034</v>
      </c>
    </row>
    <row r="137">
      <c r="A137" s="9" t="inlineStr">
        <is>
          <t>법인세차감전 순이익</t>
        </is>
      </c>
      <c r="C137" s="12" t="n">
        <v>83605</v>
      </c>
      <c r="D137" s="12" t="n">
        <v>79797</v>
      </c>
      <c r="E137" s="12" t="n">
        <v>-1838</v>
      </c>
      <c r="F137" s="12" t="n">
        <v>36822</v>
      </c>
      <c r="G137" s="12" t="n">
        <v>75826</v>
      </c>
      <c r="H137" s="12" t="n">
        <v>65716</v>
      </c>
      <c r="I137" s="12" t="n">
        <v>18202</v>
      </c>
      <c r="J137" s="12" t="n">
        <v>35919</v>
      </c>
      <c r="K137" s="12" t="n">
        <v>69497</v>
      </c>
      <c r="L137" s="12" t="n">
        <v>88076</v>
      </c>
      <c r="M137" s="12" t="n">
        <v>30009</v>
      </c>
      <c r="N137" s="12" t="n">
        <v>24564</v>
      </c>
      <c r="T137" s="12" t="n">
        <v>-50736</v>
      </c>
      <c r="U137" s="12" t="n">
        <v>22018</v>
      </c>
      <c r="V137" s="12" t="n">
        <v>-1838</v>
      </c>
      <c r="W137" s="12" t="n">
        <v>18202</v>
      </c>
      <c r="X137" s="12" t="n">
        <v>30009</v>
      </c>
    </row>
    <row r="138">
      <c r="A138" s="18" t="inlineStr">
        <is>
          <t>법인세 등</t>
        </is>
      </c>
      <c r="C138" s="20" t="n">
        <v>20830</v>
      </c>
      <c r="D138" s="20" t="n">
        <v>23685</v>
      </c>
      <c r="E138" s="20" t="n">
        <v>-10360</v>
      </c>
      <c r="F138" s="20" t="n">
        <v>12140</v>
      </c>
      <c r="G138" s="20" t="n">
        <v>19476</v>
      </c>
      <c r="H138" s="20" t="n">
        <v>12013</v>
      </c>
      <c r="I138" s="20" t="n">
        <v>-941</v>
      </c>
      <c r="J138" s="20" t="n">
        <v>12275</v>
      </c>
      <c r="K138" s="20" t="n">
        <v>16541</v>
      </c>
      <c r="L138" s="20" t="n">
        <v>23624</v>
      </c>
      <c r="M138" s="20" t="n">
        <v>78</v>
      </c>
      <c r="N138" s="20" t="n">
        <v>4781</v>
      </c>
      <c r="T138" s="20" t="n">
        <v>-10236</v>
      </c>
      <c r="U138" s="20" t="n">
        <v>-4420</v>
      </c>
      <c r="V138" s="20" t="n">
        <v>-10360</v>
      </c>
      <c r="W138" s="20" t="n">
        <v>-941</v>
      </c>
      <c r="X138" s="20" t="n">
        <v>78</v>
      </c>
    </row>
    <row r="139">
      <c r="A139" s="9" t="inlineStr">
        <is>
          <t>순이익</t>
        </is>
      </c>
      <c r="C139" s="12" t="n">
        <v>62775</v>
      </c>
      <c r="D139" s="12" t="n">
        <v>56112</v>
      </c>
      <c r="E139" s="12" t="n">
        <v>8522</v>
      </c>
      <c r="F139" s="12" t="n">
        <v>24682</v>
      </c>
      <c r="G139" s="12" t="n">
        <v>56350</v>
      </c>
      <c r="H139" s="12" t="n">
        <v>53703</v>
      </c>
      <c r="I139" s="12" t="n">
        <v>19143</v>
      </c>
      <c r="J139" s="12" t="n">
        <v>23644</v>
      </c>
      <c r="K139" s="12" t="n">
        <v>52956</v>
      </c>
      <c r="L139" s="12" t="n">
        <v>64452</v>
      </c>
      <c r="M139" s="12" t="n">
        <v>29931</v>
      </c>
      <c r="N139" s="12" t="n">
        <v>19783</v>
      </c>
      <c r="T139" s="12" t="n">
        <v>-40500</v>
      </c>
      <c r="U139" s="12" t="n">
        <v>26438</v>
      </c>
      <c r="V139" s="12" t="n">
        <v>8522</v>
      </c>
      <c r="W139" s="12" t="n">
        <v>19143</v>
      </c>
      <c r="X139" s="12" t="n">
        <v>29931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9" t="inlineStr">
        <is>
          <t>비지배주주 순이익</t>
        </is>
      </c>
      <c r="C141" s="12" t="n">
        <v>255</v>
      </c>
      <c r="D141" s="12" t="n">
        <v>369</v>
      </c>
      <c r="E141" s="12" t="n">
        <v>374</v>
      </c>
      <c r="F141" s="12" t="n">
        <v>-30</v>
      </c>
      <c r="G141" s="12" t="n">
        <v>284</v>
      </c>
      <c r="H141" s="12" t="n">
        <v>451</v>
      </c>
      <c r="I141" s="12" t="n">
        <v>146</v>
      </c>
      <c r="J141" s="12" t="n">
        <v>691</v>
      </c>
      <c r="K141" s="12" t="n">
        <v>-176</v>
      </c>
      <c r="L141" s="12" t="n">
        <v>1302</v>
      </c>
      <c r="M141" s="12" t="n">
        <v>91</v>
      </c>
      <c r="N141" s="12" t="n">
        <v>372</v>
      </c>
      <c r="T141" s="12" t="n">
        <v>324</v>
      </c>
      <c r="U141" s="12" t="n">
        <v>-438</v>
      </c>
      <c r="V141" s="12" t="n">
        <v>374</v>
      </c>
      <c r="W141" s="12" t="n">
        <v>146</v>
      </c>
      <c r="X141" s="12" t="n">
        <v>91</v>
      </c>
    </row>
    <row r="142">
      <c r="A142" s="9" t="inlineStr">
        <is>
          <t>지배주주 순이익</t>
        </is>
      </c>
      <c r="C142" s="12" t="n">
        <v>62520</v>
      </c>
      <c r="D142" s="12" t="n">
        <v>55743</v>
      </c>
      <c r="E142" s="12" t="n">
        <v>8148</v>
      </c>
      <c r="F142" s="12" t="n">
        <v>24712</v>
      </c>
      <c r="G142" s="12" t="n">
        <v>56066</v>
      </c>
      <c r="H142" s="12" t="n">
        <v>53252</v>
      </c>
      <c r="I142" s="12" t="n">
        <v>18997</v>
      </c>
      <c r="J142" s="12" t="n">
        <v>22953</v>
      </c>
      <c r="K142" s="12" t="n">
        <v>53132</v>
      </c>
      <c r="L142" s="12" t="n">
        <v>63150</v>
      </c>
      <c r="M142" s="12" t="n">
        <v>29840</v>
      </c>
      <c r="N142" s="12" t="n">
        <v>19411</v>
      </c>
      <c r="T142" s="12" t="n">
        <v>-40824</v>
      </c>
      <c r="U142" s="12" t="n">
        <v>26876</v>
      </c>
      <c r="V142" s="12" t="n">
        <v>8148</v>
      </c>
      <c r="W142" s="12" t="n">
        <v>18997</v>
      </c>
      <c r="X142" s="12" t="n">
        <v>29840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5">
      <c r="A145" s="16" t="inlineStr">
        <is>
          <t>포괄손익 · 전 항목</t>
        </is>
      </c>
      <c r="B145" s="42" t="inlineStr">
        <is>
          <t>분기 = 3개월 단독</t>
        </is>
      </c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</row>
    <row r="146">
      <c r="A146" s="5" t="inlineStr">
        <is>
          <t>항목</t>
        </is>
      </c>
      <c r="B146" s="5" t="inlineStr">
        <is>
          <t>참고</t>
        </is>
      </c>
      <c r="C146" s="5" t="inlineStr">
        <is>
          <t>2024.2Q</t>
        </is>
      </c>
      <c r="D146" s="5" t="inlineStr">
        <is>
          <t>2024.3Q</t>
        </is>
      </c>
      <c r="E146" s="5" t="inlineStr">
        <is>
          <t>2024.4Q</t>
        </is>
      </c>
      <c r="F146" s="5" t="inlineStr">
        <is>
          <t>2025.1Q</t>
        </is>
      </c>
      <c r="G146" s="5" t="inlineStr">
        <is>
          <t>2025.2Q</t>
        </is>
      </c>
      <c r="H146" s="5" t="inlineStr">
        <is>
          <t>2025.3Q</t>
        </is>
      </c>
      <c r="I146" s="5" t="inlineStr">
        <is>
          <t>2025.4Q</t>
        </is>
      </c>
      <c r="J146" s="5" t="inlineStr">
        <is>
          <t>2026.1Q</t>
        </is>
      </c>
      <c r="K146" s="5" t="inlineStr">
        <is>
          <t>2026.2Q</t>
        </is>
      </c>
      <c r="L146" s="5" t="inlineStr">
        <is>
          <t>2026.3Q</t>
        </is>
      </c>
      <c r="M146" s="5" t="inlineStr">
        <is>
          <t>2026.4Q</t>
        </is>
      </c>
      <c r="N146" s="5" t="inlineStr">
        <is>
          <t>2027.1Q</t>
        </is>
      </c>
      <c r="O146" s="5" t="inlineStr">
        <is>
          <t>2017</t>
        </is>
      </c>
      <c r="P146" s="5" t="inlineStr">
        <is>
          <t>2018</t>
        </is>
      </c>
      <c r="Q146" s="5" t="inlineStr">
        <is>
          <t>2019</t>
        </is>
      </c>
      <c r="R146" s="5" t="inlineStr">
        <is>
          <t>2020</t>
        </is>
      </c>
      <c r="S146" s="5" t="inlineStr">
        <is>
          <t>2021</t>
        </is>
      </c>
      <c r="T146" s="5" t="inlineStr">
        <is>
          <t>2022</t>
        </is>
      </c>
      <c r="U146" s="5" t="inlineStr">
        <is>
          <t>2023</t>
        </is>
      </c>
      <c r="V146" s="5" t="inlineStr">
        <is>
          <t>2024</t>
        </is>
      </c>
      <c r="W146" s="5" t="inlineStr">
        <is>
          <t>2025</t>
        </is>
      </c>
      <c r="X146" s="5" t="inlineStr">
        <is>
          <t>2026</t>
        </is>
      </c>
      <c r="Y146" s="5" t="inlineStr">
        <is>
          <t>2027(MW)</t>
        </is>
      </c>
      <c r="Z146" s="5" t="inlineStr">
        <is>
          <t>2028(MW)</t>
        </is>
      </c>
      <c r="AA146" s="5" t="inlineStr">
        <is>
          <t>2029(MW)</t>
        </is>
      </c>
      <c r="AB146" s="5" t="inlineStr">
        <is>
          <t>2030(MW)</t>
        </is>
      </c>
      <c r="AC146" s="5" t="inlineStr">
        <is>
          <t>2031(MW)</t>
        </is>
      </c>
    </row>
    <row r="147">
      <c r="A147" s="9" t="inlineStr">
        <is>
          <t>순이익</t>
        </is>
      </c>
      <c r="C147" s="12" t="n">
        <v>62775</v>
      </c>
      <c r="D147" s="12" t="n">
        <v>56112</v>
      </c>
      <c r="E147" s="12" t="n">
        <v>8522</v>
      </c>
      <c r="F147" s="12" t="n">
        <v>24682</v>
      </c>
      <c r="G147" s="12" t="n">
        <v>56350</v>
      </c>
      <c r="H147" s="12" t="n">
        <v>53703</v>
      </c>
      <c r="I147" s="12" t="n">
        <v>19143</v>
      </c>
      <c r="J147" s="12" t="n">
        <v>23644</v>
      </c>
      <c r="K147" s="12" t="n">
        <v>52956</v>
      </c>
      <c r="L147" s="12" t="n">
        <v>64452</v>
      </c>
      <c r="M147" s="12" t="n">
        <v>29931</v>
      </c>
      <c r="N147" s="12" t="n">
        <v>19783</v>
      </c>
      <c r="T147" s="12" t="n">
        <v>-40500</v>
      </c>
      <c r="U147" s="12" t="n">
        <v>26438</v>
      </c>
      <c r="V147" s="12" t="n">
        <v>8522</v>
      </c>
      <c r="W147" s="12" t="n">
        <v>19143</v>
      </c>
      <c r="X147" s="12" t="n">
        <v>29931</v>
      </c>
    </row>
    <row r="148">
      <c r="A148" s="18" t="inlineStr">
        <is>
          <t>기타유가증권 평가차액</t>
        </is>
      </c>
      <c r="C148" s="20" t="n">
        <v>-4435</v>
      </c>
      <c r="D148" s="20" t="n">
        <v>-1374</v>
      </c>
      <c r="E148" s="20" t="n">
        <v>4389</v>
      </c>
      <c r="F148" s="20" t="n">
        <v>6939</v>
      </c>
      <c r="G148" s="20" t="n">
        <v>-12174</v>
      </c>
      <c r="H148" s="20" t="n">
        <v>4557</v>
      </c>
      <c r="I148" s="20" t="n">
        <v>-5085</v>
      </c>
      <c r="J148" s="20" t="n">
        <v>5043</v>
      </c>
      <c r="K148" s="20" t="n">
        <v>4995</v>
      </c>
      <c r="L148" s="20" t="n">
        <v>-6947</v>
      </c>
      <c r="M148" s="20" t="n">
        <v>22</v>
      </c>
      <c r="N148" s="20" t="n">
        <v>-1272</v>
      </c>
      <c r="T148" s="20" t="n">
        <v>4328</v>
      </c>
      <c r="U148" s="20" t="n">
        <v>-77</v>
      </c>
      <c r="V148" s="20" t="n">
        <v>4389</v>
      </c>
      <c r="W148" s="20" t="n">
        <v>-5085</v>
      </c>
      <c r="X148" s="20" t="n">
        <v>22</v>
      </c>
    </row>
    <row r="149">
      <c r="A149" s="18" t="inlineStr">
        <is>
          <t>이연헤지손익</t>
        </is>
      </c>
      <c r="C149" s="20" t="n">
        <v>27290</v>
      </c>
      <c r="D149" s="20" t="n">
        <v>-47274</v>
      </c>
      <c r="E149" s="20" t="n">
        <v>16860</v>
      </c>
      <c r="F149" s="20" t="n">
        <v>16058</v>
      </c>
      <c r="G149" s="20" t="n">
        <v>-56792</v>
      </c>
      <c r="H149" s="20" t="n">
        <v>33453</v>
      </c>
      <c r="I149" s="20" t="n">
        <v>-26159</v>
      </c>
      <c r="J149" s="20" t="n">
        <v>-17468</v>
      </c>
      <c r="K149" s="20" t="n">
        <v>12082</v>
      </c>
      <c r="L149" s="20" t="n">
        <v>14294</v>
      </c>
      <c r="M149" s="20" t="n">
        <v>54335</v>
      </c>
      <c r="N149" s="20" t="n">
        <v>-31386</v>
      </c>
      <c r="T149" s="20" t="n">
        <v>34190</v>
      </c>
      <c r="U149" s="20" t="n">
        <v>-2640</v>
      </c>
      <c r="V149" s="20" t="n">
        <v>16860</v>
      </c>
      <c r="W149" s="20" t="n">
        <v>-26159</v>
      </c>
      <c r="X149" s="20" t="n">
        <v>54335</v>
      </c>
    </row>
    <row r="150">
      <c r="A150" s="18" t="inlineStr">
        <is>
          <t>해외사업환산조정</t>
        </is>
      </c>
      <c r="C150" s="20" t="n">
        <v>511</v>
      </c>
      <c r="D150" s="20" t="n">
        <v>-490</v>
      </c>
      <c r="E150" s="20" t="n">
        <v>433</v>
      </c>
      <c r="F150" s="20" t="n">
        <v>879</v>
      </c>
      <c r="G150" s="20" t="n">
        <v>-829</v>
      </c>
      <c r="H150" s="20" t="n">
        <v>537</v>
      </c>
      <c r="I150" s="20" t="n">
        <v>-102</v>
      </c>
      <c r="J150" s="20" t="n">
        <v>-760</v>
      </c>
      <c r="K150" s="20" t="n">
        <v>137</v>
      </c>
      <c r="L150" s="20" t="n">
        <v>774</v>
      </c>
      <c r="M150" s="20" t="n">
        <v>790</v>
      </c>
      <c r="N150" s="20" t="n">
        <v>490</v>
      </c>
      <c r="T150" s="20" t="n">
        <v>590</v>
      </c>
      <c r="U150" s="20" t="n">
        <v>-2387</v>
      </c>
      <c r="V150" s="20" t="n">
        <v>433</v>
      </c>
      <c r="W150" s="20" t="n">
        <v>-102</v>
      </c>
      <c r="X150" s="20" t="n">
        <v>790</v>
      </c>
    </row>
    <row r="151">
      <c r="A151" s="18" t="inlineStr">
        <is>
          <t>퇴직급여 조정액</t>
        </is>
      </c>
      <c r="C151" s="20" t="n">
        <v>472</v>
      </c>
      <c r="D151" s="20" t="n">
        <v>475</v>
      </c>
      <c r="E151" s="20" t="n">
        <v>920</v>
      </c>
      <c r="F151" s="20" t="n">
        <v>508</v>
      </c>
      <c r="G151" s="20" t="n">
        <v>501</v>
      </c>
      <c r="H151" s="20" t="n">
        <v>505</v>
      </c>
      <c r="I151" s="20" t="n">
        <v>3127</v>
      </c>
      <c r="J151" s="20" t="n">
        <v>362</v>
      </c>
      <c r="K151" s="20" t="n">
        <v>431</v>
      </c>
      <c r="L151" s="20" t="n">
        <v>435</v>
      </c>
      <c r="M151" s="20" t="n">
        <v>5614</v>
      </c>
      <c r="N151" s="20" t="n">
        <v>364</v>
      </c>
      <c r="T151" s="20" t="n">
        <v>1230</v>
      </c>
      <c r="U151" s="20" t="n">
        <v>-2164</v>
      </c>
      <c r="V151" s="20" t="n">
        <v>920</v>
      </c>
      <c r="W151" s="20" t="n">
        <v>3127</v>
      </c>
      <c r="X151" s="20" t="n">
        <v>5614</v>
      </c>
    </row>
    <row r="152">
      <c r="A152" s="18" t="inlineStr">
        <is>
          <t>지분법 적용회사 지분 해당액</t>
        </is>
      </c>
      <c r="C152" s="20" t="n">
        <v>-11</v>
      </c>
      <c r="D152" s="20" t="n">
        <v>-9</v>
      </c>
      <c r="E152" s="20" t="n">
        <v>45</v>
      </c>
      <c r="F152" s="20" t="n">
        <v>8</v>
      </c>
      <c r="G152" s="20" t="n">
        <v>-85</v>
      </c>
      <c r="H152" s="20" t="n">
        <v>42</v>
      </c>
      <c r="I152" s="20" t="n">
        <v>-104</v>
      </c>
      <c r="J152" s="20" t="n">
        <v>77</v>
      </c>
      <c r="K152" s="20" t="n">
        <v>63</v>
      </c>
      <c r="L152" s="20" t="n">
        <v>-5</v>
      </c>
      <c r="M152" s="20" t="n">
        <v>32</v>
      </c>
      <c r="N152" s="20" t="n">
        <v>44</v>
      </c>
      <c r="T152" s="20" t="n">
        <v>50</v>
      </c>
      <c r="U152" s="20" t="n">
        <v>-34</v>
      </c>
      <c r="V152" s="20" t="n">
        <v>45</v>
      </c>
      <c r="W152" s="20" t="n">
        <v>-104</v>
      </c>
      <c r="X152" s="20" t="n">
        <v>32</v>
      </c>
    </row>
    <row r="153">
      <c r="A153" s="18" t="inlineStr">
        <is>
          <t>기타포괄손익 합계</t>
        </is>
      </c>
      <c r="C153" s="20" t="n">
        <v>23827</v>
      </c>
      <c r="D153" s="20" t="n">
        <v>-48672</v>
      </c>
      <c r="E153" s="20" t="n">
        <v>22647</v>
      </c>
      <c r="F153" s="20" t="n">
        <v>24392</v>
      </c>
      <c r="G153" s="20" t="n">
        <v>-69379</v>
      </c>
      <c r="H153" s="20" t="n">
        <v>39094</v>
      </c>
      <c r="I153" s="20" t="n">
        <v>-28323</v>
      </c>
      <c r="J153" s="20" t="n">
        <v>-12746</v>
      </c>
      <c r="K153" s="20" t="n">
        <v>17708</v>
      </c>
      <c r="L153" s="20" t="n">
        <v>8551</v>
      </c>
      <c r="M153" s="20" t="n">
        <v>60793</v>
      </c>
      <c r="N153" s="20" t="n">
        <v>-31760</v>
      </c>
      <c r="T153" s="20" t="n">
        <v>40388</v>
      </c>
      <c r="U153" s="20" t="n">
        <v>-7302</v>
      </c>
      <c r="V153" s="20" t="n">
        <v>22647</v>
      </c>
      <c r="W153" s="20" t="n">
        <v>-28323</v>
      </c>
      <c r="X153" s="20" t="n">
        <v>60793</v>
      </c>
    </row>
    <row r="154">
      <c r="A154" s="9" t="inlineStr">
        <is>
          <t>포괄이익</t>
        </is>
      </c>
      <c r="C154" s="12" t="n">
        <v>86602</v>
      </c>
      <c r="D154" s="12" t="n">
        <v>7440</v>
      </c>
      <c r="E154" s="12" t="n">
        <v>31169</v>
      </c>
      <c r="F154" s="12" t="n">
        <v>49074</v>
      </c>
      <c r="G154" s="12" t="n">
        <v>-13029</v>
      </c>
      <c r="H154" s="12" t="n">
        <v>92797</v>
      </c>
      <c r="I154" s="12" t="n">
        <v>-9180</v>
      </c>
      <c r="J154" s="12" t="n">
        <v>10898</v>
      </c>
      <c r="K154" s="12" t="n">
        <v>70664</v>
      </c>
      <c r="L154" s="12" t="n">
        <v>73003</v>
      </c>
      <c r="M154" s="12" t="n">
        <v>90724</v>
      </c>
      <c r="N154" s="12" t="n">
        <v>-11977</v>
      </c>
      <c r="T154" s="12" t="n">
        <v>-112</v>
      </c>
      <c r="U154" s="12" t="n">
        <v>19136</v>
      </c>
      <c r="V154" s="12" t="n">
        <v>31169</v>
      </c>
      <c r="W154" s="12" t="n">
        <v>-9180</v>
      </c>
      <c r="X154" s="12" t="n">
        <v>90724</v>
      </c>
    </row>
    <row r="155">
      <c r="A155" s="9" t="inlineStr">
        <is>
          <t>지배주주 포괄이익</t>
        </is>
      </c>
      <c r="C155" s="12" t="n">
        <v>86292</v>
      </c>
      <c r="D155" s="12" t="n">
        <v>7054</v>
      </c>
      <c r="E155" s="12" t="n">
        <v>30835</v>
      </c>
      <c r="F155" s="12" t="n">
        <v>48998</v>
      </c>
      <c r="G155" s="12" t="n">
        <v>-13430</v>
      </c>
      <c r="H155" s="12" t="n">
        <v>92533</v>
      </c>
      <c r="I155" s="12" t="n">
        <v>-9468</v>
      </c>
      <c r="J155" s="12" t="n">
        <v>10353</v>
      </c>
      <c r="K155" s="12" t="n">
        <v>70886</v>
      </c>
      <c r="L155" s="12" t="n">
        <v>71614</v>
      </c>
      <c r="M155" s="12" t="n">
        <v>90440</v>
      </c>
      <c r="N155" s="12" t="n">
        <v>-12464</v>
      </c>
      <c r="T155" s="12" t="n">
        <v>-507</v>
      </c>
      <c r="U155" s="12" t="n">
        <v>19750</v>
      </c>
      <c r="V155" s="12" t="n">
        <v>30835</v>
      </c>
      <c r="W155" s="12" t="n">
        <v>-9468</v>
      </c>
      <c r="X155" s="12" t="n">
        <v>90440</v>
      </c>
    </row>
    <row r="156">
      <c r="A156" s="9" t="inlineStr">
        <is>
          <t>비지배주주 포괄이익</t>
        </is>
      </c>
      <c r="C156" s="12" t="n">
        <v>310</v>
      </c>
      <c r="D156" s="12" t="n">
        <v>386</v>
      </c>
      <c r="E156" s="12" t="n">
        <v>334</v>
      </c>
      <c r="F156" s="12" t="n">
        <v>76</v>
      </c>
      <c r="G156" s="12" t="n">
        <v>401</v>
      </c>
      <c r="H156" s="12" t="n">
        <v>264</v>
      </c>
      <c r="I156" s="12" t="n">
        <v>288</v>
      </c>
      <c r="J156" s="12" t="n">
        <v>545</v>
      </c>
      <c r="K156" s="12" t="n">
        <v>-222</v>
      </c>
      <c r="L156" s="12" t="n">
        <v>1389</v>
      </c>
      <c r="M156" s="12" t="n">
        <v>284</v>
      </c>
      <c r="N156" s="12" t="n">
        <v>487</v>
      </c>
      <c r="T156" s="12" t="n">
        <v>395</v>
      </c>
      <c r="U156" s="12" t="n">
        <v>-614</v>
      </c>
      <c r="V156" s="12" t="n">
        <v>334</v>
      </c>
      <c r="W156" s="12" t="n">
        <v>288</v>
      </c>
      <c r="X156" s="12" t="n">
        <v>284</v>
      </c>
    </row>
    <row r="158">
      <c r="A158" s="16" t="inlineStr">
        <is>
          <t>부문 · 전 항목</t>
        </is>
      </c>
      <c r="B158" s="42" t="inlineStr">
        <is>
          <t>부문 · 항목</t>
        </is>
      </c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</row>
    <row r="159">
      <c r="A159" s="5" t="inlineStr">
        <is>
          <t>항목</t>
        </is>
      </c>
      <c r="B159" s="5" t="inlineStr">
        <is>
          <t>참고</t>
        </is>
      </c>
      <c r="C159" s="5" t="inlineStr">
        <is>
          <t>2024.2Q</t>
        </is>
      </c>
      <c r="D159" s="5" t="inlineStr">
        <is>
          <t>2024.3Q</t>
        </is>
      </c>
      <c r="E159" s="5" t="inlineStr">
        <is>
          <t>2024.4Q</t>
        </is>
      </c>
      <c r="F159" s="5" t="inlineStr">
        <is>
          <t>2025.1Q</t>
        </is>
      </c>
      <c r="G159" s="5" t="inlineStr">
        <is>
          <t>2025.2Q</t>
        </is>
      </c>
      <c r="H159" s="5" t="inlineStr">
        <is>
          <t>2025.3Q</t>
        </is>
      </c>
      <c r="I159" s="5" t="inlineStr">
        <is>
          <t>2025.4Q</t>
        </is>
      </c>
      <c r="J159" s="5" t="inlineStr">
        <is>
          <t>2026.1Q</t>
        </is>
      </c>
      <c r="K159" s="5" t="inlineStr">
        <is>
          <t>2026.2Q</t>
        </is>
      </c>
      <c r="L159" s="5" t="inlineStr">
        <is>
          <t>2026.3Q</t>
        </is>
      </c>
      <c r="M159" s="5" t="inlineStr">
        <is>
          <t>2026.4Q</t>
        </is>
      </c>
      <c r="N159" s="5" t="inlineStr">
        <is>
          <t>2027.1Q</t>
        </is>
      </c>
      <c r="O159" s="5" t="inlineStr">
        <is>
          <t>2017</t>
        </is>
      </c>
      <c r="P159" s="5" t="inlineStr">
        <is>
          <t>2018</t>
        </is>
      </c>
      <c r="Q159" s="5" t="inlineStr">
        <is>
          <t>2019</t>
        </is>
      </c>
      <c r="R159" s="5" t="inlineStr">
        <is>
          <t>2020</t>
        </is>
      </c>
      <c r="S159" s="5" t="inlineStr">
        <is>
          <t>2021</t>
        </is>
      </c>
      <c r="T159" s="5" t="inlineStr">
        <is>
          <t>2022</t>
        </is>
      </c>
      <c r="U159" s="5" t="inlineStr">
        <is>
          <t>2023</t>
        </is>
      </c>
      <c r="V159" s="5" t="inlineStr">
        <is>
          <t>2024</t>
        </is>
      </c>
      <c r="W159" s="5" t="inlineStr">
        <is>
          <t>2025</t>
        </is>
      </c>
      <c r="X159" s="5" t="inlineStr">
        <is>
          <t>2026</t>
        </is>
      </c>
      <c r="Y159" s="5" t="inlineStr">
        <is>
          <t>2027(MW)</t>
        </is>
      </c>
      <c r="Z159" s="5" t="inlineStr">
        <is>
          <t>2028(MW)</t>
        </is>
      </c>
      <c r="AA159" s="5" t="inlineStr">
        <is>
          <t>2029(MW)</t>
        </is>
      </c>
      <c r="AB159" s="5" t="inlineStr">
        <is>
          <t>2030(MW)</t>
        </is>
      </c>
      <c r="AC159" s="5" t="inlineStr">
        <is>
          <t>2031(MW)</t>
        </is>
      </c>
    </row>
    <row r="160">
      <c r="A160" s="18" t="inlineStr">
        <is>
          <t>부문 · Revenues From External Customers</t>
        </is>
      </c>
      <c r="C160" s="20" t="n">
        <v>483407</v>
      </c>
      <c r="D160" s="20" t="n">
        <v>483909</v>
      </c>
      <c r="E160" s="20" t="n">
        <v>452263</v>
      </c>
      <c r="F160" s="20" t="n">
        <v>459299</v>
      </c>
      <c r="G160" s="20" t="n">
        <v>521342</v>
      </c>
      <c r="H160" s="20" t="n">
        <v>540803</v>
      </c>
      <c r="I160" s="20" t="n">
        <v>498437</v>
      </c>
      <c r="J160" s="20" t="n">
        <v>488033</v>
      </c>
      <c r="K160" s="20" t="n">
        <v>575169</v>
      </c>
      <c r="L160" s="20" t="n">
        <v>616203</v>
      </c>
      <c r="M160" s="20" t="n">
        <v>597313</v>
      </c>
      <c r="N160" s="20" t="n">
        <v>610980</v>
      </c>
      <c r="V160" s="20" t="n">
        <v>452263</v>
      </c>
      <c r="W160" s="20" t="n">
        <v>498437</v>
      </c>
      <c r="X160" s="20" t="n">
        <v>597313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부문 · Revenues From External Customers</t>
        </is>
      </c>
      <c r="C162" s="20" t="n">
        <v>11101</v>
      </c>
      <c r="D162" s="20" t="n">
        <v>12407</v>
      </c>
      <c r="E162" s="20" t="n">
        <v>14634</v>
      </c>
      <c r="F162" s="20" t="n">
        <v>12956</v>
      </c>
      <c r="G162" s="20" t="n">
        <v>14038</v>
      </c>
      <c r="H162" s="20" t="n">
        <v>15542</v>
      </c>
      <c r="I162" s="20" t="n">
        <v>12939</v>
      </c>
      <c r="J162" s="20" t="n">
        <v>14261</v>
      </c>
      <c r="K162" s="20" t="n">
        <v>14162</v>
      </c>
      <c r="L162" s="20" t="n">
        <v>15377</v>
      </c>
      <c r="M162" s="20" t="n">
        <v>16419</v>
      </c>
      <c r="N162" s="20" t="n">
        <v>14580</v>
      </c>
      <c r="V162" s="20" t="n">
        <v>14634</v>
      </c>
      <c r="W162" s="20" t="n">
        <v>12939</v>
      </c>
      <c r="X162" s="20" t="n">
        <v>16419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부문 · Revenues From External Customers</t>
        </is>
      </c>
      <c r="C164" s="20" t="n">
        <v>17450</v>
      </c>
      <c r="D164" s="20" t="n">
        <v>14812</v>
      </c>
      <c r="E164" s="20" t="n">
        <v>13866</v>
      </c>
      <c r="F164" s="20" t="n">
        <v>13035</v>
      </c>
      <c r="G164" s="20" t="n">
        <v>15650</v>
      </c>
      <c r="H164" s="20" t="n">
        <v>13660</v>
      </c>
      <c r="I164" s="20" t="n">
        <v>13549</v>
      </c>
      <c r="J164" s="20" t="n">
        <v>11640</v>
      </c>
      <c r="K164" s="20" t="n">
        <v>14936</v>
      </c>
      <c r="L164" s="20" t="n">
        <v>12234</v>
      </c>
      <c r="M164" s="20" t="n">
        <v>11344</v>
      </c>
      <c r="N164" s="20" t="n">
        <v>10896</v>
      </c>
      <c r="V164" s="20" t="n">
        <v>13866</v>
      </c>
      <c r="W164" s="20" t="n">
        <v>13549</v>
      </c>
      <c r="X164" s="20" t="n">
        <v>11344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부문 · Revenues From External Customers</t>
        </is>
      </c>
      <c r="C166" s="20" t="n">
        <v>25934</v>
      </c>
      <c r="D166" s="20" t="n">
        <v>25805</v>
      </c>
      <c r="E166" s="20" t="n">
        <v>25706</v>
      </c>
      <c r="F166" s="20" t="n">
        <v>27523</v>
      </c>
      <c r="G166" s="20" t="n">
        <v>27911</v>
      </c>
      <c r="H166" s="20" t="n">
        <v>28334</v>
      </c>
      <c r="I166" s="20" t="n">
        <v>28182</v>
      </c>
      <c r="J166" s="20" t="n">
        <v>30286</v>
      </c>
      <c r="K166" s="20" t="n">
        <v>33232</v>
      </c>
      <c r="L166" s="20" t="n">
        <v>38072</v>
      </c>
      <c r="M166" s="20" t="n">
        <v>31343</v>
      </c>
      <c r="N166" s="20" t="n">
        <v>31849</v>
      </c>
      <c r="V166" s="20" t="n">
        <v>25706</v>
      </c>
      <c r="W166" s="20" t="n">
        <v>28182</v>
      </c>
      <c r="X166" s="20" t="n">
        <v>31343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보고부문 합계 · Revenues From External Customers</t>
        </is>
      </c>
      <c r="C168" s="20" t="n">
        <v>537892</v>
      </c>
      <c r="D168" s="20" t="n">
        <v>536933</v>
      </c>
      <c r="E168" s="20" t="n">
        <v>506469</v>
      </c>
      <c r="F168" s="20" t="n">
        <v>512813</v>
      </c>
      <c r="G168" s="20" t="n">
        <v>578941</v>
      </c>
      <c r="H168" s="20" t="n">
        <v>598339</v>
      </c>
      <c r="I168" s="20" t="n">
        <v>553107</v>
      </c>
      <c r="J168" s="20" t="n">
        <v>544220</v>
      </c>
      <c r="K168" s="20" t="n">
        <v>637499</v>
      </c>
      <c r="L168" s="20" t="n">
        <v>681886</v>
      </c>
      <c r="M168" s="20" t="n">
        <v>656419</v>
      </c>
      <c r="N168" s="20" t="n">
        <v>668305</v>
      </c>
      <c r="V168" s="20" t="n">
        <v>506469</v>
      </c>
      <c r="W168" s="20" t="n">
        <v>553107</v>
      </c>
      <c r="X168" s="20" t="n">
        <v>656419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부문 · Transactions With Other Segments</t>
        </is>
      </c>
      <c r="C170" s="20" t="n">
        <v>11188</v>
      </c>
      <c r="D170" s="20" t="n">
        <v>11118</v>
      </c>
      <c r="E170" s="20" t="n">
        <v>9099</v>
      </c>
      <c r="F170" s="20" t="n">
        <v>10293</v>
      </c>
      <c r="G170" s="20" t="n">
        <v>10136</v>
      </c>
      <c r="H170" s="20" t="n">
        <v>9861</v>
      </c>
      <c r="I170" s="20" t="n">
        <v>8608</v>
      </c>
      <c r="J170" s="20" t="n">
        <v>8853</v>
      </c>
      <c r="K170" s="20" t="n">
        <v>9889</v>
      </c>
      <c r="L170" s="20" t="n">
        <v>9528</v>
      </c>
      <c r="M170" s="20" t="n">
        <v>8231</v>
      </c>
      <c r="N170" s="20" t="n">
        <v>9848</v>
      </c>
      <c r="V170" s="20" t="n">
        <v>9099</v>
      </c>
      <c r="W170" s="20" t="n">
        <v>8608</v>
      </c>
      <c r="X170" s="20" t="n">
        <v>8231</v>
      </c>
    </row>
    <row r="171">
      <c r="A171" s="18" t="inlineStr">
        <is>
          <t>부문 · Transactions With Other Segments</t>
        </is>
      </c>
      <c r="C171" s="20" t="n">
        <v>57876</v>
      </c>
      <c r="D171" s="20" t="n">
        <v>60312</v>
      </c>
      <c r="E171" s="20" t="n">
        <v>74974</v>
      </c>
      <c r="F171" s="20" t="n">
        <v>62112</v>
      </c>
      <c r="G171" s="20" t="n">
        <v>68252</v>
      </c>
      <c r="H171" s="20" t="n">
        <v>70331</v>
      </c>
      <c r="I171" s="20" t="n">
        <v>81100</v>
      </c>
      <c r="J171" s="20" t="n">
        <v>72004</v>
      </c>
      <c r="K171" s="20" t="n">
        <v>73441</v>
      </c>
      <c r="L171" s="20" t="n">
        <v>76500</v>
      </c>
      <c r="M171" s="20" t="n">
        <v>79455</v>
      </c>
      <c r="N171" s="20" t="n">
        <v>78071</v>
      </c>
      <c r="V171" s="20" t="n">
        <v>74974</v>
      </c>
      <c r="W171" s="20" t="n">
        <v>81100</v>
      </c>
      <c r="X171" s="20" t="n">
        <v>79455</v>
      </c>
    </row>
    <row r="172">
      <c r="A172" s="18" t="inlineStr">
        <is>
          <t>부문 · Transactions With Other Segments</t>
        </is>
      </c>
      <c r="C172" s="20" t="n">
        <v>4345</v>
      </c>
      <c r="D172" s="20" t="n">
        <v>4876</v>
      </c>
      <c r="E172" s="20" t="n">
        <v>5467</v>
      </c>
      <c r="F172" s="20" t="n">
        <v>3661</v>
      </c>
      <c r="G172" s="20" t="n">
        <v>4291</v>
      </c>
      <c r="H172" s="20" t="n">
        <v>4657</v>
      </c>
      <c r="I172" s="20" t="n">
        <v>5068</v>
      </c>
      <c r="J172" s="20" t="n">
        <v>3724</v>
      </c>
      <c r="K172" s="20" t="n">
        <v>3520</v>
      </c>
      <c r="L172" s="20" t="n">
        <v>3906</v>
      </c>
      <c r="M172" s="20" t="n">
        <v>4028</v>
      </c>
      <c r="N172" s="20" t="n">
        <v>3034</v>
      </c>
      <c r="V172" s="20" t="n">
        <v>5467</v>
      </c>
      <c r="W172" s="20" t="n">
        <v>5068</v>
      </c>
      <c r="X172" s="20" t="n">
        <v>4028</v>
      </c>
    </row>
    <row r="173">
      <c r="A173" s="18" t="inlineStr">
        <is>
          <t>부문 · Transactions With Other Segments</t>
        </is>
      </c>
      <c r="C173" s="20" t="n">
        <v>3894</v>
      </c>
      <c r="D173" s="20" t="n">
        <v>3580</v>
      </c>
      <c r="E173" s="20" t="n">
        <v>5476</v>
      </c>
      <c r="F173" s="20" t="n">
        <v>4281</v>
      </c>
      <c r="G173" s="20" t="n">
        <v>4449</v>
      </c>
      <c r="H173" s="20" t="n">
        <v>5042</v>
      </c>
      <c r="I173" s="20" t="n">
        <v>4277</v>
      </c>
      <c r="J173" s="20" t="n">
        <v>4434</v>
      </c>
      <c r="K173" s="20" t="n">
        <v>5019</v>
      </c>
      <c r="L173" s="20" t="n">
        <v>6377</v>
      </c>
      <c r="M173" s="20" t="n">
        <v>5486</v>
      </c>
      <c r="N173" s="20" t="n">
        <v>5613</v>
      </c>
      <c r="V173" s="20" t="n">
        <v>5476</v>
      </c>
      <c r="W173" s="20" t="n">
        <v>4277</v>
      </c>
      <c r="X173" s="20" t="n">
        <v>5486</v>
      </c>
    </row>
    <row r="174">
      <c r="A174" s="18" t="inlineStr">
        <is>
          <t>보고부문 합계 · Transactions With Other Segments</t>
        </is>
      </c>
      <c r="C174" s="20" t="n">
        <v>77303</v>
      </c>
      <c r="D174" s="20" t="n">
        <v>79886</v>
      </c>
      <c r="E174" s="20" t="n">
        <v>95016</v>
      </c>
      <c r="F174" s="20" t="n">
        <v>80347</v>
      </c>
      <c r="G174" s="20" t="n">
        <v>87128</v>
      </c>
      <c r="H174" s="20" t="n">
        <v>89891</v>
      </c>
      <c r="I174" s="20" t="n">
        <v>99053</v>
      </c>
      <c r="J174" s="20" t="n">
        <v>89015</v>
      </c>
      <c r="K174" s="20" t="n">
        <v>91869</v>
      </c>
      <c r="L174" s="20" t="n">
        <v>96311</v>
      </c>
      <c r="M174" s="20" t="n">
        <v>97200</v>
      </c>
      <c r="N174" s="20" t="n">
        <v>96566</v>
      </c>
      <c r="V174" s="20" t="n">
        <v>95016</v>
      </c>
      <c r="W174" s="20" t="n">
        <v>99053</v>
      </c>
      <c r="X174" s="20" t="n">
        <v>97200</v>
      </c>
    </row>
    <row r="175">
      <c r="A175" s="18" t="inlineStr">
        <is>
          <t>부문 · 계</t>
        </is>
      </c>
      <c r="C175" s="20" t="n">
        <v>494595</v>
      </c>
      <c r="D175" s="20" t="n">
        <v>495027</v>
      </c>
      <c r="E175" s="20" t="n">
        <v>461362</v>
      </c>
      <c r="F175" s="20" t="n">
        <v>469592</v>
      </c>
      <c r="G175" s="20" t="n">
        <v>531478</v>
      </c>
      <c r="H175" s="20" t="n">
        <v>550664</v>
      </c>
      <c r="I175" s="20" t="n">
        <v>507045</v>
      </c>
      <c r="J175" s="20" t="n">
        <v>496886</v>
      </c>
      <c r="K175" s="20" t="n">
        <v>585058</v>
      </c>
      <c r="L175" s="20" t="n">
        <v>625731</v>
      </c>
      <c r="M175" s="20" t="n">
        <v>605544</v>
      </c>
      <c r="N175" s="20" t="n">
        <v>620828</v>
      </c>
      <c r="V175" s="20" t="n">
        <v>461362</v>
      </c>
      <c r="W175" s="20" t="n">
        <v>507045</v>
      </c>
      <c r="X175" s="20" t="n">
        <v>605544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부문 · 계</t>
        </is>
      </c>
      <c r="C177" s="20" t="n">
        <v>68977</v>
      </c>
      <c r="D177" s="20" t="n">
        <v>72719</v>
      </c>
      <c r="E177" s="20" t="n">
        <v>89608</v>
      </c>
      <c r="F177" s="20" t="n">
        <v>75068</v>
      </c>
      <c r="G177" s="20" t="n">
        <v>82290</v>
      </c>
      <c r="H177" s="20" t="n">
        <v>85873</v>
      </c>
      <c r="I177" s="20" t="n">
        <v>94039</v>
      </c>
      <c r="J177" s="20" t="n">
        <v>86265</v>
      </c>
      <c r="K177" s="20" t="n">
        <v>87603</v>
      </c>
      <c r="L177" s="20" t="n">
        <v>91877</v>
      </c>
      <c r="M177" s="20" t="n">
        <v>95874</v>
      </c>
      <c r="N177" s="20" t="n">
        <v>92651</v>
      </c>
      <c r="V177" s="20" t="n">
        <v>89608</v>
      </c>
      <c r="W177" s="20" t="n">
        <v>94039</v>
      </c>
      <c r="X177" s="20" t="n">
        <v>95874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부문 · 계</t>
        </is>
      </c>
      <c r="C179" s="20" t="n">
        <v>21795</v>
      </c>
      <c r="D179" s="20" t="n">
        <v>19688</v>
      </c>
      <c r="E179" s="20" t="n">
        <v>19333</v>
      </c>
      <c r="F179" s="20" t="n">
        <v>16696</v>
      </c>
      <c r="G179" s="20" t="n">
        <v>19941</v>
      </c>
      <c r="H179" s="20" t="n">
        <v>18317</v>
      </c>
      <c r="I179" s="20" t="n">
        <v>18617</v>
      </c>
      <c r="J179" s="20" t="n">
        <v>15364</v>
      </c>
      <c r="K179" s="20" t="n">
        <v>18456</v>
      </c>
      <c r="L179" s="20" t="n">
        <v>16140</v>
      </c>
      <c r="M179" s="20" t="n">
        <v>15372</v>
      </c>
      <c r="N179" s="20" t="n">
        <v>13930</v>
      </c>
      <c r="V179" s="20" t="n">
        <v>19333</v>
      </c>
      <c r="W179" s="20" t="n">
        <v>18617</v>
      </c>
      <c r="X179" s="20" t="n">
        <v>15372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부문 · 계</t>
        </is>
      </c>
      <c r="C181" s="20" t="n">
        <v>29828</v>
      </c>
      <c r="D181" s="20" t="n">
        <v>29385</v>
      </c>
      <c r="E181" s="20" t="n">
        <v>31182</v>
      </c>
      <c r="F181" s="20" t="n">
        <v>31804</v>
      </c>
      <c r="G181" s="20" t="n">
        <v>32360</v>
      </c>
      <c r="H181" s="20" t="n">
        <v>33376</v>
      </c>
      <c r="I181" s="20" t="n">
        <v>32459</v>
      </c>
      <c r="J181" s="20" t="n">
        <v>34720</v>
      </c>
      <c r="K181" s="20" t="n">
        <v>38251</v>
      </c>
      <c r="L181" s="20" t="n">
        <v>44449</v>
      </c>
      <c r="M181" s="20" t="n">
        <v>36829</v>
      </c>
      <c r="N181" s="20" t="n">
        <v>37462</v>
      </c>
      <c r="V181" s="20" t="n">
        <v>31182</v>
      </c>
      <c r="W181" s="20" t="n">
        <v>32459</v>
      </c>
      <c r="X181" s="20" t="n">
        <v>36829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보고부문 합계 · 계</t>
        </is>
      </c>
      <c r="C183" s="20" t="n">
        <v>615195</v>
      </c>
      <c r="D183" s="20" t="n">
        <v>616819</v>
      </c>
      <c r="E183" s="20" t="n">
        <v>601485</v>
      </c>
      <c r="F183" s="20" t="n">
        <v>593160</v>
      </c>
      <c r="G183" s="20" t="n">
        <v>666069</v>
      </c>
      <c r="H183" s="20" t="n">
        <v>688230</v>
      </c>
      <c r="I183" s="20" t="n">
        <v>652160</v>
      </c>
      <c r="J183" s="20" t="n">
        <v>633235</v>
      </c>
      <c r="K183" s="20" t="n">
        <v>729368</v>
      </c>
      <c r="L183" s="20" t="n">
        <v>778197</v>
      </c>
      <c r="M183" s="20" t="n">
        <v>753619</v>
      </c>
      <c r="N183" s="20" t="n">
        <v>764871</v>
      </c>
      <c r="V183" s="20" t="n">
        <v>601485</v>
      </c>
      <c r="W183" s="20" t="n">
        <v>652160</v>
      </c>
      <c r="X183" s="20" t="n">
        <v>753619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부문 · 부문 이익(손실)</t>
        </is>
      </c>
      <c r="C185" s="20" t="n">
        <v>85397</v>
      </c>
      <c r="D185" s="20" t="n">
        <v>75838</v>
      </c>
      <c r="E185" s="20" t="n">
        <v>4358</v>
      </c>
      <c r="F185" s="20" t="n">
        <v>33167</v>
      </c>
      <c r="G185" s="20" t="n">
        <v>76133</v>
      </c>
      <c r="H185" s="20" t="n">
        <v>62128</v>
      </c>
      <c r="I185" s="20" t="n">
        <v>27688</v>
      </c>
      <c r="J185" s="20" t="n">
        <v>35412</v>
      </c>
      <c r="K185" s="20" t="n">
        <v>59805</v>
      </c>
      <c r="L185" s="20" t="n">
        <v>78671</v>
      </c>
      <c r="M185" s="20" t="n">
        <v>48032</v>
      </c>
      <c r="N185" s="20" t="n">
        <v>18149</v>
      </c>
      <c r="V185" s="20" t="n">
        <v>4358</v>
      </c>
      <c r="W185" s="20" t="n">
        <v>27688</v>
      </c>
      <c r="X185" s="20" t="n">
        <v>48032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IF(OR(C185="",C175=""),"",IF(C175&lt;=0,"",IFERROR(C185/C175,"")))</f>
        <v/>
      </c>
      <c r="D186" s="15">
        <f>IF(OR(D185="",D175=""),"",IF(D175&lt;=0,"",IFERROR(D185/D175,"")))</f>
        <v/>
      </c>
      <c r="E186" s="15">
        <f>IF(OR(E185="",E175=""),"",IF(E175&lt;=0,"",IFERROR(E185/E175,"")))</f>
        <v/>
      </c>
      <c r="F186" s="15">
        <f>IF(OR(F185="",F175=""),"",IF(F175&lt;=0,"",IFERROR(F185/F175,"")))</f>
        <v/>
      </c>
      <c r="G186" s="15">
        <f>IF(OR(G185="",G175=""),"",IF(G175&lt;=0,"",IFERROR(G185/G175,"")))</f>
        <v/>
      </c>
      <c r="H186" s="15">
        <f>IF(OR(H185="",H175=""),"",IF(H175&lt;=0,"",IFERROR(H185/H175,"")))</f>
        <v/>
      </c>
      <c r="I186" s="15">
        <f>IF(OR(I185="",I175=""),"",IF(I175&lt;=0,"",IFERROR(I185/I175,"")))</f>
        <v/>
      </c>
      <c r="J186" s="15">
        <f>IF(OR(J185="",J175=""),"",IF(J175&lt;=0,"",IFERROR(J185/J175,"")))</f>
        <v/>
      </c>
      <c r="K186" s="15">
        <f>IF(OR(K185="",K175=""),"",IF(K175&lt;=0,"",IFERROR(K185/K175,"")))</f>
        <v/>
      </c>
      <c r="L186" s="15">
        <f>IF(OR(L185="",L175=""),"",IF(L175&lt;=0,"",IFERROR(L185/L175,"")))</f>
        <v/>
      </c>
      <c r="M186" s="15">
        <f>IF(OR(M185="",M175=""),"",IF(M175&lt;=0,"",IFERROR(M185/M175,"")))</f>
        <v/>
      </c>
      <c r="N186" s="15">
        <f>IF(OR(N185="",N175=""),"",IF(N175&lt;=0,"",IFERROR(N185/N175,"")))</f>
        <v/>
      </c>
      <c r="V186" s="15">
        <f>IF(OR(V185="",V175=""),"",IF(V175&lt;=0,"",IFERROR(V185/V175,"")))</f>
        <v/>
      </c>
      <c r="W186" s="15">
        <f>IF(OR(W185="",W175=""),"",IF(W175&lt;=0,"",IFERROR(W185/W175,"")))</f>
        <v/>
      </c>
      <c r="X186" s="15">
        <f>IF(OR(X185="",X175=""),"",IF(X175&lt;=0,"",IFERROR(X185/X175,"")))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  <c r="X187" s="15">
        <f>IF(OR(X185="",W185=""),"",IF(W185&lt;=0,"",IFERROR(X185/W185-1,"")))</f>
        <v/>
      </c>
    </row>
    <row r="188">
      <c r="A188" s="18" t="inlineStr">
        <is>
          <t>부문 · 부문 이익(손실)</t>
        </is>
      </c>
      <c r="C188" s="20" t="n">
        <v>1203</v>
      </c>
      <c r="D188" s="20" t="n">
        <v>5289</v>
      </c>
      <c r="E188" s="20" t="n">
        <v>-2886</v>
      </c>
      <c r="F188" s="20" t="n">
        <v>-78</v>
      </c>
      <c r="G188" s="20" t="n">
        <v>3139</v>
      </c>
      <c r="H188" s="20" t="n">
        <v>737</v>
      </c>
      <c r="I188" s="20" t="n">
        <v>237</v>
      </c>
      <c r="J188" s="20" t="n">
        <v>3192</v>
      </c>
      <c r="K188" s="20" t="n">
        <v>764</v>
      </c>
      <c r="L188" s="20" t="n">
        <v>5250</v>
      </c>
      <c r="M188" s="20" t="n">
        <v>-7750</v>
      </c>
      <c r="N188" s="20" t="n">
        <v>4925</v>
      </c>
      <c r="V188" s="20" t="n">
        <v>-2886</v>
      </c>
      <c r="W188" s="20" t="n">
        <v>237</v>
      </c>
      <c r="X188" s="20" t="n">
        <v>-7750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IF(OR(C188="",C177=""),"",IF(C177&lt;=0,"",IFERROR(C188/C177,"")))</f>
        <v/>
      </c>
      <c r="D189" s="15">
        <f>IF(OR(D188="",D177=""),"",IF(D177&lt;=0,"",IFERROR(D188/D177,"")))</f>
        <v/>
      </c>
      <c r="E189" s="15">
        <f>IF(OR(E188="",E177=""),"",IF(E177&lt;=0,"",IFERROR(E188/E177,"")))</f>
        <v/>
      </c>
      <c r="F189" s="15">
        <f>IF(OR(F188="",F177=""),"",IF(F177&lt;=0,"",IFERROR(F188/F177,"")))</f>
        <v/>
      </c>
      <c r="G189" s="15">
        <f>IF(OR(G188="",G177=""),"",IF(G177&lt;=0,"",IFERROR(G188/G177,"")))</f>
        <v/>
      </c>
      <c r="H189" s="15">
        <f>IF(OR(H188="",H177=""),"",IF(H177&lt;=0,"",IFERROR(H188/H177,"")))</f>
        <v/>
      </c>
      <c r="I189" s="15">
        <f>IF(OR(I188="",I177=""),"",IF(I177&lt;=0,"",IFERROR(I188/I177,"")))</f>
        <v/>
      </c>
      <c r="J189" s="15">
        <f>IF(OR(J188="",J177=""),"",IF(J177&lt;=0,"",IFERROR(J188/J177,"")))</f>
        <v/>
      </c>
      <c r="K189" s="15">
        <f>IF(OR(K188="",K177=""),"",IF(K177&lt;=0,"",IFERROR(K188/K177,"")))</f>
        <v/>
      </c>
      <c r="L189" s="15">
        <f>IF(OR(L188="",L177=""),"",IF(L177&lt;=0,"",IFERROR(L188/L177,"")))</f>
        <v/>
      </c>
      <c r="M189" s="15">
        <f>IF(OR(M188="",M177=""),"",IF(M177&lt;=0,"",IFERROR(M188/M177,"")))</f>
        <v/>
      </c>
      <c r="N189" s="15">
        <f>IF(OR(N188="",N177=""),"",IF(N177&lt;=0,"",IFERROR(N188/N177,"")))</f>
        <v/>
      </c>
      <c r="V189" s="15">
        <f>IF(OR(V188="",V177=""),"",IF(V177&lt;=0,"",IFERROR(V188/V177,"")))</f>
        <v/>
      </c>
      <c r="W189" s="15">
        <f>IF(OR(W188="",W177=""),"",IF(W177&lt;=0,"",IFERROR(W188/W177,"")))</f>
        <v/>
      </c>
      <c r="X189" s="15">
        <f>IF(OR(X188="",X177=""),"",IF(X177&lt;=0,"",IFERROR(X188/X177,"")))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부문 · 부문 이익(손실)</t>
        </is>
      </c>
      <c r="C191" s="20" t="n">
        <v>835</v>
      </c>
      <c r="D191" s="20" t="n">
        <v>307</v>
      </c>
      <c r="E191" s="20" t="n">
        <v>59</v>
      </c>
      <c r="F191" s="20" t="n">
        <v>-716</v>
      </c>
      <c r="G191" s="20" t="n">
        <v>24</v>
      </c>
      <c r="H191" s="20" t="n">
        <v>526</v>
      </c>
      <c r="I191" s="20" t="n">
        <v>359</v>
      </c>
      <c r="J191" s="20" t="n">
        <v>-202</v>
      </c>
      <c r="K191" s="20" t="n">
        <v>491</v>
      </c>
      <c r="L191" s="20" t="n">
        <v>338</v>
      </c>
      <c r="M191" s="20" t="n">
        <v>-773</v>
      </c>
      <c r="N191" s="20" t="n">
        <v>140</v>
      </c>
      <c r="V191" s="20" t="n">
        <v>59</v>
      </c>
      <c r="W191" s="20" t="n">
        <v>359</v>
      </c>
      <c r="X191" s="20" t="n">
        <v>-773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IF(OR(C191="",C179=""),"",IF(C179&lt;=0,"",IFERROR(C191/C179,"")))</f>
        <v/>
      </c>
      <c r="D192" s="15">
        <f>IF(OR(D191="",D179=""),"",IF(D179&lt;=0,"",IFERROR(D191/D179,"")))</f>
        <v/>
      </c>
      <c r="E192" s="15">
        <f>IF(OR(E191="",E179=""),"",IF(E179&lt;=0,"",IFERROR(E191/E179,"")))</f>
        <v/>
      </c>
      <c r="F192" s="15">
        <f>IF(OR(F191="",F179=""),"",IF(F179&lt;=0,"",IFERROR(F191/F179,"")))</f>
        <v/>
      </c>
      <c r="G192" s="15">
        <f>IF(OR(G191="",G179=""),"",IF(G179&lt;=0,"",IFERROR(G191/G179,"")))</f>
        <v/>
      </c>
      <c r="H192" s="15">
        <f>IF(OR(H191="",H179=""),"",IF(H179&lt;=0,"",IFERROR(H191/H179,"")))</f>
        <v/>
      </c>
      <c r="I192" s="15">
        <f>IF(OR(I191="",I179=""),"",IF(I179&lt;=0,"",IFERROR(I191/I179,"")))</f>
        <v/>
      </c>
      <c r="J192" s="15">
        <f>IF(OR(J191="",J179=""),"",IF(J179&lt;=0,"",IFERROR(J191/J179,"")))</f>
        <v/>
      </c>
      <c r="K192" s="15">
        <f>IF(OR(K191="",K179=""),"",IF(K179&lt;=0,"",IFERROR(K191/K179,"")))</f>
        <v/>
      </c>
      <c r="L192" s="15">
        <f>IF(OR(L191="",L179=""),"",IF(L179&lt;=0,"",IFERROR(L191/L179,"")))</f>
        <v/>
      </c>
      <c r="M192" s="15">
        <f>IF(OR(M191="",M179=""),"",IF(M179&lt;=0,"",IFERROR(M191/M179,"")))</f>
        <v/>
      </c>
      <c r="N192" s="15">
        <f>IF(OR(N191="",N179=""),"",IF(N179&lt;=0,"",IFERROR(N191/N179,"")))</f>
        <v/>
      </c>
      <c r="V192" s="15">
        <f>IF(OR(V191="",V179=""),"",IF(V179&lt;=0,"",IFERROR(V191/V179,"")))</f>
        <v/>
      </c>
      <c r="W192" s="15">
        <f>IF(OR(W191="",W179=""),"",IF(W179&lt;=0,"",IFERROR(W191/W179,"")))</f>
        <v/>
      </c>
      <c r="X192" s="15">
        <f>IF(OR(X191="",X179=""),"",IF(X179&lt;=0,"",IFERROR(X191/X179,"")))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4">
      <c r="A194" s="18" t="inlineStr">
        <is>
          <t>부문 · 부문 이익(손실)</t>
        </is>
      </c>
      <c r="C194" s="20" t="n">
        <v>1516</v>
      </c>
      <c r="D194" s="20" t="n">
        <v>1568</v>
      </c>
      <c r="E194" s="20" t="n">
        <v>302</v>
      </c>
      <c r="F194" s="20" t="n">
        <v>1312</v>
      </c>
      <c r="G194" s="20" t="n">
        <v>1367</v>
      </c>
      <c r="H194" s="20" t="n">
        <v>1252</v>
      </c>
      <c r="I194" s="20" t="n">
        <v>632</v>
      </c>
      <c r="J194" s="20" t="n">
        <v>1332</v>
      </c>
      <c r="K194" s="20" t="n">
        <v>2253</v>
      </c>
      <c r="L194" s="20" t="n">
        <v>2638</v>
      </c>
      <c r="M194" s="20" t="n">
        <v>1334</v>
      </c>
      <c r="N194" s="20" t="n">
        <v>1068</v>
      </c>
      <c r="V194" s="20" t="n">
        <v>302</v>
      </c>
      <c r="W194" s="20" t="n">
        <v>632</v>
      </c>
      <c r="X194" s="20" t="n">
        <v>1334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IF(OR(C194="",C181=""),"",IF(C181&lt;=0,"",IFERROR(C194/C181,"")))</f>
        <v/>
      </c>
      <c r="D195" s="15">
        <f>IF(OR(D194="",D181=""),"",IF(D181&lt;=0,"",IFERROR(D194/D181,"")))</f>
        <v/>
      </c>
      <c r="E195" s="15">
        <f>IF(OR(E194="",E181=""),"",IF(E181&lt;=0,"",IFERROR(E194/E181,"")))</f>
        <v/>
      </c>
      <c r="F195" s="15">
        <f>IF(OR(F194="",F181=""),"",IF(F181&lt;=0,"",IFERROR(F194/F181,"")))</f>
        <v/>
      </c>
      <c r="G195" s="15">
        <f>IF(OR(G194="",G181=""),"",IF(G181&lt;=0,"",IFERROR(G194/G181,"")))</f>
        <v/>
      </c>
      <c r="H195" s="15">
        <f>IF(OR(H194="",H181=""),"",IF(H181&lt;=0,"",IFERROR(H194/H181,"")))</f>
        <v/>
      </c>
      <c r="I195" s="15">
        <f>IF(OR(I194="",I181=""),"",IF(I181&lt;=0,"",IFERROR(I194/I181,"")))</f>
        <v/>
      </c>
      <c r="J195" s="15">
        <f>IF(OR(J194="",J181=""),"",IF(J181&lt;=0,"",IFERROR(J194/J181,"")))</f>
        <v/>
      </c>
      <c r="K195" s="15">
        <f>IF(OR(K194="",K181=""),"",IF(K181&lt;=0,"",IFERROR(K194/K181,"")))</f>
        <v/>
      </c>
      <c r="L195" s="15">
        <f>IF(OR(L194="",L181=""),"",IF(L181&lt;=0,"",IFERROR(L194/L181,"")))</f>
        <v/>
      </c>
      <c r="M195" s="15">
        <f>IF(OR(M194="",M181=""),"",IF(M181&lt;=0,"",IFERROR(M194/M181,"")))</f>
        <v/>
      </c>
      <c r="N195" s="15">
        <f>IF(OR(N194="",N181=""),"",IF(N181&lt;=0,"",IFERROR(N194/N181,"")))</f>
        <v/>
      </c>
      <c r="V195" s="15">
        <f>IF(OR(V194="",V181=""),"",IF(V181&lt;=0,"",IFERROR(V194/V181,"")))</f>
        <v/>
      </c>
      <c r="W195" s="15">
        <f>IF(OR(W194="",W181=""),"",IF(W181&lt;=0,"",IFERROR(W194/W181,"")))</f>
        <v/>
      </c>
      <c r="X195" s="15">
        <f>IF(OR(X194="",X181=""),"",IF(X181&lt;=0,"",IFERROR(X194/X181,"")))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M196" s="15">
        <f>IF(OR(M194="",I194=""),"",IF(I194&lt;=0,"",IFERROR(M194/I194-1,"")))</f>
        <v/>
      </c>
      <c r="N196" s="15">
        <f>IF(OR(N194="",J194=""),"",IF(J194&lt;=0,"",IFERROR(N194/J194-1,"")))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  <c r="X196" s="15">
        <f>IF(OR(X194="",W194=""),"",IF(W194&lt;=0,"",IFERROR(X194/W194-1,"")))</f>
        <v/>
      </c>
    </row>
    <row r="197">
      <c r="A197" s="18" t="inlineStr">
        <is>
          <t>보고부문 합계 · 부문 이익(손실)</t>
        </is>
      </c>
      <c r="C197" s="20" t="n">
        <v>88951</v>
      </c>
      <c r="D197" s="20" t="n">
        <v>83002</v>
      </c>
      <c r="E197" s="20" t="n">
        <v>1833</v>
      </c>
      <c r="F197" s="20" t="n">
        <v>33685</v>
      </c>
      <c r="G197" s="20" t="n">
        <v>80663</v>
      </c>
      <c r="H197" s="20" t="n">
        <v>64643</v>
      </c>
      <c r="I197" s="20" t="n">
        <v>28916</v>
      </c>
      <c r="J197" s="20" t="n">
        <v>39734</v>
      </c>
      <c r="K197" s="20" t="n">
        <v>63313</v>
      </c>
      <c r="L197" s="20" t="n">
        <v>86897</v>
      </c>
      <c r="M197" s="20" t="n">
        <v>40843</v>
      </c>
      <c r="N197" s="20" t="n">
        <v>24282</v>
      </c>
      <c r="V197" s="20" t="n">
        <v>1833</v>
      </c>
      <c r="W197" s="20" t="n">
        <v>28916</v>
      </c>
      <c r="X197" s="20" t="n">
        <v>40843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IF(OR(C197="",C183=""),"",IF(C183&lt;=0,"",IFERROR(C197/C183,"")))</f>
        <v/>
      </c>
      <c r="D198" s="15">
        <f>IF(OR(D197="",D183=""),"",IF(D183&lt;=0,"",IFERROR(D197/D183,"")))</f>
        <v/>
      </c>
      <c r="E198" s="15">
        <f>IF(OR(E197="",E183=""),"",IF(E183&lt;=0,"",IFERROR(E197/E183,"")))</f>
        <v/>
      </c>
      <c r="F198" s="15">
        <f>IF(OR(F197="",F183=""),"",IF(F183&lt;=0,"",IFERROR(F197/F183,"")))</f>
        <v/>
      </c>
      <c r="G198" s="15">
        <f>IF(OR(G197="",G183=""),"",IF(G183&lt;=0,"",IFERROR(G197/G183,"")))</f>
        <v/>
      </c>
      <c r="H198" s="15">
        <f>IF(OR(H197="",H183=""),"",IF(H183&lt;=0,"",IFERROR(H197/H183,"")))</f>
        <v/>
      </c>
      <c r="I198" s="15">
        <f>IF(OR(I197="",I183=""),"",IF(I183&lt;=0,"",IFERROR(I197/I183,"")))</f>
        <v/>
      </c>
      <c r="J198" s="15">
        <f>IF(OR(J197="",J183=""),"",IF(J183&lt;=0,"",IFERROR(J197/J183,"")))</f>
        <v/>
      </c>
      <c r="K198" s="15">
        <f>IF(OR(K197="",K183=""),"",IF(K183&lt;=0,"",IFERROR(K197/K183,"")))</f>
        <v/>
      </c>
      <c r="L198" s="15">
        <f>IF(OR(L197="",L183=""),"",IF(L183&lt;=0,"",IFERROR(L197/L183,"")))</f>
        <v/>
      </c>
      <c r="M198" s="15">
        <f>IF(OR(M197="",M183=""),"",IF(M183&lt;=0,"",IFERROR(M197/M183,"")))</f>
        <v/>
      </c>
      <c r="N198" s="15">
        <f>IF(OR(N197="",N183=""),"",IF(N183&lt;=0,"",IFERROR(N197/N183,"")))</f>
        <v/>
      </c>
      <c r="V198" s="15">
        <f>IF(OR(V197="",V183=""),"",IF(V183&lt;=0,"",IFERROR(V197/V183,"")))</f>
        <v/>
      </c>
      <c r="W198" s="15">
        <f>IF(OR(W197="",W183=""),"",IF(W183&lt;=0,"",IFERROR(W197/W183,"")))</f>
        <v/>
      </c>
      <c r="X198" s="15">
        <f>IF(OR(X197="",X183=""),"",IF(X183&lt;=0,"",IFERROR(X197/X183,"")))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기타 · Revenues From External Customers</t>
        </is>
      </c>
      <c r="C200" s="20" t="n">
        <v>3811</v>
      </c>
      <c r="D200" s="20" t="n">
        <v>3919</v>
      </c>
      <c r="E200" s="20" t="n">
        <v>5878</v>
      </c>
      <c r="F200" s="20" t="n">
        <v>3962</v>
      </c>
      <c r="G200" s="20" t="n">
        <v>3871</v>
      </c>
      <c r="H200" s="20" t="n">
        <v>4858</v>
      </c>
      <c r="I200" s="20" t="n">
        <v>5965</v>
      </c>
      <c r="J200" s="20" t="n">
        <v>4481</v>
      </c>
      <c r="K200" s="20" t="n">
        <v>4200</v>
      </c>
      <c r="L200" s="20" t="n">
        <v>5098</v>
      </c>
      <c r="M200" s="20" t="n">
        <v>5430</v>
      </c>
      <c r="N200" s="20" t="n">
        <v>4424</v>
      </c>
      <c r="V200" s="20" t="n">
        <v>5878</v>
      </c>
      <c r="W200" s="20" t="n">
        <v>5965</v>
      </c>
      <c r="X200" s="20" t="n">
        <v>5430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I201" s="15">
        <f>IF(OR(I200="",E200=""),"",IF(E200&lt;=0,"",IFERROR(I200/E200-1,"")))</f>
        <v/>
      </c>
      <c r="J201" s="15">
        <f>IF(OR(J200="",F200=""),"",IF(F200&lt;=0,"",IFERROR(J200/F200-1,"")))</f>
        <v/>
      </c>
      <c r="K201" s="15">
        <f>IF(OR(K200="",G200=""),"",IF(G200&lt;=0,"",IFERROR(K200/G200-1,"")))</f>
        <v/>
      </c>
      <c r="L201" s="15">
        <f>IF(OR(L200="",H200=""),"",IF(H200&lt;=0,"",IFERROR(L200/H200-1,"")))</f>
        <v/>
      </c>
      <c r="M201" s="15">
        <f>IF(OR(M200="",I200=""),"",IF(I200&lt;=0,"",IFERROR(M200/I200-1,"")))</f>
        <v/>
      </c>
      <c r="N201" s="15">
        <f>IF(OR(N200="",J200=""),"",IF(J200&lt;=0,"",IFERROR(N200/J200-1,"")))</f>
        <v/>
      </c>
      <c r="V201" s="15">
        <f>IF(OR(V200="",U200=""),"",IF(U200&lt;=0,"",IFERROR(V200/U200-1,"")))</f>
        <v/>
      </c>
      <c r="W201" s="15">
        <f>IF(OR(W200="",V200=""),"",IF(V200&lt;=0,"",IFERROR(W200/V200-1,"")))</f>
        <v/>
      </c>
      <c r="X201" s="15">
        <f>IF(OR(X200="",W200=""),"",IF(W200&lt;=0,"",IFERROR(X200/W200-1,"")))</f>
        <v/>
      </c>
    </row>
    <row r="202">
      <c r="A202" s="18" t="inlineStr">
        <is>
          <t>합계 · Revenues From External Customers</t>
        </is>
      </c>
      <c r="C202" s="20" t="n">
        <v>541703</v>
      </c>
      <c r="D202" s="20" t="n">
        <v>540852</v>
      </c>
      <c r="E202" s="20" t="n">
        <v>512347</v>
      </c>
      <c r="F202" s="20" t="n">
        <v>516775</v>
      </c>
      <c r="G202" s="20" t="n">
        <v>582812</v>
      </c>
      <c r="H202" s="20" t="n">
        <v>603197</v>
      </c>
      <c r="I202" s="20" t="n">
        <v>559072</v>
      </c>
      <c r="J202" s="20" t="n">
        <v>548701</v>
      </c>
      <c r="K202" s="20" t="n">
        <v>641699</v>
      </c>
      <c r="L202" s="20" t="n">
        <v>686984</v>
      </c>
      <c r="M202" s="20" t="n">
        <v>661849</v>
      </c>
      <c r="N202" s="20" t="n">
        <v>672729</v>
      </c>
      <c r="V202" s="20" t="n">
        <v>512347</v>
      </c>
      <c r="W202" s="20" t="n">
        <v>559072</v>
      </c>
      <c r="X202" s="20" t="n">
        <v>661849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조정액 · Revenues From External Customers</t>
        </is>
      </c>
      <c r="C204" s="20" t="n">
        <v>0</v>
      </c>
      <c r="D204" s="20" t="n">
        <v>0</v>
      </c>
      <c r="E204" s="20" t="n">
        <v>0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0</v>
      </c>
      <c r="K204" s="20" t="n">
        <v>0</v>
      </c>
      <c r="L204" s="20" t="n">
        <v>0</v>
      </c>
      <c r="M204" s="20" t="n">
        <v>0</v>
      </c>
      <c r="N204" s="20" t="n">
        <v>0</v>
      </c>
      <c r="V204" s="20" t="n">
        <v>0</v>
      </c>
      <c r="W204" s="20" t="n">
        <v>0</v>
      </c>
      <c r="X204" s="20" t="n">
        <v>0</v>
      </c>
    </row>
    <row r="205">
      <c r="A205" s="9" t="inlineStr">
        <is>
          <t>Revenues From External Customers</t>
        </is>
      </c>
      <c r="C205" s="12" t="n">
        <v>541703</v>
      </c>
      <c r="D205" s="12" t="n">
        <v>540852</v>
      </c>
      <c r="E205" s="12" t="n">
        <v>512347</v>
      </c>
      <c r="F205" s="12" t="n">
        <v>516775</v>
      </c>
      <c r="G205" s="12" t="n">
        <v>582812</v>
      </c>
      <c r="H205" s="12" t="n">
        <v>603197</v>
      </c>
      <c r="I205" s="12" t="n">
        <v>559072</v>
      </c>
      <c r="J205" s="12" t="n">
        <v>548701</v>
      </c>
      <c r="K205" s="12" t="n">
        <v>641699</v>
      </c>
      <c r="L205" s="12" t="n">
        <v>686984</v>
      </c>
      <c r="M205" s="12" t="n">
        <v>661849</v>
      </c>
      <c r="N205" s="12" t="n">
        <v>672729</v>
      </c>
      <c r="V205" s="12" t="n">
        <v>512347</v>
      </c>
      <c r="W205" s="12" t="n">
        <v>559072</v>
      </c>
      <c r="X205" s="12" t="n">
        <v>661849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IF(OR(G205="",C205=""),"",IF(C205&lt;=0,"",IFERROR(G205/C205-1,"")))</f>
        <v/>
      </c>
      <c r="H206" s="15">
        <f>IF(OR(H205="",D205=""),"",IF(D205&lt;=0,"",IFERROR(H205/D205-1,"")))</f>
        <v/>
      </c>
      <c r="I206" s="15">
        <f>IF(OR(I205="",E205=""),"",IF(E205&lt;=0,"",IFERROR(I205/E205-1,"")))</f>
        <v/>
      </c>
      <c r="J206" s="15">
        <f>IF(OR(J205="",F205=""),"",IF(F205&lt;=0,"",IFERROR(J205/F205-1,"")))</f>
        <v/>
      </c>
      <c r="K206" s="15">
        <f>IF(OR(K205="",G205=""),"",IF(G205&lt;=0,"",IFERROR(K205/G205-1,"")))</f>
        <v/>
      </c>
      <c r="L206" s="15">
        <f>IF(OR(L205="",H205=""),"",IF(H205&lt;=0,"",IFERROR(L205/H205-1,"")))</f>
        <v/>
      </c>
      <c r="M206" s="15">
        <f>IF(OR(M205="",I205=""),"",IF(I205&lt;=0,"",IFERROR(M205/I205-1,"")))</f>
        <v/>
      </c>
      <c r="N206" s="15">
        <f>IF(OR(N205="",J205=""),"",IF(J205&lt;=0,"",IFERROR(N205/J205-1,"")))</f>
        <v/>
      </c>
      <c r="V206" s="15">
        <f>IF(OR(V205="",U205=""),"",IF(U205&lt;=0,"",IFERROR(V205/U205-1,"")))</f>
        <v/>
      </c>
      <c r="W206" s="15">
        <f>IF(OR(W205="",V205=""),"",IF(V205&lt;=0,"",IFERROR(W205/V205-1,"")))</f>
        <v/>
      </c>
      <c r="X206" s="15">
        <f>IF(OR(X205="",W205=""),"",IF(W205&lt;=0,"",IFERROR(X205/W205-1,"")))</f>
        <v/>
      </c>
    </row>
    <row r="207">
      <c r="A207" s="18" t="inlineStr">
        <is>
          <t>기타 · Transactions With Other Segments</t>
        </is>
      </c>
      <c r="C207" s="20" t="n">
        <v>5850</v>
      </c>
      <c r="D207" s="20" t="n">
        <v>6112</v>
      </c>
      <c r="E207" s="20" t="n">
        <v>6599</v>
      </c>
      <c r="F207" s="20" t="n">
        <v>6362</v>
      </c>
      <c r="G207" s="20" t="n">
        <v>6623</v>
      </c>
      <c r="H207" s="20" t="n">
        <v>6430</v>
      </c>
      <c r="I207" s="20" t="n">
        <v>7446</v>
      </c>
      <c r="J207" s="20" t="n">
        <v>7021</v>
      </c>
      <c r="K207" s="20" t="n">
        <v>7288</v>
      </c>
      <c r="L207" s="20" t="n">
        <v>7676</v>
      </c>
      <c r="M207" s="20" t="n">
        <v>8534</v>
      </c>
      <c r="N207" s="20" t="n">
        <v>7920</v>
      </c>
      <c r="V207" s="20" t="n">
        <v>6599</v>
      </c>
      <c r="W207" s="20" t="n">
        <v>7446</v>
      </c>
      <c r="X207" s="20" t="n">
        <v>8534</v>
      </c>
    </row>
    <row r="208">
      <c r="A208" s="18" t="inlineStr">
        <is>
          <t>합계 · Transactions With Other Segments</t>
        </is>
      </c>
      <c r="C208" s="20" t="n">
        <v>83153</v>
      </c>
      <c r="D208" s="20" t="n">
        <v>85998</v>
      </c>
      <c r="E208" s="20" t="n">
        <v>101615</v>
      </c>
      <c r="F208" s="20" t="n">
        <v>86709</v>
      </c>
      <c r="G208" s="20" t="n">
        <v>93751</v>
      </c>
      <c r="H208" s="20" t="n">
        <v>96321</v>
      </c>
      <c r="I208" s="20" t="n">
        <v>106499</v>
      </c>
      <c r="J208" s="20" t="n">
        <v>96036</v>
      </c>
      <c r="K208" s="20" t="n">
        <v>99157</v>
      </c>
      <c r="L208" s="20" t="n">
        <v>103987</v>
      </c>
      <c r="M208" s="20" t="n">
        <v>105734</v>
      </c>
      <c r="N208" s="20" t="n">
        <v>104486</v>
      </c>
      <c r="V208" s="20" t="n">
        <v>101615</v>
      </c>
      <c r="W208" s="20" t="n">
        <v>106499</v>
      </c>
      <c r="X208" s="20" t="n">
        <v>105734</v>
      </c>
    </row>
    <row r="209">
      <c r="A209" s="18" t="inlineStr">
        <is>
          <t>조정액 · Transactions With Other Segments</t>
        </is>
      </c>
      <c r="C209" s="20" t="n">
        <v>-83153</v>
      </c>
      <c r="D209" s="20" t="n">
        <v>-85998</v>
      </c>
      <c r="E209" s="20" t="n">
        <v>-101615</v>
      </c>
      <c r="F209" s="20" t="n">
        <v>-86709</v>
      </c>
      <c r="G209" s="20" t="n">
        <v>-93751</v>
      </c>
      <c r="H209" s="20" t="n">
        <v>-96321</v>
      </c>
      <c r="I209" s="20" t="n">
        <v>-106499</v>
      </c>
      <c r="J209" s="20" t="n">
        <v>-96036</v>
      </c>
      <c r="K209" s="20" t="n">
        <v>-99157</v>
      </c>
      <c r="L209" s="20" t="n">
        <v>-103987</v>
      </c>
      <c r="M209" s="20" t="n">
        <v>-105734</v>
      </c>
      <c r="N209" s="20" t="n">
        <v>-104486</v>
      </c>
      <c r="V209" s="20" t="n">
        <v>-101615</v>
      </c>
      <c r="W209" s="20" t="n">
        <v>-106499</v>
      </c>
      <c r="X209" s="20" t="n">
        <v>-105734</v>
      </c>
    </row>
    <row r="210">
      <c r="A210" s="18" t="inlineStr">
        <is>
          <t>Transactions With Other Segments</t>
        </is>
      </c>
      <c r="C210" s="20" t="n">
        <v>0</v>
      </c>
      <c r="D210" s="20" t="n">
        <v>0</v>
      </c>
      <c r="E210" s="20" t="n">
        <v>0</v>
      </c>
      <c r="F210" s="20" t="n">
        <v>0</v>
      </c>
      <c r="G210" s="20" t="n">
        <v>0</v>
      </c>
      <c r="H210" s="20" t="n">
        <v>0</v>
      </c>
      <c r="I210" s="20" t="n">
        <v>0</v>
      </c>
      <c r="J210" s="20" t="n">
        <v>0</v>
      </c>
      <c r="K210" s="20" t="n">
        <v>0</v>
      </c>
      <c r="L210" s="20" t="n">
        <v>0</v>
      </c>
      <c r="M210" s="20" t="n">
        <v>0</v>
      </c>
      <c r="N210" s="20" t="n">
        <v>0</v>
      </c>
      <c r="V210" s="20" t="n">
        <v>0</v>
      </c>
      <c r="W210" s="20" t="n">
        <v>0</v>
      </c>
      <c r="X210" s="20" t="n">
        <v>0</v>
      </c>
    </row>
    <row r="211">
      <c r="A211" s="18" t="inlineStr">
        <is>
          <t>기타 · 계</t>
        </is>
      </c>
      <c r="C211" s="20" t="n">
        <v>9661</v>
      </c>
      <c r="D211" s="20" t="n">
        <v>10031</v>
      </c>
      <c r="E211" s="20" t="n">
        <v>12477</v>
      </c>
      <c r="F211" s="20" t="n">
        <v>10324</v>
      </c>
      <c r="G211" s="20" t="n">
        <v>10494</v>
      </c>
      <c r="H211" s="20" t="n">
        <v>11288</v>
      </c>
      <c r="I211" s="20" t="n">
        <v>13411</v>
      </c>
      <c r="J211" s="20" t="n">
        <v>11502</v>
      </c>
      <c r="K211" s="20" t="n">
        <v>11488</v>
      </c>
      <c r="L211" s="20" t="n">
        <v>12774</v>
      </c>
      <c r="M211" s="20" t="n">
        <v>13964</v>
      </c>
      <c r="N211" s="20" t="n">
        <v>12344</v>
      </c>
      <c r="V211" s="20" t="n">
        <v>12477</v>
      </c>
      <c r="W211" s="20" t="n">
        <v>13411</v>
      </c>
      <c r="X211" s="20" t="n">
        <v>13964</v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IF(OR(G211="",C211=""),"",IF(C211&lt;=0,"",IFERROR(G211/C211-1,"")))</f>
        <v/>
      </c>
      <c r="H212" s="15">
        <f>IF(OR(H211="",D211=""),"",IF(D211&lt;=0,"",IFERROR(H211/D211-1,"")))</f>
        <v/>
      </c>
      <c r="I212" s="15">
        <f>IF(OR(I211="",E211=""),"",IF(E211&lt;=0,"",IFERROR(I211/E211-1,"")))</f>
        <v/>
      </c>
      <c r="J212" s="15">
        <f>IF(OR(J211="",F211=""),"",IF(F211&lt;=0,"",IFERROR(J211/F211-1,"")))</f>
        <v/>
      </c>
      <c r="K212" s="15">
        <f>IF(OR(K211="",G211=""),"",IF(G211&lt;=0,"",IFERROR(K211/G211-1,"")))</f>
        <v/>
      </c>
      <c r="L212" s="15">
        <f>IF(OR(L211="",H211=""),"",IF(H211&lt;=0,"",IFERROR(L211/H211-1,"")))</f>
        <v/>
      </c>
      <c r="M212" s="15">
        <f>IF(OR(M211="",I211=""),"",IF(I211&lt;=0,"",IFERROR(M211/I211-1,"")))</f>
        <v/>
      </c>
      <c r="N212" s="15">
        <f>IF(OR(N211="",J211=""),"",IF(J211&lt;=0,"",IFERROR(N211/J211-1,"")))</f>
        <v/>
      </c>
      <c r="V212" s="15">
        <f>IF(OR(V211="",U211=""),"",IF(U211&lt;=0,"",IFERROR(V211/U211-1,"")))</f>
        <v/>
      </c>
      <c r="W212" s="15">
        <f>IF(OR(W211="",V211=""),"",IF(V211&lt;=0,"",IFERROR(W211/V211-1,"")))</f>
        <v/>
      </c>
      <c r="X212" s="15">
        <f>IF(OR(X211="",W211=""),"",IF(W211&lt;=0,"",IFERROR(X211/W211-1,"")))</f>
        <v/>
      </c>
    </row>
    <row r="213">
      <c r="A213" s="18" t="inlineStr">
        <is>
          <t>합계 · 계</t>
        </is>
      </c>
      <c r="C213" s="20" t="n">
        <v>624856</v>
      </c>
      <c r="D213" s="20" t="n">
        <v>626850</v>
      </c>
      <c r="E213" s="20" t="n">
        <v>613962</v>
      </c>
      <c r="F213" s="20" t="n">
        <v>603484</v>
      </c>
      <c r="G213" s="20" t="n">
        <v>676563</v>
      </c>
      <c r="H213" s="20" t="n">
        <v>699518</v>
      </c>
      <c r="I213" s="20" t="n">
        <v>665571</v>
      </c>
      <c r="J213" s="20" t="n">
        <v>644737</v>
      </c>
      <c r="K213" s="20" t="n">
        <v>740856</v>
      </c>
      <c r="L213" s="20" t="n">
        <v>790971</v>
      </c>
      <c r="M213" s="20" t="n">
        <v>767583</v>
      </c>
      <c r="N213" s="20" t="n">
        <v>777215</v>
      </c>
      <c r="V213" s="20" t="n">
        <v>613962</v>
      </c>
      <c r="W213" s="20" t="n">
        <v>665571</v>
      </c>
      <c r="X213" s="20" t="n">
        <v>767583</v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IF(OR(G213="",C213=""),"",IF(C213&lt;=0,"",IFERROR(G213/C213-1,"")))</f>
        <v/>
      </c>
      <c r="H214" s="15">
        <f>IF(OR(H213="",D213=""),"",IF(D213&lt;=0,"",IFERROR(H213/D213-1,"")))</f>
        <v/>
      </c>
      <c r="I214" s="15">
        <f>IF(OR(I213="",E213=""),"",IF(E213&lt;=0,"",IFERROR(I213/E213-1,"")))</f>
        <v/>
      </c>
      <c r="J214" s="15">
        <f>IF(OR(J213="",F213=""),"",IF(F213&lt;=0,"",IFERROR(J213/F213-1,"")))</f>
        <v/>
      </c>
      <c r="K214" s="15">
        <f>IF(OR(K213="",G213=""),"",IF(G213&lt;=0,"",IFERROR(K213/G213-1,"")))</f>
        <v/>
      </c>
      <c r="L214" s="15">
        <f>IF(OR(L213="",H213=""),"",IF(H213&lt;=0,"",IFERROR(L213/H213-1,"")))</f>
        <v/>
      </c>
      <c r="M214" s="15">
        <f>IF(OR(M213="",I213=""),"",IF(I213&lt;=0,"",IFERROR(M213/I213-1,"")))</f>
        <v/>
      </c>
      <c r="N214" s="15">
        <f>IF(OR(N213="",J213=""),"",IF(J213&lt;=0,"",IFERROR(N213/J213-1,"")))</f>
        <v/>
      </c>
      <c r="V214" s="15">
        <f>IF(OR(V213="",U213=""),"",IF(U213&lt;=0,"",IFERROR(V213/U213-1,"")))</f>
        <v/>
      </c>
      <c r="W214" s="15">
        <f>IF(OR(W213="",V213=""),"",IF(V213&lt;=0,"",IFERROR(W213/V213-1,"")))</f>
        <v/>
      </c>
      <c r="X214" s="15">
        <f>IF(OR(X213="",W213=""),"",IF(W213&lt;=0,"",IFERROR(X213/W213-1,"")))</f>
        <v/>
      </c>
    </row>
    <row r="215">
      <c r="A215" s="18" t="inlineStr">
        <is>
          <t>조정액 · 계</t>
        </is>
      </c>
      <c r="C215" s="20" t="n">
        <v>-83153</v>
      </c>
      <c r="D215" s="20" t="n">
        <v>-85998</v>
      </c>
      <c r="E215" s="20" t="n">
        <v>-101615</v>
      </c>
      <c r="F215" s="20" t="n">
        <v>-86709</v>
      </c>
      <c r="G215" s="20" t="n">
        <v>-93751</v>
      </c>
      <c r="H215" s="20" t="n">
        <v>-96321</v>
      </c>
      <c r="I215" s="20" t="n">
        <v>-106499</v>
      </c>
      <c r="J215" s="20" t="n">
        <v>-96036</v>
      </c>
      <c r="K215" s="20" t="n">
        <v>-99157</v>
      </c>
      <c r="L215" s="20" t="n">
        <v>-103987</v>
      </c>
      <c r="M215" s="20" t="n">
        <v>-105734</v>
      </c>
      <c r="N215" s="20" t="n">
        <v>-104486</v>
      </c>
      <c r="V215" s="20" t="n">
        <v>-101615</v>
      </c>
      <c r="W215" s="20" t="n">
        <v>-106499</v>
      </c>
      <c r="X215" s="20" t="n">
        <v>-105734</v>
      </c>
    </row>
    <row r="216">
      <c r="A216" s="9" t="inlineStr">
        <is>
          <t>계</t>
        </is>
      </c>
      <c r="C216" s="12" t="n">
        <v>541703</v>
      </c>
      <c r="D216" s="12" t="n">
        <v>540852</v>
      </c>
      <c r="E216" s="12" t="n">
        <v>512347</v>
      </c>
      <c r="F216" s="12" t="n">
        <v>516775</v>
      </c>
      <c r="G216" s="12" t="n">
        <v>582812</v>
      </c>
      <c r="H216" s="12" t="n">
        <v>603197</v>
      </c>
      <c r="I216" s="12" t="n">
        <v>559072</v>
      </c>
      <c r="J216" s="12" t="n">
        <v>548701</v>
      </c>
      <c r="K216" s="12" t="n">
        <v>641699</v>
      </c>
      <c r="L216" s="12" t="n">
        <v>686984</v>
      </c>
      <c r="M216" s="12" t="n">
        <v>661849</v>
      </c>
      <c r="N216" s="12" t="n">
        <v>672729</v>
      </c>
      <c r="V216" s="12" t="n">
        <v>512347</v>
      </c>
      <c r="W216" s="12" t="n">
        <v>559072</v>
      </c>
      <c r="X216" s="12" t="n">
        <v>661849</v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G217" s="15">
        <f>IF(OR(G216="",C216=""),"",IF(C216&lt;=0,"",IFERROR(G216/C216-1,"")))</f>
        <v/>
      </c>
      <c r="H217" s="15">
        <f>IF(OR(H216="",D216=""),"",IF(D216&lt;=0,"",IFERROR(H216/D216-1,"")))</f>
        <v/>
      </c>
      <c r="I217" s="15">
        <f>IF(OR(I216="",E216=""),"",IF(E216&lt;=0,"",IFERROR(I216/E216-1,"")))</f>
        <v/>
      </c>
      <c r="J217" s="15">
        <f>IF(OR(J216="",F216=""),"",IF(F216&lt;=0,"",IFERROR(J216/F216-1,"")))</f>
        <v/>
      </c>
      <c r="K217" s="15">
        <f>IF(OR(K216="",G216=""),"",IF(G216&lt;=0,"",IFERROR(K216/G216-1,"")))</f>
        <v/>
      </c>
      <c r="L217" s="15">
        <f>IF(OR(L216="",H216=""),"",IF(H216&lt;=0,"",IFERROR(L216/H216-1,"")))</f>
        <v/>
      </c>
      <c r="M217" s="15">
        <f>IF(OR(M216="",I216=""),"",IF(I216&lt;=0,"",IFERROR(M216/I216-1,"")))</f>
        <v/>
      </c>
      <c r="N217" s="15">
        <f>IF(OR(N216="",J216=""),"",IF(J216&lt;=0,"",IFERROR(N216/J216-1,"")))</f>
        <v/>
      </c>
      <c r="V217" s="15">
        <f>IF(OR(V216="",U216=""),"",IF(U216&lt;=0,"",IFERROR(V216/U216-1,"")))</f>
        <v/>
      </c>
      <c r="W217" s="15">
        <f>IF(OR(W216="",V216=""),"",IF(V216&lt;=0,"",IFERROR(W216/V216-1,"")))</f>
        <v/>
      </c>
      <c r="X217" s="15">
        <f>IF(OR(X216="",W216=""),"",IF(W216&lt;=0,"",IFERROR(X216/W216-1,"")))</f>
        <v/>
      </c>
    </row>
    <row r="218">
      <c r="A218" s="18" t="inlineStr">
        <is>
          <t>기타 · 부문 이익(손실)</t>
        </is>
      </c>
      <c r="C218" s="20" t="n">
        <v>11</v>
      </c>
      <c r="D218" s="20" t="n">
        <v>701</v>
      </c>
      <c r="E218" s="20" t="n">
        <v>-167</v>
      </c>
      <c r="F218" s="20" t="n">
        <v>228</v>
      </c>
      <c r="G218" s="20" t="n">
        <v>324</v>
      </c>
      <c r="H218" s="20" t="n">
        <v>538</v>
      </c>
      <c r="I218" s="20" t="n">
        <v>61</v>
      </c>
      <c r="J218" s="20" t="n">
        <v>543</v>
      </c>
      <c r="K218" s="20" t="n">
        <v>849</v>
      </c>
      <c r="L218" s="20" t="n">
        <v>685</v>
      </c>
      <c r="M218" s="20" t="n">
        <v>199</v>
      </c>
      <c r="N218" s="20" t="n">
        <v>675</v>
      </c>
      <c r="V218" s="20" t="n">
        <v>-167</v>
      </c>
      <c r="W218" s="20" t="n">
        <v>61</v>
      </c>
      <c r="X218" s="20" t="n">
        <v>199</v>
      </c>
    </row>
    <row r="219">
      <c r="A219" s="43" t="inlineStr">
        <is>
          <t>OPM</t>
        </is>
      </c>
      <c r="B219" s="3" t="inlineStr">
        <is>
          <t>영업이익 ÷ 매출</t>
        </is>
      </c>
      <c r="C219" s="15">
        <f>IF(OR(C218="",C211=""),"",IF(C211&lt;=0,"",IFERROR(C218/C211,"")))</f>
        <v/>
      </c>
      <c r="D219" s="15">
        <f>IF(OR(D218="",D211=""),"",IF(D211&lt;=0,"",IFERROR(D218/D211,"")))</f>
        <v/>
      </c>
      <c r="E219" s="15">
        <f>IF(OR(E218="",E211=""),"",IF(E211&lt;=0,"",IFERROR(E218/E211,"")))</f>
        <v/>
      </c>
      <c r="F219" s="15">
        <f>IF(OR(F218="",F211=""),"",IF(F211&lt;=0,"",IFERROR(F218/F211,"")))</f>
        <v/>
      </c>
      <c r="G219" s="15">
        <f>IF(OR(G218="",G211=""),"",IF(G211&lt;=0,"",IFERROR(G218/G211,"")))</f>
        <v/>
      </c>
      <c r="H219" s="15">
        <f>IF(OR(H218="",H211=""),"",IF(H211&lt;=0,"",IFERROR(H218/H211,"")))</f>
        <v/>
      </c>
      <c r="I219" s="15">
        <f>IF(OR(I218="",I211=""),"",IF(I211&lt;=0,"",IFERROR(I218/I211,"")))</f>
        <v/>
      </c>
      <c r="J219" s="15">
        <f>IF(OR(J218="",J211=""),"",IF(J211&lt;=0,"",IFERROR(J218/J211,"")))</f>
        <v/>
      </c>
      <c r="K219" s="15">
        <f>IF(OR(K218="",K211=""),"",IF(K211&lt;=0,"",IFERROR(K218/K211,"")))</f>
        <v/>
      </c>
      <c r="L219" s="15">
        <f>IF(OR(L218="",L211=""),"",IF(L211&lt;=0,"",IFERROR(L218/L211,"")))</f>
        <v/>
      </c>
      <c r="M219" s="15">
        <f>IF(OR(M218="",M211=""),"",IF(M211&lt;=0,"",IFERROR(M218/M211,"")))</f>
        <v/>
      </c>
      <c r="N219" s="15">
        <f>IF(OR(N218="",N211=""),"",IF(N211&lt;=0,"",IFERROR(N218/N211,"")))</f>
        <v/>
      </c>
      <c r="V219" s="15">
        <f>IF(OR(V218="",V211=""),"",IF(V211&lt;=0,"",IFERROR(V218/V211,"")))</f>
        <v/>
      </c>
      <c r="W219" s="15">
        <f>IF(OR(W218="",W211=""),"",IF(W211&lt;=0,"",IFERROR(W218/W211,"")))</f>
        <v/>
      </c>
      <c r="X219" s="15">
        <f>IF(OR(X218="",X211=""),"",IF(X211&lt;=0,"",IFERROR(X218/X211,"")))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IF(OR(G218="",C218=""),"",IF(C218&lt;=0,"",IFERROR(G218/C218-1,"")))</f>
        <v/>
      </c>
      <c r="H220" s="15">
        <f>IF(OR(H218="",D218=""),"",IF(D218&lt;=0,"",IFERROR(H218/D218-1,"")))</f>
        <v/>
      </c>
      <c r="I220" s="15">
        <f>IF(OR(I218="",E218=""),"",IF(E218&lt;=0,"",IFERROR(I218/E218-1,"")))</f>
        <v/>
      </c>
      <c r="J220" s="15">
        <f>IF(OR(J218="",F218=""),"",IF(F218&lt;=0,"",IFERROR(J218/F218-1,"")))</f>
        <v/>
      </c>
      <c r="K220" s="15">
        <f>IF(OR(K218="",G218=""),"",IF(G218&lt;=0,"",IFERROR(K218/G218-1,"")))</f>
        <v/>
      </c>
      <c r="L220" s="15">
        <f>IF(OR(L218="",H218=""),"",IF(H218&lt;=0,"",IFERROR(L218/H218-1,"")))</f>
        <v/>
      </c>
      <c r="M220" s="15">
        <f>IF(OR(M218="",I218=""),"",IF(I218&lt;=0,"",IFERROR(M218/I218-1,"")))</f>
        <v/>
      </c>
      <c r="N220" s="15">
        <f>IF(OR(N218="",J218=""),"",IF(J218&lt;=0,"",IFERROR(N218/J218-1,"")))</f>
        <v/>
      </c>
      <c r="V220" s="15">
        <f>IF(OR(V218="",U218=""),"",IF(U218&lt;=0,"",IFERROR(V218/U218-1,"")))</f>
        <v/>
      </c>
      <c r="W220" s="15">
        <f>IF(OR(W218="",V218=""),"",IF(V218&lt;=0,"",IFERROR(W218/V218-1,"")))</f>
        <v/>
      </c>
      <c r="X220" s="15">
        <f>IF(OR(X218="",W218=""),"",IF(W218&lt;=0,"",IFERROR(X218/W218-1,"")))</f>
        <v/>
      </c>
    </row>
    <row r="221">
      <c r="A221" s="18" t="inlineStr">
        <is>
          <t>합계 · 부문 이익(손실)</t>
        </is>
      </c>
      <c r="C221" s="20" t="n">
        <v>88962</v>
      </c>
      <c r="D221" s="20" t="n">
        <v>83703</v>
      </c>
      <c r="E221" s="20" t="n">
        <v>1666</v>
      </c>
      <c r="F221" s="20" t="n">
        <v>33913</v>
      </c>
      <c r="G221" s="20" t="n">
        <v>80987</v>
      </c>
      <c r="H221" s="20" t="n">
        <v>65181</v>
      </c>
      <c r="I221" s="20" t="n">
        <v>28977</v>
      </c>
      <c r="J221" s="20" t="n">
        <v>40277</v>
      </c>
      <c r="K221" s="20" t="n">
        <v>64162</v>
      </c>
      <c r="L221" s="20" t="n">
        <v>87582</v>
      </c>
      <c r="M221" s="20" t="n">
        <v>41042</v>
      </c>
      <c r="N221" s="20" t="n">
        <v>24957</v>
      </c>
      <c r="V221" s="20" t="n">
        <v>1666</v>
      </c>
      <c r="W221" s="20" t="n">
        <v>28977</v>
      </c>
      <c r="X221" s="20" t="n">
        <v>41042</v>
      </c>
    </row>
    <row r="222">
      <c r="A222" s="43" t="inlineStr">
        <is>
          <t>OPM</t>
        </is>
      </c>
      <c r="B222" s="3" t="inlineStr">
        <is>
          <t>영업이익 ÷ 매출</t>
        </is>
      </c>
      <c r="C222" s="15">
        <f>IF(OR(C221="",C213=""),"",IF(C213&lt;=0,"",IFERROR(C221/C213,"")))</f>
        <v/>
      </c>
      <c r="D222" s="15">
        <f>IF(OR(D221="",D213=""),"",IF(D213&lt;=0,"",IFERROR(D221/D213,"")))</f>
        <v/>
      </c>
      <c r="E222" s="15">
        <f>IF(OR(E221="",E213=""),"",IF(E213&lt;=0,"",IFERROR(E221/E213,"")))</f>
        <v/>
      </c>
      <c r="F222" s="15">
        <f>IF(OR(F221="",F213=""),"",IF(F213&lt;=0,"",IFERROR(F221/F213,"")))</f>
        <v/>
      </c>
      <c r="G222" s="15">
        <f>IF(OR(G221="",G213=""),"",IF(G213&lt;=0,"",IFERROR(G221/G213,"")))</f>
        <v/>
      </c>
      <c r="H222" s="15">
        <f>IF(OR(H221="",H213=""),"",IF(H213&lt;=0,"",IFERROR(H221/H213,"")))</f>
        <v/>
      </c>
      <c r="I222" s="15">
        <f>IF(OR(I221="",I213=""),"",IF(I213&lt;=0,"",IFERROR(I221/I213,"")))</f>
        <v/>
      </c>
      <c r="J222" s="15">
        <f>IF(OR(J221="",J213=""),"",IF(J213&lt;=0,"",IFERROR(J221/J213,"")))</f>
        <v/>
      </c>
      <c r="K222" s="15">
        <f>IF(OR(K221="",K213=""),"",IF(K213&lt;=0,"",IFERROR(K221/K213,"")))</f>
        <v/>
      </c>
      <c r="L222" s="15">
        <f>IF(OR(L221="",L213=""),"",IF(L213&lt;=0,"",IFERROR(L221/L213,"")))</f>
        <v/>
      </c>
      <c r="M222" s="15">
        <f>IF(OR(M221="",M213=""),"",IF(M213&lt;=0,"",IFERROR(M221/M213,"")))</f>
        <v/>
      </c>
      <c r="N222" s="15">
        <f>IF(OR(N221="",N213=""),"",IF(N213&lt;=0,"",IFERROR(N221/N213,"")))</f>
        <v/>
      </c>
      <c r="V222" s="15">
        <f>IF(OR(V221="",V213=""),"",IF(V213&lt;=0,"",IFERROR(V221/V213,"")))</f>
        <v/>
      </c>
      <c r="W222" s="15">
        <f>IF(OR(W221="",W213=""),"",IF(W213&lt;=0,"",IFERROR(W221/W213,"")))</f>
        <v/>
      </c>
      <c r="X222" s="15">
        <f>IF(OR(X221="",X213=""),"",IF(X213&lt;=0,"",IFERROR(X221/X213,"")))</f>
        <v/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G223" s="15">
        <f>IF(OR(G221="",C221=""),"",IF(C221&lt;=0,"",IFERROR(G221/C221-1,"")))</f>
        <v/>
      </c>
      <c r="H223" s="15">
        <f>IF(OR(H221="",D221=""),"",IF(D221&lt;=0,"",IFERROR(H221/D221-1,"")))</f>
        <v/>
      </c>
      <c r="I223" s="15">
        <f>IF(OR(I221="",E221=""),"",IF(E221&lt;=0,"",IFERROR(I221/E221-1,"")))</f>
        <v/>
      </c>
      <c r="J223" s="15">
        <f>IF(OR(J221="",F221=""),"",IF(F221&lt;=0,"",IFERROR(J221/F221-1,"")))</f>
        <v/>
      </c>
      <c r="K223" s="15">
        <f>IF(OR(K221="",G221=""),"",IF(G221&lt;=0,"",IFERROR(K221/G221-1,"")))</f>
        <v/>
      </c>
      <c r="L223" s="15">
        <f>IF(OR(L221="",H221=""),"",IF(H221&lt;=0,"",IFERROR(L221/H221-1,"")))</f>
        <v/>
      </c>
      <c r="M223" s="15">
        <f>IF(OR(M221="",I221=""),"",IF(I221&lt;=0,"",IFERROR(M221/I221-1,"")))</f>
        <v/>
      </c>
      <c r="N223" s="15">
        <f>IF(OR(N221="",J221=""),"",IF(J221&lt;=0,"",IFERROR(N221/J221-1,"")))</f>
        <v/>
      </c>
      <c r="V223" s="15">
        <f>IF(OR(V221="",U221=""),"",IF(U221&lt;=0,"",IFERROR(V221/U221-1,"")))</f>
        <v/>
      </c>
      <c r="W223" s="15">
        <f>IF(OR(W221="",V221=""),"",IF(V221&lt;=0,"",IFERROR(W221/V221-1,"")))</f>
        <v/>
      </c>
      <c r="X223" s="15">
        <f>IF(OR(X221="",W221=""),"",IF(W221&lt;=0,"",IFERROR(X221/W221-1,"")))</f>
        <v/>
      </c>
    </row>
    <row r="224">
      <c r="A224" s="18" t="inlineStr">
        <is>
          <t>조정액 · 부문 이익(손실)</t>
        </is>
      </c>
      <c r="C224" s="20" t="n">
        <v>-3009</v>
      </c>
      <c r="D224" s="20" t="n">
        <v>-3326</v>
      </c>
      <c r="E224" s="20" t="n">
        <v>-3869</v>
      </c>
      <c r="F224" s="20" t="n">
        <v>-3559</v>
      </c>
      <c r="G224" s="20" t="n">
        <v>-2967</v>
      </c>
      <c r="H224" s="20" t="n">
        <v>-2395</v>
      </c>
      <c r="I224" s="20" t="n">
        <v>-3498</v>
      </c>
      <c r="J224" s="20" t="n">
        <v>-3491</v>
      </c>
      <c r="K224" s="20" t="n">
        <v>-3320</v>
      </c>
      <c r="L224" s="20" t="n">
        <v>-4496</v>
      </c>
      <c r="M224" s="20" t="n">
        <v>-4319</v>
      </c>
      <c r="N224" s="20" t="n">
        <v>-4175</v>
      </c>
      <c r="V224" s="20" t="n">
        <v>-3869</v>
      </c>
      <c r="W224" s="20" t="n">
        <v>-3498</v>
      </c>
      <c r="X224" s="20" t="n">
        <v>-4319</v>
      </c>
    </row>
    <row r="225">
      <c r="A225" s="9" t="inlineStr">
        <is>
          <t>부문 이익(손실)</t>
        </is>
      </c>
      <c r="C225" s="12" t="n">
        <v>85953</v>
      </c>
      <c r="D225" s="12" t="n">
        <v>80377</v>
      </c>
      <c r="E225" s="12" t="n">
        <v>-2203</v>
      </c>
      <c r="F225" s="12" t="n">
        <v>30354</v>
      </c>
      <c r="G225" s="12" t="n">
        <v>78020</v>
      </c>
      <c r="H225" s="12" t="n">
        <v>62786</v>
      </c>
      <c r="I225" s="12" t="n">
        <v>25479</v>
      </c>
      <c r="J225" s="12" t="n">
        <v>36786</v>
      </c>
      <c r="K225" s="12" t="n">
        <v>60842</v>
      </c>
      <c r="L225" s="12" t="n">
        <v>83086</v>
      </c>
      <c r="M225" s="12" t="n">
        <v>36723</v>
      </c>
      <c r="N225" s="12" t="n">
        <v>20782</v>
      </c>
      <c r="V225" s="12" t="n">
        <v>-2203</v>
      </c>
      <c r="W225" s="12" t="n">
        <v>25479</v>
      </c>
      <c r="X225" s="12" t="n">
        <v>36723</v>
      </c>
    </row>
    <row r="226">
      <c r="A226" s="43" t="inlineStr">
        <is>
          <t>OPM</t>
        </is>
      </c>
      <c r="B226" s="3" t="inlineStr">
        <is>
          <t>영업이익 ÷ 매출</t>
        </is>
      </c>
      <c r="C226" s="15">
        <f>IF(OR(C225="",C205=""),"",IF(C205&lt;=0,"",IFERROR(C225/C205,"")))</f>
        <v/>
      </c>
      <c r="D226" s="15">
        <f>IF(OR(D225="",D205=""),"",IF(D205&lt;=0,"",IFERROR(D225/D205,"")))</f>
        <v/>
      </c>
      <c r="E226" s="15">
        <f>IF(OR(E225="",E205=""),"",IF(E205&lt;=0,"",IFERROR(E225/E205,"")))</f>
        <v/>
      </c>
      <c r="F226" s="15">
        <f>IF(OR(F225="",F205=""),"",IF(F205&lt;=0,"",IFERROR(F225/F205,"")))</f>
        <v/>
      </c>
      <c r="G226" s="15">
        <f>IF(OR(G225="",G205=""),"",IF(G205&lt;=0,"",IFERROR(G225/G205,"")))</f>
        <v/>
      </c>
      <c r="H226" s="15">
        <f>IF(OR(H225="",H205=""),"",IF(H205&lt;=0,"",IFERROR(H225/H205,"")))</f>
        <v/>
      </c>
      <c r="I226" s="15">
        <f>IF(OR(I225="",I205=""),"",IF(I205&lt;=0,"",IFERROR(I225/I205,"")))</f>
        <v/>
      </c>
      <c r="J226" s="15">
        <f>IF(OR(J225="",J205=""),"",IF(J205&lt;=0,"",IFERROR(J225/J205,"")))</f>
        <v/>
      </c>
      <c r="K226" s="15">
        <f>IF(OR(K225="",K205=""),"",IF(K205&lt;=0,"",IFERROR(K225/K205,"")))</f>
        <v/>
      </c>
      <c r="L226" s="15">
        <f>IF(OR(L225="",L205=""),"",IF(L205&lt;=0,"",IFERROR(L225/L205,"")))</f>
        <v/>
      </c>
      <c r="M226" s="15">
        <f>IF(OR(M225="",M205=""),"",IF(M205&lt;=0,"",IFERROR(M225/M205,"")))</f>
        <v/>
      </c>
      <c r="N226" s="15">
        <f>IF(OR(N225="",N205=""),"",IF(N205&lt;=0,"",IFERROR(N225/N205,"")))</f>
        <v/>
      </c>
      <c r="V226" s="15">
        <f>IF(OR(V225="",V205=""),"",IF(V205&lt;=0,"",IFERROR(V225/V205,"")))</f>
        <v/>
      </c>
      <c r="W226" s="15">
        <f>IF(OR(W225="",W205=""),"",IF(W205&lt;=0,"",IFERROR(W225/W205,"")))</f>
        <v/>
      </c>
      <c r="X226" s="15">
        <f>IF(OR(X225="",X205=""),"",IF(X205&lt;=0,"",IFERROR(X225/X205,"")))</f>
        <v/>
      </c>
    </row>
    <row r="227">
      <c r="A227" s="43" t="inlineStr">
        <is>
          <t>YoY</t>
        </is>
      </c>
      <c r="B227" s="3" t="inlineStr">
        <is>
          <t>전년 같은 분기·전년 대비</t>
        </is>
      </c>
      <c r="G227" s="15">
        <f>IF(OR(G225="",C225=""),"",IF(C225&lt;=0,"",IFERROR(G225/C225-1,"")))</f>
        <v/>
      </c>
      <c r="H227" s="15">
        <f>IF(OR(H225="",D225=""),"",IF(D225&lt;=0,"",IFERROR(H225/D225-1,"")))</f>
        <v/>
      </c>
      <c r="I227" s="15">
        <f>IF(OR(I225="",E225=""),"",IF(E225&lt;=0,"",IFERROR(I225/E225-1,"")))</f>
        <v/>
      </c>
      <c r="J227" s="15">
        <f>IF(OR(J225="",F225=""),"",IF(F225&lt;=0,"",IFERROR(J225/F225-1,"")))</f>
        <v/>
      </c>
      <c r="K227" s="15">
        <f>IF(OR(K225="",G225=""),"",IF(G225&lt;=0,"",IFERROR(K225/G225-1,"")))</f>
        <v/>
      </c>
      <c r="L227" s="15">
        <f>IF(OR(L225="",H225=""),"",IF(H225&lt;=0,"",IFERROR(L225/H225-1,"")))</f>
        <v/>
      </c>
      <c r="M227" s="15">
        <f>IF(OR(M225="",I225=""),"",IF(I225&lt;=0,"",IFERROR(M225/I225-1,"")))</f>
        <v/>
      </c>
      <c r="N227" s="15">
        <f>IF(OR(N225="",J225=""),"",IF(J225&lt;=0,"",IFERROR(N225/J225-1,"")))</f>
        <v/>
      </c>
      <c r="V227" s="15">
        <f>IF(OR(V225="",U225=""),"",IF(U225&lt;=0,"",IFERROR(V225/U225-1,"")))</f>
        <v/>
      </c>
      <c r="W227" s="15">
        <f>IF(OR(W225="",V225=""),"",IF(V225&lt;=0,"",IFERROR(W225/V225-1,"")))</f>
        <v/>
      </c>
      <c r="X227" s="15">
        <f>IF(OR(X225="",W225=""),"",IF(W225&lt;=0,"",IFERROR(X225/W225-1,"")))</f>
        <v/>
      </c>
    </row>
    <row r="229">
      <c r="A229" s="16" t="inlineStr">
        <is>
          <t>현금흐름표 · 전 항목</t>
        </is>
      </c>
      <c r="B229" s="42" t="inlineStr">
        <is>
          <t>분기 = 결산기 첫날부터 누계(공시 그대로)</t>
        </is>
      </c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</row>
    <row r="230">
      <c r="A230" s="5" t="inlineStr">
        <is>
          <t>항목</t>
        </is>
      </c>
      <c r="B230" s="5" t="inlineStr">
        <is>
          <t>참고</t>
        </is>
      </c>
      <c r="C230" s="5" t="inlineStr">
        <is>
          <t>2024.2Q</t>
        </is>
      </c>
      <c r="D230" s="5" t="inlineStr">
        <is>
          <t>2024.3Q</t>
        </is>
      </c>
      <c r="E230" s="5" t="inlineStr">
        <is>
          <t>2024.4Q</t>
        </is>
      </c>
      <c r="F230" s="5" t="inlineStr">
        <is>
          <t>2025.1Q</t>
        </is>
      </c>
      <c r="G230" s="5" t="inlineStr">
        <is>
          <t>2025.2Q</t>
        </is>
      </c>
      <c r="H230" s="5" t="inlineStr">
        <is>
          <t>2025.3Q</t>
        </is>
      </c>
      <c r="I230" s="5" t="inlineStr">
        <is>
          <t>2025.4Q</t>
        </is>
      </c>
      <c r="J230" s="5" t="inlineStr">
        <is>
          <t>2026.1Q</t>
        </is>
      </c>
      <c r="K230" s="5" t="inlineStr">
        <is>
          <t>2026.2Q</t>
        </is>
      </c>
      <c r="L230" s="5" t="inlineStr">
        <is>
          <t>2026.3Q</t>
        </is>
      </c>
      <c r="M230" s="5" t="inlineStr">
        <is>
          <t>2026.4Q</t>
        </is>
      </c>
      <c r="N230" s="5" t="inlineStr">
        <is>
          <t>2027.1Q</t>
        </is>
      </c>
      <c r="O230" s="5" t="inlineStr">
        <is>
          <t>2017</t>
        </is>
      </c>
      <c r="P230" s="5" t="inlineStr">
        <is>
          <t>2018</t>
        </is>
      </c>
      <c r="Q230" s="5" t="inlineStr">
        <is>
          <t>2019</t>
        </is>
      </c>
      <c r="R230" s="5" t="inlineStr">
        <is>
          <t>2020</t>
        </is>
      </c>
      <c r="S230" s="5" t="inlineStr">
        <is>
          <t>2021</t>
        </is>
      </c>
      <c r="T230" s="5" t="inlineStr">
        <is>
          <t>2022</t>
        </is>
      </c>
      <c r="U230" s="5" t="inlineStr">
        <is>
          <t>2023</t>
        </is>
      </c>
      <c r="V230" s="5" t="inlineStr">
        <is>
          <t>2024</t>
        </is>
      </c>
      <c r="W230" s="5" t="inlineStr">
        <is>
          <t>2025</t>
        </is>
      </c>
      <c r="X230" s="5" t="inlineStr">
        <is>
          <t>2026</t>
        </is>
      </c>
      <c r="Y230" s="5" t="inlineStr">
        <is>
          <t>2027(MW)</t>
        </is>
      </c>
      <c r="Z230" s="5" t="inlineStr">
        <is>
          <t>2028(MW)</t>
        </is>
      </c>
      <c r="AA230" s="5" t="inlineStr">
        <is>
          <t>2029(MW)</t>
        </is>
      </c>
      <c r="AB230" s="5" t="inlineStr">
        <is>
          <t>2030(MW)</t>
        </is>
      </c>
      <c r="AC230" s="5" t="inlineStr">
        <is>
          <t>2031(MW)</t>
        </is>
      </c>
    </row>
    <row r="231">
      <c r="A231" s="9" t="inlineStr">
        <is>
          <t>법인세차감전 순이익</t>
        </is>
      </c>
      <c r="C231" s="12" t="n">
        <v>126879</v>
      </c>
      <c r="E231" s="12" t="n">
        <v>204838</v>
      </c>
      <c r="G231" s="12" t="n">
        <v>112648</v>
      </c>
      <c r="I231" s="12" t="n">
        <v>196566</v>
      </c>
      <c r="K231" s="12" t="n">
        <v>105416</v>
      </c>
      <c r="M231" s="12" t="n">
        <v>223501</v>
      </c>
      <c r="O231" s="12" t="n">
        <v>139462</v>
      </c>
      <c r="P231" s="12" t="n">
        <v>196641</v>
      </c>
      <c r="Q231" s="12" t="n">
        <v>154023</v>
      </c>
      <c r="R231" s="12" t="n">
        <v>51501</v>
      </c>
      <c r="V231" s="12" t="n">
        <v>204838</v>
      </c>
      <c r="W231" s="12" t="n">
        <v>196566</v>
      </c>
      <c r="X231" s="12" t="n">
        <v>223501</v>
      </c>
    </row>
    <row r="232">
      <c r="A232" s="18" t="inlineStr">
        <is>
          <t>감가상각비</t>
        </is>
      </c>
      <c r="C232" s="20" t="n">
        <v>70424</v>
      </c>
      <c r="E232" s="20" t="n">
        <v>142315</v>
      </c>
      <c r="G232" s="20" t="n">
        <v>73488</v>
      </c>
      <c r="I232" s="20" t="n">
        <v>148659</v>
      </c>
      <c r="K232" s="20" t="n">
        <v>81196</v>
      </c>
      <c r="M232" s="20" t="n">
        <v>169012</v>
      </c>
      <c r="O232" s="20" t="n">
        <v>140354</v>
      </c>
      <c r="P232" s="20" t="n">
        <v>150408</v>
      </c>
      <c r="Q232" s="20" t="n">
        <v>159541</v>
      </c>
      <c r="R232" s="20" t="n">
        <v>175739</v>
      </c>
      <c r="S232" s="20" t="n">
        <v>176352</v>
      </c>
      <c r="T232" s="20" t="n">
        <v>157505</v>
      </c>
      <c r="U232" s="20" t="n">
        <v>148270</v>
      </c>
      <c r="V232" s="20" t="n">
        <v>142315</v>
      </c>
      <c r="W232" s="20" t="n">
        <v>148659</v>
      </c>
      <c r="X232" s="20" t="n">
        <v>169012</v>
      </c>
    </row>
    <row r="233">
      <c r="A233" s="18" t="inlineStr">
        <is>
          <t>영업권 상각</t>
        </is>
      </c>
      <c r="C233" s="20" t="n">
        <v>1058</v>
      </c>
      <c r="E233" s="20" t="n">
        <v>2116</v>
      </c>
      <c r="G233" s="20" t="n">
        <v>1000</v>
      </c>
      <c r="I233" s="20" t="n">
        <v>2001</v>
      </c>
      <c r="K233" s="20" t="n">
        <v>1000</v>
      </c>
      <c r="M233" s="20" t="n">
        <v>2001</v>
      </c>
      <c r="O233" s="20" t="n">
        <v>176</v>
      </c>
      <c r="P233" s="20" t="n">
        <v>4031</v>
      </c>
      <c r="Q233" s="20" t="n">
        <v>4031</v>
      </c>
      <c r="R233" s="20" t="n">
        <v>4006</v>
      </c>
      <c r="S233" s="20" t="n">
        <v>2115</v>
      </c>
      <c r="T233" s="20" t="n">
        <v>2116</v>
      </c>
      <c r="U233" s="20" t="n">
        <v>2115</v>
      </c>
      <c r="V233" s="20" t="n">
        <v>2116</v>
      </c>
      <c r="W233" s="20" t="n">
        <v>2001</v>
      </c>
      <c r="X233" s="20" t="n">
        <v>2001</v>
      </c>
    </row>
    <row r="234">
      <c r="A234" s="18" t="inlineStr">
        <is>
          <t>부의 영업권 발생이익</t>
        </is>
      </c>
      <c r="G234" s="20" t="n">
        <v>0</v>
      </c>
      <c r="I234" s="20" t="n">
        <v>0</v>
      </c>
      <c r="K234" s="20" t="n">
        <v>-7165</v>
      </c>
      <c r="M234" s="20" t="n">
        <v>-7165</v>
      </c>
      <c r="W234" s="20" t="n">
        <v>0</v>
      </c>
      <c r="X234" s="20" t="n">
        <v>-7165</v>
      </c>
    </row>
    <row r="235">
      <c r="A235" s="18" t="inlineStr">
        <is>
          <t>손상차손</t>
        </is>
      </c>
      <c r="G235" s="20" t="n">
        <v>0</v>
      </c>
      <c r="I235" s="20" t="n">
        <v>0</v>
      </c>
      <c r="K235" s="20" t="n">
        <v>1027</v>
      </c>
      <c r="M235" s="20" t="n">
        <v>7732</v>
      </c>
      <c r="O235" s="20" t="n">
        <v>2208</v>
      </c>
      <c r="P235" s="20" t="n">
        <v>6061</v>
      </c>
      <c r="Q235" s="20" t="n">
        <v>1997</v>
      </c>
      <c r="R235" s="20" t="n">
        <v>25159</v>
      </c>
      <c r="S235" s="20" t="n">
        <v>75575</v>
      </c>
      <c r="T235" s="20" t="n">
        <v>9357</v>
      </c>
      <c r="U235" s="20" t="n">
        <v>0</v>
      </c>
      <c r="W235" s="20" t="n">
        <v>0</v>
      </c>
      <c r="X235" s="20" t="n">
        <v>7732</v>
      </c>
    </row>
    <row r="236">
      <c r="A236" s="18" t="inlineStr">
        <is>
          <t>Loss Gain On Disposal And Sale Of Property And Equipment Ope CF</t>
        </is>
      </c>
      <c r="C236" s="20" t="n">
        <v>-578</v>
      </c>
      <c r="E236" s="20" t="n">
        <v>2651</v>
      </c>
      <c r="G236" s="20" t="n">
        <v>2231</v>
      </c>
      <c r="I236" s="20" t="n">
        <v>6431</v>
      </c>
      <c r="K236" s="20" t="n">
        <v>2051</v>
      </c>
      <c r="M236" s="20" t="n">
        <v>4291</v>
      </c>
      <c r="O236" s="20" t="n">
        <v>4160</v>
      </c>
      <c r="P236" s="20" t="n">
        <v>-7970</v>
      </c>
      <c r="Q236" s="20" t="n">
        <v>9204</v>
      </c>
      <c r="R236" s="20" t="n">
        <v>689</v>
      </c>
      <c r="S236" s="20" t="n">
        <v>10759</v>
      </c>
      <c r="T236" s="20" t="n">
        <v>-15637</v>
      </c>
      <c r="U236" s="20" t="n">
        <v>-6123</v>
      </c>
      <c r="V236" s="20" t="n">
        <v>2651</v>
      </c>
      <c r="W236" s="20" t="n">
        <v>6431</v>
      </c>
      <c r="X236" s="20" t="n">
        <v>4291</v>
      </c>
    </row>
    <row r="237">
      <c r="A237" s="18" t="inlineStr">
        <is>
          <t>Loss On Cancellation Of Contracts Ope CF</t>
        </is>
      </c>
      <c r="S237" s="20" t="n">
        <v>0</v>
      </c>
      <c r="T237" s="20" t="n">
        <v>4055</v>
      </c>
      <c r="U237" s="20" t="n">
        <v>0</v>
      </c>
    </row>
    <row r="238">
      <c r="A238" s="18" t="inlineStr">
        <is>
          <t>투자유가증권 매각·평가손익</t>
        </is>
      </c>
      <c r="O238" s="20" t="n">
        <v>-1976</v>
      </c>
      <c r="P238" s="20" t="n">
        <v>-1170</v>
      </c>
      <c r="Q238" s="20" t="n">
        <v>-149</v>
      </c>
      <c r="R238" s="20" t="n">
        <v>-269</v>
      </c>
      <c r="S238" s="20" t="n">
        <v>8058</v>
      </c>
      <c r="T238" s="20" t="n">
        <v>-2941</v>
      </c>
    </row>
    <row r="239">
      <c r="A239" s="18" t="inlineStr">
        <is>
          <t>관계회사 주식 평가손실</t>
        </is>
      </c>
      <c r="O239" s="20" t="n">
        <v>571</v>
      </c>
      <c r="P239" s="20" t="n">
        <v>446</v>
      </c>
      <c r="Q239" s="20" t="n">
        <v>0</v>
      </c>
    </row>
    <row r="240">
      <c r="A240" s="18" t="inlineStr">
        <is>
          <t>관계회사 주식 매각손익</t>
        </is>
      </c>
      <c r="P240" s="20" t="n">
        <v>0</v>
      </c>
      <c r="Q240" s="20" t="n">
        <v>343</v>
      </c>
      <c r="R240" s="20" t="n">
        <v>7</v>
      </c>
      <c r="S240" s="20" t="n">
        <v>0</v>
      </c>
    </row>
    <row r="241">
      <c r="A241" s="18" t="inlineStr">
        <is>
          <t>Loss On Sale And Valuation Of Investment Securities</t>
        </is>
      </c>
      <c r="E241" s="20" t="n">
        <v>2818</v>
      </c>
      <c r="T241" s="20" t="n">
        <v>-2941</v>
      </c>
      <c r="U241" s="20" t="n">
        <v>841</v>
      </c>
      <c r="V241" s="20" t="n">
        <v>2818</v>
      </c>
    </row>
    <row r="242">
      <c r="A242" s="18" t="inlineStr">
        <is>
          <t>환산조정 환입이익</t>
        </is>
      </c>
      <c r="E242" s="20" t="n">
        <v>0</v>
      </c>
      <c r="T242" s="20" t="n">
        <v>0</v>
      </c>
      <c r="U242" s="20" t="n">
        <v>-1987</v>
      </c>
      <c r="V242" s="20" t="n">
        <v>0</v>
      </c>
    </row>
    <row r="243">
      <c r="A243" s="18" t="inlineStr">
        <is>
          <t>Loss Gain On Sales And Valuation Of Securities Ope CF</t>
        </is>
      </c>
      <c r="C243" s="20" t="n">
        <v>451</v>
      </c>
      <c r="G243" s="20" t="n">
        <v>-265</v>
      </c>
      <c r="K243" s="20" t="n">
        <v>-4091</v>
      </c>
    </row>
    <row r="244">
      <c r="A244" s="18" t="inlineStr">
        <is>
          <t>Loss On Sale And Valuation Of Investment Securities Ope CF</t>
        </is>
      </c>
      <c r="E244" s="20" t="n">
        <v>2818</v>
      </c>
      <c r="I244" s="20" t="n">
        <v>-404</v>
      </c>
      <c r="M244" s="20" t="n">
        <v>-4746</v>
      </c>
      <c r="V244" s="20" t="n">
        <v>2818</v>
      </c>
      <c r="W244" s="20" t="n">
        <v>-404</v>
      </c>
      <c r="X244" s="20" t="n">
        <v>-4746</v>
      </c>
    </row>
    <row r="245">
      <c r="A245" s="18" t="inlineStr">
        <is>
          <t>대손충당금 증감</t>
        </is>
      </c>
      <c r="C245" s="20" t="n">
        <v>88</v>
      </c>
      <c r="E245" s="20" t="n">
        <v>-11</v>
      </c>
      <c r="G245" s="20" t="n">
        <v>-7</v>
      </c>
      <c r="I245" s="20" t="n">
        <v>3855</v>
      </c>
      <c r="K245" s="20" t="n">
        <v>112</v>
      </c>
      <c r="M245" s="20" t="n">
        <v>359</v>
      </c>
      <c r="O245" s="20" t="n">
        <v>143</v>
      </c>
      <c r="P245" s="20" t="n">
        <v>339</v>
      </c>
      <c r="Q245" s="20" t="n">
        <v>51</v>
      </c>
      <c r="R245" s="20" t="n">
        <v>419</v>
      </c>
      <c r="S245" s="20" t="n">
        <v>-251</v>
      </c>
      <c r="T245" s="20" t="n">
        <v>770</v>
      </c>
      <c r="U245" s="20" t="n">
        <v>506</v>
      </c>
      <c r="V245" s="20" t="n">
        <v>-11</v>
      </c>
      <c r="W245" s="20" t="n">
        <v>3855</v>
      </c>
      <c r="X245" s="20" t="n">
        <v>359</v>
      </c>
    </row>
    <row r="246">
      <c r="A246" s="18" t="inlineStr">
        <is>
          <t>퇴직급여부채 증감</t>
        </is>
      </c>
      <c r="C246" s="20" t="n">
        <v>679</v>
      </c>
      <c r="E246" s="20" t="n">
        <v>1554</v>
      </c>
      <c r="G246" s="20" t="n">
        <v>923</v>
      </c>
      <c r="I246" s="20" t="n">
        <v>1062</v>
      </c>
      <c r="K246" s="20" t="n">
        <v>-1399</v>
      </c>
      <c r="M246" s="20" t="n">
        <v>-780</v>
      </c>
      <c r="O246" s="20" t="n">
        <v>1615</v>
      </c>
      <c r="P246" s="20" t="n">
        <v>6430</v>
      </c>
      <c r="Q246" s="20" t="n">
        <v>4801</v>
      </c>
      <c r="R246" s="20" t="n">
        <v>5503</v>
      </c>
      <c r="S246" s="20" t="n">
        <v>-44</v>
      </c>
      <c r="T246" s="20" t="n">
        <v>664</v>
      </c>
      <c r="U246" s="20" t="n">
        <v>2906</v>
      </c>
      <c r="V246" s="20" t="n">
        <v>1554</v>
      </c>
      <c r="W246" s="20" t="n">
        <v>1062</v>
      </c>
      <c r="X246" s="20" t="n">
        <v>-780</v>
      </c>
    </row>
    <row r="247">
      <c r="A247" s="18" t="inlineStr">
        <is>
          <t>이자·배당금 수익</t>
        </is>
      </c>
      <c r="C247" s="20" t="n">
        <v>-1547</v>
      </c>
      <c r="E247" s="20" t="n">
        <v>-2605</v>
      </c>
      <c r="G247" s="20" t="n">
        <v>-2482</v>
      </c>
      <c r="I247" s="20" t="n">
        <v>-6020</v>
      </c>
      <c r="K247" s="20" t="n">
        <v>-4591</v>
      </c>
      <c r="M247" s="20" t="n">
        <v>-9960</v>
      </c>
      <c r="O247" s="20" t="n">
        <v>-1691</v>
      </c>
      <c r="P247" s="20" t="n">
        <v>-2014</v>
      </c>
      <c r="Q247" s="20" t="n">
        <v>-2926</v>
      </c>
      <c r="R247" s="20" t="n">
        <v>-3031</v>
      </c>
      <c r="S247" s="20" t="n">
        <v>-2109</v>
      </c>
      <c r="T247" s="20" t="n">
        <v>-1285</v>
      </c>
      <c r="U247" s="20" t="n">
        <v>-1930</v>
      </c>
      <c r="V247" s="20" t="n">
        <v>-2605</v>
      </c>
      <c r="W247" s="20" t="n">
        <v>-6020</v>
      </c>
      <c r="X247" s="20" t="n">
        <v>-9960</v>
      </c>
    </row>
    <row r="248">
      <c r="A248" s="18" t="inlineStr">
        <is>
          <t>이자비용</t>
        </is>
      </c>
      <c r="C248" s="20" t="n">
        <v>11831</v>
      </c>
      <c r="E248" s="20" t="n">
        <v>23324</v>
      </c>
      <c r="G248" s="20" t="n">
        <v>11358</v>
      </c>
      <c r="I248" s="20" t="n">
        <v>23359</v>
      </c>
      <c r="K248" s="20" t="n">
        <v>12750</v>
      </c>
      <c r="M248" s="20" t="n">
        <v>22587</v>
      </c>
      <c r="O248" s="20" t="n">
        <v>9804</v>
      </c>
      <c r="P248" s="20" t="n">
        <v>8676</v>
      </c>
      <c r="Q248" s="20" t="n">
        <v>6995</v>
      </c>
      <c r="R248" s="20" t="n">
        <v>6291</v>
      </c>
      <c r="S248" s="20" t="n">
        <v>16689</v>
      </c>
      <c r="T248" s="20" t="n">
        <v>25343</v>
      </c>
      <c r="U248" s="20" t="n">
        <v>24845</v>
      </c>
      <c r="V248" s="20" t="n">
        <v>23324</v>
      </c>
      <c r="W248" s="20" t="n">
        <v>23359</v>
      </c>
      <c r="X248" s="20" t="n">
        <v>22587</v>
      </c>
    </row>
    <row r="249">
      <c r="A249" s="18" t="inlineStr">
        <is>
          <t>고용조정 보조금</t>
        </is>
      </c>
      <c r="R249" s="20" t="n">
        <v>0</v>
      </c>
      <c r="S249" s="20" t="n">
        <v>-43470</v>
      </c>
    </row>
    <row r="250">
      <c r="A250" s="18" t="inlineStr">
        <is>
          <t>고용조정 보조금</t>
        </is>
      </c>
      <c r="S250" s="20" t="n">
        <v>-43470</v>
      </c>
      <c r="T250" s="20" t="n">
        <v>-23955</v>
      </c>
    </row>
    <row r="251">
      <c r="A251" s="18" t="inlineStr">
        <is>
          <t>고용조정 보조금</t>
        </is>
      </c>
      <c r="C251" s="20" t="n">
        <v>0</v>
      </c>
      <c r="E251" s="20" t="n">
        <v>0</v>
      </c>
      <c r="T251" s="20" t="n">
        <v>-23955</v>
      </c>
      <c r="U251" s="20" t="n">
        <v>-5043</v>
      </c>
      <c r="V251" s="20" t="n">
        <v>0</v>
      </c>
    </row>
    <row r="252">
      <c r="A252" s="18" t="inlineStr">
        <is>
          <t>외환차손익</t>
        </is>
      </c>
      <c r="C252" s="20" t="n">
        <v>-3736</v>
      </c>
      <c r="E252" s="20" t="n">
        <v>-4268</v>
      </c>
      <c r="G252" s="20" t="n">
        <v>-4198</v>
      </c>
      <c r="I252" s="20" t="n">
        <v>-5063</v>
      </c>
      <c r="K252" s="20" t="n">
        <v>-553</v>
      </c>
      <c r="M252" s="20" t="n">
        <v>-3947</v>
      </c>
      <c r="O252" s="20" t="n">
        <v>1668</v>
      </c>
      <c r="P252" s="20" t="n">
        <v>261</v>
      </c>
      <c r="Q252" s="20" t="n">
        <v>-534</v>
      </c>
      <c r="R252" s="20" t="n">
        <v>273</v>
      </c>
      <c r="S252" s="20" t="n">
        <v>-2454</v>
      </c>
      <c r="T252" s="20" t="n">
        <v>-3404</v>
      </c>
      <c r="U252" s="20" t="n">
        <v>-2348</v>
      </c>
      <c r="V252" s="20" t="n">
        <v>-4268</v>
      </c>
      <c r="W252" s="20" t="n">
        <v>-5063</v>
      </c>
      <c r="X252" s="20" t="n">
        <v>-3947</v>
      </c>
    </row>
    <row r="253">
      <c r="A253" s="18" t="inlineStr">
        <is>
          <t>단계적 취득 차손익</t>
        </is>
      </c>
      <c r="O253" s="20" t="n">
        <v>0</v>
      </c>
      <c r="P253" s="20" t="n">
        <v>-33801</v>
      </c>
      <c r="Q253" s="20" t="n">
        <v>0</v>
      </c>
    </row>
    <row r="254">
      <c r="A254" s="18" t="inlineStr">
        <is>
          <t>매출채권 증감</t>
        </is>
      </c>
      <c r="C254" s="20" t="n">
        <v>-14496</v>
      </c>
      <c r="E254" s="20" t="n">
        <v>-33419</v>
      </c>
      <c r="G254" s="20" t="n">
        <v>-6521</v>
      </c>
      <c r="I254" s="20" t="n">
        <v>-29566</v>
      </c>
      <c r="K254" s="20" t="n">
        <v>4086</v>
      </c>
      <c r="M254" s="20" t="n">
        <v>-36258</v>
      </c>
      <c r="O254" s="20" t="n">
        <v>-16092</v>
      </c>
      <c r="P254" s="20" t="n">
        <v>-14201</v>
      </c>
      <c r="Q254" s="20" t="n">
        <v>-7195</v>
      </c>
      <c r="R254" s="20" t="n">
        <v>82312</v>
      </c>
      <c r="S254" s="20" t="n">
        <v>-5107</v>
      </c>
      <c r="T254" s="20" t="n">
        <v>-44964</v>
      </c>
      <c r="U254" s="20" t="n">
        <v>-36523</v>
      </c>
      <c r="V254" s="20" t="n">
        <v>-33419</v>
      </c>
      <c r="W254" s="20" t="n">
        <v>-29566</v>
      </c>
      <c r="X254" s="20" t="n">
        <v>-36258</v>
      </c>
    </row>
    <row r="255">
      <c r="A255" s="18" t="inlineStr">
        <is>
          <t>Increase Decrease In Other Current Assets Ope CF</t>
        </is>
      </c>
      <c r="C255" s="20" t="n">
        <v>-14832</v>
      </c>
      <c r="E255" s="20" t="n">
        <v>-25279</v>
      </c>
      <c r="G255" s="20" t="n">
        <v>-24654</v>
      </c>
      <c r="I255" s="20" t="n">
        <v>-14403</v>
      </c>
      <c r="K255" s="20" t="n">
        <v>-6457</v>
      </c>
      <c r="M255" s="20" t="n">
        <v>-3066</v>
      </c>
      <c r="O255" s="20" t="n">
        <v>5808</v>
      </c>
      <c r="P255" s="20" t="n">
        <v>-19784</v>
      </c>
      <c r="Q255" s="20" t="n">
        <v>-20788</v>
      </c>
      <c r="R255" s="20" t="n">
        <v>-9284</v>
      </c>
      <c r="S255" s="20" t="n">
        <v>52880</v>
      </c>
      <c r="T255" s="20" t="n">
        <v>20687</v>
      </c>
      <c r="U255" s="20" t="n">
        <v>5758</v>
      </c>
      <c r="V255" s="20" t="n">
        <v>-25279</v>
      </c>
      <c r="W255" s="20" t="n">
        <v>-14403</v>
      </c>
      <c r="X255" s="20" t="n">
        <v>-3066</v>
      </c>
    </row>
    <row r="256">
      <c r="A256" s="18" t="inlineStr">
        <is>
          <t>매입채무 증감</t>
        </is>
      </c>
      <c r="C256" s="20" t="n">
        <v>61180</v>
      </c>
      <c r="E256" s="20" t="n">
        <v>62539</v>
      </c>
      <c r="G256" s="20" t="n">
        <v>-17979</v>
      </c>
      <c r="I256" s="20" t="n">
        <v>-825</v>
      </c>
      <c r="K256" s="20" t="n">
        <v>-9232</v>
      </c>
      <c r="M256" s="20" t="n">
        <v>20882</v>
      </c>
      <c r="O256" s="20" t="n">
        <v>13026</v>
      </c>
      <c r="P256" s="20" t="n">
        <v>37149</v>
      </c>
      <c r="Q256" s="20" t="n">
        <v>3355</v>
      </c>
      <c r="R256" s="20" t="n">
        <v>-38045</v>
      </c>
      <c r="S256" s="20" t="n">
        <v>-25160</v>
      </c>
      <c r="T256" s="20" t="n">
        <v>2473</v>
      </c>
      <c r="U256" s="20" t="n">
        <v>35612</v>
      </c>
      <c r="V256" s="20" t="n">
        <v>62539</v>
      </c>
      <c r="W256" s="20" t="n">
        <v>-825</v>
      </c>
      <c r="X256" s="20" t="n">
        <v>20882</v>
      </c>
    </row>
    <row r="257">
      <c r="A257" s="18" t="inlineStr">
        <is>
          <t>Increase Decrease In Advance Ticket Sales Ope CF</t>
        </is>
      </c>
      <c r="O257" s="20" t="n">
        <v>21996</v>
      </c>
      <c r="P257" s="20" t="n">
        <v>22949</v>
      </c>
      <c r="Q257" s="20" t="n">
        <v>37597</v>
      </c>
      <c r="R257" s="20" t="n">
        <v>-107123</v>
      </c>
      <c r="S257" s="20" t="n">
        <v>-67109</v>
      </c>
      <c r="T257" s="20" t="n">
        <v>0</v>
      </c>
    </row>
    <row r="258">
      <c r="A258" s="18" t="inlineStr">
        <is>
          <t>계약부채 증감</t>
        </is>
      </c>
      <c r="C258" s="20" t="n">
        <v>52496</v>
      </c>
      <c r="E258" s="20" t="n">
        <v>51437</v>
      </c>
      <c r="G258" s="20" t="n">
        <v>57548</v>
      </c>
      <c r="I258" s="20" t="n">
        <v>81129</v>
      </c>
      <c r="K258" s="20" t="n">
        <v>44894</v>
      </c>
      <c r="M258" s="20" t="n">
        <v>69836</v>
      </c>
      <c r="S258" s="20" t="n">
        <v>0</v>
      </c>
      <c r="T258" s="20" t="n">
        <v>15445</v>
      </c>
      <c r="U258" s="20" t="n">
        <v>137522</v>
      </c>
      <c r="V258" s="20" t="n">
        <v>51437</v>
      </c>
      <c r="W258" s="20" t="n">
        <v>81129</v>
      </c>
      <c r="X258" s="20" t="n">
        <v>69836</v>
      </c>
    </row>
    <row r="259">
      <c r="A259" s="18" t="inlineStr">
        <is>
          <t>기타</t>
        </is>
      </c>
      <c r="C259" s="20" t="n">
        <v>-25096</v>
      </c>
      <c r="E259" s="20" t="n">
        <v>14111</v>
      </c>
      <c r="G259" s="20" t="n">
        <v>-30396</v>
      </c>
      <c r="I259" s="20" t="n">
        <v>-10885</v>
      </c>
      <c r="K259" s="20" t="n">
        <v>-26790</v>
      </c>
      <c r="M259" s="20" t="n">
        <v>11005</v>
      </c>
      <c r="O259" s="20" t="n">
        <v>-2041</v>
      </c>
      <c r="P259" s="20" t="n">
        <v>2742</v>
      </c>
      <c r="Q259" s="20" t="n">
        <v>12694</v>
      </c>
      <c r="R259" s="20" t="n">
        <v>-14510</v>
      </c>
      <c r="S259" s="20" t="n">
        <v>49496</v>
      </c>
      <c r="T259" s="20" t="n">
        <v>-43432</v>
      </c>
      <c r="U259" s="20" t="n">
        <v>50230</v>
      </c>
      <c r="V259" s="20" t="n">
        <v>14111</v>
      </c>
      <c r="W259" s="20" t="n">
        <v>-10885</v>
      </c>
      <c r="X259" s="20" t="n">
        <v>11005</v>
      </c>
    </row>
    <row r="260">
      <c r="A260" s="18" t="inlineStr">
        <is>
          <t>소계</t>
        </is>
      </c>
      <c r="C260" s="20" t="n">
        <v>264801</v>
      </c>
      <c r="E260" s="20" t="n">
        <v>442121</v>
      </c>
      <c r="G260" s="20" t="n">
        <v>172694</v>
      </c>
      <c r="I260" s="20" t="n">
        <v>395896</v>
      </c>
      <c r="K260" s="20" t="n">
        <v>192254</v>
      </c>
      <c r="M260" s="20" t="n">
        <v>465284</v>
      </c>
      <c r="O260" s="20" t="n">
        <v>319191</v>
      </c>
      <c r="P260" s="20" t="n">
        <v>357193</v>
      </c>
      <c r="Q260" s="20" t="n">
        <v>363040</v>
      </c>
      <c r="R260" s="20" t="n">
        <v>179637</v>
      </c>
      <c r="S260" s="20" t="n">
        <v>-299152</v>
      </c>
      <c r="T260" s="20" t="n">
        <v>-72577</v>
      </c>
      <c r="U260" s="20" t="n">
        <v>468993</v>
      </c>
      <c r="V260" s="20" t="n">
        <v>442121</v>
      </c>
      <c r="W260" s="20" t="n">
        <v>395896</v>
      </c>
      <c r="X260" s="20" t="n">
        <v>465284</v>
      </c>
    </row>
    <row r="261">
      <c r="A261" s="18" t="inlineStr">
        <is>
          <t>이자·배당금 수취</t>
        </is>
      </c>
      <c r="C261" s="20" t="n">
        <v>1891</v>
      </c>
      <c r="E261" s="20" t="n">
        <v>3563</v>
      </c>
      <c r="G261" s="20" t="n">
        <v>2548</v>
      </c>
      <c r="I261" s="20" t="n">
        <v>5762</v>
      </c>
      <c r="K261" s="20" t="n">
        <v>4962</v>
      </c>
      <c r="M261" s="20" t="n">
        <v>10199</v>
      </c>
      <c r="O261" s="20" t="n">
        <v>3519</v>
      </c>
      <c r="P261" s="20" t="n">
        <v>2906</v>
      </c>
      <c r="Q261" s="20" t="n">
        <v>3447</v>
      </c>
      <c r="R261" s="20" t="n">
        <v>3831</v>
      </c>
      <c r="S261" s="20" t="n">
        <v>2427</v>
      </c>
      <c r="T261" s="20" t="n">
        <v>1682</v>
      </c>
      <c r="U261" s="20" t="n">
        <v>2202</v>
      </c>
      <c r="V261" s="20" t="n">
        <v>3563</v>
      </c>
      <c r="W261" s="20" t="n">
        <v>5762</v>
      </c>
      <c r="X261" s="20" t="n">
        <v>10199</v>
      </c>
    </row>
    <row r="262">
      <c r="A262" s="18" t="inlineStr">
        <is>
          <t>이자 지급</t>
        </is>
      </c>
      <c r="C262" s="20" t="n">
        <v>-11790</v>
      </c>
      <c r="E262" s="20" t="n">
        <v>-23419</v>
      </c>
      <c r="G262" s="20" t="n">
        <v>-11238</v>
      </c>
      <c r="I262" s="20" t="n">
        <v>-23061</v>
      </c>
      <c r="K262" s="20" t="n">
        <v>-12586</v>
      </c>
      <c r="M262" s="20" t="n">
        <v>-23747</v>
      </c>
      <c r="O262" s="20" t="n">
        <v>-9910</v>
      </c>
      <c r="P262" s="20" t="n">
        <v>-8763</v>
      </c>
      <c r="Q262" s="20" t="n">
        <v>-7175</v>
      </c>
      <c r="R262" s="20" t="n">
        <v>-6371</v>
      </c>
      <c r="S262" s="20" t="n">
        <v>-12466</v>
      </c>
      <c r="T262" s="20" t="n">
        <v>-26081</v>
      </c>
      <c r="U262" s="20" t="n">
        <v>-24990</v>
      </c>
      <c r="V262" s="20" t="n">
        <v>-23419</v>
      </c>
      <c r="W262" s="20" t="n">
        <v>-23061</v>
      </c>
      <c r="X262" s="20" t="n">
        <v>-23747</v>
      </c>
    </row>
    <row r="263">
      <c r="A263" s="18" t="inlineStr">
        <is>
          <t>법인세 납부</t>
        </is>
      </c>
      <c r="O263" s="20" t="n">
        <v>-75716</v>
      </c>
      <c r="P263" s="20" t="n">
        <v>-35322</v>
      </c>
      <c r="Q263" s="20" t="n">
        <v>-63164</v>
      </c>
      <c r="R263" s="20" t="n">
        <v>-46928</v>
      </c>
    </row>
    <row r="264">
      <c r="A264" s="18" t="inlineStr">
        <is>
          <t>보조금 수취</t>
        </is>
      </c>
      <c r="C264" s="20" t="n">
        <v>15</v>
      </c>
      <c r="E264" s="20" t="n">
        <v>15</v>
      </c>
      <c r="G264" s="20" t="n">
        <v>0</v>
      </c>
      <c r="I264" s="20" t="n">
        <v>0</v>
      </c>
      <c r="R264" s="20" t="n">
        <v>0</v>
      </c>
      <c r="S264" s="20" t="n">
        <v>38001</v>
      </c>
      <c r="T264" s="20" t="n">
        <v>26046</v>
      </c>
      <c r="U264" s="20" t="n">
        <v>7300</v>
      </c>
      <c r="V264" s="20" t="n">
        <v>15</v>
      </c>
      <c r="W264" s="20" t="n">
        <v>0</v>
      </c>
    </row>
    <row r="265">
      <c r="A265" s="18" t="inlineStr">
        <is>
          <t>법인세 납부·환급</t>
        </is>
      </c>
      <c r="C265" s="20" t="n">
        <v>-306</v>
      </c>
      <c r="E265" s="20" t="n">
        <v>-1658</v>
      </c>
      <c r="G265" s="20" t="n">
        <v>-3566</v>
      </c>
      <c r="I265" s="20" t="n">
        <v>-5563</v>
      </c>
      <c r="K265" s="20" t="n">
        <v>-5615</v>
      </c>
      <c r="M265" s="20" t="n">
        <v>-8277</v>
      </c>
      <c r="R265" s="20" t="n">
        <v>-46928</v>
      </c>
      <c r="S265" s="20" t="n">
        <v>749</v>
      </c>
      <c r="T265" s="20" t="n">
        <v>-5483</v>
      </c>
      <c r="U265" s="20" t="n">
        <v>-3683</v>
      </c>
      <c r="V265" s="20" t="n">
        <v>-1658</v>
      </c>
      <c r="W265" s="20" t="n">
        <v>-5563</v>
      </c>
      <c r="X265" s="20" t="n">
        <v>-8277</v>
      </c>
    </row>
    <row r="266">
      <c r="A266" s="9" t="inlineStr">
        <is>
          <t>영업활동 현금흐름</t>
        </is>
      </c>
      <c r="C266" s="12" t="n">
        <v>254611</v>
      </c>
      <c r="E266" s="12" t="n">
        <v>420622</v>
      </c>
      <c r="G266" s="12" t="n">
        <v>160438</v>
      </c>
      <c r="I266" s="12" t="n">
        <v>373034</v>
      </c>
      <c r="K266" s="12" t="n">
        <v>179015</v>
      </c>
      <c r="M266" s="12" t="n">
        <v>443459</v>
      </c>
      <c r="O266" s="12" t="n">
        <v>237084</v>
      </c>
      <c r="P266" s="12" t="n">
        <v>316014</v>
      </c>
      <c r="Q266" s="12" t="n">
        <v>296148</v>
      </c>
      <c r="R266" s="12" t="n">
        <v>130169</v>
      </c>
      <c r="S266" s="12" t="n">
        <v>-270441</v>
      </c>
      <c r="T266" s="12" t="n">
        <v>-76413</v>
      </c>
      <c r="U266" s="12" t="n">
        <v>449822</v>
      </c>
      <c r="V266" s="12" t="n">
        <v>420622</v>
      </c>
      <c r="W266" s="12" t="n">
        <v>373034</v>
      </c>
      <c r="X266" s="12" t="n">
        <v>443459</v>
      </c>
    </row>
    <row r="267">
      <c r="A267" s="18" t="inlineStr">
        <is>
          <t>정기예금 예입</t>
        </is>
      </c>
      <c r="G267" s="20" t="n">
        <v>0</v>
      </c>
      <c r="I267" s="20" t="n">
        <v>0</v>
      </c>
      <c r="K267" s="20" t="n">
        <v>-200</v>
      </c>
      <c r="M267" s="20" t="n">
        <v>-200</v>
      </c>
      <c r="O267" s="20" t="n">
        <v>0</v>
      </c>
      <c r="P267" s="20" t="n">
        <v>-28265</v>
      </c>
      <c r="Q267" s="20" t="n">
        <v>-45811</v>
      </c>
      <c r="R267" s="20" t="n">
        <v>-55819</v>
      </c>
      <c r="S267" s="20" t="n">
        <v>-372626</v>
      </c>
      <c r="T267" s="20" t="n">
        <v>-655500</v>
      </c>
      <c r="U267" s="20" t="n">
        <v>-861080</v>
      </c>
      <c r="W267" s="20" t="n">
        <v>0</v>
      </c>
      <c r="X267" s="20" t="n">
        <v>-200</v>
      </c>
    </row>
    <row r="268">
      <c r="A268" s="18" t="inlineStr">
        <is>
          <t>정기예금 인출</t>
        </is>
      </c>
      <c r="O268" s="20" t="n">
        <v>118</v>
      </c>
      <c r="P268" s="20" t="n">
        <v>25705</v>
      </c>
      <c r="Q268" s="20" t="n">
        <v>30794</v>
      </c>
      <c r="R268" s="20" t="n">
        <v>50789</v>
      </c>
      <c r="S268" s="20" t="n">
        <v>162300</v>
      </c>
      <c r="T268" s="20" t="n">
        <v>635713</v>
      </c>
      <c r="U268" s="20" t="n">
        <v>735354</v>
      </c>
    </row>
    <row r="269">
      <c r="A269" s="18" t="inlineStr">
        <is>
          <t>유가증권 취득</t>
        </is>
      </c>
      <c r="C269" s="20" t="n">
        <v>-262916</v>
      </c>
      <c r="E269" s="20" t="n">
        <v>-528209</v>
      </c>
      <c r="G269" s="20" t="n">
        <v>-739004</v>
      </c>
      <c r="I269" s="20" t="n">
        <v>-1392578</v>
      </c>
      <c r="K269" s="20" t="n">
        <v>-711589</v>
      </c>
      <c r="M269" s="20" t="n">
        <v>-1498630</v>
      </c>
      <c r="O269" s="20" t="n">
        <v>-29460</v>
      </c>
      <c r="P269" s="20" t="n">
        <v>-159970</v>
      </c>
      <c r="Q269" s="20" t="n">
        <v>-176060</v>
      </c>
      <c r="R269" s="20" t="n">
        <v>-175070</v>
      </c>
      <c r="S269" s="20" t="n">
        <v>-437280</v>
      </c>
      <c r="T269" s="20" t="n">
        <v>-253889</v>
      </c>
      <c r="U269" s="20" t="n">
        <v>-154321</v>
      </c>
      <c r="V269" s="20" t="n">
        <v>-528209</v>
      </c>
      <c r="W269" s="20" t="n">
        <v>-1392578</v>
      </c>
      <c r="X269" s="20" t="n">
        <v>-1498630</v>
      </c>
    </row>
    <row r="270">
      <c r="A270" s="18" t="inlineStr">
        <is>
          <t>유가증권 상환 수입</t>
        </is>
      </c>
      <c r="C270" s="20" t="n">
        <v>91822</v>
      </c>
      <c r="E270" s="20" t="n">
        <v>343158</v>
      </c>
      <c r="G270" s="20" t="n">
        <v>461771</v>
      </c>
      <c r="I270" s="20" t="n">
        <v>1294172</v>
      </c>
      <c r="K270" s="20" t="n">
        <v>541327</v>
      </c>
      <c r="M270" s="20" t="n">
        <v>1331949</v>
      </c>
      <c r="O270" s="20" t="n">
        <v>32120</v>
      </c>
      <c r="P270" s="20" t="n">
        <v>92640</v>
      </c>
      <c r="Q270" s="20" t="n">
        <v>196582</v>
      </c>
      <c r="R270" s="20" t="n">
        <v>159200</v>
      </c>
      <c r="S270" s="20" t="n">
        <v>154870</v>
      </c>
      <c r="T270" s="20" t="n">
        <v>539230</v>
      </c>
      <c r="U270" s="20" t="n">
        <v>152739</v>
      </c>
      <c r="V270" s="20" t="n">
        <v>343158</v>
      </c>
      <c r="W270" s="20" t="n">
        <v>1294172</v>
      </c>
      <c r="X270" s="20" t="n">
        <v>1331949</v>
      </c>
    </row>
    <row r="271">
      <c r="A271" s="18" t="inlineStr">
        <is>
          <t>유형자산 취득(설비투자)</t>
        </is>
      </c>
      <c r="C271" s="20" t="n">
        <v>-66421</v>
      </c>
      <c r="E271" s="20" t="n">
        <v>-202066</v>
      </c>
      <c r="G271" s="20" t="n">
        <v>-74661</v>
      </c>
      <c r="I271" s="20" t="n">
        <v>-216859</v>
      </c>
      <c r="K271" s="20" t="n">
        <v>-100544</v>
      </c>
      <c r="M271" s="20" t="n">
        <v>-215029</v>
      </c>
      <c r="O271" s="20" t="n">
        <v>-224888</v>
      </c>
      <c r="P271" s="20" t="n">
        <v>-265531</v>
      </c>
      <c r="Q271" s="20" t="n">
        <v>-336807</v>
      </c>
      <c r="R271" s="20" t="n">
        <v>-317604</v>
      </c>
      <c r="S271" s="20" t="n">
        <v>-134174</v>
      </c>
      <c r="T271" s="20" t="n">
        <v>-120591</v>
      </c>
      <c r="U271" s="20" t="n">
        <v>-93450</v>
      </c>
      <c r="V271" s="20" t="n">
        <v>-202066</v>
      </c>
      <c r="W271" s="20" t="n">
        <v>-216859</v>
      </c>
      <c r="X271" s="20" t="n">
        <v>-215029</v>
      </c>
    </row>
    <row r="272">
      <c r="A272" s="18" t="inlineStr">
        <is>
          <t>유형자산 매각</t>
        </is>
      </c>
      <c r="C272" s="20" t="n">
        <v>21569</v>
      </c>
      <c r="E272" s="20" t="n">
        <v>29171</v>
      </c>
      <c r="G272" s="20" t="n">
        <v>17097</v>
      </c>
      <c r="I272" s="20" t="n">
        <v>17555</v>
      </c>
      <c r="K272" s="20" t="n">
        <v>11776</v>
      </c>
      <c r="M272" s="20" t="n">
        <v>13126</v>
      </c>
      <c r="O272" s="20" t="n">
        <v>68145</v>
      </c>
      <c r="P272" s="20" t="n">
        <v>75807</v>
      </c>
      <c r="Q272" s="20" t="n">
        <v>84917</v>
      </c>
      <c r="R272" s="20" t="n">
        <v>151652</v>
      </c>
      <c r="S272" s="20" t="n">
        <v>54415</v>
      </c>
      <c r="T272" s="20" t="n">
        <v>87055</v>
      </c>
      <c r="U272" s="20" t="n">
        <v>42717</v>
      </c>
      <c r="V272" s="20" t="n">
        <v>29171</v>
      </c>
      <c r="W272" s="20" t="n">
        <v>17555</v>
      </c>
      <c r="X272" s="20" t="n">
        <v>13126</v>
      </c>
    </row>
    <row r="273">
      <c r="A273" s="18" t="inlineStr">
        <is>
          <t>무형자산 취득</t>
        </is>
      </c>
      <c r="C273" s="20" t="n">
        <v>-21060</v>
      </c>
      <c r="E273" s="20" t="n">
        <v>-38403</v>
      </c>
      <c r="G273" s="20" t="n">
        <v>-18077</v>
      </c>
      <c r="I273" s="20" t="n">
        <v>-39071</v>
      </c>
      <c r="K273" s="20" t="n">
        <v>-23269</v>
      </c>
      <c r="M273" s="20" t="n">
        <v>-47271</v>
      </c>
      <c r="O273" s="20" t="n">
        <v>-29537</v>
      </c>
      <c r="P273" s="20" t="n">
        <v>-39176</v>
      </c>
      <c r="Q273" s="20" t="n">
        <v>-39057</v>
      </c>
      <c r="R273" s="20" t="n">
        <v>-33757</v>
      </c>
      <c r="S273" s="20" t="n">
        <v>-22536</v>
      </c>
      <c r="T273" s="20" t="n">
        <v>-12773</v>
      </c>
      <c r="U273" s="20" t="n">
        <v>-23442</v>
      </c>
      <c r="V273" s="20" t="n">
        <v>-38403</v>
      </c>
      <c r="W273" s="20" t="n">
        <v>-39071</v>
      </c>
      <c r="X273" s="20" t="n">
        <v>-47271</v>
      </c>
    </row>
    <row r="274">
      <c r="A274" s="18" t="inlineStr">
        <is>
          <t>투자유가증권 취득</t>
        </is>
      </c>
      <c r="C274" s="20" t="n">
        <v>-793</v>
      </c>
      <c r="E274" s="20" t="n">
        <v>-2534</v>
      </c>
      <c r="G274" s="20" t="n">
        <v>-1255</v>
      </c>
      <c r="I274" s="20" t="n">
        <v>-2167</v>
      </c>
      <c r="K274" s="20" t="n">
        <v>-4191</v>
      </c>
      <c r="M274" s="20" t="n">
        <v>-4967</v>
      </c>
      <c r="O274" s="20" t="n">
        <v>-13898</v>
      </c>
      <c r="P274" s="20" t="n">
        <v>-3539</v>
      </c>
      <c r="Q274" s="20" t="n">
        <v>-18978</v>
      </c>
      <c r="R274" s="20" t="n">
        <v>-8339</v>
      </c>
      <c r="S274" s="20" t="n">
        <v>-7168</v>
      </c>
      <c r="T274" s="20" t="n">
        <v>-2975</v>
      </c>
      <c r="U274" s="20" t="n">
        <v>-674</v>
      </c>
      <c r="V274" s="20" t="n">
        <v>-2534</v>
      </c>
      <c r="W274" s="20" t="n">
        <v>-2167</v>
      </c>
      <c r="X274" s="20" t="n">
        <v>-4967</v>
      </c>
    </row>
    <row r="275">
      <c r="A275" s="18" t="inlineStr">
        <is>
          <t>투자유가증권 매각</t>
        </is>
      </c>
      <c r="C275" s="20" t="n">
        <v>0</v>
      </c>
      <c r="E275" s="20" t="n">
        <v>1153</v>
      </c>
      <c r="G275" s="20" t="n">
        <v>320</v>
      </c>
      <c r="I275" s="20" t="n">
        <v>487</v>
      </c>
      <c r="K275" s="20" t="n">
        <v>7832</v>
      </c>
      <c r="M275" s="20" t="n">
        <v>8567</v>
      </c>
      <c r="O275" s="20" t="n">
        <v>4701</v>
      </c>
      <c r="P275" s="20" t="n">
        <v>2379</v>
      </c>
      <c r="Q275" s="20" t="n">
        <v>153</v>
      </c>
      <c r="R275" s="20" t="n">
        <v>1424</v>
      </c>
      <c r="S275" s="20" t="n">
        <v>1207</v>
      </c>
      <c r="T275" s="20" t="n">
        <v>12806</v>
      </c>
      <c r="U275" s="20" t="n">
        <v>277</v>
      </c>
      <c r="V275" s="20" t="n">
        <v>1153</v>
      </c>
      <c r="W275" s="20" t="n">
        <v>487</v>
      </c>
      <c r="X275" s="20" t="n">
        <v>8567</v>
      </c>
    </row>
    <row r="276">
      <c r="A276" s="18" t="inlineStr">
        <is>
          <t>Aa Inv CF</t>
        </is>
      </c>
      <c r="O276" s="20" t="n">
        <v>162</v>
      </c>
      <c r="P276" s="20" t="n">
        <v>0</v>
      </c>
    </row>
    <row r="277">
      <c r="A277" s="18" t="inlineStr">
        <is>
          <t>연결범위 변경 자회사 주식 취득</t>
        </is>
      </c>
      <c r="O277" s="20" t="n">
        <v>0</v>
      </c>
      <c r="P277" s="20" t="n">
        <v>-19476</v>
      </c>
      <c r="Q277" s="20" t="n">
        <v>0</v>
      </c>
    </row>
    <row r="278">
      <c r="A278" s="18" t="inlineStr">
        <is>
          <t>연결범위 변경 자회사 주식 취득(수입)</t>
        </is>
      </c>
      <c r="O278" s="20" t="n">
        <v>64</v>
      </c>
      <c r="P278" s="20" t="n">
        <v>0</v>
      </c>
    </row>
    <row r="279">
      <c r="A279" s="18" t="inlineStr">
        <is>
          <t>관계회사 청산 수입</t>
        </is>
      </c>
      <c r="O279" s="20" t="n">
        <v>167</v>
      </c>
      <c r="P279" s="20" t="n">
        <v>0</v>
      </c>
    </row>
    <row r="280">
      <c r="A280" s="18" t="inlineStr">
        <is>
          <t>I</t>
        </is>
      </c>
      <c r="R280" s="20" t="n">
        <v>0</v>
      </c>
      <c r="S280" s="20" t="n">
        <v>2527</v>
      </c>
    </row>
    <row r="281">
      <c r="A281" s="18" t="inlineStr">
        <is>
          <t>IInv CF</t>
        </is>
      </c>
      <c r="C281" s="20" t="n">
        <v>0</v>
      </c>
      <c r="E281" s="20" t="n">
        <v>0</v>
      </c>
      <c r="G281" s="20" t="n">
        <v>727</v>
      </c>
      <c r="I281" s="20" t="n">
        <v>1327</v>
      </c>
      <c r="K281" s="20" t="n">
        <v>12</v>
      </c>
      <c r="S281" s="20" t="n">
        <v>2527</v>
      </c>
      <c r="T281" s="20" t="n">
        <v>1670</v>
      </c>
      <c r="U281" s="20" t="n">
        <v>0</v>
      </c>
      <c r="V281" s="20" t="n">
        <v>0</v>
      </c>
      <c r="W281" s="20" t="n">
        <v>1327</v>
      </c>
    </row>
    <row r="282">
      <c r="A282" s="18" t="inlineStr">
        <is>
          <t>Proceeds From Withdrawal Of Investments In Securities Inv CF</t>
        </is>
      </c>
      <c r="I282" s="20" t="n">
        <v>1327</v>
      </c>
      <c r="M282" s="20" t="n">
        <v>91</v>
      </c>
      <c r="W282" s="20" t="n">
        <v>1327</v>
      </c>
      <c r="X282" s="20" t="n">
        <v>91</v>
      </c>
    </row>
    <row r="283">
      <c r="A283" s="18" t="inlineStr">
        <is>
          <t>대여</t>
        </is>
      </c>
      <c r="E283" s="20" t="n">
        <v>0</v>
      </c>
      <c r="I283" s="20" t="n">
        <v>-5603</v>
      </c>
      <c r="M283" s="20" t="n">
        <v>-37</v>
      </c>
      <c r="V283" s="20" t="n">
        <v>0</v>
      </c>
      <c r="W283" s="20" t="n">
        <v>-5603</v>
      </c>
      <c r="X283" s="20" t="n">
        <v>-37</v>
      </c>
    </row>
    <row r="284">
      <c r="A284" s="18" t="inlineStr">
        <is>
          <t>기타</t>
        </is>
      </c>
      <c r="C284" s="20" t="n">
        <v>-294</v>
      </c>
      <c r="E284" s="20" t="n">
        <v>-1795</v>
      </c>
      <c r="G284" s="20" t="n">
        <v>-633</v>
      </c>
      <c r="I284" s="20" t="n">
        <v>-919</v>
      </c>
      <c r="K284" s="20" t="n">
        <v>-1359</v>
      </c>
      <c r="M284" s="20" t="n">
        <v>-2820</v>
      </c>
      <c r="O284" s="20" t="n">
        <v>-2345</v>
      </c>
      <c r="P284" s="20" t="n">
        <v>-5068</v>
      </c>
      <c r="Q284" s="20" t="n">
        <v>-4404</v>
      </c>
      <c r="R284" s="20" t="n">
        <v>-2694</v>
      </c>
      <c r="S284" s="20" t="n">
        <v>2706</v>
      </c>
      <c r="T284" s="20" t="n">
        <v>-727</v>
      </c>
      <c r="U284" s="20" t="n">
        <v>-2146</v>
      </c>
      <c r="V284" s="20" t="n">
        <v>-1795</v>
      </c>
      <c r="W284" s="20" t="n">
        <v>-919</v>
      </c>
      <c r="X284" s="20" t="n">
        <v>-2820</v>
      </c>
    </row>
    <row r="285">
      <c r="A285" s="9" t="inlineStr">
        <is>
          <t>투자활동 현금흐름</t>
        </is>
      </c>
      <c r="C285" s="12" t="n">
        <v>-238093</v>
      </c>
      <c r="E285" s="12" t="n">
        <v>-399525</v>
      </c>
      <c r="G285" s="12" t="n">
        <v>-353715</v>
      </c>
      <c r="I285" s="12" t="n">
        <v>-343656</v>
      </c>
      <c r="K285" s="12" t="n">
        <v>-280205</v>
      </c>
      <c r="M285" s="12" t="n">
        <v>-415221</v>
      </c>
      <c r="O285" s="12" t="n">
        <v>-194651</v>
      </c>
      <c r="P285" s="12" t="n">
        <v>-324494</v>
      </c>
      <c r="Q285" s="12" t="n">
        <v>-308671</v>
      </c>
      <c r="R285" s="12" t="n">
        <v>-230218</v>
      </c>
      <c r="S285" s="12" t="n">
        <v>-595759</v>
      </c>
      <c r="T285" s="12" t="n">
        <v>230019</v>
      </c>
      <c r="U285" s="12" t="n">
        <v>-78300</v>
      </c>
      <c r="V285" s="12" t="n">
        <v>-399525</v>
      </c>
      <c r="W285" s="12" t="n">
        <v>-343656</v>
      </c>
      <c r="X285" s="12" t="n">
        <v>-415221</v>
      </c>
    </row>
    <row r="286">
      <c r="A286" s="18" t="inlineStr">
        <is>
          <t>단기차입금 순증감</t>
        </is>
      </c>
      <c r="C286" s="20" t="n">
        <v>-8000</v>
      </c>
      <c r="E286" s="20" t="n">
        <v>-8000</v>
      </c>
      <c r="G286" s="20" t="n">
        <v>-7850</v>
      </c>
      <c r="I286" s="20" t="n">
        <v>-7251</v>
      </c>
      <c r="K286" s="20" t="n">
        <v>-16572</v>
      </c>
      <c r="M286" s="20" t="n">
        <v>-16215</v>
      </c>
      <c r="O286" s="20" t="n">
        <v>-95</v>
      </c>
      <c r="P286" s="20" t="n">
        <v>111</v>
      </c>
      <c r="Q286" s="20" t="n">
        <v>156</v>
      </c>
      <c r="R286" s="20" t="n">
        <v>98</v>
      </c>
      <c r="S286" s="20" t="n">
        <v>97747</v>
      </c>
      <c r="T286" s="20" t="n">
        <v>0</v>
      </c>
      <c r="U286" s="20" t="n">
        <v>-7900</v>
      </c>
      <c r="V286" s="20" t="n">
        <v>-8000</v>
      </c>
      <c r="W286" s="20" t="n">
        <v>-7251</v>
      </c>
      <c r="X286" s="20" t="n">
        <v>-16215</v>
      </c>
    </row>
    <row r="287">
      <c r="A287" s="18" t="inlineStr">
        <is>
          <t>장기차입</t>
        </is>
      </c>
      <c r="C287" s="20" t="n">
        <v>0</v>
      </c>
      <c r="E287" s="20" t="n">
        <v>0</v>
      </c>
      <c r="G287" s="20" t="n">
        <v>14001</v>
      </c>
      <c r="I287" s="20" t="n">
        <v>15786</v>
      </c>
      <c r="K287" s="20" t="n">
        <v>100681</v>
      </c>
      <c r="M287" s="20" t="n">
        <v>138529</v>
      </c>
      <c r="O287" s="20" t="n">
        <v>79729</v>
      </c>
      <c r="P287" s="20" t="n">
        <v>35078</v>
      </c>
      <c r="Q287" s="20" t="n">
        <v>69710</v>
      </c>
      <c r="R287" s="20" t="n">
        <v>96684</v>
      </c>
      <c r="S287" s="20" t="n">
        <v>827988</v>
      </c>
      <c r="T287" s="20" t="n">
        <v>0</v>
      </c>
      <c r="V287" s="20" t="n">
        <v>0</v>
      </c>
      <c r="W287" s="20" t="n">
        <v>15786</v>
      </c>
      <c r="X287" s="20" t="n">
        <v>138529</v>
      </c>
    </row>
    <row r="288">
      <c r="A288" s="18" t="inlineStr">
        <is>
          <t>장기차입금 상환</t>
        </is>
      </c>
      <c r="C288" s="20" t="n">
        <v>-42765</v>
      </c>
      <c r="E288" s="20" t="n">
        <v>-84633</v>
      </c>
      <c r="G288" s="20" t="n">
        <v>-38464</v>
      </c>
      <c r="I288" s="20" t="n">
        <v>-74295</v>
      </c>
      <c r="K288" s="20" t="n">
        <v>-108799</v>
      </c>
      <c r="M288" s="20" t="n">
        <v>-349651</v>
      </c>
      <c r="O288" s="20" t="n">
        <v>-91761</v>
      </c>
      <c r="P288" s="20" t="n">
        <v>-95170</v>
      </c>
      <c r="Q288" s="20" t="n">
        <v>-87903</v>
      </c>
      <c r="R288" s="20" t="n">
        <v>-82035</v>
      </c>
      <c r="S288" s="20" t="n">
        <v>-98949</v>
      </c>
      <c r="T288" s="20" t="n">
        <v>-72702</v>
      </c>
      <c r="U288" s="20" t="n">
        <v>-62775</v>
      </c>
      <c r="V288" s="20" t="n">
        <v>-84633</v>
      </c>
      <c r="W288" s="20" t="n">
        <v>-74295</v>
      </c>
      <c r="X288" s="20" t="n">
        <v>-349651</v>
      </c>
    </row>
    <row r="289">
      <c r="A289" s="18" t="inlineStr">
        <is>
          <t>사채 발행</t>
        </is>
      </c>
      <c r="O289" s="20" t="n">
        <v>39769</v>
      </c>
      <c r="P289" s="20" t="n">
        <v>149863</v>
      </c>
      <c r="Q289" s="20" t="n">
        <v>19876</v>
      </c>
      <c r="R289" s="20" t="n">
        <v>69586</v>
      </c>
      <c r="S289" s="20" t="n">
        <v>0</v>
      </c>
      <c r="T289" s="20" t="n">
        <v>169799</v>
      </c>
      <c r="U289" s="20" t="n">
        <v>0</v>
      </c>
    </row>
    <row r="290">
      <c r="A290" s="18" t="inlineStr">
        <is>
          <t>사채 상환</t>
        </is>
      </c>
      <c r="C290" s="20" t="n">
        <v>0</v>
      </c>
      <c r="E290" s="20" t="n">
        <v>-30000</v>
      </c>
      <c r="G290" s="20" t="n">
        <v>-70000</v>
      </c>
      <c r="I290" s="20" t="n">
        <v>-70000</v>
      </c>
      <c r="K290" s="20" t="n">
        <v>0</v>
      </c>
      <c r="M290" s="20" t="n">
        <v>-30000</v>
      </c>
      <c r="O290" s="20" t="n">
        <v>0</v>
      </c>
      <c r="P290" s="20" t="n">
        <v>-20000</v>
      </c>
      <c r="Q290" s="20" t="n">
        <v>-10000</v>
      </c>
      <c r="R290" s="20" t="n">
        <v>-30000</v>
      </c>
      <c r="S290" s="20" t="n">
        <v>-20000</v>
      </c>
      <c r="T290" s="20" t="n">
        <v>0</v>
      </c>
      <c r="U290" s="20" t="n">
        <v>-70000</v>
      </c>
      <c r="V290" s="20" t="n">
        <v>-30000</v>
      </c>
      <c r="W290" s="20" t="n">
        <v>-70000</v>
      </c>
      <c r="X290" s="20" t="n">
        <v>-30000</v>
      </c>
    </row>
    <row r="291">
      <c r="A291" s="18" t="inlineStr">
        <is>
          <t>리스부채 상환</t>
        </is>
      </c>
      <c r="C291" s="20" t="n">
        <v>-1445</v>
      </c>
      <c r="E291" s="20" t="n">
        <v>-2947</v>
      </c>
      <c r="G291" s="20" t="n">
        <v>-1134</v>
      </c>
      <c r="I291" s="20" t="n">
        <v>-2207</v>
      </c>
      <c r="K291" s="20" t="n">
        <v>-839</v>
      </c>
      <c r="M291" s="20" t="n">
        <v>-1651</v>
      </c>
      <c r="O291" s="20" t="n">
        <v>-8162</v>
      </c>
      <c r="P291" s="20" t="n">
        <v>-6187</v>
      </c>
      <c r="Q291" s="20" t="n">
        <v>-5602</v>
      </c>
      <c r="R291" s="20" t="n">
        <v>-4609</v>
      </c>
      <c r="S291" s="20" t="n">
        <v>-4668</v>
      </c>
      <c r="T291" s="20" t="n">
        <v>-3011</v>
      </c>
      <c r="U291" s="20" t="n">
        <v>-3764</v>
      </c>
      <c r="V291" s="20" t="n">
        <v>-2947</v>
      </c>
      <c r="W291" s="20" t="n">
        <v>-2207</v>
      </c>
      <c r="X291" s="20" t="n">
        <v>-1651</v>
      </c>
    </row>
    <row r="292">
      <c r="A292" s="18" t="inlineStr">
        <is>
          <t>연결범위 변경 없는 자회사 주식 취득</t>
        </is>
      </c>
      <c r="C292" s="20" t="n">
        <v>0</v>
      </c>
      <c r="E292" s="20" t="n">
        <v>0</v>
      </c>
      <c r="G292" s="20" t="n">
        <v>-6678</v>
      </c>
      <c r="I292" s="20" t="n">
        <v>-11363</v>
      </c>
      <c r="K292" s="20" t="n">
        <v>0</v>
      </c>
      <c r="M292" s="20" t="n">
        <v>0</v>
      </c>
      <c r="P292" s="20" t="n">
        <v>0</v>
      </c>
      <c r="Q292" s="20" t="n">
        <v>-11326</v>
      </c>
      <c r="R292" s="20" t="n">
        <v>-96</v>
      </c>
      <c r="S292" s="20" t="n">
        <v>0</v>
      </c>
      <c r="V292" s="20" t="n">
        <v>0</v>
      </c>
      <c r="W292" s="20" t="n">
        <v>-11363</v>
      </c>
      <c r="X292" s="20" t="n">
        <v>0</v>
      </c>
    </row>
    <row r="293">
      <c r="A293" s="18" t="inlineStr">
        <is>
          <t>주식 발행</t>
        </is>
      </c>
      <c r="I293" s="20" t="n">
        <v>0</v>
      </c>
      <c r="M293" s="20" t="n">
        <v>193940</v>
      </c>
      <c r="R293" s="20" t="n">
        <v>0</v>
      </c>
      <c r="S293" s="20" t="n">
        <v>296098</v>
      </c>
      <c r="T293" s="20" t="n">
        <v>0</v>
      </c>
      <c r="W293" s="20" t="n">
        <v>0</v>
      </c>
      <c r="X293" s="20" t="n">
        <v>193940</v>
      </c>
    </row>
    <row r="294">
      <c r="A294" s="18" t="inlineStr">
        <is>
          <t>비지배주주 납입</t>
        </is>
      </c>
      <c r="C294" s="20" t="n">
        <v>0</v>
      </c>
      <c r="E294" s="20" t="n">
        <v>0</v>
      </c>
      <c r="G294" s="20" t="n">
        <v>3700</v>
      </c>
      <c r="I294" s="20" t="n">
        <v>3708</v>
      </c>
      <c r="K294" s="20" t="n">
        <v>4</v>
      </c>
      <c r="M294" s="20" t="n">
        <v>8</v>
      </c>
      <c r="R294" s="20" t="n">
        <v>0</v>
      </c>
      <c r="S294" s="20" t="n">
        <v>318</v>
      </c>
      <c r="T294" s="20" t="n">
        <v>0</v>
      </c>
      <c r="U294" s="20" t="n">
        <v>2000</v>
      </c>
      <c r="V294" s="20" t="n">
        <v>0</v>
      </c>
      <c r="W294" s="20" t="n">
        <v>3708</v>
      </c>
      <c r="X294" s="20" t="n">
        <v>8</v>
      </c>
    </row>
    <row r="295">
      <c r="A295" s="18" t="inlineStr">
        <is>
          <t>Net Decrease Increase In Treasury Stock Fin CF</t>
        </is>
      </c>
      <c r="C295" s="20" t="n">
        <v>-8295</v>
      </c>
      <c r="E295" s="20" t="n">
        <v>-9339</v>
      </c>
      <c r="G295" s="20" t="n">
        <v>-27</v>
      </c>
      <c r="I295" s="20" t="n">
        <v>-38</v>
      </c>
      <c r="K295" s="20" t="n">
        <v>-18532</v>
      </c>
      <c r="M295" s="20" t="n">
        <v>-60732</v>
      </c>
      <c r="O295" s="20" t="n">
        <v>1580</v>
      </c>
      <c r="P295" s="20" t="n">
        <v>-67652</v>
      </c>
      <c r="Q295" s="20" t="n">
        <v>-17</v>
      </c>
      <c r="R295" s="20" t="n">
        <v>-405</v>
      </c>
      <c r="S295" s="20" t="n">
        <v>99</v>
      </c>
      <c r="T295" s="20" t="n">
        <v>-16</v>
      </c>
      <c r="U295" s="20" t="n">
        <v>-15</v>
      </c>
      <c r="V295" s="20" t="n">
        <v>-9339</v>
      </c>
      <c r="W295" s="20" t="n">
        <v>-38</v>
      </c>
      <c r="X295" s="20" t="n">
        <v>-60732</v>
      </c>
    </row>
    <row r="296">
      <c r="A296" s="18" t="inlineStr">
        <is>
          <t>배당금 지급</t>
        </is>
      </c>
      <c r="C296" s="20" t="n">
        <v>0</v>
      </c>
      <c r="E296" s="20" t="n">
        <v>0</v>
      </c>
      <c r="G296" s="20" t="n">
        <v>-23521</v>
      </c>
      <c r="I296" s="20" t="n">
        <v>-23521</v>
      </c>
      <c r="K296" s="20" t="n">
        <v>-28220</v>
      </c>
      <c r="M296" s="20" t="n">
        <v>-28220</v>
      </c>
      <c r="O296" s="20" t="n">
        <v>-17492</v>
      </c>
      <c r="P296" s="20" t="n">
        <v>-21021</v>
      </c>
      <c r="Q296" s="20" t="n">
        <v>-20084</v>
      </c>
      <c r="R296" s="20" t="n">
        <v>-25105</v>
      </c>
      <c r="S296" s="20" t="n">
        <v>0</v>
      </c>
      <c r="V296" s="20" t="n">
        <v>0</v>
      </c>
      <c r="W296" s="20" t="n">
        <v>-23521</v>
      </c>
      <c r="X296" s="20" t="n">
        <v>-28220</v>
      </c>
    </row>
    <row r="297">
      <c r="A297" s="18" t="inlineStr">
        <is>
          <t>기타</t>
        </is>
      </c>
      <c r="C297" s="20" t="n">
        <v>-979</v>
      </c>
      <c r="E297" s="20" t="n">
        <v>-1126</v>
      </c>
      <c r="G297" s="20" t="n">
        <v>-970</v>
      </c>
      <c r="I297" s="20" t="n">
        <v>-973</v>
      </c>
      <c r="K297" s="20" t="n">
        <v>-1514</v>
      </c>
      <c r="M297" s="20" t="n">
        <v>-5368</v>
      </c>
      <c r="O297" s="20" t="n">
        <v>-219</v>
      </c>
      <c r="P297" s="20" t="n">
        <v>-5011</v>
      </c>
      <c r="Q297" s="20" t="n">
        <v>-1290</v>
      </c>
      <c r="R297" s="20" t="n">
        <v>-249</v>
      </c>
      <c r="S297" s="20" t="n">
        <v>-461</v>
      </c>
      <c r="T297" s="20" t="n">
        <v>-424</v>
      </c>
      <c r="U297" s="20" t="n">
        <v>-455</v>
      </c>
      <c r="V297" s="20" t="n">
        <v>-1126</v>
      </c>
      <c r="W297" s="20" t="n">
        <v>-973</v>
      </c>
      <c r="X297" s="20" t="n">
        <v>-5368</v>
      </c>
    </row>
    <row r="298">
      <c r="A298" s="9" t="inlineStr">
        <is>
          <t>재무활동 현금흐름</t>
        </is>
      </c>
      <c r="C298" s="12" t="n">
        <v>-61484</v>
      </c>
      <c r="E298" s="12" t="n">
        <v>-136045</v>
      </c>
      <c r="G298" s="12" t="n">
        <v>-130943</v>
      </c>
      <c r="I298" s="12" t="n">
        <v>-170154</v>
      </c>
      <c r="K298" s="12" t="n">
        <v>-73791</v>
      </c>
      <c r="M298" s="12" t="n">
        <v>-159360</v>
      </c>
      <c r="O298" s="12" t="n">
        <v>3349</v>
      </c>
      <c r="P298" s="12" t="n">
        <v>-29989</v>
      </c>
      <c r="Q298" s="12" t="n">
        <v>-46480</v>
      </c>
      <c r="R298" s="12" t="n">
        <v>23869</v>
      </c>
      <c r="S298" s="12" t="n">
        <v>1098172</v>
      </c>
      <c r="T298" s="12" t="n">
        <v>93646</v>
      </c>
      <c r="U298" s="12" t="n">
        <v>-142909</v>
      </c>
      <c r="V298" s="12" t="n">
        <v>-136045</v>
      </c>
      <c r="W298" s="12" t="n">
        <v>-170154</v>
      </c>
      <c r="X298" s="12" t="n">
        <v>-159360</v>
      </c>
    </row>
    <row r="299">
      <c r="A299" s="18" t="inlineStr">
        <is>
          <t>현금성자산 환산차이</t>
        </is>
      </c>
      <c r="C299" s="20" t="n">
        <v>3930</v>
      </c>
      <c r="E299" s="20" t="n">
        <v>3979</v>
      </c>
      <c r="G299" s="20" t="n">
        <v>30</v>
      </c>
      <c r="I299" s="20" t="n">
        <v>982</v>
      </c>
      <c r="K299" s="20" t="n">
        <v>-24</v>
      </c>
      <c r="M299" s="20" t="n">
        <v>3365</v>
      </c>
      <c r="O299" s="20" t="n">
        <v>-1847</v>
      </c>
      <c r="P299" s="20" t="n">
        <v>-80</v>
      </c>
      <c r="Q299" s="20" t="n">
        <v>332</v>
      </c>
      <c r="R299" s="20" t="n">
        <v>-274</v>
      </c>
      <c r="S299" s="20" t="n">
        <v>2649</v>
      </c>
      <c r="T299" s="20" t="n">
        <v>3626</v>
      </c>
      <c r="U299" s="20" t="n">
        <v>2539</v>
      </c>
      <c r="V299" s="20" t="n">
        <v>3979</v>
      </c>
      <c r="W299" s="20" t="n">
        <v>982</v>
      </c>
      <c r="X299" s="20" t="n">
        <v>3365</v>
      </c>
    </row>
    <row r="300">
      <c r="A300" s="18" t="inlineStr">
        <is>
          <t>현금성자산 증감</t>
        </is>
      </c>
      <c r="C300" s="20" t="n">
        <v>-41036</v>
      </c>
      <c r="E300" s="20" t="n">
        <v>-110969</v>
      </c>
      <c r="G300" s="20" t="n">
        <v>-324190</v>
      </c>
      <c r="I300" s="20" t="n">
        <v>-139794</v>
      </c>
      <c r="K300" s="20" t="n">
        <v>-175005</v>
      </c>
      <c r="M300" s="20" t="n">
        <v>-127757</v>
      </c>
      <c r="O300" s="20" t="n">
        <v>43935</v>
      </c>
      <c r="P300" s="20" t="n">
        <v>-38549</v>
      </c>
      <c r="Q300" s="20" t="n">
        <v>-58671</v>
      </c>
      <c r="R300" s="20" t="n">
        <v>-76454</v>
      </c>
      <c r="S300" s="20" t="n">
        <v>234621</v>
      </c>
      <c r="T300" s="20" t="n">
        <v>250878</v>
      </c>
      <c r="U300" s="20" t="n">
        <v>231152</v>
      </c>
      <c r="V300" s="20" t="n">
        <v>-110969</v>
      </c>
      <c r="W300" s="20" t="n">
        <v>-139794</v>
      </c>
      <c r="X300" s="20" t="n">
        <v>-127757</v>
      </c>
    </row>
    <row r="301">
      <c r="A301" s="18" t="inlineStr">
        <is>
          <t>Net Increase Resulting From Changes In Scope Of</t>
        </is>
      </c>
      <c r="Q301" s="20" t="n">
        <v>0</v>
      </c>
      <c r="R301" s="20" t="n">
        <v>553</v>
      </c>
      <c r="S301" s="20" t="n">
        <v>-236</v>
      </c>
      <c r="T301" s="20" t="n">
        <v>-163</v>
      </c>
      <c r="U301" s="20" t="n">
        <v>0</v>
      </c>
    </row>
    <row r="302">
      <c r="A302" s="18" t="inlineStr">
        <is>
          <t>주식교환 현금성자산 증가</t>
        </is>
      </c>
      <c r="G302" s="20" t="n">
        <v>0</v>
      </c>
      <c r="I302" s="20" t="n">
        <v>0</v>
      </c>
      <c r="K302" s="20" t="n">
        <v>1046</v>
      </c>
      <c r="M302" s="20" t="n">
        <v>1046</v>
      </c>
      <c r="W302" s="20" t="n">
        <v>0</v>
      </c>
      <c r="X302" s="20" t="n">
        <v>1046</v>
      </c>
    </row>
    <row r="303">
      <c r="A303" s="18" t="inlineStr">
        <is>
          <t>연결범위 변경에 따른 현금성자산 증감</t>
        </is>
      </c>
      <c r="G303" s="20" t="n">
        <v>0</v>
      </c>
      <c r="I303" s="20" t="n">
        <v>0</v>
      </c>
      <c r="K303" s="20" t="n">
        <v>378</v>
      </c>
      <c r="M303" s="20" t="n">
        <v>378</v>
      </c>
      <c r="W303" s="20" t="n">
        <v>0</v>
      </c>
      <c r="X303" s="20" t="n">
        <v>378</v>
      </c>
    </row>
    <row r="304">
      <c r="A304" s="18" t="inlineStr">
        <is>
          <t>법인세차감전 순이익</t>
        </is>
      </c>
      <c r="E304" s="20" t="n">
        <v>204838</v>
      </c>
      <c r="R304" s="20" t="n">
        <v>51501</v>
      </c>
      <c r="S304" s="20" t="n">
        <v>-545372</v>
      </c>
      <c r="T304" s="20" t="n">
        <v>-175374</v>
      </c>
      <c r="U304" s="20" t="n">
        <v>114342</v>
      </c>
      <c r="V304" s="20" t="n">
        <v>204838</v>
      </c>
    </row>
    <row r="305">
      <c r="A305" s="18" t="inlineStr">
        <is>
          <t>Loss Before Income Taxes Ope CF</t>
        </is>
      </c>
      <c r="S305" s="20" t="n">
        <v>-545372</v>
      </c>
      <c r="T305" s="20" t="n">
        <v>-175374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9202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1748939</v>
      </c>
      <c r="D5" s="12" t="n">
        <v>1732757</v>
      </c>
      <c r="E5" s="12" t="n">
        <v>1790756</v>
      </c>
      <c r="F5" s="12" t="n">
        <v>1890505</v>
      </c>
      <c r="G5" s="12" t="n">
        <v>1829907</v>
      </c>
      <c r="H5" s="11" t="n">
        <v>1293921</v>
      </c>
      <c r="I5" s="12" t="n">
        <v>1550820</v>
      </c>
      <c r="J5" s="12" t="n">
        <v>1701190</v>
      </c>
      <c r="K5" s="12" t="n">
        <v>1693726</v>
      </c>
      <c r="L5" s="12" t="n">
        <v>1890505</v>
      </c>
    </row>
    <row r="6">
      <c r="A6" s="18" t="inlineStr">
        <is>
          <t>현금및현금성자산</t>
        </is>
      </c>
      <c r="B6" s="10" t="n"/>
      <c r="C6" s="19" t="n">
        <v>545305</v>
      </c>
      <c r="D6" s="20" t="n">
        <v>531447</v>
      </c>
      <c r="E6" s="20" t="n">
        <v>541570</v>
      </c>
      <c r="F6" s="20" t="n">
        <v>552792</v>
      </c>
      <c r="G6" s="20" t="n">
        <v>572799</v>
      </c>
      <c r="H6" s="19" t="n">
        <v>452679</v>
      </c>
      <c r="I6" s="20" t="n">
        <v>603686</v>
      </c>
      <c r="J6" s="20" t="n">
        <v>600893</v>
      </c>
      <c r="K6" s="20" t="n">
        <v>454709</v>
      </c>
      <c r="L6" s="20" t="n">
        <v>552792</v>
      </c>
    </row>
    <row r="7">
      <c r="A7" s="18" t="inlineStr">
        <is>
          <t>단기금융상품</t>
        </is>
      </c>
      <c r="B7" s="10" t="n"/>
      <c r="C7" s="19" t="n">
        <v>742690</v>
      </c>
      <c r="D7" s="20" t="n">
        <v>681852</v>
      </c>
      <c r="E7" s="20" t="n">
        <v>688380</v>
      </c>
      <c r="F7" s="20" t="n">
        <v>704174</v>
      </c>
      <c r="G7" s="20" t="n">
        <v>636972</v>
      </c>
      <c r="H7" s="19" t="n">
        <v>498310</v>
      </c>
      <c r="I7" s="20" t="n">
        <v>580037</v>
      </c>
      <c r="J7" s="20" t="n">
        <v>656913</v>
      </c>
      <c r="K7" s="20" t="n">
        <v>761709</v>
      </c>
      <c r="L7" s="20" t="n">
        <v>704174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77474</v>
      </c>
      <c r="D9" s="20" t="n">
        <v>86624</v>
      </c>
      <c r="E9" s="20" t="n">
        <v>89112</v>
      </c>
      <c r="F9" s="20" t="n">
        <v>89946</v>
      </c>
      <c r="G9" s="20" t="n">
        <v>94680</v>
      </c>
      <c r="H9" s="19" t="n">
        <v>44074</v>
      </c>
      <c r="I9" s="20" t="n">
        <v>44655</v>
      </c>
      <c r="J9" s="20" t="n">
        <v>53961</v>
      </c>
      <c r="K9" s="20" t="n">
        <v>75844</v>
      </c>
      <c r="L9" s="20" t="n">
        <v>89946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1914906</v>
      </c>
      <c r="D11" s="12" t="n">
        <v>2015358</v>
      </c>
      <c r="E11" s="12" t="n">
        <v>2031534</v>
      </c>
      <c r="F11" s="12" t="n">
        <v>2063336</v>
      </c>
      <c r="G11" s="12" t="n">
        <v>2092138</v>
      </c>
      <c r="H11" s="11" t="n">
        <v>1922885</v>
      </c>
      <c r="I11" s="12" t="n">
        <v>1814907</v>
      </c>
      <c r="J11" s="12" t="n">
        <v>1867807</v>
      </c>
      <c r="K11" s="12" t="n">
        <v>1926140</v>
      </c>
      <c r="L11" s="12" t="n">
        <v>2063336</v>
      </c>
    </row>
    <row r="12">
      <c r="A12" s="18" t="inlineStr">
        <is>
          <t>유형자산</t>
        </is>
      </c>
      <c r="B12" s="10" t="n"/>
      <c r="C12" s="19" t="n">
        <v>1397193</v>
      </c>
      <c r="D12" s="20" t="n">
        <v>1493094</v>
      </c>
      <c r="E12" s="20" t="n">
        <v>1508866</v>
      </c>
      <c r="F12" s="20" t="n">
        <v>1526765</v>
      </c>
      <c r="G12" s="20" t="n">
        <v>1548586</v>
      </c>
      <c r="H12" s="19" t="n">
        <v>1350337</v>
      </c>
      <c r="I12" s="20" t="n">
        <v>1271312</v>
      </c>
      <c r="J12" s="20" t="n">
        <v>1330753</v>
      </c>
      <c r="K12" s="20" t="n">
        <v>1404955</v>
      </c>
      <c r="L12" s="20" t="n">
        <v>1526765</v>
      </c>
    </row>
    <row r="13">
      <c r="A13" s="18" t="inlineStr">
        <is>
          <t>무형자산</t>
        </is>
      </c>
      <c r="B13" s="10" t="n"/>
      <c r="C13" s="19" t="n">
        <v>133741</v>
      </c>
      <c r="D13" s="20" t="n">
        <v>138568</v>
      </c>
      <c r="E13" s="20" t="n">
        <v>144100</v>
      </c>
      <c r="F13" s="20" t="n">
        <v>146784</v>
      </c>
      <c r="G13" s="20" t="n">
        <v>151507</v>
      </c>
      <c r="H13" s="19" t="n">
        <v>93280</v>
      </c>
      <c r="I13" s="20" t="n">
        <v>87820</v>
      </c>
      <c r="J13" s="20" t="n">
        <v>103907</v>
      </c>
      <c r="K13" s="20" t="n">
        <v>130172</v>
      </c>
      <c r="L13" s="20" t="n">
        <v>146784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3664251</v>
      </c>
      <c r="D16" s="12" t="n">
        <v>3748496</v>
      </c>
      <c r="E16" s="12" t="n">
        <v>3823680</v>
      </c>
      <c r="F16" s="12" t="n">
        <v>3955128</v>
      </c>
      <c r="G16" s="12" t="n">
        <v>3923232</v>
      </c>
      <c r="H16" s="11" t="n">
        <v>3218433</v>
      </c>
      <c r="I16" s="12" t="n">
        <v>3366724</v>
      </c>
      <c r="J16" s="12" t="n">
        <v>3569530</v>
      </c>
      <c r="K16" s="12" t="n">
        <v>3620297</v>
      </c>
      <c r="L16" s="12" t="n">
        <v>3955128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1307322</v>
      </c>
      <c r="D18" s="12" t="n">
        <v>1336541</v>
      </c>
      <c r="E18" s="12" t="n">
        <v>1126052</v>
      </c>
      <c r="F18" s="12" t="n">
        <v>1231487</v>
      </c>
      <c r="G18" s="12" t="n">
        <v>1237661</v>
      </c>
      <c r="H18" s="11" t="n">
        <v>687889</v>
      </c>
      <c r="I18" s="12" t="n">
        <v>883401</v>
      </c>
      <c r="J18" s="12" t="n">
        <v>1035428</v>
      </c>
      <c r="K18" s="12" t="n">
        <v>1276542</v>
      </c>
      <c r="L18" s="12" t="n">
        <v>1231487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68900</v>
      </c>
      <c r="D20" s="20" t="n">
        <v>68591</v>
      </c>
      <c r="E20" s="20" t="n">
        <v>69009</v>
      </c>
      <c r="F20" s="20" t="n">
        <v>68950</v>
      </c>
      <c r="G20" s="20" t="n">
        <v>60084</v>
      </c>
      <c r="H20" s="19" t="n">
        <v>100070</v>
      </c>
      <c r="I20" s="20" t="n">
        <v>92170</v>
      </c>
      <c r="J20" s="20" t="n">
        <v>84170</v>
      </c>
      <c r="K20" s="20" t="n">
        <v>76919</v>
      </c>
      <c r="L20" s="20" t="n">
        <v>68950</v>
      </c>
    </row>
    <row r="21">
      <c r="A21" s="18" t="inlineStr">
        <is>
          <t>유동성장기부채</t>
        </is>
      </c>
      <c r="B21" s="10" t="n"/>
      <c r="C21" s="19" t="n">
        <v>329247</v>
      </c>
      <c r="D21" s="20" t="n">
        <v>347180</v>
      </c>
      <c r="E21" s="20" t="n">
        <v>118799</v>
      </c>
      <c r="F21" s="20" t="n">
        <v>117368</v>
      </c>
      <c r="G21" s="20" t="n">
        <v>99033</v>
      </c>
      <c r="H21" s="19" t="n">
        <v>62775</v>
      </c>
      <c r="I21" s="20" t="n">
        <v>114633</v>
      </c>
      <c r="J21" s="20" t="n">
        <v>73777</v>
      </c>
      <c r="K21" s="20" t="n">
        <v>297166</v>
      </c>
      <c r="L21" s="20" t="n">
        <v>117368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1234283</v>
      </c>
      <c r="D23" s="12" t="n">
        <v>1227013</v>
      </c>
      <c r="E23" s="12" t="n">
        <v>1246865</v>
      </c>
      <c r="F23" s="12" t="n">
        <v>1221008</v>
      </c>
      <c r="G23" s="12" t="n">
        <v>1277272</v>
      </c>
      <c r="H23" s="11" t="n">
        <v>1727129</v>
      </c>
      <c r="I23" s="12" t="n">
        <v>1612932</v>
      </c>
      <c r="J23" s="12" t="n">
        <v>1481475</v>
      </c>
      <c r="K23" s="12" t="n">
        <v>1203660</v>
      </c>
      <c r="L23" s="12" t="n">
        <v>1221008</v>
      </c>
    </row>
    <row r="24">
      <c r="A24" s="18" t="inlineStr">
        <is>
          <t>장기차입금</t>
        </is>
      </c>
      <c r="B24" s="10" t="n"/>
      <c r="C24" s="19" t="n">
        <v>743386</v>
      </c>
      <c r="D24" s="20" t="n">
        <v>746523</v>
      </c>
      <c r="E24" s="20" t="n">
        <v>758353</v>
      </c>
      <c r="F24" s="20" t="n">
        <v>743336</v>
      </c>
      <c r="G24" s="20" t="n">
        <v>792495</v>
      </c>
      <c r="H24" s="19" t="n">
        <v>1102218</v>
      </c>
      <c r="I24" s="20" t="n">
        <v>1017585</v>
      </c>
      <c r="J24" s="20" t="n">
        <v>943808</v>
      </c>
      <c r="K24" s="20" t="n">
        <v>691910</v>
      </c>
      <c r="L24" s="20" t="n">
        <v>743336</v>
      </c>
    </row>
    <row r="25">
      <c r="A25" s="18" t="inlineStr">
        <is>
          <t>사채</t>
        </is>
      </c>
      <c r="B25" s="10" t="n"/>
      <c r="C25" s="19" t="n">
        <v>100000</v>
      </c>
      <c r="D25" s="20" t="n">
        <v>85000</v>
      </c>
      <c r="E25" s="20" t="n">
        <v>85000</v>
      </c>
      <c r="F25" s="20" t="n">
        <v>85000</v>
      </c>
      <c r="G25" s="20" t="n">
        <v>85000</v>
      </c>
      <c r="H25" s="19" t="n">
        <v>185000</v>
      </c>
      <c r="I25" s="20" t="n">
        <v>155000</v>
      </c>
      <c r="J25" s="20" t="n">
        <v>155000</v>
      </c>
      <c r="K25" s="20" t="n">
        <v>125000</v>
      </c>
      <c r="L25" s="20" t="n">
        <v>85000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2541605</v>
      </c>
      <c r="D27" s="12" t="n">
        <v>2563554</v>
      </c>
      <c r="E27" s="12" t="n">
        <v>2372917</v>
      </c>
      <c r="F27" s="12" t="n">
        <v>2452495</v>
      </c>
      <c r="G27" s="12" t="n">
        <v>2514933</v>
      </c>
      <c r="H27" s="11" t="n">
        <v>2415018</v>
      </c>
      <c r="I27" s="12" t="n">
        <v>2496333</v>
      </c>
      <c r="J27" s="12" t="n">
        <v>2516903</v>
      </c>
      <c r="K27" s="12" t="n">
        <v>2480202</v>
      </c>
      <c r="L27" s="12" t="n">
        <v>2452495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1112446</v>
      </c>
      <c r="D31" s="12" t="n">
        <v>1175984</v>
      </c>
      <c r="E31" s="12" t="n">
        <v>1440416</v>
      </c>
      <c r="F31" s="12" t="n">
        <v>1491999</v>
      </c>
      <c r="G31" s="12" t="n">
        <v>1397356</v>
      </c>
      <c r="H31" s="11" t="n">
        <v>797249</v>
      </c>
      <c r="I31" s="12" t="n">
        <v>862419</v>
      </c>
      <c r="J31" s="12" t="n">
        <v>1044508</v>
      </c>
      <c r="K31" s="12" t="n">
        <v>1130317</v>
      </c>
      <c r="L31" s="12" t="n">
        <v>1491999</v>
      </c>
    </row>
    <row r="32">
      <c r="A32" s="18" t="inlineStr">
        <is>
          <t>자본금</t>
        </is>
      </c>
      <c r="B32" s="10" t="n"/>
      <c r="C32" s="19" t="n">
        <v>467601</v>
      </c>
      <c r="D32" s="20" t="n">
        <v>467601</v>
      </c>
      <c r="E32" s="20" t="n">
        <v>467601</v>
      </c>
      <c r="F32" s="20" t="n">
        <v>467601</v>
      </c>
      <c r="G32" s="20" t="n">
        <v>467601</v>
      </c>
      <c r="H32" s="19" t="n">
        <v>467601</v>
      </c>
      <c r="I32" s="20" t="n">
        <v>467601</v>
      </c>
      <c r="J32" s="20" t="n">
        <v>467601</v>
      </c>
      <c r="K32" s="20" t="n">
        <v>467601</v>
      </c>
      <c r="L32" s="20" t="n">
        <v>467601</v>
      </c>
    </row>
    <row r="33">
      <c r="A33" s="18" t="inlineStr">
        <is>
          <t>이익잉여금</t>
        </is>
      </c>
      <c r="B33" s="10" t="n"/>
      <c r="C33" s="19" t="n">
        <v>260210</v>
      </c>
      <c r="D33" s="20" t="n">
        <v>313421</v>
      </c>
      <c r="E33" s="20" t="n">
        <v>377744</v>
      </c>
      <c r="F33" s="20" t="n">
        <v>407584</v>
      </c>
      <c r="G33" s="20" t="n">
        <v>394993</v>
      </c>
      <c r="H33" s="19" t="n">
        <v>-113228</v>
      </c>
      <c r="I33" s="20" t="n">
        <v>-21126</v>
      </c>
      <c r="J33" s="20" t="n">
        <v>135971</v>
      </c>
      <c r="K33" s="20" t="n">
        <v>265477</v>
      </c>
      <c r="L33" s="20" t="n">
        <v>407584</v>
      </c>
    </row>
    <row r="34">
      <c r="A34" s="18" t="inlineStr">
        <is>
          <t>비지배지분</t>
        </is>
      </c>
      <c r="B34" s="10" t="n"/>
      <c r="C34" s="19" t="n">
        <v>10200</v>
      </c>
      <c r="D34" s="20" t="n">
        <v>8958</v>
      </c>
      <c r="E34" s="20" t="n">
        <v>10347</v>
      </c>
      <c r="F34" s="20" t="n">
        <v>10634</v>
      </c>
      <c r="G34" s="20" t="n">
        <v>10943</v>
      </c>
      <c r="H34" s="19" t="n">
        <v>6166</v>
      </c>
      <c r="I34" s="20" t="n">
        <v>7972</v>
      </c>
      <c r="J34" s="20" t="n">
        <v>8119</v>
      </c>
      <c r="K34" s="20" t="n">
        <v>9778</v>
      </c>
      <c r="L34" s="20" t="n">
        <v>10634</v>
      </c>
    </row>
    <row r="35">
      <c r="A35" s="9" t="inlineStr">
        <is>
          <t>자본총계</t>
        </is>
      </c>
      <c r="B35" s="10" t="n"/>
      <c r="C35" s="11" t="n">
        <v>1122646</v>
      </c>
      <c r="D35" s="12" t="n">
        <v>1184942</v>
      </c>
      <c r="E35" s="12" t="n">
        <v>1450763</v>
      </c>
      <c r="F35" s="12" t="n">
        <v>1502633</v>
      </c>
      <c r="G35" s="12" t="n">
        <v>1408299</v>
      </c>
      <c r="H35" s="11" t="n">
        <v>803415</v>
      </c>
      <c r="I35" s="12" t="n">
        <v>870391</v>
      </c>
      <c r="J35" s="12" t="n">
        <v>1052627</v>
      </c>
      <c r="K35" s="12" t="n">
        <v>1140095</v>
      </c>
      <c r="L35" s="12" t="n">
        <v>1502633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391611</v>
      </c>
      <c r="E37" s="12" t="n"/>
      <c r="F37" s="12" t="n">
        <v>443459</v>
      </c>
      <c r="G37" s="12" t="n"/>
      <c r="H37" s="11" t="n">
        <v>-76413</v>
      </c>
      <c r="I37" s="12" t="n">
        <v>449822</v>
      </c>
      <c r="J37" s="12" t="n">
        <v>420622</v>
      </c>
      <c r="K37" s="12" t="n">
        <v>373034</v>
      </c>
      <c r="L37" s="12" t="n">
        <v>443459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287005</v>
      </c>
      <c r="E38" s="20" t="n"/>
      <c r="F38" s="20" t="n">
        <v>262300</v>
      </c>
      <c r="G38" s="20" t="n"/>
      <c r="H38" s="19" t="n">
        <v>133364</v>
      </c>
      <c r="I38" s="20" t="n">
        <v>116892</v>
      </c>
      <c r="J38" s="20" t="n">
        <v>240469</v>
      </c>
      <c r="K38" s="20" t="n">
        <v>255930</v>
      </c>
      <c r="L38" s="20" t="n">
        <v>262300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28220</v>
      </c>
      <c r="E40" s="20" t="n"/>
      <c r="F40" s="20" t="n">
        <v>28220</v>
      </c>
      <c r="G40" s="20" t="n"/>
      <c r="H40" s="19" t="n"/>
      <c r="I40" s="20" t="n"/>
      <c r="J40" s="20" t="n">
        <v>0</v>
      </c>
      <c r="K40" s="20" t="n">
        <v>23521</v>
      </c>
      <c r="L40" s="20" t="n">
        <v>28220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545305</v>
      </c>
      <c r="D71" s="20" t="n">
        <v>531447</v>
      </c>
      <c r="E71" s="20" t="n">
        <v>541570</v>
      </c>
      <c r="F71" s="20" t="n">
        <v>552792</v>
      </c>
      <c r="G71" s="20" t="n">
        <v>572799</v>
      </c>
      <c r="H71" s="20" t="n">
        <v>452679</v>
      </c>
      <c r="I71" s="20" t="n">
        <v>603686</v>
      </c>
      <c r="J71" s="20" t="n">
        <v>600893</v>
      </c>
      <c r="K71" s="20" t="n">
        <v>454709</v>
      </c>
      <c r="L71" s="20" t="n">
        <v>552792</v>
      </c>
    </row>
    <row r="72">
      <c r="A72" s="18" t="inlineStr">
        <is>
          <t>Notes And Operating Accounts Receivable CA</t>
        </is>
      </c>
      <c r="C72" s="20" t="n">
        <v>232193</v>
      </c>
      <c r="D72" s="20" t="n">
        <v>258597</v>
      </c>
      <c r="E72" s="20" t="n">
        <v>274827</v>
      </c>
      <c r="F72" s="20" t="n">
        <v>298941</v>
      </c>
      <c r="G72" s="20" t="n">
        <v>290050</v>
      </c>
      <c r="H72" s="20" t="n">
        <v>148942</v>
      </c>
      <c r="I72" s="20" t="n">
        <v>186085</v>
      </c>
      <c r="J72" s="20" t="n">
        <v>217084</v>
      </c>
      <c r="K72" s="20" t="n">
        <v>246650</v>
      </c>
      <c r="L72" s="20" t="n">
        <v>298941</v>
      </c>
    </row>
    <row r="73">
      <c r="A73" s="18" t="inlineStr">
        <is>
          <t>Lease Receivables And Investment Assets CA</t>
        </is>
      </c>
      <c r="C73" s="20" t="n">
        <v>8908</v>
      </c>
      <c r="D73" s="20" t="n">
        <v>8306</v>
      </c>
      <c r="E73" s="20" t="n">
        <v>7749</v>
      </c>
      <c r="F73" s="20" t="n">
        <v>7919</v>
      </c>
      <c r="G73" s="20" t="n">
        <v>7335</v>
      </c>
      <c r="H73" s="20" t="n">
        <v>17628</v>
      </c>
      <c r="I73" s="20" t="n">
        <v>14724</v>
      </c>
      <c r="J73" s="20" t="n">
        <v>12219</v>
      </c>
      <c r="K73" s="20" t="n">
        <v>9565</v>
      </c>
      <c r="L73" s="20" t="n">
        <v>7919</v>
      </c>
    </row>
    <row r="74">
      <c r="A74" s="18" t="inlineStr">
        <is>
          <t>유가증권</t>
        </is>
      </c>
      <c r="C74" s="20" t="n">
        <v>742690</v>
      </c>
      <c r="D74" s="20" t="n">
        <v>681852</v>
      </c>
      <c r="E74" s="20" t="n">
        <v>688380</v>
      </c>
      <c r="F74" s="20" t="n">
        <v>704174</v>
      </c>
      <c r="G74" s="20" t="n">
        <v>636972</v>
      </c>
      <c r="H74" s="20" t="n">
        <v>498310</v>
      </c>
      <c r="I74" s="20" t="n">
        <v>580037</v>
      </c>
      <c r="J74" s="20" t="n">
        <v>656913</v>
      </c>
      <c r="K74" s="20" t="n">
        <v>761709</v>
      </c>
      <c r="L74" s="20" t="n">
        <v>704174</v>
      </c>
    </row>
    <row r="75">
      <c r="A75" s="18" t="inlineStr">
        <is>
          <t>상품</t>
        </is>
      </c>
      <c r="C75" s="20" t="n">
        <v>16999</v>
      </c>
      <c r="D75" s="20" t="n">
        <v>18236</v>
      </c>
      <c r="E75" s="20" t="n">
        <v>19841</v>
      </c>
      <c r="F75" s="20" t="n">
        <v>18243</v>
      </c>
      <c r="G75" s="20" t="n">
        <v>19153</v>
      </c>
      <c r="H75" s="20" t="n">
        <v>9218</v>
      </c>
      <c r="I75" s="20" t="n">
        <v>8958</v>
      </c>
      <c r="J75" s="20" t="n">
        <v>11743</v>
      </c>
      <c r="K75" s="20" t="n">
        <v>14519</v>
      </c>
      <c r="L75" s="20" t="n">
        <v>18243</v>
      </c>
    </row>
    <row r="76">
      <c r="A76" s="18" t="inlineStr">
        <is>
          <t>저장품</t>
        </is>
      </c>
      <c r="C76" s="20" t="n">
        <v>60475</v>
      </c>
      <c r="D76" s="20" t="n">
        <v>68388</v>
      </c>
      <c r="E76" s="20" t="n">
        <v>69271</v>
      </c>
      <c r="F76" s="20" t="n">
        <v>71703</v>
      </c>
      <c r="G76" s="20" t="n">
        <v>75527</v>
      </c>
      <c r="H76" s="20" t="n">
        <v>34856</v>
      </c>
      <c r="I76" s="20" t="n">
        <v>35697</v>
      </c>
      <c r="J76" s="20" t="n">
        <v>42218</v>
      </c>
      <c r="K76" s="20" t="n">
        <v>61325</v>
      </c>
      <c r="L76" s="20" t="n">
        <v>71703</v>
      </c>
    </row>
    <row r="77">
      <c r="A77" s="18" t="inlineStr">
        <is>
          <t>기타</t>
        </is>
      </c>
      <c r="C77" s="20" t="n">
        <v>142653</v>
      </c>
      <c r="D77" s="20" t="n">
        <v>166229</v>
      </c>
      <c r="E77" s="20" t="n">
        <v>189432</v>
      </c>
      <c r="F77" s="20" t="n">
        <v>237056</v>
      </c>
      <c r="G77" s="20" t="n">
        <v>228397</v>
      </c>
      <c r="H77" s="20" t="n">
        <v>132533</v>
      </c>
      <c r="I77" s="20" t="n">
        <v>121891</v>
      </c>
      <c r="J77" s="20" t="n">
        <v>160405</v>
      </c>
      <c r="K77" s="20" t="n">
        <v>145528</v>
      </c>
      <c r="L77" s="20" t="n">
        <v>237056</v>
      </c>
    </row>
    <row r="78">
      <c r="A78" s="18" t="inlineStr">
        <is>
          <t>대손충당금</t>
        </is>
      </c>
      <c r="C78" s="20" t="n">
        <v>-284</v>
      </c>
      <c r="D78" s="20" t="n">
        <v>-298</v>
      </c>
      <c r="E78" s="20" t="n">
        <v>-314</v>
      </c>
      <c r="F78" s="20" t="n">
        <v>-323</v>
      </c>
      <c r="G78" s="20" t="n">
        <v>-326</v>
      </c>
      <c r="H78" s="20" t="n">
        <v>-245</v>
      </c>
      <c r="I78" s="20" t="n">
        <v>-258</v>
      </c>
      <c r="J78" s="20" t="n">
        <v>-285</v>
      </c>
      <c r="K78" s="20" t="n">
        <v>-279</v>
      </c>
      <c r="L78" s="20" t="n">
        <v>-323</v>
      </c>
    </row>
    <row r="79">
      <c r="A79" s="9" t="inlineStr">
        <is>
          <t>유동자산 합계</t>
        </is>
      </c>
      <c r="C79" s="12" t="n">
        <v>1748939</v>
      </c>
      <c r="D79" s="12" t="n">
        <v>1732757</v>
      </c>
      <c r="E79" s="12" t="n">
        <v>1790756</v>
      </c>
      <c r="F79" s="12" t="n">
        <v>1890505</v>
      </c>
      <c r="G79" s="12" t="n">
        <v>1829907</v>
      </c>
      <c r="H79" s="12" t="n">
        <v>1293921</v>
      </c>
      <c r="I79" s="12" t="n">
        <v>1550820</v>
      </c>
      <c r="J79" s="12" t="n">
        <v>1701190</v>
      </c>
      <c r="K79" s="12" t="n">
        <v>1693726</v>
      </c>
      <c r="L79" s="12" t="n">
        <v>1890505</v>
      </c>
    </row>
    <row r="80">
      <c r="A80" s="18" t="inlineStr">
        <is>
          <t>건물·구축물(순액)</t>
        </is>
      </c>
      <c r="C80" s="20" t="n">
        <v>81198</v>
      </c>
      <c r="D80" s="20" t="n">
        <v>83096</v>
      </c>
      <c r="E80" s="20" t="n">
        <v>82650</v>
      </c>
      <c r="F80" s="20" t="n">
        <v>83445</v>
      </c>
      <c r="G80" s="20" t="n">
        <v>81294</v>
      </c>
      <c r="H80" s="20" t="n">
        <v>101911</v>
      </c>
      <c r="I80" s="20" t="n">
        <v>92156</v>
      </c>
      <c r="J80" s="20" t="n">
        <v>85057</v>
      </c>
      <c r="K80" s="20" t="n">
        <v>82693</v>
      </c>
      <c r="L80" s="20" t="n">
        <v>83445</v>
      </c>
    </row>
    <row r="81">
      <c r="A81" s="18" t="inlineStr">
        <is>
          <t>Aircraft Net</t>
        </is>
      </c>
      <c r="C81" s="20" t="n">
        <v>963076</v>
      </c>
      <c r="D81" s="20" t="n">
        <v>1068113</v>
      </c>
      <c r="E81" s="20" t="n">
        <v>1080076</v>
      </c>
      <c r="F81" s="20" t="n">
        <v>1065954</v>
      </c>
      <c r="G81" s="20" t="n">
        <v>1082865</v>
      </c>
      <c r="H81" s="20" t="n">
        <v>978122</v>
      </c>
      <c r="I81" s="20" t="n">
        <v>904339</v>
      </c>
      <c r="J81" s="20" t="n">
        <v>933838</v>
      </c>
      <c r="K81" s="20" t="n">
        <v>978856</v>
      </c>
      <c r="L81" s="20" t="n">
        <v>1065954</v>
      </c>
    </row>
    <row r="82">
      <c r="A82" s="18" t="inlineStr">
        <is>
          <t>기계장치·운반구(순액)</t>
        </is>
      </c>
      <c r="C82" s="20" t="n">
        <v>32723</v>
      </c>
      <c r="D82" s="20" t="n">
        <v>34399</v>
      </c>
      <c r="E82" s="20" t="n">
        <v>34824</v>
      </c>
      <c r="F82" s="20" t="n">
        <v>35323</v>
      </c>
      <c r="G82" s="20" t="n">
        <v>34560</v>
      </c>
      <c r="H82" s="20" t="n">
        <v>29802</v>
      </c>
      <c r="I82" s="20" t="n">
        <v>27423</v>
      </c>
      <c r="J82" s="20" t="n">
        <v>28476</v>
      </c>
      <c r="K82" s="20" t="n">
        <v>33227</v>
      </c>
      <c r="L82" s="20" t="n">
        <v>35323</v>
      </c>
    </row>
    <row r="83">
      <c r="A83" s="18" t="inlineStr">
        <is>
          <t>공구·기구·비품(순액)</t>
        </is>
      </c>
      <c r="C83" s="20" t="n">
        <v>10635</v>
      </c>
      <c r="D83" s="20" t="n">
        <v>10941</v>
      </c>
      <c r="E83" s="20" t="n">
        <v>12359</v>
      </c>
      <c r="F83" s="20" t="n">
        <v>13807</v>
      </c>
      <c r="G83" s="20" t="n">
        <v>14152</v>
      </c>
      <c r="H83" s="20" t="n">
        <v>15425</v>
      </c>
      <c r="I83" s="20" t="n">
        <v>12600</v>
      </c>
      <c r="J83" s="20" t="n">
        <v>11112</v>
      </c>
      <c r="K83" s="20" t="n">
        <v>11100</v>
      </c>
      <c r="L83" s="20" t="n">
        <v>13807</v>
      </c>
    </row>
    <row r="84">
      <c r="A84" s="18" t="inlineStr">
        <is>
          <t>토지</t>
        </is>
      </c>
      <c r="C84" s="20" t="n">
        <v>44003</v>
      </c>
      <c r="D84" s="20" t="n">
        <v>43975</v>
      </c>
      <c r="E84" s="20" t="n">
        <v>43991</v>
      </c>
      <c r="F84" s="20" t="n">
        <v>43690</v>
      </c>
      <c r="G84" s="20" t="n">
        <v>43694</v>
      </c>
      <c r="H84" s="20" t="n">
        <v>44385</v>
      </c>
      <c r="I84" s="20" t="n">
        <v>44045</v>
      </c>
      <c r="J84" s="20" t="n">
        <v>44069</v>
      </c>
      <c r="K84" s="20" t="n">
        <v>44010</v>
      </c>
      <c r="L84" s="20" t="n">
        <v>43690</v>
      </c>
    </row>
    <row r="85">
      <c r="A85" s="18" t="inlineStr">
        <is>
          <t>리스자산(순액)</t>
        </is>
      </c>
      <c r="C85" s="20" t="n">
        <v>3809</v>
      </c>
      <c r="D85" s="20" t="n">
        <v>3765</v>
      </c>
      <c r="E85" s="20" t="n">
        <v>3657</v>
      </c>
      <c r="F85" s="20" t="n">
        <v>3414</v>
      </c>
      <c r="G85" s="20" t="n">
        <v>3163</v>
      </c>
      <c r="H85" s="20" t="n">
        <v>4246</v>
      </c>
      <c r="I85" s="20" t="n">
        <v>3782</v>
      </c>
      <c r="J85" s="20" t="n">
        <v>4028</v>
      </c>
      <c r="K85" s="20" t="n">
        <v>4041</v>
      </c>
      <c r="L85" s="20" t="n">
        <v>3414</v>
      </c>
    </row>
    <row r="86">
      <c r="A86" s="18" t="inlineStr">
        <is>
          <t>건설중인자산</t>
        </is>
      </c>
      <c r="C86" s="20" t="n">
        <v>261749</v>
      </c>
      <c r="D86" s="20" t="n">
        <v>248805</v>
      </c>
      <c r="E86" s="20" t="n">
        <v>251309</v>
      </c>
      <c r="F86" s="20" t="n">
        <v>281132</v>
      </c>
      <c r="G86" s="20" t="n">
        <v>288858</v>
      </c>
      <c r="H86" s="20" t="n">
        <v>176446</v>
      </c>
      <c r="I86" s="20" t="n">
        <v>186967</v>
      </c>
      <c r="J86" s="20" t="n">
        <v>224173</v>
      </c>
      <c r="K86" s="20" t="n">
        <v>251028</v>
      </c>
      <c r="L86" s="20" t="n">
        <v>281132</v>
      </c>
    </row>
    <row r="87">
      <c r="A87" s="18" t="inlineStr">
        <is>
          <t>유형자산 합계</t>
        </is>
      </c>
      <c r="C87" s="20" t="n">
        <v>1397193</v>
      </c>
      <c r="D87" s="20" t="n">
        <v>1493094</v>
      </c>
      <c r="E87" s="20" t="n">
        <v>1508866</v>
      </c>
      <c r="F87" s="20" t="n">
        <v>1526765</v>
      </c>
      <c r="G87" s="20" t="n">
        <v>1548586</v>
      </c>
      <c r="H87" s="20" t="n">
        <v>1350337</v>
      </c>
      <c r="I87" s="20" t="n">
        <v>1271312</v>
      </c>
      <c r="J87" s="20" t="n">
        <v>1330753</v>
      </c>
      <c r="K87" s="20" t="n">
        <v>1404955</v>
      </c>
      <c r="L87" s="20" t="n">
        <v>1526765</v>
      </c>
    </row>
    <row r="88">
      <c r="A88" s="18" t="inlineStr">
        <is>
          <t>영업권</t>
        </is>
      </c>
      <c r="C88" s="20" t="n">
        <v>13498</v>
      </c>
      <c r="D88" s="20" t="n">
        <v>12998</v>
      </c>
      <c r="E88" s="20" t="n">
        <v>12497</v>
      </c>
      <c r="F88" s="20" t="n">
        <v>11997</v>
      </c>
      <c r="G88" s="20" t="n">
        <v>11497</v>
      </c>
      <c r="H88" s="20" t="n">
        <v>20230</v>
      </c>
      <c r="I88" s="20" t="n">
        <v>18115</v>
      </c>
      <c r="J88" s="20" t="n">
        <v>15999</v>
      </c>
      <c r="K88" s="20" t="n">
        <v>13998</v>
      </c>
      <c r="L88" s="20" t="n">
        <v>11997</v>
      </c>
    </row>
    <row r="89">
      <c r="A89" s="18" t="inlineStr">
        <is>
          <t>기타</t>
        </is>
      </c>
      <c r="C89" s="20" t="n">
        <v>120243</v>
      </c>
      <c r="D89" s="20" t="n">
        <v>125570</v>
      </c>
      <c r="E89" s="20" t="n">
        <v>131603</v>
      </c>
      <c r="F89" s="20" t="n">
        <v>134787</v>
      </c>
      <c r="G89" s="20" t="n">
        <v>140010</v>
      </c>
      <c r="H89" s="20" t="n">
        <v>73050</v>
      </c>
      <c r="I89" s="20" t="n">
        <v>69705</v>
      </c>
      <c r="J89" s="20" t="n">
        <v>87908</v>
      </c>
      <c r="K89" s="20" t="n">
        <v>116174</v>
      </c>
      <c r="L89" s="20" t="n">
        <v>134787</v>
      </c>
    </row>
    <row r="90">
      <c r="A90" s="18" t="inlineStr">
        <is>
          <t>무형자산 합계</t>
        </is>
      </c>
      <c r="C90" s="20" t="n">
        <v>133741</v>
      </c>
      <c r="D90" s="20" t="n">
        <v>138568</v>
      </c>
      <c r="E90" s="20" t="n">
        <v>144100</v>
      </c>
      <c r="F90" s="20" t="n">
        <v>146784</v>
      </c>
      <c r="G90" s="20" t="n">
        <v>151507</v>
      </c>
      <c r="H90" s="20" t="n">
        <v>93280</v>
      </c>
      <c r="I90" s="20" t="n">
        <v>87820</v>
      </c>
      <c r="J90" s="20" t="n">
        <v>103907</v>
      </c>
      <c r="K90" s="20" t="n">
        <v>130172</v>
      </c>
      <c r="L90" s="20" t="n">
        <v>146784</v>
      </c>
    </row>
    <row r="91">
      <c r="A91" s="18" t="inlineStr">
        <is>
          <t>투자유가증권</t>
        </is>
      </c>
      <c r="C91" s="20" t="n">
        <v>158953</v>
      </c>
      <c r="D91" s="20" t="n">
        <v>166286</v>
      </c>
      <c r="E91" s="20" t="n">
        <v>158692</v>
      </c>
      <c r="F91" s="20" t="n">
        <v>162094</v>
      </c>
      <c r="G91" s="20" t="n">
        <v>161770</v>
      </c>
      <c r="H91" s="20" t="n">
        <v>140746</v>
      </c>
      <c r="I91" s="20" t="n">
        <v>149952</v>
      </c>
      <c r="J91" s="20" t="n">
        <v>156425</v>
      </c>
      <c r="K91" s="20" t="n">
        <v>150654</v>
      </c>
      <c r="L91" s="20" t="n">
        <v>162094</v>
      </c>
    </row>
    <row r="92">
      <c r="A92" s="18" t="inlineStr">
        <is>
          <t>장기대여금</t>
        </is>
      </c>
      <c r="C92" s="20" t="n">
        <v>7387</v>
      </c>
      <c r="D92" s="20" t="n">
        <v>7492</v>
      </c>
      <c r="E92" s="20" t="n">
        <v>7441</v>
      </c>
      <c r="F92" s="20" t="n">
        <v>7434</v>
      </c>
      <c r="G92" s="20" t="n">
        <v>6709</v>
      </c>
      <c r="H92" s="20" t="n">
        <v>6850</v>
      </c>
      <c r="I92" s="20" t="n">
        <v>6635</v>
      </c>
      <c r="J92" s="20" t="n">
        <v>6144</v>
      </c>
      <c r="K92" s="20" t="n">
        <v>7524</v>
      </c>
      <c r="L92" s="20" t="n">
        <v>7434</v>
      </c>
    </row>
    <row r="93">
      <c r="A93" s="18" t="inlineStr">
        <is>
          <t>이연법인세자산</t>
        </is>
      </c>
      <c r="C93" s="20" t="n">
        <v>184718</v>
      </c>
      <c r="D93" s="20" t="n">
        <v>166363</v>
      </c>
      <c r="E93" s="20" t="n">
        <v>154116</v>
      </c>
      <c r="F93" s="20" t="n">
        <v>144358</v>
      </c>
      <c r="G93" s="20" t="n">
        <v>158569</v>
      </c>
      <c r="H93" s="20" t="n">
        <v>273452</v>
      </c>
      <c r="I93" s="20" t="n">
        <v>263303</v>
      </c>
      <c r="J93" s="20" t="n">
        <v>213374</v>
      </c>
      <c r="K93" s="20" t="n">
        <v>190747</v>
      </c>
      <c r="L93" s="20" t="n">
        <v>144358</v>
      </c>
    </row>
    <row r="94">
      <c r="A94" s="18" t="inlineStr">
        <is>
          <t>퇴직급여자산</t>
        </is>
      </c>
      <c r="C94" s="20" t="n">
        <v>3878</v>
      </c>
      <c r="D94" s="20" t="n">
        <v>3912</v>
      </c>
      <c r="E94" s="20" t="n">
        <v>3928</v>
      </c>
      <c r="F94" s="20" t="n">
        <v>5320</v>
      </c>
      <c r="G94" s="20" t="n">
        <v>5333</v>
      </c>
      <c r="H94" s="20" t="n">
        <v>960</v>
      </c>
      <c r="I94" s="20" t="n">
        <v>1618</v>
      </c>
      <c r="J94" s="20" t="n">
        <v>3198</v>
      </c>
      <c r="K94" s="20" t="n">
        <v>3866</v>
      </c>
      <c r="L94" s="20" t="n">
        <v>5320</v>
      </c>
    </row>
    <row r="95">
      <c r="A95" s="18" t="inlineStr">
        <is>
          <t>기타</t>
        </is>
      </c>
      <c r="C95" s="20" t="n">
        <v>36147</v>
      </c>
      <c r="D95" s="20" t="n">
        <v>47153</v>
      </c>
      <c r="E95" s="20" t="n">
        <v>58010</v>
      </c>
      <c r="F95" s="20" t="n">
        <v>74389</v>
      </c>
      <c r="G95" s="20" t="n">
        <v>62971</v>
      </c>
      <c r="H95" s="20" t="n">
        <v>60253</v>
      </c>
      <c r="I95" s="20" t="n">
        <v>37753</v>
      </c>
      <c r="J95" s="20" t="n">
        <v>57216</v>
      </c>
      <c r="K95" s="20" t="n">
        <v>45293</v>
      </c>
      <c r="L95" s="20" t="n">
        <v>74389</v>
      </c>
    </row>
    <row r="96">
      <c r="A96" s="18" t="inlineStr">
        <is>
          <t>대손충당금</t>
        </is>
      </c>
      <c r="C96" s="20" t="n">
        <v>-7111</v>
      </c>
      <c r="D96" s="20" t="n">
        <v>-7510</v>
      </c>
      <c r="E96" s="20" t="n">
        <v>-3619</v>
      </c>
      <c r="F96" s="20" t="n">
        <v>-3808</v>
      </c>
      <c r="G96" s="20" t="n">
        <v>-3307</v>
      </c>
      <c r="H96" s="20" t="n">
        <v>-2993</v>
      </c>
      <c r="I96" s="20" t="n">
        <v>-3486</v>
      </c>
      <c r="J96" s="20" t="n">
        <v>-3210</v>
      </c>
      <c r="K96" s="20" t="n">
        <v>-7071</v>
      </c>
      <c r="L96" s="20" t="n">
        <v>-3808</v>
      </c>
    </row>
    <row r="97">
      <c r="A97" s="18" t="inlineStr">
        <is>
          <t>투자 및 기타자산 합계</t>
        </is>
      </c>
      <c r="C97" s="20" t="n">
        <v>383972</v>
      </c>
      <c r="D97" s="20" t="n">
        <v>383696</v>
      </c>
      <c r="E97" s="20" t="n">
        <v>378568</v>
      </c>
      <c r="F97" s="20" t="n">
        <v>389787</v>
      </c>
      <c r="G97" s="20" t="n">
        <v>392045</v>
      </c>
      <c r="H97" s="20" t="n">
        <v>479268</v>
      </c>
      <c r="I97" s="20" t="n">
        <v>455775</v>
      </c>
      <c r="J97" s="20" t="n">
        <v>433147</v>
      </c>
      <c r="K97" s="20" t="n">
        <v>391013</v>
      </c>
      <c r="L97" s="20" t="n">
        <v>389787</v>
      </c>
    </row>
    <row r="98">
      <c r="A98" s="9" t="inlineStr">
        <is>
          <t>비유동자산 합계</t>
        </is>
      </c>
      <c r="C98" s="12" t="n">
        <v>1914906</v>
      </c>
      <c r="D98" s="12" t="n">
        <v>2015358</v>
      </c>
      <c r="E98" s="12" t="n">
        <v>2031534</v>
      </c>
      <c r="F98" s="12" t="n">
        <v>2063336</v>
      </c>
      <c r="G98" s="12" t="n">
        <v>2092138</v>
      </c>
      <c r="H98" s="12" t="n">
        <v>1922885</v>
      </c>
      <c r="I98" s="12" t="n">
        <v>1814907</v>
      </c>
      <c r="J98" s="12" t="n">
        <v>1867807</v>
      </c>
      <c r="K98" s="12" t="n">
        <v>1926140</v>
      </c>
      <c r="L98" s="12" t="n">
        <v>2063336</v>
      </c>
    </row>
    <row r="99">
      <c r="A99" s="18" t="inlineStr">
        <is>
          <t>Deferred Assets</t>
        </is>
      </c>
      <c r="C99" s="20" t="n">
        <v>406</v>
      </c>
      <c r="D99" s="20" t="n">
        <v>381</v>
      </c>
      <c r="E99" s="20" t="n">
        <v>1390</v>
      </c>
      <c r="F99" s="20" t="n">
        <v>1287</v>
      </c>
      <c r="G99" s="20" t="n">
        <v>1187</v>
      </c>
      <c r="H99" s="20" t="n">
        <v>1627</v>
      </c>
      <c r="I99" s="20" t="n">
        <v>997</v>
      </c>
      <c r="J99" s="20" t="n">
        <v>533</v>
      </c>
      <c r="K99" s="20" t="n">
        <v>431</v>
      </c>
      <c r="L99" s="20" t="n">
        <v>1287</v>
      </c>
    </row>
    <row r="100">
      <c r="A100" s="9" t="inlineStr">
        <is>
          <t>자산 합계</t>
        </is>
      </c>
      <c r="C100" s="12" t="n">
        <v>3664251</v>
      </c>
      <c r="D100" s="12" t="n">
        <v>3748496</v>
      </c>
      <c r="E100" s="12" t="n">
        <v>3823680</v>
      </c>
      <c r="F100" s="12" t="n">
        <v>3955128</v>
      </c>
      <c r="G100" s="12" t="n">
        <v>3923232</v>
      </c>
      <c r="H100" s="12" t="n">
        <v>3218433</v>
      </c>
      <c r="I100" s="12" t="n">
        <v>3366724</v>
      </c>
      <c r="J100" s="12" t="n">
        <v>3569530</v>
      </c>
      <c r="K100" s="12" t="n">
        <v>3620297</v>
      </c>
      <c r="L100" s="12" t="n">
        <v>3955128</v>
      </c>
    </row>
    <row r="101">
      <c r="A101" s="18" t="inlineStr">
        <is>
          <t>영업미지급금</t>
        </is>
      </c>
      <c r="C101" s="20" t="n">
        <v>213628</v>
      </c>
      <c r="D101" s="20" t="n">
        <v>232050</v>
      </c>
      <c r="E101" s="20" t="n">
        <v>264831</v>
      </c>
      <c r="F101" s="20" t="n">
        <v>260042</v>
      </c>
      <c r="G101" s="20" t="n">
        <v>283673</v>
      </c>
      <c r="H101" s="20" t="n">
        <v>125001</v>
      </c>
      <c r="I101" s="20" t="n">
        <v>162969</v>
      </c>
      <c r="J101" s="20" t="n">
        <v>229273</v>
      </c>
      <c r="K101" s="20" t="n">
        <v>235512</v>
      </c>
      <c r="L101" s="20" t="n">
        <v>260042</v>
      </c>
    </row>
    <row r="102">
      <c r="A102" s="18" t="inlineStr">
        <is>
          <t>단기차입금</t>
        </is>
      </c>
      <c r="C102" s="20" t="n">
        <v>68900</v>
      </c>
      <c r="D102" s="20" t="n">
        <v>68591</v>
      </c>
      <c r="E102" s="20" t="n">
        <v>69009</v>
      </c>
      <c r="F102" s="20" t="n">
        <v>68950</v>
      </c>
      <c r="G102" s="20" t="n">
        <v>60084</v>
      </c>
      <c r="H102" s="20" t="n">
        <v>100070</v>
      </c>
      <c r="I102" s="20" t="n">
        <v>92170</v>
      </c>
      <c r="J102" s="20" t="n">
        <v>84170</v>
      </c>
      <c r="K102" s="20" t="n">
        <v>76919</v>
      </c>
      <c r="L102" s="20" t="n">
        <v>68950</v>
      </c>
    </row>
    <row r="103">
      <c r="A103" s="18" t="inlineStr">
        <is>
          <t>1년 내 상환 장기차입금</t>
        </is>
      </c>
      <c r="C103" s="20" t="n">
        <v>274247</v>
      </c>
      <c r="D103" s="20" t="n">
        <v>277180</v>
      </c>
      <c r="E103" s="20" t="n">
        <v>78799</v>
      </c>
      <c r="F103" s="20" t="n">
        <v>77368</v>
      </c>
      <c r="G103" s="20" t="n">
        <v>84033</v>
      </c>
      <c r="H103" s="20" t="n">
        <v>62775</v>
      </c>
      <c r="I103" s="20" t="n">
        <v>84633</v>
      </c>
      <c r="J103" s="20" t="n">
        <v>73777</v>
      </c>
      <c r="K103" s="20" t="n">
        <v>267166</v>
      </c>
      <c r="L103" s="20" t="n">
        <v>77368</v>
      </c>
    </row>
    <row r="104">
      <c r="A104" s="18" t="inlineStr">
        <is>
          <t>1년 내 상환 사채</t>
        </is>
      </c>
      <c r="C104" s="20" t="n">
        <v>55000</v>
      </c>
      <c r="D104" s="20" t="n">
        <v>70000</v>
      </c>
      <c r="E104" s="20" t="n">
        <v>40000</v>
      </c>
      <c r="F104" s="20" t="n">
        <v>40000</v>
      </c>
      <c r="G104" s="20" t="n">
        <v>15000</v>
      </c>
      <c r="H104" s="20" t="n">
        <v>0</v>
      </c>
      <c r="I104" s="20" t="n">
        <v>30000</v>
      </c>
      <c r="J104" s="20" t="n">
        <v>0</v>
      </c>
      <c r="K104" s="20" t="n">
        <v>30000</v>
      </c>
      <c r="L104" s="20" t="n">
        <v>40000</v>
      </c>
    </row>
    <row r="105">
      <c r="A105" s="18" t="inlineStr">
        <is>
          <t>1년 내 상환 예정 전환사채형 신주예약권부 사채</t>
        </is>
      </c>
      <c r="H105" s="20" t="n">
        <v>70000</v>
      </c>
      <c r="I105" s="20" t="n">
        <v>0</v>
      </c>
      <c r="J105" s="20" t="n">
        <v>70000</v>
      </c>
      <c r="K105" s="20" t="n">
        <v>0</v>
      </c>
    </row>
    <row r="106">
      <c r="A106" s="18" t="inlineStr">
        <is>
          <t>리스부채</t>
        </is>
      </c>
      <c r="C106" s="20" t="n">
        <v>2065</v>
      </c>
      <c r="D106" s="20" t="n">
        <v>2003</v>
      </c>
      <c r="E106" s="20" t="n">
        <v>2021</v>
      </c>
      <c r="F106" s="20" t="n">
        <v>2131</v>
      </c>
      <c r="G106" s="20" t="n">
        <v>1532</v>
      </c>
      <c r="H106" s="20" t="n">
        <v>4057</v>
      </c>
      <c r="I106" s="20" t="n">
        <v>3047</v>
      </c>
      <c r="J106" s="20" t="n">
        <v>2051</v>
      </c>
      <c r="K106" s="20" t="n">
        <v>2232</v>
      </c>
      <c r="L106" s="20" t="n">
        <v>2131</v>
      </c>
    </row>
    <row r="107">
      <c r="A107" s="18" t="inlineStr">
        <is>
          <t>미지급법인세</t>
        </is>
      </c>
      <c r="C107" s="20" t="n">
        <v>3041</v>
      </c>
      <c r="D107" s="20" t="n">
        <v>6166</v>
      </c>
      <c r="E107" s="20" t="n">
        <v>18696</v>
      </c>
      <c r="F107" s="20" t="n">
        <v>37299</v>
      </c>
      <c r="G107" s="20" t="n">
        <v>5716</v>
      </c>
      <c r="H107" s="20" t="n">
        <v>2908</v>
      </c>
      <c r="I107" s="20" t="n">
        <v>6910</v>
      </c>
      <c r="J107" s="20" t="n">
        <v>8015</v>
      </c>
      <c r="K107" s="20" t="n">
        <v>7471</v>
      </c>
      <c r="L107" s="20" t="n">
        <v>37299</v>
      </c>
    </row>
    <row r="108">
      <c r="A108" s="18" t="inlineStr">
        <is>
          <t>Deposit Received CL</t>
        </is>
      </c>
      <c r="H108" s="20" t="n">
        <v>0</v>
      </c>
    </row>
    <row r="109">
      <c r="A109" s="18" t="inlineStr">
        <is>
          <t>계약부채</t>
        </is>
      </c>
      <c r="C109" s="20" t="n">
        <v>558055</v>
      </c>
      <c r="D109" s="20" t="n">
        <v>571878</v>
      </c>
      <c r="E109" s="20" t="n">
        <v>535301</v>
      </c>
      <c r="F109" s="20" t="n">
        <v>596820</v>
      </c>
      <c r="G109" s="20" t="n">
        <v>653703</v>
      </c>
      <c r="H109" s="20" t="n">
        <v>256023</v>
      </c>
      <c r="I109" s="20" t="n">
        <v>393545</v>
      </c>
      <c r="J109" s="20" t="n">
        <v>444982</v>
      </c>
      <c r="K109" s="20" t="n">
        <v>526111</v>
      </c>
      <c r="L109" s="20" t="n">
        <v>596820</v>
      </c>
    </row>
    <row r="110">
      <c r="A110" s="18" t="inlineStr">
        <is>
          <t>상여충당금</t>
        </is>
      </c>
      <c r="C110" s="20" t="n">
        <v>43998</v>
      </c>
      <c r="D110" s="20" t="n">
        <v>34363</v>
      </c>
      <c r="E110" s="20" t="n">
        <v>27859</v>
      </c>
      <c r="F110" s="20" t="n">
        <v>70786</v>
      </c>
      <c r="G110" s="20" t="n">
        <v>43550</v>
      </c>
      <c r="H110" s="20" t="n">
        <v>10342</v>
      </c>
      <c r="I110" s="20" t="n">
        <v>33686</v>
      </c>
      <c r="J110" s="20" t="n">
        <v>55688</v>
      </c>
      <c r="K110" s="20" t="n">
        <v>60401</v>
      </c>
      <c r="L110" s="20" t="n">
        <v>70786</v>
      </c>
    </row>
    <row r="111">
      <c r="A111" s="18" t="inlineStr">
        <is>
          <t>기타 충당금</t>
        </is>
      </c>
      <c r="C111" s="20" t="n">
        <v>7495</v>
      </c>
      <c r="D111" s="20" t="n">
        <v>4934</v>
      </c>
      <c r="E111" s="20" t="n">
        <v>4263</v>
      </c>
      <c r="F111" s="20" t="n">
        <v>3281</v>
      </c>
      <c r="G111" s="20" t="n">
        <v>3478</v>
      </c>
      <c r="H111" s="20" t="n">
        <v>13071</v>
      </c>
      <c r="I111" s="20" t="n">
        <v>19629</v>
      </c>
      <c r="J111" s="20" t="n">
        <v>8213</v>
      </c>
      <c r="K111" s="20" t="n">
        <v>10062</v>
      </c>
      <c r="L111" s="20" t="n">
        <v>3281</v>
      </c>
    </row>
    <row r="112">
      <c r="A112" s="18" t="inlineStr">
        <is>
          <t>기타</t>
        </is>
      </c>
      <c r="C112" s="20" t="n">
        <v>80893</v>
      </c>
      <c r="D112" s="20" t="n">
        <v>69376</v>
      </c>
      <c r="E112" s="20" t="n">
        <v>85273</v>
      </c>
      <c r="F112" s="20" t="n">
        <v>74810</v>
      </c>
      <c r="G112" s="20" t="n">
        <v>86892</v>
      </c>
      <c r="H112" s="20" t="n">
        <v>43642</v>
      </c>
      <c r="I112" s="20" t="n">
        <v>56812</v>
      </c>
      <c r="J112" s="20" t="n">
        <v>59259</v>
      </c>
      <c r="K112" s="20" t="n">
        <v>60668</v>
      </c>
      <c r="L112" s="20" t="n">
        <v>74810</v>
      </c>
    </row>
    <row r="113">
      <c r="A113" s="9" t="inlineStr">
        <is>
          <t>유동부채 합계</t>
        </is>
      </c>
      <c r="C113" s="12" t="n">
        <v>1307322</v>
      </c>
      <c r="D113" s="12" t="n">
        <v>1336541</v>
      </c>
      <c r="E113" s="12" t="n">
        <v>1126052</v>
      </c>
      <c r="F113" s="12" t="n">
        <v>1231487</v>
      </c>
      <c r="G113" s="12" t="n">
        <v>1237661</v>
      </c>
      <c r="H113" s="12" t="n">
        <v>687889</v>
      </c>
      <c r="I113" s="12" t="n">
        <v>883401</v>
      </c>
      <c r="J113" s="12" t="n">
        <v>1035428</v>
      </c>
      <c r="K113" s="12" t="n">
        <v>1276542</v>
      </c>
      <c r="L113" s="12" t="n">
        <v>1231487</v>
      </c>
    </row>
    <row r="114">
      <c r="A114" s="18" t="inlineStr">
        <is>
          <t>사채</t>
        </is>
      </c>
      <c r="C114" s="20" t="n">
        <v>100000</v>
      </c>
      <c r="D114" s="20" t="n">
        <v>85000</v>
      </c>
      <c r="E114" s="20" t="n">
        <v>85000</v>
      </c>
      <c r="F114" s="20" t="n">
        <v>85000</v>
      </c>
      <c r="G114" s="20" t="n">
        <v>85000</v>
      </c>
      <c r="H114" s="20" t="n">
        <v>185000</v>
      </c>
      <c r="I114" s="20" t="n">
        <v>155000</v>
      </c>
      <c r="J114" s="20" t="n">
        <v>155000</v>
      </c>
      <c r="K114" s="20" t="n">
        <v>125000</v>
      </c>
      <c r="L114" s="20" t="n">
        <v>85000</v>
      </c>
    </row>
    <row r="115">
      <c r="A115" s="18" t="inlineStr">
        <is>
          <t>전환사채형 신주예약권부 사채</t>
        </is>
      </c>
      <c r="C115" s="20" t="n">
        <v>150000</v>
      </c>
      <c r="D115" s="20" t="n">
        <v>150000</v>
      </c>
      <c r="E115" s="20" t="n">
        <v>150000</v>
      </c>
      <c r="F115" s="20" t="n">
        <v>150000</v>
      </c>
      <c r="G115" s="20" t="n">
        <v>150000</v>
      </c>
      <c r="H115" s="20" t="n">
        <v>220000</v>
      </c>
      <c r="I115" s="20" t="n">
        <v>220000</v>
      </c>
      <c r="J115" s="20" t="n">
        <v>150000</v>
      </c>
      <c r="K115" s="20" t="n">
        <v>150000</v>
      </c>
      <c r="L115" s="20" t="n">
        <v>150000</v>
      </c>
    </row>
    <row r="116">
      <c r="A116" s="18" t="inlineStr">
        <is>
          <t>장기차입금</t>
        </is>
      </c>
      <c r="C116" s="20" t="n">
        <v>743386</v>
      </c>
      <c r="D116" s="20" t="n">
        <v>746523</v>
      </c>
      <c r="E116" s="20" t="n">
        <v>758353</v>
      </c>
      <c r="F116" s="20" t="n">
        <v>743336</v>
      </c>
      <c r="G116" s="20" t="n">
        <v>792495</v>
      </c>
      <c r="H116" s="20" t="n">
        <v>1102218</v>
      </c>
      <c r="I116" s="20" t="n">
        <v>1017585</v>
      </c>
      <c r="J116" s="20" t="n">
        <v>943808</v>
      </c>
      <c r="K116" s="20" t="n">
        <v>691910</v>
      </c>
      <c r="L116" s="20" t="n">
        <v>743336</v>
      </c>
    </row>
    <row r="117">
      <c r="A117" s="18" t="inlineStr">
        <is>
          <t>리스부채</t>
        </is>
      </c>
      <c r="C117" s="20" t="n">
        <v>5363</v>
      </c>
      <c r="D117" s="20" t="n">
        <v>5097</v>
      </c>
      <c r="E117" s="20" t="n">
        <v>5112</v>
      </c>
      <c r="F117" s="20" t="n">
        <v>4946</v>
      </c>
      <c r="G117" s="20" t="n">
        <v>5023</v>
      </c>
      <c r="H117" s="20" t="n">
        <v>5988</v>
      </c>
      <c r="I117" s="20" t="n">
        <v>5483</v>
      </c>
      <c r="J117" s="20" t="n">
        <v>5230</v>
      </c>
      <c r="K117" s="20" t="n">
        <v>5831</v>
      </c>
      <c r="L117" s="20" t="n">
        <v>4946</v>
      </c>
    </row>
    <row r="118">
      <c r="A118" s="18" t="inlineStr">
        <is>
          <t>이연법인세부채</t>
        </is>
      </c>
      <c r="C118" s="20" t="n">
        <v>151</v>
      </c>
      <c r="D118" s="20" t="n">
        <v>156</v>
      </c>
      <c r="E118" s="20" t="n">
        <v>164</v>
      </c>
      <c r="F118" s="20" t="n">
        <v>167</v>
      </c>
      <c r="G118" s="20" t="n">
        <v>264</v>
      </c>
      <c r="H118" s="20" t="n">
        <v>1498</v>
      </c>
      <c r="I118" s="20" t="n">
        <v>206</v>
      </c>
      <c r="J118" s="20" t="n">
        <v>505</v>
      </c>
      <c r="K118" s="20" t="n">
        <v>482</v>
      </c>
      <c r="L118" s="20" t="n">
        <v>167</v>
      </c>
    </row>
    <row r="119">
      <c r="A119" s="18" t="inlineStr">
        <is>
          <t>상여충당금</t>
        </is>
      </c>
      <c r="C119" s="20" t="n">
        <v>1179</v>
      </c>
      <c r="F119" s="20" t="n">
        <v>0</v>
      </c>
      <c r="G119" s="20" t="n">
        <v>942</v>
      </c>
      <c r="I119" s="20" t="n">
        <v>0</v>
      </c>
      <c r="J119" s="20" t="n">
        <v>0</v>
      </c>
      <c r="K119" s="20" t="n">
        <v>0</v>
      </c>
      <c r="L119" s="20" t="n">
        <v>0</v>
      </c>
    </row>
    <row r="120">
      <c r="A120" s="18" t="inlineStr">
        <is>
          <t>임원 퇴직위로 충당금</t>
        </is>
      </c>
      <c r="C120" s="20" t="n">
        <v>891</v>
      </c>
      <c r="D120" s="20" t="n">
        <v>844</v>
      </c>
      <c r="E120" s="20" t="n">
        <v>889</v>
      </c>
      <c r="F120" s="20" t="n">
        <v>979</v>
      </c>
      <c r="G120" s="20" t="n">
        <v>1046</v>
      </c>
      <c r="H120" s="20" t="n">
        <v>612</v>
      </c>
      <c r="I120" s="20" t="n">
        <v>586</v>
      </c>
      <c r="J120" s="20" t="n">
        <v>707</v>
      </c>
      <c r="K120" s="20" t="n">
        <v>848</v>
      </c>
      <c r="L120" s="20" t="n">
        <v>979</v>
      </c>
    </row>
    <row r="121">
      <c r="A121" s="18" t="inlineStr">
        <is>
          <t>퇴직급여부채</t>
        </is>
      </c>
      <c r="C121" s="20" t="n">
        <v>153008</v>
      </c>
      <c r="D121" s="20" t="n">
        <v>152324</v>
      </c>
      <c r="E121" s="20" t="n">
        <v>151405</v>
      </c>
      <c r="F121" s="20" t="n">
        <v>144560</v>
      </c>
      <c r="G121" s="20" t="n">
        <v>144104</v>
      </c>
      <c r="H121" s="20" t="n">
        <v>157395</v>
      </c>
      <c r="I121" s="20" t="n">
        <v>161129</v>
      </c>
      <c r="J121" s="20" t="n">
        <v>160027</v>
      </c>
      <c r="K121" s="20" t="n">
        <v>153843</v>
      </c>
      <c r="L121" s="20" t="n">
        <v>144560</v>
      </c>
    </row>
    <row r="122">
      <c r="A122" s="18" t="inlineStr">
        <is>
          <t>기타 충당금</t>
        </is>
      </c>
      <c r="C122" s="20" t="n">
        <v>45007</v>
      </c>
      <c r="D122" s="20" t="n">
        <v>51933</v>
      </c>
      <c r="E122" s="20" t="n">
        <v>59226</v>
      </c>
      <c r="F122" s="20" t="n">
        <v>60746</v>
      </c>
      <c r="G122" s="20" t="n">
        <v>65272</v>
      </c>
      <c r="H122" s="20" t="n">
        <v>20500</v>
      </c>
      <c r="I122" s="20" t="n">
        <v>23112</v>
      </c>
      <c r="J122" s="20" t="n">
        <v>33781</v>
      </c>
      <c r="K122" s="20" t="n">
        <v>42372</v>
      </c>
      <c r="L122" s="20" t="n">
        <v>60746</v>
      </c>
    </row>
    <row r="123">
      <c r="A123" s="18" t="inlineStr">
        <is>
          <t>자산복구부채</t>
        </is>
      </c>
      <c r="C123" s="20" t="n">
        <v>1385</v>
      </c>
      <c r="D123" s="20" t="n">
        <v>1770</v>
      </c>
      <c r="E123" s="20" t="n">
        <v>1796</v>
      </c>
      <c r="F123" s="20" t="n">
        <v>3078</v>
      </c>
      <c r="G123" s="20" t="n">
        <v>3093</v>
      </c>
      <c r="H123" s="20" t="n">
        <v>1550</v>
      </c>
      <c r="I123" s="20" t="n">
        <v>1537</v>
      </c>
      <c r="J123" s="20" t="n">
        <v>1312</v>
      </c>
      <c r="K123" s="20" t="n">
        <v>1377</v>
      </c>
      <c r="L123" s="20" t="n">
        <v>3078</v>
      </c>
    </row>
    <row r="124">
      <c r="A124" s="18" t="inlineStr">
        <is>
          <t>기타</t>
        </is>
      </c>
      <c r="C124" s="20" t="n">
        <v>33913</v>
      </c>
      <c r="D124" s="20" t="n">
        <v>33366</v>
      </c>
      <c r="E124" s="20" t="n">
        <v>34920</v>
      </c>
      <c r="F124" s="20" t="n">
        <v>28196</v>
      </c>
      <c r="G124" s="20" t="n">
        <v>30033</v>
      </c>
      <c r="H124" s="20" t="n">
        <v>32368</v>
      </c>
      <c r="I124" s="20" t="n">
        <v>28294</v>
      </c>
      <c r="J124" s="20" t="n">
        <v>31105</v>
      </c>
      <c r="K124" s="20" t="n">
        <v>31997</v>
      </c>
      <c r="L124" s="20" t="n">
        <v>28196</v>
      </c>
    </row>
    <row r="125">
      <c r="A125" s="9" t="inlineStr">
        <is>
          <t>비유동부채 합계</t>
        </is>
      </c>
      <c r="C125" s="12" t="n">
        <v>1234283</v>
      </c>
      <c r="D125" s="12" t="n">
        <v>1227013</v>
      </c>
      <c r="E125" s="12" t="n">
        <v>1246865</v>
      </c>
      <c r="F125" s="12" t="n">
        <v>1221008</v>
      </c>
      <c r="G125" s="12" t="n">
        <v>1277272</v>
      </c>
      <c r="H125" s="12" t="n">
        <v>1727129</v>
      </c>
      <c r="I125" s="12" t="n">
        <v>1612932</v>
      </c>
      <c r="J125" s="12" t="n">
        <v>1481475</v>
      </c>
      <c r="K125" s="12" t="n">
        <v>1203660</v>
      </c>
      <c r="L125" s="12" t="n">
        <v>1221008</v>
      </c>
    </row>
    <row r="126">
      <c r="A126" s="9" t="inlineStr">
        <is>
          <t>부채 합계</t>
        </is>
      </c>
      <c r="C126" s="12" t="n">
        <v>2541605</v>
      </c>
      <c r="D126" s="12" t="n">
        <v>2563554</v>
      </c>
      <c r="E126" s="12" t="n">
        <v>2372917</v>
      </c>
      <c r="F126" s="12" t="n">
        <v>2452495</v>
      </c>
      <c r="G126" s="12" t="n">
        <v>2514933</v>
      </c>
      <c r="H126" s="12" t="n">
        <v>2415018</v>
      </c>
      <c r="I126" s="12" t="n">
        <v>2496333</v>
      </c>
      <c r="J126" s="12" t="n">
        <v>2516903</v>
      </c>
      <c r="K126" s="12" t="n">
        <v>2480202</v>
      </c>
      <c r="L126" s="12" t="n">
        <v>2452495</v>
      </c>
    </row>
    <row r="127">
      <c r="A127" s="18" t="inlineStr">
        <is>
          <t>자본금</t>
        </is>
      </c>
      <c r="C127" s="20" t="n">
        <v>467601</v>
      </c>
      <c r="D127" s="20" t="n">
        <v>467601</v>
      </c>
      <c r="E127" s="20" t="n">
        <v>467601</v>
      </c>
      <c r="F127" s="20" t="n">
        <v>467601</v>
      </c>
      <c r="G127" s="20" t="n">
        <v>467601</v>
      </c>
      <c r="H127" s="20" t="n">
        <v>467601</v>
      </c>
      <c r="I127" s="20" t="n">
        <v>467601</v>
      </c>
      <c r="J127" s="20" t="n">
        <v>467601</v>
      </c>
      <c r="K127" s="20" t="n">
        <v>467601</v>
      </c>
      <c r="L127" s="20" t="n">
        <v>467601</v>
      </c>
    </row>
    <row r="128">
      <c r="A128" s="18" t="inlineStr">
        <is>
          <t>자본잉여금</t>
        </is>
      </c>
      <c r="C128" s="20" t="n">
        <v>394799</v>
      </c>
      <c r="D128" s="20" t="n">
        <v>390171</v>
      </c>
      <c r="E128" s="20" t="n">
        <v>585171</v>
      </c>
      <c r="F128" s="20" t="n">
        <v>585171</v>
      </c>
      <c r="G128" s="20" t="n">
        <v>585171</v>
      </c>
      <c r="H128" s="20" t="n">
        <v>407328</v>
      </c>
      <c r="I128" s="20" t="n">
        <v>407328</v>
      </c>
      <c r="J128" s="20" t="n">
        <v>404065</v>
      </c>
      <c r="K128" s="20" t="n">
        <v>394800</v>
      </c>
      <c r="L128" s="20" t="n">
        <v>585171</v>
      </c>
    </row>
    <row r="129">
      <c r="A129" s="18" t="inlineStr">
        <is>
          <t>이익잉여금</t>
        </is>
      </c>
      <c r="C129" s="20" t="n">
        <v>260210</v>
      </c>
      <c r="D129" s="20" t="n">
        <v>313421</v>
      </c>
      <c r="E129" s="20" t="n">
        <v>377744</v>
      </c>
      <c r="F129" s="20" t="n">
        <v>407584</v>
      </c>
      <c r="G129" s="20" t="n">
        <v>394993</v>
      </c>
      <c r="H129" s="20" t="n">
        <v>-113228</v>
      </c>
      <c r="I129" s="20" t="n">
        <v>-21126</v>
      </c>
      <c r="J129" s="20" t="n">
        <v>135971</v>
      </c>
      <c r="K129" s="20" t="n">
        <v>265477</v>
      </c>
      <c r="L129" s="20" t="n">
        <v>407584</v>
      </c>
    </row>
    <row r="130">
      <c r="A130" s="18" t="inlineStr">
        <is>
          <t>자기주식</t>
        </is>
      </c>
      <c r="C130" s="20" t="n">
        <v>-56553</v>
      </c>
      <c r="D130" s="20" t="n">
        <v>-59352</v>
      </c>
      <c r="E130" s="20" t="n">
        <v>-62707</v>
      </c>
      <c r="F130" s="20" t="n">
        <v>-101564</v>
      </c>
      <c r="G130" s="20" t="n">
        <v>-151741</v>
      </c>
      <c r="H130" s="20" t="n">
        <v>-59350</v>
      </c>
      <c r="I130" s="20" t="n">
        <v>-59365</v>
      </c>
      <c r="J130" s="20" t="n">
        <v>-56512</v>
      </c>
      <c r="K130" s="20" t="n">
        <v>-56550</v>
      </c>
      <c r="L130" s="20" t="n">
        <v>-101564</v>
      </c>
    </row>
    <row r="131">
      <c r="A131" s="9" t="inlineStr">
        <is>
          <t>주주자본 합계</t>
        </is>
      </c>
      <c r="C131" s="12" t="n">
        <v>1066057</v>
      </c>
      <c r="D131" s="12" t="n">
        <v>1111841</v>
      </c>
      <c r="E131" s="12" t="n">
        <v>1367809</v>
      </c>
      <c r="F131" s="12" t="n">
        <v>1358792</v>
      </c>
      <c r="G131" s="12" t="n">
        <v>1296024</v>
      </c>
      <c r="H131" s="12" t="n">
        <v>702351</v>
      </c>
      <c r="I131" s="12" t="n">
        <v>794438</v>
      </c>
      <c r="J131" s="12" t="n">
        <v>951125</v>
      </c>
      <c r="K131" s="12" t="n">
        <v>1071328</v>
      </c>
      <c r="L131" s="12" t="n">
        <v>1358792</v>
      </c>
    </row>
    <row r="132">
      <c r="A132" s="18" t="inlineStr">
        <is>
          <t>기타유가증권 평가차액</t>
        </is>
      </c>
      <c r="C132" s="20" t="n">
        <v>40590</v>
      </c>
      <c r="D132" s="20" t="n">
        <v>45618</v>
      </c>
      <c r="E132" s="20" t="n">
        <v>38665</v>
      </c>
      <c r="F132" s="20" t="n">
        <v>38719</v>
      </c>
      <c r="G132" s="20" t="n">
        <v>37477</v>
      </c>
      <c r="H132" s="20" t="n">
        <v>32311</v>
      </c>
      <c r="I132" s="20" t="n">
        <v>36824</v>
      </c>
      <c r="J132" s="20" t="n">
        <v>41360</v>
      </c>
      <c r="K132" s="20" t="n">
        <v>35482</v>
      </c>
      <c r="L132" s="20" t="n">
        <v>38719</v>
      </c>
    </row>
    <row r="133">
      <c r="A133" s="18" t="inlineStr">
        <is>
          <t>이연헤지손익</t>
        </is>
      </c>
      <c r="C133" s="20" t="n">
        <v>8867</v>
      </c>
      <c r="D133" s="20" t="n">
        <v>20949</v>
      </c>
      <c r="E133" s="20" t="n">
        <v>35243</v>
      </c>
      <c r="F133" s="20" t="n">
        <v>89578</v>
      </c>
      <c r="G133" s="20" t="n">
        <v>58192</v>
      </c>
      <c r="H133" s="20" t="n">
        <v>72167</v>
      </c>
      <c r="I133" s="20" t="n">
        <v>42496</v>
      </c>
      <c r="J133" s="20" t="n">
        <v>59782</v>
      </c>
      <c r="K133" s="20" t="n">
        <v>26324</v>
      </c>
      <c r="L133" s="20" t="n">
        <v>89578</v>
      </c>
    </row>
    <row r="134">
      <c r="A134" s="18" t="inlineStr">
        <is>
          <t>해외사업환산조정</t>
        </is>
      </c>
      <c r="C134" s="20" t="n">
        <v>3357</v>
      </c>
      <c r="D134" s="20" t="n">
        <v>3540</v>
      </c>
      <c r="E134" s="20" t="n">
        <v>4228</v>
      </c>
      <c r="F134" s="20" t="n">
        <v>4825</v>
      </c>
      <c r="G134" s="20" t="n">
        <v>5200</v>
      </c>
      <c r="H134" s="20" t="n">
        <v>3688</v>
      </c>
      <c r="I134" s="20" t="n">
        <v>2481</v>
      </c>
      <c r="J134" s="20" t="n">
        <v>3677</v>
      </c>
      <c r="K134" s="20" t="n">
        <v>3971</v>
      </c>
      <c r="L134" s="20" t="n">
        <v>4825</v>
      </c>
    </row>
    <row r="135">
      <c r="A135" s="18" t="inlineStr">
        <is>
          <t>퇴직급여 조정누계액</t>
        </is>
      </c>
      <c r="C135" s="20" t="n">
        <v>-6425</v>
      </c>
      <c r="D135" s="20" t="n">
        <v>-5964</v>
      </c>
      <c r="E135" s="20" t="n">
        <v>-5529</v>
      </c>
      <c r="F135" s="20" t="n">
        <v>85</v>
      </c>
      <c r="G135" s="20" t="n">
        <v>463</v>
      </c>
      <c r="H135" s="20" t="n">
        <v>-13268</v>
      </c>
      <c r="I135" s="20" t="n">
        <v>-13820</v>
      </c>
      <c r="J135" s="20" t="n">
        <v>-11436</v>
      </c>
      <c r="K135" s="20" t="n">
        <v>-6788</v>
      </c>
      <c r="L135" s="20" t="n">
        <v>85</v>
      </c>
    </row>
    <row r="136">
      <c r="A136" s="18" t="inlineStr">
        <is>
          <t>기타포괄손익누계액 합계</t>
        </is>
      </c>
      <c r="C136" s="20" t="n">
        <v>46389</v>
      </c>
      <c r="D136" s="20" t="n">
        <v>64143</v>
      </c>
      <c r="E136" s="20" t="n">
        <v>72607</v>
      </c>
      <c r="F136" s="20" t="n">
        <v>133207</v>
      </c>
      <c r="G136" s="20" t="n">
        <v>101332</v>
      </c>
      <c r="H136" s="20" t="n">
        <v>94898</v>
      </c>
      <c r="I136" s="20" t="n">
        <v>67981</v>
      </c>
      <c r="J136" s="20" t="n">
        <v>93383</v>
      </c>
      <c r="K136" s="20" t="n">
        <v>58989</v>
      </c>
      <c r="L136" s="20" t="n">
        <v>133207</v>
      </c>
    </row>
    <row r="137">
      <c r="A137" s="18" t="inlineStr">
        <is>
          <t>비지배지분</t>
        </is>
      </c>
      <c r="C137" s="20" t="n">
        <v>10200</v>
      </c>
      <c r="D137" s="20" t="n">
        <v>8958</v>
      </c>
      <c r="E137" s="20" t="n">
        <v>10347</v>
      </c>
      <c r="F137" s="20" t="n">
        <v>10634</v>
      </c>
      <c r="G137" s="20" t="n">
        <v>10943</v>
      </c>
      <c r="H137" s="20" t="n">
        <v>6166</v>
      </c>
      <c r="I137" s="20" t="n">
        <v>7972</v>
      </c>
      <c r="J137" s="20" t="n">
        <v>8119</v>
      </c>
      <c r="K137" s="20" t="n">
        <v>9778</v>
      </c>
      <c r="L137" s="20" t="n">
        <v>10634</v>
      </c>
    </row>
    <row r="138">
      <c r="A138" s="9" t="inlineStr">
        <is>
          <t>순자산 합계</t>
        </is>
      </c>
      <c r="C138" s="12" t="n">
        <v>1122646</v>
      </c>
      <c r="D138" s="12" t="n">
        <v>1184942</v>
      </c>
      <c r="E138" s="12" t="n">
        <v>1450763</v>
      </c>
      <c r="F138" s="12" t="n">
        <v>1502633</v>
      </c>
      <c r="G138" s="12" t="n">
        <v>1408299</v>
      </c>
      <c r="H138" s="12" t="n">
        <v>803415</v>
      </c>
      <c r="I138" s="12" t="n">
        <v>870391</v>
      </c>
      <c r="J138" s="12" t="n">
        <v>1052627</v>
      </c>
      <c r="K138" s="12" t="n">
        <v>1140095</v>
      </c>
      <c r="L138" s="12" t="n">
        <v>1502633</v>
      </c>
    </row>
    <row r="139">
      <c r="A139" s="9" t="inlineStr">
        <is>
          <t>부채·순자산 합계</t>
        </is>
      </c>
      <c r="C139" s="12" t="n">
        <v>3664251</v>
      </c>
      <c r="D139" s="12" t="n">
        <v>3748496</v>
      </c>
      <c r="E139" s="12" t="n">
        <v>3823680</v>
      </c>
      <c r="F139" s="12" t="n">
        <v>3955128</v>
      </c>
      <c r="G139" s="12" t="n">
        <v>3923232</v>
      </c>
      <c r="H139" s="12" t="n">
        <v>3218433</v>
      </c>
      <c r="I139" s="12" t="n">
        <v>3366724</v>
      </c>
      <c r="J139" s="12" t="n">
        <v>3569530</v>
      </c>
      <c r="K139" s="12" t="n">
        <v>3620297</v>
      </c>
      <c r="L139" s="12" t="n">
        <v>3955128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https://www2.jpx.co.jp/disc/92020/140120260729501430.pdf</t>
        </is>
      </c>
    </row>
    <row r="5">
      <c r="A5" t="inlineStr">
        <is>
          <t>2026-04-30</t>
        </is>
      </c>
      <c r="B5" t="inlineStr">
        <is>
          <t>2026년 3월 결산기 연간 결산단신</t>
        </is>
      </c>
      <c r="C5" t="inlineStr">
        <is>
          <t>https://www2.jpx.co.jp/disc/92020/140120260430514576.pdf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https://www2.jpx.co.jp/disc/92020/140120260129542243.pdf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https://www2.jpx.co.jp/disc/92020/140120251029581620.pdf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https://www2.jpx.co.jp/disc/92020/140120250729522393.pdf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https://www2.jpx.co.jp/disc/92020/140120250430527609.pdf</t>
        </is>
      </c>
    </row>
    <row r="10">
      <c r="A10" t="inlineStr">
        <is>
          <t>2025-02-03</t>
        </is>
      </c>
      <c r="B10" t="inlineStr">
        <is>
          <t>2025년 3월 결산기 ３분기 결산단신</t>
        </is>
      </c>
      <c r="C10" t="inlineStr">
        <is>
          <t>https://www2.jpx.co.jp/disc/92020/140120250203561043.pdf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https://www2.jpx.co.jp/disc/92020/140120241031507679.pdf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https://www2.jpx.co.jp/disc/92020/140120240730557260.pdf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https://www2.jpx.co.jp/disc/92020/140120240426577892.pdf</t>
        </is>
      </c>
    </row>
    <row r="14">
      <c r="A14" t="inlineStr">
        <is>
          <t>2024-01-31</t>
        </is>
      </c>
      <c r="B14" t="inlineStr">
        <is>
          <t>2024년 3월 결산기 ３분기 결산단신</t>
        </is>
      </c>
      <c r="C14" t="inlineStr">
        <is>
          <t>https://www2.jpx.co.jp/disc/92020/140120240131522901.pdf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https://www2.jpx.co.jp/disc/92020/140120231031575951.pdf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https://www2.jpx.co.jp/disc/92020/140120230728529102.pdf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https://www2.jpx.co.jp/disc/92020/140120230427554462.pdf</t>
        </is>
      </c>
    </row>
    <row r="18">
      <c r="A18" t="inlineStr">
        <is>
          <t>2023-02-02</t>
        </is>
      </c>
      <c r="B18" t="inlineStr">
        <is>
          <t>2023년 3월 결산기 ３분기 결산단신</t>
        </is>
      </c>
      <c r="C18" t="inlineStr">
        <is>
          <t>https://www2.jpx.co.jp/disc/92020/140120230202599055.pdf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https://www2.jpx.co.jp/disc/92020/140120221031553149.pdf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https://www2.jpx.co.jp/disc/92020/140120220428531186.pdf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https://www2.jpx.co.jp/disc/92020/140120210430404371.pdf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https://www2.jpx.co.jp/disc/92020/140120200428400983.pdf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https://www2.jpx.co.jp/disc/92020/140120190426412635.pdf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https://www2.jpx.co.jp/disc/92020/140120180427423519.pdf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2026-10-26T10:59:32Z</dcterms:created>
  <dcterms:modified xmlns:dcterms="http://purl.org/dc/terms/" xmlns:xsi="http://www.w3.org/2001/XMLSchema-instance" xsi:type="dcterms:W3CDTF">2026-10-26T10:59:32Z</dcterms:modified>
</cp:coreProperties>
</file>