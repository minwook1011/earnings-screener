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연간" sheetId="1" state="visible" r:id="rId1"/>
    <sheet xmlns:r="http://schemas.openxmlformats.org/officeDocument/2006/relationships" name="재무상태표" sheetId="2" state="visible" r:id="rId2"/>
    <sheet xmlns:r="http://schemas.openxmlformats.org/officeDocument/2006/relationships" name="섹터 데이터" sheetId="3" state="visible" r:id="rId3"/>
    <sheet xmlns:r="http://schemas.openxmlformats.org/officeDocument/2006/relationships" name="출처" sheetId="4" state="visible" r:id="rId4"/>
    <sheet xmlns:r="http://schemas.openxmlformats.org/officeDocument/2006/relationships" name="재무제표 한눈에 보기" sheetId="5" state="visible" r:id="rId5"/>
  </sheets>
  <definedNames>
    <definedName name="_xlnm.Print_Titles" localSheetId="0">'연간'!$3:$3</definedName>
    <definedName name="_xlnm.Print_Titles" localSheetId="1">'재무상태표'!$3:$3</definedName>
  </definedNames>
  <calcPr calcId="124519" fullCalcOnLoad="1"/>
</workbook>
</file>

<file path=xl/styles.xml><?xml version="1.0" encoding="utf-8"?>
<styleSheet xmlns="http://schemas.openxmlformats.org/spreadsheetml/2006/main">
  <numFmts count="7">
    <numFmt numFmtId="164" formatCode="0.0%;-0.0%;&quot;-&quot;"/>
    <numFmt numFmtId="165" formatCode="#,##0;(#,##0);&quot;-&quot;"/>
    <numFmt numFmtId="166" formatCode="0.0&quot;x&quot;;-0.0&quot;x&quot;;&quot;-&quot;"/>
    <numFmt numFmtId="167" formatCode="0.0&quot;년&quot;;-0.0&quot;년&quot;;&quot;-&quot;"/>
    <numFmt numFmtId="168" formatCode="0&quot;일&quot;;-0&quot;일&quot;;&quot;-&quot;"/>
    <numFmt numFmtId="169" formatCode="#,##0.0;\(#,##0.0\);&quot;-&quot;"/>
    <numFmt numFmtId="170" formatCode="0.0&quot;%&quot;"/>
  </numFmts>
  <fonts count="26">
    <font>
      <name val="Calibri"/>
      <family val="2"/>
      <color theme="1"/>
      <sz val="11"/>
      <scheme val="minor"/>
    </font>
    <font>
      <name val="맑은 고딕"/>
      <b val="1"/>
      <color rgb="00000000"/>
      <sz val="20"/>
    </font>
    <font>
      <name val="맑은 고딕"/>
      <color rgb="00FF0000"/>
      <sz val="11"/>
    </font>
    <font>
      <name val="맑은 고딕"/>
      <color rgb="00808080"/>
      <sz val="9"/>
    </font>
    <font>
      <name val="맑은 고딕"/>
      <color rgb="000000FF"/>
      <sz val="9"/>
    </font>
    <font>
      <name val="맑은 고딕"/>
      <b val="1"/>
      <color rgb="00000000"/>
      <sz val="10"/>
    </font>
    <font>
      <name val="맑은 고딕"/>
      <color rgb="00808080"/>
      <sz val="11"/>
    </font>
    <font>
      <name val="맑은 고딕"/>
      <b val="1"/>
      <color rgb="00FFFFFF"/>
      <sz val="11"/>
    </font>
    <font>
      <name val="맑은 고딕"/>
      <color rgb="00000000"/>
      <sz val="11"/>
    </font>
    <font>
      <name val="맑은 고딕"/>
      <color rgb="000000FF"/>
      <sz val="11"/>
    </font>
    <font>
      <name val="맑은 고딕"/>
      <b val="1"/>
      <color rgb="00000000"/>
      <sz val="11"/>
    </font>
    <font>
      <name val="맑은 고딕"/>
      <b val="1"/>
      <color rgb="000000FF"/>
      <sz val="11"/>
    </font>
    <font>
      <name val="맑은 고딕"/>
      <b val="1"/>
      <color rgb="00FF0000"/>
      <sz val="11"/>
    </font>
    <font>
      <name val="맑은 고딕"/>
      <b val="1"/>
      <color rgb="00808080"/>
      <sz val="9"/>
    </font>
    <font>
      <name val="맑은 고딕"/>
      <color rgb="00FF0000"/>
      <sz val="9"/>
    </font>
    <font>
      <name val="맑은 고딕"/>
      <b val="1"/>
      <color rgb="00FFFFFF"/>
      <sz val="9"/>
    </font>
    <font>
      <name val="맑은 고딕"/>
      <b val="1"/>
      <sz val="20"/>
    </font>
    <font>
      <name val="맑은 고딕"/>
      <color rgb="FFFF0000"/>
      <sz val="9"/>
    </font>
    <font>
      <name val="맑은 고딕"/>
      <b val="1"/>
      <color rgb="FFFFFFFF"/>
      <sz val="11"/>
    </font>
    <font>
      <name val="맑은 고딕"/>
      <b val="1"/>
      <sz val="10"/>
    </font>
    <font>
      <name val="맑은 고딕"/>
      <sz val="11"/>
    </font>
    <font>
      <name val="맑은 고딕"/>
      <color rgb="FF808080"/>
      <sz val="9"/>
    </font>
    <font>
      <name val="맑은 고딕"/>
      <b val="1"/>
      <sz val="12"/>
    </font>
    <font>
      <name val="맑은 고딕"/>
      <color rgb="00666666"/>
      <sz val="8"/>
    </font>
    <font>
      <name val="맑은 고딕"/>
      <b val="1"/>
      <sz val="9"/>
    </font>
    <font>
      <name val="맑은 고딕"/>
      <sz val="9"/>
    </font>
  </fonts>
  <fills count="9">
    <fill>
      <patternFill/>
    </fill>
    <fill>
      <patternFill patternType="gray125"/>
    </fill>
    <fill>
      <patternFill patternType="solid">
        <fgColor rgb="00D9D9D9"/>
      </patternFill>
    </fill>
    <fill>
      <patternFill patternType="solid">
        <fgColor rgb="00808080"/>
      </patternFill>
    </fill>
    <fill>
      <patternFill patternType="solid">
        <fgColor rgb="00A6A6A6"/>
      </patternFill>
    </fill>
    <fill>
      <patternFill patternType="solid">
        <fgColor rgb="00DDEBF7"/>
      </patternFill>
    </fill>
    <fill>
      <patternFill patternType="solid">
        <fgColor rgb="FF808080"/>
      </patternFill>
    </fill>
    <fill>
      <patternFill patternType="solid">
        <fgColor rgb="FFD9D9D9"/>
      </patternFill>
    </fill>
    <fill>
      <patternFill patternType="solid">
        <fgColor rgb="00D9E1F2"/>
      </patternFill>
    </fill>
  </fills>
  <borders count="4">
    <border>
      <left/>
      <right/>
      <top/>
      <bottom/>
      <diagonal/>
    </border>
    <border>
      <top style="thin">
        <color rgb="007F7F7F"/>
      </top>
      <bottom style="thin">
        <color rgb="007F7F7F"/>
      </bottom>
    </border>
    <border>
      <left style="thin">
        <color rgb="007F7F7F"/>
      </left>
      <top style="thin">
        <color rgb="007F7F7F"/>
      </top>
      <bottom style="thin">
        <color rgb="007F7F7F"/>
      </bottom>
    </border>
    <border>
      <left style="thin">
        <color rgb="007F7F7F"/>
      </left>
      <top/>
      <bottom/>
    </border>
  </borders>
  <cellStyleXfs count="1">
    <xf numFmtId="0" fontId="0" fillId="0" borderId="0"/>
  </cellStyleXfs>
  <cellXfs count="6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5" fillId="2" borderId="2" applyAlignment="1" pivotButton="0" quotePrefix="0" xfId="0">
      <alignment horizontal="center" vertical="center"/>
    </xf>
    <xf numFmtId="0" fontId="5" fillId="5" borderId="2" applyAlignment="1" pivotButton="0" quotePrefix="0" xfId="0">
      <alignment horizontal="center" vertical="center"/>
    </xf>
    <xf numFmtId="0" fontId="5" fillId="5" borderId="1" applyAlignment="1" pivotButton="0" quotePrefix="0" xfId="0">
      <alignment horizontal="center" vertical="center"/>
    </xf>
    <xf numFmtId="0" fontId="10" fillId="0" borderId="0" applyAlignment="1" pivotButton="0" quotePrefix="0" xfId="0">
      <alignment horizontal="center" vertical="center"/>
    </xf>
    <xf numFmtId="0" fontId="3" fillId="0" borderId="0" applyAlignment="1" pivotButton="0" quotePrefix="0" xfId="0">
      <alignment horizontal="center" vertical="center"/>
    </xf>
    <xf numFmtId="165" fontId="10" fillId="0" borderId="3" applyAlignment="1" pivotButton="0" quotePrefix="0" xfId="0">
      <alignment horizontal="center" vertical="center"/>
    </xf>
    <xf numFmtId="165" fontId="10" fillId="0" borderId="0" applyAlignment="1" pivotButton="0" quotePrefix="0" xfId="0">
      <alignment horizontal="center" vertical="center"/>
    </xf>
    <xf numFmtId="165" fontId="11" fillId="0" borderId="3" applyAlignment="1" pivotButton="0" quotePrefix="0" xfId="0">
      <alignment horizontal="center" vertical="center"/>
    </xf>
    <xf numFmtId="165" fontId="11" fillId="0" borderId="0" applyAlignment="1" pivotButton="0" quotePrefix="0" xfId="0">
      <alignment horizontal="center" vertical="center"/>
    </xf>
    <xf numFmtId="0" fontId="6" fillId="0" borderId="0" applyAlignment="1" pivotButton="0" quotePrefix="0" xfId="0">
      <alignment horizontal="left" vertical="center" indent="1"/>
    </xf>
    <xf numFmtId="164" fontId="6" fillId="0" borderId="3" applyAlignment="1" pivotButton="0" quotePrefix="0" xfId="0">
      <alignment horizontal="center" vertical="center"/>
    </xf>
    <xf numFmtId="164" fontId="6" fillId="0" borderId="0" applyAlignment="1" pivotButton="0" quotePrefix="0" xfId="0">
      <alignment horizontal="center" vertical="center"/>
    </xf>
    <xf numFmtId="0" fontId="7" fillId="3" borderId="0" applyAlignment="1" pivotButton="0" quotePrefix="0" xfId="0">
      <alignment horizontal="center" vertical="center"/>
    </xf>
    <xf numFmtId="0" fontId="7" fillId="3" borderId="3" applyAlignment="1" pivotButton="0" quotePrefix="0" xfId="0">
      <alignment horizontal="center" vertical="center"/>
    </xf>
    <xf numFmtId="0" fontId="8" fillId="0" borderId="0" applyAlignment="1" pivotButton="0" quotePrefix="0" xfId="0">
      <alignment horizontal="center" vertical="center"/>
    </xf>
    <xf numFmtId="165" fontId="8" fillId="0" borderId="3" applyAlignment="1" pivotButton="0" quotePrefix="0" xfId="0">
      <alignment horizontal="center" vertical="center"/>
    </xf>
    <xf numFmtId="165" fontId="8" fillId="0" borderId="0" applyAlignment="1" pivotButton="0" quotePrefix="0" xfId="0">
      <alignment horizontal="center" vertical="center"/>
    </xf>
    <xf numFmtId="165" fontId="9" fillId="0" borderId="3" applyAlignment="1" pivotButton="0" quotePrefix="0" xfId="0">
      <alignment horizontal="center" vertical="center"/>
    </xf>
    <xf numFmtId="165" fontId="9" fillId="0" borderId="0" applyAlignment="1" pivotButton="0" quotePrefix="0" xfId="0">
      <alignment horizontal="center" vertical="center"/>
    </xf>
    <xf numFmtId="0" fontId="7" fillId="4" borderId="0" applyAlignment="1" pivotButton="0" quotePrefix="0" xfId="0">
      <alignment horizontal="center" vertical="center"/>
    </xf>
    <xf numFmtId="0" fontId="7" fillId="4" borderId="3" applyAlignment="1" pivotButton="0" quotePrefix="0" xfId="0">
      <alignment horizontal="center" vertical="center"/>
    </xf>
    <xf numFmtId="164" fontId="9" fillId="0" borderId="3" applyAlignment="1" pivotButton="0" quotePrefix="0" xfId="0">
      <alignment horizontal="center" vertical="center"/>
    </xf>
    <xf numFmtId="164" fontId="9" fillId="0" borderId="0" applyAlignment="1" pivotButton="0" quotePrefix="0" xfId="0">
      <alignment horizontal="center" vertical="center"/>
    </xf>
    <xf numFmtId="3" fontId="10" fillId="0" borderId="0" applyAlignment="1" pivotButton="0" quotePrefix="0" xfId="0">
      <alignment horizontal="center" vertical="center"/>
    </xf>
    <xf numFmtId="3" fontId="8" fillId="0" borderId="3" applyAlignment="1" pivotButton="0" quotePrefix="0" xfId="0">
      <alignment horizontal="center" vertical="center"/>
    </xf>
    <xf numFmtId="3" fontId="8" fillId="0" borderId="0" applyAlignment="1" pivotButton="0" quotePrefix="0" xfId="0">
      <alignment horizontal="center" vertical="center"/>
    </xf>
    <xf numFmtId="166" fontId="8" fillId="0" borderId="3" applyAlignment="1" pivotButton="0" quotePrefix="0" xfId="0">
      <alignment horizontal="center" vertical="center"/>
    </xf>
    <xf numFmtId="166" fontId="8" fillId="0" borderId="0" applyAlignment="1" pivotButton="0" quotePrefix="0" xfId="0">
      <alignment horizontal="center" vertical="center"/>
    </xf>
    <xf numFmtId="166" fontId="9" fillId="0" borderId="3" applyAlignment="1" pivotButton="0" quotePrefix="0" xfId="0">
      <alignment horizontal="center" vertical="center"/>
    </xf>
    <xf numFmtId="166" fontId="9" fillId="0" borderId="0" applyAlignment="1" pivotButton="0" quotePrefix="0" xfId="0">
      <alignment horizontal="center" vertical="center"/>
    </xf>
    <xf numFmtId="3" fontId="10" fillId="0" borderId="3" applyAlignment="1" pivotButton="0" quotePrefix="0" xfId="0">
      <alignment horizontal="center" vertical="center"/>
    </xf>
    <xf numFmtId="164" fontId="8" fillId="0" borderId="3" applyAlignment="1" pivotButton="0" quotePrefix="0" xfId="0">
      <alignment horizontal="center" vertical="center"/>
    </xf>
    <xf numFmtId="164" fontId="8" fillId="0" borderId="0" applyAlignment="1" pivotButton="0" quotePrefix="0" xfId="0">
      <alignment horizontal="center" vertical="center"/>
    </xf>
    <xf numFmtId="164" fontId="12" fillId="0" borderId="3" applyAlignment="1" pivotButton="0" quotePrefix="0" xfId="0">
      <alignment horizontal="center" vertical="center"/>
    </xf>
    <xf numFmtId="164" fontId="12" fillId="0" borderId="0" applyAlignment="1" pivotButton="0" quotePrefix="0" xfId="0">
      <alignment horizontal="center" vertical="center"/>
    </xf>
    <xf numFmtId="0" fontId="0" fillId="0" borderId="3" pivotButton="0" quotePrefix="0" xfId="0"/>
    <xf numFmtId="0" fontId="13" fillId="0" borderId="0" applyAlignment="1" pivotButton="0" quotePrefix="0" xfId="0">
      <alignment horizontal="left"/>
    </xf>
    <xf numFmtId="0" fontId="3" fillId="0" borderId="0" applyAlignment="1" pivotButton="0" quotePrefix="0" xfId="0">
      <alignment horizontal="left"/>
    </xf>
    <xf numFmtId="0" fontId="15" fillId="3" borderId="0" applyAlignment="1" pivotButton="0" quotePrefix="0" xfId="0">
      <alignment horizontal="center" vertical="center"/>
    </xf>
    <xf numFmtId="0" fontId="6" fillId="0" borderId="0" applyAlignment="1" pivotButton="0" quotePrefix="0" xfId="0">
      <alignment horizontal="center" vertical="center"/>
    </xf>
    <xf numFmtId="0" fontId="14" fillId="0" borderId="0" pivotButton="0" quotePrefix="0" xfId="0"/>
    <xf numFmtId="0" fontId="8" fillId="0" borderId="0" applyAlignment="1" pivotButton="0" quotePrefix="0" xfId="0">
      <alignment horizontal="left" vertical="center" indent="1"/>
    </xf>
    <xf numFmtId="167" fontId="8" fillId="0" borderId="3" applyAlignment="1" pivotButton="0" quotePrefix="0" xfId="0">
      <alignment horizontal="center" vertical="center"/>
    </xf>
    <xf numFmtId="167" fontId="8" fillId="0" borderId="0" applyAlignment="1" pivotButton="0" quotePrefix="0" xfId="0">
      <alignment horizontal="center" vertical="center"/>
    </xf>
    <xf numFmtId="168" fontId="8" fillId="0" borderId="3" applyAlignment="1" pivotButton="0" quotePrefix="0" xfId="0">
      <alignment horizontal="center" vertical="center"/>
    </xf>
    <xf numFmtId="168" fontId="8" fillId="0" borderId="0" applyAlignment="1" pivotButton="0" quotePrefix="0" xfId="0">
      <alignment horizontal="center" vertical="center"/>
    </xf>
    <xf numFmtId="0" fontId="16" fillId="0" borderId="0" pivotButton="0" quotePrefix="0" xfId="0"/>
    <xf numFmtId="0" fontId="17" fillId="0" borderId="0" pivotButton="0" quotePrefix="0" xfId="0"/>
    <xf numFmtId="0" fontId="18" fillId="6" borderId="0" applyAlignment="1" pivotButton="0" quotePrefix="0" xfId="0">
      <alignment horizontal="center" vertical="center"/>
    </xf>
    <xf numFmtId="0" fontId="19" fillId="7" borderId="0" applyAlignment="1" pivotButton="0" quotePrefix="0" xfId="0">
      <alignment horizontal="center" vertical="center"/>
    </xf>
    <xf numFmtId="0" fontId="20" fillId="0" borderId="0" pivotButton="0" quotePrefix="0" xfId="0"/>
    <xf numFmtId="169" fontId="20" fillId="0" borderId="0" applyAlignment="1" pivotButton="0" quotePrefix="0" xfId="0">
      <alignment horizontal="center" vertical="center"/>
    </xf>
    <xf numFmtId="0" fontId="21" fillId="0" borderId="0" pivotButton="0" quotePrefix="0" xfId="0"/>
    <xf numFmtId="3" fontId="20" fillId="0" borderId="0" applyAlignment="1" pivotButton="0" quotePrefix="0" xfId="0">
      <alignment horizontal="center" vertical="center"/>
    </xf>
    <xf numFmtId="0" fontId="19" fillId="7" borderId="0" pivotButton="0" quotePrefix="0" xfId="0"/>
    <xf numFmtId="0" fontId="22" fillId="0" borderId="0" pivotButton="0" quotePrefix="0" xfId="0"/>
    <xf numFmtId="0" fontId="23" fillId="0" borderId="0" pivotButton="0" quotePrefix="0" xfId="0"/>
    <xf numFmtId="0" fontId="24" fillId="0" borderId="0" pivotButton="0" quotePrefix="0" xfId="0"/>
    <xf numFmtId="0" fontId="24" fillId="8" borderId="0" applyAlignment="1" pivotButton="0" quotePrefix="0" xfId="0">
      <alignment horizontal="center"/>
    </xf>
    <xf numFmtId="0" fontId="25" fillId="0" borderId="0" pivotButton="0" quotePrefix="0" xfId="0"/>
    <xf numFmtId="3" fontId="25" fillId="0" borderId="0" pivotButton="0" quotePrefix="0" xfId="0"/>
    <xf numFmtId="170" fontId="25" fillId="0" borderId="0" pivotButton="0" quotePrefix="0" xfId="0"/>
  </cellXfs>
  <cellStyles count="1">
    <cellStyle name="Normal" xfId="0" builtinId="0" hidden="0"/>
  </cellStyles>
  <dxfs count="1">
    <dxf>
      <font>
        <name val="맑은 고딕"/>
        <b val="1"/>
        <color rgb="00FF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매출액 (억 엔) · YoY (%)</a:t>
            </a:r>
          </a:p>
        </rich>
      </tx>
    </title>
    <plotArea>
      <barChart>
        <barDir val="col"/>
        <grouping val="clustered"/>
        <varyColors val="0"/>
        <ser>
          <idx val="0"/>
          <order val="0"/>
          <tx>
            <strRef>
              <f>'재무제표 한눈에 보기'!A5</f>
            </strRef>
          </tx>
          <spPr>
            <a:solidFill xmlns:a="http://schemas.openxmlformats.org/drawingml/2006/main">
              <a:srgbClr val="4472C4"/>
            </a:solidFill>
            <a:ln xmlns:a="http://schemas.openxmlformats.org/drawingml/2006/main">
              <a:solidFill>
                <a:srgbClr val="4472C4"/>
              </a:solidFill>
              <a:prstDash val="solid"/>
            </a:ln>
          </spPr>
          <cat>
            <numRef>
              <f>'재무제표 한눈에 보기'!$B$4:$AO$4</f>
            </numRef>
          </cat>
          <val>
            <numRef>
              <f>'재무제표 한눈에 보기'!$B$5:$AO$5</f>
            </numRef>
          </val>
        </ser>
        <dLbls>
          <numFmt formatCode="#,##0"/>
          <dLblPos val="outEnd"/>
          <showLegendKey val="0"/>
          <showVal val="1"/>
          <showCatName val="0"/>
          <showSerName val="0"/>
        </dLbls>
        <gapWidth val="40"/>
        <axId val="10"/>
        <axId val="100"/>
      </barChart>
      <lineChart>
        <grouping val="standard"/>
        <ser>
          <idx val="1"/>
          <order val="1"/>
          <tx>
            <strRef>
              <f>'재무제표 한눈에 보기'!A6</f>
            </strRef>
          </tx>
          <spPr>
            <a:ln xmlns:a="http://schemas.openxmlformats.org/drawingml/2006/main">
              <a:solidFill>
                <a:srgbClr val="ED7D31"/>
              </a:solidFill>
              <a:prstDash val="solid"/>
            </a:ln>
          </spPr>
          <marker>
            <symbol val="circle"/>
            <size val="5"/>
            <spPr>
              <a:solidFill xmlns:a="http://schemas.openxmlformats.org/drawingml/2006/main">
                <a:srgbClr val="ED7D31"/>
              </a:solidFill>
              <a:ln xmlns:a="http://schemas.openxmlformats.org/drawingml/2006/main">
                <a:solidFill>
                  <a:srgbClr val="ED7D31"/>
                </a:solidFill>
                <a:prstDash val="solid"/>
              </a:ln>
            </spPr>
          </marker>
          <val>
            <numRef>
              <f>'재무제표 한눈에 보기'!$B$6:$AO$6</f>
            </numRef>
          </val>
          <smooth val="0"/>
        </ser>
        <dLbls>
          <numFmt formatCode="0&quot;%&quot;"/>
          <dLblPos val="t"/>
          <showLegendKey val="0"/>
          <showVal val="1"/>
          <showCatName val="0"/>
          <showSerName val="0"/>
        </dLbls>
        <axId val="10"/>
        <axId val="200"/>
      </lineChart>
      <catAx>
        <axId val="10"/>
        <scaling>
          <orientation val="minMax"/>
        </scaling>
        <delete val="0"/>
        <axPos val="l"/>
        <majorTickMark val="none"/>
        <minorTickMark val="none"/>
        <tickLblPos val="low"/>
        <crossAx val="100"/>
        <lblOffset val="100"/>
      </catAx>
      <valAx>
        <axId val="100"/>
        <scaling>
          <orientation val="minMax"/>
        </scaling>
        <delete val="0"/>
        <axPos val="l"/>
        <majorTickMark val="none"/>
        <minorTickMark val="none"/>
        <crossAx val="10"/>
      </valAx>
      <valAx>
        <axId val="2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crossAx val="10"/>
        <crosses val="max"/>
      </valAx>
    </plotArea>
    <legend>
      <legendPos val="t"/>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영업이익 (억 엔) · OPM·YoY (%)</a:t>
            </a:r>
          </a:p>
        </rich>
      </tx>
    </title>
    <plotArea>
      <barChart>
        <barDir val="col"/>
        <grouping val="clustered"/>
        <varyColors val="0"/>
        <ser>
          <idx val="0"/>
          <order val="0"/>
          <tx>
            <strRef>
              <f>'재무제표 한눈에 보기'!A7</f>
            </strRef>
          </tx>
          <spPr>
            <a:solidFill xmlns:a="http://schemas.openxmlformats.org/drawingml/2006/main">
              <a:srgbClr val="4472C4"/>
            </a:solidFill>
            <a:ln xmlns:a="http://schemas.openxmlformats.org/drawingml/2006/main">
              <a:solidFill>
                <a:srgbClr val="4472C4"/>
              </a:solidFill>
              <a:prstDash val="solid"/>
            </a:ln>
          </spPr>
          <cat>
            <numRef>
              <f>'재무제표 한눈에 보기'!$B$4:$AO$4</f>
            </numRef>
          </cat>
          <val>
            <numRef>
              <f>'재무제표 한눈에 보기'!$B$7:$AO$7</f>
            </numRef>
          </val>
        </ser>
        <dLbls>
          <numFmt formatCode="#,##0"/>
          <dLblPos val="outEnd"/>
          <showLegendKey val="0"/>
          <showVal val="1"/>
          <showCatName val="0"/>
          <showSerName val="0"/>
        </dLbls>
        <gapWidth val="40"/>
        <axId val="10"/>
        <axId val="100"/>
      </barChart>
      <lineChart>
        <grouping val="standard"/>
        <ser>
          <idx val="1"/>
          <order val="1"/>
          <tx>
            <strRef>
              <f>'재무제표 한눈에 보기'!A8</f>
            </strRef>
          </tx>
          <spPr>
            <a:ln xmlns:a="http://schemas.openxmlformats.org/drawingml/2006/main">
              <a:solidFill>
                <a:srgbClr val="ED7D31"/>
              </a:solidFill>
              <a:prstDash val="solid"/>
            </a:ln>
          </spPr>
          <marker>
            <symbol val="circle"/>
            <size val="5"/>
            <spPr>
              <a:solidFill xmlns:a="http://schemas.openxmlformats.org/drawingml/2006/main">
                <a:srgbClr val="ED7D31"/>
              </a:solidFill>
              <a:ln xmlns:a="http://schemas.openxmlformats.org/drawingml/2006/main">
                <a:solidFill>
                  <a:srgbClr val="ED7D31"/>
                </a:solidFill>
                <a:prstDash val="solid"/>
              </a:ln>
            </spPr>
          </marker>
          <val>
            <numRef>
              <f>'재무제표 한눈에 보기'!$B$8:$AO$8</f>
            </numRef>
          </val>
          <smooth val="0"/>
        </ser>
        <ser>
          <idx val="2"/>
          <order val="2"/>
          <tx>
            <strRef>
              <f>'재무제표 한눈에 보기'!A9</f>
            </strRef>
          </tx>
          <spPr>
            <a:ln xmlns:a="http://schemas.openxmlformats.org/drawingml/2006/main">
              <a:solidFill>
                <a:srgbClr val="A5A5A5"/>
              </a:solidFill>
              <a:prstDash val="solid"/>
            </a:ln>
          </spPr>
          <marker>
            <symbol val="circle"/>
            <size val="5"/>
            <spPr>
              <a:solidFill xmlns:a="http://schemas.openxmlformats.org/drawingml/2006/main">
                <a:srgbClr val="A5A5A5"/>
              </a:solidFill>
              <a:ln xmlns:a="http://schemas.openxmlformats.org/drawingml/2006/main">
                <a:solidFill>
                  <a:srgbClr val="A5A5A5"/>
                </a:solidFill>
                <a:prstDash val="solid"/>
              </a:ln>
            </spPr>
          </marker>
          <val>
            <numRef>
              <f>'재무제표 한눈에 보기'!$B$9:$AO$9</f>
            </numRef>
          </val>
          <smooth val="0"/>
        </ser>
        <dLbls>
          <numFmt formatCode="0&quot;%&quot;"/>
          <dLblPos val="t"/>
          <showLegendKey val="0"/>
          <showVal val="1"/>
          <showCatName val="0"/>
          <showSerName val="0"/>
        </dLbls>
        <axId val="10"/>
        <axId val="200"/>
      </lineChart>
      <catAx>
        <axId val="10"/>
        <scaling>
          <orientation val="minMax"/>
        </scaling>
        <delete val="0"/>
        <axPos val="l"/>
        <majorTickMark val="none"/>
        <minorTickMark val="none"/>
        <tickLblPos val="low"/>
        <crossAx val="100"/>
        <lblOffset val="100"/>
      </catAx>
      <valAx>
        <axId val="100"/>
        <scaling>
          <orientation val="minMax"/>
        </scaling>
        <delete val="0"/>
        <axPos val="l"/>
        <majorTickMark val="none"/>
        <minorTickMark val="none"/>
        <crossAx val="10"/>
      </valAx>
      <valAx>
        <axId val="2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crossAx val="10"/>
        <crosses val="max"/>
      </valAx>
    </plotArea>
    <legend>
      <legendPos val="t"/>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재무 안정성 — 총 차입금·현금 (억 엔) · 부채비율 (%)</a:t>
            </a:r>
          </a:p>
        </rich>
      </tx>
    </title>
    <plotArea>
      <barChart>
        <barDir val="col"/>
        <grouping val="clustered"/>
        <varyColors val="0"/>
        <ser>
          <idx val="0"/>
          <order val="0"/>
          <tx>
            <strRef>
              <f>'재무제표 한눈에 보기'!A22</f>
            </strRef>
          </tx>
          <spPr>
            <a:solidFill xmlns:a="http://schemas.openxmlformats.org/drawingml/2006/main">
              <a:srgbClr val="4472C4"/>
            </a:solidFill>
            <a:ln xmlns:a="http://schemas.openxmlformats.org/drawingml/2006/main">
              <a:solidFill>
                <a:srgbClr val="4472C4"/>
              </a:solidFill>
              <a:prstDash val="solid"/>
            </a:ln>
          </spPr>
          <cat>
            <numRef>
              <f>'재무제표 한눈에 보기'!$B$4:$AO$4</f>
            </numRef>
          </cat>
          <val>
            <numRef>
              <f>'재무제표 한눈에 보기'!$B$22:$AO$22</f>
            </numRef>
          </val>
        </ser>
        <ser>
          <idx val="1"/>
          <order val="1"/>
          <tx>
            <strRef>
              <f>'재무제표 한눈에 보기'!A23</f>
            </strRef>
          </tx>
          <spPr>
            <a:solidFill xmlns:a="http://schemas.openxmlformats.org/drawingml/2006/main">
              <a:srgbClr val="ED7D31"/>
            </a:solidFill>
            <a:ln xmlns:a="http://schemas.openxmlformats.org/drawingml/2006/main">
              <a:solidFill>
                <a:srgbClr val="ED7D31"/>
              </a:solidFill>
              <a:prstDash val="solid"/>
            </a:ln>
          </spPr>
          <cat>
            <numRef>
              <f>'재무제표 한눈에 보기'!$B$4:$AO$4</f>
            </numRef>
          </cat>
          <val>
            <numRef>
              <f>'재무제표 한눈에 보기'!$B$23:$AO$23</f>
            </numRef>
          </val>
        </ser>
        <dLbls>
          <numFmt formatCode="#,##0"/>
          <dLblPos val="outEnd"/>
          <showLegendKey val="0"/>
          <showVal val="1"/>
          <showCatName val="0"/>
          <showSerName val="0"/>
        </dLbls>
        <gapWidth val="40"/>
        <axId val="10"/>
        <axId val="100"/>
      </barChart>
      <lineChart>
        <grouping val="standard"/>
        <ser>
          <idx val="2"/>
          <order val="2"/>
          <tx>
            <strRef>
              <f>'재무제표 한눈에 보기'!A15</f>
            </strRef>
          </tx>
          <spPr>
            <a:ln xmlns:a="http://schemas.openxmlformats.org/drawingml/2006/main">
              <a:solidFill>
                <a:srgbClr val="A5A5A5"/>
              </a:solidFill>
              <a:prstDash val="solid"/>
            </a:ln>
          </spPr>
          <marker>
            <symbol val="circle"/>
            <size val="5"/>
            <spPr>
              <a:solidFill xmlns:a="http://schemas.openxmlformats.org/drawingml/2006/main">
                <a:srgbClr val="A5A5A5"/>
              </a:solidFill>
              <a:ln xmlns:a="http://schemas.openxmlformats.org/drawingml/2006/main">
                <a:solidFill>
                  <a:srgbClr val="A5A5A5"/>
                </a:solidFill>
                <a:prstDash val="solid"/>
              </a:ln>
            </spPr>
          </marker>
          <val>
            <numRef>
              <f>'재무제표 한눈에 보기'!$B$15:$AO$15</f>
            </numRef>
          </val>
          <smooth val="0"/>
        </ser>
        <dLbls>
          <numFmt formatCode="0&quot;%&quot;"/>
          <dLblPos val="t"/>
          <showLegendKey val="0"/>
          <showVal val="1"/>
          <showCatName val="0"/>
          <showSerName val="0"/>
        </dLbls>
        <axId val="10"/>
        <axId val="200"/>
      </lineChart>
      <catAx>
        <axId val="10"/>
        <scaling>
          <orientation val="minMax"/>
        </scaling>
        <delete val="0"/>
        <axPos val="l"/>
        <majorTickMark val="none"/>
        <minorTickMark val="none"/>
        <tickLblPos val="low"/>
        <crossAx val="100"/>
        <lblOffset val="100"/>
      </catAx>
      <valAx>
        <axId val="100"/>
        <scaling>
          <orientation val="minMax"/>
        </scaling>
        <delete val="0"/>
        <axPos val="l"/>
        <majorTickMark val="none"/>
        <minorTickMark val="none"/>
        <crossAx val="10"/>
      </valAx>
      <valAx>
        <axId val="2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crossAx val="10"/>
        <crosses val="max"/>
      </valAx>
    </plotArea>
    <legend>
      <legendPos val="t"/>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0</col>
      <colOff>0</colOff>
      <row>25</row>
      <rowOff>0</rowOff>
    </from>
    <ext cx="86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22</col>
      <colOff>0</colOff>
      <row>25</row>
      <rowOff>0</rowOff>
    </from>
    <ext cx="864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44</row>
      <rowOff>0</rowOff>
    </from>
    <ext cx="86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AC166"/>
  <sheetViews>
    <sheetView showGridLines="0" zoomScale="85" workbookViewId="0">
      <pane xSplit="2" ySplit="3" topLeftCell="C4" activePane="bottomRight" state="frozen"/>
      <selection pane="topRight"/>
      <selection pane="bottomLeft"/>
      <selection pane="bottomRight" activeCell="A1" sqref="A1"/>
    </sheetView>
  </sheetViews>
  <sheetFormatPr baseColWidth="8" defaultRowHeight="15"/>
  <cols>
    <col width="26" customWidth="1" min="1" max="1"/>
    <col width="14" customWidth="1" min="2" max="2"/>
    <col outlineLevel="1" width="11" customWidth="1" min="3" max="3"/>
    <col outlineLevel="1" width="11" customWidth="1" min="4" max="4"/>
    <col outlineLevel="1" width="11" customWidth="1" min="5" max="5"/>
    <col outlineLevel="1" width="11" customWidth="1" min="6" max="6"/>
    <col outlineLevel="1" width="11" customWidth="1" min="7" max="7"/>
    <col outlineLevel="1" width="11" customWidth="1" min="8" max="8"/>
    <col outlineLevel="1" width="11" customWidth="1" min="9" max="9"/>
    <col outlineLevel="1" width="11" customWidth="1" min="10" max="10"/>
    <col outlineLevel="1" width="11" customWidth="1" min="11" max="11"/>
    <col outlineLevel="1" width="11" customWidth="1" min="12" max="12"/>
    <col outlineLevel="1" width="11" customWidth="1" min="13" max="13"/>
    <col outlineLevel="1"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s>
  <sheetData>
    <row r="1" ht="30" customHeight="1">
      <c r="A1" s="1" t="inlineStr">
        <is>
          <t>285A Model</t>
        </is>
      </c>
    </row>
    <row r="2">
      <c r="A2" s="2" t="inlineStr">
        <is>
          <t>모를 땐 보수적으로</t>
        </is>
      </c>
      <c r="B2" s="3" t="inlineStr">
        <is>
          <t>(단위: 백만엔)</t>
        </is>
      </c>
      <c r="C2" s="3" t="inlineStr">
        <is>
          <t>3월 결산 · IFRS · 2027.2Q = 2027년 3월 결산기 2분기</t>
        </is>
      </c>
      <c r="Y2" s="4" t="inlineStr">
        <is>
          <t>(추정: 파란 글씨 = 직접 입력)</t>
        </is>
      </c>
    </row>
    <row r="3">
      <c r="A3" s="5" t="inlineStr">
        <is>
          <t>항목</t>
        </is>
      </c>
      <c r="B3" s="5" t="inlineStr">
        <is>
          <t>참고</t>
        </is>
      </c>
      <c r="C3" s="6" t="inlineStr">
        <is>
          <t>2024.3Q</t>
        </is>
      </c>
      <c r="D3" s="5" t="inlineStr">
        <is>
          <t>2024.4Q</t>
        </is>
      </c>
      <c r="E3" s="5" t="inlineStr">
        <is>
          <t>2025.1Q</t>
        </is>
      </c>
      <c r="F3" s="5" t="inlineStr">
        <is>
          <t>2025.2Q</t>
        </is>
      </c>
      <c r="G3" s="5" t="inlineStr">
        <is>
          <t>2025.3Q</t>
        </is>
      </c>
      <c r="H3" s="5" t="inlineStr">
        <is>
          <t>2025.4Q</t>
        </is>
      </c>
      <c r="I3" s="5" t="inlineStr">
        <is>
          <t>2026.1Q</t>
        </is>
      </c>
      <c r="J3" s="5" t="inlineStr">
        <is>
          <t>2026.2Q</t>
        </is>
      </c>
      <c r="K3" s="5" t="inlineStr">
        <is>
          <t>2026.3Q</t>
        </is>
      </c>
      <c r="L3" s="5" t="inlineStr">
        <is>
          <t>2026.4Q</t>
        </is>
      </c>
      <c r="M3" s="5" t="inlineStr">
        <is>
          <t>2027.1Q</t>
        </is>
      </c>
      <c r="N3" s="5" t="inlineStr">
        <is>
          <t>2027.2Q</t>
        </is>
      </c>
      <c r="O3" s="6" t="inlineStr">
        <is>
          <t>2017</t>
        </is>
      </c>
      <c r="P3" s="5" t="inlineStr">
        <is>
          <t>2018</t>
        </is>
      </c>
      <c r="Q3" s="5" t="inlineStr">
        <is>
          <t>2019</t>
        </is>
      </c>
      <c r="R3" s="5" t="inlineStr">
        <is>
          <t>2020</t>
        </is>
      </c>
      <c r="S3" s="5" t="inlineStr">
        <is>
          <t>2021</t>
        </is>
      </c>
      <c r="T3" s="5" t="inlineStr">
        <is>
          <t>2022</t>
        </is>
      </c>
      <c r="U3" s="5" t="inlineStr">
        <is>
          <t>2023</t>
        </is>
      </c>
      <c r="V3" s="5" t="inlineStr">
        <is>
          <t>2024</t>
        </is>
      </c>
      <c r="W3" s="5" t="inlineStr">
        <is>
          <t>2025</t>
        </is>
      </c>
      <c r="X3" s="5" t="inlineStr">
        <is>
          <t>2026</t>
        </is>
      </c>
      <c r="Y3" s="7" t="inlineStr">
        <is>
          <t>2027(MW)</t>
        </is>
      </c>
      <c r="Z3" s="8" t="inlineStr">
        <is>
          <t>2028(MW)</t>
        </is>
      </c>
      <c r="AA3" s="8" t="inlineStr">
        <is>
          <t>2029(MW)</t>
        </is>
      </c>
      <c r="AB3" s="8" t="inlineStr">
        <is>
          <t>2030(MW)</t>
        </is>
      </c>
      <c r="AC3" s="8" t="inlineStr">
        <is>
          <t>2031(MW)</t>
        </is>
      </c>
    </row>
    <row r="4">
      <c r="A4" s="9" t="inlineStr">
        <is>
          <t>매출액</t>
        </is>
      </c>
      <c r="B4" s="10" t="inlineStr">
        <is>
          <t>MW 직접 입력</t>
        </is>
      </c>
      <c r="C4" s="11" t="n"/>
      <c r="D4" s="12" t="n">
        <v>322078</v>
      </c>
      <c r="E4" s="12" t="n">
        <v>428497</v>
      </c>
      <c r="F4" s="12" t="n">
        <v>480911</v>
      </c>
      <c r="G4" s="12" t="n">
        <v>449958</v>
      </c>
      <c r="H4" s="12" t="n">
        <v>347094</v>
      </c>
      <c r="I4" s="12" t="n">
        <v>342799</v>
      </c>
      <c r="J4" s="12" t="n">
        <v>448346</v>
      </c>
      <c r="K4" s="12" t="n">
        <v>543631</v>
      </c>
      <c r="L4" s="12" t="n">
        <v>1002852</v>
      </c>
      <c r="M4" s="12" t="n">
        <v>1767117</v>
      </c>
      <c r="N4" s="12" t="n">
        <v>2480035</v>
      </c>
      <c r="O4" s="11" t="n"/>
      <c r="P4" s="12" t="n"/>
      <c r="Q4" s="12" t="n"/>
      <c r="R4" s="12" t="n"/>
      <c r="S4" s="12" t="n"/>
      <c r="T4" s="12" t="n"/>
      <c r="U4" s="12" t="n"/>
      <c r="V4" s="12" t="n">
        <v>1076584</v>
      </c>
      <c r="W4" s="12" t="n">
        <v>1706460</v>
      </c>
      <c r="X4" s="12" t="n">
        <v>2337628</v>
      </c>
      <c r="Y4" s="13">
        <f>IF(COUNT(Y7)=0,"",SUM(Y7))</f>
        <v/>
      </c>
      <c r="Z4" s="14">
        <f>IF(COUNT(Z7)=0,"",SUM(Z7))</f>
        <v/>
      </c>
      <c r="AA4" s="14">
        <f>IF(COUNT(AA7)=0,"",SUM(AA7))</f>
        <v/>
      </c>
      <c r="AB4" s="14">
        <f>IF(COUNT(AB7)=0,"",SUM(AB7))</f>
        <v/>
      </c>
      <c r="AC4" s="14">
        <f>IF(COUNT(AC7)=0,"",SUM(AC7))</f>
        <v/>
      </c>
    </row>
    <row r="5">
      <c r="A5" s="15" t="inlineStr">
        <is>
          <t>YoY</t>
        </is>
      </c>
      <c r="B5" s="10" t="n"/>
      <c r="C5" s="16" t="n"/>
      <c r="D5" s="17" t="n"/>
      <c r="E5" s="17" t="n"/>
      <c r="F5" s="17" t="n"/>
      <c r="G5" s="17">
        <f>IF(OR(G4="",C4=""),"",IFERROR(G4/C4-1,""))</f>
        <v/>
      </c>
      <c r="H5" s="17">
        <f>IF(OR(H4="",D4=""),"",IFERROR(H4/D4-1,""))</f>
        <v/>
      </c>
      <c r="I5" s="17">
        <f>IF(OR(I4="",E4=""),"",IFERROR(I4/E4-1,""))</f>
        <v/>
      </c>
      <c r="J5" s="17">
        <f>IF(OR(J4="",F4=""),"",IFERROR(J4/F4-1,""))</f>
        <v/>
      </c>
      <c r="K5" s="17">
        <f>IF(OR(K4="",G4=""),"",IFERROR(K4/G4-1,""))</f>
        <v/>
      </c>
      <c r="L5" s="17">
        <f>IF(OR(L4="",H4=""),"",IFERROR(L4/H4-1,""))</f>
        <v/>
      </c>
      <c r="M5" s="17">
        <f>IF(OR(M4="",I4=""),"",IFERROR(M4/I4-1,""))</f>
        <v/>
      </c>
      <c r="N5" s="17">
        <f>IF(OR(N4="",J4=""),"",IFERROR(N4/J4-1,""))</f>
        <v/>
      </c>
      <c r="O5" s="16" t="n"/>
      <c r="P5" s="17">
        <f>IF(OR(P4="",O4=""),"",IFERROR(P4/O4-1,""))</f>
        <v/>
      </c>
      <c r="Q5" s="17">
        <f>IF(OR(Q4="",P4=""),"",IFERROR(Q4/P4-1,""))</f>
        <v/>
      </c>
      <c r="R5" s="17">
        <f>IF(OR(R4="",Q4=""),"",IFERROR(R4/Q4-1,""))</f>
        <v/>
      </c>
      <c r="S5" s="17">
        <f>IF(OR(S4="",R4=""),"",IFERROR(S4/R4-1,""))</f>
        <v/>
      </c>
      <c r="T5" s="17">
        <f>IF(OR(T4="",S4=""),"",IFERROR(T4/S4-1,""))</f>
        <v/>
      </c>
      <c r="U5" s="17">
        <f>IF(OR(U4="",T4=""),"",IFERROR(U4/T4-1,""))</f>
        <v/>
      </c>
      <c r="V5" s="17">
        <f>IF(OR(V4="",U4=""),"",IFERROR(V4/U4-1,""))</f>
        <v/>
      </c>
      <c r="W5" s="17">
        <f>IF(OR(W4="",V4=""),"",IFERROR(W4/V4-1,""))</f>
        <v/>
      </c>
      <c r="X5" s="17">
        <f>IF(OR(X4="",W4=""),"",IFERROR(X4/W4-1,""))</f>
        <v/>
      </c>
      <c r="Y5" s="16">
        <f>IF(OR(Y4="",X4=""),"",IFERROR(Y4/X4-1,""))</f>
        <v/>
      </c>
      <c r="Z5" s="17">
        <f>IF(OR(Z4="",Y4=""),"",IFERROR(Z4/Y4-1,""))</f>
        <v/>
      </c>
      <c r="AA5" s="17">
        <f>IF(OR(AA4="",Z4=""),"",IFERROR(AA4/Z4-1,""))</f>
        <v/>
      </c>
      <c r="AB5" s="17">
        <f>IF(OR(AB4="",AA4=""),"",IFERROR(AB4/AA4-1,""))</f>
        <v/>
      </c>
      <c r="AC5" s="17">
        <f>IF(OR(AC4="",AB4=""),"",IFERROR(AC4/AB4-1,""))</f>
        <v/>
      </c>
    </row>
    <row r="6">
      <c r="A6" s="18" t="inlineStr">
        <is>
          <t>제품별 매출 분류</t>
        </is>
      </c>
      <c r="B6" s="18" t="inlineStr">
        <is>
          <t>사업보고서 매출실적</t>
        </is>
      </c>
      <c r="C6" s="19" t="n"/>
      <c r="D6" s="18" t="n"/>
      <c r="E6" s="18" t="n"/>
      <c r="F6" s="18" t="n"/>
      <c r="G6" s="18" t="n"/>
      <c r="H6" s="18" t="n"/>
      <c r="I6" s="18" t="n"/>
      <c r="J6" s="18" t="n"/>
      <c r="K6" s="18" t="n"/>
      <c r="L6" s="18" t="n"/>
      <c r="M6" s="18" t="n"/>
      <c r="N6" s="18" t="n"/>
      <c r="O6" s="19" t="n"/>
      <c r="P6" s="18" t="n"/>
      <c r="Q6" s="18" t="n"/>
      <c r="R6" s="18" t="n"/>
      <c r="S6" s="18" t="n"/>
      <c r="T6" s="18" t="n"/>
      <c r="U6" s="18" t="n"/>
      <c r="V6" s="18" t="n"/>
      <c r="W6" s="18" t="n"/>
      <c r="X6" s="18" t="n"/>
      <c r="Y6" s="19" t="n"/>
      <c r="Z6" s="18" t="n"/>
      <c r="AA6" s="18" t="n"/>
      <c r="AB6" s="18" t="n"/>
      <c r="AC6" s="18" t="n"/>
    </row>
    <row r="7">
      <c r="A7" s="20" t="inlineStr">
        <is>
          <t>(제품별 매출 미공시 — 직접 입력)</t>
        </is>
      </c>
      <c r="B7" s="10" t="n"/>
      <c r="C7" s="21" t="n"/>
      <c r="D7" s="22" t="n"/>
      <c r="E7" s="22" t="n"/>
      <c r="F7" s="22" t="n"/>
      <c r="G7" s="22" t="n"/>
      <c r="H7" s="22" t="n"/>
      <c r="I7" s="22" t="n"/>
      <c r="J7" s="22" t="n"/>
      <c r="K7" s="22" t="n"/>
      <c r="L7" s="22" t="n"/>
      <c r="M7" s="22" t="n"/>
      <c r="N7" s="22" t="n"/>
      <c r="O7" s="21" t="n"/>
      <c r="P7" s="22" t="n"/>
      <c r="Q7" s="22" t="n"/>
      <c r="R7" s="22" t="n"/>
      <c r="S7" s="22" t="n"/>
      <c r="T7" s="22" t="n"/>
      <c r="U7" s="22" t="n"/>
      <c r="V7" s="22" t="n"/>
      <c r="W7" s="22" t="n"/>
      <c r="X7" s="22" t="n"/>
      <c r="Y7" s="23" t="n"/>
      <c r="Z7" s="24" t="n"/>
      <c r="AA7" s="24" t="n"/>
      <c r="AB7" s="24" t="n"/>
      <c r="AC7" s="24" t="n"/>
    </row>
    <row r="8">
      <c r="A8" s="15" t="inlineStr">
        <is>
          <t>비중</t>
        </is>
      </c>
      <c r="B8" s="10" t="n"/>
      <c r="C8" s="16">
        <f>IF(OR(C7="",C4=""),"",IFERROR(C7/C4,""))</f>
        <v/>
      </c>
      <c r="D8" s="17">
        <f>IF(OR(D7="",D4=""),"",IFERROR(D7/D4,""))</f>
        <v/>
      </c>
      <c r="E8" s="17">
        <f>IF(OR(E7="",E4=""),"",IFERROR(E7/E4,""))</f>
        <v/>
      </c>
      <c r="F8" s="17">
        <f>IF(OR(F7="",F4=""),"",IFERROR(F7/F4,""))</f>
        <v/>
      </c>
      <c r="G8" s="17">
        <f>IF(OR(G7="",G4=""),"",IFERROR(G7/G4,""))</f>
        <v/>
      </c>
      <c r="H8" s="17">
        <f>IF(OR(H7="",H4=""),"",IFERROR(H7/H4,""))</f>
        <v/>
      </c>
      <c r="I8" s="17">
        <f>IF(OR(I7="",I4=""),"",IFERROR(I7/I4,""))</f>
        <v/>
      </c>
      <c r="J8" s="17">
        <f>IF(OR(J7="",J4=""),"",IFERROR(J7/J4,""))</f>
        <v/>
      </c>
      <c r="K8" s="17">
        <f>IF(OR(K7="",K4=""),"",IFERROR(K7/K4,""))</f>
        <v/>
      </c>
      <c r="L8" s="17">
        <f>IF(OR(L7="",L4=""),"",IFERROR(L7/L4,""))</f>
        <v/>
      </c>
      <c r="M8" s="17">
        <f>IF(OR(M7="",M4=""),"",IFERROR(M7/M4,""))</f>
        <v/>
      </c>
      <c r="N8" s="17">
        <f>IF(OR(N7="",N4=""),"",IFERROR(N7/N4,""))</f>
        <v/>
      </c>
      <c r="O8" s="16">
        <f>IF(OR(O7="",O4=""),"",IFERROR(O7/O4,""))</f>
        <v/>
      </c>
      <c r="P8" s="17">
        <f>IF(OR(P7="",P4=""),"",IFERROR(P7/P4,""))</f>
        <v/>
      </c>
      <c r="Q8" s="17">
        <f>IF(OR(Q7="",Q4=""),"",IFERROR(Q7/Q4,""))</f>
        <v/>
      </c>
      <c r="R8" s="17">
        <f>IF(OR(R7="",R4=""),"",IFERROR(R7/R4,""))</f>
        <v/>
      </c>
      <c r="S8" s="17">
        <f>IF(OR(S7="",S4=""),"",IFERROR(S7/S4,""))</f>
        <v/>
      </c>
      <c r="T8" s="17">
        <f>IF(OR(T7="",T4=""),"",IFERROR(T7/T4,""))</f>
        <v/>
      </c>
      <c r="U8" s="17">
        <f>IF(OR(U7="",U4=""),"",IFERROR(U7/U4,""))</f>
        <v/>
      </c>
      <c r="V8" s="17">
        <f>IF(OR(V7="",V4=""),"",IFERROR(V7/V4,""))</f>
        <v/>
      </c>
      <c r="W8" s="17">
        <f>IF(OR(W7="",W4=""),"",IFERROR(W7/W4,""))</f>
        <v/>
      </c>
      <c r="X8" s="17">
        <f>IF(OR(X7="",X4=""),"",IFERROR(X7/X4,""))</f>
        <v/>
      </c>
      <c r="Y8" s="16">
        <f>IF(OR(Y7="",Y4=""),"",IFERROR(Y7/Y4,""))</f>
        <v/>
      </c>
      <c r="Z8" s="17">
        <f>IF(OR(Z7="",Z4=""),"",IFERROR(Z7/Z4,""))</f>
        <v/>
      </c>
      <c r="AA8" s="17">
        <f>IF(OR(AA7="",AA4=""),"",IFERROR(AA7/AA4,""))</f>
        <v/>
      </c>
      <c r="AB8" s="17">
        <f>IF(OR(AB7="",AB4=""),"",IFERROR(AB7/AB4,""))</f>
        <v/>
      </c>
      <c r="AC8" s="17">
        <f>IF(OR(AC7="",AC4=""),"",IFERROR(AC7/AC4,""))</f>
        <v/>
      </c>
    </row>
    <row r="9">
      <c r="A9" s="15" t="inlineStr">
        <is>
          <t>YoY</t>
        </is>
      </c>
      <c r="B9" s="10" t="n"/>
      <c r="C9" s="16" t="n"/>
      <c r="D9" s="17" t="n"/>
      <c r="E9" s="17" t="n"/>
      <c r="F9" s="17" t="n"/>
      <c r="G9" s="17">
        <f>IF(OR(G7="",C7=""),"",IFERROR(G7/C7-1,""))</f>
        <v/>
      </c>
      <c r="H9" s="17">
        <f>IF(OR(H7="",D7=""),"",IFERROR(H7/D7-1,""))</f>
        <v/>
      </c>
      <c r="I9" s="17">
        <f>IF(OR(I7="",E7=""),"",IFERROR(I7/E7-1,""))</f>
        <v/>
      </c>
      <c r="J9" s="17">
        <f>IF(OR(J7="",F7=""),"",IFERROR(J7/F7-1,""))</f>
        <v/>
      </c>
      <c r="K9" s="17">
        <f>IF(OR(K7="",G7=""),"",IFERROR(K7/G7-1,""))</f>
        <v/>
      </c>
      <c r="L9" s="17">
        <f>IF(OR(L7="",H7=""),"",IFERROR(L7/H7-1,""))</f>
        <v/>
      </c>
      <c r="M9" s="17">
        <f>IF(OR(M7="",I7=""),"",IFERROR(M7/I7-1,""))</f>
        <v/>
      </c>
      <c r="N9" s="17">
        <f>IF(OR(N7="",J7=""),"",IFERROR(N7/J7-1,""))</f>
        <v/>
      </c>
      <c r="O9" s="16" t="n"/>
      <c r="P9" s="17">
        <f>IF(OR(P7="",O7=""),"",IFERROR(P7/O7-1,""))</f>
        <v/>
      </c>
      <c r="Q9" s="17">
        <f>IF(OR(Q7="",P7=""),"",IFERROR(Q7/P7-1,""))</f>
        <v/>
      </c>
      <c r="R9" s="17">
        <f>IF(OR(R7="",Q7=""),"",IFERROR(R7/Q7-1,""))</f>
        <v/>
      </c>
      <c r="S9" s="17">
        <f>IF(OR(S7="",R7=""),"",IFERROR(S7/R7-1,""))</f>
        <v/>
      </c>
      <c r="T9" s="17">
        <f>IF(OR(T7="",S7=""),"",IFERROR(T7/S7-1,""))</f>
        <v/>
      </c>
      <c r="U9" s="17">
        <f>IF(OR(U7="",T7=""),"",IFERROR(U7/T7-1,""))</f>
        <v/>
      </c>
      <c r="V9" s="17">
        <f>IF(OR(V7="",U7=""),"",IFERROR(V7/U7-1,""))</f>
        <v/>
      </c>
      <c r="W9" s="17">
        <f>IF(OR(W7="",V7=""),"",IFERROR(W7/V7-1,""))</f>
        <v/>
      </c>
      <c r="X9" s="17">
        <f>IF(OR(X7="",W7=""),"",IFERROR(X7/W7-1,""))</f>
        <v/>
      </c>
      <c r="Y9" s="16">
        <f>IF(OR(Y7="",X7=""),"",IFERROR(Y7/X7-1,""))</f>
        <v/>
      </c>
      <c r="Z9" s="17">
        <f>IF(OR(Z7="",Y7=""),"",IFERROR(Z7/Y7-1,""))</f>
        <v/>
      </c>
      <c r="AA9" s="17">
        <f>IF(OR(AA7="",Z7=""),"",IFERROR(AA7/Z7-1,""))</f>
        <v/>
      </c>
      <c r="AB9" s="17">
        <f>IF(OR(AB7="",AA7=""),"",IFERROR(AB7/AA7-1,""))</f>
        <v/>
      </c>
      <c r="AC9" s="17">
        <f>IF(OR(AC7="",AB7=""),"",IFERROR(AC7/AB7-1,""))</f>
        <v/>
      </c>
    </row>
    <row r="10">
      <c r="A10" s="18" t="inlineStr">
        <is>
          <t>매출원가</t>
        </is>
      </c>
      <c r="B10" s="18" t="n"/>
      <c r="C10" s="19" t="n"/>
      <c r="D10" s="18" t="n"/>
      <c r="E10" s="18" t="n"/>
      <c r="F10" s="18" t="n"/>
      <c r="G10" s="18" t="n"/>
      <c r="H10" s="18" t="n"/>
      <c r="I10" s="18" t="n"/>
      <c r="J10" s="18" t="n"/>
      <c r="K10" s="18" t="n"/>
      <c r="L10" s="18" t="n"/>
      <c r="M10" s="18" t="n"/>
      <c r="N10" s="18" t="n"/>
      <c r="O10" s="19" t="n"/>
      <c r="P10" s="18" t="n"/>
      <c r="Q10" s="18" t="n"/>
      <c r="R10" s="18" t="n"/>
      <c r="S10" s="18" t="n"/>
      <c r="T10" s="18" t="n"/>
      <c r="U10" s="18" t="n"/>
      <c r="V10" s="18" t="n"/>
      <c r="W10" s="18" t="n"/>
      <c r="X10" s="18" t="n"/>
      <c r="Y10" s="19" t="n"/>
      <c r="Z10" s="18" t="n"/>
      <c r="AA10" s="18" t="n"/>
      <c r="AB10" s="18" t="n"/>
      <c r="AC10" s="18" t="n"/>
    </row>
    <row r="11">
      <c r="A11" s="20" t="inlineStr">
        <is>
          <t>전체 매출원가</t>
        </is>
      </c>
      <c r="B11" s="10" t="n"/>
      <c r="C11" s="21" t="n"/>
      <c r="D11" s="22" t="n">
        <v>247291</v>
      </c>
      <c r="E11" s="22" t="n">
        <v>271905</v>
      </c>
      <c r="F11" s="22" t="n">
        <v>284460</v>
      </c>
      <c r="G11" s="22" t="n">
        <v>297584</v>
      </c>
      <c r="H11" s="22" t="n">
        <v>283078</v>
      </c>
      <c r="I11" s="22" t="n">
        <v>271620</v>
      </c>
      <c r="J11" s="22" t="n">
        <v>326208</v>
      </c>
      <c r="K11" s="22" t="n">
        <v>366991</v>
      </c>
      <c r="L11" s="22" t="n">
        <v>359905</v>
      </c>
      <c r="M11" s="22" t="n">
        <v>387051</v>
      </c>
      <c r="N11" s="22" t="n">
        <v>426872</v>
      </c>
      <c r="O11" s="21" t="n"/>
      <c r="P11" s="22" t="n"/>
      <c r="Q11" s="22" t="n"/>
      <c r="R11" s="22" t="n"/>
      <c r="S11" s="22" t="n"/>
      <c r="T11" s="22" t="n"/>
      <c r="U11" s="22" t="n"/>
      <c r="V11" s="22" t="n">
        <v>1205927</v>
      </c>
      <c r="W11" s="22" t="n">
        <v>1137027</v>
      </c>
      <c r="X11" s="22" t="n">
        <v>1324724</v>
      </c>
      <c r="Y11" s="21" t="n"/>
      <c r="Z11" s="22" t="n"/>
      <c r="AA11" s="22" t="n"/>
      <c r="AB11" s="22" t="n"/>
      <c r="AC11" s="22" t="n"/>
    </row>
    <row r="12">
      <c r="A12" s="15" t="inlineStr">
        <is>
          <t>YoY</t>
        </is>
      </c>
      <c r="B12" s="10" t="n"/>
      <c r="C12" s="16" t="n"/>
      <c r="D12" s="17" t="n"/>
      <c r="E12" s="17" t="n"/>
      <c r="F12" s="17" t="n"/>
      <c r="G12" s="17">
        <f>IF(OR(G11="",C11=""),"",IF(C11&lt;=0,"",IFERROR(G11/C11-1,"")))</f>
        <v/>
      </c>
      <c r="H12" s="17">
        <f>IF(OR(H11="",D11=""),"",IF(D11&lt;=0,"",IFERROR(H11/D11-1,"")))</f>
        <v/>
      </c>
      <c r="I12" s="17">
        <f>IF(OR(I11="",E11=""),"",IF(E11&lt;=0,"",IFERROR(I11/E11-1,"")))</f>
        <v/>
      </c>
      <c r="J12" s="17">
        <f>IF(OR(J11="",F11=""),"",IF(F11&lt;=0,"",IFERROR(J11/F11-1,"")))</f>
        <v/>
      </c>
      <c r="K12" s="17">
        <f>IF(OR(K11="",G11=""),"",IF(G11&lt;=0,"",IFERROR(K11/G11-1,"")))</f>
        <v/>
      </c>
      <c r="L12" s="17">
        <f>IF(OR(L11="",H11=""),"",IF(H11&lt;=0,"",IFERROR(L11/H11-1,"")))</f>
        <v/>
      </c>
      <c r="M12" s="17">
        <f>IF(OR(M11="",I11=""),"",IF(I11&lt;=0,"",IFERROR(M11/I11-1,"")))</f>
        <v/>
      </c>
      <c r="N12" s="17">
        <f>IF(OR(N11="",J11=""),"",IF(J11&lt;=0,"",IFERROR(N11/J11-1,"")))</f>
        <v/>
      </c>
      <c r="O12" s="16" t="n"/>
      <c r="P12" s="17">
        <f>IF(OR(P11="",O11=""),"",IF(O11&lt;=0,"",IFERROR(P11/O11-1,"")))</f>
        <v/>
      </c>
      <c r="Q12" s="17">
        <f>IF(OR(Q11="",P11=""),"",IF(P11&lt;=0,"",IFERROR(Q11/P11-1,"")))</f>
        <v/>
      </c>
      <c r="R12" s="17">
        <f>IF(OR(R11="",Q11=""),"",IF(Q11&lt;=0,"",IFERROR(R11/Q11-1,"")))</f>
        <v/>
      </c>
      <c r="S12" s="17">
        <f>IF(OR(S11="",R11=""),"",IF(R11&lt;=0,"",IFERROR(S11/R11-1,"")))</f>
        <v/>
      </c>
      <c r="T12" s="17">
        <f>IF(OR(T11="",S11=""),"",IF(S11&lt;=0,"",IFERROR(T11/S11-1,"")))</f>
        <v/>
      </c>
      <c r="U12" s="17">
        <f>IF(OR(U11="",T11=""),"",IF(T11&lt;=0,"",IFERROR(U11/T11-1,"")))</f>
        <v/>
      </c>
      <c r="V12" s="17">
        <f>IF(OR(V11="",U11=""),"",IF(U11&lt;=0,"",IFERROR(V11/U11-1,"")))</f>
        <v/>
      </c>
      <c r="W12" s="17">
        <f>IF(OR(W11="",V11=""),"",IF(V11&lt;=0,"",IFERROR(W11/V11-1,"")))</f>
        <v/>
      </c>
      <c r="X12" s="17">
        <f>IF(OR(X11="",W11=""),"",IF(W11&lt;=0,"",IFERROR(X11/W11-1,"")))</f>
        <v/>
      </c>
      <c r="Y12" s="16">
        <f>IF(OR(Y11="",X11=""),"",IF(X11&lt;=0,"",IFERROR(Y11/X11-1,"")))</f>
        <v/>
      </c>
      <c r="Z12" s="17">
        <f>IF(OR(Z11="",Y11=""),"",IF(Y11&lt;=0,"",IFERROR(Z11/Y11-1,"")))</f>
        <v/>
      </c>
      <c r="AA12" s="17">
        <f>IF(OR(AA11="",Z11=""),"",IF(Z11&lt;=0,"",IFERROR(AA11/Z11-1,"")))</f>
        <v/>
      </c>
      <c r="AB12" s="17">
        <f>IF(OR(AB11="",AA11=""),"",IF(AA11&lt;=0,"",IFERROR(AB11/AA11-1,"")))</f>
        <v/>
      </c>
      <c r="AC12" s="17">
        <f>IF(OR(AC11="",AB11=""),"",IF(AB11&lt;=0,"",IFERROR(AC11/AB11-1,"")))</f>
        <v/>
      </c>
    </row>
    <row r="13">
      <c r="A13" s="20" t="inlineStr">
        <is>
          <t>매출총이익</t>
        </is>
      </c>
      <c r="B13" s="10" t="n"/>
      <c r="C13" s="21">
        <f>IF(OR(C4="",C11=""),"",IFERROR(C4-C11,""))</f>
        <v/>
      </c>
      <c r="D13" s="22">
        <f>IF(OR(D4="",D11=""),"",IFERROR(D4-D11,""))</f>
        <v/>
      </c>
      <c r="E13" s="22">
        <f>IF(OR(E4="",E11=""),"",IFERROR(E4-E11,""))</f>
        <v/>
      </c>
      <c r="F13" s="22">
        <f>IF(OR(F4="",F11=""),"",IFERROR(F4-F11,""))</f>
        <v/>
      </c>
      <c r="G13" s="22">
        <f>IF(OR(G4="",G11=""),"",IFERROR(G4-G11,""))</f>
        <v/>
      </c>
      <c r="H13" s="22">
        <f>IF(OR(H4="",H11=""),"",IFERROR(H4-H11,""))</f>
        <v/>
      </c>
      <c r="I13" s="22">
        <f>IF(OR(I4="",I11=""),"",IFERROR(I4-I11,""))</f>
        <v/>
      </c>
      <c r="J13" s="22">
        <f>IF(OR(J4="",J11=""),"",IFERROR(J4-J11,""))</f>
        <v/>
      </c>
      <c r="K13" s="22">
        <f>IF(OR(K4="",K11=""),"",IFERROR(K4-K11,""))</f>
        <v/>
      </c>
      <c r="L13" s="22">
        <f>IF(OR(L4="",L11=""),"",IFERROR(L4-L11,""))</f>
        <v/>
      </c>
      <c r="M13" s="22">
        <f>IF(OR(M4="",M11=""),"",IFERROR(M4-M11,""))</f>
        <v/>
      </c>
      <c r="N13" s="22">
        <f>IF(OR(N4="",N11=""),"",IFERROR(N4-N11,""))</f>
        <v/>
      </c>
      <c r="O13" s="21">
        <f>IF(OR(O4="",O11=""),"",IFERROR(O4-O11,""))</f>
        <v/>
      </c>
      <c r="P13" s="22">
        <f>IF(OR(P4="",P11=""),"",IFERROR(P4-P11,""))</f>
        <v/>
      </c>
      <c r="Q13" s="22">
        <f>IF(OR(Q4="",Q11=""),"",IFERROR(Q4-Q11,""))</f>
        <v/>
      </c>
      <c r="R13" s="22">
        <f>IF(OR(R4="",R11=""),"",IFERROR(R4-R11,""))</f>
        <v/>
      </c>
      <c r="S13" s="22">
        <f>IF(OR(S4="",S11=""),"",IFERROR(S4-S11,""))</f>
        <v/>
      </c>
      <c r="T13" s="22">
        <f>IF(OR(T4="",T11=""),"",IFERROR(T4-T11,""))</f>
        <v/>
      </c>
      <c r="U13" s="22">
        <f>IF(OR(U4="",U11=""),"",IFERROR(U4-U11,""))</f>
        <v/>
      </c>
      <c r="V13" s="22">
        <f>IF(OR(V4="",V11=""),"",IFERROR(V4-V11,""))</f>
        <v/>
      </c>
      <c r="W13" s="22">
        <f>IF(OR(W4="",W11=""),"",IFERROR(W4-W11,""))</f>
        <v/>
      </c>
      <c r="X13" s="22">
        <f>IF(OR(X4="",X11=""),"",IFERROR(X4-X11,""))</f>
        <v/>
      </c>
      <c r="Y13" s="21" t="n"/>
      <c r="Z13" s="22" t="n"/>
      <c r="AA13" s="22" t="n"/>
      <c r="AB13" s="22" t="n"/>
      <c r="AC13" s="22" t="n"/>
    </row>
    <row r="14">
      <c r="A14" s="15" t="inlineStr">
        <is>
          <t>GPM</t>
        </is>
      </c>
      <c r="B14" s="10" t="n"/>
      <c r="C14" s="16">
        <f>IF(OR(C13="",C4=""),"",IFERROR(C13/C4,""))</f>
        <v/>
      </c>
      <c r="D14" s="17">
        <f>IF(OR(D13="",D4=""),"",IFERROR(D13/D4,""))</f>
        <v/>
      </c>
      <c r="E14" s="17">
        <f>IF(OR(E13="",E4=""),"",IFERROR(E13/E4,""))</f>
        <v/>
      </c>
      <c r="F14" s="17">
        <f>IF(OR(F13="",F4=""),"",IFERROR(F13/F4,""))</f>
        <v/>
      </c>
      <c r="G14" s="17">
        <f>IF(OR(G13="",G4=""),"",IFERROR(G13/G4,""))</f>
        <v/>
      </c>
      <c r="H14" s="17">
        <f>IF(OR(H13="",H4=""),"",IFERROR(H13/H4,""))</f>
        <v/>
      </c>
      <c r="I14" s="17">
        <f>IF(OR(I13="",I4=""),"",IFERROR(I13/I4,""))</f>
        <v/>
      </c>
      <c r="J14" s="17">
        <f>IF(OR(J13="",J4=""),"",IFERROR(J13/J4,""))</f>
        <v/>
      </c>
      <c r="K14" s="17">
        <f>IF(OR(K13="",K4=""),"",IFERROR(K13/K4,""))</f>
        <v/>
      </c>
      <c r="L14" s="17">
        <f>IF(OR(L13="",L4=""),"",IFERROR(L13/L4,""))</f>
        <v/>
      </c>
      <c r="M14" s="17">
        <f>IF(OR(M13="",M4=""),"",IFERROR(M13/M4,""))</f>
        <v/>
      </c>
      <c r="N14" s="17">
        <f>IF(OR(N13="",N4=""),"",IFERROR(N13/N4,""))</f>
        <v/>
      </c>
      <c r="O14" s="16">
        <f>IF(OR(O13="",O4=""),"",IFERROR(O13/O4,""))</f>
        <v/>
      </c>
      <c r="P14" s="17">
        <f>IF(OR(P13="",P4=""),"",IFERROR(P13/P4,""))</f>
        <v/>
      </c>
      <c r="Q14" s="17">
        <f>IF(OR(Q13="",Q4=""),"",IFERROR(Q13/Q4,""))</f>
        <v/>
      </c>
      <c r="R14" s="17">
        <f>IF(OR(R13="",R4=""),"",IFERROR(R13/R4,""))</f>
        <v/>
      </c>
      <c r="S14" s="17">
        <f>IF(OR(S13="",S4=""),"",IFERROR(S13/S4,""))</f>
        <v/>
      </c>
      <c r="T14" s="17">
        <f>IF(OR(T13="",T4=""),"",IFERROR(T13/T4,""))</f>
        <v/>
      </c>
      <c r="U14" s="17">
        <f>IF(OR(U13="",U4=""),"",IFERROR(U13/U4,""))</f>
        <v/>
      </c>
      <c r="V14" s="17">
        <f>IF(OR(V13="",V4=""),"",IFERROR(V13/V4,""))</f>
        <v/>
      </c>
      <c r="W14" s="17">
        <f>IF(OR(W13="",W4=""),"",IFERROR(W13/W4,""))</f>
        <v/>
      </c>
      <c r="X14" s="17">
        <f>IF(OR(X13="",X4=""),"",IFERROR(X13/X4,""))</f>
        <v/>
      </c>
      <c r="Y14" s="16">
        <f>IF(OR(Y13="",Y4=""),"",IFERROR(Y13/Y4,""))</f>
        <v/>
      </c>
      <c r="Z14" s="17">
        <f>IF(OR(Z13="",Z4=""),"",IFERROR(Z13/Z4,""))</f>
        <v/>
      </c>
      <c r="AA14" s="17">
        <f>IF(OR(AA13="",AA4=""),"",IFERROR(AA13/AA4,""))</f>
        <v/>
      </c>
      <c r="AB14" s="17">
        <f>IF(OR(AB13="",AB4=""),"",IFERROR(AB13/AB4,""))</f>
        <v/>
      </c>
      <c r="AC14" s="17">
        <f>IF(OR(AC13="",AC4=""),"",IFERROR(AC13/AC4,""))</f>
        <v/>
      </c>
    </row>
    <row r="15">
      <c r="A15" s="15" t="inlineStr">
        <is>
          <t>YoY</t>
        </is>
      </c>
      <c r="B15" s="10" t="n"/>
      <c r="C15" s="16" t="n"/>
      <c r="D15" s="17" t="n"/>
      <c r="E15" s="17" t="n"/>
      <c r="F15" s="17" t="n"/>
      <c r="G15" s="17">
        <f>IF(OR(G13="",C13=""),"",IF(C13&lt;=0,"",IFERROR(G13/C13-1,"")))</f>
        <v/>
      </c>
      <c r="H15" s="17">
        <f>IF(OR(H13="",D13=""),"",IF(D13&lt;=0,"",IFERROR(H13/D13-1,"")))</f>
        <v/>
      </c>
      <c r="I15" s="17">
        <f>IF(OR(I13="",E13=""),"",IF(E13&lt;=0,"",IFERROR(I13/E13-1,"")))</f>
        <v/>
      </c>
      <c r="J15" s="17">
        <f>IF(OR(J13="",F13=""),"",IF(F13&lt;=0,"",IFERROR(J13/F13-1,"")))</f>
        <v/>
      </c>
      <c r="K15" s="17">
        <f>IF(OR(K13="",G13=""),"",IF(G13&lt;=0,"",IFERROR(K13/G13-1,"")))</f>
        <v/>
      </c>
      <c r="L15" s="17">
        <f>IF(OR(L13="",H13=""),"",IF(H13&lt;=0,"",IFERROR(L13/H13-1,"")))</f>
        <v/>
      </c>
      <c r="M15" s="17">
        <f>IF(OR(M13="",I13=""),"",IF(I13&lt;=0,"",IFERROR(M13/I13-1,"")))</f>
        <v/>
      </c>
      <c r="N15" s="17">
        <f>IF(OR(N13="",J13=""),"",IF(J13&lt;=0,"",IFERROR(N13/J13-1,"")))</f>
        <v/>
      </c>
      <c r="O15" s="16" t="n"/>
      <c r="P15" s="17">
        <f>IF(OR(P13="",O13=""),"",IF(O13&lt;=0,"",IFERROR(P13/O13-1,"")))</f>
        <v/>
      </c>
      <c r="Q15" s="17">
        <f>IF(OR(Q13="",P13=""),"",IF(P13&lt;=0,"",IFERROR(Q13/P13-1,"")))</f>
        <v/>
      </c>
      <c r="R15" s="17">
        <f>IF(OR(R13="",Q13=""),"",IF(Q13&lt;=0,"",IFERROR(R13/Q13-1,"")))</f>
        <v/>
      </c>
      <c r="S15" s="17">
        <f>IF(OR(S13="",R13=""),"",IF(R13&lt;=0,"",IFERROR(S13/R13-1,"")))</f>
        <v/>
      </c>
      <c r="T15" s="17">
        <f>IF(OR(T13="",S13=""),"",IF(S13&lt;=0,"",IFERROR(T13/S13-1,"")))</f>
        <v/>
      </c>
      <c r="U15" s="17">
        <f>IF(OR(U13="",T13=""),"",IF(T13&lt;=0,"",IFERROR(U13/T13-1,"")))</f>
        <v/>
      </c>
      <c r="V15" s="17">
        <f>IF(OR(V13="",U13=""),"",IF(U13&lt;=0,"",IFERROR(V13/U13-1,"")))</f>
        <v/>
      </c>
      <c r="W15" s="17">
        <f>IF(OR(W13="",V13=""),"",IF(V13&lt;=0,"",IFERROR(W13/V13-1,"")))</f>
        <v/>
      </c>
      <c r="X15" s="17">
        <f>IF(OR(X13="",W13=""),"",IF(W13&lt;=0,"",IFERROR(X13/W13-1,"")))</f>
        <v/>
      </c>
      <c r="Y15" s="16">
        <f>IF(OR(Y13="",X13=""),"",IF(X13&lt;=0,"",IFERROR(Y13/X13-1,"")))</f>
        <v/>
      </c>
      <c r="Z15" s="17">
        <f>IF(OR(Z13="",Y13=""),"",IF(Y13&lt;=0,"",IFERROR(Z13/Y13-1,"")))</f>
        <v/>
      </c>
      <c r="AA15" s="17">
        <f>IF(OR(AA13="",Z13=""),"",IF(Z13&lt;=0,"",IFERROR(AA13/Z13-1,"")))</f>
        <v/>
      </c>
      <c r="AB15" s="17">
        <f>IF(OR(AB13="",AA13=""),"",IF(AA13&lt;=0,"",IFERROR(AB13/AA13-1,"")))</f>
        <v/>
      </c>
      <c r="AC15" s="17">
        <f>IF(OR(AC13="",AB13=""),"",IF(AB13&lt;=0,"",IFERROR(AC13/AB13-1,"")))</f>
        <v/>
      </c>
    </row>
    <row r="16">
      <c r="A16" s="25" t="inlineStr">
        <is>
          <t>판매관리비</t>
        </is>
      </c>
      <c r="B16" s="25" t="n"/>
      <c r="C16" s="26" t="n"/>
      <c r="D16" s="25" t="n"/>
      <c r="E16" s="25" t="n"/>
      <c r="F16" s="25" t="n"/>
      <c r="G16" s="25" t="n"/>
      <c r="H16" s="25" t="n"/>
      <c r="I16" s="25" t="n"/>
      <c r="J16" s="25" t="n"/>
      <c r="K16" s="25" t="n"/>
      <c r="L16" s="25" t="n"/>
      <c r="M16" s="25" t="n"/>
      <c r="N16" s="25" t="n"/>
      <c r="O16" s="26" t="n"/>
      <c r="P16" s="25" t="n"/>
      <c r="Q16" s="25" t="n"/>
      <c r="R16" s="25" t="n"/>
      <c r="S16" s="25" t="n"/>
      <c r="T16" s="25" t="n"/>
      <c r="U16" s="25" t="n"/>
      <c r="V16" s="25" t="n"/>
      <c r="W16" s="25" t="n"/>
      <c r="X16" s="25" t="n"/>
      <c r="Y16" s="26" t="n"/>
      <c r="Z16" s="25" t="n"/>
      <c r="AA16" s="25" t="n"/>
      <c r="AB16" s="25" t="n"/>
      <c r="AC16" s="25" t="n"/>
    </row>
    <row r="17">
      <c r="A17" s="20" t="inlineStr">
        <is>
          <t>전체 판관비</t>
        </is>
      </c>
      <c r="B17" s="10" t="n"/>
      <c r="C17" s="21" t="n"/>
      <c r="D17" s="22" t="n">
        <v>31478</v>
      </c>
      <c r="E17" s="22" t="n">
        <v>31001</v>
      </c>
      <c r="F17" s="22" t="n">
        <v>31631</v>
      </c>
      <c r="G17" s="22" t="n">
        <v>34778</v>
      </c>
      <c r="H17" s="22" t="n">
        <v>30441</v>
      </c>
      <c r="I17" s="22" t="n">
        <v>29847</v>
      </c>
      <c r="J17" s="22" t="n">
        <v>36235</v>
      </c>
      <c r="K17" s="22" t="n">
        <v>33847</v>
      </c>
      <c r="L17" s="22" t="n">
        <v>46652</v>
      </c>
      <c r="M17" s="22" t="n">
        <v>71727</v>
      </c>
      <c r="N17" s="22" t="n">
        <v>56987</v>
      </c>
      <c r="O17" s="21" t="n"/>
      <c r="P17" s="22" t="n"/>
      <c r="Q17" s="22" t="n"/>
      <c r="R17" s="22" t="n"/>
      <c r="S17" s="22" t="n"/>
      <c r="T17" s="22" t="n"/>
      <c r="U17" s="22" t="n"/>
      <c r="V17" s="22" t="n">
        <v>128774</v>
      </c>
      <c r="W17" s="22" t="n">
        <v>127851</v>
      </c>
      <c r="X17" s="22" t="n">
        <v>146581</v>
      </c>
      <c r="Y17" s="21" t="n"/>
      <c r="Z17" s="22" t="n"/>
      <c r="AA17" s="22" t="n"/>
      <c r="AB17" s="22" t="n"/>
      <c r="AC17" s="22" t="n"/>
    </row>
    <row r="18">
      <c r="A18" s="15" t="inlineStr">
        <is>
          <t>YoY</t>
        </is>
      </c>
      <c r="B18" s="10" t="n"/>
      <c r="C18" s="16" t="n"/>
      <c r="D18" s="17" t="n"/>
      <c r="E18" s="17" t="n"/>
      <c r="F18" s="17" t="n"/>
      <c r="G18" s="17">
        <f>IF(OR(G17="",C17=""),"",IF(C17&lt;=0,"",IFERROR(G17/C17-1,"")))</f>
        <v/>
      </c>
      <c r="H18" s="17">
        <f>IF(OR(H17="",D17=""),"",IF(D17&lt;=0,"",IFERROR(H17/D17-1,"")))</f>
        <v/>
      </c>
      <c r="I18" s="17">
        <f>IF(OR(I17="",E17=""),"",IF(E17&lt;=0,"",IFERROR(I17/E17-1,"")))</f>
        <v/>
      </c>
      <c r="J18" s="17">
        <f>IF(OR(J17="",F17=""),"",IF(F17&lt;=0,"",IFERROR(J17/F17-1,"")))</f>
        <v/>
      </c>
      <c r="K18" s="17">
        <f>IF(OR(K17="",G17=""),"",IF(G17&lt;=0,"",IFERROR(K17/G17-1,"")))</f>
        <v/>
      </c>
      <c r="L18" s="17">
        <f>IF(OR(L17="",H17=""),"",IF(H17&lt;=0,"",IFERROR(L17/H17-1,"")))</f>
        <v/>
      </c>
      <c r="M18" s="17">
        <f>IF(OR(M17="",I17=""),"",IF(I17&lt;=0,"",IFERROR(M17/I17-1,"")))</f>
        <v/>
      </c>
      <c r="N18" s="17">
        <f>IF(OR(N17="",J17=""),"",IF(J17&lt;=0,"",IFERROR(N17/J17-1,"")))</f>
        <v/>
      </c>
      <c r="O18" s="16" t="n"/>
      <c r="P18" s="17">
        <f>IF(OR(P17="",O17=""),"",IF(O17&lt;=0,"",IFERROR(P17/O17-1,"")))</f>
        <v/>
      </c>
      <c r="Q18" s="17">
        <f>IF(OR(Q17="",P17=""),"",IF(P17&lt;=0,"",IFERROR(Q17/P17-1,"")))</f>
        <v/>
      </c>
      <c r="R18" s="17">
        <f>IF(OR(R17="",Q17=""),"",IF(Q17&lt;=0,"",IFERROR(R17/Q17-1,"")))</f>
        <v/>
      </c>
      <c r="S18" s="17">
        <f>IF(OR(S17="",R17=""),"",IF(R17&lt;=0,"",IFERROR(S17/R17-1,"")))</f>
        <v/>
      </c>
      <c r="T18" s="17">
        <f>IF(OR(T17="",S17=""),"",IF(S17&lt;=0,"",IFERROR(T17/S17-1,"")))</f>
        <v/>
      </c>
      <c r="U18" s="17">
        <f>IF(OR(U17="",T17=""),"",IF(T17&lt;=0,"",IFERROR(U17/T17-1,"")))</f>
        <v/>
      </c>
      <c r="V18" s="17">
        <f>IF(OR(V17="",U17=""),"",IF(U17&lt;=0,"",IFERROR(V17/U17-1,"")))</f>
        <v/>
      </c>
      <c r="W18" s="17">
        <f>IF(OR(W17="",V17=""),"",IF(V17&lt;=0,"",IFERROR(W17/V17-1,"")))</f>
        <v/>
      </c>
      <c r="X18" s="17">
        <f>IF(OR(X17="",W17=""),"",IF(W17&lt;=0,"",IFERROR(X17/W17-1,"")))</f>
        <v/>
      </c>
      <c r="Y18" s="16">
        <f>IF(OR(Y17="",X17=""),"",IF(X17&lt;=0,"",IFERROR(Y17/X17-1,"")))</f>
        <v/>
      </c>
      <c r="Z18" s="17">
        <f>IF(OR(Z17="",Y17=""),"",IF(Y17&lt;=0,"",IFERROR(Z17/Y17-1,"")))</f>
        <v/>
      </c>
      <c r="AA18" s="17">
        <f>IF(OR(AA17="",Z17=""),"",IF(Z17&lt;=0,"",IFERROR(AA17/Z17-1,"")))</f>
        <v/>
      </c>
      <c r="AB18" s="17">
        <f>IF(OR(AB17="",AA17=""),"",IF(AA17&lt;=0,"",IFERROR(AB17/AA17-1,"")))</f>
        <v/>
      </c>
      <c r="AC18" s="17">
        <f>IF(OR(AC17="",AB17=""),"",IF(AB17&lt;=0,"",IFERROR(AC17/AB17-1,"")))</f>
        <v/>
      </c>
    </row>
    <row r="19">
      <c r="A19" s="9" t="inlineStr">
        <is>
          <t>영업이익</t>
        </is>
      </c>
      <c r="B19" s="10" t="inlineStr">
        <is>
          <t>MW = 매출 × OPM</t>
        </is>
      </c>
      <c r="C19" s="11" t="n"/>
      <c r="D19" s="12" t="n">
        <v>43858</v>
      </c>
      <c r="E19" s="12" t="n">
        <v>125859</v>
      </c>
      <c r="F19" s="12" t="n">
        <v>166032</v>
      </c>
      <c r="G19" s="12" t="n">
        <v>122715</v>
      </c>
      <c r="H19" s="12" t="n">
        <v>37142</v>
      </c>
      <c r="I19" s="12" t="n">
        <v>44899</v>
      </c>
      <c r="J19" s="12" t="n">
        <v>85921</v>
      </c>
      <c r="K19" s="12" t="n">
        <v>142754</v>
      </c>
      <c r="L19" s="12" t="n">
        <v>596795</v>
      </c>
      <c r="M19" s="12" t="n">
        <v>1270017</v>
      </c>
      <c r="N19" s="12" t="n">
        <v>1994710</v>
      </c>
      <c r="O19" s="11" t="n"/>
      <c r="P19" s="12" t="n"/>
      <c r="Q19" s="12" t="n"/>
      <c r="R19" s="12" t="n"/>
      <c r="S19" s="12" t="n"/>
      <c r="T19" s="12" t="n"/>
      <c r="U19" s="12" t="n"/>
      <c r="V19" s="12" t="n">
        <v>-252698</v>
      </c>
      <c r="W19" s="12" t="n">
        <v>451748</v>
      </c>
      <c r="X19" s="12" t="n">
        <v>870369</v>
      </c>
      <c r="Y19" s="11">
        <f>IF(OR(Y4="",Y20=""),"",IFERROR(Y4*Y20,""))</f>
        <v/>
      </c>
      <c r="Z19" s="12">
        <f>IF(OR(Z4="",Z20=""),"",IFERROR(Z4*Z20,""))</f>
        <v/>
      </c>
      <c r="AA19" s="12">
        <f>IF(OR(AA4="",AA20=""),"",IFERROR(AA4*AA20,""))</f>
        <v/>
      </c>
      <c r="AB19" s="12">
        <f>IF(OR(AB4="",AB20=""),"",IFERROR(AB4*AB20,""))</f>
        <v/>
      </c>
      <c r="AC19" s="12">
        <f>IF(OR(AC4="",AC20=""),"",IFERROR(AC4*AC20,""))</f>
        <v/>
      </c>
    </row>
    <row r="20">
      <c r="A20" s="15" t="inlineStr">
        <is>
          <t>OPM</t>
        </is>
      </c>
      <c r="B20" s="10" t="inlineStr">
        <is>
          <t>MW 입력</t>
        </is>
      </c>
      <c r="C20" s="16">
        <f>IF(OR(C19="",C4=""),"",IFERROR(C19/C4,""))</f>
        <v/>
      </c>
      <c r="D20" s="17">
        <f>IF(OR(D19="",D4=""),"",IFERROR(D19/D4,""))</f>
        <v/>
      </c>
      <c r="E20" s="17">
        <f>IF(OR(E19="",E4=""),"",IFERROR(E19/E4,""))</f>
        <v/>
      </c>
      <c r="F20" s="17">
        <f>IF(OR(F19="",F4=""),"",IFERROR(F19/F4,""))</f>
        <v/>
      </c>
      <c r="G20" s="17">
        <f>IF(OR(G19="",G4=""),"",IFERROR(G19/G4,""))</f>
        <v/>
      </c>
      <c r="H20" s="17">
        <f>IF(OR(H19="",H4=""),"",IFERROR(H19/H4,""))</f>
        <v/>
      </c>
      <c r="I20" s="17">
        <f>IF(OR(I19="",I4=""),"",IFERROR(I19/I4,""))</f>
        <v/>
      </c>
      <c r="J20" s="17">
        <f>IF(OR(J19="",J4=""),"",IFERROR(J19/J4,""))</f>
        <v/>
      </c>
      <c r="K20" s="17">
        <f>IF(OR(K19="",K4=""),"",IFERROR(K19/K4,""))</f>
        <v/>
      </c>
      <c r="L20" s="17">
        <f>IF(OR(L19="",L4=""),"",IFERROR(L19/L4,""))</f>
        <v/>
      </c>
      <c r="M20" s="17">
        <f>IF(OR(M19="",M4=""),"",IFERROR(M19/M4,""))</f>
        <v/>
      </c>
      <c r="N20" s="17">
        <f>IF(OR(N19="",N4=""),"",IFERROR(N19/N4,""))</f>
        <v/>
      </c>
      <c r="O20" s="16">
        <f>IF(OR(O19="",O4=""),"",IFERROR(O19/O4,""))</f>
        <v/>
      </c>
      <c r="P20" s="17">
        <f>IF(OR(P19="",P4=""),"",IFERROR(P19/P4,""))</f>
        <v/>
      </c>
      <c r="Q20" s="17">
        <f>IF(OR(Q19="",Q4=""),"",IFERROR(Q19/Q4,""))</f>
        <v/>
      </c>
      <c r="R20" s="17">
        <f>IF(OR(R19="",R4=""),"",IFERROR(R19/R4,""))</f>
        <v/>
      </c>
      <c r="S20" s="17">
        <f>IF(OR(S19="",S4=""),"",IFERROR(S19/S4,""))</f>
        <v/>
      </c>
      <c r="T20" s="17">
        <f>IF(OR(T19="",T4=""),"",IFERROR(T19/T4,""))</f>
        <v/>
      </c>
      <c r="U20" s="17">
        <f>IF(OR(U19="",U4=""),"",IFERROR(U19/U4,""))</f>
        <v/>
      </c>
      <c r="V20" s="17">
        <f>IF(OR(V19="",V4=""),"",IFERROR(V19/V4,""))</f>
        <v/>
      </c>
      <c r="W20" s="17">
        <f>IF(OR(W19="",W4=""),"",IFERROR(W19/W4,""))</f>
        <v/>
      </c>
      <c r="X20" s="17">
        <f>IF(OR(X19="",X4=""),"",IFERROR(X19/X4,""))</f>
        <v/>
      </c>
      <c r="Y20" s="27" t="n"/>
      <c r="Z20" s="28" t="n"/>
      <c r="AA20" s="28" t="n"/>
      <c r="AB20" s="28" t="n"/>
      <c r="AC20" s="28" t="n"/>
    </row>
    <row r="21">
      <c r="A21" s="15" t="inlineStr">
        <is>
          <t>증가율</t>
        </is>
      </c>
      <c r="B21" s="10" t="n"/>
      <c r="C21" s="16" t="n"/>
      <c r="D21" s="17" t="n"/>
      <c r="E21" s="17" t="n"/>
      <c r="F21" s="17" t="n"/>
      <c r="G21" s="17">
        <f>IF(OR(G19="",C19=""),"",IFERROR(G19/C19-1,""))</f>
        <v/>
      </c>
      <c r="H21" s="17">
        <f>IF(OR(H19="",D19=""),"",IFERROR(H19/D19-1,""))</f>
        <v/>
      </c>
      <c r="I21" s="17">
        <f>IF(OR(I19="",E19=""),"",IFERROR(I19/E19-1,""))</f>
        <v/>
      </c>
      <c r="J21" s="17">
        <f>IF(OR(J19="",F19=""),"",IFERROR(J19/F19-1,""))</f>
        <v/>
      </c>
      <c r="K21" s="17">
        <f>IF(OR(K19="",G19=""),"",IFERROR(K19/G19-1,""))</f>
        <v/>
      </c>
      <c r="L21" s="17">
        <f>IF(OR(L19="",H19=""),"",IFERROR(L19/H19-1,""))</f>
        <v/>
      </c>
      <c r="M21" s="17">
        <f>IF(OR(M19="",I19=""),"",IFERROR(M19/I19-1,""))</f>
        <v/>
      </c>
      <c r="N21" s="17">
        <f>IF(OR(N19="",J19=""),"",IFERROR(N19/J19-1,""))</f>
        <v/>
      </c>
      <c r="O21" s="16" t="n"/>
      <c r="P21" s="17">
        <f>IF(OR(P19="",O19=""),"",IFERROR(P19/O19-1,""))</f>
        <v/>
      </c>
      <c r="Q21" s="17">
        <f>IF(OR(Q19="",P19=""),"",IFERROR(Q19/P19-1,""))</f>
        <v/>
      </c>
      <c r="R21" s="17">
        <f>IF(OR(R19="",Q19=""),"",IFERROR(R19/Q19-1,""))</f>
        <v/>
      </c>
      <c r="S21" s="17">
        <f>IF(OR(S19="",R19=""),"",IFERROR(S19/R19-1,""))</f>
        <v/>
      </c>
      <c r="T21" s="17">
        <f>IF(OR(T19="",S19=""),"",IFERROR(T19/S19-1,""))</f>
        <v/>
      </c>
      <c r="U21" s="17">
        <f>IF(OR(U19="",T19=""),"",IFERROR(U19/T19-1,""))</f>
        <v/>
      </c>
      <c r="V21" s="17">
        <f>IF(OR(V19="",U19=""),"",IFERROR(V19/U19-1,""))</f>
        <v/>
      </c>
      <c r="W21" s="17">
        <f>IF(OR(W19="",V19=""),"",IFERROR(W19/V19-1,""))</f>
        <v/>
      </c>
      <c r="X21" s="17">
        <f>IF(OR(X19="",W19=""),"",IFERROR(X19/W19-1,""))</f>
        <v/>
      </c>
      <c r="Y21" s="16">
        <f>IF(OR(Y19="",X19=""),"",IFERROR(Y19/X19-1,""))</f>
        <v/>
      </c>
      <c r="Z21" s="17">
        <f>IF(OR(Z19="",Y19=""),"",IFERROR(Z19/Y19-1,""))</f>
        <v/>
      </c>
      <c r="AA21" s="17">
        <f>IF(OR(AA19="",Z19=""),"",IFERROR(AA19/Z19-1,""))</f>
        <v/>
      </c>
      <c r="AB21" s="17">
        <f>IF(OR(AB19="",AA19=""),"",IFERROR(AB19/AA19-1,""))</f>
        <v/>
      </c>
      <c r="AC21" s="17">
        <f>IF(OR(AC19="",AB19=""),"",IFERROR(AC19/AB19-1,""))</f>
        <v/>
      </c>
    </row>
    <row r="22">
      <c r="A22" s="18" t="inlineStr">
        <is>
          <t>비용의 성격별 분류</t>
        </is>
      </c>
      <c r="B22" s="18" t="inlineStr">
        <is>
          <t>참고 데이터</t>
        </is>
      </c>
      <c r="C22" s="19" t="n"/>
      <c r="D22" s="18" t="n"/>
      <c r="E22" s="18" t="n"/>
      <c r="F22" s="18" t="n"/>
      <c r="G22" s="18" t="n"/>
      <c r="H22" s="18" t="n"/>
      <c r="I22" s="18" t="n"/>
      <c r="J22" s="18" t="n"/>
      <c r="K22" s="18" t="n"/>
      <c r="L22" s="18" t="n"/>
      <c r="M22" s="18" t="n"/>
      <c r="N22" s="18" t="n"/>
      <c r="O22" s="19" t="n"/>
      <c r="P22" s="18" t="n"/>
      <c r="Q22" s="18" t="n"/>
      <c r="R22" s="18" t="n"/>
      <c r="S22" s="18" t="n"/>
      <c r="T22" s="18" t="n"/>
      <c r="U22" s="18" t="n"/>
      <c r="V22" s="18" t="n"/>
      <c r="W22" s="18" t="n"/>
      <c r="X22" s="18" t="n"/>
      <c r="Y22" s="19" t="n"/>
      <c r="Z22" s="18" t="n"/>
      <c r="AA22" s="18" t="n"/>
      <c r="AB22" s="18" t="n"/>
      <c r="AC22" s="18" t="n"/>
    </row>
    <row r="23">
      <c r="A23" s="9" t="inlineStr">
        <is>
          <t>총 판관비</t>
        </is>
      </c>
      <c r="B23" s="10" t="n"/>
      <c r="C23" s="11" t="n"/>
      <c r="D23" s="12" t="n"/>
      <c r="E23" s="12" t="n"/>
      <c r="F23" s="12" t="n"/>
      <c r="G23" s="12" t="n"/>
      <c r="H23" s="12" t="n"/>
      <c r="I23" s="12" t="n"/>
      <c r="J23" s="12" t="n"/>
      <c r="K23" s="12" t="n"/>
      <c r="L23" s="12" t="n"/>
      <c r="M23" s="12" t="n"/>
      <c r="N23" s="12" t="n"/>
      <c r="O23" s="11">
        <f>IF(O17="","",O17)</f>
        <v/>
      </c>
      <c r="P23" s="12">
        <f>IF(P17="","",P17)</f>
        <v/>
      </c>
      <c r="Q23" s="12">
        <f>IF(Q17="","",Q17)</f>
        <v/>
      </c>
      <c r="R23" s="12">
        <f>IF(R17="","",R17)</f>
        <v/>
      </c>
      <c r="S23" s="12">
        <f>IF(S17="","",S17)</f>
        <v/>
      </c>
      <c r="T23" s="12">
        <f>IF(T17="","",T17)</f>
        <v/>
      </c>
      <c r="U23" s="12">
        <f>IF(U17="","",U17)</f>
        <v/>
      </c>
      <c r="V23" s="12">
        <f>IF(V17="","",V17)</f>
        <v/>
      </c>
      <c r="W23" s="12">
        <f>IF(W17="","",W17)</f>
        <v/>
      </c>
      <c r="X23" s="12">
        <f>IF(X17="","",X17)</f>
        <v/>
      </c>
      <c r="Y23" s="11" t="n"/>
      <c r="Z23" s="12" t="n"/>
      <c r="AA23" s="12" t="n"/>
      <c r="AB23" s="12" t="n"/>
      <c r="AC23" s="12" t="n"/>
    </row>
    <row r="24">
      <c r="A24" s="20" t="inlineStr">
        <is>
          <t>급여</t>
        </is>
      </c>
      <c r="B24" s="10" t="inlineStr">
        <is>
          <t>고정비</t>
        </is>
      </c>
      <c r="C24" s="21" t="n"/>
      <c r="D24" s="22" t="n"/>
      <c r="E24" s="22" t="n"/>
      <c r="F24" s="22" t="n"/>
      <c r="G24" s="22" t="n"/>
      <c r="H24" s="22" t="n"/>
      <c r="I24" s="22" t="n"/>
      <c r="J24" s="22" t="n"/>
      <c r="K24" s="22" t="n"/>
      <c r="L24" s="22" t="n"/>
      <c r="M24" s="22" t="n"/>
      <c r="N24" s="22" t="n"/>
      <c r="O24" s="21" t="n"/>
      <c r="P24" s="22" t="n"/>
      <c r="Q24" s="22" t="n"/>
      <c r="R24" s="22" t="n"/>
      <c r="S24" s="22" t="n"/>
      <c r="T24" s="22" t="n"/>
      <c r="U24" s="22" t="n"/>
      <c r="V24" s="22" t="n"/>
      <c r="W24" s="22" t="n"/>
      <c r="X24" s="22" t="n"/>
      <c r="Y24" s="21" t="n"/>
      <c r="Z24" s="22" t="n"/>
      <c r="AA24" s="22" t="n"/>
      <c r="AB24" s="22" t="n"/>
      <c r="AC24" s="22" t="n"/>
    </row>
    <row r="25">
      <c r="A25" s="15" t="inlineStr">
        <is>
          <t>% of Sales</t>
        </is>
      </c>
      <c r="B25" s="10" t="n"/>
      <c r="C25" s="16" t="n"/>
      <c r="D25" s="17" t="n"/>
      <c r="E25" s="17" t="n"/>
      <c r="F25" s="17" t="n"/>
      <c r="G25" s="17" t="n"/>
      <c r="H25" s="17" t="n"/>
      <c r="I25" s="17" t="n"/>
      <c r="J25" s="17" t="n"/>
      <c r="K25" s="17" t="n"/>
      <c r="L25" s="17" t="n"/>
      <c r="M25" s="17" t="n"/>
      <c r="N25" s="17" t="n"/>
      <c r="O25" s="16">
        <f>IF(OR(O24="",O4=""),"",IFERROR(O24/O4,""))</f>
        <v/>
      </c>
      <c r="P25" s="17">
        <f>IF(OR(P24="",P4=""),"",IFERROR(P24/P4,""))</f>
        <v/>
      </c>
      <c r="Q25" s="17">
        <f>IF(OR(Q24="",Q4=""),"",IFERROR(Q24/Q4,""))</f>
        <v/>
      </c>
      <c r="R25" s="17">
        <f>IF(OR(R24="",R4=""),"",IFERROR(R24/R4,""))</f>
        <v/>
      </c>
      <c r="S25" s="17">
        <f>IF(OR(S24="",S4=""),"",IFERROR(S24/S4,""))</f>
        <v/>
      </c>
      <c r="T25" s="17">
        <f>IF(OR(T24="",T4=""),"",IFERROR(T24/T4,""))</f>
        <v/>
      </c>
      <c r="U25" s="17">
        <f>IF(OR(U24="",U4=""),"",IFERROR(U24/U4,""))</f>
        <v/>
      </c>
      <c r="V25" s="17">
        <f>IF(OR(V24="",V4=""),"",IFERROR(V24/V4,""))</f>
        <v/>
      </c>
      <c r="W25" s="17">
        <f>IF(OR(W24="",W4=""),"",IFERROR(W24/W4,""))</f>
        <v/>
      </c>
      <c r="X25" s="17">
        <f>IF(OR(X24="",X4=""),"",IFERROR(X24/X4,""))</f>
        <v/>
      </c>
      <c r="Y25" s="16" t="n"/>
      <c r="Z25" s="17" t="n"/>
      <c r="AA25" s="17" t="n"/>
      <c r="AB25" s="17" t="n"/>
      <c r="AC25" s="17" t="n"/>
    </row>
    <row r="26">
      <c r="A26" s="20" t="inlineStr">
        <is>
          <t>감가상각비</t>
        </is>
      </c>
      <c r="B26" s="10" t="inlineStr">
        <is>
          <t>고정비</t>
        </is>
      </c>
      <c r="C26" s="21" t="n"/>
      <c r="D26" s="22" t="n"/>
      <c r="E26" s="22" t="n"/>
      <c r="F26" s="22" t="n"/>
      <c r="G26" s="22" t="n"/>
      <c r="H26" s="22" t="n"/>
      <c r="I26" s="22" t="n"/>
      <c r="J26" s="22" t="n"/>
      <c r="K26" s="22" t="n"/>
      <c r="L26" s="22" t="n"/>
      <c r="M26" s="22" t="n"/>
      <c r="N26" s="22" t="n"/>
      <c r="O26" s="21" t="n"/>
      <c r="P26" s="22" t="n"/>
      <c r="Q26" s="22" t="n"/>
      <c r="R26" s="22" t="n"/>
      <c r="S26" s="22" t="n"/>
      <c r="T26" s="22" t="n"/>
      <c r="U26" s="22" t="n"/>
      <c r="V26" s="22" t="n"/>
      <c r="W26" s="22" t="n"/>
      <c r="X26" s="22" t="n"/>
      <c r="Y26" s="21" t="n"/>
      <c r="Z26" s="22" t="n"/>
      <c r="AA26" s="22" t="n"/>
      <c r="AB26" s="22" t="n"/>
      <c r="AC26" s="22" t="n"/>
    </row>
    <row r="27">
      <c r="A27" s="15" t="inlineStr">
        <is>
          <t>% of Sales</t>
        </is>
      </c>
      <c r="B27" s="10" t="n"/>
      <c r="C27" s="16" t="n"/>
      <c r="D27" s="17" t="n"/>
      <c r="E27" s="17" t="n"/>
      <c r="F27" s="17" t="n"/>
      <c r="G27" s="17" t="n"/>
      <c r="H27" s="17" t="n"/>
      <c r="I27" s="17" t="n"/>
      <c r="J27" s="17" t="n"/>
      <c r="K27" s="17" t="n"/>
      <c r="L27" s="17" t="n"/>
      <c r="M27" s="17" t="n"/>
      <c r="N27" s="17" t="n"/>
      <c r="O27" s="16">
        <f>IF(OR(O26="",O4=""),"",IFERROR(O26/O4,""))</f>
        <v/>
      </c>
      <c r="P27" s="17">
        <f>IF(OR(P26="",P4=""),"",IFERROR(P26/P4,""))</f>
        <v/>
      </c>
      <c r="Q27" s="17">
        <f>IF(OR(Q26="",Q4=""),"",IFERROR(Q26/Q4,""))</f>
        <v/>
      </c>
      <c r="R27" s="17">
        <f>IF(OR(R26="",R4=""),"",IFERROR(R26/R4,""))</f>
        <v/>
      </c>
      <c r="S27" s="17">
        <f>IF(OR(S26="",S4=""),"",IFERROR(S26/S4,""))</f>
        <v/>
      </c>
      <c r="T27" s="17">
        <f>IF(OR(T26="",T4=""),"",IFERROR(T26/T4,""))</f>
        <v/>
      </c>
      <c r="U27" s="17">
        <f>IF(OR(U26="",U4=""),"",IFERROR(U26/U4,""))</f>
        <v/>
      </c>
      <c r="V27" s="17">
        <f>IF(OR(V26="",V4=""),"",IFERROR(V26/V4,""))</f>
        <v/>
      </c>
      <c r="W27" s="17">
        <f>IF(OR(W26="",W4=""),"",IFERROR(W26/W4,""))</f>
        <v/>
      </c>
      <c r="X27" s="17">
        <f>IF(OR(X26="",X4=""),"",IFERROR(X26/X4,""))</f>
        <v/>
      </c>
      <c r="Y27" s="16" t="n"/>
      <c r="Z27" s="17" t="n"/>
      <c r="AA27" s="17" t="n"/>
      <c r="AB27" s="17" t="n"/>
      <c r="AC27" s="17" t="n"/>
    </row>
    <row r="28">
      <c r="A28" s="20" t="inlineStr">
        <is>
          <t>지급수수료</t>
        </is>
      </c>
      <c r="B28" s="10" t="inlineStr">
        <is>
          <t>고정비</t>
        </is>
      </c>
      <c r="C28" s="21" t="n"/>
      <c r="D28" s="22" t="n"/>
      <c r="E28" s="22" t="n"/>
      <c r="F28" s="22" t="n"/>
      <c r="G28" s="22" t="n"/>
      <c r="H28" s="22" t="n"/>
      <c r="I28" s="22" t="n"/>
      <c r="J28" s="22" t="n"/>
      <c r="K28" s="22" t="n"/>
      <c r="L28" s="22" t="n"/>
      <c r="M28" s="22" t="n"/>
      <c r="N28" s="22" t="n"/>
      <c r="O28" s="21" t="n"/>
      <c r="P28" s="22" t="n"/>
      <c r="Q28" s="22" t="n"/>
      <c r="R28" s="22" t="n"/>
      <c r="S28" s="22" t="n"/>
      <c r="T28" s="22" t="n"/>
      <c r="U28" s="22" t="n"/>
      <c r="V28" s="22" t="n"/>
      <c r="W28" s="22" t="n"/>
      <c r="X28" s="22" t="n"/>
      <c r="Y28" s="21" t="n"/>
      <c r="Z28" s="22" t="n"/>
      <c r="AA28" s="22" t="n"/>
      <c r="AB28" s="22" t="n"/>
      <c r="AC28" s="22" t="n"/>
    </row>
    <row r="29">
      <c r="A29" s="15" t="inlineStr">
        <is>
          <t>% of Sales</t>
        </is>
      </c>
      <c r="B29" s="10" t="n"/>
      <c r="C29" s="16" t="n"/>
      <c r="D29" s="17" t="n"/>
      <c r="E29" s="17" t="n"/>
      <c r="F29" s="17" t="n"/>
      <c r="G29" s="17" t="n"/>
      <c r="H29" s="17" t="n"/>
      <c r="I29" s="17" t="n"/>
      <c r="J29" s="17" t="n"/>
      <c r="K29" s="17" t="n"/>
      <c r="L29" s="17" t="n"/>
      <c r="M29" s="17" t="n"/>
      <c r="N29" s="17" t="n"/>
      <c r="O29" s="16">
        <f>IF(OR(O28="",O4=""),"",IFERROR(O28/O4,""))</f>
        <v/>
      </c>
      <c r="P29" s="17">
        <f>IF(OR(P28="",P4=""),"",IFERROR(P28/P4,""))</f>
        <v/>
      </c>
      <c r="Q29" s="17">
        <f>IF(OR(Q28="",Q4=""),"",IFERROR(Q28/Q4,""))</f>
        <v/>
      </c>
      <c r="R29" s="17">
        <f>IF(OR(R28="",R4=""),"",IFERROR(R28/R4,""))</f>
        <v/>
      </c>
      <c r="S29" s="17">
        <f>IF(OR(S28="",S4=""),"",IFERROR(S28/S4,""))</f>
        <v/>
      </c>
      <c r="T29" s="17">
        <f>IF(OR(T28="",T4=""),"",IFERROR(T28/T4,""))</f>
        <v/>
      </c>
      <c r="U29" s="17">
        <f>IF(OR(U28="",U4=""),"",IFERROR(U28/U4,""))</f>
        <v/>
      </c>
      <c r="V29" s="17">
        <f>IF(OR(V28="",V4=""),"",IFERROR(V28/V4,""))</f>
        <v/>
      </c>
      <c r="W29" s="17">
        <f>IF(OR(W28="",W4=""),"",IFERROR(W28/W4,""))</f>
        <v/>
      </c>
      <c r="X29" s="17">
        <f>IF(OR(X28="",X4=""),"",IFERROR(X28/X4,""))</f>
        <v/>
      </c>
      <c r="Y29" s="16" t="n"/>
      <c r="Z29" s="17" t="n"/>
      <c r="AA29" s="17" t="n"/>
      <c r="AB29" s="17" t="n"/>
      <c r="AC29" s="17" t="n"/>
    </row>
    <row r="30">
      <c r="A30" s="20" t="inlineStr">
        <is>
          <t>연구개발비</t>
        </is>
      </c>
      <c r="B30" s="10" t="inlineStr">
        <is>
          <t>변동비</t>
        </is>
      </c>
      <c r="C30" s="21" t="n"/>
      <c r="D30" s="22" t="n"/>
      <c r="E30" s="22" t="n"/>
      <c r="F30" s="22" t="n"/>
      <c r="G30" s="22" t="n"/>
      <c r="H30" s="22" t="n"/>
      <c r="I30" s="22" t="n"/>
      <c r="J30" s="22" t="n"/>
      <c r="K30" s="22" t="n"/>
      <c r="L30" s="22" t="n"/>
      <c r="M30" s="22" t="n"/>
      <c r="N30" s="22" t="n"/>
      <c r="O30" s="21" t="n"/>
      <c r="P30" s="22" t="n"/>
      <c r="Q30" s="22" t="n"/>
      <c r="R30" s="22" t="n"/>
      <c r="S30" s="22" t="n"/>
      <c r="T30" s="22" t="n"/>
      <c r="U30" s="22" t="n"/>
      <c r="V30" s="22" t="n"/>
      <c r="W30" s="22" t="n"/>
      <c r="X30" s="22" t="n"/>
      <c r="Y30" s="21" t="n"/>
      <c r="Z30" s="22" t="n"/>
      <c r="AA30" s="22" t="n"/>
      <c r="AB30" s="22" t="n"/>
      <c r="AC30" s="22" t="n"/>
    </row>
    <row r="31">
      <c r="A31" s="15" t="inlineStr">
        <is>
          <t>% of Sales</t>
        </is>
      </c>
      <c r="B31" s="10" t="n"/>
      <c r="C31" s="16" t="n"/>
      <c r="D31" s="17" t="n"/>
      <c r="E31" s="17" t="n"/>
      <c r="F31" s="17" t="n"/>
      <c r="G31" s="17" t="n"/>
      <c r="H31" s="17" t="n"/>
      <c r="I31" s="17" t="n"/>
      <c r="J31" s="17" t="n"/>
      <c r="K31" s="17" t="n"/>
      <c r="L31" s="17" t="n"/>
      <c r="M31" s="17" t="n"/>
      <c r="N31" s="17" t="n"/>
      <c r="O31" s="16">
        <f>IF(OR(O30="",O4=""),"",IFERROR(O30/O4,""))</f>
        <v/>
      </c>
      <c r="P31" s="17">
        <f>IF(OR(P30="",P4=""),"",IFERROR(P30/P4,""))</f>
        <v/>
      </c>
      <c r="Q31" s="17">
        <f>IF(OR(Q30="",Q4=""),"",IFERROR(Q30/Q4,""))</f>
        <v/>
      </c>
      <c r="R31" s="17">
        <f>IF(OR(R30="",R4=""),"",IFERROR(R30/R4,""))</f>
        <v/>
      </c>
      <c r="S31" s="17">
        <f>IF(OR(S30="",S4=""),"",IFERROR(S30/S4,""))</f>
        <v/>
      </c>
      <c r="T31" s="17">
        <f>IF(OR(T30="",T4=""),"",IFERROR(T30/T4,""))</f>
        <v/>
      </c>
      <c r="U31" s="17">
        <f>IF(OR(U30="",U4=""),"",IFERROR(U30/U4,""))</f>
        <v/>
      </c>
      <c r="V31" s="17">
        <f>IF(OR(V30="",V4=""),"",IFERROR(V30/V4,""))</f>
        <v/>
      </c>
      <c r="W31" s="17">
        <f>IF(OR(W30="",W4=""),"",IFERROR(W30/W4,""))</f>
        <v/>
      </c>
      <c r="X31" s="17">
        <f>IF(OR(X30="",X4=""),"",IFERROR(X30/X4,""))</f>
        <v/>
      </c>
      <c r="Y31" s="16" t="n"/>
      <c r="Z31" s="17" t="n"/>
      <c r="AA31" s="17" t="n"/>
      <c r="AB31" s="17" t="n"/>
      <c r="AC31" s="17" t="n"/>
    </row>
    <row r="32">
      <c r="A32" s="20" t="inlineStr">
        <is>
          <t>기타비용</t>
        </is>
      </c>
      <c r="B32" s="10" t="inlineStr">
        <is>
          <t>변동비</t>
        </is>
      </c>
      <c r="C32" s="21" t="n"/>
      <c r="D32" s="22" t="n"/>
      <c r="E32" s="22" t="n"/>
      <c r="F32" s="22" t="n"/>
      <c r="G32" s="22" t="n"/>
      <c r="H32" s="22" t="n"/>
      <c r="I32" s="22" t="n"/>
      <c r="J32" s="22" t="n"/>
      <c r="K32" s="22" t="n"/>
      <c r="L32" s="22" t="n"/>
      <c r="M32" s="22" t="n"/>
      <c r="N32" s="22" t="n"/>
      <c r="O32" s="21">
        <f>IF(OR(O23="",O24="",O26="",O28="",O30=""),"",IFERROR(O23-O24-O26-O28-O30,""))</f>
        <v/>
      </c>
      <c r="P32" s="22">
        <f>IF(OR(P23="",P24="",P26="",P28="",P30=""),"",IFERROR(P23-P24-P26-P28-P30,""))</f>
        <v/>
      </c>
      <c r="Q32" s="22">
        <f>IF(OR(Q23="",Q24="",Q26="",Q28="",Q30=""),"",IFERROR(Q23-Q24-Q26-Q28-Q30,""))</f>
        <v/>
      </c>
      <c r="R32" s="22">
        <f>IF(OR(R23="",R24="",R26="",R28="",R30=""),"",IFERROR(R23-R24-R26-R28-R30,""))</f>
        <v/>
      </c>
      <c r="S32" s="22">
        <f>IF(OR(S23="",S24="",S26="",S28="",S30=""),"",IFERROR(S23-S24-S26-S28-S30,""))</f>
        <v/>
      </c>
      <c r="T32" s="22">
        <f>IF(OR(T23="",T24="",T26="",T28="",T30=""),"",IFERROR(T23-T24-T26-T28-T30,""))</f>
        <v/>
      </c>
      <c r="U32" s="22">
        <f>IF(OR(U23="",U24="",U26="",U28="",U30=""),"",IFERROR(U23-U24-U26-U28-U30,""))</f>
        <v/>
      </c>
      <c r="V32" s="22">
        <f>IF(OR(V23="",V24="",V26="",V28="",V30=""),"",IFERROR(V23-V24-V26-V28-V30,""))</f>
        <v/>
      </c>
      <c r="W32" s="22">
        <f>IF(OR(W23="",W24="",W26="",W28="",W30=""),"",IFERROR(W23-W24-W26-W28-W30,""))</f>
        <v/>
      </c>
      <c r="X32" s="22">
        <f>IF(OR(X23="",X24="",X26="",X28="",X30=""),"",IFERROR(X23-X24-X26-X28-X30,""))</f>
        <v/>
      </c>
      <c r="Y32" s="21" t="n"/>
      <c r="Z32" s="22" t="n"/>
      <c r="AA32" s="22" t="n"/>
      <c r="AB32" s="22" t="n"/>
      <c r="AC32" s="22" t="n"/>
    </row>
    <row r="33">
      <c r="A33" s="15" t="inlineStr">
        <is>
          <t>% of Sales</t>
        </is>
      </c>
      <c r="B33" s="10" t="n"/>
      <c r="C33" s="16" t="n"/>
      <c r="D33" s="17" t="n"/>
      <c r="E33" s="17" t="n"/>
      <c r="F33" s="17" t="n"/>
      <c r="G33" s="17" t="n"/>
      <c r="H33" s="17" t="n"/>
      <c r="I33" s="17" t="n"/>
      <c r="J33" s="17" t="n"/>
      <c r="K33" s="17" t="n"/>
      <c r="L33" s="17" t="n"/>
      <c r="M33" s="17" t="n"/>
      <c r="N33" s="17" t="n"/>
      <c r="O33" s="16">
        <f>IF(OR(O32="",O4=""),"",IFERROR(O32/O4,""))</f>
        <v/>
      </c>
      <c r="P33" s="17">
        <f>IF(OR(P32="",P4=""),"",IFERROR(P32/P4,""))</f>
        <v/>
      </c>
      <c r="Q33" s="17">
        <f>IF(OR(Q32="",Q4=""),"",IFERROR(Q32/Q4,""))</f>
        <v/>
      </c>
      <c r="R33" s="17">
        <f>IF(OR(R32="",R4=""),"",IFERROR(R32/R4,""))</f>
        <v/>
      </c>
      <c r="S33" s="17">
        <f>IF(OR(S32="",S4=""),"",IFERROR(S32/S4,""))</f>
        <v/>
      </c>
      <c r="T33" s="17">
        <f>IF(OR(T32="",T4=""),"",IFERROR(T32/T4,""))</f>
        <v/>
      </c>
      <c r="U33" s="17">
        <f>IF(OR(U32="",U4=""),"",IFERROR(U32/U4,""))</f>
        <v/>
      </c>
      <c r="V33" s="17">
        <f>IF(OR(V32="",V4=""),"",IFERROR(V32/V4,""))</f>
        <v/>
      </c>
      <c r="W33" s="17">
        <f>IF(OR(W32="",W4=""),"",IFERROR(W32/W4,""))</f>
        <v/>
      </c>
      <c r="X33" s="17">
        <f>IF(OR(X32="",X4=""),"",IFERROR(X32/X4,""))</f>
        <v/>
      </c>
      <c r="Y33" s="16" t="n"/>
      <c r="Z33" s="17" t="n"/>
      <c r="AA33" s="17" t="n"/>
      <c r="AB33" s="17" t="n"/>
      <c r="AC33" s="17" t="n"/>
    </row>
    <row r="34">
      <c r="A34" s="18" t="inlineStr">
        <is>
          <t>당기순이익 추정</t>
        </is>
      </c>
      <c r="B34" s="18" t="n"/>
      <c r="C34" s="19" t="n"/>
      <c r="D34" s="18" t="n"/>
      <c r="E34" s="18" t="n"/>
      <c r="F34" s="18" t="n"/>
      <c r="G34" s="18" t="n"/>
      <c r="H34" s="18" t="n"/>
      <c r="I34" s="18" t="n"/>
      <c r="J34" s="18" t="n"/>
      <c r="K34" s="18" t="n"/>
      <c r="L34" s="18" t="n"/>
      <c r="M34" s="18" t="n"/>
      <c r="N34" s="18" t="n"/>
      <c r="O34" s="19" t="n"/>
      <c r="P34" s="18" t="n"/>
      <c r="Q34" s="18" t="n"/>
      <c r="R34" s="18" t="n"/>
      <c r="S34" s="18" t="n"/>
      <c r="T34" s="18" t="n"/>
      <c r="U34" s="18" t="n"/>
      <c r="V34" s="18" t="n"/>
      <c r="W34" s="18" t="n"/>
      <c r="X34" s="18" t="n"/>
      <c r="Y34" s="19" t="n"/>
      <c r="Z34" s="18" t="n"/>
      <c r="AA34" s="18" t="n"/>
      <c r="AB34" s="18" t="n"/>
      <c r="AC34" s="18" t="n"/>
    </row>
    <row r="35">
      <c r="A35" s="20" t="inlineStr">
        <is>
          <t>기타이익</t>
        </is>
      </c>
      <c r="B35" s="10" t="n"/>
      <c r="C35" s="21" t="n"/>
      <c r="D35" s="22" t="n">
        <v>9000</v>
      </c>
      <c r="E35" s="22" t="n">
        <v>1477</v>
      </c>
      <c r="F35" s="22" t="n">
        <v>2586</v>
      </c>
      <c r="G35" s="22" t="n">
        <v>6109</v>
      </c>
      <c r="H35" s="22" t="n">
        <v>4503</v>
      </c>
      <c r="I35" s="22" t="n">
        <v>3921</v>
      </c>
      <c r="J35" s="22" t="n">
        <v>1569</v>
      </c>
      <c r="K35" s="22" t="n">
        <v>1262</v>
      </c>
      <c r="L35" s="22" t="n">
        <v>2150</v>
      </c>
      <c r="M35" s="22" t="n">
        <v>530</v>
      </c>
      <c r="N35" s="22" t="n">
        <v>1609</v>
      </c>
      <c r="O35" s="21" t="n"/>
      <c r="P35" s="22" t="n"/>
      <c r="Q35" s="22" t="n"/>
      <c r="R35" s="22" t="n"/>
      <c r="S35" s="22" t="n"/>
      <c r="T35" s="22" t="n"/>
      <c r="U35" s="22" t="n"/>
      <c r="V35" s="22" t="n">
        <v>19676</v>
      </c>
      <c r="W35" s="22" t="n">
        <v>14675</v>
      </c>
      <c r="X35" s="22" t="n">
        <v>8902</v>
      </c>
      <c r="Y35" s="21">
        <f>IF(OR(Y4="",Y36=""),"",IFERROR(Y4*Y36,""))</f>
        <v/>
      </c>
      <c r="Z35" s="22">
        <f>IF(OR(Z4="",Z36=""),"",IFERROR(Z4*Z36,""))</f>
        <v/>
      </c>
      <c r="AA35" s="22">
        <f>IF(OR(AA4="",AA36=""),"",IFERROR(AA4*AA36,""))</f>
        <v/>
      </c>
      <c r="AB35" s="22">
        <f>IF(OR(AB4="",AB36=""),"",IFERROR(AB4*AB36,""))</f>
        <v/>
      </c>
      <c r="AC35" s="22">
        <f>IF(OR(AC4="",AC36=""),"",IFERROR(AC4*AC36,""))</f>
        <v/>
      </c>
    </row>
    <row r="36">
      <c r="A36" s="15" t="inlineStr">
        <is>
          <t>% of Sales</t>
        </is>
      </c>
      <c r="B36" s="10" t="inlineStr">
        <is>
          <t>MW = 최근 3년 평균</t>
        </is>
      </c>
      <c r="C36" s="16">
        <f>IF(OR(C35="",C4=""),"",IFERROR(C35/C4,""))</f>
        <v/>
      </c>
      <c r="D36" s="17">
        <f>IF(OR(D35="",D4=""),"",IFERROR(D35/D4,""))</f>
        <v/>
      </c>
      <c r="E36" s="17">
        <f>IF(OR(E35="",E4=""),"",IFERROR(E35/E4,""))</f>
        <v/>
      </c>
      <c r="F36" s="17">
        <f>IF(OR(F35="",F4=""),"",IFERROR(F35/F4,""))</f>
        <v/>
      </c>
      <c r="G36" s="17">
        <f>IF(OR(G35="",G4=""),"",IFERROR(G35/G4,""))</f>
        <v/>
      </c>
      <c r="H36" s="17">
        <f>IF(OR(H35="",H4=""),"",IFERROR(H35/H4,""))</f>
        <v/>
      </c>
      <c r="I36" s="17">
        <f>IF(OR(I35="",I4=""),"",IFERROR(I35/I4,""))</f>
        <v/>
      </c>
      <c r="J36" s="17">
        <f>IF(OR(J35="",J4=""),"",IFERROR(J35/J4,""))</f>
        <v/>
      </c>
      <c r="K36" s="17">
        <f>IF(OR(K35="",K4=""),"",IFERROR(K35/K4,""))</f>
        <v/>
      </c>
      <c r="L36" s="17">
        <f>IF(OR(L35="",L4=""),"",IFERROR(L35/L4,""))</f>
        <v/>
      </c>
      <c r="M36" s="17">
        <f>IF(OR(M35="",M4=""),"",IFERROR(M35/M4,""))</f>
        <v/>
      </c>
      <c r="N36" s="17">
        <f>IF(OR(N35="",N4=""),"",IFERROR(N35/N4,""))</f>
        <v/>
      </c>
      <c r="O36" s="16">
        <f>IF(OR(O35="",O4=""),"",IFERROR(O35/O4,""))</f>
        <v/>
      </c>
      <c r="P36" s="17">
        <f>IF(OR(P35="",P4=""),"",IFERROR(P35/P4,""))</f>
        <v/>
      </c>
      <c r="Q36" s="17">
        <f>IF(OR(Q35="",Q4=""),"",IFERROR(Q35/Q4,""))</f>
        <v/>
      </c>
      <c r="R36" s="17">
        <f>IF(OR(R35="",R4=""),"",IFERROR(R35/R4,""))</f>
        <v/>
      </c>
      <c r="S36" s="17">
        <f>IF(OR(S35="",S4=""),"",IFERROR(S35/S4,""))</f>
        <v/>
      </c>
      <c r="T36" s="17">
        <f>IF(OR(T35="",T4=""),"",IFERROR(T35/T4,""))</f>
        <v/>
      </c>
      <c r="U36" s="17">
        <f>IF(OR(U35="",U4=""),"",IFERROR(U35/U4,""))</f>
        <v/>
      </c>
      <c r="V36" s="17">
        <f>IF(OR(V35="",V4=""),"",IFERROR(V35/V4,""))</f>
        <v/>
      </c>
      <c r="W36" s="17">
        <f>IF(OR(W35="",W4=""),"",IFERROR(W35/W4,""))</f>
        <v/>
      </c>
      <c r="X36" s="17">
        <f>IF(OR(X35="",X4=""),"",IFERROR(X35/X4,""))</f>
        <v/>
      </c>
      <c r="Y36" s="27">
        <f>IFERROR(AVERAGE(V36,W36,X36),"")</f>
        <v/>
      </c>
      <c r="Z36" s="28">
        <f>Y36</f>
        <v/>
      </c>
      <c r="AA36" s="28">
        <f>Z36</f>
        <v/>
      </c>
      <c r="AB36" s="28">
        <f>AA36</f>
        <v/>
      </c>
      <c r="AC36" s="28">
        <f>AB36</f>
        <v/>
      </c>
    </row>
    <row r="37">
      <c r="A37" s="20" t="inlineStr">
        <is>
          <t>기타손실</t>
        </is>
      </c>
      <c r="B37" s="10" t="n"/>
      <c r="C37" s="21" t="n"/>
      <c r="D37" s="22" t="n">
        <v>8451</v>
      </c>
      <c r="E37" s="22" t="n">
        <v>1209</v>
      </c>
      <c r="F37" s="22" t="n">
        <v>1374</v>
      </c>
      <c r="G37" s="22" t="n">
        <v>990</v>
      </c>
      <c r="H37" s="22" t="n">
        <v>936</v>
      </c>
      <c r="I37" s="22" t="n">
        <v>354</v>
      </c>
      <c r="J37" s="22" t="n">
        <v>1551</v>
      </c>
      <c r="K37" s="22" t="n">
        <v>1301</v>
      </c>
      <c r="L37" s="22" t="n">
        <v>1650</v>
      </c>
      <c r="M37" s="22" t="n">
        <v>38852</v>
      </c>
      <c r="N37" s="22" t="n">
        <v>3075</v>
      </c>
      <c r="O37" s="21" t="n"/>
      <c r="P37" s="22" t="n"/>
      <c r="Q37" s="22" t="n"/>
      <c r="R37" s="22" t="n"/>
      <c r="S37" s="22" t="n"/>
      <c r="T37" s="22" t="n"/>
      <c r="U37" s="22" t="n"/>
      <c r="V37" s="22" t="n">
        <v>14257</v>
      </c>
      <c r="W37" s="22" t="n">
        <v>4509</v>
      </c>
      <c r="X37" s="22" t="n">
        <v>4856</v>
      </c>
      <c r="Y37" s="21">
        <f>IF(OR(Y4="",Y38=""),"",IFERROR(Y4*Y38,""))</f>
        <v/>
      </c>
      <c r="Z37" s="22">
        <f>IF(OR(Z4="",Z38=""),"",IFERROR(Z4*Z38,""))</f>
        <v/>
      </c>
      <c r="AA37" s="22">
        <f>IF(OR(AA4="",AA38=""),"",IFERROR(AA4*AA38,""))</f>
        <v/>
      </c>
      <c r="AB37" s="22">
        <f>IF(OR(AB4="",AB38=""),"",IFERROR(AB4*AB38,""))</f>
        <v/>
      </c>
      <c r="AC37" s="22">
        <f>IF(OR(AC4="",AC38=""),"",IFERROR(AC4*AC38,""))</f>
        <v/>
      </c>
    </row>
    <row r="38">
      <c r="A38" s="15" t="inlineStr">
        <is>
          <t>% of Sales</t>
        </is>
      </c>
      <c r="B38" s="10" t="n"/>
      <c r="C38" s="16">
        <f>IF(OR(C37="",C4=""),"",IFERROR(C37/C4,""))</f>
        <v/>
      </c>
      <c r="D38" s="17">
        <f>IF(OR(D37="",D4=""),"",IFERROR(D37/D4,""))</f>
        <v/>
      </c>
      <c r="E38" s="17">
        <f>IF(OR(E37="",E4=""),"",IFERROR(E37/E4,""))</f>
        <v/>
      </c>
      <c r="F38" s="17">
        <f>IF(OR(F37="",F4=""),"",IFERROR(F37/F4,""))</f>
        <v/>
      </c>
      <c r="G38" s="17">
        <f>IF(OR(G37="",G4=""),"",IFERROR(G37/G4,""))</f>
        <v/>
      </c>
      <c r="H38" s="17">
        <f>IF(OR(H37="",H4=""),"",IFERROR(H37/H4,""))</f>
        <v/>
      </c>
      <c r="I38" s="17">
        <f>IF(OR(I37="",I4=""),"",IFERROR(I37/I4,""))</f>
        <v/>
      </c>
      <c r="J38" s="17">
        <f>IF(OR(J37="",J4=""),"",IFERROR(J37/J4,""))</f>
        <v/>
      </c>
      <c r="K38" s="17">
        <f>IF(OR(K37="",K4=""),"",IFERROR(K37/K4,""))</f>
        <v/>
      </c>
      <c r="L38" s="17">
        <f>IF(OR(L37="",L4=""),"",IFERROR(L37/L4,""))</f>
        <v/>
      </c>
      <c r="M38" s="17">
        <f>IF(OR(M37="",M4=""),"",IFERROR(M37/M4,""))</f>
        <v/>
      </c>
      <c r="N38" s="17">
        <f>IF(OR(N37="",N4=""),"",IFERROR(N37/N4,""))</f>
        <v/>
      </c>
      <c r="O38" s="16">
        <f>IF(OR(O37="",O4=""),"",IFERROR(O37/O4,""))</f>
        <v/>
      </c>
      <c r="P38" s="17">
        <f>IF(OR(P37="",P4=""),"",IFERROR(P37/P4,""))</f>
        <v/>
      </c>
      <c r="Q38" s="17">
        <f>IF(OR(Q37="",Q4=""),"",IFERROR(Q37/Q4,""))</f>
        <v/>
      </c>
      <c r="R38" s="17">
        <f>IF(OR(R37="",R4=""),"",IFERROR(R37/R4,""))</f>
        <v/>
      </c>
      <c r="S38" s="17">
        <f>IF(OR(S37="",S4=""),"",IFERROR(S37/S4,""))</f>
        <v/>
      </c>
      <c r="T38" s="17">
        <f>IF(OR(T37="",T4=""),"",IFERROR(T37/T4,""))</f>
        <v/>
      </c>
      <c r="U38" s="17">
        <f>IF(OR(U37="",U4=""),"",IFERROR(U37/U4,""))</f>
        <v/>
      </c>
      <c r="V38" s="17">
        <f>IF(OR(V37="",V4=""),"",IFERROR(V37/V4,""))</f>
        <v/>
      </c>
      <c r="W38" s="17">
        <f>IF(OR(W37="",W4=""),"",IFERROR(W37/W4,""))</f>
        <v/>
      </c>
      <c r="X38" s="17">
        <f>IF(OR(X37="",X4=""),"",IFERROR(X37/X4,""))</f>
        <v/>
      </c>
      <c r="Y38" s="27">
        <f>IFERROR(AVERAGE(V38,W38,X38),"")</f>
        <v/>
      </c>
      <c r="Z38" s="28">
        <f>Y38</f>
        <v/>
      </c>
      <c r="AA38" s="28">
        <f>Z38</f>
        <v/>
      </c>
      <c r="AB38" s="28">
        <f>AA38</f>
        <v/>
      </c>
      <c r="AC38" s="28">
        <f>AB38</f>
        <v/>
      </c>
    </row>
    <row r="39">
      <c r="A39" s="20" t="inlineStr">
        <is>
          <t>금융수익</t>
        </is>
      </c>
      <c r="B39" s="10" t="n"/>
      <c r="C39" s="21" t="n"/>
      <c r="D39" s="22" t="n">
        <v>11</v>
      </c>
      <c r="E39" s="22" t="n">
        <v>199</v>
      </c>
      <c r="F39" s="22" t="n">
        <v>1231</v>
      </c>
      <c r="G39" s="22" t="n">
        <v>1135</v>
      </c>
      <c r="H39" s="22" t="n">
        <v>1142</v>
      </c>
      <c r="I39" s="22" t="n">
        <v>2398</v>
      </c>
      <c r="J39" s="22" t="n">
        <v>-402</v>
      </c>
      <c r="K39" s="22" t="n">
        <v>1608</v>
      </c>
      <c r="L39" s="22" t="n">
        <v>5895</v>
      </c>
      <c r="M39" s="22" t="n">
        <v>17170</v>
      </c>
      <c r="N39" s="22" t="n">
        <v>-9829</v>
      </c>
      <c r="O39" s="21" t="n"/>
      <c r="P39" s="22" t="n"/>
      <c r="Q39" s="22" t="n"/>
      <c r="R39" s="22" t="n"/>
      <c r="S39" s="22" t="n"/>
      <c r="T39" s="22" t="n"/>
      <c r="U39" s="22" t="n"/>
      <c r="V39" s="22" t="n">
        <v>1847</v>
      </c>
      <c r="W39" s="22" t="n">
        <v>3707</v>
      </c>
      <c r="X39" s="22" t="n">
        <v>9499</v>
      </c>
      <c r="Y39" s="21">
        <f>IF(OR(Y4="",Y40=""),"",IFERROR(Y4*Y40,""))</f>
        <v/>
      </c>
      <c r="Z39" s="22">
        <f>IF(OR(Z4="",Z40=""),"",IFERROR(Z4*Z40,""))</f>
        <v/>
      </c>
      <c r="AA39" s="22">
        <f>IF(OR(AA4="",AA40=""),"",IFERROR(AA4*AA40,""))</f>
        <v/>
      </c>
      <c r="AB39" s="22">
        <f>IF(OR(AB4="",AB40=""),"",IFERROR(AB4*AB40,""))</f>
        <v/>
      </c>
      <c r="AC39" s="22">
        <f>IF(OR(AC4="",AC40=""),"",IFERROR(AC4*AC40,""))</f>
        <v/>
      </c>
    </row>
    <row r="40">
      <c r="A40" s="15" t="inlineStr">
        <is>
          <t>% of Sales</t>
        </is>
      </c>
      <c r="B40" s="10" t="n"/>
      <c r="C40" s="16">
        <f>IF(OR(C39="",C4=""),"",IFERROR(C39/C4,""))</f>
        <v/>
      </c>
      <c r="D40" s="17">
        <f>IF(OR(D39="",D4=""),"",IFERROR(D39/D4,""))</f>
        <v/>
      </c>
      <c r="E40" s="17">
        <f>IF(OR(E39="",E4=""),"",IFERROR(E39/E4,""))</f>
        <v/>
      </c>
      <c r="F40" s="17">
        <f>IF(OR(F39="",F4=""),"",IFERROR(F39/F4,""))</f>
        <v/>
      </c>
      <c r="G40" s="17">
        <f>IF(OR(G39="",G4=""),"",IFERROR(G39/G4,""))</f>
        <v/>
      </c>
      <c r="H40" s="17">
        <f>IF(OR(H39="",H4=""),"",IFERROR(H39/H4,""))</f>
        <v/>
      </c>
      <c r="I40" s="17">
        <f>IF(OR(I39="",I4=""),"",IFERROR(I39/I4,""))</f>
        <v/>
      </c>
      <c r="J40" s="17">
        <f>IF(OR(J39="",J4=""),"",IFERROR(J39/J4,""))</f>
        <v/>
      </c>
      <c r="K40" s="17">
        <f>IF(OR(K39="",K4=""),"",IFERROR(K39/K4,""))</f>
        <v/>
      </c>
      <c r="L40" s="17">
        <f>IF(OR(L39="",L4=""),"",IFERROR(L39/L4,""))</f>
        <v/>
      </c>
      <c r="M40" s="17">
        <f>IF(OR(M39="",M4=""),"",IFERROR(M39/M4,""))</f>
        <v/>
      </c>
      <c r="N40" s="17">
        <f>IF(OR(N39="",N4=""),"",IFERROR(N39/N4,""))</f>
        <v/>
      </c>
      <c r="O40" s="16">
        <f>IF(OR(O39="",O4=""),"",IFERROR(O39/O4,""))</f>
        <v/>
      </c>
      <c r="P40" s="17">
        <f>IF(OR(P39="",P4=""),"",IFERROR(P39/P4,""))</f>
        <v/>
      </c>
      <c r="Q40" s="17">
        <f>IF(OR(Q39="",Q4=""),"",IFERROR(Q39/Q4,""))</f>
        <v/>
      </c>
      <c r="R40" s="17">
        <f>IF(OR(R39="",R4=""),"",IFERROR(R39/R4,""))</f>
        <v/>
      </c>
      <c r="S40" s="17">
        <f>IF(OR(S39="",S4=""),"",IFERROR(S39/S4,""))</f>
        <v/>
      </c>
      <c r="T40" s="17">
        <f>IF(OR(T39="",T4=""),"",IFERROR(T39/T4,""))</f>
        <v/>
      </c>
      <c r="U40" s="17">
        <f>IF(OR(U39="",U4=""),"",IFERROR(U39/U4,""))</f>
        <v/>
      </c>
      <c r="V40" s="17">
        <f>IF(OR(V39="",V4=""),"",IFERROR(V39/V4,""))</f>
        <v/>
      </c>
      <c r="W40" s="17">
        <f>IF(OR(W39="",W4=""),"",IFERROR(W39/W4,""))</f>
        <v/>
      </c>
      <c r="X40" s="17">
        <f>IF(OR(X39="",X4=""),"",IFERROR(X39/X4,""))</f>
        <v/>
      </c>
      <c r="Y40" s="27">
        <f>IFERROR(AVERAGE(V40,W40,X40),"")</f>
        <v/>
      </c>
      <c r="Z40" s="28">
        <f>Y40</f>
        <v/>
      </c>
      <c r="AA40" s="28">
        <f>Z40</f>
        <v/>
      </c>
      <c r="AB40" s="28">
        <f>AA40</f>
        <v/>
      </c>
      <c r="AC40" s="28">
        <f>AB40</f>
        <v/>
      </c>
    </row>
    <row r="41">
      <c r="A41" s="20" t="inlineStr">
        <is>
          <t>금융원가</t>
        </is>
      </c>
      <c r="B41" s="10" t="n"/>
      <c r="C41" s="21" t="n"/>
      <c r="D41" s="22" t="n">
        <v>26856</v>
      </c>
      <c r="E41" s="22" t="n">
        <v>26192</v>
      </c>
      <c r="F41" s="22" t="n">
        <v>18282</v>
      </c>
      <c r="G41" s="22" t="n">
        <v>17428</v>
      </c>
      <c r="H41" s="22" t="n">
        <v>23426</v>
      </c>
      <c r="I41" s="22" t="n">
        <v>19860</v>
      </c>
      <c r="J41" s="22" t="n">
        <v>29102</v>
      </c>
      <c r="K41" s="22" t="n">
        <v>22769</v>
      </c>
      <c r="L41" s="22" t="n">
        <v>24977</v>
      </c>
      <c r="M41" s="22" t="n">
        <v>52801</v>
      </c>
      <c r="N41" s="22" t="n">
        <v>15962</v>
      </c>
      <c r="O41" s="21" t="n"/>
      <c r="P41" s="22" t="n"/>
      <c r="Q41" s="22" t="n"/>
      <c r="R41" s="22" t="n"/>
      <c r="S41" s="22" t="n"/>
      <c r="T41" s="22" t="n"/>
      <c r="U41" s="22" t="n"/>
      <c r="V41" s="22" t="n">
        <v>92740</v>
      </c>
      <c r="W41" s="22" t="n">
        <v>85328</v>
      </c>
      <c r="X41" s="22" t="n">
        <v>96708</v>
      </c>
      <c r="Y41" s="21">
        <f>IF(OR(Y4="",Y42=""),"",IFERROR(Y4*Y42,""))</f>
        <v/>
      </c>
      <c r="Z41" s="22">
        <f>IF(OR(Z4="",Z42=""),"",IFERROR(Z4*Z42,""))</f>
        <v/>
      </c>
      <c r="AA41" s="22">
        <f>IF(OR(AA4="",AA42=""),"",IFERROR(AA4*AA42,""))</f>
        <v/>
      </c>
      <c r="AB41" s="22">
        <f>IF(OR(AB4="",AB42=""),"",IFERROR(AB4*AB42,""))</f>
        <v/>
      </c>
      <c r="AC41" s="22">
        <f>IF(OR(AC4="",AC42=""),"",IFERROR(AC4*AC42,""))</f>
        <v/>
      </c>
    </row>
    <row r="42">
      <c r="A42" s="15" t="inlineStr">
        <is>
          <t>% of Sales</t>
        </is>
      </c>
      <c r="B42" s="10" t="n"/>
      <c r="C42" s="16">
        <f>IF(OR(C41="",C4=""),"",IFERROR(C41/C4,""))</f>
        <v/>
      </c>
      <c r="D42" s="17">
        <f>IF(OR(D41="",D4=""),"",IFERROR(D41/D4,""))</f>
        <v/>
      </c>
      <c r="E42" s="17">
        <f>IF(OR(E41="",E4=""),"",IFERROR(E41/E4,""))</f>
        <v/>
      </c>
      <c r="F42" s="17">
        <f>IF(OR(F41="",F4=""),"",IFERROR(F41/F4,""))</f>
        <v/>
      </c>
      <c r="G42" s="17">
        <f>IF(OR(G41="",G4=""),"",IFERROR(G41/G4,""))</f>
        <v/>
      </c>
      <c r="H42" s="17">
        <f>IF(OR(H41="",H4=""),"",IFERROR(H41/H4,""))</f>
        <v/>
      </c>
      <c r="I42" s="17">
        <f>IF(OR(I41="",I4=""),"",IFERROR(I41/I4,""))</f>
        <v/>
      </c>
      <c r="J42" s="17">
        <f>IF(OR(J41="",J4=""),"",IFERROR(J41/J4,""))</f>
        <v/>
      </c>
      <c r="K42" s="17">
        <f>IF(OR(K41="",K4=""),"",IFERROR(K41/K4,""))</f>
        <v/>
      </c>
      <c r="L42" s="17">
        <f>IF(OR(L41="",L4=""),"",IFERROR(L41/L4,""))</f>
        <v/>
      </c>
      <c r="M42" s="17">
        <f>IF(OR(M41="",M4=""),"",IFERROR(M41/M4,""))</f>
        <v/>
      </c>
      <c r="N42" s="17">
        <f>IF(OR(N41="",N4=""),"",IFERROR(N41/N4,""))</f>
        <v/>
      </c>
      <c r="O42" s="16">
        <f>IF(OR(O41="",O4=""),"",IFERROR(O41/O4,""))</f>
        <v/>
      </c>
      <c r="P42" s="17">
        <f>IF(OR(P41="",P4=""),"",IFERROR(P41/P4,""))</f>
        <v/>
      </c>
      <c r="Q42" s="17">
        <f>IF(OR(Q41="",Q4=""),"",IFERROR(Q41/Q4,""))</f>
        <v/>
      </c>
      <c r="R42" s="17">
        <f>IF(OR(R41="",R4=""),"",IFERROR(R41/R4,""))</f>
        <v/>
      </c>
      <c r="S42" s="17">
        <f>IF(OR(S41="",S4=""),"",IFERROR(S41/S4,""))</f>
        <v/>
      </c>
      <c r="T42" s="17">
        <f>IF(OR(T41="",T4=""),"",IFERROR(T41/T4,""))</f>
        <v/>
      </c>
      <c r="U42" s="17">
        <f>IF(OR(U41="",U4=""),"",IFERROR(U41/U4,""))</f>
        <v/>
      </c>
      <c r="V42" s="17">
        <f>IF(OR(V41="",V4=""),"",IFERROR(V41/V4,""))</f>
        <v/>
      </c>
      <c r="W42" s="17">
        <f>IF(OR(W41="",W4=""),"",IFERROR(W41/W4,""))</f>
        <v/>
      </c>
      <c r="X42" s="17">
        <f>IF(OR(X41="",X4=""),"",IFERROR(X41/X4,""))</f>
        <v/>
      </c>
      <c r="Y42" s="27">
        <f>IFERROR(AVERAGE(V42,W42,X42),"")</f>
        <v/>
      </c>
      <c r="Z42" s="28">
        <f>Y42</f>
        <v/>
      </c>
      <c r="AA42" s="28">
        <f>Z42</f>
        <v/>
      </c>
      <c r="AB42" s="28">
        <f>AA42</f>
        <v/>
      </c>
      <c r="AC42" s="28">
        <f>AB42</f>
        <v/>
      </c>
    </row>
    <row r="43">
      <c r="A43" s="9" t="inlineStr">
        <is>
          <t>법인세비용차감전순이익(손실)</t>
        </is>
      </c>
      <c r="B43" s="10" t="n"/>
      <c r="C43" s="11" t="n"/>
      <c r="D43" s="12" t="n">
        <v>17159</v>
      </c>
      <c r="E43" s="12" t="n">
        <v>99746</v>
      </c>
      <c r="F43" s="12" t="n">
        <v>149173</v>
      </c>
      <c r="G43" s="12" t="n">
        <v>106687</v>
      </c>
      <c r="H43" s="12" t="n">
        <v>15063</v>
      </c>
      <c r="I43" s="12" t="n">
        <v>27294</v>
      </c>
      <c r="J43" s="12" t="n">
        <v>56716</v>
      </c>
      <c r="K43" s="12" t="n">
        <v>121740</v>
      </c>
      <c r="L43" s="12" t="n">
        <v>578345</v>
      </c>
      <c r="M43" s="12" t="n">
        <v>1234720</v>
      </c>
      <c r="N43" s="12" t="n">
        <v>1968670</v>
      </c>
      <c r="O43" s="11" t="n"/>
      <c r="P43" s="12" t="n"/>
      <c r="Q43" s="12" t="n"/>
      <c r="R43" s="12" t="n"/>
      <c r="S43" s="12" t="n"/>
      <c r="T43" s="12" t="n"/>
      <c r="U43" s="12" t="n"/>
      <c r="V43" s="12" t="n">
        <v>-343330</v>
      </c>
      <c r="W43" s="12" t="n">
        <v>370669</v>
      </c>
      <c r="X43" s="12" t="n">
        <v>784095</v>
      </c>
      <c r="Y43" s="11">
        <f>IF(OR(Y19=""),"",IFERROR(Y19+N(Y35)-N(Y37)+N(Y39)-N(Y41),""))</f>
        <v/>
      </c>
      <c r="Z43" s="12">
        <f>IF(OR(Z19=""),"",IFERROR(Z19+N(Z35)-N(Z37)+N(Z39)-N(Z41),""))</f>
        <v/>
      </c>
      <c r="AA43" s="12">
        <f>IF(OR(AA19=""),"",IFERROR(AA19+N(AA35)-N(AA37)+N(AA39)-N(AA41),""))</f>
        <v/>
      </c>
      <c r="AB43" s="12">
        <f>IF(OR(AB19=""),"",IFERROR(AB19+N(AB35)-N(AB37)+N(AB39)-N(AB41),""))</f>
        <v/>
      </c>
      <c r="AC43" s="12">
        <f>IF(OR(AC19=""),"",IFERROR(AC19+N(AC35)-N(AC37)+N(AC39)-N(AC41),""))</f>
        <v/>
      </c>
    </row>
    <row r="44">
      <c r="A44" s="15" t="inlineStr">
        <is>
          <t>YoY</t>
        </is>
      </c>
      <c r="B44" s="10" t="n"/>
      <c r="C44" s="16" t="n"/>
      <c r="D44" s="17" t="n"/>
      <c r="E44" s="17" t="n"/>
      <c r="F44" s="17" t="n"/>
      <c r="G44" s="17">
        <f>IF(OR(G43="",C43=""),"",IF(C43&lt;=0,"",IFERROR(G43/C43-1,"")))</f>
        <v/>
      </c>
      <c r="H44" s="17">
        <f>IF(OR(H43="",D43=""),"",IF(D43&lt;=0,"",IFERROR(H43/D43-1,"")))</f>
        <v/>
      </c>
      <c r="I44" s="17">
        <f>IF(OR(I43="",E43=""),"",IF(E43&lt;=0,"",IFERROR(I43/E43-1,"")))</f>
        <v/>
      </c>
      <c r="J44" s="17">
        <f>IF(OR(J43="",F43=""),"",IF(F43&lt;=0,"",IFERROR(J43/F43-1,"")))</f>
        <v/>
      </c>
      <c r="K44" s="17">
        <f>IF(OR(K43="",G43=""),"",IF(G43&lt;=0,"",IFERROR(K43/G43-1,"")))</f>
        <v/>
      </c>
      <c r="L44" s="17">
        <f>IF(OR(L43="",H43=""),"",IF(H43&lt;=0,"",IFERROR(L43/H43-1,"")))</f>
        <v/>
      </c>
      <c r="M44" s="17">
        <f>IF(OR(M43="",I43=""),"",IF(I43&lt;=0,"",IFERROR(M43/I43-1,"")))</f>
        <v/>
      </c>
      <c r="N44" s="17">
        <f>IF(OR(N43="",J43=""),"",IF(J43&lt;=0,"",IFERROR(N43/J43-1,"")))</f>
        <v/>
      </c>
      <c r="O44" s="16" t="n"/>
      <c r="P44" s="17">
        <f>IF(OR(P43="",O43=""),"",IF(O43&lt;=0,"",IFERROR(P43/O43-1,"")))</f>
        <v/>
      </c>
      <c r="Q44" s="17">
        <f>IF(OR(Q43="",P43=""),"",IF(P43&lt;=0,"",IFERROR(Q43/P43-1,"")))</f>
        <v/>
      </c>
      <c r="R44" s="17">
        <f>IF(OR(R43="",Q43=""),"",IF(Q43&lt;=0,"",IFERROR(R43/Q43-1,"")))</f>
        <v/>
      </c>
      <c r="S44" s="17">
        <f>IF(OR(S43="",R43=""),"",IF(R43&lt;=0,"",IFERROR(S43/R43-1,"")))</f>
        <v/>
      </c>
      <c r="T44" s="17">
        <f>IF(OR(T43="",S43=""),"",IF(S43&lt;=0,"",IFERROR(T43/S43-1,"")))</f>
        <v/>
      </c>
      <c r="U44" s="17">
        <f>IF(OR(U43="",T43=""),"",IF(T43&lt;=0,"",IFERROR(U43/T43-1,"")))</f>
        <v/>
      </c>
      <c r="V44" s="17">
        <f>IF(OR(V43="",U43=""),"",IF(U43&lt;=0,"",IFERROR(V43/U43-1,"")))</f>
        <v/>
      </c>
      <c r="W44" s="17">
        <f>IF(OR(W43="",V43=""),"",IF(V43&lt;=0,"",IFERROR(W43/V43-1,"")))</f>
        <v/>
      </c>
      <c r="X44" s="17">
        <f>IF(OR(X43="",W43=""),"",IF(W43&lt;=0,"",IFERROR(X43/W43-1,"")))</f>
        <v/>
      </c>
      <c r="Y44" s="16">
        <f>IF(OR(Y43="",X43=""),"",IF(X43&lt;=0,"",IFERROR(Y43/X43-1,"")))</f>
        <v/>
      </c>
      <c r="Z44" s="17">
        <f>IF(OR(Z43="",Y43=""),"",IF(Y43&lt;=0,"",IFERROR(Z43/Y43-1,"")))</f>
        <v/>
      </c>
      <c r="AA44" s="17">
        <f>IF(OR(AA43="",Z43=""),"",IF(Z43&lt;=0,"",IFERROR(AA43/Z43-1,"")))</f>
        <v/>
      </c>
      <c r="AB44" s="17">
        <f>IF(OR(AB43="",AA43=""),"",IF(AA43&lt;=0,"",IFERROR(AB43/AA43-1,"")))</f>
        <v/>
      </c>
      <c r="AC44" s="17">
        <f>IF(OR(AC43="",AB43=""),"",IF(AB43&lt;=0,"",IFERROR(AC43/AB43-1,"")))</f>
        <v/>
      </c>
    </row>
    <row r="45">
      <c r="A45" s="20" t="inlineStr">
        <is>
          <t>법인세비용(수익)</t>
        </is>
      </c>
      <c r="B45" s="10" t="n"/>
      <c r="C45" s="21" t="n"/>
      <c r="D45" s="22" t="n">
        <v>6906</v>
      </c>
      <c r="E45" s="22" t="n">
        <v>29988</v>
      </c>
      <c r="F45" s="22" t="n">
        <v>42951</v>
      </c>
      <c r="G45" s="22" t="n">
        <v>30612</v>
      </c>
      <c r="H45" s="22" t="n">
        <v>-5203</v>
      </c>
      <c r="I45" s="22" t="n">
        <v>9021</v>
      </c>
      <c r="J45" s="22" t="n">
        <v>16046</v>
      </c>
      <c r="K45" s="22" t="n">
        <v>33926</v>
      </c>
      <c r="L45" s="22" t="n">
        <v>170606</v>
      </c>
      <c r="M45" s="22" t="n">
        <v>392549</v>
      </c>
      <c r="N45" s="22" t="n">
        <v>612966</v>
      </c>
      <c r="O45" s="21" t="n"/>
      <c r="P45" s="22" t="n"/>
      <c r="Q45" s="22" t="n"/>
      <c r="R45" s="22" t="n"/>
      <c r="S45" s="22" t="n"/>
      <c r="T45" s="22" t="n"/>
      <c r="U45" s="22" t="n"/>
      <c r="V45" s="22" t="n">
        <v>-99609</v>
      </c>
      <c r="W45" s="22" t="n">
        <v>98348</v>
      </c>
      <c r="X45" s="22" t="n">
        <v>229599</v>
      </c>
      <c r="Y45" s="21">
        <f>IF(OR(Y43="",Y46=""),"",IFERROR(MAX(Y43,0)*Y46,""))</f>
        <v/>
      </c>
      <c r="Z45" s="22">
        <f>IF(OR(Z43="",Z46=""),"",IFERROR(MAX(Z43,0)*Z46,""))</f>
        <v/>
      </c>
      <c r="AA45" s="22">
        <f>IF(OR(AA43="",AA46=""),"",IFERROR(MAX(AA43,0)*AA46,""))</f>
        <v/>
      </c>
      <c r="AB45" s="22">
        <f>IF(OR(AB43="",AB46=""),"",IFERROR(MAX(AB43,0)*AB46,""))</f>
        <v/>
      </c>
      <c r="AC45" s="22">
        <f>IF(OR(AC43="",AC46=""),"",IFERROR(MAX(AC43,0)*AC46,""))</f>
        <v/>
      </c>
    </row>
    <row r="46">
      <c r="A46" s="15" t="inlineStr">
        <is>
          <t>법인세율</t>
        </is>
      </c>
      <c r="B46" s="10" t="inlineStr">
        <is>
          <t>MW 기본 30%</t>
        </is>
      </c>
      <c r="C46" s="16">
        <f>IF(OR(C45="",C43=""),"",IFERROR(C45/C43,""))</f>
        <v/>
      </c>
      <c r="D46" s="17">
        <f>IF(OR(D45="",D43=""),"",IFERROR(D45/D43,""))</f>
        <v/>
      </c>
      <c r="E46" s="17">
        <f>IF(OR(E45="",E43=""),"",IFERROR(E45/E43,""))</f>
        <v/>
      </c>
      <c r="F46" s="17">
        <f>IF(OR(F45="",F43=""),"",IFERROR(F45/F43,""))</f>
        <v/>
      </c>
      <c r="G46" s="17">
        <f>IF(OR(G45="",G43=""),"",IFERROR(G45/G43,""))</f>
        <v/>
      </c>
      <c r="H46" s="17">
        <f>IF(OR(H45="",H43=""),"",IFERROR(H45/H43,""))</f>
        <v/>
      </c>
      <c r="I46" s="17">
        <f>IF(OR(I45="",I43=""),"",IFERROR(I45/I43,""))</f>
        <v/>
      </c>
      <c r="J46" s="17">
        <f>IF(OR(J45="",J43=""),"",IFERROR(J45/J43,""))</f>
        <v/>
      </c>
      <c r="K46" s="17">
        <f>IF(OR(K45="",K43=""),"",IFERROR(K45/K43,""))</f>
        <v/>
      </c>
      <c r="L46" s="17">
        <f>IF(OR(L45="",L43=""),"",IFERROR(L45/L43,""))</f>
        <v/>
      </c>
      <c r="M46" s="17">
        <f>IF(OR(M45="",M43=""),"",IFERROR(M45/M43,""))</f>
        <v/>
      </c>
      <c r="N46" s="17">
        <f>IF(OR(N45="",N43=""),"",IFERROR(N45/N43,""))</f>
        <v/>
      </c>
      <c r="O46" s="16">
        <f>IF(OR(O45="",O43=""),"",IFERROR(O45/O43,""))</f>
        <v/>
      </c>
      <c r="P46" s="17">
        <f>IF(OR(P45="",P43=""),"",IFERROR(P45/P43,""))</f>
        <v/>
      </c>
      <c r="Q46" s="17">
        <f>IF(OR(Q45="",Q43=""),"",IFERROR(Q45/Q43,""))</f>
        <v/>
      </c>
      <c r="R46" s="17">
        <f>IF(OR(R45="",R43=""),"",IFERROR(R45/R43,""))</f>
        <v/>
      </c>
      <c r="S46" s="17">
        <f>IF(OR(S45="",S43=""),"",IFERROR(S45/S43,""))</f>
        <v/>
      </c>
      <c r="T46" s="17">
        <f>IF(OR(T45="",T43=""),"",IFERROR(T45/T43,""))</f>
        <v/>
      </c>
      <c r="U46" s="17">
        <f>IF(OR(U45="",U43=""),"",IFERROR(U45/U43,""))</f>
        <v/>
      </c>
      <c r="V46" s="17">
        <f>IF(OR(V45="",V43=""),"",IFERROR(V45/V43,""))</f>
        <v/>
      </c>
      <c r="W46" s="17">
        <f>IF(OR(W45="",W43=""),"",IFERROR(W45/W43,""))</f>
        <v/>
      </c>
      <c r="X46" s="17">
        <f>IF(OR(X45="",X43=""),"",IFERROR(X45/X43,""))</f>
        <v/>
      </c>
      <c r="Y46" s="27" t="n">
        <v>0.3</v>
      </c>
      <c r="Z46" s="28" t="n">
        <v>0.3</v>
      </c>
      <c r="AA46" s="28" t="n">
        <v>0.3</v>
      </c>
      <c r="AB46" s="28" t="n">
        <v>0.3</v>
      </c>
      <c r="AC46" s="28" t="n">
        <v>0.3</v>
      </c>
    </row>
    <row r="47">
      <c r="A47" s="9" t="inlineStr">
        <is>
          <t>당기순이익(손실)</t>
        </is>
      </c>
      <c r="B47" s="10" t="n"/>
      <c r="C47" s="11" t="n"/>
      <c r="D47" s="12" t="n">
        <v>10253</v>
      </c>
      <c r="E47" s="12" t="n">
        <v>69758</v>
      </c>
      <c r="F47" s="12" t="n">
        <v>106222</v>
      </c>
      <c r="G47" s="12" t="n">
        <v>76075</v>
      </c>
      <c r="H47" s="12" t="n">
        <v>20266</v>
      </c>
      <c r="I47" s="12" t="n">
        <v>18273</v>
      </c>
      <c r="J47" s="12" t="n">
        <v>40670</v>
      </c>
      <c r="K47" s="12" t="n">
        <v>87814</v>
      </c>
      <c r="L47" s="12" t="n">
        <v>407739</v>
      </c>
      <c r="M47" s="12" t="n">
        <v>842171</v>
      </c>
      <c r="N47" s="12" t="n">
        <v>1355704</v>
      </c>
      <c r="O47" s="11" t="n"/>
      <c r="P47" s="12" t="n"/>
      <c r="Q47" s="12" t="n"/>
      <c r="R47" s="12" t="n"/>
      <c r="S47" s="12" t="n"/>
      <c r="T47" s="12" t="n"/>
      <c r="U47" s="12" t="n"/>
      <c r="V47" s="12" t="n">
        <v>-243721</v>
      </c>
      <c r="W47" s="12" t="n">
        <v>272321</v>
      </c>
      <c r="X47" s="12" t="n">
        <v>554496</v>
      </c>
      <c r="Y47" s="11">
        <f>IF(OR(Y43=""),"",IFERROR(Y43-Y45,""))</f>
        <v/>
      </c>
      <c r="Z47" s="12">
        <f>IF(OR(Z43=""),"",IFERROR(Z43-Z45,""))</f>
        <v/>
      </c>
      <c r="AA47" s="12">
        <f>IF(OR(AA43=""),"",IFERROR(AA43-AA45,""))</f>
        <v/>
      </c>
      <c r="AB47" s="12">
        <f>IF(OR(AB43=""),"",IFERROR(AB43-AB45,""))</f>
        <v/>
      </c>
      <c r="AC47" s="12">
        <f>IF(OR(AC43=""),"",IFERROR(AC43-AC45,""))</f>
        <v/>
      </c>
    </row>
    <row r="48">
      <c r="A48" s="15" t="inlineStr">
        <is>
          <t>YoY</t>
        </is>
      </c>
      <c r="B48" s="10" t="n"/>
      <c r="C48" s="16" t="n"/>
      <c r="D48" s="17" t="n"/>
      <c r="E48" s="17" t="n"/>
      <c r="F48" s="17" t="n"/>
      <c r="G48" s="17">
        <f>IF(OR(G47="",C47=""),"",IF(C47&lt;=0,"",IFERROR(G47/C47-1,"")))</f>
        <v/>
      </c>
      <c r="H48" s="17">
        <f>IF(OR(H47="",D47=""),"",IF(D47&lt;=0,"",IFERROR(H47/D47-1,"")))</f>
        <v/>
      </c>
      <c r="I48" s="17">
        <f>IF(OR(I47="",E47=""),"",IF(E47&lt;=0,"",IFERROR(I47/E47-1,"")))</f>
        <v/>
      </c>
      <c r="J48" s="17">
        <f>IF(OR(J47="",F47=""),"",IF(F47&lt;=0,"",IFERROR(J47/F47-1,"")))</f>
        <v/>
      </c>
      <c r="K48" s="17">
        <f>IF(OR(K47="",G47=""),"",IF(G47&lt;=0,"",IFERROR(K47/G47-1,"")))</f>
        <v/>
      </c>
      <c r="L48" s="17">
        <f>IF(OR(L47="",H47=""),"",IF(H47&lt;=0,"",IFERROR(L47/H47-1,"")))</f>
        <v/>
      </c>
      <c r="M48" s="17">
        <f>IF(OR(M47="",I47=""),"",IF(I47&lt;=0,"",IFERROR(M47/I47-1,"")))</f>
        <v/>
      </c>
      <c r="N48" s="17">
        <f>IF(OR(N47="",J47=""),"",IF(J47&lt;=0,"",IFERROR(N47/J47-1,"")))</f>
        <v/>
      </c>
      <c r="O48" s="16" t="n"/>
      <c r="P48" s="17">
        <f>IF(OR(P47="",O47=""),"",IF(O47&lt;=0,"",IFERROR(P47/O47-1,"")))</f>
        <v/>
      </c>
      <c r="Q48" s="17">
        <f>IF(OR(Q47="",P47=""),"",IF(P47&lt;=0,"",IFERROR(Q47/P47-1,"")))</f>
        <v/>
      </c>
      <c r="R48" s="17">
        <f>IF(OR(R47="",Q47=""),"",IF(Q47&lt;=0,"",IFERROR(R47/Q47-1,"")))</f>
        <v/>
      </c>
      <c r="S48" s="17">
        <f>IF(OR(S47="",R47=""),"",IF(R47&lt;=0,"",IFERROR(S47/R47-1,"")))</f>
        <v/>
      </c>
      <c r="T48" s="17">
        <f>IF(OR(T47="",S47=""),"",IF(S47&lt;=0,"",IFERROR(T47/S47-1,"")))</f>
        <v/>
      </c>
      <c r="U48" s="17">
        <f>IF(OR(U47="",T47=""),"",IF(T47&lt;=0,"",IFERROR(U47/T47-1,"")))</f>
        <v/>
      </c>
      <c r="V48" s="17">
        <f>IF(OR(V47="",U47=""),"",IF(U47&lt;=0,"",IFERROR(V47/U47-1,"")))</f>
        <v/>
      </c>
      <c r="W48" s="17">
        <f>IF(OR(W47="",V47=""),"",IF(V47&lt;=0,"",IFERROR(W47/V47-1,"")))</f>
        <v/>
      </c>
      <c r="X48" s="17">
        <f>IF(OR(X47="",W47=""),"",IF(W47&lt;=0,"",IFERROR(X47/W47-1,"")))</f>
        <v/>
      </c>
      <c r="Y48" s="16">
        <f>IF(OR(Y47="",X47=""),"",IF(X47&lt;=0,"",IFERROR(Y47/X47-1,"")))</f>
        <v/>
      </c>
      <c r="Z48" s="17">
        <f>IF(OR(Z47="",Y47=""),"",IF(Y47&lt;=0,"",IFERROR(Z47/Y47-1,"")))</f>
        <v/>
      </c>
      <c r="AA48" s="17">
        <f>IF(OR(AA47="",Z47=""),"",IF(Z47&lt;=0,"",IFERROR(AA47/Z47-1,"")))</f>
        <v/>
      </c>
      <c r="AB48" s="17">
        <f>IF(OR(AB47="",AA47=""),"",IF(AA47&lt;=0,"",IFERROR(AB47/AA47-1,"")))</f>
        <v/>
      </c>
      <c r="AC48" s="17">
        <f>IF(OR(AC47="",AB47=""),"",IF(AB47&lt;=0,"",IFERROR(AC47/AB47-1,"")))</f>
        <v/>
      </c>
    </row>
    <row r="49">
      <c r="A49" s="9" t="inlineStr">
        <is>
          <t>지배주주 순이익</t>
        </is>
      </c>
      <c r="B49" s="10" t="n"/>
      <c r="C49" s="11" t="n"/>
      <c r="D49" s="12" t="n">
        <v>10246</v>
      </c>
      <c r="E49" s="12" t="n">
        <v>69758</v>
      </c>
      <c r="F49" s="12" t="n">
        <v>106222</v>
      </c>
      <c r="G49" s="12" t="n">
        <v>76068</v>
      </c>
      <c r="H49" s="12" t="n">
        <v>20267</v>
      </c>
      <c r="I49" s="12" t="n">
        <v>18284</v>
      </c>
      <c r="J49" s="12" t="n">
        <v>40662</v>
      </c>
      <c r="K49" s="12" t="n">
        <v>87810</v>
      </c>
      <c r="L49" s="12" t="n">
        <v>407734</v>
      </c>
      <c r="M49" s="12" t="n">
        <v>842165</v>
      </c>
      <c r="N49" s="12" t="n">
        <v>1355706</v>
      </c>
      <c r="O49" s="11" t="n"/>
      <c r="P49" s="12" t="n"/>
      <c r="Q49" s="12" t="n"/>
      <c r="R49" s="12" t="n"/>
      <c r="S49" s="12" t="n"/>
      <c r="T49" s="12" t="n"/>
      <c r="U49" s="12" t="n"/>
      <c r="V49" s="12" t="n">
        <v>-243728</v>
      </c>
      <c r="W49" s="12" t="n">
        <v>272315</v>
      </c>
      <c r="X49" s="12" t="n">
        <v>554490</v>
      </c>
      <c r="Y49" s="11">
        <f>IF(OR(Y47="",Y50=""),"",IFERROR(Y47*Y50,""))</f>
        <v/>
      </c>
      <c r="Z49" s="12">
        <f>IF(OR(Z47="",Z50=""),"",IFERROR(Z47*Z50,""))</f>
        <v/>
      </c>
      <c r="AA49" s="12">
        <f>IF(OR(AA47="",AA50=""),"",IFERROR(AA47*AA50,""))</f>
        <v/>
      </c>
      <c r="AB49" s="12">
        <f>IF(OR(AB47="",AB50=""),"",IFERROR(AB47*AB50,""))</f>
        <v/>
      </c>
      <c r="AC49" s="12">
        <f>IF(OR(AC47="",AC50=""),"",IFERROR(AC47*AC50,""))</f>
        <v/>
      </c>
    </row>
    <row r="50">
      <c r="A50" s="15" t="inlineStr">
        <is>
          <t>지배주주 순이익률</t>
        </is>
      </c>
      <c r="B50" s="10" t="inlineStr">
        <is>
          <t>MW 기본 100%</t>
        </is>
      </c>
      <c r="C50" s="16">
        <f>IF(OR(C49="",C47=""),"",IFERROR(C49/C47,""))</f>
        <v/>
      </c>
      <c r="D50" s="17">
        <f>IF(OR(D49="",D47=""),"",IFERROR(D49/D47,""))</f>
        <v/>
      </c>
      <c r="E50" s="17">
        <f>IF(OR(E49="",E47=""),"",IFERROR(E49/E47,""))</f>
        <v/>
      </c>
      <c r="F50" s="17">
        <f>IF(OR(F49="",F47=""),"",IFERROR(F49/F47,""))</f>
        <v/>
      </c>
      <c r="G50" s="17">
        <f>IF(OR(G49="",G47=""),"",IFERROR(G49/G47,""))</f>
        <v/>
      </c>
      <c r="H50" s="17">
        <f>IF(OR(H49="",H47=""),"",IFERROR(H49/H47,""))</f>
        <v/>
      </c>
      <c r="I50" s="17">
        <f>IF(OR(I49="",I47=""),"",IFERROR(I49/I47,""))</f>
        <v/>
      </c>
      <c r="J50" s="17">
        <f>IF(OR(J49="",J47=""),"",IFERROR(J49/J47,""))</f>
        <v/>
      </c>
      <c r="K50" s="17">
        <f>IF(OR(K49="",K47=""),"",IFERROR(K49/K47,""))</f>
        <v/>
      </c>
      <c r="L50" s="17">
        <f>IF(OR(L49="",L47=""),"",IFERROR(L49/L47,""))</f>
        <v/>
      </c>
      <c r="M50" s="17">
        <f>IF(OR(M49="",M47=""),"",IFERROR(M49/M47,""))</f>
        <v/>
      </c>
      <c r="N50" s="17">
        <f>IF(OR(N49="",N47=""),"",IFERROR(N49/N47,""))</f>
        <v/>
      </c>
      <c r="O50" s="16">
        <f>IF(OR(O49="",O47=""),"",IFERROR(O49/O47,""))</f>
        <v/>
      </c>
      <c r="P50" s="17">
        <f>IF(OR(P49="",P47=""),"",IFERROR(P49/P47,""))</f>
        <v/>
      </c>
      <c r="Q50" s="17">
        <f>IF(OR(Q49="",Q47=""),"",IFERROR(Q49/Q47,""))</f>
        <v/>
      </c>
      <c r="R50" s="17">
        <f>IF(OR(R49="",R47=""),"",IFERROR(R49/R47,""))</f>
        <v/>
      </c>
      <c r="S50" s="17">
        <f>IF(OR(S49="",S47=""),"",IFERROR(S49/S47,""))</f>
        <v/>
      </c>
      <c r="T50" s="17">
        <f>IF(OR(T49="",T47=""),"",IFERROR(T49/T47,""))</f>
        <v/>
      </c>
      <c r="U50" s="17">
        <f>IF(OR(U49="",U47=""),"",IFERROR(U49/U47,""))</f>
        <v/>
      </c>
      <c r="V50" s="17">
        <f>IF(OR(V49="",V47=""),"",IFERROR(V49/V47,""))</f>
        <v/>
      </c>
      <c r="W50" s="17">
        <f>IF(OR(W49="",W47=""),"",IFERROR(W49/W47,""))</f>
        <v/>
      </c>
      <c r="X50" s="17">
        <f>IF(OR(X49="",X47=""),"",IFERROR(X49/X47,""))</f>
        <v/>
      </c>
      <c r="Y50" s="27" t="n">
        <v>1</v>
      </c>
      <c r="Z50" s="28" t="n">
        <v>1</v>
      </c>
      <c r="AA50" s="28" t="n">
        <v>1</v>
      </c>
      <c r="AB50" s="28" t="n">
        <v>1</v>
      </c>
      <c r="AC50" s="28" t="n">
        <v>1</v>
      </c>
    </row>
    <row r="51">
      <c r="A51" s="15" t="inlineStr">
        <is>
          <t>지배주주 순이익 YoY</t>
        </is>
      </c>
      <c r="B51" s="10" t="n"/>
      <c r="C51" s="16" t="n"/>
      <c r="D51" s="17" t="n"/>
      <c r="E51" s="17" t="n"/>
      <c r="F51" s="17" t="n"/>
      <c r="G51" s="17">
        <f>IF(OR(G49="",C49=""),"",IF(C49&lt;=0,"",IFERROR(G49/C49-1,"")))</f>
        <v/>
      </c>
      <c r="H51" s="17">
        <f>IF(OR(H49="",D49=""),"",IF(D49&lt;=0,"",IFERROR(H49/D49-1,"")))</f>
        <v/>
      </c>
      <c r="I51" s="17">
        <f>IF(OR(I49="",E49=""),"",IF(E49&lt;=0,"",IFERROR(I49/E49-1,"")))</f>
        <v/>
      </c>
      <c r="J51" s="17">
        <f>IF(OR(J49="",F49=""),"",IF(F49&lt;=0,"",IFERROR(J49/F49-1,"")))</f>
        <v/>
      </c>
      <c r="K51" s="17">
        <f>IF(OR(K49="",G49=""),"",IF(G49&lt;=0,"",IFERROR(K49/G49-1,"")))</f>
        <v/>
      </c>
      <c r="L51" s="17">
        <f>IF(OR(L49="",H49=""),"",IF(H49&lt;=0,"",IFERROR(L49/H49-1,"")))</f>
        <v/>
      </c>
      <c r="M51" s="17">
        <f>IF(OR(M49="",I49=""),"",IF(I49&lt;=0,"",IFERROR(M49/I49-1,"")))</f>
        <v/>
      </c>
      <c r="N51" s="17">
        <f>IF(OR(N49="",J49=""),"",IF(J49&lt;=0,"",IFERROR(N49/J49-1,"")))</f>
        <v/>
      </c>
      <c r="O51" s="16" t="n"/>
      <c r="P51" s="17">
        <f>IF(OR(P49="",O49=""),"",IF(O49&lt;=0,"",IFERROR(P49/O49-1,"")))</f>
        <v/>
      </c>
      <c r="Q51" s="17">
        <f>IF(OR(Q49="",P49=""),"",IF(P49&lt;=0,"",IFERROR(Q49/P49-1,"")))</f>
        <v/>
      </c>
      <c r="R51" s="17">
        <f>IF(OR(R49="",Q49=""),"",IF(Q49&lt;=0,"",IFERROR(R49/Q49-1,"")))</f>
        <v/>
      </c>
      <c r="S51" s="17">
        <f>IF(OR(S49="",R49=""),"",IF(R49&lt;=0,"",IFERROR(S49/R49-1,"")))</f>
        <v/>
      </c>
      <c r="T51" s="17">
        <f>IF(OR(T49="",S49=""),"",IF(S49&lt;=0,"",IFERROR(T49/S49-1,"")))</f>
        <v/>
      </c>
      <c r="U51" s="17">
        <f>IF(OR(U49="",T49=""),"",IF(T49&lt;=0,"",IFERROR(U49/T49-1,"")))</f>
        <v/>
      </c>
      <c r="V51" s="17">
        <f>IF(OR(V49="",U49=""),"",IF(U49&lt;=0,"",IFERROR(V49/U49-1,"")))</f>
        <v/>
      </c>
      <c r="W51" s="17">
        <f>IF(OR(W49="",V49=""),"",IF(V49&lt;=0,"",IFERROR(W49/V49-1,"")))</f>
        <v/>
      </c>
      <c r="X51" s="17">
        <f>IF(OR(X49="",W49=""),"",IF(W49&lt;=0,"",IFERROR(X49/W49-1,"")))</f>
        <v/>
      </c>
      <c r="Y51" s="16">
        <f>IF(OR(Y49="",X49=""),"",IF(X49&lt;=0,"",IFERROR(Y49/X49-1,"")))</f>
        <v/>
      </c>
      <c r="Z51" s="17">
        <f>IF(OR(Z49="",Y49=""),"",IF(Y49&lt;=0,"",IFERROR(Z49/Y49-1,"")))</f>
        <v/>
      </c>
      <c r="AA51" s="17">
        <f>IF(OR(AA49="",Z49=""),"",IF(Z49&lt;=0,"",IFERROR(AA49/Z49-1,"")))</f>
        <v/>
      </c>
      <c r="AB51" s="17">
        <f>IF(OR(AB49="",AA49=""),"",IF(AA49&lt;=0,"",IFERROR(AB49/AA49-1,"")))</f>
        <v/>
      </c>
      <c r="AC51" s="17">
        <f>IF(OR(AC49="",AB49=""),"",IF(AB49&lt;=0,"",IFERROR(AC49/AB49-1,"")))</f>
        <v/>
      </c>
    </row>
    <row r="52">
      <c r="A52" s="18" t="inlineStr">
        <is>
          <t>목표주가 산출</t>
        </is>
      </c>
      <c r="B52" s="18" t="n"/>
      <c r="C52" s="19" t="n"/>
      <c r="D52" s="18" t="n"/>
      <c r="E52" s="18" t="n"/>
      <c r="F52" s="18" t="n"/>
      <c r="G52" s="18" t="n"/>
      <c r="H52" s="18" t="n"/>
      <c r="I52" s="18" t="n"/>
      <c r="J52" s="18" t="n"/>
      <c r="K52" s="18" t="n"/>
      <c r="L52" s="18" t="n"/>
      <c r="M52" s="18" t="n"/>
      <c r="N52" s="18" t="n"/>
      <c r="O52" s="19" t="n"/>
      <c r="P52" s="18" t="n"/>
      <c r="Q52" s="18" t="n"/>
      <c r="R52" s="18" t="n"/>
      <c r="S52" s="18" t="n"/>
      <c r="T52" s="18" t="n"/>
      <c r="U52" s="18" t="n"/>
      <c r="V52" s="18" t="n"/>
      <c r="W52" s="18" t="n"/>
      <c r="X52" s="18" t="n"/>
      <c r="Y52" s="19" t="n"/>
      <c r="Z52" s="18" t="n"/>
      <c r="AA52" s="18" t="n"/>
      <c r="AB52" s="18" t="n"/>
      <c r="AC52" s="18" t="n"/>
    </row>
    <row r="53">
      <c r="A53" s="20" t="inlineStr">
        <is>
          <t>현재 주가 (2026.10.30)</t>
        </is>
      </c>
      <c r="B53" s="29" t="n">
        <v>13470</v>
      </c>
      <c r="C53" s="30" t="n"/>
      <c r="D53" s="31" t="n"/>
      <c r="E53" s="31" t="n"/>
      <c r="F53" s="31" t="n"/>
      <c r="G53" s="31" t="n"/>
      <c r="H53" s="31" t="n"/>
      <c r="I53" s="31" t="n"/>
      <c r="J53" s="31" t="n"/>
      <c r="K53" s="31" t="n"/>
      <c r="L53" s="31" t="n"/>
      <c r="M53" s="31" t="n"/>
      <c r="N53" s="31" t="n"/>
      <c r="O53" s="30" t="n"/>
      <c r="P53" s="31" t="n"/>
      <c r="Q53" s="31" t="n"/>
      <c r="R53" s="31" t="n"/>
      <c r="S53" s="31" t="n"/>
      <c r="T53" s="31" t="n"/>
      <c r="U53" s="31" t="n"/>
      <c r="V53" s="31" t="n"/>
      <c r="W53" s="31" t="n"/>
      <c r="X53" s="31" t="n"/>
      <c r="Y53" s="30" t="n"/>
      <c r="Z53" s="31" t="n"/>
      <c r="AA53" s="31" t="n"/>
      <c r="AB53" s="31" t="n"/>
      <c r="AC53" s="31" t="n"/>
    </row>
    <row r="54">
      <c r="A54" s="20" t="inlineStr">
        <is>
          <t>발행주식수 (보통주)</t>
        </is>
      </c>
      <c r="B54" s="29" t="n">
        <v>1646307702</v>
      </c>
      <c r="C54" s="30" t="n"/>
      <c r="D54" s="31" t="n"/>
      <c r="E54" s="31" t="n"/>
      <c r="F54" s="31" t="n"/>
      <c r="G54" s="31" t="n"/>
      <c r="H54" s="31" t="n"/>
      <c r="I54" s="31" t="n"/>
      <c r="J54" s="31" t="n"/>
      <c r="K54" s="31" t="n"/>
      <c r="L54" s="31" t="n"/>
      <c r="M54" s="31" t="n"/>
      <c r="N54" s="31" t="n"/>
      <c r="O54" s="30" t="n"/>
      <c r="P54" s="31" t="n"/>
      <c r="Q54" s="31" t="n"/>
      <c r="R54" s="31" t="n"/>
      <c r="S54" s="31" t="n"/>
      <c r="T54" s="31" t="n"/>
      <c r="U54" s="31" t="n"/>
      <c r="V54" s="31" t="n"/>
      <c r="W54" s="31" t="n"/>
      <c r="X54" s="31" t="n"/>
      <c r="Y54" s="30" t="n"/>
      <c r="Z54" s="31" t="n"/>
      <c r="AA54" s="31" t="n"/>
      <c r="AB54" s="31" t="n"/>
      <c r="AC54" s="31" t="n"/>
    </row>
    <row r="55">
      <c r="A55" s="20" t="inlineStr">
        <is>
          <t>시가총액 (백만엔)</t>
        </is>
      </c>
      <c r="B55" s="12">
        <f>IF(OR(B53="",B54=""),"",B53*B54/1000000.0)</f>
        <v/>
      </c>
      <c r="C55" s="21" t="n"/>
      <c r="D55" s="22" t="n"/>
      <c r="E55" s="22" t="n"/>
      <c r="F55" s="22" t="n"/>
      <c r="G55" s="22" t="n"/>
      <c r="H55" s="22" t="n"/>
      <c r="I55" s="22" t="n"/>
      <c r="J55" s="22" t="n"/>
      <c r="K55" s="22" t="n"/>
      <c r="L55" s="22" t="n"/>
      <c r="M55" s="22" t="n"/>
      <c r="N55" s="22" t="n"/>
      <c r="O55" s="21" t="n"/>
      <c r="P55" s="22" t="n"/>
      <c r="Q55" s="22" t="n"/>
      <c r="R55" s="22" t="n"/>
      <c r="S55" s="22" t="n"/>
      <c r="T55" s="22" t="n"/>
      <c r="U55" s="22" t="n"/>
      <c r="V55" s="22" t="n"/>
      <c r="W55" s="22" t="n"/>
      <c r="X55" s="22" t="n"/>
      <c r="Y55" s="21" t="n"/>
      <c r="Z55" s="22" t="n"/>
      <c r="AA55" s="22" t="n"/>
      <c r="AB55" s="22" t="n"/>
      <c r="AC55" s="22" t="n"/>
    </row>
    <row r="56">
      <c r="A56" s="15" t="inlineStr">
        <is>
          <t>OPM</t>
        </is>
      </c>
      <c r="B56" s="10" t="n"/>
      <c r="C56" s="16" t="n"/>
      <c r="D56" s="17" t="n"/>
      <c r="E56" s="17" t="n"/>
      <c r="F56" s="17" t="n"/>
      <c r="G56" s="17" t="n"/>
      <c r="H56" s="17" t="n"/>
      <c r="I56" s="17" t="n"/>
      <c r="J56" s="17" t="n"/>
      <c r="K56" s="17" t="n"/>
      <c r="L56" s="17" t="n"/>
      <c r="M56" s="17" t="n"/>
      <c r="N56" s="17" t="n"/>
      <c r="O56" s="16">
        <f>IF(O20="","",O20)</f>
        <v/>
      </c>
      <c r="P56" s="17">
        <f>IF(P20="","",P20)</f>
        <v/>
      </c>
      <c r="Q56" s="17">
        <f>IF(Q20="","",Q20)</f>
        <v/>
      </c>
      <c r="R56" s="17">
        <f>IF(R20="","",R20)</f>
        <v/>
      </c>
      <c r="S56" s="17">
        <f>IF(S20="","",S20)</f>
        <v/>
      </c>
      <c r="T56" s="17">
        <f>IF(T20="","",T20)</f>
        <v/>
      </c>
      <c r="U56" s="17">
        <f>IF(U20="","",U20)</f>
        <v/>
      </c>
      <c r="V56" s="17">
        <f>IF(V20="","",V20)</f>
        <v/>
      </c>
      <c r="W56" s="17">
        <f>IF(W20="","",W20)</f>
        <v/>
      </c>
      <c r="X56" s="17">
        <f>IF(X20="","",X20)</f>
        <v/>
      </c>
      <c r="Y56" s="16">
        <f>IF(Y20="","",Y20)</f>
        <v/>
      </c>
      <c r="Z56" s="17">
        <f>IF(Z20="","",Z20)</f>
        <v/>
      </c>
      <c r="AA56" s="17">
        <f>IF(AA20="","",AA20)</f>
        <v/>
      </c>
      <c r="AB56" s="17">
        <f>IF(AB20="","",AB20)</f>
        <v/>
      </c>
      <c r="AC56" s="17">
        <f>IF(AC20="","",AC20)</f>
        <v/>
      </c>
    </row>
    <row r="57">
      <c r="A57" s="15" t="inlineStr">
        <is>
          <t>지배주주 순이익 증가율</t>
        </is>
      </c>
      <c r="B57" s="10" t="n"/>
      <c r="C57" s="16" t="n"/>
      <c r="D57" s="17" t="n"/>
      <c r="E57" s="17" t="n"/>
      <c r="F57" s="17" t="n"/>
      <c r="G57" s="17" t="n"/>
      <c r="H57" s="17" t="n"/>
      <c r="I57" s="17" t="n"/>
      <c r="J57" s="17" t="n"/>
      <c r="K57" s="17" t="n"/>
      <c r="L57" s="17" t="n"/>
      <c r="M57" s="17" t="n"/>
      <c r="N57" s="17" t="n"/>
      <c r="O57" s="16" t="n"/>
      <c r="P57" s="17">
        <f>IF(OR(P49="",O49=""),"",IFERROR(P49/O49-1,""))</f>
        <v/>
      </c>
      <c r="Q57" s="17">
        <f>IF(OR(Q49="",P49=""),"",IFERROR(Q49/P49-1,""))</f>
        <v/>
      </c>
      <c r="R57" s="17">
        <f>IF(OR(R49="",Q49=""),"",IFERROR(R49/Q49-1,""))</f>
        <v/>
      </c>
      <c r="S57" s="17">
        <f>IF(OR(S49="",R49=""),"",IFERROR(S49/R49-1,""))</f>
        <v/>
      </c>
      <c r="T57" s="17">
        <f>IF(OR(T49="",S49=""),"",IFERROR(T49/S49-1,""))</f>
        <v/>
      </c>
      <c r="U57" s="17">
        <f>IF(OR(U49="",T49=""),"",IFERROR(U49/T49-1,""))</f>
        <v/>
      </c>
      <c r="V57" s="17">
        <f>IF(OR(V49="",U49=""),"",IFERROR(V49/U49-1,""))</f>
        <v/>
      </c>
      <c r="W57" s="17">
        <f>IF(OR(W49="",V49=""),"",IFERROR(W49/V49-1,""))</f>
        <v/>
      </c>
      <c r="X57" s="17">
        <f>IF(OR(X49="",W49=""),"",IFERROR(X49/W49-1,""))</f>
        <v/>
      </c>
      <c r="Y57" s="16">
        <f>IF(OR(Y49="",X49=""),"",IFERROR(Y49/X49-1,""))</f>
        <v/>
      </c>
      <c r="Z57" s="17">
        <f>IF(OR(Z49="",Y49=""),"",IFERROR(Z49/Y49-1,""))</f>
        <v/>
      </c>
      <c r="AA57" s="17">
        <f>IF(OR(AA49="",Z49=""),"",IFERROR(AA49/Z49-1,""))</f>
        <v/>
      </c>
      <c r="AB57" s="17">
        <f>IF(OR(AB49="",AA49=""),"",IFERROR(AB49/AA49-1,""))</f>
        <v/>
      </c>
      <c r="AC57" s="17">
        <f>IF(OR(AC49="",AB49=""),"",IFERROR(AC49/AB49-1,""))</f>
        <v/>
      </c>
    </row>
    <row r="58">
      <c r="A58" s="20" t="inlineStr">
        <is>
          <t>P/E (현재 주가)</t>
        </is>
      </c>
      <c r="B58" s="10" t="inlineStr">
        <is>
          <t>시총 ÷ 지배순이익</t>
        </is>
      </c>
      <c r="C58" s="32" t="n"/>
      <c r="D58" s="33" t="n"/>
      <c r="E58" s="33" t="n"/>
      <c r="F58" s="33" t="n"/>
      <c r="G58" s="33" t="n"/>
      <c r="H58" s="33" t="n"/>
      <c r="I58" s="33" t="n"/>
      <c r="J58" s="33" t="n"/>
      <c r="K58" s="33" t="n"/>
      <c r="L58" s="33" t="n"/>
      <c r="M58" s="33" t="n"/>
      <c r="N58" s="33" t="n"/>
      <c r="O58" s="32" t="n"/>
      <c r="P58" s="33" t="n"/>
      <c r="Q58" s="33" t="n"/>
      <c r="R58" s="33" t="n"/>
      <c r="S58" s="33" t="n"/>
      <c r="T58" s="33" t="n"/>
      <c r="U58" s="33" t="n"/>
      <c r="V58" s="33" t="n"/>
      <c r="W58" s="33" t="n"/>
      <c r="X58" s="33">
        <f>IF(OR($B$55="",X49=""),"",IFERROR($B$55/X49,""))</f>
        <v/>
      </c>
      <c r="Y58" s="32">
        <f>IF(OR($B$55="",Y49=""),"",IFERROR($B$55/Y49,""))</f>
        <v/>
      </c>
      <c r="Z58" s="33">
        <f>IF(OR($B$55="",Z49=""),"",IFERROR($B$55/Z49,""))</f>
        <v/>
      </c>
      <c r="AA58" s="33">
        <f>IF(OR($B$55="",AA49=""),"",IFERROR($B$55/AA49,""))</f>
        <v/>
      </c>
      <c r="AB58" s="33">
        <f>IF(OR($B$55="",AB49=""),"",IFERROR($B$55/AB49,""))</f>
        <v/>
      </c>
      <c r="AC58" s="33">
        <f>IF(OR($B$55="",AC49=""),"",IFERROR($B$55/AC49,""))</f>
        <v/>
      </c>
    </row>
    <row r="59">
      <c r="A59" s="20" t="inlineStr">
        <is>
          <t>Target P/E</t>
        </is>
      </c>
      <c r="B59" s="10" t="inlineStr">
        <is>
          <t>직접 입력</t>
        </is>
      </c>
      <c r="C59" s="32" t="n"/>
      <c r="D59" s="33" t="n"/>
      <c r="E59" s="33" t="n"/>
      <c r="F59" s="33" t="n"/>
      <c r="G59" s="33" t="n"/>
      <c r="H59" s="33" t="n"/>
      <c r="I59" s="33" t="n"/>
      <c r="J59" s="33" t="n"/>
      <c r="K59" s="33" t="n"/>
      <c r="L59" s="33" t="n"/>
      <c r="M59" s="33" t="n"/>
      <c r="N59" s="33" t="n"/>
      <c r="O59" s="32" t="n"/>
      <c r="P59" s="33" t="n"/>
      <c r="Q59" s="33" t="n"/>
      <c r="R59" s="33" t="n"/>
      <c r="S59" s="33" t="n"/>
      <c r="T59" s="33" t="n"/>
      <c r="U59" s="33" t="n"/>
      <c r="V59" s="33" t="n"/>
      <c r="W59" s="33" t="n"/>
      <c r="X59" s="33" t="n"/>
      <c r="Y59" s="34" t="n"/>
      <c r="Z59" s="35" t="n"/>
      <c r="AA59" s="35" t="n"/>
      <c r="AB59" s="35" t="n"/>
      <c r="AC59" s="35" t="n"/>
    </row>
    <row r="60">
      <c r="A60" s="20" t="inlineStr">
        <is>
          <t>EPS</t>
        </is>
      </c>
      <c r="B60" s="10" t="inlineStr">
        <is>
          <t>지배순이익 ÷ 주식수</t>
        </is>
      </c>
      <c r="C60" s="30" t="n"/>
      <c r="D60" s="31" t="n"/>
      <c r="E60" s="31" t="n"/>
      <c r="F60" s="31" t="n"/>
      <c r="G60" s="31" t="n"/>
      <c r="H60" s="31" t="n"/>
      <c r="I60" s="31" t="n"/>
      <c r="J60" s="31" t="n"/>
      <c r="K60" s="31" t="n"/>
      <c r="L60" s="31" t="n"/>
      <c r="M60" s="31" t="n"/>
      <c r="N60" s="31" t="n"/>
      <c r="O60" s="30">
        <f>IF(OR(O49="",$B$54=""),"",IFERROR(O49*1000000.0/$B$54,""))</f>
        <v/>
      </c>
      <c r="P60" s="31">
        <f>IF(OR(P49="",$B$54=""),"",IFERROR(P49*1000000.0/$B$54,""))</f>
        <v/>
      </c>
      <c r="Q60" s="31">
        <f>IF(OR(Q49="",$B$54=""),"",IFERROR(Q49*1000000.0/$B$54,""))</f>
        <v/>
      </c>
      <c r="R60" s="31">
        <f>IF(OR(R49="",$B$54=""),"",IFERROR(R49*1000000.0/$B$54,""))</f>
        <v/>
      </c>
      <c r="S60" s="31">
        <f>IF(OR(S49="",$B$54=""),"",IFERROR(S49*1000000.0/$B$54,""))</f>
        <v/>
      </c>
      <c r="T60" s="31">
        <f>IF(OR(T49="",$B$54=""),"",IFERROR(T49*1000000.0/$B$54,""))</f>
        <v/>
      </c>
      <c r="U60" s="31">
        <f>IF(OR(U49="",$B$54=""),"",IFERROR(U49*1000000.0/$B$54,""))</f>
        <v/>
      </c>
      <c r="V60" s="31">
        <f>IF(OR(V49="",$B$54=""),"",IFERROR(V49*1000000.0/$B$54,""))</f>
        <v/>
      </c>
      <c r="W60" s="31">
        <f>IF(OR(W49="",$B$54=""),"",IFERROR(W49*1000000.0/$B$54,""))</f>
        <v/>
      </c>
      <c r="X60" s="31">
        <f>IF(OR(X49="",$B$54=""),"",IFERROR(X49*1000000.0/$B$54,""))</f>
        <v/>
      </c>
      <c r="Y60" s="30">
        <f>IF(OR(Y49="",$B$54=""),"",IFERROR(Y49*1000000.0/$B$54,""))</f>
        <v/>
      </c>
      <c r="Z60" s="31">
        <f>IF(OR(Z49="",$B$54=""),"",IFERROR(Z49*1000000.0/$B$54,""))</f>
        <v/>
      </c>
      <c r="AA60" s="31">
        <f>IF(OR(AA49="",$B$54=""),"",IFERROR(AA49*1000000.0/$B$54,""))</f>
        <v/>
      </c>
      <c r="AB60" s="31">
        <f>IF(OR(AB49="",$B$54=""),"",IFERROR(AB49*1000000.0/$B$54,""))</f>
        <v/>
      </c>
      <c r="AC60" s="31">
        <f>IF(OR(AC49="",$B$54=""),"",IFERROR(AC49*1000000.0/$B$54,""))</f>
        <v/>
      </c>
    </row>
    <row r="61">
      <c r="A61" s="9" t="inlineStr">
        <is>
          <t>목표주가</t>
        </is>
      </c>
      <c r="B61" s="10" t="n"/>
      <c r="C61" s="36" t="n"/>
      <c r="D61" s="29" t="n"/>
      <c r="E61" s="29" t="n"/>
      <c r="F61" s="29" t="n"/>
      <c r="G61" s="29" t="n"/>
      <c r="H61" s="29" t="n"/>
      <c r="I61" s="29" t="n"/>
      <c r="J61" s="29" t="n"/>
      <c r="K61" s="29" t="n"/>
      <c r="L61" s="29" t="n"/>
      <c r="M61" s="29" t="n"/>
      <c r="N61" s="29" t="n"/>
      <c r="O61" s="36" t="n"/>
      <c r="P61" s="29" t="n"/>
      <c r="Q61" s="29" t="n"/>
      <c r="R61" s="29" t="n"/>
      <c r="S61" s="29" t="n"/>
      <c r="T61" s="29" t="n"/>
      <c r="U61" s="29" t="n"/>
      <c r="V61" s="29" t="n"/>
      <c r="W61" s="29" t="n"/>
      <c r="X61" s="29" t="n"/>
      <c r="Y61" s="36">
        <f>IF(OR(Y60="",Y59=""),"",IFERROR(Y60*Y59,""))</f>
        <v/>
      </c>
      <c r="Z61" s="29">
        <f>IF(OR(Z60="",Z59=""),"",IFERROR(Z60*Z59,""))</f>
        <v/>
      </c>
      <c r="AA61" s="29">
        <f>IF(OR(AA60="",AA59=""),"",IFERROR(AA60*AA59,""))</f>
        <v/>
      </c>
      <c r="AB61" s="29">
        <f>IF(OR(AB60="",AB59=""),"",IFERROR(AB60*AB59,""))</f>
        <v/>
      </c>
      <c r="AC61" s="29">
        <f>IF(OR(AC60="",AC59=""),"",IFERROR(AC60*AC59,""))</f>
        <v/>
      </c>
    </row>
    <row r="62">
      <c r="A62" s="20" t="inlineStr">
        <is>
          <t>상승여력</t>
        </is>
      </c>
      <c r="B62" s="10" t="n"/>
      <c r="C62" s="37" t="n"/>
      <c r="D62" s="38" t="n"/>
      <c r="E62" s="38" t="n"/>
      <c r="F62" s="38" t="n"/>
      <c r="G62" s="38" t="n"/>
      <c r="H62" s="38" t="n"/>
      <c r="I62" s="38" t="n"/>
      <c r="J62" s="38" t="n"/>
      <c r="K62" s="38" t="n"/>
      <c r="L62" s="38" t="n"/>
      <c r="M62" s="38" t="n"/>
      <c r="N62" s="38" t="n"/>
      <c r="O62" s="37" t="n"/>
      <c r="P62" s="38" t="n"/>
      <c r="Q62" s="38" t="n"/>
      <c r="R62" s="38" t="n"/>
      <c r="S62" s="38" t="n"/>
      <c r="T62" s="38" t="n"/>
      <c r="U62" s="38" t="n"/>
      <c r="V62" s="38" t="n"/>
      <c r="W62" s="38" t="n"/>
      <c r="X62" s="38" t="n"/>
      <c r="Y62" s="39">
        <f>IF(OR(Y61="",$B$53=""),"",IFERROR(Y61/$B$53-1,""))</f>
        <v/>
      </c>
      <c r="Z62" s="40">
        <f>IF(OR(Z61="",$B$53=""),"",IFERROR(Z61/$B$53-1,""))</f>
        <v/>
      </c>
      <c r="AA62" s="40">
        <f>IF(OR(AA61="",$B$53=""),"",IFERROR(AA61/$B$53-1,""))</f>
        <v/>
      </c>
      <c r="AB62" s="40">
        <f>IF(OR(AB61="",$B$53=""),"",IFERROR(AB61/$B$53-1,""))</f>
        <v/>
      </c>
      <c r="AC62" s="40">
        <f>IF(OR(AC61="",$B$53=""),"",IFERROR(AC61/$B$53-1,""))</f>
        <v/>
      </c>
    </row>
    <row r="63">
      <c r="A63" s="18" t="inlineStr">
        <is>
          <t>자산가치 산출</t>
        </is>
      </c>
      <c r="B63" s="18" t="inlineStr">
        <is>
          <t>최신 분기 BS</t>
        </is>
      </c>
      <c r="C63" s="19" t="n"/>
      <c r="D63" s="18" t="n"/>
      <c r="E63" s="18" t="n"/>
      <c r="F63" s="18" t="n"/>
      <c r="G63" s="18" t="n"/>
      <c r="H63" s="18" t="n"/>
      <c r="I63" s="18" t="n"/>
      <c r="J63" s="18" t="n"/>
      <c r="K63" s="18" t="n"/>
      <c r="L63" s="18" t="n"/>
      <c r="M63" s="18" t="n"/>
      <c r="N63" s="18" t="n"/>
      <c r="O63" s="19" t="n"/>
      <c r="P63" s="18" t="n"/>
      <c r="Q63" s="18" t="n"/>
      <c r="R63" s="18" t="n"/>
      <c r="S63" s="18" t="n"/>
      <c r="T63" s="18" t="n"/>
      <c r="U63" s="18" t="n"/>
      <c r="V63" s="18" t="n"/>
      <c r="W63" s="18" t="n"/>
      <c r="X63" s="18" t="n"/>
      <c r="Y63" s="19" t="n"/>
      <c r="Z63" s="18" t="n"/>
      <c r="AA63" s="18" t="n"/>
      <c r="AB63" s="18" t="n"/>
      <c r="AC63" s="18" t="n"/>
    </row>
    <row r="64">
      <c r="A64" s="20" t="inlineStr">
        <is>
          <t>현금및현금성자산</t>
        </is>
      </c>
      <c r="B64" s="10" t="n"/>
      <c r="C64" s="21" t="n"/>
      <c r="D64" s="22" t="n"/>
      <c r="E64" s="22" t="n"/>
      <c r="F64" s="22" t="n"/>
      <c r="G64" s="22" t="n"/>
      <c r="H64" s="22" t="n"/>
      <c r="I64" s="22" t="n"/>
      <c r="J64" s="22" t="n"/>
      <c r="K64" s="22" t="n"/>
      <c r="L64" s="22" t="n"/>
      <c r="M64" s="22" t="n"/>
      <c r="N64" s="22" t="n"/>
      <c r="O64" s="21" t="n"/>
      <c r="P64" s="22" t="n"/>
      <c r="Q64" s="22" t="n"/>
      <c r="R64" s="22" t="n"/>
      <c r="S64" s="22" t="n"/>
      <c r="T64" s="22" t="n"/>
      <c r="U64" s="22" t="n"/>
      <c r="V64" s="22" t="n"/>
      <c r="W64" s="22" t="n"/>
      <c r="X64" s="22">
        <f>'재무상태표'!G6</f>
        <v/>
      </c>
      <c r="Y64" s="21">
        <f>'재무상태표'!G6</f>
        <v/>
      </c>
      <c r="Z64" s="22">
        <f>'재무상태표'!G6</f>
        <v/>
      </c>
      <c r="AA64" s="22">
        <f>'재무상태표'!G6</f>
        <v/>
      </c>
      <c r="AB64" s="22">
        <f>'재무상태표'!G6</f>
        <v/>
      </c>
      <c r="AC64" s="22">
        <f>'재무상태표'!G6</f>
        <v/>
      </c>
    </row>
    <row r="65">
      <c r="A65" s="20" t="inlineStr">
        <is>
          <t>단기금융상품</t>
        </is>
      </c>
      <c r="B65" s="10" t="n"/>
      <c r="C65" s="21" t="n"/>
      <c r="D65" s="22" t="n"/>
      <c r="E65" s="22" t="n"/>
      <c r="F65" s="22" t="n"/>
      <c r="G65" s="22" t="n"/>
      <c r="H65" s="22" t="n"/>
      <c r="I65" s="22" t="n"/>
      <c r="J65" s="22" t="n"/>
      <c r="K65" s="22" t="n"/>
      <c r="L65" s="22" t="n"/>
      <c r="M65" s="22" t="n"/>
      <c r="N65" s="22" t="n"/>
      <c r="O65" s="21" t="n"/>
      <c r="P65" s="22" t="n"/>
      <c r="Q65" s="22" t="n"/>
      <c r="R65" s="22" t="n"/>
      <c r="S65" s="22" t="n"/>
      <c r="T65" s="22" t="n"/>
      <c r="U65" s="22" t="n"/>
      <c r="V65" s="22" t="n"/>
      <c r="W65" s="22" t="n"/>
      <c r="X65" s="22">
        <f>'재무상태표'!G7</f>
        <v/>
      </c>
      <c r="Y65" s="21">
        <f>'재무상태표'!G7</f>
        <v/>
      </c>
      <c r="Z65" s="22">
        <f>'재무상태표'!G7</f>
        <v/>
      </c>
      <c r="AA65" s="22">
        <f>'재무상태표'!G7</f>
        <v/>
      </c>
      <c r="AB65" s="22">
        <f>'재무상태표'!G7</f>
        <v/>
      </c>
      <c r="AC65" s="22">
        <f>'재무상태표'!G7</f>
        <v/>
      </c>
    </row>
    <row r="66">
      <c r="A66" s="20" t="inlineStr">
        <is>
          <t>투자부동산</t>
        </is>
      </c>
      <c r="B66" s="10" t="n"/>
      <c r="C66" s="21" t="n"/>
      <c r="D66" s="22" t="n"/>
      <c r="E66" s="22" t="n"/>
      <c r="F66" s="22" t="n"/>
      <c r="G66" s="22" t="n"/>
      <c r="H66" s="22" t="n"/>
      <c r="I66" s="22" t="n"/>
      <c r="J66" s="22" t="n"/>
      <c r="K66" s="22" t="n"/>
      <c r="L66" s="22" t="n"/>
      <c r="M66" s="22" t="n"/>
      <c r="N66" s="22" t="n"/>
      <c r="O66" s="21" t="n"/>
      <c r="P66" s="22" t="n"/>
      <c r="Q66" s="22" t="n"/>
      <c r="R66" s="22" t="n"/>
      <c r="S66" s="22" t="n"/>
      <c r="T66" s="22" t="n"/>
      <c r="U66" s="22" t="n"/>
      <c r="V66" s="22" t="n"/>
      <c r="W66" s="22" t="n"/>
      <c r="X66" s="22">
        <f>'재무상태표'!G14</f>
        <v/>
      </c>
      <c r="Y66" s="21">
        <f>'재무상태표'!G14</f>
        <v/>
      </c>
      <c r="Z66" s="22">
        <f>'재무상태표'!G14</f>
        <v/>
      </c>
      <c r="AA66" s="22">
        <f>'재무상태표'!G14</f>
        <v/>
      </c>
      <c r="AB66" s="22">
        <f>'재무상태표'!G14</f>
        <v/>
      </c>
      <c r="AC66" s="22">
        <f>'재무상태표'!G14</f>
        <v/>
      </c>
    </row>
    <row r="67">
      <c r="A67" s="20" t="inlineStr">
        <is>
          <t>지배자본</t>
        </is>
      </c>
      <c r="B67" s="10" t="n"/>
      <c r="C67" s="21" t="n"/>
      <c r="D67" s="22" t="n"/>
      <c r="E67" s="22" t="n"/>
      <c r="F67" s="22" t="n"/>
      <c r="G67" s="22" t="n"/>
      <c r="H67" s="22" t="n"/>
      <c r="I67" s="22" t="n"/>
      <c r="J67" s="22" t="n"/>
      <c r="K67" s="22" t="n"/>
      <c r="L67" s="22" t="n"/>
      <c r="M67" s="22" t="n"/>
      <c r="N67" s="22" t="n"/>
      <c r="O67" s="21" t="n"/>
      <c r="P67" s="22" t="n"/>
      <c r="Q67" s="22" t="n"/>
      <c r="R67" s="22" t="n"/>
      <c r="S67" s="22" t="n"/>
      <c r="T67" s="22" t="n"/>
      <c r="U67" s="22" t="n"/>
      <c r="V67" s="22" t="n"/>
      <c r="W67" s="22" t="n"/>
      <c r="X67" s="22">
        <f>'재무상태표'!G31</f>
        <v/>
      </c>
      <c r="Y67" s="21">
        <f>'재무상태표'!G31</f>
        <v/>
      </c>
      <c r="Z67" s="22">
        <f>'재무상태표'!G31</f>
        <v/>
      </c>
      <c r="AA67" s="22">
        <f>'재무상태표'!G31</f>
        <v/>
      </c>
      <c r="AB67" s="22">
        <f>'재무상태표'!G31</f>
        <v/>
      </c>
      <c r="AC67" s="22">
        <f>'재무상태표'!G31</f>
        <v/>
      </c>
    </row>
    <row r="68">
      <c r="A68" s="20" t="inlineStr">
        <is>
          <t>부채</t>
        </is>
      </c>
      <c r="B68" s="10" t="n"/>
      <c r="C68" s="21" t="n"/>
      <c r="D68" s="22" t="n"/>
      <c r="E68" s="22" t="n"/>
      <c r="F68" s="22" t="n"/>
      <c r="G68" s="22" t="n"/>
      <c r="H68" s="22" t="n"/>
      <c r="I68" s="22" t="n"/>
      <c r="J68" s="22" t="n"/>
      <c r="K68" s="22" t="n"/>
      <c r="L68" s="22" t="n"/>
      <c r="M68" s="22" t="n"/>
      <c r="N68" s="22" t="n"/>
      <c r="O68" s="21" t="n"/>
      <c r="P68" s="22" t="n"/>
      <c r="Q68" s="22" t="n"/>
      <c r="R68" s="22" t="n"/>
      <c r="S68" s="22" t="n"/>
      <c r="T68" s="22" t="n"/>
      <c r="U68" s="22" t="n"/>
      <c r="V68" s="22" t="n"/>
      <c r="W68" s="22" t="n"/>
      <c r="X68" s="22">
        <f>'재무상태표'!G27</f>
        <v/>
      </c>
      <c r="Y68" s="21">
        <f>'재무상태표'!G27</f>
        <v/>
      </c>
      <c r="Z68" s="22">
        <f>'재무상태표'!G27</f>
        <v/>
      </c>
      <c r="AA68" s="22">
        <f>'재무상태표'!G27</f>
        <v/>
      </c>
      <c r="AB68" s="22">
        <f>'재무상태표'!G27</f>
        <v/>
      </c>
      <c r="AC68" s="22">
        <f>'재무상태표'!G27</f>
        <v/>
      </c>
    </row>
    <row r="69">
      <c r="A69" s="15" t="inlineStr">
        <is>
          <t>부채비율</t>
        </is>
      </c>
      <c r="B69" s="10" t="n"/>
      <c r="C69" s="16" t="n"/>
      <c r="D69" s="17" t="n"/>
      <c r="E69" s="17" t="n"/>
      <c r="F69" s="17" t="n"/>
      <c r="G69" s="17" t="n"/>
      <c r="H69" s="17" t="n"/>
      <c r="I69" s="17" t="n"/>
      <c r="J69" s="17" t="n"/>
      <c r="K69" s="17" t="n"/>
      <c r="L69" s="17" t="n"/>
      <c r="M69" s="17" t="n"/>
      <c r="N69" s="17" t="n"/>
      <c r="O69" s="16" t="n"/>
      <c r="P69" s="17" t="n"/>
      <c r="Q69" s="17" t="n"/>
      <c r="R69" s="17" t="n"/>
      <c r="S69" s="17" t="n"/>
      <c r="T69" s="17" t="n"/>
      <c r="U69" s="17" t="n"/>
      <c r="V69" s="17" t="n"/>
      <c r="W69" s="17" t="n"/>
      <c r="X69" s="17">
        <f>IF(OR(X68="",X67=""),"",IFERROR(X68/X67,""))</f>
        <v/>
      </c>
      <c r="Y69" s="16">
        <f>IF(OR(Y68="",Y67=""),"",IFERROR(Y68/Y67,""))</f>
        <v/>
      </c>
      <c r="Z69" s="17">
        <f>IF(OR(Z68="",Z67=""),"",IFERROR(Z68/Z67,""))</f>
        <v/>
      </c>
      <c r="AA69" s="17">
        <f>IF(OR(AA68="",AA67=""),"",IFERROR(AA68/AA67,""))</f>
        <v/>
      </c>
      <c r="AB69" s="17">
        <f>IF(OR(AB68="",AB67=""),"",IFERROR(AB68/AB67,""))</f>
        <v/>
      </c>
      <c r="AC69" s="17">
        <f>IF(OR(AC68="",AC67=""),"",IFERROR(AC68/AC67,""))</f>
        <v/>
      </c>
    </row>
    <row r="70">
      <c r="A70" s="9" t="inlineStr">
        <is>
          <t>자산가치</t>
        </is>
      </c>
      <c r="B70" s="10" t="inlineStr">
        <is>
          <t>현금+단기금융+투자부동산</t>
        </is>
      </c>
      <c r="C70" s="11" t="n"/>
      <c r="D70" s="12" t="n"/>
      <c r="E70" s="12" t="n"/>
      <c r="F70" s="12" t="n"/>
      <c r="G70" s="12" t="n"/>
      <c r="H70" s="12" t="n"/>
      <c r="I70" s="12" t="n"/>
      <c r="J70" s="12" t="n"/>
      <c r="K70" s="12" t="n"/>
      <c r="L70" s="12" t="n"/>
      <c r="M70" s="12" t="n"/>
      <c r="N70" s="12" t="n"/>
      <c r="O70" s="11" t="n"/>
      <c r="P70" s="12" t="n"/>
      <c r="Q70" s="12" t="n"/>
      <c r="R70" s="12" t="n"/>
      <c r="S70" s="12" t="n"/>
      <c r="T70" s="12" t="n"/>
      <c r="U70" s="12" t="n"/>
      <c r="V70" s="12" t="n"/>
      <c r="W70" s="12" t="n"/>
      <c r="X70" s="12">
        <f>SUM(X64,X65,X66)</f>
        <v/>
      </c>
      <c r="Y70" s="11">
        <f>SUM(Y64,Y65,Y66)</f>
        <v/>
      </c>
      <c r="Z70" s="12">
        <f>SUM(Z64,Z65,Z66)</f>
        <v/>
      </c>
      <c r="AA70" s="12">
        <f>SUM(AA64,AA65,AA66)</f>
        <v/>
      </c>
      <c r="AB70" s="12">
        <f>SUM(AB64,AB65,AB66)</f>
        <v/>
      </c>
      <c r="AC70" s="12">
        <f>SUM(AC64,AC65,AC66)</f>
        <v/>
      </c>
    </row>
    <row r="71">
      <c r="A71" s="18" t="inlineStr">
        <is>
          <t>기업가치 산출</t>
        </is>
      </c>
      <c r="B71" s="18" t="n"/>
      <c r="C71" s="19" t="n"/>
      <c r="D71" s="18" t="n"/>
      <c r="E71" s="18" t="n"/>
      <c r="F71" s="18" t="n"/>
      <c r="G71" s="18" t="n"/>
      <c r="H71" s="18" t="n"/>
      <c r="I71" s="18" t="n"/>
      <c r="J71" s="18" t="n"/>
      <c r="K71" s="18" t="n"/>
      <c r="L71" s="18" t="n"/>
      <c r="M71" s="18" t="n"/>
      <c r="N71" s="18" t="n"/>
      <c r="O71" s="19" t="n"/>
      <c r="P71" s="18" t="n"/>
      <c r="Q71" s="18" t="n"/>
      <c r="R71" s="18" t="n"/>
      <c r="S71" s="18" t="n"/>
      <c r="T71" s="18" t="n"/>
      <c r="U71" s="18" t="n"/>
      <c r="V71" s="18" t="n"/>
      <c r="W71" s="18" t="n"/>
      <c r="X71" s="18" t="n"/>
      <c r="Y71" s="19" t="n"/>
      <c r="Z71" s="18" t="n"/>
      <c r="AA71" s="18" t="n"/>
      <c r="AB71" s="18" t="n"/>
      <c r="AC71" s="18" t="n"/>
    </row>
    <row r="72">
      <c r="A72" s="20" t="inlineStr">
        <is>
          <t>목표 시가총액 (P/E)</t>
        </is>
      </c>
      <c r="B72" s="10" t="inlineStr">
        <is>
          <t>지배순이익 × Target P/E</t>
        </is>
      </c>
      <c r="C72" s="21" t="n"/>
      <c r="D72" s="22" t="n"/>
      <c r="E72" s="22" t="n"/>
      <c r="F72" s="22" t="n"/>
      <c r="G72" s="22" t="n"/>
      <c r="H72" s="22" t="n"/>
      <c r="I72" s="22" t="n"/>
      <c r="J72" s="22" t="n"/>
      <c r="K72" s="22" t="n"/>
      <c r="L72" s="22" t="n"/>
      <c r="M72" s="22" t="n"/>
      <c r="N72" s="22" t="n"/>
      <c r="O72" s="21" t="n"/>
      <c r="P72" s="22" t="n"/>
      <c r="Q72" s="22" t="n"/>
      <c r="R72" s="22" t="n"/>
      <c r="S72" s="22" t="n"/>
      <c r="T72" s="22" t="n"/>
      <c r="U72" s="22" t="n"/>
      <c r="V72" s="22" t="n"/>
      <c r="W72" s="22" t="n"/>
      <c r="X72" s="22" t="n"/>
      <c r="Y72" s="21">
        <f>IF(OR(Y49="",Y59=""),"",IFERROR(Y49*Y59,""))</f>
        <v/>
      </c>
      <c r="Z72" s="22">
        <f>IF(OR(Z49="",Z59=""),"",IFERROR(Z49*Z59,""))</f>
        <v/>
      </c>
      <c r="AA72" s="22">
        <f>IF(OR(AA49="",AA59=""),"",IFERROR(AA49*AA59,""))</f>
        <v/>
      </c>
      <c r="AB72" s="22">
        <f>IF(OR(AB49="",AB59=""),"",IFERROR(AB49*AB59,""))</f>
        <v/>
      </c>
      <c r="AC72" s="22">
        <f>IF(OR(AC49="",AC59=""),"",IFERROR(AC49*AC59,""))</f>
        <v/>
      </c>
    </row>
    <row r="73">
      <c r="A73" s="9" t="inlineStr">
        <is>
          <t>기업가치</t>
        </is>
      </c>
      <c r="B73" s="10" t="inlineStr">
        <is>
          <t>목표시총 + 자산가치</t>
        </is>
      </c>
      <c r="C73" s="11" t="n"/>
      <c r="D73" s="12" t="n"/>
      <c r="E73" s="12" t="n"/>
      <c r="F73" s="12" t="n"/>
      <c r="G73" s="12" t="n"/>
      <c r="H73" s="12" t="n"/>
      <c r="I73" s="12" t="n"/>
      <c r="J73" s="12" t="n"/>
      <c r="K73" s="12" t="n"/>
      <c r="L73" s="12" t="n"/>
      <c r="M73" s="12" t="n"/>
      <c r="N73" s="12" t="n"/>
      <c r="O73" s="11" t="n"/>
      <c r="P73" s="12" t="n"/>
      <c r="Q73" s="12" t="n"/>
      <c r="R73" s="12" t="n"/>
      <c r="S73" s="12" t="n"/>
      <c r="T73" s="12" t="n"/>
      <c r="U73" s="12" t="n"/>
      <c r="V73" s="12" t="n"/>
      <c r="W73" s="12" t="n"/>
      <c r="X73" s="12" t="n"/>
      <c r="Y73" s="11">
        <f>IF(OR(Y72=""),"",IFERROR(Y72+Y70,""))</f>
        <v/>
      </c>
      <c r="Z73" s="12">
        <f>IF(OR(Z72=""),"",IFERROR(Z72+Z70,""))</f>
        <v/>
      </c>
      <c r="AA73" s="12">
        <f>IF(OR(AA72=""),"",IFERROR(AA72+AA70,""))</f>
        <v/>
      </c>
      <c r="AB73" s="12">
        <f>IF(OR(AB72=""),"",IFERROR(AB72+AB70,""))</f>
        <v/>
      </c>
      <c r="AC73" s="12">
        <f>IF(OR(AC72=""),"",IFERROR(AC72+AC70,""))</f>
        <v/>
      </c>
    </row>
    <row r="74">
      <c r="A74" s="20" t="inlineStr">
        <is>
          <t>현재 시가총액</t>
        </is>
      </c>
      <c r="B74" s="10" t="n"/>
      <c r="C74" s="21" t="n"/>
      <c r="D74" s="22" t="n"/>
      <c r="E74" s="22" t="n"/>
      <c r="F74" s="22" t="n"/>
      <c r="G74" s="22" t="n"/>
      <c r="H74" s="22" t="n"/>
      <c r="I74" s="22" t="n"/>
      <c r="J74" s="22" t="n"/>
      <c r="K74" s="22" t="n"/>
      <c r="L74" s="22" t="n"/>
      <c r="M74" s="22" t="n"/>
      <c r="N74" s="22" t="n"/>
      <c r="O74" s="21" t="n"/>
      <c r="P74" s="22" t="n"/>
      <c r="Q74" s="22" t="n"/>
      <c r="R74" s="22" t="n"/>
      <c r="S74" s="22" t="n"/>
      <c r="T74" s="22" t="n"/>
      <c r="U74" s="22" t="n"/>
      <c r="V74" s="22" t="n"/>
      <c r="W74" s="22" t="n"/>
      <c r="X74" s="22" t="n"/>
      <c r="Y74" s="21">
        <f>$B$55</f>
        <v/>
      </c>
      <c r="Z74" s="22">
        <f>$B$55</f>
        <v/>
      </c>
      <c r="AA74" s="22">
        <f>$B$55</f>
        <v/>
      </c>
      <c r="AB74" s="22">
        <f>$B$55</f>
        <v/>
      </c>
      <c r="AC74" s="22">
        <f>$B$55</f>
        <v/>
      </c>
    </row>
    <row r="75">
      <c r="A75" s="20" t="inlineStr">
        <is>
          <t>상승여력</t>
        </is>
      </c>
      <c r="B75" s="10" t="n"/>
      <c r="C75" s="37" t="n"/>
      <c r="D75" s="38" t="n"/>
      <c r="E75" s="38" t="n"/>
      <c r="F75" s="38" t="n"/>
      <c r="G75" s="38" t="n"/>
      <c r="H75" s="38" t="n"/>
      <c r="I75" s="38" t="n"/>
      <c r="J75" s="38" t="n"/>
      <c r="K75" s="38" t="n"/>
      <c r="L75" s="38" t="n"/>
      <c r="M75" s="38" t="n"/>
      <c r="N75" s="38" t="n"/>
      <c r="O75" s="37" t="n"/>
      <c r="P75" s="38" t="n"/>
      <c r="Q75" s="38" t="n"/>
      <c r="R75" s="38" t="n"/>
      <c r="S75" s="38" t="n"/>
      <c r="T75" s="38" t="n"/>
      <c r="U75" s="38" t="n"/>
      <c r="V75" s="38" t="n"/>
      <c r="W75" s="38" t="n"/>
      <c r="X75" s="38" t="n"/>
      <c r="Y75" s="39">
        <f>IF(OR(Y73="",Y74=""),"",IFERROR(Y73/Y74-1,""))</f>
        <v/>
      </c>
      <c r="Z75" s="40">
        <f>IF(OR(Z73="",Z74=""),"",IFERROR(Z73/Z74-1,""))</f>
        <v/>
      </c>
      <c r="AA75" s="40">
        <f>IF(OR(AA73="",AA74=""),"",IFERROR(AA73/AA74-1,""))</f>
        <v/>
      </c>
      <c r="AB75" s="40">
        <f>IF(OR(AB73="",AB74=""),"",IFERROR(AB73/AB74-1,""))</f>
        <v/>
      </c>
      <c r="AC75" s="40">
        <f>IF(OR(AC73="",AC74=""),"",IFERROR(AC73/AC74-1,""))</f>
        <v/>
      </c>
    </row>
    <row r="76">
      <c r="C76" s="41" t="n"/>
      <c r="O76" s="41" t="n"/>
      <c r="Y76" s="41" t="n"/>
    </row>
    <row r="77">
      <c r="A77" s="42" t="inlineStr">
        <is>
          <t>출처</t>
        </is>
      </c>
      <c r="C77" s="41" t="n"/>
      <c r="O77" s="41" t="n"/>
      <c r="Y77" s="41" t="n"/>
    </row>
    <row r="78">
      <c r="A78" s="43" t="inlineStr">
        <is>
          <t>결산단신 XBRL(TDnet·JPX 보관소) — 쓴 문서는 '출처' 시트</t>
        </is>
      </c>
      <c r="C78" s="41" t="n"/>
      <c r="O78" s="41" t="n"/>
      <c r="Y78" s="41" t="n"/>
    </row>
    <row r="79">
      <c r="A79" s="43" t="inlineStr">
        <is>
          <t>분기 = 누계에서 앞 분기를 뺀 3개월 값</t>
        </is>
      </c>
      <c r="C79" s="41" t="n"/>
      <c r="O79" s="41" t="n"/>
      <c r="Y79" s="41" t="n"/>
    </row>
    <row r="80">
      <c r="A80" s="43" t="inlineStr">
        <is>
          <t>주가: 야후 파이낸스 일봉 2026.10.30</t>
        </is>
      </c>
      <c r="C80" s="41" t="n"/>
      <c r="O80" s="41" t="n"/>
      <c r="Y80" s="41" t="n"/>
    </row>
    <row r="82">
      <c r="A82" s="18" t="inlineStr">
        <is>
          <t>손익계산서 · 전 항목</t>
        </is>
      </c>
      <c r="B82" s="44" t="inlineStr">
        <is>
          <t>분기 = 3개월 단독</t>
        </is>
      </c>
      <c r="C82" s="18" t="n"/>
      <c r="D82" s="18" t="n"/>
      <c r="E82" s="18" t="n"/>
      <c r="F82" s="18" t="n"/>
      <c r="G82" s="18" t="n"/>
      <c r="H82" s="18" t="n"/>
      <c r="I82" s="18" t="n"/>
      <c r="J82" s="18" t="n"/>
      <c r="K82" s="18" t="n"/>
      <c r="L82" s="18" t="n"/>
      <c r="M82" s="18" t="n"/>
      <c r="N82" s="18" t="n"/>
      <c r="O82" s="18" t="n"/>
      <c r="P82" s="18" t="n"/>
      <c r="Q82" s="18" t="n"/>
      <c r="R82" s="18" t="n"/>
      <c r="S82" s="18" t="n"/>
      <c r="T82" s="18" t="n"/>
      <c r="U82" s="18" t="n"/>
      <c r="V82" s="18" t="n"/>
      <c r="W82" s="18" t="n"/>
      <c r="X82" s="18" t="n"/>
      <c r="Y82" s="18" t="n"/>
      <c r="Z82" s="18" t="n"/>
      <c r="AA82" s="18" t="n"/>
      <c r="AB82" s="18" t="n"/>
      <c r="AC82" s="18" t="n"/>
    </row>
    <row r="83">
      <c r="A83" s="5" t="inlineStr">
        <is>
          <t>항목</t>
        </is>
      </c>
      <c r="B83" s="5" t="inlineStr">
        <is>
          <t>참고</t>
        </is>
      </c>
      <c r="C83" s="5" t="inlineStr">
        <is>
          <t>2024.3Q</t>
        </is>
      </c>
      <c r="D83" s="5" t="inlineStr">
        <is>
          <t>2024.4Q</t>
        </is>
      </c>
      <c r="E83" s="5" t="inlineStr">
        <is>
          <t>2025.1Q</t>
        </is>
      </c>
      <c r="F83" s="5" t="inlineStr">
        <is>
          <t>2025.2Q</t>
        </is>
      </c>
      <c r="G83" s="5" t="inlineStr">
        <is>
          <t>2025.3Q</t>
        </is>
      </c>
      <c r="H83" s="5" t="inlineStr">
        <is>
          <t>2025.4Q</t>
        </is>
      </c>
      <c r="I83" s="5" t="inlineStr">
        <is>
          <t>2026.1Q</t>
        </is>
      </c>
      <c r="J83" s="5" t="inlineStr">
        <is>
          <t>2026.2Q</t>
        </is>
      </c>
      <c r="K83" s="5" t="inlineStr">
        <is>
          <t>2026.3Q</t>
        </is>
      </c>
      <c r="L83" s="5" t="inlineStr">
        <is>
          <t>2026.4Q</t>
        </is>
      </c>
      <c r="M83" s="5" t="inlineStr">
        <is>
          <t>2027.1Q</t>
        </is>
      </c>
      <c r="N83" s="5" t="inlineStr">
        <is>
          <t>2027.2Q</t>
        </is>
      </c>
      <c r="O83" s="5" t="inlineStr">
        <is>
          <t>2017</t>
        </is>
      </c>
      <c r="P83" s="5" t="inlineStr">
        <is>
          <t>2018</t>
        </is>
      </c>
      <c r="Q83" s="5" t="inlineStr">
        <is>
          <t>2019</t>
        </is>
      </c>
      <c r="R83" s="5" t="inlineStr">
        <is>
          <t>2020</t>
        </is>
      </c>
      <c r="S83" s="5" t="inlineStr">
        <is>
          <t>2021</t>
        </is>
      </c>
      <c r="T83" s="5" t="inlineStr">
        <is>
          <t>2022</t>
        </is>
      </c>
      <c r="U83" s="5" t="inlineStr">
        <is>
          <t>2023</t>
        </is>
      </c>
      <c r="V83" s="5" t="inlineStr">
        <is>
          <t>2024</t>
        </is>
      </c>
      <c r="W83" s="5" t="inlineStr">
        <is>
          <t>2025</t>
        </is>
      </c>
      <c r="X83" s="5" t="inlineStr">
        <is>
          <t>2026</t>
        </is>
      </c>
      <c r="Y83" s="5" t="inlineStr">
        <is>
          <t>2027(MW)</t>
        </is>
      </c>
      <c r="Z83" s="5" t="inlineStr">
        <is>
          <t>2028(MW)</t>
        </is>
      </c>
      <c r="AA83" s="5" t="inlineStr">
        <is>
          <t>2029(MW)</t>
        </is>
      </c>
      <c r="AB83" s="5" t="inlineStr">
        <is>
          <t>2030(MW)</t>
        </is>
      </c>
      <c r="AC83" s="5" t="inlineStr">
        <is>
          <t>2031(MW)</t>
        </is>
      </c>
    </row>
    <row r="84">
      <c r="A84" s="9" t="inlineStr">
        <is>
          <t>매출수익</t>
        </is>
      </c>
      <c r="D84" s="12" t="n">
        <v>322078</v>
      </c>
      <c r="E84" s="12" t="n">
        <v>428497</v>
      </c>
      <c r="F84" s="12" t="n">
        <v>480911</v>
      </c>
      <c r="G84" s="12" t="n">
        <v>449958</v>
      </c>
      <c r="H84" s="12" t="n">
        <v>347094</v>
      </c>
      <c r="I84" s="12" t="n">
        <v>342799</v>
      </c>
      <c r="J84" s="12" t="n">
        <v>448346</v>
      </c>
      <c r="K84" s="12" t="n">
        <v>543631</v>
      </c>
      <c r="L84" s="12" t="n">
        <v>1002852</v>
      </c>
      <c r="M84" s="12" t="n">
        <v>1767117</v>
      </c>
      <c r="N84" s="12" t="n">
        <v>2480035</v>
      </c>
      <c r="V84" s="12" t="n">
        <v>322078</v>
      </c>
      <c r="W84" s="12" t="n">
        <v>347094</v>
      </c>
      <c r="X84" s="12" t="n">
        <v>1002852</v>
      </c>
    </row>
    <row r="85">
      <c r="A85" s="45" t="inlineStr">
        <is>
          <t>YoY</t>
        </is>
      </c>
      <c r="B85" s="3" t="inlineStr">
        <is>
          <t>전년 같은 분기·전년 대비</t>
        </is>
      </c>
      <c r="G85" s="17">
        <f>IF(OR(G84="",C84=""),"",IF(C84&lt;=0,"",IFERROR(G84/C84-1,"")))</f>
        <v/>
      </c>
      <c r="H85" s="17">
        <f>IF(OR(H84="",D84=""),"",IF(D84&lt;=0,"",IFERROR(H84/D84-1,"")))</f>
        <v/>
      </c>
      <c r="I85" s="17">
        <f>IF(OR(I84="",E84=""),"",IF(E84&lt;=0,"",IFERROR(I84/E84-1,"")))</f>
        <v/>
      </c>
      <c r="J85" s="17">
        <f>IF(OR(J84="",F84=""),"",IF(F84&lt;=0,"",IFERROR(J84/F84-1,"")))</f>
        <v/>
      </c>
      <c r="K85" s="17">
        <f>IF(OR(K84="",G84=""),"",IF(G84&lt;=0,"",IFERROR(K84/G84-1,"")))</f>
        <v/>
      </c>
      <c r="L85" s="17">
        <f>IF(OR(L84="",H84=""),"",IF(H84&lt;=0,"",IFERROR(L84/H84-1,"")))</f>
        <v/>
      </c>
      <c r="M85" s="17">
        <f>IF(OR(M84="",I84=""),"",IF(I84&lt;=0,"",IFERROR(M84/I84-1,"")))</f>
        <v/>
      </c>
      <c r="N85" s="17">
        <f>IF(OR(N84="",J84=""),"",IF(J84&lt;=0,"",IFERROR(N84/J84-1,"")))</f>
        <v/>
      </c>
      <c r="V85" s="17">
        <f>IF(OR(V84="",U84=""),"",IF(U84&lt;=0,"",IFERROR(V84/U84-1,"")))</f>
        <v/>
      </c>
      <c r="W85" s="17">
        <f>IF(OR(W84="",V84=""),"",IF(V84&lt;=0,"",IFERROR(W84/V84-1,"")))</f>
        <v/>
      </c>
      <c r="X85" s="17">
        <f>IF(OR(X84="",W84=""),"",IF(W84&lt;=0,"",IFERROR(X84/W84-1,"")))</f>
        <v/>
      </c>
    </row>
    <row r="86">
      <c r="A86" s="20" t="inlineStr">
        <is>
          <t>매출원가</t>
        </is>
      </c>
      <c r="D86" s="22" t="n">
        <v>247291</v>
      </c>
      <c r="E86" s="22" t="n">
        <v>271905</v>
      </c>
      <c r="F86" s="22" t="n">
        <v>284460</v>
      </c>
      <c r="G86" s="22" t="n">
        <v>297584</v>
      </c>
      <c r="H86" s="22" t="n">
        <v>283078</v>
      </c>
      <c r="I86" s="22" t="n">
        <v>271620</v>
      </c>
      <c r="J86" s="22" t="n">
        <v>326208</v>
      </c>
      <c r="K86" s="22" t="n">
        <v>366991</v>
      </c>
      <c r="L86" s="22" t="n">
        <v>359905</v>
      </c>
      <c r="M86" s="22" t="n">
        <v>387051</v>
      </c>
      <c r="N86" s="22" t="n">
        <v>426872</v>
      </c>
      <c r="V86" s="22" t="n">
        <v>247291</v>
      </c>
      <c r="W86" s="22" t="n">
        <v>283078</v>
      </c>
      <c r="X86" s="22" t="n">
        <v>359905</v>
      </c>
    </row>
    <row r="87">
      <c r="A87" s="45" t="inlineStr">
        <is>
          <t>YoY</t>
        </is>
      </c>
      <c r="B87" s="3" t="inlineStr">
        <is>
          <t>전년 같은 분기·전년 대비</t>
        </is>
      </c>
      <c r="G87" s="17">
        <f>IF(OR(G86="",C86=""),"",IF(G86*C86&lt;=0,"",IFERROR(G86/C86-1,"")))</f>
        <v/>
      </c>
      <c r="H87" s="17">
        <f>IF(OR(H86="",D86=""),"",IF(H86*D86&lt;=0,"",IFERROR(H86/D86-1,"")))</f>
        <v/>
      </c>
      <c r="I87" s="17">
        <f>IF(OR(I86="",E86=""),"",IF(I86*E86&lt;=0,"",IFERROR(I86/E86-1,"")))</f>
        <v/>
      </c>
      <c r="J87" s="17">
        <f>IF(OR(J86="",F86=""),"",IF(J86*F86&lt;=0,"",IFERROR(J86/F86-1,"")))</f>
        <v/>
      </c>
      <c r="K87" s="17">
        <f>IF(OR(K86="",G86=""),"",IF(K86*G86&lt;=0,"",IFERROR(K86/G86-1,"")))</f>
        <v/>
      </c>
      <c r="L87" s="17">
        <f>IF(OR(L86="",H86=""),"",IF(L86*H86&lt;=0,"",IFERROR(L86/H86-1,"")))</f>
        <v/>
      </c>
      <c r="M87" s="17">
        <f>IF(OR(M86="",I86=""),"",IF(M86*I86&lt;=0,"",IFERROR(M86/I86-1,"")))</f>
        <v/>
      </c>
      <c r="N87" s="17">
        <f>IF(OR(N86="",J86=""),"",IF(N86*J86&lt;=0,"",IFERROR(N86/J86-1,"")))</f>
        <v/>
      </c>
      <c r="V87" s="17">
        <f>IF(OR(V86="",U86=""),"",IF(V86*U86&lt;=0,"",IFERROR(V86/U86-1,"")))</f>
        <v/>
      </c>
      <c r="W87" s="17">
        <f>IF(OR(W86="",V86=""),"",IF(W86*V86&lt;=0,"",IFERROR(W86/V86-1,"")))</f>
        <v/>
      </c>
      <c r="X87" s="17">
        <f>IF(OR(X86="",W86=""),"",IF(X86*W86&lt;=0,"",IFERROR(X86/W86-1,"")))</f>
        <v/>
      </c>
    </row>
    <row r="88">
      <c r="A88" s="9" t="inlineStr">
        <is>
          <t>매출총이익</t>
        </is>
      </c>
      <c r="D88" s="12" t="n">
        <v>74787</v>
      </c>
      <c r="E88" s="12" t="n">
        <v>156592</v>
      </c>
      <c r="F88" s="12" t="n">
        <v>196451</v>
      </c>
      <c r="G88" s="12" t="n">
        <v>152374</v>
      </c>
      <c r="H88" s="12" t="n">
        <v>64016</v>
      </c>
      <c r="I88" s="12" t="n">
        <v>71179</v>
      </c>
      <c r="J88" s="12" t="n">
        <v>122138</v>
      </c>
      <c r="K88" s="12" t="n">
        <v>176640</v>
      </c>
      <c r="L88" s="12" t="n">
        <v>642947</v>
      </c>
      <c r="M88" s="12" t="n">
        <v>1380066</v>
      </c>
      <c r="N88" s="12" t="n">
        <v>2053163</v>
      </c>
      <c r="V88" s="12" t="n">
        <v>74787</v>
      </c>
      <c r="W88" s="12" t="n">
        <v>64016</v>
      </c>
      <c r="X88" s="12" t="n">
        <v>642947</v>
      </c>
    </row>
    <row r="89">
      <c r="A89" s="45" t="inlineStr">
        <is>
          <t>YoY</t>
        </is>
      </c>
      <c r="B89" s="3" t="inlineStr">
        <is>
          <t>전년 같은 분기·전년 대비</t>
        </is>
      </c>
      <c r="G89" s="17">
        <f>IF(OR(G88="",C88=""),"",IF(C88&lt;=0,"",IFERROR(G88/C88-1,"")))</f>
        <v/>
      </c>
      <c r="H89" s="17">
        <f>IF(OR(H88="",D88=""),"",IF(D88&lt;=0,"",IFERROR(H88/D88-1,"")))</f>
        <v/>
      </c>
      <c r="I89" s="17">
        <f>IF(OR(I88="",E88=""),"",IF(E88&lt;=0,"",IFERROR(I88/E88-1,"")))</f>
        <v/>
      </c>
      <c r="J89" s="17">
        <f>IF(OR(J88="",F88=""),"",IF(F88&lt;=0,"",IFERROR(J88/F88-1,"")))</f>
        <v/>
      </c>
      <c r="K89" s="17">
        <f>IF(OR(K88="",G88=""),"",IF(G88&lt;=0,"",IFERROR(K88/G88-1,"")))</f>
        <v/>
      </c>
      <c r="L89" s="17">
        <f>IF(OR(L88="",H88=""),"",IF(H88&lt;=0,"",IFERROR(L88/H88-1,"")))</f>
        <v/>
      </c>
      <c r="M89" s="17">
        <f>IF(OR(M88="",I88=""),"",IF(I88&lt;=0,"",IFERROR(M88/I88-1,"")))</f>
        <v/>
      </c>
      <c r="N89" s="17">
        <f>IF(OR(N88="",J88=""),"",IF(J88&lt;=0,"",IFERROR(N88/J88-1,"")))</f>
        <v/>
      </c>
      <c r="V89" s="17">
        <f>IF(OR(V88="",U88=""),"",IF(U88&lt;=0,"",IFERROR(V88/U88-1,"")))</f>
        <v/>
      </c>
      <c r="W89" s="17">
        <f>IF(OR(W88="",V88=""),"",IF(V88&lt;=0,"",IFERROR(W88/V88-1,"")))</f>
        <v/>
      </c>
      <c r="X89" s="17">
        <f>IF(OR(X88="",W88=""),"",IF(W88&lt;=0,"",IFERROR(X88/W88-1,"")))</f>
        <v/>
      </c>
    </row>
    <row r="90">
      <c r="A90" s="20" t="inlineStr">
        <is>
          <t>판매비와 관리비</t>
        </is>
      </c>
      <c r="D90" s="22" t="n">
        <v>31478</v>
      </c>
      <c r="E90" s="22" t="n">
        <v>31001</v>
      </c>
      <c r="F90" s="22" t="n">
        <v>31631</v>
      </c>
      <c r="G90" s="22" t="n">
        <v>34778</v>
      </c>
      <c r="H90" s="22" t="n">
        <v>30441</v>
      </c>
      <c r="I90" s="22" t="n">
        <v>29847</v>
      </c>
      <c r="J90" s="22" t="n">
        <v>36235</v>
      </c>
      <c r="K90" s="22" t="n">
        <v>33847</v>
      </c>
      <c r="L90" s="22" t="n">
        <v>46652</v>
      </c>
      <c r="M90" s="22" t="n">
        <v>71727</v>
      </c>
      <c r="N90" s="22" t="n">
        <v>56987</v>
      </c>
      <c r="V90" s="22" t="n">
        <v>31478</v>
      </c>
      <c r="W90" s="22" t="n">
        <v>30441</v>
      </c>
      <c r="X90" s="22" t="n">
        <v>46652</v>
      </c>
    </row>
    <row r="91">
      <c r="A91" s="45" t="inlineStr">
        <is>
          <t>YoY</t>
        </is>
      </c>
      <c r="B91" s="3" t="inlineStr">
        <is>
          <t>전년 같은 분기·전년 대비</t>
        </is>
      </c>
      <c r="G91" s="17">
        <f>IF(OR(G90="",C90=""),"",IF(G90*C90&lt;=0,"",IFERROR(G90/C90-1,"")))</f>
        <v/>
      </c>
      <c r="H91" s="17">
        <f>IF(OR(H90="",D90=""),"",IF(H90*D90&lt;=0,"",IFERROR(H90/D90-1,"")))</f>
        <v/>
      </c>
      <c r="I91" s="17">
        <f>IF(OR(I90="",E90=""),"",IF(I90*E90&lt;=0,"",IFERROR(I90/E90-1,"")))</f>
        <v/>
      </c>
      <c r="J91" s="17">
        <f>IF(OR(J90="",F90=""),"",IF(J90*F90&lt;=0,"",IFERROR(J90/F90-1,"")))</f>
        <v/>
      </c>
      <c r="K91" s="17">
        <f>IF(OR(K90="",G90=""),"",IF(K90*G90&lt;=0,"",IFERROR(K90/G90-1,"")))</f>
        <v/>
      </c>
      <c r="L91" s="17">
        <f>IF(OR(L90="",H90=""),"",IF(L90*H90&lt;=0,"",IFERROR(L90/H90-1,"")))</f>
        <v/>
      </c>
      <c r="M91" s="17">
        <f>IF(OR(M90="",I90=""),"",IF(M90*I90&lt;=0,"",IFERROR(M90/I90-1,"")))</f>
        <v/>
      </c>
      <c r="N91" s="17">
        <f>IF(OR(N90="",J90=""),"",IF(N90*J90&lt;=0,"",IFERROR(N90/J90-1,"")))</f>
        <v/>
      </c>
      <c r="V91" s="17">
        <f>IF(OR(V90="",U90=""),"",IF(V90*U90&lt;=0,"",IFERROR(V90/U90-1,"")))</f>
        <v/>
      </c>
      <c r="W91" s="17">
        <f>IF(OR(W90="",V90=""),"",IF(W90*V90&lt;=0,"",IFERROR(W90/V90-1,"")))</f>
        <v/>
      </c>
      <c r="X91" s="17">
        <f>IF(OR(X90="",W90=""),"",IF(X90*W90&lt;=0,"",IFERROR(X90/W90-1,"")))</f>
        <v/>
      </c>
    </row>
    <row r="92">
      <c r="A92" s="20" t="inlineStr">
        <is>
          <t>기타수익</t>
        </is>
      </c>
      <c r="D92" s="22" t="n">
        <v>9000</v>
      </c>
      <c r="E92" s="22" t="n">
        <v>1477</v>
      </c>
      <c r="F92" s="22" t="n">
        <v>2586</v>
      </c>
      <c r="G92" s="22" t="n">
        <v>6109</v>
      </c>
      <c r="H92" s="22" t="n">
        <v>4503</v>
      </c>
      <c r="I92" s="22" t="n">
        <v>3921</v>
      </c>
      <c r="J92" s="22" t="n">
        <v>1569</v>
      </c>
      <c r="K92" s="22" t="n">
        <v>1262</v>
      </c>
      <c r="L92" s="22" t="n">
        <v>2150</v>
      </c>
      <c r="M92" s="22" t="n">
        <v>530</v>
      </c>
      <c r="N92" s="22" t="n">
        <v>1609</v>
      </c>
      <c r="V92" s="22" t="n">
        <v>9000</v>
      </c>
      <c r="W92" s="22" t="n">
        <v>4503</v>
      </c>
      <c r="X92" s="22" t="n">
        <v>2150</v>
      </c>
    </row>
    <row r="93">
      <c r="A93" s="20" t="inlineStr">
        <is>
          <t>기타비용</t>
        </is>
      </c>
      <c r="D93" s="22" t="n">
        <v>8451</v>
      </c>
      <c r="E93" s="22" t="n">
        <v>1209</v>
      </c>
      <c r="F93" s="22" t="n">
        <v>1374</v>
      </c>
      <c r="G93" s="22" t="n">
        <v>990</v>
      </c>
      <c r="H93" s="22" t="n">
        <v>936</v>
      </c>
      <c r="I93" s="22" t="n">
        <v>354</v>
      </c>
      <c r="J93" s="22" t="n">
        <v>1551</v>
      </c>
      <c r="K93" s="22" t="n">
        <v>1301</v>
      </c>
      <c r="L93" s="22" t="n">
        <v>1650</v>
      </c>
      <c r="M93" s="22" t="n">
        <v>38852</v>
      </c>
      <c r="N93" s="22" t="n">
        <v>3075</v>
      </c>
      <c r="V93" s="22" t="n">
        <v>8451</v>
      </c>
      <c r="W93" s="22" t="n">
        <v>936</v>
      </c>
      <c r="X93" s="22" t="n">
        <v>1650</v>
      </c>
    </row>
    <row r="94">
      <c r="A94" s="20" t="inlineStr">
        <is>
          <t>영업이익</t>
        </is>
      </c>
      <c r="D94" s="22" t="n">
        <v>43858</v>
      </c>
      <c r="E94" s="22" t="n">
        <v>125859</v>
      </c>
      <c r="F94" s="22" t="n">
        <v>166032</v>
      </c>
      <c r="G94" s="22" t="n">
        <v>122715</v>
      </c>
      <c r="H94" s="22" t="n">
        <v>37142</v>
      </c>
      <c r="I94" s="22" t="n">
        <v>44899</v>
      </c>
      <c r="J94" s="22" t="n">
        <v>85921</v>
      </c>
      <c r="K94" s="22" t="n">
        <v>142754</v>
      </c>
      <c r="L94" s="22" t="n">
        <v>596795</v>
      </c>
      <c r="M94" s="22" t="n">
        <v>1270017</v>
      </c>
      <c r="N94" s="22" t="n">
        <v>1994710</v>
      </c>
      <c r="V94" s="22" t="n">
        <v>43858</v>
      </c>
      <c r="W94" s="22" t="n">
        <v>37142</v>
      </c>
      <c r="X94" s="22" t="n">
        <v>596795</v>
      </c>
    </row>
    <row r="95">
      <c r="A95" s="45" t="inlineStr">
        <is>
          <t>OPM</t>
        </is>
      </c>
      <c r="B95" s="3" t="inlineStr">
        <is>
          <t>영업이익 ÷ 매출</t>
        </is>
      </c>
      <c r="D95" s="17">
        <f>IF(OR(D94="",D84=""),"",IF(D84&lt;=0,"",IFERROR(D94/D84,"")))</f>
        <v/>
      </c>
      <c r="E95" s="17">
        <f>IF(OR(E94="",E84=""),"",IF(E84&lt;=0,"",IFERROR(E94/E84,"")))</f>
        <v/>
      </c>
      <c r="F95" s="17">
        <f>IF(OR(F94="",F84=""),"",IF(F84&lt;=0,"",IFERROR(F94/F84,"")))</f>
        <v/>
      </c>
      <c r="G95" s="17">
        <f>IF(OR(G94="",G84=""),"",IF(G84&lt;=0,"",IFERROR(G94/G84,"")))</f>
        <v/>
      </c>
      <c r="H95" s="17">
        <f>IF(OR(H94="",H84=""),"",IF(H84&lt;=0,"",IFERROR(H94/H84,"")))</f>
        <v/>
      </c>
      <c r="I95" s="17">
        <f>IF(OR(I94="",I84=""),"",IF(I84&lt;=0,"",IFERROR(I94/I84,"")))</f>
        <v/>
      </c>
      <c r="J95" s="17">
        <f>IF(OR(J94="",J84=""),"",IF(J84&lt;=0,"",IFERROR(J94/J84,"")))</f>
        <v/>
      </c>
      <c r="K95" s="17">
        <f>IF(OR(K94="",K84=""),"",IF(K84&lt;=0,"",IFERROR(K94/K84,"")))</f>
        <v/>
      </c>
      <c r="L95" s="17">
        <f>IF(OR(L94="",L84=""),"",IF(L84&lt;=0,"",IFERROR(L94/L84,"")))</f>
        <v/>
      </c>
      <c r="M95" s="17">
        <f>IF(OR(M94="",M84=""),"",IF(M84&lt;=0,"",IFERROR(M94/M84,"")))</f>
        <v/>
      </c>
      <c r="N95" s="17">
        <f>IF(OR(N94="",N84=""),"",IF(N84&lt;=0,"",IFERROR(N94/N84,"")))</f>
        <v/>
      </c>
      <c r="V95" s="17">
        <f>IF(OR(V94="",V84=""),"",IF(V84&lt;=0,"",IFERROR(V94/V84,"")))</f>
        <v/>
      </c>
      <c r="W95" s="17">
        <f>IF(OR(W94="",W84=""),"",IF(W84&lt;=0,"",IFERROR(W94/W84,"")))</f>
        <v/>
      </c>
      <c r="X95" s="17">
        <f>IF(OR(X94="",X84=""),"",IF(X84&lt;=0,"",IFERROR(X94/X84,"")))</f>
        <v/>
      </c>
    </row>
    <row r="96">
      <c r="A96" s="45" t="inlineStr">
        <is>
          <t>YoY</t>
        </is>
      </c>
      <c r="B96" s="3" t="inlineStr">
        <is>
          <t>전년 같은 분기·전년 대비</t>
        </is>
      </c>
      <c r="G96" s="17">
        <f>IF(OR(G94="",C94=""),"",IF(C94&lt;=0,"",IFERROR(G94/C94-1,"")))</f>
        <v/>
      </c>
      <c r="H96" s="17">
        <f>IF(OR(H94="",D94=""),"",IF(D94&lt;=0,"",IFERROR(H94/D94-1,"")))</f>
        <v/>
      </c>
      <c r="I96" s="17">
        <f>IF(OR(I94="",E94=""),"",IF(E94&lt;=0,"",IFERROR(I94/E94-1,"")))</f>
        <v/>
      </c>
      <c r="J96" s="17">
        <f>IF(OR(J94="",F94=""),"",IF(F94&lt;=0,"",IFERROR(J94/F94-1,"")))</f>
        <v/>
      </c>
      <c r="K96" s="17">
        <f>IF(OR(K94="",G94=""),"",IF(G94&lt;=0,"",IFERROR(K94/G94-1,"")))</f>
        <v/>
      </c>
      <c r="L96" s="17">
        <f>IF(OR(L94="",H94=""),"",IF(H94&lt;=0,"",IFERROR(L94/H94-1,"")))</f>
        <v/>
      </c>
      <c r="M96" s="17">
        <f>IF(OR(M94="",I94=""),"",IF(I94&lt;=0,"",IFERROR(M94/I94-1,"")))</f>
        <v/>
      </c>
      <c r="N96" s="17">
        <f>IF(OR(N94="",J94=""),"",IF(J94&lt;=0,"",IFERROR(N94/J94-1,"")))</f>
        <v/>
      </c>
      <c r="V96" s="17">
        <f>IF(OR(V94="",U94=""),"",IF(U94&lt;=0,"",IFERROR(V94/U94-1,"")))</f>
        <v/>
      </c>
      <c r="W96" s="17">
        <f>IF(OR(W94="",V94=""),"",IF(V94&lt;=0,"",IFERROR(W94/V94-1,"")))</f>
        <v/>
      </c>
      <c r="X96" s="17">
        <f>IF(OR(X94="",W94=""),"",IF(W94&lt;=0,"",IFERROR(X94/W94-1,"")))</f>
        <v/>
      </c>
    </row>
    <row r="97">
      <c r="A97" s="20" t="inlineStr">
        <is>
          <t>금융수익</t>
        </is>
      </c>
      <c r="D97" s="22" t="n">
        <v>11</v>
      </c>
      <c r="E97" s="22" t="n">
        <v>199</v>
      </c>
      <c r="F97" s="22" t="n">
        <v>1231</v>
      </c>
      <c r="G97" s="22" t="n">
        <v>1135</v>
      </c>
      <c r="H97" s="22" t="n">
        <v>1142</v>
      </c>
      <c r="I97" s="22" t="n">
        <v>2398</v>
      </c>
      <c r="J97" s="22" t="n">
        <v>-402</v>
      </c>
      <c r="K97" s="22" t="n">
        <v>1608</v>
      </c>
      <c r="L97" s="22" t="n">
        <v>5895</v>
      </c>
      <c r="M97" s="22" t="n">
        <v>17170</v>
      </c>
      <c r="N97" s="22" t="n">
        <v>-9829</v>
      </c>
      <c r="V97" s="22" t="n">
        <v>11</v>
      </c>
      <c r="W97" s="22" t="n">
        <v>1142</v>
      </c>
      <c r="X97" s="22" t="n">
        <v>5895</v>
      </c>
    </row>
    <row r="98">
      <c r="A98" s="45" t="inlineStr">
        <is>
          <t>YoY</t>
        </is>
      </c>
      <c r="B98" s="3" t="inlineStr">
        <is>
          <t>전년 같은 분기·전년 대비</t>
        </is>
      </c>
      <c r="G98" s="17">
        <f>IF(OR(G97="",C97=""),"",IF(G97*C97&lt;=0,"",IFERROR(G97/C97-1,"")))</f>
        <v/>
      </c>
      <c r="H98" s="17">
        <f>IF(OR(H97="",D97=""),"",IF(H97*D97&lt;=0,"",IFERROR(H97/D97-1,"")))</f>
        <v/>
      </c>
      <c r="I98" s="17">
        <f>IF(OR(I97="",E97=""),"",IF(I97*E97&lt;=0,"",IFERROR(I97/E97-1,"")))</f>
        <v/>
      </c>
      <c r="J98" s="17">
        <f>IF(OR(J97="",F97=""),"",IF(J97*F97&lt;=0,"",IFERROR(J97/F97-1,"")))</f>
        <v/>
      </c>
      <c r="K98" s="17">
        <f>IF(OR(K97="",G97=""),"",IF(K97*G97&lt;=0,"",IFERROR(K97/G97-1,"")))</f>
        <v/>
      </c>
      <c r="L98" s="17">
        <f>IF(OR(L97="",H97=""),"",IF(L97*H97&lt;=0,"",IFERROR(L97/H97-1,"")))</f>
        <v/>
      </c>
      <c r="M98" s="17">
        <f>IF(OR(M97="",I97=""),"",IF(M97*I97&lt;=0,"",IFERROR(M97/I97-1,"")))</f>
        <v/>
      </c>
      <c r="N98" s="17">
        <f>IF(OR(N97="",J97=""),"",IF(N97*J97&lt;=0,"",IFERROR(N97/J97-1,"")))</f>
        <v/>
      </c>
      <c r="V98" s="17">
        <f>IF(OR(V97="",U97=""),"",IF(V97*U97&lt;=0,"",IFERROR(V97/U97-1,"")))</f>
        <v/>
      </c>
      <c r="W98" s="17">
        <f>IF(OR(W97="",V97=""),"",IF(W97*V97&lt;=0,"",IFERROR(W97/V97-1,"")))</f>
        <v/>
      </c>
      <c r="X98" s="17">
        <f>IF(OR(X97="",W97=""),"",IF(X97*W97&lt;=0,"",IFERROR(X97/W97-1,"")))</f>
        <v/>
      </c>
    </row>
    <row r="99">
      <c r="A99" s="20" t="inlineStr">
        <is>
          <t>금융비용</t>
        </is>
      </c>
      <c r="D99" s="22" t="n">
        <v>26856</v>
      </c>
      <c r="E99" s="22" t="n">
        <v>26192</v>
      </c>
      <c r="F99" s="22" t="n">
        <v>18282</v>
      </c>
      <c r="G99" s="22" t="n">
        <v>17428</v>
      </c>
      <c r="H99" s="22" t="n">
        <v>23426</v>
      </c>
      <c r="I99" s="22" t="n">
        <v>19860</v>
      </c>
      <c r="J99" s="22" t="n">
        <v>29102</v>
      </c>
      <c r="K99" s="22" t="n">
        <v>22769</v>
      </c>
      <c r="L99" s="22" t="n">
        <v>24977</v>
      </c>
      <c r="M99" s="22" t="n">
        <v>52801</v>
      </c>
      <c r="N99" s="22" t="n">
        <v>15962</v>
      </c>
      <c r="V99" s="22" t="n">
        <v>26856</v>
      </c>
      <c r="W99" s="22" t="n">
        <v>23426</v>
      </c>
      <c r="X99" s="22" t="n">
        <v>24977</v>
      </c>
    </row>
    <row r="100">
      <c r="A100" s="45" t="inlineStr">
        <is>
          <t>YoY</t>
        </is>
      </c>
      <c r="B100" s="3" t="inlineStr">
        <is>
          <t>전년 같은 분기·전년 대비</t>
        </is>
      </c>
      <c r="G100" s="17">
        <f>IF(OR(G99="",C99=""),"",IF(G99*C99&lt;=0,"",IFERROR(G99/C99-1,"")))</f>
        <v/>
      </c>
      <c r="H100" s="17">
        <f>IF(OR(H99="",D99=""),"",IF(H99*D99&lt;=0,"",IFERROR(H99/D99-1,"")))</f>
        <v/>
      </c>
      <c r="I100" s="17">
        <f>IF(OR(I99="",E99=""),"",IF(I99*E99&lt;=0,"",IFERROR(I99/E99-1,"")))</f>
        <v/>
      </c>
      <c r="J100" s="17">
        <f>IF(OR(J99="",F99=""),"",IF(J99*F99&lt;=0,"",IFERROR(J99/F99-1,"")))</f>
        <v/>
      </c>
      <c r="K100" s="17">
        <f>IF(OR(K99="",G99=""),"",IF(K99*G99&lt;=0,"",IFERROR(K99/G99-1,"")))</f>
        <v/>
      </c>
      <c r="L100" s="17">
        <f>IF(OR(L99="",H99=""),"",IF(L99*H99&lt;=0,"",IFERROR(L99/H99-1,"")))</f>
        <v/>
      </c>
      <c r="M100" s="17">
        <f>IF(OR(M99="",I99=""),"",IF(M99*I99&lt;=0,"",IFERROR(M99/I99-1,"")))</f>
        <v/>
      </c>
      <c r="N100" s="17">
        <f>IF(OR(N99="",J99=""),"",IF(N99*J99&lt;=0,"",IFERROR(N99/J99-1,"")))</f>
        <v/>
      </c>
      <c r="V100" s="17">
        <f>IF(OR(V99="",U99=""),"",IF(V99*U99&lt;=0,"",IFERROR(V99/U99-1,"")))</f>
        <v/>
      </c>
      <c r="W100" s="17">
        <f>IF(OR(W99="",V99=""),"",IF(W99*V99&lt;=0,"",IFERROR(W99/V99-1,"")))</f>
        <v/>
      </c>
      <c r="X100" s="17">
        <f>IF(OR(X99="",W99=""),"",IF(X99*W99&lt;=0,"",IFERROR(X99/W99-1,"")))</f>
        <v/>
      </c>
    </row>
    <row r="101">
      <c r="A101" s="20" t="inlineStr">
        <is>
          <t>지분법이익</t>
        </is>
      </c>
      <c r="D101" s="22" t="n">
        <v>146</v>
      </c>
      <c r="E101" s="22" t="n">
        <v>-120</v>
      </c>
      <c r="F101" s="22" t="n">
        <v>192</v>
      </c>
      <c r="G101" s="22" t="n">
        <v>265</v>
      </c>
      <c r="H101" s="22" t="n">
        <v>205</v>
      </c>
      <c r="I101" s="22" t="n">
        <v>-143</v>
      </c>
      <c r="J101" s="22" t="n">
        <v>299</v>
      </c>
      <c r="K101" s="22" t="n">
        <v>147</v>
      </c>
      <c r="L101" s="22" t="n">
        <v>632</v>
      </c>
      <c r="M101" s="22" t="n">
        <v>334</v>
      </c>
      <c r="N101" s="22" t="n">
        <v>-249</v>
      </c>
      <c r="V101" s="22" t="n">
        <v>146</v>
      </c>
      <c r="W101" s="22" t="n">
        <v>205</v>
      </c>
      <c r="X101" s="22" t="n">
        <v>632</v>
      </c>
    </row>
    <row r="102">
      <c r="A102" s="9" t="inlineStr">
        <is>
          <t>법인세비용차감전 중간이익</t>
        </is>
      </c>
      <c r="D102" s="12" t="n">
        <v>17159</v>
      </c>
      <c r="E102" s="12" t="n">
        <v>99746</v>
      </c>
      <c r="F102" s="12" t="n">
        <v>149173</v>
      </c>
      <c r="G102" s="12" t="n">
        <v>106687</v>
      </c>
      <c r="H102" s="12" t="n">
        <v>15063</v>
      </c>
      <c r="I102" s="12" t="n">
        <v>27294</v>
      </c>
      <c r="J102" s="12" t="n">
        <v>56716</v>
      </c>
      <c r="K102" s="12" t="n">
        <v>121740</v>
      </c>
      <c r="L102" s="12" t="n">
        <v>578345</v>
      </c>
      <c r="M102" s="12" t="n">
        <v>1234720</v>
      </c>
      <c r="N102" s="12" t="n">
        <v>1968670</v>
      </c>
      <c r="V102" s="12" t="n">
        <v>17159</v>
      </c>
      <c r="W102" s="12" t="n">
        <v>15063</v>
      </c>
      <c r="X102" s="12" t="n">
        <v>578345</v>
      </c>
    </row>
    <row r="103">
      <c r="A103" s="20" t="inlineStr">
        <is>
          <t>법인소득세 비용</t>
        </is>
      </c>
      <c r="D103" s="22" t="n">
        <v>6906</v>
      </c>
      <c r="E103" s="22" t="n">
        <v>29988</v>
      </c>
      <c r="F103" s="22" t="n">
        <v>42951</v>
      </c>
      <c r="G103" s="22" t="n">
        <v>30612</v>
      </c>
      <c r="H103" s="22" t="n">
        <v>-5203</v>
      </c>
      <c r="I103" s="22" t="n">
        <v>9021</v>
      </c>
      <c r="J103" s="22" t="n">
        <v>16046</v>
      </c>
      <c r="K103" s="22" t="n">
        <v>33926</v>
      </c>
      <c r="L103" s="22" t="n">
        <v>170606</v>
      </c>
      <c r="M103" s="22" t="n">
        <v>392549</v>
      </c>
      <c r="N103" s="22" t="n">
        <v>612966</v>
      </c>
      <c r="V103" s="22" t="n">
        <v>6906</v>
      </c>
      <c r="W103" s="22" t="n">
        <v>-5203</v>
      </c>
      <c r="X103" s="22" t="n">
        <v>170606</v>
      </c>
    </row>
    <row r="104">
      <c r="A104" s="45" t="inlineStr">
        <is>
          <t>YoY</t>
        </is>
      </c>
      <c r="B104" s="3" t="inlineStr">
        <is>
          <t>전년 같은 분기·전년 대비</t>
        </is>
      </c>
      <c r="G104" s="17">
        <f>IF(OR(G103="",C103=""),"",IF(G103*C103&lt;=0,"",IFERROR(G103/C103-1,"")))</f>
        <v/>
      </c>
      <c r="H104" s="17">
        <f>IF(OR(H103="",D103=""),"",IF(H103*D103&lt;=0,"",IFERROR(H103/D103-1,"")))</f>
        <v/>
      </c>
      <c r="I104" s="17">
        <f>IF(OR(I103="",E103=""),"",IF(I103*E103&lt;=0,"",IFERROR(I103/E103-1,"")))</f>
        <v/>
      </c>
      <c r="J104" s="17">
        <f>IF(OR(J103="",F103=""),"",IF(J103*F103&lt;=0,"",IFERROR(J103/F103-1,"")))</f>
        <v/>
      </c>
      <c r="K104" s="17">
        <f>IF(OR(K103="",G103=""),"",IF(K103*G103&lt;=0,"",IFERROR(K103/G103-1,"")))</f>
        <v/>
      </c>
      <c r="L104" s="17">
        <f>IF(OR(L103="",H103=""),"",IF(L103*H103&lt;=0,"",IFERROR(L103/H103-1,"")))</f>
        <v/>
      </c>
      <c r="M104" s="17">
        <f>IF(OR(M103="",I103=""),"",IF(M103*I103&lt;=0,"",IFERROR(M103/I103-1,"")))</f>
        <v/>
      </c>
      <c r="N104" s="17">
        <f>IF(OR(N103="",J103=""),"",IF(N103*J103&lt;=0,"",IFERROR(N103/J103-1,"")))</f>
        <v/>
      </c>
      <c r="V104" s="17">
        <f>IF(OR(V103="",U103=""),"",IF(V103*U103&lt;=0,"",IFERROR(V103/U103-1,"")))</f>
        <v/>
      </c>
      <c r="W104" s="17">
        <f>IF(OR(W103="",V103=""),"",IF(W103*V103&lt;=0,"",IFERROR(W103/V103-1,"")))</f>
        <v/>
      </c>
      <c r="X104" s="17">
        <f>IF(OR(X103="",W103=""),"",IF(X103*W103&lt;=0,"",IFERROR(X103/W103-1,"")))</f>
        <v/>
      </c>
    </row>
    <row r="105">
      <c r="A105" s="9" t="inlineStr">
        <is>
          <t>중간이익</t>
        </is>
      </c>
      <c r="D105" s="12" t="n">
        <v>10253</v>
      </c>
      <c r="E105" s="12" t="n">
        <v>69758</v>
      </c>
      <c r="F105" s="12" t="n">
        <v>106222</v>
      </c>
      <c r="G105" s="12" t="n">
        <v>76075</v>
      </c>
      <c r="H105" s="12" t="n">
        <v>20266</v>
      </c>
      <c r="I105" s="12" t="n">
        <v>18273</v>
      </c>
      <c r="J105" s="12" t="n">
        <v>40670</v>
      </c>
      <c r="K105" s="12" t="n">
        <v>87814</v>
      </c>
      <c r="L105" s="12" t="n">
        <v>407739</v>
      </c>
      <c r="M105" s="12" t="n">
        <v>842171</v>
      </c>
      <c r="N105" s="12" t="n">
        <v>1355704</v>
      </c>
      <c r="V105" s="12" t="n">
        <v>10253</v>
      </c>
      <c r="W105" s="12" t="n">
        <v>20266</v>
      </c>
      <c r="X105" s="12" t="n">
        <v>407739</v>
      </c>
    </row>
    <row r="106">
      <c r="A106" s="45" t="inlineStr">
        <is>
          <t>YoY</t>
        </is>
      </c>
      <c r="B106" s="3" t="inlineStr">
        <is>
          <t>전년 같은 분기·전년 대비</t>
        </is>
      </c>
      <c r="G106" s="17">
        <f>IF(OR(G105="",C105=""),"",IF(C105&lt;=0,"",IFERROR(G105/C105-1,"")))</f>
        <v/>
      </c>
      <c r="H106" s="17">
        <f>IF(OR(H105="",D105=""),"",IF(D105&lt;=0,"",IFERROR(H105/D105-1,"")))</f>
        <v/>
      </c>
      <c r="I106" s="17">
        <f>IF(OR(I105="",E105=""),"",IF(E105&lt;=0,"",IFERROR(I105/E105-1,"")))</f>
        <v/>
      </c>
      <c r="J106" s="17">
        <f>IF(OR(J105="",F105=""),"",IF(F105&lt;=0,"",IFERROR(J105/F105-1,"")))</f>
        <v/>
      </c>
      <c r="K106" s="17">
        <f>IF(OR(K105="",G105=""),"",IF(G105&lt;=0,"",IFERROR(K105/G105-1,"")))</f>
        <v/>
      </c>
      <c r="L106" s="17">
        <f>IF(OR(L105="",H105=""),"",IF(H105&lt;=0,"",IFERROR(L105/H105-1,"")))</f>
        <v/>
      </c>
      <c r="M106" s="17">
        <f>IF(OR(M105="",I105=""),"",IF(I105&lt;=0,"",IFERROR(M105/I105-1,"")))</f>
        <v/>
      </c>
      <c r="N106" s="17">
        <f>IF(OR(N105="",J105=""),"",IF(J105&lt;=0,"",IFERROR(N105/J105-1,"")))</f>
        <v/>
      </c>
      <c r="V106" s="17">
        <f>IF(OR(V105="",U105=""),"",IF(U105&lt;=0,"",IFERROR(V105/U105-1,"")))</f>
        <v/>
      </c>
      <c r="W106" s="17">
        <f>IF(OR(W105="",V105=""),"",IF(V105&lt;=0,"",IFERROR(W105/V105-1,"")))</f>
        <v/>
      </c>
      <c r="X106" s="17">
        <f>IF(OR(X105="",W105=""),"",IF(W105&lt;=0,"",IFERROR(X105/W105-1,"")))</f>
        <v/>
      </c>
    </row>
    <row r="107">
      <c r="A107" s="20" t="inlineStr">
        <is>
          <t>기본 주당 중간이익(엔)</t>
        </is>
      </c>
      <c r="D107" s="22" t="n">
        <v>1.979999999999996e-05</v>
      </c>
      <c r="E107" s="22" t="n">
        <v>0.0001348</v>
      </c>
      <c r="F107" s="22" t="n">
        <v>0.00020526</v>
      </c>
      <c r="G107" s="22" t="n">
        <v>0.00014588</v>
      </c>
      <c r="H107" s="22" t="n">
        <v>3.402000000000004e-05</v>
      </c>
      <c r="I107" s="22" t="n">
        <v>3.39e-05</v>
      </c>
      <c r="J107" s="22" t="n">
        <v>2.520000000000003e-06</v>
      </c>
      <c r="K107" s="22" t="n">
        <v>0.00023525</v>
      </c>
      <c r="L107" s="22" t="n">
        <v>0.0007523999999999999</v>
      </c>
      <c r="M107" s="22" t="n">
        <v>0.00153991</v>
      </c>
      <c r="N107" s="22" t="n">
        <v>-0.0001905800000000001</v>
      </c>
      <c r="V107" s="22" t="n">
        <v>1.979999999999996e-05</v>
      </c>
      <c r="W107" s="22" t="n">
        <v>3.402000000000004e-05</v>
      </c>
      <c r="X107" s="22" t="n">
        <v>0.0007523999999999999</v>
      </c>
    </row>
    <row r="108">
      <c r="A108" s="20" t="inlineStr">
        <is>
          <t>희석 주당 중간이익(엔)</t>
        </is>
      </c>
      <c r="D108" s="22" t="n">
        <v>1.979999999999996e-05</v>
      </c>
      <c r="E108" s="22" t="n">
        <v>0.00013316</v>
      </c>
      <c r="F108" s="22" t="n">
        <v>0.00020279</v>
      </c>
      <c r="G108" s="22" t="n">
        <v>0.00014535</v>
      </c>
      <c r="H108" s="22" t="n">
        <v>3.415000000000004e-05</v>
      </c>
      <c r="I108" s="22" t="n">
        <v>3.375e-05</v>
      </c>
      <c r="J108" s="22" t="n">
        <v>2.380000000000003e-06</v>
      </c>
      <c r="K108" s="22" t="n">
        <v>0.00023181</v>
      </c>
      <c r="L108" s="22" t="n">
        <v>0.0007412100000000001</v>
      </c>
      <c r="M108" s="22" t="n">
        <v>0.00152509</v>
      </c>
      <c r="N108" s="22" t="n">
        <v>-0.0001871199999999999</v>
      </c>
      <c r="V108" s="22" t="n">
        <v>1.979999999999996e-05</v>
      </c>
      <c r="W108" s="22" t="n">
        <v>3.415000000000004e-05</v>
      </c>
      <c r="X108" s="22" t="n">
        <v>0.0007412100000000001</v>
      </c>
    </row>
    <row r="109">
      <c r="A109" s="9" t="inlineStr">
        <is>
          <t>지배기업 소유주</t>
        </is>
      </c>
      <c r="D109" s="12" t="n">
        <v>10246</v>
      </c>
      <c r="E109" s="12" t="n">
        <v>69758</v>
      </c>
      <c r="F109" s="12" t="n">
        <v>106222</v>
      </c>
      <c r="G109" s="12" t="n">
        <v>76068</v>
      </c>
      <c r="H109" s="12" t="n">
        <v>20267</v>
      </c>
      <c r="I109" s="12" t="n">
        <v>18284</v>
      </c>
      <c r="J109" s="12" t="n">
        <v>40662</v>
      </c>
      <c r="K109" s="12" t="n">
        <v>87810</v>
      </c>
      <c r="L109" s="12" t="n">
        <v>407734</v>
      </c>
      <c r="M109" s="12" t="n">
        <v>842165</v>
      </c>
      <c r="N109" s="12" t="n">
        <v>1355706</v>
      </c>
      <c r="V109" s="12" t="n">
        <v>10246</v>
      </c>
      <c r="W109" s="12" t="n">
        <v>20267</v>
      </c>
      <c r="X109" s="12" t="n">
        <v>407734</v>
      </c>
    </row>
    <row r="110">
      <c r="A110" s="45" t="inlineStr">
        <is>
          <t>YoY</t>
        </is>
      </c>
      <c r="B110" s="3" t="inlineStr">
        <is>
          <t>전년 같은 분기·전년 대비</t>
        </is>
      </c>
      <c r="G110" s="17">
        <f>IF(OR(G109="",C109=""),"",IF(C109&lt;=0,"",IFERROR(G109/C109-1,"")))</f>
        <v/>
      </c>
      <c r="H110" s="17">
        <f>IF(OR(H109="",D109=""),"",IF(D109&lt;=0,"",IFERROR(H109/D109-1,"")))</f>
        <v/>
      </c>
      <c r="I110" s="17">
        <f>IF(OR(I109="",E109=""),"",IF(E109&lt;=0,"",IFERROR(I109/E109-1,"")))</f>
        <v/>
      </c>
      <c r="J110" s="17">
        <f>IF(OR(J109="",F109=""),"",IF(F109&lt;=0,"",IFERROR(J109/F109-1,"")))</f>
        <v/>
      </c>
      <c r="K110" s="17">
        <f>IF(OR(K109="",G109=""),"",IF(G109&lt;=0,"",IFERROR(K109/G109-1,"")))</f>
        <v/>
      </c>
      <c r="L110" s="17">
        <f>IF(OR(L109="",H109=""),"",IF(H109&lt;=0,"",IFERROR(L109/H109-1,"")))</f>
        <v/>
      </c>
      <c r="M110" s="17">
        <f>IF(OR(M109="",I109=""),"",IF(I109&lt;=0,"",IFERROR(M109/I109-1,"")))</f>
        <v/>
      </c>
      <c r="N110" s="17">
        <f>IF(OR(N109="",J109=""),"",IF(J109&lt;=0,"",IFERROR(N109/J109-1,"")))</f>
        <v/>
      </c>
      <c r="V110" s="17">
        <f>IF(OR(V109="",U109=""),"",IF(U109&lt;=0,"",IFERROR(V109/U109-1,"")))</f>
        <v/>
      </c>
      <c r="W110" s="17">
        <f>IF(OR(W109="",V109=""),"",IF(V109&lt;=0,"",IFERROR(W109/V109-1,"")))</f>
        <v/>
      </c>
      <c r="X110" s="17">
        <f>IF(OR(X109="",W109=""),"",IF(W109&lt;=0,"",IFERROR(X109/W109-1,"")))</f>
        <v/>
      </c>
    </row>
    <row r="111">
      <c r="A111" s="9" t="inlineStr">
        <is>
          <t>비지배지분</t>
        </is>
      </c>
      <c r="D111" s="12" t="n">
        <v>7</v>
      </c>
      <c r="E111" s="12" t="n">
        <v>0</v>
      </c>
      <c r="F111" s="12" t="n">
        <v>0</v>
      </c>
      <c r="G111" s="12" t="n">
        <v>7</v>
      </c>
      <c r="H111" s="12" t="n">
        <v>-1</v>
      </c>
      <c r="I111" s="12" t="n">
        <v>-11</v>
      </c>
      <c r="J111" s="12" t="n">
        <v>8</v>
      </c>
      <c r="K111" s="12" t="n">
        <v>4</v>
      </c>
      <c r="L111" s="12" t="n">
        <v>5</v>
      </c>
      <c r="M111" s="12" t="n">
        <v>6</v>
      </c>
      <c r="N111" s="12" t="n">
        <v>-2</v>
      </c>
      <c r="V111" s="12" t="n">
        <v>7</v>
      </c>
      <c r="W111" s="12" t="n">
        <v>-1</v>
      </c>
      <c r="X111" s="12" t="n">
        <v>5</v>
      </c>
    </row>
    <row r="113">
      <c r="A113" s="18" t="inlineStr">
        <is>
          <t>포괄손익 · 전 항목</t>
        </is>
      </c>
      <c r="B113" s="44" t="inlineStr">
        <is>
          <t>분기 = 3개월 단독</t>
        </is>
      </c>
      <c r="C113" s="18" t="n"/>
      <c r="D113" s="18" t="n"/>
      <c r="E113" s="18" t="n"/>
      <c r="F113" s="18" t="n"/>
      <c r="G113" s="18" t="n"/>
      <c r="H113" s="18" t="n"/>
      <c r="I113" s="18" t="n"/>
      <c r="J113" s="18" t="n"/>
      <c r="K113" s="18" t="n"/>
      <c r="L113" s="18" t="n"/>
      <c r="M113" s="18" t="n"/>
      <c r="N113" s="18" t="n"/>
      <c r="O113" s="18" t="n"/>
      <c r="P113" s="18" t="n"/>
      <c r="Q113" s="18" t="n"/>
      <c r="R113" s="18" t="n"/>
      <c r="S113" s="18" t="n"/>
      <c r="T113" s="18" t="n"/>
      <c r="U113" s="18" t="n"/>
      <c r="V113" s="18" t="n"/>
      <c r="W113" s="18" t="n"/>
      <c r="X113" s="18" t="n"/>
      <c r="Y113" s="18" t="n"/>
      <c r="Z113" s="18" t="n"/>
      <c r="AA113" s="18" t="n"/>
      <c r="AB113" s="18" t="n"/>
      <c r="AC113" s="18" t="n"/>
    </row>
    <row r="114">
      <c r="A114" s="5" t="inlineStr">
        <is>
          <t>항목</t>
        </is>
      </c>
      <c r="B114" s="5" t="inlineStr">
        <is>
          <t>참고</t>
        </is>
      </c>
      <c r="C114" s="5" t="inlineStr">
        <is>
          <t>2024.3Q</t>
        </is>
      </c>
      <c r="D114" s="5" t="inlineStr">
        <is>
          <t>2024.4Q</t>
        </is>
      </c>
      <c r="E114" s="5" t="inlineStr">
        <is>
          <t>2025.1Q</t>
        </is>
      </c>
      <c r="F114" s="5" t="inlineStr">
        <is>
          <t>2025.2Q</t>
        </is>
      </c>
      <c r="G114" s="5" t="inlineStr">
        <is>
          <t>2025.3Q</t>
        </is>
      </c>
      <c r="H114" s="5" t="inlineStr">
        <is>
          <t>2025.4Q</t>
        </is>
      </c>
      <c r="I114" s="5" t="inlineStr">
        <is>
          <t>2026.1Q</t>
        </is>
      </c>
      <c r="J114" s="5" t="inlineStr">
        <is>
          <t>2026.2Q</t>
        </is>
      </c>
      <c r="K114" s="5" t="inlineStr">
        <is>
          <t>2026.3Q</t>
        </is>
      </c>
      <c r="L114" s="5" t="inlineStr">
        <is>
          <t>2026.4Q</t>
        </is>
      </c>
      <c r="M114" s="5" t="inlineStr">
        <is>
          <t>2027.1Q</t>
        </is>
      </c>
      <c r="N114" s="5" t="inlineStr">
        <is>
          <t>2027.2Q</t>
        </is>
      </c>
      <c r="O114" s="5" t="inlineStr">
        <is>
          <t>2017</t>
        </is>
      </c>
      <c r="P114" s="5" t="inlineStr">
        <is>
          <t>2018</t>
        </is>
      </c>
      <c r="Q114" s="5" t="inlineStr">
        <is>
          <t>2019</t>
        </is>
      </c>
      <c r="R114" s="5" t="inlineStr">
        <is>
          <t>2020</t>
        </is>
      </c>
      <c r="S114" s="5" t="inlineStr">
        <is>
          <t>2021</t>
        </is>
      </c>
      <c r="T114" s="5" t="inlineStr">
        <is>
          <t>2022</t>
        </is>
      </c>
      <c r="U114" s="5" t="inlineStr">
        <is>
          <t>2023</t>
        </is>
      </c>
      <c r="V114" s="5" t="inlineStr">
        <is>
          <t>2024</t>
        </is>
      </c>
      <c r="W114" s="5" t="inlineStr">
        <is>
          <t>2025</t>
        </is>
      </c>
      <c r="X114" s="5" t="inlineStr">
        <is>
          <t>2026</t>
        </is>
      </c>
      <c r="Y114" s="5" t="inlineStr">
        <is>
          <t>2027(MW)</t>
        </is>
      </c>
      <c r="Z114" s="5" t="inlineStr">
        <is>
          <t>2028(MW)</t>
        </is>
      </c>
      <c r="AA114" s="5" t="inlineStr">
        <is>
          <t>2029(MW)</t>
        </is>
      </c>
      <c r="AB114" s="5" t="inlineStr">
        <is>
          <t>2030(MW)</t>
        </is>
      </c>
      <c r="AC114" s="5" t="inlineStr">
        <is>
          <t>2031(MW)</t>
        </is>
      </c>
    </row>
    <row r="115">
      <c r="A115" s="9" t="inlineStr">
        <is>
          <t>중간이익</t>
        </is>
      </c>
      <c r="D115" s="12" t="n">
        <v>10253</v>
      </c>
      <c r="E115" s="12" t="n">
        <v>69758</v>
      </c>
      <c r="F115" s="12" t="n">
        <v>106222</v>
      </c>
      <c r="G115" s="12" t="n">
        <v>76075</v>
      </c>
      <c r="H115" s="12" t="n">
        <v>20266</v>
      </c>
      <c r="I115" s="12" t="n">
        <v>18273</v>
      </c>
      <c r="J115" s="12" t="n">
        <v>40670</v>
      </c>
      <c r="K115" s="12" t="n">
        <v>87814</v>
      </c>
      <c r="L115" s="12" t="n">
        <v>407739</v>
      </c>
      <c r="M115" s="12" t="n">
        <v>842171</v>
      </c>
      <c r="N115" s="12" t="n">
        <v>1355704</v>
      </c>
      <c r="V115" s="12" t="n">
        <v>10253</v>
      </c>
      <c r="W115" s="12" t="n">
        <v>20266</v>
      </c>
      <c r="X115" s="12" t="n">
        <v>407739</v>
      </c>
    </row>
    <row r="116">
      <c r="A116" s="20" t="inlineStr">
        <is>
          <t>Net Change In Fair Value Of Equity Instruments Designated As Measured At Fair Value Through Other Comprehensive Income Net Of Tax Items That Will Not Be Reclassified To Profit Or Loss OCI</t>
        </is>
      </c>
      <c r="D116" s="22" t="n">
        <v>16198</v>
      </c>
      <c r="E116" s="22" t="n">
        <v>-4039</v>
      </c>
      <c r="F116" s="22" t="n">
        <v>-13839</v>
      </c>
      <c r="G116" s="22" t="n">
        <v>4817</v>
      </c>
      <c r="H116" s="22" t="n">
        <v>-3918</v>
      </c>
      <c r="I116" s="22" t="n">
        <v>2868</v>
      </c>
      <c r="J116" s="22" t="n">
        <v>15217</v>
      </c>
      <c r="K116" s="22" t="n">
        <v>54627</v>
      </c>
      <c r="L116" s="22" t="n">
        <v>7597</v>
      </c>
      <c r="M116" s="22" t="n">
        <v>148622</v>
      </c>
      <c r="N116" s="22" t="n">
        <v>-21857</v>
      </c>
      <c r="V116" s="22" t="n">
        <v>16198</v>
      </c>
      <c r="W116" s="22" t="n">
        <v>-3918</v>
      </c>
      <c r="X116" s="22" t="n">
        <v>7597</v>
      </c>
    </row>
    <row r="117">
      <c r="A117" s="20" t="inlineStr">
        <is>
          <t>확정급여제도 재측정</t>
        </is>
      </c>
      <c r="D117" s="22" t="n">
        <v>-283</v>
      </c>
      <c r="E117" s="22" t="n">
        <v>2</v>
      </c>
      <c r="F117" s="22" t="n">
        <v>0</v>
      </c>
      <c r="G117" s="22" t="n">
        <v>0</v>
      </c>
      <c r="H117" s="22" t="n">
        <v>1650</v>
      </c>
      <c r="I117" s="22" t="n">
        <v>3</v>
      </c>
      <c r="J117" s="22" t="n">
        <v>0</v>
      </c>
      <c r="K117" s="22" t="n">
        <v>0</v>
      </c>
      <c r="L117" s="22" t="n">
        <v>2005</v>
      </c>
      <c r="M117" s="22" t="n">
        <v>1</v>
      </c>
      <c r="N117" s="22" t="n">
        <v>-1</v>
      </c>
      <c r="V117" s="22" t="n">
        <v>-283</v>
      </c>
      <c r="W117" s="22" t="n">
        <v>1650</v>
      </c>
      <c r="X117" s="22" t="n">
        <v>2005</v>
      </c>
    </row>
    <row r="118">
      <c r="A118" s="20" t="inlineStr">
        <is>
          <t>당기손익으로 재분류되지 않는 항목 합계</t>
        </is>
      </c>
      <c r="D118" s="22" t="n">
        <v>15915</v>
      </c>
      <c r="E118" s="22" t="n">
        <v>-4037</v>
      </c>
      <c r="F118" s="22" t="n">
        <v>-13839</v>
      </c>
      <c r="G118" s="22" t="n">
        <v>4817</v>
      </c>
      <c r="H118" s="22" t="n">
        <v>-2268</v>
      </c>
      <c r="I118" s="22" t="n">
        <v>2871</v>
      </c>
      <c r="J118" s="22" t="n">
        <v>15217</v>
      </c>
      <c r="K118" s="22" t="n">
        <v>54627</v>
      </c>
      <c r="L118" s="22" t="n">
        <v>9602</v>
      </c>
      <c r="M118" s="22" t="n">
        <v>148623</v>
      </c>
      <c r="N118" s="22" t="n">
        <v>-21858</v>
      </c>
      <c r="V118" s="22" t="n">
        <v>15915</v>
      </c>
      <c r="W118" s="22" t="n">
        <v>-2268</v>
      </c>
      <c r="X118" s="22" t="n">
        <v>9602</v>
      </c>
    </row>
    <row r="119">
      <c r="A119" s="20" t="inlineStr">
        <is>
          <t>해외사업 환산차액</t>
        </is>
      </c>
      <c r="D119" s="22" t="n">
        <v>2335</v>
      </c>
      <c r="E119" s="22" t="n">
        <v>3683</v>
      </c>
      <c r="F119" s="22" t="n">
        <v>-6222</v>
      </c>
      <c r="G119" s="22" t="n">
        <v>4821</v>
      </c>
      <c r="H119" s="22" t="n">
        <v>-3808</v>
      </c>
      <c r="I119" s="22" t="n">
        <v>1633</v>
      </c>
      <c r="J119" s="22" t="n">
        <v>603</v>
      </c>
      <c r="K119" s="22" t="n">
        <v>2651</v>
      </c>
      <c r="L119" s="22" t="n">
        <v>1291</v>
      </c>
      <c r="M119" s="22" t="n">
        <v>1929</v>
      </c>
      <c r="N119" s="22" t="n">
        <v>-2355</v>
      </c>
      <c r="V119" s="22" t="n">
        <v>2335</v>
      </c>
      <c r="W119" s="22" t="n">
        <v>-3808</v>
      </c>
      <c r="X119" s="22" t="n">
        <v>1291</v>
      </c>
    </row>
    <row r="120">
      <c r="A120" s="20" t="inlineStr">
        <is>
          <t>Effective Portion Of Cash Flow Hedges Net Of Tax Items That May Be Reclassified To Profit Or Loss OCI</t>
        </is>
      </c>
      <c r="D120" s="22" t="n">
        <v>756</v>
      </c>
      <c r="E120" s="22" t="n">
        <v>-5490</v>
      </c>
      <c r="F120" s="22" t="n">
        <v>18120</v>
      </c>
      <c r="G120" s="22" t="n">
        <v>-14812</v>
      </c>
      <c r="H120" s="22" t="n">
        <v>4305</v>
      </c>
      <c r="I120" s="22" t="n">
        <v>-356</v>
      </c>
      <c r="J120" s="22" t="n">
        <v>1389</v>
      </c>
      <c r="K120" s="22" t="n">
        <v>5306</v>
      </c>
      <c r="L120" s="22" t="n">
        <v>-2682</v>
      </c>
      <c r="M120" s="22" t="n">
        <v>3072</v>
      </c>
      <c r="N120" s="22" t="n">
        <v>-2558</v>
      </c>
      <c r="V120" s="22" t="n">
        <v>756</v>
      </c>
      <c r="W120" s="22" t="n">
        <v>4305</v>
      </c>
      <c r="X120" s="22" t="n">
        <v>-2682</v>
      </c>
    </row>
    <row r="121">
      <c r="A121" s="20" t="inlineStr">
        <is>
          <t>Share Of Other Comprehensive Income Of Investments Accounted For Using Equity Method Net Of Tax Items That May Be Reclassified To Profit Or Loss OCI</t>
        </is>
      </c>
      <c r="D121" s="22" t="n">
        <v>22</v>
      </c>
      <c r="E121" s="22" t="n">
        <v>11</v>
      </c>
      <c r="F121" s="22" t="n">
        <v>-21</v>
      </c>
      <c r="G121" s="22" t="n">
        <v>17</v>
      </c>
      <c r="H121" s="22" t="n">
        <v>-17</v>
      </c>
      <c r="I121" s="22" t="n">
        <v>-6</v>
      </c>
      <c r="J121" s="22" t="n">
        <v>4</v>
      </c>
      <c r="K121" s="22" t="n">
        <v>9</v>
      </c>
      <c r="L121" s="22" t="n">
        <v>24</v>
      </c>
      <c r="M121" s="22" t="n">
        <v>3</v>
      </c>
      <c r="N121" s="22" t="n">
        <v>-5</v>
      </c>
      <c r="V121" s="22" t="n">
        <v>22</v>
      </c>
      <c r="W121" s="22" t="n">
        <v>-17</v>
      </c>
      <c r="X121" s="22" t="n">
        <v>24</v>
      </c>
    </row>
    <row r="122">
      <c r="A122" s="20" t="inlineStr">
        <is>
          <t>당기손익으로 재분류될 수 있는 항목 합계</t>
        </is>
      </c>
      <c r="D122" s="22" t="n">
        <v>3113</v>
      </c>
      <c r="E122" s="22" t="n">
        <v>-1796</v>
      </c>
      <c r="F122" s="22" t="n">
        <v>11877</v>
      </c>
      <c r="G122" s="22" t="n">
        <v>-9974</v>
      </c>
      <c r="H122" s="22" t="n">
        <v>480</v>
      </c>
      <c r="I122" s="22" t="n">
        <v>1271</v>
      </c>
      <c r="J122" s="22" t="n">
        <v>1996</v>
      </c>
      <c r="K122" s="22" t="n">
        <v>7966</v>
      </c>
      <c r="L122" s="22" t="n">
        <v>-1367</v>
      </c>
      <c r="M122" s="22" t="n">
        <v>5004</v>
      </c>
      <c r="N122" s="22" t="n">
        <v>-4918</v>
      </c>
      <c r="V122" s="22" t="n">
        <v>3113</v>
      </c>
      <c r="W122" s="22" t="n">
        <v>480</v>
      </c>
      <c r="X122" s="22" t="n">
        <v>-1367</v>
      </c>
    </row>
    <row r="123">
      <c r="A123" s="20" t="inlineStr">
        <is>
          <t>세후 기타포괄이익</t>
        </is>
      </c>
      <c r="D123" s="22" t="n">
        <v>19028</v>
      </c>
      <c r="E123" s="22" t="n">
        <v>-5833</v>
      </c>
      <c r="F123" s="22" t="n">
        <v>-1962</v>
      </c>
      <c r="G123" s="22" t="n">
        <v>-5157</v>
      </c>
      <c r="H123" s="22" t="n">
        <v>-1788</v>
      </c>
      <c r="I123" s="22" t="n">
        <v>4142</v>
      </c>
      <c r="J123" s="22" t="n">
        <v>17213</v>
      </c>
      <c r="K123" s="22" t="n">
        <v>62593</v>
      </c>
      <c r="L123" s="22" t="n">
        <v>8235</v>
      </c>
      <c r="M123" s="22" t="n">
        <v>153627</v>
      </c>
      <c r="N123" s="22" t="n">
        <v>-26776</v>
      </c>
      <c r="V123" s="22" t="n">
        <v>19028</v>
      </c>
      <c r="W123" s="22" t="n">
        <v>-1788</v>
      </c>
      <c r="X123" s="22" t="n">
        <v>8235</v>
      </c>
    </row>
    <row r="124">
      <c r="A124" s="9" t="inlineStr">
        <is>
          <t>포괄이익</t>
        </is>
      </c>
      <c r="D124" s="12" t="n">
        <v>29281</v>
      </c>
      <c r="E124" s="12" t="n">
        <v>63925</v>
      </c>
      <c r="F124" s="12" t="n">
        <v>104260</v>
      </c>
      <c r="G124" s="12" t="n">
        <v>70918</v>
      </c>
      <c r="H124" s="12" t="n">
        <v>18478</v>
      </c>
      <c r="I124" s="12" t="n">
        <v>22415</v>
      </c>
      <c r="J124" s="12" t="n">
        <v>57883</v>
      </c>
      <c r="K124" s="12" t="n">
        <v>150407</v>
      </c>
      <c r="L124" s="12" t="n">
        <v>415974</v>
      </c>
      <c r="M124" s="12" t="n">
        <v>995798</v>
      </c>
      <c r="N124" s="12" t="n">
        <v>1328928</v>
      </c>
      <c r="V124" s="12" t="n">
        <v>29281</v>
      </c>
      <c r="W124" s="12" t="n">
        <v>18478</v>
      </c>
      <c r="X124" s="12" t="n">
        <v>415974</v>
      </c>
    </row>
    <row r="125">
      <c r="A125" s="9" t="inlineStr">
        <is>
          <t>지배기업 소유주</t>
        </is>
      </c>
      <c r="D125" s="12" t="n">
        <v>29272</v>
      </c>
      <c r="E125" s="12" t="n">
        <v>63919</v>
      </c>
      <c r="F125" s="12" t="n">
        <v>104272</v>
      </c>
      <c r="G125" s="12" t="n">
        <v>70902</v>
      </c>
      <c r="H125" s="12" t="n">
        <v>18488</v>
      </c>
      <c r="I125" s="12" t="n">
        <v>22413</v>
      </c>
      <c r="J125" s="12" t="n">
        <v>57877</v>
      </c>
      <c r="K125" s="12" t="n">
        <v>150401</v>
      </c>
      <c r="L125" s="12" t="n">
        <v>415969</v>
      </c>
      <c r="M125" s="12" t="n">
        <v>995790</v>
      </c>
      <c r="N125" s="12" t="n">
        <v>1328934</v>
      </c>
      <c r="V125" s="12" t="n">
        <v>29272</v>
      </c>
      <c r="W125" s="12" t="n">
        <v>18488</v>
      </c>
      <c r="X125" s="12" t="n">
        <v>415969</v>
      </c>
    </row>
    <row r="126">
      <c r="A126" s="9" t="inlineStr">
        <is>
          <t>비지배지분</t>
        </is>
      </c>
      <c r="D126" s="12" t="n">
        <v>9</v>
      </c>
      <c r="E126" s="12" t="n">
        <v>6</v>
      </c>
      <c r="F126" s="12" t="n">
        <v>-12</v>
      </c>
      <c r="G126" s="12" t="n">
        <v>16</v>
      </c>
      <c r="H126" s="12" t="n">
        <v>-10</v>
      </c>
      <c r="I126" s="12" t="n">
        <v>2</v>
      </c>
      <c r="J126" s="12" t="n">
        <v>6</v>
      </c>
      <c r="K126" s="12" t="n">
        <v>6</v>
      </c>
      <c r="L126" s="12" t="n">
        <v>5</v>
      </c>
      <c r="M126" s="12" t="n">
        <v>8</v>
      </c>
      <c r="N126" s="12" t="n">
        <v>-6</v>
      </c>
      <c r="V126" s="12" t="n">
        <v>9</v>
      </c>
      <c r="W126" s="12" t="n">
        <v>-10</v>
      </c>
      <c r="X126" s="12" t="n">
        <v>5</v>
      </c>
    </row>
    <row r="128">
      <c r="A128" s="18" t="inlineStr">
        <is>
          <t>현금흐름표 · 전 항목</t>
        </is>
      </c>
      <c r="B128" s="44" t="inlineStr">
        <is>
          <t>분기 = 결산기 첫날부터 누계(공시 그대로)</t>
        </is>
      </c>
      <c r="C128" s="18" t="n"/>
      <c r="D128" s="18" t="n"/>
      <c r="E128" s="18" t="n"/>
      <c r="F128" s="18" t="n"/>
      <c r="G128" s="18" t="n"/>
      <c r="H128" s="18" t="n"/>
      <c r="I128" s="18" t="n"/>
      <c r="J128" s="18" t="n"/>
      <c r="K128" s="18" t="n"/>
      <c r="L128" s="18" t="n"/>
      <c r="M128" s="18" t="n"/>
      <c r="N128" s="18" t="n"/>
      <c r="O128" s="18" t="n"/>
      <c r="P128" s="18" t="n"/>
      <c r="Q128" s="18" t="n"/>
      <c r="R128" s="18" t="n"/>
      <c r="S128" s="18" t="n"/>
      <c r="T128" s="18" t="n"/>
      <c r="U128" s="18" t="n"/>
      <c r="V128" s="18" t="n"/>
      <c r="W128" s="18" t="n"/>
      <c r="X128" s="18" t="n"/>
      <c r="Y128" s="18" t="n"/>
      <c r="Z128" s="18" t="n"/>
      <c r="AA128" s="18" t="n"/>
      <c r="AB128" s="18" t="n"/>
      <c r="AC128" s="18" t="n"/>
    </row>
    <row r="129">
      <c r="A129" s="5" t="inlineStr">
        <is>
          <t>항목</t>
        </is>
      </c>
      <c r="B129" s="5" t="inlineStr">
        <is>
          <t>참고</t>
        </is>
      </c>
      <c r="C129" s="5" t="inlineStr">
        <is>
          <t>2024.3Q</t>
        </is>
      </c>
      <c r="D129" s="5" t="inlineStr">
        <is>
          <t>2024.4Q</t>
        </is>
      </c>
      <c r="E129" s="5" t="inlineStr">
        <is>
          <t>2025.1Q</t>
        </is>
      </c>
      <c r="F129" s="5" t="inlineStr">
        <is>
          <t>2025.2Q</t>
        </is>
      </c>
      <c r="G129" s="5" t="inlineStr">
        <is>
          <t>2025.3Q</t>
        </is>
      </c>
      <c r="H129" s="5" t="inlineStr">
        <is>
          <t>2025.4Q</t>
        </is>
      </c>
      <c r="I129" s="5" t="inlineStr">
        <is>
          <t>2026.1Q</t>
        </is>
      </c>
      <c r="J129" s="5" t="inlineStr">
        <is>
          <t>2026.2Q</t>
        </is>
      </c>
      <c r="K129" s="5" t="inlineStr">
        <is>
          <t>2026.3Q</t>
        </is>
      </c>
      <c r="L129" s="5" t="inlineStr">
        <is>
          <t>2026.4Q</t>
        </is>
      </c>
      <c r="M129" s="5" t="inlineStr">
        <is>
          <t>2027.1Q</t>
        </is>
      </c>
      <c r="N129" s="5" t="inlineStr">
        <is>
          <t>2027.2Q</t>
        </is>
      </c>
      <c r="O129" s="5" t="inlineStr">
        <is>
          <t>2017</t>
        </is>
      </c>
      <c r="P129" s="5" t="inlineStr">
        <is>
          <t>2018</t>
        </is>
      </c>
      <c r="Q129" s="5" t="inlineStr">
        <is>
          <t>2019</t>
        </is>
      </c>
      <c r="R129" s="5" t="inlineStr">
        <is>
          <t>2020</t>
        </is>
      </c>
      <c r="S129" s="5" t="inlineStr">
        <is>
          <t>2021</t>
        </is>
      </c>
      <c r="T129" s="5" t="inlineStr">
        <is>
          <t>2022</t>
        </is>
      </c>
      <c r="U129" s="5" t="inlineStr">
        <is>
          <t>2023</t>
        </is>
      </c>
      <c r="V129" s="5" t="inlineStr">
        <is>
          <t>2024</t>
        </is>
      </c>
      <c r="W129" s="5" t="inlineStr">
        <is>
          <t>2025</t>
        </is>
      </c>
      <c r="X129" s="5" t="inlineStr">
        <is>
          <t>2026</t>
        </is>
      </c>
      <c r="Y129" s="5" t="inlineStr">
        <is>
          <t>2027(MW)</t>
        </is>
      </c>
      <c r="Z129" s="5" t="inlineStr">
        <is>
          <t>2028(MW)</t>
        </is>
      </c>
      <c r="AA129" s="5" t="inlineStr">
        <is>
          <t>2029(MW)</t>
        </is>
      </c>
      <c r="AB129" s="5" t="inlineStr">
        <is>
          <t>2030(MW)</t>
        </is>
      </c>
      <c r="AC129" s="5" t="inlineStr">
        <is>
          <t>2031(MW)</t>
        </is>
      </c>
    </row>
    <row r="130">
      <c r="A130" s="9" t="inlineStr">
        <is>
          <t>법인세비용차감전 중간이익</t>
        </is>
      </c>
      <c r="C130" s="12" t="n">
        <v>-360489</v>
      </c>
      <c r="D130" s="12" t="n">
        <v>-343330</v>
      </c>
      <c r="E130" s="12" t="n">
        <v>99746</v>
      </c>
      <c r="F130" s="12" t="n">
        <v>248919</v>
      </c>
      <c r="G130" s="12" t="n">
        <v>355606</v>
      </c>
      <c r="H130" s="12" t="n">
        <v>370669</v>
      </c>
      <c r="I130" s="12" t="n">
        <v>27294</v>
      </c>
      <c r="J130" s="12" t="n">
        <v>84010</v>
      </c>
      <c r="K130" s="12" t="n">
        <v>205750</v>
      </c>
      <c r="L130" s="12" t="n">
        <v>784095</v>
      </c>
      <c r="M130" s="12" t="n">
        <v>1234720</v>
      </c>
      <c r="N130" s="12" t="n">
        <v>3203390</v>
      </c>
      <c r="V130" s="12" t="n">
        <v>-343330</v>
      </c>
      <c r="W130" s="12" t="n">
        <v>370669</v>
      </c>
      <c r="X130" s="12" t="n">
        <v>784095</v>
      </c>
    </row>
    <row r="131">
      <c r="A131" s="20" t="inlineStr">
        <is>
          <t>감가상각비 및 상각비</t>
        </is>
      </c>
      <c r="C131" s="22" t="n">
        <v>264473</v>
      </c>
      <c r="D131" s="22" t="n">
        <v>346066</v>
      </c>
      <c r="E131" s="22" t="n">
        <v>78493</v>
      </c>
      <c r="F131" s="22" t="n">
        <v>157685</v>
      </c>
      <c r="G131" s="22" t="n">
        <v>234796</v>
      </c>
      <c r="H131" s="22" t="n">
        <v>312307</v>
      </c>
      <c r="I131" s="22" t="n">
        <v>79987</v>
      </c>
      <c r="J131" s="22" t="n">
        <v>158839</v>
      </c>
      <c r="K131" s="22" t="n">
        <v>236419</v>
      </c>
      <c r="L131" s="22" t="n">
        <v>312826</v>
      </c>
      <c r="M131" s="22" t="n">
        <v>76082</v>
      </c>
      <c r="N131" s="22" t="n">
        <v>153543</v>
      </c>
      <c r="V131" s="22" t="n">
        <v>346066</v>
      </c>
      <c r="W131" s="22" t="n">
        <v>312307</v>
      </c>
      <c r="X131" s="22" t="n">
        <v>312826</v>
      </c>
    </row>
    <row r="132">
      <c r="A132" s="20" t="inlineStr">
        <is>
          <t>손상차손</t>
        </is>
      </c>
      <c r="C132" s="22" t="n">
        <v>437</v>
      </c>
      <c r="D132" s="22" t="n">
        <v>764</v>
      </c>
      <c r="E132" s="22" t="n">
        <v>2</v>
      </c>
      <c r="F132" s="22" t="n">
        <v>6</v>
      </c>
      <c r="G132" s="22" t="n">
        <v>11</v>
      </c>
      <c r="H132" s="22" t="n">
        <v>30</v>
      </c>
      <c r="I132" s="22" t="n">
        <v>70</v>
      </c>
      <c r="J132" s="22" t="n">
        <v>126</v>
      </c>
      <c r="K132" s="22" t="n">
        <v>214</v>
      </c>
      <c r="L132" s="22" t="n">
        <v>366</v>
      </c>
      <c r="M132" s="22" t="n">
        <v>29</v>
      </c>
      <c r="N132" s="22" t="n">
        <v>656</v>
      </c>
      <c r="V132" s="22" t="n">
        <v>764</v>
      </c>
      <c r="W132" s="22" t="n">
        <v>30</v>
      </c>
      <c r="X132" s="22" t="n">
        <v>366</v>
      </c>
    </row>
    <row r="133">
      <c r="A133" s="20" t="inlineStr">
        <is>
          <t>금융수익</t>
        </is>
      </c>
      <c r="C133" s="22" t="n">
        <v>-1836</v>
      </c>
      <c r="D133" s="22" t="n">
        <v>-1847</v>
      </c>
      <c r="E133" s="22" t="n">
        <v>-199</v>
      </c>
      <c r="F133" s="22" t="n">
        <v>-1430</v>
      </c>
      <c r="G133" s="22" t="n">
        <v>-2565</v>
      </c>
      <c r="H133" s="22" t="n">
        <v>-3707</v>
      </c>
      <c r="I133" s="22" t="n">
        <v>-2398</v>
      </c>
      <c r="J133" s="22" t="n">
        <v>-1996</v>
      </c>
      <c r="K133" s="22" t="n">
        <v>-3604</v>
      </c>
      <c r="L133" s="22" t="n">
        <v>-9499</v>
      </c>
      <c r="M133" s="22" t="n">
        <v>-17170</v>
      </c>
      <c r="N133" s="22" t="n">
        <v>-7341</v>
      </c>
      <c r="V133" s="22" t="n">
        <v>-1847</v>
      </c>
      <c r="W133" s="22" t="n">
        <v>-3707</v>
      </c>
      <c r="X133" s="22" t="n">
        <v>-9499</v>
      </c>
    </row>
    <row r="134">
      <c r="A134" s="20" t="inlineStr">
        <is>
          <t>금융비용</t>
        </is>
      </c>
      <c r="C134" s="22" t="n">
        <v>65884</v>
      </c>
      <c r="D134" s="22" t="n">
        <v>92740</v>
      </c>
      <c r="E134" s="22" t="n">
        <v>26192</v>
      </c>
      <c r="F134" s="22" t="n">
        <v>44474</v>
      </c>
      <c r="G134" s="22" t="n">
        <v>61902</v>
      </c>
      <c r="H134" s="22" t="n">
        <v>85328</v>
      </c>
      <c r="I134" s="22" t="n">
        <v>19860</v>
      </c>
      <c r="J134" s="22" t="n">
        <v>48962</v>
      </c>
      <c r="K134" s="22" t="n">
        <v>71731</v>
      </c>
      <c r="L134" s="22" t="n">
        <v>96708</v>
      </c>
      <c r="M134" s="22" t="n">
        <v>52801</v>
      </c>
      <c r="N134" s="22" t="n">
        <v>68763</v>
      </c>
      <c r="V134" s="22" t="n">
        <v>92740</v>
      </c>
      <c r="W134" s="22" t="n">
        <v>85328</v>
      </c>
      <c r="X134" s="22" t="n">
        <v>96708</v>
      </c>
    </row>
    <row r="135">
      <c r="A135" s="20" t="inlineStr">
        <is>
          <t>지분법손익</t>
        </is>
      </c>
      <c r="C135" s="22" t="n">
        <v>-115</v>
      </c>
      <c r="D135" s="22" t="n">
        <v>-261</v>
      </c>
      <c r="E135" s="22" t="n">
        <v>120</v>
      </c>
      <c r="F135" s="22" t="n">
        <v>-72</v>
      </c>
      <c r="G135" s="22" t="n">
        <v>-337</v>
      </c>
      <c r="H135" s="22" t="n">
        <v>-542</v>
      </c>
      <c r="I135" s="22" t="n">
        <v>143</v>
      </c>
      <c r="J135" s="22" t="n">
        <v>-156</v>
      </c>
      <c r="K135" s="22" t="n">
        <v>-303</v>
      </c>
      <c r="L135" s="22" t="n">
        <v>-935</v>
      </c>
      <c r="M135" s="22" t="n">
        <v>-334</v>
      </c>
      <c r="N135" s="22" t="n">
        <v>-85</v>
      </c>
      <c r="V135" s="22" t="n">
        <v>-261</v>
      </c>
      <c r="W135" s="22" t="n">
        <v>-542</v>
      </c>
      <c r="X135" s="22" t="n">
        <v>-935</v>
      </c>
    </row>
    <row r="136">
      <c r="A136" s="20" t="inlineStr">
        <is>
          <t>고정자산 제각·매각손익</t>
        </is>
      </c>
      <c r="C136" s="22" t="n">
        <v>1643</v>
      </c>
      <c r="D136" s="22" t="n">
        <v>-5691</v>
      </c>
      <c r="E136" s="22" t="n">
        <v>-419</v>
      </c>
      <c r="F136" s="22" t="n">
        <v>-825</v>
      </c>
      <c r="G136" s="22" t="n">
        <v>-3639</v>
      </c>
      <c r="H136" s="22" t="n">
        <v>-6883</v>
      </c>
      <c r="I136" s="22" t="n">
        <v>-2541</v>
      </c>
      <c r="J136" s="22" t="n">
        <v>-2154</v>
      </c>
      <c r="K136" s="22" t="n">
        <v>-1726</v>
      </c>
      <c r="L136" s="22" t="n">
        <v>-1168</v>
      </c>
      <c r="M136" s="22" t="n">
        <v>1096</v>
      </c>
      <c r="N136" s="22" t="n">
        <v>1613</v>
      </c>
      <c r="V136" s="22" t="n">
        <v>-5691</v>
      </c>
      <c r="W136" s="22" t="n">
        <v>-6883</v>
      </c>
      <c r="X136" s="22" t="n">
        <v>-1168</v>
      </c>
    </row>
    <row r="137">
      <c r="A137" s="20" t="inlineStr">
        <is>
          <t>재고자산 증감</t>
        </is>
      </c>
      <c r="C137" s="22" t="n">
        <v>141975</v>
      </c>
      <c r="D137" s="22" t="n">
        <v>94472</v>
      </c>
      <c r="E137" s="22" t="n">
        <v>-31702</v>
      </c>
      <c r="F137" s="22" t="n">
        <v>-61776</v>
      </c>
      <c r="G137" s="22" t="n">
        <v>-72670</v>
      </c>
      <c r="H137" s="22" t="n">
        <v>-82092</v>
      </c>
      <c r="I137" s="22" t="n">
        <v>-18336</v>
      </c>
      <c r="J137" s="22" t="n">
        <v>-7595</v>
      </c>
      <c r="K137" s="22" t="n">
        <v>1996</v>
      </c>
      <c r="L137" s="22" t="n">
        <v>-55765</v>
      </c>
      <c r="M137" s="22" t="n">
        <v>-23004</v>
      </c>
      <c r="N137" s="22" t="n">
        <v>-33941</v>
      </c>
      <c r="V137" s="22" t="n">
        <v>94472</v>
      </c>
      <c r="W137" s="22" t="n">
        <v>-82092</v>
      </c>
      <c r="X137" s="22" t="n">
        <v>-55765</v>
      </c>
    </row>
    <row r="138">
      <c r="A138" s="20" t="inlineStr">
        <is>
          <t>매출채권 및 기타채권 증감액</t>
        </is>
      </c>
      <c r="C138" s="22" t="n">
        <v>-17551</v>
      </c>
      <c r="D138" s="22" t="n">
        <v>-24412</v>
      </c>
      <c r="E138" s="22" t="n">
        <v>-48364</v>
      </c>
      <c r="F138" s="22" t="n">
        <v>-80459</v>
      </c>
      <c r="G138" s="22" t="n">
        <v>-187030</v>
      </c>
      <c r="H138" s="22" t="n">
        <v>-89361</v>
      </c>
      <c r="I138" s="22" t="n">
        <v>24831</v>
      </c>
      <c r="J138" s="22" t="n">
        <v>4191</v>
      </c>
      <c r="K138" s="22" t="n">
        <v>-94645</v>
      </c>
      <c r="L138" s="22" t="n">
        <v>-397696</v>
      </c>
      <c r="M138" s="22" t="n">
        <v>-472052</v>
      </c>
      <c r="N138" s="22" t="n">
        <v>-1014370</v>
      </c>
      <c r="V138" s="22" t="n">
        <v>-24412</v>
      </c>
      <c r="W138" s="22" t="n">
        <v>-89361</v>
      </c>
      <c r="X138" s="22" t="n">
        <v>-397696</v>
      </c>
    </row>
    <row r="139">
      <c r="A139" s="20" t="inlineStr">
        <is>
          <t>매입채무 및 기타채무 증감액</t>
        </is>
      </c>
      <c r="C139" s="22" t="n">
        <v>33083</v>
      </c>
      <c r="D139" s="22" t="n">
        <v>75944</v>
      </c>
      <c r="E139" s="22" t="n">
        <v>45954</v>
      </c>
      <c r="F139" s="22" t="n">
        <v>36941</v>
      </c>
      <c r="G139" s="22" t="n">
        <v>66489</v>
      </c>
      <c r="H139" s="22" t="n">
        <v>-12373</v>
      </c>
      <c r="I139" s="22" t="n">
        <v>-8946</v>
      </c>
      <c r="J139" s="22" t="n">
        <v>14878</v>
      </c>
      <c r="K139" s="22" t="n">
        <v>77437</v>
      </c>
      <c r="L139" s="22" t="n">
        <v>53165</v>
      </c>
      <c r="M139" s="22" t="n">
        <v>14329</v>
      </c>
      <c r="N139" s="22" t="n">
        <v>87674</v>
      </c>
      <c r="V139" s="22" t="n">
        <v>75944</v>
      </c>
      <c r="W139" s="22" t="n">
        <v>-12373</v>
      </c>
      <c r="X139" s="22" t="n">
        <v>53165</v>
      </c>
    </row>
    <row r="140">
      <c r="A140" s="20" t="inlineStr">
        <is>
          <t>퇴직급여부채 증감</t>
        </is>
      </c>
      <c r="C140" s="22" t="n">
        <v>821</v>
      </c>
      <c r="D140" s="22" t="n">
        <v>-1652</v>
      </c>
      <c r="E140" s="22" t="n">
        <v>280</v>
      </c>
      <c r="F140" s="22" t="n">
        <v>435</v>
      </c>
      <c r="G140" s="22" t="n">
        <v>470</v>
      </c>
      <c r="H140" s="22" t="n">
        <v>376</v>
      </c>
      <c r="I140" s="22" t="n">
        <v>-161</v>
      </c>
      <c r="J140" s="22" t="n">
        <v>-342</v>
      </c>
      <c r="K140" s="22" t="n">
        <v>-416</v>
      </c>
      <c r="L140" s="22" t="n">
        <v>-744</v>
      </c>
      <c r="M140" s="22" t="n">
        <v>-29</v>
      </c>
      <c r="N140" s="22" t="n">
        <v>-643</v>
      </c>
      <c r="V140" s="22" t="n">
        <v>-1652</v>
      </c>
      <c r="W140" s="22" t="n">
        <v>376</v>
      </c>
      <c r="X140" s="22" t="n">
        <v>-744</v>
      </c>
    </row>
    <row r="141">
      <c r="A141" s="20" t="inlineStr">
        <is>
          <t>기타</t>
        </is>
      </c>
      <c r="C141" s="22" t="n">
        <v>-476</v>
      </c>
      <c r="D141" s="22" t="n">
        <v>-4297</v>
      </c>
      <c r="E141" s="22" t="n">
        <v>-23590</v>
      </c>
      <c r="F141" s="22" t="n">
        <v>-34287</v>
      </c>
      <c r="G141" s="22" t="n">
        <v>-600</v>
      </c>
      <c r="H141" s="22" t="n">
        <v>-8700</v>
      </c>
      <c r="I141" s="22" t="n">
        <v>10611</v>
      </c>
      <c r="J141" s="22" t="n">
        <v>-20193</v>
      </c>
      <c r="K141" s="22" t="n">
        <v>-40437</v>
      </c>
      <c r="L141" s="22" t="n">
        <v>-20703</v>
      </c>
      <c r="M141" s="22" t="n">
        <v>105854</v>
      </c>
      <c r="N141" s="22" t="n">
        <v>39919</v>
      </c>
      <c r="V141" s="22" t="n">
        <v>-4297</v>
      </c>
      <c r="W141" s="22" t="n">
        <v>-8700</v>
      </c>
      <c r="X141" s="22" t="n">
        <v>-20703</v>
      </c>
    </row>
    <row r="142">
      <c r="A142" s="20" t="inlineStr">
        <is>
          <t>소계</t>
        </is>
      </c>
      <c r="C142" s="22" t="n">
        <v>127849</v>
      </c>
      <c r="D142" s="22" t="n">
        <v>228496</v>
      </c>
      <c r="E142" s="22" t="n">
        <v>146513</v>
      </c>
      <c r="F142" s="22" t="n">
        <v>309611</v>
      </c>
      <c r="G142" s="22" t="n">
        <v>452433</v>
      </c>
      <c r="H142" s="22" t="n">
        <v>565052</v>
      </c>
      <c r="I142" s="22" t="n">
        <v>130414</v>
      </c>
      <c r="J142" s="22" t="n">
        <v>278570</v>
      </c>
      <c r="K142" s="22" t="n">
        <v>452416</v>
      </c>
      <c r="L142" s="22" t="n">
        <v>760650</v>
      </c>
      <c r="M142" s="22" t="n">
        <v>972322</v>
      </c>
      <c r="N142" s="22" t="n">
        <v>2499178</v>
      </c>
      <c r="V142" s="22" t="n">
        <v>228496</v>
      </c>
      <c r="W142" s="22" t="n">
        <v>565052</v>
      </c>
      <c r="X142" s="22" t="n">
        <v>760650</v>
      </c>
    </row>
    <row r="143">
      <c r="A143" s="20" t="inlineStr">
        <is>
          <t>이자·배당금 수취</t>
        </is>
      </c>
      <c r="C143" s="22" t="n">
        <v>2132</v>
      </c>
      <c r="D143" s="22" t="n">
        <v>2717</v>
      </c>
      <c r="E143" s="22" t="n">
        <v>294</v>
      </c>
      <c r="F143" s="22" t="n">
        <v>1513</v>
      </c>
      <c r="G143" s="22" t="n">
        <v>2010</v>
      </c>
      <c r="H143" s="22" t="n">
        <v>3366</v>
      </c>
      <c r="I143" s="22" t="n">
        <v>248</v>
      </c>
      <c r="J143" s="22" t="n">
        <v>2246</v>
      </c>
      <c r="K143" s="22" t="n">
        <v>3042</v>
      </c>
      <c r="L143" s="22" t="n">
        <v>4019</v>
      </c>
      <c r="M143" s="22" t="n">
        <v>387</v>
      </c>
      <c r="N143" s="22" t="n">
        <v>6278</v>
      </c>
      <c r="V143" s="22" t="n">
        <v>2717</v>
      </c>
      <c r="W143" s="22" t="n">
        <v>3366</v>
      </c>
      <c r="X143" s="22" t="n">
        <v>4019</v>
      </c>
    </row>
    <row r="144">
      <c r="A144" s="20" t="inlineStr">
        <is>
          <t>이자 지급</t>
        </is>
      </c>
      <c r="C144" s="22" t="n">
        <v>-23419</v>
      </c>
      <c r="D144" s="22" t="n">
        <v>-32333</v>
      </c>
      <c r="E144" s="22" t="n">
        <v>-46628</v>
      </c>
      <c r="F144" s="22" t="n">
        <v>-63171</v>
      </c>
      <c r="G144" s="22" t="n">
        <v>-73309</v>
      </c>
      <c r="H144" s="22" t="n">
        <v>-82409</v>
      </c>
      <c r="I144" s="22" t="n">
        <v>-32733</v>
      </c>
      <c r="J144" s="22" t="n">
        <v>-67405</v>
      </c>
      <c r="K144" s="22" t="n">
        <v>-75208</v>
      </c>
      <c r="L144" s="22" t="n">
        <v>-88709</v>
      </c>
      <c r="M144" s="22" t="n">
        <v>-5839</v>
      </c>
      <c r="N144" s="22" t="n">
        <v>-15150</v>
      </c>
      <c r="V144" s="22" t="n">
        <v>-32333</v>
      </c>
      <c r="W144" s="22" t="n">
        <v>-82409</v>
      </c>
      <c r="X144" s="22" t="n">
        <v>-88709</v>
      </c>
    </row>
    <row r="145">
      <c r="A145" s="20" t="inlineStr">
        <is>
          <t>Income Taxes Refund Paid Ope CF</t>
        </is>
      </c>
      <c r="C145" s="22" t="n">
        <v>-4677</v>
      </c>
      <c r="D145" s="22" t="n">
        <v>-3769</v>
      </c>
      <c r="E145" s="22" t="n">
        <v>-5037</v>
      </c>
      <c r="F145" s="22" t="n">
        <v>-6088</v>
      </c>
      <c r="G145" s="22" t="n">
        <v>-8574</v>
      </c>
      <c r="H145" s="22" t="n">
        <v>-9593</v>
      </c>
      <c r="I145" s="22" t="n">
        <v>-36823</v>
      </c>
      <c r="J145" s="22" t="n">
        <v>-38259</v>
      </c>
      <c r="K145" s="22" t="n">
        <v>-58083</v>
      </c>
      <c r="L145" s="22" t="n">
        <v>-59420</v>
      </c>
      <c r="M145" s="22" t="n">
        <v>-100533</v>
      </c>
      <c r="N145" s="22" t="n">
        <v>-110726</v>
      </c>
      <c r="V145" s="22" t="n">
        <v>-3769</v>
      </c>
      <c r="W145" s="22" t="n">
        <v>-9593</v>
      </c>
      <c r="X145" s="22" t="n">
        <v>-59420</v>
      </c>
    </row>
    <row r="146">
      <c r="A146" s="9" t="inlineStr">
        <is>
          <t>영업활동 현금흐름</t>
        </is>
      </c>
      <c r="C146" s="12" t="n">
        <v>101885</v>
      </c>
      <c r="D146" s="12" t="n">
        <v>195111</v>
      </c>
      <c r="E146" s="12" t="n">
        <v>95142</v>
      </c>
      <c r="F146" s="12" t="n">
        <v>241865</v>
      </c>
      <c r="G146" s="12" t="n">
        <v>372560</v>
      </c>
      <c r="H146" s="12" t="n">
        <v>476416</v>
      </c>
      <c r="I146" s="12" t="n">
        <v>61106</v>
      </c>
      <c r="J146" s="12" t="n">
        <v>175152</v>
      </c>
      <c r="K146" s="12" t="n">
        <v>322167</v>
      </c>
      <c r="L146" s="12" t="n">
        <v>616540</v>
      </c>
      <c r="M146" s="12" t="n">
        <v>866337</v>
      </c>
      <c r="N146" s="12" t="n">
        <v>2379580</v>
      </c>
      <c r="V146" s="12" t="n">
        <v>195111</v>
      </c>
      <c r="W146" s="12" t="n">
        <v>476416</v>
      </c>
      <c r="X146" s="12" t="n">
        <v>616540</v>
      </c>
    </row>
    <row r="147">
      <c r="A147" s="20" t="inlineStr">
        <is>
          <t>유형자산 취득(설비투자)</t>
        </is>
      </c>
      <c r="C147" s="22" t="n">
        <v>-261095</v>
      </c>
      <c r="D147" s="22" t="n">
        <v>-304436</v>
      </c>
      <c r="E147" s="22" t="n">
        <v>-46091</v>
      </c>
      <c r="F147" s="22" t="n">
        <v>-87252</v>
      </c>
      <c r="G147" s="22" t="n">
        <v>-145000</v>
      </c>
      <c r="H147" s="22" t="n">
        <v>-223847</v>
      </c>
      <c r="I147" s="22" t="n">
        <v>-52512</v>
      </c>
      <c r="J147" s="22" t="n">
        <v>-143127</v>
      </c>
      <c r="K147" s="22" t="n">
        <v>-213688</v>
      </c>
      <c r="L147" s="22" t="n">
        <v>-281062</v>
      </c>
      <c r="M147" s="22" t="n">
        <v>-51176</v>
      </c>
      <c r="N147" s="22" t="n">
        <v>-135296</v>
      </c>
      <c r="V147" s="22" t="n">
        <v>-304436</v>
      </c>
      <c r="W147" s="22" t="n">
        <v>-223847</v>
      </c>
      <c r="X147" s="22" t="n">
        <v>-281062</v>
      </c>
    </row>
    <row r="148">
      <c r="A148" s="20" t="inlineStr">
        <is>
          <t>유형자산 매각</t>
        </is>
      </c>
      <c r="C148" s="22" t="n">
        <v>1554</v>
      </c>
      <c r="D148" s="22" t="n">
        <v>11346</v>
      </c>
      <c r="E148" s="22" t="n">
        <v>724</v>
      </c>
      <c r="F148" s="22" t="n">
        <v>1623</v>
      </c>
      <c r="G148" s="22" t="n">
        <v>4072</v>
      </c>
      <c r="H148" s="22" t="n">
        <v>8820</v>
      </c>
      <c r="I148" s="22" t="n">
        <v>3945</v>
      </c>
      <c r="J148" s="22" t="n">
        <v>4820</v>
      </c>
      <c r="K148" s="22" t="n">
        <v>5847</v>
      </c>
      <c r="L148" s="22" t="n">
        <v>6254</v>
      </c>
      <c r="M148" s="22" t="n">
        <v>1217</v>
      </c>
      <c r="N148" s="22" t="n">
        <v>1329</v>
      </c>
      <c r="V148" s="22" t="n">
        <v>11346</v>
      </c>
      <c r="W148" s="22" t="n">
        <v>8820</v>
      </c>
      <c r="X148" s="22" t="n">
        <v>6254</v>
      </c>
    </row>
    <row r="149">
      <c r="A149" s="20" t="inlineStr">
        <is>
          <t>무형자산 취득 지출</t>
        </is>
      </c>
      <c r="C149" s="22" t="n">
        <v>-529</v>
      </c>
      <c r="D149" s="22" t="n">
        <v>-661</v>
      </c>
      <c r="E149" s="22" t="n">
        <v>-75</v>
      </c>
      <c r="F149" s="22" t="n">
        <v>-204</v>
      </c>
      <c r="G149" s="22" t="n">
        <v>-302</v>
      </c>
      <c r="H149" s="22" t="n">
        <v>-1756</v>
      </c>
      <c r="I149" s="22" t="n">
        <v>-1065</v>
      </c>
      <c r="J149" s="22" t="n">
        <v>-1923</v>
      </c>
      <c r="K149" s="22" t="n">
        <v>-2295</v>
      </c>
      <c r="L149" s="22" t="n">
        <v>-2612</v>
      </c>
      <c r="M149" s="22" t="n">
        <v>-1226</v>
      </c>
      <c r="N149" s="22" t="n">
        <v>-1684</v>
      </c>
      <c r="V149" s="22" t="n">
        <v>-661</v>
      </c>
      <c r="W149" s="22" t="n">
        <v>-1756</v>
      </c>
      <c r="X149" s="22" t="n">
        <v>-2612</v>
      </c>
    </row>
    <row r="150">
      <c r="A150" s="20" t="inlineStr">
        <is>
          <t>정부보조금 수입</t>
        </is>
      </c>
      <c r="E150" s="22" t="n">
        <v>14398</v>
      </c>
      <c r="I150" s="22" t="n">
        <v>15525</v>
      </c>
    </row>
    <row r="151">
      <c r="A151" s="20" t="inlineStr">
        <is>
          <t>정부보조금 수입</t>
        </is>
      </c>
      <c r="C151" s="22" t="n">
        <v>10846</v>
      </c>
      <c r="D151" s="22" t="n">
        <v>18562</v>
      </c>
      <c r="F151" s="22" t="n">
        <v>22966</v>
      </c>
      <c r="G151" s="22" t="n">
        <v>25436</v>
      </c>
      <c r="H151" s="22" t="n">
        <v>43748</v>
      </c>
      <c r="I151" s="22" t="n">
        <v>15525</v>
      </c>
      <c r="J151" s="22" t="n">
        <v>33355</v>
      </c>
      <c r="K151" s="22" t="n">
        <v>41934</v>
      </c>
      <c r="L151" s="22" t="n">
        <v>56396</v>
      </c>
      <c r="M151" s="22" t="n">
        <v>12026</v>
      </c>
      <c r="N151" s="22" t="n">
        <v>21276</v>
      </c>
      <c r="V151" s="22" t="n">
        <v>18562</v>
      </c>
      <c r="W151" s="22" t="n">
        <v>43748</v>
      </c>
      <c r="X151" s="22" t="n">
        <v>56396</v>
      </c>
    </row>
    <row r="152">
      <c r="A152" s="20" t="inlineStr">
        <is>
          <t>기타 금융자산 취득</t>
        </is>
      </c>
      <c r="I152" s="22" t="n">
        <v>0</v>
      </c>
      <c r="J152" s="22" t="n">
        <v>0</v>
      </c>
      <c r="M152" s="22" t="n">
        <v>-78220</v>
      </c>
      <c r="N152" s="22" t="n">
        <v>-78220</v>
      </c>
    </row>
    <row r="153">
      <c r="A153" s="20" t="inlineStr">
        <is>
          <t>기타</t>
        </is>
      </c>
      <c r="C153" s="22" t="n">
        <v>119</v>
      </c>
      <c r="D153" s="22" t="n">
        <v>336</v>
      </c>
      <c r="E153" s="22" t="n">
        <v>6</v>
      </c>
      <c r="F153" s="22" t="n">
        <v>25</v>
      </c>
      <c r="G153" s="22" t="n">
        <v>36</v>
      </c>
      <c r="H153" s="22" t="n">
        <v>24</v>
      </c>
      <c r="I153" s="22" t="n">
        <v>-15</v>
      </c>
      <c r="J153" s="22" t="n">
        <v>-7</v>
      </c>
      <c r="K153" s="22" t="n">
        <v>10</v>
      </c>
      <c r="L153" s="22" t="n">
        <v>-488</v>
      </c>
      <c r="M153" s="22" t="n">
        <v>61</v>
      </c>
      <c r="N153" s="22" t="n">
        <v>-427</v>
      </c>
      <c r="V153" s="22" t="n">
        <v>336</v>
      </c>
      <c r="W153" s="22" t="n">
        <v>24</v>
      </c>
      <c r="X153" s="22" t="n">
        <v>-488</v>
      </c>
    </row>
    <row r="154">
      <c r="A154" s="9" t="inlineStr">
        <is>
          <t>투자활동 현금흐름</t>
        </is>
      </c>
      <c r="C154" s="12" t="n">
        <v>-249105</v>
      </c>
      <c r="D154" s="12" t="n">
        <v>-274853</v>
      </c>
      <c r="E154" s="12" t="n">
        <v>-31038</v>
      </c>
      <c r="F154" s="12" t="n">
        <v>-62842</v>
      </c>
      <c r="G154" s="12" t="n">
        <v>-115758</v>
      </c>
      <c r="H154" s="12" t="n">
        <v>-173011</v>
      </c>
      <c r="I154" s="12" t="n">
        <v>-34122</v>
      </c>
      <c r="J154" s="12" t="n">
        <v>-106882</v>
      </c>
      <c r="K154" s="12" t="n">
        <v>-168192</v>
      </c>
      <c r="L154" s="12" t="n">
        <v>-221512</v>
      </c>
      <c r="M154" s="12" t="n">
        <v>-117318</v>
      </c>
      <c r="N154" s="12" t="n">
        <v>-193022</v>
      </c>
      <c r="V154" s="12" t="n">
        <v>-274853</v>
      </c>
      <c r="W154" s="12" t="n">
        <v>-173011</v>
      </c>
      <c r="X154" s="12" t="n">
        <v>-221512</v>
      </c>
    </row>
    <row r="155">
      <c r="A155" s="20" t="inlineStr">
        <is>
          <t>Net Increase Decrease In Short Term Borrowings And Revolving Credit Facility Balances Executed Fin CF</t>
        </is>
      </c>
      <c r="F155" s="22" t="n">
        <v>-93806</v>
      </c>
      <c r="G155" s="22" t="n">
        <v>-126400</v>
      </c>
      <c r="H155" s="22" t="n">
        <v>-126400</v>
      </c>
      <c r="J155" s="22" t="n">
        <v>0</v>
      </c>
      <c r="K155" s="22" t="n">
        <v>0</v>
      </c>
      <c r="L155" s="22" t="n">
        <v>0</v>
      </c>
      <c r="W155" s="22" t="n">
        <v>-126400</v>
      </c>
      <c r="X155" s="22" t="n">
        <v>0</v>
      </c>
    </row>
    <row r="156">
      <c r="A156" s="20" t="inlineStr">
        <is>
          <t>단기차입금 순증감</t>
        </is>
      </c>
      <c r="C156" s="22" t="n">
        <v>191065</v>
      </c>
      <c r="D156" s="22" t="n">
        <v>91082</v>
      </c>
      <c r="E156" s="22" t="n">
        <v>-12564</v>
      </c>
      <c r="G156" s="22" t="n">
        <v>-126400</v>
      </c>
      <c r="H156" s="22" t="n">
        <v>-126400</v>
      </c>
      <c r="I156" s="22" t="n">
        <v>10000</v>
      </c>
      <c r="M156" s="22" t="n">
        <v>0</v>
      </c>
      <c r="V156" s="22" t="n">
        <v>91082</v>
      </c>
      <c r="W156" s="22" t="n">
        <v>-126400</v>
      </c>
    </row>
    <row r="157">
      <c r="A157" s="20" t="inlineStr">
        <is>
          <t>Proceeds From Long Term Borrowings Fin CF</t>
        </is>
      </c>
      <c r="C157" s="22" t="n">
        <v>95438</v>
      </c>
      <c r="D157" s="22" t="n">
        <v>168148</v>
      </c>
      <c r="E157" s="22" t="n">
        <v>12749</v>
      </c>
      <c r="F157" s="22" t="n">
        <v>26448</v>
      </c>
      <c r="G157" s="22" t="n">
        <v>47667</v>
      </c>
      <c r="H157" s="22" t="n">
        <v>68020</v>
      </c>
      <c r="I157" s="22" t="n">
        <v>43487</v>
      </c>
      <c r="J157" s="22" t="n">
        <v>507212</v>
      </c>
      <c r="K157" s="22" t="n">
        <v>516161</v>
      </c>
      <c r="L157" s="22" t="n">
        <v>535637</v>
      </c>
      <c r="M157" s="22" t="n">
        <v>7498</v>
      </c>
      <c r="N157" s="22" t="n">
        <v>77498</v>
      </c>
      <c r="V157" s="22" t="n">
        <v>168148</v>
      </c>
      <c r="W157" s="22" t="n">
        <v>68020</v>
      </c>
      <c r="X157" s="22" t="n">
        <v>535637</v>
      </c>
    </row>
    <row r="158">
      <c r="A158" s="20" t="inlineStr">
        <is>
          <t>장기차입금 상환</t>
        </is>
      </c>
      <c r="C158" s="22" t="n">
        <v>-171143</v>
      </c>
      <c r="D158" s="22" t="n">
        <v>-228461</v>
      </c>
      <c r="E158" s="22" t="n">
        <v>-77151</v>
      </c>
      <c r="F158" s="22" t="n">
        <v>-140137</v>
      </c>
      <c r="G158" s="22" t="n">
        <v>-202745</v>
      </c>
      <c r="H158" s="22" t="n">
        <v>-265879</v>
      </c>
      <c r="I158" s="22" t="n">
        <v>-63499</v>
      </c>
      <c r="J158" s="22" t="n">
        <v>-498817</v>
      </c>
      <c r="K158" s="22" t="n">
        <v>-549792</v>
      </c>
      <c r="L158" s="22" t="n">
        <v>-616429</v>
      </c>
      <c r="M158" s="22" t="n">
        <v>-433226</v>
      </c>
      <c r="N158" s="22" t="n">
        <v>-523094</v>
      </c>
      <c r="V158" s="22" t="n">
        <v>-228461</v>
      </c>
      <c r="W158" s="22" t="n">
        <v>-265879</v>
      </c>
      <c r="X158" s="22" t="n">
        <v>-616429</v>
      </c>
    </row>
    <row r="159">
      <c r="A159" s="20" t="inlineStr">
        <is>
          <t>사채 발행</t>
        </is>
      </c>
      <c r="F159" s="22" t="n">
        <v>0</v>
      </c>
      <c r="G159" s="22" t="n">
        <v>0</v>
      </c>
      <c r="H159" s="22" t="n">
        <v>0</v>
      </c>
      <c r="J159" s="22" t="n">
        <v>326656</v>
      </c>
      <c r="K159" s="22" t="n">
        <v>326656</v>
      </c>
      <c r="L159" s="22" t="n">
        <v>326656</v>
      </c>
      <c r="N159" s="22" t="n">
        <v>0</v>
      </c>
      <c r="W159" s="22" t="n">
        <v>0</v>
      </c>
      <c r="X159" s="22" t="n">
        <v>326656</v>
      </c>
    </row>
    <row r="160">
      <c r="A160" s="20" t="inlineStr">
        <is>
          <t>리스부채 상환 지출</t>
        </is>
      </c>
      <c r="C160" s="22" t="n">
        <v>-20651</v>
      </c>
      <c r="D160" s="22" t="n">
        <v>-27531</v>
      </c>
      <c r="E160" s="22" t="n">
        <v>-7191</v>
      </c>
      <c r="F160" s="22" t="n">
        <v>-14223</v>
      </c>
      <c r="G160" s="22" t="n">
        <v>-20666</v>
      </c>
      <c r="H160" s="22" t="n">
        <v>-28787</v>
      </c>
      <c r="I160" s="22" t="n">
        <v>-7455</v>
      </c>
      <c r="J160" s="22" t="n">
        <v>-14712</v>
      </c>
      <c r="K160" s="22" t="n">
        <v>-22554</v>
      </c>
      <c r="L160" s="22" t="n">
        <v>-30528</v>
      </c>
      <c r="M160" s="22" t="n">
        <v>-7929</v>
      </c>
      <c r="N160" s="22" t="n">
        <v>-15935</v>
      </c>
      <c r="V160" s="22" t="n">
        <v>-27531</v>
      </c>
      <c r="W160" s="22" t="n">
        <v>-28787</v>
      </c>
      <c r="X160" s="22" t="n">
        <v>-30528</v>
      </c>
    </row>
    <row r="161">
      <c r="A161" s="20" t="inlineStr">
        <is>
          <t>Redemption Of Preferred Shares Fin CF</t>
        </is>
      </c>
      <c r="F161" s="22" t="n">
        <v>0</v>
      </c>
      <c r="G161" s="22" t="n">
        <v>0</v>
      </c>
      <c r="H161" s="22" t="n">
        <v>0</v>
      </c>
      <c r="J161" s="22" t="n">
        <v>-322996</v>
      </c>
      <c r="K161" s="22" t="n">
        <v>-322996</v>
      </c>
      <c r="L161" s="22" t="n">
        <v>-322996</v>
      </c>
      <c r="N161" s="22" t="n">
        <v>0</v>
      </c>
      <c r="W161" s="22" t="n">
        <v>0</v>
      </c>
      <c r="X161" s="22" t="n">
        <v>-322996</v>
      </c>
    </row>
    <row r="162">
      <c r="A162" s="20" t="inlineStr">
        <is>
          <t>주식 발행</t>
        </is>
      </c>
      <c r="C162" s="22" t="n">
        <v>0</v>
      </c>
      <c r="D162" s="22" t="n">
        <v>0</v>
      </c>
      <c r="E162" s="22" t="n">
        <v>0</v>
      </c>
      <c r="F162" s="22" t="n">
        <v>0</v>
      </c>
      <c r="G162" s="22" t="n">
        <v>29879</v>
      </c>
      <c r="H162" s="22" t="n">
        <v>30367</v>
      </c>
      <c r="I162" s="22" t="n">
        <v>190</v>
      </c>
      <c r="J162" s="22" t="n">
        <v>651</v>
      </c>
      <c r="K162" s="22" t="n">
        <v>8891</v>
      </c>
      <c r="L162" s="22" t="n">
        <v>11588</v>
      </c>
      <c r="M162" s="22" t="n">
        <v>3311</v>
      </c>
      <c r="N162" s="22" t="n">
        <v>4479</v>
      </c>
      <c r="V162" s="22" t="n">
        <v>0</v>
      </c>
      <c r="W162" s="22" t="n">
        <v>30367</v>
      </c>
      <c r="X162" s="22" t="n">
        <v>11588</v>
      </c>
    </row>
    <row r="163">
      <c r="A163" s="20" t="inlineStr">
        <is>
          <t>자기주식 취득</t>
        </is>
      </c>
      <c r="G163" s="22" t="n">
        <v>0</v>
      </c>
      <c r="H163" s="22" t="n">
        <v>0</v>
      </c>
      <c r="I163" s="22" t="n">
        <v>0</v>
      </c>
      <c r="J163" s="22" t="n">
        <v>0</v>
      </c>
      <c r="K163" s="22" t="n">
        <v>-0</v>
      </c>
      <c r="L163" s="22" t="n">
        <v>-2</v>
      </c>
      <c r="M163" s="22" t="n">
        <v>-18</v>
      </c>
      <c r="N163" s="22" t="n">
        <v>-800342</v>
      </c>
      <c r="W163" s="22" t="n">
        <v>0</v>
      </c>
      <c r="X163" s="22" t="n">
        <v>-2</v>
      </c>
    </row>
    <row r="164">
      <c r="A164" s="9" t="inlineStr">
        <is>
          <t>재무활동 현금흐름</t>
        </is>
      </c>
      <c r="C164" s="12" t="n">
        <v>94709</v>
      </c>
      <c r="D164" s="12" t="n">
        <v>3238</v>
      </c>
      <c r="E164" s="12" t="n">
        <v>-84157</v>
      </c>
      <c r="F164" s="12" t="n">
        <v>-221718</v>
      </c>
      <c r="G164" s="12" t="n">
        <v>-272265</v>
      </c>
      <c r="H164" s="12" t="n">
        <v>-322679</v>
      </c>
      <c r="I164" s="12" t="n">
        <v>-17277</v>
      </c>
      <c r="J164" s="12" t="n">
        <v>-2006</v>
      </c>
      <c r="K164" s="12" t="n">
        <v>-43634</v>
      </c>
      <c r="L164" s="12" t="n">
        <v>-96074</v>
      </c>
      <c r="M164" s="12" t="n">
        <v>-430364</v>
      </c>
      <c r="N164" s="12" t="n">
        <v>-1257394</v>
      </c>
      <c r="V164" s="12" t="n">
        <v>3238</v>
      </c>
      <c r="W164" s="12" t="n">
        <v>-322679</v>
      </c>
      <c r="X164" s="12" t="n">
        <v>-96074</v>
      </c>
    </row>
    <row r="165">
      <c r="A165" s="20" t="inlineStr">
        <is>
          <t>현금성자산 환산차이</t>
        </is>
      </c>
      <c r="C165" s="22" t="n">
        <v>874</v>
      </c>
      <c r="D165" s="22" t="n">
        <v>2746</v>
      </c>
      <c r="E165" s="22" t="n">
        <v>2533</v>
      </c>
      <c r="F165" s="22" t="n">
        <v>-1204</v>
      </c>
      <c r="G165" s="22" t="n">
        <v>2170</v>
      </c>
      <c r="H165" s="22" t="n">
        <v>-387</v>
      </c>
      <c r="I165" s="22" t="n">
        <v>782</v>
      </c>
      <c r="J165" s="22" t="n">
        <v>1350</v>
      </c>
      <c r="K165" s="22" t="n">
        <v>3254</v>
      </c>
      <c r="L165" s="22" t="n">
        <v>3821</v>
      </c>
      <c r="M165" s="22" t="n">
        <v>1652</v>
      </c>
      <c r="N165" s="22" t="n">
        <v>-2538</v>
      </c>
      <c r="V165" s="22" t="n">
        <v>2746</v>
      </c>
      <c r="W165" s="22" t="n">
        <v>-387</v>
      </c>
      <c r="X165" s="22" t="n">
        <v>3821</v>
      </c>
    </row>
    <row r="166">
      <c r="A166" s="20" t="inlineStr">
        <is>
          <t>현금성자산 증감</t>
        </is>
      </c>
      <c r="C166" s="22" t="n">
        <v>-51637</v>
      </c>
      <c r="D166" s="22" t="n">
        <v>-73758</v>
      </c>
      <c r="E166" s="22" t="n">
        <v>-17520</v>
      </c>
      <c r="F166" s="22" t="n">
        <v>-43899</v>
      </c>
      <c r="G166" s="22" t="n">
        <v>-13293</v>
      </c>
      <c r="H166" s="22" t="n">
        <v>-19661</v>
      </c>
      <c r="I166" s="22" t="n">
        <v>10489</v>
      </c>
      <c r="J166" s="22" t="n">
        <v>67614</v>
      </c>
      <c r="K166" s="22" t="n">
        <v>113595</v>
      </c>
      <c r="L166" s="22" t="n">
        <v>302775</v>
      </c>
      <c r="M166" s="22" t="n">
        <v>320307</v>
      </c>
      <c r="N166" s="22" t="n">
        <v>926626</v>
      </c>
      <c r="V166" s="22" t="n">
        <v>-73758</v>
      </c>
      <c r="W166" s="22" t="n">
        <v>-19661</v>
      </c>
      <c r="X166" s="22" t="n">
        <v>302775</v>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J114"/>
  <sheetViews>
    <sheetView showGridLines="0" zoomScale="85" workbookViewId="0">
      <pane xSplit="2" ySplit="3" topLeftCell="C4" activePane="bottomRight" state="frozen"/>
      <selection pane="topRight"/>
      <selection pane="bottomLeft"/>
      <selection pane="bottomRight" activeCell="A1" sqref="A1"/>
    </sheetView>
  </sheetViews>
  <sheetFormatPr baseColWidth="8" defaultRowHeight="15"/>
  <cols>
    <col width="24" customWidth="1" min="1" max="1"/>
    <col width="20" customWidth="1" min="2" max="2"/>
    <col outlineLevel="1" width="11" customWidth="1" min="3" max="3"/>
    <col outlineLevel="1" width="11" customWidth="1" min="4" max="4"/>
    <col outlineLevel="1" width="11" customWidth="1" min="5" max="5"/>
    <col outlineLevel="1" width="11" customWidth="1" min="6" max="6"/>
    <col outlineLevel="1" width="11" customWidth="1" min="7" max="7"/>
    <col width="11" customWidth="1" min="8" max="8"/>
    <col width="11" customWidth="1" min="9" max="9"/>
    <col width="11" customWidth="1" min="10" max="10"/>
  </cols>
  <sheetData>
    <row r="1" ht="30" customHeight="1">
      <c r="A1" s="1" t="inlineStr">
        <is>
          <t>285A 재무상태표</t>
        </is>
      </c>
    </row>
    <row r="2">
      <c r="A2" s="46" t="inlineStr">
        <is>
          <t>재무비율은 기말 잔액 기준 · 분기 손익은 최근 4분기 합산(TTM)</t>
        </is>
      </c>
      <c r="B2" s="3" t="inlineStr">
        <is>
          <t>(단위: 백만엔)</t>
        </is>
      </c>
    </row>
    <row r="3">
      <c r="A3" s="5" t="inlineStr">
        <is>
          <t>항목</t>
        </is>
      </c>
      <c r="B3" s="5" t="inlineStr">
        <is>
          <t>참고</t>
        </is>
      </c>
      <c r="C3" s="6" t="inlineStr">
        <is>
          <t>2026.1Q</t>
        </is>
      </c>
      <c r="D3" s="5" t="inlineStr">
        <is>
          <t>2026.2Q</t>
        </is>
      </c>
      <c r="E3" s="5" t="inlineStr">
        <is>
          <t>2026.3Q</t>
        </is>
      </c>
      <c r="F3" s="5" t="inlineStr">
        <is>
          <t>2026.4Q</t>
        </is>
      </c>
      <c r="G3" s="5" t="inlineStr">
        <is>
          <t>2027.1Q</t>
        </is>
      </c>
      <c r="H3" s="6" t="inlineStr">
        <is>
          <t>2024</t>
        </is>
      </c>
      <c r="I3" s="5" t="inlineStr">
        <is>
          <t>2025</t>
        </is>
      </c>
      <c r="J3" s="5" t="inlineStr">
        <is>
          <t>2026</t>
        </is>
      </c>
    </row>
    <row r="4">
      <c r="A4" s="18" t="inlineStr">
        <is>
          <t>자산</t>
        </is>
      </c>
      <c r="B4" s="18" t="n"/>
      <c r="C4" s="19" t="n"/>
      <c r="D4" s="18" t="n"/>
      <c r="E4" s="18" t="n"/>
      <c r="F4" s="18" t="n"/>
      <c r="G4" s="18" t="n"/>
      <c r="H4" s="19" t="n"/>
      <c r="I4" s="18" t="n"/>
      <c r="J4" s="18" t="n"/>
    </row>
    <row r="5">
      <c r="A5" s="9" t="inlineStr">
        <is>
          <t>유동자산</t>
        </is>
      </c>
      <c r="B5" s="10" t="n"/>
      <c r="C5" s="11" t="n">
        <v>890275</v>
      </c>
      <c r="D5" s="12" t="n"/>
      <c r="E5" s="12" t="n">
        <v>1617829</v>
      </c>
      <c r="F5" s="12" t="n">
        <v>1617829</v>
      </c>
      <c r="G5" s="12" t="n">
        <v>3596711</v>
      </c>
      <c r="H5" s="11" t="n">
        <v>651375</v>
      </c>
      <c r="I5" s="12" t="n">
        <v>806709</v>
      </c>
      <c r="J5" s="12" t="n">
        <v>1617829</v>
      </c>
    </row>
    <row r="6">
      <c r="A6" s="20" t="inlineStr">
        <is>
          <t>현금및현금성자산</t>
        </is>
      </c>
      <c r="B6" s="10" t="n"/>
      <c r="C6" s="21" t="n">
        <v>235546</v>
      </c>
      <c r="D6" s="22" t="n"/>
      <c r="E6" s="22" t="n">
        <v>470707</v>
      </c>
      <c r="F6" s="22" t="n">
        <v>470707</v>
      </c>
      <c r="G6" s="22" t="n">
        <v>1397333</v>
      </c>
      <c r="H6" s="21" t="n">
        <v>187593</v>
      </c>
      <c r="I6" s="22" t="n">
        <v>167932</v>
      </c>
      <c r="J6" s="22" t="n">
        <v>470707</v>
      </c>
    </row>
    <row r="7">
      <c r="A7" s="20" t="inlineStr">
        <is>
          <t>단기금융상품</t>
        </is>
      </c>
      <c r="B7" s="10" t="n"/>
      <c r="C7" s="21" t="n">
        <v>3929</v>
      </c>
      <c r="D7" s="22" t="n"/>
      <c r="E7" s="22" t="n">
        <v>7191</v>
      </c>
      <c r="F7" s="22" t="n">
        <v>7191</v>
      </c>
      <c r="G7" s="22" t="n">
        <v>23005</v>
      </c>
      <c r="H7" s="21" t="n">
        <v>5353</v>
      </c>
      <c r="I7" s="22" t="n">
        <v>3971</v>
      </c>
      <c r="J7" s="22" t="n">
        <v>7191</v>
      </c>
    </row>
    <row r="8">
      <c r="A8" s="20" t="inlineStr">
        <is>
          <t>매출채권</t>
        </is>
      </c>
      <c r="B8" s="10" t="n"/>
      <c r="C8" s="21" t="n">
        <v>236412</v>
      </c>
      <c r="D8" s="22" t="n"/>
      <c r="E8" s="22" t="n">
        <v>660559</v>
      </c>
      <c r="F8" s="22" t="n">
        <v>660559</v>
      </c>
      <c r="G8" s="22" t="n">
        <v>1648356</v>
      </c>
      <c r="H8" s="21" t="n">
        <v>149815</v>
      </c>
      <c r="I8" s="22" t="n">
        <v>238594</v>
      </c>
      <c r="J8" s="22" t="n">
        <v>660559</v>
      </c>
    </row>
    <row r="9">
      <c r="A9" s="20" t="inlineStr">
        <is>
          <t>재고자산</t>
        </is>
      </c>
      <c r="B9" s="10" t="n"/>
      <c r="C9" s="21" t="n">
        <v>361634</v>
      </c>
      <c r="D9" s="22" t="n"/>
      <c r="E9" s="22" t="n">
        <v>412612</v>
      </c>
      <c r="F9" s="22" t="n">
        <v>412612</v>
      </c>
      <c r="G9" s="22" t="n">
        <v>446026</v>
      </c>
      <c r="H9" s="21" t="n">
        <v>271781</v>
      </c>
      <c r="I9" s="22" t="n">
        <v>352863</v>
      </c>
      <c r="J9" s="22" t="n">
        <v>412612</v>
      </c>
    </row>
    <row r="10">
      <c r="A10" s="20" t="inlineStr">
        <is>
          <t>기타유동자산</t>
        </is>
      </c>
      <c r="B10" s="10" t="inlineStr">
        <is>
          <t>총계 − 위 항목</t>
        </is>
      </c>
      <c r="C10" s="21">
        <f>IF(OR(C5=""),"",IFERROR(C5-SUM(C6,C7,C8,C9),""))</f>
        <v/>
      </c>
      <c r="D10" s="22">
        <f>IF(OR(D5=""),"",IFERROR(D5-SUM(D6,D7,D8,D9),""))</f>
        <v/>
      </c>
      <c r="E10" s="22">
        <f>IF(OR(E5=""),"",IFERROR(E5-SUM(E6,E7,E8,E9),""))</f>
        <v/>
      </c>
      <c r="F10" s="22">
        <f>IF(OR(F5=""),"",IFERROR(F5-SUM(F6,F7,F8,F9),""))</f>
        <v/>
      </c>
      <c r="G10" s="22">
        <f>IF(OR(G5=""),"",IFERROR(G5-SUM(G6,G7,G8,G9),""))</f>
        <v/>
      </c>
      <c r="H10" s="21">
        <f>IF(OR(H5=""),"",IFERROR(H5-SUM(H6,H7,H8,H9),""))</f>
        <v/>
      </c>
      <c r="I10" s="22">
        <f>IF(OR(I5=""),"",IFERROR(I5-SUM(I6,I7,I8,I9),""))</f>
        <v/>
      </c>
      <c r="J10" s="22">
        <f>IF(OR(J5=""),"",IFERROR(J5-SUM(J6,J7,J8,J9),""))</f>
        <v/>
      </c>
    </row>
    <row r="11">
      <c r="A11" s="9" t="inlineStr">
        <is>
          <t>비유동자산</t>
        </is>
      </c>
      <c r="B11" s="10" t="n"/>
      <c r="C11" s="11" t="n">
        <v>2091944</v>
      </c>
      <c r="D11" s="12" t="n"/>
      <c r="E11" s="12" t="n">
        <v>2072242</v>
      </c>
      <c r="F11" s="12" t="n">
        <v>2072242</v>
      </c>
      <c r="G11" s="12" t="n">
        <v>2287174</v>
      </c>
      <c r="H11" s="11" t="n">
        <v>2213566</v>
      </c>
      <c r="I11" s="12" t="n">
        <v>2112970</v>
      </c>
      <c r="J11" s="12" t="n">
        <v>2072242</v>
      </c>
    </row>
    <row r="12">
      <c r="A12" s="20" t="inlineStr">
        <is>
          <t>유형자산</t>
        </is>
      </c>
      <c r="B12" s="10" t="n"/>
      <c r="C12" s="21" t="n">
        <v>1068664</v>
      </c>
      <c r="D12" s="22" t="n"/>
      <c r="E12" s="22" t="n">
        <v>1055255</v>
      </c>
      <c r="F12" s="22" t="n">
        <v>1055255</v>
      </c>
      <c r="G12" s="22" t="n">
        <v>1109724</v>
      </c>
      <c r="H12" s="21" t="n">
        <v>1168765</v>
      </c>
      <c r="I12" s="22" t="n">
        <v>1100181</v>
      </c>
      <c r="J12" s="22" t="n">
        <v>1055255</v>
      </c>
    </row>
    <row r="13">
      <c r="A13" s="20" t="inlineStr">
        <is>
          <t>무형자산</t>
        </is>
      </c>
      <c r="B13" s="10" t="n"/>
      <c r="C13" s="21" t="n">
        <v>11244</v>
      </c>
      <c r="D13" s="22" t="n"/>
      <c r="E13" s="22" t="n">
        <v>11192</v>
      </c>
      <c r="F13" s="22" t="n">
        <v>11192</v>
      </c>
      <c r="G13" s="22" t="n">
        <v>11772</v>
      </c>
      <c r="H13" s="21" t="n">
        <v>11259</v>
      </c>
      <c r="I13" s="22" t="n">
        <v>10658</v>
      </c>
      <c r="J13" s="22" t="n">
        <v>11192</v>
      </c>
    </row>
    <row r="14">
      <c r="A14" s="20" t="inlineStr">
        <is>
          <t>투자부동산</t>
        </is>
      </c>
      <c r="B14" s="10" t="n"/>
      <c r="C14" s="21" t="n"/>
      <c r="D14" s="22" t="n"/>
      <c r="E14" s="22" t="n"/>
      <c r="F14" s="22" t="n"/>
      <c r="G14" s="22" t="n"/>
      <c r="H14" s="21" t="n"/>
      <c r="I14" s="22" t="n"/>
      <c r="J14" s="22" t="n"/>
    </row>
    <row r="15">
      <c r="A15" s="20" t="inlineStr">
        <is>
          <t>기타비유동자산</t>
        </is>
      </c>
      <c r="B15" s="10" t="inlineStr">
        <is>
          <t>총계 − 위 항목</t>
        </is>
      </c>
      <c r="C15" s="21">
        <f>IF(OR(C11=""),"",IFERROR(C11-SUM(C12,C13,C14),""))</f>
        <v/>
      </c>
      <c r="D15" s="22">
        <f>IF(OR(D11=""),"",IFERROR(D11-SUM(D12,D13,D14),""))</f>
        <v/>
      </c>
      <c r="E15" s="22">
        <f>IF(OR(E11=""),"",IFERROR(E11-SUM(E12,E13,E14),""))</f>
        <v/>
      </c>
      <c r="F15" s="22">
        <f>IF(OR(F11=""),"",IFERROR(F11-SUM(F12,F13,F14),""))</f>
        <v/>
      </c>
      <c r="G15" s="22">
        <f>IF(OR(G11=""),"",IFERROR(G11-SUM(G12,G13,G14),""))</f>
        <v/>
      </c>
      <c r="H15" s="21">
        <f>IF(OR(H11=""),"",IFERROR(H11-SUM(H12,H13,H14),""))</f>
        <v/>
      </c>
      <c r="I15" s="22">
        <f>IF(OR(I11=""),"",IFERROR(I11-SUM(I12,I13,I14),""))</f>
        <v/>
      </c>
      <c r="J15" s="22">
        <f>IF(OR(J11=""),"",IFERROR(J11-SUM(J12,J13,J14),""))</f>
        <v/>
      </c>
    </row>
    <row r="16">
      <c r="A16" s="9" t="inlineStr">
        <is>
          <t>자산총계</t>
        </is>
      </c>
      <c r="B16" s="10" t="n"/>
      <c r="C16" s="11" t="n">
        <v>2982219</v>
      </c>
      <c r="D16" s="12" t="n"/>
      <c r="E16" s="12" t="n">
        <v>3690071</v>
      </c>
      <c r="F16" s="12" t="n">
        <v>3690071</v>
      </c>
      <c r="G16" s="12" t="n">
        <v>5883885</v>
      </c>
      <c r="H16" s="11" t="n">
        <v>2864941</v>
      </c>
      <c r="I16" s="12" t="n">
        <v>2919679</v>
      </c>
      <c r="J16" s="12" t="n">
        <v>3690071</v>
      </c>
    </row>
    <row r="17">
      <c r="A17" s="18" t="inlineStr">
        <is>
          <t>부채</t>
        </is>
      </c>
      <c r="B17" s="18" t="n"/>
      <c r="C17" s="19" t="n"/>
      <c r="D17" s="18" t="n"/>
      <c r="E17" s="18" t="n"/>
      <c r="F17" s="18" t="n"/>
      <c r="G17" s="18" t="n"/>
      <c r="H17" s="19" t="n"/>
      <c r="I17" s="18" t="n"/>
      <c r="J17" s="18" t="n"/>
    </row>
    <row r="18">
      <c r="A18" s="9" t="inlineStr">
        <is>
          <t>유동부채</t>
        </is>
      </c>
      <c r="B18" s="10" t="n"/>
      <c r="C18" s="11" t="n">
        <v>904439</v>
      </c>
      <c r="D18" s="12" t="n"/>
      <c r="E18" s="12" t="n">
        <v>1098008</v>
      </c>
      <c r="F18" s="12" t="n">
        <v>1098008</v>
      </c>
      <c r="G18" s="12" t="n">
        <v>2037531</v>
      </c>
      <c r="H18" s="11" t="n">
        <v>1866127</v>
      </c>
      <c r="I18" s="12" t="n">
        <v>985173</v>
      </c>
      <c r="J18" s="12" t="n">
        <v>1098008</v>
      </c>
    </row>
    <row r="19">
      <c r="A19" s="20" t="inlineStr">
        <is>
          <t>매입채무</t>
        </is>
      </c>
      <c r="B19" s="10" t="n"/>
      <c r="C19" s="21" t="n">
        <v>544641</v>
      </c>
      <c r="D19" s="22" t="n"/>
      <c r="E19" s="22" t="n">
        <v>594917</v>
      </c>
      <c r="F19" s="22" t="n">
        <v>594917</v>
      </c>
      <c r="G19" s="22" t="n">
        <v>777408</v>
      </c>
      <c r="H19" s="21" t="n">
        <v>512502</v>
      </c>
      <c r="I19" s="22" t="n">
        <v>504011</v>
      </c>
      <c r="J19" s="22" t="n">
        <v>594917</v>
      </c>
    </row>
    <row r="20">
      <c r="A20" s="20" t="inlineStr">
        <is>
          <t>단기차입금</t>
        </is>
      </c>
      <c r="B20" s="10" t="n"/>
      <c r="C20" s="21" t="n">
        <v>261820</v>
      </c>
      <c r="D20" s="22" t="n"/>
      <c r="E20" s="22" t="n"/>
      <c r="F20" s="22" t="n"/>
      <c r="G20" s="22" t="n"/>
      <c r="H20" s="21" t="n">
        <v>826413</v>
      </c>
      <c r="I20" s="22" t="n">
        <v>246508</v>
      </c>
      <c r="J20" s="22" t="n"/>
    </row>
    <row r="21">
      <c r="A21" s="20" t="inlineStr">
        <is>
          <t>유동성장기부채</t>
        </is>
      </c>
      <c r="B21" s="10" t="n"/>
      <c r="C21" s="21" t="n"/>
      <c r="D21" s="22" t="n"/>
      <c r="E21" s="22" t="n"/>
      <c r="F21" s="22" t="n"/>
      <c r="G21" s="22" t="n"/>
      <c r="H21" s="21" t="n"/>
      <c r="I21" s="22" t="n"/>
      <c r="J21" s="22" t="n"/>
    </row>
    <row r="22">
      <c r="A22" s="20" t="inlineStr">
        <is>
          <t>기타유동부채</t>
        </is>
      </c>
      <c r="B22" s="10" t="inlineStr">
        <is>
          <t>총계 − 위 항목</t>
        </is>
      </c>
      <c r="C22" s="21">
        <f>IF(OR(C18=""),"",IFERROR(C18-SUM(C19,C20,C21),""))</f>
        <v/>
      </c>
      <c r="D22" s="22">
        <f>IF(OR(D18=""),"",IFERROR(D18-SUM(D19,D20,D21),""))</f>
        <v/>
      </c>
      <c r="E22" s="22">
        <f>IF(OR(E18=""),"",IFERROR(E18-SUM(E19,E20,E21),""))</f>
        <v/>
      </c>
      <c r="F22" s="22">
        <f>IF(OR(F18=""),"",IFERROR(F18-SUM(F19,F20,F21),""))</f>
        <v/>
      </c>
      <c r="G22" s="22">
        <f>IF(OR(G18=""),"",IFERROR(G18-SUM(G19,G20,G21),""))</f>
        <v/>
      </c>
      <c r="H22" s="21">
        <f>IF(OR(H18=""),"",IFERROR(H18-SUM(H19,H20,H21),""))</f>
        <v/>
      </c>
      <c r="I22" s="22">
        <f>IF(OR(I18=""),"",IFERROR(I18-SUM(I19,I20,I21),""))</f>
        <v/>
      </c>
      <c r="J22" s="22">
        <f>IF(OR(J18=""),"",IFERROR(J18-SUM(J19,J20,J21),""))</f>
        <v/>
      </c>
    </row>
    <row r="23">
      <c r="A23" s="9" t="inlineStr">
        <is>
          <t>비유동부채</t>
        </is>
      </c>
      <c r="B23" s="10" t="n"/>
      <c r="C23" s="11" t="n">
        <v>1258438</v>
      </c>
      <c r="D23" s="12" t="n"/>
      <c r="E23" s="12" t="n">
        <v>1192984</v>
      </c>
      <c r="F23" s="12" t="n">
        <v>1192984</v>
      </c>
      <c r="G23" s="12" t="n">
        <v>917238</v>
      </c>
      <c r="H23" s="11" t="n">
        <v>549048</v>
      </c>
      <c r="I23" s="12" t="n">
        <v>1196810</v>
      </c>
      <c r="J23" s="12" t="n">
        <v>1192984</v>
      </c>
    </row>
    <row r="24">
      <c r="A24" s="20" t="inlineStr">
        <is>
          <t>장기차입금</t>
        </is>
      </c>
      <c r="B24" s="10" t="n"/>
      <c r="C24" s="21" t="n">
        <v>507057</v>
      </c>
      <c r="D24" s="22" t="n"/>
      <c r="E24" s="22" t="n"/>
      <c r="F24" s="22" t="n"/>
      <c r="G24" s="22" t="n"/>
      <c r="H24" s="21" t="n">
        <v>284899</v>
      </c>
      <c r="I24" s="22" t="n">
        <v>531198</v>
      </c>
      <c r="J24" s="22" t="n"/>
    </row>
    <row r="25">
      <c r="A25" s="20" t="inlineStr">
        <is>
          <t>사채</t>
        </is>
      </c>
      <c r="B25" s="10" t="n"/>
      <c r="C25" s="21" t="n">
        <v>920910</v>
      </c>
      <c r="D25" s="22" t="n"/>
      <c r="E25" s="22" t="n">
        <v>872116</v>
      </c>
      <c r="F25" s="22" t="n">
        <v>872116</v>
      </c>
      <c r="G25" s="22" t="n">
        <v>543231</v>
      </c>
      <c r="H25" s="21" t="n"/>
      <c r="I25" s="22" t="n">
        <v>531198</v>
      </c>
      <c r="J25" s="22" t="n">
        <v>872116</v>
      </c>
    </row>
    <row r="26">
      <c r="A26" s="20" t="inlineStr">
        <is>
          <t>기타비유동부채</t>
        </is>
      </c>
      <c r="B26" s="10" t="inlineStr">
        <is>
          <t>총계 − 위 항목</t>
        </is>
      </c>
      <c r="C26" s="21">
        <f>IF(OR(C23=""),"",IFERROR(C23-SUM(C24,C25),""))</f>
        <v/>
      </c>
      <c r="D26" s="22">
        <f>IF(OR(D23=""),"",IFERROR(D23-SUM(D24,D25),""))</f>
        <v/>
      </c>
      <c r="E26" s="22">
        <f>IF(OR(E23=""),"",IFERROR(E23-SUM(E24,E25),""))</f>
        <v/>
      </c>
      <c r="F26" s="22">
        <f>IF(OR(F23=""),"",IFERROR(F23-SUM(F24,F25),""))</f>
        <v/>
      </c>
      <c r="G26" s="22">
        <f>IF(OR(G23=""),"",IFERROR(G23-SUM(G24,G25),""))</f>
        <v/>
      </c>
      <c r="H26" s="21">
        <f>IF(OR(H23=""),"",IFERROR(H23-SUM(H24,H25),""))</f>
        <v/>
      </c>
      <c r="I26" s="22">
        <f>IF(OR(I23=""),"",IFERROR(I23-SUM(I24,I25),""))</f>
        <v/>
      </c>
      <c r="J26" s="22">
        <f>IF(OR(J23=""),"",IFERROR(J23-SUM(J24,J25),""))</f>
        <v/>
      </c>
    </row>
    <row r="27">
      <c r="A27" s="9" t="inlineStr">
        <is>
          <t>부채총계</t>
        </is>
      </c>
      <c r="B27" s="10" t="n"/>
      <c r="C27" s="11" t="n">
        <v>2162877</v>
      </c>
      <c r="D27" s="12" t="n"/>
      <c r="E27" s="12" t="n">
        <v>2290992</v>
      </c>
      <c r="F27" s="12" t="n">
        <v>2290992</v>
      </c>
      <c r="G27" s="12" t="n">
        <v>2954769</v>
      </c>
      <c r="H27" s="11" t="n">
        <v>2415175</v>
      </c>
      <c r="I27" s="12" t="n">
        <v>2181983</v>
      </c>
      <c r="J27" s="12" t="n">
        <v>2290992</v>
      </c>
    </row>
    <row r="28">
      <c r="A28" s="20" t="inlineStr">
        <is>
          <t>총차입금</t>
        </is>
      </c>
      <c r="B28" s="10" t="inlineStr">
        <is>
          <t>단기+유동성장기+장기+사채</t>
        </is>
      </c>
      <c r="C28" s="21">
        <f>SUM(C20,C21,C24,C25)</f>
        <v/>
      </c>
      <c r="D28" s="22">
        <f>SUM(D20,D21,D24,D25)</f>
        <v/>
      </c>
      <c r="E28" s="22">
        <f>SUM(E20,E21,E24,E25)</f>
        <v/>
      </c>
      <c r="F28" s="22">
        <f>SUM(F20,F21,F24,F25)</f>
        <v/>
      </c>
      <c r="G28" s="22">
        <f>SUM(G20,G21,G24,G25)</f>
        <v/>
      </c>
      <c r="H28" s="21">
        <f>SUM(H20,H21,H24,H25)</f>
        <v/>
      </c>
      <c r="I28" s="22">
        <f>SUM(I20,I21,I24,I25)</f>
        <v/>
      </c>
      <c r="J28" s="22">
        <f>SUM(J20,J21,J24,J25)</f>
        <v/>
      </c>
    </row>
    <row r="29">
      <c r="A29" s="20" t="inlineStr">
        <is>
          <t>순차입금</t>
        </is>
      </c>
      <c r="B29" s="10" t="inlineStr">
        <is>
          <t>음수 = 순현금</t>
        </is>
      </c>
      <c r="C29" s="21">
        <f>C28-C6-N(C7)</f>
        <v/>
      </c>
      <c r="D29" s="22">
        <f>D28-D6-N(D7)</f>
        <v/>
      </c>
      <c r="E29" s="22">
        <f>E28-E6-N(E7)</f>
        <v/>
      </c>
      <c r="F29" s="22">
        <f>F28-F6-N(F7)</f>
        <v/>
      </c>
      <c r="G29" s="22">
        <f>G28-G6-N(G7)</f>
        <v/>
      </c>
      <c r="H29" s="21">
        <f>H28-H6-N(H7)</f>
        <v/>
      </c>
      <c r="I29" s="22">
        <f>I28-I6-N(I7)</f>
        <v/>
      </c>
      <c r="J29" s="22">
        <f>J28-J6-N(J7)</f>
        <v/>
      </c>
    </row>
    <row r="30">
      <c r="A30" s="18" t="inlineStr">
        <is>
          <t>자본</t>
        </is>
      </c>
      <c r="B30" s="18" t="n"/>
      <c r="C30" s="19" t="n"/>
      <c r="D30" s="18" t="n"/>
      <c r="E30" s="18" t="n"/>
      <c r="F30" s="18" t="n"/>
      <c r="G30" s="18" t="n"/>
      <c r="H30" s="19" t="n"/>
      <c r="I30" s="18" t="n"/>
      <c r="J30" s="18" t="n"/>
    </row>
    <row r="31">
      <c r="A31" s="9" t="inlineStr">
        <is>
          <t>지배주주지분</t>
        </is>
      </c>
      <c r="B31" s="10" t="n"/>
      <c r="C31" s="11" t="n">
        <v>819203</v>
      </c>
      <c r="D31" s="12" t="n"/>
      <c r="E31" s="12" t="n">
        <v>1398929</v>
      </c>
      <c r="F31" s="12" t="n">
        <v>1398929</v>
      </c>
      <c r="G31" s="12" t="n">
        <v>2928964</v>
      </c>
      <c r="H31" s="11" t="n">
        <v>449635</v>
      </c>
      <c r="I31" s="12" t="n">
        <v>737565</v>
      </c>
      <c r="J31" s="12" t="n">
        <v>1398929</v>
      </c>
    </row>
    <row r="32">
      <c r="A32" s="20" t="inlineStr">
        <is>
          <t>자본금</t>
        </is>
      </c>
      <c r="B32" s="10" t="n"/>
      <c r="C32" s="21" t="n">
        <v>25578</v>
      </c>
      <c r="D32" s="22" t="n"/>
      <c r="E32" s="22" t="n">
        <v>31284</v>
      </c>
      <c r="F32" s="22" t="n">
        <v>31284</v>
      </c>
      <c r="G32" s="22" t="n">
        <v>34804</v>
      </c>
      <c r="H32" s="21" t="n">
        <v>10000</v>
      </c>
      <c r="I32" s="22" t="n">
        <v>25239</v>
      </c>
      <c r="J32" s="22" t="n">
        <v>31284</v>
      </c>
    </row>
    <row r="33">
      <c r="A33" s="20" t="inlineStr">
        <is>
          <t>이익잉여금</t>
        </is>
      </c>
      <c r="B33" s="10" t="n"/>
      <c r="C33" s="21" t="n">
        <v>-130594</v>
      </c>
      <c r="D33" s="22" t="n"/>
      <c r="E33" s="22" t="n">
        <v>366955</v>
      </c>
      <c r="F33" s="22" t="n">
        <v>366955</v>
      </c>
      <c r="G33" s="22" t="n">
        <v>2564812</v>
      </c>
      <c r="H33" s="21" t="n">
        <v>-463054</v>
      </c>
      <c r="I33" s="22" t="n">
        <v>-189547</v>
      </c>
      <c r="J33" s="22" t="n">
        <v>366955</v>
      </c>
    </row>
    <row r="34">
      <c r="A34" s="20" t="inlineStr">
        <is>
          <t>비지배지분</t>
        </is>
      </c>
      <c r="B34" s="10" t="n"/>
      <c r="C34" s="21" t="n">
        <v>139</v>
      </c>
      <c r="D34" s="22" t="n"/>
      <c r="E34" s="22" t="n">
        <v>150</v>
      </c>
      <c r="F34" s="22" t="n">
        <v>150</v>
      </c>
      <c r="G34" s="22" t="n">
        <v>152</v>
      </c>
      <c r="H34" s="21" t="n">
        <v>131</v>
      </c>
      <c r="I34" s="22" t="n">
        <v>131</v>
      </c>
      <c r="J34" s="22" t="n">
        <v>150</v>
      </c>
    </row>
    <row r="35">
      <c r="A35" s="9" t="inlineStr">
        <is>
          <t>자본총계</t>
        </is>
      </c>
      <c r="B35" s="10" t="n"/>
      <c r="C35" s="11" t="n">
        <v>819342</v>
      </c>
      <c r="D35" s="12" t="n"/>
      <c r="E35" s="12" t="n">
        <v>1399079</v>
      </c>
      <c r="F35" s="12" t="n">
        <v>1399079</v>
      </c>
      <c r="G35" s="12" t="n">
        <v>2929116</v>
      </c>
      <c r="H35" s="11" t="n">
        <v>449766</v>
      </c>
      <c r="I35" s="12" t="n">
        <v>737696</v>
      </c>
      <c r="J35" s="12" t="n">
        <v>1399079</v>
      </c>
    </row>
    <row r="36">
      <c r="A36" s="18" t="inlineStr">
        <is>
          <t>현금흐름 요약</t>
        </is>
      </c>
      <c r="B36" s="18" t="inlineStr">
        <is>
          <t>분기 = TTM (있을 때만)</t>
        </is>
      </c>
      <c r="C36" s="19" t="n"/>
      <c r="D36" s="18" t="n"/>
      <c r="E36" s="18" t="n"/>
      <c r="F36" s="18" t="n"/>
      <c r="G36" s="18" t="n"/>
      <c r="H36" s="19" t="n"/>
      <c r="I36" s="18" t="n"/>
      <c r="J36" s="18" t="n"/>
    </row>
    <row r="37">
      <c r="A37" s="9" t="inlineStr">
        <is>
          <t>영업활동현금흐름</t>
        </is>
      </c>
      <c r="B37" s="10" t="n"/>
      <c r="C37" s="11" t="n">
        <v>442380</v>
      </c>
      <c r="D37" s="12" t="n">
        <v>409703</v>
      </c>
      <c r="E37" s="12" t="n">
        <v>426023</v>
      </c>
      <c r="F37" s="12" t="n">
        <v>616540</v>
      </c>
      <c r="G37" s="12" t="n">
        <v>1421771</v>
      </c>
      <c r="H37" s="11" t="n">
        <v>195111</v>
      </c>
      <c r="I37" s="12" t="n">
        <v>476416</v>
      </c>
      <c r="J37" s="12" t="n">
        <v>616540</v>
      </c>
    </row>
    <row r="38">
      <c r="A38" s="20" t="inlineStr">
        <is>
          <t>CAPEX (유·무형 취득)</t>
        </is>
      </c>
      <c r="B38" s="10" t="inlineStr">
        <is>
          <t>양수로 입력</t>
        </is>
      </c>
      <c r="C38" s="21" t="n">
        <v>233014</v>
      </c>
      <c r="D38" s="22" t="n">
        <v>283197</v>
      </c>
      <c r="E38" s="22" t="n">
        <v>296284</v>
      </c>
      <c r="F38" s="22" t="n">
        <v>283674</v>
      </c>
      <c r="G38" s="22" t="n">
        <v>282499</v>
      </c>
      <c r="H38" s="21" t="n">
        <v>305097</v>
      </c>
      <c r="I38" s="22" t="n">
        <v>225603</v>
      </c>
      <c r="J38" s="22" t="n">
        <v>283674</v>
      </c>
    </row>
    <row r="39">
      <c r="A39" s="9" t="inlineStr">
        <is>
          <t>FCF</t>
        </is>
      </c>
      <c r="B39" s="10" t="n"/>
      <c r="C39" s="11">
        <f>IF(OR(C37="",C38=""),"",IFERROR(C37-C38,""))</f>
        <v/>
      </c>
      <c r="D39" s="12">
        <f>IF(OR(D37="",D38=""),"",IFERROR(D37-D38,""))</f>
        <v/>
      </c>
      <c r="E39" s="12">
        <f>IF(OR(E37="",E38=""),"",IFERROR(E37-E38,""))</f>
        <v/>
      </c>
      <c r="F39" s="12">
        <f>IF(OR(F37="",F38=""),"",IFERROR(F37-F38,""))</f>
        <v/>
      </c>
      <c r="G39" s="12">
        <f>IF(OR(G37="",G38=""),"",IFERROR(G37-G38,""))</f>
        <v/>
      </c>
      <c r="H39" s="11">
        <f>IF(OR(H37="",H38=""),"",IFERROR(H37-H38,""))</f>
        <v/>
      </c>
      <c r="I39" s="12">
        <f>IF(OR(I37="",I38=""),"",IFERROR(I37-I38,""))</f>
        <v/>
      </c>
      <c r="J39" s="12">
        <f>IF(OR(J37="",J38=""),"",IFERROR(J37-J38,""))</f>
        <v/>
      </c>
    </row>
    <row r="40">
      <c r="A40" s="20" t="inlineStr">
        <is>
          <t>배당금 지급</t>
        </is>
      </c>
      <c r="B40" s="10" t="inlineStr">
        <is>
          <t>양수로 입력</t>
        </is>
      </c>
      <c r="C40" s="21" t="n"/>
      <c r="D40" s="22" t="n"/>
      <c r="E40" s="22" t="n"/>
      <c r="F40" s="22" t="n"/>
      <c r="G40" s="22" t="n"/>
      <c r="H40" s="21" t="n"/>
      <c r="I40" s="22" t="n"/>
      <c r="J40" s="22" t="n"/>
    </row>
    <row r="41">
      <c r="A41" s="18" t="inlineStr">
        <is>
          <t>주요 재무 비율</t>
        </is>
      </c>
      <c r="B41" s="18" t="inlineStr">
        <is>
          <t>기준 (빨간 글씨 = 미달)</t>
        </is>
      </c>
      <c r="C41" s="19" t="n"/>
      <c r="D41" s="18" t="n"/>
      <c r="E41" s="18" t="n"/>
      <c r="F41" s="18" t="n"/>
      <c r="G41" s="18" t="n"/>
      <c r="H41" s="19" t="n"/>
      <c r="I41" s="18" t="n"/>
      <c r="J41" s="18" t="n"/>
    </row>
    <row r="42">
      <c r="A42" s="25" t="inlineStr">
        <is>
          <t>안정성</t>
        </is>
      </c>
      <c r="B42" s="25" t="n"/>
      <c r="C42" s="26" t="n"/>
      <c r="D42" s="25" t="n"/>
      <c r="E42" s="25" t="n"/>
      <c r="F42" s="25" t="n"/>
      <c r="G42" s="25" t="n"/>
      <c r="H42" s="26" t="n"/>
      <c r="I42" s="25" t="n"/>
      <c r="J42" s="25" t="n"/>
    </row>
    <row r="43">
      <c r="A43" s="47" t="inlineStr">
        <is>
          <t>부채비율</t>
        </is>
      </c>
      <c r="B43" s="10" t="inlineStr">
        <is>
          <t>100%↓</t>
        </is>
      </c>
      <c r="C43" s="37">
        <f>IF(OR(C27="",C35=""),"",IFERROR(C27/C35,""))</f>
        <v/>
      </c>
      <c r="D43" s="38">
        <f>IF(OR(D27="",D35=""),"",IFERROR(D27/D35,""))</f>
        <v/>
      </c>
      <c r="E43" s="38">
        <f>IF(OR(E27="",E35=""),"",IFERROR(E27/E35,""))</f>
        <v/>
      </c>
      <c r="F43" s="38">
        <f>IF(OR(F27="",F35=""),"",IFERROR(F27/F35,""))</f>
        <v/>
      </c>
      <c r="G43" s="38">
        <f>IF(OR(G27="",G35=""),"",IFERROR(G27/G35,""))</f>
        <v/>
      </c>
      <c r="H43" s="37">
        <f>IF(OR(H27="",H35=""),"",IFERROR(H27/H35,""))</f>
        <v/>
      </c>
      <c r="I43" s="38">
        <f>IF(OR(I27="",I35=""),"",IFERROR(I27/I35,""))</f>
        <v/>
      </c>
      <c r="J43" s="38">
        <f>IF(OR(J27="",J35=""),"",IFERROR(J27/J35,""))</f>
        <v/>
      </c>
    </row>
    <row r="44">
      <c r="A44" s="47" t="inlineStr">
        <is>
          <t>순차입금비율</t>
        </is>
      </c>
      <c r="B44" s="10" t="inlineStr">
        <is>
          <t>0%↓ 순현금</t>
        </is>
      </c>
      <c r="C44" s="37">
        <f>IF(OR(C29="",C35=""),"",IFERROR(C29/C35,""))</f>
        <v/>
      </c>
      <c r="D44" s="38">
        <f>IF(OR(D29="",D35=""),"",IFERROR(D29/D35,""))</f>
        <v/>
      </c>
      <c r="E44" s="38">
        <f>IF(OR(E29="",E35=""),"",IFERROR(E29/E35,""))</f>
        <v/>
      </c>
      <c r="F44" s="38">
        <f>IF(OR(F29="",F35=""),"",IFERROR(F29/F35,""))</f>
        <v/>
      </c>
      <c r="G44" s="38">
        <f>IF(OR(G29="",G35=""),"",IFERROR(G29/G35,""))</f>
        <v/>
      </c>
      <c r="H44" s="37">
        <f>IF(OR(H29="",H35=""),"",IFERROR(H29/H35,""))</f>
        <v/>
      </c>
      <c r="I44" s="38">
        <f>IF(OR(I29="",I35=""),"",IFERROR(I29/I35,""))</f>
        <v/>
      </c>
      <c r="J44" s="38">
        <f>IF(OR(J29="",J35=""),"",IFERROR(J29/J35,""))</f>
        <v/>
      </c>
    </row>
    <row r="45">
      <c r="A45" s="47" t="inlineStr">
        <is>
          <t>자기자본비율</t>
        </is>
      </c>
      <c r="B45" s="10" t="inlineStr">
        <is>
          <t>50%↑</t>
        </is>
      </c>
      <c r="C45" s="37">
        <f>IF(OR(C35="",C16=""),"",IFERROR(C35/C16,""))</f>
        <v/>
      </c>
      <c r="D45" s="38">
        <f>IF(OR(D35="",D16=""),"",IFERROR(D35/D16,""))</f>
        <v/>
      </c>
      <c r="E45" s="38">
        <f>IF(OR(E35="",E16=""),"",IFERROR(E35/E16,""))</f>
        <v/>
      </c>
      <c r="F45" s="38">
        <f>IF(OR(F35="",F16=""),"",IFERROR(F35/F16,""))</f>
        <v/>
      </c>
      <c r="G45" s="38">
        <f>IF(OR(G35="",G16=""),"",IFERROR(G35/G16,""))</f>
        <v/>
      </c>
      <c r="H45" s="37">
        <f>IF(OR(H35="",H16=""),"",IFERROR(H35/H16,""))</f>
        <v/>
      </c>
      <c r="I45" s="38">
        <f>IF(OR(I35="",I16=""),"",IFERROR(I35/I16,""))</f>
        <v/>
      </c>
      <c r="J45" s="38">
        <f>IF(OR(J35="",J16=""),"",IFERROR(J35/J16,""))</f>
        <v/>
      </c>
    </row>
    <row r="46">
      <c r="A46" s="47" t="inlineStr">
        <is>
          <t>유동비율</t>
        </is>
      </c>
      <c r="B46" s="10" t="inlineStr">
        <is>
          <t>150%↑</t>
        </is>
      </c>
      <c r="C46" s="37">
        <f>IF(OR(C5="",C18=""),"",IFERROR(C5/C18,""))</f>
        <v/>
      </c>
      <c r="D46" s="38">
        <f>IF(OR(D5="",D18=""),"",IFERROR(D5/D18,""))</f>
        <v/>
      </c>
      <c r="E46" s="38">
        <f>IF(OR(E5="",E18=""),"",IFERROR(E5/E18,""))</f>
        <v/>
      </c>
      <c r="F46" s="38">
        <f>IF(OR(F5="",F18=""),"",IFERROR(F5/F18,""))</f>
        <v/>
      </c>
      <c r="G46" s="38">
        <f>IF(OR(G5="",G18=""),"",IFERROR(G5/G18,""))</f>
        <v/>
      </c>
      <c r="H46" s="37">
        <f>IF(OR(H5="",H18=""),"",IFERROR(H5/H18,""))</f>
        <v/>
      </c>
      <c r="I46" s="38">
        <f>IF(OR(I5="",I18=""),"",IFERROR(I5/I18,""))</f>
        <v/>
      </c>
      <c r="J46" s="38">
        <f>IF(OR(J5="",J18=""),"",IFERROR(J5/J18,""))</f>
        <v/>
      </c>
    </row>
    <row r="47">
      <c r="A47" s="47" t="inlineStr">
        <is>
          <t>당좌비율</t>
        </is>
      </c>
      <c r="B47" s="10" t="inlineStr">
        <is>
          <t>100%↑</t>
        </is>
      </c>
      <c r="C47" s="37">
        <f>IF(OR(C5="",C18=""),"",IFERROR((C5-N(C9))/C18,""))</f>
        <v/>
      </c>
      <c r="D47" s="38">
        <f>IF(OR(D5="",D18=""),"",IFERROR((D5-N(D9))/D18,""))</f>
        <v/>
      </c>
      <c r="E47" s="38">
        <f>IF(OR(E5="",E18=""),"",IFERROR((E5-N(E9))/E18,""))</f>
        <v/>
      </c>
      <c r="F47" s="38">
        <f>IF(OR(F5="",F18=""),"",IFERROR((F5-N(F9))/F18,""))</f>
        <v/>
      </c>
      <c r="G47" s="38">
        <f>IF(OR(G5="",G18=""),"",IFERROR((G5-N(G9))/G18,""))</f>
        <v/>
      </c>
      <c r="H47" s="37">
        <f>IF(OR(H5="",H18=""),"",IFERROR((H5-N(H9))/H18,""))</f>
        <v/>
      </c>
      <c r="I47" s="38">
        <f>IF(OR(I5="",I18=""),"",IFERROR((I5-N(I9))/I18,""))</f>
        <v/>
      </c>
      <c r="J47" s="38">
        <f>IF(OR(J5="",J18=""),"",IFERROR((J5-N(J9))/J18,""))</f>
        <v/>
      </c>
    </row>
    <row r="48">
      <c r="A48" s="47" t="inlineStr">
        <is>
          <t>이자보상배율</t>
        </is>
      </c>
      <c r="B48" s="10" t="inlineStr">
        <is>
          <t>5x↑ (금융원가 기준)</t>
        </is>
      </c>
      <c r="C48" s="32">
        <f>IFERROR((IF(COUNT('연간'!F19:I19)&lt;4,"",SUM('연간'!F19:I19)))/(IF(COUNT('연간'!F41:I41)&lt;4,"",SUM('연간'!F41:I41))),"")</f>
        <v/>
      </c>
      <c r="D48" s="33">
        <f>IFERROR((IF(COUNT('연간'!G19:J19)&lt;4,"",SUM('연간'!G19:J19)))/(IF(COUNT('연간'!G41:J41)&lt;4,"",SUM('연간'!G41:J41))),"")</f>
        <v/>
      </c>
      <c r="E48" s="33">
        <f>IFERROR((IF(COUNT('연간'!H19:K19)&lt;4,"",SUM('연간'!H19:K19)))/(IF(COUNT('연간'!H41:K41)&lt;4,"",SUM('연간'!H41:K41))),"")</f>
        <v/>
      </c>
      <c r="F48" s="33">
        <f>IFERROR((IF(COUNT('연간'!I19:L19)&lt;4,"",SUM('연간'!I19:L19)))/(IF(COUNT('연간'!I41:L41)&lt;4,"",SUM('연간'!I41:L41))),"")</f>
        <v/>
      </c>
      <c r="G48" s="33">
        <f>IFERROR((IF(COUNT('연간'!J19:M19)&lt;4,"",SUM('연간'!J19:M19)))/(IF(COUNT('연간'!J41:M41)&lt;4,"",SUM('연간'!J41:M41))),"")</f>
        <v/>
      </c>
      <c r="H48" s="32">
        <f>IFERROR(('연간'!V19)/('연간'!V41),"")</f>
        <v/>
      </c>
      <c r="I48" s="33">
        <f>IFERROR(('연간'!W19)/('연간'!W41),"")</f>
        <v/>
      </c>
      <c r="J48" s="33">
        <f>IFERROR(('연간'!X19)/('연간'!X41),"")</f>
        <v/>
      </c>
    </row>
    <row r="49">
      <c r="A49" s="47" t="inlineStr">
        <is>
          <t>차입금 상환연수</t>
        </is>
      </c>
      <c r="B49" s="10" t="inlineStr">
        <is>
          <t>4년↓ (버핏)</t>
        </is>
      </c>
      <c r="C49" s="48">
        <f>IFERROR(IF((IF(COUNT('연간'!F49:I49)&lt;4,"",SUM('연간'!F49:I49)))&lt;=0,"적자",C28/(IF(COUNT('연간'!F49:I49)&lt;4,"",SUM('연간'!F49:I49)))),"")</f>
        <v/>
      </c>
      <c r="D49" s="49">
        <f>IFERROR(IF((IF(COUNT('연간'!G49:J49)&lt;4,"",SUM('연간'!G49:J49)))&lt;=0,"적자",D28/(IF(COUNT('연간'!G49:J49)&lt;4,"",SUM('연간'!G49:J49)))),"")</f>
        <v/>
      </c>
      <c r="E49" s="49">
        <f>IFERROR(IF((IF(COUNT('연간'!H49:K49)&lt;4,"",SUM('연간'!H49:K49)))&lt;=0,"적자",E28/(IF(COUNT('연간'!H49:K49)&lt;4,"",SUM('연간'!H49:K49)))),"")</f>
        <v/>
      </c>
      <c r="F49" s="49">
        <f>IFERROR(IF((IF(COUNT('연간'!I49:L49)&lt;4,"",SUM('연간'!I49:L49)))&lt;=0,"적자",F28/(IF(COUNT('연간'!I49:L49)&lt;4,"",SUM('연간'!I49:L49)))),"")</f>
        <v/>
      </c>
      <c r="G49" s="49">
        <f>IFERROR(IF((IF(COUNT('연간'!J49:M49)&lt;4,"",SUM('연간'!J49:M49)))&lt;=0,"적자",G28/(IF(COUNT('연간'!J49:M49)&lt;4,"",SUM('연간'!J49:M49)))),"")</f>
        <v/>
      </c>
      <c r="H49" s="48">
        <f>IFERROR(IF(('연간'!V49)&lt;=0,"적자",H28/('연간'!V49)),"")</f>
        <v/>
      </c>
      <c r="I49" s="49">
        <f>IFERROR(IF(('연간'!W49)&lt;=0,"적자",I28/('연간'!W49)),"")</f>
        <v/>
      </c>
      <c r="J49" s="49">
        <f>IFERROR(IF(('연간'!X49)&lt;=0,"적자",J28/('연간'!X49)),"")</f>
        <v/>
      </c>
    </row>
    <row r="50">
      <c r="A50" s="25" t="inlineStr">
        <is>
          <t>수익성</t>
        </is>
      </c>
      <c r="B50" s="25" t="n"/>
      <c r="C50" s="26" t="n"/>
      <c r="D50" s="25" t="n"/>
      <c r="E50" s="25" t="n"/>
      <c r="F50" s="25" t="n"/>
      <c r="G50" s="25" t="n"/>
      <c r="H50" s="26" t="n"/>
      <c r="I50" s="25" t="n"/>
      <c r="J50" s="25" t="n"/>
    </row>
    <row r="51">
      <c r="A51" s="47" t="inlineStr">
        <is>
          <t>ROE</t>
        </is>
      </c>
      <c r="B51" s="10" t="inlineStr">
        <is>
          <t>15%↑ (버핏)</t>
        </is>
      </c>
      <c r="C51" s="37">
        <f>IFERROR((IF(COUNT('연간'!F49:I49)&lt;4,"",SUM('연간'!F49:I49)))/C31,"")</f>
        <v/>
      </c>
      <c r="D51" s="38">
        <f>IFERROR((IF(COUNT('연간'!G49:J49)&lt;4,"",SUM('연간'!G49:J49)))/D31,"")</f>
        <v/>
      </c>
      <c r="E51" s="38">
        <f>IFERROR((IF(COUNT('연간'!H49:K49)&lt;4,"",SUM('연간'!H49:K49)))/E31,"")</f>
        <v/>
      </c>
      <c r="F51" s="38">
        <f>IFERROR((IF(COUNT('연간'!I49:L49)&lt;4,"",SUM('연간'!I49:L49)))/F31,"")</f>
        <v/>
      </c>
      <c r="G51" s="38">
        <f>IFERROR((IF(COUNT('연간'!J49:M49)&lt;4,"",SUM('연간'!J49:M49)))/G31,"")</f>
        <v/>
      </c>
      <c r="H51" s="37">
        <f>IFERROR(('연간'!V49)/H31,"")</f>
        <v/>
      </c>
      <c r="I51" s="38">
        <f>IFERROR(('연간'!W49)/I31,"")</f>
        <v/>
      </c>
      <c r="J51" s="38">
        <f>IFERROR(('연간'!X49)/J31,"")</f>
        <v/>
      </c>
    </row>
    <row r="52">
      <c r="A52" s="47" t="inlineStr">
        <is>
          <t>ROA</t>
        </is>
      </c>
      <c r="B52" s="10" t="inlineStr">
        <is>
          <t>5%↑</t>
        </is>
      </c>
      <c r="C52" s="37">
        <f>IFERROR((IF(COUNT('연간'!F47:I47)&lt;4,"",SUM('연간'!F47:I47)))/C16,"")</f>
        <v/>
      </c>
      <c r="D52" s="38">
        <f>IFERROR((IF(COUNT('연간'!G47:J47)&lt;4,"",SUM('연간'!G47:J47)))/D16,"")</f>
        <v/>
      </c>
      <c r="E52" s="38">
        <f>IFERROR((IF(COUNT('연간'!H47:K47)&lt;4,"",SUM('연간'!H47:K47)))/E16,"")</f>
        <v/>
      </c>
      <c r="F52" s="38">
        <f>IFERROR((IF(COUNT('연간'!I47:L47)&lt;4,"",SUM('연간'!I47:L47)))/F16,"")</f>
        <v/>
      </c>
      <c r="G52" s="38">
        <f>IFERROR((IF(COUNT('연간'!J47:M47)&lt;4,"",SUM('연간'!J47:M47)))/G16,"")</f>
        <v/>
      </c>
      <c r="H52" s="37">
        <f>IFERROR(('연간'!V47)/H16,"")</f>
        <v/>
      </c>
      <c r="I52" s="38">
        <f>IFERROR(('연간'!W47)/I16,"")</f>
        <v/>
      </c>
      <c r="J52" s="38">
        <f>IFERROR(('연간'!X47)/J16,"")</f>
        <v/>
      </c>
    </row>
    <row r="53">
      <c r="A53" s="47" t="inlineStr">
        <is>
          <t>ROIC</t>
        </is>
      </c>
      <c r="B53" s="10" t="inlineStr">
        <is>
          <t>10%↑ (세후영업이익 기준)</t>
        </is>
      </c>
      <c r="C53" s="37">
        <f>IFERROR((IF(COUNT('연간'!F19:I19)&lt;4,"",SUM('연간'!F19:I19)))*(1-0.3)/(C35+C29),"")</f>
        <v/>
      </c>
      <c r="D53" s="38">
        <f>IFERROR((IF(COUNT('연간'!G19:J19)&lt;4,"",SUM('연간'!G19:J19)))*(1-0.3)/(D35+D29),"")</f>
        <v/>
      </c>
      <c r="E53" s="38">
        <f>IFERROR((IF(COUNT('연간'!H19:K19)&lt;4,"",SUM('연간'!H19:K19)))*(1-0.3)/(E35+E29),"")</f>
        <v/>
      </c>
      <c r="F53" s="38">
        <f>IFERROR((IF(COUNT('연간'!I19:L19)&lt;4,"",SUM('연간'!I19:L19)))*(1-0.3)/(F35+F29),"")</f>
        <v/>
      </c>
      <c r="G53" s="38">
        <f>IFERROR((IF(COUNT('연간'!J19:M19)&lt;4,"",SUM('연간'!J19:M19)))*(1-0.3)/(G35+G29),"")</f>
        <v/>
      </c>
      <c r="H53" s="37">
        <f>IFERROR(('연간'!V19)*(1-0.3)/(H35+H29),"")</f>
        <v/>
      </c>
      <c r="I53" s="38">
        <f>IFERROR(('연간'!W19)*(1-0.3)/(I35+I29),"")</f>
        <v/>
      </c>
      <c r="J53" s="38">
        <f>IFERROR(('연간'!X19)*(1-0.3)/(J35+J29),"")</f>
        <v/>
      </c>
    </row>
    <row r="54">
      <c r="A54" s="47" t="inlineStr">
        <is>
          <t>매출총이익률 (GPM)</t>
        </is>
      </c>
      <c r="B54" s="10" t="inlineStr">
        <is>
          <t>40%↑ (해자 신호)</t>
        </is>
      </c>
      <c r="C54" s="37">
        <f>IFERROR((IF(COUNT('연간'!F13:I13)&lt;4,"",SUM('연간'!F13:I13)))/(IF(COUNT('연간'!F4:I4)&lt;4,"",SUM('연간'!F4:I4))),"")</f>
        <v/>
      </c>
      <c r="D54" s="38">
        <f>IFERROR((IF(COUNT('연간'!G13:J13)&lt;4,"",SUM('연간'!G13:J13)))/(IF(COUNT('연간'!G4:J4)&lt;4,"",SUM('연간'!G4:J4))),"")</f>
        <v/>
      </c>
      <c r="E54" s="38">
        <f>IFERROR((IF(COUNT('연간'!H13:K13)&lt;4,"",SUM('연간'!H13:K13)))/(IF(COUNT('연간'!H4:K4)&lt;4,"",SUM('연간'!H4:K4))),"")</f>
        <v/>
      </c>
      <c r="F54" s="38">
        <f>IFERROR((IF(COUNT('연간'!I13:L13)&lt;4,"",SUM('연간'!I13:L13)))/(IF(COUNT('연간'!I4:L4)&lt;4,"",SUM('연간'!I4:L4))),"")</f>
        <v/>
      </c>
      <c r="G54" s="38">
        <f>IFERROR((IF(COUNT('연간'!J13:M13)&lt;4,"",SUM('연간'!J13:M13)))/(IF(COUNT('연간'!J4:M4)&lt;4,"",SUM('연간'!J4:M4))),"")</f>
        <v/>
      </c>
      <c r="H54" s="37">
        <f>IFERROR(('연간'!V13)/('연간'!V4),"")</f>
        <v/>
      </c>
      <c r="I54" s="38">
        <f>IFERROR(('연간'!W13)/('연간'!W4),"")</f>
        <v/>
      </c>
      <c r="J54" s="38">
        <f>IFERROR(('연간'!X13)/('연간'!X4),"")</f>
        <v/>
      </c>
    </row>
    <row r="55">
      <c r="A55" s="47" t="inlineStr">
        <is>
          <t>영업이익률 (OPM)</t>
        </is>
      </c>
      <c r="B55" s="10" t="inlineStr">
        <is>
          <t>15%↑</t>
        </is>
      </c>
      <c r="C55" s="37">
        <f>IFERROR((IF(COUNT('연간'!F19:I19)&lt;4,"",SUM('연간'!F19:I19)))/(IF(COUNT('연간'!F4:I4)&lt;4,"",SUM('연간'!F4:I4))),"")</f>
        <v/>
      </c>
      <c r="D55" s="38">
        <f>IFERROR((IF(COUNT('연간'!G19:J19)&lt;4,"",SUM('연간'!G19:J19)))/(IF(COUNT('연간'!G4:J4)&lt;4,"",SUM('연간'!G4:J4))),"")</f>
        <v/>
      </c>
      <c r="E55" s="38">
        <f>IFERROR((IF(COUNT('연간'!H19:K19)&lt;4,"",SUM('연간'!H19:K19)))/(IF(COUNT('연간'!H4:K4)&lt;4,"",SUM('연간'!H4:K4))),"")</f>
        <v/>
      </c>
      <c r="F55" s="38">
        <f>IFERROR((IF(COUNT('연간'!I19:L19)&lt;4,"",SUM('연간'!I19:L19)))/(IF(COUNT('연간'!I4:L4)&lt;4,"",SUM('연간'!I4:L4))),"")</f>
        <v/>
      </c>
      <c r="G55" s="38">
        <f>IFERROR((IF(COUNT('연간'!J19:M19)&lt;4,"",SUM('연간'!J19:M19)))/(IF(COUNT('연간'!J4:M4)&lt;4,"",SUM('연간'!J4:M4))),"")</f>
        <v/>
      </c>
      <c r="H55" s="37">
        <f>IFERROR(('연간'!V19)/('연간'!V4),"")</f>
        <v/>
      </c>
      <c r="I55" s="38">
        <f>IFERROR(('연간'!W19)/('연간'!W4),"")</f>
        <v/>
      </c>
      <c r="J55" s="38">
        <f>IFERROR(('연간'!X19)/('연간'!X4),"")</f>
        <v/>
      </c>
    </row>
    <row r="56">
      <c r="A56" s="47" t="inlineStr">
        <is>
          <t>순이익률</t>
        </is>
      </c>
      <c r="B56" s="10" t="inlineStr">
        <is>
          <t>10%↑</t>
        </is>
      </c>
      <c r="C56" s="37">
        <f>IFERROR((IF(COUNT('연간'!F47:I47)&lt;4,"",SUM('연간'!F47:I47)))/(IF(COUNT('연간'!F4:I4)&lt;4,"",SUM('연간'!F4:I4))),"")</f>
        <v/>
      </c>
      <c r="D56" s="38">
        <f>IFERROR((IF(COUNT('연간'!G47:J47)&lt;4,"",SUM('연간'!G47:J47)))/(IF(COUNT('연간'!G4:J4)&lt;4,"",SUM('연간'!G4:J4))),"")</f>
        <v/>
      </c>
      <c r="E56" s="38">
        <f>IFERROR((IF(COUNT('연간'!H47:K47)&lt;4,"",SUM('연간'!H47:K47)))/(IF(COUNT('연간'!H4:K4)&lt;4,"",SUM('연간'!H4:K4))),"")</f>
        <v/>
      </c>
      <c r="F56" s="38">
        <f>IFERROR((IF(COUNT('연간'!I47:L47)&lt;4,"",SUM('연간'!I47:L47)))/(IF(COUNT('연간'!I4:L4)&lt;4,"",SUM('연간'!I4:L4))),"")</f>
        <v/>
      </c>
      <c r="G56" s="38">
        <f>IFERROR((IF(COUNT('연간'!J47:M47)&lt;4,"",SUM('연간'!J47:M47)))/(IF(COUNT('연간'!J4:M4)&lt;4,"",SUM('연간'!J4:M4))),"")</f>
        <v/>
      </c>
      <c r="H56" s="37">
        <f>IFERROR(('연간'!V47)/('연간'!V4),"")</f>
        <v/>
      </c>
      <c r="I56" s="38">
        <f>IFERROR(('연간'!W47)/('연간'!W4),"")</f>
        <v/>
      </c>
      <c r="J56" s="38">
        <f>IFERROR(('연간'!X47)/('연간'!X4),"")</f>
        <v/>
      </c>
    </row>
    <row r="57">
      <c r="A57" s="25" t="inlineStr">
        <is>
          <t>효율성 (회전율)</t>
        </is>
      </c>
      <c r="B57" s="25" t="n"/>
      <c r="C57" s="26" t="n"/>
      <c r="D57" s="25" t="n"/>
      <c r="E57" s="25" t="n"/>
      <c r="F57" s="25" t="n"/>
      <c r="G57" s="25" t="n"/>
      <c r="H57" s="26" t="n"/>
      <c r="I57" s="25" t="n"/>
      <c r="J57" s="25" t="n"/>
    </row>
    <row r="58">
      <c r="A58" s="47" t="inlineStr">
        <is>
          <t>총자산회전율</t>
        </is>
      </c>
      <c r="B58" s="10" t="inlineStr">
        <is>
          <t>높을수록↑</t>
        </is>
      </c>
      <c r="C58" s="32">
        <f>IFERROR((IF(COUNT('연간'!F4:I4)&lt;4,"",SUM('연간'!F4:I4)))/C16,"")</f>
        <v/>
      </c>
      <c r="D58" s="33">
        <f>IFERROR((IF(COUNT('연간'!G4:J4)&lt;4,"",SUM('연간'!G4:J4)))/D16,"")</f>
        <v/>
      </c>
      <c r="E58" s="33">
        <f>IFERROR((IF(COUNT('연간'!H4:K4)&lt;4,"",SUM('연간'!H4:K4)))/E16,"")</f>
        <v/>
      </c>
      <c r="F58" s="33">
        <f>IFERROR((IF(COUNT('연간'!I4:L4)&lt;4,"",SUM('연간'!I4:L4)))/F16,"")</f>
        <v/>
      </c>
      <c r="G58" s="33">
        <f>IFERROR((IF(COUNT('연간'!J4:M4)&lt;4,"",SUM('연간'!J4:M4)))/G16,"")</f>
        <v/>
      </c>
      <c r="H58" s="32">
        <f>IFERROR(('연간'!V4)/H16,"")</f>
        <v/>
      </c>
      <c r="I58" s="33">
        <f>IFERROR(('연간'!W4)/I16,"")</f>
        <v/>
      </c>
      <c r="J58" s="33">
        <f>IFERROR(('연간'!X4)/J16,"")</f>
        <v/>
      </c>
    </row>
    <row r="59">
      <c r="A59" s="47" t="inlineStr">
        <is>
          <t>매출채권회전일수</t>
        </is>
      </c>
      <c r="B59" s="10" t="inlineStr">
        <is>
          <t>짧을수록↑</t>
        </is>
      </c>
      <c r="C59" s="50">
        <f>IFERROR(C8/(IF(COUNT('연간'!F4:I4)&lt;4,"",SUM('연간'!F4:I4)))*365,"")</f>
        <v/>
      </c>
      <c r="D59" s="51">
        <f>IFERROR(D8/(IF(COUNT('연간'!G4:J4)&lt;4,"",SUM('연간'!G4:J4)))*365,"")</f>
        <v/>
      </c>
      <c r="E59" s="51">
        <f>IFERROR(E8/(IF(COUNT('연간'!H4:K4)&lt;4,"",SUM('연간'!H4:K4)))*365,"")</f>
        <v/>
      </c>
      <c r="F59" s="51">
        <f>IFERROR(F8/(IF(COUNT('연간'!I4:L4)&lt;4,"",SUM('연간'!I4:L4)))*365,"")</f>
        <v/>
      </c>
      <c r="G59" s="51">
        <f>IFERROR(G8/(IF(COUNT('연간'!J4:M4)&lt;4,"",SUM('연간'!J4:M4)))*365,"")</f>
        <v/>
      </c>
      <c r="H59" s="50">
        <f>IFERROR(H8/('연간'!V4)*365,"")</f>
        <v/>
      </c>
      <c r="I59" s="51">
        <f>IFERROR(I8/('연간'!W4)*365,"")</f>
        <v/>
      </c>
      <c r="J59" s="51">
        <f>IFERROR(J8/('연간'!X4)*365,"")</f>
        <v/>
      </c>
    </row>
    <row r="60">
      <c r="A60" s="47" t="inlineStr">
        <is>
          <t>재고자산회전일수</t>
        </is>
      </c>
      <c r="B60" s="10" t="inlineStr">
        <is>
          <t>짧을수록↑</t>
        </is>
      </c>
      <c r="C60" s="50">
        <f>IFERROR(C9/(IF(COUNT('연간'!F11:I11)&lt;4,"",SUM('연간'!F11:I11)))*365,"")</f>
        <v/>
      </c>
      <c r="D60" s="51">
        <f>IFERROR(D9/(IF(COUNT('연간'!G11:J11)&lt;4,"",SUM('연간'!G11:J11)))*365,"")</f>
        <v/>
      </c>
      <c r="E60" s="51">
        <f>IFERROR(E9/(IF(COUNT('연간'!H11:K11)&lt;4,"",SUM('연간'!H11:K11)))*365,"")</f>
        <v/>
      </c>
      <c r="F60" s="51">
        <f>IFERROR(F9/(IF(COUNT('연간'!I11:L11)&lt;4,"",SUM('연간'!I11:L11)))*365,"")</f>
        <v/>
      </c>
      <c r="G60" s="51">
        <f>IFERROR(G9/(IF(COUNT('연간'!J11:M11)&lt;4,"",SUM('연간'!J11:M11)))*365,"")</f>
        <v/>
      </c>
      <c r="H60" s="50">
        <f>IFERROR(H9/('연간'!V11)*365,"")</f>
        <v/>
      </c>
      <c r="I60" s="51">
        <f>IFERROR(I9/('연간'!W11)*365,"")</f>
        <v/>
      </c>
      <c r="J60" s="51">
        <f>IFERROR(J9/('연간'!X11)*365,"")</f>
        <v/>
      </c>
    </row>
    <row r="61">
      <c r="A61" s="47" t="inlineStr">
        <is>
          <t>매입채무회전일수</t>
        </is>
      </c>
      <c r="B61" s="10" t="inlineStr">
        <is>
          <t>길수록 유리</t>
        </is>
      </c>
      <c r="C61" s="50">
        <f>IFERROR(C19/(IF(COUNT('연간'!F11:I11)&lt;4,"",SUM('연간'!F11:I11)))*365,"")</f>
        <v/>
      </c>
      <c r="D61" s="51">
        <f>IFERROR(D19/(IF(COUNT('연간'!G11:J11)&lt;4,"",SUM('연간'!G11:J11)))*365,"")</f>
        <v/>
      </c>
      <c r="E61" s="51">
        <f>IFERROR(E19/(IF(COUNT('연간'!H11:K11)&lt;4,"",SUM('연간'!H11:K11)))*365,"")</f>
        <v/>
      </c>
      <c r="F61" s="51">
        <f>IFERROR(F19/(IF(COUNT('연간'!I11:L11)&lt;4,"",SUM('연간'!I11:L11)))*365,"")</f>
        <v/>
      </c>
      <c r="G61" s="51">
        <f>IFERROR(G19/(IF(COUNT('연간'!J11:M11)&lt;4,"",SUM('연간'!J11:M11)))*365,"")</f>
        <v/>
      </c>
      <c r="H61" s="50">
        <f>IFERROR(H19/('연간'!V11)*365,"")</f>
        <v/>
      </c>
      <c r="I61" s="51">
        <f>IFERROR(I19/('연간'!W11)*365,"")</f>
        <v/>
      </c>
      <c r="J61" s="51">
        <f>IFERROR(J19/('연간'!X11)*365,"")</f>
        <v/>
      </c>
    </row>
    <row r="62">
      <c r="A62" s="47" t="inlineStr">
        <is>
          <t>현금전환주기 (CCC)</t>
        </is>
      </c>
      <c r="B62" s="10" t="inlineStr">
        <is>
          <t>짧을수록↑</t>
        </is>
      </c>
      <c r="C62" s="50">
        <f>IF(OR(C59="",C60="",C61=""),"",IFERROR(C59+C60-C61,""))</f>
        <v/>
      </c>
      <c r="D62" s="51">
        <f>IF(OR(D59="",D60="",D61=""),"",IFERROR(D59+D60-D61,""))</f>
        <v/>
      </c>
      <c r="E62" s="51">
        <f>IF(OR(E59="",E60="",E61=""),"",IFERROR(E59+E60-E61,""))</f>
        <v/>
      </c>
      <c r="F62" s="51">
        <f>IF(OR(F59="",F60="",F61=""),"",IFERROR(F59+F60-F61,""))</f>
        <v/>
      </c>
      <c r="G62" s="51">
        <f>IF(OR(G59="",G60="",G61=""),"",IFERROR(G59+G60-G61,""))</f>
        <v/>
      </c>
      <c r="H62" s="50">
        <f>IF(OR(H59="",H60="",H61=""),"",IFERROR(H59+H60-H61,""))</f>
        <v/>
      </c>
      <c r="I62" s="51">
        <f>IF(OR(I59="",I60="",I61=""),"",IFERROR(I59+I60-I61,""))</f>
        <v/>
      </c>
      <c r="J62" s="51">
        <f>IF(OR(J59="",J60="",J61=""),"",IFERROR(J59+J60-J61,""))</f>
        <v/>
      </c>
    </row>
    <row r="63">
      <c r="A63" s="25" t="inlineStr">
        <is>
          <t>현금흐름</t>
        </is>
      </c>
      <c r="B63" s="25" t="n"/>
      <c r="C63" s="26" t="n"/>
      <c r="D63" s="25" t="n"/>
      <c r="E63" s="25" t="n"/>
      <c r="F63" s="25" t="n"/>
      <c r="G63" s="25" t="n"/>
      <c r="H63" s="26" t="n"/>
      <c r="I63" s="25" t="n"/>
      <c r="J63" s="25" t="n"/>
    </row>
    <row r="64">
      <c r="A64" s="47" t="inlineStr">
        <is>
          <t>영업현금흐름 / 순이익</t>
        </is>
      </c>
      <c r="B64" s="10" t="inlineStr">
        <is>
          <t>1x↑ (이익의 질)</t>
        </is>
      </c>
      <c r="C64" s="32">
        <f>IF(C37="","",IFERROR(C37/(IF(COUNT('연간'!F47:I47)&lt;4,"",SUM('연간'!F47:I47))),""))</f>
        <v/>
      </c>
      <c r="D64" s="33">
        <f>IF(D37="","",IFERROR(D37/(IF(COUNT('연간'!G47:J47)&lt;4,"",SUM('연간'!G47:J47))),""))</f>
        <v/>
      </c>
      <c r="E64" s="33">
        <f>IF(E37="","",IFERROR(E37/(IF(COUNT('연간'!H47:K47)&lt;4,"",SUM('연간'!H47:K47))),""))</f>
        <v/>
      </c>
      <c r="F64" s="33">
        <f>IF(F37="","",IFERROR(F37/(IF(COUNT('연간'!I47:L47)&lt;4,"",SUM('연간'!I47:L47))),""))</f>
        <v/>
      </c>
      <c r="G64" s="33">
        <f>IF(G37="","",IFERROR(G37/(IF(COUNT('연간'!J47:M47)&lt;4,"",SUM('연간'!J47:M47))),""))</f>
        <v/>
      </c>
      <c r="H64" s="32">
        <f>IF(H37="","",IFERROR(H37/('연간'!V47),""))</f>
        <v/>
      </c>
      <c r="I64" s="33">
        <f>IF(I37="","",IFERROR(I37/('연간'!W47),""))</f>
        <v/>
      </c>
      <c r="J64" s="33">
        <f>IF(J37="","",IFERROR(J37/('연간'!X47),""))</f>
        <v/>
      </c>
    </row>
    <row r="65">
      <c r="A65" s="47" t="inlineStr">
        <is>
          <t>FCF 마진</t>
        </is>
      </c>
      <c r="B65" s="10" t="inlineStr">
        <is>
          <t>5%↑</t>
        </is>
      </c>
      <c r="C65" s="37">
        <f>IF(C39="","",IFERROR(C39/(IF(COUNT('연간'!F4:I4)&lt;4,"",SUM('연간'!F4:I4))),""))</f>
        <v/>
      </c>
      <c r="D65" s="38">
        <f>IF(D39="","",IFERROR(D39/(IF(COUNT('연간'!G4:J4)&lt;4,"",SUM('연간'!G4:J4))),""))</f>
        <v/>
      </c>
      <c r="E65" s="38">
        <f>IF(E39="","",IFERROR(E39/(IF(COUNT('연간'!H4:K4)&lt;4,"",SUM('연간'!H4:K4))),""))</f>
        <v/>
      </c>
      <c r="F65" s="38">
        <f>IF(F39="","",IFERROR(F39/(IF(COUNT('연간'!I4:L4)&lt;4,"",SUM('연간'!I4:L4))),""))</f>
        <v/>
      </c>
      <c r="G65" s="38">
        <f>IF(G39="","",IFERROR(G39/(IF(COUNT('연간'!J4:M4)&lt;4,"",SUM('연간'!J4:M4))),""))</f>
        <v/>
      </c>
      <c r="H65" s="37">
        <f>IF(H39="","",IFERROR(H39/('연간'!V4),""))</f>
        <v/>
      </c>
      <c r="I65" s="38">
        <f>IF(I39="","",IFERROR(I39/('연간'!W4),""))</f>
        <v/>
      </c>
      <c r="J65" s="38">
        <f>IF(J39="","",IFERROR(J39/('연간'!X4),""))</f>
        <v/>
      </c>
    </row>
    <row r="66">
      <c r="A66" s="47" t="inlineStr">
        <is>
          <t>CAPEX / 매출</t>
        </is>
      </c>
      <c r="B66" s="10" t="inlineStr">
        <is>
          <t>낮을수록↑ (자본 가벼움)</t>
        </is>
      </c>
      <c r="C66" s="37">
        <f>IF(C38="","",IFERROR(C38/(IF(COUNT('연간'!F4:I4)&lt;4,"",SUM('연간'!F4:I4))),""))</f>
        <v/>
      </c>
      <c r="D66" s="38">
        <f>IF(D38="","",IFERROR(D38/(IF(COUNT('연간'!G4:J4)&lt;4,"",SUM('연간'!G4:J4))),""))</f>
        <v/>
      </c>
      <c r="E66" s="38">
        <f>IF(E38="","",IFERROR(E38/(IF(COUNT('연간'!H4:K4)&lt;4,"",SUM('연간'!H4:K4))),""))</f>
        <v/>
      </c>
      <c r="F66" s="38">
        <f>IF(F38="","",IFERROR(F38/(IF(COUNT('연간'!I4:L4)&lt;4,"",SUM('연간'!I4:L4))),""))</f>
        <v/>
      </c>
      <c r="G66" s="38">
        <f>IF(G38="","",IFERROR(G38/(IF(COUNT('연간'!J4:M4)&lt;4,"",SUM('연간'!J4:M4))),""))</f>
        <v/>
      </c>
      <c r="H66" s="37">
        <f>IF(H38="","",IFERROR(H38/('연간'!V4),""))</f>
        <v/>
      </c>
      <c r="I66" s="38">
        <f>IF(I38="","",IFERROR(I38/('연간'!W4),""))</f>
        <v/>
      </c>
      <c r="J66" s="38">
        <f>IF(J38="","",IFERROR(J38/('연간'!X4),""))</f>
        <v/>
      </c>
    </row>
    <row r="67">
      <c r="A67" s="47" t="inlineStr">
        <is>
          <t>배당성향</t>
        </is>
      </c>
      <c r="B67" s="10" t="inlineStr">
        <is>
          <t>참고</t>
        </is>
      </c>
      <c r="C67" s="37">
        <f>IF(C40="","",IFERROR(C40/(IF(COUNT('연간'!F49:I49)&lt;4,"",SUM('연간'!F49:I49))),""))</f>
        <v/>
      </c>
      <c r="D67" s="38">
        <f>IF(D40="","",IFERROR(D40/(IF(COUNT('연간'!G49:J49)&lt;4,"",SUM('연간'!G49:J49))),""))</f>
        <v/>
      </c>
      <c r="E67" s="38">
        <f>IF(E40="","",IFERROR(E40/(IF(COUNT('연간'!H49:K49)&lt;4,"",SUM('연간'!H49:K49))),""))</f>
        <v/>
      </c>
      <c r="F67" s="38">
        <f>IF(F40="","",IFERROR(F40/(IF(COUNT('연간'!I49:L49)&lt;4,"",SUM('연간'!I49:L49))),""))</f>
        <v/>
      </c>
      <c r="G67" s="38">
        <f>IF(G40="","",IFERROR(G40/(IF(COUNT('연간'!J49:M49)&lt;4,"",SUM('연간'!J49:M49))),""))</f>
        <v/>
      </c>
      <c r="H67" s="37">
        <f>IF(H40="","",IFERROR(H40/('연간'!V49),""))</f>
        <v/>
      </c>
      <c r="I67" s="38">
        <f>IF(I40="","",IFERROR(I40/('연간'!W49),""))</f>
        <v/>
      </c>
      <c r="J67" s="38">
        <f>IF(J40="","",IFERROR(J40/('연간'!X49),""))</f>
        <v/>
      </c>
    </row>
    <row r="69">
      <c r="A69" s="18" t="inlineStr">
        <is>
          <t>재무상태표 · 전 항목</t>
        </is>
      </c>
      <c r="B69" s="44" t="inlineStr">
        <is>
          <t>분기 말 잔액</t>
        </is>
      </c>
      <c r="C69" s="18" t="n"/>
      <c r="D69" s="18" t="n"/>
      <c r="E69" s="18" t="n"/>
      <c r="F69" s="18" t="n"/>
      <c r="G69" s="18" t="n"/>
      <c r="H69" s="18" t="n"/>
      <c r="I69" s="18" t="n"/>
      <c r="J69" s="18" t="n"/>
    </row>
    <row r="70">
      <c r="A70" s="5" t="inlineStr">
        <is>
          <t>항목</t>
        </is>
      </c>
      <c r="B70" s="5" t="inlineStr">
        <is>
          <t>참고</t>
        </is>
      </c>
      <c r="C70" s="5" t="inlineStr">
        <is>
          <t>2026.1Q</t>
        </is>
      </c>
      <c r="D70" s="5" t="inlineStr">
        <is>
          <t>2026.2Q</t>
        </is>
      </c>
      <c r="E70" s="5" t="inlineStr">
        <is>
          <t>2026.3Q</t>
        </is>
      </c>
      <c r="F70" s="5" t="inlineStr">
        <is>
          <t>2026.4Q</t>
        </is>
      </c>
      <c r="G70" s="5" t="inlineStr">
        <is>
          <t>2027.1Q</t>
        </is>
      </c>
      <c r="H70" s="5" t="inlineStr">
        <is>
          <t>2024</t>
        </is>
      </c>
      <c r="I70" s="5" t="inlineStr">
        <is>
          <t>2025</t>
        </is>
      </c>
      <c r="J70" s="5" t="inlineStr">
        <is>
          <t>2026</t>
        </is>
      </c>
    </row>
    <row r="71">
      <c r="A71" s="20" t="inlineStr">
        <is>
          <t>현금및현금성자산</t>
        </is>
      </c>
      <c r="C71" s="22" t="n">
        <v>235546</v>
      </c>
      <c r="E71" s="22" t="n">
        <v>470707</v>
      </c>
      <c r="F71" s="22" t="n">
        <v>470707</v>
      </c>
      <c r="G71" s="22" t="n">
        <v>1397333</v>
      </c>
      <c r="H71" s="22" t="n">
        <v>187593</v>
      </c>
      <c r="I71" s="22" t="n">
        <v>167932</v>
      </c>
      <c r="J71" s="22" t="n">
        <v>470707</v>
      </c>
    </row>
    <row r="72">
      <c r="A72" s="20" t="inlineStr">
        <is>
          <t>영업채권 및 기타채권</t>
        </is>
      </c>
      <c r="C72" s="22" t="n">
        <v>236412</v>
      </c>
      <c r="E72" s="22" t="n">
        <v>660559</v>
      </c>
      <c r="F72" s="22" t="n">
        <v>660559</v>
      </c>
      <c r="G72" s="22" t="n">
        <v>1648356</v>
      </c>
      <c r="H72" s="22" t="n">
        <v>149815</v>
      </c>
      <c r="I72" s="22" t="n">
        <v>238594</v>
      </c>
      <c r="J72" s="22" t="n">
        <v>660559</v>
      </c>
    </row>
    <row r="73">
      <c r="A73" s="20" t="inlineStr">
        <is>
          <t>기타금융자산</t>
        </is>
      </c>
      <c r="C73" s="22" t="n">
        <v>3929</v>
      </c>
      <c r="E73" s="22" t="n">
        <v>7191</v>
      </c>
      <c r="F73" s="22" t="n">
        <v>7191</v>
      </c>
      <c r="G73" s="22" t="n">
        <v>23005</v>
      </c>
      <c r="H73" s="22" t="n">
        <v>5353</v>
      </c>
      <c r="I73" s="22" t="n">
        <v>3971</v>
      </c>
      <c r="J73" s="22" t="n">
        <v>7191</v>
      </c>
    </row>
    <row r="74">
      <c r="A74" s="20" t="inlineStr">
        <is>
          <t>재고자산</t>
        </is>
      </c>
      <c r="C74" s="22" t="n">
        <v>361634</v>
      </c>
      <c r="E74" s="22" t="n">
        <v>412612</v>
      </c>
      <c r="F74" s="22" t="n">
        <v>412612</v>
      </c>
      <c r="G74" s="22" t="n">
        <v>446026</v>
      </c>
      <c r="H74" s="22" t="n">
        <v>271781</v>
      </c>
      <c r="I74" s="22" t="n">
        <v>352863</v>
      </c>
      <c r="J74" s="22" t="n">
        <v>412612</v>
      </c>
    </row>
    <row r="75">
      <c r="A75" s="20" t="inlineStr">
        <is>
          <t>기타유동자산</t>
        </is>
      </c>
      <c r="C75" s="22" t="n">
        <v>52754</v>
      </c>
      <c r="E75" s="22" t="n">
        <v>66760</v>
      </c>
      <c r="F75" s="22" t="n">
        <v>66760</v>
      </c>
      <c r="G75" s="22" t="n">
        <v>81991</v>
      </c>
      <c r="H75" s="22" t="n">
        <v>36833</v>
      </c>
      <c r="I75" s="22" t="n">
        <v>43349</v>
      </c>
      <c r="J75" s="22" t="n">
        <v>66760</v>
      </c>
    </row>
    <row r="76">
      <c r="A76" s="9" t="inlineStr">
        <is>
          <t>유동자산 합계</t>
        </is>
      </c>
      <c r="C76" s="12" t="n">
        <v>890275</v>
      </c>
      <c r="E76" s="12" t="n">
        <v>1617829</v>
      </c>
      <c r="F76" s="12" t="n">
        <v>1617829</v>
      </c>
      <c r="G76" s="12" t="n">
        <v>3596711</v>
      </c>
      <c r="H76" s="12" t="n">
        <v>651375</v>
      </c>
      <c r="I76" s="12" t="n">
        <v>806709</v>
      </c>
      <c r="J76" s="12" t="n">
        <v>1617829</v>
      </c>
    </row>
    <row r="77">
      <c r="A77" s="20" t="inlineStr">
        <is>
          <t>유형자산</t>
        </is>
      </c>
      <c r="C77" s="22" t="n">
        <v>1068664</v>
      </c>
      <c r="E77" s="22" t="n">
        <v>1055255</v>
      </c>
      <c r="F77" s="22" t="n">
        <v>1055255</v>
      </c>
      <c r="G77" s="22" t="n">
        <v>1109724</v>
      </c>
      <c r="H77" s="22" t="n">
        <v>1168765</v>
      </c>
      <c r="I77" s="22" t="n">
        <v>1100181</v>
      </c>
      <c r="J77" s="22" t="n">
        <v>1055255</v>
      </c>
    </row>
    <row r="78">
      <c r="A78" s="20" t="inlineStr">
        <is>
          <t>사용권자산</t>
        </is>
      </c>
      <c r="C78" s="22" t="n">
        <v>192407</v>
      </c>
      <c r="E78" s="22" t="n">
        <v>178092</v>
      </c>
      <c r="F78" s="22" t="n">
        <v>178092</v>
      </c>
      <c r="G78" s="22" t="n">
        <v>171264</v>
      </c>
      <c r="H78" s="22" t="n">
        <v>159719</v>
      </c>
      <c r="I78" s="22" t="n">
        <v>197063</v>
      </c>
      <c r="J78" s="22" t="n">
        <v>178092</v>
      </c>
    </row>
    <row r="79">
      <c r="A79" s="20" t="inlineStr">
        <is>
          <t>영업권</t>
        </is>
      </c>
      <c r="C79" s="22" t="n">
        <v>395511</v>
      </c>
      <c r="E79" s="22" t="n">
        <v>395585</v>
      </c>
      <c r="F79" s="22" t="n">
        <v>395585</v>
      </c>
      <c r="G79" s="22" t="n">
        <v>395550</v>
      </c>
      <c r="H79" s="22" t="n">
        <v>395405</v>
      </c>
      <c r="I79" s="22" t="n">
        <v>395256</v>
      </c>
      <c r="J79" s="22" t="n">
        <v>395585</v>
      </c>
    </row>
    <row r="80">
      <c r="A80" s="20" t="inlineStr">
        <is>
          <t>무형자산</t>
        </is>
      </c>
      <c r="C80" s="22" t="n">
        <v>11244</v>
      </c>
      <c r="E80" s="22" t="n">
        <v>11192</v>
      </c>
      <c r="F80" s="22" t="n">
        <v>11192</v>
      </c>
      <c r="G80" s="22" t="n">
        <v>11772</v>
      </c>
      <c r="H80" s="22" t="n">
        <v>11259</v>
      </c>
      <c r="I80" s="22" t="n">
        <v>10658</v>
      </c>
      <c r="J80" s="22" t="n">
        <v>11192</v>
      </c>
    </row>
    <row r="81">
      <c r="A81" s="20" t="inlineStr">
        <is>
          <t>지분법 투자</t>
        </is>
      </c>
      <c r="C81" s="22" t="n">
        <v>7285</v>
      </c>
      <c r="E81" s="22" t="n">
        <v>8097</v>
      </c>
      <c r="F81" s="22" t="n">
        <v>8097</v>
      </c>
      <c r="G81" s="22" t="n">
        <v>8180</v>
      </c>
      <c r="H81" s="22" t="n">
        <v>6869</v>
      </c>
      <c r="I81" s="22" t="n">
        <v>7401</v>
      </c>
      <c r="J81" s="22" t="n">
        <v>8097</v>
      </c>
    </row>
    <row r="82">
      <c r="A82" s="20" t="inlineStr">
        <is>
          <t>기타금융자산</t>
        </is>
      </c>
      <c r="C82" s="22" t="n">
        <v>93200</v>
      </c>
      <c r="E82" s="22" t="n">
        <v>219230</v>
      </c>
      <c r="F82" s="22" t="n">
        <v>219230</v>
      </c>
      <c r="G82" s="22" t="n">
        <v>470216</v>
      </c>
      <c r="H82" s="22" t="n">
        <v>87139</v>
      </c>
      <c r="I82" s="22" t="n">
        <v>63179</v>
      </c>
      <c r="J82" s="22" t="n">
        <v>219230</v>
      </c>
    </row>
    <row r="83">
      <c r="A83" s="20" t="inlineStr">
        <is>
          <t>기타비유동자산</t>
        </is>
      </c>
      <c r="C83" s="22" t="n">
        <v>27030</v>
      </c>
      <c r="E83" s="22" t="n">
        <v>27285</v>
      </c>
      <c r="F83" s="22" t="n">
        <v>27285</v>
      </c>
      <c r="G83" s="22" t="n">
        <v>24163</v>
      </c>
      <c r="H83" s="22" t="n">
        <v>13688</v>
      </c>
      <c r="I83" s="22" t="n">
        <v>20069</v>
      </c>
      <c r="J83" s="22" t="n">
        <v>27285</v>
      </c>
    </row>
    <row r="84">
      <c r="A84" s="20" t="inlineStr">
        <is>
          <t>이연법인세자산</t>
        </is>
      </c>
      <c r="C84" s="22" t="n">
        <v>296603</v>
      </c>
      <c r="E84" s="22" t="n">
        <v>177506</v>
      </c>
      <c r="F84" s="22" t="n">
        <v>177506</v>
      </c>
      <c r="G84" s="22" t="n">
        <v>96305</v>
      </c>
      <c r="H84" s="22" t="n">
        <v>370722</v>
      </c>
      <c r="I84" s="22" t="n">
        <v>319163</v>
      </c>
      <c r="J84" s="22" t="n">
        <v>177506</v>
      </c>
    </row>
    <row r="85">
      <c r="A85" s="20" t="inlineStr">
        <is>
          <t>비유동자산 합계</t>
        </is>
      </c>
      <c r="C85" s="22" t="n">
        <v>2091944</v>
      </c>
      <c r="E85" s="22" t="n">
        <v>2072242</v>
      </c>
      <c r="F85" s="22" t="n">
        <v>2072242</v>
      </c>
      <c r="G85" s="22" t="n">
        <v>2287174</v>
      </c>
      <c r="H85" s="22" t="n">
        <v>2213566</v>
      </c>
      <c r="I85" s="22" t="n">
        <v>2112970</v>
      </c>
      <c r="J85" s="22" t="n">
        <v>2072242</v>
      </c>
    </row>
    <row r="86">
      <c r="A86" s="20" t="inlineStr">
        <is>
          <t>자산 합계</t>
        </is>
      </c>
      <c r="C86" s="22" t="n">
        <v>2982219</v>
      </c>
      <c r="E86" s="22" t="n">
        <v>3690071</v>
      </c>
      <c r="F86" s="22" t="n">
        <v>3690071</v>
      </c>
      <c r="G86" s="22" t="n">
        <v>5883885</v>
      </c>
      <c r="H86" s="22" t="n">
        <v>2864941</v>
      </c>
      <c r="I86" s="22" t="n">
        <v>2919679</v>
      </c>
      <c r="J86" s="22" t="n">
        <v>3690071</v>
      </c>
    </row>
    <row r="87">
      <c r="A87" s="20" t="inlineStr">
        <is>
          <t>차입금</t>
        </is>
      </c>
      <c r="C87" s="22" t="n">
        <v>261820</v>
      </c>
      <c r="H87" s="22" t="n">
        <v>826413</v>
      </c>
      <c r="I87" s="22" t="n">
        <v>246508</v>
      </c>
    </row>
    <row r="88">
      <c r="A88" s="20" t="inlineStr">
        <is>
          <t>사채 및 차입금</t>
        </is>
      </c>
      <c r="C88" s="22" t="n">
        <v>189224</v>
      </c>
      <c r="E88" s="22" t="n">
        <v>175452</v>
      </c>
      <c r="F88" s="22" t="n">
        <v>175452</v>
      </c>
      <c r="G88" s="22" t="n">
        <v>60678</v>
      </c>
      <c r="I88" s="22" t="n">
        <v>246508</v>
      </c>
      <c r="J88" s="22" t="n">
        <v>175452</v>
      </c>
    </row>
    <row r="89">
      <c r="A89" s="20" t="inlineStr">
        <is>
          <t>영업채무 및 기타채무</t>
        </is>
      </c>
      <c r="C89" s="22" t="n">
        <v>544641</v>
      </c>
      <c r="E89" s="22" t="n">
        <v>594917</v>
      </c>
      <c r="F89" s="22" t="n">
        <v>594917</v>
      </c>
      <c r="G89" s="22" t="n">
        <v>777408</v>
      </c>
      <c r="H89" s="22" t="n">
        <v>512502</v>
      </c>
      <c r="I89" s="22" t="n">
        <v>504011</v>
      </c>
      <c r="J89" s="22" t="n">
        <v>594917</v>
      </c>
    </row>
    <row r="90">
      <c r="A90" s="20" t="inlineStr">
        <is>
          <t>리스부채</t>
        </is>
      </c>
      <c r="C90" s="22" t="n">
        <v>44244</v>
      </c>
      <c r="E90" s="22" t="n">
        <v>43911</v>
      </c>
      <c r="F90" s="22" t="n">
        <v>43911</v>
      </c>
      <c r="G90" s="22" t="n">
        <v>42619</v>
      </c>
      <c r="H90" s="22" t="n">
        <v>40025</v>
      </c>
      <c r="I90" s="22" t="n">
        <v>42521</v>
      </c>
      <c r="J90" s="22" t="n">
        <v>43911</v>
      </c>
    </row>
    <row r="91">
      <c r="A91" s="20" t="inlineStr">
        <is>
          <t>기타금융부채</t>
        </is>
      </c>
      <c r="C91" s="22" t="n">
        <v>7422</v>
      </c>
      <c r="E91" s="22" t="n">
        <v>28338</v>
      </c>
      <c r="F91" s="22" t="n">
        <v>28338</v>
      </c>
      <c r="G91" s="22" t="n">
        <v>2889</v>
      </c>
      <c r="H91" s="22" t="n">
        <v>344341</v>
      </c>
      <c r="I91" s="22" t="n">
        <v>28058</v>
      </c>
      <c r="J91" s="22" t="n">
        <v>28338</v>
      </c>
    </row>
    <row r="92">
      <c r="A92" s="20" t="inlineStr">
        <is>
          <t>미지급법인세</t>
        </is>
      </c>
      <c r="C92" s="22" t="n">
        <v>10886</v>
      </c>
      <c r="E92" s="22" t="n">
        <v>104516</v>
      </c>
      <c r="F92" s="22" t="n">
        <v>104516</v>
      </c>
      <c r="G92" s="22" t="n">
        <v>974689</v>
      </c>
      <c r="H92" s="22" t="n">
        <v>6182</v>
      </c>
      <c r="I92" s="22" t="n">
        <v>38183</v>
      </c>
      <c r="J92" s="22" t="n">
        <v>104516</v>
      </c>
    </row>
    <row r="93">
      <c r="A93" s="20" t="inlineStr">
        <is>
          <t>충당금</t>
        </is>
      </c>
      <c r="C93" s="22" t="n">
        <v>2179</v>
      </c>
      <c r="E93" s="22" t="n">
        <v>3876</v>
      </c>
      <c r="F93" s="22" t="n">
        <v>3876</v>
      </c>
      <c r="G93" s="22" t="n">
        <v>9385</v>
      </c>
      <c r="H93" s="22" t="n">
        <v>4694</v>
      </c>
      <c r="I93" s="22" t="n">
        <v>3328</v>
      </c>
      <c r="J93" s="22" t="n">
        <v>3876</v>
      </c>
    </row>
    <row r="94">
      <c r="A94" s="20" t="inlineStr">
        <is>
          <t>기타유동부채</t>
        </is>
      </c>
      <c r="C94" s="22" t="n">
        <v>105843</v>
      </c>
      <c r="E94" s="22" t="n">
        <v>146998</v>
      </c>
      <c r="F94" s="22" t="n">
        <v>146998</v>
      </c>
      <c r="G94" s="22" t="n">
        <v>169863</v>
      </c>
      <c r="H94" s="22" t="n">
        <v>131970</v>
      </c>
      <c r="I94" s="22" t="n">
        <v>122564</v>
      </c>
      <c r="J94" s="22" t="n">
        <v>146998</v>
      </c>
    </row>
    <row r="95">
      <c r="A95" s="20" t="inlineStr">
        <is>
          <t>유동부채 합계</t>
        </is>
      </c>
      <c r="C95" s="22" t="n">
        <v>904439</v>
      </c>
      <c r="E95" s="22" t="n">
        <v>1098008</v>
      </c>
      <c r="F95" s="22" t="n">
        <v>1098008</v>
      </c>
      <c r="G95" s="22" t="n">
        <v>2037531</v>
      </c>
      <c r="H95" s="22" t="n">
        <v>1866127</v>
      </c>
      <c r="I95" s="22" t="n">
        <v>985173</v>
      </c>
      <c r="J95" s="22" t="n">
        <v>1098008</v>
      </c>
    </row>
    <row r="96">
      <c r="A96" s="20" t="inlineStr">
        <is>
          <t>차입금</t>
        </is>
      </c>
      <c r="C96" s="22" t="n">
        <v>507057</v>
      </c>
      <c r="H96" s="22" t="n">
        <v>284899</v>
      </c>
      <c r="I96" s="22" t="n">
        <v>531198</v>
      </c>
    </row>
    <row r="97">
      <c r="A97" s="20" t="inlineStr">
        <is>
          <t>사채 및 차입금</t>
        </is>
      </c>
      <c r="C97" s="22" t="n">
        <v>920910</v>
      </c>
      <c r="E97" s="22" t="n">
        <v>872116</v>
      </c>
      <c r="F97" s="22" t="n">
        <v>872116</v>
      </c>
      <c r="G97" s="22" t="n">
        <v>543231</v>
      </c>
      <c r="I97" s="22" t="n">
        <v>531198</v>
      </c>
      <c r="J97" s="22" t="n">
        <v>872116</v>
      </c>
    </row>
    <row r="98">
      <c r="A98" s="20" t="inlineStr">
        <is>
          <t>리스부채</t>
        </is>
      </c>
      <c r="C98" s="22" t="n">
        <v>175172</v>
      </c>
      <c r="E98" s="22" t="n">
        <v>161710</v>
      </c>
      <c r="F98" s="22" t="n">
        <v>161710</v>
      </c>
      <c r="G98" s="22" t="n">
        <v>156201</v>
      </c>
      <c r="H98" s="22" t="n">
        <v>142871</v>
      </c>
      <c r="I98" s="22" t="n">
        <v>179294</v>
      </c>
      <c r="J98" s="22" t="n">
        <v>161710</v>
      </c>
    </row>
    <row r="99">
      <c r="A99" s="20" t="inlineStr">
        <is>
          <t>기타금융부채</t>
        </is>
      </c>
      <c r="C99" s="22" t="n">
        <v>0</v>
      </c>
      <c r="E99" s="22" t="n">
        <v>0</v>
      </c>
      <c r="F99" s="22" t="n">
        <v>0</v>
      </c>
      <c r="H99" s="22" t="n">
        <v>0</v>
      </c>
      <c r="I99" s="22" t="n">
        <v>321261</v>
      </c>
      <c r="J99" s="22" t="n">
        <v>0</v>
      </c>
    </row>
    <row r="100">
      <c r="A100" s="20" t="inlineStr">
        <is>
          <t>퇴직급여부채</t>
        </is>
      </c>
      <c r="C100" s="22" t="n">
        <v>46138</v>
      </c>
      <c r="E100" s="22" t="n">
        <v>42871</v>
      </c>
      <c r="F100" s="22" t="n">
        <v>42871</v>
      </c>
      <c r="G100" s="22" t="n">
        <v>42223</v>
      </c>
      <c r="H100" s="22" t="n">
        <v>48492</v>
      </c>
      <c r="I100" s="22" t="n">
        <v>46477</v>
      </c>
      <c r="J100" s="22" t="n">
        <v>42871</v>
      </c>
    </row>
    <row r="101">
      <c r="A101" s="20" t="inlineStr">
        <is>
          <t>충당금</t>
        </is>
      </c>
      <c r="C101" s="22" t="n">
        <v>8379</v>
      </c>
      <c r="E101" s="22" t="n">
        <v>12840</v>
      </c>
      <c r="F101" s="22" t="n">
        <v>12840</v>
      </c>
      <c r="G101" s="22" t="n">
        <v>62308</v>
      </c>
      <c r="H101" s="22" t="n">
        <v>7331</v>
      </c>
      <c r="I101" s="22" t="n">
        <v>7560</v>
      </c>
      <c r="J101" s="22" t="n">
        <v>12840</v>
      </c>
    </row>
    <row r="102">
      <c r="A102" s="20" t="inlineStr">
        <is>
          <t>기타비유동부채</t>
        </is>
      </c>
      <c r="C102" s="22" t="n">
        <v>107836</v>
      </c>
      <c r="E102" s="22" t="n">
        <v>102725</v>
      </c>
      <c r="F102" s="22" t="n">
        <v>102725</v>
      </c>
      <c r="G102" s="22" t="n">
        <v>113231</v>
      </c>
      <c r="H102" s="22" t="n">
        <v>65419</v>
      </c>
      <c r="I102" s="22" t="n">
        <v>111017</v>
      </c>
      <c r="J102" s="22" t="n">
        <v>102725</v>
      </c>
    </row>
    <row r="103">
      <c r="A103" s="20" t="inlineStr">
        <is>
          <t>이연법인세부채</t>
        </is>
      </c>
      <c r="C103" s="22" t="n">
        <v>3</v>
      </c>
      <c r="E103" s="22" t="n">
        <v>722</v>
      </c>
      <c r="F103" s="22" t="n">
        <v>722</v>
      </c>
      <c r="G103" s="22" t="n">
        <v>44</v>
      </c>
      <c r="H103" s="22" t="n">
        <v>36</v>
      </c>
      <c r="I103" s="22" t="n">
        <v>3</v>
      </c>
      <c r="J103" s="22" t="n">
        <v>722</v>
      </c>
    </row>
    <row r="104">
      <c r="A104" s="20" t="inlineStr">
        <is>
          <t>비유동부채 합계</t>
        </is>
      </c>
      <c r="C104" s="22" t="n">
        <v>1258438</v>
      </c>
      <c r="E104" s="22" t="n">
        <v>1192984</v>
      </c>
      <c r="F104" s="22" t="n">
        <v>1192984</v>
      </c>
      <c r="G104" s="22" t="n">
        <v>917238</v>
      </c>
      <c r="H104" s="22" t="n">
        <v>549048</v>
      </c>
      <c r="I104" s="22" t="n">
        <v>1196810</v>
      </c>
      <c r="J104" s="22" t="n">
        <v>1192984</v>
      </c>
    </row>
    <row r="105">
      <c r="A105" s="20" t="inlineStr">
        <is>
          <t>부채 합계</t>
        </is>
      </c>
      <c r="C105" s="22" t="n">
        <v>2162877</v>
      </c>
      <c r="E105" s="22" t="n">
        <v>2290992</v>
      </c>
      <c r="F105" s="22" t="n">
        <v>2290992</v>
      </c>
      <c r="G105" s="22" t="n">
        <v>2954769</v>
      </c>
      <c r="H105" s="22" t="n">
        <v>2415175</v>
      </c>
      <c r="I105" s="22" t="n">
        <v>2181983</v>
      </c>
      <c r="J105" s="22" t="n">
        <v>2290992</v>
      </c>
    </row>
    <row r="106">
      <c r="A106" s="20" t="inlineStr">
        <is>
          <t>자본금</t>
        </is>
      </c>
      <c r="C106" s="22" t="n">
        <v>25578</v>
      </c>
      <c r="E106" s="22" t="n">
        <v>31284</v>
      </c>
      <c r="F106" s="22" t="n">
        <v>31284</v>
      </c>
      <c r="G106" s="22" t="n">
        <v>34804</v>
      </c>
      <c r="H106" s="22" t="n">
        <v>10000</v>
      </c>
      <c r="I106" s="22" t="n">
        <v>25239</v>
      </c>
      <c r="J106" s="22" t="n">
        <v>31284</v>
      </c>
    </row>
    <row r="107">
      <c r="A107" s="20" t="inlineStr">
        <is>
          <t>자본잉여금</t>
        </is>
      </c>
      <c r="C107" s="22" t="n">
        <v>867701</v>
      </c>
      <c r="E107" s="22" t="n">
        <v>875804</v>
      </c>
      <c r="F107" s="22" t="n">
        <v>875804</v>
      </c>
      <c r="G107" s="22" t="n">
        <v>877802</v>
      </c>
      <c r="H107" s="22" t="n">
        <v>851517</v>
      </c>
      <c r="I107" s="22" t="n">
        <v>866665</v>
      </c>
      <c r="J107" s="22" t="n">
        <v>875804</v>
      </c>
    </row>
    <row r="108">
      <c r="A108" s="20" t="inlineStr">
        <is>
          <t>기타자본구성요소</t>
        </is>
      </c>
      <c r="C108" s="22" t="n">
        <v>56518</v>
      </c>
      <c r="E108" s="22" t="n">
        <v>124888</v>
      </c>
      <c r="F108" s="22" t="n">
        <v>124888</v>
      </c>
      <c r="G108" s="22" t="n">
        <v>251570</v>
      </c>
      <c r="H108" s="22" t="n">
        <v>51172</v>
      </c>
      <c r="I108" s="22" t="n">
        <v>35208</v>
      </c>
      <c r="J108" s="22" t="n">
        <v>124888</v>
      </c>
    </row>
    <row r="109">
      <c r="A109" s="20" t="inlineStr">
        <is>
          <t>이익잉여금</t>
        </is>
      </c>
      <c r="C109" s="22" t="n">
        <v>-130594</v>
      </c>
      <c r="E109" s="22" t="n">
        <v>366955</v>
      </c>
      <c r="F109" s="22" t="n">
        <v>366955</v>
      </c>
      <c r="G109" s="22" t="n">
        <v>2564812</v>
      </c>
      <c r="H109" s="22" t="n">
        <v>-463054</v>
      </c>
      <c r="I109" s="22" t="n">
        <v>-189547</v>
      </c>
      <c r="J109" s="22" t="n">
        <v>366955</v>
      </c>
    </row>
    <row r="110">
      <c r="A110" s="20" t="inlineStr">
        <is>
          <t>자기주식</t>
        </is>
      </c>
      <c r="E110" s="22" t="n">
        <v>-2</v>
      </c>
      <c r="F110" s="22" t="n">
        <v>-2</v>
      </c>
      <c r="G110" s="22" t="n">
        <v>-800024</v>
      </c>
      <c r="I110" s="22" t="n">
        <v>0</v>
      </c>
      <c r="J110" s="22" t="n">
        <v>-2</v>
      </c>
    </row>
    <row r="111">
      <c r="A111" s="20" t="inlineStr">
        <is>
          <t>지배기업 소유주 귀속 지분 합계</t>
        </is>
      </c>
      <c r="C111" s="22" t="n">
        <v>819203</v>
      </c>
      <c r="E111" s="22" t="n">
        <v>1398929</v>
      </c>
      <c r="F111" s="22" t="n">
        <v>1398929</v>
      </c>
      <c r="G111" s="22" t="n">
        <v>2928964</v>
      </c>
      <c r="H111" s="22" t="n">
        <v>449635</v>
      </c>
      <c r="I111" s="22" t="n">
        <v>737565</v>
      </c>
      <c r="J111" s="22" t="n">
        <v>1398929</v>
      </c>
    </row>
    <row r="112">
      <c r="A112" s="20" t="inlineStr">
        <is>
          <t>비지배지분</t>
        </is>
      </c>
      <c r="C112" s="22" t="n">
        <v>139</v>
      </c>
      <c r="E112" s="22" t="n">
        <v>150</v>
      </c>
      <c r="F112" s="22" t="n">
        <v>150</v>
      </c>
      <c r="G112" s="22" t="n">
        <v>152</v>
      </c>
      <c r="H112" s="22" t="n">
        <v>131</v>
      </c>
      <c r="I112" s="22" t="n">
        <v>131</v>
      </c>
      <c r="J112" s="22" t="n">
        <v>150</v>
      </c>
    </row>
    <row r="113">
      <c r="A113" s="20" t="inlineStr">
        <is>
          <t>자본 합계</t>
        </is>
      </c>
      <c r="C113" s="22" t="n">
        <v>819342</v>
      </c>
      <c r="E113" s="22" t="n">
        <v>1399079</v>
      </c>
      <c r="F113" s="22" t="n">
        <v>1399079</v>
      </c>
      <c r="G113" s="22" t="n">
        <v>2929116</v>
      </c>
      <c r="H113" s="22" t="n">
        <v>449766</v>
      </c>
      <c r="I113" s="22" t="n">
        <v>737696</v>
      </c>
      <c r="J113" s="22" t="n">
        <v>1399079</v>
      </c>
    </row>
    <row r="114">
      <c r="A114" s="20" t="inlineStr">
        <is>
          <t>부채및자본 합계</t>
        </is>
      </c>
      <c r="C114" s="22" t="n">
        <v>2982219</v>
      </c>
      <c r="E114" s="22" t="n">
        <v>3690071</v>
      </c>
      <c r="F114" s="22" t="n">
        <v>3690071</v>
      </c>
      <c r="G114" s="22" t="n">
        <v>5883885</v>
      </c>
      <c r="H114" s="22" t="n">
        <v>2864941</v>
      </c>
      <c r="I114" s="22" t="n">
        <v>2919679</v>
      </c>
      <c r="J114" s="22" t="n">
        <v>3690071</v>
      </c>
    </row>
  </sheetData>
  <conditionalFormatting sqref="C43:J43">
    <cfRule type="expression" priority="1" dxfId="0">
      <formula>AND(ISNUMBER(C43),C43&gt;1.0)</formula>
    </cfRule>
  </conditionalFormatting>
  <conditionalFormatting sqref="C44:J44">
    <cfRule type="expression" priority="2" dxfId="0">
      <formula>AND(ISNUMBER(C44),C44&gt;0.5)</formula>
    </cfRule>
  </conditionalFormatting>
  <conditionalFormatting sqref="C45:J45">
    <cfRule type="expression" priority="3" dxfId="0">
      <formula>AND(ISNUMBER(C45),C45&lt;0.5)</formula>
    </cfRule>
  </conditionalFormatting>
  <conditionalFormatting sqref="C46:J46">
    <cfRule type="expression" priority="4" dxfId="0">
      <formula>AND(ISNUMBER(C46),C46&lt;1.5)</formula>
    </cfRule>
  </conditionalFormatting>
  <conditionalFormatting sqref="C47:J47">
    <cfRule type="expression" priority="5" dxfId="0">
      <formula>AND(ISNUMBER(C47),C47&lt;1.0)</formula>
    </cfRule>
  </conditionalFormatting>
  <conditionalFormatting sqref="C48:J48">
    <cfRule type="expression" priority="6" dxfId="0">
      <formula>AND(ISNUMBER(C48),C48&lt;5)</formula>
    </cfRule>
  </conditionalFormatting>
  <conditionalFormatting sqref="C49:J49">
    <cfRule type="expression" priority="7" dxfId="0">
      <formula>AND(ISNUMBER(C49),C49&gt;4)</formula>
    </cfRule>
  </conditionalFormatting>
  <conditionalFormatting sqref="C51:J51">
    <cfRule type="expression" priority="8" dxfId="0">
      <formula>AND(ISNUMBER(C51),C51&lt;0.15)</formula>
    </cfRule>
  </conditionalFormatting>
  <conditionalFormatting sqref="C52:J52">
    <cfRule type="expression" priority="9" dxfId="0">
      <formula>AND(ISNUMBER(C52),C52&lt;0.05)</formula>
    </cfRule>
  </conditionalFormatting>
  <conditionalFormatting sqref="C53:J53">
    <cfRule type="expression" priority="10" dxfId="0">
      <formula>AND(ISNUMBER(C53),C53&lt;0.1)</formula>
    </cfRule>
  </conditionalFormatting>
  <conditionalFormatting sqref="C54:J54">
    <cfRule type="expression" priority="11" dxfId="0">
      <formula>AND(ISNUMBER(C54),C54&lt;0.4)</formula>
    </cfRule>
  </conditionalFormatting>
  <conditionalFormatting sqref="C55:J55">
    <cfRule type="expression" priority="12" dxfId="0">
      <formula>AND(ISNUMBER(C55),C55&lt;0.15)</formula>
    </cfRule>
  </conditionalFormatting>
  <conditionalFormatting sqref="C56:J56">
    <cfRule type="expression" priority="13" dxfId="0">
      <formula>AND(ISNUMBER(C56),C56&lt;0.1)</formula>
    </cfRule>
  </conditionalFormatting>
  <conditionalFormatting sqref="C64:J64">
    <cfRule type="expression" priority="14" dxfId="0">
      <formula>AND(ISNUMBER(C64),C64&lt;1.0)</formula>
    </cfRule>
  </conditionalFormatting>
  <conditionalFormatting sqref="C65:J65">
    <cfRule type="expression" priority="15" dxfId="0">
      <formula>AND(ISNUMBER(C65),C65&lt;0.05)</formula>
    </cfRule>
  </conditionalFormatting>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sheetPr>
  <dimension ref="A1:J235"/>
  <sheetViews>
    <sheetView showGridLines="0"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44" customWidth="1" min="10" max="10"/>
  </cols>
  <sheetData>
    <row r="1">
      <c r="A1" s="52" t="inlineStr">
        <is>
          <t>285A 섹터·사업 데이터</t>
        </is>
      </c>
    </row>
    <row r="2">
      <c r="A2" s="53" t="inlineStr">
        <is>
          <t>2단계 보고서를 만들 때 모은 자료 · 월차 · 출처는 맨 오른쪽</t>
        </is>
      </c>
    </row>
    <row r="4">
      <c r="A4" s="54" t="inlineStr">
        <is>
          <t>this filing · 2Q</t>
        </is>
      </c>
      <c r="B4" s="54" t="n"/>
      <c r="C4" s="54" t="n"/>
      <c r="D4" s="54" t="n"/>
      <c r="E4" s="54" t="n"/>
      <c r="F4" s="54" t="n"/>
      <c r="G4" s="54" t="n"/>
      <c r="H4" s="54" t="n"/>
      <c r="I4" s="54" t="n"/>
      <c r="J4" s="54" t="n"/>
    </row>
    <row r="5">
      <c r="A5" s="55" t="inlineStr">
        <is>
          <t>항목</t>
        </is>
      </c>
      <c r="B5" s="55" t="inlineStr">
        <is>
          <t>값</t>
        </is>
      </c>
      <c r="J5" s="55" t="inlineStr">
        <is>
          <t>출처</t>
        </is>
      </c>
    </row>
    <row r="6">
      <c r="A6" s="56" t="inlineStr">
        <is>
          <t>매출</t>
        </is>
      </c>
      <c r="B6" s="57" t="n">
        <v>24800.3</v>
      </c>
      <c r="J6" s="58" t="inlineStr">
        <is>
          <t>2단계 보고서 자료(회사 설명회 자료·공시)</t>
        </is>
      </c>
    </row>
    <row r="7">
      <c r="A7" s="56" t="inlineStr">
        <is>
          <t>ssd</t>
        </is>
      </c>
      <c r="B7" s="59" t="n">
        <v>16160</v>
      </c>
    </row>
    <row r="8">
      <c r="A8" s="56" t="inlineStr">
        <is>
          <t>smart</t>
        </is>
      </c>
      <c r="B8" s="59" t="n">
        <v>7889</v>
      </c>
    </row>
    <row r="9">
      <c r="A9" s="56" t="inlineStr">
        <is>
          <t>other</t>
        </is>
      </c>
      <c r="B9" s="59" t="n">
        <v>752</v>
      </c>
    </row>
    <row r="10">
      <c r="A10" s="56" t="inlineStr">
        <is>
          <t>cogs</t>
        </is>
      </c>
      <c r="B10" s="57" t="n">
        <v>4268.7</v>
      </c>
    </row>
    <row r="11">
      <c r="A11" s="56" t="inlineStr">
        <is>
          <t>gp</t>
        </is>
      </c>
      <c r="B11" s="57" t="n">
        <v>20531.6</v>
      </c>
    </row>
    <row r="12">
      <c r="A12" s="56" t="inlineStr">
        <is>
          <t>sga</t>
        </is>
      </c>
      <c r="B12" s="57" t="n">
        <v>569.9</v>
      </c>
    </row>
    <row r="13">
      <c r="A13" s="56" t="inlineStr">
        <is>
          <t>other inc</t>
        </is>
      </c>
      <c r="B13" s="57" t="n">
        <v>16.09</v>
      </c>
    </row>
    <row r="14">
      <c r="A14" s="56" t="inlineStr">
        <is>
          <t>other exp</t>
        </is>
      </c>
      <c r="B14" s="57" t="n">
        <v>30.75</v>
      </c>
    </row>
    <row r="15">
      <c r="A15" s="56" t="inlineStr">
        <is>
          <t>영업이익</t>
        </is>
      </c>
      <c r="B15" s="57" t="n">
        <v>19947.1</v>
      </c>
    </row>
    <row r="16">
      <c r="A16" s="56" t="inlineStr">
        <is>
          <t>fin inc</t>
        </is>
      </c>
      <c r="B16" s="57" t="n">
        <v>258.45</v>
      </c>
    </row>
    <row r="17">
      <c r="A17" s="56" t="inlineStr">
        <is>
          <t>fin cost</t>
        </is>
      </c>
      <c r="B17" s="57" t="n">
        <v>516.36</v>
      </c>
    </row>
    <row r="18">
      <c r="A18" s="56" t="inlineStr">
        <is>
          <t>equity method</t>
        </is>
      </c>
      <c r="B18" s="57" t="n">
        <v>-2.49</v>
      </c>
    </row>
    <row r="19">
      <c r="A19" s="56" t="inlineStr">
        <is>
          <t>pbt</t>
        </is>
      </c>
      <c r="B19" s="57" t="n">
        <v>19686.7</v>
      </c>
    </row>
    <row r="20">
      <c r="A20" s="56" t="inlineStr">
        <is>
          <t>tax</t>
        </is>
      </c>
      <c r="B20" s="57" t="n">
        <v>6129.66</v>
      </c>
    </row>
    <row r="21">
      <c r="A21" s="56" t="inlineStr">
        <is>
          <t>순이익 owner</t>
        </is>
      </c>
      <c r="B21" s="57" t="n">
        <v>13557.1</v>
      </c>
    </row>
    <row r="22">
      <c r="A22" s="56" t="inlineStr">
        <is>
          <t>EPS basic</t>
        </is>
      </c>
      <c r="B22" s="57" t="n">
        <v>838.3099999999999</v>
      </c>
    </row>
    <row r="23">
      <c r="A23" s="56" t="inlineStr">
        <is>
          <t>EPS diluted</t>
        </is>
      </c>
      <c r="B23" s="57" t="n">
        <v>832.3099999999999</v>
      </c>
    </row>
    <row r="24">
      <c r="A24" s="56" t="inlineStr">
        <is>
          <t>nongaap 영업이익</t>
        </is>
      </c>
      <c r="B24" s="59" t="n">
        <v>19883</v>
      </c>
    </row>
    <row r="25">
      <c r="A25" s="56" t="inlineStr">
        <is>
          <t>stock comp</t>
        </is>
      </c>
      <c r="B25" s="59" t="n">
        <v>64</v>
      </c>
    </row>
    <row r="26">
      <c r="A26" s="56" t="inlineStr">
        <is>
          <t>ppa</t>
        </is>
      </c>
      <c r="B26" s="59" t="n">
        <v>-1</v>
      </c>
    </row>
    <row r="27">
      <c r="A27" s="56" t="inlineStr">
        <is>
          <t>litigation</t>
        </is>
      </c>
      <c r="B27" s="59" t="n">
        <v>0</v>
      </c>
    </row>
    <row r="28">
      <c r="A28" s="56" t="inlineStr">
        <is>
          <t>usdjpy</t>
        </is>
      </c>
      <c r="B28" s="59" t="n">
        <v>161</v>
      </c>
    </row>
    <row r="30">
      <c r="A30" s="54" t="inlineStr">
        <is>
          <t>this filing · 1Q</t>
        </is>
      </c>
      <c r="B30" s="54" t="n"/>
      <c r="C30" s="54" t="n"/>
      <c r="D30" s="54" t="n"/>
      <c r="E30" s="54" t="n"/>
      <c r="F30" s="54" t="n"/>
      <c r="G30" s="54" t="n"/>
      <c r="H30" s="54" t="n"/>
      <c r="I30" s="54" t="n"/>
      <c r="J30" s="54" t="n"/>
    </row>
    <row r="31">
      <c r="A31" s="55" t="inlineStr">
        <is>
          <t>항목</t>
        </is>
      </c>
      <c r="B31" s="55" t="inlineStr">
        <is>
          <t>값</t>
        </is>
      </c>
      <c r="J31" s="55" t="inlineStr">
        <is>
          <t>출처</t>
        </is>
      </c>
    </row>
    <row r="32">
      <c r="A32" s="56" t="inlineStr">
        <is>
          <t>매출</t>
        </is>
      </c>
      <c r="B32" s="57" t="n">
        <v>17671.2</v>
      </c>
      <c r="J32" s="58" t="inlineStr">
        <is>
          <t>2단계 보고서 자료(회사 설명회 자료·공시)</t>
        </is>
      </c>
    </row>
    <row r="33">
      <c r="A33" s="56" t="inlineStr">
        <is>
          <t>ssd</t>
        </is>
      </c>
      <c r="B33" s="59" t="n">
        <v>11747</v>
      </c>
    </row>
    <row r="34">
      <c r="A34" s="56" t="inlineStr">
        <is>
          <t>smart</t>
        </is>
      </c>
      <c r="B34" s="59" t="n">
        <v>5257</v>
      </c>
    </row>
    <row r="35">
      <c r="A35" s="56" t="inlineStr">
        <is>
          <t>other</t>
        </is>
      </c>
      <c r="B35" s="59" t="n">
        <v>667</v>
      </c>
    </row>
    <row r="36">
      <c r="A36" s="56" t="inlineStr">
        <is>
          <t>영업이익</t>
        </is>
      </c>
      <c r="B36" s="57" t="n">
        <v>12700.2</v>
      </c>
    </row>
    <row r="37">
      <c r="A37" s="56" t="inlineStr">
        <is>
          <t>nongaap 영업이익</t>
        </is>
      </c>
      <c r="B37" s="59" t="n">
        <v>13262</v>
      </c>
    </row>
    <row r="38">
      <c r="A38" s="56" t="inlineStr">
        <is>
          <t>stock comp</t>
        </is>
      </c>
      <c r="B38" s="59" t="n">
        <v>-194</v>
      </c>
    </row>
    <row r="39">
      <c r="A39" s="56" t="inlineStr">
        <is>
          <t>litigation</t>
        </is>
      </c>
      <c r="B39" s="59" t="n">
        <v>-366</v>
      </c>
    </row>
    <row r="40">
      <c r="A40" s="56" t="inlineStr">
        <is>
          <t>순이익 owner</t>
        </is>
      </c>
      <c r="B40" s="57" t="n">
        <v>8421.6</v>
      </c>
    </row>
    <row r="41">
      <c r="A41" s="56" t="inlineStr">
        <is>
          <t>EPS basic</t>
        </is>
      </c>
      <c r="B41" s="57" t="n">
        <v>513.3</v>
      </c>
    </row>
    <row r="42">
      <c r="A42" s="56" t="inlineStr">
        <is>
          <t>usdjpy</t>
        </is>
      </c>
      <c r="B42" s="59" t="n">
        <v>160</v>
      </c>
    </row>
    <row r="44">
      <c r="A44" s="54" t="inlineStr">
        <is>
          <t>this filing · 상반기</t>
        </is>
      </c>
      <c r="B44" s="54" t="n"/>
      <c r="C44" s="54" t="n"/>
      <c r="D44" s="54" t="n"/>
      <c r="E44" s="54" t="n"/>
      <c r="F44" s="54" t="n"/>
      <c r="G44" s="54" t="n"/>
      <c r="H44" s="54" t="n"/>
      <c r="I44" s="54" t="n"/>
      <c r="J44" s="54" t="n"/>
    </row>
    <row r="45">
      <c r="A45" s="55" t="inlineStr">
        <is>
          <t>항목</t>
        </is>
      </c>
      <c r="B45" s="55" t="inlineStr">
        <is>
          <t>값</t>
        </is>
      </c>
      <c r="J45" s="55" t="inlineStr">
        <is>
          <t>출처</t>
        </is>
      </c>
    </row>
    <row r="46">
      <c r="A46" s="56" t="inlineStr">
        <is>
          <t>매출</t>
        </is>
      </c>
      <c r="B46" s="57" t="n">
        <v>42471.5</v>
      </c>
      <c r="J46" s="58" t="inlineStr">
        <is>
          <t>2단계 보고서 자료(회사 설명회 자료·공시)</t>
        </is>
      </c>
    </row>
    <row r="47">
      <c r="A47" s="56" t="inlineStr">
        <is>
          <t>ssd</t>
        </is>
      </c>
      <c r="B47" s="59" t="n">
        <v>27907</v>
      </c>
    </row>
    <row r="48">
      <c r="A48" s="56" t="inlineStr">
        <is>
          <t>smart</t>
        </is>
      </c>
      <c r="B48" s="59" t="n">
        <v>13145</v>
      </c>
    </row>
    <row r="49">
      <c r="A49" s="56" t="inlineStr">
        <is>
          <t>other</t>
        </is>
      </c>
      <c r="B49" s="59" t="n">
        <v>1419</v>
      </c>
    </row>
    <row r="50">
      <c r="A50" s="56" t="inlineStr">
        <is>
          <t>영업이익</t>
        </is>
      </c>
      <c r="B50" s="57" t="n">
        <v>32647.3</v>
      </c>
    </row>
    <row r="51">
      <c r="A51" s="56" t="inlineStr">
        <is>
          <t>순이익 owner</t>
        </is>
      </c>
      <c r="B51" s="57" t="n">
        <v>21978.7</v>
      </c>
    </row>
    <row r="52">
      <c r="A52" s="56" t="inlineStr">
        <is>
          <t>ocf</t>
        </is>
      </c>
      <c r="B52" s="59" t="n">
        <v>23796</v>
      </c>
    </row>
    <row r="53">
      <c r="A53" s="56" t="inlineStr">
        <is>
          <t>icf</t>
        </is>
      </c>
      <c r="B53" s="59" t="n">
        <v>-1930</v>
      </c>
    </row>
    <row r="54">
      <c r="A54" s="56" t="inlineStr">
        <is>
          <t>fcf calc</t>
        </is>
      </c>
      <c r="B54" s="59" t="n">
        <v>21866</v>
      </c>
    </row>
    <row r="55">
      <c r="A55" s="56" t="inlineStr">
        <is>
          <t>설비투자 ppe</t>
        </is>
      </c>
      <c r="B55" s="59" t="n">
        <v>1353</v>
      </c>
    </row>
    <row r="56">
      <c r="A56" s="56" t="inlineStr">
        <is>
          <t>nanya stake</t>
        </is>
      </c>
      <c r="B56" s="59" t="n">
        <v>782</v>
      </c>
    </row>
    <row r="57">
      <c r="A57" s="56" t="inlineStr">
        <is>
          <t>buyback</t>
        </is>
      </c>
      <c r="B57" s="59" t="n">
        <v>8003</v>
      </c>
    </row>
    <row r="58">
      <c r="A58" s="56" t="inlineStr">
        <is>
          <t>debt repay</t>
        </is>
      </c>
      <c r="B58" s="59" t="n">
        <v>5231</v>
      </c>
    </row>
    <row r="59">
      <c r="A59" s="56" t="inlineStr">
        <is>
          <t>usdjpy</t>
        </is>
      </c>
      <c r="B59" s="59" t="n">
        <v>160</v>
      </c>
    </row>
    <row r="61">
      <c r="A61" s="54" t="inlineStr">
        <is>
          <t>this filing · bs 0930</t>
        </is>
      </c>
      <c r="B61" s="54" t="n"/>
      <c r="C61" s="54" t="n"/>
      <c r="D61" s="54" t="n"/>
      <c r="E61" s="54" t="n"/>
      <c r="F61" s="54" t="n"/>
      <c r="G61" s="54" t="n"/>
      <c r="H61" s="54" t="n"/>
      <c r="I61" s="54" t="n"/>
      <c r="J61" s="54" t="n"/>
    </row>
    <row r="62">
      <c r="A62" s="55" t="inlineStr">
        <is>
          <t>항목</t>
        </is>
      </c>
      <c r="B62" s="55" t="inlineStr">
        <is>
          <t>값</t>
        </is>
      </c>
      <c r="J62" s="55" t="inlineStr">
        <is>
          <t>출처</t>
        </is>
      </c>
    </row>
    <row r="63">
      <c r="A63" s="56" t="inlineStr">
        <is>
          <t>합계 assets</t>
        </is>
      </c>
      <c r="B63" s="57" t="n">
        <v>58838.9</v>
      </c>
      <c r="J63" s="58" t="inlineStr">
        <is>
          <t>2단계 보고서 자료(회사 설명회 자료·공시)</t>
        </is>
      </c>
    </row>
    <row r="64">
      <c r="A64" s="56" t="inlineStr">
        <is>
          <t>cash</t>
        </is>
      </c>
      <c r="B64" s="57" t="n">
        <v>13973.3</v>
      </c>
    </row>
    <row r="65">
      <c r="A65" s="56" t="inlineStr">
        <is>
          <t>receivables</t>
        </is>
      </c>
      <c r="B65" s="57" t="n">
        <v>16483.6</v>
      </c>
    </row>
    <row r="66">
      <c r="A66" s="56" t="inlineStr">
        <is>
          <t>inventory</t>
        </is>
      </c>
      <c r="B66" s="57" t="n">
        <v>4460.3</v>
      </c>
    </row>
    <row r="67">
      <c r="A67" s="56" t="inlineStr">
        <is>
          <t>debt current</t>
        </is>
      </c>
      <c r="B67" s="57" t="n">
        <v>606.8</v>
      </c>
    </row>
    <row r="68">
      <c r="A68" s="56" t="inlineStr">
        <is>
          <t>debt noncurrent</t>
        </is>
      </c>
      <c r="B68" s="57" t="n">
        <v>5432.3</v>
      </c>
    </row>
    <row r="69">
      <c r="A69" s="56" t="inlineStr">
        <is>
          <t>lease</t>
        </is>
      </c>
      <c r="B69" s="57" t="n">
        <v>1988.2</v>
      </c>
    </row>
    <row r="70">
      <c r="A70" s="56" t="inlineStr">
        <is>
          <t>income tax payable</t>
        </is>
      </c>
      <c r="B70" s="57" t="n">
        <v>9746.9</v>
      </c>
    </row>
    <row r="71">
      <c r="A71" s="56" t="inlineStr">
        <is>
          <t>equity owner</t>
        </is>
      </c>
      <c r="B71" s="57" t="n">
        <v>29289.6</v>
      </c>
    </row>
    <row r="72">
      <c r="A72" s="56" t="inlineStr">
        <is>
          <t>equity ratio</t>
        </is>
      </c>
      <c r="B72" s="57" t="n">
        <v>49.8</v>
      </c>
    </row>
    <row r="73">
      <c r="A73" s="56" t="inlineStr">
        <is>
          <t>treasury</t>
        </is>
      </c>
      <c r="B73" s="57" t="n">
        <v>-8000.2</v>
      </c>
    </row>
    <row r="74">
      <c r="A74" s="56" t="inlineStr">
        <is>
          <t>net cash calc</t>
        </is>
      </c>
      <c r="B74" s="57" t="n">
        <v>7934.2</v>
      </c>
    </row>
    <row r="76">
      <c r="A76" s="54" t="inlineStr">
        <is>
          <t>this filing · shares</t>
        </is>
      </c>
      <c r="B76" s="54" t="n"/>
      <c r="C76" s="54" t="n"/>
      <c r="D76" s="54" t="n"/>
      <c r="E76" s="54" t="n"/>
      <c r="F76" s="54" t="n"/>
      <c r="G76" s="54" t="n"/>
      <c r="H76" s="54" t="n"/>
      <c r="I76" s="54" t="n"/>
      <c r="J76" s="54" t="n"/>
    </row>
    <row r="77">
      <c r="A77" s="55" t="inlineStr">
        <is>
          <t>항목</t>
        </is>
      </c>
      <c r="B77" s="55" t="inlineStr">
        <is>
          <t>값</t>
        </is>
      </c>
      <c r="J77" s="55" t="inlineStr">
        <is>
          <t>출처</t>
        </is>
      </c>
    </row>
    <row r="78">
      <c r="A78" s="56" t="inlineStr">
        <is>
          <t>issued</t>
        </is>
      </c>
      <c r="B78" s="59" t="n">
        <v>1646307702</v>
      </c>
      <c r="J78" s="58" t="inlineStr">
        <is>
          <t>2단계 보고서 자료(회사 설명회 자료·공시)</t>
        </is>
      </c>
    </row>
    <row r="79">
      <c r="A79" s="56" t="inlineStr">
        <is>
          <t>treasury</t>
        </is>
      </c>
      <c r="B79" s="59" t="n">
        <v>48402168</v>
      </c>
    </row>
    <row r="80">
      <c r="A80" s="56" t="inlineStr">
        <is>
          <t>outstanding</t>
        </is>
      </c>
      <c r="B80" s="59" t="n">
        <v>1597905534</v>
      </c>
    </row>
    <row r="81">
      <c r="A81" s="56" t="inlineStr">
        <is>
          <t>avg 1h</t>
        </is>
      </c>
      <c r="B81" s="59" t="n">
        <v>1628862141</v>
      </c>
    </row>
    <row r="83">
      <c r="A83" s="54" t="inlineStr">
        <is>
          <t>3Q 가이던스</t>
        </is>
      </c>
      <c r="B83" s="54" t="n"/>
      <c r="C83" s="54" t="n"/>
      <c r="D83" s="54" t="n"/>
      <c r="E83" s="54" t="n"/>
      <c r="F83" s="54" t="n"/>
      <c r="G83" s="54" t="n"/>
      <c r="H83" s="54" t="n"/>
      <c r="I83" s="54" t="n"/>
      <c r="J83" s="54" t="n"/>
    </row>
    <row r="84">
      <c r="A84" s="55" t="inlineStr">
        <is>
          <t>항목</t>
        </is>
      </c>
      <c r="B84" s="55" t="inlineStr">
        <is>
          <t>값</t>
        </is>
      </c>
      <c r="J84" s="55" t="inlineStr">
        <is>
          <t>출처</t>
        </is>
      </c>
    </row>
    <row r="85">
      <c r="A85" s="56" t="inlineStr">
        <is>
          <t>매출</t>
        </is>
      </c>
      <c r="B85" s="59" t="n">
        <v>25000</v>
      </c>
      <c r="J85" s="58" t="inlineStr">
        <is>
          <t>2단계 보고서 자료(회사 설명회 자료·공시)</t>
        </is>
      </c>
    </row>
    <row r="86">
      <c r="A86" s="56" t="inlineStr">
        <is>
          <t>매출 QoQ</t>
        </is>
      </c>
      <c r="B86" s="57" t="n">
        <v>0.8</v>
      </c>
    </row>
    <row r="87">
      <c r="A87" s="56" t="inlineStr">
        <is>
          <t>영업이익</t>
        </is>
      </c>
      <c r="B87" s="59" t="n">
        <v>19950</v>
      </c>
    </row>
    <row r="88">
      <c r="A88" s="56" t="inlineStr">
        <is>
          <t>영업이익 QoQ</t>
        </is>
      </c>
      <c r="B88" s="57" t="n">
        <v>0</v>
      </c>
    </row>
    <row r="89">
      <c r="A89" s="56" t="inlineStr">
        <is>
          <t>nongaap 영업이익</t>
        </is>
      </c>
      <c r="B89" s="59" t="n">
        <v>20000</v>
      </c>
    </row>
    <row r="90">
      <c r="A90" s="56" t="inlineStr">
        <is>
          <t>pbt</t>
        </is>
      </c>
      <c r="B90" s="59" t="n">
        <v>19800</v>
      </c>
    </row>
    <row r="91">
      <c r="A91" s="56" t="inlineStr">
        <is>
          <t>순이익 owner</t>
        </is>
      </c>
      <c r="B91" s="59" t="n">
        <v>13600</v>
      </c>
    </row>
    <row r="92">
      <c r="A92" s="56" t="inlineStr">
        <is>
          <t>EPS</t>
        </is>
      </c>
      <c r="B92" s="57" t="n">
        <v>851.11</v>
      </c>
    </row>
    <row r="93">
      <c r="A93" s="56" t="inlineStr">
        <is>
          <t>usdjpy</t>
        </is>
      </c>
      <c r="B93" s="59" t="n">
        <v>157</v>
      </c>
    </row>
    <row r="94">
      <c r="A94" s="56" t="inlineStr">
        <is>
          <t>cum 9m 매출</t>
        </is>
      </c>
      <c r="B94" s="57" t="n">
        <v>67471.5</v>
      </c>
    </row>
    <row r="95">
      <c r="A95" s="56" t="inlineStr">
        <is>
          <t>cum 9m 영업이익</t>
        </is>
      </c>
      <c r="B95" s="57" t="n">
        <v>52597.3</v>
      </c>
    </row>
    <row r="96">
      <c r="A96" s="56" t="inlineStr">
        <is>
          <t>cum 9m 순이익</t>
        </is>
      </c>
      <c r="B96" s="57" t="n">
        <v>35578.7</v>
      </c>
    </row>
    <row r="98">
      <c r="A98" s="54" t="inlineStr">
        <is>
          <t>dividend</t>
        </is>
      </c>
      <c r="B98" s="54" t="n"/>
      <c r="C98" s="54" t="n"/>
      <c r="D98" s="54" t="n"/>
      <c r="E98" s="54" t="n"/>
      <c r="F98" s="54" t="n"/>
      <c r="G98" s="54" t="n"/>
      <c r="H98" s="54" t="n"/>
      <c r="I98" s="54" t="n"/>
      <c r="J98" s="54" t="n"/>
    </row>
    <row r="99">
      <c r="A99" s="55" t="inlineStr">
        <is>
          <t>항목</t>
        </is>
      </c>
      <c r="B99" s="55" t="inlineStr">
        <is>
          <t>값</t>
        </is>
      </c>
      <c r="J99" s="55" t="inlineStr">
        <is>
          <t>출처</t>
        </is>
      </c>
    </row>
    <row r="100">
      <c r="A100" s="56" t="inlineStr">
        <is>
          <t>interim dps pre split</t>
        </is>
      </c>
      <c r="B100" s="59" t="n">
        <v>90</v>
      </c>
      <c r="J100" s="58" t="inlineStr">
        <is>
          <t>2단계 보고서 자료(회사 설명회 자료·공시)</t>
        </is>
      </c>
    </row>
    <row r="101">
      <c r="A101" s="56" t="inlineStr">
        <is>
          <t>interim dps post split</t>
        </is>
      </c>
      <c r="B101" s="59" t="n">
        <v>30</v>
      </c>
    </row>
    <row r="102">
      <c r="A102" s="56" t="inlineStr">
        <is>
          <t>합계</t>
        </is>
      </c>
      <c r="B102" s="57" t="n">
        <v>479.37</v>
      </c>
    </row>
    <row r="103">
      <c r="A103" s="56" t="inlineStr">
        <is>
          <t>first dividend</t>
        </is>
      </c>
      <c r="B103" s="59" t="b">
        <v>1</v>
      </c>
    </row>
    <row r="105">
      <c r="A105" s="54" t="inlineStr">
        <is>
          <t>guide vs 실적 2q · 매출</t>
        </is>
      </c>
      <c r="B105" s="54" t="n"/>
      <c r="C105" s="54" t="n"/>
      <c r="D105" s="54" t="n"/>
      <c r="E105" s="54" t="n"/>
      <c r="F105" s="54" t="n"/>
      <c r="G105" s="54" t="n"/>
      <c r="H105" s="54" t="n"/>
      <c r="I105" s="54" t="n"/>
      <c r="J105" s="54" t="n"/>
    </row>
    <row r="106">
      <c r="A106" s="55" t="inlineStr">
        <is>
          <t>항목</t>
        </is>
      </c>
      <c r="B106" s="55" t="inlineStr">
        <is>
          <t>값</t>
        </is>
      </c>
      <c r="J106" s="55" t="inlineStr">
        <is>
          <t>출처</t>
        </is>
      </c>
    </row>
    <row r="107">
      <c r="A107" s="56" t="inlineStr">
        <is>
          <t>guide</t>
        </is>
      </c>
      <c r="B107" s="59" t="n">
        <v>23900</v>
      </c>
      <c r="J107" s="58" t="inlineStr">
        <is>
          <t>2단계 보고서 자료(회사 설명회 자료·공시)</t>
        </is>
      </c>
    </row>
    <row r="108">
      <c r="A108" s="56" t="inlineStr">
        <is>
          <t>cons</t>
        </is>
      </c>
      <c r="B108" s="59" t="n">
        <v>24539</v>
      </c>
    </row>
    <row r="109">
      <c r="A109" s="56" t="inlineStr">
        <is>
          <t>실적</t>
        </is>
      </c>
      <c r="B109" s="57" t="n">
        <v>24800.3</v>
      </c>
    </row>
    <row r="111">
      <c r="A111" s="54" t="inlineStr">
        <is>
          <t>guide vs 실적 2q · 영업이익</t>
        </is>
      </c>
      <c r="B111" s="54" t="n"/>
      <c r="C111" s="54" t="n"/>
      <c r="D111" s="54" t="n"/>
      <c r="E111" s="54" t="n"/>
      <c r="F111" s="54" t="n"/>
      <c r="G111" s="54" t="n"/>
      <c r="H111" s="54" t="n"/>
      <c r="I111" s="54" t="n"/>
      <c r="J111" s="54" t="n"/>
    </row>
    <row r="112">
      <c r="A112" s="55" t="inlineStr">
        <is>
          <t>항목</t>
        </is>
      </c>
      <c r="B112" s="55" t="inlineStr">
        <is>
          <t>값</t>
        </is>
      </c>
      <c r="J112" s="55" t="inlineStr">
        <is>
          <t>출처</t>
        </is>
      </c>
    </row>
    <row r="113">
      <c r="A113" s="56" t="inlineStr">
        <is>
          <t>guide</t>
        </is>
      </c>
      <c r="B113" s="59" t="n">
        <v>18900</v>
      </c>
      <c r="J113" s="58" t="inlineStr">
        <is>
          <t>2단계 보고서 자료(회사 설명회 자료·공시)</t>
        </is>
      </c>
    </row>
    <row r="114">
      <c r="A114" s="56" t="inlineStr">
        <is>
          <t>cons</t>
        </is>
      </c>
      <c r="B114" s="59" t="n">
        <v>19500</v>
      </c>
    </row>
    <row r="115">
      <c r="A115" s="56" t="inlineStr">
        <is>
          <t>실적</t>
        </is>
      </c>
      <c r="B115" s="57" t="n">
        <v>19947.1</v>
      </c>
    </row>
    <row r="117">
      <c r="A117" s="54" t="inlineStr">
        <is>
          <t>guide vs 실적 2q · 순이익</t>
        </is>
      </c>
      <c r="B117" s="54" t="n"/>
      <c r="C117" s="54" t="n"/>
      <c r="D117" s="54" t="n"/>
      <c r="E117" s="54" t="n"/>
      <c r="F117" s="54" t="n"/>
      <c r="G117" s="54" t="n"/>
      <c r="H117" s="54" t="n"/>
      <c r="I117" s="54" t="n"/>
      <c r="J117" s="54" t="n"/>
    </row>
    <row r="118">
      <c r="A118" s="55" t="inlineStr">
        <is>
          <t>항목</t>
        </is>
      </c>
      <c r="B118" s="55" t="inlineStr">
        <is>
          <t>값</t>
        </is>
      </c>
      <c r="J118" s="55" t="inlineStr">
        <is>
          <t>출처</t>
        </is>
      </c>
    </row>
    <row r="119">
      <c r="A119" s="56" t="inlineStr">
        <is>
          <t>guide</t>
        </is>
      </c>
      <c r="B119" s="59" t="n">
        <v>12700</v>
      </c>
      <c r="J119" s="58" t="inlineStr">
        <is>
          <t>2단계 보고서 자료(회사 설명회 자료·공시)</t>
        </is>
      </c>
    </row>
    <row r="120">
      <c r="A120" s="56" t="inlineStr">
        <is>
          <t>실적</t>
        </is>
      </c>
      <c r="B120" s="57" t="n">
        <v>13557.1</v>
      </c>
    </row>
    <row r="122">
      <c r="A122" s="54" t="inlineStr">
        <is>
          <t>guide vs 실적 2q · EPS</t>
        </is>
      </c>
      <c r="B122" s="54" t="n"/>
      <c r="C122" s="54" t="n"/>
      <c r="D122" s="54" t="n"/>
      <c r="E122" s="54" t="n"/>
      <c r="F122" s="54" t="n"/>
      <c r="G122" s="54" t="n"/>
      <c r="H122" s="54" t="n"/>
      <c r="I122" s="54" t="n"/>
      <c r="J122" s="54" t="n"/>
    </row>
    <row r="123">
      <c r="A123" s="55" t="inlineStr">
        <is>
          <t>항목</t>
        </is>
      </c>
      <c r="B123" s="55" t="inlineStr">
        <is>
          <t>값</t>
        </is>
      </c>
      <c r="J123" s="55" t="inlineStr">
        <is>
          <t>출처</t>
        </is>
      </c>
    </row>
    <row r="124">
      <c r="A124" s="56" t="inlineStr">
        <is>
          <t>guide</t>
        </is>
      </c>
      <c r="B124" s="57" t="n">
        <v>772.5</v>
      </c>
      <c r="J124" s="58" t="inlineStr">
        <is>
          <t>2단계 보고서 자료(회사 설명회 자료·공시)</t>
        </is>
      </c>
    </row>
    <row r="125">
      <c r="A125" s="56" t="inlineStr">
        <is>
          <t>실적</t>
        </is>
      </c>
      <c r="B125" s="57" t="n">
        <v>838.3099999999999</v>
      </c>
    </row>
    <row r="127">
      <c r="A127" s="54" t="inlineStr">
        <is>
          <t>3Q guide vs cons</t>
        </is>
      </c>
      <c r="B127" s="54" t="n"/>
      <c r="C127" s="54" t="n"/>
      <c r="D127" s="54" t="n"/>
      <c r="E127" s="54" t="n"/>
      <c r="F127" s="54" t="n"/>
      <c r="G127" s="54" t="n"/>
      <c r="H127" s="54" t="n"/>
      <c r="I127" s="54" t="n"/>
      <c r="J127" s="54" t="n"/>
    </row>
    <row r="128">
      <c r="A128" s="55" t="inlineStr">
        <is>
          <t>항목</t>
        </is>
      </c>
      <c r="B128" s="55" t="inlineStr">
        <is>
          <t>값</t>
        </is>
      </c>
      <c r="J128" s="55" t="inlineStr">
        <is>
          <t>출처</t>
        </is>
      </c>
    </row>
    <row r="129">
      <c r="A129" s="56" t="inlineStr">
        <is>
          <t>매출 guide</t>
        </is>
      </c>
      <c r="B129" s="59" t="n">
        <v>25000</v>
      </c>
      <c r="J129" s="58" t="inlineStr">
        <is>
          <t>2단계 보고서 자료(회사 설명회 자료·공시)</t>
        </is>
      </c>
    </row>
    <row r="130">
      <c r="A130" s="56" t="inlineStr">
        <is>
          <t>매출 cons</t>
        </is>
      </c>
      <c r="B130" s="59" t="n">
        <v>28810</v>
      </c>
    </row>
    <row r="131">
      <c r="A131" s="56" t="inlineStr">
        <is>
          <t>gap %</t>
        </is>
      </c>
      <c r="B131" s="57" t="n">
        <v>-13.2</v>
      </c>
    </row>
    <row r="132">
      <c r="A132" s="56" t="inlineStr">
        <is>
          <t>cons 애널리스트 수</t>
        </is>
      </c>
      <c r="B132" s="59" t="n">
        <v>10</v>
      </c>
    </row>
    <row r="134">
      <c r="A134" s="54" t="inlineStr">
        <is>
          <t>컨센서스 1030 · fy3 27</t>
        </is>
      </c>
      <c r="B134" s="54" t="n"/>
      <c r="C134" s="54" t="n"/>
      <c r="D134" s="54" t="n"/>
      <c r="E134" s="54" t="n"/>
      <c r="F134" s="54" t="n"/>
      <c r="G134" s="54" t="n"/>
      <c r="H134" s="54" t="n"/>
      <c r="I134" s="54" t="n"/>
      <c r="J134" s="54" t="n"/>
    </row>
    <row r="135">
      <c r="A135" s="55" t="inlineStr">
        <is>
          <t>항목</t>
        </is>
      </c>
      <c r="B135" s="55" t="inlineStr">
        <is>
          <t>값</t>
        </is>
      </c>
      <c r="J135" s="55" t="inlineStr">
        <is>
          <t>출처</t>
        </is>
      </c>
    </row>
    <row r="136">
      <c r="A136" s="56" t="inlineStr">
        <is>
          <t>EPS</t>
        </is>
      </c>
      <c r="B136" s="57" t="n">
        <v>3491.3</v>
      </c>
      <c r="J136" s="58" t="inlineStr">
        <is>
          <t>2단계 보고서 자료(회사 설명회 자료·공시)</t>
        </is>
      </c>
    </row>
    <row r="137">
      <c r="A137" s="56" t="inlineStr">
        <is>
          <t>매출</t>
        </is>
      </c>
      <c r="B137" s="59" t="n">
        <v>100641</v>
      </c>
    </row>
    <row r="138">
      <c r="A138" s="56" t="inlineStr">
        <is>
          <t>애널리스트 수</t>
        </is>
      </c>
      <c r="B138" s="59" t="n">
        <v>17</v>
      </c>
    </row>
    <row r="140">
      <c r="A140" s="54" t="inlineStr">
        <is>
          <t>컨센서스 1030 · fy3 28</t>
        </is>
      </c>
      <c r="B140" s="54" t="n"/>
      <c r="C140" s="54" t="n"/>
      <c r="D140" s="54" t="n"/>
      <c r="E140" s="54" t="n"/>
      <c r="F140" s="54" t="n"/>
      <c r="G140" s="54" t="n"/>
      <c r="H140" s="54" t="n"/>
      <c r="I140" s="54" t="n"/>
      <c r="J140" s="54" t="n"/>
    </row>
    <row r="141">
      <c r="A141" s="55" t="inlineStr">
        <is>
          <t>항목</t>
        </is>
      </c>
      <c r="B141" s="55" t="inlineStr">
        <is>
          <t>값</t>
        </is>
      </c>
      <c r="J141" s="55" t="inlineStr">
        <is>
          <t>출처</t>
        </is>
      </c>
    </row>
    <row r="142">
      <c r="A142" s="56" t="inlineStr">
        <is>
          <t>EPS</t>
        </is>
      </c>
      <c r="B142" s="57" t="n">
        <v>4878.9</v>
      </c>
      <c r="J142" s="58" t="inlineStr">
        <is>
          <t>2단계 보고서 자료(회사 설명회 자료·공시)</t>
        </is>
      </c>
    </row>
    <row r="143">
      <c r="A143" s="56" t="inlineStr">
        <is>
          <t>매출</t>
        </is>
      </c>
      <c r="B143" s="59" t="n">
        <v>134693</v>
      </c>
    </row>
    <row r="144">
      <c r="A144" s="56" t="inlineStr">
        <is>
          <t>애널리스트 수</t>
        </is>
      </c>
      <c r="B144" s="59" t="n">
        <v>17</v>
      </c>
    </row>
    <row r="146">
      <c r="A146" s="54" t="inlineStr">
        <is>
          <t>컨센서스 1030 · 목표주가 가격</t>
        </is>
      </c>
      <c r="B146" s="54" t="n"/>
      <c r="C146" s="54" t="n"/>
      <c r="D146" s="54" t="n"/>
      <c r="E146" s="54" t="n"/>
      <c r="F146" s="54" t="n"/>
      <c r="G146" s="54" t="n"/>
      <c r="H146" s="54" t="n"/>
      <c r="I146" s="54" t="n"/>
      <c r="J146" s="54" t="n"/>
    </row>
    <row r="147">
      <c r="A147" s="55" t="inlineStr">
        <is>
          <t>항목</t>
        </is>
      </c>
      <c r="B147" s="55" t="inlineStr">
        <is>
          <t>값</t>
        </is>
      </c>
      <c r="J147" s="55" t="inlineStr">
        <is>
          <t>출처</t>
        </is>
      </c>
    </row>
    <row r="148">
      <c r="A148" s="56" t="inlineStr">
        <is>
          <t>평균</t>
        </is>
      </c>
      <c r="B148" s="59" t="n">
        <v>36233</v>
      </c>
      <c r="J148" s="58" t="inlineStr">
        <is>
          <t>2단계 보고서 자료(회사 설명회 자료·공시)</t>
        </is>
      </c>
    </row>
    <row r="149">
      <c r="A149" s="56" t="inlineStr">
        <is>
          <t>중앙값</t>
        </is>
      </c>
      <c r="B149" s="59" t="n">
        <v>35834</v>
      </c>
    </row>
    <row r="150">
      <c r="A150" s="56" t="inlineStr">
        <is>
          <t>최고</t>
        </is>
      </c>
      <c r="B150" s="59" t="n">
        <v>66700</v>
      </c>
    </row>
    <row r="151">
      <c r="A151" s="56" t="inlineStr">
        <is>
          <t>최저</t>
        </is>
      </c>
      <c r="B151" s="59" t="n">
        <v>16333</v>
      </c>
    </row>
    <row r="152">
      <c r="A152" s="56" t="inlineStr">
        <is>
          <t>애널리스트 수</t>
        </is>
      </c>
      <c r="B152" s="59" t="n">
        <v>16</v>
      </c>
    </row>
    <row r="154">
      <c r="A154" s="54" t="inlineStr">
        <is>
          <t>밸류에이션 now</t>
        </is>
      </c>
      <c r="B154" s="54" t="n"/>
      <c r="C154" s="54" t="n"/>
      <c r="D154" s="54" t="n"/>
      <c r="E154" s="54" t="n"/>
      <c r="F154" s="54" t="n"/>
      <c r="G154" s="54" t="n"/>
      <c r="H154" s="54" t="n"/>
      <c r="I154" s="54" t="n"/>
      <c r="J154" s="54" t="n"/>
    </row>
    <row r="155">
      <c r="A155" s="55" t="inlineStr">
        <is>
          <t>항목</t>
        </is>
      </c>
      <c r="B155" s="55" t="inlineStr">
        <is>
          <t>값</t>
        </is>
      </c>
      <c r="J155" s="55" t="inlineStr">
        <is>
          <t>출처</t>
        </is>
      </c>
    </row>
    <row r="156">
      <c r="A156" s="56" t="inlineStr">
        <is>
          <t>EPS 3q x4</t>
        </is>
      </c>
      <c r="B156" s="57" t="n">
        <v>3404.44</v>
      </c>
      <c r="J156" s="58" t="inlineStr">
        <is>
          <t>2단계 보고서 자료(회사 설명회 자료·공시)</t>
        </is>
      </c>
    </row>
    <row r="157">
      <c r="A157" s="56" t="inlineStr">
        <is>
          <t>PER 가이던스</t>
        </is>
      </c>
      <c r="B157" s="57" t="n">
        <v>3.96</v>
      </c>
    </row>
    <row r="158">
      <c r="A158" s="56" t="inlineStr">
        <is>
          <t>PER fy27 cons</t>
        </is>
      </c>
      <c r="B158" s="57" t="n">
        <v>3.86</v>
      </c>
    </row>
    <row r="159">
      <c r="A159" s="56" t="inlineStr">
        <is>
          <t>PER fy28 cons</t>
        </is>
      </c>
      <c r="B159" s="57" t="n">
        <v>2.76</v>
      </c>
    </row>
    <row r="161">
      <c r="A161" s="54" t="inlineStr">
        <is>
          <t>비교 기업 1030 · SNDK</t>
        </is>
      </c>
      <c r="B161" s="54" t="n"/>
      <c r="C161" s="54" t="n"/>
      <c r="D161" s="54" t="n"/>
      <c r="E161" s="54" t="n"/>
      <c r="F161" s="54" t="n"/>
      <c r="G161" s="54" t="n"/>
      <c r="H161" s="54" t="n"/>
      <c r="I161" s="54" t="n"/>
      <c r="J161" s="54" t="n"/>
    </row>
    <row r="162">
      <c r="A162" s="55" t="inlineStr">
        <is>
          <t>항목</t>
        </is>
      </c>
      <c r="B162" s="55" t="inlineStr">
        <is>
          <t>값</t>
        </is>
      </c>
      <c r="J162" s="55" t="inlineStr">
        <is>
          <t>출처</t>
        </is>
      </c>
    </row>
    <row r="163">
      <c r="A163" s="56" t="inlineStr">
        <is>
          <t>px</t>
        </is>
      </c>
      <c r="B163" s="57" t="n">
        <v>1330.05</v>
      </c>
      <c r="J163" s="58" t="inlineStr">
        <is>
          <t>2단계 보고서 자료(회사 설명회 자료·공시)</t>
        </is>
      </c>
    </row>
    <row r="164">
      <c r="A164" s="56" t="inlineStr">
        <is>
          <t>chg 1w</t>
        </is>
      </c>
      <c r="B164" s="57" t="n">
        <v>5.5</v>
      </c>
    </row>
    <row r="165">
      <c r="A165" s="56" t="inlineStr">
        <is>
          <t>chg 1m</t>
        </is>
      </c>
      <c r="B165" s="57" t="n">
        <v>-23.6</v>
      </c>
    </row>
    <row r="167">
      <c r="A167" s="54" t="inlineStr">
        <is>
          <t>비교 기업 1030 · MU</t>
        </is>
      </c>
      <c r="B167" s="54" t="n"/>
      <c r="C167" s="54" t="n"/>
      <c r="D167" s="54" t="n"/>
      <c r="E167" s="54" t="n"/>
      <c r="F167" s="54" t="n"/>
      <c r="G167" s="54" t="n"/>
      <c r="H167" s="54" t="n"/>
      <c r="I167" s="54" t="n"/>
      <c r="J167" s="54" t="n"/>
    </row>
    <row r="168">
      <c r="A168" s="55" t="inlineStr">
        <is>
          <t>항목</t>
        </is>
      </c>
      <c r="B168" s="55" t="inlineStr">
        <is>
          <t>값</t>
        </is>
      </c>
      <c r="J168" s="55" t="inlineStr">
        <is>
          <t>출처</t>
        </is>
      </c>
    </row>
    <row r="169">
      <c r="A169" s="56" t="inlineStr">
        <is>
          <t>px</t>
        </is>
      </c>
      <c r="B169" s="57" t="n">
        <v>934.27</v>
      </c>
      <c r="J169" s="58" t="inlineStr">
        <is>
          <t>2단계 보고서 자료(회사 설명회 자료·공시)</t>
        </is>
      </c>
    </row>
    <row r="170">
      <c r="A170" s="56" t="inlineStr">
        <is>
          <t>chg 1w</t>
        </is>
      </c>
      <c r="B170" s="57" t="n">
        <v>9.1</v>
      </c>
    </row>
    <row r="171">
      <c r="A171" s="56" t="inlineStr">
        <is>
          <t>chg 1m</t>
        </is>
      </c>
      <c r="B171" s="57" t="n">
        <v>-12.3</v>
      </c>
    </row>
    <row r="173">
      <c r="A173" s="54" t="inlineStr">
        <is>
          <t>비교 기업 1030 · 000660</t>
        </is>
      </c>
      <c r="B173" s="54" t="n"/>
      <c r="C173" s="54" t="n"/>
      <c r="D173" s="54" t="n"/>
      <c r="E173" s="54" t="n"/>
      <c r="F173" s="54" t="n"/>
      <c r="G173" s="54" t="n"/>
      <c r="H173" s="54" t="n"/>
      <c r="I173" s="54" t="n"/>
      <c r="J173" s="54" t="n"/>
    </row>
    <row r="174">
      <c r="A174" s="55" t="inlineStr">
        <is>
          <t>항목</t>
        </is>
      </c>
      <c r="B174" s="55" t="inlineStr">
        <is>
          <t>값</t>
        </is>
      </c>
      <c r="J174" s="55" t="inlineStr">
        <is>
          <t>출처</t>
        </is>
      </c>
    </row>
    <row r="175">
      <c r="A175" s="56" t="inlineStr">
        <is>
          <t>px</t>
        </is>
      </c>
      <c r="B175" s="59" t="n">
        <v>1418000</v>
      </c>
      <c r="J175" s="58" t="inlineStr">
        <is>
          <t>2단계 보고서 자료(회사 설명회 자료·공시)</t>
        </is>
      </c>
    </row>
    <row r="176">
      <c r="A176" s="56" t="inlineStr">
        <is>
          <t>chg 1w</t>
        </is>
      </c>
      <c r="B176" s="57" t="n">
        <v>11</v>
      </c>
    </row>
    <row r="177">
      <c r="A177" s="56" t="inlineStr">
        <is>
          <t>chg 1m</t>
        </is>
      </c>
      <c r="B177" s="57" t="n">
        <v>-20.2</v>
      </c>
    </row>
    <row r="179">
      <c r="A179" s="54" t="inlineStr">
        <is>
          <t>annual extra · FY2022</t>
        </is>
      </c>
      <c r="B179" s="54" t="n"/>
      <c r="C179" s="54" t="n"/>
      <c r="D179" s="54" t="n"/>
      <c r="E179" s="54" t="n"/>
      <c r="F179" s="54" t="n"/>
      <c r="G179" s="54" t="n"/>
      <c r="H179" s="54" t="n"/>
      <c r="I179" s="54" t="n"/>
      <c r="J179" s="54" t="n"/>
    </row>
    <row r="180">
      <c r="A180" s="55" t="inlineStr">
        <is>
          <t>항목</t>
        </is>
      </c>
      <c r="B180" s="55" t="inlineStr">
        <is>
          <t>값</t>
        </is>
      </c>
      <c r="J180" s="55" t="inlineStr">
        <is>
          <t>출처</t>
        </is>
      </c>
    </row>
    <row r="181">
      <c r="A181" s="56" t="inlineStr">
        <is>
          <t>매출</t>
        </is>
      </c>
      <c r="B181" s="59" t="n">
        <v>15265</v>
      </c>
      <c r="J181" s="58" t="inlineStr">
        <is>
          <t>유가증권보고서 5개년 표(프리뷰)</t>
        </is>
      </c>
    </row>
    <row r="182">
      <c r="A182" s="56" t="inlineStr">
        <is>
          <t>영업이익</t>
        </is>
      </c>
      <c r="B182" s="59" t="n">
        <v>2162</v>
      </c>
    </row>
    <row r="183">
      <c r="A183" s="56" t="inlineStr">
        <is>
          <t>pbt</t>
        </is>
      </c>
      <c r="B183" s="59" t="n">
        <v>1544</v>
      </c>
    </row>
    <row r="184">
      <c r="A184" s="56" t="inlineStr">
        <is>
          <t>순이익</t>
        </is>
      </c>
      <c r="B184" s="59" t="n">
        <v>1059</v>
      </c>
    </row>
    <row r="186">
      <c r="A186" s="54" t="inlineStr">
        <is>
          <t>annual extra · FY2023</t>
        </is>
      </c>
      <c r="B186" s="54" t="n"/>
      <c r="C186" s="54" t="n"/>
      <c r="D186" s="54" t="n"/>
      <c r="E186" s="54" t="n"/>
      <c r="F186" s="54" t="n"/>
      <c r="G186" s="54" t="n"/>
      <c r="H186" s="54" t="n"/>
      <c r="I186" s="54" t="n"/>
      <c r="J186" s="54" t="n"/>
    </row>
    <row r="187">
      <c r="A187" s="55" t="inlineStr">
        <is>
          <t>항목</t>
        </is>
      </c>
      <c r="B187" s="55" t="inlineStr">
        <is>
          <t>값</t>
        </is>
      </c>
      <c r="J187" s="55" t="inlineStr">
        <is>
          <t>출처</t>
        </is>
      </c>
    </row>
    <row r="188">
      <c r="A188" s="56" t="inlineStr">
        <is>
          <t>매출</t>
        </is>
      </c>
      <c r="B188" s="59" t="n">
        <v>12821</v>
      </c>
      <c r="J188" s="58" t="inlineStr">
        <is>
          <t>유가증권보고서 5개년 표(프리뷰)</t>
        </is>
      </c>
    </row>
    <row r="189">
      <c r="A189" s="56" t="inlineStr">
        <is>
          <t>영업이익</t>
        </is>
      </c>
      <c r="B189" s="59" t="n">
        <v>-990</v>
      </c>
    </row>
    <row r="190">
      <c r="A190" s="56" t="inlineStr">
        <is>
          <t>pbt</t>
        </is>
      </c>
      <c r="B190" s="59" t="n">
        <v>-1864</v>
      </c>
    </row>
    <row r="191">
      <c r="A191" s="56" t="inlineStr">
        <is>
          <t>순이익</t>
        </is>
      </c>
      <c r="B191" s="59" t="n">
        <v>-1381</v>
      </c>
    </row>
    <row r="193">
      <c r="A193" s="54" t="inlineStr">
        <is>
          <t>부문별 q</t>
        </is>
      </c>
      <c r="B193" s="54" t="n"/>
      <c r="C193" s="54" t="n"/>
      <c r="D193" s="54" t="n"/>
      <c r="E193" s="54" t="n"/>
      <c r="F193" s="54" t="n"/>
      <c r="G193" s="54" t="n"/>
      <c r="H193" s="54" t="n"/>
      <c r="I193" s="54" t="n"/>
      <c r="J193" s="54" t="n"/>
    </row>
    <row r="194">
      <c r="A194" s="55" t="inlineStr">
        <is>
          <t>항목</t>
        </is>
      </c>
      <c r="B194" s="55" t="inlineStr">
        <is>
          <t>2025.3Q</t>
        </is>
      </c>
      <c r="C194" s="55" t="inlineStr">
        <is>
          <t>2025.4Q</t>
        </is>
      </c>
      <c r="D194" s="55" t="inlineStr">
        <is>
          <t>2026.1Q</t>
        </is>
      </c>
      <c r="E194" s="55" t="inlineStr">
        <is>
          <t>2026.2Q</t>
        </is>
      </c>
      <c r="F194" s="55" t="inlineStr">
        <is>
          <t>2026.3Q</t>
        </is>
      </c>
      <c r="G194" s="55" t="inlineStr">
        <is>
          <t>2026.4Q</t>
        </is>
      </c>
      <c r="H194" s="55" t="inlineStr">
        <is>
          <t>2027.1Q</t>
        </is>
      </c>
      <c r="I194" s="55" t="inlineStr">
        <is>
          <t>2027.2Q</t>
        </is>
      </c>
      <c r="J194" s="55" t="inlineStr">
        <is>
          <t>출처</t>
        </is>
      </c>
    </row>
    <row r="195">
      <c r="A195" s="56" t="inlineStr">
        <is>
          <t>ssd</t>
        </is>
      </c>
      <c r="B195" s="59" t="n">
        <v>2787</v>
      </c>
      <c r="C195" s="59" t="n">
        <v>2152</v>
      </c>
      <c r="D195" s="59" t="n">
        <v>2174</v>
      </c>
      <c r="E195" s="59" t="n">
        <v>2446</v>
      </c>
      <c r="F195" s="59" t="n">
        <v>3004</v>
      </c>
      <c r="G195" s="59" t="n">
        <v>6003</v>
      </c>
      <c r="H195" s="59" t="n">
        <v>11747</v>
      </c>
      <c r="I195" s="59" t="n">
        <v>16160</v>
      </c>
      <c r="J195" s="58" t="inlineStr">
        <is>
          <t>2단계 보고서 자료(회사 설명회 자료·공시)</t>
        </is>
      </c>
    </row>
    <row r="196">
      <c r="A196" s="56" t="inlineStr">
        <is>
          <t>smart</t>
        </is>
      </c>
      <c r="B196" s="59" t="n">
        <v>1171</v>
      </c>
      <c r="C196" s="59" t="n">
        <v>796</v>
      </c>
      <c r="D196" s="59" t="n">
        <v>790</v>
      </c>
      <c r="E196" s="59" t="n">
        <v>1573</v>
      </c>
      <c r="F196" s="59" t="n">
        <v>1863</v>
      </c>
      <c r="G196" s="59" t="n">
        <v>3373</v>
      </c>
      <c r="H196" s="59" t="n">
        <v>5257</v>
      </c>
      <c r="I196" s="59" t="n">
        <v>7889</v>
      </c>
    </row>
    <row r="197">
      <c r="A197" s="56" t="inlineStr">
        <is>
          <t>other</t>
        </is>
      </c>
      <c r="B197" s="59" t="n">
        <v>542</v>
      </c>
      <c r="C197" s="59" t="n">
        <v>523</v>
      </c>
      <c r="D197" s="59" t="n">
        <v>463</v>
      </c>
      <c r="E197" s="59" t="n">
        <v>465</v>
      </c>
      <c r="F197" s="59" t="n">
        <v>570</v>
      </c>
      <c r="G197" s="59" t="n">
        <v>652</v>
      </c>
      <c r="H197" s="59" t="n">
        <v>667</v>
      </c>
      <c r="I197" s="59" t="n">
        <v>752</v>
      </c>
    </row>
    <row r="199">
      <c r="A199" s="54" t="inlineStr">
        <is>
          <t>부문별 a · FY2024</t>
        </is>
      </c>
      <c r="B199" s="54" t="n"/>
      <c r="C199" s="54" t="n"/>
      <c r="D199" s="54" t="n"/>
      <c r="E199" s="54" t="n"/>
      <c r="F199" s="54" t="n"/>
      <c r="G199" s="54" t="n"/>
      <c r="H199" s="54" t="n"/>
      <c r="I199" s="54" t="n"/>
      <c r="J199" s="54" t="n"/>
    </row>
    <row r="200">
      <c r="A200" s="55" t="inlineStr">
        <is>
          <t>항목</t>
        </is>
      </c>
      <c r="B200" s="55" t="inlineStr">
        <is>
          <t>값</t>
        </is>
      </c>
      <c r="J200" s="55" t="inlineStr">
        <is>
          <t>출처</t>
        </is>
      </c>
    </row>
    <row r="201">
      <c r="A201" s="56" t="inlineStr">
        <is>
          <t>ssd</t>
        </is>
      </c>
      <c r="B201" s="59" t="n">
        <v>5164</v>
      </c>
      <c r="J201" s="58" t="inlineStr">
        <is>
          <t>2단계 보고서 자료(회사 설명회 자료·공시)</t>
        </is>
      </c>
    </row>
    <row r="202">
      <c r="A202" s="56" t="inlineStr">
        <is>
          <t>smart</t>
        </is>
      </c>
      <c r="B202" s="59" t="n">
        <v>3743</v>
      </c>
    </row>
    <row r="203">
      <c r="A203" s="56" t="inlineStr">
        <is>
          <t>other</t>
        </is>
      </c>
      <c r="B203" s="59" t="n">
        <v>1859</v>
      </c>
    </row>
    <row r="205">
      <c r="A205" s="54" t="inlineStr">
        <is>
          <t>부문별 a · FY2025</t>
        </is>
      </c>
      <c r="B205" s="54" t="n"/>
      <c r="C205" s="54" t="n"/>
      <c r="D205" s="54" t="n"/>
      <c r="E205" s="54" t="n"/>
      <c r="F205" s="54" t="n"/>
      <c r="G205" s="54" t="n"/>
      <c r="H205" s="54" t="n"/>
      <c r="I205" s="54" t="n"/>
      <c r="J205" s="54" t="n"/>
    </row>
    <row r="206">
      <c r="A206" s="55" t="inlineStr">
        <is>
          <t>항목</t>
        </is>
      </c>
      <c r="B206" s="55" t="inlineStr">
        <is>
          <t>값</t>
        </is>
      </c>
      <c r="J206" s="55" t="inlineStr">
        <is>
          <t>출처</t>
        </is>
      </c>
    </row>
    <row r="207">
      <c r="A207" s="56" t="inlineStr">
        <is>
          <t>ssd</t>
        </is>
      </c>
      <c r="B207" s="59" t="n">
        <v>9911</v>
      </c>
      <c r="J207" s="58" t="inlineStr">
        <is>
          <t>2단계 보고서 자료(회사 설명회 자료·공시)</t>
        </is>
      </c>
    </row>
    <row r="208">
      <c r="A208" s="56" t="inlineStr">
        <is>
          <t>smart</t>
        </is>
      </c>
      <c r="B208" s="59" t="n">
        <v>5011</v>
      </c>
    </row>
    <row r="209">
      <c r="A209" s="56" t="inlineStr">
        <is>
          <t>other</t>
        </is>
      </c>
      <c r="B209" s="59" t="n">
        <v>2142</v>
      </c>
    </row>
    <row r="211">
      <c r="A211" s="54" t="inlineStr">
        <is>
          <t>부문별 a · FY2026</t>
        </is>
      </c>
      <c r="B211" s="54" t="n"/>
      <c r="C211" s="54" t="n"/>
      <c r="D211" s="54" t="n"/>
      <c r="E211" s="54" t="n"/>
      <c r="F211" s="54" t="n"/>
      <c r="G211" s="54" t="n"/>
      <c r="H211" s="54" t="n"/>
      <c r="I211" s="54" t="n"/>
      <c r="J211" s="54" t="n"/>
    </row>
    <row r="212">
      <c r="A212" s="55" t="inlineStr">
        <is>
          <t>항목</t>
        </is>
      </c>
      <c r="B212" s="55" t="inlineStr">
        <is>
          <t>값</t>
        </is>
      </c>
      <c r="J212" s="55" t="inlineStr">
        <is>
          <t>출처</t>
        </is>
      </c>
    </row>
    <row r="213">
      <c r="A213" s="56" t="inlineStr">
        <is>
          <t>ssd</t>
        </is>
      </c>
      <c r="B213" s="59" t="n">
        <v>13626</v>
      </c>
      <c r="J213" s="58" t="inlineStr">
        <is>
          <t>2단계 보고서 자료(회사 설명회 자료·공시)</t>
        </is>
      </c>
    </row>
    <row r="214">
      <c r="A214" s="56" t="inlineStr">
        <is>
          <t>smart</t>
        </is>
      </c>
      <c r="B214" s="59" t="n">
        <v>7600</v>
      </c>
    </row>
    <row r="215">
      <c r="A215" s="56" t="inlineStr">
        <is>
          <t>other</t>
        </is>
      </c>
      <c r="B215" s="59" t="n">
        <v>2150</v>
      </c>
    </row>
    <row r="217">
      <c r="A217" s="54" t="inlineStr">
        <is>
          <t>핵심 지표 q preview · usdjpy</t>
        </is>
      </c>
      <c r="B217" s="54" t="n"/>
      <c r="C217" s="54" t="n"/>
      <c r="D217" s="54" t="n"/>
      <c r="E217" s="54" t="n"/>
      <c r="F217" s="54" t="n"/>
      <c r="G217" s="54" t="n"/>
      <c r="H217" s="54" t="n"/>
      <c r="I217" s="54" t="n"/>
      <c r="J217" s="54" t="n"/>
    </row>
    <row r="218">
      <c r="A218" s="55" t="inlineStr">
        <is>
          <t>항목</t>
        </is>
      </c>
      <c r="B218" s="55" t="inlineStr">
        <is>
          <t>값</t>
        </is>
      </c>
      <c r="J218" s="55" t="inlineStr">
        <is>
          <t>출처</t>
        </is>
      </c>
    </row>
    <row r="219">
      <c r="A219" s="56" t="inlineStr">
        <is>
          <t>2025.3Q</t>
        </is>
      </c>
      <c r="B219" s="59" t="n">
        <v>149</v>
      </c>
      <c r="J219" s="58" t="inlineStr">
        <is>
          <t>2단계 보고서 자료(회사 설명회 자료·공시)</t>
        </is>
      </c>
    </row>
    <row r="220">
      <c r="A220" s="56" t="inlineStr">
        <is>
          <t>2025.4Q</t>
        </is>
      </c>
      <c r="B220" s="59" t="n">
        <v>154</v>
      </c>
    </row>
    <row r="221">
      <c r="A221" s="56" t="inlineStr">
        <is>
          <t>2026.1Q</t>
        </is>
      </c>
      <c r="B221" s="59" t="n">
        <v>145</v>
      </c>
    </row>
    <row r="222">
      <c r="A222" s="56" t="inlineStr">
        <is>
          <t>2026.2Q</t>
        </is>
      </c>
      <c r="B222" s="59" t="n">
        <v>147</v>
      </c>
    </row>
    <row r="223">
      <c r="A223" s="56" t="inlineStr">
        <is>
          <t>2026.3Q</t>
        </is>
      </c>
      <c r="B223" s="59" t="n">
        <v>153</v>
      </c>
    </row>
    <row r="224">
      <c r="A224" s="56" t="inlineStr">
        <is>
          <t>2026.4Q</t>
        </is>
      </c>
      <c r="B224" s="59" t="n">
        <v>155</v>
      </c>
    </row>
    <row r="225">
      <c r="A225" s="56" t="inlineStr">
        <is>
          <t>2027.1Q</t>
        </is>
      </c>
      <c r="B225" s="59" t="n">
        <v>160</v>
      </c>
    </row>
    <row r="226">
      <c r="A226" s="56" t="inlineStr">
        <is>
          <t>2027.2Q</t>
        </is>
      </c>
      <c r="B226" s="59" t="n">
        <v>161</v>
      </c>
    </row>
    <row r="228">
      <c r="A228" s="54" t="inlineStr">
        <is>
          <t>핵심 지표 q preview · nand contract 128Gb MLC 달러</t>
        </is>
      </c>
      <c r="B228" s="54" t="n"/>
      <c r="C228" s="54" t="n"/>
      <c r="D228" s="54" t="n"/>
      <c r="E228" s="54" t="n"/>
      <c r="F228" s="54" t="n"/>
      <c r="G228" s="54" t="n"/>
      <c r="H228" s="54" t="n"/>
      <c r="I228" s="54" t="n"/>
      <c r="J228" s="54" t="n"/>
    </row>
    <row r="229">
      <c r="A229" s="55" t="inlineStr">
        <is>
          <t>항목</t>
        </is>
      </c>
      <c r="B229" s="55" t="inlineStr">
        <is>
          <t>값</t>
        </is>
      </c>
      <c r="J229" s="55" t="inlineStr">
        <is>
          <t>출처</t>
        </is>
      </c>
    </row>
    <row r="230">
      <c r="A230" s="56" t="inlineStr">
        <is>
          <t>2026.1Q</t>
        </is>
      </c>
      <c r="B230" s="57" t="n">
        <v>2.94</v>
      </c>
      <c r="J230" s="58" t="inlineStr">
        <is>
          <t>2단계 보고서 자료(회사 설명회 자료·공시)</t>
        </is>
      </c>
    </row>
    <row r="231">
      <c r="A231" s="56" t="inlineStr">
        <is>
          <t>2026.2Q</t>
        </is>
      </c>
      <c r="B231" s="57" t="n">
        <v>3.53</v>
      </c>
    </row>
    <row r="232">
      <c r="A232" s="56" t="inlineStr">
        <is>
          <t>2026.3Q</t>
        </is>
      </c>
      <c r="B232" s="57" t="n">
        <v>5.09</v>
      </c>
    </row>
    <row r="233">
      <c r="A233" s="56" t="inlineStr">
        <is>
          <t>2026.4Q</t>
        </is>
      </c>
      <c r="B233" s="57" t="n">
        <v>13.3</v>
      </c>
    </row>
    <row r="234">
      <c r="A234" s="56" t="inlineStr">
        <is>
          <t>2027.1Q</t>
        </is>
      </c>
      <c r="B234" s="57" t="n">
        <v>26.5</v>
      </c>
    </row>
    <row r="235">
      <c r="A235" s="56" t="inlineStr">
        <is>
          <t>2027.2Q</t>
        </is>
      </c>
      <c r="B235" s="57" t="n">
        <v>30.38</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1"/>
  <sheetViews>
    <sheetView showGridLines="0" workbookViewId="0">
      <selection activeCell="A1" sqref="A1"/>
    </sheetView>
  </sheetViews>
  <sheetFormatPr baseColWidth="8" defaultRowHeight="15"/>
  <cols>
    <col width="12" customWidth="1" min="1" max="1"/>
    <col width="34" customWidth="1" min="2" max="2"/>
    <col width="60" customWidth="1" min="3" max="3"/>
  </cols>
  <sheetData>
    <row r="1">
      <c r="A1" s="52" t="inlineStr">
        <is>
          <t>출처 · 쓴 결산단신</t>
        </is>
      </c>
    </row>
    <row r="3">
      <c r="A3" s="60" t="inlineStr">
        <is>
          <t>공시일</t>
        </is>
      </c>
      <c r="B3" s="60" t="inlineStr">
        <is>
          <t>문서</t>
        </is>
      </c>
      <c r="C3" s="60" t="inlineStr">
        <is>
          <t>PDF</t>
        </is>
      </c>
    </row>
    <row r="4">
      <c r="A4" t="inlineStr">
        <is>
          <t>2026-10-30</t>
        </is>
      </c>
      <c r="B4" t="inlineStr">
        <is>
          <t>2027년 3월 결산기 ２분기 결산단신</t>
        </is>
      </c>
      <c r="C4" t="inlineStr">
        <is>
          <t>https://www2.jpx.co.jp/disc/285A0/140120261030561535.pdf</t>
        </is>
      </c>
    </row>
    <row r="5">
      <c r="A5" t="inlineStr">
        <is>
          <t>2026-07-31</t>
        </is>
      </c>
      <c r="B5" t="inlineStr">
        <is>
          <t>2027년 3월 결산기 １분기 결산단신</t>
        </is>
      </c>
      <c r="C5" t="inlineStr">
        <is>
          <t>https://www2.jpx.co.jp/disc/285A0/140120260731505265.pdf</t>
        </is>
      </c>
    </row>
    <row r="6">
      <c r="A6" t="inlineStr">
        <is>
          <t>2026-05-15</t>
        </is>
      </c>
      <c r="B6" t="inlineStr">
        <is>
          <t>2026년 3월 결산기 연간 결산단신</t>
        </is>
      </c>
      <c r="C6" t="inlineStr">
        <is>
          <t>https://www2.jpx.co.jp/disc/285A0/140120260515537803.pdf</t>
        </is>
      </c>
    </row>
    <row r="7">
      <c r="A7" t="inlineStr">
        <is>
          <t>2026-02-12</t>
        </is>
      </c>
      <c r="B7" t="inlineStr">
        <is>
          <t>2026년 3월 결산기 ３분기 결산단신</t>
        </is>
      </c>
      <c r="C7" t="inlineStr">
        <is>
          <t>https://www2.jpx.co.jp/disc/285A0/140120260212556330.pdf</t>
        </is>
      </c>
    </row>
    <row r="8">
      <c r="A8" t="inlineStr">
        <is>
          <t>2025-11-13</t>
        </is>
      </c>
      <c r="B8" t="inlineStr">
        <is>
          <t>2026년 3월 결산기 ２분기 결산단신</t>
        </is>
      </c>
      <c r="C8" t="inlineStr">
        <is>
          <t>https://www2.jpx.co.jp/disc/285A0/140120251113599856.pdf</t>
        </is>
      </c>
    </row>
    <row r="9">
      <c r="A9" t="inlineStr">
        <is>
          <t>2025-08-08</t>
        </is>
      </c>
      <c r="B9" t="inlineStr">
        <is>
          <t>2026년 3월 결산기 １분기 결산단신</t>
        </is>
      </c>
      <c r="C9" t="inlineStr">
        <is>
          <t>https://www2.jpx.co.jp/disc/285A0/140120250808536248.pdf</t>
        </is>
      </c>
    </row>
    <row r="10">
      <c r="A10" t="inlineStr">
        <is>
          <t>2025-05-15</t>
        </is>
      </c>
      <c r="B10" t="inlineStr">
        <is>
          <t>2025년 3월 결산기 연간 결산단신</t>
        </is>
      </c>
      <c r="C10" t="inlineStr">
        <is>
          <t>https://www2.jpx.co.jp/disc/285A0/140120250515552869.pdf</t>
        </is>
      </c>
    </row>
    <row r="11">
      <c r="A11" t="inlineStr">
        <is>
          <t>2025-02-14</t>
        </is>
      </c>
      <c r="B11" t="inlineStr">
        <is>
          <t>2025년 3월 결산기 ３분기 결산단신</t>
        </is>
      </c>
      <c r="C11" t="inlineStr">
        <is>
          <t>https://www2.jpx.co.jp/disc/285A0/140120250207566970.pdf</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P2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7.5" customWidth="1" min="2" max="2"/>
    <col width="7.5" customWidth="1" min="3" max="3"/>
    <col width="7.5"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 width="7.5" customWidth="1" min="20" max="20"/>
    <col width="7.5"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s>
  <sheetData>
    <row r="1">
      <c r="A1" s="61" t="inlineStr">
        <is>
          <t>285A 재무제표 한눈에 보기 — 최근 40개 분기(달력 분기, 3Q26 = 26.7~9) · 단위 억 엔</t>
        </is>
      </c>
    </row>
    <row r="2">
      <c r="A2" s="62" t="inlineStr">
        <is>
          <t>출처: 매출·영업이익 결산단신 XBRL · 재무상태표 등 결산단신 XBRL 8건(2025-02-14~2026-10-30). 부문·지역·수주·수출은 있을 때만(출처는 줄 끝). 총 차입금 = 이자 붙는 부채 전부(단기·장기 차입금, CP, 사채·전환사채, 리스부채)</t>
        </is>
      </c>
    </row>
    <row r="4">
      <c r="A4" s="63" t="inlineStr">
        <is>
          <t>항목</t>
        </is>
      </c>
      <c r="B4" s="64" t="inlineStr">
        <is>
          <t>4Q16</t>
        </is>
      </c>
      <c r="C4" s="64" t="inlineStr">
        <is>
          <t>1Q17</t>
        </is>
      </c>
      <c r="D4" s="64" t="inlineStr">
        <is>
          <t>2Q17</t>
        </is>
      </c>
      <c r="E4" s="64" t="inlineStr">
        <is>
          <t>3Q17</t>
        </is>
      </c>
      <c r="F4" s="64" t="inlineStr">
        <is>
          <t>4Q17</t>
        </is>
      </c>
      <c r="G4" s="64" t="inlineStr">
        <is>
          <t>1Q18</t>
        </is>
      </c>
      <c r="H4" s="64" t="inlineStr">
        <is>
          <t>2Q18</t>
        </is>
      </c>
      <c r="I4" s="64" t="inlineStr">
        <is>
          <t>3Q18</t>
        </is>
      </c>
      <c r="J4" s="64" t="inlineStr">
        <is>
          <t>4Q18</t>
        </is>
      </c>
      <c r="K4" s="64" t="inlineStr">
        <is>
          <t>1Q19</t>
        </is>
      </c>
      <c r="L4" s="64" t="inlineStr">
        <is>
          <t>2Q19</t>
        </is>
      </c>
      <c r="M4" s="64" t="inlineStr">
        <is>
          <t>3Q19</t>
        </is>
      </c>
      <c r="N4" s="64" t="inlineStr">
        <is>
          <t>4Q19</t>
        </is>
      </c>
      <c r="O4" s="64" t="inlineStr">
        <is>
          <t>1Q20</t>
        </is>
      </c>
      <c r="P4" s="64" t="inlineStr">
        <is>
          <t>2Q20</t>
        </is>
      </c>
      <c r="Q4" s="64" t="inlineStr">
        <is>
          <t>3Q20</t>
        </is>
      </c>
      <c r="R4" s="64" t="inlineStr">
        <is>
          <t>4Q20</t>
        </is>
      </c>
      <c r="S4" s="64" t="inlineStr">
        <is>
          <t>1Q21</t>
        </is>
      </c>
      <c r="T4" s="64" t="inlineStr">
        <is>
          <t>2Q21</t>
        </is>
      </c>
      <c r="U4" s="64" t="inlineStr">
        <is>
          <t>3Q21</t>
        </is>
      </c>
      <c r="V4" s="64" t="inlineStr">
        <is>
          <t>4Q21</t>
        </is>
      </c>
      <c r="W4" s="64" t="inlineStr">
        <is>
          <t>1Q22</t>
        </is>
      </c>
      <c r="X4" s="64" t="inlineStr">
        <is>
          <t>2Q22</t>
        </is>
      </c>
      <c r="Y4" s="64" t="inlineStr">
        <is>
          <t>3Q22</t>
        </is>
      </c>
      <c r="Z4" s="64" t="inlineStr">
        <is>
          <t>4Q22</t>
        </is>
      </c>
      <c r="AA4" s="64" t="inlineStr">
        <is>
          <t>1Q23</t>
        </is>
      </c>
      <c r="AB4" s="64" t="inlineStr">
        <is>
          <t>2Q23</t>
        </is>
      </c>
      <c r="AC4" s="64" t="inlineStr">
        <is>
          <t>3Q23</t>
        </is>
      </c>
      <c r="AD4" s="64" t="inlineStr">
        <is>
          <t>4Q23</t>
        </is>
      </c>
      <c r="AE4" s="64" t="inlineStr">
        <is>
          <t>1Q24</t>
        </is>
      </c>
      <c r="AF4" s="64" t="inlineStr">
        <is>
          <t>2Q24</t>
        </is>
      </c>
      <c r="AG4" s="64" t="inlineStr">
        <is>
          <t>3Q24</t>
        </is>
      </c>
      <c r="AH4" s="64" t="inlineStr">
        <is>
          <t>4Q24</t>
        </is>
      </c>
      <c r="AI4" s="64" t="inlineStr">
        <is>
          <t>1Q25</t>
        </is>
      </c>
      <c r="AJ4" s="64" t="inlineStr">
        <is>
          <t>2Q25</t>
        </is>
      </c>
      <c r="AK4" s="64" t="inlineStr">
        <is>
          <t>3Q25</t>
        </is>
      </c>
      <c r="AL4" s="64" t="inlineStr">
        <is>
          <t>4Q25</t>
        </is>
      </c>
      <c r="AM4" s="64" t="inlineStr">
        <is>
          <t>1Q26</t>
        </is>
      </c>
      <c r="AN4" s="64" t="inlineStr">
        <is>
          <t>2Q26</t>
        </is>
      </c>
      <c r="AO4" s="64" t="inlineStr">
        <is>
          <t>3Q26</t>
        </is>
      </c>
      <c r="AP4" s="63" t="inlineStr">
        <is>
          <t>출처</t>
        </is>
      </c>
    </row>
    <row r="5">
      <c r="A5" s="65" t="inlineStr">
        <is>
          <t>매출액</t>
        </is>
      </c>
      <c r="B5" s="66" t="n"/>
      <c r="C5" s="66" t="n"/>
      <c r="D5" s="66" t="n"/>
      <c r="E5" s="66" t="n"/>
      <c r="F5" s="66" t="n"/>
      <c r="G5" s="66" t="n"/>
      <c r="H5" s="66" t="n"/>
      <c r="I5" s="66" t="n"/>
      <c r="J5" s="66" t="n"/>
      <c r="K5" s="66" t="n"/>
      <c r="L5" s="66" t="n"/>
      <c r="M5" s="66" t="n"/>
      <c r="N5" s="66" t="n"/>
      <c r="O5" s="66" t="n"/>
      <c r="P5" s="66" t="n"/>
      <c r="Q5" s="66" t="n"/>
      <c r="R5" s="66" t="n"/>
      <c r="S5" s="66" t="n"/>
      <c r="T5" s="66" t="n"/>
      <c r="U5" s="66" t="n"/>
      <c r="V5" s="66" t="n"/>
      <c r="W5" s="66" t="n"/>
      <c r="X5" s="66" t="n"/>
      <c r="Y5" s="66" t="n"/>
      <c r="Z5" s="66" t="n"/>
      <c r="AA5" s="66" t="n"/>
      <c r="AB5" s="66" t="n"/>
      <c r="AC5" s="66" t="n"/>
      <c r="AD5" s="66" t="n"/>
      <c r="AE5" s="66" t="n">
        <v>3220.8</v>
      </c>
      <c r="AF5" s="66" t="n">
        <v>4285</v>
      </c>
      <c r="AG5" s="66" t="n">
        <v>4809.1</v>
      </c>
      <c r="AH5" s="66" t="n">
        <v>4499.6</v>
      </c>
      <c r="AI5" s="66" t="n">
        <v>3470.9</v>
      </c>
      <c r="AJ5" s="66" t="n">
        <v>3428</v>
      </c>
      <c r="AK5" s="66" t="n">
        <v>4483.5</v>
      </c>
      <c r="AL5" s="66" t="n">
        <v>5436.3</v>
      </c>
      <c r="AM5" s="66" t="n">
        <v>10028.5</v>
      </c>
      <c r="AN5" s="66" t="n">
        <v>17671.2</v>
      </c>
      <c r="AO5" s="66" t="n">
        <v>24800.3</v>
      </c>
    </row>
    <row r="6">
      <c r="A6" s="65" t="inlineStr">
        <is>
          <t>매출액 YoY</t>
        </is>
      </c>
      <c r="B6" s="67" t="n"/>
      <c r="C6" s="67" t="n"/>
      <c r="D6" s="67" t="n"/>
      <c r="E6" s="67" t="n"/>
      <c r="F6" s="67" t="n"/>
      <c r="G6" s="67" t="n"/>
      <c r="H6" s="67" t="n"/>
      <c r="I6" s="67" t="n"/>
      <c r="J6" s="67" t="n"/>
      <c r="K6" s="67" t="n"/>
      <c r="L6" s="67" t="n"/>
      <c r="M6" s="67" t="n"/>
      <c r="N6" s="67" t="n"/>
      <c r="O6" s="67" t="n"/>
      <c r="P6" s="67" t="n"/>
      <c r="Q6" s="67" t="n"/>
      <c r="R6" s="67" t="n"/>
      <c r="S6" s="67" t="n"/>
      <c r="T6" s="67" t="n"/>
      <c r="U6" s="67" t="n"/>
      <c r="V6" s="67" t="n"/>
      <c r="W6" s="67" t="n"/>
      <c r="X6" s="67" t="n"/>
      <c r="Y6" s="67" t="n"/>
      <c r="Z6" s="67" t="n"/>
      <c r="AA6" s="67" t="n"/>
      <c r="AB6" s="67" t="n"/>
      <c r="AC6" s="67" t="n"/>
      <c r="AD6" s="67" t="n"/>
      <c r="AE6" s="67" t="n"/>
      <c r="AF6" s="67" t="n"/>
      <c r="AG6" s="67" t="n"/>
      <c r="AH6" s="67" t="n"/>
      <c r="AI6" s="67" t="n">
        <v>7.8</v>
      </c>
      <c r="AJ6" s="67" t="n">
        <v>-20</v>
      </c>
      <c r="AK6" s="67" t="n">
        <v>-6.8</v>
      </c>
      <c r="AL6" s="67" t="n">
        <v>20.8</v>
      </c>
      <c r="AM6" s="67" t="n">
        <v>188.9</v>
      </c>
      <c r="AN6" s="67" t="n">
        <v>415.5</v>
      </c>
      <c r="AO6" s="67" t="n">
        <v>453.1</v>
      </c>
    </row>
    <row r="7">
      <c r="A7" s="65" t="inlineStr">
        <is>
          <t>영업이익</t>
        </is>
      </c>
      <c r="B7" s="66" t="n"/>
      <c r="C7" s="66" t="n"/>
      <c r="D7" s="66" t="n"/>
      <c r="E7" s="66" t="n"/>
      <c r="F7" s="66" t="n"/>
      <c r="G7" s="66" t="n"/>
      <c r="H7" s="66" t="n"/>
      <c r="I7" s="66" t="n"/>
      <c r="J7" s="66" t="n"/>
      <c r="K7" s="66" t="n"/>
      <c r="L7" s="66" t="n"/>
      <c r="M7" s="66" t="n"/>
      <c r="N7" s="66" t="n"/>
      <c r="O7" s="66" t="n"/>
      <c r="P7" s="66" t="n"/>
      <c r="Q7" s="66" t="n"/>
      <c r="R7" s="66" t="n"/>
      <c r="S7" s="66" t="n"/>
      <c r="T7" s="66" t="n"/>
      <c r="U7" s="66" t="n"/>
      <c r="V7" s="66" t="n"/>
      <c r="W7" s="66" t="n"/>
      <c r="X7" s="66" t="n"/>
      <c r="Y7" s="66" t="n"/>
      <c r="Z7" s="66" t="n"/>
      <c r="AA7" s="66" t="n"/>
      <c r="AB7" s="66" t="n"/>
      <c r="AC7" s="66" t="n"/>
      <c r="AD7" s="66" t="n"/>
      <c r="AE7" s="66" t="n">
        <v>438.6</v>
      </c>
      <c r="AF7" s="66" t="n">
        <v>1258.6</v>
      </c>
      <c r="AG7" s="66" t="n">
        <v>1660.3</v>
      </c>
      <c r="AH7" s="66" t="n">
        <v>1227.2</v>
      </c>
      <c r="AI7" s="66" t="n">
        <v>371.4</v>
      </c>
      <c r="AJ7" s="66" t="n">
        <v>449</v>
      </c>
      <c r="AK7" s="66" t="n">
        <v>859.2</v>
      </c>
      <c r="AL7" s="66" t="n">
        <v>1427.5</v>
      </c>
      <c r="AM7" s="66" t="n">
        <v>5967.9</v>
      </c>
      <c r="AN7" s="66" t="n">
        <v>12700.2</v>
      </c>
      <c r="AO7" s="66" t="n">
        <v>19947.1</v>
      </c>
    </row>
    <row r="8">
      <c r="A8" s="65" t="inlineStr">
        <is>
          <t>영업이익률</t>
        </is>
      </c>
      <c r="B8" s="67" t="n"/>
      <c r="C8" s="67" t="n"/>
      <c r="D8" s="67" t="n"/>
      <c r="E8" s="67" t="n"/>
      <c r="F8" s="67" t="n"/>
      <c r="G8" s="67" t="n"/>
      <c r="H8" s="67" t="n"/>
      <c r="I8" s="67" t="n"/>
      <c r="J8" s="67" t="n"/>
      <c r="K8" s="67" t="n"/>
      <c r="L8" s="67" t="n"/>
      <c r="M8" s="67" t="n"/>
      <c r="N8" s="67" t="n"/>
      <c r="O8" s="67" t="n"/>
      <c r="P8" s="67" t="n"/>
      <c r="Q8" s="67" t="n"/>
      <c r="R8" s="67" t="n"/>
      <c r="S8" s="67" t="n"/>
      <c r="T8" s="67" t="n"/>
      <c r="U8" s="67" t="n"/>
      <c r="V8" s="67" t="n"/>
      <c r="W8" s="67" t="n"/>
      <c r="X8" s="67" t="n"/>
      <c r="Y8" s="67" t="n"/>
      <c r="Z8" s="67" t="n"/>
      <c r="AA8" s="67" t="n"/>
      <c r="AB8" s="67" t="n"/>
      <c r="AC8" s="67" t="n"/>
      <c r="AD8" s="67" t="n"/>
      <c r="AE8" s="67" t="n">
        <v>13.6</v>
      </c>
      <c r="AF8" s="67" t="n">
        <v>29.4</v>
      </c>
      <c r="AG8" s="67" t="n">
        <v>34.5</v>
      </c>
      <c r="AH8" s="67" t="n">
        <v>27.3</v>
      </c>
      <c r="AI8" s="67" t="n">
        <v>10.7</v>
      </c>
      <c r="AJ8" s="67" t="n">
        <v>13.1</v>
      </c>
      <c r="AK8" s="67" t="n">
        <v>19.2</v>
      </c>
      <c r="AL8" s="67" t="n">
        <v>26.3</v>
      </c>
      <c r="AM8" s="67" t="n">
        <v>59.5</v>
      </c>
      <c r="AN8" s="67" t="n">
        <v>71.90000000000001</v>
      </c>
      <c r="AO8" s="67" t="n">
        <v>80.40000000000001</v>
      </c>
    </row>
    <row r="9">
      <c r="A9" s="65" t="inlineStr">
        <is>
          <t>영업이익 YoY</t>
        </is>
      </c>
      <c r="B9" s="67" t="n"/>
      <c r="C9" s="67" t="n"/>
      <c r="D9" s="67" t="n"/>
      <c r="E9" s="67" t="n"/>
      <c r="F9" s="67" t="n"/>
      <c r="G9" s="67" t="n"/>
      <c r="H9" s="67" t="n"/>
      <c r="I9" s="67" t="n"/>
      <c r="J9" s="67" t="n"/>
      <c r="K9" s="67" t="n"/>
      <c r="L9" s="67" t="n"/>
      <c r="M9" s="67" t="n"/>
      <c r="N9" s="67" t="n"/>
      <c r="O9" s="67" t="n"/>
      <c r="P9" s="67" t="n"/>
      <c r="Q9" s="67" t="n"/>
      <c r="R9" s="67" t="n"/>
      <c r="S9" s="67" t="n"/>
      <c r="T9" s="67" t="n"/>
      <c r="U9" s="67" t="n"/>
      <c r="V9" s="67" t="n"/>
      <c r="W9" s="67" t="n"/>
      <c r="X9" s="67" t="n"/>
      <c r="Y9" s="67" t="n"/>
      <c r="Z9" s="67" t="n"/>
      <c r="AA9" s="67" t="n"/>
      <c r="AB9" s="67" t="n"/>
      <c r="AC9" s="67" t="n"/>
      <c r="AD9" s="67" t="n"/>
      <c r="AE9" s="67" t="n"/>
      <c r="AF9" s="67" t="n"/>
      <c r="AG9" s="67" t="n"/>
      <c r="AH9" s="67" t="n"/>
      <c r="AI9" s="67" t="n">
        <v>-15.3</v>
      </c>
      <c r="AJ9" s="67" t="n">
        <v>-64.3</v>
      </c>
      <c r="AK9" s="67" t="n">
        <v>-48.3</v>
      </c>
      <c r="AL9" s="67" t="n">
        <v>16.3</v>
      </c>
      <c r="AM9" s="67" t="n">
        <v>1506.9</v>
      </c>
      <c r="AN9" s="67" t="n">
        <v>2728.6</v>
      </c>
      <c r="AO9" s="67" t="n">
        <v>2221.6</v>
      </c>
    </row>
    <row r="10">
      <c r="A10" s="65" t="inlineStr">
        <is>
          <t>유동자산</t>
        </is>
      </c>
      <c r="B10" s="66" t="n"/>
      <c r="C10" s="66" t="n"/>
      <c r="D10" s="66" t="n"/>
      <c r="E10" s="66" t="n"/>
      <c r="F10" s="66" t="n"/>
      <c r="G10" s="66" t="n"/>
      <c r="H10" s="66" t="n"/>
      <c r="I10" s="66" t="n"/>
      <c r="J10" s="66" t="n"/>
      <c r="K10" s="66" t="n"/>
      <c r="L10" s="66" t="n"/>
      <c r="M10" s="66" t="n"/>
      <c r="N10" s="66" t="n"/>
      <c r="O10" s="66" t="n"/>
      <c r="P10" s="66" t="n"/>
      <c r="Q10" s="66" t="n"/>
      <c r="R10" s="66" t="n"/>
      <c r="S10" s="66" t="n"/>
      <c r="T10" s="66" t="n"/>
      <c r="U10" s="66" t="n"/>
      <c r="V10" s="66" t="n"/>
      <c r="W10" s="66" t="n"/>
      <c r="X10" s="66" t="n"/>
      <c r="Y10" s="66" t="n"/>
      <c r="Z10" s="66" t="n"/>
      <c r="AA10" s="66" t="n"/>
      <c r="AB10" s="66" t="n"/>
      <c r="AC10" s="66" t="n"/>
      <c r="AD10" s="66" t="n"/>
      <c r="AE10" s="66" t="n">
        <v>6513.8</v>
      </c>
      <c r="AF10" s="66" t="n"/>
      <c r="AG10" s="66" t="n"/>
      <c r="AH10" s="66" t="n">
        <v>8067.1</v>
      </c>
      <c r="AI10" s="66" t="n">
        <v>8067.1</v>
      </c>
      <c r="AJ10" s="66" t="n">
        <v>8902.799999999999</v>
      </c>
      <c r="AK10" s="66" t="n"/>
      <c r="AL10" s="66" t="n">
        <v>16178.3</v>
      </c>
      <c r="AM10" s="66" t="n">
        <v>16178.3</v>
      </c>
      <c r="AN10" s="66" t="n">
        <v>35967.1</v>
      </c>
      <c r="AO10" s="66" t="n"/>
    </row>
    <row r="11">
      <c r="A11" s="65" t="inlineStr">
        <is>
          <t>유동부채</t>
        </is>
      </c>
      <c r="B11" s="66" t="n"/>
      <c r="C11" s="66" t="n"/>
      <c r="D11" s="66" t="n"/>
      <c r="E11" s="66" t="n"/>
      <c r="F11" s="66" t="n"/>
      <c r="G11" s="66" t="n"/>
      <c r="H11" s="66" t="n"/>
      <c r="I11" s="66" t="n"/>
      <c r="J11" s="66" t="n"/>
      <c r="K11" s="66" t="n"/>
      <c r="L11" s="66" t="n"/>
      <c r="M11" s="66" t="n"/>
      <c r="N11" s="66" t="n"/>
      <c r="O11" s="66" t="n"/>
      <c r="P11" s="66" t="n"/>
      <c r="Q11" s="66" t="n"/>
      <c r="R11" s="66" t="n"/>
      <c r="S11" s="66" t="n"/>
      <c r="T11" s="66" t="n"/>
      <c r="U11" s="66" t="n"/>
      <c r="V11" s="66" t="n"/>
      <c r="W11" s="66" t="n"/>
      <c r="X11" s="66" t="n"/>
      <c r="Y11" s="66" t="n"/>
      <c r="Z11" s="66" t="n"/>
      <c r="AA11" s="66" t="n"/>
      <c r="AB11" s="66" t="n"/>
      <c r="AC11" s="66" t="n"/>
      <c r="AD11" s="66" t="n"/>
      <c r="AE11" s="66" t="n">
        <v>18661.3</v>
      </c>
      <c r="AF11" s="66" t="n"/>
      <c r="AG11" s="66" t="n"/>
      <c r="AH11" s="66" t="n">
        <v>9851.700000000001</v>
      </c>
      <c r="AI11" s="66" t="n">
        <v>9851.700000000001</v>
      </c>
      <c r="AJ11" s="66" t="n">
        <v>9044.4</v>
      </c>
      <c r="AK11" s="66" t="n"/>
      <c r="AL11" s="66" t="n">
        <v>10980.1</v>
      </c>
      <c r="AM11" s="66" t="n">
        <v>10980.1</v>
      </c>
      <c r="AN11" s="66" t="n">
        <v>20375.3</v>
      </c>
      <c r="AO11" s="66" t="n"/>
    </row>
    <row r="12">
      <c r="A12" s="65" t="inlineStr">
        <is>
          <t>부채총계</t>
        </is>
      </c>
      <c r="B12" s="66" t="n"/>
      <c r="C12" s="66" t="n"/>
      <c r="D12" s="66" t="n"/>
      <c r="E12" s="66" t="n"/>
      <c r="F12" s="66" t="n"/>
      <c r="G12" s="66" t="n"/>
      <c r="H12" s="66" t="n"/>
      <c r="I12" s="66" t="n"/>
      <c r="J12" s="66" t="n"/>
      <c r="K12" s="66" t="n"/>
      <c r="L12" s="66" t="n"/>
      <c r="M12" s="66" t="n"/>
      <c r="N12" s="66" t="n"/>
      <c r="O12" s="66" t="n"/>
      <c r="P12" s="66" t="n"/>
      <c r="Q12" s="66" t="n"/>
      <c r="R12" s="66" t="n"/>
      <c r="S12" s="66" t="n"/>
      <c r="T12" s="66" t="n"/>
      <c r="U12" s="66" t="n"/>
      <c r="V12" s="66" t="n"/>
      <c r="W12" s="66" t="n"/>
      <c r="X12" s="66" t="n"/>
      <c r="Y12" s="66" t="n"/>
      <c r="Z12" s="66" t="n"/>
      <c r="AA12" s="66" t="n"/>
      <c r="AB12" s="66" t="n"/>
      <c r="AC12" s="66" t="n"/>
      <c r="AD12" s="66" t="n"/>
      <c r="AE12" s="66" t="n">
        <v>24151.8</v>
      </c>
      <c r="AF12" s="66" t="n"/>
      <c r="AG12" s="66" t="n"/>
      <c r="AH12" s="66" t="n">
        <v>21819.8</v>
      </c>
      <c r="AI12" s="66" t="n">
        <v>21819.8</v>
      </c>
      <c r="AJ12" s="66" t="n">
        <v>21628.8</v>
      </c>
      <c r="AK12" s="66" t="n"/>
      <c r="AL12" s="66" t="n">
        <v>22909.9</v>
      </c>
      <c r="AM12" s="66" t="n">
        <v>22909.9</v>
      </c>
      <c r="AN12" s="66" t="n">
        <v>29547.7</v>
      </c>
      <c r="AO12" s="66" t="n"/>
    </row>
    <row r="13">
      <c r="A13" s="65" t="inlineStr">
        <is>
          <t>자기자본</t>
        </is>
      </c>
      <c r="B13" s="67" t="n"/>
      <c r="C13" s="67" t="n"/>
      <c r="D13" s="67" t="n"/>
      <c r="E13" s="67" t="n"/>
      <c r="F13" s="67" t="n"/>
      <c r="G13" s="67" t="n"/>
      <c r="H13" s="67" t="n"/>
      <c r="I13" s="67" t="n"/>
      <c r="J13" s="67" t="n"/>
      <c r="K13" s="67" t="n"/>
      <c r="L13" s="67" t="n"/>
      <c r="M13" s="67" t="n"/>
      <c r="N13" s="67" t="n"/>
      <c r="O13" s="67" t="n"/>
      <c r="P13" s="67" t="n"/>
      <c r="Q13" s="67" t="n"/>
      <c r="R13" s="67" t="n"/>
      <c r="S13" s="67" t="n"/>
      <c r="T13" s="67" t="n"/>
      <c r="U13" s="67" t="n"/>
      <c r="V13" s="67" t="n"/>
      <c r="W13" s="67" t="n"/>
      <c r="X13" s="67" t="n"/>
      <c r="Y13" s="67" t="n"/>
      <c r="Z13" s="67" t="n"/>
      <c r="AA13" s="67" t="n"/>
      <c r="AB13" s="67" t="n"/>
      <c r="AC13" s="67" t="n"/>
      <c r="AD13" s="67" t="n"/>
      <c r="AE13" s="67" t="n">
        <v>4497.7</v>
      </c>
      <c r="AF13" s="67" t="n"/>
      <c r="AG13" s="67" t="n"/>
      <c r="AH13" s="67" t="n">
        <v>7377</v>
      </c>
      <c r="AI13" s="67" t="n">
        <v>7377</v>
      </c>
      <c r="AJ13" s="67" t="n">
        <v>8193.4</v>
      </c>
      <c r="AK13" s="67" t="n"/>
      <c r="AL13" s="67" t="n">
        <v>13990.8</v>
      </c>
      <c r="AM13" s="67" t="n">
        <v>13990.8</v>
      </c>
      <c r="AN13" s="67" t="n">
        <v>29291.2</v>
      </c>
      <c r="AO13" s="67" t="n"/>
    </row>
    <row r="14">
      <c r="A14" s="65" t="inlineStr">
        <is>
          <t>유동비율</t>
        </is>
      </c>
      <c r="B14" s="67" t="n"/>
      <c r="C14" s="67" t="n"/>
      <c r="D14" s="67" t="n"/>
      <c r="E14" s="67" t="n"/>
      <c r="F14" s="67" t="n"/>
      <c r="G14" s="67" t="n"/>
      <c r="H14" s="67" t="n"/>
      <c r="I14" s="67" t="n"/>
      <c r="J14" s="67" t="n"/>
      <c r="K14" s="67" t="n"/>
      <c r="L14" s="67" t="n"/>
      <c r="M14" s="67" t="n"/>
      <c r="N14" s="67" t="n"/>
      <c r="O14" s="67" t="n"/>
      <c r="P14" s="67" t="n"/>
      <c r="Q14" s="67" t="n"/>
      <c r="R14" s="67" t="n"/>
      <c r="S14" s="67" t="n"/>
      <c r="T14" s="67" t="n"/>
      <c r="U14" s="67" t="n"/>
      <c r="V14" s="67" t="n"/>
      <c r="W14" s="67" t="n"/>
      <c r="X14" s="67" t="n"/>
      <c r="Y14" s="67" t="n"/>
      <c r="Z14" s="67" t="n"/>
      <c r="AA14" s="67" t="n"/>
      <c r="AB14" s="67" t="n"/>
      <c r="AC14" s="67" t="n"/>
      <c r="AD14" s="67" t="n"/>
      <c r="AE14" s="67" t="n">
        <v>34.9</v>
      </c>
      <c r="AF14" s="67" t="n"/>
      <c r="AG14" s="67" t="n"/>
      <c r="AH14" s="67" t="n">
        <v>81.90000000000001</v>
      </c>
      <c r="AI14" s="67" t="n">
        <v>81.90000000000001</v>
      </c>
      <c r="AJ14" s="67" t="n">
        <v>98.40000000000001</v>
      </c>
      <c r="AK14" s="67" t="n"/>
      <c r="AL14" s="67" t="n">
        <v>147.3</v>
      </c>
      <c r="AM14" s="67" t="n">
        <v>147.3</v>
      </c>
      <c r="AN14" s="67" t="n">
        <v>176.5</v>
      </c>
      <c r="AO14" s="67" t="n"/>
    </row>
    <row r="15">
      <c r="A15" s="65" t="inlineStr">
        <is>
          <t>부채비율</t>
        </is>
      </c>
      <c r="B15" s="67" t="n"/>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v>537</v>
      </c>
      <c r="AF15" s="67" t="n"/>
      <c r="AG15" s="67" t="n"/>
      <c r="AH15" s="67" t="n">
        <v>295.8</v>
      </c>
      <c r="AI15" s="67" t="n">
        <v>295.8</v>
      </c>
      <c r="AJ15" s="67" t="n">
        <v>264</v>
      </c>
      <c r="AK15" s="67" t="n"/>
      <c r="AL15" s="67" t="n">
        <v>163.7</v>
      </c>
      <c r="AM15" s="67" t="n">
        <v>163.7</v>
      </c>
      <c r="AN15" s="67" t="n">
        <v>100.9</v>
      </c>
      <c r="AO15" s="67" t="n"/>
    </row>
    <row r="16">
      <c r="A16" s="65" t="inlineStr">
        <is>
          <t>순차입금/자기자본</t>
        </is>
      </c>
      <c r="B16" s="67" t="n"/>
      <c r="C16" s="67" t="n"/>
      <c r="D16" s="67" t="n"/>
      <c r="E16" s="67" t="n"/>
      <c r="F16" s="67" t="n"/>
      <c r="G16" s="67" t="n"/>
      <c r="H16" s="67" t="n"/>
      <c r="I16" s="67" t="n"/>
      <c r="J16" s="67" t="n"/>
      <c r="K16" s="67" t="n"/>
      <c r="L16" s="67" t="n"/>
      <c r="M16" s="67" t="n"/>
      <c r="N16" s="67" t="n"/>
      <c r="O16" s="67" t="n"/>
      <c r="P16" s="67" t="n"/>
      <c r="Q16" s="67" t="n"/>
      <c r="R16" s="67" t="n"/>
      <c r="S16" s="67" t="n"/>
      <c r="T16" s="67" t="n"/>
      <c r="U16" s="67" t="n"/>
      <c r="V16" s="67" t="n"/>
      <c r="W16" s="67" t="n"/>
      <c r="X16" s="67" t="n"/>
      <c r="Y16" s="67" t="n"/>
      <c r="Z16" s="67" t="n"/>
      <c r="AA16" s="67" t="n"/>
      <c r="AB16" s="67" t="n"/>
      <c r="AC16" s="67" t="n"/>
      <c r="AD16" s="67" t="n"/>
      <c r="AE16" s="67" t="n">
        <v>246</v>
      </c>
      <c r="AF16" s="67" t="n"/>
      <c r="AG16" s="67" t="n"/>
      <c r="AH16" s="67" t="n">
        <v>112.7</v>
      </c>
      <c r="AI16" s="67" t="n">
        <v>112.7</v>
      </c>
      <c r="AJ16" s="67" t="n">
        <v>133.5</v>
      </c>
      <c r="AK16" s="67" t="n"/>
      <c r="AL16" s="67" t="n">
        <v>55.9</v>
      </c>
      <c r="AM16" s="67" t="n">
        <v>55.9</v>
      </c>
      <c r="AN16" s="67" t="n">
        <v>-20.3</v>
      </c>
      <c r="AO16" s="67" t="n"/>
    </row>
    <row r="17">
      <c r="A17" s="65" t="inlineStr">
        <is>
          <t>재고자산</t>
        </is>
      </c>
      <c r="B17" s="66" t="n"/>
      <c r="C17" s="66" t="n"/>
      <c r="D17" s="66" t="n"/>
      <c r="E17" s="66" t="n"/>
      <c r="F17" s="66" t="n"/>
      <c r="G17" s="66" t="n"/>
      <c r="H17" s="66" t="n"/>
      <c r="I17" s="66" t="n"/>
      <c r="J17" s="66" t="n"/>
      <c r="K17" s="66" t="n"/>
      <c r="L17" s="66" t="n"/>
      <c r="M17" s="66" t="n"/>
      <c r="N17" s="66" t="n"/>
      <c r="O17" s="66" t="n"/>
      <c r="P17" s="66" t="n"/>
      <c r="Q17" s="66" t="n"/>
      <c r="R17" s="66" t="n"/>
      <c r="S17" s="66" t="n"/>
      <c r="T17" s="66" t="n"/>
      <c r="U17" s="66" t="n"/>
      <c r="V17" s="66" t="n"/>
      <c r="W17" s="66" t="n"/>
      <c r="X17" s="66" t="n"/>
      <c r="Y17" s="66" t="n"/>
      <c r="Z17" s="66" t="n"/>
      <c r="AA17" s="66" t="n"/>
      <c r="AB17" s="66" t="n"/>
      <c r="AC17" s="66" t="n"/>
      <c r="AD17" s="66" t="n"/>
      <c r="AE17" s="66" t="n">
        <v>2717.8</v>
      </c>
      <c r="AF17" s="66" t="n"/>
      <c r="AG17" s="66" t="n"/>
      <c r="AH17" s="66" t="n">
        <v>3528.6</v>
      </c>
      <c r="AI17" s="66" t="n">
        <v>3528.6</v>
      </c>
      <c r="AJ17" s="66" t="n">
        <v>3616.3</v>
      </c>
      <c r="AK17" s="66" t="n"/>
      <c r="AL17" s="66" t="n">
        <v>4126.1</v>
      </c>
      <c r="AM17" s="66" t="n">
        <v>4126.1</v>
      </c>
      <c r="AN17" s="66" t="n">
        <v>4460.3</v>
      </c>
      <c r="AO17" s="66" t="n"/>
    </row>
    <row r="18">
      <c r="A18" s="65" t="inlineStr">
        <is>
          <t>재고자산 회전일수</t>
        </is>
      </c>
      <c r="B18" s="66" t="n"/>
      <c r="C18" s="66" t="n"/>
      <c r="D18" s="66" t="n"/>
      <c r="E18" s="66" t="n"/>
      <c r="F18" s="66" t="n"/>
      <c r="G18" s="66" t="n"/>
      <c r="H18" s="66" t="n"/>
      <c r="I18" s="66" t="n"/>
      <c r="J18" s="66" t="n"/>
      <c r="K18" s="66" t="n"/>
      <c r="L18" s="66" t="n"/>
      <c r="M18" s="66" t="n"/>
      <c r="N18" s="66" t="n"/>
      <c r="O18" s="66" t="n"/>
      <c r="P18" s="66" t="n"/>
      <c r="Q18" s="66" t="n"/>
      <c r="R18" s="66" t="n"/>
      <c r="S18" s="66" t="n"/>
      <c r="T18" s="66" t="n"/>
      <c r="U18" s="66" t="n"/>
      <c r="V18" s="66" t="n"/>
      <c r="W18" s="66" t="n"/>
      <c r="X18" s="66" t="n"/>
      <c r="Y18" s="66" t="n"/>
      <c r="Z18" s="66" t="n"/>
      <c r="AA18" s="66" t="n"/>
      <c r="AB18" s="66" t="n"/>
      <c r="AC18" s="66" t="n"/>
      <c r="AD18" s="66" t="n"/>
      <c r="AE18" s="66" t="n">
        <v>100</v>
      </c>
      <c r="AF18" s="66" t="n"/>
      <c r="AG18" s="66" t="n"/>
      <c r="AH18" s="66" t="n">
        <v>108</v>
      </c>
      <c r="AI18" s="66" t="n">
        <v>113</v>
      </c>
      <c r="AJ18" s="66" t="n">
        <v>121</v>
      </c>
      <c r="AK18" s="66" t="n"/>
      <c r="AL18" s="66" t="n">
        <v>102</v>
      </c>
      <c r="AM18" s="66" t="n">
        <v>104</v>
      </c>
      <c r="AN18" s="66" t="n">
        <v>105</v>
      </c>
      <c r="AO18" s="66" t="n"/>
    </row>
    <row r="19">
      <c r="A19" s="65" t="inlineStr">
        <is>
          <t>매출채권 회전일수</t>
        </is>
      </c>
      <c r="B19" s="66" t="n"/>
      <c r="C19" s="66" t="n"/>
      <c r="D19" s="66" t="n"/>
      <c r="E19" s="66" t="n"/>
      <c r="F19" s="66" t="n"/>
      <c r="G19" s="66" t="n"/>
      <c r="H19" s="66" t="n"/>
      <c r="I19" s="66" t="n"/>
      <c r="J19" s="66" t="n"/>
      <c r="K19" s="66" t="n"/>
      <c r="L19" s="66" t="n"/>
      <c r="M19" s="66" t="n"/>
      <c r="N19" s="66" t="n"/>
      <c r="O19" s="66" t="n"/>
      <c r="P19" s="66" t="n"/>
      <c r="Q19" s="66" t="n"/>
      <c r="R19" s="66" t="n"/>
      <c r="S19" s="66" t="n"/>
      <c r="T19" s="66" t="n"/>
      <c r="U19" s="66" t="n"/>
      <c r="V19" s="66" t="n"/>
      <c r="W19" s="66" t="n"/>
      <c r="X19" s="66" t="n"/>
      <c r="Y19" s="66" t="n"/>
      <c r="Z19" s="66" t="n"/>
      <c r="AA19" s="66" t="n"/>
      <c r="AB19" s="66" t="n"/>
      <c r="AC19" s="66" t="n"/>
      <c r="AD19" s="66" t="n"/>
      <c r="AE19" s="66" t="n">
        <v>42</v>
      </c>
      <c r="AF19" s="66" t="n"/>
      <c r="AG19" s="66" t="n"/>
      <c r="AH19" s="66" t="n">
        <v>48</v>
      </c>
      <c r="AI19" s="66" t="n">
        <v>63</v>
      </c>
      <c r="AJ19" s="66" t="n">
        <v>63</v>
      </c>
      <c r="AK19" s="66" t="n"/>
      <c r="AL19" s="66" t="n">
        <v>111</v>
      </c>
      <c r="AM19" s="66" t="n">
        <v>60</v>
      </c>
      <c r="AN19" s="66" t="n">
        <v>85</v>
      </c>
      <c r="AO19" s="66" t="n"/>
    </row>
    <row r="20">
      <c r="A20" s="65" t="inlineStr">
        <is>
          <t>매입채무 회전일수</t>
        </is>
      </c>
      <c r="B20" s="66" t="n"/>
      <c r="C20" s="66" t="n"/>
      <c r="D20" s="66" t="n"/>
      <c r="E20" s="66" t="n"/>
      <c r="F20" s="66" t="n"/>
      <c r="G20" s="66" t="n"/>
      <c r="H20" s="66" t="n"/>
      <c r="I20" s="66" t="n"/>
      <c r="J20" s="66" t="n"/>
      <c r="K20" s="66" t="n"/>
      <c r="L20" s="66" t="n"/>
      <c r="M20" s="66" t="n"/>
      <c r="N20" s="66" t="n"/>
      <c r="O20" s="66" t="n"/>
      <c r="P20" s="66" t="n"/>
      <c r="Q20" s="66" t="n"/>
      <c r="R20" s="66" t="n"/>
      <c r="S20" s="66" t="n"/>
      <c r="T20" s="66" t="n"/>
      <c r="U20" s="66" t="n"/>
      <c r="V20" s="66" t="n"/>
      <c r="W20" s="66" t="n"/>
      <c r="X20" s="66" t="n"/>
      <c r="Y20" s="66" t="n"/>
      <c r="Z20" s="66" t="n"/>
      <c r="AA20" s="66" t="n"/>
      <c r="AB20" s="66" t="n"/>
      <c r="AC20" s="66" t="n"/>
      <c r="AD20" s="66" t="n"/>
      <c r="AE20" s="66" t="n">
        <v>189</v>
      </c>
      <c r="AF20" s="66" t="n"/>
      <c r="AG20" s="66" t="n"/>
      <c r="AH20" s="66" t="n">
        <v>154</v>
      </c>
      <c r="AI20" s="66" t="n">
        <v>162</v>
      </c>
      <c r="AJ20" s="66" t="n">
        <v>182</v>
      </c>
      <c r="AK20" s="66" t="n"/>
      <c r="AL20" s="66" t="n">
        <v>148</v>
      </c>
      <c r="AM20" s="66" t="n">
        <v>150</v>
      </c>
      <c r="AN20" s="66" t="n">
        <v>183</v>
      </c>
      <c r="AO20" s="66" t="n"/>
    </row>
    <row r="21">
      <c r="A21" s="65" t="inlineStr">
        <is>
          <t>현금전환주기(CCC)</t>
        </is>
      </c>
      <c r="B21" s="66" t="n"/>
      <c r="C21" s="66" t="n"/>
      <c r="D21" s="66" t="n"/>
      <c r="E21" s="66" t="n"/>
      <c r="F21" s="66" t="n"/>
      <c r="G21" s="66" t="n"/>
      <c r="H21" s="66" t="n"/>
      <c r="I21" s="66" t="n"/>
      <c r="J21" s="66" t="n"/>
      <c r="K21" s="66" t="n"/>
      <c r="L21" s="66" t="n"/>
      <c r="M21" s="66" t="n"/>
      <c r="N21" s="66" t="n"/>
      <c r="O21" s="66" t="n"/>
      <c r="P21" s="66" t="n"/>
      <c r="Q21" s="66" t="n"/>
      <c r="R21" s="66" t="n"/>
      <c r="S21" s="66" t="n"/>
      <c r="T21" s="66" t="n"/>
      <c r="U21" s="66" t="n"/>
      <c r="V21" s="66" t="n"/>
      <c r="W21" s="66" t="n"/>
      <c r="X21" s="66" t="n"/>
      <c r="Y21" s="66" t="n"/>
      <c r="Z21" s="66" t="n"/>
      <c r="AA21" s="66" t="n"/>
      <c r="AB21" s="66" t="n"/>
      <c r="AC21" s="66" t="n"/>
      <c r="AD21" s="66" t="n"/>
      <c r="AE21" s="66" t="n">
        <v>-47</v>
      </c>
      <c r="AF21" s="66" t="n"/>
      <c r="AG21" s="66" t="n"/>
      <c r="AH21" s="66" t="n">
        <v>2</v>
      </c>
      <c r="AI21" s="66" t="n">
        <v>14</v>
      </c>
      <c r="AJ21" s="66" t="n">
        <v>2</v>
      </c>
      <c r="AK21" s="66" t="n"/>
      <c r="AL21" s="66" t="n">
        <v>65</v>
      </c>
      <c r="AM21" s="66" t="n">
        <v>14</v>
      </c>
      <c r="AN21" s="66" t="n">
        <v>7</v>
      </c>
      <c r="AO21" s="66" t="n"/>
    </row>
    <row r="22">
      <c r="A22" s="65" t="inlineStr">
        <is>
          <t>총 차입금</t>
        </is>
      </c>
      <c r="B22" s="66" t="n"/>
      <c r="C22" s="66" t="n"/>
      <c r="D22" s="66" t="n"/>
      <c r="E22" s="66" t="n"/>
      <c r="F22" s="66" t="n"/>
      <c r="G22" s="66" t="n"/>
      <c r="H22" s="66" t="n"/>
      <c r="I22" s="66" t="n"/>
      <c r="J22" s="66" t="n"/>
      <c r="K22" s="66" t="n"/>
      <c r="L22" s="66" t="n"/>
      <c r="M22" s="66" t="n"/>
      <c r="N22" s="66" t="n"/>
      <c r="O22" s="66" t="n"/>
      <c r="P22" s="66" t="n"/>
      <c r="Q22" s="66" t="n"/>
      <c r="R22" s="66" t="n"/>
      <c r="S22" s="66" t="n"/>
      <c r="T22" s="66" t="n"/>
      <c r="U22" s="66" t="n"/>
      <c r="V22" s="66" t="n"/>
      <c r="W22" s="66" t="n"/>
      <c r="X22" s="66" t="n"/>
      <c r="Y22" s="66" t="n"/>
      <c r="Z22" s="66" t="n"/>
      <c r="AA22" s="66" t="n"/>
      <c r="AB22" s="66" t="n"/>
      <c r="AC22" s="66" t="n"/>
      <c r="AD22" s="66" t="n"/>
      <c r="AE22" s="66" t="n">
        <v>12942</v>
      </c>
      <c r="AF22" s="66" t="n"/>
      <c r="AG22" s="66" t="n"/>
      <c r="AH22" s="66" t="n">
        <v>9995.200000000001</v>
      </c>
      <c r="AI22" s="66" t="n">
        <v>9995.200000000001</v>
      </c>
      <c r="AJ22" s="66" t="n">
        <v>13295.4</v>
      </c>
      <c r="AK22" s="66" t="n"/>
      <c r="AL22" s="66" t="n">
        <v>12531.9</v>
      </c>
      <c r="AM22" s="66" t="n">
        <v>12531.9</v>
      </c>
      <c r="AN22" s="66" t="n">
        <v>8027.3</v>
      </c>
      <c r="AO22" s="66" t="n"/>
    </row>
    <row r="23">
      <c r="A23" s="65" t="inlineStr">
        <is>
          <t>현금</t>
        </is>
      </c>
      <c r="B23" s="66" t="n"/>
      <c r="C23" s="66" t="n"/>
      <c r="D23" s="66" t="n"/>
      <c r="E23" s="66" t="n"/>
      <c r="F23" s="66" t="n"/>
      <c r="G23" s="66" t="n"/>
      <c r="H23" s="66" t="n"/>
      <c r="I23" s="66" t="n"/>
      <c r="J23" s="66" t="n"/>
      <c r="K23" s="66" t="n"/>
      <c r="L23" s="66" t="n"/>
      <c r="M23" s="66" t="n"/>
      <c r="N23" s="66" t="n"/>
      <c r="O23" s="66" t="n"/>
      <c r="P23" s="66" t="n"/>
      <c r="Q23" s="66" t="n"/>
      <c r="R23" s="66" t="n"/>
      <c r="S23" s="66" t="n"/>
      <c r="T23" s="66" t="n"/>
      <c r="U23" s="66" t="n"/>
      <c r="V23" s="66" t="n"/>
      <c r="W23" s="66" t="n"/>
      <c r="X23" s="66" t="n"/>
      <c r="Y23" s="66" t="n"/>
      <c r="Z23" s="66" t="n"/>
      <c r="AA23" s="66" t="n"/>
      <c r="AB23" s="66" t="n"/>
      <c r="AC23" s="66" t="n"/>
      <c r="AD23" s="66" t="n"/>
      <c r="AE23" s="66" t="n">
        <v>1875.9</v>
      </c>
      <c r="AF23" s="66" t="n"/>
      <c r="AG23" s="66" t="n"/>
      <c r="AH23" s="66" t="n">
        <v>1679.3</v>
      </c>
      <c r="AI23" s="66" t="n">
        <v>1679.3</v>
      </c>
      <c r="AJ23" s="66" t="n">
        <v>2355.5</v>
      </c>
      <c r="AK23" s="66" t="n"/>
      <c r="AL23" s="66" t="n">
        <v>4707.1</v>
      </c>
      <c r="AM23" s="66" t="n">
        <v>4707.1</v>
      </c>
      <c r="AN23" s="66" t="n">
        <v>13973.3</v>
      </c>
      <c r="AO23" s="66" t="n"/>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2026-10-30T11:34:58Z</dcterms:created>
  <dcterms:modified xmlns:dcterms="http://purl.org/dc/terms/" xmlns:xsi="http://www.w3.org/2001/XMLSchema-instance" xsi:type="dcterms:W3CDTF">2026-10-30T11:34:59Z</dcterms:modified>
</cp:coreProperties>
</file>