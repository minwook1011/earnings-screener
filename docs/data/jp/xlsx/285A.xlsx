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6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19" fillId="7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4" fillId="8" borderId="0" applyAlignment="1" pivotButton="0" quotePrefix="0" xfId="0">
      <alignment horizontal="center"/>
    </xf>
    <xf numFmtId="0" fontId="25" fillId="0" borderId="0" pivotButton="0" quotePrefix="0" xfId="0"/>
    <xf numFmtId="3" fontId="25" fillId="0" borderId="0" pivotButton="0" quotePrefix="0" xfId="0"/>
    <xf numFmtId="170" fontId="25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25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44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6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285A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IFRS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/>
      <c r="D4" s="12" t="n">
        <v>322078</v>
      </c>
      <c r="E4" s="12" t="n">
        <v>428497</v>
      </c>
      <c r="F4" s="12" t="n">
        <v>480911</v>
      </c>
      <c r="G4" s="12" t="n">
        <v>449958</v>
      </c>
      <c r="H4" s="12" t="n">
        <v>347094</v>
      </c>
      <c r="I4" s="12" t="n">
        <v>342799</v>
      </c>
      <c r="J4" s="12" t="n">
        <v>448346</v>
      </c>
      <c r="K4" s="12" t="n">
        <v>543631</v>
      </c>
      <c r="L4" s="12" t="n">
        <v>1002852</v>
      </c>
      <c r="M4" s="12" t="n">
        <v>1767117</v>
      </c>
      <c r="N4" s="12" t="n">
        <v>2480035</v>
      </c>
      <c r="O4" s="11" t="n"/>
      <c r="P4" s="12" t="n"/>
      <c r="Q4" s="12" t="n"/>
      <c r="R4" s="12" t="n"/>
      <c r="S4" s="12" t="n"/>
      <c r="T4" s="12" t="n"/>
      <c r="U4" s="12" t="n"/>
      <c r="V4" s="12" t="n">
        <v>1076584</v>
      </c>
      <c r="W4" s="12" t="n">
        <v>1706460</v>
      </c>
      <c r="X4" s="12" t="n">
        <v>2337628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/>
      <c r="D11" s="22" t="n">
        <v>247291</v>
      </c>
      <c r="E11" s="22" t="n">
        <v>271905</v>
      </c>
      <c r="F11" s="22" t="n">
        <v>284460</v>
      </c>
      <c r="G11" s="22" t="n">
        <v>297584</v>
      </c>
      <c r="H11" s="22" t="n">
        <v>283078</v>
      </c>
      <c r="I11" s="22" t="n">
        <v>271620</v>
      </c>
      <c r="J11" s="22" t="n">
        <v>326208</v>
      </c>
      <c r="K11" s="22" t="n">
        <v>366991</v>
      </c>
      <c r="L11" s="22" t="n">
        <v>359905</v>
      </c>
      <c r="M11" s="22" t="n">
        <v>387051</v>
      </c>
      <c r="N11" s="22" t="n">
        <v>426872</v>
      </c>
      <c r="O11" s="21" t="n"/>
      <c r="P11" s="22" t="n"/>
      <c r="Q11" s="22" t="n"/>
      <c r="R11" s="22" t="n"/>
      <c r="S11" s="22" t="n"/>
      <c r="T11" s="22" t="n"/>
      <c r="U11" s="22" t="n"/>
      <c r="V11" s="22" t="n">
        <v>1205927</v>
      </c>
      <c r="W11" s="22" t="n">
        <v>1137027</v>
      </c>
      <c r="X11" s="22" t="n">
        <v>1324724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/>
      <c r="D17" s="22" t="n">
        <v>31478</v>
      </c>
      <c r="E17" s="22" t="n">
        <v>31001</v>
      </c>
      <c r="F17" s="22" t="n">
        <v>31631</v>
      </c>
      <c r="G17" s="22" t="n">
        <v>34778</v>
      </c>
      <c r="H17" s="22" t="n">
        <v>30441</v>
      </c>
      <c r="I17" s="22" t="n">
        <v>29847</v>
      </c>
      <c r="J17" s="22" t="n">
        <v>36235</v>
      </c>
      <c r="K17" s="22" t="n">
        <v>33847</v>
      </c>
      <c r="L17" s="22" t="n">
        <v>46652</v>
      </c>
      <c r="M17" s="22" t="n">
        <v>71727</v>
      </c>
      <c r="N17" s="22" t="n">
        <v>56987</v>
      </c>
      <c r="O17" s="21" t="n"/>
      <c r="P17" s="22" t="n"/>
      <c r="Q17" s="22" t="n"/>
      <c r="R17" s="22" t="n"/>
      <c r="S17" s="22" t="n"/>
      <c r="T17" s="22" t="n"/>
      <c r="U17" s="22" t="n"/>
      <c r="V17" s="22" t="n">
        <v>128774</v>
      </c>
      <c r="W17" s="22" t="n">
        <v>127851</v>
      </c>
      <c r="X17" s="22" t="n">
        <v>146581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/>
      <c r="D19" s="12" t="n">
        <v>43858</v>
      </c>
      <c r="E19" s="12" t="n">
        <v>125859</v>
      </c>
      <c r="F19" s="12" t="n">
        <v>166032</v>
      </c>
      <c r="G19" s="12" t="n">
        <v>122715</v>
      </c>
      <c r="H19" s="12" t="n">
        <v>37142</v>
      </c>
      <c r="I19" s="12" t="n">
        <v>44899</v>
      </c>
      <c r="J19" s="12" t="n">
        <v>85921</v>
      </c>
      <c r="K19" s="12" t="n">
        <v>142754</v>
      </c>
      <c r="L19" s="12" t="n">
        <v>596795</v>
      </c>
      <c r="M19" s="12" t="n">
        <v>1270017</v>
      </c>
      <c r="N19" s="12" t="n">
        <v>1994710</v>
      </c>
      <c r="O19" s="11" t="n"/>
      <c r="P19" s="12" t="n"/>
      <c r="Q19" s="12" t="n"/>
      <c r="R19" s="12" t="n"/>
      <c r="S19" s="12" t="n"/>
      <c r="T19" s="12" t="n"/>
      <c r="U19" s="12" t="n"/>
      <c r="V19" s="12" t="n">
        <v>-252698</v>
      </c>
      <c r="W19" s="12" t="n">
        <v>451748</v>
      </c>
      <c r="X19" s="12" t="n">
        <v>870369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기타이익</t>
        </is>
      </c>
      <c r="B35" s="10" t="n"/>
      <c r="C35" s="21" t="n"/>
      <c r="D35" s="22" t="n">
        <v>9000</v>
      </c>
      <c r="E35" s="22" t="n">
        <v>1477</v>
      </c>
      <c r="F35" s="22" t="n">
        <v>2586</v>
      </c>
      <c r="G35" s="22" t="n">
        <v>6109</v>
      </c>
      <c r="H35" s="22" t="n">
        <v>4503</v>
      </c>
      <c r="I35" s="22" t="n">
        <v>3921</v>
      </c>
      <c r="J35" s="22" t="n">
        <v>1569</v>
      </c>
      <c r="K35" s="22" t="n">
        <v>1262</v>
      </c>
      <c r="L35" s="22" t="n">
        <v>2150</v>
      </c>
      <c r="M35" s="22" t="n">
        <v>530</v>
      </c>
      <c r="N35" s="22" t="n">
        <v>1609</v>
      </c>
      <c r="O35" s="21" t="n"/>
      <c r="P35" s="22" t="n"/>
      <c r="Q35" s="22" t="n"/>
      <c r="R35" s="22" t="n"/>
      <c r="S35" s="22" t="n"/>
      <c r="T35" s="22" t="n"/>
      <c r="U35" s="22" t="n"/>
      <c r="V35" s="22" t="n">
        <v>19676</v>
      </c>
      <c r="W35" s="22" t="n">
        <v>14675</v>
      </c>
      <c r="X35" s="22" t="n">
        <v>8902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기타손실</t>
        </is>
      </c>
      <c r="B37" s="10" t="n"/>
      <c r="C37" s="21" t="n"/>
      <c r="D37" s="22" t="n">
        <v>8451</v>
      </c>
      <c r="E37" s="22" t="n">
        <v>1209</v>
      </c>
      <c r="F37" s="22" t="n">
        <v>1374</v>
      </c>
      <c r="G37" s="22" t="n">
        <v>990</v>
      </c>
      <c r="H37" s="22" t="n">
        <v>936</v>
      </c>
      <c r="I37" s="22" t="n">
        <v>354</v>
      </c>
      <c r="J37" s="22" t="n">
        <v>1551</v>
      </c>
      <c r="K37" s="22" t="n">
        <v>1301</v>
      </c>
      <c r="L37" s="22" t="n">
        <v>1650</v>
      </c>
      <c r="M37" s="22" t="n">
        <v>38852</v>
      </c>
      <c r="N37" s="22" t="n">
        <v>3075</v>
      </c>
      <c r="O37" s="21" t="n"/>
      <c r="P37" s="22" t="n"/>
      <c r="Q37" s="22" t="n"/>
      <c r="R37" s="22" t="n"/>
      <c r="S37" s="22" t="n"/>
      <c r="T37" s="22" t="n"/>
      <c r="U37" s="22" t="n"/>
      <c r="V37" s="22" t="n">
        <v>14257</v>
      </c>
      <c r="W37" s="22" t="n">
        <v>4509</v>
      </c>
      <c r="X37" s="22" t="n">
        <v>4856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금융수익</t>
        </is>
      </c>
      <c r="B39" s="10" t="n"/>
      <c r="C39" s="21" t="n"/>
      <c r="D39" s="22" t="n">
        <v>11</v>
      </c>
      <c r="E39" s="22" t="n">
        <v>199</v>
      </c>
      <c r="F39" s="22" t="n">
        <v>1231</v>
      </c>
      <c r="G39" s="22" t="n">
        <v>1135</v>
      </c>
      <c r="H39" s="22" t="n">
        <v>1142</v>
      </c>
      <c r="I39" s="22" t="n">
        <v>2398</v>
      </c>
      <c r="J39" s="22" t="n">
        <v>-402</v>
      </c>
      <c r="K39" s="22" t="n">
        <v>1608</v>
      </c>
      <c r="L39" s="22" t="n">
        <v>5895</v>
      </c>
      <c r="M39" s="22" t="n">
        <v>17170</v>
      </c>
      <c r="N39" s="22" t="n">
        <v>-9829</v>
      </c>
      <c r="O39" s="21" t="n"/>
      <c r="P39" s="22" t="n"/>
      <c r="Q39" s="22" t="n"/>
      <c r="R39" s="22" t="n"/>
      <c r="S39" s="22" t="n"/>
      <c r="T39" s="22" t="n"/>
      <c r="U39" s="22" t="n"/>
      <c r="V39" s="22" t="n">
        <v>1847</v>
      </c>
      <c r="W39" s="22" t="n">
        <v>3707</v>
      </c>
      <c r="X39" s="22" t="n">
        <v>9499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금융원가</t>
        </is>
      </c>
      <c r="B41" s="10" t="n"/>
      <c r="C41" s="21" t="n"/>
      <c r="D41" s="22" t="n">
        <v>26856</v>
      </c>
      <c r="E41" s="22" t="n">
        <v>26192</v>
      </c>
      <c r="F41" s="22" t="n">
        <v>18282</v>
      </c>
      <c r="G41" s="22" t="n">
        <v>17428</v>
      </c>
      <c r="H41" s="22" t="n">
        <v>23426</v>
      </c>
      <c r="I41" s="22" t="n">
        <v>19860</v>
      </c>
      <c r="J41" s="22" t="n">
        <v>29102</v>
      </c>
      <c r="K41" s="22" t="n">
        <v>22769</v>
      </c>
      <c r="L41" s="22" t="n">
        <v>24977</v>
      </c>
      <c r="M41" s="22" t="n">
        <v>52801</v>
      </c>
      <c r="N41" s="22" t="n">
        <v>15962</v>
      </c>
      <c r="O41" s="21" t="n"/>
      <c r="P41" s="22" t="n"/>
      <c r="Q41" s="22" t="n"/>
      <c r="R41" s="22" t="n"/>
      <c r="S41" s="22" t="n"/>
      <c r="T41" s="22" t="n"/>
      <c r="U41" s="22" t="n"/>
      <c r="V41" s="22" t="n">
        <v>92740</v>
      </c>
      <c r="W41" s="22" t="n">
        <v>85328</v>
      </c>
      <c r="X41" s="22" t="n">
        <v>96708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/>
      <c r="D43" s="12" t="n">
        <v>17159</v>
      </c>
      <c r="E43" s="12" t="n">
        <v>99746</v>
      </c>
      <c r="F43" s="12" t="n">
        <v>149173</v>
      </c>
      <c r="G43" s="12" t="n">
        <v>106687</v>
      </c>
      <c r="H43" s="12" t="n">
        <v>15063</v>
      </c>
      <c r="I43" s="12" t="n">
        <v>27294</v>
      </c>
      <c r="J43" s="12" t="n">
        <v>56716</v>
      </c>
      <c r="K43" s="12" t="n">
        <v>121740</v>
      </c>
      <c r="L43" s="12" t="n">
        <v>578345</v>
      </c>
      <c r="M43" s="12" t="n">
        <v>1234720</v>
      </c>
      <c r="N43" s="12" t="n">
        <v>1968670</v>
      </c>
      <c r="O43" s="11" t="n"/>
      <c r="P43" s="12" t="n"/>
      <c r="Q43" s="12" t="n"/>
      <c r="R43" s="12" t="n"/>
      <c r="S43" s="12" t="n"/>
      <c r="T43" s="12" t="n"/>
      <c r="U43" s="12" t="n"/>
      <c r="V43" s="12" t="n">
        <v>-343330</v>
      </c>
      <c r="W43" s="12" t="n">
        <v>370669</v>
      </c>
      <c r="X43" s="12" t="n">
        <v>784095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/>
      <c r="D45" s="22" t="n">
        <v>6906</v>
      </c>
      <c r="E45" s="22" t="n">
        <v>29988</v>
      </c>
      <c r="F45" s="22" t="n">
        <v>42951</v>
      </c>
      <c r="G45" s="22" t="n">
        <v>30612</v>
      </c>
      <c r="H45" s="22" t="n">
        <v>-5203</v>
      </c>
      <c r="I45" s="22" t="n">
        <v>9021</v>
      </c>
      <c r="J45" s="22" t="n">
        <v>16046</v>
      </c>
      <c r="K45" s="22" t="n">
        <v>33926</v>
      </c>
      <c r="L45" s="22" t="n">
        <v>170606</v>
      </c>
      <c r="M45" s="22" t="n">
        <v>392549</v>
      </c>
      <c r="N45" s="22" t="n">
        <v>612966</v>
      </c>
      <c r="O45" s="21" t="n"/>
      <c r="P45" s="22" t="n"/>
      <c r="Q45" s="22" t="n"/>
      <c r="R45" s="22" t="n"/>
      <c r="S45" s="22" t="n"/>
      <c r="T45" s="22" t="n"/>
      <c r="U45" s="22" t="n"/>
      <c r="V45" s="22" t="n">
        <v>-99609</v>
      </c>
      <c r="W45" s="22" t="n">
        <v>98348</v>
      </c>
      <c r="X45" s="22" t="n">
        <v>229599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/>
      <c r="D47" s="12" t="n">
        <v>10253</v>
      </c>
      <c r="E47" s="12" t="n">
        <v>69758</v>
      </c>
      <c r="F47" s="12" t="n">
        <v>106222</v>
      </c>
      <c r="G47" s="12" t="n">
        <v>76075</v>
      </c>
      <c r="H47" s="12" t="n">
        <v>20266</v>
      </c>
      <c r="I47" s="12" t="n">
        <v>18273</v>
      </c>
      <c r="J47" s="12" t="n">
        <v>40670</v>
      </c>
      <c r="K47" s="12" t="n">
        <v>87814</v>
      </c>
      <c r="L47" s="12" t="n">
        <v>407739</v>
      </c>
      <c r="M47" s="12" t="n">
        <v>842171</v>
      </c>
      <c r="N47" s="12" t="n">
        <v>1355704</v>
      </c>
      <c r="O47" s="11" t="n"/>
      <c r="P47" s="12" t="n"/>
      <c r="Q47" s="12" t="n"/>
      <c r="R47" s="12" t="n"/>
      <c r="S47" s="12" t="n"/>
      <c r="T47" s="12" t="n"/>
      <c r="U47" s="12" t="n"/>
      <c r="V47" s="12" t="n">
        <v>-243721</v>
      </c>
      <c r="W47" s="12" t="n">
        <v>272321</v>
      </c>
      <c r="X47" s="12" t="n">
        <v>554496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/>
      <c r="D49" s="12" t="n">
        <v>10246</v>
      </c>
      <c r="E49" s="12" t="n">
        <v>69758</v>
      </c>
      <c r="F49" s="12" t="n">
        <v>106222</v>
      </c>
      <c r="G49" s="12" t="n">
        <v>76068</v>
      </c>
      <c r="H49" s="12" t="n">
        <v>20267</v>
      </c>
      <c r="I49" s="12" t="n">
        <v>18284</v>
      </c>
      <c r="J49" s="12" t="n">
        <v>40662</v>
      </c>
      <c r="K49" s="12" t="n">
        <v>87810</v>
      </c>
      <c r="L49" s="12" t="n">
        <v>407734</v>
      </c>
      <c r="M49" s="12" t="n">
        <v>842165</v>
      </c>
      <c r="N49" s="12" t="n">
        <v>1355706</v>
      </c>
      <c r="O49" s="11" t="n"/>
      <c r="P49" s="12" t="n"/>
      <c r="Q49" s="12" t="n"/>
      <c r="R49" s="12" t="n"/>
      <c r="S49" s="12" t="n"/>
      <c r="T49" s="12" t="n"/>
      <c r="U49" s="12" t="n"/>
      <c r="V49" s="12" t="n">
        <v>-243728</v>
      </c>
      <c r="W49" s="12" t="n">
        <v>272315</v>
      </c>
      <c r="X49" s="12" t="n">
        <v>554490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(2026.10.30)</t>
        </is>
      </c>
      <c r="B53" s="29" t="n">
        <v>13470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1646307702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2026.10.30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2024.3Q</t>
        </is>
      </c>
      <c r="D83" s="5" t="inlineStr">
        <is>
          <t>2024.4Q</t>
        </is>
      </c>
      <c r="E83" s="5" t="inlineStr">
        <is>
          <t>2025.1Q</t>
        </is>
      </c>
      <c r="F83" s="5" t="inlineStr">
        <is>
          <t>2025.2Q</t>
        </is>
      </c>
      <c r="G83" s="5" t="inlineStr">
        <is>
          <t>2025.3Q</t>
        </is>
      </c>
      <c r="H83" s="5" t="inlineStr">
        <is>
          <t>2025.4Q</t>
        </is>
      </c>
      <c r="I83" s="5" t="inlineStr">
        <is>
          <t>2026.1Q</t>
        </is>
      </c>
      <c r="J83" s="5" t="inlineStr">
        <is>
          <t>2026.2Q</t>
        </is>
      </c>
      <c r="K83" s="5" t="inlineStr">
        <is>
          <t>2026.3Q</t>
        </is>
      </c>
      <c r="L83" s="5" t="inlineStr">
        <is>
          <t>2026.4Q</t>
        </is>
      </c>
      <c r="M83" s="5" t="inlineStr">
        <is>
          <t>2027.1Q</t>
        </is>
      </c>
      <c r="N83" s="5" t="inlineStr">
        <is>
          <t>2027.2Q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매출수익</t>
        </is>
      </c>
      <c r="D84" s="12" t="n">
        <v>322078</v>
      </c>
      <c r="E84" s="12" t="n">
        <v>428497</v>
      </c>
      <c r="F84" s="12" t="n">
        <v>480911</v>
      </c>
      <c r="G84" s="12" t="n">
        <v>449958</v>
      </c>
      <c r="H84" s="12" t="n">
        <v>347094</v>
      </c>
      <c r="I84" s="12" t="n">
        <v>342799</v>
      </c>
      <c r="J84" s="12" t="n">
        <v>448346</v>
      </c>
      <c r="K84" s="12" t="n">
        <v>543631</v>
      </c>
      <c r="L84" s="12" t="n">
        <v>1002852</v>
      </c>
      <c r="M84" s="12" t="n">
        <v>1767117</v>
      </c>
      <c r="N84" s="12" t="n">
        <v>2480035</v>
      </c>
      <c r="V84" s="12" t="n">
        <v>322078</v>
      </c>
      <c r="W84" s="12" t="n">
        <v>347094</v>
      </c>
      <c r="X84" s="12" t="n">
        <v>1002852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D86" s="22" t="n">
        <v>247291</v>
      </c>
      <c r="E86" s="22" t="n">
        <v>271905</v>
      </c>
      <c r="F86" s="22" t="n">
        <v>284460</v>
      </c>
      <c r="G86" s="22" t="n">
        <v>297584</v>
      </c>
      <c r="H86" s="22" t="n">
        <v>283078</v>
      </c>
      <c r="I86" s="22" t="n">
        <v>271620</v>
      </c>
      <c r="J86" s="22" t="n">
        <v>326208</v>
      </c>
      <c r="K86" s="22" t="n">
        <v>366991</v>
      </c>
      <c r="L86" s="22" t="n">
        <v>359905</v>
      </c>
      <c r="M86" s="22" t="n">
        <v>387051</v>
      </c>
      <c r="N86" s="22" t="n">
        <v>426872</v>
      </c>
      <c r="V86" s="22" t="n">
        <v>247291</v>
      </c>
      <c r="W86" s="22" t="n">
        <v>283078</v>
      </c>
      <c r="X86" s="22" t="n">
        <v>359905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D88" s="12" t="n">
        <v>74787</v>
      </c>
      <c r="E88" s="12" t="n">
        <v>156592</v>
      </c>
      <c r="F88" s="12" t="n">
        <v>196451</v>
      </c>
      <c r="G88" s="12" t="n">
        <v>152374</v>
      </c>
      <c r="H88" s="12" t="n">
        <v>64016</v>
      </c>
      <c r="I88" s="12" t="n">
        <v>71179</v>
      </c>
      <c r="J88" s="12" t="n">
        <v>122138</v>
      </c>
      <c r="K88" s="12" t="n">
        <v>176640</v>
      </c>
      <c r="L88" s="12" t="n">
        <v>642947</v>
      </c>
      <c r="M88" s="12" t="n">
        <v>1380066</v>
      </c>
      <c r="N88" s="12" t="n">
        <v>2053163</v>
      </c>
      <c r="V88" s="12" t="n">
        <v>74787</v>
      </c>
      <c r="W88" s="12" t="n">
        <v>64016</v>
      </c>
      <c r="X88" s="12" t="n">
        <v>642947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D90" s="22" t="n">
        <v>31478</v>
      </c>
      <c r="E90" s="22" t="n">
        <v>31001</v>
      </c>
      <c r="F90" s="22" t="n">
        <v>31631</v>
      </c>
      <c r="G90" s="22" t="n">
        <v>34778</v>
      </c>
      <c r="H90" s="22" t="n">
        <v>30441</v>
      </c>
      <c r="I90" s="22" t="n">
        <v>29847</v>
      </c>
      <c r="J90" s="22" t="n">
        <v>36235</v>
      </c>
      <c r="K90" s="22" t="n">
        <v>33847</v>
      </c>
      <c r="L90" s="22" t="n">
        <v>46652</v>
      </c>
      <c r="M90" s="22" t="n">
        <v>71727</v>
      </c>
      <c r="N90" s="22" t="n">
        <v>56987</v>
      </c>
      <c r="V90" s="22" t="n">
        <v>31478</v>
      </c>
      <c r="W90" s="22" t="n">
        <v>30441</v>
      </c>
      <c r="X90" s="22" t="n">
        <v>46652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20" t="inlineStr">
        <is>
          <t>기타수익</t>
        </is>
      </c>
      <c r="D92" s="22" t="n">
        <v>9000</v>
      </c>
      <c r="E92" s="22" t="n">
        <v>1477</v>
      </c>
      <c r="F92" s="22" t="n">
        <v>2586</v>
      </c>
      <c r="G92" s="22" t="n">
        <v>6109</v>
      </c>
      <c r="H92" s="22" t="n">
        <v>4503</v>
      </c>
      <c r="I92" s="22" t="n">
        <v>3921</v>
      </c>
      <c r="J92" s="22" t="n">
        <v>1569</v>
      </c>
      <c r="K92" s="22" t="n">
        <v>1262</v>
      </c>
      <c r="L92" s="22" t="n">
        <v>2150</v>
      </c>
      <c r="M92" s="22" t="n">
        <v>530</v>
      </c>
      <c r="N92" s="22" t="n">
        <v>1609</v>
      </c>
      <c r="V92" s="22" t="n">
        <v>9000</v>
      </c>
      <c r="W92" s="22" t="n">
        <v>4503</v>
      </c>
      <c r="X92" s="22" t="n">
        <v>2150</v>
      </c>
    </row>
    <row r="93">
      <c r="A93" s="20" t="inlineStr">
        <is>
          <t>기타비용</t>
        </is>
      </c>
      <c r="D93" s="22" t="n">
        <v>8451</v>
      </c>
      <c r="E93" s="22" t="n">
        <v>1209</v>
      </c>
      <c r="F93" s="22" t="n">
        <v>1374</v>
      </c>
      <c r="G93" s="22" t="n">
        <v>990</v>
      </c>
      <c r="H93" s="22" t="n">
        <v>936</v>
      </c>
      <c r="I93" s="22" t="n">
        <v>354</v>
      </c>
      <c r="J93" s="22" t="n">
        <v>1551</v>
      </c>
      <c r="K93" s="22" t="n">
        <v>1301</v>
      </c>
      <c r="L93" s="22" t="n">
        <v>1650</v>
      </c>
      <c r="M93" s="22" t="n">
        <v>38852</v>
      </c>
      <c r="N93" s="22" t="n">
        <v>3075</v>
      </c>
      <c r="V93" s="22" t="n">
        <v>8451</v>
      </c>
      <c r="W93" s="22" t="n">
        <v>936</v>
      </c>
      <c r="X93" s="22" t="n">
        <v>1650</v>
      </c>
    </row>
    <row r="94">
      <c r="A94" s="20" t="inlineStr">
        <is>
          <t>영업이익</t>
        </is>
      </c>
      <c r="D94" s="22" t="n">
        <v>43858</v>
      </c>
      <c r="E94" s="22" t="n">
        <v>125859</v>
      </c>
      <c r="F94" s="22" t="n">
        <v>166032</v>
      </c>
      <c r="G94" s="22" t="n">
        <v>122715</v>
      </c>
      <c r="H94" s="22" t="n">
        <v>37142</v>
      </c>
      <c r="I94" s="22" t="n">
        <v>44899</v>
      </c>
      <c r="J94" s="22" t="n">
        <v>85921</v>
      </c>
      <c r="K94" s="22" t="n">
        <v>142754</v>
      </c>
      <c r="L94" s="22" t="n">
        <v>596795</v>
      </c>
      <c r="M94" s="22" t="n">
        <v>1270017</v>
      </c>
      <c r="N94" s="22" t="n">
        <v>1994710</v>
      </c>
      <c r="V94" s="22" t="n">
        <v>43858</v>
      </c>
      <c r="W94" s="22" t="n">
        <v>37142</v>
      </c>
      <c r="X94" s="22" t="n">
        <v>596795</v>
      </c>
    </row>
    <row r="95">
      <c r="A95" s="45" t="inlineStr">
        <is>
          <t>OPM</t>
        </is>
      </c>
      <c r="B95" s="3" t="inlineStr">
        <is>
          <t>영업이익 ÷ 매출</t>
        </is>
      </c>
      <c r="D95" s="17">
        <f>IF(OR(D94="",D84=""),"",IF(D84&lt;=0,"",IFERROR(D94/D84,"")))</f>
        <v/>
      </c>
      <c r="E95" s="17">
        <f>IF(OR(E94="",E84=""),"",IF(E84&lt;=0,"",IFERROR(E94/E84,"")))</f>
        <v/>
      </c>
      <c r="F95" s="17">
        <f>IF(OR(F94="",F84=""),"",IF(F84&lt;=0,"",IFERROR(F94/F84,"")))</f>
        <v/>
      </c>
      <c r="G95" s="17">
        <f>IF(OR(G94="",G84=""),"",IF(G84&lt;=0,"",IFERROR(G94/G84,"")))</f>
        <v/>
      </c>
      <c r="H95" s="17">
        <f>IF(OR(H94="",H84=""),"",IF(H84&lt;=0,"",IFERROR(H94/H84,"")))</f>
        <v/>
      </c>
      <c r="I95" s="17">
        <f>IF(OR(I94="",I84=""),"",IF(I84&lt;=0,"",IFERROR(I94/I84,"")))</f>
        <v/>
      </c>
      <c r="J95" s="17">
        <f>IF(OR(J94="",J84=""),"",IF(J84&lt;=0,"",IFERROR(J94/J84,"")))</f>
        <v/>
      </c>
      <c r="K95" s="17">
        <f>IF(OR(K94="",K84=""),"",IF(K84&lt;=0,"",IFERROR(K94/K84,"")))</f>
        <v/>
      </c>
      <c r="L95" s="17">
        <f>IF(OR(L94="",L84=""),"",IF(L84&lt;=0,"",IFERROR(L94/L84,"")))</f>
        <v/>
      </c>
      <c r="M95" s="17">
        <f>IF(OR(M94="",M84=""),"",IF(M84&lt;=0,"",IFERROR(M94/M84,"")))</f>
        <v/>
      </c>
      <c r="N95" s="17">
        <f>IF(OR(N94="",N84=""),"",IF(N84&lt;=0,"",IFERROR(N94/N84,"")))</f>
        <v/>
      </c>
      <c r="V95" s="17">
        <f>IF(OR(V94="",V84=""),"",IF(V84&lt;=0,"",IFERROR(V94/V84,"")))</f>
        <v/>
      </c>
      <c r="W95" s="17">
        <f>IF(OR(W94="",W84=""),"",IF(W84&lt;=0,"",IFERROR(W94/W84,"")))</f>
        <v/>
      </c>
      <c r="X95" s="17">
        <f>IF(OR(X94="",X84=""),"",IF(X84&lt;=0,"",IFERROR(X94/X84,"")))</f>
        <v/>
      </c>
    </row>
    <row r="96">
      <c r="A96" s="45" t="inlineStr">
        <is>
          <t>YoY</t>
        </is>
      </c>
      <c r="B96" s="3" t="inlineStr">
        <is>
          <t>전년 같은 분기·전년 대비</t>
        </is>
      </c>
      <c r="G96" s="17">
        <f>IF(OR(G94="",C94=""),"",IF(C94&lt;=0,"",IFERROR(G94/C94-1,"")))</f>
        <v/>
      </c>
      <c r="H96" s="17">
        <f>IF(OR(H94="",D94=""),"",IF(D94&lt;=0,"",IFERROR(H94/D94-1,"")))</f>
        <v/>
      </c>
      <c r="I96" s="17">
        <f>IF(OR(I94="",E94=""),"",IF(E94&lt;=0,"",IFERROR(I94/E94-1,"")))</f>
        <v/>
      </c>
      <c r="J96" s="17">
        <f>IF(OR(J94="",F94=""),"",IF(F94&lt;=0,"",IFERROR(J94/F94-1,"")))</f>
        <v/>
      </c>
      <c r="K96" s="17">
        <f>IF(OR(K94="",G94=""),"",IF(G94&lt;=0,"",IFERROR(K94/G94-1,"")))</f>
        <v/>
      </c>
      <c r="L96" s="17">
        <f>IF(OR(L94="",H94=""),"",IF(H94&lt;=0,"",IFERROR(L94/H94-1,"")))</f>
        <v/>
      </c>
      <c r="M96" s="17">
        <f>IF(OR(M94="",I94=""),"",IF(I94&lt;=0,"",IFERROR(M94/I94-1,"")))</f>
        <v/>
      </c>
      <c r="N96" s="17">
        <f>IF(OR(N94="",J94=""),"",IF(J94&lt;=0,"",IFERROR(N94/J94-1,"")))</f>
        <v/>
      </c>
      <c r="V96" s="17">
        <f>IF(OR(V94="",U94=""),"",IF(U94&lt;=0,"",IFERROR(V94/U94-1,"")))</f>
        <v/>
      </c>
      <c r="W96" s="17">
        <f>IF(OR(W94="",V94=""),"",IF(V94&lt;=0,"",IFERROR(W94/V94-1,"")))</f>
        <v/>
      </c>
      <c r="X96" s="17">
        <f>IF(OR(X94="",W94=""),"",IF(W94&lt;=0,"",IFERROR(X94/W94-1,"")))</f>
        <v/>
      </c>
    </row>
    <row r="97">
      <c r="A97" s="20" t="inlineStr">
        <is>
          <t>금융수익</t>
        </is>
      </c>
      <c r="D97" s="22" t="n">
        <v>11</v>
      </c>
      <c r="E97" s="22" t="n">
        <v>199</v>
      </c>
      <c r="F97" s="22" t="n">
        <v>1231</v>
      </c>
      <c r="G97" s="22" t="n">
        <v>1135</v>
      </c>
      <c r="H97" s="22" t="n">
        <v>1142</v>
      </c>
      <c r="I97" s="22" t="n">
        <v>2398</v>
      </c>
      <c r="J97" s="22" t="n">
        <v>-402</v>
      </c>
      <c r="K97" s="22" t="n">
        <v>1608</v>
      </c>
      <c r="L97" s="22" t="n">
        <v>5895</v>
      </c>
      <c r="M97" s="22" t="n">
        <v>17170</v>
      </c>
      <c r="N97" s="22" t="n">
        <v>-9829</v>
      </c>
      <c r="V97" s="22" t="n">
        <v>11</v>
      </c>
      <c r="W97" s="22" t="n">
        <v>1142</v>
      </c>
      <c r="X97" s="22" t="n">
        <v>5895</v>
      </c>
    </row>
    <row r="98">
      <c r="A98" s="45" t="inlineStr">
        <is>
          <t>YoY</t>
        </is>
      </c>
      <c r="B98" s="3" t="inlineStr">
        <is>
          <t>전년 같은 분기·전년 대비</t>
        </is>
      </c>
      <c r="G98" s="17">
        <f>IF(OR(G97="",C97=""),"",IF(G97*C97&lt;=0,"",IFERROR(G97/C97-1,"")))</f>
        <v/>
      </c>
      <c r="H98" s="17">
        <f>IF(OR(H97="",D97=""),"",IF(H97*D97&lt;=0,"",IFERROR(H97/D97-1,"")))</f>
        <v/>
      </c>
      <c r="I98" s="17">
        <f>IF(OR(I97="",E97=""),"",IF(I97*E97&lt;=0,"",IFERROR(I97/E97-1,"")))</f>
        <v/>
      </c>
      <c r="J98" s="17">
        <f>IF(OR(J97="",F97=""),"",IF(J97*F97&lt;=0,"",IFERROR(J97/F97-1,"")))</f>
        <v/>
      </c>
      <c r="K98" s="17">
        <f>IF(OR(K97="",G97=""),"",IF(K97*G97&lt;=0,"",IFERROR(K97/G97-1,"")))</f>
        <v/>
      </c>
      <c r="L98" s="17">
        <f>IF(OR(L97="",H97=""),"",IF(L97*H97&lt;=0,"",IFERROR(L97/H97-1,"")))</f>
        <v/>
      </c>
      <c r="M98" s="17">
        <f>IF(OR(M97="",I97=""),"",IF(M97*I97&lt;=0,"",IFERROR(M97/I97-1,"")))</f>
        <v/>
      </c>
      <c r="N98" s="17">
        <f>IF(OR(N97="",J97=""),"",IF(N97*J97&lt;=0,"",IFERROR(N97/J97-1,"")))</f>
        <v/>
      </c>
      <c r="V98" s="17">
        <f>IF(OR(V97="",U97=""),"",IF(V97*U97&lt;=0,"",IFERROR(V97/U97-1,"")))</f>
        <v/>
      </c>
      <c r="W98" s="17">
        <f>IF(OR(W97="",V97=""),"",IF(W97*V97&lt;=0,"",IFERROR(W97/V97-1,"")))</f>
        <v/>
      </c>
      <c r="X98" s="17">
        <f>IF(OR(X97="",W97=""),"",IF(X97*W97&lt;=0,"",IFERROR(X97/W97-1,"")))</f>
        <v/>
      </c>
    </row>
    <row r="99">
      <c r="A99" s="20" t="inlineStr">
        <is>
          <t>금융비용</t>
        </is>
      </c>
      <c r="D99" s="22" t="n">
        <v>26856</v>
      </c>
      <c r="E99" s="22" t="n">
        <v>26192</v>
      </c>
      <c r="F99" s="22" t="n">
        <v>18282</v>
      </c>
      <c r="G99" s="22" t="n">
        <v>17428</v>
      </c>
      <c r="H99" s="22" t="n">
        <v>23426</v>
      </c>
      <c r="I99" s="22" t="n">
        <v>19860</v>
      </c>
      <c r="J99" s="22" t="n">
        <v>29102</v>
      </c>
      <c r="K99" s="22" t="n">
        <v>22769</v>
      </c>
      <c r="L99" s="22" t="n">
        <v>24977</v>
      </c>
      <c r="M99" s="22" t="n">
        <v>52801</v>
      </c>
      <c r="N99" s="22" t="n">
        <v>15962</v>
      </c>
      <c r="V99" s="22" t="n">
        <v>26856</v>
      </c>
      <c r="W99" s="22" t="n">
        <v>23426</v>
      </c>
      <c r="X99" s="22" t="n">
        <v>24977</v>
      </c>
    </row>
    <row r="100">
      <c r="A100" s="45" t="inlineStr">
        <is>
          <t>YoY</t>
        </is>
      </c>
      <c r="B100" s="3" t="inlineStr">
        <is>
          <t>전년 같은 분기·전년 대비</t>
        </is>
      </c>
      <c r="G100" s="17">
        <f>IF(OR(G99="",C99=""),"",IF(G99*C99&lt;=0,"",IFERROR(G99/C99-1,"")))</f>
        <v/>
      </c>
      <c r="H100" s="17">
        <f>IF(OR(H99="",D99=""),"",IF(H99*D99&lt;=0,"",IFERROR(H99/D99-1,"")))</f>
        <v/>
      </c>
      <c r="I100" s="17">
        <f>IF(OR(I99="",E99=""),"",IF(I99*E99&lt;=0,"",IFERROR(I99/E99-1,"")))</f>
        <v/>
      </c>
      <c r="J100" s="17">
        <f>IF(OR(J99="",F99=""),"",IF(J99*F99&lt;=0,"",IFERROR(J99/F99-1,"")))</f>
        <v/>
      </c>
      <c r="K100" s="17">
        <f>IF(OR(K99="",G99=""),"",IF(K99*G99&lt;=0,"",IFERROR(K99/G99-1,"")))</f>
        <v/>
      </c>
      <c r="L100" s="17">
        <f>IF(OR(L99="",H99=""),"",IF(L99*H99&lt;=0,"",IFERROR(L99/H99-1,"")))</f>
        <v/>
      </c>
      <c r="M100" s="17">
        <f>IF(OR(M99="",I99=""),"",IF(M99*I99&lt;=0,"",IFERROR(M99/I99-1,"")))</f>
        <v/>
      </c>
      <c r="N100" s="17">
        <f>IF(OR(N99="",J99=""),"",IF(N99*J99&lt;=0,"",IFERROR(N99/J99-1,"")))</f>
        <v/>
      </c>
      <c r="V100" s="17">
        <f>IF(OR(V99="",U99=""),"",IF(V99*U99&lt;=0,"",IFERROR(V99/U99-1,"")))</f>
        <v/>
      </c>
      <c r="W100" s="17">
        <f>IF(OR(W99="",V99=""),"",IF(W99*V99&lt;=0,"",IFERROR(W99/V99-1,"")))</f>
        <v/>
      </c>
      <c r="X100" s="17">
        <f>IF(OR(X99="",W99=""),"",IF(X99*W99&lt;=0,"",IFERROR(X99/W99-1,"")))</f>
        <v/>
      </c>
    </row>
    <row r="101">
      <c r="A101" s="20" t="inlineStr">
        <is>
          <t>지분법이익</t>
        </is>
      </c>
      <c r="D101" s="22" t="n">
        <v>146</v>
      </c>
      <c r="E101" s="22" t="n">
        <v>-120</v>
      </c>
      <c r="F101" s="22" t="n">
        <v>192</v>
      </c>
      <c r="G101" s="22" t="n">
        <v>265</v>
      </c>
      <c r="H101" s="22" t="n">
        <v>205</v>
      </c>
      <c r="I101" s="22" t="n">
        <v>-143</v>
      </c>
      <c r="J101" s="22" t="n">
        <v>299</v>
      </c>
      <c r="K101" s="22" t="n">
        <v>147</v>
      </c>
      <c r="L101" s="22" t="n">
        <v>632</v>
      </c>
      <c r="M101" s="22" t="n">
        <v>334</v>
      </c>
      <c r="N101" s="22" t="n">
        <v>-249</v>
      </c>
      <c r="V101" s="22" t="n">
        <v>146</v>
      </c>
      <c r="W101" s="22" t="n">
        <v>205</v>
      </c>
      <c r="X101" s="22" t="n">
        <v>632</v>
      </c>
    </row>
    <row r="102">
      <c r="A102" s="9" t="inlineStr">
        <is>
          <t>법인세비용차감전 중간이익</t>
        </is>
      </c>
      <c r="D102" s="12" t="n">
        <v>17159</v>
      </c>
      <c r="E102" s="12" t="n">
        <v>99746</v>
      </c>
      <c r="F102" s="12" t="n">
        <v>149173</v>
      </c>
      <c r="G102" s="12" t="n">
        <v>106687</v>
      </c>
      <c r="H102" s="12" t="n">
        <v>15063</v>
      </c>
      <c r="I102" s="12" t="n">
        <v>27294</v>
      </c>
      <c r="J102" s="12" t="n">
        <v>56716</v>
      </c>
      <c r="K102" s="12" t="n">
        <v>121740</v>
      </c>
      <c r="L102" s="12" t="n">
        <v>578345</v>
      </c>
      <c r="M102" s="12" t="n">
        <v>1234720</v>
      </c>
      <c r="N102" s="12" t="n">
        <v>1968670</v>
      </c>
      <c r="V102" s="12" t="n">
        <v>17159</v>
      </c>
      <c r="W102" s="12" t="n">
        <v>15063</v>
      </c>
      <c r="X102" s="12" t="n">
        <v>578345</v>
      </c>
    </row>
    <row r="103">
      <c r="A103" s="20" t="inlineStr">
        <is>
          <t>법인소득세 비용</t>
        </is>
      </c>
      <c r="D103" s="22" t="n">
        <v>6906</v>
      </c>
      <c r="E103" s="22" t="n">
        <v>29988</v>
      </c>
      <c r="F103" s="22" t="n">
        <v>42951</v>
      </c>
      <c r="G103" s="22" t="n">
        <v>30612</v>
      </c>
      <c r="H103" s="22" t="n">
        <v>-5203</v>
      </c>
      <c r="I103" s="22" t="n">
        <v>9021</v>
      </c>
      <c r="J103" s="22" t="n">
        <v>16046</v>
      </c>
      <c r="K103" s="22" t="n">
        <v>33926</v>
      </c>
      <c r="L103" s="22" t="n">
        <v>170606</v>
      </c>
      <c r="M103" s="22" t="n">
        <v>392549</v>
      </c>
      <c r="N103" s="22" t="n">
        <v>612966</v>
      </c>
      <c r="V103" s="22" t="n">
        <v>6906</v>
      </c>
      <c r="W103" s="22" t="n">
        <v>-5203</v>
      </c>
      <c r="X103" s="22" t="n">
        <v>170606</v>
      </c>
    </row>
    <row r="104">
      <c r="A104" s="45" t="inlineStr">
        <is>
          <t>YoY</t>
        </is>
      </c>
      <c r="B104" s="3" t="inlineStr">
        <is>
          <t>전년 같은 분기·전년 대비</t>
        </is>
      </c>
      <c r="G104" s="17">
        <f>IF(OR(G103="",C103=""),"",IF(G103*C103&lt;=0,"",IFERROR(G103/C103-1,"")))</f>
        <v/>
      </c>
      <c r="H104" s="17">
        <f>IF(OR(H103="",D103=""),"",IF(H103*D103&lt;=0,"",IFERROR(H103/D103-1,"")))</f>
        <v/>
      </c>
      <c r="I104" s="17">
        <f>IF(OR(I103="",E103=""),"",IF(I103*E103&lt;=0,"",IFERROR(I103/E103-1,"")))</f>
        <v/>
      </c>
      <c r="J104" s="17">
        <f>IF(OR(J103="",F103=""),"",IF(J103*F103&lt;=0,"",IFERROR(J103/F103-1,"")))</f>
        <v/>
      </c>
      <c r="K104" s="17">
        <f>IF(OR(K103="",G103=""),"",IF(K103*G103&lt;=0,"",IFERROR(K103/G103-1,"")))</f>
        <v/>
      </c>
      <c r="L104" s="17">
        <f>IF(OR(L103="",H103=""),"",IF(L103*H103&lt;=0,"",IFERROR(L103/H103-1,"")))</f>
        <v/>
      </c>
      <c r="M104" s="17">
        <f>IF(OR(M103="",I103=""),"",IF(M103*I103&lt;=0,"",IFERROR(M103/I103-1,"")))</f>
        <v/>
      </c>
      <c r="N104" s="17">
        <f>IF(OR(N103="",J103=""),"",IF(N103*J103&lt;=0,"",IFERROR(N103/J103-1,"")))</f>
        <v/>
      </c>
      <c r="V104" s="17">
        <f>IF(OR(V103="",U103=""),"",IF(V103*U103&lt;=0,"",IFERROR(V103/U103-1,"")))</f>
        <v/>
      </c>
      <c r="W104" s="17">
        <f>IF(OR(W103="",V103=""),"",IF(W103*V103&lt;=0,"",IFERROR(W103/V103-1,"")))</f>
        <v/>
      </c>
      <c r="X104" s="17">
        <f>IF(OR(X103="",W103=""),"",IF(X103*W103&lt;=0,"",IFERROR(X103/W103-1,"")))</f>
        <v/>
      </c>
    </row>
    <row r="105">
      <c r="A105" s="9" t="inlineStr">
        <is>
          <t>중간이익</t>
        </is>
      </c>
      <c r="D105" s="12" t="n">
        <v>10253</v>
      </c>
      <c r="E105" s="12" t="n">
        <v>69758</v>
      </c>
      <c r="F105" s="12" t="n">
        <v>106222</v>
      </c>
      <c r="G105" s="12" t="n">
        <v>76075</v>
      </c>
      <c r="H105" s="12" t="n">
        <v>20266</v>
      </c>
      <c r="I105" s="12" t="n">
        <v>18273</v>
      </c>
      <c r="J105" s="12" t="n">
        <v>40670</v>
      </c>
      <c r="K105" s="12" t="n">
        <v>87814</v>
      </c>
      <c r="L105" s="12" t="n">
        <v>407739</v>
      </c>
      <c r="M105" s="12" t="n">
        <v>842171</v>
      </c>
      <c r="N105" s="12" t="n">
        <v>1355704</v>
      </c>
      <c r="V105" s="12" t="n">
        <v>10253</v>
      </c>
      <c r="W105" s="12" t="n">
        <v>20266</v>
      </c>
      <c r="X105" s="12" t="n">
        <v>407739</v>
      </c>
    </row>
    <row r="106">
      <c r="A106" s="45" t="inlineStr">
        <is>
          <t>YoY</t>
        </is>
      </c>
      <c r="B106" s="3" t="inlineStr">
        <is>
          <t>전년 같은 분기·전년 대비</t>
        </is>
      </c>
      <c r="G106" s="17">
        <f>IF(OR(G105="",C105=""),"",IF(C105&lt;=0,"",IFERROR(G105/C105-1,"")))</f>
        <v/>
      </c>
      <c r="H106" s="17">
        <f>IF(OR(H105="",D105=""),"",IF(D105&lt;=0,"",IFERROR(H105/D105-1,"")))</f>
        <v/>
      </c>
      <c r="I106" s="17">
        <f>IF(OR(I105="",E105=""),"",IF(E105&lt;=0,"",IFERROR(I105/E105-1,"")))</f>
        <v/>
      </c>
      <c r="J106" s="17">
        <f>IF(OR(J105="",F105=""),"",IF(F105&lt;=0,"",IFERROR(J105/F105-1,"")))</f>
        <v/>
      </c>
      <c r="K106" s="17">
        <f>IF(OR(K105="",G105=""),"",IF(G105&lt;=0,"",IFERROR(K105/G105-1,"")))</f>
        <v/>
      </c>
      <c r="L106" s="17">
        <f>IF(OR(L105="",H105=""),"",IF(H105&lt;=0,"",IFERROR(L105/H105-1,"")))</f>
        <v/>
      </c>
      <c r="M106" s="17">
        <f>IF(OR(M105="",I105=""),"",IF(I105&lt;=0,"",IFERROR(M105/I105-1,"")))</f>
        <v/>
      </c>
      <c r="N106" s="17">
        <f>IF(OR(N105="",J105=""),"",IF(J105&lt;=0,"",IFERROR(N105/J105-1,"")))</f>
        <v/>
      </c>
      <c r="V106" s="17">
        <f>IF(OR(V105="",U105=""),"",IF(U105&lt;=0,"",IFERROR(V105/U105-1,"")))</f>
        <v/>
      </c>
      <c r="W106" s="17">
        <f>IF(OR(W105="",V105=""),"",IF(V105&lt;=0,"",IFERROR(W105/V105-1,"")))</f>
        <v/>
      </c>
      <c r="X106" s="17">
        <f>IF(OR(X105="",W105=""),"",IF(W105&lt;=0,"",IFERROR(X105/W105-1,"")))</f>
        <v/>
      </c>
    </row>
    <row r="107">
      <c r="A107" s="20" t="inlineStr">
        <is>
          <t>기본 주당 중간이익(엔)</t>
        </is>
      </c>
      <c r="D107" s="22" t="n">
        <v>1.979999999999996e-05</v>
      </c>
      <c r="E107" s="22" t="n">
        <v>0.0001348</v>
      </c>
      <c r="F107" s="22" t="n">
        <v>0.00020526</v>
      </c>
      <c r="G107" s="22" t="n">
        <v>0.00014588</v>
      </c>
      <c r="H107" s="22" t="n">
        <v>3.402000000000004e-05</v>
      </c>
      <c r="I107" s="22" t="n">
        <v>3.39e-05</v>
      </c>
      <c r="J107" s="22" t="n">
        <v>2.520000000000003e-06</v>
      </c>
      <c r="K107" s="22" t="n">
        <v>0.00023525</v>
      </c>
      <c r="L107" s="22" t="n">
        <v>0.0007523999999999999</v>
      </c>
      <c r="M107" s="22" t="n">
        <v>0.00153991</v>
      </c>
      <c r="N107" s="22" t="n">
        <v>-0.0001905800000000001</v>
      </c>
      <c r="V107" s="22" t="n">
        <v>1.979999999999996e-05</v>
      </c>
      <c r="W107" s="22" t="n">
        <v>3.402000000000004e-05</v>
      </c>
      <c r="X107" s="22" t="n">
        <v>0.0007523999999999999</v>
      </c>
    </row>
    <row r="108">
      <c r="A108" s="20" t="inlineStr">
        <is>
          <t>희석 주당 중간이익(엔)</t>
        </is>
      </c>
      <c r="D108" s="22" t="n">
        <v>1.979999999999996e-05</v>
      </c>
      <c r="E108" s="22" t="n">
        <v>0.00013316</v>
      </c>
      <c r="F108" s="22" t="n">
        <v>0.00020279</v>
      </c>
      <c r="G108" s="22" t="n">
        <v>0.00014535</v>
      </c>
      <c r="H108" s="22" t="n">
        <v>3.415000000000004e-05</v>
      </c>
      <c r="I108" s="22" t="n">
        <v>3.375e-05</v>
      </c>
      <c r="J108" s="22" t="n">
        <v>2.380000000000003e-06</v>
      </c>
      <c r="K108" s="22" t="n">
        <v>0.00023181</v>
      </c>
      <c r="L108" s="22" t="n">
        <v>0.0007412100000000001</v>
      </c>
      <c r="M108" s="22" t="n">
        <v>0.00152509</v>
      </c>
      <c r="N108" s="22" t="n">
        <v>-0.0001871199999999999</v>
      </c>
      <c r="V108" s="22" t="n">
        <v>1.979999999999996e-05</v>
      </c>
      <c r="W108" s="22" t="n">
        <v>3.415000000000004e-05</v>
      </c>
      <c r="X108" s="22" t="n">
        <v>0.0007412100000000001</v>
      </c>
    </row>
    <row r="109">
      <c r="A109" s="9" t="inlineStr">
        <is>
          <t>지배기업 소유주</t>
        </is>
      </c>
      <c r="D109" s="12" t="n">
        <v>10246</v>
      </c>
      <c r="E109" s="12" t="n">
        <v>69758</v>
      </c>
      <c r="F109" s="12" t="n">
        <v>106222</v>
      </c>
      <c r="G109" s="12" t="n">
        <v>76068</v>
      </c>
      <c r="H109" s="12" t="n">
        <v>20267</v>
      </c>
      <c r="I109" s="12" t="n">
        <v>18284</v>
      </c>
      <c r="J109" s="12" t="n">
        <v>40662</v>
      </c>
      <c r="K109" s="12" t="n">
        <v>87810</v>
      </c>
      <c r="L109" s="12" t="n">
        <v>407734</v>
      </c>
      <c r="M109" s="12" t="n">
        <v>842165</v>
      </c>
      <c r="N109" s="12" t="n">
        <v>1355706</v>
      </c>
      <c r="V109" s="12" t="n">
        <v>10246</v>
      </c>
      <c r="W109" s="12" t="n">
        <v>20267</v>
      </c>
      <c r="X109" s="12" t="n">
        <v>407734</v>
      </c>
    </row>
    <row r="110">
      <c r="A110" s="45" t="inlineStr">
        <is>
          <t>YoY</t>
        </is>
      </c>
      <c r="B110" s="3" t="inlineStr">
        <is>
          <t>전년 같은 분기·전년 대비</t>
        </is>
      </c>
      <c r="G110" s="17">
        <f>IF(OR(G109="",C109=""),"",IF(C109&lt;=0,"",IFERROR(G109/C109-1,"")))</f>
        <v/>
      </c>
      <c r="H110" s="17">
        <f>IF(OR(H109="",D109=""),"",IF(D109&lt;=0,"",IFERROR(H109/D109-1,"")))</f>
        <v/>
      </c>
      <c r="I110" s="17">
        <f>IF(OR(I109="",E109=""),"",IF(E109&lt;=0,"",IFERROR(I109/E109-1,"")))</f>
        <v/>
      </c>
      <c r="J110" s="17">
        <f>IF(OR(J109="",F109=""),"",IF(F109&lt;=0,"",IFERROR(J109/F109-1,"")))</f>
        <v/>
      </c>
      <c r="K110" s="17">
        <f>IF(OR(K109="",G109=""),"",IF(G109&lt;=0,"",IFERROR(K109/G109-1,"")))</f>
        <v/>
      </c>
      <c r="L110" s="17">
        <f>IF(OR(L109="",H109=""),"",IF(H109&lt;=0,"",IFERROR(L109/H109-1,"")))</f>
        <v/>
      </c>
      <c r="M110" s="17">
        <f>IF(OR(M109="",I109=""),"",IF(I109&lt;=0,"",IFERROR(M109/I109-1,"")))</f>
        <v/>
      </c>
      <c r="N110" s="17">
        <f>IF(OR(N109="",J109=""),"",IF(J109&lt;=0,"",IFERROR(N109/J109-1,"")))</f>
        <v/>
      </c>
      <c r="V110" s="17">
        <f>IF(OR(V109="",U109=""),"",IF(U109&lt;=0,"",IFERROR(V109/U109-1,"")))</f>
        <v/>
      </c>
      <c r="W110" s="17">
        <f>IF(OR(W109="",V109=""),"",IF(V109&lt;=0,"",IFERROR(W109/V109-1,"")))</f>
        <v/>
      </c>
      <c r="X110" s="17">
        <f>IF(OR(X109="",W109=""),"",IF(W109&lt;=0,"",IFERROR(X109/W109-1,"")))</f>
        <v/>
      </c>
    </row>
    <row r="111">
      <c r="A111" s="9" t="inlineStr">
        <is>
          <t>비지배지분</t>
        </is>
      </c>
      <c r="D111" s="12" t="n">
        <v>7</v>
      </c>
      <c r="E111" s="12" t="n">
        <v>0</v>
      </c>
      <c r="F111" s="12" t="n">
        <v>0</v>
      </c>
      <c r="G111" s="12" t="n">
        <v>7</v>
      </c>
      <c r="H111" s="12" t="n">
        <v>-1</v>
      </c>
      <c r="I111" s="12" t="n">
        <v>-11</v>
      </c>
      <c r="J111" s="12" t="n">
        <v>8</v>
      </c>
      <c r="K111" s="12" t="n">
        <v>4</v>
      </c>
      <c r="L111" s="12" t="n">
        <v>5</v>
      </c>
      <c r="M111" s="12" t="n">
        <v>6</v>
      </c>
      <c r="N111" s="12" t="n">
        <v>-2</v>
      </c>
      <c r="V111" s="12" t="n">
        <v>7</v>
      </c>
      <c r="W111" s="12" t="n">
        <v>-1</v>
      </c>
      <c r="X111" s="12" t="n">
        <v>5</v>
      </c>
    </row>
    <row r="113">
      <c r="A113" s="18" t="inlineStr">
        <is>
          <t>포괄손익 · 전 항목</t>
        </is>
      </c>
      <c r="B113" s="44" t="inlineStr">
        <is>
          <t>분기 = 3개월 단독</t>
        </is>
      </c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  <c r="AA113" s="18" t="n"/>
      <c r="AB113" s="18" t="n"/>
      <c r="AC113" s="18" t="n"/>
    </row>
    <row r="114">
      <c r="A114" s="5" t="inlineStr">
        <is>
          <t>항목</t>
        </is>
      </c>
      <c r="B114" s="5" t="inlineStr">
        <is>
          <t>참고</t>
        </is>
      </c>
      <c r="C114" s="5" t="inlineStr">
        <is>
          <t>2024.3Q</t>
        </is>
      </c>
      <c r="D114" s="5" t="inlineStr">
        <is>
          <t>2024.4Q</t>
        </is>
      </c>
      <c r="E114" s="5" t="inlineStr">
        <is>
          <t>2025.1Q</t>
        </is>
      </c>
      <c r="F114" s="5" t="inlineStr">
        <is>
          <t>2025.2Q</t>
        </is>
      </c>
      <c r="G114" s="5" t="inlineStr">
        <is>
          <t>2025.3Q</t>
        </is>
      </c>
      <c r="H114" s="5" t="inlineStr">
        <is>
          <t>2025.4Q</t>
        </is>
      </c>
      <c r="I114" s="5" t="inlineStr">
        <is>
          <t>2026.1Q</t>
        </is>
      </c>
      <c r="J114" s="5" t="inlineStr">
        <is>
          <t>2026.2Q</t>
        </is>
      </c>
      <c r="K114" s="5" t="inlineStr">
        <is>
          <t>2026.3Q</t>
        </is>
      </c>
      <c r="L114" s="5" t="inlineStr">
        <is>
          <t>2026.4Q</t>
        </is>
      </c>
      <c r="M114" s="5" t="inlineStr">
        <is>
          <t>2027.1Q</t>
        </is>
      </c>
      <c r="N114" s="5" t="inlineStr">
        <is>
          <t>2027.2Q</t>
        </is>
      </c>
      <c r="O114" s="5" t="inlineStr">
        <is>
          <t>2017</t>
        </is>
      </c>
      <c r="P114" s="5" t="inlineStr">
        <is>
          <t>2018</t>
        </is>
      </c>
      <c r="Q114" s="5" t="inlineStr">
        <is>
          <t>2019</t>
        </is>
      </c>
      <c r="R114" s="5" t="inlineStr">
        <is>
          <t>2020</t>
        </is>
      </c>
      <c r="S114" s="5" t="inlineStr">
        <is>
          <t>2021</t>
        </is>
      </c>
      <c r="T114" s="5" t="inlineStr">
        <is>
          <t>2022</t>
        </is>
      </c>
      <c r="U114" s="5" t="inlineStr">
        <is>
          <t>2023</t>
        </is>
      </c>
      <c r="V114" s="5" t="inlineStr">
        <is>
          <t>2024</t>
        </is>
      </c>
      <c r="W114" s="5" t="inlineStr">
        <is>
          <t>2025</t>
        </is>
      </c>
      <c r="X114" s="5" t="inlineStr">
        <is>
          <t>2026</t>
        </is>
      </c>
      <c r="Y114" s="5" t="inlineStr">
        <is>
          <t>2027(MW)</t>
        </is>
      </c>
      <c r="Z114" s="5" t="inlineStr">
        <is>
          <t>2028(MW)</t>
        </is>
      </c>
      <c r="AA114" s="5" t="inlineStr">
        <is>
          <t>2029(MW)</t>
        </is>
      </c>
      <c r="AB114" s="5" t="inlineStr">
        <is>
          <t>2030(MW)</t>
        </is>
      </c>
      <c r="AC114" s="5" t="inlineStr">
        <is>
          <t>2031(MW)</t>
        </is>
      </c>
    </row>
    <row r="115">
      <c r="A115" s="9" t="inlineStr">
        <is>
          <t>중간이익</t>
        </is>
      </c>
      <c r="D115" s="12" t="n">
        <v>10253</v>
      </c>
      <c r="E115" s="12" t="n">
        <v>69758</v>
      </c>
      <c r="F115" s="12" t="n">
        <v>106222</v>
      </c>
      <c r="G115" s="12" t="n">
        <v>76075</v>
      </c>
      <c r="H115" s="12" t="n">
        <v>20266</v>
      </c>
      <c r="I115" s="12" t="n">
        <v>18273</v>
      </c>
      <c r="J115" s="12" t="n">
        <v>40670</v>
      </c>
      <c r="K115" s="12" t="n">
        <v>87814</v>
      </c>
      <c r="L115" s="12" t="n">
        <v>407739</v>
      </c>
      <c r="M115" s="12" t="n">
        <v>842171</v>
      </c>
      <c r="N115" s="12" t="n">
        <v>1355704</v>
      </c>
      <c r="V115" s="12" t="n">
        <v>10253</v>
      </c>
      <c r="W115" s="12" t="n">
        <v>20266</v>
      </c>
      <c r="X115" s="12" t="n">
        <v>407739</v>
      </c>
    </row>
    <row r="116">
      <c r="A116" s="20" t="inlineStr">
        <is>
          <t>기타포괄손익-공정가치 측정 금융자산 순변동</t>
        </is>
      </c>
      <c r="D116" s="22" t="n">
        <v>16198</v>
      </c>
      <c r="E116" s="22" t="n">
        <v>-4039</v>
      </c>
      <c r="F116" s="22" t="n">
        <v>-13839</v>
      </c>
      <c r="G116" s="22" t="n">
        <v>4817</v>
      </c>
      <c r="H116" s="22" t="n">
        <v>-3918</v>
      </c>
      <c r="I116" s="22" t="n">
        <v>2868</v>
      </c>
      <c r="J116" s="22" t="n">
        <v>15217</v>
      </c>
      <c r="K116" s="22" t="n">
        <v>54627</v>
      </c>
      <c r="L116" s="22" t="n">
        <v>7597</v>
      </c>
      <c r="M116" s="22" t="n">
        <v>148622</v>
      </c>
      <c r="N116" s="22" t="n">
        <v>-21857</v>
      </c>
      <c r="V116" s="22" t="n">
        <v>16198</v>
      </c>
      <c r="W116" s="22" t="n">
        <v>-3918</v>
      </c>
      <c r="X116" s="22" t="n">
        <v>7597</v>
      </c>
    </row>
    <row r="117">
      <c r="A117" s="20" t="inlineStr">
        <is>
          <t>확정급여제도 재측정</t>
        </is>
      </c>
      <c r="D117" s="22" t="n">
        <v>-283</v>
      </c>
      <c r="E117" s="22" t="n">
        <v>2</v>
      </c>
      <c r="F117" s="22" t="n">
        <v>0</v>
      </c>
      <c r="G117" s="22" t="n">
        <v>0</v>
      </c>
      <c r="H117" s="22" t="n">
        <v>1650</v>
      </c>
      <c r="I117" s="22" t="n">
        <v>3</v>
      </c>
      <c r="J117" s="22" t="n">
        <v>0</v>
      </c>
      <c r="K117" s="22" t="n">
        <v>0</v>
      </c>
      <c r="L117" s="22" t="n">
        <v>2005</v>
      </c>
      <c r="M117" s="22" t="n">
        <v>1</v>
      </c>
      <c r="N117" s="22" t="n">
        <v>-1</v>
      </c>
      <c r="V117" s="22" t="n">
        <v>-283</v>
      </c>
      <c r="W117" s="22" t="n">
        <v>1650</v>
      </c>
      <c r="X117" s="22" t="n">
        <v>2005</v>
      </c>
    </row>
    <row r="118">
      <c r="A118" s="20" t="inlineStr">
        <is>
          <t>당기손익으로 재분류되지 않는 항목 합계</t>
        </is>
      </c>
      <c r="D118" s="22" t="n">
        <v>15915</v>
      </c>
      <c r="E118" s="22" t="n">
        <v>-4037</v>
      </c>
      <c r="F118" s="22" t="n">
        <v>-13839</v>
      </c>
      <c r="G118" s="22" t="n">
        <v>4817</v>
      </c>
      <c r="H118" s="22" t="n">
        <v>-2268</v>
      </c>
      <c r="I118" s="22" t="n">
        <v>2871</v>
      </c>
      <c r="J118" s="22" t="n">
        <v>15217</v>
      </c>
      <c r="K118" s="22" t="n">
        <v>54627</v>
      </c>
      <c r="L118" s="22" t="n">
        <v>9602</v>
      </c>
      <c r="M118" s="22" t="n">
        <v>148623</v>
      </c>
      <c r="N118" s="22" t="n">
        <v>-21858</v>
      </c>
      <c r="V118" s="22" t="n">
        <v>15915</v>
      </c>
      <c r="W118" s="22" t="n">
        <v>-2268</v>
      </c>
      <c r="X118" s="22" t="n">
        <v>9602</v>
      </c>
    </row>
    <row r="119">
      <c r="A119" s="20" t="inlineStr">
        <is>
          <t>해외사업 환산차액</t>
        </is>
      </c>
      <c r="D119" s="22" t="n">
        <v>2335</v>
      </c>
      <c r="E119" s="22" t="n">
        <v>3683</v>
      </c>
      <c r="F119" s="22" t="n">
        <v>-6222</v>
      </c>
      <c r="G119" s="22" t="n">
        <v>4821</v>
      </c>
      <c r="H119" s="22" t="n">
        <v>-3808</v>
      </c>
      <c r="I119" s="22" t="n">
        <v>1633</v>
      </c>
      <c r="J119" s="22" t="n">
        <v>603</v>
      </c>
      <c r="K119" s="22" t="n">
        <v>2651</v>
      </c>
      <c r="L119" s="22" t="n">
        <v>1291</v>
      </c>
      <c r="M119" s="22" t="n">
        <v>1929</v>
      </c>
      <c r="N119" s="22" t="n">
        <v>-2355</v>
      </c>
      <c r="V119" s="22" t="n">
        <v>2335</v>
      </c>
      <c r="W119" s="22" t="n">
        <v>-3808</v>
      </c>
      <c r="X119" s="22" t="n">
        <v>1291</v>
      </c>
    </row>
    <row r="120">
      <c r="A120" s="20" t="inlineStr">
        <is>
          <t>현금흐름 위험회피 유효 부분</t>
        </is>
      </c>
      <c r="D120" s="22" t="n">
        <v>756</v>
      </c>
      <c r="E120" s="22" t="n">
        <v>-5490</v>
      </c>
      <c r="F120" s="22" t="n">
        <v>18120</v>
      </c>
      <c r="G120" s="22" t="n">
        <v>-14812</v>
      </c>
      <c r="H120" s="22" t="n">
        <v>4305</v>
      </c>
      <c r="I120" s="22" t="n">
        <v>-356</v>
      </c>
      <c r="J120" s="22" t="n">
        <v>1389</v>
      </c>
      <c r="K120" s="22" t="n">
        <v>5306</v>
      </c>
      <c r="L120" s="22" t="n">
        <v>-2682</v>
      </c>
      <c r="M120" s="22" t="n">
        <v>3072</v>
      </c>
      <c r="N120" s="22" t="n">
        <v>-2558</v>
      </c>
      <c r="V120" s="22" t="n">
        <v>756</v>
      </c>
      <c r="W120" s="22" t="n">
        <v>4305</v>
      </c>
      <c r="X120" s="22" t="n">
        <v>-2682</v>
      </c>
    </row>
    <row r="121">
      <c r="A121" s="20" t="inlineStr">
        <is>
          <t>지분법 적용회사 기타포괄이익 지분</t>
        </is>
      </c>
      <c r="D121" s="22" t="n">
        <v>22</v>
      </c>
      <c r="E121" s="22" t="n">
        <v>11</v>
      </c>
      <c r="F121" s="22" t="n">
        <v>-21</v>
      </c>
      <c r="G121" s="22" t="n">
        <v>17</v>
      </c>
      <c r="H121" s="22" t="n">
        <v>-17</v>
      </c>
      <c r="I121" s="22" t="n">
        <v>-6</v>
      </c>
      <c r="J121" s="22" t="n">
        <v>4</v>
      </c>
      <c r="K121" s="22" t="n">
        <v>9</v>
      </c>
      <c r="L121" s="22" t="n">
        <v>24</v>
      </c>
      <c r="M121" s="22" t="n">
        <v>3</v>
      </c>
      <c r="N121" s="22" t="n">
        <v>-5</v>
      </c>
      <c r="V121" s="22" t="n">
        <v>22</v>
      </c>
      <c r="W121" s="22" t="n">
        <v>-17</v>
      </c>
      <c r="X121" s="22" t="n">
        <v>24</v>
      </c>
    </row>
    <row r="122">
      <c r="A122" s="20" t="inlineStr">
        <is>
          <t>당기손익으로 재분류될 수 있는 항목 합계</t>
        </is>
      </c>
      <c r="D122" s="22" t="n">
        <v>3113</v>
      </c>
      <c r="E122" s="22" t="n">
        <v>-1796</v>
      </c>
      <c r="F122" s="22" t="n">
        <v>11877</v>
      </c>
      <c r="G122" s="22" t="n">
        <v>-9974</v>
      </c>
      <c r="H122" s="22" t="n">
        <v>480</v>
      </c>
      <c r="I122" s="22" t="n">
        <v>1271</v>
      </c>
      <c r="J122" s="22" t="n">
        <v>1996</v>
      </c>
      <c r="K122" s="22" t="n">
        <v>7966</v>
      </c>
      <c r="L122" s="22" t="n">
        <v>-1367</v>
      </c>
      <c r="M122" s="22" t="n">
        <v>5004</v>
      </c>
      <c r="N122" s="22" t="n">
        <v>-4918</v>
      </c>
      <c r="V122" s="22" t="n">
        <v>3113</v>
      </c>
      <c r="W122" s="22" t="n">
        <v>480</v>
      </c>
      <c r="X122" s="22" t="n">
        <v>-1367</v>
      </c>
    </row>
    <row r="123">
      <c r="A123" s="20" t="inlineStr">
        <is>
          <t>세후 기타포괄이익</t>
        </is>
      </c>
      <c r="D123" s="22" t="n">
        <v>19028</v>
      </c>
      <c r="E123" s="22" t="n">
        <v>-5833</v>
      </c>
      <c r="F123" s="22" t="n">
        <v>-1962</v>
      </c>
      <c r="G123" s="22" t="n">
        <v>-5157</v>
      </c>
      <c r="H123" s="22" t="n">
        <v>-1788</v>
      </c>
      <c r="I123" s="22" t="n">
        <v>4142</v>
      </c>
      <c r="J123" s="22" t="n">
        <v>17213</v>
      </c>
      <c r="K123" s="22" t="n">
        <v>62593</v>
      </c>
      <c r="L123" s="22" t="n">
        <v>8235</v>
      </c>
      <c r="M123" s="22" t="n">
        <v>153627</v>
      </c>
      <c r="N123" s="22" t="n">
        <v>-26776</v>
      </c>
      <c r="V123" s="22" t="n">
        <v>19028</v>
      </c>
      <c r="W123" s="22" t="n">
        <v>-1788</v>
      </c>
      <c r="X123" s="22" t="n">
        <v>8235</v>
      </c>
    </row>
    <row r="124">
      <c r="A124" s="9" t="inlineStr">
        <is>
          <t>포괄이익</t>
        </is>
      </c>
      <c r="D124" s="12" t="n">
        <v>29281</v>
      </c>
      <c r="E124" s="12" t="n">
        <v>63925</v>
      </c>
      <c r="F124" s="12" t="n">
        <v>104260</v>
      </c>
      <c r="G124" s="12" t="n">
        <v>70918</v>
      </c>
      <c r="H124" s="12" t="n">
        <v>18478</v>
      </c>
      <c r="I124" s="12" t="n">
        <v>22415</v>
      </c>
      <c r="J124" s="12" t="n">
        <v>57883</v>
      </c>
      <c r="K124" s="12" t="n">
        <v>150407</v>
      </c>
      <c r="L124" s="12" t="n">
        <v>415974</v>
      </c>
      <c r="M124" s="12" t="n">
        <v>995798</v>
      </c>
      <c r="N124" s="12" t="n">
        <v>1328928</v>
      </c>
      <c r="V124" s="12" t="n">
        <v>29281</v>
      </c>
      <c r="W124" s="12" t="n">
        <v>18478</v>
      </c>
      <c r="X124" s="12" t="n">
        <v>415974</v>
      </c>
    </row>
    <row r="125">
      <c r="A125" s="9" t="inlineStr">
        <is>
          <t>지배기업 소유주</t>
        </is>
      </c>
      <c r="D125" s="12" t="n">
        <v>29272</v>
      </c>
      <c r="E125" s="12" t="n">
        <v>63919</v>
      </c>
      <c r="F125" s="12" t="n">
        <v>104272</v>
      </c>
      <c r="G125" s="12" t="n">
        <v>70902</v>
      </c>
      <c r="H125" s="12" t="n">
        <v>18488</v>
      </c>
      <c r="I125" s="12" t="n">
        <v>22413</v>
      </c>
      <c r="J125" s="12" t="n">
        <v>57877</v>
      </c>
      <c r="K125" s="12" t="n">
        <v>150401</v>
      </c>
      <c r="L125" s="12" t="n">
        <v>415969</v>
      </c>
      <c r="M125" s="12" t="n">
        <v>995790</v>
      </c>
      <c r="N125" s="12" t="n">
        <v>1328934</v>
      </c>
      <c r="V125" s="12" t="n">
        <v>29272</v>
      </c>
      <c r="W125" s="12" t="n">
        <v>18488</v>
      </c>
      <c r="X125" s="12" t="n">
        <v>415969</v>
      </c>
    </row>
    <row r="126">
      <c r="A126" s="9" t="inlineStr">
        <is>
          <t>비지배지분</t>
        </is>
      </c>
      <c r="D126" s="12" t="n">
        <v>9</v>
      </c>
      <c r="E126" s="12" t="n">
        <v>6</v>
      </c>
      <c r="F126" s="12" t="n">
        <v>-12</v>
      </c>
      <c r="G126" s="12" t="n">
        <v>16</v>
      </c>
      <c r="H126" s="12" t="n">
        <v>-10</v>
      </c>
      <c r="I126" s="12" t="n">
        <v>2</v>
      </c>
      <c r="J126" s="12" t="n">
        <v>6</v>
      </c>
      <c r="K126" s="12" t="n">
        <v>6</v>
      </c>
      <c r="L126" s="12" t="n">
        <v>5</v>
      </c>
      <c r="M126" s="12" t="n">
        <v>8</v>
      </c>
      <c r="N126" s="12" t="n">
        <v>-6</v>
      </c>
      <c r="V126" s="12" t="n">
        <v>9</v>
      </c>
      <c r="W126" s="12" t="n">
        <v>-10</v>
      </c>
      <c r="X126" s="12" t="n">
        <v>5</v>
      </c>
    </row>
    <row r="128">
      <c r="A128" s="18" t="inlineStr">
        <is>
          <t>현금흐름표 · 전 항목</t>
        </is>
      </c>
      <c r="B128" s="44" t="inlineStr">
        <is>
          <t>분기 = 결산기 첫날부터 누계(공시 그대로)</t>
        </is>
      </c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  <c r="AA128" s="18" t="n"/>
      <c r="AB128" s="18" t="n"/>
      <c r="AC128" s="18" t="n"/>
    </row>
    <row r="129">
      <c r="A129" s="5" t="inlineStr">
        <is>
          <t>항목</t>
        </is>
      </c>
      <c r="B129" s="5" t="inlineStr">
        <is>
          <t>참고</t>
        </is>
      </c>
      <c r="C129" s="5" t="inlineStr">
        <is>
          <t>2024.3Q</t>
        </is>
      </c>
      <c r="D129" s="5" t="inlineStr">
        <is>
          <t>2024.4Q</t>
        </is>
      </c>
      <c r="E129" s="5" t="inlineStr">
        <is>
          <t>2025.1Q</t>
        </is>
      </c>
      <c r="F129" s="5" t="inlineStr">
        <is>
          <t>2025.2Q</t>
        </is>
      </c>
      <c r="G129" s="5" t="inlineStr">
        <is>
          <t>2025.3Q</t>
        </is>
      </c>
      <c r="H129" s="5" t="inlineStr">
        <is>
          <t>2025.4Q</t>
        </is>
      </c>
      <c r="I129" s="5" t="inlineStr">
        <is>
          <t>2026.1Q</t>
        </is>
      </c>
      <c r="J129" s="5" t="inlineStr">
        <is>
          <t>2026.2Q</t>
        </is>
      </c>
      <c r="K129" s="5" t="inlineStr">
        <is>
          <t>2026.3Q</t>
        </is>
      </c>
      <c r="L129" s="5" t="inlineStr">
        <is>
          <t>2026.4Q</t>
        </is>
      </c>
      <c r="M129" s="5" t="inlineStr">
        <is>
          <t>2027.1Q</t>
        </is>
      </c>
      <c r="N129" s="5" t="inlineStr">
        <is>
          <t>2027.2Q</t>
        </is>
      </c>
      <c r="O129" s="5" t="inlineStr">
        <is>
          <t>2017</t>
        </is>
      </c>
      <c r="P129" s="5" t="inlineStr">
        <is>
          <t>2018</t>
        </is>
      </c>
      <c r="Q129" s="5" t="inlineStr">
        <is>
          <t>2019</t>
        </is>
      </c>
      <c r="R129" s="5" t="inlineStr">
        <is>
          <t>2020</t>
        </is>
      </c>
      <c r="S129" s="5" t="inlineStr">
        <is>
          <t>2021</t>
        </is>
      </c>
      <c r="T129" s="5" t="inlineStr">
        <is>
          <t>2022</t>
        </is>
      </c>
      <c r="U129" s="5" t="inlineStr">
        <is>
          <t>2023</t>
        </is>
      </c>
      <c r="V129" s="5" t="inlineStr">
        <is>
          <t>2024</t>
        </is>
      </c>
      <c r="W129" s="5" t="inlineStr">
        <is>
          <t>2025</t>
        </is>
      </c>
      <c r="X129" s="5" t="inlineStr">
        <is>
          <t>2026</t>
        </is>
      </c>
      <c r="Y129" s="5" t="inlineStr">
        <is>
          <t>2027(MW)</t>
        </is>
      </c>
      <c r="Z129" s="5" t="inlineStr">
        <is>
          <t>2028(MW)</t>
        </is>
      </c>
      <c r="AA129" s="5" t="inlineStr">
        <is>
          <t>2029(MW)</t>
        </is>
      </c>
      <c r="AB129" s="5" t="inlineStr">
        <is>
          <t>2030(MW)</t>
        </is>
      </c>
      <c r="AC129" s="5" t="inlineStr">
        <is>
          <t>2031(MW)</t>
        </is>
      </c>
    </row>
    <row r="130">
      <c r="A130" s="9" t="inlineStr">
        <is>
          <t>법인세비용차감전 중간이익</t>
        </is>
      </c>
      <c r="C130" s="12" t="n">
        <v>-360489</v>
      </c>
      <c r="D130" s="12" t="n">
        <v>-343330</v>
      </c>
      <c r="E130" s="12" t="n">
        <v>99746</v>
      </c>
      <c r="F130" s="12" t="n">
        <v>248919</v>
      </c>
      <c r="G130" s="12" t="n">
        <v>355606</v>
      </c>
      <c r="H130" s="12" t="n">
        <v>370669</v>
      </c>
      <c r="I130" s="12" t="n">
        <v>27294</v>
      </c>
      <c r="J130" s="12" t="n">
        <v>84010</v>
      </c>
      <c r="K130" s="12" t="n">
        <v>205750</v>
      </c>
      <c r="L130" s="12" t="n">
        <v>784095</v>
      </c>
      <c r="M130" s="12" t="n">
        <v>1234720</v>
      </c>
      <c r="N130" s="12" t="n">
        <v>3203390</v>
      </c>
      <c r="V130" s="12" t="n">
        <v>-343330</v>
      </c>
      <c r="W130" s="12" t="n">
        <v>370669</v>
      </c>
      <c r="X130" s="12" t="n">
        <v>784095</v>
      </c>
    </row>
    <row r="131">
      <c r="A131" s="20" t="inlineStr">
        <is>
          <t>감가상각비 및 상각비</t>
        </is>
      </c>
      <c r="C131" s="22" t="n">
        <v>264473</v>
      </c>
      <c r="D131" s="22" t="n">
        <v>346066</v>
      </c>
      <c r="E131" s="22" t="n">
        <v>78493</v>
      </c>
      <c r="F131" s="22" t="n">
        <v>157685</v>
      </c>
      <c r="G131" s="22" t="n">
        <v>234796</v>
      </c>
      <c r="H131" s="22" t="n">
        <v>312307</v>
      </c>
      <c r="I131" s="22" t="n">
        <v>79987</v>
      </c>
      <c r="J131" s="22" t="n">
        <v>158839</v>
      </c>
      <c r="K131" s="22" t="n">
        <v>236419</v>
      </c>
      <c r="L131" s="22" t="n">
        <v>312826</v>
      </c>
      <c r="M131" s="22" t="n">
        <v>76082</v>
      </c>
      <c r="N131" s="22" t="n">
        <v>153543</v>
      </c>
      <c r="V131" s="22" t="n">
        <v>346066</v>
      </c>
      <c r="W131" s="22" t="n">
        <v>312307</v>
      </c>
      <c r="X131" s="22" t="n">
        <v>312826</v>
      </c>
    </row>
    <row r="132">
      <c r="A132" s="20" t="inlineStr">
        <is>
          <t>손상차손</t>
        </is>
      </c>
      <c r="C132" s="22" t="n">
        <v>437</v>
      </c>
      <c r="D132" s="22" t="n">
        <v>764</v>
      </c>
      <c r="E132" s="22" t="n">
        <v>2</v>
      </c>
      <c r="F132" s="22" t="n">
        <v>6</v>
      </c>
      <c r="G132" s="22" t="n">
        <v>11</v>
      </c>
      <c r="H132" s="22" t="n">
        <v>30</v>
      </c>
      <c r="I132" s="22" t="n">
        <v>70</v>
      </c>
      <c r="J132" s="22" t="n">
        <v>126</v>
      </c>
      <c r="K132" s="22" t="n">
        <v>214</v>
      </c>
      <c r="L132" s="22" t="n">
        <v>366</v>
      </c>
      <c r="M132" s="22" t="n">
        <v>29</v>
      </c>
      <c r="N132" s="22" t="n">
        <v>656</v>
      </c>
      <c r="V132" s="22" t="n">
        <v>764</v>
      </c>
      <c r="W132" s="22" t="n">
        <v>30</v>
      </c>
      <c r="X132" s="22" t="n">
        <v>366</v>
      </c>
    </row>
    <row r="133">
      <c r="A133" s="20" t="inlineStr">
        <is>
          <t>금융수익</t>
        </is>
      </c>
      <c r="C133" s="22" t="n">
        <v>-1836</v>
      </c>
      <c r="D133" s="22" t="n">
        <v>-1847</v>
      </c>
      <c r="E133" s="22" t="n">
        <v>-199</v>
      </c>
      <c r="F133" s="22" t="n">
        <v>-1430</v>
      </c>
      <c r="G133" s="22" t="n">
        <v>-2565</v>
      </c>
      <c r="H133" s="22" t="n">
        <v>-3707</v>
      </c>
      <c r="I133" s="22" t="n">
        <v>-2398</v>
      </c>
      <c r="J133" s="22" t="n">
        <v>-1996</v>
      </c>
      <c r="K133" s="22" t="n">
        <v>-3604</v>
      </c>
      <c r="L133" s="22" t="n">
        <v>-9499</v>
      </c>
      <c r="M133" s="22" t="n">
        <v>-17170</v>
      </c>
      <c r="N133" s="22" t="n">
        <v>-7341</v>
      </c>
      <c r="V133" s="22" t="n">
        <v>-1847</v>
      </c>
      <c r="W133" s="22" t="n">
        <v>-3707</v>
      </c>
      <c r="X133" s="22" t="n">
        <v>-9499</v>
      </c>
    </row>
    <row r="134">
      <c r="A134" s="20" t="inlineStr">
        <is>
          <t>금융비용</t>
        </is>
      </c>
      <c r="C134" s="22" t="n">
        <v>65884</v>
      </c>
      <c r="D134" s="22" t="n">
        <v>92740</v>
      </c>
      <c r="E134" s="22" t="n">
        <v>26192</v>
      </c>
      <c r="F134" s="22" t="n">
        <v>44474</v>
      </c>
      <c r="G134" s="22" t="n">
        <v>61902</v>
      </c>
      <c r="H134" s="22" t="n">
        <v>85328</v>
      </c>
      <c r="I134" s="22" t="n">
        <v>19860</v>
      </c>
      <c r="J134" s="22" t="n">
        <v>48962</v>
      </c>
      <c r="K134" s="22" t="n">
        <v>71731</v>
      </c>
      <c r="L134" s="22" t="n">
        <v>96708</v>
      </c>
      <c r="M134" s="22" t="n">
        <v>52801</v>
      </c>
      <c r="N134" s="22" t="n">
        <v>68763</v>
      </c>
      <c r="V134" s="22" t="n">
        <v>92740</v>
      </c>
      <c r="W134" s="22" t="n">
        <v>85328</v>
      </c>
      <c r="X134" s="22" t="n">
        <v>96708</v>
      </c>
    </row>
    <row r="135">
      <c r="A135" s="20" t="inlineStr">
        <is>
          <t>지분법손익</t>
        </is>
      </c>
      <c r="C135" s="22" t="n">
        <v>-115</v>
      </c>
      <c r="D135" s="22" t="n">
        <v>-261</v>
      </c>
      <c r="E135" s="22" t="n">
        <v>120</v>
      </c>
      <c r="F135" s="22" t="n">
        <v>-72</v>
      </c>
      <c r="G135" s="22" t="n">
        <v>-337</v>
      </c>
      <c r="H135" s="22" t="n">
        <v>-542</v>
      </c>
      <c r="I135" s="22" t="n">
        <v>143</v>
      </c>
      <c r="J135" s="22" t="n">
        <v>-156</v>
      </c>
      <c r="K135" s="22" t="n">
        <v>-303</v>
      </c>
      <c r="L135" s="22" t="n">
        <v>-935</v>
      </c>
      <c r="M135" s="22" t="n">
        <v>-334</v>
      </c>
      <c r="N135" s="22" t="n">
        <v>-85</v>
      </c>
      <c r="V135" s="22" t="n">
        <v>-261</v>
      </c>
      <c r="W135" s="22" t="n">
        <v>-542</v>
      </c>
      <c r="X135" s="22" t="n">
        <v>-935</v>
      </c>
    </row>
    <row r="136">
      <c r="A136" s="20" t="inlineStr">
        <is>
          <t>고정자산 제각·매각손익</t>
        </is>
      </c>
      <c r="C136" s="22" t="n">
        <v>1643</v>
      </c>
      <c r="D136" s="22" t="n">
        <v>-5691</v>
      </c>
      <c r="E136" s="22" t="n">
        <v>-419</v>
      </c>
      <c r="F136" s="22" t="n">
        <v>-825</v>
      </c>
      <c r="G136" s="22" t="n">
        <v>-3639</v>
      </c>
      <c r="H136" s="22" t="n">
        <v>-6883</v>
      </c>
      <c r="I136" s="22" t="n">
        <v>-2541</v>
      </c>
      <c r="J136" s="22" t="n">
        <v>-2154</v>
      </c>
      <c r="K136" s="22" t="n">
        <v>-1726</v>
      </c>
      <c r="L136" s="22" t="n">
        <v>-1168</v>
      </c>
      <c r="M136" s="22" t="n">
        <v>1096</v>
      </c>
      <c r="N136" s="22" t="n">
        <v>1613</v>
      </c>
      <c r="V136" s="22" t="n">
        <v>-5691</v>
      </c>
      <c r="W136" s="22" t="n">
        <v>-6883</v>
      </c>
      <c r="X136" s="22" t="n">
        <v>-1168</v>
      </c>
    </row>
    <row r="137">
      <c r="A137" s="20" t="inlineStr">
        <is>
          <t>재고자산 증감</t>
        </is>
      </c>
      <c r="C137" s="22" t="n">
        <v>141975</v>
      </c>
      <c r="D137" s="22" t="n">
        <v>94472</v>
      </c>
      <c r="E137" s="22" t="n">
        <v>-31702</v>
      </c>
      <c r="F137" s="22" t="n">
        <v>-61776</v>
      </c>
      <c r="G137" s="22" t="n">
        <v>-72670</v>
      </c>
      <c r="H137" s="22" t="n">
        <v>-82092</v>
      </c>
      <c r="I137" s="22" t="n">
        <v>-18336</v>
      </c>
      <c r="J137" s="22" t="n">
        <v>-7595</v>
      </c>
      <c r="K137" s="22" t="n">
        <v>1996</v>
      </c>
      <c r="L137" s="22" t="n">
        <v>-55765</v>
      </c>
      <c r="M137" s="22" t="n">
        <v>-23004</v>
      </c>
      <c r="N137" s="22" t="n">
        <v>-33941</v>
      </c>
      <c r="V137" s="22" t="n">
        <v>94472</v>
      </c>
      <c r="W137" s="22" t="n">
        <v>-82092</v>
      </c>
      <c r="X137" s="22" t="n">
        <v>-55765</v>
      </c>
    </row>
    <row r="138">
      <c r="A138" s="20" t="inlineStr">
        <is>
          <t>매출채권 및 기타채권 증감액</t>
        </is>
      </c>
      <c r="C138" s="22" t="n">
        <v>-17551</v>
      </c>
      <c r="D138" s="22" t="n">
        <v>-24412</v>
      </c>
      <c r="E138" s="22" t="n">
        <v>-48364</v>
      </c>
      <c r="F138" s="22" t="n">
        <v>-80459</v>
      </c>
      <c r="G138" s="22" t="n">
        <v>-187030</v>
      </c>
      <c r="H138" s="22" t="n">
        <v>-89361</v>
      </c>
      <c r="I138" s="22" t="n">
        <v>24831</v>
      </c>
      <c r="J138" s="22" t="n">
        <v>4191</v>
      </c>
      <c r="K138" s="22" t="n">
        <v>-94645</v>
      </c>
      <c r="L138" s="22" t="n">
        <v>-397696</v>
      </c>
      <c r="M138" s="22" t="n">
        <v>-472052</v>
      </c>
      <c r="N138" s="22" t="n">
        <v>-1014370</v>
      </c>
      <c r="V138" s="22" t="n">
        <v>-24412</v>
      </c>
      <c r="W138" s="22" t="n">
        <v>-89361</v>
      </c>
      <c r="X138" s="22" t="n">
        <v>-397696</v>
      </c>
    </row>
    <row r="139">
      <c r="A139" s="20" t="inlineStr">
        <is>
          <t>매입채무 및 기타채무 증감액</t>
        </is>
      </c>
      <c r="C139" s="22" t="n">
        <v>33083</v>
      </c>
      <c r="D139" s="22" t="n">
        <v>75944</v>
      </c>
      <c r="E139" s="22" t="n">
        <v>45954</v>
      </c>
      <c r="F139" s="22" t="n">
        <v>36941</v>
      </c>
      <c r="G139" s="22" t="n">
        <v>66489</v>
      </c>
      <c r="H139" s="22" t="n">
        <v>-12373</v>
      </c>
      <c r="I139" s="22" t="n">
        <v>-8946</v>
      </c>
      <c r="J139" s="22" t="n">
        <v>14878</v>
      </c>
      <c r="K139" s="22" t="n">
        <v>77437</v>
      </c>
      <c r="L139" s="22" t="n">
        <v>53165</v>
      </c>
      <c r="M139" s="22" t="n">
        <v>14329</v>
      </c>
      <c r="N139" s="22" t="n">
        <v>87674</v>
      </c>
      <c r="V139" s="22" t="n">
        <v>75944</v>
      </c>
      <c r="W139" s="22" t="n">
        <v>-12373</v>
      </c>
      <c r="X139" s="22" t="n">
        <v>53165</v>
      </c>
    </row>
    <row r="140">
      <c r="A140" s="20" t="inlineStr">
        <is>
          <t>퇴직급여부채 증감</t>
        </is>
      </c>
      <c r="C140" s="22" t="n">
        <v>821</v>
      </c>
      <c r="D140" s="22" t="n">
        <v>-1652</v>
      </c>
      <c r="E140" s="22" t="n">
        <v>280</v>
      </c>
      <c r="F140" s="22" t="n">
        <v>435</v>
      </c>
      <c r="G140" s="22" t="n">
        <v>470</v>
      </c>
      <c r="H140" s="22" t="n">
        <v>376</v>
      </c>
      <c r="I140" s="22" t="n">
        <v>-161</v>
      </c>
      <c r="J140" s="22" t="n">
        <v>-342</v>
      </c>
      <c r="K140" s="22" t="n">
        <v>-416</v>
      </c>
      <c r="L140" s="22" t="n">
        <v>-744</v>
      </c>
      <c r="M140" s="22" t="n">
        <v>-29</v>
      </c>
      <c r="N140" s="22" t="n">
        <v>-643</v>
      </c>
      <c r="V140" s="22" t="n">
        <v>-1652</v>
      </c>
      <c r="W140" s="22" t="n">
        <v>376</v>
      </c>
      <c r="X140" s="22" t="n">
        <v>-744</v>
      </c>
    </row>
    <row r="141">
      <c r="A141" s="20" t="inlineStr">
        <is>
          <t>기타</t>
        </is>
      </c>
      <c r="C141" s="22" t="n">
        <v>-476</v>
      </c>
      <c r="D141" s="22" t="n">
        <v>-4297</v>
      </c>
      <c r="E141" s="22" t="n">
        <v>-23590</v>
      </c>
      <c r="F141" s="22" t="n">
        <v>-34287</v>
      </c>
      <c r="G141" s="22" t="n">
        <v>-600</v>
      </c>
      <c r="H141" s="22" t="n">
        <v>-8700</v>
      </c>
      <c r="I141" s="22" t="n">
        <v>10611</v>
      </c>
      <c r="J141" s="22" t="n">
        <v>-20193</v>
      </c>
      <c r="K141" s="22" t="n">
        <v>-40437</v>
      </c>
      <c r="L141" s="22" t="n">
        <v>-20703</v>
      </c>
      <c r="M141" s="22" t="n">
        <v>105854</v>
      </c>
      <c r="N141" s="22" t="n">
        <v>39919</v>
      </c>
      <c r="V141" s="22" t="n">
        <v>-4297</v>
      </c>
      <c r="W141" s="22" t="n">
        <v>-8700</v>
      </c>
      <c r="X141" s="22" t="n">
        <v>-20703</v>
      </c>
    </row>
    <row r="142">
      <c r="A142" s="20" t="inlineStr">
        <is>
          <t>소계</t>
        </is>
      </c>
      <c r="C142" s="22" t="n">
        <v>127849</v>
      </c>
      <c r="D142" s="22" t="n">
        <v>228496</v>
      </c>
      <c r="E142" s="22" t="n">
        <v>146513</v>
      </c>
      <c r="F142" s="22" t="n">
        <v>309611</v>
      </c>
      <c r="G142" s="22" t="n">
        <v>452433</v>
      </c>
      <c r="H142" s="22" t="n">
        <v>565052</v>
      </c>
      <c r="I142" s="22" t="n">
        <v>130414</v>
      </c>
      <c r="J142" s="22" t="n">
        <v>278570</v>
      </c>
      <c r="K142" s="22" t="n">
        <v>452416</v>
      </c>
      <c r="L142" s="22" t="n">
        <v>760650</v>
      </c>
      <c r="M142" s="22" t="n">
        <v>972322</v>
      </c>
      <c r="N142" s="22" t="n">
        <v>2499178</v>
      </c>
      <c r="V142" s="22" t="n">
        <v>228496</v>
      </c>
      <c r="W142" s="22" t="n">
        <v>565052</v>
      </c>
      <c r="X142" s="22" t="n">
        <v>760650</v>
      </c>
    </row>
    <row r="143">
      <c r="A143" s="20" t="inlineStr">
        <is>
          <t>이자·배당금 수취</t>
        </is>
      </c>
      <c r="C143" s="22" t="n">
        <v>2132</v>
      </c>
      <c r="D143" s="22" t="n">
        <v>2717</v>
      </c>
      <c r="E143" s="22" t="n">
        <v>294</v>
      </c>
      <c r="F143" s="22" t="n">
        <v>1513</v>
      </c>
      <c r="G143" s="22" t="n">
        <v>2010</v>
      </c>
      <c r="H143" s="22" t="n">
        <v>3366</v>
      </c>
      <c r="I143" s="22" t="n">
        <v>248</v>
      </c>
      <c r="J143" s="22" t="n">
        <v>2246</v>
      </c>
      <c r="K143" s="22" t="n">
        <v>3042</v>
      </c>
      <c r="L143" s="22" t="n">
        <v>4019</v>
      </c>
      <c r="M143" s="22" t="n">
        <v>387</v>
      </c>
      <c r="N143" s="22" t="n">
        <v>6278</v>
      </c>
      <c r="V143" s="22" t="n">
        <v>2717</v>
      </c>
      <c r="W143" s="22" t="n">
        <v>3366</v>
      </c>
      <c r="X143" s="22" t="n">
        <v>4019</v>
      </c>
    </row>
    <row r="144">
      <c r="A144" s="20" t="inlineStr">
        <is>
          <t>이자 지급</t>
        </is>
      </c>
      <c r="C144" s="22" t="n">
        <v>-23419</v>
      </c>
      <c r="D144" s="22" t="n">
        <v>-32333</v>
      </c>
      <c r="E144" s="22" t="n">
        <v>-46628</v>
      </c>
      <c r="F144" s="22" t="n">
        <v>-63171</v>
      </c>
      <c r="G144" s="22" t="n">
        <v>-73309</v>
      </c>
      <c r="H144" s="22" t="n">
        <v>-82409</v>
      </c>
      <c r="I144" s="22" t="n">
        <v>-32733</v>
      </c>
      <c r="J144" s="22" t="n">
        <v>-67405</v>
      </c>
      <c r="K144" s="22" t="n">
        <v>-75208</v>
      </c>
      <c r="L144" s="22" t="n">
        <v>-88709</v>
      </c>
      <c r="M144" s="22" t="n">
        <v>-5839</v>
      </c>
      <c r="N144" s="22" t="n">
        <v>-15150</v>
      </c>
      <c r="V144" s="22" t="n">
        <v>-32333</v>
      </c>
      <c r="W144" s="22" t="n">
        <v>-82409</v>
      </c>
      <c r="X144" s="22" t="n">
        <v>-88709</v>
      </c>
    </row>
    <row r="145">
      <c r="A145" s="20" t="inlineStr">
        <is>
          <t>법인소득세 지급액 또는 환급액(△는 지급)</t>
        </is>
      </c>
      <c r="C145" s="22" t="n">
        <v>-4677</v>
      </c>
      <c r="D145" s="22" t="n">
        <v>-3769</v>
      </c>
      <c r="E145" s="22" t="n">
        <v>-5037</v>
      </c>
      <c r="F145" s="22" t="n">
        <v>-6088</v>
      </c>
      <c r="G145" s="22" t="n">
        <v>-8574</v>
      </c>
      <c r="H145" s="22" t="n">
        <v>-9593</v>
      </c>
      <c r="I145" s="22" t="n">
        <v>-36823</v>
      </c>
      <c r="J145" s="22" t="n">
        <v>-38259</v>
      </c>
      <c r="K145" s="22" t="n">
        <v>-58083</v>
      </c>
      <c r="L145" s="22" t="n">
        <v>-59420</v>
      </c>
      <c r="M145" s="22" t="n">
        <v>-100533</v>
      </c>
      <c r="N145" s="22" t="n">
        <v>-110726</v>
      </c>
      <c r="V145" s="22" t="n">
        <v>-3769</v>
      </c>
      <c r="W145" s="22" t="n">
        <v>-9593</v>
      </c>
      <c r="X145" s="22" t="n">
        <v>-59420</v>
      </c>
    </row>
    <row r="146">
      <c r="A146" s="9" t="inlineStr">
        <is>
          <t>영업활동 현금흐름</t>
        </is>
      </c>
      <c r="C146" s="12" t="n">
        <v>101885</v>
      </c>
      <c r="D146" s="12" t="n">
        <v>195111</v>
      </c>
      <c r="E146" s="12" t="n">
        <v>95142</v>
      </c>
      <c r="F146" s="12" t="n">
        <v>241865</v>
      </c>
      <c r="G146" s="12" t="n">
        <v>372560</v>
      </c>
      <c r="H146" s="12" t="n">
        <v>476416</v>
      </c>
      <c r="I146" s="12" t="n">
        <v>61106</v>
      </c>
      <c r="J146" s="12" t="n">
        <v>175152</v>
      </c>
      <c r="K146" s="12" t="n">
        <v>322167</v>
      </c>
      <c r="L146" s="12" t="n">
        <v>616540</v>
      </c>
      <c r="M146" s="12" t="n">
        <v>866337</v>
      </c>
      <c r="N146" s="12" t="n">
        <v>2379580</v>
      </c>
      <c r="V146" s="12" t="n">
        <v>195111</v>
      </c>
      <c r="W146" s="12" t="n">
        <v>476416</v>
      </c>
      <c r="X146" s="12" t="n">
        <v>616540</v>
      </c>
    </row>
    <row r="147">
      <c r="A147" s="20" t="inlineStr">
        <is>
          <t>유형자산 취득(설비투자)</t>
        </is>
      </c>
      <c r="C147" s="22" t="n">
        <v>-261095</v>
      </c>
      <c r="D147" s="22" t="n">
        <v>-304436</v>
      </c>
      <c r="E147" s="22" t="n">
        <v>-46091</v>
      </c>
      <c r="F147" s="22" t="n">
        <v>-87252</v>
      </c>
      <c r="G147" s="22" t="n">
        <v>-145000</v>
      </c>
      <c r="H147" s="22" t="n">
        <v>-223847</v>
      </c>
      <c r="I147" s="22" t="n">
        <v>-52512</v>
      </c>
      <c r="J147" s="22" t="n">
        <v>-143127</v>
      </c>
      <c r="K147" s="22" t="n">
        <v>-213688</v>
      </c>
      <c r="L147" s="22" t="n">
        <v>-281062</v>
      </c>
      <c r="M147" s="22" t="n">
        <v>-51176</v>
      </c>
      <c r="N147" s="22" t="n">
        <v>-135296</v>
      </c>
      <c r="V147" s="22" t="n">
        <v>-304436</v>
      </c>
      <c r="W147" s="22" t="n">
        <v>-223847</v>
      </c>
      <c r="X147" s="22" t="n">
        <v>-281062</v>
      </c>
    </row>
    <row r="148">
      <c r="A148" s="20" t="inlineStr">
        <is>
          <t>유형자산 매각</t>
        </is>
      </c>
      <c r="C148" s="22" t="n">
        <v>1554</v>
      </c>
      <c r="D148" s="22" t="n">
        <v>11346</v>
      </c>
      <c r="E148" s="22" t="n">
        <v>724</v>
      </c>
      <c r="F148" s="22" t="n">
        <v>1623</v>
      </c>
      <c r="G148" s="22" t="n">
        <v>4072</v>
      </c>
      <c r="H148" s="22" t="n">
        <v>8820</v>
      </c>
      <c r="I148" s="22" t="n">
        <v>3945</v>
      </c>
      <c r="J148" s="22" t="n">
        <v>4820</v>
      </c>
      <c r="K148" s="22" t="n">
        <v>5847</v>
      </c>
      <c r="L148" s="22" t="n">
        <v>6254</v>
      </c>
      <c r="M148" s="22" t="n">
        <v>1217</v>
      </c>
      <c r="N148" s="22" t="n">
        <v>1329</v>
      </c>
      <c r="V148" s="22" t="n">
        <v>11346</v>
      </c>
      <c r="W148" s="22" t="n">
        <v>8820</v>
      </c>
      <c r="X148" s="22" t="n">
        <v>6254</v>
      </c>
    </row>
    <row r="149">
      <c r="A149" s="20" t="inlineStr">
        <is>
          <t>무형자산 취득 지출</t>
        </is>
      </c>
      <c r="C149" s="22" t="n">
        <v>-529</v>
      </c>
      <c r="D149" s="22" t="n">
        <v>-661</v>
      </c>
      <c r="E149" s="22" t="n">
        <v>-75</v>
      </c>
      <c r="F149" s="22" t="n">
        <v>-204</v>
      </c>
      <c r="G149" s="22" t="n">
        <v>-302</v>
      </c>
      <c r="H149" s="22" t="n">
        <v>-1756</v>
      </c>
      <c r="I149" s="22" t="n">
        <v>-1065</v>
      </c>
      <c r="J149" s="22" t="n">
        <v>-1923</v>
      </c>
      <c r="K149" s="22" t="n">
        <v>-2295</v>
      </c>
      <c r="L149" s="22" t="n">
        <v>-2612</v>
      </c>
      <c r="M149" s="22" t="n">
        <v>-1226</v>
      </c>
      <c r="N149" s="22" t="n">
        <v>-1684</v>
      </c>
      <c r="V149" s="22" t="n">
        <v>-661</v>
      </c>
      <c r="W149" s="22" t="n">
        <v>-1756</v>
      </c>
      <c r="X149" s="22" t="n">
        <v>-2612</v>
      </c>
    </row>
    <row r="150">
      <c r="A150" s="20" t="inlineStr">
        <is>
          <t>정부보조금 수입</t>
        </is>
      </c>
      <c r="E150" s="22" t="n">
        <v>14398</v>
      </c>
      <c r="I150" s="22" t="n">
        <v>15525</v>
      </c>
    </row>
    <row r="151">
      <c r="A151" s="20" t="inlineStr">
        <is>
          <t>정부보조금 수입</t>
        </is>
      </c>
      <c r="C151" s="22" t="n">
        <v>10846</v>
      </c>
      <c r="D151" s="22" t="n">
        <v>18562</v>
      </c>
      <c r="F151" s="22" t="n">
        <v>22966</v>
      </c>
      <c r="G151" s="22" t="n">
        <v>25436</v>
      </c>
      <c r="H151" s="22" t="n">
        <v>43748</v>
      </c>
      <c r="I151" s="22" t="n">
        <v>15525</v>
      </c>
      <c r="J151" s="22" t="n">
        <v>33355</v>
      </c>
      <c r="K151" s="22" t="n">
        <v>41934</v>
      </c>
      <c r="L151" s="22" t="n">
        <v>56396</v>
      </c>
      <c r="M151" s="22" t="n">
        <v>12026</v>
      </c>
      <c r="N151" s="22" t="n">
        <v>21276</v>
      </c>
      <c r="V151" s="22" t="n">
        <v>18562</v>
      </c>
      <c r="W151" s="22" t="n">
        <v>43748</v>
      </c>
      <c r="X151" s="22" t="n">
        <v>56396</v>
      </c>
    </row>
    <row r="152">
      <c r="A152" s="20" t="inlineStr">
        <is>
          <t>기타 금융자산 취득</t>
        </is>
      </c>
      <c r="I152" s="22" t="n">
        <v>0</v>
      </c>
      <c r="J152" s="22" t="n">
        <v>0</v>
      </c>
      <c r="M152" s="22" t="n">
        <v>-78220</v>
      </c>
      <c r="N152" s="22" t="n">
        <v>-78220</v>
      </c>
    </row>
    <row r="153">
      <c r="A153" s="20" t="inlineStr">
        <is>
          <t>기타</t>
        </is>
      </c>
      <c r="C153" s="22" t="n">
        <v>119</v>
      </c>
      <c r="D153" s="22" t="n">
        <v>336</v>
      </c>
      <c r="E153" s="22" t="n">
        <v>6</v>
      </c>
      <c r="F153" s="22" t="n">
        <v>25</v>
      </c>
      <c r="G153" s="22" t="n">
        <v>36</v>
      </c>
      <c r="H153" s="22" t="n">
        <v>24</v>
      </c>
      <c r="I153" s="22" t="n">
        <v>-15</v>
      </c>
      <c r="J153" s="22" t="n">
        <v>-7</v>
      </c>
      <c r="K153" s="22" t="n">
        <v>10</v>
      </c>
      <c r="L153" s="22" t="n">
        <v>-488</v>
      </c>
      <c r="M153" s="22" t="n">
        <v>61</v>
      </c>
      <c r="N153" s="22" t="n">
        <v>-427</v>
      </c>
      <c r="V153" s="22" t="n">
        <v>336</v>
      </c>
      <c r="W153" s="22" t="n">
        <v>24</v>
      </c>
      <c r="X153" s="22" t="n">
        <v>-488</v>
      </c>
    </row>
    <row r="154">
      <c r="A154" s="9" t="inlineStr">
        <is>
          <t>투자활동 현금흐름</t>
        </is>
      </c>
      <c r="C154" s="12" t="n">
        <v>-249105</v>
      </c>
      <c r="D154" s="12" t="n">
        <v>-274853</v>
      </c>
      <c r="E154" s="12" t="n">
        <v>-31038</v>
      </c>
      <c r="F154" s="12" t="n">
        <v>-62842</v>
      </c>
      <c r="G154" s="12" t="n">
        <v>-115758</v>
      </c>
      <c r="H154" s="12" t="n">
        <v>-173011</v>
      </c>
      <c r="I154" s="12" t="n">
        <v>-34122</v>
      </c>
      <c r="J154" s="12" t="n">
        <v>-106882</v>
      </c>
      <c r="K154" s="12" t="n">
        <v>-168192</v>
      </c>
      <c r="L154" s="12" t="n">
        <v>-221512</v>
      </c>
      <c r="M154" s="12" t="n">
        <v>-117318</v>
      </c>
      <c r="N154" s="12" t="n">
        <v>-193022</v>
      </c>
      <c r="V154" s="12" t="n">
        <v>-274853</v>
      </c>
      <c r="W154" s="12" t="n">
        <v>-173011</v>
      </c>
      <c r="X154" s="12" t="n">
        <v>-221512</v>
      </c>
    </row>
    <row r="155">
      <c r="A155" s="20" t="inlineStr">
        <is>
          <t>단기차입금 및 리볼빙 신용한도 실행 잔액 순증감액(△는 감소)</t>
        </is>
      </c>
      <c r="F155" s="22" t="n">
        <v>-93806</v>
      </c>
      <c r="G155" s="22" t="n">
        <v>-126400</v>
      </c>
      <c r="H155" s="22" t="n">
        <v>-126400</v>
      </c>
      <c r="J155" s="22" t="n">
        <v>0</v>
      </c>
      <c r="K155" s="22" t="n">
        <v>0</v>
      </c>
      <c r="L155" s="22" t="n">
        <v>0</v>
      </c>
      <c r="W155" s="22" t="n">
        <v>-126400</v>
      </c>
      <c r="X155" s="22" t="n">
        <v>0</v>
      </c>
    </row>
    <row r="156">
      <c r="A156" s="20" t="inlineStr">
        <is>
          <t>단기차입금 순증감</t>
        </is>
      </c>
      <c r="C156" s="22" t="n">
        <v>191065</v>
      </c>
      <c r="D156" s="22" t="n">
        <v>91082</v>
      </c>
      <c r="E156" s="22" t="n">
        <v>-12564</v>
      </c>
      <c r="G156" s="22" t="n">
        <v>-126400</v>
      </c>
      <c r="H156" s="22" t="n">
        <v>-126400</v>
      </c>
      <c r="I156" s="22" t="n">
        <v>10000</v>
      </c>
      <c r="M156" s="22" t="n">
        <v>0</v>
      </c>
      <c r="V156" s="22" t="n">
        <v>91082</v>
      </c>
      <c r="W156" s="22" t="n">
        <v>-126400</v>
      </c>
    </row>
    <row r="157">
      <c r="A157" s="20" t="inlineStr">
        <is>
          <t>장기차입 수입</t>
        </is>
      </c>
      <c r="C157" s="22" t="n">
        <v>95438</v>
      </c>
      <c r="D157" s="22" t="n">
        <v>168148</v>
      </c>
      <c r="E157" s="22" t="n">
        <v>12749</v>
      </c>
      <c r="F157" s="22" t="n">
        <v>26448</v>
      </c>
      <c r="G157" s="22" t="n">
        <v>47667</v>
      </c>
      <c r="H157" s="22" t="n">
        <v>68020</v>
      </c>
      <c r="I157" s="22" t="n">
        <v>43487</v>
      </c>
      <c r="J157" s="22" t="n">
        <v>507212</v>
      </c>
      <c r="K157" s="22" t="n">
        <v>516161</v>
      </c>
      <c r="L157" s="22" t="n">
        <v>535637</v>
      </c>
      <c r="M157" s="22" t="n">
        <v>7498</v>
      </c>
      <c r="N157" s="22" t="n">
        <v>77498</v>
      </c>
      <c r="V157" s="22" t="n">
        <v>168148</v>
      </c>
      <c r="W157" s="22" t="n">
        <v>68020</v>
      </c>
      <c r="X157" s="22" t="n">
        <v>535637</v>
      </c>
    </row>
    <row r="158">
      <c r="A158" s="20" t="inlineStr">
        <is>
          <t>장기차입금 상환</t>
        </is>
      </c>
      <c r="C158" s="22" t="n">
        <v>-171143</v>
      </c>
      <c r="D158" s="22" t="n">
        <v>-228461</v>
      </c>
      <c r="E158" s="22" t="n">
        <v>-77151</v>
      </c>
      <c r="F158" s="22" t="n">
        <v>-140137</v>
      </c>
      <c r="G158" s="22" t="n">
        <v>-202745</v>
      </c>
      <c r="H158" s="22" t="n">
        <v>-265879</v>
      </c>
      <c r="I158" s="22" t="n">
        <v>-63499</v>
      </c>
      <c r="J158" s="22" t="n">
        <v>-498817</v>
      </c>
      <c r="K158" s="22" t="n">
        <v>-549792</v>
      </c>
      <c r="L158" s="22" t="n">
        <v>-616429</v>
      </c>
      <c r="M158" s="22" t="n">
        <v>-433226</v>
      </c>
      <c r="N158" s="22" t="n">
        <v>-523094</v>
      </c>
      <c r="V158" s="22" t="n">
        <v>-228461</v>
      </c>
      <c r="W158" s="22" t="n">
        <v>-265879</v>
      </c>
      <c r="X158" s="22" t="n">
        <v>-616429</v>
      </c>
    </row>
    <row r="159">
      <c r="A159" s="20" t="inlineStr">
        <is>
          <t>사채 발행</t>
        </is>
      </c>
      <c r="F159" s="22" t="n">
        <v>0</v>
      </c>
      <c r="G159" s="22" t="n">
        <v>0</v>
      </c>
      <c r="H159" s="22" t="n">
        <v>0</v>
      </c>
      <c r="J159" s="22" t="n">
        <v>326656</v>
      </c>
      <c r="K159" s="22" t="n">
        <v>326656</v>
      </c>
      <c r="L159" s="22" t="n">
        <v>326656</v>
      </c>
      <c r="N159" s="22" t="n">
        <v>0</v>
      </c>
      <c r="W159" s="22" t="n">
        <v>0</v>
      </c>
      <c r="X159" s="22" t="n">
        <v>326656</v>
      </c>
    </row>
    <row r="160">
      <c r="A160" s="20" t="inlineStr">
        <is>
          <t>리스부채 상환 지출</t>
        </is>
      </c>
      <c r="C160" s="22" t="n">
        <v>-20651</v>
      </c>
      <c r="D160" s="22" t="n">
        <v>-27531</v>
      </c>
      <c r="E160" s="22" t="n">
        <v>-7191</v>
      </c>
      <c r="F160" s="22" t="n">
        <v>-14223</v>
      </c>
      <c r="G160" s="22" t="n">
        <v>-20666</v>
      </c>
      <c r="H160" s="22" t="n">
        <v>-28787</v>
      </c>
      <c r="I160" s="22" t="n">
        <v>-7455</v>
      </c>
      <c r="J160" s="22" t="n">
        <v>-14712</v>
      </c>
      <c r="K160" s="22" t="n">
        <v>-22554</v>
      </c>
      <c r="L160" s="22" t="n">
        <v>-30528</v>
      </c>
      <c r="M160" s="22" t="n">
        <v>-7929</v>
      </c>
      <c r="N160" s="22" t="n">
        <v>-15935</v>
      </c>
      <c r="V160" s="22" t="n">
        <v>-27531</v>
      </c>
      <c r="W160" s="22" t="n">
        <v>-28787</v>
      </c>
      <c r="X160" s="22" t="n">
        <v>-30528</v>
      </c>
    </row>
    <row r="161">
      <c r="A161" s="20" t="inlineStr">
        <is>
          <t>우선주 상환 지출</t>
        </is>
      </c>
      <c r="F161" s="22" t="n">
        <v>0</v>
      </c>
      <c r="G161" s="22" t="n">
        <v>0</v>
      </c>
      <c r="H161" s="22" t="n">
        <v>0</v>
      </c>
      <c r="J161" s="22" t="n">
        <v>-322996</v>
      </c>
      <c r="K161" s="22" t="n">
        <v>-322996</v>
      </c>
      <c r="L161" s="22" t="n">
        <v>-322996</v>
      </c>
      <c r="N161" s="22" t="n">
        <v>0</v>
      </c>
      <c r="W161" s="22" t="n">
        <v>0</v>
      </c>
      <c r="X161" s="22" t="n">
        <v>-322996</v>
      </c>
    </row>
    <row r="162">
      <c r="A162" s="20" t="inlineStr">
        <is>
          <t>주식 발행</t>
        </is>
      </c>
      <c r="C162" s="22" t="n">
        <v>0</v>
      </c>
      <c r="D162" s="22" t="n">
        <v>0</v>
      </c>
      <c r="E162" s="22" t="n">
        <v>0</v>
      </c>
      <c r="F162" s="22" t="n">
        <v>0</v>
      </c>
      <c r="G162" s="22" t="n">
        <v>29879</v>
      </c>
      <c r="H162" s="22" t="n">
        <v>30367</v>
      </c>
      <c r="I162" s="22" t="n">
        <v>190</v>
      </c>
      <c r="J162" s="22" t="n">
        <v>651</v>
      </c>
      <c r="K162" s="22" t="n">
        <v>8891</v>
      </c>
      <c r="L162" s="22" t="n">
        <v>11588</v>
      </c>
      <c r="M162" s="22" t="n">
        <v>3311</v>
      </c>
      <c r="N162" s="22" t="n">
        <v>4479</v>
      </c>
      <c r="V162" s="22" t="n">
        <v>0</v>
      </c>
      <c r="W162" s="22" t="n">
        <v>30367</v>
      </c>
      <c r="X162" s="22" t="n">
        <v>11588</v>
      </c>
    </row>
    <row r="163">
      <c r="A163" s="20" t="inlineStr">
        <is>
          <t>자기주식 취득</t>
        </is>
      </c>
      <c r="G163" s="22" t="n">
        <v>0</v>
      </c>
      <c r="H163" s="22" t="n">
        <v>0</v>
      </c>
      <c r="I163" s="22" t="n">
        <v>0</v>
      </c>
      <c r="J163" s="22" t="n">
        <v>0</v>
      </c>
      <c r="K163" s="22" t="n">
        <v>-0</v>
      </c>
      <c r="L163" s="22" t="n">
        <v>-2</v>
      </c>
      <c r="M163" s="22" t="n">
        <v>-18</v>
      </c>
      <c r="N163" s="22" t="n">
        <v>-800342</v>
      </c>
      <c r="W163" s="22" t="n">
        <v>0</v>
      </c>
      <c r="X163" s="22" t="n">
        <v>-2</v>
      </c>
    </row>
    <row r="164">
      <c r="A164" s="9" t="inlineStr">
        <is>
          <t>재무활동 현금흐름</t>
        </is>
      </c>
      <c r="C164" s="12" t="n">
        <v>94709</v>
      </c>
      <c r="D164" s="12" t="n">
        <v>3238</v>
      </c>
      <c r="E164" s="12" t="n">
        <v>-84157</v>
      </c>
      <c r="F164" s="12" t="n">
        <v>-221718</v>
      </c>
      <c r="G164" s="12" t="n">
        <v>-272265</v>
      </c>
      <c r="H164" s="12" t="n">
        <v>-322679</v>
      </c>
      <c r="I164" s="12" t="n">
        <v>-17277</v>
      </c>
      <c r="J164" s="12" t="n">
        <v>-2006</v>
      </c>
      <c r="K164" s="12" t="n">
        <v>-43634</v>
      </c>
      <c r="L164" s="12" t="n">
        <v>-96074</v>
      </c>
      <c r="M164" s="12" t="n">
        <v>-430364</v>
      </c>
      <c r="N164" s="12" t="n">
        <v>-1257394</v>
      </c>
      <c r="V164" s="12" t="n">
        <v>3238</v>
      </c>
      <c r="W164" s="12" t="n">
        <v>-322679</v>
      </c>
      <c r="X164" s="12" t="n">
        <v>-96074</v>
      </c>
    </row>
    <row r="165">
      <c r="A165" s="20" t="inlineStr">
        <is>
          <t>현금성자산 환산차이</t>
        </is>
      </c>
      <c r="C165" s="22" t="n">
        <v>874</v>
      </c>
      <c r="D165" s="22" t="n">
        <v>2746</v>
      </c>
      <c r="E165" s="22" t="n">
        <v>2533</v>
      </c>
      <c r="F165" s="22" t="n">
        <v>-1204</v>
      </c>
      <c r="G165" s="22" t="n">
        <v>2170</v>
      </c>
      <c r="H165" s="22" t="n">
        <v>-387</v>
      </c>
      <c r="I165" s="22" t="n">
        <v>782</v>
      </c>
      <c r="J165" s="22" t="n">
        <v>1350</v>
      </c>
      <c r="K165" s="22" t="n">
        <v>3254</v>
      </c>
      <c r="L165" s="22" t="n">
        <v>3821</v>
      </c>
      <c r="M165" s="22" t="n">
        <v>1652</v>
      </c>
      <c r="N165" s="22" t="n">
        <v>-2538</v>
      </c>
      <c r="V165" s="22" t="n">
        <v>2746</v>
      </c>
      <c r="W165" s="22" t="n">
        <v>-387</v>
      </c>
      <c r="X165" s="22" t="n">
        <v>3821</v>
      </c>
    </row>
    <row r="166">
      <c r="A166" s="20" t="inlineStr">
        <is>
          <t>현금성자산 증감</t>
        </is>
      </c>
      <c r="C166" s="22" t="n">
        <v>-51637</v>
      </c>
      <c r="D166" s="22" t="n">
        <v>-73758</v>
      </c>
      <c r="E166" s="22" t="n">
        <v>-17520</v>
      </c>
      <c r="F166" s="22" t="n">
        <v>-43899</v>
      </c>
      <c r="G166" s="22" t="n">
        <v>-13293</v>
      </c>
      <c r="H166" s="22" t="n">
        <v>-19661</v>
      </c>
      <c r="I166" s="22" t="n">
        <v>10489</v>
      </c>
      <c r="J166" s="22" t="n">
        <v>67614</v>
      </c>
      <c r="K166" s="22" t="n">
        <v>113595</v>
      </c>
      <c r="L166" s="22" t="n">
        <v>302775</v>
      </c>
      <c r="M166" s="22" t="n">
        <v>320307</v>
      </c>
      <c r="N166" s="22" t="n">
        <v>926626</v>
      </c>
      <c r="V166" s="22" t="n">
        <v>-73758</v>
      </c>
      <c r="W166" s="22" t="n">
        <v>-19661</v>
      </c>
      <c r="X166" s="22" t="n">
        <v>302775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</cols>
  <sheetData>
    <row r="1" ht="30" customHeight="1">
      <c r="A1" s="1" t="inlineStr">
        <is>
          <t>285A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2024</t>
        </is>
      </c>
      <c r="I3" s="5" t="inlineStr">
        <is>
          <t>2025</t>
        </is>
      </c>
      <c r="J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</row>
    <row r="5">
      <c r="A5" s="9" t="inlineStr">
        <is>
          <t>유동자산</t>
        </is>
      </c>
      <c r="B5" s="10" t="n"/>
      <c r="C5" s="11" t="n">
        <v>890275</v>
      </c>
      <c r="D5" s="12" t="n"/>
      <c r="E5" s="12" t="n">
        <v>1617829</v>
      </c>
      <c r="F5" s="12" t="n">
        <v>1617829</v>
      </c>
      <c r="G5" s="12" t="n">
        <v>3596711</v>
      </c>
      <c r="H5" s="11" t="n">
        <v>651375</v>
      </c>
      <c r="I5" s="12" t="n">
        <v>806709</v>
      </c>
      <c r="J5" s="12" t="n">
        <v>1617829</v>
      </c>
    </row>
    <row r="6">
      <c r="A6" s="20" t="inlineStr">
        <is>
          <t>현금및현금성자산</t>
        </is>
      </c>
      <c r="B6" s="10" t="n"/>
      <c r="C6" s="21" t="n">
        <v>235546</v>
      </c>
      <c r="D6" s="22" t="n"/>
      <c r="E6" s="22" t="n">
        <v>470707</v>
      </c>
      <c r="F6" s="22" t="n">
        <v>470707</v>
      </c>
      <c r="G6" s="22" t="n">
        <v>1397333</v>
      </c>
      <c r="H6" s="21" t="n">
        <v>187593</v>
      </c>
      <c r="I6" s="22" t="n">
        <v>167932</v>
      </c>
      <c r="J6" s="22" t="n">
        <v>470707</v>
      </c>
    </row>
    <row r="7">
      <c r="A7" s="20" t="inlineStr">
        <is>
          <t>단기금융상품</t>
        </is>
      </c>
      <c r="B7" s="10" t="n"/>
      <c r="C7" s="21" t="n">
        <v>3929</v>
      </c>
      <c r="D7" s="22" t="n"/>
      <c r="E7" s="22" t="n">
        <v>7191</v>
      </c>
      <c r="F7" s="22" t="n">
        <v>7191</v>
      </c>
      <c r="G7" s="22" t="n">
        <v>23005</v>
      </c>
      <c r="H7" s="21" t="n">
        <v>5353</v>
      </c>
      <c r="I7" s="22" t="n">
        <v>3971</v>
      </c>
      <c r="J7" s="22" t="n">
        <v>7191</v>
      </c>
    </row>
    <row r="8">
      <c r="A8" s="20" t="inlineStr">
        <is>
          <t>매출채권</t>
        </is>
      </c>
      <c r="B8" s="10" t="n"/>
      <c r="C8" s="21" t="n">
        <v>236412</v>
      </c>
      <c r="D8" s="22" t="n"/>
      <c r="E8" s="22" t="n">
        <v>660559</v>
      </c>
      <c r="F8" s="22" t="n">
        <v>660559</v>
      </c>
      <c r="G8" s="22" t="n">
        <v>1648356</v>
      </c>
      <c r="H8" s="21" t="n">
        <v>149815</v>
      </c>
      <c r="I8" s="22" t="n">
        <v>238594</v>
      </c>
      <c r="J8" s="22" t="n">
        <v>660559</v>
      </c>
    </row>
    <row r="9">
      <c r="A9" s="20" t="inlineStr">
        <is>
          <t>재고자산</t>
        </is>
      </c>
      <c r="B9" s="10" t="n"/>
      <c r="C9" s="21" t="n">
        <v>361634</v>
      </c>
      <c r="D9" s="22" t="n"/>
      <c r="E9" s="22" t="n">
        <v>412612</v>
      </c>
      <c r="F9" s="22" t="n">
        <v>412612</v>
      </c>
      <c r="G9" s="22" t="n">
        <v>446026</v>
      </c>
      <c r="H9" s="21" t="n">
        <v>271781</v>
      </c>
      <c r="I9" s="22" t="n">
        <v>352863</v>
      </c>
      <c r="J9" s="22" t="n">
        <v>412612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</row>
    <row r="11">
      <c r="A11" s="9" t="inlineStr">
        <is>
          <t>비유동자산</t>
        </is>
      </c>
      <c r="B11" s="10" t="n"/>
      <c r="C11" s="11" t="n">
        <v>2091944</v>
      </c>
      <c r="D11" s="12" t="n"/>
      <c r="E11" s="12" t="n">
        <v>2072242</v>
      </c>
      <c r="F11" s="12" t="n">
        <v>2072242</v>
      </c>
      <c r="G11" s="12" t="n">
        <v>2287174</v>
      </c>
      <c r="H11" s="11" t="n">
        <v>2213566</v>
      </c>
      <c r="I11" s="12" t="n">
        <v>2112970</v>
      </c>
      <c r="J11" s="12" t="n">
        <v>2072242</v>
      </c>
    </row>
    <row r="12">
      <c r="A12" s="20" t="inlineStr">
        <is>
          <t>유형자산</t>
        </is>
      </c>
      <c r="B12" s="10" t="n"/>
      <c r="C12" s="21" t="n">
        <v>1068664</v>
      </c>
      <c r="D12" s="22" t="n"/>
      <c r="E12" s="22" t="n">
        <v>1055255</v>
      </c>
      <c r="F12" s="22" t="n">
        <v>1055255</v>
      </c>
      <c r="G12" s="22" t="n">
        <v>1109724</v>
      </c>
      <c r="H12" s="21" t="n">
        <v>1168765</v>
      </c>
      <c r="I12" s="22" t="n">
        <v>1100181</v>
      </c>
      <c r="J12" s="22" t="n">
        <v>1055255</v>
      </c>
    </row>
    <row r="13">
      <c r="A13" s="20" t="inlineStr">
        <is>
          <t>무형자산</t>
        </is>
      </c>
      <c r="B13" s="10" t="n"/>
      <c r="C13" s="21" t="n">
        <v>11244</v>
      </c>
      <c r="D13" s="22" t="n"/>
      <c r="E13" s="22" t="n">
        <v>11192</v>
      </c>
      <c r="F13" s="22" t="n">
        <v>11192</v>
      </c>
      <c r="G13" s="22" t="n">
        <v>11772</v>
      </c>
      <c r="H13" s="21" t="n">
        <v>11259</v>
      </c>
      <c r="I13" s="22" t="n">
        <v>10658</v>
      </c>
      <c r="J13" s="22" t="n">
        <v>11192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</row>
    <row r="16">
      <c r="A16" s="9" t="inlineStr">
        <is>
          <t>자산총계</t>
        </is>
      </c>
      <c r="B16" s="10" t="n"/>
      <c r="C16" s="11" t="n">
        <v>2982219</v>
      </c>
      <c r="D16" s="12" t="n"/>
      <c r="E16" s="12" t="n">
        <v>3690071</v>
      </c>
      <c r="F16" s="12" t="n">
        <v>3690071</v>
      </c>
      <c r="G16" s="12" t="n">
        <v>5883885</v>
      </c>
      <c r="H16" s="11" t="n">
        <v>2864941</v>
      </c>
      <c r="I16" s="12" t="n">
        <v>2919679</v>
      </c>
      <c r="J16" s="12" t="n">
        <v>3690071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</row>
    <row r="18">
      <c r="A18" s="9" t="inlineStr">
        <is>
          <t>유동부채</t>
        </is>
      </c>
      <c r="B18" s="10" t="n"/>
      <c r="C18" s="11" t="n">
        <v>904439</v>
      </c>
      <c r="D18" s="12" t="n"/>
      <c r="E18" s="12" t="n">
        <v>1098008</v>
      </c>
      <c r="F18" s="12" t="n">
        <v>1098008</v>
      </c>
      <c r="G18" s="12" t="n">
        <v>2037531</v>
      </c>
      <c r="H18" s="11" t="n">
        <v>1866127</v>
      </c>
      <c r="I18" s="12" t="n">
        <v>985173</v>
      </c>
      <c r="J18" s="12" t="n">
        <v>1098008</v>
      </c>
    </row>
    <row r="19">
      <c r="A19" s="20" t="inlineStr">
        <is>
          <t>매입채무</t>
        </is>
      </c>
      <c r="B19" s="10" t="n"/>
      <c r="C19" s="21" t="n">
        <v>544641</v>
      </c>
      <c r="D19" s="22" t="n"/>
      <c r="E19" s="22" t="n">
        <v>594917</v>
      </c>
      <c r="F19" s="22" t="n">
        <v>594917</v>
      </c>
      <c r="G19" s="22" t="n">
        <v>777408</v>
      </c>
      <c r="H19" s="21" t="n">
        <v>512502</v>
      </c>
      <c r="I19" s="22" t="n">
        <v>504011</v>
      </c>
      <c r="J19" s="22" t="n">
        <v>594917</v>
      </c>
    </row>
    <row r="20">
      <c r="A20" s="20" t="inlineStr">
        <is>
          <t>단기차입금</t>
        </is>
      </c>
      <c r="B20" s="10" t="n"/>
      <c r="C20" s="21" t="n">
        <v>261820</v>
      </c>
      <c r="D20" s="22" t="n"/>
      <c r="E20" s="22" t="n"/>
      <c r="F20" s="22" t="n"/>
      <c r="G20" s="22" t="n"/>
      <c r="H20" s="21" t="n">
        <v>826413</v>
      </c>
      <c r="I20" s="22" t="n">
        <v>246508</v>
      </c>
      <c r="J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</row>
    <row r="23">
      <c r="A23" s="9" t="inlineStr">
        <is>
          <t>비유동부채</t>
        </is>
      </c>
      <c r="B23" s="10" t="n"/>
      <c r="C23" s="11" t="n">
        <v>1258438</v>
      </c>
      <c r="D23" s="12" t="n"/>
      <c r="E23" s="12" t="n">
        <v>1192984</v>
      </c>
      <c r="F23" s="12" t="n">
        <v>1192984</v>
      </c>
      <c r="G23" s="12" t="n">
        <v>917238</v>
      </c>
      <c r="H23" s="11" t="n">
        <v>549048</v>
      </c>
      <c r="I23" s="12" t="n">
        <v>1196810</v>
      </c>
      <c r="J23" s="12" t="n">
        <v>1192984</v>
      </c>
    </row>
    <row r="24">
      <c r="A24" s="20" t="inlineStr">
        <is>
          <t>장기차입금</t>
        </is>
      </c>
      <c r="B24" s="10" t="n"/>
      <c r="C24" s="21" t="n">
        <v>507057</v>
      </c>
      <c r="D24" s="22" t="n"/>
      <c r="E24" s="22" t="n"/>
      <c r="F24" s="22" t="n"/>
      <c r="G24" s="22" t="n"/>
      <c r="H24" s="21" t="n">
        <v>284899</v>
      </c>
      <c r="I24" s="22" t="n">
        <v>531198</v>
      </c>
      <c r="J24" s="22" t="n"/>
    </row>
    <row r="25">
      <c r="A25" s="20" t="inlineStr">
        <is>
          <t>사채</t>
        </is>
      </c>
      <c r="B25" s="10" t="n"/>
      <c r="C25" s="21" t="n">
        <v>920910</v>
      </c>
      <c r="D25" s="22" t="n"/>
      <c r="E25" s="22" t="n">
        <v>872116</v>
      </c>
      <c r="F25" s="22" t="n">
        <v>872116</v>
      </c>
      <c r="G25" s="22" t="n">
        <v>543231</v>
      </c>
      <c r="H25" s="21" t="n"/>
      <c r="I25" s="22" t="n">
        <v>531198</v>
      </c>
      <c r="J25" s="22" t="n">
        <v>872116</v>
      </c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</row>
    <row r="27">
      <c r="A27" s="9" t="inlineStr">
        <is>
          <t>부채총계</t>
        </is>
      </c>
      <c r="B27" s="10" t="n"/>
      <c r="C27" s="11" t="n">
        <v>2162877</v>
      </c>
      <c r="D27" s="12" t="n"/>
      <c r="E27" s="12" t="n">
        <v>2290992</v>
      </c>
      <c r="F27" s="12" t="n">
        <v>2290992</v>
      </c>
      <c r="G27" s="12" t="n">
        <v>2954769</v>
      </c>
      <c r="H27" s="11" t="n">
        <v>2415175</v>
      </c>
      <c r="I27" s="12" t="n">
        <v>2181983</v>
      </c>
      <c r="J27" s="12" t="n">
        <v>2290992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</row>
    <row r="31">
      <c r="A31" s="9" t="inlineStr">
        <is>
          <t>지배주주지분</t>
        </is>
      </c>
      <c r="B31" s="10" t="n"/>
      <c r="C31" s="11" t="n">
        <v>819203</v>
      </c>
      <c r="D31" s="12" t="n"/>
      <c r="E31" s="12" t="n">
        <v>1398929</v>
      </c>
      <c r="F31" s="12" t="n">
        <v>1398929</v>
      </c>
      <c r="G31" s="12" t="n">
        <v>2928964</v>
      </c>
      <c r="H31" s="11" t="n">
        <v>449635</v>
      </c>
      <c r="I31" s="12" t="n">
        <v>737565</v>
      </c>
      <c r="J31" s="12" t="n">
        <v>1398929</v>
      </c>
    </row>
    <row r="32">
      <c r="A32" s="20" t="inlineStr">
        <is>
          <t>자본금</t>
        </is>
      </c>
      <c r="B32" s="10" t="n"/>
      <c r="C32" s="21" t="n">
        <v>25578</v>
      </c>
      <c r="D32" s="22" t="n"/>
      <c r="E32" s="22" t="n">
        <v>31284</v>
      </c>
      <c r="F32" s="22" t="n">
        <v>31284</v>
      </c>
      <c r="G32" s="22" t="n">
        <v>34804</v>
      </c>
      <c r="H32" s="21" t="n">
        <v>10000</v>
      </c>
      <c r="I32" s="22" t="n">
        <v>25239</v>
      </c>
      <c r="J32" s="22" t="n">
        <v>31284</v>
      </c>
    </row>
    <row r="33">
      <c r="A33" s="20" t="inlineStr">
        <is>
          <t>이익잉여금</t>
        </is>
      </c>
      <c r="B33" s="10" t="n"/>
      <c r="C33" s="21" t="n">
        <v>-130594</v>
      </c>
      <c r="D33" s="22" t="n"/>
      <c r="E33" s="22" t="n">
        <v>366955</v>
      </c>
      <c r="F33" s="22" t="n">
        <v>366955</v>
      </c>
      <c r="G33" s="22" t="n">
        <v>2564812</v>
      </c>
      <c r="H33" s="21" t="n">
        <v>-463054</v>
      </c>
      <c r="I33" s="22" t="n">
        <v>-189547</v>
      </c>
      <c r="J33" s="22" t="n">
        <v>366955</v>
      </c>
    </row>
    <row r="34">
      <c r="A34" s="20" t="inlineStr">
        <is>
          <t>비지배지분</t>
        </is>
      </c>
      <c r="B34" s="10" t="n"/>
      <c r="C34" s="21" t="n">
        <v>139</v>
      </c>
      <c r="D34" s="22" t="n"/>
      <c r="E34" s="22" t="n">
        <v>150</v>
      </c>
      <c r="F34" s="22" t="n">
        <v>150</v>
      </c>
      <c r="G34" s="22" t="n">
        <v>152</v>
      </c>
      <c r="H34" s="21" t="n">
        <v>131</v>
      </c>
      <c r="I34" s="22" t="n">
        <v>131</v>
      </c>
      <c r="J34" s="22" t="n">
        <v>150</v>
      </c>
    </row>
    <row r="35">
      <c r="A35" s="9" t="inlineStr">
        <is>
          <t>자본총계</t>
        </is>
      </c>
      <c r="B35" s="10" t="n"/>
      <c r="C35" s="11" t="n">
        <v>819342</v>
      </c>
      <c r="D35" s="12" t="n"/>
      <c r="E35" s="12" t="n">
        <v>1399079</v>
      </c>
      <c r="F35" s="12" t="n">
        <v>1399079</v>
      </c>
      <c r="G35" s="12" t="n">
        <v>2929116</v>
      </c>
      <c r="H35" s="11" t="n">
        <v>449766</v>
      </c>
      <c r="I35" s="12" t="n">
        <v>737696</v>
      </c>
      <c r="J35" s="12" t="n">
        <v>1399079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</row>
    <row r="37">
      <c r="A37" s="9" t="inlineStr">
        <is>
          <t>영업활동현금흐름</t>
        </is>
      </c>
      <c r="B37" s="10" t="n"/>
      <c r="C37" s="11" t="n">
        <v>442380</v>
      </c>
      <c r="D37" s="12" t="n">
        <v>409703</v>
      </c>
      <c r="E37" s="12" t="n">
        <v>426023</v>
      </c>
      <c r="F37" s="12" t="n">
        <v>616540</v>
      </c>
      <c r="G37" s="12" t="n">
        <v>1421771</v>
      </c>
      <c r="H37" s="11" t="n">
        <v>195111</v>
      </c>
      <c r="I37" s="12" t="n">
        <v>476416</v>
      </c>
      <c r="J37" s="12" t="n">
        <v>616540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233014</v>
      </c>
      <c r="D38" s="22" t="n">
        <v>283197</v>
      </c>
      <c r="E38" s="22" t="n">
        <v>296284</v>
      </c>
      <c r="F38" s="22" t="n">
        <v>283674</v>
      </c>
      <c r="G38" s="22" t="n">
        <v>282499</v>
      </c>
      <c r="H38" s="21" t="n">
        <v>305097</v>
      </c>
      <c r="I38" s="22" t="n">
        <v>225603</v>
      </c>
      <c r="J38" s="22" t="n">
        <v>283674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/>
      <c r="I40" s="22" t="n"/>
      <c r="J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IFERROR((IF(COUNT('연간'!F19:I19)&lt;4,"",SUM('연간'!F19:I19)))/(IF(COUNT('연간'!F41:I41)&lt;4,"",SUM('연간'!F41:I41))),"")</f>
        <v/>
      </c>
      <c r="D48" s="33">
        <f>IFERROR((IF(COUNT('연간'!G19:J19)&lt;4,"",SUM('연간'!G19:J19)))/(IF(COUNT('연간'!G41:J41)&lt;4,"",SUM('연간'!G41:J41))),"")</f>
        <v/>
      </c>
      <c r="E48" s="33">
        <f>IFERROR((IF(COUNT('연간'!H19:K19)&lt;4,"",SUM('연간'!H19:K19)))/(IF(COUNT('연간'!H41:K41)&lt;4,"",SUM('연간'!H41:K41))),"")</f>
        <v/>
      </c>
      <c r="F48" s="33">
        <f>IFERROR((IF(COUNT('연간'!I19:L19)&lt;4,"",SUM('연간'!I19:L19)))/(IF(COUNT('연간'!I41:L41)&lt;4,"",SUM('연간'!I41:L41))),"")</f>
        <v/>
      </c>
      <c r="G48" s="33">
        <f>IFERROR((IF(COUNT('연간'!J19:M19)&lt;4,"",SUM('연간'!J19:M19)))/(IF(COUNT('연간'!J41:M41)&lt;4,"",SUM('연간'!J41:M41))),"")</f>
        <v/>
      </c>
      <c r="H48" s="32">
        <f>IFERROR(('연간'!V19)/('연간'!V41),"")</f>
        <v/>
      </c>
      <c r="I48" s="33">
        <f>IFERROR(('연간'!W19)/('연간'!W41),"")</f>
        <v/>
      </c>
      <c r="J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IFERROR(IF((IF(COUNT('연간'!F49:I49)&lt;4,"",SUM('연간'!F49:I49)))&lt;=0,"적자",C28/(IF(COUNT('연간'!F49:I49)&lt;4,"",SUM('연간'!F49:I49)))),"")</f>
        <v/>
      </c>
      <c r="D49" s="49">
        <f>IFERROR(IF((IF(COUNT('연간'!G49:J49)&lt;4,"",SUM('연간'!G49:J49)))&lt;=0,"적자",D28/(IF(COUNT('연간'!G49:J49)&lt;4,"",SUM('연간'!G49:J49)))),"")</f>
        <v/>
      </c>
      <c r="E49" s="49">
        <f>IFERROR(IF((IF(COUNT('연간'!H49:K49)&lt;4,"",SUM('연간'!H49:K49)))&lt;=0,"적자",E28/(IF(COUNT('연간'!H49:K49)&lt;4,"",SUM('연간'!H49:K49)))),"")</f>
        <v/>
      </c>
      <c r="F49" s="49">
        <f>IFERROR(IF((IF(COUNT('연간'!I49:L49)&lt;4,"",SUM('연간'!I49:L49)))&lt;=0,"적자",F28/(IF(COUNT('연간'!I49:L49)&lt;4,"",SUM('연간'!I49:L49)))),"")</f>
        <v/>
      </c>
      <c r="G49" s="49">
        <f>IFERROR(IF((IF(COUNT('연간'!J49:M49)&lt;4,"",SUM('연간'!J49:M49)))&lt;=0,"적자",G28/(IF(COUNT('연간'!J49:M49)&lt;4,"",SUM('연간'!J49:M49)))),"")</f>
        <v/>
      </c>
      <c r="H49" s="48">
        <f>IFERROR(IF(('연간'!V49)&lt;=0,"적자",H28/('연간'!V49)),"")</f>
        <v/>
      </c>
      <c r="I49" s="49">
        <f>IFERROR(IF(('연간'!W49)&lt;=0,"적자",I28/('연간'!W49)),"")</f>
        <v/>
      </c>
      <c r="J49" s="49">
        <f>IFERROR(IF(('연간'!X49)&lt;=0,"적자",J28/('연간'!X49)),"")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IFERROR((IF(COUNT('연간'!F49:I49)&lt;4,"",SUM('연간'!F49:I49)))/C31,"")</f>
        <v/>
      </c>
      <c r="D51" s="38">
        <f>IFERROR((IF(COUNT('연간'!G49:J49)&lt;4,"",SUM('연간'!G49:J49)))/D31,"")</f>
        <v/>
      </c>
      <c r="E51" s="38">
        <f>IFERROR((IF(COUNT('연간'!H49:K49)&lt;4,"",SUM('연간'!H49:K49)))/E31,"")</f>
        <v/>
      </c>
      <c r="F51" s="38">
        <f>IFERROR((IF(COUNT('연간'!I49:L49)&lt;4,"",SUM('연간'!I49:L49)))/F31,"")</f>
        <v/>
      </c>
      <c r="G51" s="38">
        <f>IFERROR((IF(COUNT('연간'!J49:M49)&lt;4,"",SUM('연간'!J49:M49)))/G31,"")</f>
        <v/>
      </c>
      <c r="H51" s="37">
        <f>IFERROR(('연간'!V49)/H31,"")</f>
        <v/>
      </c>
      <c r="I51" s="38">
        <f>IFERROR(('연간'!W49)/I31,"")</f>
        <v/>
      </c>
      <c r="J51" s="38">
        <f>IFERROR(('연간'!X49)/J31,"")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IFERROR((IF(COUNT('연간'!F47:I47)&lt;4,"",SUM('연간'!F47:I47)))/C16,"")</f>
        <v/>
      </c>
      <c r="D52" s="38">
        <f>IFERROR((IF(COUNT('연간'!G47:J47)&lt;4,"",SUM('연간'!G47:J47)))/D16,"")</f>
        <v/>
      </c>
      <c r="E52" s="38">
        <f>IFERROR((IF(COUNT('연간'!H47:K47)&lt;4,"",SUM('연간'!H47:K47)))/E16,"")</f>
        <v/>
      </c>
      <c r="F52" s="38">
        <f>IFERROR((IF(COUNT('연간'!I47:L47)&lt;4,"",SUM('연간'!I47:L47)))/F16,"")</f>
        <v/>
      </c>
      <c r="G52" s="38">
        <f>IFERROR((IF(COUNT('연간'!J47:M47)&lt;4,"",SUM('연간'!J47:M47)))/G16,"")</f>
        <v/>
      </c>
      <c r="H52" s="37">
        <f>IFERROR(('연간'!V47)/H16,"")</f>
        <v/>
      </c>
      <c r="I52" s="38">
        <f>IFERROR(('연간'!W47)/I16,"")</f>
        <v/>
      </c>
      <c r="J52" s="38">
        <f>IFERROR(('연간'!X47)/J16,"")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IFERROR((IF(COUNT('연간'!F19:I19)&lt;4,"",SUM('연간'!F19:I19)))*(1-0.3)/(C35+C29),"")</f>
        <v/>
      </c>
      <c r="D53" s="38">
        <f>IFERROR((IF(COUNT('연간'!G19:J19)&lt;4,"",SUM('연간'!G19:J19)))*(1-0.3)/(D35+D29),"")</f>
        <v/>
      </c>
      <c r="E53" s="38">
        <f>IFERROR((IF(COUNT('연간'!H19:K19)&lt;4,"",SUM('연간'!H19:K19)))*(1-0.3)/(E35+E29),"")</f>
        <v/>
      </c>
      <c r="F53" s="38">
        <f>IFERROR((IF(COUNT('연간'!I19:L19)&lt;4,"",SUM('연간'!I19:L19)))*(1-0.3)/(F35+F29),"")</f>
        <v/>
      </c>
      <c r="G53" s="38">
        <f>IFERROR((IF(COUNT('연간'!J19:M19)&lt;4,"",SUM('연간'!J19:M19)))*(1-0.3)/(G35+G29),"")</f>
        <v/>
      </c>
      <c r="H53" s="37">
        <f>IFERROR(('연간'!V19)*(1-0.3)/(H35+H29),"")</f>
        <v/>
      </c>
      <c r="I53" s="38">
        <f>IFERROR(('연간'!W19)*(1-0.3)/(I35+I29),"")</f>
        <v/>
      </c>
      <c r="J53" s="38">
        <f>IFERROR(('연간'!X19)*(1-0.3)/(J35+J29),"")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IFERROR((IF(COUNT('연간'!F13:I13)&lt;4,"",SUM('연간'!F13:I13)))/(IF(COUNT('연간'!F4:I4)&lt;4,"",SUM('연간'!F4:I4))),"")</f>
        <v/>
      </c>
      <c r="D54" s="38">
        <f>IFERROR((IF(COUNT('연간'!G13:J13)&lt;4,"",SUM('연간'!G13:J13)))/(IF(COUNT('연간'!G4:J4)&lt;4,"",SUM('연간'!G4:J4))),"")</f>
        <v/>
      </c>
      <c r="E54" s="38">
        <f>IFERROR((IF(COUNT('연간'!H13:K13)&lt;4,"",SUM('연간'!H13:K13)))/(IF(COUNT('연간'!H4:K4)&lt;4,"",SUM('연간'!H4:K4))),"")</f>
        <v/>
      </c>
      <c r="F54" s="38">
        <f>IFERROR((IF(COUNT('연간'!I13:L13)&lt;4,"",SUM('연간'!I13:L13)))/(IF(COUNT('연간'!I4:L4)&lt;4,"",SUM('연간'!I4:L4))),"")</f>
        <v/>
      </c>
      <c r="G54" s="38">
        <f>IFERROR((IF(COUNT('연간'!J13:M13)&lt;4,"",SUM('연간'!J13:M13)))/(IF(COUNT('연간'!J4:M4)&lt;4,"",SUM('연간'!J4:M4))),"")</f>
        <v/>
      </c>
      <c r="H54" s="37">
        <f>IFERROR(('연간'!V13)/('연간'!V4),"")</f>
        <v/>
      </c>
      <c r="I54" s="38">
        <f>IFERROR(('연간'!W13)/('연간'!W4),"")</f>
        <v/>
      </c>
      <c r="J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IFERROR((IF(COUNT('연간'!F19:I19)&lt;4,"",SUM('연간'!F19:I19)))/(IF(COUNT('연간'!F4:I4)&lt;4,"",SUM('연간'!F4:I4))),"")</f>
        <v/>
      </c>
      <c r="D55" s="38">
        <f>IFERROR((IF(COUNT('연간'!G19:J19)&lt;4,"",SUM('연간'!G19:J19)))/(IF(COUNT('연간'!G4:J4)&lt;4,"",SUM('연간'!G4:J4))),"")</f>
        <v/>
      </c>
      <c r="E55" s="38">
        <f>IFERROR((IF(COUNT('연간'!H19:K19)&lt;4,"",SUM('연간'!H19:K19)))/(IF(COUNT('연간'!H4:K4)&lt;4,"",SUM('연간'!H4:K4))),"")</f>
        <v/>
      </c>
      <c r="F55" s="38">
        <f>IFERROR((IF(COUNT('연간'!I19:L19)&lt;4,"",SUM('연간'!I19:L19)))/(IF(COUNT('연간'!I4:L4)&lt;4,"",SUM('연간'!I4:L4))),"")</f>
        <v/>
      </c>
      <c r="G55" s="38">
        <f>IFERROR((IF(COUNT('연간'!J19:M19)&lt;4,"",SUM('연간'!J19:M19)))/(IF(COUNT('연간'!J4:M4)&lt;4,"",SUM('연간'!J4:M4))),"")</f>
        <v/>
      </c>
      <c r="H55" s="37">
        <f>IFERROR(('연간'!V19)/('연간'!V4),"")</f>
        <v/>
      </c>
      <c r="I55" s="38">
        <f>IFERROR(('연간'!W19)/('연간'!W4),"")</f>
        <v/>
      </c>
      <c r="J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IFERROR((IF(COUNT('연간'!F47:I47)&lt;4,"",SUM('연간'!F47:I47)))/(IF(COUNT('연간'!F4:I4)&lt;4,"",SUM('연간'!F4:I4))),"")</f>
        <v/>
      </c>
      <c r="D56" s="38">
        <f>IFERROR((IF(COUNT('연간'!G47:J47)&lt;4,"",SUM('연간'!G47:J47)))/(IF(COUNT('연간'!G4:J4)&lt;4,"",SUM('연간'!G4:J4))),"")</f>
        <v/>
      </c>
      <c r="E56" s="38">
        <f>IFERROR((IF(COUNT('연간'!H47:K47)&lt;4,"",SUM('연간'!H47:K47)))/(IF(COUNT('연간'!H4:K4)&lt;4,"",SUM('연간'!H4:K4))),"")</f>
        <v/>
      </c>
      <c r="F56" s="38">
        <f>IFERROR((IF(COUNT('연간'!I47:L47)&lt;4,"",SUM('연간'!I47:L47)))/(IF(COUNT('연간'!I4:L4)&lt;4,"",SUM('연간'!I4:L4))),"")</f>
        <v/>
      </c>
      <c r="G56" s="38">
        <f>IFERROR((IF(COUNT('연간'!J47:M47)&lt;4,"",SUM('연간'!J47:M47)))/(IF(COUNT('연간'!J4:M4)&lt;4,"",SUM('연간'!J4:M4))),"")</f>
        <v/>
      </c>
      <c r="H56" s="37">
        <f>IFERROR(('연간'!V47)/('연간'!V4),"")</f>
        <v/>
      </c>
      <c r="I56" s="38">
        <f>IFERROR(('연간'!W47)/('연간'!W4),"")</f>
        <v/>
      </c>
      <c r="J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IFERROR((IF(COUNT('연간'!F4:I4)&lt;4,"",SUM('연간'!F4:I4)))/C16,"")</f>
        <v/>
      </c>
      <c r="D58" s="33">
        <f>IFERROR((IF(COUNT('연간'!G4:J4)&lt;4,"",SUM('연간'!G4:J4)))/D16,"")</f>
        <v/>
      </c>
      <c r="E58" s="33">
        <f>IFERROR((IF(COUNT('연간'!H4:K4)&lt;4,"",SUM('연간'!H4:K4)))/E16,"")</f>
        <v/>
      </c>
      <c r="F58" s="33">
        <f>IFERROR((IF(COUNT('연간'!I4:L4)&lt;4,"",SUM('연간'!I4:L4)))/F16,"")</f>
        <v/>
      </c>
      <c r="G58" s="33">
        <f>IFERROR((IF(COUNT('연간'!J4:M4)&lt;4,"",SUM('연간'!J4:M4)))/G16,"")</f>
        <v/>
      </c>
      <c r="H58" s="32">
        <f>IFERROR(('연간'!V4)/H16,"")</f>
        <v/>
      </c>
      <c r="I58" s="33">
        <f>IFERROR(('연간'!W4)/I16,"")</f>
        <v/>
      </c>
      <c r="J58" s="33">
        <f>IFERROR(('연간'!X4)/J16,"")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IFERROR(C8/(IF(COUNT('연간'!F4:I4)&lt;4,"",SUM('연간'!F4:I4)))*365,"")</f>
        <v/>
      </c>
      <c r="D59" s="51">
        <f>IFERROR(D8/(IF(COUNT('연간'!G4:J4)&lt;4,"",SUM('연간'!G4:J4)))*365,"")</f>
        <v/>
      </c>
      <c r="E59" s="51">
        <f>IFERROR(E8/(IF(COUNT('연간'!H4:K4)&lt;4,"",SUM('연간'!H4:K4)))*365,"")</f>
        <v/>
      </c>
      <c r="F59" s="51">
        <f>IFERROR(F8/(IF(COUNT('연간'!I4:L4)&lt;4,"",SUM('연간'!I4:L4)))*365,"")</f>
        <v/>
      </c>
      <c r="G59" s="51">
        <f>IFERROR(G8/(IF(COUNT('연간'!J4:M4)&lt;4,"",SUM('연간'!J4:M4)))*365,"")</f>
        <v/>
      </c>
      <c r="H59" s="50">
        <f>IFERROR(H8/('연간'!V4)*365,"")</f>
        <v/>
      </c>
      <c r="I59" s="51">
        <f>IFERROR(I8/('연간'!W4)*365,"")</f>
        <v/>
      </c>
      <c r="J59" s="51">
        <f>IFERROR(J8/('연간'!X4)*365,"")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IFERROR(C9/(IF(COUNT('연간'!F11:I11)&lt;4,"",SUM('연간'!F11:I11)))*365,"")</f>
        <v/>
      </c>
      <c r="D60" s="51">
        <f>IFERROR(D9/(IF(COUNT('연간'!G11:J11)&lt;4,"",SUM('연간'!G11:J11)))*365,"")</f>
        <v/>
      </c>
      <c r="E60" s="51">
        <f>IFERROR(E9/(IF(COUNT('연간'!H11:K11)&lt;4,"",SUM('연간'!H11:K11)))*365,"")</f>
        <v/>
      </c>
      <c r="F60" s="51">
        <f>IFERROR(F9/(IF(COUNT('연간'!I11:L11)&lt;4,"",SUM('연간'!I11:L11)))*365,"")</f>
        <v/>
      </c>
      <c r="G60" s="51">
        <f>IFERROR(G9/(IF(COUNT('연간'!J11:M11)&lt;4,"",SUM('연간'!J11:M11)))*365,"")</f>
        <v/>
      </c>
      <c r="H60" s="50">
        <f>IFERROR(H9/('연간'!V11)*365,"")</f>
        <v/>
      </c>
      <c r="I60" s="51">
        <f>IFERROR(I9/('연간'!W11)*365,"")</f>
        <v/>
      </c>
      <c r="J60" s="51">
        <f>IFERROR(J9/('연간'!X11)*365,"")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IFERROR(C19/(IF(COUNT('연간'!F11:I11)&lt;4,"",SUM('연간'!F11:I11)))*365,"")</f>
        <v/>
      </c>
      <c r="D61" s="51">
        <f>IFERROR(D19/(IF(COUNT('연간'!G11:J11)&lt;4,"",SUM('연간'!G11:J11)))*365,"")</f>
        <v/>
      </c>
      <c r="E61" s="51">
        <f>IFERROR(E19/(IF(COUNT('연간'!H11:K11)&lt;4,"",SUM('연간'!H11:K11)))*365,"")</f>
        <v/>
      </c>
      <c r="F61" s="51">
        <f>IFERROR(F19/(IF(COUNT('연간'!I11:L11)&lt;4,"",SUM('연간'!I11:L11)))*365,"")</f>
        <v/>
      </c>
      <c r="G61" s="51">
        <f>IFERROR(G19/(IF(COUNT('연간'!J11:M11)&lt;4,"",SUM('연간'!J11:M11)))*365,"")</f>
        <v/>
      </c>
      <c r="H61" s="50">
        <f>IFERROR(H19/('연간'!V11)*365,"")</f>
        <v/>
      </c>
      <c r="I61" s="51">
        <f>IFERROR(I19/('연간'!W11)*365,"")</f>
        <v/>
      </c>
      <c r="J61" s="51">
        <f>IFERROR(J19/('연간'!X11)*365,"")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IF(C37="","",IFERROR(C37/(IF(COUNT('연간'!F47:I47)&lt;4,"",SUM('연간'!F47:I47))),""))</f>
        <v/>
      </c>
      <c r="D64" s="33">
        <f>IF(D37="","",IFERROR(D37/(IF(COUNT('연간'!G47:J47)&lt;4,"",SUM('연간'!G47:J47))),""))</f>
        <v/>
      </c>
      <c r="E64" s="33">
        <f>IF(E37="","",IFERROR(E37/(IF(COUNT('연간'!H47:K47)&lt;4,"",SUM('연간'!H47:K47))),""))</f>
        <v/>
      </c>
      <c r="F64" s="33">
        <f>IF(F37="","",IFERROR(F37/(IF(COUNT('연간'!I47:L47)&lt;4,"",SUM('연간'!I47:L47))),""))</f>
        <v/>
      </c>
      <c r="G64" s="33">
        <f>IF(G37="","",IFERROR(G37/(IF(COUNT('연간'!J47:M47)&lt;4,"",SUM('연간'!J47:M47))),""))</f>
        <v/>
      </c>
      <c r="H64" s="32">
        <f>IF(H37="","",IFERROR(H37/('연간'!V47),""))</f>
        <v/>
      </c>
      <c r="I64" s="33">
        <f>IF(I37="","",IFERROR(I37/('연간'!W47),""))</f>
        <v/>
      </c>
      <c r="J64" s="33">
        <f>IF(J37="","",IFERROR(J37/('연간'!X47),""))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IF(C39="","",IFERROR(C39/(IF(COUNT('연간'!F4:I4)&lt;4,"",SUM('연간'!F4:I4))),""))</f>
        <v/>
      </c>
      <c r="D65" s="38">
        <f>IF(D39="","",IFERROR(D39/(IF(COUNT('연간'!G4:J4)&lt;4,"",SUM('연간'!G4:J4))),""))</f>
        <v/>
      </c>
      <c r="E65" s="38">
        <f>IF(E39="","",IFERROR(E39/(IF(COUNT('연간'!H4:K4)&lt;4,"",SUM('연간'!H4:K4))),""))</f>
        <v/>
      </c>
      <c r="F65" s="38">
        <f>IF(F39="","",IFERROR(F39/(IF(COUNT('연간'!I4:L4)&lt;4,"",SUM('연간'!I4:L4))),""))</f>
        <v/>
      </c>
      <c r="G65" s="38">
        <f>IF(G39="","",IFERROR(G39/(IF(COUNT('연간'!J4:M4)&lt;4,"",SUM('연간'!J4:M4))),""))</f>
        <v/>
      </c>
      <c r="H65" s="37">
        <f>IF(H39="","",IFERROR(H39/('연간'!V4),""))</f>
        <v/>
      </c>
      <c r="I65" s="38">
        <f>IF(I39="","",IFERROR(I39/('연간'!W4),""))</f>
        <v/>
      </c>
      <c r="J65" s="38">
        <f>IF(J39="","",IFERROR(J39/('연간'!X4),""))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IF(C38="","",IFERROR(C38/(IF(COUNT('연간'!F4:I4)&lt;4,"",SUM('연간'!F4:I4))),""))</f>
        <v/>
      </c>
      <c r="D66" s="38">
        <f>IF(D38="","",IFERROR(D38/(IF(COUNT('연간'!G4:J4)&lt;4,"",SUM('연간'!G4:J4))),""))</f>
        <v/>
      </c>
      <c r="E66" s="38">
        <f>IF(E38="","",IFERROR(E38/(IF(COUNT('연간'!H4:K4)&lt;4,"",SUM('연간'!H4:K4))),""))</f>
        <v/>
      </c>
      <c r="F66" s="38">
        <f>IF(F38="","",IFERROR(F38/(IF(COUNT('연간'!I4:L4)&lt;4,"",SUM('연간'!I4:L4))),""))</f>
        <v/>
      </c>
      <c r="G66" s="38">
        <f>IF(G38="","",IFERROR(G38/(IF(COUNT('연간'!J4:M4)&lt;4,"",SUM('연간'!J4:M4))),""))</f>
        <v/>
      </c>
      <c r="H66" s="37">
        <f>IF(H38="","",IFERROR(H38/('연간'!V4),""))</f>
        <v/>
      </c>
      <c r="I66" s="38">
        <f>IF(I38="","",IFERROR(I38/('연간'!W4),""))</f>
        <v/>
      </c>
      <c r="J66" s="38">
        <f>IF(J38="","",IFERROR(J38/('연간'!X4),""))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IF(C40="","",IFERROR(C40/(IF(COUNT('연간'!F49:I49)&lt;4,"",SUM('연간'!F49:I49))),""))</f>
        <v/>
      </c>
      <c r="D67" s="38">
        <f>IF(D40="","",IFERROR(D40/(IF(COUNT('연간'!G49:J49)&lt;4,"",SUM('연간'!G49:J49))),""))</f>
        <v/>
      </c>
      <c r="E67" s="38">
        <f>IF(E40="","",IFERROR(E40/(IF(COUNT('연간'!H49:K49)&lt;4,"",SUM('연간'!H49:K49))),""))</f>
        <v/>
      </c>
      <c r="F67" s="38">
        <f>IF(F40="","",IFERROR(F40/(IF(COUNT('연간'!I49:L49)&lt;4,"",SUM('연간'!I49:L49))),""))</f>
        <v/>
      </c>
      <c r="G67" s="38">
        <f>IF(G40="","",IFERROR(G40/(IF(COUNT('연간'!J49:M49)&lt;4,"",SUM('연간'!J49:M49))),""))</f>
        <v/>
      </c>
      <c r="H67" s="37">
        <f>IF(H40="","",IFERROR(H40/('연간'!V49),""))</f>
        <v/>
      </c>
      <c r="I67" s="38">
        <f>IF(I40="","",IFERROR(I40/('연간'!W49),""))</f>
        <v/>
      </c>
      <c r="J67" s="38">
        <f>IF(J40="","",IFERROR(J40/('연간'!X49),""))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2024</t>
        </is>
      </c>
      <c r="I70" s="5" t="inlineStr">
        <is>
          <t>2025</t>
        </is>
      </c>
      <c r="J70" s="5" t="inlineStr">
        <is>
          <t>2026</t>
        </is>
      </c>
    </row>
    <row r="71">
      <c r="A71" s="20" t="inlineStr">
        <is>
          <t>현금및현금성자산</t>
        </is>
      </c>
      <c r="C71" s="22" t="n">
        <v>235546</v>
      </c>
      <c r="E71" s="22" t="n">
        <v>470707</v>
      </c>
      <c r="F71" s="22" t="n">
        <v>470707</v>
      </c>
      <c r="G71" s="22" t="n">
        <v>1397333</v>
      </c>
      <c r="H71" s="22" t="n">
        <v>187593</v>
      </c>
      <c r="I71" s="22" t="n">
        <v>167932</v>
      </c>
      <c r="J71" s="22" t="n">
        <v>470707</v>
      </c>
    </row>
    <row r="72">
      <c r="A72" s="20" t="inlineStr">
        <is>
          <t>영업채권 및 기타채권</t>
        </is>
      </c>
      <c r="C72" s="22" t="n">
        <v>236412</v>
      </c>
      <c r="E72" s="22" t="n">
        <v>660559</v>
      </c>
      <c r="F72" s="22" t="n">
        <v>660559</v>
      </c>
      <c r="G72" s="22" t="n">
        <v>1648356</v>
      </c>
      <c r="H72" s="22" t="n">
        <v>149815</v>
      </c>
      <c r="I72" s="22" t="n">
        <v>238594</v>
      </c>
      <c r="J72" s="22" t="n">
        <v>660559</v>
      </c>
    </row>
    <row r="73">
      <c r="A73" s="20" t="inlineStr">
        <is>
          <t>기타금융자산</t>
        </is>
      </c>
      <c r="C73" s="22" t="n">
        <v>3929</v>
      </c>
      <c r="E73" s="22" t="n">
        <v>7191</v>
      </c>
      <c r="F73" s="22" t="n">
        <v>7191</v>
      </c>
      <c r="G73" s="22" t="n">
        <v>23005</v>
      </c>
      <c r="H73" s="22" t="n">
        <v>5353</v>
      </c>
      <c r="I73" s="22" t="n">
        <v>3971</v>
      </c>
      <c r="J73" s="22" t="n">
        <v>7191</v>
      </c>
    </row>
    <row r="74">
      <c r="A74" s="20" t="inlineStr">
        <is>
          <t>재고자산</t>
        </is>
      </c>
      <c r="C74" s="22" t="n">
        <v>361634</v>
      </c>
      <c r="E74" s="22" t="n">
        <v>412612</v>
      </c>
      <c r="F74" s="22" t="n">
        <v>412612</v>
      </c>
      <c r="G74" s="22" t="n">
        <v>446026</v>
      </c>
      <c r="H74" s="22" t="n">
        <v>271781</v>
      </c>
      <c r="I74" s="22" t="n">
        <v>352863</v>
      </c>
      <c r="J74" s="22" t="n">
        <v>412612</v>
      </c>
    </row>
    <row r="75">
      <c r="A75" s="20" t="inlineStr">
        <is>
          <t>기타유동자산</t>
        </is>
      </c>
      <c r="C75" s="22" t="n">
        <v>52754</v>
      </c>
      <c r="E75" s="22" t="n">
        <v>66760</v>
      </c>
      <c r="F75" s="22" t="n">
        <v>66760</v>
      </c>
      <c r="G75" s="22" t="n">
        <v>81991</v>
      </c>
      <c r="H75" s="22" t="n">
        <v>36833</v>
      </c>
      <c r="I75" s="22" t="n">
        <v>43349</v>
      </c>
      <c r="J75" s="22" t="n">
        <v>66760</v>
      </c>
    </row>
    <row r="76">
      <c r="A76" s="9" t="inlineStr">
        <is>
          <t>유동자산 합계</t>
        </is>
      </c>
      <c r="C76" s="12" t="n">
        <v>890275</v>
      </c>
      <c r="E76" s="12" t="n">
        <v>1617829</v>
      </c>
      <c r="F76" s="12" t="n">
        <v>1617829</v>
      </c>
      <c r="G76" s="12" t="n">
        <v>3596711</v>
      </c>
      <c r="H76" s="12" t="n">
        <v>651375</v>
      </c>
      <c r="I76" s="12" t="n">
        <v>806709</v>
      </c>
      <c r="J76" s="12" t="n">
        <v>1617829</v>
      </c>
    </row>
    <row r="77">
      <c r="A77" s="20" t="inlineStr">
        <is>
          <t>유형자산</t>
        </is>
      </c>
      <c r="C77" s="22" t="n">
        <v>1068664</v>
      </c>
      <c r="E77" s="22" t="n">
        <v>1055255</v>
      </c>
      <c r="F77" s="22" t="n">
        <v>1055255</v>
      </c>
      <c r="G77" s="22" t="n">
        <v>1109724</v>
      </c>
      <c r="H77" s="22" t="n">
        <v>1168765</v>
      </c>
      <c r="I77" s="22" t="n">
        <v>1100181</v>
      </c>
      <c r="J77" s="22" t="n">
        <v>1055255</v>
      </c>
    </row>
    <row r="78">
      <c r="A78" s="20" t="inlineStr">
        <is>
          <t>사용권자산</t>
        </is>
      </c>
      <c r="C78" s="22" t="n">
        <v>192407</v>
      </c>
      <c r="E78" s="22" t="n">
        <v>178092</v>
      </c>
      <c r="F78" s="22" t="n">
        <v>178092</v>
      </c>
      <c r="G78" s="22" t="n">
        <v>171264</v>
      </c>
      <c r="H78" s="22" t="n">
        <v>159719</v>
      </c>
      <c r="I78" s="22" t="n">
        <v>197063</v>
      </c>
      <c r="J78" s="22" t="n">
        <v>178092</v>
      </c>
    </row>
    <row r="79">
      <c r="A79" s="20" t="inlineStr">
        <is>
          <t>영업권</t>
        </is>
      </c>
      <c r="C79" s="22" t="n">
        <v>395511</v>
      </c>
      <c r="E79" s="22" t="n">
        <v>395585</v>
      </c>
      <c r="F79" s="22" t="n">
        <v>395585</v>
      </c>
      <c r="G79" s="22" t="n">
        <v>395550</v>
      </c>
      <c r="H79" s="22" t="n">
        <v>395405</v>
      </c>
      <c r="I79" s="22" t="n">
        <v>395256</v>
      </c>
      <c r="J79" s="22" t="n">
        <v>395585</v>
      </c>
    </row>
    <row r="80">
      <c r="A80" s="20" t="inlineStr">
        <is>
          <t>무형자산</t>
        </is>
      </c>
      <c r="C80" s="22" t="n">
        <v>11244</v>
      </c>
      <c r="E80" s="22" t="n">
        <v>11192</v>
      </c>
      <c r="F80" s="22" t="n">
        <v>11192</v>
      </c>
      <c r="G80" s="22" t="n">
        <v>11772</v>
      </c>
      <c r="H80" s="22" t="n">
        <v>11259</v>
      </c>
      <c r="I80" s="22" t="n">
        <v>10658</v>
      </c>
      <c r="J80" s="22" t="n">
        <v>11192</v>
      </c>
    </row>
    <row r="81">
      <c r="A81" s="20" t="inlineStr">
        <is>
          <t>지분법 투자</t>
        </is>
      </c>
      <c r="C81" s="22" t="n">
        <v>7285</v>
      </c>
      <c r="E81" s="22" t="n">
        <v>8097</v>
      </c>
      <c r="F81" s="22" t="n">
        <v>8097</v>
      </c>
      <c r="G81" s="22" t="n">
        <v>8180</v>
      </c>
      <c r="H81" s="22" t="n">
        <v>6869</v>
      </c>
      <c r="I81" s="22" t="n">
        <v>7401</v>
      </c>
      <c r="J81" s="22" t="n">
        <v>8097</v>
      </c>
    </row>
    <row r="82">
      <c r="A82" s="20" t="inlineStr">
        <is>
          <t>기타금융자산</t>
        </is>
      </c>
      <c r="C82" s="22" t="n">
        <v>93200</v>
      </c>
      <c r="E82" s="22" t="n">
        <v>219230</v>
      </c>
      <c r="F82" s="22" t="n">
        <v>219230</v>
      </c>
      <c r="G82" s="22" t="n">
        <v>470216</v>
      </c>
      <c r="H82" s="22" t="n">
        <v>87139</v>
      </c>
      <c r="I82" s="22" t="n">
        <v>63179</v>
      </c>
      <c r="J82" s="22" t="n">
        <v>219230</v>
      </c>
    </row>
    <row r="83">
      <c r="A83" s="20" t="inlineStr">
        <is>
          <t>기타비유동자산</t>
        </is>
      </c>
      <c r="C83" s="22" t="n">
        <v>27030</v>
      </c>
      <c r="E83" s="22" t="n">
        <v>27285</v>
      </c>
      <c r="F83" s="22" t="n">
        <v>27285</v>
      </c>
      <c r="G83" s="22" t="n">
        <v>24163</v>
      </c>
      <c r="H83" s="22" t="n">
        <v>13688</v>
      </c>
      <c r="I83" s="22" t="n">
        <v>20069</v>
      </c>
      <c r="J83" s="22" t="n">
        <v>27285</v>
      </c>
    </row>
    <row r="84">
      <c r="A84" s="20" t="inlineStr">
        <is>
          <t>이연법인세자산</t>
        </is>
      </c>
      <c r="C84" s="22" t="n">
        <v>296603</v>
      </c>
      <c r="E84" s="22" t="n">
        <v>177506</v>
      </c>
      <c r="F84" s="22" t="n">
        <v>177506</v>
      </c>
      <c r="G84" s="22" t="n">
        <v>96305</v>
      </c>
      <c r="H84" s="22" t="n">
        <v>370722</v>
      </c>
      <c r="I84" s="22" t="n">
        <v>319163</v>
      </c>
      <c r="J84" s="22" t="n">
        <v>177506</v>
      </c>
    </row>
    <row r="85">
      <c r="A85" s="20" t="inlineStr">
        <is>
          <t>비유동자산 합계</t>
        </is>
      </c>
      <c r="C85" s="22" t="n">
        <v>2091944</v>
      </c>
      <c r="E85" s="22" t="n">
        <v>2072242</v>
      </c>
      <c r="F85" s="22" t="n">
        <v>2072242</v>
      </c>
      <c r="G85" s="22" t="n">
        <v>2287174</v>
      </c>
      <c r="H85" s="22" t="n">
        <v>2213566</v>
      </c>
      <c r="I85" s="22" t="n">
        <v>2112970</v>
      </c>
      <c r="J85" s="22" t="n">
        <v>2072242</v>
      </c>
    </row>
    <row r="86">
      <c r="A86" s="20" t="inlineStr">
        <is>
          <t>자산 합계</t>
        </is>
      </c>
      <c r="C86" s="22" t="n">
        <v>2982219</v>
      </c>
      <c r="E86" s="22" t="n">
        <v>3690071</v>
      </c>
      <c r="F86" s="22" t="n">
        <v>3690071</v>
      </c>
      <c r="G86" s="22" t="n">
        <v>5883885</v>
      </c>
      <c r="H86" s="22" t="n">
        <v>2864941</v>
      </c>
      <c r="I86" s="22" t="n">
        <v>2919679</v>
      </c>
      <c r="J86" s="22" t="n">
        <v>3690071</v>
      </c>
    </row>
    <row r="87">
      <c r="A87" s="20" t="inlineStr">
        <is>
          <t>차입금</t>
        </is>
      </c>
      <c r="C87" s="22" t="n">
        <v>261820</v>
      </c>
      <c r="H87" s="22" t="n">
        <v>826413</v>
      </c>
      <c r="I87" s="22" t="n">
        <v>246508</v>
      </c>
    </row>
    <row r="88">
      <c r="A88" s="20" t="inlineStr">
        <is>
          <t>사채 및 차입금</t>
        </is>
      </c>
      <c r="C88" s="22" t="n">
        <v>189224</v>
      </c>
      <c r="E88" s="22" t="n">
        <v>175452</v>
      </c>
      <c r="F88" s="22" t="n">
        <v>175452</v>
      </c>
      <c r="G88" s="22" t="n">
        <v>60678</v>
      </c>
      <c r="I88" s="22" t="n">
        <v>246508</v>
      </c>
      <c r="J88" s="22" t="n">
        <v>175452</v>
      </c>
    </row>
    <row r="89">
      <c r="A89" s="20" t="inlineStr">
        <is>
          <t>영업채무 및 기타채무</t>
        </is>
      </c>
      <c r="C89" s="22" t="n">
        <v>544641</v>
      </c>
      <c r="E89" s="22" t="n">
        <v>594917</v>
      </c>
      <c r="F89" s="22" t="n">
        <v>594917</v>
      </c>
      <c r="G89" s="22" t="n">
        <v>777408</v>
      </c>
      <c r="H89" s="22" t="n">
        <v>512502</v>
      </c>
      <c r="I89" s="22" t="n">
        <v>504011</v>
      </c>
      <c r="J89" s="22" t="n">
        <v>594917</v>
      </c>
    </row>
    <row r="90">
      <c r="A90" s="20" t="inlineStr">
        <is>
          <t>리스부채</t>
        </is>
      </c>
      <c r="C90" s="22" t="n">
        <v>44244</v>
      </c>
      <c r="E90" s="22" t="n">
        <v>43911</v>
      </c>
      <c r="F90" s="22" t="n">
        <v>43911</v>
      </c>
      <c r="G90" s="22" t="n">
        <v>42619</v>
      </c>
      <c r="H90" s="22" t="n">
        <v>40025</v>
      </c>
      <c r="I90" s="22" t="n">
        <v>42521</v>
      </c>
      <c r="J90" s="22" t="n">
        <v>43911</v>
      </c>
    </row>
    <row r="91">
      <c r="A91" s="20" t="inlineStr">
        <is>
          <t>기타금융부채</t>
        </is>
      </c>
      <c r="C91" s="22" t="n">
        <v>7422</v>
      </c>
      <c r="E91" s="22" t="n">
        <v>28338</v>
      </c>
      <c r="F91" s="22" t="n">
        <v>28338</v>
      </c>
      <c r="G91" s="22" t="n">
        <v>2889</v>
      </c>
      <c r="H91" s="22" t="n">
        <v>344341</v>
      </c>
      <c r="I91" s="22" t="n">
        <v>28058</v>
      </c>
      <c r="J91" s="22" t="n">
        <v>28338</v>
      </c>
    </row>
    <row r="92">
      <c r="A92" s="20" t="inlineStr">
        <is>
          <t>미지급법인세</t>
        </is>
      </c>
      <c r="C92" s="22" t="n">
        <v>10886</v>
      </c>
      <c r="E92" s="22" t="n">
        <v>104516</v>
      </c>
      <c r="F92" s="22" t="n">
        <v>104516</v>
      </c>
      <c r="G92" s="22" t="n">
        <v>974689</v>
      </c>
      <c r="H92" s="22" t="n">
        <v>6182</v>
      </c>
      <c r="I92" s="22" t="n">
        <v>38183</v>
      </c>
      <c r="J92" s="22" t="n">
        <v>104516</v>
      </c>
    </row>
    <row r="93">
      <c r="A93" s="20" t="inlineStr">
        <is>
          <t>충당금</t>
        </is>
      </c>
      <c r="C93" s="22" t="n">
        <v>2179</v>
      </c>
      <c r="E93" s="22" t="n">
        <v>3876</v>
      </c>
      <c r="F93" s="22" t="n">
        <v>3876</v>
      </c>
      <c r="G93" s="22" t="n">
        <v>9385</v>
      </c>
      <c r="H93" s="22" t="n">
        <v>4694</v>
      </c>
      <c r="I93" s="22" t="n">
        <v>3328</v>
      </c>
      <c r="J93" s="22" t="n">
        <v>3876</v>
      </c>
    </row>
    <row r="94">
      <c r="A94" s="20" t="inlineStr">
        <is>
          <t>기타유동부채</t>
        </is>
      </c>
      <c r="C94" s="22" t="n">
        <v>105843</v>
      </c>
      <c r="E94" s="22" t="n">
        <v>146998</v>
      </c>
      <c r="F94" s="22" t="n">
        <v>146998</v>
      </c>
      <c r="G94" s="22" t="n">
        <v>169863</v>
      </c>
      <c r="H94" s="22" t="n">
        <v>131970</v>
      </c>
      <c r="I94" s="22" t="n">
        <v>122564</v>
      </c>
      <c r="J94" s="22" t="n">
        <v>146998</v>
      </c>
    </row>
    <row r="95">
      <c r="A95" s="20" t="inlineStr">
        <is>
          <t>유동부채 합계</t>
        </is>
      </c>
      <c r="C95" s="22" t="n">
        <v>904439</v>
      </c>
      <c r="E95" s="22" t="n">
        <v>1098008</v>
      </c>
      <c r="F95" s="22" t="n">
        <v>1098008</v>
      </c>
      <c r="G95" s="22" t="n">
        <v>2037531</v>
      </c>
      <c r="H95" s="22" t="n">
        <v>1866127</v>
      </c>
      <c r="I95" s="22" t="n">
        <v>985173</v>
      </c>
      <c r="J95" s="22" t="n">
        <v>1098008</v>
      </c>
    </row>
    <row r="96">
      <c r="A96" s="20" t="inlineStr">
        <is>
          <t>차입금</t>
        </is>
      </c>
      <c r="C96" s="22" t="n">
        <v>507057</v>
      </c>
      <c r="H96" s="22" t="n">
        <v>284899</v>
      </c>
      <c r="I96" s="22" t="n">
        <v>531198</v>
      </c>
    </row>
    <row r="97">
      <c r="A97" s="20" t="inlineStr">
        <is>
          <t>사채 및 차입금</t>
        </is>
      </c>
      <c r="C97" s="22" t="n">
        <v>920910</v>
      </c>
      <c r="E97" s="22" t="n">
        <v>872116</v>
      </c>
      <c r="F97" s="22" t="n">
        <v>872116</v>
      </c>
      <c r="G97" s="22" t="n">
        <v>543231</v>
      </c>
      <c r="I97" s="22" t="n">
        <v>531198</v>
      </c>
      <c r="J97" s="22" t="n">
        <v>872116</v>
      </c>
    </row>
    <row r="98">
      <c r="A98" s="20" t="inlineStr">
        <is>
          <t>리스부채</t>
        </is>
      </c>
      <c r="C98" s="22" t="n">
        <v>175172</v>
      </c>
      <c r="E98" s="22" t="n">
        <v>161710</v>
      </c>
      <c r="F98" s="22" t="n">
        <v>161710</v>
      </c>
      <c r="G98" s="22" t="n">
        <v>156201</v>
      </c>
      <c r="H98" s="22" t="n">
        <v>142871</v>
      </c>
      <c r="I98" s="22" t="n">
        <v>179294</v>
      </c>
      <c r="J98" s="22" t="n">
        <v>161710</v>
      </c>
    </row>
    <row r="99">
      <c r="A99" s="20" t="inlineStr">
        <is>
          <t>기타금융부채</t>
        </is>
      </c>
      <c r="C99" s="22" t="n">
        <v>0</v>
      </c>
      <c r="E99" s="22" t="n">
        <v>0</v>
      </c>
      <c r="F99" s="22" t="n">
        <v>0</v>
      </c>
      <c r="H99" s="22" t="n">
        <v>0</v>
      </c>
      <c r="I99" s="22" t="n">
        <v>321261</v>
      </c>
      <c r="J99" s="22" t="n">
        <v>0</v>
      </c>
    </row>
    <row r="100">
      <c r="A100" s="20" t="inlineStr">
        <is>
          <t>퇴직급여부채</t>
        </is>
      </c>
      <c r="C100" s="22" t="n">
        <v>46138</v>
      </c>
      <c r="E100" s="22" t="n">
        <v>42871</v>
      </c>
      <c r="F100" s="22" t="n">
        <v>42871</v>
      </c>
      <c r="G100" s="22" t="n">
        <v>42223</v>
      </c>
      <c r="H100" s="22" t="n">
        <v>48492</v>
      </c>
      <c r="I100" s="22" t="n">
        <v>46477</v>
      </c>
      <c r="J100" s="22" t="n">
        <v>42871</v>
      </c>
    </row>
    <row r="101">
      <c r="A101" s="20" t="inlineStr">
        <is>
          <t>충당금</t>
        </is>
      </c>
      <c r="C101" s="22" t="n">
        <v>8379</v>
      </c>
      <c r="E101" s="22" t="n">
        <v>12840</v>
      </c>
      <c r="F101" s="22" t="n">
        <v>12840</v>
      </c>
      <c r="G101" s="22" t="n">
        <v>62308</v>
      </c>
      <c r="H101" s="22" t="n">
        <v>7331</v>
      </c>
      <c r="I101" s="22" t="n">
        <v>7560</v>
      </c>
      <c r="J101" s="22" t="n">
        <v>12840</v>
      </c>
    </row>
    <row r="102">
      <c r="A102" s="20" t="inlineStr">
        <is>
          <t>기타비유동부채</t>
        </is>
      </c>
      <c r="C102" s="22" t="n">
        <v>107836</v>
      </c>
      <c r="E102" s="22" t="n">
        <v>102725</v>
      </c>
      <c r="F102" s="22" t="n">
        <v>102725</v>
      </c>
      <c r="G102" s="22" t="n">
        <v>113231</v>
      </c>
      <c r="H102" s="22" t="n">
        <v>65419</v>
      </c>
      <c r="I102" s="22" t="n">
        <v>111017</v>
      </c>
      <c r="J102" s="22" t="n">
        <v>102725</v>
      </c>
    </row>
    <row r="103">
      <c r="A103" s="20" t="inlineStr">
        <is>
          <t>이연법인세부채</t>
        </is>
      </c>
      <c r="C103" s="22" t="n">
        <v>3</v>
      </c>
      <c r="E103" s="22" t="n">
        <v>722</v>
      </c>
      <c r="F103" s="22" t="n">
        <v>722</v>
      </c>
      <c r="G103" s="22" t="n">
        <v>44</v>
      </c>
      <c r="H103" s="22" t="n">
        <v>36</v>
      </c>
      <c r="I103" s="22" t="n">
        <v>3</v>
      </c>
      <c r="J103" s="22" t="n">
        <v>722</v>
      </c>
    </row>
    <row r="104">
      <c r="A104" s="20" t="inlineStr">
        <is>
          <t>비유동부채 합계</t>
        </is>
      </c>
      <c r="C104" s="22" t="n">
        <v>1258438</v>
      </c>
      <c r="E104" s="22" t="n">
        <v>1192984</v>
      </c>
      <c r="F104" s="22" t="n">
        <v>1192984</v>
      </c>
      <c r="G104" s="22" t="n">
        <v>917238</v>
      </c>
      <c r="H104" s="22" t="n">
        <v>549048</v>
      </c>
      <c r="I104" s="22" t="n">
        <v>1196810</v>
      </c>
      <c r="J104" s="22" t="n">
        <v>1192984</v>
      </c>
    </row>
    <row r="105">
      <c r="A105" s="20" t="inlineStr">
        <is>
          <t>부채 합계</t>
        </is>
      </c>
      <c r="C105" s="22" t="n">
        <v>2162877</v>
      </c>
      <c r="E105" s="22" t="n">
        <v>2290992</v>
      </c>
      <c r="F105" s="22" t="n">
        <v>2290992</v>
      </c>
      <c r="G105" s="22" t="n">
        <v>2954769</v>
      </c>
      <c r="H105" s="22" t="n">
        <v>2415175</v>
      </c>
      <c r="I105" s="22" t="n">
        <v>2181983</v>
      </c>
      <c r="J105" s="22" t="n">
        <v>2290992</v>
      </c>
    </row>
    <row r="106">
      <c r="A106" s="20" t="inlineStr">
        <is>
          <t>자본금</t>
        </is>
      </c>
      <c r="C106" s="22" t="n">
        <v>25578</v>
      </c>
      <c r="E106" s="22" t="n">
        <v>31284</v>
      </c>
      <c r="F106" s="22" t="n">
        <v>31284</v>
      </c>
      <c r="G106" s="22" t="n">
        <v>34804</v>
      </c>
      <c r="H106" s="22" t="n">
        <v>10000</v>
      </c>
      <c r="I106" s="22" t="n">
        <v>25239</v>
      </c>
      <c r="J106" s="22" t="n">
        <v>31284</v>
      </c>
    </row>
    <row r="107">
      <c r="A107" s="20" t="inlineStr">
        <is>
          <t>자본잉여금</t>
        </is>
      </c>
      <c r="C107" s="22" t="n">
        <v>867701</v>
      </c>
      <c r="E107" s="22" t="n">
        <v>875804</v>
      </c>
      <c r="F107" s="22" t="n">
        <v>875804</v>
      </c>
      <c r="G107" s="22" t="n">
        <v>877802</v>
      </c>
      <c r="H107" s="22" t="n">
        <v>851517</v>
      </c>
      <c r="I107" s="22" t="n">
        <v>866665</v>
      </c>
      <c r="J107" s="22" t="n">
        <v>875804</v>
      </c>
    </row>
    <row r="108">
      <c r="A108" s="20" t="inlineStr">
        <is>
          <t>기타자본구성요소</t>
        </is>
      </c>
      <c r="C108" s="22" t="n">
        <v>56518</v>
      </c>
      <c r="E108" s="22" t="n">
        <v>124888</v>
      </c>
      <c r="F108" s="22" t="n">
        <v>124888</v>
      </c>
      <c r="G108" s="22" t="n">
        <v>251570</v>
      </c>
      <c r="H108" s="22" t="n">
        <v>51172</v>
      </c>
      <c r="I108" s="22" t="n">
        <v>35208</v>
      </c>
      <c r="J108" s="22" t="n">
        <v>124888</v>
      </c>
    </row>
    <row r="109">
      <c r="A109" s="20" t="inlineStr">
        <is>
          <t>이익잉여금</t>
        </is>
      </c>
      <c r="C109" s="22" t="n">
        <v>-130594</v>
      </c>
      <c r="E109" s="22" t="n">
        <v>366955</v>
      </c>
      <c r="F109" s="22" t="n">
        <v>366955</v>
      </c>
      <c r="G109" s="22" t="n">
        <v>2564812</v>
      </c>
      <c r="H109" s="22" t="n">
        <v>-463054</v>
      </c>
      <c r="I109" s="22" t="n">
        <v>-189547</v>
      </c>
      <c r="J109" s="22" t="n">
        <v>366955</v>
      </c>
    </row>
    <row r="110">
      <c r="A110" s="20" t="inlineStr">
        <is>
          <t>자기주식</t>
        </is>
      </c>
      <c r="E110" s="22" t="n">
        <v>-2</v>
      </c>
      <c r="F110" s="22" t="n">
        <v>-2</v>
      </c>
      <c r="G110" s="22" t="n">
        <v>-800024</v>
      </c>
      <c r="I110" s="22" t="n">
        <v>0</v>
      </c>
      <c r="J110" s="22" t="n">
        <v>-2</v>
      </c>
    </row>
    <row r="111">
      <c r="A111" s="20" t="inlineStr">
        <is>
          <t>지배기업 소유주 귀속 지분 합계</t>
        </is>
      </c>
      <c r="C111" s="22" t="n">
        <v>819203</v>
      </c>
      <c r="E111" s="22" t="n">
        <v>1398929</v>
      </c>
      <c r="F111" s="22" t="n">
        <v>1398929</v>
      </c>
      <c r="G111" s="22" t="n">
        <v>2928964</v>
      </c>
      <c r="H111" s="22" t="n">
        <v>449635</v>
      </c>
      <c r="I111" s="22" t="n">
        <v>737565</v>
      </c>
      <c r="J111" s="22" t="n">
        <v>1398929</v>
      </c>
    </row>
    <row r="112">
      <c r="A112" s="20" t="inlineStr">
        <is>
          <t>비지배지분</t>
        </is>
      </c>
      <c r="C112" s="22" t="n">
        <v>139</v>
      </c>
      <c r="E112" s="22" t="n">
        <v>150</v>
      </c>
      <c r="F112" s="22" t="n">
        <v>150</v>
      </c>
      <c r="G112" s="22" t="n">
        <v>152</v>
      </c>
      <c r="H112" s="22" t="n">
        <v>131</v>
      </c>
      <c r="I112" s="22" t="n">
        <v>131</v>
      </c>
      <c r="J112" s="22" t="n">
        <v>150</v>
      </c>
    </row>
    <row r="113">
      <c r="A113" s="20" t="inlineStr">
        <is>
          <t>자본 합계</t>
        </is>
      </c>
      <c r="C113" s="22" t="n">
        <v>819342</v>
      </c>
      <c r="E113" s="22" t="n">
        <v>1399079</v>
      </c>
      <c r="F113" s="22" t="n">
        <v>1399079</v>
      </c>
      <c r="G113" s="22" t="n">
        <v>2929116</v>
      </c>
      <c r="H113" s="22" t="n">
        <v>449766</v>
      </c>
      <c r="I113" s="22" t="n">
        <v>737696</v>
      </c>
      <c r="J113" s="22" t="n">
        <v>1399079</v>
      </c>
    </row>
    <row r="114">
      <c r="A114" s="20" t="inlineStr">
        <is>
          <t>부채및자본 합계</t>
        </is>
      </c>
      <c r="C114" s="22" t="n">
        <v>2982219</v>
      </c>
      <c r="E114" s="22" t="n">
        <v>3690071</v>
      </c>
      <c r="F114" s="22" t="n">
        <v>3690071</v>
      </c>
      <c r="G114" s="22" t="n">
        <v>5883885</v>
      </c>
      <c r="H114" s="22" t="n">
        <v>2864941</v>
      </c>
      <c r="I114" s="22" t="n">
        <v>2919679</v>
      </c>
      <c r="J114" s="22" t="n">
        <v>3690071</v>
      </c>
    </row>
  </sheetData>
  <conditionalFormatting sqref="C43:J43">
    <cfRule type="expression" priority="1" dxfId="0">
      <formula>AND(ISNUMBER(C43),C43&gt;1.0)</formula>
    </cfRule>
  </conditionalFormatting>
  <conditionalFormatting sqref="C44:J44">
    <cfRule type="expression" priority="2" dxfId="0">
      <formula>AND(ISNUMBER(C44),C44&gt;0.5)</formula>
    </cfRule>
  </conditionalFormatting>
  <conditionalFormatting sqref="C45:J45">
    <cfRule type="expression" priority="3" dxfId="0">
      <formula>AND(ISNUMBER(C45),C45&lt;0.5)</formula>
    </cfRule>
  </conditionalFormatting>
  <conditionalFormatting sqref="C46:J46">
    <cfRule type="expression" priority="4" dxfId="0">
      <formula>AND(ISNUMBER(C46),C46&lt;1.5)</formula>
    </cfRule>
  </conditionalFormatting>
  <conditionalFormatting sqref="C47:J47">
    <cfRule type="expression" priority="5" dxfId="0">
      <formula>AND(ISNUMBER(C47),C47&lt;1.0)</formula>
    </cfRule>
  </conditionalFormatting>
  <conditionalFormatting sqref="C48:J48">
    <cfRule type="expression" priority="6" dxfId="0">
      <formula>AND(ISNUMBER(C48),C48&lt;5)</formula>
    </cfRule>
  </conditionalFormatting>
  <conditionalFormatting sqref="C49:J49">
    <cfRule type="expression" priority="7" dxfId="0">
      <formula>AND(ISNUMBER(C49),C49&gt;4)</formula>
    </cfRule>
  </conditionalFormatting>
  <conditionalFormatting sqref="C51:J51">
    <cfRule type="expression" priority="8" dxfId="0">
      <formula>AND(ISNUMBER(C51),C51&lt;0.15)</formula>
    </cfRule>
  </conditionalFormatting>
  <conditionalFormatting sqref="C52:J52">
    <cfRule type="expression" priority="9" dxfId="0">
      <formula>AND(ISNUMBER(C52),C52&lt;0.05)</formula>
    </cfRule>
  </conditionalFormatting>
  <conditionalFormatting sqref="C53:J53">
    <cfRule type="expression" priority="10" dxfId="0">
      <formula>AND(ISNUMBER(C53),C53&lt;0.1)</formula>
    </cfRule>
  </conditionalFormatting>
  <conditionalFormatting sqref="C54:J54">
    <cfRule type="expression" priority="11" dxfId="0">
      <formula>AND(ISNUMBER(C54),C54&lt;0.4)</formula>
    </cfRule>
  </conditionalFormatting>
  <conditionalFormatting sqref="C55:J55">
    <cfRule type="expression" priority="12" dxfId="0">
      <formula>AND(ISNUMBER(C55),C55&lt;0.15)</formula>
    </cfRule>
  </conditionalFormatting>
  <conditionalFormatting sqref="C56:J56">
    <cfRule type="expression" priority="13" dxfId="0">
      <formula>AND(ISNUMBER(C56),C56&lt;0.1)</formula>
    </cfRule>
  </conditionalFormatting>
  <conditionalFormatting sqref="C64:J64">
    <cfRule type="expression" priority="14" dxfId="0">
      <formula>AND(ISNUMBER(C64),C64&lt;1.0)</formula>
    </cfRule>
  </conditionalFormatting>
  <conditionalFormatting sqref="C65:J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44" customWidth="1" min="10" max="10"/>
  </cols>
  <sheetData>
    <row r="1">
      <c r="A1" s="52" t="inlineStr">
        <is>
          <t>285A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this filing · 2Q</t>
        </is>
      </c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</row>
    <row r="5">
      <c r="A5" s="55" t="inlineStr">
        <is>
          <t>항목</t>
        </is>
      </c>
      <c r="B5" s="55" t="inlineStr">
        <is>
          <t>값</t>
        </is>
      </c>
      <c r="J5" s="55" t="inlineStr">
        <is>
          <t>출처</t>
        </is>
      </c>
    </row>
    <row r="6">
      <c r="A6" s="56" t="inlineStr">
        <is>
          <t>매출</t>
        </is>
      </c>
      <c r="B6" s="57" t="n">
        <v>24800.3</v>
      </c>
      <c r="J6" s="58" t="inlineStr">
        <is>
          <t>2단계 보고서 자료(회사 설명회 자료·공시)</t>
        </is>
      </c>
    </row>
    <row r="7">
      <c r="A7" s="56" t="inlineStr">
        <is>
          <t>ssd</t>
        </is>
      </c>
      <c r="B7" s="59" t="n">
        <v>16160</v>
      </c>
    </row>
    <row r="8">
      <c r="A8" s="56" t="inlineStr">
        <is>
          <t>smart</t>
        </is>
      </c>
      <c r="B8" s="59" t="n">
        <v>7889</v>
      </c>
    </row>
    <row r="9">
      <c r="A9" s="56" t="inlineStr">
        <is>
          <t>other</t>
        </is>
      </c>
      <c r="B9" s="59" t="n">
        <v>752</v>
      </c>
    </row>
    <row r="10">
      <c r="A10" s="56" t="inlineStr">
        <is>
          <t>cogs</t>
        </is>
      </c>
      <c r="B10" s="57" t="n">
        <v>4268.7</v>
      </c>
    </row>
    <row r="11">
      <c r="A11" s="56" t="inlineStr">
        <is>
          <t>gp</t>
        </is>
      </c>
      <c r="B11" s="57" t="n">
        <v>20531.6</v>
      </c>
    </row>
    <row r="12">
      <c r="A12" s="56" t="inlineStr">
        <is>
          <t>sga</t>
        </is>
      </c>
      <c r="B12" s="57" t="n">
        <v>569.9</v>
      </c>
    </row>
    <row r="13">
      <c r="A13" s="56" t="inlineStr">
        <is>
          <t>other inc</t>
        </is>
      </c>
      <c r="B13" s="57" t="n">
        <v>16.09</v>
      </c>
    </row>
    <row r="14">
      <c r="A14" s="56" t="inlineStr">
        <is>
          <t>other exp</t>
        </is>
      </c>
      <c r="B14" s="57" t="n">
        <v>30.75</v>
      </c>
    </row>
    <row r="15">
      <c r="A15" s="56" t="inlineStr">
        <is>
          <t>영업이익</t>
        </is>
      </c>
      <c r="B15" s="57" t="n">
        <v>19947.1</v>
      </c>
    </row>
    <row r="16">
      <c r="A16" s="56" t="inlineStr">
        <is>
          <t>fin inc</t>
        </is>
      </c>
      <c r="B16" s="57" t="n">
        <v>258.45</v>
      </c>
    </row>
    <row r="17">
      <c r="A17" s="56" t="inlineStr">
        <is>
          <t>fin cost</t>
        </is>
      </c>
      <c r="B17" s="57" t="n">
        <v>516.36</v>
      </c>
    </row>
    <row r="18">
      <c r="A18" s="56" t="inlineStr">
        <is>
          <t>equity method</t>
        </is>
      </c>
      <c r="B18" s="57" t="n">
        <v>-2.49</v>
      </c>
    </row>
    <row r="19">
      <c r="A19" s="56" t="inlineStr">
        <is>
          <t>pbt</t>
        </is>
      </c>
      <c r="B19" s="57" t="n">
        <v>19686.7</v>
      </c>
    </row>
    <row r="20">
      <c r="A20" s="56" t="inlineStr">
        <is>
          <t>tax</t>
        </is>
      </c>
      <c r="B20" s="57" t="n">
        <v>6129.66</v>
      </c>
    </row>
    <row r="21">
      <c r="A21" s="56" t="inlineStr">
        <is>
          <t>순이익 owner</t>
        </is>
      </c>
      <c r="B21" s="57" t="n">
        <v>13557.1</v>
      </c>
    </row>
    <row r="22">
      <c r="A22" s="56" t="inlineStr">
        <is>
          <t>EPS basic</t>
        </is>
      </c>
      <c r="B22" s="57" t="n">
        <v>838.3099999999999</v>
      </c>
    </row>
    <row r="23">
      <c r="A23" s="56" t="inlineStr">
        <is>
          <t>EPS diluted</t>
        </is>
      </c>
      <c r="B23" s="57" t="n">
        <v>832.3099999999999</v>
      </c>
    </row>
    <row r="24">
      <c r="A24" s="56" t="inlineStr">
        <is>
          <t>nongaap 영업이익</t>
        </is>
      </c>
      <c r="B24" s="59" t="n">
        <v>19883</v>
      </c>
    </row>
    <row r="25">
      <c r="A25" s="56" t="inlineStr">
        <is>
          <t>stock comp</t>
        </is>
      </c>
      <c r="B25" s="59" t="n">
        <v>64</v>
      </c>
    </row>
    <row r="26">
      <c r="A26" s="56" t="inlineStr">
        <is>
          <t>ppa</t>
        </is>
      </c>
      <c r="B26" s="59" t="n">
        <v>-1</v>
      </c>
    </row>
    <row r="27">
      <c r="A27" s="56" t="inlineStr">
        <is>
          <t>litigation</t>
        </is>
      </c>
      <c r="B27" s="59" t="n">
        <v>0</v>
      </c>
    </row>
    <row r="28">
      <c r="A28" s="56" t="inlineStr">
        <is>
          <t>usdjpy</t>
        </is>
      </c>
      <c r="B28" s="59" t="n">
        <v>161</v>
      </c>
    </row>
    <row r="30">
      <c r="A30" s="54" t="inlineStr">
        <is>
          <t>this filing · 1Q</t>
        </is>
      </c>
      <c r="B30" s="54" t="n"/>
      <c r="C30" s="54" t="n"/>
      <c r="D30" s="54" t="n"/>
      <c r="E30" s="54" t="n"/>
      <c r="F30" s="54" t="n"/>
      <c r="G30" s="54" t="n"/>
      <c r="H30" s="54" t="n"/>
      <c r="I30" s="54" t="n"/>
      <c r="J30" s="54" t="n"/>
    </row>
    <row r="31">
      <c r="A31" s="55" t="inlineStr">
        <is>
          <t>항목</t>
        </is>
      </c>
      <c r="B31" s="55" t="inlineStr">
        <is>
          <t>값</t>
        </is>
      </c>
      <c r="J31" s="55" t="inlineStr">
        <is>
          <t>출처</t>
        </is>
      </c>
    </row>
    <row r="32">
      <c r="A32" s="56" t="inlineStr">
        <is>
          <t>매출</t>
        </is>
      </c>
      <c r="B32" s="57" t="n">
        <v>17671.2</v>
      </c>
      <c r="J32" s="58" t="inlineStr">
        <is>
          <t>2단계 보고서 자료(회사 설명회 자료·공시)</t>
        </is>
      </c>
    </row>
    <row r="33">
      <c r="A33" s="56" t="inlineStr">
        <is>
          <t>ssd</t>
        </is>
      </c>
      <c r="B33" s="59" t="n">
        <v>11747</v>
      </c>
    </row>
    <row r="34">
      <c r="A34" s="56" t="inlineStr">
        <is>
          <t>smart</t>
        </is>
      </c>
      <c r="B34" s="59" t="n">
        <v>5257</v>
      </c>
    </row>
    <row r="35">
      <c r="A35" s="56" t="inlineStr">
        <is>
          <t>other</t>
        </is>
      </c>
      <c r="B35" s="59" t="n">
        <v>667</v>
      </c>
    </row>
    <row r="36">
      <c r="A36" s="56" t="inlineStr">
        <is>
          <t>영업이익</t>
        </is>
      </c>
      <c r="B36" s="57" t="n">
        <v>12700.2</v>
      </c>
    </row>
    <row r="37">
      <c r="A37" s="56" t="inlineStr">
        <is>
          <t>nongaap 영업이익</t>
        </is>
      </c>
      <c r="B37" s="59" t="n">
        <v>13262</v>
      </c>
    </row>
    <row r="38">
      <c r="A38" s="56" t="inlineStr">
        <is>
          <t>stock comp</t>
        </is>
      </c>
      <c r="B38" s="59" t="n">
        <v>-194</v>
      </c>
    </row>
    <row r="39">
      <c r="A39" s="56" t="inlineStr">
        <is>
          <t>litigation</t>
        </is>
      </c>
      <c r="B39" s="59" t="n">
        <v>-366</v>
      </c>
    </row>
    <row r="40">
      <c r="A40" s="56" t="inlineStr">
        <is>
          <t>순이익 owner</t>
        </is>
      </c>
      <c r="B40" s="57" t="n">
        <v>8421.6</v>
      </c>
    </row>
    <row r="41">
      <c r="A41" s="56" t="inlineStr">
        <is>
          <t>EPS basic</t>
        </is>
      </c>
      <c r="B41" s="57" t="n">
        <v>513.3</v>
      </c>
    </row>
    <row r="42">
      <c r="A42" s="56" t="inlineStr">
        <is>
          <t>usdjpy</t>
        </is>
      </c>
      <c r="B42" s="59" t="n">
        <v>160</v>
      </c>
    </row>
    <row r="44">
      <c r="A44" s="54" t="inlineStr">
        <is>
          <t>this filing · 상반기</t>
        </is>
      </c>
      <c r="B44" s="54" t="n"/>
      <c r="C44" s="54" t="n"/>
      <c r="D44" s="54" t="n"/>
      <c r="E44" s="54" t="n"/>
      <c r="F44" s="54" t="n"/>
      <c r="G44" s="54" t="n"/>
      <c r="H44" s="54" t="n"/>
      <c r="I44" s="54" t="n"/>
      <c r="J44" s="54" t="n"/>
    </row>
    <row r="45">
      <c r="A45" s="55" t="inlineStr">
        <is>
          <t>항목</t>
        </is>
      </c>
      <c r="B45" s="55" t="inlineStr">
        <is>
          <t>값</t>
        </is>
      </c>
      <c r="J45" s="55" t="inlineStr">
        <is>
          <t>출처</t>
        </is>
      </c>
    </row>
    <row r="46">
      <c r="A46" s="56" t="inlineStr">
        <is>
          <t>매출</t>
        </is>
      </c>
      <c r="B46" s="57" t="n">
        <v>42471.5</v>
      </c>
      <c r="J46" s="58" t="inlineStr">
        <is>
          <t>2단계 보고서 자료(회사 설명회 자료·공시)</t>
        </is>
      </c>
    </row>
    <row r="47">
      <c r="A47" s="56" t="inlineStr">
        <is>
          <t>ssd</t>
        </is>
      </c>
      <c r="B47" s="59" t="n">
        <v>27907</v>
      </c>
    </row>
    <row r="48">
      <c r="A48" s="56" t="inlineStr">
        <is>
          <t>smart</t>
        </is>
      </c>
      <c r="B48" s="59" t="n">
        <v>13145</v>
      </c>
    </row>
    <row r="49">
      <c r="A49" s="56" t="inlineStr">
        <is>
          <t>other</t>
        </is>
      </c>
      <c r="B49" s="59" t="n">
        <v>1419</v>
      </c>
    </row>
    <row r="50">
      <c r="A50" s="56" t="inlineStr">
        <is>
          <t>영업이익</t>
        </is>
      </c>
      <c r="B50" s="57" t="n">
        <v>32647.3</v>
      </c>
    </row>
    <row r="51">
      <c r="A51" s="56" t="inlineStr">
        <is>
          <t>순이익 owner</t>
        </is>
      </c>
      <c r="B51" s="57" t="n">
        <v>21978.7</v>
      </c>
    </row>
    <row r="52">
      <c r="A52" s="56" t="inlineStr">
        <is>
          <t>ocf</t>
        </is>
      </c>
      <c r="B52" s="59" t="n">
        <v>23796</v>
      </c>
    </row>
    <row r="53">
      <c r="A53" s="56" t="inlineStr">
        <is>
          <t>icf</t>
        </is>
      </c>
      <c r="B53" s="59" t="n">
        <v>-1930</v>
      </c>
    </row>
    <row r="54">
      <c r="A54" s="56" t="inlineStr">
        <is>
          <t>fcf calc</t>
        </is>
      </c>
      <c r="B54" s="59" t="n">
        <v>21866</v>
      </c>
    </row>
    <row r="55">
      <c r="A55" s="56" t="inlineStr">
        <is>
          <t>설비투자 ppe</t>
        </is>
      </c>
      <c r="B55" s="59" t="n">
        <v>1353</v>
      </c>
    </row>
    <row r="56">
      <c r="A56" s="56" t="inlineStr">
        <is>
          <t>nanya stake</t>
        </is>
      </c>
      <c r="B56" s="59" t="n">
        <v>782</v>
      </c>
    </row>
    <row r="57">
      <c r="A57" s="56" t="inlineStr">
        <is>
          <t>buyback</t>
        </is>
      </c>
      <c r="B57" s="59" t="n">
        <v>8003</v>
      </c>
    </row>
    <row r="58">
      <c r="A58" s="56" t="inlineStr">
        <is>
          <t>debt repay</t>
        </is>
      </c>
      <c r="B58" s="59" t="n">
        <v>5231</v>
      </c>
    </row>
    <row r="59">
      <c r="A59" s="56" t="inlineStr">
        <is>
          <t>usdjpy</t>
        </is>
      </c>
      <c r="B59" s="59" t="n">
        <v>160</v>
      </c>
    </row>
    <row r="61">
      <c r="A61" s="54" t="inlineStr">
        <is>
          <t>this filing · bs 0930</t>
        </is>
      </c>
      <c r="B61" s="54" t="n"/>
      <c r="C61" s="54" t="n"/>
      <c r="D61" s="54" t="n"/>
      <c r="E61" s="54" t="n"/>
      <c r="F61" s="54" t="n"/>
      <c r="G61" s="54" t="n"/>
      <c r="H61" s="54" t="n"/>
      <c r="I61" s="54" t="n"/>
      <c r="J61" s="54" t="n"/>
    </row>
    <row r="62">
      <c r="A62" s="55" t="inlineStr">
        <is>
          <t>항목</t>
        </is>
      </c>
      <c r="B62" s="55" t="inlineStr">
        <is>
          <t>값</t>
        </is>
      </c>
      <c r="J62" s="55" t="inlineStr">
        <is>
          <t>출처</t>
        </is>
      </c>
    </row>
    <row r="63">
      <c r="A63" s="56" t="inlineStr">
        <is>
          <t>합계 assets</t>
        </is>
      </c>
      <c r="B63" s="57" t="n">
        <v>58838.9</v>
      </c>
      <c r="J63" s="58" t="inlineStr">
        <is>
          <t>2단계 보고서 자료(회사 설명회 자료·공시)</t>
        </is>
      </c>
    </row>
    <row r="64">
      <c r="A64" s="56" t="inlineStr">
        <is>
          <t>cash</t>
        </is>
      </c>
      <c r="B64" s="57" t="n">
        <v>13973.3</v>
      </c>
    </row>
    <row r="65">
      <c r="A65" s="56" t="inlineStr">
        <is>
          <t>receivables</t>
        </is>
      </c>
      <c r="B65" s="57" t="n">
        <v>16483.6</v>
      </c>
    </row>
    <row r="66">
      <c r="A66" s="56" t="inlineStr">
        <is>
          <t>inventory</t>
        </is>
      </c>
      <c r="B66" s="57" t="n">
        <v>4460.3</v>
      </c>
    </row>
    <row r="67">
      <c r="A67" s="56" t="inlineStr">
        <is>
          <t>debt current</t>
        </is>
      </c>
      <c r="B67" s="57" t="n">
        <v>606.8</v>
      </c>
    </row>
    <row r="68">
      <c r="A68" s="56" t="inlineStr">
        <is>
          <t>debt noncurrent</t>
        </is>
      </c>
      <c r="B68" s="57" t="n">
        <v>5432.3</v>
      </c>
    </row>
    <row r="69">
      <c r="A69" s="56" t="inlineStr">
        <is>
          <t>lease</t>
        </is>
      </c>
      <c r="B69" s="57" t="n">
        <v>1988.2</v>
      </c>
    </row>
    <row r="70">
      <c r="A70" s="56" t="inlineStr">
        <is>
          <t>income tax payable</t>
        </is>
      </c>
      <c r="B70" s="57" t="n">
        <v>9746.9</v>
      </c>
    </row>
    <row r="71">
      <c r="A71" s="56" t="inlineStr">
        <is>
          <t>equity owner</t>
        </is>
      </c>
      <c r="B71" s="57" t="n">
        <v>29289.6</v>
      </c>
    </row>
    <row r="72">
      <c r="A72" s="56" t="inlineStr">
        <is>
          <t>equity ratio</t>
        </is>
      </c>
      <c r="B72" s="57" t="n">
        <v>49.8</v>
      </c>
    </row>
    <row r="73">
      <c r="A73" s="56" t="inlineStr">
        <is>
          <t>treasury</t>
        </is>
      </c>
      <c r="B73" s="57" t="n">
        <v>-8000.2</v>
      </c>
    </row>
    <row r="74">
      <c r="A74" s="56" t="inlineStr">
        <is>
          <t>net cash calc</t>
        </is>
      </c>
      <c r="B74" s="57" t="n">
        <v>7934.2</v>
      </c>
    </row>
    <row r="76">
      <c r="A76" s="54" t="inlineStr">
        <is>
          <t>this filing · shares</t>
        </is>
      </c>
      <c r="B76" s="54" t="n"/>
      <c r="C76" s="54" t="n"/>
      <c r="D76" s="54" t="n"/>
      <c r="E76" s="54" t="n"/>
      <c r="F76" s="54" t="n"/>
      <c r="G76" s="54" t="n"/>
      <c r="H76" s="54" t="n"/>
      <c r="I76" s="54" t="n"/>
      <c r="J76" s="54" t="n"/>
    </row>
    <row r="77">
      <c r="A77" s="55" t="inlineStr">
        <is>
          <t>항목</t>
        </is>
      </c>
      <c r="B77" s="55" t="inlineStr">
        <is>
          <t>값</t>
        </is>
      </c>
      <c r="J77" s="55" t="inlineStr">
        <is>
          <t>출처</t>
        </is>
      </c>
    </row>
    <row r="78">
      <c r="A78" s="56" t="inlineStr">
        <is>
          <t>issued</t>
        </is>
      </c>
      <c r="B78" s="59" t="n">
        <v>1646307702</v>
      </c>
      <c r="J78" s="58" t="inlineStr">
        <is>
          <t>2단계 보고서 자료(회사 설명회 자료·공시)</t>
        </is>
      </c>
    </row>
    <row r="79">
      <c r="A79" s="56" t="inlineStr">
        <is>
          <t>treasury</t>
        </is>
      </c>
      <c r="B79" s="59" t="n">
        <v>48402168</v>
      </c>
    </row>
    <row r="80">
      <c r="A80" s="56" t="inlineStr">
        <is>
          <t>outstanding</t>
        </is>
      </c>
      <c r="B80" s="59" t="n">
        <v>1597905534</v>
      </c>
    </row>
    <row r="81">
      <c r="A81" s="56" t="inlineStr">
        <is>
          <t>avg 1h</t>
        </is>
      </c>
      <c r="B81" s="59" t="n">
        <v>1628862141</v>
      </c>
    </row>
    <row r="83">
      <c r="A83" s="54" t="inlineStr">
        <is>
          <t>3Q 가이던스</t>
        </is>
      </c>
      <c r="B83" s="54" t="n"/>
      <c r="C83" s="54" t="n"/>
      <c r="D83" s="54" t="n"/>
      <c r="E83" s="54" t="n"/>
      <c r="F83" s="54" t="n"/>
      <c r="G83" s="54" t="n"/>
      <c r="H83" s="54" t="n"/>
      <c r="I83" s="54" t="n"/>
      <c r="J83" s="54" t="n"/>
    </row>
    <row r="84">
      <c r="A84" s="55" t="inlineStr">
        <is>
          <t>항목</t>
        </is>
      </c>
      <c r="B84" s="55" t="inlineStr">
        <is>
          <t>값</t>
        </is>
      </c>
      <c r="J84" s="55" t="inlineStr">
        <is>
          <t>출처</t>
        </is>
      </c>
    </row>
    <row r="85">
      <c r="A85" s="56" t="inlineStr">
        <is>
          <t>매출</t>
        </is>
      </c>
      <c r="B85" s="59" t="n">
        <v>25000</v>
      </c>
      <c r="J85" s="58" t="inlineStr">
        <is>
          <t>2단계 보고서 자료(회사 설명회 자료·공시)</t>
        </is>
      </c>
    </row>
    <row r="86">
      <c r="A86" s="56" t="inlineStr">
        <is>
          <t>매출 QoQ</t>
        </is>
      </c>
      <c r="B86" s="57" t="n">
        <v>0.8</v>
      </c>
    </row>
    <row r="87">
      <c r="A87" s="56" t="inlineStr">
        <is>
          <t>영업이익</t>
        </is>
      </c>
      <c r="B87" s="59" t="n">
        <v>19950</v>
      </c>
    </row>
    <row r="88">
      <c r="A88" s="56" t="inlineStr">
        <is>
          <t>영업이익 QoQ</t>
        </is>
      </c>
      <c r="B88" s="57" t="n">
        <v>0</v>
      </c>
    </row>
    <row r="89">
      <c r="A89" s="56" t="inlineStr">
        <is>
          <t>nongaap 영업이익</t>
        </is>
      </c>
      <c r="B89" s="59" t="n">
        <v>20000</v>
      </c>
    </row>
    <row r="90">
      <c r="A90" s="56" t="inlineStr">
        <is>
          <t>pbt</t>
        </is>
      </c>
      <c r="B90" s="59" t="n">
        <v>19800</v>
      </c>
    </row>
    <row r="91">
      <c r="A91" s="56" t="inlineStr">
        <is>
          <t>순이익 owner</t>
        </is>
      </c>
      <c r="B91" s="59" t="n">
        <v>13600</v>
      </c>
    </row>
    <row r="92">
      <c r="A92" s="56" t="inlineStr">
        <is>
          <t>EPS</t>
        </is>
      </c>
      <c r="B92" s="57" t="n">
        <v>851.11</v>
      </c>
    </row>
    <row r="93">
      <c r="A93" s="56" t="inlineStr">
        <is>
          <t>usdjpy</t>
        </is>
      </c>
      <c r="B93" s="59" t="n">
        <v>157</v>
      </c>
    </row>
    <row r="94">
      <c r="A94" s="56" t="inlineStr">
        <is>
          <t>cum 9m 매출</t>
        </is>
      </c>
      <c r="B94" s="57" t="n">
        <v>67471.5</v>
      </c>
    </row>
    <row r="95">
      <c r="A95" s="56" t="inlineStr">
        <is>
          <t>cum 9m 영업이익</t>
        </is>
      </c>
      <c r="B95" s="57" t="n">
        <v>52597.3</v>
      </c>
    </row>
    <row r="96">
      <c r="A96" s="56" t="inlineStr">
        <is>
          <t>cum 9m 순이익</t>
        </is>
      </c>
      <c r="B96" s="57" t="n">
        <v>35578.7</v>
      </c>
    </row>
    <row r="98">
      <c r="A98" s="54" t="inlineStr">
        <is>
          <t>dividend</t>
        </is>
      </c>
      <c r="B98" s="54" t="n"/>
      <c r="C98" s="54" t="n"/>
      <c r="D98" s="54" t="n"/>
      <c r="E98" s="54" t="n"/>
      <c r="F98" s="54" t="n"/>
      <c r="G98" s="54" t="n"/>
      <c r="H98" s="54" t="n"/>
      <c r="I98" s="54" t="n"/>
      <c r="J98" s="54" t="n"/>
    </row>
    <row r="99">
      <c r="A99" s="55" t="inlineStr">
        <is>
          <t>항목</t>
        </is>
      </c>
      <c r="B99" s="55" t="inlineStr">
        <is>
          <t>값</t>
        </is>
      </c>
      <c r="J99" s="55" t="inlineStr">
        <is>
          <t>출처</t>
        </is>
      </c>
    </row>
    <row r="100">
      <c r="A100" s="56" t="inlineStr">
        <is>
          <t>interim dps pre split</t>
        </is>
      </c>
      <c r="B100" s="59" t="n">
        <v>90</v>
      </c>
      <c r="J100" s="58" t="inlineStr">
        <is>
          <t>2단계 보고서 자료(회사 설명회 자료·공시)</t>
        </is>
      </c>
    </row>
    <row r="101">
      <c r="A101" s="56" t="inlineStr">
        <is>
          <t>interim dps post split</t>
        </is>
      </c>
      <c r="B101" s="59" t="n">
        <v>30</v>
      </c>
    </row>
    <row r="102">
      <c r="A102" s="56" t="inlineStr">
        <is>
          <t>합계</t>
        </is>
      </c>
      <c r="B102" s="57" t="n">
        <v>479.37</v>
      </c>
    </row>
    <row r="103">
      <c r="A103" s="56" t="inlineStr">
        <is>
          <t>first dividend</t>
        </is>
      </c>
      <c r="B103" s="59" t="b">
        <v>1</v>
      </c>
    </row>
    <row r="105">
      <c r="A105" s="54" t="inlineStr">
        <is>
          <t>guide vs 실적 2q · 매출</t>
        </is>
      </c>
      <c r="B105" s="54" t="n"/>
      <c r="C105" s="54" t="n"/>
      <c r="D105" s="54" t="n"/>
      <c r="E105" s="54" t="n"/>
      <c r="F105" s="54" t="n"/>
      <c r="G105" s="54" t="n"/>
      <c r="H105" s="54" t="n"/>
      <c r="I105" s="54" t="n"/>
      <c r="J105" s="54" t="n"/>
    </row>
    <row r="106">
      <c r="A106" s="55" t="inlineStr">
        <is>
          <t>항목</t>
        </is>
      </c>
      <c r="B106" s="55" t="inlineStr">
        <is>
          <t>값</t>
        </is>
      </c>
      <c r="J106" s="55" t="inlineStr">
        <is>
          <t>출처</t>
        </is>
      </c>
    </row>
    <row r="107">
      <c r="A107" s="56" t="inlineStr">
        <is>
          <t>guide</t>
        </is>
      </c>
      <c r="B107" s="59" t="n">
        <v>23900</v>
      </c>
      <c r="J107" s="58" t="inlineStr">
        <is>
          <t>2단계 보고서 자료(회사 설명회 자료·공시)</t>
        </is>
      </c>
    </row>
    <row r="108">
      <c r="A108" s="56" t="inlineStr">
        <is>
          <t>cons</t>
        </is>
      </c>
      <c r="B108" s="59" t="n">
        <v>24539</v>
      </c>
    </row>
    <row r="109">
      <c r="A109" s="56" t="inlineStr">
        <is>
          <t>실적</t>
        </is>
      </c>
      <c r="B109" s="57" t="n">
        <v>24800.3</v>
      </c>
    </row>
    <row r="111">
      <c r="A111" s="54" t="inlineStr">
        <is>
          <t>guide vs 실적 2q · 영업이익</t>
        </is>
      </c>
      <c r="B111" s="54" t="n"/>
      <c r="C111" s="54" t="n"/>
      <c r="D111" s="54" t="n"/>
      <c r="E111" s="54" t="n"/>
      <c r="F111" s="54" t="n"/>
      <c r="G111" s="54" t="n"/>
      <c r="H111" s="54" t="n"/>
      <c r="I111" s="54" t="n"/>
      <c r="J111" s="54" t="n"/>
    </row>
    <row r="112">
      <c r="A112" s="55" t="inlineStr">
        <is>
          <t>항목</t>
        </is>
      </c>
      <c r="B112" s="55" t="inlineStr">
        <is>
          <t>값</t>
        </is>
      </c>
      <c r="J112" s="55" t="inlineStr">
        <is>
          <t>출처</t>
        </is>
      </c>
    </row>
    <row r="113">
      <c r="A113" s="56" t="inlineStr">
        <is>
          <t>guide</t>
        </is>
      </c>
      <c r="B113" s="59" t="n">
        <v>18900</v>
      </c>
      <c r="J113" s="58" t="inlineStr">
        <is>
          <t>2단계 보고서 자료(회사 설명회 자료·공시)</t>
        </is>
      </c>
    </row>
    <row r="114">
      <c r="A114" s="56" t="inlineStr">
        <is>
          <t>cons</t>
        </is>
      </c>
      <c r="B114" s="59" t="n">
        <v>19500</v>
      </c>
    </row>
    <row r="115">
      <c r="A115" s="56" t="inlineStr">
        <is>
          <t>실적</t>
        </is>
      </c>
      <c r="B115" s="57" t="n">
        <v>19947.1</v>
      </c>
    </row>
    <row r="117">
      <c r="A117" s="54" t="inlineStr">
        <is>
          <t>guide vs 실적 2q · 순이익</t>
        </is>
      </c>
      <c r="B117" s="54" t="n"/>
      <c r="C117" s="54" t="n"/>
      <c r="D117" s="54" t="n"/>
      <c r="E117" s="54" t="n"/>
      <c r="F117" s="54" t="n"/>
      <c r="G117" s="54" t="n"/>
      <c r="H117" s="54" t="n"/>
      <c r="I117" s="54" t="n"/>
      <c r="J117" s="54" t="n"/>
    </row>
    <row r="118">
      <c r="A118" s="55" t="inlineStr">
        <is>
          <t>항목</t>
        </is>
      </c>
      <c r="B118" s="55" t="inlineStr">
        <is>
          <t>값</t>
        </is>
      </c>
      <c r="J118" s="55" t="inlineStr">
        <is>
          <t>출처</t>
        </is>
      </c>
    </row>
    <row r="119">
      <c r="A119" s="56" t="inlineStr">
        <is>
          <t>guide</t>
        </is>
      </c>
      <c r="B119" s="59" t="n">
        <v>12700</v>
      </c>
      <c r="J119" s="58" t="inlineStr">
        <is>
          <t>2단계 보고서 자료(회사 설명회 자료·공시)</t>
        </is>
      </c>
    </row>
    <row r="120">
      <c r="A120" s="56" t="inlineStr">
        <is>
          <t>실적</t>
        </is>
      </c>
      <c r="B120" s="57" t="n">
        <v>13557.1</v>
      </c>
    </row>
    <row r="122">
      <c r="A122" s="54" t="inlineStr">
        <is>
          <t>guide vs 실적 2q · EPS</t>
        </is>
      </c>
      <c r="B122" s="54" t="n"/>
      <c r="C122" s="54" t="n"/>
      <c r="D122" s="54" t="n"/>
      <c r="E122" s="54" t="n"/>
      <c r="F122" s="54" t="n"/>
      <c r="G122" s="54" t="n"/>
      <c r="H122" s="54" t="n"/>
      <c r="I122" s="54" t="n"/>
      <c r="J122" s="54" t="n"/>
    </row>
    <row r="123">
      <c r="A123" s="55" t="inlineStr">
        <is>
          <t>항목</t>
        </is>
      </c>
      <c r="B123" s="55" t="inlineStr">
        <is>
          <t>값</t>
        </is>
      </c>
      <c r="J123" s="55" t="inlineStr">
        <is>
          <t>출처</t>
        </is>
      </c>
    </row>
    <row r="124">
      <c r="A124" s="56" t="inlineStr">
        <is>
          <t>guide</t>
        </is>
      </c>
      <c r="B124" s="57" t="n">
        <v>772.5</v>
      </c>
      <c r="J124" s="58" t="inlineStr">
        <is>
          <t>2단계 보고서 자료(회사 설명회 자료·공시)</t>
        </is>
      </c>
    </row>
    <row r="125">
      <c r="A125" s="56" t="inlineStr">
        <is>
          <t>실적</t>
        </is>
      </c>
      <c r="B125" s="57" t="n">
        <v>838.3099999999999</v>
      </c>
    </row>
    <row r="127">
      <c r="A127" s="54" t="inlineStr">
        <is>
          <t>3Q guide vs cons</t>
        </is>
      </c>
      <c r="B127" s="54" t="n"/>
      <c r="C127" s="54" t="n"/>
      <c r="D127" s="54" t="n"/>
      <c r="E127" s="54" t="n"/>
      <c r="F127" s="54" t="n"/>
      <c r="G127" s="54" t="n"/>
      <c r="H127" s="54" t="n"/>
      <c r="I127" s="54" t="n"/>
      <c r="J127" s="54" t="n"/>
    </row>
    <row r="128">
      <c r="A128" s="55" t="inlineStr">
        <is>
          <t>항목</t>
        </is>
      </c>
      <c r="B128" s="55" t="inlineStr">
        <is>
          <t>값</t>
        </is>
      </c>
      <c r="J128" s="55" t="inlineStr">
        <is>
          <t>출처</t>
        </is>
      </c>
    </row>
    <row r="129">
      <c r="A129" s="56" t="inlineStr">
        <is>
          <t>매출 guide</t>
        </is>
      </c>
      <c r="B129" s="59" t="n">
        <v>25000</v>
      </c>
      <c r="J129" s="58" t="inlineStr">
        <is>
          <t>2단계 보고서 자료(회사 설명회 자료·공시)</t>
        </is>
      </c>
    </row>
    <row r="130">
      <c r="A130" s="56" t="inlineStr">
        <is>
          <t>매출 cons</t>
        </is>
      </c>
      <c r="B130" s="59" t="n">
        <v>28810</v>
      </c>
    </row>
    <row r="131">
      <c r="A131" s="56" t="inlineStr">
        <is>
          <t>gap %</t>
        </is>
      </c>
      <c r="B131" s="57" t="n">
        <v>-13.2</v>
      </c>
    </row>
    <row r="132">
      <c r="A132" s="56" t="inlineStr">
        <is>
          <t>cons 애널리스트 수</t>
        </is>
      </c>
      <c r="B132" s="59" t="n">
        <v>10</v>
      </c>
    </row>
    <row r="134">
      <c r="A134" s="54" t="inlineStr">
        <is>
          <t>컨센서스 1030 · fy3 27</t>
        </is>
      </c>
      <c r="B134" s="54" t="n"/>
      <c r="C134" s="54" t="n"/>
      <c r="D134" s="54" t="n"/>
      <c r="E134" s="54" t="n"/>
      <c r="F134" s="54" t="n"/>
      <c r="G134" s="54" t="n"/>
      <c r="H134" s="54" t="n"/>
      <c r="I134" s="54" t="n"/>
      <c r="J134" s="54" t="n"/>
    </row>
    <row r="135">
      <c r="A135" s="55" t="inlineStr">
        <is>
          <t>항목</t>
        </is>
      </c>
      <c r="B135" s="55" t="inlineStr">
        <is>
          <t>값</t>
        </is>
      </c>
      <c r="J135" s="55" t="inlineStr">
        <is>
          <t>출처</t>
        </is>
      </c>
    </row>
    <row r="136">
      <c r="A136" s="56" t="inlineStr">
        <is>
          <t>EPS</t>
        </is>
      </c>
      <c r="B136" s="57" t="n">
        <v>3491.3</v>
      </c>
      <c r="J136" s="58" t="inlineStr">
        <is>
          <t>2단계 보고서 자료(회사 설명회 자료·공시)</t>
        </is>
      </c>
    </row>
    <row r="137">
      <c r="A137" s="56" t="inlineStr">
        <is>
          <t>매출</t>
        </is>
      </c>
      <c r="B137" s="59" t="n">
        <v>100641</v>
      </c>
    </row>
    <row r="138">
      <c r="A138" s="56" t="inlineStr">
        <is>
          <t>애널리스트 수</t>
        </is>
      </c>
      <c r="B138" s="59" t="n">
        <v>17</v>
      </c>
    </row>
    <row r="140">
      <c r="A140" s="54" t="inlineStr">
        <is>
          <t>컨센서스 1030 · fy3 28</t>
        </is>
      </c>
      <c r="B140" s="54" t="n"/>
      <c r="C140" s="54" t="n"/>
      <c r="D140" s="54" t="n"/>
      <c r="E140" s="54" t="n"/>
      <c r="F140" s="54" t="n"/>
      <c r="G140" s="54" t="n"/>
      <c r="H140" s="54" t="n"/>
      <c r="I140" s="54" t="n"/>
      <c r="J140" s="54" t="n"/>
    </row>
    <row r="141">
      <c r="A141" s="55" t="inlineStr">
        <is>
          <t>항목</t>
        </is>
      </c>
      <c r="B141" s="55" t="inlineStr">
        <is>
          <t>값</t>
        </is>
      </c>
      <c r="J141" s="55" t="inlineStr">
        <is>
          <t>출처</t>
        </is>
      </c>
    </row>
    <row r="142">
      <c r="A142" s="56" t="inlineStr">
        <is>
          <t>EPS</t>
        </is>
      </c>
      <c r="B142" s="57" t="n">
        <v>4878.9</v>
      </c>
      <c r="J142" s="58" t="inlineStr">
        <is>
          <t>2단계 보고서 자료(회사 설명회 자료·공시)</t>
        </is>
      </c>
    </row>
    <row r="143">
      <c r="A143" s="56" t="inlineStr">
        <is>
          <t>매출</t>
        </is>
      </c>
      <c r="B143" s="59" t="n">
        <v>134693</v>
      </c>
    </row>
    <row r="144">
      <c r="A144" s="56" t="inlineStr">
        <is>
          <t>애널리스트 수</t>
        </is>
      </c>
      <c r="B144" s="59" t="n">
        <v>17</v>
      </c>
    </row>
    <row r="146">
      <c r="A146" s="54" t="inlineStr">
        <is>
          <t>컨센서스 1030 · 목표주가 가격</t>
        </is>
      </c>
      <c r="B146" s="54" t="n"/>
      <c r="C146" s="54" t="n"/>
      <c r="D146" s="54" t="n"/>
      <c r="E146" s="54" t="n"/>
      <c r="F146" s="54" t="n"/>
      <c r="G146" s="54" t="n"/>
      <c r="H146" s="54" t="n"/>
      <c r="I146" s="54" t="n"/>
      <c r="J146" s="54" t="n"/>
    </row>
    <row r="147">
      <c r="A147" s="55" t="inlineStr">
        <is>
          <t>항목</t>
        </is>
      </c>
      <c r="B147" s="55" t="inlineStr">
        <is>
          <t>값</t>
        </is>
      </c>
      <c r="J147" s="55" t="inlineStr">
        <is>
          <t>출처</t>
        </is>
      </c>
    </row>
    <row r="148">
      <c r="A148" s="56" t="inlineStr">
        <is>
          <t>평균</t>
        </is>
      </c>
      <c r="B148" s="59" t="n">
        <v>36233</v>
      </c>
      <c r="J148" s="58" t="inlineStr">
        <is>
          <t>2단계 보고서 자료(회사 설명회 자료·공시)</t>
        </is>
      </c>
    </row>
    <row r="149">
      <c r="A149" s="56" t="inlineStr">
        <is>
          <t>중앙값</t>
        </is>
      </c>
      <c r="B149" s="59" t="n">
        <v>35834</v>
      </c>
    </row>
    <row r="150">
      <c r="A150" s="56" t="inlineStr">
        <is>
          <t>최고</t>
        </is>
      </c>
      <c r="B150" s="59" t="n">
        <v>66700</v>
      </c>
    </row>
    <row r="151">
      <c r="A151" s="56" t="inlineStr">
        <is>
          <t>최저</t>
        </is>
      </c>
      <c r="B151" s="59" t="n">
        <v>16333</v>
      </c>
    </row>
    <row r="152">
      <c r="A152" s="56" t="inlineStr">
        <is>
          <t>애널리스트 수</t>
        </is>
      </c>
      <c r="B152" s="59" t="n">
        <v>16</v>
      </c>
    </row>
    <row r="154">
      <c r="A154" s="54" t="inlineStr">
        <is>
          <t>밸류에이션 now</t>
        </is>
      </c>
      <c r="B154" s="54" t="n"/>
      <c r="C154" s="54" t="n"/>
      <c r="D154" s="54" t="n"/>
      <c r="E154" s="54" t="n"/>
      <c r="F154" s="54" t="n"/>
      <c r="G154" s="54" t="n"/>
      <c r="H154" s="54" t="n"/>
      <c r="I154" s="54" t="n"/>
      <c r="J154" s="54" t="n"/>
    </row>
    <row r="155">
      <c r="A155" s="55" t="inlineStr">
        <is>
          <t>항목</t>
        </is>
      </c>
      <c r="B155" s="55" t="inlineStr">
        <is>
          <t>값</t>
        </is>
      </c>
      <c r="J155" s="55" t="inlineStr">
        <is>
          <t>출처</t>
        </is>
      </c>
    </row>
    <row r="156">
      <c r="A156" s="56" t="inlineStr">
        <is>
          <t>EPS 3q x4</t>
        </is>
      </c>
      <c r="B156" s="57" t="n">
        <v>3404.44</v>
      </c>
      <c r="J156" s="58" t="inlineStr">
        <is>
          <t>2단계 보고서 자료(회사 설명회 자료·공시)</t>
        </is>
      </c>
    </row>
    <row r="157">
      <c r="A157" s="56" t="inlineStr">
        <is>
          <t>PER 가이던스</t>
        </is>
      </c>
      <c r="B157" s="57" t="n">
        <v>3.96</v>
      </c>
    </row>
    <row r="158">
      <c r="A158" s="56" t="inlineStr">
        <is>
          <t>PER fy27 cons</t>
        </is>
      </c>
      <c r="B158" s="57" t="n">
        <v>3.86</v>
      </c>
    </row>
    <row r="159">
      <c r="A159" s="56" t="inlineStr">
        <is>
          <t>PER fy28 cons</t>
        </is>
      </c>
      <c r="B159" s="57" t="n">
        <v>2.76</v>
      </c>
    </row>
    <row r="161">
      <c r="A161" s="54" t="inlineStr">
        <is>
          <t>비교 기업 1030 · SNDK</t>
        </is>
      </c>
      <c r="B161" s="54" t="n"/>
      <c r="C161" s="54" t="n"/>
      <c r="D161" s="54" t="n"/>
      <c r="E161" s="54" t="n"/>
      <c r="F161" s="54" t="n"/>
      <c r="G161" s="54" t="n"/>
      <c r="H161" s="54" t="n"/>
      <c r="I161" s="54" t="n"/>
      <c r="J161" s="54" t="n"/>
    </row>
    <row r="162">
      <c r="A162" s="55" t="inlineStr">
        <is>
          <t>항목</t>
        </is>
      </c>
      <c r="B162" s="55" t="inlineStr">
        <is>
          <t>값</t>
        </is>
      </c>
      <c r="J162" s="55" t="inlineStr">
        <is>
          <t>출처</t>
        </is>
      </c>
    </row>
    <row r="163">
      <c r="A163" s="56" t="inlineStr">
        <is>
          <t>px</t>
        </is>
      </c>
      <c r="B163" s="57" t="n">
        <v>1330.05</v>
      </c>
      <c r="J163" s="58" t="inlineStr">
        <is>
          <t>2단계 보고서 자료(회사 설명회 자료·공시)</t>
        </is>
      </c>
    </row>
    <row r="164">
      <c r="A164" s="56" t="inlineStr">
        <is>
          <t>chg 1w</t>
        </is>
      </c>
      <c r="B164" s="57" t="n">
        <v>5.5</v>
      </c>
    </row>
    <row r="165">
      <c r="A165" s="56" t="inlineStr">
        <is>
          <t>chg 1m</t>
        </is>
      </c>
      <c r="B165" s="57" t="n">
        <v>-23.6</v>
      </c>
    </row>
    <row r="167">
      <c r="A167" s="54" t="inlineStr">
        <is>
          <t>비교 기업 1030 · MU</t>
        </is>
      </c>
      <c r="B167" s="54" t="n"/>
      <c r="C167" s="54" t="n"/>
      <c r="D167" s="54" t="n"/>
      <c r="E167" s="54" t="n"/>
      <c r="F167" s="54" t="n"/>
      <c r="G167" s="54" t="n"/>
      <c r="H167" s="54" t="n"/>
      <c r="I167" s="54" t="n"/>
      <c r="J167" s="54" t="n"/>
    </row>
    <row r="168">
      <c r="A168" s="55" t="inlineStr">
        <is>
          <t>항목</t>
        </is>
      </c>
      <c r="B168" s="55" t="inlineStr">
        <is>
          <t>값</t>
        </is>
      </c>
      <c r="J168" s="55" t="inlineStr">
        <is>
          <t>출처</t>
        </is>
      </c>
    </row>
    <row r="169">
      <c r="A169" s="56" t="inlineStr">
        <is>
          <t>px</t>
        </is>
      </c>
      <c r="B169" s="57" t="n">
        <v>934.27</v>
      </c>
      <c r="J169" s="58" t="inlineStr">
        <is>
          <t>2단계 보고서 자료(회사 설명회 자료·공시)</t>
        </is>
      </c>
    </row>
    <row r="170">
      <c r="A170" s="56" t="inlineStr">
        <is>
          <t>chg 1w</t>
        </is>
      </c>
      <c r="B170" s="57" t="n">
        <v>9.1</v>
      </c>
    </row>
    <row r="171">
      <c r="A171" s="56" t="inlineStr">
        <is>
          <t>chg 1m</t>
        </is>
      </c>
      <c r="B171" s="57" t="n">
        <v>-12.3</v>
      </c>
    </row>
    <row r="173">
      <c r="A173" s="54" t="inlineStr">
        <is>
          <t>비교 기업 1030 · 000660</t>
        </is>
      </c>
      <c r="B173" s="54" t="n"/>
      <c r="C173" s="54" t="n"/>
      <c r="D173" s="54" t="n"/>
      <c r="E173" s="54" t="n"/>
      <c r="F173" s="54" t="n"/>
      <c r="G173" s="54" t="n"/>
      <c r="H173" s="54" t="n"/>
      <c r="I173" s="54" t="n"/>
      <c r="J173" s="54" t="n"/>
    </row>
    <row r="174">
      <c r="A174" s="55" t="inlineStr">
        <is>
          <t>항목</t>
        </is>
      </c>
      <c r="B174" s="55" t="inlineStr">
        <is>
          <t>값</t>
        </is>
      </c>
      <c r="J174" s="55" t="inlineStr">
        <is>
          <t>출처</t>
        </is>
      </c>
    </row>
    <row r="175">
      <c r="A175" s="56" t="inlineStr">
        <is>
          <t>px</t>
        </is>
      </c>
      <c r="B175" s="59" t="n">
        <v>1418000</v>
      </c>
      <c r="J175" s="58" t="inlineStr">
        <is>
          <t>2단계 보고서 자료(회사 설명회 자료·공시)</t>
        </is>
      </c>
    </row>
    <row r="176">
      <c r="A176" s="56" t="inlineStr">
        <is>
          <t>chg 1w</t>
        </is>
      </c>
      <c r="B176" s="57" t="n">
        <v>11</v>
      </c>
    </row>
    <row r="177">
      <c r="A177" s="56" t="inlineStr">
        <is>
          <t>chg 1m</t>
        </is>
      </c>
      <c r="B177" s="57" t="n">
        <v>-20.2</v>
      </c>
    </row>
    <row r="179">
      <c r="A179" s="54" t="inlineStr">
        <is>
          <t>annual extra · FY2022</t>
        </is>
      </c>
      <c r="B179" s="54" t="n"/>
      <c r="C179" s="54" t="n"/>
      <c r="D179" s="54" t="n"/>
      <c r="E179" s="54" t="n"/>
      <c r="F179" s="54" t="n"/>
      <c r="G179" s="54" t="n"/>
      <c r="H179" s="54" t="n"/>
      <c r="I179" s="54" t="n"/>
      <c r="J179" s="54" t="n"/>
    </row>
    <row r="180">
      <c r="A180" s="55" t="inlineStr">
        <is>
          <t>항목</t>
        </is>
      </c>
      <c r="B180" s="55" t="inlineStr">
        <is>
          <t>값</t>
        </is>
      </c>
      <c r="J180" s="55" t="inlineStr">
        <is>
          <t>출처</t>
        </is>
      </c>
    </row>
    <row r="181">
      <c r="A181" s="56" t="inlineStr">
        <is>
          <t>매출</t>
        </is>
      </c>
      <c r="B181" s="59" t="n">
        <v>15265</v>
      </c>
      <c r="J181" s="58" t="inlineStr">
        <is>
          <t>유가증권보고서 5개년 표(프리뷰)</t>
        </is>
      </c>
    </row>
    <row r="182">
      <c r="A182" s="56" t="inlineStr">
        <is>
          <t>영업이익</t>
        </is>
      </c>
      <c r="B182" s="59" t="n">
        <v>2162</v>
      </c>
    </row>
    <row r="183">
      <c r="A183" s="56" t="inlineStr">
        <is>
          <t>pbt</t>
        </is>
      </c>
      <c r="B183" s="59" t="n">
        <v>1544</v>
      </c>
    </row>
    <row r="184">
      <c r="A184" s="56" t="inlineStr">
        <is>
          <t>순이익</t>
        </is>
      </c>
      <c r="B184" s="59" t="n">
        <v>1059</v>
      </c>
    </row>
    <row r="186">
      <c r="A186" s="54" t="inlineStr">
        <is>
          <t>annual extra · FY2023</t>
        </is>
      </c>
      <c r="B186" s="54" t="n"/>
      <c r="C186" s="54" t="n"/>
      <c r="D186" s="54" t="n"/>
      <c r="E186" s="54" t="n"/>
      <c r="F186" s="54" t="n"/>
      <c r="G186" s="54" t="n"/>
      <c r="H186" s="54" t="n"/>
      <c r="I186" s="54" t="n"/>
      <c r="J186" s="54" t="n"/>
    </row>
    <row r="187">
      <c r="A187" s="55" t="inlineStr">
        <is>
          <t>항목</t>
        </is>
      </c>
      <c r="B187" s="55" t="inlineStr">
        <is>
          <t>값</t>
        </is>
      </c>
      <c r="J187" s="55" t="inlineStr">
        <is>
          <t>출처</t>
        </is>
      </c>
    </row>
    <row r="188">
      <c r="A188" s="56" t="inlineStr">
        <is>
          <t>매출</t>
        </is>
      </c>
      <c r="B188" s="59" t="n">
        <v>12821</v>
      </c>
      <c r="J188" s="58" t="inlineStr">
        <is>
          <t>유가증권보고서 5개년 표(프리뷰)</t>
        </is>
      </c>
    </row>
    <row r="189">
      <c r="A189" s="56" t="inlineStr">
        <is>
          <t>영업이익</t>
        </is>
      </c>
      <c r="B189" s="59" t="n">
        <v>-990</v>
      </c>
    </row>
    <row r="190">
      <c r="A190" s="56" t="inlineStr">
        <is>
          <t>pbt</t>
        </is>
      </c>
      <c r="B190" s="59" t="n">
        <v>-1864</v>
      </c>
    </row>
    <row r="191">
      <c r="A191" s="56" t="inlineStr">
        <is>
          <t>순이익</t>
        </is>
      </c>
      <c r="B191" s="59" t="n">
        <v>-1381</v>
      </c>
    </row>
    <row r="193">
      <c r="A193" s="54" t="inlineStr">
        <is>
          <t>부문별 q</t>
        </is>
      </c>
      <c r="B193" s="54" t="n"/>
      <c r="C193" s="54" t="n"/>
      <c r="D193" s="54" t="n"/>
      <c r="E193" s="54" t="n"/>
      <c r="F193" s="54" t="n"/>
      <c r="G193" s="54" t="n"/>
      <c r="H193" s="54" t="n"/>
      <c r="I193" s="54" t="n"/>
      <c r="J193" s="54" t="n"/>
    </row>
    <row r="194">
      <c r="A194" s="55" t="inlineStr">
        <is>
          <t>항목</t>
        </is>
      </c>
      <c r="B194" s="55" t="inlineStr">
        <is>
          <t>2025.3Q</t>
        </is>
      </c>
      <c r="C194" s="55" t="inlineStr">
        <is>
          <t>2025.4Q</t>
        </is>
      </c>
      <c r="D194" s="55" t="inlineStr">
        <is>
          <t>2026.1Q</t>
        </is>
      </c>
      <c r="E194" s="55" t="inlineStr">
        <is>
          <t>2026.2Q</t>
        </is>
      </c>
      <c r="F194" s="55" t="inlineStr">
        <is>
          <t>2026.3Q</t>
        </is>
      </c>
      <c r="G194" s="55" t="inlineStr">
        <is>
          <t>2026.4Q</t>
        </is>
      </c>
      <c r="H194" s="55" t="inlineStr">
        <is>
          <t>2027.1Q</t>
        </is>
      </c>
      <c r="I194" s="55" t="inlineStr">
        <is>
          <t>2027.2Q</t>
        </is>
      </c>
      <c r="J194" s="55" t="inlineStr">
        <is>
          <t>출처</t>
        </is>
      </c>
    </row>
    <row r="195">
      <c r="A195" s="56" t="inlineStr">
        <is>
          <t>ssd</t>
        </is>
      </c>
      <c r="B195" s="59" t="n">
        <v>2787</v>
      </c>
      <c r="C195" s="59" t="n">
        <v>2152</v>
      </c>
      <c r="D195" s="59" t="n">
        <v>2174</v>
      </c>
      <c r="E195" s="59" t="n">
        <v>2446</v>
      </c>
      <c r="F195" s="59" t="n">
        <v>3004</v>
      </c>
      <c r="G195" s="59" t="n">
        <v>6003</v>
      </c>
      <c r="H195" s="59" t="n">
        <v>11747</v>
      </c>
      <c r="I195" s="59" t="n">
        <v>16160</v>
      </c>
      <c r="J195" s="58" t="inlineStr">
        <is>
          <t>2단계 보고서 자료(회사 설명회 자료·공시)</t>
        </is>
      </c>
    </row>
    <row r="196">
      <c r="A196" s="56" t="inlineStr">
        <is>
          <t>smart</t>
        </is>
      </c>
      <c r="B196" s="59" t="n">
        <v>1171</v>
      </c>
      <c r="C196" s="59" t="n">
        <v>796</v>
      </c>
      <c r="D196" s="59" t="n">
        <v>790</v>
      </c>
      <c r="E196" s="59" t="n">
        <v>1573</v>
      </c>
      <c r="F196" s="59" t="n">
        <v>1863</v>
      </c>
      <c r="G196" s="59" t="n">
        <v>3373</v>
      </c>
      <c r="H196" s="59" t="n">
        <v>5257</v>
      </c>
      <c r="I196" s="59" t="n">
        <v>7889</v>
      </c>
    </row>
    <row r="197">
      <c r="A197" s="56" t="inlineStr">
        <is>
          <t>other</t>
        </is>
      </c>
      <c r="B197" s="59" t="n">
        <v>542</v>
      </c>
      <c r="C197" s="59" t="n">
        <v>523</v>
      </c>
      <c r="D197" s="59" t="n">
        <v>463</v>
      </c>
      <c r="E197" s="59" t="n">
        <v>465</v>
      </c>
      <c r="F197" s="59" t="n">
        <v>570</v>
      </c>
      <c r="G197" s="59" t="n">
        <v>652</v>
      </c>
      <c r="H197" s="59" t="n">
        <v>667</v>
      </c>
      <c r="I197" s="59" t="n">
        <v>752</v>
      </c>
    </row>
    <row r="199">
      <c r="A199" s="54" t="inlineStr">
        <is>
          <t>부문별 a · FY2024</t>
        </is>
      </c>
      <c r="B199" s="54" t="n"/>
      <c r="C199" s="54" t="n"/>
      <c r="D199" s="54" t="n"/>
      <c r="E199" s="54" t="n"/>
      <c r="F199" s="54" t="n"/>
      <c r="G199" s="54" t="n"/>
      <c r="H199" s="54" t="n"/>
      <c r="I199" s="54" t="n"/>
      <c r="J199" s="54" t="n"/>
    </row>
    <row r="200">
      <c r="A200" s="55" t="inlineStr">
        <is>
          <t>항목</t>
        </is>
      </c>
      <c r="B200" s="55" t="inlineStr">
        <is>
          <t>값</t>
        </is>
      </c>
      <c r="J200" s="55" t="inlineStr">
        <is>
          <t>출처</t>
        </is>
      </c>
    </row>
    <row r="201">
      <c r="A201" s="56" t="inlineStr">
        <is>
          <t>ssd</t>
        </is>
      </c>
      <c r="B201" s="59" t="n">
        <v>5164</v>
      </c>
      <c r="J201" s="58" t="inlineStr">
        <is>
          <t>2단계 보고서 자료(회사 설명회 자료·공시)</t>
        </is>
      </c>
    </row>
    <row r="202">
      <c r="A202" s="56" t="inlineStr">
        <is>
          <t>smart</t>
        </is>
      </c>
      <c r="B202" s="59" t="n">
        <v>3743</v>
      </c>
    </row>
    <row r="203">
      <c r="A203" s="56" t="inlineStr">
        <is>
          <t>other</t>
        </is>
      </c>
      <c r="B203" s="59" t="n">
        <v>1859</v>
      </c>
    </row>
    <row r="205">
      <c r="A205" s="54" t="inlineStr">
        <is>
          <t>부문별 a · FY2025</t>
        </is>
      </c>
      <c r="B205" s="54" t="n"/>
      <c r="C205" s="54" t="n"/>
      <c r="D205" s="54" t="n"/>
      <c r="E205" s="54" t="n"/>
      <c r="F205" s="54" t="n"/>
      <c r="G205" s="54" t="n"/>
      <c r="H205" s="54" t="n"/>
      <c r="I205" s="54" t="n"/>
      <c r="J205" s="54" t="n"/>
    </row>
    <row r="206">
      <c r="A206" s="55" t="inlineStr">
        <is>
          <t>항목</t>
        </is>
      </c>
      <c r="B206" s="55" t="inlineStr">
        <is>
          <t>값</t>
        </is>
      </c>
      <c r="J206" s="55" t="inlineStr">
        <is>
          <t>출처</t>
        </is>
      </c>
    </row>
    <row r="207">
      <c r="A207" s="56" t="inlineStr">
        <is>
          <t>ssd</t>
        </is>
      </c>
      <c r="B207" s="59" t="n">
        <v>9911</v>
      </c>
      <c r="J207" s="58" t="inlineStr">
        <is>
          <t>2단계 보고서 자료(회사 설명회 자료·공시)</t>
        </is>
      </c>
    </row>
    <row r="208">
      <c r="A208" s="56" t="inlineStr">
        <is>
          <t>smart</t>
        </is>
      </c>
      <c r="B208" s="59" t="n">
        <v>5011</v>
      </c>
    </row>
    <row r="209">
      <c r="A209" s="56" t="inlineStr">
        <is>
          <t>other</t>
        </is>
      </c>
      <c r="B209" s="59" t="n">
        <v>2142</v>
      </c>
    </row>
    <row r="211">
      <c r="A211" s="54" t="inlineStr">
        <is>
          <t>부문별 a · FY2026</t>
        </is>
      </c>
      <c r="B211" s="54" t="n"/>
      <c r="C211" s="54" t="n"/>
      <c r="D211" s="54" t="n"/>
      <c r="E211" s="54" t="n"/>
      <c r="F211" s="54" t="n"/>
      <c r="G211" s="54" t="n"/>
      <c r="H211" s="54" t="n"/>
      <c r="I211" s="54" t="n"/>
      <c r="J211" s="54" t="n"/>
    </row>
    <row r="212">
      <c r="A212" s="55" t="inlineStr">
        <is>
          <t>항목</t>
        </is>
      </c>
      <c r="B212" s="55" t="inlineStr">
        <is>
          <t>값</t>
        </is>
      </c>
      <c r="J212" s="55" t="inlineStr">
        <is>
          <t>출처</t>
        </is>
      </c>
    </row>
    <row r="213">
      <c r="A213" s="56" t="inlineStr">
        <is>
          <t>ssd</t>
        </is>
      </c>
      <c r="B213" s="59" t="n">
        <v>13626</v>
      </c>
      <c r="J213" s="58" t="inlineStr">
        <is>
          <t>2단계 보고서 자료(회사 설명회 자료·공시)</t>
        </is>
      </c>
    </row>
    <row r="214">
      <c r="A214" s="56" t="inlineStr">
        <is>
          <t>smart</t>
        </is>
      </c>
      <c r="B214" s="59" t="n">
        <v>7600</v>
      </c>
    </row>
    <row r="215">
      <c r="A215" s="56" t="inlineStr">
        <is>
          <t>other</t>
        </is>
      </c>
      <c r="B215" s="59" t="n">
        <v>2150</v>
      </c>
    </row>
    <row r="217">
      <c r="A217" s="54" t="inlineStr">
        <is>
          <t>핵심 지표 q preview · usdjpy</t>
        </is>
      </c>
      <c r="B217" s="54" t="n"/>
      <c r="C217" s="54" t="n"/>
      <c r="D217" s="54" t="n"/>
      <c r="E217" s="54" t="n"/>
      <c r="F217" s="54" t="n"/>
      <c r="G217" s="54" t="n"/>
      <c r="H217" s="54" t="n"/>
      <c r="I217" s="54" t="n"/>
      <c r="J217" s="54" t="n"/>
    </row>
    <row r="218">
      <c r="A218" s="55" t="inlineStr">
        <is>
          <t>항목</t>
        </is>
      </c>
      <c r="B218" s="55" t="inlineStr">
        <is>
          <t>값</t>
        </is>
      </c>
      <c r="J218" s="55" t="inlineStr">
        <is>
          <t>출처</t>
        </is>
      </c>
    </row>
    <row r="219">
      <c r="A219" s="56" t="inlineStr">
        <is>
          <t>2025.3Q</t>
        </is>
      </c>
      <c r="B219" s="59" t="n">
        <v>149</v>
      </c>
      <c r="J219" s="58" t="inlineStr">
        <is>
          <t>2단계 보고서 자료(회사 설명회 자료·공시)</t>
        </is>
      </c>
    </row>
    <row r="220">
      <c r="A220" s="56" t="inlineStr">
        <is>
          <t>2025.4Q</t>
        </is>
      </c>
      <c r="B220" s="59" t="n">
        <v>154</v>
      </c>
    </row>
    <row r="221">
      <c r="A221" s="56" t="inlineStr">
        <is>
          <t>2026.1Q</t>
        </is>
      </c>
      <c r="B221" s="59" t="n">
        <v>145</v>
      </c>
    </row>
    <row r="222">
      <c r="A222" s="56" t="inlineStr">
        <is>
          <t>2026.2Q</t>
        </is>
      </c>
      <c r="B222" s="59" t="n">
        <v>147</v>
      </c>
    </row>
    <row r="223">
      <c r="A223" s="56" t="inlineStr">
        <is>
          <t>2026.3Q</t>
        </is>
      </c>
      <c r="B223" s="59" t="n">
        <v>153</v>
      </c>
    </row>
    <row r="224">
      <c r="A224" s="56" t="inlineStr">
        <is>
          <t>2026.4Q</t>
        </is>
      </c>
      <c r="B224" s="59" t="n">
        <v>155</v>
      </c>
    </row>
    <row r="225">
      <c r="A225" s="56" t="inlineStr">
        <is>
          <t>2027.1Q</t>
        </is>
      </c>
      <c r="B225" s="59" t="n">
        <v>160</v>
      </c>
    </row>
    <row r="226">
      <c r="A226" s="56" t="inlineStr">
        <is>
          <t>2027.2Q</t>
        </is>
      </c>
      <c r="B226" s="59" t="n">
        <v>161</v>
      </c>
    </row>
    <row r="228">
      <c r="A228" s="54" t="inlineStr">
        <is>
          <t>핵심 지표 q preview · nand contract 128Gb MLC 달러</t>
        </is>
      </c>
      <c r="B228" s="54" t="n"/>
      <c r="C228" s="54" t="n"/>
      <c r="D228" s="54" t="n"/>
      <c r="E228" s="54" t="n"/>
      <c r="F228" s="54" t="n"/>
      <c r="G228" s="54" t="n"/>
      <c r="H228" s="54" t="n"/>
      <c r="I228" s="54" t="n"/>
      <c r="J228" s="54" t="n"/>
    </row>
    <row r="229">
      <c r="A229" s="55" t="inlineStr">
        <is>
          <t>항목</t>
        </is>
      </c>
      <c r="B229" s="55" t="inlineStr">
        <is>
          <t>값</t>
        </is>
      </c>
      <c r="J229" s="55" t="inlineStr">
        <is>
          <t>출처</t>
        </is>
      </c>
    </row>
    <row r="230">
      <c r="A230" s="56" t="inlineStr">
        <is>
          <t>2026.1Q</t>
        </is>
      </c>
      <c r="B230" s="57" t="n">
        <v>2.94</v>
      </c>
      <c r="J230" s="58" t="inlineStr">
        <is>
          <t>2단계 보고서 자료(회사 설명회 자료·공시)</t>
        </is>
      </c>
    </row>
    <row r="231">
      <c r="A231" s="56" t="inlineStr">
        <is>
          <t>2026.2Q</t>
        </is>
      </c>
      <c r="B231" s="57" t="n">
        <v>3.53</v>
      </c>
    </row>
    <row r="232">
      <c r="A232" s="56" t="inlineStr">
        <is>
          <t>2026.3Q</t>
        </is>
      </c>
      <c r="B232" s="57" t="n">
        <v>5.09</v>
      </c>
    </row>
    <row r="233">
      <c r="A233" s="56" t="inlineStr">
        <is>
          <t>2026.4Q</t>
        </is>
      </c>
      <c r="B233" s="57" t="n">
        <v>13.3</v>
      </c>
    </row>
    <row r="234">
      <c r="A234" s="56" t="inlineStr">
        <is>
          <t>2027.1Q</t>
        </is>
      </c>
      <c r="B234" s="57" t="n">
        <v>26.5</v>
      </c>
    </row>
    <row r="235">
      <c r="A235" s="56" t="inlineStr">
        <is>
          <t>2027.2Q</t>
        </is>
      </c>
      <c r="B235" s="57" t="n">
        <v>30.38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0" t="inlineStr">
        <is>
          <t>공시일</t>
        </is>
      </c>
      <c r="B3" s="60" t="inlineStr">
        <is>
          <t>문서</t>
        </is>
      </c>
      <c r="C3" s="60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２분기 결산단신</t>
        </is>
      </c>
      <c r="C4" t="inlineStr">
        <is>
          <t>https://www2.jpx.co.jp/disc/285A0/140120261030561535.pdf</t>
        </is>
      </c>
    </row>
    <row r="5">
      <c r="A5" t="inlineStr">
        <is>
          <t>2026-07-31</t>
        </is>
      </c>
      <c r="B5" t="inlineStr">
        <is>
          <t>2027년 3월 결산기 １분기 결산단신</t>
        </is>
      </c>
      <c r="C5" t="inlineStr">
        <is>
          <t>https://www2.jpx.co.jp/disc/285A0/140120260731505265.pdf</t>
        </is>
      </c>
    </row>
    <row r="6">
      <c r="A6" t="inlineStr">
        <is>
          <t>2026-05-15</t>
        </is>
      </c>
      <c r="B6" t="inlineStr">
        <is>
          <t>2026년 3월 결산기 연간 결산단신</t>
        </is>
      </c>
      <c r="C6" t="inlineStr">
        <is>
          <t>https://www2.jpx.co.jp/disc/285A0/140120260515537803.pdf</t>
        </is>
      </c>
    </row>
    <row r="7">
      <c r="A7" t="inlineStr">
        <is>
          <t>2026-02-12</t>
        </is>
      </c>
      <c r="B7" t="inlineStr">
        <is>
          <t>2026년 3월 결산기 ３분기 결산단신</t>
        </is>
      </c>
      <c r="C7" t="inlineStr">
        <is>
          <t>https://www2.jpx.co.jp/disc/285A0/140120260212556330.pdf</t>
        </is>
      </c>
    </row>
    <row r="8">
      <c r="A8" t="inlineStr">
        <is>
          <t>2025-11-13</t>
        </is>
      </c>
      <c r="B8" t="inlineStr">
        <is>
          <t>2026년 3월 결산기 ２분기 결산단신</t>
        </is>
      </c>
      <c r="C8" t="inlineStr">
        <is>
          <t>https://www2.jpx.co.jp/disc/285A0/140120251113599856.pdf</t>
        </is>
      </c>
    </row>
    <row r="9">
      <c r="A9" t="inlineStr">
        <is>
          <t>2025-08-08</t>
        </is>
      </c>
      <c r="B9" t="inlineStr">
        <is>
          <t>2026년 3월 결산기 １분기 결산단신</t>
        </is>
      </c>
      <c r="C9" t="inlineStr">
        <is>
          <t>https://www2.jpx.co.jp/disc/285A0/140120250808536248.pdf</t>
        </is>
      </c>
    </row>
    <row r="10">
      <c r="A10" t="inlineStr">
        <is>
          <t>2025-05-15</t>
        </is>
      </c>
      <c r="B10" t="inlineStr">
        <is>
          <t>2025년 3월 결산기 연간 결산단신</t>
        </is>
      </c>
      <c r="C10" t="inlineStr">
        <is>
          <t>https://www2.jpx.co.jp/disc/285A0/140120250515552869.pdf</t>
        </is>
      </c>
    </row>
    <row r="11">
      <c r="A11" t="inlineStr">
        <is>
          <t>2025-02-14</t>
        </is>
      </c>
      <c r="B11" t="inlineStr">
        <is>
          <t>2025년 3월 결산기 ３분기 결산단신</t>
        </is>
      </c>
      <c r="C11" t="inlineStr">
        <is>
          <t>https://www2.jpx.co.jp/disc/285A0/140120250207566970.pdf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1" t="inlineStr">
        <is>
          <t>285A 재무제표 한눈에 보기 — 최근 40개 분기(달력 분기, 3Q26 = 26.7~9) · 단위 억 엔</t>
        </is>
      </c>
    </row>
    <row r="2">
      <c r="A2" s="62" t="inlineStr">
        <is>
          <t>출처: 매출·영업이익 결산단신 XBRL · 재무상태표 등 결산단신 XBRL 8건(2025-02-14~2026-10-30). 부문·지역·수주·수출은 있을 때만(출처는 줄 끝). 총 차입금 = 이자 붙는 부채 전부(단기·장기 차입금, CP, 사채·전환사채, 리스부채)</t>
        </is>
      </c>
    </row>
    <row r="4">
      <c r="A4" s="63" t="inlineStr">
        <is>
          <t>항목</t>
        </is>
      </c>
      <c r="B4" s="64" t="inlineStr">
        <is>
          <t>4Q16</t>
        </is>
      </c>
      <c r="C4" s="64" t="inlineStr">
        <is>
          <t>1Q17</t>
        </is>
      </c>
      <c r="D4" s="64" t="inlineStr">
        <is>
          <t>2Q17</t>
        </is>
      </c>
      <c r="E4" s="64" t="inlineStr">
        <is>
          <t>3Q17</t>
        </is>
      </c>
      <c r="F4" s="64" t="inlineStr">
        <is>
          <t>4Q17</t>
        </is>
      </c>
      <c r="G4" s="64" t="inlineStr">
        <is>
          <t>1Q18</t>
        </is>
      </c>
      <c r="H4" s="64" t="inlineStr">
        <is>
          <t>2Q18</t>
        </is>
      </c>
      <c r="I4" s="64" t="inlineStr">
        <is>
          <t>3Q18</t>
        </is>
      </c>
      <c r="J4" s="64" t="inlineStr">
        <is>
          <t>4Q18</t>
        </is>
      </c>
      <c r="K4" s="64" t="inlineStr">
        <is>
          <t>1Q19</t>
        </is>
      </c>
      <c r="L4" s="64" t="inlineStr">
        <is>
          <t>2Q19</t>
        </is>
      </c>
      <c r="M4" s="64" t="inlineStr">
        <is>
          <t>3Q19</t>
        </is>
      </c>
      <c r="N4" s="64" t="inlineStr">
        <is>
          <t>4Q19</t>
        </is>
      </c>
      <c r="O4" s="64" t="inlineStr">
        <is>
          <t>1Q20</t>
        </is>
      </c>
      <c r="P4" s="64" t="inlineStr">
        <is>
          <t>2Q20</t>
        </is>
      </c>
      <c r="Q4" s="64" t="inlineStr">
        <is>
          <t>3Q20</t>
        </is>
      </c>
      <c r="R4" s="64" t="inlineStr">
        <is>
          <t>4Q20</t>
        </is>
      </c>
      <c r="S4" s="64" t="inlineStr">
        <is>
          <t>1Q21</t>
        </is>
      </c>
      <c r="T4" s="64" t="inlineStr">
        <is>
          <t>2Q21</t>
        </is>
      </c>
      <c r="U4" s="64" t="inlineStr">
        <is>
          <t>3Q21</t>
        </is>
      </c>
      <c r="V4" s="64" t="inlineStr">
        <is>
          <t>4Q21</t>
        </is>
      </c>
      <c r="W4" s="64" t="inlineStr">
        <is>
          <t>1Q22</t>
        </is>
      </c>
      <c r="X4" s="64" t="inlineStr">
        <is>
          <t>2Q22</t>
        </is>
      </c>
      <c r="Y4" s="64" t="inlineStr">
        <is>
          <t>3Q22</t>
        </is>
      </c>
      <c r="Z4" s="64" t="inlineStr">
        <is>
          <t>4Q22</t>
        </is>
      </c>
      <c r="AA4" s="64" t="inlineStr">
        <is>
          <t>1Q23</t>
        </is>
      </c>
      <c r="AB4" s="64" t="inlineStr">
        <is>
          <t>2Q23</t>
        </is>
      </c>
      <c r="AC4" s="64" t="inlineStr">
        <is>
          <t>3Q23</t>
        </is>
      </c>
      <c r="AD4" s="64" t="inlineStr">
        <is>
          <t>4Q23</t>
        </is>
      </c>
      <c r="AE4" s="64" t="inlineStr">
        <is>
          <t>1Q24</t>
        </is>
      </c>
      <c r="AF4" s="64" t="inlineStr">
        <is>
          <t>2Q24</t>
        </is>
      </c>
      <c r="AG4" s="64" t="inlineStr">
        <is>
          <t>3Q24</t>
        </is>
      </c>
      <c r="AH4" s="64" t="inlineStr">
        <is>
          <t>4Q24</t>
        </is>
      </c>
      <c r="AI4" s="64" t="inlineStr">
        <is>
          <t>1Q25</t>
        </is>
      </c>
      <c r="AJ4" s="64" t="inlineStr">
        <is>
          <t>2Q25</t>
        </is>
      </c>
      <c r="AK4" s="64" t="inlineStr">
        <is>
          <t>3Q25</t>
        </is>
      </c>
      <c r="AL4" s="64" t="inlineStr">
        <is>
          <t>4Q25</t>
        </is>
      </c>
      <c r="AM4" s="64" t="inlineStr">
        <is>
          <t>1Q26</t>
        </is>
      </c>
      <c r="AN4" s="64" t="inlineStr">
        <is>
          <t>2Q26</t>
        </is>
      </c>
      <c r="AO4" s="64" t="inlineStr">
        <is>
          <t>3Q26</t>
        </is>
      </c>
      <c r="AP4" s="63" t="inlineStr">
        <is>
          <t>출처</t>
        </is>
      </c>
    </row>
    <row r="5">
      <c r="A5" s="65" t="inlineStr">
        <is>
          <t>매출액</t>
        </is>
      </c>
      <c r="B5" s="66" t="n"/>
      <c r="C5" s="66" t="n"/>
      <c r="D5" s="66" t="n"/>
      <c r="E5" s="66" t="n"/>
      <c r="F5" s="66" t="n"/>
      <c r="G5" s="66" t="n"/>
      <c r="H5" s="66" t="n"/>
      <c r="I5" s="6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  <c r="AE5" s="66" t="n">
        <v>3220.8</v>
      </c>
      <c r="AF5" s="66" t="n">
        <v>4285</v>
      </c>
      <c r="AG5" s="66" t="n">
        <v>4809.1</v>
      </c>
      <c r="AH5" s="66" t="n">
        <v>4499.6</v>
      </c>
      <c r="AI5" s="66" t="n">
        <v>3470.9</v>
      </c>
      <c r="AJ5" s="66" t="n">
        <v>3428</v>
      </c>
      <c r="AK5" s="66" t="n">
        <v>4483.5</v>
      </c>
      <c r="AL5" s="66" t="n">
        <v>5436.3</v>
      </c>
      <c r="AM5" s="66" t="n">
        <v>10028.5</v>
      </c>
      <c r="AN5" s="66" t="n">
        <v>17671.2</v>
      </c>
      <c r="AO5" s="66" t="n">
        <v>24800.3</v>
      </c>
    </row>
    <row r="6">
      <c r="A6" s="65" t="inlineStr">
        <is>
          <t>매출액 YoY</t>
        </is>
      </c>
      <c r="B6" s="67" t="n"/>
      <c r="C6" s="67" t="n"/>
      <c r="D6" s="67" t="n"/>
      <c r="E6" s="67" t="n"/>
      <c r="F6" s="67" t="n"/>
      <c r="G6" s="67" t="n"/>
      <c r="H6" s="67" t="n"/>
      <c r="I6" s="67" t="n"/>
      <c r="J6" s="67" t="n"/>
      <c r="K6" s="67" t="n"/>
      <c r="L6" s="67" t="n"/>
      <c r="M6" s="67" t="n"/>
      <c r="N6" s="67" t="n"/>
      <c r="O6" s="67" t="n"/>
      <c r="P6" s="67" t="n"/>
      <c r="Q6" s="67" t="n"/>
      <c r="R6" s="67" t="n"/>
      <c r="S6" s="67" t="n"/>
      <c r="T6" s="67" t="n"/>
      <c r="U6" s="67" t="n"/>
      <c r="V6" s="67" t="n"/>
      <c r="W6" s="67" t="n"/>
      <c r="X6" s="67" t="n"/>
      <c r="Y6" s="67" t="n"/>
      <c r="Z6" s="67" t="n"/>
      <c r="AA6" s="67" t="n"/>
      <c r="AB6" s="67" t="n"/>
      <c r="AC6" s="67" t="n"/>
      <c r="AD6" s="67" t="n"/>
      <c r="AE6" s="67" t="n"/>
      <c r="AF6" s="67" t="n"/>
      <c r="AG6" s="67" t="n"/>
      <c r="AH6" s="67" t="n"/>
      <c r="AI6" s="67" t="n">
        <v>7.8</v>
      </c>
      <c r="AJ6" s="67" t="n">
        <v>-20</v>
      </c>
      <c r="AK6" s="67" t="n">
        <v>-6.8</v>
      </c>
      <c r="AL6" s="67" t="n">
        <v>20.8</v>
      </c>
      <c r="AM6" s="67" t="n">
        <v>188.9</v>
      </c>
      <c r="AN6" s="67" t="n">
        <v>415.5</v>
      </c>
      <c r="AO6" s="67" t="n">
        <v>453.1</v>
      </c>
    </row>
    <row r="7">
      <c r="A7" s="65" t="inlineStr">
        <is>
          <t>영업이익</t>
        </is>
      </c>
      <c r="B7" s="66" t="n"/>
      <c r="C7" s="66" t="n"/>
      <c r="D7" s="66" t="n"/>
      <c r="E7" s="66" t="n"/>
      <c r="F7" s="66" t="n"/>
      <c r="G7" s="66" t="n"/>
      <c r="H7" s="66" t="n"/>
      <c r="I7" s="66" t="n"/>
      <c r="J7" s="66" t="n"/>
      <c r="K7" s="6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  <c r="AE7" s="66" t="n">
        <v>438.6</v>
      </c>
      <c r="AF7" s="66" t="n">
        <v>1258.6</v>
      </c>
      <c r="AG7" s="66" t="n">
        <v>1660.3</v>
      </c>
      <c r="AH7" s="66" t="n">
        <v>1227.2</v>
      </c>
      <c r="AI7" s="66" t="n">
        <v>371.4</v>
      </c>
      <c r="AJ7" s="66" t="n">
        <v>449</v>
      </c>
      <c r="AK7" s="66" t="n">
        <v>859.2</v>
      </c>
      <c r="AL7" s="66" t="n">
        <v>1427.5</v>
      </c>
      <c r="AM7" s="66" t="n">
        <v>5967.9</v>
      </c>
      <c r="AN7" s="66" t="n">
        <v>12700.2</v>
      </c>
      <c r="AO7" s="66" t="n">
        <v>19947.1</v>
      </c>
    </row>
    <row r="8">
      <c r="A8" s="65" t="inlineStr">
        <is>
          <t>영업이익률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67" t="n"/>
      <c r="Q8" s="67" t="n"/>
      <c r="R8" s="67" t="n"/>
      <c r="S8" s="67" t="n"/>
      <c r="T8" s="67" t="n"/>
      <c r="U8" s="67" t="n"/>
      <c r="V8" s="67" t="n"/>
      <c r="W8" s="67" t="n"/>
      <c r="X8" s="67" t="n"/>
      <c r="Y8" s="67" t="n"/>
      <c r="Z8" s="67" t="n"/>
      <c r="AA8" s="67" t="n"/>
      <c r="AB8" s="67" t="n"/>
      <c r="AC8" s="67" t="n"/>
      <c r="AD8" s="67" t="n"/>
      <c r="AE8" s="67" t="n">
        <v>13.6</v>
      </c>
      <c r="AF8" s="67" t="n">
        <v>29.4</v>
      </c>
      <c r="AG8" s="67" t="n">
        <v>34.5</v>
      </c>
      <c r="AH8" s="67" t="n">
        <v>27.3</v>
      </c>
      <c r="AI8" s="67" t="n">
        <v>10.7</v>
      </c>
      <c r="AJ8" s="67" t="n">
        <v>13.1</v>
      </c>
      <c r="AK8" s="67" t="n">
        <v>19.2</v>
      </c>
      <c r="AL8" s="67" t="n">
        <v>26.3</v>
      </c>
      <c r="AM8" s="67" t="n">
        <v>59.5</v>
      </c>
      <c r="AN8" s="67" t="n">
        <v>71.90000000000001</v>
      </c>
      <c r="AO8" s="67" t="n">
        <v>80.40000000000001</v>
      </c>
    </row>
    <row r="9">
      <c r="A9" s="65" t="inlineStr">
        <is>
          <t>영업이익 YoY</t>
        </is>
      </c>
      <c r="B9" s="67" t="n"/>
      <c r="C9" s="67" t="n"/>
      <c r="D9" s="67" t="n"/>
      <c r="E9" s="67" t="n"/>
      <c r="F9" s="67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67" t="n"/>
      <c r="Q9" s="67" t="n"/>
      <c r="R9" s="67" t="n"/>
      <c r="S9" s="67" t="n"/>
      <c r="T9" s="67" t="n"/>
      <c r="U9" s="67" t="n"/>
      <c r="V9" s="67" t="n"/>
      <c r="W9" s="67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  <c r="AG9" s="67" t="n"/>
      <c r="AH9" s="67" t="n"/>
      <c r="AI9" s="67" t="n">
        <v>-15.3</v>
      </c>
      <c r="AJ9" s="67" t="n">
        <v>-64.3</v>
      </c>
      <c r="AK9" s="67" t="n">
        <v>-48.3</v>
      </c>
      <c r="AL9" s="67" t="n">
        <v>16.3</v>
      </c>
      <c r="AM9" s="67" t="n">
        <v>1506.9</v>
      </c>
      <c r="AN9" s="67" t="n">
        <v>2728.6</v>
      </c>
      <c r="AO9" s="67" t="n">
        <v>2221.6</v>
      </c>
    </row>
    <row r="10">
      <c r="A10" s="65" t="inlineStr">
        <is>
          <t>유동자산</t>
        </is>
      </c>
      <c r="B10" s="66" t="n"/>
      <c r="C10" s="66" t="n"/>
      <c r="D10" s="66" t="n"/>
      <c r="E10" s="66" t="n"/>
      <c r="F10" s="66" t="n"/>
      <c r="G10" s="66" t="n"/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  <c r="AE10" s="66" t="n">
        <v>6513.8</v>
      </c>
      <c r="AF10" s="66" t="n"/>
      <c r="AG10" s="66" t="n"/>
      <c r="AH10" s="66" t="n">
        <v>8067.1</v>
      </c>
      <c r="AI10" s="66" t="n">
        <v>8067.1</v>
      </c>
      <c r="AJ10" s="66" t="n">
        <v>8902.799999999999</v>
      </c>
      <c r="AK10" s="66" t="n"/>
      <c r="AL10" s="66" t="n">
        <v>16178.3</v>
      </c>
      <c r="AM10" s="66" t="n">
        <v>16178.3</v>
      </c>
      <c r="AN10" s="66" t="n">
        <v>35967.1</v>
      </c>
      <c r="AO10" s="66" t="n"/>
    </row>
    <row r="11">
      <c r="A11" s="65" t="inlineStr">
        <is>
          <t>유동부채</t>
        </is>
      </c>
      <c r="B11" s="66" t="n"/>
      <c r="C11" s="66" t="n"/>
      <c r="D11" s="66" t="n"/>
      <c r="E11" s="66" t="n"/>
      <c r="F11" s="66" t="n"/>
      <c r="G11" s="66" t="n"/>
      <c r="H11" s="66" t="n"/>
      <c r="I11" s="66" t="n"/>
      <c r="J11" s="66" t="n"/>
      <c r="K11" s="66" t="n"/>
      <c r="L11" s="66" t="n"/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  <c r="AE11" s="66" t="n">
        <v>18661.3</v>
      </c>
      <c r="AF11" s="66" t="n"/>
      <c r="AG11" s="66" t="n"/>
      <c r="AH11" s="66" t="n">
        <v>9851.700000000001</v>
      </c>
      <c r="AI11" s="66" t="n">
        <v>9851.700000000001</v>
      </c>
      <c r="AJ11" s="66" t="n">
        <v>9044.4</v>
      </c>
      <c r="AK11" s="66" t="n"/>
      <c r="AL11" s="66" t="n">
        <v>10980.1</v>
      </c>
      <c r="AM11" s="66" t="n">
        <v>10980.1</v>
      </c>
      <c r="AN11" s="66" t="n">
        <v>20375.3</v>
      </c>
      <c r="AO11" s="66" t="n"/>
    </row>
    <row r="12">
      <c r="A12" s="65" t="inlineStr">
        <is>
          <t>부채총계</t>
        </is>
      </c>
      <c r="B12" s="66" t="n"/>
      <c r="C12" s="66" t="n"/>
      <c r="D12" s="66" t="n"/>
      <c r="E12" s="66" t="n"/>
      <c r="F12" s="66" t="n"/>
      <c r="G12" s="66" t="n"/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  <c r="AE12" s="66" t="n">
        <v>24151.8</v>
      </c>
      <c r="AF12" s="66" t="n"/>
      <c r="AG12" s="66" t="n"/>
      <c r="AH12" s="66" t="n">
        <v>21819.8</v>
      </c>
      <c r="AI12" s="66" t="n">
        <v>21819.8</v>
      </c>
      <c r="AJ12" s="66" t="n">
        <v>21628.8</v>
      </c>
      <c r="AK12" s="66" t="n"/>
      <c r="AL12" s="66" t="n">
        <v>22909.9</v>
      </c>
      <c r="AM12" s="66" t="n">
        <v>22909.9</v>
      </c>
      <c r="AN12" s="66" t="n">
        <v>29547.7</v>
      </c>
      <c r="AO12" s="66" t="n"/>
    </row>
    <row r="13">
      <c r="A13" s="65" t="inlineStr">
        <is>
          <t>자기자본</t>
        </is>
      </c>
      <c r="B13" s="67" t="n"/>
      <c r="C13" s="67" t="n"/>
      <c r="D13" s="67" t="n"/>
      <c r="E13" s="67" t="n"/>
      <c r="F13" s="67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67" t="n"/>
      <c r="Q13" s="67" t="n"/>
      <c r="R13" s="67" t="n"/>
      <c r="S13" s="67" t="n"/>
      <c r="T13" s="67" t="n"/>
      <c r="U13" s="67" t="n"/>
      <c r="V13" s="67" t="n"/>
      <c r="W13" s="67" t="n"/>
      <c r="X13" s="67" t="n"/>
      <c r="Y13" s="67" t="n"/>
      <c r="Z13" s="67" t="n"/>
      <c r="AA13" s="67" t="n"/>
      <c r="AB13" s="67" t="n"/>
      <c r="AC13" s="67" t="n"/>
      <c r="AD13" s="67" t="n"/>
      <c r="AE13" s="67" t="n">
        <v>4497.7</v>
      </c>
      <c r="AF13" s="67" t="n"/>
      <c r="AG13" s="67" t="n"/>
      <c r="AH13" s="67" t="n">
        <v>7377</v>
      </c>
      <c r="AI13" s="67" t="n">
        <v>7377</v>
      </c>
      <c r="AJ13" s="67" t="n">
        <v>8193.4</v>
      </c>
      <c r="AK13" s="67" t="n"/>
      <c r="AL13" s="67" t="n">
        <v>13990.8</v>
      </c>
      <c r="AM13" s="67" t="n">
        <v>13990.8</v>
      </c>
      <c r="AN13" s="67" t="n">
        <v>29291.2</v>
      </c>
      <c r="AO13" s="67" t="n"/>
    </row>
    <row r="14">
      <c r="A14" s="65" t="inlineStr">
        <is>
          <t>유동비율</t>
        </is>
      </c>
      <c r="B14" s="67" t="n"/>
      <c r="C14" s="67" t="n"/>
      <c r="D14" s="67" t="n"/>
      <c r="E14" s="67" t="n"/>
      <c r="F14" s="67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67" t="n"/>
      <c r="Q14" s="67" t="n"/>
      <c r="R14" s="67" t="n"/>
      <c r="S14" s="67" t="n"/>
      <c r="T14" s="67" t="n"/>
      <c r="U14" s="67" t="n"/>
      <c r="V14" s="67" t="n"/>
      <c r="W14" s="67" t="n"/>
      <c r="X14" s="67" t="n"/>
      <c r="Y14" s="67" t="n"/>
      <c r="Z14" s="67" t="n"/>
      <c r="AA14" s="67" t="n"/>
      <c r="AB14" s="67" t="n"/>
      <c r="AC14" s="67" t="n"/>
      <c r="AD14" s="67" t="n"/>
      <c r="AE14" s="67" t="n">
        <v>34.9</v>
      </c>
      <c r="AF14" s="67" t="n"/>
      <c r="AG14" s="67" t="n"/>
      <c r="AH14" s="67" t="n">
        <v>81.90000000000001</v>
      </c>
      <c r="AI14" s="67" t="n">
        <v>81.90000000000001</v>
      </c>
      <c r="AJ14" s="67" t="n">
        <v>98.40000000000001</v>
      </c>
      <c r="AK14" s="67" t="n"/>
      <c r="AL14" s="67" t="n">
        <v>147.3</v>
      </c>
      <c r="AM14" s="67" t="n">
        <v>147.3</v>
      </c>
      <c r="AN14" s="67" t="n">
        <v>176.5</v>
      </c>
      <c r="AO14" s="67" t="n"/>
    </row>
    <row r="15">
      <c r="A15" s="65" t="inlineStr">
        <is>
          <t>부채비율</t>
        </is>
      </c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67" t="n"/>
      <c r="Q15" s="67" t="n"/>
      <c r="R15" s="67" t="n"/>
      <c r="S15" s="67" t="n"/>
      <c r="T15" s="67" t="n"/>
      <c r="U15" s="67" t="n"/>
      <c r="V15" s="67" t="n"/>
      <c r="W15" s="67" t="n"/>
      <c r="X15" s="67" t="n"/>
      <c r="Y15" s="67" t="n"/>
      <c r="Z15" s="67" t="n"/>
      <c r="AA15" s="67" t="n"/>
      <c r="AB15" s="67" t="n"/>
      <c r="AC15" s="67" t="n"/>
      <c r="AD15" s="67" t="n"/>
      <c r="AE15" s="67" t="n">
        <v>537</v>
      </c>
      <c r="AF15" s="67" t="n"/>
      <c r="AG15" s="67" t="n"/>
      <c r="AH15" s="67" t="n">
        <v>295.8</v>
      </c>
      <c r="AI15" s="67" t="n">
        <v>295.8</v>
      </c>
      <c r="AJ15" s="67" t="n">
        <v>264</v>
      </c>
      <c r="AK15" s="67" t="n"/>
      <c r="AL15" s="67" t="n">
        <v>163.7</v>
      </c>
      <c r="AM15" s="67" t="n">
        <v>163.7</v>
      </c>
      <c r="AN15" s="67" t="n">
        <v>100.9</v>
      </c>
      <c r="AO15" s="67" t="n"/>
    </row>
    <row r="16">
      <c r="A16" s="65" t="inlineStr">
        <is>
          <t>순차입금/자기자본</t>
        </is>
      </c>
      <c r="B16" s="67" t="n"/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67" t="n"/>
      <c r="Q16" s="67" t="n"/>
      <c r="R16" s="67" t="n"/>
      <c r="S16" s="67" t="n"/>
      <c r="T16" s="67" t="n"/>
      <c r="U16" s="67" t="n"/>
      <c r="V16" s="67" t="n"/>
      <c r="W16" s="67" t="n"/>
      <c r="X16" s="67" t="n"/>
      <c r="Y16" s="67" t="n"/>
      <c r="Z16" s="67" t="n"/>
      <c r="AA16" s="67" t="n"/>
      <c r="AB16" s="67" t="n"/>
      <c r="AC16" s="67" t="n"/>
      <c r="AD16" s="67" t="n"/>
      <c r="AE16" s="67" t="n">
        <v>246</v>
      </c>
      <c r="AF16" s="67" t="n"/>
      <c r="AG16" s="67" t="n"/>
      <c r="AH16" s="67" t="n">
        <v>112.7</v>
      </c>
      <c r="AI16" s="67" t="n">
        <v>112.7</v>
      </c>
      <c r="AJ16" s="67" t="n">
        <v>133.5</v>
      </c>
      <c r="AK16" s="67" t="n"/>
      <c r="AL16" s="67" t="n">
        <v>55.9</v>
      </c>
      <c r="AM16" s="67" t="n">
        <v>55.9</v>
      </c>
      <c r="AN16" s="67" t="n">
        <v>-20.3</v>
      </c>
      <c r="AO16" s="67" t="n"/>
    </row>
    <row r="17">
      <c r="A17" s="65" t="inlineStr">
        <is>
          <t>재고자산</t>
        </is>
      </c>
      <c r="B17" s="66" t="n"/>
      <c r="C17" s="66" t="n"/>
      <c r="D17" s="66" t="n"/>
      <c r="E17" s="66" t="n"/>
      <c r="F17" s="66" t="n"/>
      <c r="G17" s="66" t="n"/>
      <c r="H17" s="66" t="n"/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  <c r="AE17" s="66" t="n">
        <v>2717.8</v>
      </c>
      <c r="AF17" s="66" t="n"/>
      <c r="AG17" s="66" t="n"/>
      <c r="AH17" s="66" t="n">
        <v>3528.6</v>
      </c>
      <c r="AI17" s="66" t="n">
        <v>3528.6</v>
      </c>
      <c r="AJ17" s="66" t="n">
        <v>3616.3</v>
      </c>
      <c r="AK17" s="66" t="n"/>
      <c r="AL17" s="66" t="n">
        <v>4126.1</v>
      </c>
      <c r="AM17" s="66" t="n">
        <v>4126.1</v>
      </c>
      <c r="AN17" s="66" t="n">
        <v>4460.3</v>
      </c>
      <c r="AO17" s="66" t="n"/>
    </row>
    <row r="18">
      <c r="A18" s="65" t="inlineStr">
        <is>
          <t>재고자산 회전일수</t>
        </is>
      </c>
      <c r="B18" s="66" t="n"/>
      <c r="C18" s="66" t="n"/>
      <c r="D18" s="66" t="n"/>
      <c r="E18" s="66" t="n"/>
      <c r="F18" s="66" t="n"/>
      <c r="G18" s="66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  <c r="AE18" s="66" t="n">
        <v>100</v>
      </c>
      <c r="AF18" s="66" t="n"/>
      <c r="AG18" s="66" t="n"/>
      <c r="AH18" s="66" t="n">
        <v>108</v>
      </c>
      <c r="AI18" s="66" t="n">
        <v>113</v>
      </c>
      <c r="AJ18" s="66" t="n">
        <v>121</v>
      </c>
      <c r="AK18" s="66" t="n"/>
      <c r="AL18" s="66" t="n">
        <v>102</v>
      </c>
      <c r="AM18" s="66" t="n">
        <v>104</v>
      </c>
      <c r="AN18" s="66" t="n">
        <v>105</v>
      </c>
      <c r="AO18" s="66" t="n"/>
    </row>
    <row r="19">
      <c r="A19" s="65" t="inlineStr">
        <is>
          <t>매출채권 회전일수</t>
        </is>
      </c>
      <c r="B19" s="66" t="n"/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  <c r="AE19" s="66" t="n">
        <v>42</v>
      </c>
      <c r="AF19" s="66" t="n"/>
      <c r="AG19" s="66" t="n"/>
      <c r="AH19" s="66" t="n">
        <v>48</v>
      </c>
      <c r="AI19" s="66" t="n">
        <v>63</v>
      </c>
      <c r="AJ19" s="66" t="n">
        <v>63</v>
      </c>
      <c r="AK19" s="66" t="n"/>
      <c r="AL19" s="66" t="n">
        <v>111</v>
      </c>
      <c r="AM19" s="66" t="n">
        <v>60</v>
      </c>
      <c r="AN19" s="66" t="n">
        <v>85</v>
      </c>
      <c r="AO19" s="66" t="n"/>
    </row>
    <row r="20">
      <c r="A20" s="65" t="inlineStr">
        <is>
          <t>매입채무 회전일수</t>
        </is>
      </c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>
        <v>189</v>
      </c>
      <c r="AF20" s="66" t="n"/>
      <c r="AG20" s="66" t="n"/>
      <c r="AH20" s="66" t="n">
        <v>154</v>
      </c>
      <c r="AI20" s="66" t="n">
        <v>162</v>
      </c>
      <c r="AJ20" s="66" t="n">
        <v>182</v>
      </c>
      <c r="AK20" s="66" t="n"/>
      <c r="AL20" s="66" t="n">
        <v>148</v>
      </c>
      <c r="AM20" s="66" t="n">
        <v>150</v>
      </c>
      <c r="AN20" s="66" t="n">
        <v>183</v>
      </c>
      <c r="AO20" s="66" t="n"/>
    </row>
    <row r="21">
      <c r="A21" s="65" t="inlineStr">
        <is>
          <t>현금전환주기(CCC)</t>
        </is>
      </c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  <c r="AE21" s="66" t="n">
        <v>-47</v>
      </c>
      <c r="AF21" s="66" t="n"/>
      <c r="AG21" s="66" t="n"/>
      <c r="AH21" s="66" t="n">
        <v>2</v>
      </c>
      <c r="AI21" s="66" t="n">
        <v>14</v>
      </c>
      <c r="AJ21" s="66" t="n">
        <v>2</v>
      </c>
      <c r="AK21" s="66" t="n"/>
      <c r="AL21" s="66" t="n">
        <v>65</v>
      </c>
      <c r="AM21" s="66" t="n">
        <v>14</v>
      </c>
      <c r="AN21" s="66" t="n">
        <v>7</v>
      </c>
      <c r="AO21" s="66" t="n"/>
    </row>
    <row r="22">
      <c r="A22" s="65" t="inlineStr">
        <is>
          <t>총 차입금</t>
        </is>
      </c>
      <c r="B22" s="66" t="n"/>
      <c r="C22" s="66" t="n"/>
      <c r="D22" s="66" t="n"/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  <c r="AE22" s="66" t="n">
        <v>12942</v>
      </c>
      <c r="AF22" s="66" t="n"/>
      <c r="AG22" s="66" t="n"/>
      <c r="AH22" s="66" t="n">
        <v>9995.200000000001</v>
      </c>
      <c r="AI22" s="66" t="n">
        <v>9995.200000000001</v>
      </c>
      <c r="AJ22" s="66" t="n">
        <v>13295.4</v>
      </c>
      <c r="AK22" s="66" t="n"/>
      <c r="AL22" s="66" t="n">
        <v>12531.9</v>
      </c>
      <c r="AM22" s="66" t="n">
        <v>12531.9</v>
      </c>
      <c r="AN22" s="66" t="n">
        <v>8027.3</v>
      </c>
      <c r="AO22" s="66" t="n"/>
    </row>
    <row r="23">
      <c r="A23" s="65" t="inlineStr">
        <is>
          <t>현금</t>
        </is>
      </c>
      <c r="B23" s="66" t="n"/>
      <c r="C23" s="66" t="n"/>
      <c r="D23" s="66" t="n"/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  <c r="AE23" s="66" t="n">
        <v>1875.9</v>
      </c>
      <c r="AF23" s="66" t="n"/>
      <c r="AG23" s="66" t="n"/>
      <c r="AH23" s="66" t="n">
        <v>1679.3</v>
      </c>
      <c r="AI23" s="66" t="n">
        <v>1679.3</v>
      </c>
      <c r="AJ23" s="66" t="n">
        <v>2355.5</v>
      </c>
      <c r="AK23" s="66" t="n"/>
      <c r="AL23" s="66" t="n">
        <v>4707.1</v>
      </c>
      <c r="AM23" s="66" t="n">
        <v>4707.1</v>
      </c>
      <c r="AN23" s="66" t="n">
        <v>13973.3</v>
      </c>
      <c r="AO23" s="66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2026-10-30T11:49:54Z</dcterms:created>
  <dcterms:modified xmlns:dcterms="http://purl.org/dc/terms/" xmlns:xsi="http://www.w3.org/2001/XMLSchema-instance" xsi:type="dcterms:W3CDTF">2026-10-30T11:50:12Z</dcterms:modified>
</cp:coreProperties>
</file>