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8">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0000FF"/>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165" fontId="11" fillId="0" borderId="3" applyAlignment="1" pivotButton="0" quotePrefix="0" xfId="0">
      <alignment horizontal="center" vertical="center"/>
    </xf>
    <xf numFmtId="165" fontId="11"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2" fillId="0" borderId="3" applyAlignment="1" pivotButton="0" quotePrefix="0" xfId="0">
      <alignment horizontal="center" vertical="center"/>
    </xf>
    <xf numFmtId="164" fontId="12" fillId="0" borderId="0" applyAlignment="1" pivotButton="0" quotePrefix="0" xfId="0">
      <alignment horizontal="center" vertical="center"/>
    </xf>
    <xf numFmtId="0" fontId="0" fillId="0" borderId="3" pivotButton="0" quotePrefix="0" xfId="0"/>
    <xf numFmtId="0" fontId="13" fillId="0" borderId="0" applyAlignment="1" pivotButton="0" quotePrefix="0" xfId="0">
      <alignment horizontal="left"/>
    </xf>
    <xf numFmtId="0" fontId="3" fillId="0" borderId="0" applyAlignment="1" pivotButton="0" quotePrefix="0" xfId="0">
      <alignment horizontal="left"/>
    </xf>
    <xf numFmtId="0" fontId="15" fillId="3" borderId="0" applyAlignment="1" pivotButton="0" quotePrefix="0" xfId="0">
      <alignment horizontal="center" vertical="center"/>
    </xf>
    <xf numFmtId="0" fontId="6" fillId="0" borderId="0" applyAlignment="1" pivotButton="0" quotePrefix="0" xfId="0">
      <alignment horizontal="center" vertical="center"/>
    </xf>
    <xf numFmtId="0" fontId="14"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6" fillId="0" borderId="0" pivotButton="0" quotePrefix="0" xfId="0"/>
    <xf numFmtId="0" fontId="17"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15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285A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직접 입력</t>
        </is>
      </c>
      <c r="C4" s="11" t="n"/>
      <c r="D4" s="12" t="n"/>
      <c r="E4" s="12" t="n">
        <v>322078</v>
      </c>
      <c r="F4" s="12" t="n">
        <v>428497</v>
      </c>
      <c r="G4" s="12" t="n">
        <v>480911</v>
      </c>
      <c r="H4" s="12" t="n">
        <v>449958</v>
      </c>
      <c r="I4" s="12" t="n">
        <v>347094</v>
      </c>
      <c r="J4" s="12" t="n">
        <v>342799</v>
      </c>
      <c r="K4" s="12" t="n">
        <v>448346</v>
      </c>
      <c r="L4" s="12" t="n">
        <v>543631</v>
      </c>
      <c r="M4" s="12" t="n">
        <v>1002852</v>
      </c>
      <c r="N4" s="12" t="n">
        <v>1767117</v>
      </c>
      <c r="O4" s="11" t="n"/>
      <c r="P4" s="12" t="n"/>
      <c r="Q4" s="12" t="n"/>
      <c r="R4" s="12" t="n"/>
      <c r="S4" s="12" t="n"/>
      <c r="T4" s="12" t="n"/>
      <c r="U4" s="12" t="n"/>
      <c r="V4" s="12" t="n">
        <v>1076584</v>
      </c>
      <c r="W4" s="12" t="n">
        <v>1706460</v>
      </c>
      <c r="X4" s="12" t="n">
        <v>2337628</v>
      </c>
      <c r="Y4" s="13">
        <f>IF(COUNT(Y7)=0,"",SUM(Y7))</f>
        <v/>
      </c>
      <c r="Z4" s="14">
        <f>IF(COUNT(Z7)=0,"",SUM(Z7))</f>
        <v/>
      </c>
      <c r="AA4" s="14">
        <f>IF(COUNT(AA7)=0,"",SUM(AA7))</f>
        <v/>
      </c>
      <c r="AB4" s="14">
        <f>IF(COUNT(AB7)=0,"",SUM(AB7))</f>
        <v/>
      </c>
      <c r="AC4" s="14">
        <f>IF(COUNT(AC7)=0,"",SUM(AC7))</f>
        <v/>
      </c>
    </row>
    <row r="5">
      <c r="A5" s="15" t="inlineStr">
        <is>
          <t>YoY</t>
        </is>
      </c>
      <c r="B5" s="10" t="n"/>
      <c r="C5" s="16" t="n"/>
      <c r="D5" s="17" t="n"/>
      <c r="E5" s="17" t="n"/>
      <c r="F5" s="17" t="n"/>
      <c r="G5" s="17">
        <f>IF(OR(G4="",C4=""),"",IFERROR(G4/C4-1,""))</f>
        <v/>
      </c>
      <c r="H5" s="17">
        <f>IF(OR(H4="",D4=""),"",IFERROR(H4/D4-1,""))</f>
        <v/>
      </c>
      <c r="I5" s="17">
        <f>IF(OR(I4="",E4=""),"",IFERROR(I4/E4-1,""))</f>
        <v/>
      </c>
      <c r="J5" s="17">
        <f>IF(OR(J4="",F4=""),"",IFERROR(J4/F4-1,""))</f>
        <v/>
      </c>
      <c r="K5" s="17">
        <f>IF(OR(K4="",G4=""),"",IFERROR(K4/G4-1,""))</f>
        <v/>
      </c>
      <c r="L5" s="17">
        <f>IF(OR(L4="",H4=""),"",IFERROR(L4/H4-1,""))</f>
        <v/>
      </c>
      <c r="M5" s="17">
        <f>IF(OR(M4="",I4=""),"",IFERROR(M4/I4-1,""))</f>
        <v/>
      </c>
      <c r="N5" s="17">
        <f>IF(OR(N4="",J4=""),"",IFERROR(N4/J4-1,""))</f>
        <v/>
      </c>
      <c r="O5" s="16" t="n"/>
      <c r="P5" s="17">
        <f>IF(OR(P4="",O4=""),"",IFERROR(P4/O4-1,""))</f>
        <v/>
      </c>
      <c r="Q5" s="17">
        <f>IF(OR(Q4="",P4=""),"",IFERROR(Q4/P4-1,""))</f>
        <v/>
      </c>
      <c r="R5" s="17">
        <f>IF(OR(R4="",Q4=""),"",IFERROR(R4/Q4-1,""))</f>
        <v/>
      </c>
      <c r="S5" s="17">
        <f>IF(OR(S4="",R4=""),"",IFERROR(S4/R4-1,""))</f>
        <v/>
      </c>
      <c r="T5" s="17">
        <f>IF(OR(T4="",S4=""),"",IFERROR(T4/S4-1,""))</f>
        <v/>
      </c>
      <c r="U5" s="17">
        <f>IF(OR(U4="",T4=""),"",IFERROR(U4/T4-1,""))</f>
        <v/>
      </c>
      <c r="V5" s="17">
        <f>IF(OR(V4="",U4=""),"",IFERROR(V4/U4-1,""))</f>
        <v/>
      </c>
      <c r="W5" s="17">
        <f>IF(OR(W4="",V4=""),"",IFERROR(W4/V4-1,""))</f>
        <v/>
      </c>
      <c r="X5" s="17">
        <f>IF(OR(X4="",W4=""),"",IFERROR(X4/W4-1,""))</f>
        <v/>
      </c>
      <c r="Y5" s="16">
        <f>IF(OR(Y4="",X4=""),"",IFERROR(Y4/X4-1,""))</f>
        <v/>
      </c>
      <c r="Z5" s="17">
        <f>IF(OR(Z4="",Y4=""),"",IFERROR(Z4/Y4-1,""))</f>
        <v/>
      </c>
      <c r="AA5" s="17">
        <f>IF(OR(AA4="",Z4=""),"",IFERROR(AA4/Z4-1,""))</f>
        <v/>
      </c>
      <c r="AB5" s="17">
        <f>IF(OR(AB4="",AA4=""),"",IFERROR(AB4/AA4-1,""))</f>
        <v/>
      </c>
      <c r="AC5" s="17">
        <f>IF(OR(AC4="",AB4=""),"",IFERROR(AC4/AB4-1,""))</f>
        <v/>
      </c>
    </row>
    <row r="6">
      <c r="A6" s="18" t="inlineStr">
        <is>
          <t>제품별 매출 분류</t>
        </is>
      </c>
      <c r="B6" s="18" t="inlineStr">
        <is>
          <t>사업보고서 매출실적</t>
        </is>
      </c>
      <c r="C6" s="19" t="n"/>
      <c r="D6" s="18" t="n"/>
      <c r="E6" s="18" t="n"/>
      <c r="F6" s="18" t="n"/>
      <c r="G6" s="18" t="n"/>
      <c r="H6" s="18" t="n"/>
      <c r="I6" s="18" t="n"/>
      <c r="J6" s="18" t="n"/>
      <c r="K6" s="18" t="n"/>
      <c r="L6" s="18" t="n"/>
      <c r="M6" s="18" t="n"/>
      <c r="N6" s="18" t="n"/>
      <c r="O6" s="19" t="n"/>
      <c r="P6" s="18" t="n"/>
      <c r="Q6" s="18" t="n"/>
      <c r="R6" s="18" t="n"/>
      <c r="S6" s="18" t="n"/>
      <c r="T6" s="18" t="n"/>
      <c r="U6" s="18" t="n"/>
      <c r="V6" s="18" t="n"/>
      <c r="W6" s="18" t="n"/>
      <c r="X6" s="18" t="n"/>
      <c r="Y6" s="19" t="n"/>
      <c r="Z6" s="18" t="n"/>
      <c r="AA6" s="18" t="n"/>
      <c r="AB6" s="18" t="n"/>
      <c r="AC6" s="18" t="n"/>
    </row>
    <row r="7">
      <c r="A7" s="20" t="inlineStr">
        <is>
          <t>(제품별 매출 미공시 — 직접 입력)</t>
        </is>
      </c>
      <c r="B7" s="10" t="n"/>
      <c r="C7" s="21" t="n"/>
      <c r="D7" s="22" t="n"/>
      <c r="E7" s="22" t="n"/>
      <c r="F7" s="22" t="n"/>
      <c r="G7" s="22" t="n"/>
      <c r="H7" s="22" t="n"/>
      <c r="I7" s="22" t="n"/>
      <c r="J7" s="22" t="n"/>
      <c r="K7" s="22" t="n"/>
      <c r="L7" s="22" t="n"/>
      <c r="M7" s="22" t="n"/>
      <c r="N7" s="22" t="n"/>
      <c r="O7" s="21" t="n"/>
      <c r="P7" s="22" t="n"/>
      <c r="Q7" s="22" t="n"/>
      <c r="R7" s="22" t="n"/>
      <c r="S7" s="22" t="n"/>
      <c r="T7" s="22" t="n"/>
      <c r="U7" s="22" t="n"/>
      <c r="V7" s="22" t="n"/>
      <c r="W7" s="22" t="n"/>
      <c r="X7" s="22" t="n"/>
      <c r="Y7" s="23" t="n"/>
      <c r="Z7" s="24" t="n"/>
      <c r="AA7" s="24" t="n"/>
      <c r="AB7" s="24" t="n"/>
      <c r="AC7" s="24" t="n"/>
    </row>
    <row r="8">
      <c r="A8" s="15" t="inlineStr">
        <is>
          <t>비중</t>
        </is>
      </c>
      <c r="B8" s="10" t="n"/>
      <c r="C8" s="16">
        <f>IF(OR(C7="",C4=""),"",IFERROR(C7/C4,""))</f>
        <v/>
      </c>
      <c r="D8" s="17">
        <f>IF(OR(D7="",D4=""),"",IFERROR(D7/D4,""))</f>
        <v/>
      </c>
      <c r="E8" s="17">
        <f>IF(OR(E7="",E4=""),"",IFERROR(E7/E4,""))</f>
        <v/>
      </c>
      <c r="F8" s="17">
        <f>IF(OR(F7="",F4=""),"",IFERROR(F7/F4,""))</f>
        <v/>
      </c>
      <c r="G8" s="17">
        <f>IF(OR(G7="",G4=""),"",IFERROR(G7/G4,""))</f>
        <v/>
      </c>
      <c r="H8" s="17">
        <f>IF(OR(H7="",H4=""),"",IFERROR(H7/H4,""))</f>
        <v/>
      </c>
      <c r="I8" s="17">
        <f>IF(OR(I7="",I4=""),"",IFERROR(I7/I4,""))</f>
        <v/>
      </c>
      <c r="J8" s="17">
        <f>IF(OR(J7="",J4=""),"",IFERROR(J7/J4,""))</f>
        <v/>
      </c>
      <c r="K8" s="17">
        <f>IF(OR(K7="",K4=""),"",IFERROR(K7/K4,""))</f>
        <v/>
      </c>
      <c r="L8" s="17">
        <f>IF(OR(L7="",L4=""),"",IFERROR(L7/L4,""))</f>
        <v/>
      </c>
      <c r="M8" s="17">
        <f>IF(OR(M7="",M4=""),"",IFERROR(M7/M4,""))</f>
        <v/>
      </c>
      <c r="N8" s="17">
        <f>IF(OR(N7="",N4=""),"",IFERROR(N7/N4,""))</f>
        <v/>
      </c>
      <c r="O8" s="16">
        <f>IF(OR(O7="",O4=""),"",IFERROR(O7/O4,""))</f>
        <v/>
      </c>
      <c r="P8" s="17">
        <f>IF(OR(P7="",P4=""),"",IFERROR(P7/P4,""))</f>
        <v/>
      </c>
      <c r="Q8" s="17">
        <f>IF(OR(Q7="",Q4=""),"",IFERROR(Q7/Q4,""))</f>
        <v/>
      </c>
      <c r="R8" s="17">
        <f>IF(OR(R7="",R4=""),"",IFERROR(R7/R4,""))</f>
        <v/>
      </c>
      <c r="S8" s="17">
        <f>IF(OR(S7="",S4=""),"",IFERROR(S7/S4,""))</f>
        <v/>
      </c>
      <c r="T8" s="17">
        <f>IF(OR(T7="",T4=""),"",IFERROR(T7/T4,""))</f>
        <v/>
      </c>
      <c r="U8" s="17">
        <f>IF(OR(U7="",U4=""),"",IFERROR(U7/U4,""))</f>
        <v/>
      </c>
      <c r="V8" s="17">
        <f>IF(OR(V7="",V4=""),"",IFERROR(V7/V4,""))</f>
        <v/>
      </c>
      <c r="W8" s="17">
        <f>IF(OR(W7="",W4=""),"",IFERROR(W7/W4,""))</f>
        <v/>
      </c>
      <c r="X8" s="17">
        <f>IF(OR(X7="",X4=""),"",IFERROR(X7/X4,""))</f>
        <v/>
      </c>
      <c r="Y8" s="16">
        <f>IF(OR(Y7="",Y4=""),"",IFERROR(Y7/Y4,""))</f>
        <v/>
      </c>
      <c r="Z8" s="17">
        <f>IF(OR(Z7="",Z4=""),"",IFERROR(Z7/Z4,""))</f>
        <v/>
      </c>
      <c r="AA8" s="17">
        <f>IF(OR(AA7="",AA4=""),"",IFERROR(AA7/AA4,""))</f>
        <v/>
      </c>
      <c r="AB8" s="17">
        <f>IF(OR(AB7="",AB4=""),"",IFERROR(AB7/AB4,""))</f>
        <v/>
      </c>
      <c r="AC8" s="17">
        <f>IF(OR(AC7="",AC4=""),"",IFERROR(AC7/AC4,""))</f>
        <v/>
      </c>
    </row>
    <row r="9">
      <c r="A9" s="15" t="inlineStr">
        <is>
          <t>YoY</t>
        </is>
      </c>
      <c r="B9" s="10" t="n"/>
      <c r="C9" s="16" t="n"/>
      <c r="D9" s="17" t="n"/>
      <c r="E9" s="17" t="n"/>
      <c r="F9" s="17" t="n"/>
      <c r="G9" s="17">
        <f>IF(OR(G7="",C7=""),"",IFERROR(G7/C7-1,""))</f>
        <v/>
      </c>
      <c r="H9" s="17">
        <f>IF(OR(H7="",D7=""),"",IFERROR(H7/D7-1,""))</f>
        <v/>
      </c>
      <c r="I9" s="17">
        <f>IF(OR(I7="",E7=""),"",IFERROR(I7/E7-1,""))</f>
        <v/>
      </c>
      <c r="J9" s="17">
        <f>IF(OR(J7="",F7=""),"",IFERROR(J7/F7-1,""))</f>
        <v/>
      </c>
      <c r="K9" s="17">
        <f>IF(OR(K7="",G7=""),"",IFERROR(K7/G7-1,""))</f>
        <v/>
      </c>
      <c r="L9" s="17">
        <f>IF(OR(L7="",H7=""),"",IFERROR(L7/H7-1,""))</f>
        <v/>
      </c>
      <c r="M9" s="17">
        <f>IF(OR(M7="",I7=""),"",IFERROR(M7/I7-1,""))</f>
        <v/>
      </c>
      <c r="N9" s="17">
        <f>IF(OR(N7="",J7=""),"",IFERROR(N7/J7-1,""))</f>
        <v/>
      </c>
      <c r="O9" s="16" t="n"/>
      <c r="P9" s="17">
        <f>IF(OR(P7="",O7=""),"",IFERROR(P7/O7-1,""))</f>
        <v/>
      </c>
      <c r="Q9" s="17">
        <f>IF(OR(Q7="",P7=""),"",IFERROR(Q7/P7-1,""))</f>
        <v/>
      </c>
      <c r="R9" s="17">
        <f>IF(OR(R7="",Q7=""),"",IFERROR(R7/Q7-1,""))</f>
        <v/>
      </c>
      <c r="S9" s="17">
        <f>IF(OR(S7="",R7=""),"",IFERROR(S7/R7-1,""))</f>
        <v/>
      </c>
      <c r="T9" s="17">
        <f>IF(OR(T7="",S7=""),"",IFERROR(T7/S7-1,""))</f>
        <v/>
      </c>
      <c r="U9" s="17">
        <f>IF(OR(U7="",T7=""),"",IFERROR(U7/T7-1,""))</f>
        <v/>
      </c>
      <c r="V9" s="17">
        <f>IF(OR(V7="",U7=""),"",IFERROR(V7/U7-1,""))</f>
        <v/>
      </c>
      <c r="W9" s="17">
        <f>IF(OR(W7="",V7=""),"",IFERROR(W7/V7-1,""))</f>
        <v/>
      </c>
      <c r="X9" s="17">
        <f>IF(OR(X7="",W7=""),"",IFERROR(X7/W7-1,""))</f>
        <v/>
      </c>
      <c r="Y9" s="16">
        <f>IF(OR(Y7="",X7=""),"",IFERROR(Y7/X7-1,""))</f>
        <v/>
      </c>
      <c r="Z9" s="17">
        <f>IF(OR(Z7="",Y7=""),"",IFERROR(Z7/Y7-1,""))</f>
        <v/>
      </c>
      <c r="AA9" s="17">
        <f>IF(OR(AA7="",Z7=""),"",IFERROR(AA7/Z7-1,""))</f>
        <v/>
      </c>
      <c r="AB9" s="17">
        <f>IF(OR(AB7="",AA7=""),"",IFERROR(AB7/AA7-1,""))</f>
        <v/>
      </c>
      <c r="AC9" s="17">
        <f>IF(OR(AC7="",AB7=""),"",IFERROR(AC7/AB7-1,""))</f>
        <v/>
      </c>
    </row>
    <row r="10">
      <c r="A10" s="18" t="inlineStr">
        <is>
          <t>매출원가</t>
        </is>
      </c>
      <c r="B10" s="18" t="n"/>
      <c r="C10" s="19" t="n"/>
      <c r="D10" s="18" t="n"/>
      <c r="E10" s="18" t="n"/>
      <c r="F10" s="18" t="n"/>
      <c r="G10" s="18" t="n"/>
      <c r="H10" s="18" t="n"/>
      <c r="I10" s="18" t="n"/>
      <c r="J10" s="18" t="n"/>
      <c r="K10" s="18" t="n"/>
      <c r="L10" s="18" t="n"/>
      <c r="M10" s="18" t="n"/>
      <c r="N10" s="18" t="n"/>
      <c r="O10" s="19" t="n"/>
      <c r="P10" s="18" t="n"/>
      <c r="Q10" s="18" t="n"/>
      <c r="R10" s="18" t="n"/>
      <c r="S10" s="18" t="n"/>
      <c r="T10" s="18" t="n"/>
      <c r="U10" s="18" t="n"/>
      <c r="V10" s="18" t="n"/>
      <c r="W10" s="18" t="n"/>
      <c r="X10" s="18" t="n"/>
      <c r="Y10" s="19" t="n"/>
      <c r="Z10" s="18" t="n"/>
      <c r="AA10" s="18" t="n"/>
      <c r="AB10" s="18" t="n"/>
      <c r="AC10" s="18" t="n"/>
    </row>
    <row r="11">
      <c r="A11" s="20" t="inlineStr">
        <is>
          <t>전체 매출원가</t>
        </is>
      </c>
      <c r="B11" s="10" t="n"/>
      <c r="C11" s="21" t="n"/>
      <c r="D11" s="22" t="n"/>
      <c r="E11" s="22" t="n">
        <v>247291</v>
      </c>
      <c r="F11" s="22" t="n">
        <v>271905</v>
      </c>
      <c r="G11" s="22" t="n">
        <v>284460</v>
      </c>
      <c r="H11" s="22" t="n">
        <v>297584</v>
      </c>
      <c r="I11" s="22" t="n">
        <v>283078</v>
      </c>
      <c r="J11" s="22" t="n">
        <v>271620</v>
      </c>
      <c r="K11" s="22" t="n">
        <v>326208</v>
      </c>
      <c r="L11" s="22" t="n">
        <v>366991</v>
      </c>
      <c r="M11" s="22" t="n">
        <v>359905</v>
      </c>
      <c r="N11" s="22" t="n">
        <v>387051</v>
      </c>
      <c r="O11" s="21" t="n"/>
      <c r="P11" s="22" t="n"/>
      <c r="Q11" s="22" t="n"/>
      <c r="R11" s="22" t="n"/>
      <c r="S11" s="22" t="n"/>
      <c r="T11" s="22" t="n"/>
      <c r="U11" s="22" t="n"/>
      <c r="V11" s="22" t="n">
        <v>1205927</v>
      </c>
      <c r="W11" s="22" t="n">
        <v>1137027</v>
      </c>
      <c r="X11" s="22" t="n">
        <v>1324724</v>
      </c>
      <c r="Y11" s="21" t="n"/>
      <c r="Z11" s="22" t="n"/>
      <c r="AA11" s="22" t="n"/>
      <c r="AB11" s="22" t="n"/>
      <c r="AC11" s="22" t="n"/>
    </row>
    <row r="12">
      <c r="A12" s="20" t="inlineStr">
        <is>
          <t>매출총이익</t>
        </is>
      </c>
      <c r="B12" s="10" t="n"/>
      <c r="C12" s="21">
        <f>IF(OR(C4="",C11=""),"",IFERROR(C4-C11,""))</f>
        <v/>
      </c>
      <c r="D12" s="22">
        <f>IF(OR(D4="",D11=""),"",IFERROR(D4-D11,""))</f>
        <v/>
      </c>
      <c r="E12" s="22">
        <f>IF(OR(E4="",E11=""),"",IFERROR(E4-E11,""))</f>
        <v/>
      </c>
      <c r="F12" s="22">
        <f>IF(OR(F4="",F11=""),"",IFERROR(F4-F11,""))</f>
        <v/>
      </c>
      <c r="G12" s="22">
        <f>IF(OR(G4="",G11=""),"",IFERROR(G4-G11,""))</f>
        <v/>
      </c>
      <c r="H12" s="22">
        <f>IF(OR(H4="",H11=""),"",IFERROR(H4-H11,""))</f>
        <v/>
      </c>
      <c r="I12" s="22">
        <f>IF(OR(I4="",I11=""),"",IFERROR(I4-I11,""))</f>
        <v/>
      </c>
      <c r="J12" s="22">
        <f>IF(OR(J4="",J11=""),"",IFERROR(J4-J11,""))</f>
        <v/>
      </c>
      <c r="K12" s="22">
        <f>IF(OR(K4="",K11=""),"",IFERROR(K4-K11,""))</f>
        <v/>
      </c>
      <c r="L12" s="22">
        <f>IF(OR(L4="",L11=""),"",IFERROR(L4-L11,""))</f>
        <v/>
      </c>
      <c r="M12" s="22">
        <f>IF(OR(M4="",M11=""),"",IFERROR(M4-M11,""))</f>
        <v/>
      </c>
      <c r="N12" s="22">
        <f>IF(OR(N4="",N11=""),"",IFERROR(N4-N11,""))</f>
        <v/>
      </c>
      <c r="O12" s="21">
        <f>IF(OR(O4="",O11=""),"",IFERROR(O4-O11,""))</f>
        <v/>
      </c>
      <c r="P12" s="22">
        <f>IF(OR(P4="",P11=""),"",IFERROR(P4-P11,""))</f>
        <v/>
      </c>
      <c r="Q12" s="22">
        <f>IF(OR(Q4="",Q11=""),"",IFERROR(Q4-Q11,""))</f>
        <v/>
      </c>
      <c r="R12" s="22">
        <f>IF(OR(R4="",R11=""),"",IFERROR(R4-R11,""))</f>
        <v/>
      </c>
      <c r="S12" s="22">
        <f>IF(OR(S4="",S11=""),"",IFERROR(S4-S11,""))</f>
        <v/>
      </c>
      <c r="T12" s="22">
        <f>IF(OR(T4="",T11=""),"",IFERROR(T4-T11,""))</f>
        <v/>
      </c>
      <c r="U12" s="22">
        <f>IF(OR(U4="",U11=""),"",IFERROR(U4-U11,""))</f>
        <v/>
      </c>
      <c r="V12" s="22">
        <f>IF(OR(V4="",V11=""),"",IFERROR(V4-V11,""))</f>
        <v/>
      </c>
      <c r="W12" s="22">
        <f>IF(OR(W4="",W11=""),"",IFERROR(W4-W11,""))</f>
        <v/>
      </c>
      <c r="X12" s="22">
        <f>IF(OR(X4="",X11=""),"",IFERROR(X4-X11,""))</f>
        <v/>
      </c>
      <c r="Y12" s="21" t="n"/>
      <c r="Z12" s="22" t="n"/>
      <c r="AA12" s="22" t="n"/>
      <c r="AB12" s="22" t="n"/>
      <c r="AC12" s="22" t="n"/>
    </row>
    <row r="13">
      <c r="A13" s="15" t="inlineStr">
        <is>
          <t>GPM</t>
        </is>
      </c>
      <c r="B13" s="10" t="n"/>
      <c r="C13" s="16">
        <f>IF(OR(C12="",C4=""),"",IFERROR(C12/C4,""))</f>
        <v/>
      </c>
      <c r="D13" s="17">
        <f>IF(OR(D12="",D4=""),"",IFERROR(D12/D4,""))</f>
        <v/>
      </c>
      <c r="E13" s="17">
        <f>IF(OR(E12="",E4=""),"",IFERROR(E12/E4,""))</f>
        <v/>
      </c>
      <c r="F13" s="17">
        <f>IF(OR(F12="",F4=""),"",IFERROR(F12/F4,""))</f>
        <v/>
      </c>
      <c r="G13" s="17">
        <f>IF(OR(G12="",G4=""),"",IFERROR(G12/G4,""))</f>
        <v/>
      </c>
      <c r="H13" s="17">
        <f>IF(OR(H12="",H4=""),"",IFERROR(H12/H4,""))</f>
        <v/>
      </c>
      <c r="I13" s="17">
        <f>IF(OR(I12="",I4=""),"",IFERROR(I12/I4,""))</f>
        <v/>
      </c>
      <c r="J13" s="17">
        <f>IF(OR(J12="",J4=""),"",IFERROR(J12/J4,""))</f>
        <v/>
      </c>
      <c r="K13" s="17">
        <f>IF(OR(K12="",K4=""),"",IFERROR(K12/K4,""))</f>
        <v/>
      </c>
      <c r="L13" s="17">
        <f>IF(OR(L12="",L4=""),"",IFERROR(L12/L4,""))</f>
        <v/>
      </c>
      <c r="M13" s="17">
        <f>IF(OR(M12="",M4=""),"",IFERROR(M12/M4,""))</f>
        <v/>
      </c>
      <c r="N13" s="17">
        <f>IF(OR(N12="",N4=""),"",IFERROR(N12/N4,""))</f>
        <v/>
      </c>
      <c r="O13" s="16">
        <f>IF(OR(O12="",O4=""),"",IFERROR(O12/O4,""))</f>
        <v/>
      </c>
      <c r="P13" s="17">
        <f>IF(OR(P12="",P4=""),"",IFERROR(P12/P4,""))</f>
        <v/>
      </c>
      <c r="Q13" s="17">
        <f>IF(OR(Q12="",Q4=""),"",IFERROR(Q12/Q4,""))</f>
        <v/>
      </c>
      <c r="R13" s="17">
        <f>IF(OR(R12="",R4=""),"",IFERROR(R12/R4,""))</f>
        <v/>
      </c>
      <c r="S13" s="17">
        <f>IF(OR(S12="",S4=""),"",IFERROR(S12/S4,""))</f>
        <v/>
      </c>
      <c r="T13" s="17">
        <f>IF(OR(T12="",T4=""),"",IFERROR(T12/T4,""))</f>
        <v/>
      </c>
      <c r="U13" s="17">
        <f>IF(OR(U12="",U4=""),"",IFERROR(U12/U4,""))</f>
        <v/>
      </c>
      <c r="V13" s="17">
        <f>IF(OR(V12="",V4=""),"",IFERROR(V12/V4,""))</f>
        <v/>
      </c>
      <c r="W13" s="17">
        <f>IF(OR(W12="",W4=""),"",IFERROR(W12/W4,""))</f>
        <v/>
      </c>
      <c r="X13" s="17">
        <f>IF(OR(X12="",X4=""),"",IFERROR(X12/X4,""))</f>
        <v/>
      </c>
      <c r="Y13" s="16">
        <f>IF(OR(Y12="",Y4=""),"",IFERROR(Y12/Y4,""))</f>
        <v/>
      </c>
      <c r="Z13" s="17">
        <f>IF(OR(Z12="",Z4=""),"",IFERROR(Z12/Z4,""))</f>
        <v/>
      </c>
      <c r="AA13" s="17">
        <f>IF(OR(AA12="",AA4=""),"",IFERROR(AA12/AA4,""))</f>
        <v/>
      </c>
      <c r="AB13" s="17">
        <f>IF(OR(AB12="",AB4=""),"",IFERROR(AB12/AB4,""))</f>
        <v/>
      </c>
      <c r="AC13" s="17">
        <f>IF(OR(AC12="",AC4=""),"",IFERROR(AC12/AC4,""))</f>
        <v/>
      </c>
    </row>
    <row r="14">
      <c r="A14" s="25" t="inlineStr">
        <is>
          <t>판매관리비</t>
        </is>
      </c>
      <c r="B14" s="25" t="n"/>
      <c r="C14" s="26" t="n"/>
      <c r="D14" s="25" t="n"/>
      <c r="E14" s="25" t="n"/>
      <c r="F14" s="25" t="n"/>
      <c r="G14" s="25" t="n"/>
      <c r="H14" s="25" t="n"/>
      <c r="I14" s="25" t="n"/>
      <c r="J14" s="25" t="n"/>
      <c r="K14" s="25" t="n"/>
      <c r="L14" s="25" t="n"/>
      <c r="M14" s="25" t="n"/>
      <c r="N14" s="25" t="n"/>
      <c r="O14" s="26" t="n"/>
      <c r="P14" s="25" t="n"/>
      <c r="Q14" s="25" t="n"/>
      <c r="R14" s="25" t="n"/>
      <c r="S14" s="25" t="n"/>
      <c r="T14" s="25" t="n"/>
      <c r="U14" s="25" t="n"/>
      <c r="V14" s="25" t="n"/>
      <c r="W14" s="25" t="n"/>
      <c r="X14" s="25" t="n"/>
      <c r="Y14" s="26" t="n"/>
      <c r="Z14" s="25" t="n"/>
      <c r="AA14" s="25" t="n"/>
      <c r="AB14" s="25" t="n"/>
      <c r="AC14" s="25" t="n"/>
    </row>
    <row r="15">
      <c r="A15" s="20" t="inlineStr">
        <is>
          <t>전체 판관비</t>
        </is>
      </c>
      <c r="B15" s="10" t="n"/>
      <c r="C15" s="21" t="n"/>
      <c r="D15" s="22" t="n"/>
      <c r="E15" s="22" t="n">
        <v>31478</v>
      </c>
      <c r="F15" s="22" t="n">
        <v>31001</v>
      </c>
      <c r="G15" s="22" t="n">
        <v>31631</v>
      </c>
      <c r="H15" s="22" t="n">
        <v>34778</v>
      </c>
      <c r="I15" s="22" t="n">
        <v>30441</v>
      </c>
      <c r="J15" s="22" t="n">
        <v>29847</v>
      </c>
      <c r="K15" s="22" t="n">
        <v>36235</v>
      </c>
      <c r="L15" s="22" t="n">
        <v>33847</v>
      </c>
      <c r="M15" s="22" t="n">
        <v>46652</v>
      </c>
      <c r="N15" s="22" t="n">
        <v>71727</v>
      </c>
      <c r="O15" s="21" t="n"/>
      <c r="P15" s="22" t="n"/>
      <c r="Q15" s="22" t="n"/>
      <c r="R15" s="22" t="n"/>
      <c r="S15" s="22" t="n"/>
      <c r="T15" s="22" t="n"/>
      <c r="U15" s="22" t="n"/>
      <c r="V15" s="22" t="n">
        <v>128774</v>
      </c>
      <c r="W15" s="22" t="n">
        <v>127851</v>
      </c>
      <c r="X15" s="22" t="n">
        <v>146581</v>
      </c>
      <c r="Y15" s="21" t="n"/>
      <c r="Z15" s="22" t="n"/>
      <c r="AA15" s="22" t="n"/>
      <c r="AB15" s="22" t="n"/>
      <c r="AC15" s="22" t="n"/>
    </row>
    <row r="16">
      <c r="A16" s="9" t="inlineStr">
        <is>
          <t>영업이익</t>
        </is>
      </c>
      <c r="B16" s="10" t="inlineStr">
        <is>
          <t>MW = 매출 × OPM</t>
        </is>
      </c>
      <c r="C16" s="11" t="n"/>
      <c r="D16" s="12" t="n"/>
      <c r="E16" s="12" t="n">
        <v>43858</v>
      </c>
      <c r="F16" s="12" t="n">
        <v>125859</v>
      </c>
      <c r="G16" s="12" t="n">
        <v>166032</v>
      </c>
      <c r="H16" s="12" t="n">
        <v>122715</v>
      </c>
      <c r="I16" s="12" t="n">
        <v>37142</v>
      </c>
      <c r="J16" s="12" t="n">
        <v>44899</v>
      </c>
      <c r="K16" s="12" t="n">
        <v>85921</v>
      </c>
      <c r="L16" s="12" t="n">
        <v>142754</v>
      </c>
      <c r="M16" s="12" t="n">
        <v>596795</v>
      </c>
      <c r="N16" s="12" t="n">
        <v>1270017</v>
      </c>
      <c r="O16" s="11" t="n"/>
      <c r="P16" s="12" t="n"/>
      <c r="Q16" s="12" t="n"/>
      <c r="R16" s="12" t="n"/>
      <c r="S16" s="12" t="n"/>
      <c r="T16" s="12" t="n"/>
      <c r="U16" s="12" t="n"/>
      <c r="V16" s="12" t="n">
        <v>-252698</v>
      </c>
      <c r="W16" s="12" t="n">
        <v>451748</v>
      </c>
      <c r="X16" s="12" t="n">
        <v>870369</v>
      </c>
      <c r="Y16" s="11">
        <f>IF(OR(Y4="",Y17=""),"",IFERROR(Y4*Y17,""))</f>
        <v/>
      </c>
      <c r="Z16" s="12">
        <f>IF(OR(Z4="",Z17=""),"",IFERROR(Z4*Z17,""))</f>
        <v/>
      </c>
      <c r="AA16" s="12">
        <f>IF(OR(AA4="",AA17=""),"",IFERROR(AA4*AA17,""))</f>
        <v/>
      </c>
      <c r="AB16" s="12">
        <f>IF(OR(AB4="",AB17=""),"",IFERROR(AB4*AB17,""))</f>
        <v/>
      </c>
      <c r="AC16" s="12">
        <f>IF(OR(AC4="",AC17=""),"",IFERROR(AC4*AC17,""))</f>
        <v/>
      </c>
    </row>
    <row r="17">
      <c r="A17" s="15" t="inlineStr">
        <is>
          <t>OPM</t>
        </is>
      </c>
      <c r="B17" s="10" t="inlineStr">
        <is>
          <t>MW 입력</t>
        </is>
      </c>
      <c r="C17" s="16">
        <f>IF(OR(C16="",C4=""),"",IFERROR(C16/C4,""))</f>
        <v/>
      </c>
      <c r="D17" s="17">
        <f>IF(OR(D16="",D4=""),"",IFERROR(D16/D4,""))</f>
        <v/>
      </c>
      <c r="E17" s="17">
        <f>IF(OR(E16="",E4=""),"",IFERROR(E16/E4,""))</f>
        <v/>
      </c>
      <c r="F17" s="17">
        <f>IF(OR(F16="",F4=""),"",IFERROR(F16/F4,""))</f>
        <v/>
      </c>
      <c r="G17" s="17">
        <f>IF(OR(G16="",G4=""),"",IFERROR(G16/G4,""))</f>
        <v/>
      </c>
      <c r="H17" s="17">
        <f>IF(OR(H16="",H4=""),"",IFERROR(H16/H4,""))</f>
        <v/>
      </c>
      <c r="I17" s="17">
        <f>IF(OR(I16="",I4=""),"",IFERROR(I16/I4,""))</f>
        <v/>
      </c>
      <c r="J17" s="17">
        <f>IF(OR(J16="",J4=""),"",IFERROR(J16/J4,""))</f>
        <v/>
      </c>
      <c r="K17" s="17">
        <f>IF(OR(K16="",K4=""),"",IFERROR(K16/K4,""))</f>
        <v/>
      </c>
      <c r="L17" s="17">
        <f>IF(OR(L16="",L4=""),"",IFERROR(L16/L4,""))</f>
        <v/>
      </c>
      <c r="M17" s="17">
        <f>IF(OR(M16="",M4=""),"",IFERROR(M16/M4,""))</f>
        <v/>
      </c>
      <c r="N17" s="17">
        <f>IF(OR(N16="",N4=""),"",IFERROR(N16/N4,""))</f>
        <v/>
      </c>
      <c r="O17" s="16">
        <f>IF(OR(O16="",O4=""),"",IFERROR(O16/O4,""))</f>
        <v/>
      </c>
      <c r="P17" s="17">
        <f>IF(OR(P16="",P4=""),"",IFERROR(P16/P4,""))</f>
        <v/>
      </c>
      <c r="Q17" s="17">
        <f>IF(OR(Q16="",Q4=""),"",IFERROR(Q16/Q4,""))</f>
        <v/>
      </c>
      <c r="R17" s="17">
        <f>IF(OR(R16="",R4=""),"",IFERROR(R16/R4,""))</f>
        <v/>
      </c>
      <c r="S17" s="17">
        <f>IF(OR(S16="",S4=""),"",IFERROR(S16/S4,""))</f>
        <v/>
      </c>
      <c r="T17" s="17">
        <f>IF(OR(T16="",T4=""),"",IFERROR(T16/T4,""))</f>
        <v/>
      </c>
      <c r="U17" s="17">
        <f>IF(OR(U16="",U4=""),"",IFERROR(U16/U4,""))</f>
        <v/>
      </c>
      <c r="V17" s="17">
        <f>IF(OR(V16="",V4=""),"",IFERROR(V16/V4,""))</f>
        <v/>
      </c>
      <c r="W17" s="17">
        <f>IF(OR(W16="",W4=""),"",IFERROR(W16/W4,""))</f>
        <v/>
      </c>
      <c r="X17" s="17">
        <f>IF(OR(X16="",X4=""),"",IFERROR(X16/X4,""))</f>
        <v/>
      </c>
      <c r="Y17" s="27" t="n"/>
      <c r="Z17" s="28" t="n"/>
      <c r="AA17" s="28" t="n"/>
      <c r="AB17" s="28" t="n"/>
      <c r="AC17" s="28" t="n"/>
    </row>
    <row r="18">
      <c r="A18" s="15" t="inlineStr">
        <is>
          <t>증가율</t>
        </is>
      </c>
      <c r="B18" s="10" t="n"/>
      <c r="C18" s="16" t="n"/>
      <c r="D18" s="17" t="n"/>
      <c r="E18" s="17" t="n"/>
      <c r="F18" s="17" t="n"/>
      <c r="G18" s="17">
        <f>IF(OR(G16="",C16=""),"",IFERROR(G16/C16-1,""))</f>
        <v/>
      </c>
      <c r="H18" s="17">
        <f>IF(OR(H16="",D16=""),"",IFERROR(H16/D16-1,""))</f>
        <v/>
      </c>
      <c r="I18" s="17">
        <f>IF(OR(I16="",E16=""),"",IFERROR(I16/E16-1,""))</f>
        <v/>
      </c>
      <c r="J18" s="17">
        <f>IF(OR(J16="",F16=""),"",IFERROR(J16/F16-1,""))</f>
        <v/>
      </c>
      <c r="K18" s="17">
        <f>IF(OR(K16="",G16=""),"",IFERROR(K16/G16-1,""))</f>
        <v/>
      </c>
      <c r="L18" s="17">
        <f>IF(OR(L16="",H16=""),"",IFERROR(L16/H16-1,""))</f>
        <v/>
      </c>
      <c r="M18" s="17">
        <f>IF(OR(M16="",I16=""),"",IFERROR(M16/I16-1,""))</f>
        <v/>
      </c>
      <c r="N18" s="17">
        <f>IF(OR(N16="",J16=""),"",IFERROR(N16/J16-1,""))</f>
        <v/>
      </c>
      <c r="O18" s="16" t="n"/>
      <c r="P18" s="17">
        <f>IF(OR(P16="",O16=""),"",IFERROR(P16/O16-1,""))</f>
        <v/>
      </c>
      <c r="Q18" s="17">
        <f>IF(OR(Q16="",P16=""),"",IFERROR(Q16/P16-1,""))</f>
        <v/>
      </c>
      <c r="R18" s="17">
        <f>IF(OR(R16="",Q16=""),"",IFERROR(R16/Q16-1,""))</f>
        <v/>
      </c>
      <c r="S18" s="17">
        <f>IF(OR(S16="",R16=""),"",IFERROR(S16/R16-1,""))</f>
        <v/>
      </c>
      <c r="T18" s="17">
        <f>IF(OR(T16="",S16=""),"",IFERROR(T16/S16-1,""))</f>
        <v/>
      </c>
      <c r="U18" s="17">
        <f>IF(OR(U16="",T16=""),"",IFERROR(U16/T16-1,""))</f>
        <v/>
      </c>
      <c r="V18" s="17">
        <f>IF(OR(V16="",U16=""),"",IFERROR(V16/U16-1,""))</f>
        <v/>
      </c>
      <c r="W18" s="17">
        <f>IF(OR(W16="",V16=""),"",IFERROR(W16/V16-1,""))</f>
        <v/>
      </c>
      <c r="X18" s="17">
        <f>IF(OR(X16="",W16=""),"",IFERROR(X16/W16-1,""))</f>
        <v/>
      </c>
      <c r="Y18" s="16">
        <f>IF(OR(Y16="",X16=""),"",IFERROR(Y16/X16-1,""))</f>
        <v/>
      </c>
      <c r="Z18" s="17">
        <f>IF(OR(Z16="",Y16=""),"",IFERROR(Z16/Y16-1,""))</f>
        <v/>
      </c>
      <c r="AA18" s="17">
        <f>IF(OR(AA16="",Z16=""),"",IFERROR(AA16/Z16-1,""))</f>
        <v/>
      </c>
      <c r="AB18" s="17">
        <f>IF(OR(AB16="",AA16=""),"",IFERROR(AB16/AA16-1,""))</f>
        <v/>
      </c>
      <c r="AC18" s="17">
        <f>IF(OR(AC16="",AB16=""),"",IFERROR(AC16/AB16-1,""))</f>
        <v/>
      </c>
    </row>
    <row r="19">
      <c r="A19" s="18" t="inlineStr">
        <is>
          <t>비용의 성격별 분류</t>
        </is>
      </c>
      <c r="B19" s="18" t="inlineStr">
        <is>
          <t>참고 데이터</t>
        </is>
      </c>
      <c r="C19" s="19" t="n"/>
      <c r="D19" s="18" t="n"/>
      <c r="E19" s="18" t="n"/>
      <c r="F19" s="18" t="n"/>
      <c r="G19" s="18" t="n"/>
      <c r="H19" s="18" t="n"/>
      <c r="I19" s="18" t="n"/>
      <c r="J19" s="18" t="n"/>
      <c r="K19" s="18" t="n"/>
      <c r="L19" s="18" t="n"/>
      <c r="M19" s="18" t="n"/>
      <c r="N19" s="18" t="n"/>
      <c r="O19" s="19" t="n"/>
      <c r="P19" s="18" t="n"/>
      <c r="Q19" s="18" t="n"/>
      <c r="R19" s="18" t="n"/>
      <c r="S19" s="18" t="n"/>
      <c r="T19" s="18" t="n"/>
      <c r="U19" s="18" t="n"/>
      <c r="V19" s="18" t="n"/>
      <c r="W19" s="18" t="n"/>
      <c r="X19" s="18" t="n"/>
      <c r="Y19" s="19" t="n"/>
      <c r="Z19" s="18" t="n"/>
      <c r="AA19" s="18" t="n"/>
      <c r="AB19" s="18" t="n"/>
      <c r="AC19" s="18" t="n"/>
    </row>
    <row r="20">
      <c r="A20" s="9" t="inlineStr">
        <is>
          <t>총 판관비</t>
        </is>
      </c>
      <c r="B20" s="10" t="n"/>
      <c r="C20" s="11" t="n"/>
      <c r="D20" s="12" t="n"/>
      <c r="E20" s="12" t="n"/>
      <c r="F20" s="12" t="n"/>
      <c r="G20" s="12" t="n"/>
      <c r="H20" s="12" t="n"/>
      <c r="I20" s="12" t="n"/>
      <c r="J20" s="12" t="n"/>
      <c r="K20" s="12" t="n"/>
      <c r="L20" s="12" t="n"/>
      <c r="M20" s="12" t="n"/>
      <c r="N20" s="12" t="n"/>
      <c r="O20" s="11">
        <f>IF(O15="","",O15)</f>
        <v/>
      </c>
      <c r="P20" s="12">
        <f>IF(P15="","",P15)</f>
        <v/>
      </c>
      <c r="Q20" s="12">
        <f>IF(Q15="","",Q15)</f>
        <v/>
      </c>
      <c r="R20" s="12">
        <f>IF(R15="","",R15)</f>
        <v/>
      </c>
      <c r="S20" s="12">
        <f>IF(S15="","",S15)</f>
        <v/>
      </c>
      <c r="T20" s="12">
        <f>IF(T15="","",T15)</f>
        <v/>
      </c>
      <c r="U20" s="12">
        <f>IF(U15="","",U15)</f>
        <v/>
      </c>
      <c r="V20" s="12">
        <f>IF(V15="","",V15)</f>
        <v/>
      </c>
      <c r="W20" s="12">
        <f>IF(W15="","",W15)</f>
        <v/>
      </c>
      <c r="X20" s="12">
        <f>IF(X15="","",X15)</f>
        <v/>
      </c>
      <c r="Y20" s="11" t="n"/>
      <c r="Z20" s="12" t="n"/>
      <c r="AA20" s="12" t="n"/>
      <c r="AB20" s="12" t="n"/>
      <c r="AC20" s="12" t="n"/>
    </row>
    <row r="21">
      <c r="A21" s="20" t="inlineStr">
        <is>
          <t>급여</t>
        </is>
      </c>
      <c r="B21" s="10" t="inlineStr">
        <is>
          <t>고정비</t>
        </is>
      </c>
      <c r="C21" s="21" t="n"/>
      <c r="D21" s="22" t="n"/>
      <c r="E21" s="22" t="n"/>
      <c r="F21" s="22" t="n"/>
      <c r="G21" s="22" t="n"/>
      <c r="H21" s="22" t="n"/>
      <c r="I21" s="22" t="n"/>
      <c r="J21" s="22" t="n"/>
      <c r="K21" s="22" t="n"/>
      <c r="L21" s="22" t="n"/>
      <c r="M21" s="22" t="n"/>
      <c r="N21" s="22" t="n"/>
      <c r="O21" s="21" t="n"/>
      <c r="P21" s="22" t="n"/>
      <c r="Q21" s="22" t="n"/>
      <c r="R21" s="22" t="n"/>
      <c r="S21" s="22" t="n"/>
      <c r="T21" s="22" t="n"/>
      <c r="U21" s="22" t="n"/>
      <c r="V21" s="22" t="n"/>
      <c r="W21" s="22" t="n"/>
      <c r="X21" s="22" t="n"/>
      <c r="Y21" s="21" t="n"/>
      <c r="Z21" s="22" t="n"/>
      <c r="AA21" s="22" t="n"/>
      <c r="AB21" s="22" t="n"/>
      <c r="AC21" s="22" t="n"/>
    </row>
    <row r="22">
      <c r="A22" s="15" t="inlineStr">
        <is>
          <t>% of Sales</t>
        </is>
      </c>
      <c r="B22" s="10" t="n"/>
      <c r="C22" s="16" t="n"/>
      <c r="D22" s="17" t="n"/>
      <c r="E22" s="17" t="n"/>
      <c r="F22" s="17" t="n"/>
      <c r="G22" s="17" t="n"/>
      <c r="H22" s="17" t="n"/>
      <c r="I22" s="17" t="n"/>
      <c r="J22" s="17" t="n"/>
      <c r="K22" s="17" t="n"/>
      <c r="L22" s="17" t="n"/>
      <c r="M22" s="17" t="n"/>
      <c r="N22" s="17" t="n"/>
      <c r="O22" s="16">
        <f>IF(OR(O21="",O4=""),"",IFERROR(O21/O4,""))</f>
        <v/>
      </c>
      <c r="P22" s="17">
        <f>IF(OR(P21="",P4=""),"",IFERROR(P21/P4,""))</f>
        <v/>
      </c>
      <c r="Q22" s="17">
        <f>IF(OR(Q21="",Q4=""),"",IFERROR(Q21/Q4,""))</f>
        <v/>
      </c>
      <c r="R22" s="17">
        <f>IF(OR(R21="",R4=""),"",IFERROR(R21/R4,""))</f>
        <v/>
      </c>
      <c r="S22" s="17">
        <f>IF(OR(S21="",S4=""),"",IFERROR(S21/S4,""))</f>
        <v/>
      </c>
      <c r="T22" s="17">
        <f>IF(OR(T21="",T4=""),"",IFERROR(T21/T4,""))</f>
        <v/>
      </c>
      <c r="U22" s="17">
        <f>IF(OR(U21="",U4=""),"",IFERROR(U21/U4,""))</f>
        <v/>
      </c>
      <c r="V22" s="17">
        <f>IF(OR(V21="",V4=""),"",IFERROR(V21/V4,""))</f>
        <v/>
      </c>
      <c r="W22" s="17">
        <f>IF(OR(W21="",W4=""),"",IFERROR(W21/W4,""))</f>
        <v/>
      </c>
      <c r="X22" s="17">
        <f>IF(OR(X21="",X4=""),"",IFERROR(X21/X4,""))</f>
        <v/>
      </c>
      <c r="Y22" s="16" t="n"/>
      <c r="Z22" s="17" t="n"/>
      <c r="AA22" s="17" t="n"/>
      <c r="AB22" s="17" t="n"/>
      <c r="AC22" s="17" t="n"/>
    </row>
    <row r="23">
      <c r="A23" s="20" t="inlineStr">
        <is>
          <t>감가상각비</t>
        </is>
      </c>
      <c r="B23" s="10" t="inlineStr">
        <is>
          <t>고정비</t>
        </is>
      </c>
      <c r="C23" s="21" t="n"/>
      <c r="D23" s="22" t="n"/>
      <c r="E23" s="22" t="n"/>
      <c r="F23" s="22" t="n"/>
      <c r="G23" s="22" t="n"/>
      <c r="H23" s="22" t="n"/>
      <c r="I23" s="22" t="n"/>
      <c r="J23" s="22" t="n"/>
      <c r="K23" s="22" t="n"/>
      <c r="L23" s="22" t="n"/>
      <c r="M23" s="22" t="n"/>
      <c r="N23" s="22" t="n"/>
      <c r="O23" s="21" t="n"/>
      <c r="P23" s="22" t="n"/>
      <c r="Q23" s="22" t="n"/>
      <c r="R23" s="22" t="n"/>
      <c r="S23" s="22" t="n"/>
      <c r="T23" s="22" t="n"/>
      <c r="U23" s="22" t="n"/>
      <c r="V23" s="22" t="n"/>
      <c r="W23" s="22" t="n"/>
      <c r="X23" s="22" t="n"/>
      <c r="Y23" s="21" t="n"/>
      <c r="Z23" s="22" t="n"/>
      <c r="AA23" s="22" t="n"/>
      <c r="AB23" s="22" t="n"/>
      <c r="AC23" s="22" t="n"/>
    </row>
    <row r="24">
      <c r="A24" s="15" t="inlineStr">
        <is>
          <t>% of Sales</t>
        </is>
      </c>
      <c r="B24" s="10" t="n"/>
      <c r="C24" s="16" t="n"/>
      <c r="D24" s="17" t="n"/>
      <c r="E24" s="17" t="n"/>
      <c r="F24" s="17" t="n"/>
      <c r="G24" s="17" t="n"/>
      <c r="H24" s="17" t="n"/>
      <c r="I24" s="17" t="n"/>
      <c r="J24" s="17" t="n"/>
      <c r="K24" s="17" t="n"/>
      <c r="L24" s="17" t="n"/>
      <c r="M24" s="17" t="n"/>
      <c r="N24" s="17" t="n"/>
      <c r="O24" s="16">
        <f>IF(OR(O23="",O4=""),"",IFERROR(O23/O4,""))</f>
        <v/>
      </c>
      <c r="P24" s="17">
        <f>IF(OR(P23="",P4=""),"",IFERROR(P23/P4,""))</f>
        <v/>
      </c>
      <c r="Q24" s="17">
        <f>IF(OR(Q23="",Q4=""),"",IFERROR(Q23/Q4,""))</f>
        <v/>
      </c>
      <c r="R24" s="17">
        <f>IF(OR(R23="",R4=""),"",IFERROR(R23/R4,""))</f>
        <v/>
      </c>
      <c r="S24" s="17">
        <f>IF(OR(S23="",S4=""),"",IFERROR(S23/S4,""))</f>
        <v/>
      </c>
      <c r="T24" s="17">
        <f>IF(OR(T23="",T4=""),"",IFERROR(T23/T4,""))</f>
        <v/>
      </c>
      <c r="U24" s="17">
        <f>IF(OR(U23="",U4=""),"",IFERROR(U23/U4,""))</f>
        <v/>
      </c>
      <c r="V24" s="17">
        <f>IF(OR(V23="",V4=""),"",IFERROR(V23/V4,""))</f>
        <v/>
      </c>
      <c r="W24" s="17">
        <f>IF(OR(W23="",W4=""),"",IFERROR(W23/W4,""))</f>
        <v/>
      </c>
      <c r="X24" s="17">
        <f>IF(OR(X23="",X4=""),"",IFERROR(X23/X4,""))</f>
        <v/>
      </c>
      <c r="Y24" s="16" t="n"/>
      <c r="Z24" s="17" t="n"/>
      <c r="AA24" s="17" t="n"/>
      <c r="AB24" s="17" t="n"/>
      <c r="AC24" s="17" t="n"/>
    </row>
    <row r="25">
      <c r="A25" s="20" t="inlineStr">
        <is>
          <t>지급수수료</t>
        </is>
      </c>
      <c r="B25" s="10" t="inlineStr">
        <is>
          <t>고정비</t>
        </is>
      </c>
      <c r="C25" s="21" t="n"/>
      <c r="D25" s="22" t="n"/>
      <c r="E25" s="22" t="n"/>
      <c r="F25" s="22" t="n"/>
      <c r="G25" s="22" t="n"/>
      <c r="H25" s="22" t="n"/>
      <c r="I25" s="22" t="n"/>
      <c r="J25" s="22" t="n"/>
      <c r="K25" s="22" t="n"/>
      <c r="L25" s="22" t="n"/>
      <c r="M25" s="22" t="n"/>
      <c r="N25" s="22" t="n"/>
      <c r="O25" s="21" t="n"/>
      <c r="P25" s="22" t="n"/>
      <c r="Q25" s="22" t="n"/>
      <c r="R25" s="22" t="n"/>
      <c r="S25" s="22" t="n"/>
      <c r="T25" s="22" t="n"/>
      <c r="U25" s="22" t="n"/>
      <c r="V25" s="22" t="n"/>
      <c r="W25" s="22" t="n"/>
      <c r="X25" s="22" t="n"/>
      <c r="Y25" s="21" t="n"/>
      <c r="Z25" s="22" t="n"/>
      <c r="AA25" s="22" t="n"/>
      <c r="AB25" s="22" t="n"/>
      <c r="AC25" s="22" t="n"/>
    </row>
    <row r="26">
      <c r="A26" s="15" t="inlineStr">
        <is>
          <t>% of Sales</t>
        </is>
      </c>
      <c r="B26" s="10" t="n"/>
      <c r="C26" s="16" t="n"/>
      <c r="D26" s="17" t="n"/>
      <c r="E26" s="17" t="n"/>
      <c r="F26" s="17" t="n"/>
      <c r="G26" s="17" t="n"/>
      <c r="H26" s="17" t="n"/>
      <c r="I26" s="17" t="n"/>
      <c r="J26" s="17" t="n"/>
      <c r="K26" s="17" t="n"/>
      <c r="L26" s="17" t="n"/>
      <c r="M26" s="17" t="n"/>
      <c r="N26" s="17" t="n"/>
      <c r="O26" s="16">
        <f>IF(OR(O25="",O4=""),"",IFERROR(O25/O4,""))</f>
        <v/>
      </c>
      <c r="P26" s="17">
        <f>IF(OR(P25="",P4=""),"",IFERROR(P25/P4,""))</f>
        <v/>
      </c>
      <c r="Q26" s="17">
        <f>IF(OR(Q25="",Q4=""),"",IFERROR(Q25/Q4,""))</f>
        <v/>
      </c>
      <c r="R26" s="17">
        <f>IF(OR(R25="",R4=""),"",IFERROR(R25/R4,""))</f>
        <v/>
      </c>
      <c r="S26" s="17">
        <f>IF(OR(S25="",S4=""),"",IFERROR(S25/S4,""))</f>
        <v/>
      </c>
      <c r="T26" s="17">
        <f>IF(OR(T25="",T4=""),"",IFERROR(T25/T4,""))</f>
        <v/>
      </c>
      <c r="U26" s="17">
        <f>IF(OR(U25="",U4=""),"",IFERROR(U25/U4,""))</f>
        <v/>
      </c>
      <c r="V26" s="17">
        <f>IF(OR(V25="",V4=""),"",IFERROR(V25/V4,""))</f>
        <v/>
      </c>
      <c r="W26" s="17">
        <f>IF(OR(W25="",W4=""),"",IFERROR(W25/W4,""))</f>
        <v/>
      </c>
      <c r="X26" s="17">
        <f>IF(OR(X25="",X4=""),"",IFERROR(X25/X4,""))</f>
        <v/>
      </c>
      <c r="Y26" s="16" t="n"/>
      <c r="Z26" s="17" t="n"/>
      <c r="AA26" s="17" t="n"/>
      <c r="AB26" s="17" t="n"/>
      <c r="AC26" s="17" t="n"/>
    </row>
    <row r="27">
      <c r="A27" s="20" t="inlineStr">
        <is>
          <t>연구개발비</t>
        </is>
      </c>
      <c r="B27" s="10" t="inlineStr">
        <is>
          <t>변동비</t>
        </is>
      </c>
      <c r="C27" s="21" t="n"/>
      <c r="D27" s="22" t="n"/>
      <c r="E27" s="22" t="n"/>
      <c r="F27" s="22" t="n"/>
      <c r="G27" s="22" t="n"/>
      <c r="H27" s="22" t="n"/>
      <c r="I27" s="22" t="n"/>
      <c r="J27" s="22" t="n"/>
      <c r="K27" s="22" t="n"/>
      <c r="L27" s="22" t="n"/>
      <c r="M27" s="22" t="n"/>
      <c r="N27" s="22" t="n"/>
      <c r="O27" s="21" t="n"/>
      <c r="P27" s="22" t="n"/>
      <c r="Q27" s="22" t="n"/>
      <c r="R27" s="22" t="n"/>
      <c r="S27" s="22" t="n"/>
      <c r="T27" s="22" t="n"/>
      <c r="U27" s="22" t="n"/>
      <c r="V27" s="22" t="n"/>
      <c r="W27" s="22" t="n"/>
      <c r="X27" s="22" t="n"/>
      <c r="Y27" s="21" t="n"/>
      <c r="Z27" s="22" t="n"/>
      <c r="AA27" s="22" t="n"/>
      <c r="AB27" s="22" t="n"/>
      <c r="AC27" s="22" t="n"/>
    </row>
    <row r="28">
      <c r="A28" s="15" t="inlineStr">
        <is>
          <t>% of Sales</t>
        </is>
      </c>
      <c r="B28" s="10" t="n"/>
      <c r="C28" s="16" t="n"/>
      <c r="D28" s="17" t="n"/>
      <c r="E28" s="17" t="n"/>
      <c r="F28" s="17" t="n"/>
      <c r="G28" s="17" t="n"/>
      <c r="H28" s="17" t="n"/>
      <c r="I28" s="17" t="n"/>
      <c r="J28" s="17" t="n"/>
      <c r="K28" s="17" t="n"/>
      <c r="L28" s="17" t="n"/>
      <c r="M28" s="17" t="n"/>
      <c r="N28" s="17" t="n"/>
      <c r="O28" s="16">
        <f>IF(OR(O27="",O4=""),"",IFERROR(O27/O4,""))</f>
        <v/>
      </c>
      <c r="P28" s="17">
        <f>IF(OR(P27="",P4=""),"",IFERROR(P27/P4,""))</f>
        <v/>
      </c>
      <c r="Q28" s="17">
        <f>IF(OR(Q27="",Q4=""),"",IFERROR(Q27/Q4,""))</f>
        <v/>
      </c>
      <c r="R28" s="17">
        <f>IF(OR(R27="",R4=""),"",IFERROR(R27/R4,""))</f>
        <v/>
      </c>
      <c r="S28" s="17">
        <f>IF(OR(S27="",S4=""),"",IFERROR(S27/S4,""))</f>
        <v/>
      </c>
      <c r="T28" s="17">
        <f>IF(OR(T27="",T4=""),"",IFERROR(T27/T4,""))</f>
        <v/>
      </c>
      <c r="U28" s="17">
        <f>IF(OR(U27="",U4=""),"",IFERROR(U27/U4,""))</f>
        <v/>
      </c>
      <c r="V28" s="17">
        <f>IF(OR(V27="",V4=""),"",IFERROR(V27/V4,""))</f>
        <v/>
      </c>
      <c r="W28" s="17">
        <f>IF(OR(W27="",W4=""),"",IFERROR(W27/W4,""))</f>
        <v/>
      </c>
      <c r="X28" s="17">
        <f>IF(OR(X27="",X4=""),"",IFERROR(X27/X4,""))</f>
        <v/>
      </c>
      <c r="Y28" s="16" t="n"/>
      <c r="Z28" s="17" t="n"/>
      <c r="AA28" s="17" t="n"/>
      <c r="AB28" s="17" t="n"/>
      <c r="AC28" s="17" t="n"/>
    </row>
    <row r="29">
      <c r="A29" s="20" t="inlineStr">
        <is>
          <t>기타비용</t>
        </is>
      </c>
      <c r="B29" s="10" t="inlineStr">
        <is>
          <t>변동비</t>
        </is>
      </c>
      <c r="C29" s="21" t="n"/>
      <c r="D29" s="22" t="n"/>
      <c r="E29" s="22" t="n"/>
      <c r="F29" s="22" t="n"/>
      <c r="G29" s="22" t="n"/>
      <c r="H29" s="22" t="n"/>
      <c r="I29" s="22" t="n"/>
      <c r="J29" s="22" t="n"/>
      <c r="K29" s="22" t="n"/>
      <c r="L29" s="22" t="n"/>
      <c r="M29" s="22" t="n"/>
      <c r="N29" s="22" t="n"/>
      <c r="O29" s="21">
        <f>IF(OR(O20="",O21="",O23="",O25="",O27=""),"",IFERROR(O20-O21-O23-O25-O27,""))</f>
        <v/>
      </c>
      <c r="P29" s="22">
        <f>IF(OR(P20="",P21="",P23="",P25="",P27=""),"",IFERROR(P20-P21-P23-P25-P27,""))</f>
        <v/>
      </c>
      <c r="Q29" s="22">
        <f>IF(OR(Q20="",Q21="",Q23="",Q25="",Q27=""),"",IFERROR(Q20-Q21-Q23-Q25-Q27,""))</f>
        <v/>
      </c>
      <c r="R29" s="22">
        <f>IF(OR(R20="",R21="",R23="",R25="",R27=""),"",IFERROR(R20-R21-R23-R25-R27,""))</f>
        <v/>
      </c>
      <c r="S29" s="22">
        <f>IF(OR(S20="",S21="",S23="",S25="",S27=""),"",IFERROR(S20-S21-S23-S25-S27,""))</f>
        <v/>
      </c>
      <c r="T29" s="22">
        <f>IF(OR(T20="",T21="",T23="",T25="",T27=""),"",IFERROR(T20-T21-T23-T25-T27,""))</f>
        <v/>
      </c>
      <c r="U29" s="22">
        <f>IF(OR(U20="",U21="",U23="",U25="",U27=""),"",IFERROR(U20-U21-U23-U25-U27,""))</f>
        <v/>
      </c>
      <c r="V29" s="22">
        <f>IF(OR(V20="",V21="",V23="",V25="",V27=""),"",IFERROR(V20-V21-V23-V25-V27,""))</f>
        <v/>
      </c>
      <c r="W29" s="22">
        <f>IF(OR(W20="",W21="",W23="",W25="",W27=""),"",IFERROR(W20-W21-W23-W25-W27,""))</f>
        <v/>
      </c>
      <c r="X29" s="22">
        <f>IF(OR(X20="",X21="",X23="",X25="",X27=""),"",IFERROR(X20-X21-X23-X25-X27,""))</f>
        <v/>
      </c>
      <c r="Y29" s="21" t="n"/>
      <c r="Z29" s="22" t="n"/>
      <c r="AA29" s="22" t="n"/>
      <c r="AB29" s="22" t="n"/>
      <c r="AC29" s="22" t="n"/>
    </row>
    <row r="30">
      <c r="A30" s="15" t="inlineStr">
        <is>
          <t>% of Sales</t>
        </is>
      </c>
      <c r="B30" s="10" t="n"/>
      <c r="C30" s="16" t="n"/>
      <c r="D30" s="17" t="n"/>
      <c r="E30" s="17" t="n"/>
      <c r="F30" s="17" t="n"/>
      <c r="G30" s="17" t="n"/>
      <c r="H30" s="17" t="n"/>
      <c r="I30" s="17" t="n"/>
      <c r="J30" s="17" t="n"/>
      <c r="K30" s="17" t="n"/>
      <c r="L30" s="17" t="n"/>
      <c r="M30" s="17" t="n"/>
      <c r="N30" s="17" t="n"/>
      <c r="O30" s="16">
        <f>IF(OR(O29="",O4=""),"",IFERROR(O29/O4,""))</f>
        <v/>
      </c>
      <c r="P30" s="17">
        <f>IF(OR(P29="",P4=""),"",IFERROR(P29/P4,""))</f>
        <v/>
      </c>
      <c r="Q30" s="17">
        <f>IF(OR(Q29="",Q4=""),"",IFERROR(Q29/Q4,""))</f>
        <v/>
      </c>
      <c r="R30" s="17">
        <f>IF(OR(R29="",R4=""),"",IFERROR(R29/R4,""))</f>
        <v/>
      </c>
      <c r="S30" s="17">
        <f>IF(OR(S29="",S4=""),"",IFERROR(S29/S4,""))</f>
        <v/>
      </c>
      <c r="T30" s="17">
        <f>IF(OR(T29="",T4=""),"",IFERROR(T29/T4,""))</f>
        <v/>
      </c>
      <c r="U30" s="17">
        <f>IF(OR(U29="",U4=""),"",IFERROR(U29/U4,""))</f>
        <v/>
      </c>
      <c r="V30" s="17">
        <f>IF(OR(V29="",V4=""),"",IFERROR(V29/V4,""))</f>
        <v/>
      </c>
      <c r="W30" s="17">
        <f>IF(OR(W29="",W4=""),"",IFERROR(W29/W4,""))</f>
        <v/>
      </c>
      <c r="X30" s="17">
        <f>IF(OR(X29="",X4=""),"",IFERROR(X29/X4,""))</f>
        <v/>
      </c>
      <c r="Y30" s="16" t="n"/>
      <c r="Z30" s="17" t="n"/>
      <c r="AA30" s="17" t="n"/>
      <c r="AB30" s="17" t="n"/>
      <c r="AC30" s="17" t="n"/>
    </row>
    <row r="31">
      <c r="A31" s="18" t="inlineStr">
        <is>
          <t>당기순이익 추정</t>
        </is>
      </c>
      <c r="B31" s="18" t="n"/>
      <c r="C31" s="19" t="n"/>
      <c r="D31" s="18" t="n"/>
      <c r="E31" s="18" t="n"/>
      <c r="F31" s="18" t="n"/>
      <c r="G31" s="18" t="n"/>
      <c r="H31" s="18" t="n"/>
      <c r="I31" s="18" t="n"/>
      <c r="J31" s="18" t="n"/>
      <c r="K31" s="18" t="n"/>
      <c r="L31" s="18" t="n"/>
      <c r="M31" s="18" t="n"/>
      <c r="N31" s="18" t="n"/>
      <c r="O31" s="19" t="n"/>
      <c r="P31" s="18" t="n"/>
      <c r="Q31" s="18" t="n"/>
      <c r="R31" s="18" t="n"/>
      <c r="S31" s="18" t="n"/>
      <c r="T31" s="18" t="n"/>
      <c r="U31" s="18" t="n"/>
      <c r="V31" s="18" t="n"/>
      <c r="W31" s="18" t="n"/>
      <c r="X31" s="18" t="n"/>
      <c r="Y31" s="19" t="n"/>
      <c r="Z31" s="18" t="n"/>
      <c r="AA31" s="18" t="n"/>
      <c r="AB31" s="18" t="n"/>
      <c r="AC31" s="18" t="n"/>
    </row>
    <row r="32">
      <c r="A32" s="20" t="inlineStr">
        <is>
          <t>기타이익</t>
        </is>
      </c>
      <c r="B32" s="10" t="n"/>
      <c r="C32" s="21" t="n"/>
      <c r="D32" s="22" t="n"/>
      <c r="E32" s="22" t="n">
        <v>9000</v>
      </c>
      <c r="F32" s="22" t="n">
        <v>1477</v>
      </c>
      <c r="G32" s="22" t="n">
        <v>2586</v>
      </c>
      <c r="H32" s="22" t="n">
        <v>6109</v>
      </c>
      <c r="I32" s="22" t="n">
        <v>4503</v>
      </c>
      <c r="J32" s="22" t="n">
        <v>3921</v>
      </c>
      <c r="K32" s="22" t="n">
        <v>1569</v>
      </c>
      <c r="L32" s="22" t="n">
        <v>1262</v>
      </c>
      <c r="M32" s="22" t="n">
        <v>2150</v>
      </c>
      <c r="N32" s="22" t="n">
        <v>530</v>
      </c>
      <c r="O32" s="21" t="n"/>
      <c r="P32" s="22" t="n"/>
      <c r="Q32" s="22" t="n"/>
      <c r="R32" s="22" t="n"/>
      <c r="S32" s="22" t="n"/>
      <c r="T32" s="22" t="n"/>
      <c r="U32" s="22" t="n"/>
      <c r="V32" s="22" t="n">
        <v>19676</v>
      </c>
      <c r="W32" s="22" t="n">
        <v>14675</v>
      </c>
      <c r="X32" s="22" t="n">
        <v>8902</v>
      </c>
      <c r="Y32" s="21">
        <f>IF(OR(Y4="",Y33=""),"",IFERROR(Y4*Y33,""))</f>
        <v/>
      </c>
      <c r="Z32" s="22">
        <f>IF(OR(Z4="",Z33=""),"",IFERROR(Z4*Z33,""))</f>
        <v/>
      </c>
      <c r="AA32" s="22">
        <f>IF(OR(AA4="",AA33=""),"",IFERROR(AA4*AA33,""))</f>
        <v/>
      </c>
      <c r="AB32" s="22">
        <f>IF(OR(AB4="",AB33=""),"",IFERROR(AB4*AB33,""))</f>
        <v/>
      </c>
      <c r="AC32" s="22">
        <f>IF(OR(AC4="",AC33=""),"",IFERROR(AC4*AC33,""))</f>
        <v/>
      </c>
    </row>
    <row r="33">
      <c r="A33" s="15" t="inlineStr">
        <is>
          <t>% of Sales</t>
        </is>
      </c>
      <c r="B33" s="10" t="inlineStr">
        <is>
          <t>MW = 최근 3년 평균</t>
        </is>
      </c>
      <c r="C33" s="16">
        <f>IF(OR(C32="",C4=""),"",IFERROR(C32/C4,""))</f>
        <v/>
      </c>
      <c r="D33" s="17">
        <f>IF(OR(D32="",D4=""),"",IFERROR(D32/D4,""))</f>
        <v/>
      </c>
      <c r="E33" s="17">
        <f>IF(OR(E32="",E4=""),"",IFERROR(E32/E4,""))</f>
        <v/>
      </c>
      <c r="F33" s="17">
        <f>IF(OR(F32="",F4=""),"",IFERROR(F32/F4,""))</f>
        <v/>
      </c>
      <c r="G33" s="17">
        <f>IF(OR(G32="",G4=""),"",IFERROR(G32/G4,""))</f>
        <v/>
      </c>
      <c r="H33" s="17">
        <f>IF(OR(H32="",H4=""),"",IFERROR(H32/H4,""))</f>
        <v/>
      </c>
      <c r="I33" s="17">
        <f>IF(OR(I32="",I4=""),"",IFERROR(I32/I4,""))</f>
        <v/>
      </c>
      <c r="J33" s="17">
        <f>IF(OR(J32="",J4=""),"",IFERROR(J32/J4,""))</f>
        <v/>
      </c>
      <c r="K33" s="17">
        <f>IF(OR(K32="",K4=""),"",IFERROR(K32/K4,""))</f>
        <v/>
      </c>
      <c r="L33" s="17">
        <f>IF(OR(L32="",L4=""),"",IFERROR(L32/L4,""))</f>
        <v/>
      </c>
      <c r="M33" s="17">
        <f>IF(OR(M32="",M4=""),"",IFERROR(M32/M4,""))</f>
        <v/>
      </c>
      <c r="N33" s="17">
        <f>IF(OR(N32="",N4=""),"",IFERROR(N32/N4,""))</f>
        <v/>
      </c>
      <c r="O33" s="16">
        <f>IF(OR(O32="",O4=""),"",IFERROR(O32/O4,""))</f>
        <v/>
      </c>
      <c r="P33" s="17">
        <f>IF(OR(P32="",P4=""),"",IFERROR(P32/P4,""))</f>
        <v/>
      </c>
      <c r="Q33" s="17">
        <f>IF(OR(Q32="",Q4=""),"",IFERROR(Q32/Q4,""))</f>
        <v/>
      </c>
      <c r="R33" s="17">
        <f>IF(OR(R32="",R4=""),"",IFERROR(R32/R4,""))</f>
        <v/>
      </c>
      <c r="S33" s="17">
        <f>IF(OR(S32="",S4=""),"",IFERROR(S32/S4,""))</f>
        <v/>
      </c>
      <c r="T33" s="17">
        <f>IF(OR(T32="",T4=""),"",IFERROR(T32/T4,""))</f>
        <v/>
      </c>
      <c r="U33" s="17">
        <f>IF(OR(U32="",U4=""),"",IFERROR(U32/U4,""))</f>
        <v/>
      </c>
      <c r="V33" s="17">
        <f>IF(OR(V32="",V4=""),"",IFERROR(V32/V4,""))</f>
        <v/>
      </c>
      <c r="W33" s="17">
        <f>IF(OR(W32="",W4=""),"",IFERROR(W32/W4,""))</f>
        <v/>
      </c>
      <c r="X33" s="17">
        <f>IF(OR(X32="",X4=""),"",IFERROR(X32/X4,""))</f>
        <v/>
      </c>
      <c r="Y33" s="27">
        <f>IFERROR(AVERAGE(V33,W33,X33),"")</f>
        <v/>
      </c>
      <c r="Z33" s="28">
        <f>Y33</f>
        <v/>
      </c>
      <c r="AA33" s="28">
        <f>Z33</f>
        <v/>
      </c>
      <c r="AB33" s="28">
        <f>AA33</f>
        <v/>
      </c>
      <c r="AC33" s="28">
        <f>AB33</f>
        <v/>
      </c>
    </row>
    <row r="34">
      <c r="A34" s="20" t="inlineStr">
        <is>
          <t>기타손실</t>
        </is>
      </c>
      <c r="B34" s="10" t="n"/>
      <c r="C34" s="21" t="n"/>
      <c r="D34" s="22" t="n"/>
      <c r="E34" s="22" t="n">
        <v>8451</v>
      </c>
      <c r="F34" s="22" t="n">
        <v>1209</v>
      </c>
      <c r="G34" s="22" t="n">
        <v>1374</v>
      </c>
      <c r="H34" s="22" t="n">
        <v>990</v>
      </c>
      <c r="I34" s="22" t="n">
        <v>936</v>
      </c>
      <c r="J34" s="22" t="n">
        <v>354</v>
      </c>
      <c r="K34" s="22" t="n">
        <v>1551</v>
      </c>
      <c r="L34" s="22" t="n">
        <v>1301</v>
      </c>
      <c r="M34" s="22" t="n">
        <v>1650</v>
      </c>
      <c r="N34" s="22" t="n">
        <v>38852</v>
      </c>
      <c r="O34" s="21" t="n"/>
      <c r="P34" s="22" t="n"/>
      <c r="Q34" s="22" t="n"/>
      <c r="R34" s="22" t="n"/>
      <c r="S34" s="22" t="n"/>
      <c r="T34" s="22" t="n"/>
      <c r="U34" s="22" t="n"/>
      <c r="V34" s="22" t="n">
        <v>14257</v>
      </c>
      <c r="W34" s="22" t="n">
        <v>4509</v>
      </c>
      <c r="X34" s="22" t="n">
        <v>4856</v>
      </c>
      <c r="Y34" s="21">
        <f>IF(OR(Y4="",Y35=""),"",IFERROR(Y4*Y35,""))</f>
        <v/>
      </c>
      <c r="Z34" s="22">
        <f>IF(OR(Z4="",Z35=""),"",IFERROR(Z4*Z35,""))</f>
        <v/>
      </c>
      <c r="AA34" s="22">
        <f>IF(OR(AA4="",AA35=""),"",IFERROR(AA4*AA35,""))</f>
        <v/>
      </c>
      <c r="AB34" s="22">
        <f>IF(OR(AB4="",AB35=""),"",IFERROR(AB4*AB35,""))</f>
        <v/>
      </c>
      <c r="AC34" s="22">
        <f>IF(OR(AC4="",AC35=""),"",IFERROR(AC4*AC35,""))</f>
        <v/>
      </c>
    </row>
    <row r="35">
      <c r="A35" s="15" t="inlineStr">
        <is>
          <t>% of Sales</t>
        </is>
      </c>
      <c r="B35" s="10" t="n"/>
      <c r="C35" s="16">
        <f>IF(OR(C34="",C4=""),"",IFERROR(C34/C4,""))</f>
        <v/>
      </c>
      <c r="D35" s="17">
        <f>IF(OR(D34="",D4=""),"",IFERROR(D34/D4,""))</f>
        <v/>
      </c>
      <c r="E35" s="17">
        <f>IF(OR(E34="",E4=""),"",IFERROR(E34/E4,""))</f>
        <v/>
      </c>
      <c r="F35" s="17">
        <f>IF(OR(F34="",F4=""),"",IFERROR(F34/F4,""))</f>
        <v/>
      </c>
      <c r="G35" s="17">
        <f>IF(OR(G34="",G4=""),"",IFERROR(G34/G4,""))</f>
        <v/>
      </c>
      <c r="H35" s="17">
        <f>IF(OR(H34="",H4=""),"",IFERROR(H34/H4,""))</f>
        <v/>
      </c>
      <c r="I35" s="17">
        <f>IF(OR(I34="",I4=""),"",IFERROR(I34/I4,""))</f>
        <v/>
      </c>
      <c r="J35" s="17">
        <f>IF(OR(J34="",J4=""),"",IFERROR(J34/J4,""))</f>
        <v/>
      </c>
      <c r="K35" s="17">
        <f>IF(OR(K34="",K4=""),"",IFERROR(K34/K4,""))</f>
        <v/>
      </c>
      <c r="L35" s="17">
        <f>IF(OR(L34="",L4=""),"",IFERROR(L34/L4,""))</f>
        <v/>
      </c>
      <c r="M35" s="17">
        <f>IF(OR(M34="",M4=""),"",IFERROR(M34/M4,""))</f>
        <v/>
      </c>
      <c r="N35" s="17">
        <f>IF(OR(N34="",N4=""),"",IFERROR(N34/N4,""))</f>
        <v/>
      </c>
      <c r="O35" s="16">
        <f>IF(OR(O34="",O4=""),"",IFERROR(O34/O4,""))</f>
        <v/>
      </c>
      <c r="P35" s="17">
        <f>IF(OR(P34="",P4=""),"",IFERROR(P34/P4,""))</f>
        <v/>
      </c>
      <c r="Q35" s="17">
        <f>IF(OR(Q34="",Q4=""),"",IFERROR(Q34/Q4,""))</f>
        <v/>
      </c>
      <c r="R35" s="17">
        <f>IF(OR(R34="",R4=""),"",IFERROR(R34/R4,""))</f>
        <v/>
      </c>
      <c r="S35" s="17">
        <f>IF(OR(S34="",S4=""),"",IFERROR(S34/S4,""))</f>
        <v/>
      </c>
      <c r="T35" s="17">
        <f>IF(OR(T34="",T4=""),"",IFERROR(T34/T4,""))</f>
        <v/>
      </c>
      <c r="U35" s="17">
        <f>IF(OR(U34="",U4=""),"",IFERROR(U34/U4,""))</f>
        <v/>
      </c>
      <c r="V35" s="17">
        <f>IF(OR(V34="",V4=""),"",IFERROR(V34/V4,""))</f>
        <v/>
      </c>
      <c r="W35" s="17">
        <f>IF(OR(W34="",W4=""),"",IFERROR(W34/W4,""))</f>
        <v/>
      </c>
      <c r="X35" s="17">
        <f>IF(OR(X34="",X4=""),"",IFERROR(X34/X4,""))</f>
        <v/>
      </c>
      <c r="Y35" s="27">
        <f>IFERROR(AVERAGE(V35,W35,X35),"")</f>
        <v/>
      </c>
      <c r="Z35" s="28">
        <f>Y35</f>
        <v/>
      </c>
      <c r="AA35" s="28">
        <f>Z35</f>
        <v/>
      </c>
      <c r="AB35" s="28">
        <f>AA35</f>
        <v/>
      </c>
      <c r="AC35" s="28">
        <f>AB35</f>
        <v/>
      </c>
    </row>
    <row r="36">
      <c r="A36" s="20" t="inlineStr">
        <is>
          <t>금융수익</t>
        </is>
      </c>
      <c r="B36" s="10" t="n"/>
      <c r="C36" s="21" t="n"/>
      <c r="D36" s="22" t="n"/>
      <c r="E36" s="22" t="n">
        <v>11</v>
      </c>
      <c r="F36" s="22" t="n">
        <v>199</v>
      </c>
      <c r="G36" s="22" t="n">
        <v>1231</v>
      </c>
      <c r="H36" s="22" t="n">
        <v>1135</v>
      </c>
      <c r="I36" s="22" t="n">
        <v>1142</v>
      </c>
      <c r="J36" s="22" t="n">
        <v>2398</v>
      </c>
      <c r="K36" s="22" t="n">
        <v>-402</v>
      </c>
      <c r="L36" s="22" t="n">
        <v>1608</v>
      </c>
      <c r="M36" s="22" t="n">
        <v>5895</v>
      </c>
      <c r="N36" s="22" t="n">
        <v>17170</v>
      </c>
      <c r="O36" s="21" t="n"/>
      <c r="P36" s="22" t="n"/>
      <c r="Q36" s="22" t="n"/>
      <c r="R36" s="22" t="n"/>
      <c r="S36" s="22" t="n"/>
      <c r="T36" s="22" t="n"/>
      <c r="U36" s="22" t="n"/>
      <c r="V36" s="22" t="n">
        <v>1847</v>
      </c>
      <c r="W36" s="22" t="n">
        <v>3707</v>
      </c>
      <c r="X36" s="22" t="n">
        <v>9499</v>
      </c>
      <c r="Y36" s="21">
        <f>IF(OR(Y4="",Y37=""),"",IFERROR(Y4*Y37,""))</f>
        <v/>
      </c>
      <c r="Z36" s="22">
        <f>IF(OR(Z4="",Z37=""),"",IFERROR(Z4*Z37,""))</f>
        <v/>
      </c>
      <c r="AA36" s="22">
        <f>IF(OR(AA4="",AA37=""),"",IFERROR(AA4*AA37,""))</f>
        <v/>
      </c>
      <c r="AB36" s="22">
        <f>IF(OR(AB4="",AB37=""),"",IFERROR(AB4*AB37,""))</f>
        <v/>
      </c>
      <c r="AC36" s="22">
        <f>IF(OR(AC4="",AC37=""),"",IFERROR(AC4*AC37,""))</f>
        <v/>
      </c>
    </row>
    <row r="37">
      <c r="A37" s="15" t="inlineStr">
        <is>
          <t>% of Sales</t>
        </is>
      </c>
      <c r="B37" s="10" t="n"/>
      <c r="C37" s="16">
        <f>IF(OR(C36="",C4=""),"",IFERROR(C36/C4,""))</f>
        <v/>
      </c>
      <c r="D37" s="17">
        <f>IF(OR(D36="",D4=""),"",IFERROR(D36/D4,""))</f>
        <v/>
      </c>
      <c r="E37" s="17">
        <f>IF(OR(E36="",E4=""),"",IFERROR(E36/E4,""))</f>
        <v/>
      </c>
      <c r="F37" s="17">
        <f>IF(OR(F36="",F4=""),"",IFERROR(F36/F4,""))</f>
        <v/>
      </c>
      <c r="G37" s="17">
        <f>IF(OR(G36="",G4=""),"",IFERROR(G36/G4,""))</f>
        <v/>
      </c>
      <c r="H37" s="17">
        <f>IF(OR(H36="",H4=""),"",IFERROR(H36/H4,""))</f>
        <v/>
      </c>
      <c r="I37" s="17">
        <f>IF(OR(I36="",I4=""),"",IFERROR(I36/I4,""))</f>
        <v/>
      </c>
      <c r="J37" s="17">
        <f>IF(OR(J36="",J4=""),"",IFERROR(J36/J4,""))</f>
        <v/>
      </c>
      <c r="K37" s="17">
        <f>IF(OR(K36="",K4=""),"",IFERROR(K36/K4,""))</f>
        <v/>
      </c>
      <c r="L37" s="17">
        <f>IF(OR(L36="",L4=""),"",IFERROR(L36/L4,""))</f>
        <v/>
      </c>
      <c r="M37" s="17">
        <f>IF(OR(M36="",M4=""),"",IFERROR(M36/M4,""))</f>
        <v/>
      </c>
      <c r="N37" s="17">
        <f>IF(OR(N36="",N4=""),"",IFERROR(N36/N4,""))</f>
        <v/>
      </c>
      <c r="O37" s="16">
        <f>IF(OR(O36="",O4=""),"",IFERROR(O36/O4,""))</f>
        <v/>
      </c>
      <c r="P37" s="17">
        <f>IF(OR(P36="",P4=""),"",IFERROR(P36/P4,""))</f>
        <v/>
      </c>
      <c r="Q37" s="17">
        <f>IF(OR(Q36="",Q4=""),"",IFERROR(Q36/Q4,""))</f>
        <v/>
      </c>
      <c r="R37" s="17">
        <f>IF(OR(R36="",R4=""),"",IFERROR(R36/R4,""))</f>
        <v/>
      </c>
      <c r="S37" s="17">
        <f>IF(OR(S36="",S4=""),"",IFERROR(S36/S4,""))</f>
        <v/>
      </c>
      <c r="T37" s="17">
        <f>IF(OR(T36="",T4=""),"",IFERROR(T36/T4,""))</f>
        <v/>
      </c>
      <c r="U37" s="17">
        <f>IF(OR(U36="",U4=""),"",IFERROR(U36/U4,""))</f>
        <v/>
      </c>
      <c r="V37" s="17">
        <f>IF(OR(V36="",V4=""),"",IFERROR(V36/V4,""))</f>
        <v/>
      </c>
      <c r="W37" s="17">
        <f>IF(OR(W36="",W4=""),"",IFERROR(W36/W4,""))</f>
        <v/>
      </c>
      <c r="X37" s="17">
        <f>IF(OR(X36="",X4=""),"",IFERROR(X36/X4,""))</f>
        <v/>
      </c>
      <c r="Y37" s="27">
        <f>IFERROR(AVERAGE(V37,W37,X37),"")</f>
        <v/>
      </c>
      <c r="Z37" s="28">
        <f>Y37</f>
        <v/>
      </c>
      <c r="AA37" s="28">
        <f>Z37</f>
        <v/>
      </c>
      <c r="AB37" s="28">
        <f>AA37</f>
        <v/>
      </c>
      <c r="AC37" s="28">
        <f>AB37</f>
        <v/>
      </c>
    </row>
    <row r="38">
      <c r="A38" s="20" t="inlineStr">
        <is>
          <t>금융원가</t>
        </is>
      </c>
      <c r="B38" s="10" t="n"/>
      <c r="C38" s="21" t="n"/>
      <c r="D38" s="22" t="n"/>
      <c r="E38" s="22" t="n">
        <v>26856</v>
      </c>
      <c r="F38" s="22" t="n">
        <v>26192</v>
      </c>
      <c r="G38" s="22" t="n">
        <v>18282</v>
      </c>
      <c r="H38" s="22" t="n">
        <v>17428</v>
      </c>
      <c r="I38" s="22" t="n">
        <v>23426</v>
      </c>
      <c r="J38" s="22" t="n">
        <v>19860</v>
      </c>
      <c r="K38" s="22" t="n">
        <v>29102</v>
      </c>
      <c r="L38" s="22" t="n">
        <v>22769</v>
      </c>
      <c r="M38" s="22" t="n">
        <v>24977</v>
      </c>
      <c r="N38" s="22" t="n">
        <v>52801</v>
      </c>
      <c r="O38" s="21" t="n"/>
      <c r="P38" s="22" t="n"/>
      <c r="Q38" s="22" t="n"/>
      <c r="R38" s="22" t="n"/>
      <c r="S38" s="22" t="n"/>
      <c r="T38" s="22" t="n"/>
      <c r="U38" s="22" t="n"/>
      <c r="V38" s="22" t="n">
        <v>92740</v>
      </c>
      <c r="W38" s="22" t="n">
        <v>85328</v>
      </c>
      <c r="X38" s="22" t="n">
        <v>96708</v>
      </c>
      <c r="Y38" s="21">
        <f>IF(OR(Y4="",Y39=""),"",IFERROR(Y4*Y39,""))</f>
        <v/>
      </c>
      <c r="Z38" s="22">
        <f>IF(OR(Z4="",Z39=""),"",IFERROR(Z4*Z39,""))</f>
        <v/>
      </c>
      <c r="AA38" s="22">
        <f>IF(OR(AA4="",AA39=""),"",IFERROR(AA4*AA39,""))</f>
        <v/>
      </c>
      <c r="AB38" s="22">
        <f>IF(OR(AB4="",AB39=""),"",IFERROR(AB4*AB39,""))</f>
        <v/>
      </c>
      <c r="AC38" s="22">
        <f>IF(OR(AC4="",AC39=""),"",IFERROR(AC4*AC39,""))</f>
        <v/>
      </c>
    </row>
    <row r="39">
      <c r="A39" s="15" t="inlineStr">
        <is>
          <t>% of Sales</t>
        </is>
      </c>
      <c r="B39" s="10" t="n"/>
      <c r="C39" s="16">
        <f>IF(OR(C38="",C4=""),"",IFERROR(C38/C4,""))</f>
        <v/>
      </c>
      <c r="D39" s="17">
        <f>IF(OR(D38="",D4=""),"",IFERROR(D38/D4,""))</f>
        <v/>
      </c>
      <c r="E39" s="17">
        <f>IF(OR(E38="",E4=""),"",IFERROR(E38/E4,""))</f>
        <v/>
      </c>
      <c r="F39" s="17">
        <f>IF(OR(F38="",F4=""),"",IFERROR(F38/F4,""))</f>
        <v/>
      </c>
      <c r="G39" s="17">
        <f>IF(OR(G38="",G4=""),"",IFERROR(G38/G4,""))</f>
        <v/>
      </c>
      <c r="H39" s="17">
        <f>IF(OR(H38="",H4=""),"",IFERROR(H38/H4,""))</f>
        <v/>
      </c>
      <c r="I39" s="17">
        <f>IF(OR(I38="",I4=""),"",IFERROR(I38/I4,""))</f>
        <v/>
      </c>
      <c r="J39" s="17">
        <f>IF(OR(J38="",J4=""),"",IFERROR(J38/J4,""))</f>
        <v/>
      </c>
      <c r="K39" s="17">
        <f>IF(OR(K38="",K4=""),"",IFERROR(K38/K4,""))</f>
        <v/>
      </c>
      <c r="L39" s="17">
        <f>IF(OR(L38="",L4=""),"",IFERROR(L38/L4,""))</f>
        <v/>
      </c>
      <c r="M39" s="17">
        <f>IF(OR(M38="",M4=""),"",IFERROR(M38/M4,""))</f>
        <v/>
      </c>
      <c r="N39" s="17">
        <f>IF(OR(N38="",N4=""),"",IFERROR(N38/N4,""))</f>
        <v/>
      </c>
      <c r="O39" s="16">
        <f>IF(OR(O38="",O4=""),"",IFERROR(O38/O4,""))</f>
        <v/>
      </c>
      <c r="P39" s="17">
        <f>IF(OR(P38="",P4=""),"",IFERROR(P38/P4,""))</f>
        <v/>
      </c>
      <c r="Q39" s="17">
        <f>IF(OR(Q38="",Q4=""),"",IFERROR(Q38/Q4,""))</f>
        <v/>
      </c>
      <c r="R39" s="17">
        <f>IF(OR(R38="",R4=""),"",IFERROR(R38/R4,""))</f>
        <v/>
      </c>
      <c r="S39" s="17">
        <f>IF(OR(S38="",S4=""),"",IFERROR(S38/S4,""))</f>
        <v/>
      </c>
      <c r="T39" s="17">
        <f>IF(OR(T38="",T4=""),"",IFERROR(T38/T4,""))</f>
        <v/>
      </c>
      <c r="U39" s="17">
        <f>IF(OR(U38="",U4=""),"",IFERROR(U38/U4,""))</f>
        <v/>
      </c>
      <c r="V39" s="17">
        <f>IF(OR(V38="",V4=""),"",IFERROR(V38/V4,""))</f>
        <v/>
      </c>
      <c r="W39" s="17">
        <f>IF(OR(W38="",W4=""),"",IFERROR(W38/W4,""))</f>
        <v/>
      </c>
      <c r="X39" s="17">
        <f>IF(OR(X38="",X4=""),"",IFERROR(X38/X4,""))</f>
        <v/>
      </c>
      <c r="Y39" s="27">
        <f>IFERROR(AVERAGE(V39,W39,X39),"")</f>
        <v/>
      </c>
      <c r="Z39" s="28">
        <f>Y39</f>
        <v/>
      </c>
      <c r="AA39" s="28">
        <f>Z39</f>
        <v/>
      </c>
      <c r="AB39" s="28">
        <f>AA39</f>
        <v/>
      </c>
      <c r="AC39" s="28">
        <f>AB39</f>
        <v/>
      </c>
    </row>
    <row r="40">
      <c r="A40" s="9" t="inlineStr">
        <is>
          <t>법인세비용차감전순이익(손실)</t>
        </is>
      </c>
      <c r="B40" s="10" t="n"/>
      <c r="C40" s="11" t="n"/>
      <c r="D40" s="12" t="n"/>
      <c r="E40" s="12" t="n">
        <v>17159</v>
      </c>
      <c r="F40" s="12" t="n">
        <v>99746</v>
      </c>
      <c r="G40" s="12" t="n">
        <v>149173</v>
      </c>
      <c r="H40" s="12" t="n">
        <v>106687</v>
      </c>
      <c r="I40" s="12" t="n">
        <v>15063</v>
      </c>
      <c r="J40" s="12" t="n">
        <v>27294</v>
      </c>
      <c r="K40" s="12" t="n">
        <v>56716</v>
      </c>
      <c r="L40" s="12" t="n">
        <v>121740</v>
      </c>
      <c r="M40" s="12" t="n">
        <v>578345</v>
      </c>
      <c r="N40" s="12" t="n">
        <v>1234720</v>
      </c>
      <c r="O40" s="11" t="n"/>
      <c r="P40" s="12" t="n"/>
      <c r="Q40" s="12" t="n"/>
      <c r="R40" s="12" t="n"/>
      <c r="S40" s="12" t="n"/>
      <c r="T40" s="12" t="n"/>
      <c r="U40" s="12" t="n"/>
      <c r="V40" s="12" t="n">
        <v>-343330</v>
      </c>
      <c r="W40" s="12" t="n">
        <v>370669</v>
      </c>
      <c r="X40" s="12" t="n">
        <v>784095</v>
      </c>
      <c r="Y40" s="11">
        <f>IF(OR(Y16=""),"",IFERROR(Y16+N(Y32)-N(Y34)+N(Y36)-N(Y38),""))</f>
        <v/>
      </c>
      <c r="Z40" s="12">
        <f>IF(OR(Z16=""),"",IFERROR(Z16+N(Z32)-N(Z34)+N(Z36)-N(Z38),""))</f>
        <v/>
      </c>
      <c r="AA40" s="12">
        <f>IF(OR(AA16=""),"",IFERROR(AA16+N(AA32)-N(AA34)+N(AA36)-N(AA38),""))</f>
        <v/>
      </c>
      <c r="AB40" s="12">
        <f>IF(OR(AB16=""),"",IFERROR(AB16+N(AB32)-N(AB34)+N(AB36)-N(AB38),""))</f>
        <v/>
      </c>
      <c r="AC40" s="12">
        <f>IF(OR(AC16=""),"",IFERROR(AC16+N(AC32)-N(AC34)+N(AC36)-N(AC38),""))</f>
        <v/>
      </c>
    </row>
    <row r="41">
      <c r="A41" s="20" t="inlineStr">
        <is>
          <t>법인세비용(수익)</t>
        </is>
      </c>
      <c r="B41" s="10" t="n"/>
      <c r="C41" s="21" t="n"/>
      <c r="D41" s="22" t="n"/>
      <c r="E41" s="22" t="n">
        <v>6906</v>
      </c>
      <c r="F41" s="22" t="n">
        <v>29988</v>
      </c>
      <c r="G41" s="22" t="n">
        <v>42951</v>
      </c>
      <c r="H41" s="22" t="n">
        <v>30612</v>
      </c>
      <c r="I41" s="22" t="n">
        <v>-5203</v>
      </c>
      <c r="J41" s="22" t="n">
        <v>9021</v>
      </c>
      <c r="K41" s="22" t="n">
        <v>16046</v>
      </c>
      <c r="L41" s="22" t="n">
        <v>33926</v>
      </c>
      <c r="M41" s="22" t="n">
        <v>170606</v>
      </c>
      <c r="N41" s="22" t="n">
        <v>392549</v>
      </c>
      <c r="O41" s="21" t="n"/>
      <c r="P41" s="22" t="n"/>
      <c r="Q41" s="22" t="n"/>
      <c r="R41" s="22" t="n"/>
      <c r="S41" s="22" t="n"/>
      <c r="T41" s="22" t="n"/>
      <c r="U41" s="22" t="n"/>
      <c r="V41" s="22" t="n">
        <v>-99609</v>
      </c>
      <c r="W41" s="22" t="n">
        <v>98348</v>
      </c>
      <c r="X41" s="22" t="n">
        <v>229599</v>
      </c>
      <c r="Y41" s="21">
        <f>IF(OR(Y40="",Y42=""),"",IFERROR(MAX(Y40,0)*Y42,""))</f>
        <v/>
      </c>
      <c r="Z41" s="22">
        <f>IF(OR(Z40="",Z42=""),"",IFERROR(MAX(Z40,0)*Z42,""))</f>
        <v/>
      </c>
      <c r="AA41" s="22">
        <f>IF(OR(AA40="",AA42=""),"",IFERROR(MAX(AA40,0)*AA42,""))</f>
        <v/>
      </c>
      <c r="AB41" s="22">
        <f>IF(OR(AB40="",AB42=""),"",IFERROR(MAX(AB40,0)*AB42,""))</f>
        <v/>
      </c>
      <c r="AC41" s="22">
        <f>IF(OR(AC40="",AC42=""),"",IFERROR(MAX(AC40,0)*AC42,""))</f>
        <v/>
      </c>
    </row>
    <row r="42">
      <c r="A42" s="15" t="inlineStr">
        <is>
          <t>법인세율</t>
        </is>
      </c>
      <c r="B42" s="10" t="inlineStr">
        <is>
          <t>MW 기본 30%</t>
        </is>
      </c>
      <c r="C42" s="16">
        <f>IF(OR(C41="",C40=""),"",IFERROR(C41/C40,""))</f>
        <v/>
      </c>
      <c r="D42" s="17">
        <f>IF(OR(D41="",D40=""),"",IFERROR(D41/D40,""))</f>
        <v/>
      </c>
      <c r="E42" s="17">
        <f>IF(OR(E41="",E40=""),"",IFERROR(E41/E40,""))</f>
        <v/>
      </c>
      <c r="F42" s="17">
        <f>IF(OR(F41="",F40=""),"",IFERROR(F41/F40,""))</f>
        <v/>
      </c>
      <c r="G42" s="17">
        <f>IF(OR(G41="",G40=""),"",IFERROR(G41/G40,""))</f>
        <v/>
      </c>
      <c r="H42" s="17">
        <f>IF(OR(H41="",H40=""),"",IFERROR(H41/H40,""))</f>
        <v/>
      </c>
      <c r="I42" s="17">
        <f>IF(OR(I41="",I40=""),"",IFERROR(I41/I40,""))</f>
        <v/>
      </c>
      <c r="J42" s="17">
        <f>IF(OR(J41="",J40=""),"",IFERROR(J41/J40,""))</f>
        <v/>
      </c>
      <c r="K42" s="17">
        <f>IF(OR(K41="",K40=""),"",IFERROR(K41/K40,""))</f>
        <v/>
      </c>
      <c r="L42" s="17">
        <f>IF(OR(L41="",L40=""),"",IFERROR(L41/L40,""))</f>
        <v/>
      </c>
      <c r="M42" s="17">
        <f>IF(OR(M41="",M40=""),"",IFERROR(M41/M40,""))</f>
        <v/>
      </c>
      <c r="N42" s="17">
        <f>IF(OR(N41="",N40=""),"",IFERROR(N41/N40,""))</f>
        <v/>
      </c>
      <c r="O42" s="16">
        <f>IF(OR(O41="",O40=""),"",IFERROR(O41/O40,""))</f>
        <v/>
      </c>
      <c r="P42" s="17">
        <f>IF(OR(P41="",P40=""),"",IFERROR(P41/P40,""))</f>
        <v/>
      </c>
      <c r="Q42" s="17">
        <f>IF(OR(Q41="",Q40=""),"",IFERROR(Q41/Q40,""))</f>
        <v/>
      </c>
      <c r="R42" s="17">
        <f>IF(OR(R41="",R40=""),"",IFERROR(R41/R40,""))</f>
        <v/>
      </c>
      <c r="S42" s="17">
        <f>IF(OR(S41="",S40=""),"",IFERROR(S41/S40,""))</f>
        <v/>
      </c>
      <c r="T42" s="17">
        <f>IF(OR(T41="",T40=""),"",IFERROR(T41/T40,""))</f>
        <v/>
      </c>
      <c r="U42" s="17">
        <f>IF(OR(U41="",U40=""),"",IFERROR(U41/U40,""))</f>
        <v/>
      </c>
      <c r="V42" s="17">
        <f>IF(OR(V41="",V40=""),"",IFERROR(V41/V40,""))</f>
        <v/>
      </c>
      <c r="W42" s="17">
        <f>IF(OR(W41="",W40=""),"",IFERROR(W41/W40,""))</f>
        <v/>
      </c>
      <c r="X42" s="17">
        <f>IF(OR(X41="",X40=""),"",IFERROR(X41/X40,""))</f>
        <v/>
      </c>
      <c r="Y42" s="27" t="n">
        <v>0.3</v>
      </c>
      <c r="Z42" s="28" t="n">
        <v>0.3</v>
      </c>
      <c r="AA42" s="28" t="n">
        <v>0.3</v>
      </c>
      <c r="AB42" s="28" t="n">
        <v>0.3</v>
      </c>
      <c r="AC42" s="28" t="n">
        <v>0.3</v>
      </c>
    </row>
    <row r="43">
      <c r="A43" s="9" t="inlineStr">
        <is>
          <t>당기순이익(손실)</t>
        </is>
      </c>
      <c r="B43" s="10" t="n"/>
      <c r="C43" s="11" t="n"/>
      <c r="D43" s="12" t="n"/>
      <c r="E43" s="12" t="n">
        <v>10253</v>
      </c>
      <c r="F43" s="12" t="n">
        <v>69758</v>
      </c>
      <c r="G43" s="12" t="n">
        <v>106222</v>
      </c>
      <c r="H43" s="12" t="n">
        <v>76075</v>
      </c>
      <c r="I43" s="12" t="n">
        <v>20266</v>
      </c>
      <c r="J43" s="12" t="n">
        <v>18273</v>
      </c>
      <c r="K43" s="12" t="n">
        <v>40670</v>
      </c>
      <c r="L43" s="12" t="n">
        <v>87814</v>
      </c>
      <c r="M43" s="12" t="n">
        <v>407739</v>
      </c>
      <c r="N43" s="12" t="n">
        <v>842171</v>
      </c>
      <c r="O43" s="11" t="n"/>
      <c r="P43" s="12" t="n"/>
      <c r="Q43" s="12" t="n"/>
      <c r="R43" s="12" t="n"/>
      <c r="S43" s="12" t="n"/>
      <c r="T43" s="12" t="n"/>
      <c r="U43" s="12" t="n"/>
      <c r="V43" s="12" t="n">
        <v>-243721</v>
      </c>
      <c r="W43" s="12" t="n">
        <v>272321</v>
      </c>
      <c r="X43" s="12" t="n">
        <v>554496</v>
      </c>
      <c r="Y43" s="11">
        <f>IF(OR(Y40=""),"",IFERROR(Y40-Y41,""))</f>
        <v/>
      </c>
      <c r="Z43" s="12">
        <f>IF(OR(Z40=""),"",IFERROR(Z40-Z41,""))</f>
        <v/>
      </c>
      <c r="AA43" s="12">
        <f>IF(OR(AA40=""),"",IFERROR(AA40-AA41,""))</f>
        <v/>
      </c>
      <c r="AB43" s="12">
        <f>IF(OR(AB40=""),"",IFERROR(AB40-AB41,""))</f>
        <v/>
      </c>
      <c r="AC43" s="12">
        <f>IF(OR(AC40=""),"",IFERROR(AC40-AC41,""))</f>
        <v/>
      </c>
    </row>
    <row r="44">
      <c r="A44" s="9" t="inlineStr">
        <is>
          <t>지배주주 순이익</t>
        </is>
      </c>
      <c r="B44" s="10" t="n"/>
      <c r="C44" s="11" t="n"/>
      <c r="D44" s="12" t="n"/>
      <c r="E44" s="12" t="n">
        <v>10246</v>
      </c>
      <c r="F44" s="12" t="n">
        <v>69758</v>
      </c>
      <c r="G44" s="12" t="n">
        <v>106222</v>
      </c>
      <c r="H44" s="12" t="n">
        <v>76068</v>
      </c>
      <c r="I44" s="12" t="n">
        <v>20267</v>
      </c>
      <c r="J44" s="12" t="n">
        <v>18284</v>
      </c>
      <c r="K44" s="12" t="n">
        <v>40662</v>
      </c>
      <c r="L44" s="12" t="n">
        <v>87810</v>
      </c>
      <c r="M44" s="12" t="n">
        <v>407734</v>
      </c>
      <c r="N44" s="12" t="n">
        <v>842165</v>
      </c>
      <c r="O44" s="11" t="n"/>
      <c r="P44" s="12" t="n"/>
      <c r="Q44" s="12" t="n"/>
      <c r="R44" s="12" t="n"/>
      <c r="S44" s="12" t="n"/>
      <c r="T44" s="12" t="n"/>
      <c r="U44" s="12" t="n"/>
      <c r="V44" s="12" t="n">
        <v>-243728</v>
      </c>
      <c r="W44" s="12" t="n">
        <v>272315</v>
      </c>
      <c r="X44" s="12" t="n">
        <v>554490</v>
      </c>
      <c r="Y44" s="11">
        <f>IF(OR(Y43="",Y45=""),"",IFERROR(Y43*Y45,""))</f>
        <v/>
      </c>
      <c r="Z44" s="12">
        <f>IF(OR(Z43="",Z45=""),"",IFERROR(Z43*Z45,""))</f>
        <v/>
      </c>
      <c r="AA44" s="12">
        <f>IF(OR(AA43="",AA45=""),"",IFERROR(AA43*AA45,""))</f>
        <v/>
      </c>
      <c r="AB44" s="12">
        <f>IF(OR(AB43="",AB45=""),"",IFERROR(AB43*AB45,""))</f>
        <v/>
      </c>
      <c r="AC44" s="12">
        <f>IF(OR(AC43="",AC45=""),"",IFERROR(AC43*AC45,""))</f>
        <v/>
      </c>
    </row>
    <row r="45">
      <c r="A45" s="15" t="inlineStr">
        <is>
          <t>지배주주 순이익률</t>
        </is>
      </c>
      <c r="B45" s="10" t="inlineStr">
        <is>
          <t>MW 기본 100%</t>
        </is>
      </c>
      <c r="C45" s="16">
        <f>IF(OR(C44="",C43=""),"",IFERROR(C44/C43,""))</f>
        <v/>
      </c>
      <c r="D45" s="17">
        <f>IF(OR(D44="",D43=""),"",IFERROR(D44/D43,""))</f>
        <v/>
      </c>
      <c r="E45" s="17">
        <f>IF(OR(E44="",E43=""),"",IFERROR(E44/E43,""))</f>
        <v/>
      </c>
      <c r="F45" s="17">
        <f>IF(OR(F44="",F43=""),"",IFERROR(F44/F43,""))</f>
        <v/>
      </c>
      <c r="G45" s="17">
        <f>IF(OR(G44="",G43=""),"",IFERROR(G44/G43,""))</f>
        <v/>
      </c>
      <c r="H45" s="17">
        <f>IF(OR(H44="",H43=""),"",IFERROR(H44/H43,""))</f>
        <v/>
      </c>
      <c r="I45" s="17">
        <f>IF(OR(I44="",I43=""),"",IFERROR(I44/I43,""))</f>
        <v/>
      </c>
      <c r="J45" s="17">
        <f>IF(OR(J44="",J43=""),"",IFERROR(J44/J43,""))</f>
        <v/>
      </c>
      <c r="K45" s="17">
        <f>IF(OR(K44="",K43=""),"",IFERROR(K44/K43,""))</f>
        <v/>
      </c>
      <c r="L45" s="17">
        <f>IF(OR(L44="",L43=""),"",IFERROR(L44/L43,""))</f>
        <v/>
      </c>
      <c r="M45" s="17">
        <f>IF(OR(M44="",M43=""),"",IFERROR(M44/M43,""))</f>
        <v/>
      </c>
      <c r="N45" s="17">
        <f>IF(OR(N44="",N43=""),"",IFERROR(N44/N43,""))</f>
        <v/>
      </c>
      <c r="O45" s="16">
        <f>IF(OR(O44="",O43=""),"",IFERROR(O44/O43,""))</f>
        <v/>
      </c>
      <c r="P45" s="17">
        <f>IF(OR(P44="",P43=""),"",IFERROR(P44/P43,""))</f>
        <v/>
      </c>
      <c r="Q45" s="17">
        <f>IF(OR(Q44="",Q43=""),"",IFERROR(Q44/Q43,""))</f>
        <v/>
      </c>
      <c r="R45" s="17">
        <f>IF(OR(R44="",R43=""),"",IFERROR(R44/R43,""))</f>
        <v/>
      </c>
      <c r="S45" s="17">
        <f>IF(OR(S44="",S43=""),"",IFERROR(S44/S43,""))</f>
        <v/>
      </c>
      <c r="T45" s="17">
        <f>IF(OR(T44="",T43=""),"",IFERROR(T44/T43,""))</f>
        <v/>
      </c>
      <c r="U45" s="17">
        <f>IF(OR(U44="",U43=""),"",IFERROR(U44/U43,""))</f>
        <v/>
      </c>
      <c r="V45" s="17">
        <f>IF(OR(V44="",V43=""),"",IFERROR(V44/V43,""))</f>
        <v/>
      </c>
      <c r="W45" s="17">
        <f>IF(OR(W44="",W43=""),"",IFERROR(W44/W43,""))</f>
        <v/>
      </c>
      <c r="X45" s="17">
        <f>IF(OR(X44="",X43=""),"",IFERROR(X44/X43,""))</f>
        <v/>
      </c>
      <c r="Y45" s="27" t="n">
        <v>1</v>
      </c>
      <c r="Z45" s="28" t="n">
        <v>1</v>
      </c>
      <c r="AA45" s="28" t="n">
        <v>1</v>
      </c>
      <c r="AB45" s="28" t="n">
        <v>1</v>
      </c>
      <c r="AC45" s="28" t="n">
        <v>1</v>
      </c>
    </row>
    <row r="46">
      <c r="A46" s="18" t="inlineStr">
        <is>
          <t>목표주가 산출</t>
        </is>
      </c>
      <c r="B46" s="18" t="n"/>
      <c r="C46" s="19" t="n"/>
      <c r="D46" s="18" t="n"/>
      <c r="E46" s="18" t="n"/>
      <c r="F46" s="18" t="n"/>
      <c r="G46" s="18" t="n"/>
      <c r="H46" s="18" t="n"/>
      <c r="I46" s="18" t="n"/>
      <c r="J46" s="18" t="n"/>
      <c r="K46" s="18" t="n"/>
      <c r="L46" s="18" t="n"/>
      <c r="M46" s="18" t="n"/>
      <c r="N46" s="18" t="n"/>
      <c r="O46" s="19" t="n"/>
      <c r="P46" s="18" t="n"/>
      <c r="Q46" s="18" t="n"/>
      <c r="R46" s="18" t="n"/>
      <c r="S46" s="18" t="n"/>
      <c r="T46" s="18" t="n"/>
      <c r="U46" s="18" t="n"/>
      <c r="V46" s="18" t="n"/>
      <c r="W46" s="18" t="n"/>
      <c r="X46" s="18" t="n"/>
      <c r="Y46" s="19" t="n"/>
      <c r="Z46" s="18" t="n"/>
      <c r="AA46" s="18" t="n"/>
      <c r="AB46" s="18" t="n"/>
      <c r="AC46" s="18" t="n"/>
    </row>
    <row r="47">
      <c r="A47" s="20" t="inlineStr">
        <is>
          <t>현재 주가 (2026.10.26)</t>
        </is>
      </c>
      <c r="B47" s="29" t="n">
        <v>12550</v>
      </c>
      <c r="C47" s="30" t="n"/>
      <c r="D47" s="31" t="n"/>
      <c r="E47" s="31" t="n"/>
      <c r="F47" s="31" t="n"/>
      <c r="G47" s="31" t="n"/>
      <c r="H47" s="31" t="n"/>
      <c r="I47" s="31" t="n"/>
      <c r="J47" s="31" t="n"/>
      <c r="K47" s="31" t="n"/>
      <c r="L47" s="31" t="n"/>
      <c r="M47" s="31" t="n"/>
      <c r="N47" s="31" t="n"/>
      <c r="O47" s="30" t="n"/>
      <c r="P47" s="31" t="n"/>
      <c r="Q47" s="31" t="n"/>
      <c r="R47" s="31" t="n"/>
      <c r="S47" s="31" t="n"/>
      <c r="T47" s="31" t="n"/>
      <c r="U47" s="31" t="n"/>
      <c r="V47" s="31" t="n"/>
      <c r="W47" s="31" t="n"/>
      <c r="X47" s="31" t="n"/>
      <c r="Y47" s="30" t="n"/>
      <c r="Z47" s="31" t="n"/>
      <c r="AA47" s="31" t="n"/>
      <c r="AB47" s="31" t="n"/>
      <c r="AC47" s="31" t="n"/>
    </row>
    <row r="48">
      <c r="A48" s="20" t="inlineStr">
        <is>
          <t>발행주식수 (보통주)</t>
        </is>
      </c>
      <c r="B48" s="29" t="n">
        <v>548015088</v>
      </c>
      <c r="C48" s="30" t="n"/>
      <c r="D48" s="31" t="n"/>
      <c r="E48" s="31" t="n"/>
      <c r="F48" s="31" t="n"/>
      <c r="G48" s="31" t="n"/>
      <c r="H48" s="31" t="n"/>
      <c r="I48" s="31" t="n"/>
      <c r="J48" s="31" t="n"/>
      <c r="K48" s="31" t="n"/>
      <c r="L48" s="31" t="n"/>
      <c r="M48" s="31" t="n"/>
      <c r="N48" s="31" t="n"/>
      <c r="O48" s="30" t="n"/>
      <c r="P48" s="31" t="n"/>
      <c r="Q48" s="31" t="n"/>
      <c r="R48" s="31" t="n"/>
      <c r="S48" s="31" t="n"/>
      <c r="T48" s="31" t="n"/>
      <c r="U48" s="31" t="n"/>
      <c r="V48" s="31" t="n"/>
      <c r="W48" s="31" t="n"/>
      <c r="X48" s="31" t="n"/>
      <c r="Y48" s="30" t="n"/>
      <c r="Z48" s="31" t="n"/>
      <c r="AA48" s="31" t="n"/>
      <c r="AB48" s="31" t="n"/>
      <c r="AC48" s="31" t="n"/>
    </row>
    <row r="49">
      <c r="A49" s="20" t="inlineStr">
        <is>
          <t>시가총액 (백만엔)</t>
        </is>
      </c>
      <c r="B49" s="12">
        <f>IF(OR(B47="",B48=""),"",B47*B48/1000000.0)</f>
        <v/>
      </c>
      <c r="C49" s="21" t="n"/>
      <c r="D49" s="22" t="n"/>
      <c r="E49" s="22" t="n"/>
      <c r="F49" s="22" t="n"/>
      <c r="G49" s="22" t="n"/>
      <c r="H49" s="22" t="n"/>
      <c r="I49" s="22" t="n"/>
      <c r="J49" s="22" t="n"/>
      <c r="K49" s="22" t="n"/>
      <c r="L49" s="22" t="n"/>
      <c r="M49" s="22" t="n"/>
      <c r="N49" s="22" t="n"/>
      <c r="O49" s="21" t="n"/>
      <c r="P49" s="22" t="n"/>
      <c r="Q49" s="22" t="n"/>
      <c r="R49" s="22" t="n"/>
      <c r="S49" s="22" t="n"/>
      <c r="T49" s="22" t="n"/>
      <c r="U49" s="22" t="n"/>
      <c r="V49" s="22" t="n"/>
      <c r="W49" s="22" t="n"/>
      <c r="X49" s="22" t="n"/>
      <c r="Y49" s="21" t="n"/>
      <c r="Z49" s="22" t="n"/>
      <c r="AA49" s="22" t="n"/>
      <c r="AB49" s="22" t="n"/>
      <c r="AC49" s="22" t="n"/>
    </row>
    <row r="50">
      <c r="A50" s="15" t="inlineStr">
        <is>
          <t>OPM</t>
        </is>
      </c>
      <c r="B50" s="10" t="n"/>
      <c r="C50" s="16" t="n"/>
      <c r="D50" s="17" t="n"/>
      <c r="E50" s="17" t="n"/>
      <c r="F50" s="17" t="n"/>
      <c r="G50" s="17" t="n"/>
      <c r="H50" s="17" t="n"/>
      <c r="I50" s="17" t="n"/>
      <c r="J50" s="17" t="n"/>
      <c r="K50" s="17" t="n"/>
      <c r="L50" s="17" t="n"/>
      <c r="M50" s="17" t="n"/>
      <c r="N50" s="17" t="n"/>
      <c r="O50" s="16">
        <f>IF(O17="","",O17)</f>
        <v/>
      </c>
      <c r="P50" s="17">
        <f>IF(P17="","",P17)</f>
        <v/>
      </c>
      <c r="Q50" s="17">
        <f>IF(Q17="","",Q17)</f>
        <v/>
      </c>
      <c r="R50" s="17">
        <f>IF(R17="","",R17)</f>
        <v/>
      </c>
      <c r="S50" s="17">
        <f>IF(S17="","",S17)</f>
        <v/>
      </c>
      <c r="T50" s="17">
        <f>IF(T17="","",T17)</f>
        <v/>
      </c>
      <c r="U50" s="17">
        <f>IF(U17="","",U17)</f>
        <v/>
      </c>
      <c r="V50" s="17">
        <f>IF(V17="","",V17)</f>
        <v/>
      </c>
      <c r="W50" s="17">
        <f>IF(W17="","",W17)</f>
        <v/>
      </c>
      <c r="X50" s="17">
        <f>IF(X17="","",X17)</f>
        <v/>
      </c>
      <c r="Y50" s="16">
        <f>IF(Y17="","",Y17)</f>
        <v/>
      </c>
      <c r="Z50" s="17">
        <f>IF(Z17="","",Z17)</f>
        <v/>
      </c>
      <c r="AA50" s="17">
        <f>IF(AA17="","",AA17)</f>
        <v/>
      </c>
      <c r="AB50" s="17">
        <f>IF(AB17="","",AB17)</f>
        <v/>
      </c>
      <c r="AC50" s="17">
        <f>IF(AC17="","",AC17)</f>
        <v/>
      </c>
    </row>
    <row r="51">
      <c r="A51" s="15" t="inlineStr">
        <is>
          <t>지배주주 순이익 증가율</t>
        </is>
      </c>
      <c r="B51" s="10" t="n"/>
      <c r="C51" s="16" t="n"/>
      <c r="D51" s="17" t="n"/>
      <c r="E51" s="17" t="n"/>
      <c r="F51" s="17" t="n"/>
      <c r="G51" s="17" t="n"/>
      <c r="H51" s="17" t="n"/>
      <c r="I51" s="17" t="n"/>
      <c r="J51" s="17" t="n"/>
      <c r="K51" s="17" t="n"/>
      <c r="L51" s="17" t="n"/>
      <c r="M51" s="17" t="n"/>
      <c r="N51" s="17" t="n"/>
      <c r="O51" s="16" t="n"/>
      <c r="P51" s="17">
        <f>IF(OR(P44="",O44=""),"",IFERROR(P44/O44-1,""))</f>
        <v/>
      </c>
      <c r="Q51" s="17">
        <f>IF(OR(Q44="",P44=""),"",IFERROR(Q44/P44-1,""))</f>
        <v/>
      </c>
      <c r="R51" s="17">
        <f>IF(OR(R44="",Q44=""),"",IFERROR(R44/Q44-1,""))</f>
        <v/>
      </c>
      <c r="S51" s="17">
        <f>IF(OR(S44="",R44=""),"",IFERROR(S44/R44-1,""))</f>
        <v/>
      </c>
      <c r="T51" s="17">
        <f>IF(OR(T44="",S44=""),"",IFERROR(T44/S44-1,""))</f>
        <v/>
      </c>
      <c r="U51" s="17">
        <f>IF(OR(U44="",T44=""),"",IFERROR(U44/T44-1,""))</f>
        <v/>
      </c>
      <c r="V51" s="17">
        <f>IF(OR(V44="",U44=""),"",IFERROR(V44/U44-1,""))</f>
        <v/>
      </c>
      <c r="W51" s="17">
        <f>IF(OR(W44="",V44=""),"",IFERROR(W44/V44-1,""))</f>
        <v/>
      </c>
      <c r="X51" s="17">
        <f>IF(OR(X44="",W44=""),"",IFERROR(X44/W44-1,""))</f>
        <v/>
      </c>
      <c r="Y51" s="16">
        <f>IF(OR(Y44="",X44=""),"",IFERROR(Y44/X44-1,""))</f>
        <v/>
      </c>
      <c r="Z51" s="17">
        <f>IF(OR(Z44="",Y44=""),"",IFERROR(Z44/Y44-1,""))</f>
        <v/>
      </c>
      <c r="AA51" s="17">
        <f>IF(OR(AA44="",Z44=""),"",IFERROR(AA44/Z44-1,""))</f>
        <v/>
      </c>
      <c r="AB51" s="17">
        <f>IF(OR(AB44="",AA44=""),"",IFERROR(AB44/AA44-1,""))</f>
        <v/>
      </c>
      <c r="AC51" s="17">
        <f>IF(OR(AC44="",AB44=""),"",IFERROR(AC44/AB44-1,""))</f>
        <v/>
      </c>
    </row>
    <row r="52">
      <c r="A52" s="20" t="inlineStr">
        <is>
          <t>P/E (현재 주가)</t>
        </is>
      </c>
      <c r="B52" s="10" t="inlineStr">
        <is>
          <t>시총 ÷ 지배순이익</t>
        </is>
      </c>
      <c r="C52" s="32" t="n"/>
      <c r="D52" s="33" t="n"/>
      <c r="E52" s="33" t="n"/>
      <c r="F52" s="33" t="n"/>
      <c r="G52" s="33" t="n"/>
      <c r="H52" s="33" t="n"/>
      <c r="I52" s="33" t="n"/>
      <c r="J52" s="33" t="n"/>
      <c r="K52" s="33" t="n"/>
      <c r="L52" s="33" t="n"/>
      <c r="M52" s="33" t="n"/>
      <c r="N52" s="33" t="n"/>
      <c r="O52" s="32" t="n"/>
      <c r="P52" s="33" t="n"/>
      <c r="Q52" s="33" t="n"/>
      <c r="R52" s="33" t="n"/>
      <c r="S52" s="33" t="n"/>
      <c r="T52" s="33" t="n"/>
      <c r="U52" s="33" t="n"/>
      <c r="V52" s="33" t="n"/>
      <c r="W52" s="33" t="n"/>
      <c r="X52" s="33">
        <f>IF(OR($B$49="",X44=""),"",IFERROR($B$49/X44,""))</f>
        <v/>
      </c>
      <c r="Y52" s="32">
        <f>IF(OR($B$49="",Y44=""),"",IFERROR($B$49/Y44,""))</f>
        <v/>
      </c>
      <c r="Z52" s="33">
        <f>IF(OR($B$49="",Z44=""),"",IFERROR($B$49/Z44,""))</f>
        <v/>
      </c>
      <c r="AA52" s="33">
        <f>IF(OR($B$49="",AA44=""),"",IFERROR($B$49/AA44,""))</f>
        <v/>
      </c>
      <c r="AB52" s="33">
        <f>IF(OR($B$49="",AB44=""),"",IFERROR($B$49/AB44,""))</f>
        <v/>
      </c>
      <c r="AC52" s="33">
        <f>IF(OR($B$49="",AC44=""),"",IFERROR($B$49/AC44,""))</f>
        <v/>
      </c>
    </row>
    <row r="53">
      <c r="A53" s="20" t="inlineStr">
        <is>
          <t>Target P/E</t>
        </is>
      </c>
      <c r="B53" s="10" t="inlineStr">
        <is>
          <t>직접 입력</t>
        </is>
      </c>
      <c r="C53" s="32" t="n"/>
      <c r="D53" s="33" t="n"/>
      <c r="E53" s="33" t="n"/>
      <c r="F53" s="33" t="n"/>
      <c r="G53" s="33" t="n"/>
      <c r="H53" s="33" t="n"/>
      <c r="I53" s="33" t="n"/>
      <c r="J53" s="33" t="n"/>
      <c r="K53" s="33" t="n"/>
      <c r="L53" s="33" t="n"/>
      <c r="M53" s="33" t="n"/>
      <c r="N53" s="33" t="n"/>
      <c r="O53" s="32" t="n"/>
      <c r="P53" s="33" t="n"/>
      <c r="Q53" s="33" t="n"/>
      <c r="R53" s="33" t="n"/>
      <c r="S53" s="33" t="n"/>
      <c r="T53" s="33" t="n"/>
      <c r="U53" s="33" t="n"/>
      <c r="V53" s="33" t="n"/>
      <c r="W53" s="33" t="n"/>
      <c r="X53" s="33" t="n"/>
      <c r="Y53" s="34" t="n"/>
      <c r="Z53" s="35" t="n"/>
      <c r="AA53" s="35" t="n"/>
      <c r="AB53" s="35" t="n"/>
      <c r="AC53" s="35" t="n"/>
    </row>
    <row r="54">
      <c r="A54" s="20" t="inlineStr">
        <is>
          <t>EPS</t>
        </is>
      </c>
      <c r="B54" s="10" t="inlineStr">
        <is>
          <t>지배순이익 ÷ 주식수</t>
        </is>
      </c>
      <c r="C54" s="30" t="n"/>
      <c r="D54" s="31" t="n"/>
      <c r="E54" s="31" t="n"/>
      <c r="F54" s="31" t="n"/>
      <c r="G54" s="31" t="n"/>
      <c r="H54" s="31" t="n"/>
      <c r="I54" s="31" t="n"/>
      <c r="J54" s="31" t="n"/>
      <c r="K54" s="31" t="n"/>
      <c r="L54" s="31" t="n"/>
      <c r="M54" s="31" t="n"/>
      <c r="N54" s="31" t="n"/>
      <c r="O54" s="30">
        <f>IF(OR(O44="",$B$48=""),"",IFERROR(O44*1000000.0/$B$48,""))</f>
        <v/>
      </c>
      <c r="P54" s="31">
        <f>IF(OR(P44="",$B$48=""),"",IFERROR(P44*1000000.0/$B$48,""))</f>
        <v/>
      </c>
      <c r="Q54" s="31">
        <f>IF(OR(Q44="",$B$48=""),"",IFERROR(Q44*1000000.0/$B$48,""))</f>
        <v/>
      </c>
      <c r="R54" s="31">
        <f>IF(OR(R44="",$B$48=""),"",IFERROR(R44*1000000.0/$B$48,""))</f>
        <v/>
      </c>
      <c r="S54" s="31">
        <f>IF(OR(S44="",$B$48=""),"",IFERROR(S44*1000000.0/$B$48,""))</f>
        <v/>
      </c>
      <c r="T54" s="31">
        <f>IF(OR(T44="",$B$48=""),"",IFERROR(T44*1000000.0/$B$48,""))</f>
        <v/>
      </c>
      <c r="U54" s="31">
        <f>IF(OR(U44="",$B$48=""),"",IFERROR(U44*1000000.0/$B$48,""))</f>
        <v/>
      </c>
      <c r="V54" s="31">
        <f>IF(OR(V44="",$B$48=""),"",IFERROR(V44*1000000.0/$B$48,""))</f>
        <v/>
      </c>
      <c r="W54" s="31">
        <f>IF(OR(W44="",$B$48=""),"",IFERROR(W44*1000000.0/$B$48,""))</f>
        <v/>
      </c>
      <c r="X54" s="31">
        <f>IF(OR(X44="",$B$48=""),"",IFERROR(X44*1000000.0/$B$48,""))</f>
        <v/>
      </c>
      <c r="Y54" s="30">
        <f>IF(OR(Y44="",$B$48=""),"",IFERROR(Y44*1000000.0/$B$48,""))</f>
        <v/>
      </c>
      <c r="Z54" s="31">
        <f>IF(OR(Z44="",$B$48=""),"",IFERROR(Z44*1000000.0/$B$48,""))</f>
        <v/>
      </c>
      <c r="AA54" s="31">
        <f>IF(OR(AA44="",$B$48=""),"",IFERROR(AA44*1000000.0/$B$48,""))</f>
        <v/>
      </c>
      <c r="AB54" s="31">
        <f>IF(OR(AB44="",$B$48=""),"",IFERROR(AB44*1000000.0/$B$48,""))</f>
        <v/>
      </c>
      <c r="AC54" s="31">
        <f>IF(OR(AC44="",$B$48=""),"",IFERROR(AC44*1000000.0/$B$48,""))</f>
        <v/>
      </c>
    </row>
    <row r="55">
      <c r="A55" s="9" t="inlineStr">
        <is>
          <t>목표주가</t>
        </is>
      </c>
      <c r="B55" s="10" t="n"/>
      <c r="C55" s="36" t="n"/>
      <c r="D55" s="29" t="n"/>
      <c r="E55" s="29" t="n"/>
      <c r="F55" s="29" t="n"/>
      <c r="G55" s="29" t="n"/>
      <c r="H55" s="29" t="n"/>
      <c r="I55" s="29" t="n"/>
      <c r="J55" s="29" t="n"/>
      <c r="K55" s="29" t="n"/>
      <c r="L55" s="29" t="n"/>
      <c r="M55" s="29" t="n"/>
      <c r="N55" s="29" t="n"/>
      <c r="O55" s="36" t="n"/>
      <c r="P55" s="29" t="n"/>
      <c r="Q55" s="29" t="n"/>
      <c r="R55" s="29" t="n"/>
      <c r="S55" s="29" t="n"/>
      <c r="T55" s="29" t="n"/>
      <c r="U55" s="29" t="n"/>
      <c r="V55" s="29" t="n"/>
      <c r="W55" s="29" t="n"/>
      <c r="X55" s="29" t="n"/>
      <c r="Y55" s="36">
        <f>IF(OR(Y54="",Y53=""),"",IFERROR(Y54*Y53,""))</f>
        <v/>
      </c>
      <c r="Z55" s="29">
        <f>IF(OR(Z54="",Z53=""),"",IFERROR(Z54*Z53,""))</f>
        <v/>
      </c>
      <c r="AA55" s="29">
        <f>IF(OR(AA54="",AA53=""),"",IFERROR(AA54*AA53,""))</f>
        <v/>
      </c>
      <c r="AB55" s="29">
        <f>IF(OR(AB54="",AB53=""),"",IFERROR(AB54*AB53,""))</f>
        <v/>
      </c>
      <c r="AC55" s="29">
        <f>IF(OR(AC54="",AC53=""),"",IFERROR(AC54*AC53,""))</f>
        <v/>
      </c>
    </row>
    <row r="56">
      <c r="A56" s="20" t="inlineStr">
        <is>
          <t>상승여력</t>
        </is>
      </c>
      <c r="B56" s="10" t="n"/>
      <c r="C56" s="37" t="n"/>
      <c r="D56" s="38" t="n"/>
      <c r="E56" s="38" t="n"/>
      <c r="F56" s="38" t="n"/>
      <c r="G56" s="38" t="n"/>
      <c r="H56" s="38" t="n"/>
      <c r="I56" s="38" t="n"/>
      <c r="J56" s="38" t="n"/>
      <c r="K56" s="38" t="n"/>
      <c r="L56" s="38" t="n"/>
      <c r="M56" s="38" t="n"/>
      <c r="N56" s="38" t="n"/>
      <c r="O56" s="37" t="n"/>
      <c r="P56" s="38" t="n"/>
      <c r="Q56" s="38" t="n"/>
      <c r="R56" s="38" t="n"/>
      <c r="S56" s="38" t="n"/>
      <c r="T56" s="38" t="n"/>
      <c r="U56" s="38" t="n"/>
      <c r="V56" s="38" t="n"/>
      <c r="W56" s="38" t="n"/>
      <c r="X56" s="38" t="n"/>
      <c r="Y56" s="39">
        <f>IF(OR(Y55="",$B$47=""),"",IFERROR(Y55/$B$47-1,""))</f>
        <v/>
      </c>
      <c r="Z56" s="40">
        <f>IF(OR(Z55="",$B$47=""),"",IFERROR(Z55/$B$47-1,""))</f>
        <v/>
      </c>
      <c r="AA56" s="40">
        <f>IF(OR(AA55="",$B$47=""),"",IFERROR(AA55/$B$47-1,""))</f>
        <v/>
      </c>
      <c r="AB56" s="40">
        <f>IF(OR(AB55="",$B$47=""),"",IFERROR(AB55/$B$47-1,""))</f>
        <v/>
      </c>
      <c r="AC56" s="40">
        <f>IF(OR(AC55="",$B$47=""),"",IFERROR(AC55/$B$47-1,""))</f>
        <v/>
      </c>
    </row>
    <row r="57">
      <c r="A57" s="18" t="inlineStr">
        <is>
          <t>자산가치 산출</t>
        </is>
      </c>
      <c r="B57" s="18" t="inlineStr">
        <is>
          <t>최신 분기 BS</t>
        </is>
      </c>
      <c r="C57" s="19" t="n"/>
      <c r="D57" s="18" t="n"/>
      <c r="E57" s="18" t="n"/>
      <c r="F57" s="18" t="n"/>
      <c r="G57" s="18" t="n"/>
      <c r="H57" s="18" t="n"/>
      <c r="I57" s="18" t="n"/>
      <c r="J57" s="18" t="n"/>
      <c r="K57" s="18" t="n"/>
      <c r="L57" s="18" t="n"/>
      <c r="M57" s="18" t="n"/>
      <c r="N57" s="18" t="n"/>
      <c r="O57" s="19" t="n"/>
      <c r="P57" s="18" t="n"/>
      <c r="Q57" s="18" t="n"/>
      <c r="R57" s="18" t="n"/>
      <c r="S57" s="18" t="n"/>
      <c r="T57" s="18" t="n"/>
      <c r="U57" s="18" t="n"/>
      <c r="V57" s="18" t="n"/>
      <c r="W57" s="18" t="n"/>
      <c r="X57" s="18" t="n"/>
      <c r="Y57" s="19" t="n"/>
      <c r="Z57" s="18" t="n"/>
      <c r="AA57" s="18" t="n"/>
      <c r="AB57" s="18" t="n"/>
      <c r="AC57" s="18" t="n"/>
    </row>
    <row r="58">
      <c r="A58" s="20" t="inlineStr">
        <is>
          <t>현금및현금성자산</t>
        </is>
      </c>
      <c r="B58" s="10" t="n"/>
      <c r="C58" s="21" t="n"/>
      <c r="D58" s="22" t="n"/>
      <c r="E58" s="22" t="n"/>
      <c r="F58" s="22" t="n"/>
      <c r="G58" s="22" t="n"/>
      <c r="H58" s="22" t="n"/>
      <c r="I58" s="22" t="n"/>
      <c r="J58" s="22" t="n"/>
      <c r="K58" s="22" t="n"/>
      <c r="L58" s="22" t="n"/>
      <c r="M58" s="22" t="n"/>
      <c r="N58" s="22" t="n"/>
      <c r="O58" s="21" t="n"/>
      <c r="P58" s="22" t="n"/>
      <c r="Q58" s="22" t="n"/>
      <c r="R58" s="22" t="n"/>
      <c r="S58" s="22" t="n"/>
      <c r="T58" s="22" t="n"/>
      <c r="U58" s="22" t="n"/>
      <c r="V58" s="22" t="n"/>
      <c r="W58" s="22" t="n"/>
      <c r="X58" s="22">
        <f>'재무상태표'!G6</f>
        <v/>
      </c>
      <c r="Y58" s="21">
        <f>'재무상태표'!G6</f>
        <v/>
      </c>
      <c r="Z58" s="22">
        <f>'재무상태표'!G6</f>
        <v/>
      </c>
      <c r="AA58" s="22">
        <f>'재무상태표'!G6</f>
        <v/>
      </c>
      <c r="AB58" s="22">
        <f>'재무상태표'!G6</f>
        <v/>
      </c>
      <c r="AC58" s="22">
        <f>'재무상태표'!G6</f>
        <v/>
      </c>
    </row>
    <row r="59">
      <c r="A59" s="20" t="inlineStr">
        <is>
          <t>단기금융상품</t>
        </is>
      </c>
      <c r="B59" s="10" t="n"/>
      <c r="C59" s="21" t="n"/>
      <c r="D59" s="22" t="n"/>
      <c r="E59" s="22" t="n"/>
      <c r="F59" s="22" t="n"/>
      <c r="G59" s="22" t="n"/>
      <c r="H59" s="22" t="n"/>
      <c r="I59" s="22" t="n"/>
      <c r="J59" s="22" t="n"/>
      <c r="K59" s="22" t="n"/>
      <c r="L59" s="22" t="n"/>
      <c r="M59" s="22" t="n"/>
      <c r="N59" s="22" t="n"/>
      <c r="O59" s="21" t="n"/>
      <c r="P59" s="22" t="n"/>
      <c r="Q59" s="22" t="n"/>
      <c r="R59" s="22" t="n"/>
      <c r="S59" s="22" t="n"/>
      <c r="T59" s="22" t="n"/>
      <c r="U59" s="22" t="n"/>
      <c r="V59" s="22" t="n"/>
      <c r="W59" s="22" t="n"/>
      <c r="X59" s="22">
        <f>'재무상태표'!G7</f>
        <v/>
      </c>
      <c r="Y59" s="21">
        <f>'재무상태표'!G7</f>
        <v/>
      </c>
      <c r="Z59" s="22">
        <f>'재무상태표'!G7</f>
        <v/>
      </c>
      <c r="AA59" s="22">
        <f>'재무상태표'!G7</f>
        <v/>
      </c>
      <c r="AB59" s="22">
        <f>'재무상태표'!G7</f>
        <v/>
      </c>
      <c r="AC59" s="22">
        <f>'재무상태표'!G7</f>
        <v/>
      </c>
    </row>
    <row r="60">
      <c r="A60" s="20" t="inlineStr">
        <is>
          <t>투자부동산</t>
        </is>
      </c>
      <c r="B60" s="10" t="n"/>
      <c r="C60" s="21" t="n"/>
      <c r="D60" s="22" t="n"/>
      <c r="E60" s="22" t="n"/>
      <c r="F60" s="22" t="n"/>
      <c r="G60" s="22" t="n"/>
      <c r="H60" s="22" t="n"/>
      <c r="I60" s="22" t="n"/>
      <c r="J60" s="22" t="n"/>
      <c r="K60" s="22" t="n"/>
      <c r="L60" s="22" t="n"/>
      <c r="M60" s="22" t="n"/>
      <c r="N60" s="22" t="n"/>
      <c r="O60" s="21" t="n"/>
      <c r="P60" s="22" t="n"/>
      <c r="Q60" s="22" t="n"/>
      <c r="R60" s="22" t="n"/>
      <c r="S60" s="22" t="n"/>
      <c r="T60" s="22" t="n"/>
      <c r="U60" s="22" t="n"/>
      <c r="V60" s="22" t="n"/>
      <c r="W60" s="22" t="n"/>
      <c r="X60" s="22">
        <f>'재무상태표'!G14</f>
        <v/>
      </c>
      <c r="Y60" s="21">
        <f>'재무상태표'!G14</f>
        <v/>
      </c>
      <c r="Z60" s="22">
        <f>'재무상태표'!G14</f>
        <v/>
      </c>
      <c r="AA60" s="22">
        <f>'재무상태표'!G14</f>
        <v/>
      </c>
      <c r="AB60" s="22">
        <f>'재무상태표'!G14</f>
        <v/>
      </c>
      <c r="AC60" s="22">
        <f>'재무상태표'!G14</f>
        <v/>
      </c>
    </row>
    <row r="61">
      <c r="A61" s="20" t="inlineStr">
        <is>
          <t>지배자본</t>
        </is>
      </c>
      <c r="B61" s="10" t="n"/>
      <c r="C61" s="21" t="n"/>
      <c r="D61" s="22" t="n"/>
      <c r="E61" s="22" t="n"/>
      <c r="F61" s="22" t="n"/>
      <c r="G61" s="22" t="n"/>
      <c r="H61" s="22" t="n"/>
      <c r="I61" s="22" t="n"/>
      <c r="J61" s="22" t="n"/>
      <c r="K61" s="22" t="n"/>
      <c r="L61" s="22" t="n"/>
      <c r="M61" s="22" t="n"/>
      <c r="N61" s="22" t="n"/>
      <c r="O61" s="21" t="n"/>
      <c r="P61" s="22" t="n"/>
      <c r="Q61" s="22" t="n"/>
      <c r="R61" s="22" t="n"/>
      <c r="S61" s="22" t="n"/>
      <c r="T61" s="22" t="n"/>
      <c r="U61" s="22" t="n"/>
      <c r="V61" s="22" t="n"/>
      <c r="W61" s="22" t="n"/>
      <c r="X61" s="22">
        <f>'재무상태표'!G31</f>
        <v/>
      </c>
      <c r="Y61" s="21">
        <f>'재무상태표'!G31</f>
        <v/>
      </c>
      <c r="Z61" s="22">
        <f>'재무상태표'!G31</f>
        <v/>
      </c>
      <c r="AA61" s="22">
        <f>'재무상태표'!G31</f>
        <v/>
      </c>
      <c r="AB61" s="22">
        <f>'재무상태표'!G31</f>
        <v/>
      </c>
      <c r="AC61" s="22">
        <f>'재무상태표'!G31</f>
        <v/>
      </c>
    </row>
    <row r="62">
      <c r="A62" s="20" t="inlineStr">
        <is>
          <t>부채</t>
        </is>
      </c>
      <c r="B62" s="10" t="n"/>
      <c r="C62" s="21" t="n"/>
      <c r="D62" s="22" t="n"/>
      <c r="E62" s="22" t="n"/>
      <c r="F62" s="22" t="n"/>
      <c r="G62" s="22" t="n"/>
      <c r="H62" s="22" t="n"/>
      <c r="I62" s="22" t="n"/>
      <c r="J62" s="22" t="n"/>
      <c r="K62" s="22" t="n"/>
      <c r="L62" s="22" t="n"/>
      <c r="M62" s="22" t="n"/>
      <c r="N62" s="22" t="n"/>
      <c r="O62" s="21" t="n"/>
      <c r="P62" s="22" t="n"/>
      <c r="Q62" s="22" t="n"/>
      <c r="R62" s="22" t="n"/>
      <c r="S62" s="22" t="n"/>
      <c r="T62" s="22" t="n"/>
      <c r="U62" s="22" t="n"/>
      <c r="V62" s="22" t="n"/>
      <c r="W62" s="22" t="n"/>
      <c r="X62" s="22">
        <f>'재무상태표'!G27</f>
        <v/>
      </c>
      <c r="Y62" s="21">
        <f>'재무상태표'!G27</f>
        <v/>
      </c>
      <c r="Z62" s="22">
        <f>'재무상태표'!G27</f>
        <v/>
      </c>
      <c r="AA62" s="22">
        <f>'재무상태표'!G27</f>
        <v/>
      </c>
      <c r="AB62" s="22">
        <f>'재무상태표'!G27</f>
        <v/>
      </c>
      <c r="AC62" s="22">
        <f>'재무상태표'!G27</f>
        <v/>
      </c>
    </row>
    <row r="63">
      <c r="A63" s="15" t="inlineStr">
        <is>
          <t>부채비율</t>
        </is>
      </c>
      <c r="B63" s="10" t="n"/>
      <c r="C63" s="16" t="n"/>
      <c r="D63" s="17" t="n"/>
      <c r="E63" s="17" t="n"/>
      <c r="F63" s="17" t="n"/>
      <c r="G63" s="17" t="n"/>
      <c r="H63" s="17" t="n"/>
      <c r="I63" s="17" t="n"/>
      <c r="J63" s="17" t="n"/>
      <c r="K63" s="17" t="n"/>
      <c r="L63" s="17" t="n"/>
      <c r="M63" s="17" t="n"/>
      <c r="N63" s="17" t="n"/>
      <c r="O63" s="16" t="n"/>
      <c r="P63" s="17" t="n"/>
      <c r="Q63" s="17" t="n"/>
      <c r="R63" s="17" t="n"/>
      <c r="S63" s="17" t="n"/>
      <c r="T63" s="17" t="n"/>
      <c r="U63" s="17" t="n"/>
      <c r="V63" s="17" t="n"/>
      <c r="W63" s="17" t="n"/>
      <c r="X63" s="17">
        <f>IF(OR(X62="",X61=""),"",IFERROR(X62/X61,""))</f>
        <v/>
      </c>
      <c r="Y63" s="16">
        <f>IF(OR(Y62="",Y61=""),"",IFERROR(Y62/Y61,""))</f>
        <v/>
      </c>
      <c r="Z63" s="17">
        <f>IF(OR(Z62="",Z61=""),"",IFERROR(Z62/Z61,""))</f>
        <v/>
      </c>
      <c r="AA63" s="17">
        <f>IF(OR(AA62="",AA61=""),"",IFERROR(AA62/AA61,""))</f>
        <v/>
      </c>
      <c r="AB63" s="17">
        <f>IF(OR(AB62="",AB61=""),"",IFERROR(AB62/AB61,""))</f>
        <v/>
      </c>
      <c r="AC63" s="17">
        <f>IF(OR(AC62="",AC61=""),"",IFERROR(AC62/AC61,""))</f>
        <v/>
      </c>
    </row>
    <row r="64">
      <c r="A64" s="9" t="inlineStr">
        <is>
          <t>자산가치</t>
        </is>
      </c>
      <c r="B64" s="10" t="inlineStr">
        <is>
          <t>현금+단기금융+투자부동산</t>
        </is>
      </c>
      <c r="C64" s="11" t="n"/>
      <c r="D64" s="12" t="n"/>
      <c r="E64" s="12" t="n"/>
      <c r="F64" s="12" t="n"/>
      <c r="G64" s="12" t="n"/>
      <c r="H64" s="12" t="n"/>
      <c r="I64" s="12" t="n"/>
      <c r="J64" s="12" t="n"/>
      <c r="K64" s="12" t="n"/>
      <c r="L64" s="12" t="n"/>
      <c r="M64" s="12" t="n"/>
      <c r="N64" s="12" t="n"/>
      <c r="O64" s="11" t="n"/>
      <c r="P64" s="12" t="n"/>
      <c r="Q64" s="12" t="n"/>
      <c r="R64" s="12" t="n"/>
      <c r="S64" s="12" t="n"/>
      <c r="T64" s="12" t="n"/>
      <c r="U64" s="12" t="n"/>
      <c r="V64" s="12" t="n"/>
      <c r="W64" s="12" t="n"/>
      <c r="X64" s="12">
        <f>SUM(X58,X59,X60)</f>
        <v/>
      </c>
      <c r="Y64" s="11">
        <f>SUM(Y58,Y59,Y60)</f>
        <v/>
      </c>
      <c r="Z64" s="12">
        <f>SUM(Z58,Z59,Z60)</f>
        <v/>
      </c>
      <c r="AA64" s="12">
        <f>SUM(AA58,AA59,AA60)</f>
        <v/>
      </c>
      <c r="AB64" s="12">
        <f>SUM(AB58,AB59,AB60)</f>
        <v/>
      </c>
      <c r="AC64" s="12">
        <f>SUM(AC58,AC59,AC60)</f>
        <v/>
      </c>
    </row>
    <row r="65">
      <c r="A65" s="18" t="inlineStr">
        <is>
          <t>기업가치 산출</t>
        </is>
      </c>
      <c r="B65" s="18" t="n"/>
      <c r="C65" s="19" t="n"/>
      <c r="D65" s="18" t="n"/>
      <c r="E65" s="18" t="n"/>
      <c r="F65" s="18" t="n"/>
      <c r="G65" s="18" t="n"/>
      <c r="H65" s="18" t="n"/>
      <c r="I65" s="18" t="n"/>
      <c r="J65" s="18" t="n"/>
      <c r="K65" s="18" t="n"/>
      <c r="L65" s="18" t="n"/>
      <c r="M65" s="18" t="n"/>
      <c r="N65" s="18" t="n"/>
      <c r="O65" s="19" t="n"/>
      <c r="P65" s="18" t="n"/>
      <c r="Q65" s="18" t="n"/>
      <c r="R65" s="18" t="n"/>
      <c r="S65" s="18" t="n"/>
      <c r="T65" s="18" t="n"/>
      <c r="U65" s="18" t="n"/>
      <c r="V65" s="18" t="n"/>
      <c r="W65" s="18" t="n"/>
      <c r="X65" s="18" t="n"/>
      <c r="Y65" s="19" t="n"/>
      <c r="Z65" s="18" t="n"/>
      <c r="AA65" s="18" t="n"/>
      <c r="AB65" s="18" t="n"/>
      <c r="AC65" s="18" t="n"/>
    </row>
    <row r="66">
      <c r="A66" s="20" t="inlineStr">
        <is>
          <t>목표 시가총액 (P/E)</t>
        </is>
      </c>
      <c r="B66" s="10" t="inlineStr">
        <is>
          <t>지배순이익 × Target P/E</t>
        </is>
      </c>
      <c r="C66" s="21" t="n"/>
      <c r="D66" s="22" t="n"/>
      <c r="E66" s="22" t="n"/>
      <c r="F66" s="22" t="n"/>
      <c r="G66" s="22" t="n"/>
      <c r="H66" s="22" t="n"/>
      <c r="I66" s="22" t="n"/>
      <c r="J66" s="22" t="n"/>
      <c r="K66" s="22" t="n"/>
      <c r="L66" s="22" t="n"/>
      <c r="M66" s="22" t="n"/>
      <c r="N66" s="22" t="n"/>
      <c r="O66" s="21" t="n"/>
      <c r="P66" s="22" t="n"/>
      <c r="Q66" s="22" t="n"/>
      <c r="R66" s="22" t="n"/>
      <c r="S66" s="22" t="n"/>
      <c r="T66" s="22" t="n"/>
      <c r="U66" s="22" t="n"/>
      <c r="V66" s="22" t="n"/>
      <c r="W66" s="22" t="n"/>
      <c r="X66" s="22" t="n"/>
      <c r="Y66" s="21">
        <f>IF(OR(Y44="",Y53=""),"",IFERROR(Y44*Y53,""))</f>
        <v/>
      </c>
      <c r="Z66" s="22">
        <f>IF(OR(Z44="",Z53=""),"",IFERROR(Z44*Z53,""))</f>
        <v/>
      </c>
      <c r="AA66" s="22">
        <f>IF(OR(AA44="",AA53=""),"",IFERROR(AA44*AA53,""))</f>
        <v/>
      </c>
      <c r="AB66" s="22">
        <f>IF(OR(AB44="",AB53=""),"",IFERROR(AB44*AB53,""))</f>
        <v/>
      </c>
      <c r="AC66" s="22">
        <f>IF(OR(AC44="",AC53=""),"",IFERROR(AC44*AC53,""))</f>
        <v/>
      </c>
    </row>
    <row r="67">
      <c r="A67" s="9" t="inlineStr">
        <is>
          <t>기업가치</t>
        </is>
      </c>
      <c r="B67" s="10" t="inlineStr">
        <is>
          <t>목표시총 + 자산가치</t>
        </is>
      </c>
      <c r="C67" s="11" t="n"/>
      <c r="D67" s="12" t="n"/>
      <c r="E67" s="12" t="n"/>
      <c r="F67" s="12" t="n"/>
      <c r="G67" s="12" t="n"/>
      <c r="H67" s="12" t="n"/>
      <c r="I67" s="12" t="n"/>
      <c r="J67" s="12" t="n"/>
      <c r="K67" s="12" t="n"/>
      <c r="L67" s="12" t="n"/>
      <c r="M67" s="12" t="n"/>
      <c r="N67" s="12" t="n"/>
      <c r="O67" s="11" t="n"/>
      <c r="P67" s="12" t="n"/>
      <c r="Q67" s="12" t="n"/>
      <c r="R67" s="12" t="n"/>
      <c r="S67" s="12" t="n"/>
      <c r="T67" s="12" t="n"/>
      <c r="U67" s="12" t="n"/>
      <c r="V67" s="12" t="n"/>
      <c r="W67" s="12" t="n"/>
      <c r="X67" s="12" t="n"/>
      <c r="Y67" s="11">
        <f>IF(OR(Y66=""),"",IFERROR(Y66+Y64,""))</f>
        <v/>
      </c>
      <c r="Z67" s="12">
        <f>IF(OR(Z66=""),"",IFERROR(Z66+Z64,""))</f>
        <v/>
      </c>
      <c r="AA67" s="12">
        <f>IF(OR(AA66=""),"",IFERROR(AA66+AA64,""))</f>
        <v/>
      </c>
      <c r="AB67" s="12">
        <f>IF(OR(AB66=""),"",IFERROR(AB66+AB64,""))</f>
        <v/>
      </c>
      <c r="AC67" s="12">
        <f>IF(OR(AC66=""),"",IFERROR(AC66+AC64,""))</f>
        <v/>
      </c>
    </row>
    <row r="68">
      <c r="A68" s="20" t="inlineStr">
        <is>
          <t>현재 시가총액</t>
        </is>
      </c>
      <c r="B68" s="10" t="n"/>
      <c r="C68" s="21" t="n"/>
      <c r="D68" s="22" t="n"/>
      <c r="E68" s="22" t="n"/>
      <c r="F68" s="22" t="n"/>
      <c r="G68" s="22" t="n"/>
      <c r="H68" s="22" t="n"/>
      <c r="I68" s="22" t="n"/>
      <c r="J68" s="22" t="n"/>
      <c r="K68" s="22" t="n"/>
      <c r="L68" s="22" t="n"/>
      <c r="M68" s="22" t="n"/>
      <c r="N68" s="22" t="n"/>
      <c r="O68" s="21" t="n"/>
      <c r="P68" s="22" t="n"/>
      <c r="Q68" s="22" t="n"/>
      <c r="R68" s="22" t="n"/>
      <c r="S68" s="22" t="n"/>
      <c r="T68" s="22" t="n"/>
      <c r="U68" s="22" t="n"/>
      <c r="V68" s="22" t="n"/>
      <c r="W68" s="22" t="n"/>
      <c r="X68" s="22" t="n"/>
      <c r="Y68" s="21">
        <f>$B$49</f>
        <v/>
      </c>
      <c r="Z68" s="22">
        <f>$B$49</f>
        <v/>
      </c>
      <c r="AA68" s="22">
        <f>$B$49</f>
        <v/>
      </c>
      <c r="AB68" s="22">
        <f>$B$49</f>
        <v/>
      </c>
      <c r="AC68" s="22">
        <f>$B$49</f>
        <v/>
      </c>
    </row>
    <row r="69">
      <c r="A69" s="20" t="inlineStr">
        <is>
          <t>상승여력</t>
        </is>
      </c>
      <c r="B69" s="10" t="n"/>
      <c r="C69" s="37" t="n"/>
      <c r="D69" s="38" t="n"/>
      <c r="E69" s="38" t="n"/>
      <c r="F69" s="38" t="n"/>
      <c r="G69" s="38" t="n"/>
      <c r="H69" s="38" t="n"/>
      <c r="I69" s="38" t="n"/>
      <c r="J69" s="38" t="n"/>
      <c r="K69" s="38" t="n"/>
      <c r="L69" s="38" t="n"/>
      <c r="M69" s="38" t="n"/>
      <c r="N69" s="38" t="n"/>
      <c r="O69" s="37" t="n"/>
      <c r="P69" s="38" t="n"/>
      <c r="Q69" s="38" t="n"/>
      <c r="R69" s="38" t="n"/>
      <c r="S69" s="38" t="n"/>
      <c r="T69" s="38" t="n"/>
      <c r="U69" s="38" t="n"/>
      <c r="V69" s="38" t="n"/>
      <c r="W69" s="38" t="n"/>
      <c r="X69" s="38" t="n"/>
      <c r="Y69" s="39">
        <f>IF(OR(Y67="",Y68=""),"",IFERROR(Y67/Y68-1,""))</f>
        <v/>
      </c>
      <c r="Z69" s="40">
        <f>IF(OR(Z67="",Z68=""),"",IFERROR(Z67/Z68-1,""))</f>
        <v/>
      </c>
      <c r="AA69" s="40">
        <f>IF(OR(AA67="",AA68=""),"",IFERROR(AA67/AA68-1,""))</f>
        <v/>
      </c>
      <c r="AB69" s="40">
        <f>IF(OR(AB67="",AB68=""),"",IFERROR(AB67/AB68-1,""))</f>
        <v/>
      </c>
      <c r="AC69" s="40">
        <f>IF(OR(AC67="",AC68=""),"",IFERROR(AC67/AC68-1,""))</f>
        <v/>
      </c>
    </row>
    <row r="70">
      <c r="C70" s="41" t="n"/>
      <c r="O70" s="41" t="n"/>
      <c r="Y70" s="41" t="n"/>
    </row>
    <row r="71">
      <c r="A71" s="42" t="inlineStr">
        <is>
          <t>출처</t>
        </is>
      </c>
      <c r="C71" s="41" t="n"/>
      <c r="O71" s="41" t="n"/>
      <c r="Y71" s="41" t="n"/>
    </row>
    <row r="72">
      <c r="A72" s="43" t="inlineStr">
        <is>
          <t>결산단신 XBRL(TDnet·JPX 보관소) — 쓴 문서는 '출처' 시트</t>
        </is>
      </c>
      <c r="C72" s="41" t="n"/>
      <c r="O72" s="41" t="n"/>
      <c r="Y72" s="41" t="n"/>
    </row>
    <row r="73">
      <c r="A73" s="43" t="inlineStr">
        <is>
          <t>분기 = 누계에서 앞 분기를 뺀 3개월 값</t>
        </is>
      </c>
      <c r="C73" s="41" t="n"/>
      <c r="O73" s="41" t="n"/>
      <c r="Y73" s="41" t="n"/>
    </row>
    <row r="74">
      <c r="A74" s="43" t="inlineStr">
        <is>
          <t>주가: 야후 파이낸스 일봉 2026.10.26</t>
        </is>
      </c>
      <c r="C74" s="41" t="n"/>
      <c r="O74" s="41" t="n"/>
      <c r="Y74" s="41" t="n"/>
    </row>
    <row r="76">
      <c r="A76" s="18" t="inlineStr">
        <is>
          <t>손익계산서 · 전 항목</t>
        </is>
      </c>
      <c r="B76" s="44" t="inlineStr">
        <is>
          <t>분기 = 3개월 단독</t>
        </is>
      </c>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row>
    <row r="77">
      <c r="A77" s="5" t="inlineStr">
        <is>
          <t>항목</t>
        </is>
      </c>
      <c r="B77" s="5" t="inlineStr">
        <is>
          <t>참고</t>
        </is>
      </c>
      <c r="C77" s="5" t="inlineStr">
        <is>
          <t>2024.2Q</t>
        </is>
      </c>
      <c r="D77" s="5" t="inlineStr">
        <is>
          <t>2024.3Q</t>
        </is>
      </c>
      <c r="E77" s="5" t="inlineStr">
        <is>
          <t>2024.4Q</t>
        </is>
      </c>
      <c r="F77" s="5" t="inlineStr">
        <is>
          <t>2025.1Q</t>
        </is>
      </c>
      <c r="G77" s="5" t="inlineStr">
        <is>
          <t>2025.2Q</t>
        </is>
      </c>
      <c r="H77" s="5" t="inlineStr">
        <is>
          <t>2025.3Q</t>
        </is>
      </c>
      <c r="I77" s="5" t="inlineStr">
        <is>
          <t>2025.4Q</t>
        </is>
      </c>
      <c r="J77" s="5" t="inlineStr">
        <is>
          <t>2026.1Q</t>
        </is>
      </c>
      <c r="K77" s="5" t="inlineStr">
        <is>
          <t>2026.2Q</t>
        </is>
      </c>
      <c r="L77" s="5" t="inlineStr">
        <is>
          <t>2026.3Q</t>
        </is>
      </c>
      <c r="M77" s="5" t="inlineStr">
        <is>
          <t>2026.4Q</t>
        </is>
      </c>
      <c r="N77" s="5" t="inlineStr">
        <is>
          <t>2027.1Q</t>
        </is>
      </c>
      <c r="O77" s="5" t="inlineStr">
        <is>
          <t>2017</t>
        </is>
      </c>
      <c r="P77" s="5" t="inlineStr">
        <is>
          <t>2018</t>
        </is>
      </c>
      <c r="Q77" s="5" t="inlineStr">
        <is>
          <t>2019</t>
        </is>
      </c>
      <c r="R77" s="5" t="inlineStr">
        <is>
          <t>2020</t>
        </is>
      </c>
      <c r="S77" s="5" t="inlineStr">
        <is>
          <t>2021</t>
        </is>
      </c>
      <c r="T77" s="5" t="inlineStr">
        <is>
          <t>2022</t>
        </is>
      </c>
      <c r="U77" s="5" t="inlineStr">
        <is>
          <t>2023</t>
        </is>
      </c>
      <c r="V77" s="5" t="inlineStr">
        <is>
          <t>2024</t>
        </is>
      </c>
      <c r="W77" s="5" t="inlineStr">
        <is>
          <t>2025</t>
        </is>
      </c>
      <c r="X77" s="5" t="inlineStr">
        <is>
          <t>2026</t>
        </is>
      </c>
      <c r="Y77" s="5" t="inlineStr">
        <is>
          <t>2027(MW)</t>
        </is>
      </c>
      <c r="Z77" s="5" t="inlineStr">
        <is>
          <t>2028(MW)</t>
        </is>
      </c>
      <c r="AA77" s="5" t="inlineStr">
        <is>
          <t>2029(MW)</t>
        </is>
      </c>
      <c r="AB77" s="5" t="inlineStr">
        <is>
          <t>2030(MW)</t>
        </is>
      </c>
      <c r="AC77" s="5" t="inlineStr">
        <is>
          <t>2031(MW)</t>
        </is>
      </c>
    </row>
    <row r="78">
      <c r="A78" s="9" t="inlineStr">
        <is>
          <t>매출수익</t>
        </is>
      </c>
      <c r="E78" s="12" t="n">
        <v>322078</v>
      </c>
      <c r="F78" s="12" t="n">
        <v>428497</v>
      </c>
      <c r="G78" s="12" t="n">
        <v>480911</v>
      </c>
      <c r="H78" s="12" t="n">
        <v>449958</v>
      </c>
      <c r="I78" s="12" t="n">
        <v>347094</v>
      </c>
      <c r="J78" s="12" t="n">
        <v>342799</v>
      </c>
      <c r="K78" s="12" t="n">
        <v>448346</v>
      </c>
      <c r="L78" s="12" t="n">
        <v>543631</v>
      </c>
      <c r="M78" s="12" t="n">
        <v>1002852</v>
      </c>
      <c r="N78" s="12" t="n">
        <v>1767117</v>
      </c>
      <c r="V78" s="12" t="n">
        <v>322078</v>
      </c>
      <c r="W78" s="12" t="n">
        <v>347094</v>
      </c>
      <c r="X78" s="12" t="n">
        <v>1002852</v>
      </c>
    </row>
    <row r="79">
      <c r="A79" s="45" t="inlineStr">
        <is>
          <t>YoY</t>
        </is>
      </c>
      <c r="B79" s="3" t="inlineStr">
        <is>
          <t>전년 같은 분기·전년 대비</t>
        </is>
      </c>
      <c r="G79" s="17">
        <f>IF(OR(G78="",C78=""),"",IF(C78&lt;=0,"",IFERROR(G78/C78-1,"")))</f>
        <v/>
      </c>
      <c r="H79" s="17">
        <f>IF(OR(H78="",D78=""),"",IF(D78&lt;=0,"",IFERROR(H78/D78-1,"")))</f>
        <v/>
      </c>
      <c r="I79" s="17">
        <f>IF(OR(I78="",E78=""),"",IF(E78&lt;=0,"",IFERROR(I78/E78-1,"")))</f>
        <v/>
      </c>
      <c r="J79" s="17">
        <f>IF(OR(J78="",F78=""),"",IF(F78&lt;=0,"",IFERROR(J78/F78-1,"")))</f>
        <v/>
      </c>
      <c r="K79" s="17">
        <f>IF(OR(K78="",G78=""),"",IF(G78&lt;=0,"",IFERROR(K78/G78-1,"")))</f>
        <v/>
      </c>
      <c r="L79" s="17">
        <f>IF(OR(L78="",H78=""),"",IF(H78&lt;=0,"",IFERROR(L78/H78-1,"")))</f>
        <v/>
      </c>
      <c r="M79" s="17">
        <f>IF(OR(M78="",I78=""),"",IF(I78&lt;=0,"",IFERROR(M78/I78-1,"")))</f>
        <v/>
      </c>
      <c r="N79" s="17">
        <f>IF(OR(N78="",J78=""),"",IF(J78&lt;=0,"",IFERROR(N78/J78-1,"")))</f>
        <v/>
      </c>
      <c r="V79" s="17">
        <f>IF(OR(V78="",U78=""),"",IF(U78&lt;=0,"",IFERROR(V78/U78-1,"")))</f>
        <v/>
      </c>
      <c r="W79" s="17">
        <f>IF(OR(W78="",V78=""),"",IF(V78&lt;=0,"",IFERROR(W78/V78-1,"")))</f>
        <v/>
      </c>
      <c r="X79" s="17">
        <f>IF(OR(X78="",W78=""),"",IF(W78&lt;=0,"",IFERROR(X78/W78-1,"")))</f>
        <v/>
      </c>
    </row>
    <row r="80">
      <c r="A80" s="20" t="inlineStr">
        <is>
          <t>매출원가</t>
        </is>
      </c>
      <c r="E80" s="22" t="n">
        <v>247291</v>
      </c>
      <c r="F80" s="22" t="n">
        <v>271905</v>
      </c>
      <c r="G80" s="22" t="n">
        <v>284460</v>
      </c>
      <c r="H80" s="22" t="n">
        <v>297584</v>
      </c>
      <c r="I80" s="22" t="n">
        <v>283078</v>
      </c>
      <c r="J80" s="22" t="n">
        <v>271620</v>
      </c>
      <c r="K80" s="22" t="n">
        <v>326208</v>
      </c>
      <c r="L80" s="22" t="n">
        <v>366991</v>
      </c>
      <c r="M80" s="22" t="n">
        <v>359905</v>
      </c>
      <c r="N80" s="22" t="n">
        <v>387051</v>
      </c>
      <c r="V80" s="22" t="n">
        <v>247291</v>
      </c>
      <c r="W80" s="22" t="n">
        <v>283078</v>
      </c>
      <c r="X80" s="22" t="n">
        <v>359905</v>
      </c>
    </row>
    <row r="81">
      <c r="A81" s="9" t="inlineStr">
        <is>
          <t>매출총이익</t>
        </is>
      </c>
      <c r="E81" s="12" t="n">
        <v>74787</v>
      </c>
      <c r="F81" s="12" t="n">
        <v>156592</v>
      </c>
      <c r="G81" s="12" t="n">
        <v>196451</v>
      </c>
      <c r="H81" s="12" t="n">
        <v>152374</v>
      </c>
      <c r="I81" s="12" t="n">
        <v>64016</v>
      </c>
      <c r="J81" s="12" t="n">
        <v>71179</v>
      </c>
      <c r="K81" s="12" t="n">
        <v>122138</v>
      </c>
      <c r="L81" s="12" t="n">
        <v>176640</v>
      </c>
      <c r="M81" s="12" t="n">
        <v>642947</v>
      </c>
      <c r="N81" s="12" t="n">
        <v>1380066</v>
      </c>
      <c r="V81" s="12" t="n">
        <v>74787</v>
      </c>
      <c r="W81" s="12" t="n">
        <v>64016</v>
      </c>
      <c r="X81" s="12" t="n">
        <v>642947</v>
      </c>
    </row>
    <row r="82">
      <c r="A82" s="45" t="inlineStr">
        <is>
          <t>YoY</t>
        </is>
      </c>
      <c r="B82" s="3" t="inlineStr">
        <is>
          <t>전년 같은 분기·전년 대비</t>
        </is>
      </c>
      <c r="G82" s="17">
        <f>IF(OR(G81="",C81=""),"",IF(C81&lt;=0,"",IFERROR(G81/C81-1,"")))</f>
        <v/>
      </c>
      <c r="H82" s="17">
        <f>IF(OR(H81="",D81=""),"",IF(D81&lt;=0,"",IFERROR(H81/D81-1,"")))</f>
        <v/>
      </c>
      <c r="I82" s="17">
        <f>IF(OR(I81="",E81=""),"",IF(E81&lt;=0,"",IFERROR(I81/E81-1,"")))</f>
        <v/>
      </c>
      <c r="J82" s="17">
        <f>IF(OR(J81="",F81=""),"",IF(F81&lt;=0,"",IFERROR(J81/F81-1,"")))</f>
        <v/>
      </c>
      <c r="K82" s="17">
        <f>IF(OR(K81="",G81=""),"",IF(G81&lt;=0,"",IFERROR(K81/G81-1,"")))</f>
        <v/>
      </c>
      <c r="L82" s="17">
        <f>IF(OR(L81="",H81=""),"",IF(H81&lt;=0,"",IFERROR(L81/H81-1,"")))</f>
        <v/>
      </c>
      <c r="M82" s="17">
        <f>IF(OR(M81="",I81=""),"",IF(I81&lt;=0,"",IFERROR(M81/I81-1,"")))</f>
        <v/>
      </c>
      <c r="N82" s="17">
        <f>IF(OR(N81="",J81=""),"",IF(J81&lt;=0,"",IFERROR(N81/J81-1,"")))</f>
        <v/>
      </c>
      <c r="V82" s="17">
        <f>IF(OR(V81="",U81=""),"",IF(U81&lt;=0,"",IFERROR(V81/U81-1,"")))</f>
        <v/>
      </c>
      <c r="W82" s="17">
        <f>IF(OR(W81="",V81=""),"",IF(V81&lt;=0,"",IFERROR(W81/V81-1,"")))</f>
        <v/>
      </c>
      <c r="X82" s="17">
        <f>IF(OR(X81="",W81=""),"",IF(W81&lt;=0,"",IFERROR(X81/W81-1,"")))</f>
        <v/>
      </c>
    </row>
    <row r="83">
      <c r="A83" s="20" t="inlineStr">
        <is>
          <t>판매비와 관리비</t>
        </is>
      </c>
      <c r="E83" s="22" t="n">
        <v>31478</v>
      </c>
      <c r="F83" s="22" t="n">
        <v>31001</v>
      </c>
      <c r="G83" s="22" t="n">
        <v>31631</v>
      </c>
      <c r="H83" s="22" t="n">
        <v>34778</v>
      </c>
      <c r="I83" s="22" t="n">
        <v>30441</v>
      </c>
      <c r="J83" s="22" t="n">
        <v>29847</v>
      </c>
      <c r="K83" s="22" t="n">
        <v>36235</v>
      </c>
      <c r="L83" s="22" t="n">
        <v>33847</v>
      </c>
      <c r="M83" s="22" t="n">
        <v>46652</v>
      </c>
      <c r="N83" s="22" t="n">
        <v>71727</v>
      </c>
      <c r="V83" s="22" t="n">
        <v>31478</v>
      </c>
      <c r="W83" s="22" t="n">
        <v>30441</v>
      </c>
      <c r="X83" s="22" t="n">
        <v>46652</v>
      </c>
    </row>
    <row r="84">
      <c r="A84" s="20" t="inlineStr">
        <is>
          <t>Other Income</t>
        </is>
      </c>
      <c r="E84" s="22" t="n">
        <v>9000</v>
      </c>
      <c r="F84" s="22" t="n">
        <v>1477</v>
      </c>
      <c r="G84" s="22" t="n">
        <v>2586</v>
      </c>
      <c r="H84" s="22" t="n">
        <v>6109</v>
      </c>
      <c r="I84" s="22" t="n">
        <v>4503</v>
      </c>
      <c r="J84" s="22" t="n">
        <v>3921</v>
      </c>
      <c r="K84" s="22" t="n">
        <v>1569</v>
      </c>
      <c r="L84" s="22" t="n">
        <v>1262</v>
      </c>
      <c r="M84" s="22" t="n">
        <v>2150</v>
      </c>
      <c r="N84" s="22" t="n">
        <v>530</v>
      </c>
      <c r="V84" s="22" t="n">
        <v>9000</v>
      </c>
      <c r="W84" s="22" t="n">
        <v>4503</v>
      </c>
      <c r="X84" s="22" t="n">
        <v>2150</v>
      </c>
    </row>
    <row r="85">
      <c r="A85" s="20" t="inlineStr">
        <is>
          <t>기타비용</t>
        </is>
      </c>
      <c r="E85" s="22" t="n">
        <v>8451</v>
      </c>
      <c r="F85" s="22" t="n">
        <v>1209</v>
      </c>
      <c r="G85" s="22" t="n">
        <v>1374</v>
      </c>
      <c r="H85" s="22" t="n">
        <v>990</v>
      </c>
      <c r="I85" s="22" t="n">
        <v>936</v>
      </c>
      <c r="J85" s="22" t="n">
        <v>354</v>
      </c>
      <c r="K85" s="22" t="n">
        <v>1551</v>
      </c>
      <c r="L85" s="22" t="n">
        <v>1301</v>
      </c>
      <c r="M85" s="22" t="n">
        <v>1650</v>
      </c>
      <c r="N85" s="22" t="n">
        <v>38852</v>
      </c>
      <c r="V85" s="22" t="n">
        <v>8451</v>
      </c>
      <c r="W85" s="22" t="n">
        <v>936</v>
      </c>
      <c r="X85" s="22" t="n">
        <v>1650</v>
      </c>
    </row>
    <row r="86">
      <c r="A86" s="20" t="inlineStr">
        <is>
          <t>영업이익</t>
        </is>
      </c>
      <c r="E86" s="22" t="n">
        <v>43858</v>
      </c>
      <c r="F86" s="22" t="n">
        <v>125859</v>
      </c>
      <c r="G86" s="22" t="n">
        <v>166032</v>
      </c>
      <c r="H86" s="22" t="n">
        <v>122715</v>
      </c>
      <c r="I86" s="22" t="n">
        <v>37142</v>
      </c>
      <c r="J86" s="22" t="n">
        <v>44899</v>
      </c>
      <c r="K86" s="22" t="n">
        <v>85921</v>
      </c>
      <c r="L86" s="22" t="n">
        <v>142754</v>
      </c>
      <c r="M86" s="22" t="n">
        <v>596795</v>
      </c>
      <c r="N86" s="22" t="n">
        <v>1270017</v>
      </c>
      <c r="V86" s="22" t="n">
        <v>43858</v>
      </c>
      <c r="W86" s="22" t="n">
        <v>37142</v>
      </c>
      <c r="X86" s="22" t="n">
        <v>596795</v>
      </c>
    </row>
    <row r="87">
      <c r="A87" s="45" t="inlineStr">
        <is>
          <t>OPM</t>
        </is>
      </c>
      <c r="B87" s="3" t="inlineStr">
        <is>
          <t>영업이익 ÷ 매출</t>
        </is>
      </c>
      <c r="E87" s="17">
        <f>IF(OR(E86="",E78=""),"",IF(E78&lt;=0,"",IFERROR(E86/E78,"")))</f>
        <v/>
      </c>
      <c r="F87" s="17">
        <f>IF(OR(F86="",F78=""),"",IF(F78&lt;=0,"",IFERROR(F86/F78,"")))</f>
        <v/>
      </c>
      <c r="G87" s="17">
        <f>IF(OR(G86="",G78=""),"",IF(G78&lt;=0,"",IFERROR(G86/G78,"")))</f>
        <v/>
      </c>
      <c r="H87" s="17">
        <f>IF(OR(H86="",H78=""),"",IF(H78&lt;=0,"",IFERROR(H86/H78,"")))</f>
        <v/>
      </c>
      <c r="I87" s="17">
        <f>IF(OR(I86="",I78=""),"",IF(I78&lt;=0,"",IFERROR(I86/I78,"")))</f>
        <v/>
      </c>
      <c r="J87" s="17">
        <f>IF(OR(J86="",J78=""),"",IF(J78&lt;=0,"",IFERROR(J86/J78,"")))</f>
        <v/>
      </c>
      <c r="K87" s="17">
        <f>IF(OR(K86="",K78=""),"",IF(K78&lt;=0,"",IFERROR(K86/K78,"")))</f>
        <v/>
      </c>
      <c r="L87" s="17">
        <f>IF(OR(L86="",L78=""),"",IF(L78&lt;=0,"",IFERROR(L86/L78,"")))</f>
        <v/>
      </c>
      <c r="M87" s="17">
        <f>IF(OR(M86="",M78=""),"",IF(M78&lt;=0,"",IFERROR(M86/M78,"")))</f>
        <v/>
      </c>
      <c r="N87" s="17">
        <f>IF(OR(N86="",N78=""),"",IF(N78&lt;=0,"",IFERROR(N86/N78,"")))</f>
        <v/>
      </c>
      <c r="V87" s="17">
        <f>IF(OR(V86="",V78=""),"",IF(V78&lt;=0,"",IFERROR(V86/V78,"")))</f>
        <v/>
      </c>
      <c r="W87" s="17">
        <f>IF(OR(W86="",W78=""),"",IF(W78&lt;=0,"",IFERROR(W86/W78,"")))</f>
        <v/>
      </c>
      <c r="X87" s="17">
        <f>IF(OR(X86="",X78=""),"",IF(X78&lt;=0,"",IFERROR(X86/X78,"")))</f>
        <v/>
      </c>
    </row>
    <row r="88">
      <c r="A88" s="45" t="inlineStr">
        <is>
          <t>YoY</t>
        </is>
      </c>
      <c r="B88" s="3" t="inlineStr">
        <is>
          <t>전년 같은 분기·전년 대비</t>
        </is>
      </c>
      <c r="G88" s="17">
        <f>IF(OR(G86="",C86=""),"",IF(C86&lt;=0,"",IFERROR(G86/C86-1,"")))</f>
        <v/>
      </c>
      <c r="H88" s="17">
        <f>IF(OR(H86="",D86=""),"",IF(D86&lt;=0,"",IFERROR(H86/D86-1,"")))</f>
        <v/>
      </c>
      <c r="I88" s="17">
        <f>IF(OR(I86="",E86=""),"",IF(E86&lt;=0,"",IFERROR(I86/E86-1,"")))</f>
        <v/>
      </c>
      <c r="J88" s="17">
        <f>IF(OR(J86="",F86=""),"",IF(F86&lt;=0,"",IFERROR(J86/F86-1,"")))</f>
        <v/>
      </c>
      <c r="K88" s="17">
        <f>IF(OR(K86="",G86=""),"",IF(G86&lt;=0,"",IFERROR(K86/G86-1,"")))</f>
        <v/>
      </c>
      <c r="L88" s="17">
        <f>IF(OR(L86="",H86=""),"",IF(H86&lt;=0,"",IFERROR(L86/H86-1,"")))</f>
        <v/>
      </c>
      <c r="M88" s="17">
        <f>IF(OR(M86="",I86=""),"",IF(I86&lt;=0,"",IFERROR(M86/I86-1,"")))</f>
        <v/>
      </c>
      <c r="N88" s="17">
        <f>IF(OR(N86="",J86=""),"",IF(J86&lt;=0,"",IFERROR(N86/J86-1,"")))</f>
        <v/>
      </c>
      <c r="V88" s="17">
        <f>IF(OR(V86="",U86=""),"",IF(U86&lt;=0,"",IFERROR(V86/U86-1,"")))</f>
        <v/>
      </c>
      <c r="W88" s="17">
        <f>IF(OR(W86="",V86=""),"",IF(V86&lt;=0,"",IFERROR(W86/V86-1,"")))</f>
        <v/>
      </c>
      <c r="X88" s="17">
        <f>IF(OR(X86="",W86=""),"",IF(W86&lt;=0,"",IFERROR(X86/W86-1,"")))</f>
        <v/>
      </c>
    </row>
    <row r="89">
      <c r="A89" s="20" t="inlineStr">
        <is>
          <t>금융수익</t>
        </is>
      </c>
      <c r="E89" s="22" t="n">
        <v>11</v>
      </c>
      <c r="F89" s="22" t="n">
        <v>199</v>
      </c>
      <c r="G89" s="22" t="n">
        <v>1231</v>
      </c>
      <c r="H89" s="22" t="n">
        <v>1135</v>
      </c>
      <c r="I89" s="22" t="n">
        <v>1142</v>
      </c>
      <c r="J89" s="22" t="n">
        <v>2398</v>
      </c>
      <c r="K89" s="22" t="n">
        <v>-402</v>
      </c>
      <c r="L89" s="22" t="n">
        <v>1608</v>
      </c>
      <c r="M89" s="22" t="n">
        <v>5895</v>
      </c>
      <c r="N89" s="22" t="n">
        <v>17170</v>
      </c>
      <c r="V89" s="22" t="n">
        <v>11</v>
      </c>
      <c r="W89" s="22" t="n">
        <v>1142</v>
      </c>
      <c r="X89" s="22" t="n">
        <v>5895</v>
      </c>
    </row>
    <row r="90">
      <c r="A90" s="20" t="inlineStr">
        <is>
          <t>금융비용</t>
        </is>
      </c>
      <c r="E90" s="22" t="n">
        <v>26856</v>
      </c>
      <c r="F90" s="22" t="n">
        <v>26192</v>
      </c>
      <c r="G90" s="22" t="n">
        <v>18282</v>
      </c>
      <c r="H90" s="22" t="n">
        <v>17428</v>
      </c>
      <c r="I90" s="22" t="n">
        <v>23426</v>
      </c>
      <c r="J90" s="22" t="n">
        <v>19860</v>
      </c>
      <c r="K90" s="22" t="n">
        <v>29102</v>
      </c>
      <c r="L90" s="22" t="n">
        <v>22769</v>
      </c>
      <c r="M90" s="22" t="n">
        <v>24977</v>
      </c>
      <c r="N90" s="22" t="n">
        <v>52801</v>
      </c>
      <c r="V90" s="22" t="n">
        <v>26856</v>
      </c>
      <c r="W90" s="22" t="n">
        <v>23426</v>
      </c>
      <c r="X90" s="22" t="n">
        <v>24977</v>
      </c>
    </row>
    <row r="91">
      <c r="A91" s="20" t="inlineStr">
        <is>
          <t>지분법이익</t>
        </is>
      </c>
      <c r="E91" s="22" t="n">
        <v>146</v>
      </c>
      <c r="F91" s="22" t="n">
        <v>-120</v>
      </c>
      <c r="G91" s="22" t="n">
        <v>192</v>
      </c>
      <c r="H91" s="22" t="n">
        <v>265</v>
      </c>
      <c r="I91" s="22" t="n">
        <v>205</v>
      </c>
      <c r="J91" s="22" t="n">
        <v>-143</v>
      </c>
      <c r="K91" s="22" t="n">
        <v>299</v>
      </c>
      <c r="L91" s="22" t="n">
        <v>147</v>
      </c>
      <c r="M91" s="22" t="n">
        <v>632</v>
      </c>
      <c r="N91" s="22" t="n">
        <v>334</v>
      </c>
      <c r="V91" s="22" t="n">
        <v>146</v>
      </c>
      <c r="W91" s="22" t="n">
        <v>205</v>
      </c>
      <c r="X91" s="22" t="n">
        <v>632</v>
      </c>
    </row>
    <row r="92">
      <c r="A92" s="9" t="inlineStr">
        <is>
          <t>법인세비용차감전 중간이익</t>
        </is>
      </c>
      <c r="E92" s="12" t="n">
        <v>17159</v>
      </c>
      <c r="F92" s="12" t="n">
        <v>99746</v>
      </c>
      <c r="G92" s="12" t="n">
        <v>149173</v>
      </c>
      <c r="H92" s="12" t="n">
        <v>106687</v>
      </c>
      <c r="I92" s="12" t="n">
        <v>15063</v>
      </c>
      <c r="J92" s="12" t="n">
        <v>27294</v>
      </c>
      <c r="K92" s="12" t="n">
        <v>56716</v>
      </c>
      <c r="L92" s="12" t="n">
        <v>121740</v>
      </c>
      <c r="M92" s="12" t="n">
        <v>578345</v>
      </c>
      <c r="N92" s="12" t="n">
        <v>1234720</v>
      </c>
      <c r="V92" s="12" t="n">
        <v>17159</v>
      </c>
      <c r="W92" s="12" t="n">
        <v>15063</v>
      </c>
      <c r="X92" s="12" t="n">
        <v>578345</v>
      </c>
    </row>
    <row r="93">
      <c r="A93" s="20" t="inlineStr">
        <is>
          <t>Income Tax Expense</t>
        </is>
      </c>
      <c r="E93" s="22" t="n">
        <v>6906</v>
      </c>
      <c r="F93" s="22" t="n">
        <v>29988</v>
      </c>
      <c r="G93" s="22" t="n">
        <v>42951</v>
      </c>
      <c r="H93" s="22" t="n">
        <v>30612</v>
      </c>
      <c r="I93" s="22" t="n">
        <v>-5203</v>
      </c>
      <c r="J93" s="22" t="n">
        <v>9021</v>
      </c>
      <c r="K93" s="22" t="n">
        <v>16046</v>
      </c>
      <c r="L93" s="22" t="n">
        <v>33926</v>
      </c>
      <c r="M93" s="22" t="n">
        <v>170606</v>
      </c>
      <c r="N93" s="22" t="n">
        <v>392549</v>
      </c>
      <c r="V93" s="22" t="n">
        <v>6906</v>
      </c>
      <c r="W93" s="22" t="n">
        <v>-5203</v>
      </c>
      <c r="X93" s="22" t="n">
        <v>170606</v>
      </c>
    </row>
    <row r="94">
      <c r="A94" s="9" t="inlineStr">
        <is>
          <t>중간이익</t>
        </is>
      </c>
      <c r="E94" s="12" t="n">
        <v>10253</v>
      </c>
      <c r="F94" s="12" t="n">
        <v>69758</v>
      </c>
      <c r="G94" s="12" t="n">
        <v>106222</v>
      </c>
      <c r="H94" s="12" t="n">
        <v>76075</v>
      </c>
      <c r="I94" s="12" t="n">
        <v>20266</v>
      </c>
      <c r="J94" s="12" t="n">
        <v>18273</v>
      </c>
      <c r="K94" s="12" t="n">
        <v>40670</v>
      </c>
      <c r="L94" s="12" t="n">
        <v>87814</v>
      </c>
      <c r="M94" s="12" t="n">
        <v>407739</v>
      </c>
      <c r="N94" s="12" t="n">
        <v>842171</v>
      </c>
      <c r="V94" s="12" t="n">
        <v>10253</v>
      </c>
      <c r="W94" s="12" t="n">
        <v>20266</v>
      </c>
      <c r="X94" s="12" t="n">
        <v>407739</v>
      </c>
    </row>
    <row r="95">
      <c r="A95" s="20" t="inlineStr">
        <is>
          <t>기본 주당 중간이익(엔)</t>
        </is>
      </c>
      <c r="E95" s="22" t="n">
        <v>1.979999999999996e-05</v>
      </c>
      <c r="F95" s="22" t="n">
        <v>0.0001348</v>
      </c>
      <c r="G95" s="22" t="n">
        <v>0.00020526</v>
      </c>
      <c r="H95" s="22" t="n">
        <v>0.00014588</v>
      </c>
      <c r="I95" s="22" t="n">
        <v>3.402000000000004e-05</v>
      </c>
      <c r="J95" s="22" t="n">
        <v>3.39e-05</v>
      </c>
      <c r="K95" s="22" t="n">
        <v>7.536000000000001e-05</v>
      </c>
      <c r="L95" s="22" t="n">
        <v>0.00016241</v>
      </c>
      <c r="M95" s="22" t="n">
        <v>0.0007523999999999999</v>
      </c>
      <c r="N95" s="22" t="n">
        <v>0.00153991</v>
      </c>
      <c r="V95" s="22" t="n">
        <v>1.979999999999996e-05</v>
      </c>
      <c r="W95" s="22" t="n">
        <v>3.402000000000004e-05</v>
      </c>
      <c r="X95" s="22" t="n">
        <v>0.0007523999999999999</v>
      </c>
    </row>
    <row r="96">
      <c r="A96" s="20" t="inlineStr">
        <is>
          <t>희석 주당 중간이익(엔)</t>
        </is>
      </c>
      <c r="E96" s="22" t="n">
        <v>1.979999999999996e-05</v>
      </c>
      <c r="F96" s="22" t="n">
        <v>0.00013316</v>
      </c>
      <c r="G96" s="22" t="n">
        <v>0.00020279</v>
      </c>
      <c r="H96" s="22" t="n">
        <v>0.00014535</v>
      </c>
      <c r="I96" s="22" t="n">
        <v>3.415000000000004e-05</v>
      </c>
      <c r="J96" s="22" t="n">
        <v>3.375e-05</v>
      </c>
      <c r="K96" s="22" t="n">
        <v>7.465000000000001e-05</v>
      </c>
      <c r="L96" s="22" t="n">
        <v>0.00015954</v>
      </c>
      <c r="M96" s="22" t="n">
        <v>0.0007412100000000001</v>
      </c>
      <c r="N96" s="22" t="n">
        <v>0.00152509</v>
      </c>
      <c r="V96" s="22" t="n">
        <v>1.979999999999996e-05</v>
      </c>
      <c r="W96" s="22" t="n">
        <v>3.415000000000004e-05</v>
      </c>
      <c r="X96" s="22" t="n">
        <v>0.0007412100000000001</v>
      </c>
    </row>
    <row r="97">
      <c r="A97" s="9" t="inlineStr">
        <is>
          <t>Profit Loss Attributable To Owners Of Parent</t>
        </is>
      </c>
      <c r="E97" s="12" t="n">
        <v>10246</v>
      </c>
      <c r="F97" s="12" t="n">
        <v>69758</v>
      </c>
      <c r="G97" s="12" t="n">
        <v>106222</v>
      </c>
      <c r="H97" s="12" t="n">
        <v>76068</v>
      </c>
      <c r="I97" s="12" t="n">
        <v>20267</v>
      </c>
      <c r="J97" s="12" t="n">
        <v>18284</v>
      </c>
      <c r="K97" s="12" t="n">
        <v>40662</v>
      </c>
      <c r="L97" s="12" t="n">
        <v>87810</v>
      </c>
      <c r="M97" s="12" t="n">
        <v>407734</v>
      </c>
      <c r="N97" s="12" t="n">
        <v>842165</v>
      </c>
      <c r="V97" s="12" t="n">
        <v>10246</v>
      </c>
      <c r="W97" s="12" t="n">
        <v>20267</v>
      </c>
      <c r="X97" s="12" t="n">
        <v>407734</v>
      </c>
    </row>
    <row r="98">
      <c r="A98" s="45" t="inlineStr">
        <is>
          <t>YoY</t>
        </is>
      </c>
      <c r="B98" s="3" t="inlineStr">
        <is>
          <t>전년 같은 분기·전년 대비</t>
        </is>
      </c>
      <c r="G98" s="17">
        <f>IF(OR(G97="",C97=""),"",IF(C97&lt;=0,"",IFERROR(G97/C97-1,"")))</f>
        <v/>
      </c>
      <c r="H98" s="17">
        <f>IF(OR(H97="",D97=""),"",IF(D97&lt;=0,"",IFERROR(H97/D97-1,"")))</f>
        <v/>
      </c>
      <c r="I98" s="17">
        <f>IF(OR(I97="",E97=""),"",IF(E97&lt;=0,"",IFERROR(I97/E97-1,"")))</f>
        <v/>
      </c>
      <c r="J98" s="17">
        <f>IF(OR(J97="",F97=""),"",IF(F97&lt;=0,"",IFERROR(J97/F97-1,"")))</f>
        <v/>
      </c>
      <c r="K98" s="17">
        <f>IF(OR(K97="",G97=""),"",IF(G97&lt;=0,"",IFERROR(K97/G97-1,"")))</f>
        <v/>
      </c>
      <c r="L98" s="17">
        <f>IF(OR(L97="",H97=""),"",IF(H97&lt;=0,"",IFERROR(L97/H97-1,"")))</f>
        <v/>
      </c>
      <c r="M98" s="17">
        <f>IF(OR(M97="",I97=""),"",IF(I97&lt;=0,"",IFERROR(M97/I97-1,"")))</f>
        <v/>
      </c>
      <c r="N98" s="17">
        <f>IF(OR(N97="",J97=""),"",IF(J97&lt;=0,"",IFERROR(N97/J97-1,"")))</f>
        <v/>
      </c>
      <c r="V98" s="17">
        <f>IF(OR(V97="",U97=""),"",IF(U97&lt;=0,"",IFERROR(V97/U97-1,"")))</f>
        <v/>
      </c>
      <c r="W98" s="17">
        <f>IF(OR(W97="",V97=""),"",IF(V97&lt;=0,"",IFERROR(W97/V97-1,"")))</f>
        <v/>
      </c>
      <c r="X98" s="17">
        <f>IF(OR(X97="",W97=""),"",IF(W97&lt;=0,"",IFERROR(X97/W97-1,"")))</f>
        <v/>
      </c>
    </row>
    <row r="99">
      <c r="A99" s="9" t="inlineStr">
        <is>
          <t>비지배지분</t>
        </is>
      </c>
      <c r="E99" s="12" t="n">
        <v>7</v>
      </c>
      <c r="F99" s="12" t="n">
        <v>0</v>
      </c>
      <c r="G99" s="12" t="n">
        <v>0</v>
      </c>
      <c r="H99" s="12" t="n">
        <v>7</v>
      </c>
      <c r="I99" s="12" t="n">
        <v>-1</v>
      </c>
      <c r="J99" s="12" t="n">
        <v>-11</v>
      </c>
      <c r="K99" s="12" t="n">
        <v>8</v>
      </c>
      <c r="L99" s="12" t="n">
        <v>4</v>
      </c>
      <c r="M99" s="12" t="n">
        <v>5</v>
      </c>
      <c r="N99" s="12" t="n">
        <v>6</v>
      </c>
      <c r="V99" s="12" t="n">
        <v>7</v>
      </c>
      <c r="W99" s="12" t="n">
        <v>-1</v>
      </c>
      <c r="X99" s="12" t="n">
        <v>5</v>
      </c>
    </row>
    <row r="101">
      <c r="A101" s="18" t="inlineStr">
        <is>
          <t>포괄손익 · 전 항목</t>
        </is>
      </c>
      <c r="B101" s="44" t="inlineStr">
        <is>
          <t>분기 = 3개월 단독</t>
        </is>
      </c>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row>
    <row r="102">
      <c r="A102" s="5" t="inlineStr">
        <is>
          <t>항목</t>
        </is>
      </c>
      <c r="B102" s="5" t="inlineStr">
        <is>
          <t>참고</t>
        </is>
      </c>
      <c r="C102" s="5" t="inlineStr">
        <is>
          <t>2024.2Q</t>
        </is>
      </c>
      <c r="D102" s="5" t="inlineStr">
        <is>
          <t>2024.3Q</t>
        </is>
      </c>
      <c r="E102" s="5" t="inlineStr">
        <is>
          <t>2024.4Q</t>
        </is>
      </c>
      <c r="F102" s="5" t="inlineStr">
        <is>
          <t>2025.1Q</t>
        </is>
      </c>
      <c r="G102" s="5" t="inlineStr">
        <is>
          <t>2025.2Q</t>
        </is>
      </c>
      <c r="H102" s="5" t="inlineStr">
        <is>
          <t>2025.3Q</t>
        </is>
      </c>
      <c r="I102" s="5" t="inlineStr">
        <is>
          <t>2025.4Q</t>
        </is>
      </c>
      <c r="J102" s="5" t="inlineStr">
        <is>
          <t>2026.1Q</t>
        </is>
      </c>
      <c r="K102" s="5" t="inlineStr">
        <is>
          <t>2026.2Q</t>
        </is>
      </c>
      <c r="L102" s="5" t="inlineStr">
        <is>
          <t>2026.3Q</t>
        </is>
      </c>
      <c r="M102" s="5" t="inlineStr">
        <is>
          <t>2026.4Q</t>
        </is>
      </c>
      <c r="N102" s="5" t="inlineStr">
        <is>
          <t>2027.1Q</t>
        </is>
      </c>
      <c r="O102" s="5" t="inlineStr">
        <is>
          <t>2017</t>
        </is>
      </c>
      <c r="P102" s="5" t="inlineStr">
        <is>
          <t>2018</t>
        </is>
      </c>
      <c r="Q102" s="5" t="inlineStr">
        <is>
          <t>2019</t>
        </is>
      </c>
      <c r="R102" s="5" t="inlineStr">
        <is>
          <t>2020</t>
        </is>
      </c>
      <c r="S102" s="5" t="inlineStr">
        <is>
          <t>2021</t>
        </is>
      </c>
      <c r="T102" s="5" t="inlineStr">
        <is>
          <t>2022</t>
        </is>
      </c>
      <c r="U102" s="5" t="inlineStr">
        <is>
          <t>2023</t>
        </is>
      </c>
      <c r="V102" s="5" t="inlineStr">
        <is>
          <t>2024</t>
        </is>
      </c>
      <c r="W102" s="5" t="inlineStr">
        <is>
          <t>2025</t>
        </is>
      </c>
      <c r="X102" s="5" t="inlineStr">
        <is>
          <t>2026</t>
        </is>
      </c>
      <c r="Y102" s="5" t="inlineStr">
        <is>
          <t>2027(MW)</t>
        </is>
      </c>
      <c r="Z102" s="5" t="inlineStr">
        <is>
          <t>2028(MW)</t>
        </is>
      </c>
      <c r="AA102" s="5" t="inlineStr">
        <is>
          <t>2029(MW)</t>
        </is>
      </c>
      <c r="AB102" s="5" t="inlineStr">
        <is>
          <t>2030(MW)</t>
        </is>
      </c>
      <c r="AC102" s="5" t="inlineStr">
        <is>
          <t>2031(MW)</t>
        </is>
      </c>
    </row>
    <row r="103">
      <c r="A103" s="9" t="inlineStr">
        <is>
          <t>중간이익</t>
        </is>
      </c>
      <c r="E103" s="12" t="n">
        <v>10253</v>
      </c>
      <c r="F103" s="12" t="n">
        <v>69758</v>
      </c>
      <c r="G103" s="12" t="n">
        <v>106222</v>
      </c>
      <c r="H103" s="12" t="n">
        <v>76075</v>
      </c>
      <c r="I103" s="12" t="n">
        <v>20266</v>
      </c>
      <c r="J103" s="12" t="n">
        <v>18273</v>
      </c>
      <c r="K103" s="12" t="n">
        <v>40670</v>
      </c>
      <c r="L103" s="12" t="n">
        <v>87814</v>
      </c>
      <c r="M103" s="12" t="n">
        <v>407739</v>
      </c>
      <c r="N103" s="12" t="n">
        <v>842171</v>
      </c>
      <c r="V103" s="12" t="n">
        <v>10253</v>
      </c>
      <c r="W103" s="12" t="n">
        <v>20266</v>
      </c>
      <c r="X103" s="12" t="n">
        <v>407739</v>
      </c>
    </row>
    <row r="104">
      <c r="A104" s="20" t="inlineStr">
        <is>
          <t>Net Change In Fair Value Of Equity Instruments Designated As Measured At Fair Value Through Other Comprehensive Income Net Of Tax Items That Will Not Be Reclassified To Profit Or Loss OCI</t>
        </is>
      </c>
      <c r="E104" s="22" t="n">
        <v>16198</v>
      </c>
      <c r="F104" s="22" t="n">
        <v>-4039</v>
      </c>
      <c r="G104" s="22" t="n">
        <v>-13839</v>
      </c>
      <c r="H104" s="22" t="n">
        <v>4817</v>
      </c>
      <c r="I104" s="22" t="n">
        <v>-3918</v>
      </c>
      <c r="J104" s="22" t="n">
        <v>2868</v>
      </c>
      <c r="K104" s="22" t="n">
        <v>15217</v>
      </c>
      <c r="L104" s="22" t="n">
        <v>54627</v>
      </c>
      <c r="M104" s="22" t="n">
        <v>7597</v>
      </c>
      <c r="N104" s="22" t="n">
        <v>148622</v>
      </c>
      <c r="V104" s="22" t="n">
        <v>16198</v>
      </c>
      <c r="W104" s="22" t="n">
        <v>-3918</v>
      </c>
      <c r="X104" s="22" t="n">
        <v>7597</v>
      </c>
    </row>
    <row r="105">
      <c r="A105" s="20" t="inlineStr">
        <is>
          <t>확정급여제도 재측정</t>
        </is>
      </c>
      <c r="E105" s="22" t="n">
        <v>-283</v>
      </c>
      <c r="F105" s="22" t="n">
        <v>2</v>
      </c>
      <c r="G105" s="22" t="n">
        <v>0</v>
      </c>
      <c r="H105" s="22" t="n">
        <v>0</v>
      </c>
      <c r="I105" s="22" t="n">
        <v>1650</v>
      </c>
      <c r="J105" s="22" t="n">
        <v>3</v>
      </c>
      <c r="K105" s="22" t="n">
        <v>0</v>
      </c>
      <c r="L105" s="22" t="n">
        <v>0</v>
      </c>
      <c r="M105" s="22" t="n">
        <v>2005</v>
      </c>
      <c r="N105" s="22" t="n">
        <v>1</v>
      </c>
      <c r="V105" s="22" t="n">
        <v>-283</v>
      </c>
      <c r="W105" s="22" t="n">
        <v>1650</v>
      </c>
      <c r="X105" s="22" t="n">
        <v>2005</v>
      </c>
    </row>
    <row r="106">
      <c r="A106" s="20" t="inlineStr">
        <is>
          <t>Total Of Items That Will Not Be Reclassified To Profit Or Loss OCI</t>
        </is>
      </c>
      <c r="E106" s="22" t="n">
        <v>15915</v>
      </c>
      <c r="F106" s="22" t="n">
        <v>-4037</v>
      </c>
      <c r="G106" s="22" t="n">
        <v>-13839</v>
      </c>
      <c r="H106" s="22" t="n">
        <v>4817</v>
      </c>
      <c r="I106" s="22" t="n">
        <v>-2268</v>
      </c>
      <c r="J106" s="22" t="n">
        <v>2871</v>
      </c>
      <c r="K106" s="22" t="n">
        <v>15217</v>
      </c>
      <c r="L106" s="22" t="n">
        <v>54627</v>
      </c>
      <c r="M106" s="22" t="n">
        <v>9602</v>
      </c>
      <c r="N106" s="22" t="n">
        <v>148623</v>
      </c>
      <c r="V106" s="22" t="n">
        <v>15915</v>
      </c>
      <c r="W106" s="22" t="n">
        <v>-2268</v>
      </c>
      <c r="X106" s="22" t="n">
        <v>9602</v>
      </c>
    </row>
    <row r="107">
      <c r="A107" s="20" t="inlineStr">
        <is>
          <t>Exchange Differences On Translation Of Foreign Operations Net Of Tax Items That May Be Reclassified To Profit Or Loss OCI</t>
        </is>
      </c>
      <c r="E107" s="22" t="n">
        <v>2335</v>
      </c>
      <c r="F107" s="22" t="n">
        <v>3683</v>
      </c>
      <c r="G107" s="22" t="n">
        <v>-6222</v>
      </c>
      <c r="H107" s="22" t="n">
        <v>4821</v>
      </c>
      <c r="I107" s="22" t="n">
        <v>-3808</v>
      </c>
      <c r="J107" s="22" t="n">
        <v>1633</v>
      </c>
      <c r="K107" s="22" t="n">
        <v>603</v>
      </c>
      <c r="L107" s="22" t="n">
        <v>2651</v>
      </c>
      <c r="M107" s="22" t="n">
        <v>1291</v>
      </c>
      <c r="N107" s="22" t="n">
        <v>1929</v>
      </c>
      <c r="V107" s="22" t="n">
        <v>2335</v>
      </c>
      <c r="W107" s="22" t="n">
        <v>-3808</v>
      </c>
      <c r="X107" s="22" t="n">
        <v>1291</v>
      </c>
    </row>
    <row r="108">
      <c r="A108" s="20" t="inlineStr">
        <is>
          <t>Effective Portion Of Cash Flow Hedges Net Of Tax Items That May Be Reclassified To Profit Or Loss OCI</t>
        </is>
      </c>
      <c r="E108" s="22" t="n">
        <v>756</v>
      </c>
      <c r="F108" s="22" t="n">
        <v>-5490</v>
      </c>
      <c r="G108" s="22" t="n">
        <v>18120</v>
      </c>
      <c r="H108" s="22" t="n">
        <v>-14812</v>
      </c>
      <c r="I108" s="22" t="n">
        <v>4305</v>
      </c>
      <c r="J108" s="22" t="n">
        <v>-356</v>
      </c>
      <c r="K108" s="22" t="n">
        <v>1389</v>
      </c>
      <c r="L108" s="22" t="n">
        <v>5306</v>
      </c>
      <c r="M108" s="22" t="n">
        <v>-2682</v>
      </c>
      <c r="N108" s="22" t="n">
        <v>3072</v>
      </c>
      <c r="V108" s="22" t="n">
        <v>756</v>
      </c>
      <c r="W108" s="22" t="n">
        <v>4305</v>
      </c>
      <c r="X108" s="22" t="n">
        <v>-2682</v>
      </c>
    </row>
    <row r="109">
      <c r="A109" s="20" t="inlineStr">
        <is>
          <t>Share Of Other Comprehensive Income Of Investments Accounted For Using Equity Method Net Of Tax Items That May Be Reclassified To Profit Or Loss OCI</t>
        </is>
      </c>
      <c r="E109" s="22" t="n">
        <v>22</v>
      </c>
      <c r="F109" s="22" t="n">
        <v>11</v>
      </c>
      <c r="G109" s="22" t="n">
        <v>-21</v>
      </c>
      <c r="H109" s="22" t="n">
        <v>17</v>
      </c>
      <c r="I109" s="22" t="n">
        <v>-17</v>
      </c>
      <c r="J109" s="22" t="n">
        <v>-6</v>
      </c>
      <c r="K109" s="22" t="n">
        <v>4</v>
      </c>
      <c r="L109" s="22" t="n">
        <v>9</v>
      </c>
      <c r="M109" s="22" t="n">
        <v>24</v>
      </c>
      <c r="N109" s="22" t="n">
        <v>3</v>
      </c>
      <c r="V109" s="22" t="n">
        <v>22</v>
      </c>
      <c r="W109" s="22" t="n">
        <v>-17</v>
      </c>
      <c r="X109" s="22" t="n">
        <v>24</v>
      </c>
    </row>
    <row r="110">
      <c r="A110" s="20" t="inlineStr">
        <is>
          <t>Total Of Items That May Be Reclassified To Profit Or Loss OCI</t>
        </is>
      </c>
      <c r="E110" s="22" t="n">
        <v>3113</v>
      </c>
      <c r="F110" s="22" t="n">
        <v>-1796</v>
      </c>
      <c r="G110" s="22" t="n">
        <v>11877</v>
      </c>
      <c r="H110" s="22" t="n">
        <v>-9974</v>
      </c>
      <c r="I110" s="22" t="n">
        <v>480</v>
      </c>
      <c r="J110" s="22" t="n">
        <v>1271</v>
      </c>
      <c r="K110" s="22" t="n">
        <v>1996</v>
      </c>
      <c r="L110" s="22" t="n">
        <v>7966</v>
      </c>
      <c r="M110" s="22" t="n">
        <v>-1367</v>
      </c>
      <c r="N110" s="22" t="n">
        <v>5004</v>
      </c>
      <c r="V110" s="22" t="n">
        <v>3113</v>
      </c>
      <c r="W110" s="22" t="n">
        <v>480</v>
      </c>
      <c r="X110" s="22" t="n">
        <v>-1367</v>
      </c>
    </row>
    <row r="111">
      <c r="A111" s="20" t="inlineStr">
        <is>
          <t>Other Comprehensive Income</t>
        </is>
      </c>
      <c r="E111" s="22" t="n">
        <v>19028</v>
      </c>
      <c r="F111" s="22" t="n">
        <v>-5833</v>
      </c>
      <c r="G111" s="22" t="n">
        <v>-1962</v>
      </c>
      <c r="H111" s="22" t="n">
        <v>-5157</v>
      </c>
      <c r="I111" s="22" t="n">
        <v>-1788</v>
      </c>
      <c r="J111" s="22" t="n">
        <v>4142</v>
      </c>
      <c r="K111" s="22" t="n">
        <v>17213</v>
      </c>
      <c r="L111" s="22" t="n">
        <v>62593</v>
      </c>
      <c r="M111" s="22" t="n">
        <v>8235</v>
      </c>
      <c r="N111" s="22" t="n">
        <v>153627</v>
      </c>
      <c r="V111" s="22" t="n">
        <v>19028</v>
      </c>
      <c r="W111" s="22" t="n">
        <v>-1788</v>
      </c>
      <c r="X111" s="22" t="n">
        <v>8235</v>
      </c>
    </row>
    <row r="112">
      <c r="A112" s="9" t="inlineStr">
        <is>
          <t>포괄이익</t>
        </is>
      </c>
      <c r="E112" s="12" t="n">
        <v>29281</v>
      </c>
      <c r="F112" s="12" t="n">
        <v>63925</v>
      </c>
      <c r="G112" s="12" t="n">
        <v>104260</v>
      </c>
      <c r="H112" s="12" t="n">
        <v>70918</v>
      </c>
      <c r="I112" s="12" t="n">
        <v>18478</v>
      </c>
      <c r="J112" s="12" t="n">
        <v>22415</v>
      </c>
      <c r="K112" s="12" t="n">
        <v>57883</v>
      </c>
      <c r="L112" s="12" t="n">
        <v>150407</v>
      </c>
      <c r="M112" s="12" t="n">
        <v>415974</v>
      </c>
      <c r="N112" s="12" t="n">
        <v>995798</v>
      </c>
      <c r="V112" s="12" t="n">
        <v>29281</v>
      </c>
      <c r="W112" s="12" t="n">
        <v>18478</v>
      </c>
      <c r="X112" s="12" t="n">
        <v>415974</v>
      </c>
    </row>
    <row r="113">
      <c r="A113" s="9" t="inlineStr">
        <is>
          <t>Comprehensive Income Attributable To Owners Of Parent</t>
        </is>
      </c>
      <c r="E113" s="12" t="n">
        <v>29272</v>
      </c>
      <c r="F113" s="12" t="n">
        <v>63919</v>
      </c>
      <c r="G113" s="12" t="n">
        <v>104272</v>
      </c>
      <c r="H113" s="12" t="n">
        <v>70902</v>
      </c>
      <c r="I113" s="12" t="n">
        <v>18488</v>
      </c>
      <c r="J113" s="12" t="n">
        <v>22413</v>
      </c>
      <c r="K113" s="12" t="n">
        <v>57877</v>
      </c>
      <c r="L113" s="12" t="n">
        <v>150401</v>
      </c>
      <c r="M113" s="12" t="n">
        <v>415969</v>
      </c>
      <c r="N113" s="12" t="n">
        <v>995790</v>
      </c>
      <c r="V113" s="12" t="n">
        <v>29272</v>
      </c>
      <c r="W113" s="12" t="n">
        <v>18488</v>
      </c>
      <c r="X113" s="12" t="n">
        <v>415969</v>
      </c>
    </row>
    <row r="114">
      <c r="A114" s="9" t="inlineStr">
        <is>
          <t>비지배지분</t>
        </is>
      </c>
      <c r="E114" s="12" t="n">
        <v>9</v>
      </c>
      <c r="F114" s="12" t="n">
        <v>6</v>
      </c>
      <c r="G114" s="12" t="n">
        <v>-12</v>
      </c>
      <c r="H114" s="12" t="n">
        <v>16</v>
      </c>
      <c r="I114" s="12" t="n">
        <v>-10</v>
      </c>
      <c r="J114" s="12" t="n">
        <v>2</v>
      </c>
      <c r="K114" s="12" t="n">
        <v>6</v>
      </c>
      <c r="L114" s="12" t="n">
        <v>6</v>
      </c>
      <c r="M114" s="12" t="n">
        <v>5</v>
      </c>
      <c r="N114" s="12" t="n">
        <v>8</v>
      </c>
      <c r="V114" s="12" t="n">
        <v>9</v>
      </c>
      <c r="W114" s="12" t="n">
        <v>-10</v>
      </c>
      <c r="X114" s="12" t="n">
        <v>5</v>
      </c>
    </row>
    <row r="116">
      <c r="A116" s="18" t="inlineStr">
        <is>
          <t>현금흐름표 · 전 항목</t>
        </is>
      </c>
      <c r="B116" s="44" t="inlineStr">
        <is>
          <t>분기 = 결산기 첫날부터 누계(공시 그대로)</t>
        </is>
      </c>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row>
    <row r="117">
      <c r="A117" s="5" t="inlineStr">
        <is>
          <t>항목</t>
        </is>
      </c>
      <c r="B117" s="5" t="inlineStr">
        <is>
          <t>참고</t>
        </is>
      </c>
      <c r="C117" s="5" t="inlineStr">
        <is>
          <t>2024.2Q</t>
        </is>
      </c>
      <c r="D117" s="5" t="inlineStr">
        <is>
          <t>2024.3Q</t>
        </is>
      </c>
      <c r="E117" s="5" t="inlineStr">
        <is>
          <t>2024.4Q</t>
        </is>
      </c>
      <c r="F117" s="5" t="inlineStr">
        <is>
          <t>2025.1Q</t>
        </is>
      </c>
      <c r="G117" s="5" t="inlineStr">
        <is>
          <t>2025.2Q</t>
        </is>
      </c>
      <c r="H117" s="5" t="inlineStr">
        <is>
          <t>2025.3Q</t>
        </is>
      </c>
      <c r="I117" s="5" t="inlineStr">
        <is>
          <t>2025.4Q</t>
        </is>
      </c>
      <c r="J117" s="5" t="inlineStr">
        <is>
          <t>2026.1Q</t>
        </is>
      </c>
      <c r="K117" s="5" t="inlineStr">
        <is>
          <t>2026.2Q</t>
        </is>
      </c>
      <c r="L117" s="5" t="inlineStr">
        <is>
          <t>2026.3Q</t>
        </is>
      </c>
      <c r="M117" s="5" t="inlineStr">
        <is>
          <t>2026.4Q</t>
        </is>
      </c>
      <c r="N117" s="5" t="inlineStr">
        <is>
          <t>2027.1Q</t>
        </is>
      </c>
      <c r="O117" s="5" t="inlineStr">
        <is>
          <t>2017</t>
        </is>
      </c>
      <c r="P117" s="5" t="inlineStr">
        <is>
          <t>2018</t>
        </is>
      </c>
      <c r="Q117" s="5" t="inlineStr">
        <is>
          <t>2019</t>
        </is>
      </c>
      <c r="R117" s="5" t="inlineStr">
        <is>
          <t>2020</t>
        </is>
      </c>
      <c r="S117" s="5" t="inlineStr">
        <is>
          <t>2021</t>
        </is>
      </c>
      <c r="T117" s="5" t="inlineStr">
        <is>
          <t>2022</t>
        </is>
      </c>
      <c r="U117" s="5" t="inlineStr">
        <is>
          <t>2023</t>
        </is>
      </c>
      <c r="V117" s="5" t="inlineStr">
        <is>
          <t>2024</t>
        </is>
      </c>
      <c r="W117" s="5" t="inlineStr">
        <is>
          <t>2025</t>
        </is>
      </c>
      <c r="X117" s="5" t="inlineStr">
        <is>
          <t>2026</t>
        </is>
      </c>
      <c r="Y117" s="5" t="inlineStr">
        <is>
          <t>2027(MW)</t>
        </is>
      </c>
      <c r="Z117" s="5" t="inlineStr">
        <is>
          <t>2028(MW)</t>
        </is>
      </c>
      <c r="AA117" s="5" t="inlineStr">
        <is>
          <t>2029(MW)</t>
        </is>
      </c>
      <c r="AB117" s="5" t="inlineStr">
        <is>
          <t>2030(MW)</t>
        </is>
      </c>
      <c r="AC117" s="5" t="inlineStr">
        <is>
          <t>2031(MW)</t>
        </is>
      </c>
    </row>
    <row r="118">
      <c r="A118" s="9" t="inlineStr">
        <is>
          <t>법인세비용차감전 중간이익</t>
        </is>
      </c>
      <c r="D118" s="12" t="n">
        <v>-360489</v>
      </c>
      <c r="E118" s="12" t="n">
        <v>-343330</v>
      </c>
      <c r="F118" s="12" t="n">
        <v>99746</v>
      </c>
      <c r="G118" s="12" t="n">
        <v>248919</v>
      </c>
      <c r="H118" s="12" t="n">
        <v>355606</v>
      </c>
      <c r="I118" s="12" t="n">
        <v>370669</v>
      </c>
      <c r="J118" s="12" t="n">
        <v>27294</v>
      </c>
      <c r="K118" s="12" t="n">
        <v>84010</v>
      </c>
      <c r="L118" s="12" t="n">
        <v>205750</v>
      </c>
      <c r="M118" s="12" t="n">
        <v>784095</v>
      </c>
      <c r="N118" s="12" t="n">
        <v>1234720</v>
      </c>
      <c r="V118" s="12" t="n">
        <v>-343330</v>
      </c>
      <c r="W118" s="12" t="n">
        <v>370669</v>
      </c>
      <c r="X118" s="12" t="n">
        <v>784095</v>
      </c>
    </row>
    <row r="119">
      <c r="A119" s="20" t="inlineStr">
        <is>
          <t>감가상각비 및 상각비</t>
        </is>
      </c>
      <c r="D119" s="22" t="n">
        <v>264473</v>
      </c>
      <c r="E119" s="22" t="n">
        <v>346066</v>
      </c>
      <c r="F119" s="22" t="n">
        <v>78493</v>
      </c>
      <c r="G119" s="22" t="n">
        <v>157685</v>
      </c>
      <c r="H119" s="22" t="n">
        <v>234796</v>
      </c>
      <c r="I119" s="22" t="n">
        <v>312307</v>
      </c>
      <c r="J119" s="22" t="n">
        <v>79987</v>
      </c>
      <c r="K119" s="22" t="n">
        <v>158839</v>
      </c>
      <c r="L119" s="22" t="n">
        <v>236419</v>
      </c>
      <c r="M119" s="22" t="n">
        <v>312826</v>
      </c>
      <c r="N119" s="22" t="n">
        <v>76082</v>
      </c>
      <c r="V119" s="22" t="n">
        <v>346066</v>
      </c>
      <c r="W119" s="22" t="n">
        <v>312307</v>
      </c>
      <c r="X119" s="22" t="n">
        <v>312826</v>
      </c>
    </row>
    <row r="120">
      <c r="A120" s="20" t="inlineStr">
        <is>
          <t>손상차손</t>
        </is>
      </c>
      <c r="D120" s="22" t="n">
        <v>437</v>
      </c>
      <c r="E120" s="22" t="n">
        <v>764</v>
      </c>
      <c r="F120" s="22" t="n">
        <v>2</v>
      </c>
      <c r="G120" s="22" t="n">
        <v>6</v>
      </c>
      <c r="H120" s="22" t="n">
        <v>11</v>
      </c>
      <c r="I120" s="22" t="n">
        <v>30</v>
      </c>
      <c r="J120" s="22" t="n">
        <v>70</v>
      </c>
      <c r="K120" s="22" t="n">
        <v>126</v>
      </c>
      <c r="L120" s="22" t="n">
        <v>214</v>
      </c>
      <c r="M120" s="22" t="n">
        <v>366</v>
      </c>
      <c r="N120" s="22" t="n">
        <v>29</v>
      </c>
      <c r="V120" s="22" t="n">
        <v>764</v>
      </c>
      <c r="W120" s="22" t="n">
        <v>30</v>
      </c>
      <c r="X120" s="22" t="n">
        <v>366</v>
      </c>
    </row>
    <row r="121">
      <c r="A121" s="20" t="inlineStr">
        <is>
          <t>금융수익</t>
        </is>
      </c>
      <c r="D121" s="22" t="n">
        <v>-1836</v>
      </c>
      <c r="E121" s="22" t="n">
        <v>-1847</v>
      </c>
      <c r="F121" s="22" t="n">
        <v>-199</v>
      </c>
      <c r="G121" s="22" t="n">
        <v>-1430</v>
      </c>
      <c r="H121" s="22" t="n">
        <v>-2565</v>
      </c>
      <c r="I121" s="22" t="n">
        <v>-3707</v>
      </c>
      <c r="J121" s="22" t="n">
        <v>-2398</v>
      </c>
      <c r="K121" s="22" t="n">
        <v>-1996</v>
      </c>
      <c r="L121" s="22" t="n">
        <v>-3604</v>
      </c>
      <c r="M121" s="22" t="n">
        <v>-9499</v>
      </c>
      <c r="N121" s="22" t="n">
        <v>-17170</v>
      </c>
      <c r="V121" s="22" t="n">
        <v>-1847</v>
      </c>
      <c r="W121" s="22" t="n">
        <v>-3707</v>
      </c>
      <c r="X121" s="22" t="n">
        <v>-9499</v>
      </c>
    </row>
    <row r="122">
      <c r="A122" s="20" t="inlineStr">
        <is>
          <t>금융비용</t>
        </is>
      </c>
      <c r="D122" s="22" t="n">
        <v>65884</v>
      </c>
      <c r="E122" s="22" t="n">
        <v>92740</v>
      </c>
      <c r="F122" s="22" t="n">
        <v>26192</v>
      </c>
      <c r="G122" s="22" t="n">
        <v>44474</v>
      </c>
      <c r="H122" s="22" t="n">
        <v>61902</v>
      </c>
      <c r="I122" s="22" t="n">
        <v>85328</v>
      </c>
      <c r="J122" s="22" t="n">
        <v>19860</v>
      </c>
      <c r="K122" s="22" t="n">
        <v>48962</v>
      </c>
      <c r="L122" s="22" t="n">
        <v>71731</v>
      </c>
      <c r="M122" s="22" t="n">
        <v>96708</v>
      </c>
      <c r="N122" s="22" t="n">
        <v>52801</v>
      </c>
      <c r="V122" s="22" t="n">
        <v>92740</v>
      </c>
      <c r="W122" s="22" t="n">
        <v>85328</v>
      </c>
      <c r="X122" s="22" t="n">
        <v>96708</v>
      </c>
    </row>
    <row r="123">
      <c r="A123" s="20" t="inlineStr">
        <is>
          <t>지분법손익</t>
        </is>
      </c>
      <c r="D123" s="22" t="n">
        <v>-115</v>
      </c>
      <c r="E123" s="22" t="n">
        <v>-261</v>
      </c>
      <c r="F123" s="22" t="n">
        <v>120</v>
      </c>
      <c r="G123" s="22" t="n">
        <v>-72</v>
      </c>
      <c r="H123" s="22" t="n">
        <v>-337</v>
      </c>
      <c r="I123" s="22" t="n">
        <v>-542</v>
      </c>
      <c r="J123" s="22" t="n">
        <v>143</v>
      </c>
      <c r="K123" s="22" t="n">
        <v>-156</v>
      </c>
      <c r="L123" s="22" t="n">
        <v>-303</v>
      </c>
      <c r="M123" s="22" t="n">
        <v>-935</v>
      </c>
      <c r="N123" s="22" t="n">
        <v>-334</v>
      </c>
      <c r="V123" s="22" t="n">
        <v>-261</v>
      </c>
      <c r="W123" s="22" t="n">
        <v>-542</v>
      </c>
      <c r="X123" s="22" t="n">
        <v>-935</v>
      </c>
    </row>
    <row r="124">
      <c r="A124" s="20" t="inlineStr">
        <is>
          <t>고정자산 제각·매각손익</t>
        </is>
      </c>
      <c r="D124" s="22" t="n">
        <v>1643</v>
      </c>
      <c r="E124" s="22" t="n">
        <v>-5691</v>
      </c>
      <c r="F124" s="22" t="n">
        <v>-419</v>
      </c>
      <c r="G124" s="22" t="n">
        <v>-825</v>
      </c>
      <c r="H124" s="22" t="n">
        <v>-3639</v>
      </c>
      <c r="I124" s="22" t="n">
        <v>-6883</v>
      </c>
      <c r="J124" s="22" t="n">
        <v>-2541</v>
      </c>
      <c r="K124" s="22" t="n">
        <v>-2154</v>
      </c>
      <c r="L124" s="22" t="n">
        <v>-1726</v>
      </c>
      <c r="M124" s="22" t="n">
        <v>-1168</v>
      </c>
      <c r="N124" s="22" t="n">
        <v>1096</v>
      </c>
      <c r="V124" s="22" t="n">
        <v>-5691</v>
      </c>
      <c r="W124" s="22" t="n">
        <v>-6883</v>
      </c>
      <c r="X124" s="22" t="n">
        <v>-1168</v>
      </c>
    </row>
    <row r="125">
      <c r="A125" s="20" t="inlineStr">
        <is>
          <t>재고자산 증감</t>
        </is>
      </c>
      <c r="D125" s="22" t="n">
        <v>141975</v>
      </c>
      <c r="E125" s="22" t="n">
        <v>94472</v>
      </c>
      <c r="F125" s="22" t="n">
        <v>-31702</v>
      </c>
      <c r="G125" s="22" t="n">
        <v>-61776</v>
      </c>
      <c r="H125" s="22" t="n">
        <v>-72670</v>
      </c>
      <c r="I125" s="22" t="n">
        <v>-82092</v>
      </c>
      <c r="J125" s="22" t="n">
        <v>-18336</v>
      </c>
      <c r="K125" s="22" t="n">
        <v>-7595</v>
      </c>
      <c r="L125" s="22" t="n">
        <v>1996</v>
      </c>
      <c r="M125" s="22" t="n">
        <v>-55765</v>
      </c>
      <c r="N125" s="22" t="n">
        <v>-23004</v>
      </c>
      <c r="V125" s="22" t="n">
        <v>94472</v>
      </c>
      <c r="W125" s="22" t="n">
        <v>-82092</v>
      </c>
      <c r="X125" s="22" t="n">
        <v>-55765</v>
      </c>
    </row>
    <row r="126">
      <c r="A126" s="20" t="inlineStr">
        <is>
          <t>매출채권 및 기타채권 증감액</t>
        </is>
      </c>
      <c r="D126" s="22" t="n">
        <v>-17551</v>
      </c>
      <c r="E126" s="22" t="n">
        <v>-24412</v>
      </c>
      <c r="F126" s="22" t="n">
        <v>-48364</v>
      </c>
      <c r="G126" s="22" t="n">
        <v>-80459</v>
      </c>
      <c r="H126" s="22" t="n">
        <v>-187030</v>
      </c>
      <c r="I126" s="22" t="n">
        <v>-89361</v>
      </c>
      <c r="J126" s="22" t="n">
        <v>24831</v>
      </c>
      <c r="K126" s="22" t="n">
        <v>4191</v>
      </c>
      <c r="L126" s="22" t="n">
        <v>-94645</v>
      </c>
      <c r="M126" s="22" t="n">
        <v>-397696</v>
      </c>
      <c r="N126" s="22" t="n">
        <v>-472052</v>
      </c>
      <c r="V126" s="22" t="n">
        <v>-24412</v>
      </c>
      <c r="W126" s="22" t="n">
        <v>-89361</v>
      </c>
      <c r="X126" s="22" t="n">
        <v>-397696</v>
      </c>
    </row>
    <row r="127">
      <c r="A127" s="20" t="inlineStr">
        <is>
          <t>매입채무 및 기타채무 증감액</t>
        </is>
      </c>
      <c r="D127" s="22" t="n">
        <v>33083</v>
      </c>
      <c r="E127" s="22" t="n">
        <v>75944</v>
      </c>
      <c r="F127" s="22" t="n">
        <v>45954</v>
      </c>
      <c r="G127" s="22" t="n">
        <v>36941</v>
      </c>
      <c r="H127" s="22" t="n">
        <v>66489</v>
      </c>
      <c r="I127" s="22" t="n">
        <v>-12373</v>
      </c>
      <c r="J127" s="22" t="n">
        <v>-8946</v>
      </c>
      <c r="K127" s="22" t="n">
        <v>14878</v>
      </c>
      <c r="L127" s="22" t="n">
        <v>77437</v>
      </c>
      <c r="M127" s="22" t="n">
        <v>53165</v>
      </c>
      <c r="N127" s="22" t="n">
        <v>14329</v>
      </c>
      <c r="V127" s="22" t="n">
        <v>75944</v>
      </c>
      <c r="W127" s="22" t="n">
        <v>-12373</v>
      </c>
      <c r="X127" s="22" t="n">
        <v>53165</v>
      </c>
    </row>
    <row r="128">
      <c r="A128" s="20" t="inlineStr">
        <is>
          <t>퇴직급여부채 증감</t>
        </is>
      </c>
      <c r="D128" s="22" t="n">
        <v>821</v>
      </c>
      <c r="E128" s="22" t="n">
        <v>-1652</v>
      </c>
      <c r="F128" s="22" t="n">
        <v>280</v>
      </c>
      <c r="G128" s="22" t="n">
        <v>435</v>
      </c>
      <c r="H128" s="22" t="n">
        <v>470</v>
      </c>
      <c r="I128" s="22" t="n">
        <v>376</v>
      </c>
      <c r="J128" s="22" t="n">
        <v>-161</v>
      </c>
      <c r="K128" s="22" t="n">
        <v>-342</v>
      </c>
      <c r="L128" s="22" t="n">
        <v>-416</v>
      </c>
      <c r="M128" s="22" t="n">
        <v>-744</v>
      </c>
      <c r="N128" s="22" t="n">
        <v>-29</v>
      </c>
      <c r="V128" s="22" t="n">
        <v>-1652</v>
      </c>
      <c r="W128" s="22" t="n">
        <v>376</v>
      </c>
      <c r="X128" s="22" t="n">
        <v>-744</v>
      </c>
    </row>
    <row r="129">
      <c r="A129" s="20" t="inlineStr">
        <is>
          <t>기타</t>
        </is>
      </c>
      <c r="D129" s="22" t="n">
        <v>-476</v>
      </c>
      <c r="E129" s="22" t="n">
        <v>-4297</v>
      </c>
      <c r="F129" s="22" t="n">
        <v>-23590</v>
      </c>
      <c r="G129" s="22" t="n">
        <v>-34287</v>
      </c>
      <c r="H129" s="22" t="n">
        <v>-600</v>
      </c>
      <c r="I129" s="22" t="n">
        <v>-8700</v>
      </c>
      <c r="J129" s="22" t="n">
        <v>10611</v>
      </c>
      <c r="K129" s="22" t="n">
        <v>-20193</v>
      </c>
      <c r="L129" s="22" t="n">
        <v>-40437</v>
      </c>
      <c r="M129" s="22" t="n">
        <v>-20703</v>
      </c>
      <c r="N129" s="22" t="n">
        <v>105854</v>
      </c>
      <c r="V129" s="22" t="n">
        <v>-4297</v>
      </c>
      <c r="W129" s="22" t="n">
        <v>-8700</v>
      </c>
      <c r="X129" s="22" t="n">
        <v>-20703</v>
      </c>
    </row>
    <row r="130">
      <c r="A130" s="20" t="inlineStr">
        <is>
          <t>소계</t>
        </is>
      </c>
      <c r="D130" s="22" t="n">
        <v>127849</v>
      </c>
      <c r="E130" s="22" t="n">
        <v>228496</v>
      </c>
      <c r="F130" s="22" t="n">
        <v>146513</v>
      </c>
      <c r="G130" s="22" t="n">
        <v>309611</v>
      </c>
      <c r="H130" s="22" t="n">
        <v>452433</v>
      </c>
      <c r="I130" s="22" t="n">
        <v>565052</v>
      </c>
      <c r="J130" s="22" t="n">
        <v>130414</v>
      </c>
      <c r="K130" s="22" t="n">
        <v>278570</v>
      </c>
      <c r="L130" s="22" t="n">
        <v>452416</v>
      </c>
      <c r="M130" s="22" t="n">
        <v>760650</v>
      </c>
      <c r="N130" s="22" t="n">
        <v>972322</v>
      </c>
      <c r="V130" s="22" t="n">
        <v>228496</v>
      </c>
      <c r="W130" s="22" t="n">
        <v>565052</v>
      </c>
      <c r="X130" s="22" t="n">
        <v>760650</v>
      </c>
    </row>
    <row r="131">
      <c r="A131" s="20" t="inlineStr">
        <is>
          <t>이자·배당금 수취</t>
        </is>
      </c>
      <c r="D131" s="22" t="n">
        <v>2132</v>
      </c>
      <c r="E131" s="22" t="n">
        <v>2717</v>
      </c>
      <c r="F131" s="22" t="n">
        <v>294</v>
      </c>
      <c r="G131" s="22" t="n">
        <v>1513</v>
      </c>
      <c r="H131" s="22" t="n">
        <v>2010</v>
      </c>
      <c r="I131" s="22" t="n">
        <v>3366</v>
      </c>
      <c r="J131" s="22" t="n">
        <v>248</v>
      </c>
      <c r="K131" s="22" t="n">
        <v>2246</v>
      </c>
      <c r="L131" s="22" t="n">
        <v>3042</v>
      </c>
      <c r="M131" s="22" t="n">
        <v>4019</v>
      </c>
      <c r="N131" s="22" t="n">
        <v>387</v>
      </c>
      <c r="V131" s="22" t="n">
        <v>2717</v>
      </c>
      <c r="W131" s="22" t="n">
        <v>3366</v>
      </c>
      <c r="X131" s="22" t="n">
        <v>4019</v>
      </c>
    </row>
    <row r="132">
      <c r="A132" s="20" t="inlineStr">
        <is>
          <t>이자 지급</t>
        </is>
      </c>
      <c r="D132" s="22" t="n">
        <v>-23419</v>
      </c>
      <c r="E132" s="22" t="n">
        <v>-32333</v>
      </c>
      <c r="F132" s="22" t="n">
        <v>-46628</v>
      </c>
      <c r="G132" s="22" t="n">
        <v>-63171</v>
      </c>
      <c r="H132" s="22" t="n">
        <v>-73309</v>
      </c>
      <c r="I132" s="22" t="n">
        <v>-82409</v>
      </c>
      <c r="J132" s="22" t="n">
        <v>-32733</v>
      </c>
      <c r="K132" s="22" t="n">
        <v>-67405</v>
      </c>
      <c r="L132" s="22" t="n">
        <v>-75208</v>
      </c>
      <c r="M132" s="22" t="n">
        <v>-88709</v>
      </c>
      <c r="N132" s="22" t="n">
        <v>-5839</v>
      </c>
      <c r="V132" s="22" t="n">
        <v>-32333</v>
      </c>
      <c r="W132" s="22" t="n">
        <v>-82409</v>
      </c>
      <c r="X132" s="22" t="n">
        <v>-88709</v>
      </c>
    </row>
    <row r="133">
      <c r="A133" s="20" t="inlineStr">
        <is>
          <t>Income Taxes Refund Paid Ope CF</t>
        </is>
      </c>
      <c r="D133" s="22" t="n">
        <v>-4677</v>
      </c>
      <c r="E133" s="22" t="n">
        <v>-3769</v>
      </c>
      <c r="F133" s="22" t="n">
        <v>-5037</v>
      </c>
      <c r="G133" s="22" t="n">
        <v>-6088</v>
      </c>
      <c r="H133" s="22" t="n">
        <v>-8574</v>
      </c>
      <c r="I133" s="22" t="n">
        <v>-9593</v>
      </c>
      <c r="J133" s="22" t="n">
        <v>-36823</v>
      </c>
      <c r="K133" s="22" t="n">
        <v>-38259</v>
      </c>
      <c r="L133" s="22" t="n">
        <v>-58083</v>
      </c>
      <c r="M133" s="22" t="n">
        <v>-59420</v>
      </c>
      <c r="N133" s="22" t="n">
        <v>-100533</v>
      </c>
      <c r="V133" s="22" t="n">
        <v>-3769</v>
      </c>
      <c r="W133" s="22" t="n">
        <v>-9593</v>
      </c>
      <c r="X133" s="22" t="n">
        <v>-59420</v>
      </c>
    </row>
    <row r="134">
      <c r="A134" s="9" t="inlineStr">
        <is>
          <t>영업활동 현금흐름</t>
        </is>
      </c>
      <c r="D134" s="12" t="n">
        <v>101885</v>
      </c>
      <c r="E134" s="12" t="n">
        <v>195111</v>
      </c>
      <c r="F134" s="12" t="n">
        <v>95142</v>
      </c>
      <c r="G134" s="12" t="n">
        <v>241865</v>
      </c>
      <c r="H134" s="12" t="n">
        <v>372560</v>
      </c>
      <c r="I134" s="12" t="n">
        <v>476416</v>
      </c>
      <c r="J134" s="12" t="n">
        <v>61106</v>
      </c>
      <c r="K134" s="12" t="n">
        <v>175152</v>
      </c>
      <c r="L134" s="12" t="n">
        <v>322167</v>
      </c>
      <c r="M134" s="12" t="n">
        <v>616540</v>
      </c>
      <c r="N134" s="12" t="n">
        <v>866337</v>
      </c>
      <c r="V134" s="12" t="n">
        <v>195111</v>
      </c>
      <c r="W134" s="12" t="n">
        <v>476416</v>
      </c>
      <c r="X134" s="12" t="n">
        <v>616540</v>
      </c>
    </row>
    <row r="135">
      <c r="A135" s="20" t="inlineStr">
        <is>
          <t>유형자산 취득(설비투자)</t>
        </is>
      </c>
      <c r="D135" s="22" t="n">
        <v>-261095</v>
      </c>
      <c r="E135" s="22" t="n">
        <v>-304436</v>
      </c>
      <c r="F135" s="22" t="n">
        <v>-46091</v>
      </c>
      <c r="G135" s="22" t="n">
        <v>-87252</v>
      </c>
      <c r="H135" s="22" t="n">
        <v>-145000</v>
      </c>
      <c r="I135" s="22" t="n">
        <v>-223847</v>
      </c>
      <c r="J135" s="22" t="n">
        <v>-52512</v>
      </c>
      <c r="K135" s="22" t="n">
        <v>-143127</v>
      </c>
      <c r="L135" s="22" t="n">
        <v>-213688</v>
      </c>
      <c r="M135" s="22" t="n">
        <v>-281062</v>
      </c>
      <c r="N135" s="22" t="n">
        <v>-51176</v>
      </c>
      <c r="V135" s="22" t="n">
        <v>-304436</v>
      </c>
      <c r="W135" s="22" t="n">
        <v>-223847</v>
      </c>
      <c r="X135" s="22" t="n">
        <v>-281062</v>
      </c>
    </row>
    <row r="136">
      <c r="A136" s="20" t="inlineStr">
        <is>
          <t>유형자산 매각</t>
        </is>
      </c>
      <c r="D136" s="22" t="n">
        <v>1554</v>
      </c>
      <c r="E136" s="22" t="n">
        <v>11346</v>
      </c>
      <c r="F136" s="22" t="n">
        <v>724</v>
      </c>
      <c r="G136" s="22" t="n">
        <v>1623</v>
      </c>
      <c r="H136" s="22" t="n">
        <v>4072</v>
      </c>
      <c r="I136" s="22" t="n">
        <v>8820</v>
      </c>
      <c r="J136" s="22" t="n">
        <v>3945</v>
      </c>
      <c r="K136" s="22" t="n">
        <v>4820</v>
      </c>
      <c r="L136" s="22" t="n">
        <v>5847</v>
      </c>
      <c r="M136" s="22" t="n">
        <v>6254</v>
      </c>
      <c r="N136" s="22" t="n">
        <v>1217</v>
      </c>
      <c r="V136" s="22" t="n">
        <v>11346</v>
      </c>
      <c r="W136" s="22" t="n">
        <v>8820</v>
      </c>
      <c r="X136" s="22" t="n">
        <v>6254</v>
      </c>
    </row>
    <row r="137">
      <c r="A137" s="20" t="inlineStr">
        <is>
          <t>무형자산 취득 지출</t>
        </is>
      </c>
      <c r="D137" s="22" t="n">
        <v>-529</v>
      </c>
      <c r="E137" s="22" t="n">
        <v>-661</v>
      </c>
      <c r="F137" s="22" t="n">
        <v>-75</v>
      </c>
      <c r="G137" s="22" t="n">
        <v>-204</v>
      </c>
      <c r="H137" s="22" t="n">
        <v>-302</v>
      </c>
      <c r="I137" s="22" t="n">
        <v>-1756</v>
      </c>
      <c r="J137" s="22" t="n">
        <v>-1065</v>
      </c>
      <c r="K137" s="22" t="n">
        <v>-1923</v>
      </c>
      <c r="L137" s="22" t="n">
        <v>-2295</v>
      </c>
      <c r="M137" s="22" t="n">
        <v>-2612</v>
      </c>
      <c r="N137" s="22" t="n">
        <v>-1226</v>
      </c>
      <c r="V137" s="22" t="n">
        <v>-661</v>
      </c>
      <c r="W137" s="22" t="n">
        <v>-1756</v>
      </c>
      <c r="X137" s="22" t="n">
        <v>-2612</v>
      </c>
    </row>
    <row r="138">
      <c r="A138" s="20" t="inlineStr">
        <is>
          <t>Proceeds From Government Grants Inv CFIFRS</t>
        </is>
      </c>
      <c r="F138" s="22" t="n">
        <v>14398</v>
      </c>
      <c r="J138" s="22" t="n">
        <v>15525</v>
      </c>
    </row>
    <row r="139">
      <c r="A139" s="20" t="inlineStr">
        <is>
          <t>Proceeds From Government Grants Inv CF</t>
        </is>
      </c>
      <c r="D139" s="22" t="n">
        <v>10846</v>
      </c>
      <c r="E139" s="22" t="n">
        <v>18562</v>
      </c>
      <c r="G139" s="22" t="n">
        <v>22966</v>
      </c>
      <c r="H139" s="22" t="n">
        <v>25436</v>
      </c>
      <c r="I139" s="22" t="n">
        <v>43748</v>
      </c>
      <c r="J139" s="22" t="n">
        <v>15525</v>
      </c>
      <c r="K139" s="22" t="n">
        <v>33355</v>
      </c>
      <c r="L139" s="22" t="n">
        <v>41934</v>
      </c>
      <c r="M139" s="22" t="n">
        <v>56396</v>
      </c>
      <c r="N139" s="22" t="n">
        <v>12026</v>
      </c>
      <c r="V139" s="22" t="n">
        <v>18562</v>
      </c>
      <c r="W139" s="22" t="n">
        <v>43748</v>
      </c>
      <c r="X139" s="22" t="n">
        <v>56396</v>
      </c>
    </row>
    <row r="140">
      <c r="A140" s="20" t="inlineStr">
        <is>
          <t>Purchase Of Other Financial Assets Inv CF</t>
        </is>
      </c>
      <c r="J140" s="22" t="n">
        <v>0</v>
      </c>
      <c r="N140" s="22" t="n">
        <v>-78220</v>
      </c>
    </row>
    <row r="141">
      <c r="A141" s="20" t="inlineStr">
        <is>
          <t>기타</t>
        </is>
      </c>
      <c r="D141" s="22" t="n">
        <v>119</v>
      </c>
      <c r="E141" s="22" t="n">
        <v>336</v>
      </c>
      <c r="F141" s="22" t="n">
        <v>6</v>
      </c>
      <c r="G141" s="22" t="n">
        <v>25</v>
      </c>
      <c r="H141" s="22" t="n">
        <v>36</v>
      </c>
      <c r="I141" s="22" t="n">
        <v>24</v>
      </c>
      <c r="J141" s="22" t="n">
        <v>-15</v>
      </c>
      <c r="K141" s="22" t="n">
        <v>-7</v>
      </c>
      <c r="L141" s="22" t="n">
        <v>10</v>
      </c>
      <c r="M141" s="22" t="n">
        <v>-488</v>
      </c>
      <c r="N141" s="22" t="n">
        <v>61</v>
      </c>
      <c r="V141" s="22" t="n">
        <v>336</v>
      </c>
      <c r="W141" s="22" t="n">
        <v>24</v>
      </c>
      <c r="X141" s="22" t="n">
        <v>-488</v>
      </c>
    </row>
    <row r="142">
      <c r="A142" s="9" t="inlineStr">
        <is>
          <t>투자활동 현금흐름</t>
        </is>
      </c>
      <c r="D142" s="12" t="n">
        <v>-249105</v>
      </c>
      <c r="E142" s="12" t="n">
        <v>-274853</v>
      </c>
      <c r="F142" s="12" t="n">
        <v>-31038</v>
      </c>
      <c r="G142" s="12" t="n">
        <v>-62842</v>
      </c>
      <c r="H142" s="12" t="n">
        <v>-115758</v>
      </c>
      <c r="I142" s="12" t="n">
        <v>-173011</v>
      </c>
      <c r="J142" s="12" t="n">
        <v>-34122</v>
      </c>
      <c r="K142" s="12" t="n">
        <v>-106882</v>
      </c>
      <c r="L142" s="12" t="n">
        <v>-168192</v>
      </c>
      <c r="M142" s="12" t="n">
        <v>-221512</v>
      </c>
      <c r="N142" s="12" t="n">
        <v>-117318</v>
      </c>
      <c r="V142" s="12" t="n">
        <v>-274853</v>
      </c>
      <c r="W142" s="12" t="n">
        <v>-173011</v>
      </c>
      <c r="X142" s="12" t="n">
        <v>-221512</v>
      </c>
    </row>
    <row r="143">
      <c r="A143" s="20" t="inlineStr">
        <is>
          <t>Net Increase Decrease In Short Term Borrowings And Revolving Credit Facility Balances Executed Fin CF</t>
        </is>
      </c>
      <c r="G143" s="22" t="n">
        <v>-93806</v>
      </c>
      <c r="H143" s="22" t="n">
        <v>-126400</v>
      </c>
      <c r="I143" s="22" t="n">
        <v>-126400</v>
      </c>
      <c r="K143" s="22" t="n">
        <v>0</v>
      </c>
      <c r="L143" s="22" t="n">
        <v>0</v>
      </c>
      <c r="M143" s="22" t="n">
        <v>0</v>
      </c>
      <c r="W143" s="22" t="n">
        <v>-126400</v>
      </c>
      <c r="X143" s="22" t="n">
        <v>0</v>
      </c>
    </row>
    <row r="144">
      <c r="A144" s="20" t="inlineStr">
        <is>
          <t>단기차입금 순증감</t>
        </is>
      </c>
      <c r="D144" s="22" t="n">
        <v>191065</v>
      </c>
      <c r="E144" s="22" t="n">
        <v>91082</v>
      </c>
      <c r="F144" s="22" t="n">
        <v>-12564</v>
      </c>
      <c r="H144" s="22" t="n">
        <v>-126400</v>
      </c>
      <c r="I144" s="22" t="n">
        <v>-126400</v>
      </c>
      <c r="J144" s="22" t="n">
        <v>10000</v>
      </c>
      <c r="N144" s="22" t="n">
        <v>0</v>
      </c>
      <c r="V144" s="22" t="n">
        <v>91082</v>
      </c>
      <c r="W144" s="22" t="n">
        <v>-126400</v>
      </c>
    </row>
    <row r="145">
      <c r="A145" s="20" t="inlineStr">
        <is>
          <t>Proceeds From Long Term Borrowings Fin CF</t>
        </is>
      </c>
      <c r="D145" s="22" t="n">
        <v>95438</v>
      </c>
      <c r="E145" s="22" t="n">
        <v>168148</v>
      </c>
      <c r="F145" s="22" t="n">
        <v>12749</v>
      </c>
      <c r="G145" s="22" t="n">
        <v>26448</v>
      </c>
      <c r="H145" s="22" t="n">
        <v>47667</v>
      </c>
      <c r="I145" s="22" t="n">
        <v>68020</v>
      </c>
      <c r="J145" s="22" t="n">
        <v>43487</v>
      </c>
      <c r="K145" s="22" t="n">
        <v>507212</v>
      </c>
      <c r="L145" s="22" t="n">
        <v>516161</v>
      </c>
      <c r="M145" s="22" t="n">
        <v>535637</v>
      </c>
      <c r="N145" s="22" t="n">
        <v>7498</v>
      </c>
      <c r="V145" s="22" t="n">
        <v>168148</v>
      </c>
      <c r="W145" s="22" t="n">
        <v>68020</v>
      </c>
      <c r="X145" s="22" t="n">
        <v>535637</v>
      </c>
    </row>
    <row r="146">
      <c r="A146" s="20" t="inlineStr">
        <is>
          <t>장기차입금 상환</t>
        </is>
      </c>
      <c r="D146" s="22" t="n">
        <v>-171143</v>
      </c>
      <c r="E146" s="22" t="n">
        <v>-228461</v>
      </c>
      <c r="F146" s="22" t="n">
        <v>-77151</v>
      </c>
      <c r="G146" s="22" t="n">
        <v>-140137</v>
      </c>
      <c r="H146" s="22" t="n">
        <v>-202745</v>
      </c>
      <c r="I146" s="22" t="n">
        <v>-265879</v>
      </c>
      <c r="J146" s="22" t="n">
        <v>-63499</v>
      </c>
      <c r="K146" s="22" t="n">
        <v>-498817</v>
      </c>
      <c r="L146" s="22" t="n">
        <v>-549792</v>
      </c>
      <c r="M146" s="22" t="n">
        <v>-616429</v>
      </c>
      <c r="N146" s="22" t="n">
        <v>-433226</v>
      </c>
      <c r="V146" s="22" t="n">
        <v>-228461</v>
      </c>
      <c r="W146" s="22" t="n">
        <v>-265879</v>
      </c>
      <c r="X146" s="22" t="n">
        <v>-616429</v>
      </c>
    </row>
    <row r="147">
      <c r="A147" s="20" t="inlineStr">
        <is>
          <t>사채 발행</t>
        </is>
      </c>
      <c r="G147" s="22" t="n">
        <v>0</v>
      </c>
      <c r="H147" s="22" t="n">
        <v>0</v>
      </c>
      <c r="I147" s="22" t="n">
        <v>0</v>
      </c>
      <c r="K147" s="22" t="n">
        <v>326656</v>
      </c>
      <c r="L147" s="22" t="n">
        <v>326656</v>
      </c>
      <c r="M147" s="22" t="n">
        <v>326656</v>
      </c>
      <c r="W147" s="22" t="n">
        <v>0</v>
      </c>
      <c r="X147" s="22" t="n">
        <v>326656</v>
      </c>
    </row>
    <row r="148">
      <c r="A148" s="20" t="inlineStr">
        <is>
          <t>리스부채 상환 지출</t>
        </is>
      </c>
      <c r="D148" s="22" t="n">
        <v>-20651</v>
      </c>
      <c r="E148" s="22" t="n">
        <v>-27531</v>
      </c>
      <c r="F148" s="22" t="n">
        <v>-7191</v>
      </c>
      <c r="G148" s="22" t="n">
        <v>-14223</v>
      </c>
      <c r="H148" s="22" t="n">
        <v>-20666</v>
      </c>
      <c r="I148" s="22" t="n">
        <v>-28787</v>
      </c>
      <c r="J148" s="22" t="n">
        <v>-7455</v>
      </c>
      <c r="K148" s="22" t="n">
        <v>-14712</v>
      </c>
      <c r="L148" s="22" t="n">
        <v>-22554</v>
      </c>
      <c r="M148" s="22" t="n">
        <v>-30528</v>
      </c>
      <c r="N148" s="22" t="n">
        <v>-7929</v>
      </c>
      <c r="V148" s="22" t="n">
        <v>-27531</v>
      </c>
      <c r="W148" s="22" t="n">
        <v>-28787</v>
      </c>
      <c r="X148" s="22" t="n">
        <v>-30528</v>
      </c>
    </row>
    <row r="149">
      <c r="A149" s="20" t="inlineStr">
        <is>
          <t>Redemption Of Preferred Shares Fin CF</t>
        </is>
      </c>
      <c r="G149" s="22" t="n">
        <v>0</v>
      </c>
      <c r="H149" s="22" t="n">
        <v>0</v>
      </c>
      <c r="I149" s="22" t="n">
        <v>0</v>
      </c>
      <c r="K149" s="22" t="n">
        <v>-322996</v>
      </c>
      <c r="L149" s="22" t="n">
        <v>-322996</v>
      </c>
      <c r="M149" s="22" t="n">
        <v>-322996</v>
      </c>
      <c r="W149" s="22" t="n">
        <v>0</v>
      </c>
      <c r="X149" s="22" t="n">
        <v>-322996</v>
      </c>
    </row>
    <row r="150">
      <c r="A150" s="20" t="inlineStr">
        <is>
          <t>주식 발행</t>
        </is>
      </c>
      <c r="D150" s="22" t="n">
        <v>0</v>
      </c>
      <c r="E150" s="22" t="n">
        <v>0</v>
      </c>
      <c r="F150" s="22" t="n">
        <v>0</v>
      </c>
      <c r="G150" s="22" t="n">
        <v>0</v>
      </c>
      <c r="H150" s="22" t="n">
        <v>29879</v>
      </c>
      <c r="I150" s="22" t="n">
        <v>30367</v>
      </c>
      <c r="J150" s="22" t="n">
        <v>190</v>
      </c>
      <c r="K150" s="22" t="n">
        <v>651</v>
      </c>
      <c r="L150" s="22" t="n">
        <v>8891</v>
      </c>
      <c r="M150" s="22" t="n">
        <v>11588</v>
      </c>
      <c r="N150" s="22" t="n">
        <v>3311</v>
      </c>
      <c r="V150" s="22" t="n">
        <v>0</v>
      </c>
      <c r="W150" s="22" t="n">
        <v>30367</v>
      </c>
      <c r="X150" s="22" t="n">
        <v>11588</v>
      </c>
    </row>
    <row r="151">
      <c r="A151" s="20" t="inlineStr">
        <is>
          <t>자기주식 취득</t>
        </is>
      </c>
      <c r="H151" s="22" t="n">
        <v>0</v>
      </c>
      <c r="I151" s="22" t="n">
        <v>0</v>
      </c>
      <c r="J151" s="22" t="n">
        <v>0</v>
      </c>
      <c r="L151" s="22" t="n">
        <v>-0</v>
      </c>
      <c r="M151" s="22" t="n">
        <v>-2</v>
      </c>
      <c r="N151" s="22" t="n">
        <v>-18</v>
      </c>
      <c r="W151" s="22" t="n">
        <v>0</v>
      </c>
      <c r="X151" s="22" t="n">
        <v>-2</v>
      </c>
    </row>
    <row r="152">
      <c r="A152" s="9" t="inlineStr">
        <is>
          <t>재무활동 현금흐름</t>
        </is>
      </c>
      <c r="D152" s="12" t="n">
        <v>94709</v>
      </c>
      <c r="E152" s="12" t="n">
        <v>3238</v>
      </c>
      <c r="F152" s="12" t="n">
        <v>-84157</v>
      </c>
      <c r="G152" s="12" t="n">
        <v>-221718</v>
      </c>
      <c r="H152" s="12" t="n">
        <v>-272265</v>
      </c>
      <c r="I152" s="12" t="n">
        <v>-322679</v>
      </c>
      <c r="J152" s="12" t="n">
        <v>-17277</v>
      </c>
      <c r="K152" s="12" t="n">
        <v>-2006</v>
      </c>
      <c r="L152" s="12" t="n">
        <v>-43634</v>
      </c>
      <c r="M152" s="12" t="n">
        <v>-96074</v>
      </c>
      <c r="N152" s="12" t="n">
        <v>-430364</v>
      </c>
      <c r="V152" s="12" t="n">
        <v>3238</v>
      </c>
      <c r="W152" s="12" t="n">
        <v>-322679</v>
      </c>
      <c r="X152" s="12" t="n">
        <v>-96074</v>
      </c>
    </row>
    <row r="153">
      <c r="A153" s="20" t="inlineStr">
        <is>
          <t>현금성자산 환산차이</t>
        </is>
      </c>
      <c r="D153" s="22" t="n">
        <v>874</v>
      </c>
      <c r="E153" s="22" t="n">
        <v>2746</v>
      </c>
      <c r="F153" s="22" t="n">
        <v>2533</v>
      </c>
      <c r="G153" s="22" t="n">
        <v>-1204</v>
      </c>
      <c r="H153" s="22" t="n">
        <v>2170</v>
      </c>
      <c r="I153" s="22" t="n">
        <v>-387</v>
      </c>
      <c r="J153" s="22" t="n">
        <v>782</v>
      </c>
      <c r="K153" s="22" t="n">
        <v>1350</v>
      </c>
      <c r="L153" s="22" t="n">
        <v>3254</v>
      </c>
      <c r="M153" s="22" t="n">
        <v>3821</v>
      </c>
      <c r="N153" s="22" t="n">
        <v>1652</v>
      </c>
      <c r="V153" s="22" t="n">
        <v>2746</v>
      </c>
      <c r="W153" s="22" t="n">
        <v>-387</v>
      </c>
      <c r="X153" s="22" t="n">
        <v>3821</v>
      </c>
    </row>
    <row r="154">
      <c r="A154" s="20" t="inlineStr">
        <is>
          <t>현금성자산 증감</t>
        </is>
      </c>
      <c r="D154" s="22" t="n">
        <v>-51637</v>
      </c>
      <c r="E154" s="22" t="n">
        <v>-73758</v>
      </c>
      <c r="F154" s="22" t="n">
        <v>-17520</v>
      </c>
      <c r="G154" s="22" t="n">
        <v>-43899</v>
      </c>
      <c r="H154" s="22" t="n">
        <v>-13293</v>
      </c>
      <c r="I154" s="22" t="n">
        <v>-19661</v>
      </c>
      <c r="J154" s="22" t="n">
        <v>10489</v>
      </c>
      <c r="K154" s="22" t="n">
        <v>67614</v>
      </c>
      <c r="L154" s="22" t="n">
        <v>113595</v>
      </c>
      <c r="M154" s="22" t="n">
        <v>302775</v>
      </c>
      <c r="N154" s="22" t="n">
        <v>320307</v>
      </c>
      <c r="V154" s="22" t="n">
        <v>-73758</v>
      </c>
      <c r="W154" s="22" t="n">
        <v>-19661</v>
      </c>
      <c r="X154" s="22" t="n">
        <v>302775</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11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s>
  <sheetData>
    <row r="1" ht="30" customHeight="1">
      <c r="A1" s="1" t="inlineStr">
        <is>
          <t>285A 재무상태표</t>
        </is>
      </c>
    </row>
    <row r="2">
      <c r="A2" s="46"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2024</t>
        </is>
      </c>
      <c r="I3" s="5" t="inlineStr">
        <is>
          <t>2025</t>
        </is>
      </c>
      <c r="J3" s="5" t="inlineStr">
        <is>
          <t>2026</t>
        </is>
      </c>
    </row>
    <row r="4">
      <c r="A4" s="18" t="inlineStr">
        <is>
          <t>자산</t>
        </is>
      </c>
      <c r="B4" s="18" t="n"/>
      <c r="C4" s="19" t="n"/>
      <c r="D4" s="18" t="n"/>
      <c r="E4" s="18" t="n"/>
      <c r="F4" s="18" t="n"/>
      <c r="G4" s="18" t="n"/>
      <c r="H4" s="19" t="n"/>
      <c r="I4" s="18" t="n"/>
      <c r="J4" s="18" t="n"/>
    </row>
    <row r="5">
      <c r="A5" s="9" t="inlineStr">
        <is>
          <t>유동자산</t>
        </is>
      </c>
      <c r="B5" s="10" t="n"/>
      <c r="C5" s="11" t="n">
        <v>890275</v>
      </c>
      <c r="D5" s="12" t="n"/>
      <c r="E5" s="12" t="n">
        <v>1059602</v>
      </c>
      <c r="F5" s="12" t="n">
        <v>1617829</v>
      </c>
      <c r="G5" s="12" t="n">
        <v>2471978</v>
      </c>
      <c r="H5" s="11" t="n">
        <v>651375</v>
      </c>
      <c r="I5" s="12" t="n">
        <v>806709</v>
      </c>
      <c r="J5" s="12" t="n">
        <v>1617829</v>
      </c>
    </row>
    <row r="6">
      <c r="A6" s="20" t="inlineStr">
        <is>
          <t>현금및현금성자산</t>
        </is>
      </c>
      <c r="B6" s="10" t="n"/>
      <c r="C6" s="21" t="n">
        <v>235546</v>
      </c>
      <c r="D6" s="22" t="n"/>
      <c r="E6" s="22" t="n">
        <v>281527</v>
      </c>
      <c r="F6" s="22" t="n">
        <v>470707</v>
      </c>
      <c r="G6" s="22" t="n">
        <v>791014</v>
      </c>
      <c r="H6" s="21" t="n">
        <v>187593</v>
      </c>
      <c r="I6" s="22" t="n">
        <v>167932</v>
      </c>
      <c r="J6" s="22" t="n">
        <v>470707</v>
      </c>
    </row>
    <row r="7">
      <c r="A7" s="20" t="inlineStr">
        <is>
          <t>단기금융상품</t>
        </is>
      </c>
      <c r="B7" s="10" t="n"/>
      <c r="C7" s="21" t="n">
        <v>3929</v>
      </c>
      <c r="D7" s="22" t="n"/>
      <c r="E7" s="22" t="n">
        <v>7955</v>
      </c>
      <c r="F7" s="22" t="n">
        <v>7191</v>
      </c>
      <c r="G7" s="22" t="n">
        <v>4751</v>
      </c>
      <c r="H7" s="21" t="n">
        <v>5353</v>
      </c>
      <c r="I7" s="22" t="n">
        <v>3971</v>
      </c>
      <c r="J7" s="22" t="n">
        <v>7191</v>
      </c>
    </row>
    <row r="8">
      <c r="A8" s="20" t="inlineStr">
        <is>
          <t>매출채권</t>
        </is>
      </c>
      <c r="B8" s="10" t="n"/>
      <c r="C8" s="21" t="n">
        <v>236412</v>
      </c>
      <c r="D8" s="22" t="n"/>
      <c r="E8" s="22" t="n">
        <v>347780</v>
      </c>
      <c r="F8" s="22" t="n">
        <v>660559</v>
      </c>
      <c r="G8" s="22" t="n">
        <v>1151562</v>
      </c>
      <c r="H8" s="21" t="n">
        <v>149815</v>
      </c>
      <c r="I8" s="22" t="n">
        <v>238594</v>
      </c>
      <c r="J8" s="22" t="n">
        <v>660559</v>
      </c>
    </row>
    <row r="9">
      <c r="A9" s="20" t="inlineStr">
        <is>
          <t>재고자산</t>
        </is>
      </c>
      <c r="B9" s="10" t="n"/>
      <c r="C9" s="21" t="n">
        <v>361634</v>
      </c>
      <c r="D9" s="22" t="n"/>
      <c r="E9" s="22" t="n">
        <v>353486</v>
      </c>
      <c r="F9" s="22" t="n">
        <v>412612</v>
      </c>
      <c r="G9" s="22" t="n">
        <v>438111</v>
      </c>
      <c r="H9" s="21" t="n">
        <v>271781</v>
      </c>
      <c r="I9" s="22" t="n">
        <v>352863</v>
      </c>
      <c r="J9" s="22" t="n">
        <v>412612</v>
      </c>
    </row>
    <row r="10">
      <c r="A10" s="20" t="inlineStr">
        <is>
          <t>기타유동자산</t>
        </is>
      </c>
      <c r="B10" s="10" t="inlineStr">
        <is>
          <t>총계 − 위 항목</t>
        </is>
      </c>
      <c r="C10" s="21">
        <f>IF(OR(C5=""),"",IFERROR(C5-SUM(C6,C7,C8,C9),""))</f>
        <v/>
      </c>
      <c r="D10" s="22">
        <f>IF(OR(D5=""),"",IFERROR(D5-SUM(D6,D7,D8,D9),""))</f>
        <v/>
      </c>
      <c r="E10" s="22">
        <f>IF(OR(E5=""),"",IFERROR(E5-SUM(E6,E7,E8,E9),""))</f>
        <v/>
      </c>
      <c r="F10" s="22">
        <f>IF(OR(F5=""),"",IFERROR(F5-SUM(F6,F7,F8,F9),""))</f>
        <v/>
      </c>
      <c r="G10" s="22">
        <f>IF(OR(G5=""),"",IFERROR(G5-SUM(G6,G7,G8,G9),""))</f>
        <v/>
      </c>
      <c r="H10" s="21">
        <f>IF(OR(H5=""),"",IFERROR(H5-SUM(H6,H7,H8,H9),""))</f>
        <v/>
      </c>
      <c r="I10" s="22">
        <f>IF(OR(I5=""),"",IFERROR(I5-SUM(I6,I7,I8,I9),""))</f>
        <v/>
      </c>
      <c r="J10" s="22">
        <f>IF(OR(J5=""),"",IFERROR(J5-SUM(J6,J7,J8,J9),""))</f>
        <v/>
      </c>
    </row>
    <row r="11">
      <c r="A11" s="9" t="inlineStr">
        <is>
          <t>비유동자산</t>
        </is>
      </c>
      <c r="B11" s="10" t="n"/>
      <c r="C11" s="11" t="n">
        <v>2091944</v>
      </c>
      <c r="D11" s="12" t="n"/>
      <c r="E11" s="12" t="n">
        <v>2135240</v>
      </c>
      <c r="F11" s="12" t="n">
        <v>2072242</v>
      </c>
      <c r="G11" s="12" t="n">
        <v>2258498</v>
      </c>
      <c r="H11" s="11" t="n">
        <v>2213566</v>
      </c>
      <c r="I11" s="12" t="n">
        <v>2112970</v>
      </c>
      <c r="J11" s="12" t="n">
        <v>2072242</v>
      </c>
    </row>
    <row r="12">
      <c r="A12" s="20" t="inlineStr">
        <is>
          <t>유형자산</t>
        </is>
      </c>
      <c r="B12" s="10" t="n"/>
      <c r="C12" s="21" t="n">
        <v>1068664</v>
      </c>
      <c r="D12" s="22" t="n"/>
      <c r="E12" s="22" t="n">
        <v>1056828</v>
      </c>
      <c r="F12" s="22" t="n">
        <v>1055255</v>
      </c>
      <c r="G12" s="22" t="n">
        <v>1055840</v>
      </c>
      <c r="H12" s="21" t="n">
        <v>1168765</v>
      </c>
      <c r="I12" s="22" t="n">
        <v>1100181</v>
      </c>
      <c r="J12" s="22" t="n">
        <v>1055255</v>
      </c>
    </row>
    <row r="13">
      <c r="A13" s="20" t="inlineStr">
        <is>
          <t>무형자산</t>
        </is>
      </c>
      <c r="B13" s="10" t="n"/>
      <c r="C13" s="21" t="n">
        <v>11244</v>
      </c>
      <c r="D13" s="22" t="n"/>
      <c r="E13" s="22" t="n">
        <v>11071</v>
      </c>
      <c r="F13" s="22" t="n">
        <v>11192</v>
      </c>
      <c r="G13" s="22" t="n">
        <v>11657</v>
      </c>
      <c r="H13" s="21" t="n">
        <v>11259</v>
      </c>
      <c r="I13" s="22" t="n">
        <v>10658</v>
      </c>
      <c r="J13" s="22" t="n">
        <v>11192</v>
      </c>
    </row>
    <row r="14">
      <c r="A14" s="20" t="inlineStr">
        <is>
          <t>투자부동산</t>
        </is>
      </c>
      <c r="B14" s="10" t="n"/>
      <c r="C14" s="21" t="n"/>
      <c r="D14" s="22" t="n"/>
      <c r="E14" s="22" t="n"/>
      <c r="F14" s="22" t="n"/>
      <c r="G14" s="22" t="n"/>
      <c r="H14" s="21" t="n"/>
      <c r="I14" s="22" t="n"/>
      <c r="J14" s="22" t="n"/>
    </row>
    <row r="15">
      <c r="A15" s="20" t="inlineStr">
        <is>
          <t>기타비유동자산</t>
        </is>
      </c>
      <c r="B15" s="10" t="inlineStr">
        <is>
          <t>총계 − 위 항목</t>
        </is>
      </c>
      <c r="C15" s="21">
        <f>IF(OR(C11=""),"",IFERROR(C11-SUM(C12,C13,C14),""))</f>
        <v/>
      </c>
      <c r="D15" s="22">
        <f>IF(OR(D11=""),"",IFERROR(D11-SUM(D12,D13,D14),""))</f>
        <v/>
      </c>
      <c r="E15" s="22">
        <f>IF(OR(E11=""),"",IFERROR(E11-SUM(E12,E13,E14),""))</f>
        <v/>
      </c>
      <c r="F15" s="22">
        <f>IF(OR(F11=""),"",IFERROR(F11-SUM(F12,F13,F14),""))</f>
        <v/>
      </c>
      <c r="G15" s="22">
        <f>IF(OR(G11=""),"",IFERROR(G11-SUM(G12,G13,G14),""))</f>
        <v/>
      </c>
      <c r="H15" s="21">
        <f>IF(OR(H11=""),"",IFERROR(H11-SUM(H12,H13,H14),""))</f>
        <v/>
      </c>
      <c r="I15" s="22">
        <f>IF(OR(I11=""),"",IFERROR(I11-SUM(I12,I13,I14),""))</f>
        <v/>
      </c>
      <c r="J15" s="22">
        <f>IF(OR(J11=""),"",IFERROR(J11-SUM(J12,J13,J14),""))</f>
        <v/>
      </c>
    </row>
    <row r="16">
      <c r="A16" s="9" t="inlineStr">
        <is>
          <t>자산총계</t>
        </is>
      </c>
      <c r="B16" s="10" t="n"/>
      <c r="C16" s="11" t="n">
        <v>2982219</v>
      </c>
      <c r="D16" s="12" t="n"/>
      <c r="E16" s="12" t="n">
        <v>3194842</v>
      </c>
      <c r="F16" s="12" t="n">
        <v>3690071</v>
      </c>
      <c r="G16" s="12" t="n">
        <v>4730476</v>
      </c>
      <c r="H16" s="11" t="n">
        <v>2864941</v>
      </c>
      <c r="I16" s="12" t="n">
        <v>2919679</v>
      </c>
      <c r="J16" s="12" t="n">
        <v>3690071</v>
      </c>
    </row>
    <row r="17">
      <c r="A17" s="18" t="inlineStr">
        <is>
          <t>부채</t>
        </is>
      </c>
      <c r="B17" s="18" t="n"/>
      <c r="C17" s="19" t="n"/>
      <c r="D17" s="18" t="n"/>
      <c r="E17" s="18" t="n"/>
      <c r="F17" s="18" t="n"/>
      <c r="G17" s="18" t="n"/>
      <c r="H17" s="19" t="n"/>
      <c r="I17" s="18" t="n"/>
      <c r="J17" s="18" t="n"/>
    </row>
    <row r="18">
      <c r="A18" s="9" t="inlineStr">
        <is>
          <t>유동부채</t>
        </is>
      </c>
      <c r="B18" s="10" t="n"/>
      <c r="C18" s="11" t="n">
        <v>904439</v>
      </c>
      <c r="D18" s="12" t="n"/>
      <c r="E18" s="12" t="n">
        <v>986360</v>
      </c>
      <c r="F18" s="12" t="n">
        <v>1098008</v>
      </c>
      <c r="G18" s="12" t="n">
        <v>1395780</v>
      </c>
      <c r="H18" s="11" t="n">
        <v>1866127</v>
      </c>
      <c r="I18" s="12" t="n">
        <v>985173</v>
      </c>
      <c r="J18" s="12" t="n">
        <v>1098008</v>
      </c>
    </row>
    <row r="19">
      <c r="A19" s="20" t="inlineStr">
        <is>
          <t>매입채무</t>
        </is>
      </c>
      <c r="B19" s="10" t="n"/>
      <c r="C19" s="21" t="n">
        <v>544641</v>
      </c>
      <c r="D19" s="22" t="n"/>
      <c r="E19" s="22" t="n">
        <v>606755</v>
      </c>
      <c r="F19" s="22" t="n">
        <v>594917</v>
      </c>
      <c r="G19" s="22" t="n">
        <v>706802</v>
      </c>
      <c r="H19" s="21" t="n">
        <v>512502</v>
      </c>
      <c r="I19" s="22" t="n">
        <v>504011</v>
      </c>
      <c r="J19" s="22" t="n">
        <v>594917</v>
      </c>
    </row>
    <row r="20">
      <c r="A20" s="20" t="inlineStr">
        <is>
          <t>단기차입금</t>
        </is>
      </c>
      <c r="B20" s="10" t="n"/>
      <c r="C20" s="21" t="n">
        <v>261820</v>
      </c>
      <c r="D20" s="22" t="n"/>
      <c r="E20" s="22" t="n"/>
      <c r="F20" s="22" t="n"/>
      <c r="G20" s="22" t="n"/>
      <c r="H20" s="21" t="n">
        <v>826413</v>
      </c>
      <c r="I20" s="22" t="n">
        <v>246508</v>
      </c>
      <c r="J20" s="22" t="n"/>
    </row>
    <row r="21">
      <c r="A21" s="20" t="inlineStr">
        <is>
          <t>유동성장기부채</t>
        </is>
      </c>
      <c r="B21" s="10" t="n"/>
      <c r="C21" s="21" t="n"/>
      <c r="D21" s="22" t="n"/>
      <c r="E21" s="22" t="n"/>
      <c r="F21" s="22" t="n"/>
      <c r="G21" s="22" t="n"/>
      <c r="H21" s="21" t="n"/>
      <c r="I21" s="22" t="n"/>
      <c r="J21" s="22" t="n"/>
    </row>
    <row r="22">
      <c r="A22" s="20" t="inlineStr">
        <is>
          <t>기타유동부채</t>
        </is>
      </c>
      <c r="B22" s="10" t="inlineStr">
        <is>
          <t>총계 − 위 항목</t>
        </is>
      </c>
      <c r="C22" s="21">
        <f>IF(OR(C18=""),"",IFERROR(C18-SUM(C19,C20,C21),""))</f>
        <v/>
      </c>
      <c r="D22" s="22">
        <f>IF(OR(D18=""),"",IFERROR(D18-SUM(D19,D20,D21),""))</f>
        <v/>
      </c>
      <c r="E22" s="22">
        <f>IF(OR(E18=""),"",IFERROR(E18-SUM(E19,E20,E21),""))</f>
        <v/>
      </c>
      <c r="F22" s="22">
        <f>IF(OR(F18=""),"",IFERROR(F18-SUM(F19,F20,F21),""))</f>
        <v/>
      </c>
      <c r="G22" s="22">
        <f>IF(OR(G18=""),"",IFERROR(G18-SUM(G19,G20,G21),""))</f>
        <v/>
      </c>
      <c r="H22" s="21">
        <f>IF(OR(H18=""),"",IFERROR(H18-SUM(H19,H20,H21),""))</f>
        <v/>
      </c>
      <c r="I22" s="22">
        <f>IF(OR(I18=""),"",IFERROR(I18-SUM(I19,I20,I21),""))</f>
        <v/>
      </c>
      <c r="J22" s="22">
        <f>IF(OR(J18=""),"",IFERROR(J18-SUM(J19,J20,J21),""))</f>
        <v/>
      </c>
    </row>
    <row r="23">
      <c r="A23" s="9" t="inlineStr">
        <is>
          <t>비유동부채</t>
        </is>
      </c>
      <c r="B23" s="10" t="n"/>
      <c r="C23" s="11" t="n">
        <v>1258438</v>
      </c>
      <c r="D23" s="12" t="n"/>
      <c r="E23" s="12" t="n">
        <v>1229835</v>
      </c>
      <c r="F23" s="12" t="n">
        <v>1192984</v>
      </c>
      <c r="G23" s="12" t="n">
        <v>930218</v>
      </c>
      <c r="H23" s="11" t="n">
        <v>549048</v>
      </c>
      <c r="I23" s="12" t="n">
        <v>1196810</v>
      </c>
      <c r="J23" s="12" t="n">
        <v>1192984</v>
      </c>
    </row>
    <row r="24">
      <c r="A24" s="20" t="inlineStr">
        <is>
          <t>장기차입금</t>
        </is>
      </c>
      <c r="B24" s="10" t="n"/>
      <c r="C24" s="21" t="n">
        <v>507057</v>
      </c>
      <c r="D24" s="22" t="n"/>
      <c r="E24" s="22" t="n"/>
      <c r="F24" s="22" t="n"/>
      <c r="G24" s="22" t="n"/>
      <c r="H24" s="21" t="n">
        <v>284899</v>
      </c>
      <c r="I24" s="22" t="n">
        <v>531198</v>
      </c>
      <c r="J24" s="22" t="n"/>
    </row>
    <row r="25">
      <c r="A25" s="20" t="inlineStr">
        <is>
          <t>사채</t>
        </is>
      </c>
      <c r="B25" s="10" t="n"/>
      <c r="C25" s="21" t="n">
        <v>920910</v>
      </c>
      <c r="D25" s="22" t="n"/>
      <c r="E25" s="22" t="n">
        <v>900872</v>
      </c>
      <c r="F25" s="22" t="n">
        <v>872116</v>
      </c>
      <c r="G25" s="22" t="n">
        <v>543009</v>
      </c>
      <c r="H25" s="21" t="n"/>
      <c r="I25" s="22" t="n">
        <v>531198</v>
      </c>
      <c r="J25" s="22" t="n">
        <v>872116</v>
      </c>
    </row>
    <row r="26">
      <c r="A26" s="20" t="inlineStr">
        <is>
          <t>기타비유동부채</t>
        </is>
      </c>
      <c r="B26" s="10" t="inlineStr">
        <is>
          <t>총계 − 위 항목</t>
        </is>
      </c>
      <c r="C26" s="21">
        <f>IF(OR(C23=""),"",IFERROR(C23-SUM(C24,C25),""))</f>
        <v/>
      </c>
      <c r="D26" s="22">
        <f>IF(OR(D23=""),"",IFERROR(D23-SUM(D24,D25),""))</f>
        <v/>
      </c>
      <c r="E26" s="22">
        <f>IF(OR(E23=""),"",IFERROR(E23-SUM(E24,E25),""))</f>
        <v/>
      </c>
      <c r="F26" s="22">
        <f>IF(OR(F23=""),"",IFERROR(F23-SUM(F24,F25),""))</f>
        <v/>
      </c>
      <c r="G26" s="22">
        <f>IF(OR(G23=""),"",IFERROR(G23-SUM(G24,G25),""))</f>
        <v/>
      </c>
      <c r="H26" s="21">
        <f>IF(OR(H23=""),"",IFERROR(H23-SUM(H24,H25),""))</f>
        <v/>
      </c>
      <c r="I26" s="22">
        <f>IF(OR(I23=""),"",IFERROR(I23-SUM(I24,I25),""))</f>
        <v/>
      </c>
      <c r="J26" s="22">
        <f>IF(OR(J23=""),"",IFERROR(J23-SUM(J24,J25),""))</f>
        <v/>
      </c>
    </row>
    <row r="27">
      <c r="A27" s="9" t="inlineStr">
        <is>
          <t>부채총계</t>
        </is>
      </c>
      <c r="B27" s="10" t="n"/>
      <c r="C27" s="11" t="n">
        <v>2162877</v>
      </c>
      <c r="D27" s="12" t="n"/>
      <c r="E27" s="12" t="n">
        <v>2216195</v>
      </c>
      <c r="F27" s="12" t="n">
        <v>2290992</v>
      </c>
      <c r="G27" s="12" t="n">
        <v>2325998</v>
      </c>
      <c r="H27" s="11" t="n">
        <v>2415175</v>
      </c>
      <c r="I27" s="12" t="n">
        <v>2181983</v>
      </c>
      <c r="J27" s="12" t="n">
        <v>2290992</v>
      </c>
    </row>
    <row r="28">
      <c r="A28" s="20" t="inlineStr">
        <is>
          <t>총차입금</t>
        </is>
      </c>
      <c r="B28" s="10" t="inlineStr">
        <is>
          <t>단기+유동성장기+장기+사채</t>
        </is>
      </c>
      <c r="C28" s="21">
        <f>SUM(C20,C21,C24,C25)</f>
        <v/>
      </c>
      <c r="D28" s="22">
        <f>SUM(D20,D21,D24,D25)</f>
        <v/>
      </c>
      <c r="E28" s="22">
        <f>SUM(E20,E21,E24,E25)</f>
        <v/>
      </c>
      <c r="F28" s="22">
        <f>SUM(F20,F21,F24,F25)</f>
        <v/>
      </c>
      <c r="G28" s="22">
        <f>SUM(G20,G21,G24,G25)</f>
        <v/>
      </c>
      <c r="H28" s="21">
        <f>SUM(H20,H21,H24,H25)</f>
        <v/>
      </c>
      <c r="I28" s="22">
        <f>SUM(I20,I21,I24,I25)</f>
        <v/>
      </c>
      <c r="J28" s="22">
        <f>SUM(J20,J21,J24,J25)</f>
        <v/>
      </c>
    </row>
    <row r="29">
      <c r="A29" s="20" t="inlineStr">
        <is>
          <t>순차입금</t>
        </is>
      </c>
      <c r="B29" s="10" t="inlineStr">
        <is>
          <t>음수 = 순현금</t>
        </is>
      </c>
      <c r="C29" s="21">
        <f>C28-C6-N(C7)</f>
        <v/>
      </c>
      <c r="D29" s="22">
        <f>D28-D6-N(D7)</f>
        <v/>
      </c>
      <c r="E29" s="22">
        <f>E28-E6-N(E7)</f>
        <v/>
      </c>
      <c r="F29" s="22">
        <f>F28-F6-N(F7)</f>
        <v/>
      </c>
      <c r="G29" s="22">
        <f>G28-G6-N(G7)</f>
        <v/>
      </c>
      <c r="H29" s="21">
        <f>H28-H6-N(H7)</f>
        <v/>
      </c>
      <c r="I29" s="22">
        <f>I28-I6-N(I7)</f>
        <v/>
      </c>
      <c r="J29" s="22">
        <f>J28-J6-N(J7)</f>
        <v/>
      </c>
    </row>
    <row r="30">
      <c r="A30" s="18" t="inlineStr">
        <is>
          <t>자본</t>
        </is>
      </c>
      <c r="B30" s="18" t="n"/>
      <c r="C30" s="19" t="n"/>
      <c r="D30" s="18" t="n"/>
      <c r="E30" s="18" t="n"/>
      <c r="F30" s="18" t="n"/>
      <c r="G30" s="18" t="n"/>
      <c r="H30" s="19" t="n"/>
      <c r="I30" s="18" t="n"/>
      <c r="J30" s="18" t="n"/>
    </row>
    <row r="31">
      <c r="A31" s="9" t="inlineStr">
        <is>
          <t>지배주주지분</t>
        </is>
      </c>
      <c r="B31" s="10" t="n"/>
      <c r="C31" s="11" t="n">
        <v>819203</v>
      </c>
      <c r="D31" s="12" t="n"/>
      <c r="E31" s="12" t="n">
        <v>978502</v>
      </c>
      <c r="F31" s="12" t="n">
        <v>1398929</v>
      </c>
      <c r="G31" s="12" t="n">
        <v>2404320</v>
      </c>
      <c r="H31" s="11" t="n">
        <v>449635</v>
      </c>
      <c r="I31" s="12" t="n">
        <v>737565</v>
      </c>
      <c r="J31" s="12" t="n">
        <v>1398929</v>
      </c>
    </row>
    <row r="32">
      <c r="A32" s="20" t="inlineStr">
        <is>
          <t>자본금</t>
        </is>
      </c>
      <c r="B32" s="10" t="n"/>
      <c r="C32" s="21" t="n">
        <v>25578</v>
      </c>
      <c r="D32" s="22" t="n"/>
      <c r="E32" s="22" t="n">
        <v>29880</v>
      </c>
      <c r="F32" s="22" t="n">
        <v>31284</v>
      </c>
      <c r="G32" s="22" t="n">
        <v>33133</v>
      </c>
      <c r="H32" s="21" t="n">
        <v>10000</v>
      </c>
      <c r="I32" s="22" t="n">
        <v>25239</v>
      </c>
      <c r="J32" s="22" t="n">
        <v>31284</v>
      </c>
    </row>
    <row r="33">
      <c r="A33" s="20" t="inlineStr">
        <is>
          <t>이익잉여금</t>
        </is>
      </c>
      <c r="B33" s="10" t="n"/>
      <c r="C33" s="21" t="n">
        <v>-130594</v>
      </c>
      <c r="D33" s="22" t="n"/>
      <c r="E33" s="22" t="n">
        <v>-42784</v>
      </c>
      <c r="F33" s="22" t="n">
        <v>366955</v>
      </c>
      <c r="G33" s="22" t="n">
        <v>1209116</v>
      </c>
      <c r="H33" s="21" t="n">
        <v>-463054</v>
      </c>
      <c r="I33" s="22" t="n">
        <v>-189547</v>
      </c>
      <c r="J33" s="22" t="n">
        <v>366955</v>
      </c>
    </row>
    <row r="34">
      <c r="A34" s="20" t="inlineStr">
        <is>
          <t>비지배지분</t>
        </is>
      </c>
      <c r="B34" s="10" t="n"/>
      <c r="C34" s="21" t="n">
        <v>139</v>
      </c>
      <c r="D34" s="22" t="n"/>
      <c r="E34" s="22" t="n">
        <v>145</v>
      </c>
      <c r="F34" s="22" t="n">
        <v>150</v>
      </c>
      <c r="G34" s="22" t="n">
        <v>158</v>
      </c>
      <c r="H34" s="21" t="n">
        <v>131</v>
      </c>
      <c r="I34" s="22" t="n">
        <v>131</v>
      </c>
      <c r="J34" s="22" t="n">
        <v>150</v>
      </c>
    </row>
    <row r="35">
      <c r="A35" s="9" t="inlineStr">
        <is>
          <t>자본총계</t>
        </is>
      </c>
      <c r="B35" s="10" t="n"/>
      <c r="C35" s="11" t="n">
        <v>819342</v>
      </c>
      <c r="D35" s="12" t="n"/>
      <c r="E35" s="12" t="n">
        <v>978647</v>
      </c>
      <c r="F35" s="12" t="n">
        <v>1399079</v>
      </c>
      <c r="G35" s="12" t="n">
        <v>2404478</v>
      </c>
      <c r="H35" s="11" t="n">
        <v>449766</v>
      </c>
      <c r="I35" s="12" t="n">
        <v>737696</v>
      </c>
      <c r="J35" s="12" t="n">
        <v>1399079</v>
      </c>
    </row>
    <row r="36">
      <c r="A36" s="18" t="inlineStr">
        <is>
          <t>현금흐름 요약</t>
        </is>
      </c>
      <c r="B36" s="18" t="inlineStr">
        <is>
          <t>분기 = TTM (있을 때만)</t>
        </is>
      </c>
      <c r="C36" s="19" t="n"/>
      <c r="D36" s="18" t="n"/>
      <c r="E36" s="18" t="n"/>
      <c r="F36" s="18" t="n"/>
      <c r="G36" s="18" t="n"/>
      <c r="H36" s="19" t="n"/>
      <c r="I36" s="18" t="n"/>
      <c r="J36" s="18" t="n"/>
    </row>
    <row r="37">
      <c r="A37" s="9" t="inlineStr">
        <is>
          <t>영업활동현금흐름</t>
        </is>
      </c>
      <c r="B37" s="10" t="n"/>
      <c r="C37" s="11" t="n">
        <v>442380</v>
      </c>
      <c r="D37" s="12" t="n">
        <v>409703</v>
      </c>
      <c r="E37" s="12" t="n">
        <v>426023</v>
      </c>
      <c r="F37" s="12" t="n">
        <v>616540</v>
      </c>
      <c r="G37" s="12" t="n">
        <v>1421771</v>
      </c>
      <c r="H37" s="11" t="n">
        <v>195111</v>
      </c>
      <c r="I37" s="12" t="n">
        <v>476416</v>
      </c>
      <c r="J37" s="12" t="n">
        <v>616540</v>
      </c>
    </row>
    <row r="38">
      <c r="A38" s="20" t="inlineStr">
        <is>
          <t>CAPEX (유·무형 취득)</t>
        </is>
      </c>
      <c r="B38" s="10" t="inlineStr">
        <is>
          <t>양수로 입력</t>
        </is>
      </c>
      <c r="C38" s="21" t="n">
        <v>233014</v>
      </c>
      <c r="D38" s="22" t="n">
        <v>283197</v>
      </c>
      <c r="E38" s="22" t="n">
        <v>296284</v>
      </c>
      <c r="F38" s="22" t="n">
        <v>283674</v>
      </c>
      <c r="G38" s="22" t="n">
        <v>282499</v>
      </c>
      <c r="H38" s="21" t="n">
        <v>305097</v>
      </c>
      <c r="I38" s="22" t="n">
        <v>225603</v>
      </c>
      <c r="J38" s="22" t="n">
        <v>283674</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row>
    <row r="40">
      <c r="A40" s="20" t="inlineStr">
        <is>
          <t>배당금 지급</t>
        </is>
      </c>
      <c r="B40" s="10" t="inlineStr">
        <is>
          <t>양수로 입력</t>
        </is>
      </c>
      <c r="C40" s="21" t="n"/>
      <c r="D40" s="22" t="n"/>
      <c r="E40" s="22" t="n"/>
      <c r="F40" s="22" t="n"/>
      <c r="G40" s="22" t="n"/>
      <c r="H40" s="21" t="n"/>
      <c r="I40" s="22" t="n"/>
      <c r="J40" s="22" t="n"/>
    </row>
    <row r="41">
      <c r="A41" s="18" t="inlineStr">
        <is>
          <t>주요 재무 비율</t>
        </is>
      </c>
      <c r="B41" s="18" t="inlineStr">
        <is>
          <t>기준 (빨간 글씨 = 미달)</t>
        </is>
      </c>
      <c r="C41" s="19" t="n"/>
      <c r="D41" s="18" t="n"/>
      <c r="E41" s="18" t="n"/>
      <c r="F41" s="18" t="n"/>
      <c r="G41" s="18" t="n"/>
      <c r="H41" s="19" t="n"/>
      <c r="I41" s="18" t="n"/>
      <c r="J41" s="18" t="n"/>
    </row>
    <row r="42">
      <c r="A42" s="25" t="inlineStr">
        <is>
          <t>안정성</t>
        </is>
      </c>
      <c r="B42" s="25" t="n"/>
      <c r="C42" s="26" t="n"/>
      <c r="D42" s="25" t="n"/>
      <c r="E42" s="25" t="n"/>
      <c r="F42" s="25" t="n"/>
      <c r="G42" s="25" t="n"/>
      <c r="H42" s="26" t="n"/>
      <c r="I42" s="25" t="n"/>
      <c r="J42" s="25" t="n"/>
    </row>
    <row r="43">
      <c r="A43" s="47" t="inlineStr">
        <is>
          <t>부채비율</t>
        </is>
      </c>
      <c r="B43" s="10" t="inlineStr">
        <is>
          <t>100%↓</t>
        </is>
      </c>
      <c r="C43" s="37">
        <f>IF(OR(C27="",C35=""),"",IFERROR(C27/C35,""))</f>
        <v/>
      </c>
      <c r="D43" s="38">
        <f>IF(OR(D27="",D35=""),"",IFERROR(D27/D35,""))</f>
        <v/>
      </c>
      <c r="E43" s="38">
        <f>IF(OR(E27="",E35=""),"",IFERROR(E27/E35,""))</f>
        <v/>
      </c>
      <c r="F43" s="38">
        <f>IF(OR(F27="",F35=""),"",IFERROR(F27/F35,""))</f>
        <v/>
      </c>
      <c r="G43" s="38">
        <f>IF(OR(G27="",G35=""),"",IFERROR(G27/G35,""))</f>
        <v/>
      </c>
      <c r="H43" s="37">
        <f>IF(OR(H27="",H35=""),"",IFERROR(H27/H35,""))</f>
        <v/>
      </c>
      <c r="I43" s="38">
        <f>IF(OR(I27="",I35=""),"",IFERROR(I27/I35,""))</f>
        <v/>
      </c>
      <c r="J43" s="38">
        <f>IF(OR(J27="",J35=""),"",IFERROR(J27/J35,""))</f>
        <v/>
      </c>
    </row>
    <row r="44">
      <c r="A44" s="47" t="inlineStr">
        <is>
          <t>순차입금비율</t>
        </is>
      </c>
      <c r="B44" s="10" t="inlineStr">
        <is>
          <t>0%↓ 순현금</t>
        </is>
      </c>
      <c r="C44" s="37">
        <f>IF(OR(C29="",C35=""),"",IFERROR(C29/C35,""))</f>
        <v/>
      </c>
      <c r="D44" s="38">
        <f>IF(OR(D29="",D35=""),"",IFERROR(D29/D35,""))</f>
        <v/>
      </c>
      <c r="E44" s="38">
        <f>IF(OR(E29="",E35=""),"",IFERROR(E29/E35,""))</f>
        <v/>
      </c>
      <c r="F44" s="38">
        <f>IF(OR(F29="",F35=""),"",IFERROR(F29/F35,""))</f>
        <v/>
      </c>
      <c r="G44" s="38">
        <f>IF(OR(G29="",G35=""),"",IFERROR(G29/G35,""))</f>
        <v/>
      </c>
      <c r="H44" s="37">
        <f>IF(OR(H29="",H35=""),"",IFERROR(H29/H35,""))</f>
        <v/>
      </c>
      <c r="I44" s="38">
        <f>IF(OR(I29="",I35=""),"",IFERROR(I29/I35,""))</f>
        <v/>
      </c>
      <c r="J44" s="38">
        <f>IF(OR(J29="",J35=""),"",IFERROR(J29/J35,""))</f>
        <v/>
      </c>
    </row>
    <row r="45">
      <c r="A45" s="47" t="inlineStr">
        <is>
          <t>자기자본비율</t>
        </is>
      </c>
      <c r="B45" s="10" t="inlineStr">
        <is>
          <t>50%↑</t>
        </is>
      </c>
      <c r="C45" s="37">
        <f>IF(OR(C35="",C16=""),"",IFERROR(C35/C16,""))</f>
        <v/>
      </c>
      <c r="D45" s="38">
        <f>IF(OR(D35="",D16=""),"",IFERROR(D35/D16,""))</f>
        <v/>
      </c>
      <c r="E45" s="38">
        <f>IF(OR(E35="",E16=""),"",IFERROR(E35/E16,""))</f>
        <v/>
      </c>
      <c r="F45" s="38">
        <f>IF(OR(F35="",F16=""),"",IFERROR(F35/F16,""))</f>
        <v/>
      </c>
      <c r="G45" s="38">
        <f>IF(OR(G35="",G16=""),"",IFERROR(G35/G16,""))</f>
        <v/>
      </c>
      <c r="H45" s="37">
        <f>IF(OR(H35="",H16=""),"",IFERROR(H35/H16,""))</f>
        <v/>
      </c>
      <c r="I45" s="38">
        <f>IF(OR(I35="",I16=""),"",IFERROR(I35/I16,""))</f>
        <v/>
      </c>
      <c r="J45" s="38">
        <f>IF(OR(J35="",J16=""),"",IFERROR(J35/J16,""))</f>
        <v/>
      </c>
    </row>
    <row r="46">
      <c r="A46" s="47" t="inlineStr">
        <is>
          <t>유동비율</t>
        </is>
      </c>
      <c r="B46" s="10" t="inlineStr">
        <is>
          <t>150%↑</t>
        </is>
      </c>
      <c r="C46" s="37">
        <f>IF(OR(C5="",C18=""),"",IFERROR(C5/C18,""))</f>
        <v/>
      </c>
      <c r="D46" s="38">
        <f>IF(OR(D5="",D18=""),"",IFERROR(D5/D18,""))</f>
        <v/>
      </c>
      <c r="E46" s="38">
        <f>IF(OR(E5="",E18=""),"",IFERROR(E5/E18,""))</f>
        <v/>
      </c>
      <c r="F46" s="38">
        <f>IF(OR(F5="",F18=""),"",IFERROR(F5/F18,""))</f>
        <v/>
      </c>
      <c r="G46" s="38">
        <f>IF(OR(G5="",G18=""),"",IFERROR(G5/G18,""))</f>
        <v/>
      </c>
      <c r="H46" s="37">
        <f>IF(OR(H5="",H18=""),"",IFERROR(H5/H18,""))</f>
        <v/>
      </c>
      <c r="I46" s="38">
        <f>IF(OR(I5="",I18=""),"",IFERROR(I5/I18,""))</f>
        <v/>
      </c>
      <c r="J46" s="38">
        <f>IF(OR(J5="",J18=""),"",IFERROR(J5/J18,""))</f>
        <v/>
      </c>
    </row>
    <row r="47">
      <c r="A47" s="47" t="inlineStr">
        <is>
          <t>당좌비율</t>
        </is>
      </c>
      <c r="B47" s="10" t="inlineStr">
        <is>
          <t>100%↑</t>
        </is>
      </c>
      <c r="C47" s="37">
        <f>IF(OR(C5="",C18=""),"",IFERROR((C5-N(C9))/C18,""))</f>
        <v/>
      </c>
      <c r="D47" s="38">
        <f>IF(OR(D5="",D18=""),"",IFERROR((D5-N(D9))/D18,""))</f>
        <v/>
      </c>
      <c r="E47" s="38">
        <f>IF(OR(E5="",E18=""),"",IFERROR((E5-N(E9))/E18,""))</f>
        <v/>
      </c>
      <c r="F47" s="38">
        <f>IF(OR(F5="",F18=""),"",IFERROR((F5-N(F9))/F18,""))</f>
        <v/>
      </c>
      <c r="G47" s="38">
        <f>IF(OR(G5="",G18=""),"",IFERROR((G5-N(G9))/G18,""))</f>
        <v/>
      </c>
      <c r="H47" s="37">
        <f>IF(OR(H5="",H18=""),"",IFERROR((H5-N(H9))/H18,""))</f>
        <v/>
      </c>
      <c r="I47" s="38">
        <f>IF(OR(I5="",I18=""),"",IFERROR((I5-N(I9))/I18,""))</f>
        <v/>
      </c>
      <c r="J47" s="38">
        <f>IF(OR(J5="",J18=""),"",IFERROR((J5-N(J9))/J18,""))</f>
        <v/>
      </c>
    </row>
    <row r="48">
      <c r="A48" s="47" t="inlineStr">
        <is>
          <t>이자보상배율</t>
        </is>
      </c>
      <c r="B48" s="10" t="inlineStr">
        <is>
          <t>5x↑ (금융원가 기준)</t>
        </is>
      </c>
      <c r="C48" s="32">
        <f>IFERROR((IF(COUNT('연간'!G16:J16)&lt;4,"",SUM('연간'!G16:J16)))/(IF(COUNT('연간'!G38:J38)&lt;4,"",SUM('연간'!G38:J38))),"")</f>
        <v/>
      </c>
      <c r="D48" s="33">
        <f>IFERROR((IF(COUNT('연간'!H16:K16)&lt;4,"",SUM('연간'!H16:K16)))/(IF(COUNT('연간'!H38:K38)&lt;4,"",SUM('연간'!H38:K38))),"")</f>
        <v/>
      </c>
      <c r="E48" s="33">
        <f>IFERROR((IF(COUNT('연간'!I16:L16)&lt;4,"",SUM('연간'!I16:L16)))/(IF(COUNT('연간'!I38:L38)&lt;4,"",SUM('연간'!I38:L38))),"")</f>
        <v/>
      </c>
      <c r="F48" s="33">
        <f>IFERROR((IF(COUNT('연간'!J16:M16)&lt;4,"",SUM('연간'!J16:M16)))/(IF(COUNT('연간'!J38:M38)&lt;4,"",SUM('연간'!J38:M38))),"")</f>
        <v/>
      </c>
      <c r="G48" s="33">
        <f>IFERROR((IF(COUNT('연간'!K16:N16)&lt;4,"",SUM('연간'!K16:N16)))/(IF(COUNT('연간'!K38:N38)&lt;4,"",SUM('연간'!K38:N38))),"")</f>
        <v/>
      </c>
      <c r="H48" s="32">
        <f>IFERROR(('연간'!V16)/('연간'!V38),"")</f>
        <v/>
      </c>
      <c r="I48" s="33">
        <f>IFERROR(('연간'!W16)/('연간'!W38),"")</f>
        <v/>
      </c>
      <c r="J48" s="33">
        <f>IFERROR(('연간'!X16)/('연간'!X38),"")</f>
        <v/>
      </c>
    </row>
    <row r="49">
      <c r="A49" s="47" t="inlineStr">
        <is>
          <t>차입금 상환연수</t>
        </is>
      </c>
      <c r="B49" s="10" t="inlineStr">
        <is>
          <t>4년↓ (버핏)</t>
        </is>
      </c>
      <c r="C49" s="48">
        <f>IFERROR(IF((IF(COUNT('연간'!G44:J44)&lt;4,"",SUM('연간'!G44:J44)))&lt;=0,"적자",C28/(IF(COUNT('연간'!G44:J44)&lt;4,"",SUM('연간'!G44:J44)))),"")</f>
        <v/>
      </c>
      <c r="D49" s="49">
        <f>IFERROR(IF((IF(COUNT('연간'!H44:K44)&lt;4,"",SUM('연간'!H44:K44)))&lt;=0,"적자",D28/(IF(COUNT('연간'!H44:K44)&lt;4,"",SUM('연간'!H44:K44)))),"")</f>
        <v/>
      </c>
      <c r="E49" s="49">
        <f>IFERROR(IF((IF(COUNT('연간'!I44:L44)&lt;4,"",SUM('연간'!I44:L44)))&lt;=0,"적자",E28/(IF(COUNT('연간'!I44:L44)&lt;4,"",SUM('연간'!I44:L44)))),"")</f>
        <v/>
      </c>
      <c r="F49" s="49">
        <f>IFERROR(IF((IF(COUNT('연간'!J44:M44)&lt;4,"",SUM('연간'!J44:M44)))&lt;=0,"적자",F28/(IF(COUNT('연간'!J44:M44)&lt;4,"",SUM('연간'!J44:M44)))),"")</f>
        <v/>
      </c>
      <c r="G49" s="49">
        <f>IFERROR(IF((IF(COUNT('연간'!K44:N44)&lt;4,"",SUM('연간'!K44:N44)))&lt;=0,"적자",G28/(IF(COUNT('연간'!K44:N44)&lt;4,"",SUM('연간'!K44:N44)))),"")</f>
        <v/>
      </c>
      <c r="H49" s="48">
        <f>IFERROR(IF(('연간'!V44)&lt;=0,"적자",H28/('연간'!V44)),"")</f>
        <v/>
      </c>
      <c r="I49" s="49">
        <f>IFERROR(IF(('연간'!W44)&lt;=0,"적자",I28/('연간'!W44)),"")</f>
        <v/>
      </c>
      <c r="J49" s="49">
        <f>IFERROR(IF(('연간'!X44)&lt;=0,"적자",J28/('연간'!X44)),"")</f>
        <v/>
      </c>
    </row>
    <row r="50">
      <c r="A50" s="25" t="inlineStr">
        <is>
          <t>수익성</t>
        </is>
      </c>
      <c r="B50" s="25" t="n"/>
      <c r="C50" s="26" t="n"/>
      <c r="D50" s="25" t="n"/>
      <c r="E50" s="25" t="n"/>
      <c r="F50" s="25" t="n"/>
      <c r="G50" s="25" t="n"/>
      <c r="H50" s="26" t="n"/>
      <c r="I50" s="25" t="n"/>
      <c r="J50" s="25" t="n"/>
    </row>
    <row r="51">
      <c r="A51" s="47" t="inlineStr">
        <is>
          <t>ROE</t>
        </is>
      </c>
      <c r="B51" s="10" t="inlineStr">
        <is>
          <t>15%↑ (버핏)</t>
        </is>
      </c>
      <c r="C51" s="37">
        <f>IFERROR((IF(COUNT('연간'!G44:J44)&lt;4,"",SUM('연간'!G44:J44)))/C31,"")</f>
        <v/>
      </c>
      <c r="D51" s="38">
        <f>IFERROR((IF(COUNT('연간'!H44:K44)&lt;4,"",SUM('연간'!H44:K44)))/D31,"")</f>
        <v/>
      </c>
      <c r="E51" s="38">
        <f>IFERROR((IF(COUNT('연간'!I44:L44)&lt;4,"",SUM('연간'!I44:L44)))/E31,"")</f>
        <v/>
      </c>
      <c r="F51" s="38">
        <f>IFERROR((IF(COUNT('연간'!J44:M44)&lt;4,"",SUM('연간'!J44:M44)))/F31,"")</f>
        <v/>
      </c>
      <c r="G51" s="38">
        <f>IFERROR((IF(COUNT('연간'!K44:N44)&lt;4,"",SUM('연간'!K44:N44)))/G31,"")</f>
        <v/>
      </c>
      <c r="H51" s="37">
        <f>IFERROR(('연간'!V44)/H31,"")</f>
        <v/>
      </c>
      <c r="I51" s="38">
        <f>IFERROR(('연간'!W44)/I31,"")</f>
        <v/>
      </c>
      <c r="J51" s="38">
        <f>IFERROR(('연간'!X44)/J31,"")</f>
        <v/>
      </c>
    </row>
    <row r="52">
      <c r="A52" s="47" t="inlineStr">
        <is>
          <t>ROA</t>
        </is>
      </c>
      <c r="B52" s="10" t="inlineStr">
        <is>
          <t>5%↑</t>
        </is>
      </c>
      <c r="C52" s="37">
        <f>IFERROR((IF(COUNT('연간'!G43:J43)&lt;4,"",SUM('연간'!G43:J43)))/C16,"")</f>
        <v/>
      </c>
      <c r="D52" s="38">
        <f>IFERROR((IF(COUNT('연간'!H43:K43)&lt;4,"",SUM('연간'!H43:K43)))/D16,"")</f>
        <v/>
      </c>
      <c r="E52" s="38">
        <f>IFERROR((IF(COUNT('연간'!I43:L43)&lt;4,"",SUM('연간'!I43:L43)))/E16,"")</f>
        <v/>
      </c>
      <c r="F52" s="38">
        <f>IFERROR((IF(COUNT('연간'!J43:M43)&lt;4,"",SUM('연간'!J43:M43)))/F16,"")</f>
        <v/>
      </c>
      <c r="G52" s="38">
        <f>IFERROR((IF(COUNT('연간'!K43:N43)&lt;4,"",SUM('연간'!K43:N43)))/G16,"")</f>
        <v/>
      </c>
      <c r="H52" s="37">
        <f>IFERROR(('연간'!V43)/H16,"")</f>
        <v/>
      </c>
      <c r="I52" s="38">
        <f>IFERROR(('연간'!W43)/I16,"")</f>
        <v/>
      </c>
      <c r="J52" s="38">
        <f>IFERROR(('연간'!X43)/J16,"")</f>
        <v/>
      </c>
    </row>
    <row r="53">
      <c r="A53" s="47" t="inlineStr">
        <is>
          <t>ROIC</t>
        </is>
      </c>
      <c r="B53" s="10" t="inlineStr">
        <is>
          <t>10%↑ (세후영업이익 기준)</t>
        </is>
      </c>
      <c r="C53" s="37">
        <f>IFERROR((IF(COUNT('연간'!G16:J16)&lt;4,"",SUM('연간'!G16:J16)))*(1-0.3)/(C35+C29),"")</f>
        <v/>
      </c>
      <c r="D53" s="38">
        <f>IFERROR((IF(COUNT('연간'!H16:K16)&lt;4,"",SUM('연간'!H16:K16)))*(1-0.3)/(D35+D29),"")</f>
        <v/>
      </c>
      <c r="E53" s="38">
        <f>IFERROR((IF(COUNT('연간'!I16:L16)&lt;4,"",SUM('연간'!I16:L16)))*(1-0.3)/(E35+E29),"")</f>
        <v/>
      </c>
      <c r="F53" s="38">
        <f>IFERROR((IF(COUNT('연간'!J16:M16)&lt;4,"",SUM('연간'!J16:M16)))*(1-0.3)/(F35+F29),"")</f>
        <v/>
      </c>
      <c r="G53" s="38">
        <f>IFERROR((IF(COUNT('연간'!K16:N16)&lt;4,"",SUM('연간'!K16:N16)))*(1-0.3)/(G35+G29),"")</f>
        <v/>
      </c>
      <c r="H53" s="37">
        <f>IFERROR(('연간'!V16)*(1-0.3)/(H35+H29),"")</f>
        <v/>
      </c>
      <c r="I53" s="38">
        <f>IFERROR(('연간'!W16)*(1-0.3)/(I35+I29),"")</f>
        <v/>
      </c>
      <c r="J53" s="38">
        <f>IFERROR(('연간'!X16)*(1-0.3)/(J35+J29),"")</f>
        <v/>
      </c>
    </row>
    <row r="54">
      <c r="A54" s="47" t="inlineStr">
        <is>
          <t>매출총이익률 (GPM)</t>
        </is>
      </c>
      <c r="B54" s="10" t="inlineStr">
        <is>
          <t>40%↑ (해자 신호)</t>
        </is>
      </c>
      <c r="C54" s="37">
        <f>IFERROR((IF(COUNT('연간'!G12:J12)&lt;4,"",SUM('연간'!G12:J12)))/(IF(COUNT('연간'!G4:J4)&lt;4,"",SUM('연간'!G4:J4))),"")</f>
        <v/>
      </c>
      <c r="D54" s="38">
        <f>IFERROR((IF(COUNT('연간'!H12:K12)&lt;4,"",SUM('연간'!H12:K12)))/(IF(COUNT('연간'!H4:K4)&lt;4,"",SUM('연간'!H4:K4))),"")</f>
        <v/>
      </c>
      <c r="E54" s="38">
        <f>IFERROR((IF(COUNT('연간'!I12:L12)&lt;4,"",SUM('연간'!I12:L12)))/(IF(COUNT('연간'!I4:L4)&lt;4,"",SUM('연간'!I4:L4))),"")</f>
        <v/>
      </c>
      <c r="F54" s="38">
        <f>IFERROR((IF(COUNT('연간'!J12:M12)&lt;4,"",SUM('연간'!J12:M12)))/(IF(COUNT('연간'!J4:M4)&lt;4,"",SUM('연간'!J4:M4))),"")</f>
        <v/>
      </c>
      <c r="G54" s="38">
        <f>IFERROR((IF(COUNT('연간'!K12:N12)&lt;4,"",SUM('연간'!K12:N12)))/(IF(COUNT('연간'!K4:N4)&lt;4,"",SUM('연간'!K4:N4))),"")</f>
        <v/>
      </c>
      <c r="H54" s="37">
        <f>IFERROR(('연간'!V12)/('연간'!V4),"")</f>
        <v/>
      </c>
      <c r="I54" s="38">
        <f>IFERROR(('연간'!W12)/('연간'!W4),"")</f>
        <v/>
      </c>
      <c r="J54" s="38">
        <f>IFERROR(('연간'!X12)/('연간'!X4),"")</f>
        <v/>
      </c>
    </row>
    <row r="55">
      <c r="A55" s="47" t="inlineStr">
        <is>
          <t>영업이익률 (OPM)</t>
        </is>
      </c>
      <c r="B55" s="10" t="inlineStr">
        <is>
          <t>15%↑</t>
        </is>
      </c>
      <c r="C55" s="37">
        <f>IFERROR((IF(COUNT('연간'!G16:J16)&lt;4,"",SUM('연간'!G16:J16)))/(IF(COUNT('연간'!G4:J4)&lt;4,"",SUM('연간'!G4:J4))),"")</f>
        <v/>
      </c>
      <c r="D55" s="38">
        <f>IFERROR((IF(COUNT('연간'!H16:K16)&lt;4,"",SUM('연간'!H16:K16)))/(IF(COUNT('연간'!H4:K4)&lt;4,"",SUM('연간'!H4:K4))),"")</f>
        <v/>
      </c>
      <c r="E55" s="38">
        <f>IFERROR((IF(COUNT('연간'!I16:L16)&lt;4,"",SUM('연간'!I16:L16)))/(IF(COUNT('연간'!I4:L4)&lt;4,"",SUM('연간'!I4:L4))),"")</f>
        <v/>
      </c>
      <c r="F55" s="38">
        <f>IFERROR((IF(COUNT('연간'!J16:M16)&lt;4,"",SUM('연간'!J16:M16)))/(IF(COUNT('연간'!J4:M4)&lt;4,"",SUM('연간'!J4:M4))),"")</f>
        <v/>
      </c>
      <c r="G55" s="38">
        <f>IFERROR((IF(COUNT('연간'!K16:N16)&lt;4,"",SUM('연간'!K16:N16)))/(IF(COUNT('연간'!K4:N4)&lt;4,"",SUM('연간'!K4:N4))),"")</f>
        <v/>
      </c>
      <c r="H55" s="37">
        <f>IFERROR(('연간'!V16)/('연간'!V4),"")</f>
        <v/>
      </c>
      <c r="I55" s="38">
        <f>IFERROR(('연간'!W16)/('연간'!W4),"")</f>
        <v/>
      </c>
      <c r="J55" s="38">
        <f>IFERROR(('연간'!X16)/('연간'!X4),"")</f>
        <v/>
      </c>
    </row>
    <row r="56">
      <c r="A56" s="47" t="inlineStr">
        <is>
          <t>순이익률</t>
        </is>
      </c>
      <c r="B56" s="10" t="inlineStr">
        <is>
          <t>10%↑</t>
        </is>
      </c>
      <c r="C56" s="37">
        <f>IFERROR((IF(COUNT('연간'!G43:J43)&lt;4,"",SUM('연간'!G43:J43)))/(IF(COUNT('연간'!G4:J4)&lt;4,"",SUM('연간'!G4:J4))),"")</f>
        <v/>
      </c>
      <c r="D56" s="38">
        <f>IFERROR((IF(COUNT('연간'!H43:K43)&lt;4,"",SUM('연간'!H43:K43)))/(IF(COUNT('연간'!H4:K4)&lt;4,"",SUM('연간'!H4:K4))),"")</f>
        <v/>
      </c>
      <c r="E56" s="38">
        <f>IFERROR((IF(COUNT('연간'!I43:L43)&lt;4,"",SUM('연간'!I43:L43)))/(IF(COUNT('연간'!I4:L4)&lt;4,"",SUM('연간'!I4:L4))),"")</f>
        <v/>
      </c>
      <c r="F56" s="38">
        <f>IFERROR((IF(COUNT('연간'!J43:M43)&lt;4,"",SUM('연간'!J43:M43)))/(IF(COUNT('연간'!J4:M4)&lt;4,"",SUM('연간'!J4:M4))),"")</f>
        <v/>
      </c>
      <c r="G56" s="38">
        <f>IFERROR((IF(COUNT('연간'!K43:N43)&lt;4,"",SUM('연간'!K43:N43)))/(IF(COUNT('연간'!K4:N4)&lt;4,"",SUM('연간'!K4:N4))),"")</f>
        <v/>
      </c>
      <c r="H56" s="37">
        <f>IFERROR(('연간'!V43)/('연간'!V4),"")</f>
        <v/>
      </c>
      <c r="I56" s="38">
        <f>IFERROR(('연간'!W43)/('연간'!W4),"")</f>
        <v/>
      </c>
      <c r="J56" s="38">
        <f>IFERROR(('연간'!X43)/('연간'!X4),"")</f>
        <v/>
      </c>
    </row>
    <row r="57">
      <c r="A57" s="25" t="inlineStr">
        <is>
          <t>효율성 (회전율)</t>
        </is>
      </c>
      <c r="B57" s="25" t="n"/>
      <c r="C57" s="26" t="n"/>
      <c r="D57" s="25" t="n"/>
      <c r="E57" s="25" t="n"/>
      <c r="F57" s="25" t="n"/>
      <c r="G57" s="25" t="n"/>
      <c r="H57" s="26" t="n"/>
      <c r="I57" s="25" t="n"/>
      <c r="J57" s="25" t="n"/>
    </row>
    <row r="58">
      <c r="A58" s="47" t="inlineStr">
        <is>
          <t>총자산회전율</t>
        </is>
      </c>
      <c r="B58" s="10" t="inlineStr">
        <is>
          <t>높을수록↑</t>
        </is>
      </c>
      <c r="C58" s="32">
        <f>IFERROR((IF(COUNT('연간'!G4:J4)&lt;4,"",SUM('연간'!G4:J4)))/C16,"")</f>
        <v/>
      </c>
      <c r="D58" s="33">
        <f>IFERROR((IF(COUNT('연간'!H4:K4)&lt;4,"",SUM('연간'!H4:K4)))/D16,"")</f>
        <v/>
      </c>
      <c r="E58" s="33">
        <f>IFERROR((IF(COUNT('연간'!I4:L4)&lt;4,"",SUM('연간'!I4:L4)))/E16,"")</f>
        <v/>
      </c>
      <c r="F58" s="33">
        <f>IFERROR((IF(COUNT('연간'!J4:M4)&lt;4,"",SUM('연간'!J4:M4)))/F16,"")</f>
        <v/>
      </c>
      <c r="G58" s="33">
        <f>IFERROR((IF(COUNT('연간'!K4:N4)&lt;4,"",SUM('연간'!K4:N4)))/G16,"")</f>
        <v/>
      </c>
      <c r="H58" s="32">
        <f>IFERROR(('연간'!V4)/H16,"")</f>
        <v/>
      </c>
      <c r="I58" s="33">
        <f>IFERROR(('연간'!W4)/I16,"")</f>
        <v/>
      </c>
      <c r="J58" s="33">
        <f>IFERROR(('연간'!X4)/J16,"")</f>
        <v/>
      </c>
    </row>
    <row r="59">
      <c r="A59" s="47" t="inlineStr">
        <is>
          <t>매출채권회전일수</t>
        </is>
      </c>
      <c r="B59" s="10" t="inlineStr">
        <is>
          <t>짧을수록↑</t>
        </is>
      </c>
      <c r="C59" s="50">
        <f>IFERROR(C8/(IF(COUNT('연간'!G4:J4)&lt;4,"",SUM('연간'!G4:J4)))*365,"")</f>
        <v/>
      </c>
      <c r="D59" s="51">
        <f>IFERROR(D8/(IF(COUNT('연간'!H4:K4)&lt;4,"",SUM('연간'!H4:K4)))*365,"")</f>
        <v/>
      </c>
      <c r="E59" s="51">
        <f>IFERROR(E8/(IF(COUNT('연간'!I4:L4)&lt;4,"",SUM('연간'!I4:L4)))*365,"")</f>
        <v/>
      </c>
      <c r="F59" s="51">
        <f>IFERROR(F8/(IF(COUNT('연간'!J4:M4)&lt;4,"",SUM('연간'!J4:M4)))*365,"")</f>
        <v/>
      </c>
      <c r="G59" s="51">
        <f>IFERROR(G8/(IF(COUNT('연간'!K4:N4)&lt;4,"",SUM('연간'!K4:N4)))*365,"")</f>
        <v/>
      </c>
      <c r="H59" s="50">
        <f>IFERROR(H8/('연간'!V4)*365,"")</f>
        <v/>
      </c>
      <c r="I59" s="51">
        <f>IFERROR(I8/('연간'!W4)*365,"")</f>
        <v/>
      </c>
      <c r="J59" s="51">
        <f>IFERROR(J8/('연간'!X4)*365,"")</f>
        <v/>
      </c>
    </row>
    <row r="60">
      <c r="A60" s="47" t="inlineStr">
        <is>
          <t>재고자산회전일수</t>
        </is>
      </c>
      <c r="B60" s="10" t="inlineStr">
        <is>
          <t>짧을수록↑</t>
        </is>
      </c>
      <c r="C60" s="50">
        <f>IFERROR(C9/(IF(COUNT('연간'!G11:J11)&lt;4,"",SUM('연간'!G11:J11)))*365,"")</f>
        <v/>
      </c>
      <c r="D60" s="51">
        <f>IFERROR(D9/(IF(COUNT('연간'!H11:K11)&lt;4,"",SUM('연간'!H11:K11)))*365,"")</f>
        <v/>
      </c>
      <c r="E60" s="51">
        <f>IFERROR(E9/(IF(COUNT('연간'!I11:L11)&lt;4,"",SUM('연간'!I11:L11)))*365,"")</f>
        <v/>
      </c>
      <c r="F60" s="51">
        <f>IFERROR(F9/(IF(COUNT('연간'!J11:M11)&lt;4,"",SUM('연간'!J11:M11)))*365,"")</f>
        <v/>
      </c>
      <c r="G60" s="51">
        <f>IFERROR(G9/(IF(COUNT('연간'!K11:N11)&lt;4,"",SUM('연간'!K11:N11)))*365,"")</f>
        <v/>
      </c>
      <c r="H60" s="50">
        <f>IFERROR(H9/('연간'!V11)*365,"")</f>
        <v/>
      </c>
      <c r="I60" s="51">
        <f>IFERROR(I9/('연간'!W11)*365,"")</f>
        <v/>
      </c>
      <c r="J60" s="51">
        <f>IFERROR(J9/('연간'!X11)*365,"")</f>
        <v/>
      </c>
    </row>
    <row r="61">
      <c r="A61" s="47" t="inlineStr">
        <is>
          <t>매입채무회전일수</t>
        </is>
      </c>
      <c r="B61" s="10" t="inlineStr">
        <is>
          <t>길수록 유리</t>
        </is>
      </c>
      <c r="C61" s="50">
        <f>IFERROR(C19/(IF(COUNT('연간'!G11:J11)&lt;4,"",SUM('연간'!G11:J11)))*365,"")</f>
        <v/>
      </c>
      <c r="D61" s="51">
        <f>IFERROR(D19/(IF(COUNT('연간'!H11:K11)&lt;4,"",SUM('연간'!H11:K11)))*365,"")</f>
        <v/>
      </c>
      <c r="E61" s="51">
        <f>IFERROR(E19/(IF(COUNT('연간'!I11:L11)&lt;4,"",SUM('연간'!I11:L11)))*365,"")</f>
        <v/>
      </c>
      <c r="F61" s="51">
        <f>IFERROR(F19/(IF(COUNT('연간'!J11:M11)&lt;4,"",SUM('연간'!J11:M11)))*365,"")</f>
        <v/>
      </c>
      <c r="G61" s="51">
        <f>IFERROR(G19/(IF(COUNT('연간'!K11:N11)&lt;4,"",SUM('연간'!K11:N11)))*365,"")</f>
        <v/>
      </c>
      <c r="H61" s="50">
        <f>IFERROR(H19/('연간'!V11)*365,"")</f>
        <v/>
      </c>
      <c r="I61" s="51">
        <f>IFERROR(I19/('연간'!W11)*365,"")</f>
        <v/>
      </c>
      <c r="J61" s="51">
        <f>IFERROR(J19/('연간'!X11)*365,"")</f>
        <v/>
      </c>
    </row>
    <row r="62">
      <c r="A62" s="47" t="inlineStr">
        <is>
          <t>현금전환주기 (CCC)</t>
        </is>
      </c>
      <c r="B62" s="10" t="inlineStr">
        <is>
          <t>짧을수록↑</t>
        </is>
      </c>
      <c r="C62" s="50">
        <f>IF(OR(C59="",C60="",C61=""),"",IFERROR(C59+C60-C61,""))</f>
        <v/>
      </c>
      <c r="D62" s="51">
        <f>IF(OR(D59="",D60="",D61=""),"",IFERROR(D59+D60-D61,""))</f>
        <v/>
      </c>
      <c r="E62" s="51">
        <f>IF(OR(E59="",E60="",E61=""),"",IFERROR(E59+E60-E61,""))</f>
        <v/>
      </c>
      <c r="F62" s="51">
        <f>IF(OR(F59="",F60="",F61=""),"",IFERROR(F59+F60-F61,""))</f>
        <v/>
      </c>
      <c r="G62" s="51">
        <f>IF(OR(G59="",G60="",G61=""),"",IFERROR(G59+G60-G61,""))</f>
        <v/>
      </c>
      <c r="H62" s="50">
        <f>IF(OR(H59="",H60="",H61=""),"",IFERROR(H59+H60-H61,""))</f>
        <v/>
      </c>
      <c r="I62" s="51">
        <f>IF(OR(I59="",I60="",I61=""),"",IFERROR(I59+I60-I61,""))</f>
        <v/>
      </c>
      <c r="J62" s="51">
        <f>IF(OR(J59="",J60="",J61=""),"",IFERROR(J59+J60-J61,""))</f>
        <v/>
      </c>
    </row>
    <row r="63">
      <c r="A63" s="25" t="inlineStr">
        <is>
          <t>현금흐름</t>
        </is>
      </c>
      <c r="B63" s="25" t="n"/>
      <c r="C63" s="26" t="n"/>
      <c r="D63" s="25" t="n"/>
      <c r="E63" s="25" t="n"/>
      <c r="F63" s="25" t="n"/>
      <c r="G63" s="25" t="n"/>
      <c r="H63" s="26" t="n"/>
      <c r="I63" s="25" t="n"/>
      <c r="J63" s="25" t="n"/>
    </row>
    <row r="64">
      <c r="A64" s="47" t="inlineStr">
        <is>
          <t>영업현금흐름 / 순이익</t>
        </is>
      </c>
      <c r="B64" s="10" t="inlineStr">
        <is>
          <t>1x↑ (이익의 질)</t>
        </is>
      </c>
      <c r="C64" s="32">
        <f>IF(C37="","",IFERROR(C37/(IF(COUNT('연간'!G43:J43)&lt;4,"",SUM('연간'!G43:J43))),""))</f>
        <v/>
      </c>
      <c r="D64" s="33">
        <f>IF(D37="","",IFERROR(D37/(IF(COUNT('연간'!H43:K43)&lt;4,"",SUM('연간'!H43:K43))),""))</f>
        <v/>
      </c>
      <c r="E64" s="33">
        <f>IF(E37="","",IFERROR(E37/(IF(COUNT('연간'!I43:L43)&lt;4,"",SUM('연간'!I43:L43))),""))</f>
        <v/>
      </c>
      <c r="F64" s="33">
        <f>IF(F37="","",IFERROR(F37/(IF(COUNT('연간'!J43:M43)&lt;4,"",SUM('연간'!J43:M43))),""))</f>
        <v/>
      </c>
      <c r="G64" s="33">
        <f>IF(G37="","",IFERROR(G37/(IF(COUNT('연간'!K43:N43)&lt;4,"",SUM('연간'!K43:N43))),""))</f>
        <v/>
      </c>
      <c r="H64" s="32">
        <f>IF(H37="","",IFERROR(H37/('연간'!V43),""))</f>
        <v/>
      </c>
      <c r="I64" s="33">
        <f>IF(I37="","",IFERROR(I37/('연간'!W43),""))</f>
        <v/>
      </c>
      <c r="J64" s="33">
        <f>IF(J37="","",IFERROR(J37/('연간'!X43),""))</f>
        <v/>
      </c>
    </row>
    <row r="65">
      <c r="A65" s="47" t="inlineStr">
        <is>
          <t>FCF 마진</t>
        </is>
      </c>
      <c r="B65" s="10" t="inlineStr">
        <is>
          <t>5%↑</t>
        </is>
      </c>
      <c r="C65" s="37">
        <f>IF(C39="","",IFERROR(C39/(IF(COUNT('연간'!G4:J4)&lt;4,"",SUM('연간'!G4:J4))),""))</f>
        <v/>
      </c>
      <c r="D65" s="38">
        <f>IF(D39="","",IFERROR(D39/(IF(COUNT('연간'!H4:K4)&lt;4,"",SUM('연간'!H4:K4))),""))</f>
        <v/>
      </c>
      <c r="E65" s="38">
        <f>IF(E39="","",IFERROR(E39/(IF(COUNT('연간'!I4:L4)&lt;4,"",SUM('연간'!I4:L4))),""))</f>
        <v/>
      </c>
      <c r="F65" s="38">
        <f>IF(F39="","",IFERROR(F39/(IF(COUNT('연간'!J4:M4)&lt;4,"",SUM('연간'!J4:M4))),""))</f>
        <v/>
      </c>
      <c r="G65" s="38">
        <f>IF(G39="","",IFERROR(G39/(IF(COUNT('연간'!K4:N4)&lt;4,"",SUM('연간'!K4:N4))),""))</f>
        <v/>
      </c>
      <c r="H65" s="37">
        <f>IF(H39="","",IFERROR(H39/('연간'!V4),""))</f>
        <v/>
      </c>
      <c r="I65" s="38">
        <f>IF(I39="","",IFERROR(I39/('연간'!W4),""))</f>
        <v/>
      </c>
      <c r="J65" s="38">
        <f>IF(J39="","",IFERROR(J39/('연간'!X4),""))</f>
        <v/>
      </c>
    </row>
    <row r="66">
      <c r="A66" s="47" t="inlineStr">
        <is>
          <t>CAPEX / 매출</t>
        </is>
      </c>
      <c r="B66" s="10" t="inlineStr">
        <is>
          <t>낮을수록↑ (자본 가벼움)</t>
        </is>
      </c>
      <c r="C66" s="37">
        <f>IF(C38="","",IFERROR(C38/(IF(COUNT('연간'!G4:J4)&lt;4,"",SUM('연간'!G4:J4))),""))</f>
        <v/>
      </c>
      <c r="D66" s="38">
        <f>IF(D38="","",IFERROR(D38/(IF(COUNT('연간'!H4:K4)&lt;4,"",SUM('연간'!H4:K4))),""))</f>
        <v/>
      </c>
      <c r="E66" s="38">
        <f>IF(E38="","",IFERROR(E38/(IF(COUNT('연간'!I4:L4)&lt;4,"",SUM('연간'!I4:L4))),""))</f>
        <v/>
      </c>
      <c r="F66" s="38">
        <f>IF(F38="","",IFERROR(F38/(IF(COUNT('연간'!J4:M4)&lt;4,"",SUM('연간'!J4:M4))),""))</f>
        <v/>
      </c>
      <c r="G66" s="38">
        <f>IF(G38="","",IFERROR(G38/(IF(COUNT('연간'!K4:N4)&lt;4,"",SUM('연간'!K4:N4))),""))</f>
        <v/>
      </c>
      <c r="H66" s="37">
        <f>IF(H38="","",IFERROR(H38/('연간'!V4),""))</f>
        <v/>
      </c>
      <c r="I66" s="38">
        <f>IF(I38="","",IFERROR(I38/('연간'!W4),""))</f>
        <v/>
      </c>
      <c r="J66" s="38">
        <f>IF(J38="","",IFERROR(J38/('연간'!X4),""))</f>
        <v/>
      </c>
    </row>
    <row r="67">
      <c r="A67" s="47" t="inlineStr">
        <is>
          <t>배당성향</t>
        </is>
      </c>
      <c r="B67" s="10" t="inlineStr">
        <is>
          <t>참고</t>
        </is>
      </c>
      <c r="C67" s="37">
        <f>IF(C40="","",IFERROR(C40/(IF(COUNT('연간'!G44:J44)&lt;4,"",SUM('연간'!G44:J44))),""))</f>
        <v/>
      </c>
      <c r="D67" s="38">
        <f>IF(D40="","",IFERROR(D40/(IF(COUNT('연간'!H44:K44)&lt;4,"",SUM('연간'!H44:K44))),""))</f>
        <v/>
      </c>
      <c r="E67" s="38">
        <f>IF(E40="","",IFERROR(E40/(IF(COUNT('연간'!I44:L44)&lt;4,"",SUM('연간'!I44:L44))),""))</f>
        <v/>
      </c>
      <c r="F67" s="38">
        <f>IF(F40="","",IFERROR(F40/(IF(COUNT('연간'!J44:M44)&lt;4,"",SUM('연간'!J44:M44))),""))</f>
        <v/>
      </c>
      <c r="G67" s="38">
        <f>IF(G40="","",IFERROR(G40/(IF(COUNT('연간'!K44:N44)&lt;4,"",SUM('연간'!K44:N44))),""))</f>
        <v/>
      </c>
      <c r="H67" s="37">
        <f>IF(H40="","",IFERROR(H40/('연간'!V44),""))</f>
        <v/>
      </c>
      <c r="I67" s="38">
        <f>IF(I40="","",IFERROR(I40/('연간'!W44),""))</f>
        <v/>
      </c>
      <c r="J67" s="38">
        <f>IF(J40="","",IFERROR(J40/('연간'!X44),""))</f>
        <v/>
      </c>
    </row>
    <row r="69">
      <c r="A69" s="18" t="inlineStr">
        <is>
          <t>재무상태표 · 전 항목</t>
        </is>
      </c>
      <c r="B69" s="44" t="inlineStr">
        <is>
          <t>분기 말 잔액</t>
        </is>
      </c>
      <c r="C69" s="18" t="n"/>
      <c r="D69" s="18" t="n"/>
      <c r="E69" s="18" t="n"/>
      <c r="F69" s="18" t="n"/>
      <c r="G69" s="18" t="n"/>
      <c r="H69" s="18" t="n"/>
      <c r="I69" s="18" t="n"/>
      <c r="J69" s="18"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2024</t>
        </is>
      </c>
      <c r="I70" s="5" t="inlineStr">
        <is>
          <t>2025</t>
        </is>
      </c>
      <c r="J70" s="5" t="inlineStr">
        <is>
          <t>2026</t>
        </is>
      </c>
    </row>
    <row r="71">
      <c r="A71" s="20" t="inlineStr">
        <is>
          <t>현금및현금성자산</t>
        </is>
      </c>
      <c r="C71" s="22" t="n">
        <v>235546</v>
      </c>
      <c r="E71" s="22" t="n">
        <v>281527</v>
      </c>
      <c r="F71" s="22" t="n">
        <v>470707</v>
      </c>
      <c r="G71" s="22" t="n">
        <v>791014</v>
      </c>
      <c r="H71" s="22" t="n">
        <v>187593</v>
      </c>
      <c r="I71" s="22" t="n">
        <v>167932</v>
      </c>
      <c r="J71" s="22" t="n">
        <v>470707</v>
      </c>
    </row>
    <row r="72">
      <c r="A72" s="20" t="inlineStr">
        <is>
          <t>영업채권 및 기타채권</t>
        </is>
      </c>
      <c r="C72" s="22" t="n">
        <v>236412</v>
      </c>
      <c r="E72" s="22" t="n">
        <v>347780</v>
      </c>
      <c r="F72" s="22" t="n">
        <v>660559</v>
      </c>
      <c r="G72" s="22" t="n">
        <v>1151562</v>
      </c>
      <c r="H72" s="22" t="n">
        <v>149815</v>
      </c>
      <c r="I72" s="22" t="n">
        <v>238594</v>
      </c>
      <c r="J72" s="22" t="n">
        <v>660559</v>
      </c>
    </row>
    <row r="73">
      <c r="A73" s="20" t="inlineStr">
        <is>
          <t>기타금융자산</t>
        </is>
      </c>
      <c r="C73" s="22" t="n">
        <v>3929</v>
      </c>
      <c r="E73" s="22" t="n">
        <v>7955</v>
      </c>
      <c r="F73" s="22" t="n">
        <v>7191</v>
      </c>
      <c r="G73" s="22" t="n">
        <v>4751</v>
      </c>
      <c r="H73" s="22" t="n">
        <v>5353</v>
      </c>
      <c r="I73" s="22" t="n">
        <v>3971</v>
      </c>
      <c r="J73" s="22" t="n">
        <v>7191</v>
      </c>
    </row>
    <row r="74">
      <c r="A74" s="20" t="inlineStr">
        <is>
          <t>재고자산</t>
        </is>
      </c>
      <c r="C74" s="22" t="n">
        <v>361634</v>
      </c>
      <c r="E74" s="22" t="n">
        <v>353486</v>
      </c>
      <c r="F74" s="22" t="n">
        <v>412612</v>
      </c>
      <c r="G74" s="22" t="n">
        <v>438111</v>
      </c>
      <c r="H74" s="22" t="n">
        <v>271781</v>
      </c>
      <c r="I74" s="22" t="n">
        <v>352863</v>
      </c>
      <c r="J74" s="22" t="n">
        <v>412612</v>
      </c>
    </row>
    <row r="75">
      <c r="A75" s="20" t="inlineStr">
        <is>
          <t>기타유동자산</t>
        </is>
      </c>
      <c r="C75" s="22" t="n">
        <v>52754</v>
      </c>
      <c r="E75" s="22" t="n">
        <v>68854</v>
      </c>
      <c r="F75" s="22" t="n">
        <v>66760</v>
      </c>
      <c r="G75" s="22" t="n">
        <v>86540</v>
      </c>
      <c r="H75" s="22" t="n">
        <v>36833</v>
      </c>
      <c r="I75" s="22" t="n">
        <v>43349</v>
      </c>
      <c r="J75" s="22" t="n">
        <v>66760</v>
      </c>
    </row>
    <row r="76">
      <c r="A76" s="9" t="inlineStr">
        <is>
          <t>유동자산 합계</t>
        </is>
      </c>
      <c r="C76" s="12" t="n">
        <v>890275</v>
      </c>
      <c r="E76" s="12" t="n">
        <v>1059602</v>
      </c>
      <c r="F76" s="12" t="n">
        <v>1617829</v>
      </c>
      <c r="G76" s="12" t="n">
        <v>2471978</v>
      </c>
      <c r="H76" s="12" t="n">
        <v>651375</v>
      </c>
      <c r="I76" s="12" t="n">
        <v>806709</v>
      </c>
      <c r="J76" s="12" t="n">
        <v>1617829</v>
      </c>
    </row>
    <row r="77">
      <c r="A77" s="20" t="inlineStr">
        <is>
          <t>유형자산</t>
        </is>
      </c>
      <c r="C77" s="22" t="n">
        <v>1068664</v>
      </c>
      <c r="E77" s="22" t="n">
        <v>1056828</v>
      </c>
      <c r="F77" s="22" t="n">
        <v>1055255</v>
      </c>
      <c r="G77" s="22" t="n">
        <v>1055840</v>
      </c>
      <c r="H77" s="22" t="n">
        <v>1168765</v>
      </c>
      <c r="I77" s="22" t="n">
        <v>1100181</v>
      </c>
      <c r="J77" s="22" t="n">
        <v>1055255</v>
      </c>
    </row>
    <row r="78">
      <c r="A78" s="20" t="inlineStr">
        <is>
          <t>사용권자산</t>
        </is>
      </c>
      <c r="C78" s="22" t="n">
        <v>192407</v>
      </c>
      <c r="E78" s="22" t="n">
        <v>186408</v>
      </c>
      <c r="F78" s="22" t="n">
        <v>178092</v>
      </c>
      <c r="G78" s="22" t="n">
        <v>175510</v>
      </c>
      <c r="H78" s="22" t="n">
        <v>159719</v>
      </c>
      <c r="I78" s="22" t="n">
        <v>197063</v>
      </c>
      <c r="J78" s="22" t="n">
        <v>178092</v>
      </c>
    </row>
    <row r="79">
      <c r="A79" s="20" t="inlineStr">
        <is>
          <t>영업권</t>
        </is>
      </c>
      <c r="C79" s="22" t="n">
        <v>395511</v>
      </c>
      <c r="E79" s="22" t="n">
        <v>395577</v>
      </c>
      <c r="F79" s="22" t="n">
        <v>395585</v>
      </c>
      <c r="G79" s="22" t="n">
        <v>395660</v>
      </c>
      <c r="H79" s="22" t="n">
        <v>395405</v>
      </c>
      <c r="I79" s="22" t="n">
        <v>395256</v>
      </c>
      <c r="J79" s="22" t="n">
        <v>395585</v>
      </c>
    </row>
    <row r="80">
      <c r="A80" s="20" t="inlineStr">
        <is>
          <t>무형자산</t>
        </is>
      </c>
      <c r="C80" s="22" t="n">
        <v>11244</v>
      </c>
      <c r="E80" s="22" t="n">
        <v>11071</v>
      </c>
      <c r="F80" s="22" t="n">
        <v>11192</v>
      </c>
      <c r="G80" s="22" t="n">
        <v>11657</v>
      </c>
      <c r="H80" s="22" t="n">
        <v>11259</v>
      </c>
      <c r="I80" s="22" t="n">
        <v>10658</v>
      </c>
      <c r="J80" s="22" t="n">
        <v>11192</v>
      </c>
    </row>
    <row r="81">
      <c r="A81" s="20" t="inlineStr">
        <is>
          <t>지분법 투자</t>
        </is>
      </c>
      <c r="C81" s="22" t="n">
        <v>7285</v>
      </c>
      <c r="E81" s="22" t="n">
        <v>7441</v>
      </c>
      <c r="F81" s="22" t="n">
        <v>8097</v>
      </c>
      <c r="G81" s="22" t="n">
        <v>8434</v>
      </c>
      <c r="H81" s="22" t="n">
        <v>6869</v>
      </c>
      <c r="I81" s="22" t="n">
        <v>7401</v>
      </c>
      <c r="J81" s="22" t="n">
        <v>8097</v>
      </c>
    </row>
    <row r="82">
      <c r="A82" s="20" t="inlineStr">
        <is>
          <t>기타금융자산</t>
        </is>
      </c>
      <c r="C82" s="22" t="n">
        <v>93200</v>
      </c>
      <c r="E82" s="22" t="n">
        <v>198068</v>
      </c>
      <c r="F82" s="22" t="n">
        <v>219230</v>
      </c>
      <c r="G82" s="22" t="n">
        <v>522327</v>
      </c>
      <c r="H82" s="22" t="n">
        <v>87139</v>
      </c>
      <c r="I82" s="22" t="n">
        <v>63179</v>
      </c>
      <c r="J82" s="22" t="n">
        <v>219230</v>
      </c>
    </row>
    <row r="83">
      <c r="A83" s="20" t="inlineStr">
        <is>
          <t>기타비유동자산</t>
        </is>
      </c>
      <c r="C83" s="22" t="n">
        <v>27030</v>
      </c>
      <c r="E83" s="22" t="n">
        <v>29330</v>
      </c>
      <c r="F83" s="22" t="n">
        <v>27285</v>
      </c>
      <c r="G83" s="22" t="n">
        <v>26019</v>
      </c>
      <c r="H83" s="22" t="n">
        <v>13688</v>
      </c>
      <c r="I83" s="22" t="n">
        <v>20069</v>
      </c>
      <c r="J83" s="22" t="n">
        <v>27285</v>
      </c>
    </row>
    <row r="84">
      <c r="A84" s="20" t="inlineStr">
        <is>
          <t>이연법인세자산</t>
        </is>
      </c>
      <c r="C84" s="22" t="n">
        <v>296603</v>
      </c>
      <c r="E84" s="22" t="n">
        <v>250517</v>
      </c>
      <c r="F84" s="22" t="n">
        <v>177506</v>
      </c>
      <c r="G84" s="22" t="n">
        <v>63051</v>
      </c>
      <c r="H84" s="22" t="n">
        <v>370722</v>
      </c>
      <c r="I84" s="22" t="n">
        <v>319163</v>
      </c>
      <c r="J84" s="22" t="n">
        <v>177506</v>
      </c>
    </row>
    <row r="85">
      <c r="A85" s="20" t="inlineStr">
        <is>
          <t>비유동자산 합계</t>
        </is>
      </c>
      <c r="C85" s="22" t="n">
        <v>2091944</v>
      </c>
      <c r="E85" s="22" t="n">
        <v>2135240</v>
      </c>
      <c r="F85" s="22" t="n">
        <v>2072242</v>
      </c>
      <c r="G85" s="22" t="n">
        <v>2258498</v>
      </c>
      <c r="H85" s="22" t="n">
        <v>2213566</v>
      </c>
      <c r="I85" s="22" t="n">
        <v>2112970</v>
      </c>
      <c r="J85" s="22" t="n">
        <v>2072242</v>
      </c>
    </row>
    <row r="86">
      <c r="A86" s="20" t="inlineStr">
        <is>
          <t>자산 합계</t>
        </is>
      </c>
      <c r="C86" s="22" t="n">
        <v>2982219</v>
      </c>
      <c r="E86" s="22" t="n">
        <v>3194842</v>
      </c>
      <c r="F86" s="22" t="n">
        <v>3690071</v>
      </c>
      <c r="G86" s="22" t="n">
        <v>4730476</v>
      </c>
      <c r="H86" s="22" t="n">
        <v>2864941</v>
      </c>
      <c r="I86" s="22" t="n">
        <v>2919679</v>
      </c>
      <c r="J86" s="22" t="n">
        <v>3690071</v>
      </c>
    </row>
    <row r="87">
      <c r="A87" s="20" t="inlineStr">
        <is>
          <t>차입금</t>
        </is>
      </c>
      <c r="C87" s="22" t="n">
        <v>261820</v>
      </c>
      <c r="H87" s="22" t="n">
        <v>826413</v>
      </c>
      <c r="I87" s="22" t="n">
        <v>246508</v>
      </c>
    </row>
    <row r="88">
      <c r="A88" s="20" t="inlineStr">
        <is>
          <t>사채 및 차입금</t>
        </is>
      </c>
      <c r="C88" s="22" t="n">
        <v>189224</v>
      </c>
      <c r="E88" s="22" t="n">
        <v>185170</v>
      </c>
      <c r="F88" s="22" t="n">
        <v>175452</v>
      </c>
      <c r="G88" s="22" t="n">
        <v>91545</v>
      </c>
      <c r="I88" s="22" t="n">
        <v>246508</v>
      </c>
      <c r="J88" s="22" t="n">
        <v>175452</v>
      </c>
    </row>
    <row r="89">
      <c r="A89" s="20" t="inlineStr">
        <is>
          <t>영업채무 및 기타채무</t>
        </is>
      </c>
      <c r="C89" s="22" t="n">
        <v>544641</v>
      </c>
      <c r="E89" s="22" t="n">
        <v>606755</v>
      </c>
      <c r="F89" s="22" t="n">
        <v>594917</v>
      </c>
      <c r="G89" s="22" t="n">
        <v>706802</v>
      </c>
      <c r="H89" s="22" t="n">
        <v>512502</v>
      </c>
      <c r="I89" s="22" t="n">
        <v>504011</v>
      </c>
      <c r="J89" s="22" t="n">
        <v>594917</v>
      </c>
    </row>
    <row r="90">
      <c r="A90" s="20" t="inlineStr">
        <is>
          <t>리스부채</t>
        </is>
      </c>
      <c r="C90" s="22" t="n">
        <v>44244</v>
      </c>
      <c r="E90" s="22" t="n">
        <v>44621</v>
      </c>
      <c r="F90" s="22" t="n">
        <v>43911</v>
      </c>
      <c r="G90" s="22" t="n">
        <v>43544</v>
      </c>
      <c r="H90" s="22" t="n">
        <v>40025</v>
      </c>
      <c r="I90" s="22" t="n">
        <v>42521</v>
      </c>
      <c r="J90" s="22" t="n">
        <v>43911</v>
      </c>
    </row>
    <row r="91">
      <c r="A91" s="20" t="inlineStr">
        <is>
          <t>기타금융부채</t>
        </is>
      </c>
      <c r="C91" s="22" t="n">
        <v>7422</v>
      </c>
      <c r="E91" s="22" t="n">
        <v>18329</v>
      </c>
      <c r="F91" s="22" t="n">
        <v>28338</v>
      </c>
      <c r="G91" s="22" t="n">
        <v>36743</v>
      </c>
      <c r="H91" s="22" t="n">
        <v>344341</v>
      </c>
      <c r="I91" s="22" t="n">
        <v>28058</v>
      </c>
      <c r="J91" s="22" t="n">
        <v>28338</v>
      </c>
    </row>
    <row r="92">
      <c r="A92" s="20" t="inlineStr">
        <is>
          <t>미지급법인세</t>
        </is>
      </c>
      <c r="C92" s="22" t="n">
        <v>10886</v>
      </c>
      <c r="E92" s="22" t="n">
        <v>8706</v>
      </c>
      <c r="F92" s="22" t="n">
        <v>104516</v>
      </c>
      <c r="G92" s="22" t="n">
        <v>340035</v>
      </c>
      <c r="H92" s="22" t="n">
        <v>6182</v>
      </c>
      <c r="I92" s="22" t="n">
        <v>38183</v>
      </c>
      <c r="J92" s="22" t="n">
        <v>104516</v>
      </c>
    </row>
    <row r="93">
      <c r="A93" s="20" t="inlineStr">
        <is>
          <t>충당금</t>
        </is>
      </c>
      <c r="C93" s="22" t="n">
        <v>2179</v>
      </c>
      <c r="E93" s="22" t="n">
        <v>2079</v>
      </c>
      <c r="F93" s="22" t="n">
        <v>3876</v>
      </c>
      <c r="G93" s="22" t="n">
        <v>7650</v>
      </c>
      <c r="H93" s="22" t="n">
        <v>4694</v>
      </c>
      <c r="I93" s="22" t="n">
        <v>3328</v>
      </c>
      <c r="J93" s="22" t="n">
        <v>3876</v>
      </c>
    </row>
    <row r="94">
      <c r="A94" s="20" t="inlineStr">
        <is>
          <t>기타유동부채</t>
        </is>
      </c>
      <c r="C94" s="22" t="n">
        <v>105843</v>
      </c>
      <c r="E94" s="22" t="n">
        <v>120700</v>
      </c>
      <c r="F94" s="22" t="n">
        <v>146998</v>
      </c>
      <c r="G94" s="22" t="n">
        <v>169461</v>
      </c>
      <c r="H94" s="22" t="n">
        <v>131970</v>
      </c>
      <c r="I94" s="22" t="n">
        <v>122564</v>
      </c>
      <c r="J94" s="22" t="n">
        <v>146998</v>
      </c>
    </row>
    <row r="95">
      <c r="A95" s="20" t="inlineStr">
        <is>
          <t>유동부채 합계</t>
        </is>
      </c>
      <c r="C95" s="22" t="n">
        <v>904439</v>
      </c>
      <c r="E95" s="22" t="n">
        <v>986360</v>
      </c>
      <c r="F95" s="22" t="n">
        <v>1098008</v>
      </c>
      <c r="G95" s="22" t="n">
        <v>1395780</v>
      </c>
      <c r="H95" s="22" t="n">
        <v>1866127</v>
      </c>
      <c r="I95" s="22" t="n">
        <v>985173</v>
      </c>
      <c r="J95" s="22" t="n">
        <v>1098008</v>
      </c>
    </row>
    <row r="96">
      <c r="A96" s="20" t="inlineStr">
        <is>
          <t>차입금</t>
        </is>
      </c>
      <c r="C96" s="22" t="n">
        <v>507057</v>
      </c>
      <c r="H96" s="22" t="n">
        <v>284899</v>
      </c>
      <c r="I96" s="22" t="n">
        <v>531198</v>
      </c>
    </row>
    <row r="97">
      <c r="A97" s="20" t="inlineStr">
        <is>
          <t>사채 및 차입금</t>
        </is>
      </c>
      <c r="C97" s="22" t="n">
        <v>920910</v>
      </c>
      <c r="E97" s="22" t="n">
        <v>900872</v>
      </c>
      <c r="F97" s="22" t="n">
        <v>872116</v>
      </c>
      <c r="G97" s="22" t="n">
        <v>543009</v>
      </c>
      <c r="I97" s="22" t="n">
        <v>531198</v>
      </c>
      <c r="J97" s="22" t="n">
        <v>872116</v>
      </c>
    </row>
    <row r="98">
      <c r="A98" s="20" t="inlineStr">
        <is>
          <t>리스부채</t>
        </is>
      </c>
      <c r="C98" s="22" t="n">
        <v>175172</v>
      </c>
      <c r="E98" s="22" t="n">
        <v>169177</v>
      </c>
      <c r="F98" s="22" t="n">
        <v>161710</v>
      </c>
      <c r="G98" s="22" t="n">
        <v>159733</v>
      </c>
      <c r="H98" s="22" t="n">
        <v>142871</v>
      </c>
      <c r="I98" s="22" t="n">
        <v>179294</v>
      </c>
      <c r="J98" s="22" t="n">
        <v>161710</v>
      </c>
    </row>
    <row r="99">
      <c r="A99" s="20" t="inlineStr">
        <is>
          <t>기타금융부채</t>
        </is>
      </c>
      <c r="C99" s="22" t="n">
        <v>0</v>
      </c>
      <c r="E99" s="22" t="n">
        <v>0</v>
      </c>
      <c r="F99" s="22" t="n">
        <v>0</v>
      </c>
      <c r="H99" s="22" t="n">
        <v>0</v>
      </c>
      <c r="I99" s="22" t="n">
        <v>321261</v>
      </c>
      <c r="J99" s="22" t="n">
        <v>0</v>
      </c>
    </row>
    <row r="100">
      <c r="A100" s="20" t="inlineStr">
        <is>
          <t>퇴직급여부채</t>
        </is>
      </c>
      <c r="C100" s="22" t="n">
        <v>46138</v>
      </c>
      <c r="E100" s="22" t="n">
        <v>46067</v>
      </c>
      <c r="F100" s="22" t="n">
        <v>42871</v>
      </c>
      <c r="G100" s="22" t="n">
        <v>42842</v>
      </c>
      <c r="H100" s="22" t="n">
        <v>48492</v>
      </c>
      <c r="I100" s="22" t="n">
        <v>46477</v>
      </c>
      <c r="J100" s="22" t="n">
        <v>42871</v>
      </c>
    </row>
    <row r="101">
      <c r="A101" s="20" t="inlineStr">
        <is>
          <t>충당금</t>
        </is>
      </c>
      <c r="C101" s="22" t="n">
        <v>8379</v>
      </c>
      <c r="E101" s="22" t="n">
        <v>9727</v>
      </c>
      <c r="F101" s="22" t="n">
        <v>12840</v>
      </c>
      <c r="G101" s="22" t="n">
        <v>58335</v>
      </c>
      <c r="H101" s="22" t="n">
        <v>7331</v>
      </c>
      <c r="I101" s="22" t="n">
        <v>7560</v>
      </c>
      <c r="J101" s="22" t="n">
        <v>12840</v>
      </c>
    </row>
    <row r="102">
      <c r="A102" s="20" t="inlineStr">
        <is>
          <t>기타비유동부채</t>
        </is>
      </c>
      <c r="C102" s="22" t="n">
        <v>107836</v>
      </c>
      <c r="E102" s="22" t="n">
        <v>103425</v>
      </c>
      <c r="F102" s="22" t="n">
        <v>102725</v>
      </c>
      <c r="G102" s="22" t="n">
        <v>119630</v>
      </c>
      <c r="H102" s="22" t="n">
        <v>65419</v>
      </c>
      <c r="I102" s="22" t="n">
        <v>111017</v>
      </c>
      <c r="J102" s="22" t="n">
        <v>102725</v>
      </c>
    </row>
    <row r="103">
      <c r="A103" s="20" t="inlineStr">
        <is>
          <t>이연법인세부채</t>
        </is>
      </c>
      <c r="C103" s="22" t="n">
        <v>3</v>
      </c>
      <c r="E103" s="22" t="n">
        <v>567</v>
      </c>
      <c r="F103" s="22" t="n">
        <v>722</v>
      </c>
      <c r="G103" s="22" t="n">
        <v>6669</v>
      </c>
      <c r="H103" s="22" t="n">
        <v>36</v>
      </c>
      <c r="I103" s="22" t="n">
        <v>3</v>
      </c>
      <c r="J103" s="22" t="n">
        <v>722</v>
      </c>
    </row>
    <row r="104">
      <c r="A104" s="20" t="inlineStr">
        <is>
          <t>비유동부채 합계</t>
        </is>
      </c>
      <c r="C104" s="22" t="n">
        <v>1258438</v>
      </c>
      <c r="E104" s="22" t="n">
        <v>1229835</v>
      </c>
      <c r="F104" s="22" t="n">
        <v>1192984</v>
      </c>
      <c r="G104" s="22" t="n">
        <v>930218</v>
      </c>
      <c r="H104" s="22" t="n">
        <v>549048</v>
      </c>
      <c r="I104" s="22" t="n">
        <v>1196810</v>
      </c>
      <c r="J104" s="22" t="n">
        <v>1192984</v>
      </c>
    </row>
    <row r="105">
      <c r="A105" s="20" t="inlineStr">
        <is>
          <t>부채 합계</t>
        </is>
      </c>
      <c r="C105" s="22" t="n">
        <v>2162877</v>
      </c>
      <c r="E105" s="22" t="n">
        <v>2216195</v>
      </c>
      <c r="F105" s="22" t="n">
        <v>2290992</v>
      </c>
      <c r="G105" s="22" t="n">
        <v>2325998</v>
      </c>
      <c r="H105" s="22" t="n">
        <v>2415175</v>
      </c>
      <c r="I105" s="22" t="n">
        <v>2181983</v>
      </c>
      <c r="J105" s="22" t="n">
        <v>2290992</v>
      </c>
    </row>
    <row r="106">
      <c r="A106" s="20" t="inlineStr">
        <is>
          <t>자본금</t>
        </is>
      </c>
      <c r="C106" s="22" t="n">
        <v>25578</v>
      </c>
      <c r="E106" s="22" t="n">
        <v>29880</v>
      </c>
      <c r="F106" s="22" t="n">
        <v>31284</v>
      </c>
      <c r="G106" s="22" t="n">
        <v>33133</v>
      </c>
      <c r="H106" s="22" t="n">
        <v>10000</v>
      </c>
      <c r="I106" s="22" t="n">
        <v>25239</v>
      </c>
      <c r="J106" s="22" t="n">
        <v>31284</v>
      </c>
    </row>
    <row r="107">
      <c r="A107" s="20" t="inlineStr">
        <is>
          <t>자본잉여금</t>
        </is>
      </c>
      <c r="C107" s="22" t="n">
        <v>867701</v>
      </c>
      <c r="E107" s="22" t="n">
        <v>872637</v>
      </c>
      <c r="F107" s="22" t="n">
        <v>875804</v>
      </c>
      <c r="G107" s="22" t="n">
        <v>883711</v>
      </c>
      <c r="H107" s="22" t="n">
        <v>851517</v>
      </c>
      <c r="I107" s="22" t="n">
        <v>866665</v>
      </c>
      <c r="J107" s="22" t="n">
        <v>875804</v>
      </c>
    </row>
    <row r="108">
      <c r="A108" s="20" t="inlineStr">
        <is>
          <t>기타자본구성요소</t>
        </is>
      </c>
      <c r="C108" s="22" t="n">
        <v>56518</v>
      </c>
      <c r="E108" s="22" t="n">
        <v>118769</v>
      </c>
      <c r="F108" s="22" t="n">
        <v>124888</v>
      </c>
      <c r="G108" s="22" t="n">
        <v>278380</v>
      </c>
      <c r="H108" s="22" t="n">
        <v>51172</v>
      </c>
      <c r="I108" s="22" t="n">
        <v>35208</v>
      </c>
      <c r="J108" s="22" t="n">
        <v>124888</v>
      </c>
    </row>
    <row r="109">
      <c r="A109" s="20" t="inlineStr">
        <is>
          <t>이익잉여금</t>
        </is>
      </c>
      <c r="C109" s="22" t="n">
        <v>-130594</v>
      </c>
      <c r="E109" s="22" t="n">
        <v>-42784</v>
      </c>
      <c r="F109" s="22" t="n">
        <v>366955</v>
      </c>
      <c r="G109" s="22" t="n">
        <v>1209116</v>
      </c>
      <c r="H109" s="22" t="n">
        <v>-463054</v>
      </c>
      <c r="I109" s="22" t="n">
        <v>-189547</v>
      </c>
      <c r="J109" s="22" t="n">
        <v>366955</v>
      </c>
    </row>
    <row r="110">
      <c r="A110" s="20" t="inlineStr">
        <is>
          <t>자기주식</t>
        </is>
      </c>
      <c r="E110" s="22" t="n">
        <v>-0</v>
      </c>
      <c r="F110" s="22" t="n">
        <v>-2</v>
      </c>
      <c r="G110" s="22" t="n">
        <v>-20</v>
      </c>
      <c r="I110" s="22" t="n">
        <v>0</v>
      </c>
      <c r="J110" s="22" t="n">
        <v>-2</v>
      </c>
    </row>
    <row r="111">
      <c r="A111" s="20" t="inlineStr">
        <is>
          <t>지배기업 소유주 귀속 지분 합계</t>
        </is>
      </c>
      <c r="C111" s="22" t="n">
        <v>819203</v>
      </c>
      <c r="E111" s="22" t="n">
        <v>978502</v>
      </c>
      <c r="F111" s="22" t="n">
        <v>1398929</v>
      </c>
      <c r="G111" s="22" t="n">
        <v>2404320</v>
      </c>
      <c r="H111" s="22" t="n">
        <v>449635</v>
      </c>
      <c r="I111" s="22" t="n">
        <v>737565</v>
      </c>
      <c r="J111" s="22" t="n">
        <v>1398929</v>
      </c>
    </row>
    <row r="112">
      <c r="A112" s="20" t="inlineStr">
        <is>
          <t>비지배지분</t>
        </is>
      </c>
      <c r="C112" s="22" t="n">
        <v>139</v>
      </c>
      <c r="E112" s="22" t="n">
        <v>145</v>
      </c>
      <c r="F112" s="22" t="n">
        <v>150</v>
      </c>
      <c r="G112" s="22" t="n">
        <v>158</v>
      </c>
      <c r="H112" s="22" t="n">
        <v>131</v>
      </c>
      <c r="I112" s="22" t="n">
        <v>131</v>
      </c>
      <c r="J112" s="22" t="n">
        <v>150</v>
      </c>
    </row>
    <row r="113">
      <c r="A113" s="20" t="inlineStr">
        <is>
          <t>자본 합계</t>
        </is>
      </c>
      <c r="C113" s="22" t="n">
        <v>819342</v>
      </c>
      <c r="E113" s="22" t="n">
        <v>978647</v>
      </c>
      <c r="F113" s="22" t="n">
        <v>1399079</v>
      </c>
      <c r="G113" s="22" t="n">
        <v>2404478</v>
      </c>
      <c r="H113" s="22" t="n">
        <v>449766</v>
      </c>
      <c r="I113" s="22" t="n">
        <v>737696</v>
      </c>
      <c r="J113" s="22" t="n">
        <v>1399079</v>
      </c>
    </row>
    <row r="114">
      <c r="A114" s="20" t="inlineStr">
        <is>
          <t>부채및자본 합계</t>
        </is>
      </c>
      <c r="C114" s="22" t="n">
        <v>2982219</v>
      </c>
      <c r="E114" s="22" t="n">
        <v>3194842</v>
      </c>
      <c r="F114" s="22" t="n">
        <v>3690071</v>
      </c>
      <c r="G114" s="22" t="n">
        <v>4730476</v>
      </c>
      <c r="H114" s="22" t="n">
        <v>2864941</v>
      </c>
      <c r="I114" s="22" t="n">
        <v>2919679</v>
      </c>
      <c r="J114" s="22" t="n">
        <v>3690071</v>
      </c>
    </row>
  </sheetData>
  <conditionalFormatting sqref="C43:J43">
    <cfRule type="expression" priority="1" dxfId="0">
      <formula>AND(ISNUMBER(C43),C43&gt;1.0)</formula>
    </cfRule>
  </conditionalFormatting>
  <conditionalFormatting sqref="C44:J44">
    <cfRule type="expression" priority="2" dxfId="0">
      <formula>AND(ISNUMBER(C44),C44&gt;0.5)</formula>
    </cfRule>
  </conditionalFormatting>
  <conditionalFormatting sqref="C45:J45">
    <cfRule type="expression" priority="3" dxfId="0">
      <formula>AND(ISNUMBER(C45),C45&lt;0.5)</formula>
    </cfRule>
  </conditionalFormatting>
  <conditionalFormatting sqref="C46:J46">
    <cfRule type="expression" priority="4" dxfId="0">
      <formula>AND(ISNUMBER(C46),C46&lt;1.5)</formula>
    </cfRule>
  </conditionalFormatting>
  <conditionalFormatting sqref="C47:J47">
    <cfRule type="expression" priority="5" dxfId="0">
      <formula>AND(ISNUMBER(C47),C47&lt;1.0)</formula>
    </cfRule>
  </conditionalFormatting>
  <conditionalFormatting sqref="C48:J48">
    <cfRule type="expression" priority="6" dxfId="0">
      <formula>AND(ISNUMBER(C48),C48&lt;5)</formula>
    </cfRule>
  </conditionalFormatting>
  <conditionalFormatting sqref="C49:J49">
    <cfRule type="expression" priority="7" dxfId="0">
      <formula>AND(ISNUMBER(C49),C49&gt;4)</formula>
    </cfRule>
  </conditionalFormatting>
  <conditionalFormatting sqref="C51:J51">
    <cfRule type="expression" priority="8" dxfId="0">
      <formula>AND(ISNUMBER(C51),C51&lt;0.15)</formula>
    </cfRule>
  </conditionalFormatting>
  <conditionalFormatting sqref="C52:J52">
    <cfRule type="expression" priority="9" dxfId="0">
      <formula>AND(ISNUMBER(C52),C52&lt;0.05)</formula>
    </cfRule>
  </conditionalFormatting>
  <conditionalFormatting sqref="C53:J53">
    <cfRule type="expression" priority="10" dxfId="0">
      <formula>AND(ISNUMBER(C53),C53&lt;0.1)</formula>
    </cfRule>
  </conditionalFormatting>
  <conditionalFormatting sqref="C54:J54">
    <cfRule type="expression" priority="11" dxfId="0">
      <formula>AND(ISNUMBER(C54),C54&lt;0.4)</formula>
    </cfRule>
  </conditionalFormatting>
  <conditionalFormatting sqref="C55:J55">
    <cfRule type="expression" priority="12" dxfId="0">
      <formula>AND(ISNUMBER(C55),C55&lt;0.15)</formula>
    </cfRule>
  </conditionalFormatting>
  <conditionalFormatting sqref="C56:J56">
    <cfRule type="expression" priority="13" dxfId="0">
      <formula>AND(ISNUMBER(C56),C56&lt;0.1)</formula>
    </cfRule>
  </conditionalFormatting>
  <conditionalFormatting sqref="C64:J64">
    <cfRule type="expression" priority="14" dxfId="0">
      <formula>AND(ISNUMBER(C64),C64&lt;1.0)</formula>
    </cfRule>
  </conditionalFormatting>
  <conditionalFormatting sqref="C65:J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2" t="inlineStr">
        <is>
          <t>출처 · 쓴 결산단신</t>
        </is>
      </c>
    </row>
    <row r="3">
      <c r="A3" s="53" t="inlineStr">
        <is>
          <t>공시일</t>
        </is>
      </c>
      <c r="B3" s="53" t="inlineStr">
        <is>
          <t>문서</t>
        </is>
      </c>
      <c r="C3" s="53" t="inlineStr">
        <is>
          <t>PDF</t>
        </is>
      </c>
    </row>
    <row r="4">
      <c r="A4" t="inlineStr">
        <is>
          <t>2026-07-31</t>
        </is>
      </c>
      <c r="B4" t="inlineStr">
        <is>
          <t>2027년 3월 결산기 １분기 결산단신</t>
        </is>
      </c>
      <c r="C4" t="inlineStr">
        <is>
          <t>https://www2.jpx.co.jp/disc/285A0/140120260731505265.pdf</t>
        </is>
      </c>
    </row>
    <row r="5">
      <c r="A5" t="inlineStr">
        <is>
          <t>2026-05-15</t>
        </is>
      </c>
      <c r="B5" t="inlineStr">
        <is>
          <t>2026년 3월 결산기 연간 결산단신</t>
        </is>
      </c>
      <c r="C5" t="inlineStr">
        <is>
          <t>https://www2.jpx.co.jp/disc/285A0/140120260515537803.pdf</t>
        </is>
      </c>
    </row>
    <row r="6">
      <c r="A6" t="inlineStr">
        <is>
          <t>2026-02-12</t>
        </is>
      </c>
      <c r="B6" t="inlineStr">
        <is>
          <t>2026년 3월 결산기 ３분기 결산단신</t>
        </is>
      </c>
      <c r="C6" t="inlineStr">
        <is>
          <t>https://www2.jpx.co.jp/disc/285A0/140120260212556330.pdf</t>
        </is>
      </c>
    </row>
    <row r="7">
      <c r="A7" t="inlineStr">
        <is>
          <t>2025-11-13</t>
        </is>
      </c>
      <c r="B7" t="inlineStr">
        <is>
          <t>2026년 3월 결산기 ２분기 결산단신</t>
        </is>
      </c>
      <c r="C7" t="inlineStr">
        <is>
          <t>https://www2.jpx.co.jp/disc/285A0/140120251113599856.pdf</t>
        </is>
      </c>
    </row>
    <row r="8">
      <c r="A8" t="inlineStr">
        <is>
          <t>2025-08-08</t>
        </is>
      </c>
      <c r="B8" t="inlineStr">
        <is>
          <t>2026년 3월 결산기 １분기 결산단신</t>
        </is>
      </c>
      <c r="C8" t="inlineStr">
        <is>
          <t>https://www2.jpx.co.jp/disc/285A0/140120250808536248.pdf</t>
        </is>
      </c>
    </row>
    <row r="9">
      <c r="A9" t="inlineStr">
        <is>
          <t>2025-05-15</t>
        </is>
      </c>
      <c r="B9" t="inlineStr">
        <is>
          <t>2025년 3월 결산기 연간 결산단신</t>
        </is>
      </c>
      <c r="C9" t="inlineStr">
        <is>
          <t>https://www2.jpx.co.jp/disc/285A0/140120250515552869.pdf</t>
        </is>
      </c>
    </row>
    <row r="10">
      <c r="A10" t="inlineStr">
        <is>
          <t>2025-02-14</t>
        </is>
      </c>
      <c r="B10" t="inlineStr">
        <is>
          <t>2025년 3월 결산기 ３분기 결산단신</t>
        </is>
      </c>
      <c r="C10" t="inlineStr">
        <is>
          <t>https://www2.jpx.co.jp/disc/285A0/140120250207566970.pdf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2026-10-26T10:53:22Z</dcterms:created>
  <dcterms:modified xmlns:dcterms="http://purl.org/dc/terms/" xmlns:xsi="http://www.w3.org/2001/XMLSchema-instance" xsi:type="dcterms:W3CDTF">2026-10-26T10:53:22Z</dcterms:modified>
</cp:coreProperties>
</file>