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1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285A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/>
      <c r="Q4" s="12" t="n"/>
      <c r="R4" s="12" t="n"/>
      <c r="S4" s="12" t="n"/>
      <c r="T4" s="12" t="n"/>
      <c r="U4" s="12" t="n"/>
      <c r="V4" s="12" t="n">
        <v>1076584</v>
      </c>
      <c r="W4" s="12" t="n">
        <v>1706460</v>
      </c>
      <c r="X4" s="12" t="n">
        <v>2337628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/>
      <c r="T11" s="22" t="n"/>
      <c r="U11" s="22" t="n"/>
      <c r="V11" s="22" t="n">
        <v>1205927</v>
      </c>
      <c r="W11" s="22" t="n">
        <v>1137027</v>
      </c>
      <c r="X11" s="22" t="n">
        <v>1324724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1" t="n"/>
      <c r="P15" s="22" t="n"/>
      <c r="Q15" s="22" t="n"/>
      <c r="R15" s="22" t="n"/>
      <c r="S15" s="22" t="n"/>
      <c r="T15" s="22" t="n"/>
      <c r="U15" s="22" t="n"/>
      <c r="V15" s="22" t="n">
        <v>128774</v>
      </c>
      <c r="W15" s="22" t="n">
        <v>127851</v>
      </c>
      <c r="X15" s="22" t="n">
        <v>146581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1" t="n"/>
      <c r="P16" s="12" t="n"/>
      <c r="Q16" s="12" t="n"/>
      <c r="R16" s="12" t="n"/>
      <c r="S16" s="12" t="n"/>
      <c r="T16" s="12" t="n"/>
      <c r="U16" s="12" t="n"/>
      <c r="V16" s="12" t="n">
        <v>-252698</v>
      </c>
      <c r="W16" s="12" t="n">
        <v>451748</v>
      </c>
      <c r="X16" s="12" t="n">
        <v>870369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기타이익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>
        <v>19676</v>
      </c>
      <c r="W32" s="22" t="n">
        <v>14675</v>
      </c>
      <c r="X32" s="22" t="n">
        <v>8902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기타손실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/>
      <c r="U34" s="22" t="n"/>
      <c r="V34" s="22" t="n">
        <v>14257</v>
      </c>
      <c r="W34" s="22" t="n">
        <v>4509</v>
      </c>
      <c r="X34" s="22" t="n">
        <v>4856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금융수익</t>
        </is>
      </c>
      <c r="B36" s="10" t="n"/>
      <c r="C36" s="21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1" t="n"/>
      <c r="P36" s="22" t="n"/>
      <c r="Q36" s="22" t="n"/>
      <c r="R36" s="22" t="n"/>
      <c r="S36" s="22" t="n"/>
      <c r="T36" s="22" t="n"/>
      <c r="U36" s="22" t="n"/>
      <c r="V36" s="22" t="n">
        <v>1847</v>
      </c>
      <c r="W36" s="22" t="n">
        <v>3707</v>
      </c>
      <c r="X36" s="22" t="n">
        <v>9499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금융원가</t>
        </is>
      </c>
      <c r="B38" s="10" t="n"/>
      <c r="C38" s="21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1" t="n"/>
      <c r="P38" s="22" t="n"/>
      <c r="Q38" s="22" t="n"/>
      <c r="R38" s="22" t="n"/>
      <c r="S38" s="22" t="n"/>
      <c r="T38" s="22" t="n"/>
      <c r="U38" s="22" t="n"/>
      <c r="V38" s="22" t="n">
        <v>92740</v>
      </c>
      <c r="W38" s="22" t="n">
        <v>85328</v>
      </c>
      <c r="X38" s="22" t="n">
        <v>96708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1" t="n"/>
      <c r="P40" s="12" t="n"/>
      <c r="Q40" s="12" t="n"/>
      <c r="R40" s="12" t="n"/>
      <c r="S40" s="12" t="n"/>
      <c r="T40" s="12" t="n"/>
      <c r="U40" s="12" t="n"/>
      <c r="V40" s="12" t="n">
        <v>-343330</v>
      </c>
      <c r="W40" s="12" t="n">
        <v>370669</v>
      </c>
      <c r="X40" s="12" t="n">
        <v>784095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1" t="n"/>
      <c r="P41" s="22" t="n"/>
      <c r="Q41" s="22" t="n"/>
      <c r="R41" s="22" t="n"/>
      <c r="S41" s="22" t="n"/>
      <c r="T41" s="22" t="n"/>
      <c r="U41" s="22" t="n"/>
      <c r="V41" s="22" t="n">
        <v>-99609</v>
      </c>
      <c r="W41" s="22" t="n">
        <v>98348</v>
      </c>
      <c r="X41" s="22" t="n">
        <v>229599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1" t="n"/>
      <c r="P43" s="12" t="n"/>
      <c r="Q43" s="12" t="n"/>
      <c r="R43" s="12" t="n"/>
      <c r="S43" s="12" t="n"/>
      <c r="T43" s="12" t="n"/>
      <c r="U43" s="12" t="n"/>
      <c r="V43" s="12" t="n">
        <v>-243721</v>
      </c>
      <c r="W43" s="12" t="n">
        <v>272321</v>
      </c>
      <c r="X43" s="12" t="n">
        <v>554496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1" t="n"/>
      <c r="P44" s="12" t="n"/>
      <c r="Q44" s="12" t="n"/>
      <c r="R44" s="12" t="n"/>
      <c r="S44" s="12" t="n"/>
      <c r="T44" s="12" t="n"/>
      <c r="U44" s="12" t="n"/>
      <c r="V44" s="12" t="n">
        <v>-243728</v>
      </c>
      <c r="W44" s="12" t="n">
        <v>272315</v>
      </c>
      <c r="X44" s="12" t="n">
        <v>554490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현금흐름표 · 전 항목</t>
        </is>
      </c>
      <c r="B76" s="44" t="inlineStr">
        <is>
          <t>분기 = 결산기 첫날부터 누계(공시 그대로)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법인세차감전 이익</t>
        </is>
      </c>
      <c r="F78" s="12" t="n">
        <v>-343330</v>
      </c>
      <c r="J78" s="12" t="n">
        <v>370669</v>
      </c>
      <c r="N78" s="12" t="n">
        <v>784095</v>
      </c>
      <c r="V78" s="12" t="n">
        <v>-343330</v>
      </c>
      <c r="W78" s="12" t="n">
        <v>370669</v>
      </c>
      <c r="X78" s="12" t="n">
        <v>784095</v>
      </c>
    </row>
    <row r="79">
      <c r="A79" s="20" t="inlineStr">
        <is>
          <t>감가상각비 및 상각비</t>
        </is>
      </c>
      <c r="F79" s="22" t="n">
        <v>346066</v>
      </c>
      <c r="J79" s="22" t="n">
        <v>312307</v>
      </c>
      <c r="N79" s="22" t="n">
        <v>312826</v>
      </c>
      <c r="V79" s="22" t="n">
        <v>346066</v>
      </c>
      <c r="W79" s="22" t="n">
        <v>312307</v>
      </c>
      <c r="X79" s="22" t="n">
        <v>312826</v>
      </c>
    </row>
    <row r="80">
      <c r="A80" s="20" t="inlineStr">
        <is>
          <t>손상차손</t>
        </is>
      </c>
      <c r="F80" s="22" t="n">
        <v>764</v>
      </c>
      <c r="J80" s="22" t="n">
        <v>30</v>
      </c>
      <c r="N80" s="22" t="n">
        <v>366</v>
      </c>
      <c r="V80" s="22" t="n">
        <v>764</v>
      </c>
      <c r="W80" s="22" t="n">
        <v>30</v>
      </c>
      <c r="X80" s="22" t="n">
        <v>366</v>
      </c>
    </row>
    <row r="81">
      <c r="A81" s="20" t="inlineStr">
        <is>
          <t>금융수익</t>
        </is>
      </c>
      <c r="F81" s="22" t="n">
        <v>-1847</v>
      </c>
      <c r="J81" s="22" t="n">
        <v>-3707</v>
      </c>
      <c r="N81" s="22" t="n">
        <v>-9499</v>
      </c>
      <c r="V81" s="22" t="n">
        <v>-1847</v>
      </c>
      <c r="W81" s="22" t="n">
        <v>-3707</v>
      </c>
      <c r="X81" s="22" t="n">
        <v>-9499</v>
      </c>
    </row>
    <row r="82">
      <c r="A82" s="20" t="inlineStr">
        <is>
          <t>금융비용</t>
        </is>
      </c>
      <c r="F82" s="22" t="n">
        <v>92740</v>
      </c>
      <c r="J82" s="22" t="n">
        <v>85328</v>
      </c>
      <c r="N82" s="22" t="n">
        <v>96708</v>
      </c>
      <c r="V82" s="22" t="n">
        <v>92740</v>
      </c>
      <c r="W82" s="22" t="n">
        <v>85328</v>
      </c>
      <c r="X82" s="22" t="n">
        <v>96708</v>
      </c>
    </row>
    <row r="83">
      <c r="A83" s="20" t="inlineStr">
        <is>
          <t>지분법손익</t>
        </is>
      </c>
      <c r="F83" s="22" t="n">
        <v>-261</v>
      </c>
      <c r="J83" s="22" t="n">
        <v>-542</v>
      </c>
      <c r="N83" s="22" t="n">
        <v>-935</v>
      </c>
      <c r="V83" s="22" t="n">
        <v>-261</v>
      </c>
      <c r="W83" s="22" t="n">
        <v>-542</v>
      </c>
      <c r="X83" s="22" t="n">
        <v>-935</v>
      </c>
    </row>
    <row r="84">
      <c r="A84" s="20" t="inlineStr">
        <is>
          <t>고정자산 제각·매각손익</t>
        </is>
      </c>
      <c r="F84" s="22" t="n">
        <v>-5691</v>
      </c>
      <c r="J84" s="22" t="n">
        <v>-6883</v>
      </c>
      <c r="N84" s="22" t="n">
        <v>-1168</v>
      </c>
      <c r="V84" s="22" t="n">
        <v>-5691</v>
      </c>
      <c r="W84" s="22" t="n">
        <v>-6883</v>
      </c>
      <c r="X84" s="22" t="n">
        <v>-1168</v>
      </c>
    </row>
    <row r="85">
      <c r="A85" s="20" t="inlineStr">
        <is>
          <t>재고자산 증감</t>
        </is>
      </c>
      <c r="F85" s="22" t="n">
        <v>94472</v>
      </c>
      <c r="J85" s="22" t="n">
        <v>-82092</v>
      </c>
      <c r="N85" s="22" t="n">
        <v>-55765</v>
      </c>
      <c r="V85" s="22" t="n">
        <v>94472</v>
      </c>
      <c r="W85" s="22" t="n">
        <v>-82092</v>
      </c>
      <c r="X85" s="22" t="n">
        <v>-55765</v>
      </c>
    </row>
    <row r="86">
      <c r="A86" s="20" t="inlineStr">
        <is>
          <t>매출채권 및 기타채권 증감액</t>
        </is>
      </c>
      <c r="F86" s="22" t="n">
        <v>-24412</v>
      </c>
      <c r="J86" s="22" t="n">
        <v>-89361</v>
      </c>
      <c r="N86" s="22" t="n">
        <v>-397696</v>
      </c>
      <c r="V86" s="22" t="n">
        <v>-24412</v>
      </c>
      <c r="W86" s="22" t="n">
        <v>-89361</v>
      </c>
      <c r="X86" s="22" t="n">
        <v>-397696</v>
      </c>
    </row>
    <row r="87">
      <c r="A87" s="20" t="inlineStr">
        <is>
          <t>매입채무 및 기타채무 증감액</t>
        </is>
      </c>
      <c r="F87" s="22" t="n">
        <v>75944</v>
      </c>
      <c r="J87" s="22" t="n">
        <v>-12373</v>
      </c>
      <c r="N87" s="22" t="n">
        <v>53165</v>
      </c>
      <c r="V87" s="22" t="n">
        <v>75944</v>
      </c>
      <c r="W87" s="22" t="n">
        <v>-12373</v>
      </c>
      <c r="X87" s="22" t="n">
        <v>53165</v>
      </c>
    </row>
    <row r="88">
      <c r="A88" s="20" t="inlineStr">
        <is>
          <t>퇴직급여부채 증감</t>
        </is>
      </c>
      <c r="F88" s="22" t="n">
        <v>-1652</v>
      </c>
      <c r="J88" s="22" t="n">
        <v>376</v>
      </c>
      <c r="N88" s="22" t="n">
        <v>-744</v>
      </c>
      <c r="V88" s="22" t="n">
        <v>-1652</v>
      </c>
      <c r="W88" s="22" t="n">
        <v>376</v>
      </c>
      <c r="X88" s="22" t="n">
        <v>-744</v>
      </c>
    </row>
    <row r="89">
      <c r="A89" s="20" t="inlineStr">
        <is>
          <t>기타</t>
        </is>
      </c>
      <c r="F89" s="22" t="n">
        <v>-4297</v>
      </c>
      <c r="J89" s="22" t="n">
        <v>-8700</v>
      </c>
      <c r="N89" s="22" t="n">
        <v>-20703</v>
      </c>
      <c r="V89" s="22" t="n">
        <v>-4297</v>
      </c>
      <c r="W89" s="22" t="n">
        <v>-8700</v>
      </c>
      <c r="X89" s="22" t="n">
        <v>-20703</v>
      </c>
    </row>
    <row r="90">
      <c r="A90" s="20" t="inlineStr">
        <is>
          <t>소계</t>
        </is>
      </c>
      <c r="F90" s="22" t="n">
        <v>228496</v>
      </c>
      <c r="J90" s="22" t="n">
        <v>565052</v>
      </c>
      <c r="N90" s="22" t="n">
        <v>760650</v>
      </c>
      <c r="V90" s="22" t="n">
        <v>228496</v>
      </c>
      <c r="W90" s="22" t="n">
        <v>565052</v>
      </c>
      <c r="X90" s="22" t="n">
        <v>760650</v>
      </c>
    </row>
    <row r="91">
      <c r="A91" s="20" t="inlineStr">
        <is>
          <t>이자·배당금 수취</t>
        </is>
      </c>
      <c r="F91" s="22" t="n">
        <v>2717</v>
      </c>
      <c r="J91" s="22" t="n">
        <v>3366</v>
      </c>
      <c r="N91" s="22" t="n">
        <v>4019</v>
      </c>
      <c r="V91" s="22" t="n">
        <v>2717</v>
      </c>
      <c r="W91" s="22" t="n">
        <v>3366</v>
      </c>
      <c r="X91" s="22" t="n">
        <v>4019</v>
      </c>
    </row>
    <row r="92">
      <c r="A92" s="20" t="inlineStr">
        <is>
          <t>이자 지급</t>
        </is>
      </c>
      <c r="F92" s="22" t="n">
        <v>-32333</v>
      </c>
      <c r="J92" s="22" t="n">
        <v>-82409</v>
      </c>
      <c r="N92" s="22" t="n">
        <v>-88709</v>
      </c>
      <c r="V92" s="22" t="n">
        <v>-32333</v>
      </c>
      <c r="W92" s="22" t="n">
        <v>-82409</v>
      </c>
      <c r="X92" s="22" t="n">
        <v>-88709</v>
      </c>
    </row>
    <row r="93">
      <c r="A93" s="20" t="inlineStr">
        <is>
          <t>Income Taxes Refund Paid Ope CF</t>
        </is>
      </c>
      <c r="F93" s="22" t="n">
        <v>-3769</v>
      </c>
      <c r="J93" s="22" t="n">
        <v>-9593</v>
      </c>
      <c r="N93" s="22" t="n">
        <v>-59420</v>
      </c>
      <c r="V93" s="22" t="n">
        <v>-3769</v>
      </c>
      <c r="W93" s="22" t="n">
        <v>-9593</v>
      </c>
      <c r="X93" s="22" t="n">
        <v>-59420</v>
      </c>
    </row>
    <row r="94">
      <c r="A94" s="9" t="inlineStr">
        <is>
          <t>영업활동 현금흐름</t>
        </is>
      </c>
      <c r="F94" s="12" t="n">
        <v>195111</v>
      </c>
      <c r="J94" s="12" t="n">
        <v>476416</v>
      </c>
      <c r="N94" s="12" t="n">
        <v>616540</v>
      </c>
      <c r="V94" s="12" t="n">
        <v>195111</v>
      </c>
      <c r="W94" s="12" t="n">
        <v>476416</v>
      </c>
      <c r="X94" s="12" t="n">
        <v>616540</v>
      </c>
    </row>
    <row r="95">
      <c r="A95" s="20" t="inlineStr">
        <is>
          <t>유형자산 취득(설비투자)</t>
        </is>
      </c>
      <c r="F95" s="22" t="n">
        <v>-304436</v>
      </c>
      <c r="J95" s="22" t="n">
        <v>-223847</v>
      </c>
      <c r="N95" s="22" t="n">
        <v>-281062</v>
      </c>
      <c r="V95" s="22" t="n">
        <v>-304436</v>
      </c>
      <c r="W95" s="22" t="n">
        <v>-223847</v>
      </c>
      <c r="X95" s="22" t="n">
        <v>-281062</v>
      </c>
    </row>
    <row r="96">
      <c r="A96" s="20" t="inlineStr">
        <is>
          <t>유형자산 매각</t>
        </is>
      </c>
      <c r="F96" s="22" t="n">
        <v>11346</v>
      </c>
      <c r="J96" s="22" t="n">
        <v>8820</v>
      </c>
      <c r="N96" s="22" t="n">
        <v>6254</v>
      </c>
      <c r="V96" s="22" t="n">
        <v>11346</v>
      </c>
      <c r="W96" s="22" t="n">
        <v>8820</v>
      </c>
      <c r="X96" s="22" t="n">
        <v>6254</v>
      </c>
    </row>
    <row r="97">
      <c r="A97" s="20" t="inlineStr">
        <is>
          <t>무형자산 취득 지출</t>
        </is>
      </c>
      <c r="F97" s="22" t="n">
        <v>-661</v>
      </c>
      <c r="J97" s="22" t="n">
        <v>-1756</v>
      </c>
      <c r="N97" s="22" t="n">
        <v>-2612</v>
      </c>
      <c r="V97" s="22" t="n">
        <v>-661</v>
      </c>
      <c r="W97" s="22" t="n">
        <v>-1756</v>
      </c>
      <c r="X97" s="22" t="n">
        <v>-2612</v>
      </c>
    </row>
    <row r="98">
      <c r="A98" s="20" t="inlineStr">
        <is>
          <t>Proceeds From Government Grants Inv CF</t>
        </is>
      </c>
      <c r="F98" s="22" t="n">
        <v>18562</v>
      </c>
      <c r="J98" s="22" t="n">
        <v>43748</v>
      </c>
      <c r="N98" s="22" t="n">
        <v>56396</v>
      </c>
      <c r="V98" s="22" t="n">
        <v>18562</v>
      </c>
      <c r="W98" s="22" t="n">
        <v>43748</v>
      </c>
      <c r="X98" s="22" t="n">
        <v>56396</v>
      </c>
    </row>
    <row r="99">
      <c r="A99" s="20" t="inlineStr">
        <is>
          <t>기타</t>
        </is>
      </c>
      <c r="F99" s="22" t="n">
        <v>336</v>
      </c>
      <c r="J99" s="22" t="n">
        <v>24</v>
      </c>
      <c r="N99" s="22" t="n">
        <v>-488</v>
      </c>
      <c r="V99" s="22" t="n">
        <v>336</v>
      </c>
      <c r="W99" s="22" t="n">
        <v>24</v>
      </c>
      <c r="X99" s="22" t="n">
        <v>-488</v>
      </c>
    </row>
    <row r="100">
      <c r="A100" s="9" t="inlineStr">
        <is>
          <t>투자활동 현금흐름</t>
        </is>
      </c>
      <c r="F100" s="12" t="n">
        <v>-274853</v>
      </c>
      <c r="J100" s="12" t="n">
        <v>-173011</v>
      </c>
      <c r="N100" s="12" t="n">
        <v>-221512</v>
      </c>
      <c r="V100" s="12" t="n">
        <v>-274853</v>
      </c>
      <c r="W100" s="12" t="n">
        <v>-173011</v>
      </c>
      <c r="X100" s="12" t="n">
        <v>-221512</v>
      </c>
    </row>
    <row r="101">
      <c r="A101" s="20" t="inlineStr">
        <is>
          <t>Net Increase Decrease In Short Term Borrowings Fin CF</t>
        </is>
      </c>
      <c r="F101" s="22" t="n">
        <v>91082</v>
      </c>
      <c r="J101" s="22" t="n">
        <v>-126400</v>
      </c>
      <c r="V101" s="22" t="n">
        <v>91082</v>
      </c>
      <c r="W101" s="22" t="n">
        <v>-126400</v>
      </c>
    </row>
    <row r="102">
      <c r="A102" s="20" t="inlineStr">
        <is>
          <t>Net Increase Decrease In Short Term Borrowings And Revolving Credit Facility Balances Executed Fin CF</t>
        </is>
      </c>
      <c r="J102" s="22" t="n">
        <v>-126400</v>
      </c>
      <c r="N102" s="22" t="n">
        <v>0</v>
      </c>
      <c r="W102" s="22" t="n">
        <v>-126400</v>
      </c>
      <c r="X102" s="22" t="n">
        <v>0</v>
      </c>
    </row>
    <row r="103">
      <c r="A103" s="20" t="inlineStr">
        <is>
          <t>Proceeds From Long Term Borrowings Fin CF</t>
        </is>
      </c>
      <c r="F103" s="22" t="n">
        <v>168148</v>
      </c>
      <c r="J103" s="22" t="n">
        <v>68020</v>
      </c>
      <c r="N103" s="22" t="n">
        <v>535637</v>
      </c>
      <c r="V103" s="22" t="n">
        <v>168148</v>
      </c>
      <c r="W103" s="22" t="n">
        <v>68020</v>
      </c>
      <c r="X103" s="22" t="n">
        <v>535637</v>
      </c>
    </row>
    <row r="104">
      <c r="A104" s="20" t="inlineStr">
        <is>
          <t>장기차입금 상환</t>
        </is>
      </c>
      <c r="F104" s="22" t="n">
        <v>-228461</v>
      </c>
      <c r="J104" s="22" t="n">
        <v>-265879</v>
      </c>
      <c r="N104" s="22" t="n">
        <v>-616429</v>
      </c>
      <c r="V104" s="22" t="n">
        <v>-228461</v>
      </c>
      <c r="W104" s="22" t="n">
        <v>-265879</v>
      </c>
      <c r="X104" s="22" t="n">
        <v>-616429</v>
      </c>
    </row>
    <row r="105">
      <c r="A105" s="20" t="inlineStr">
        <is>
          <t>사채 발행</t>
        </is>
      </c>
      <c r="J105" s="22" t="n">
        <v>0</v>
      </c>
      <c r="N105" s="22" t="n">
        <v>326656</v>
      </c>
      <c r="W105" s="22" t="n">
        <v>0</v>
      </c>
      <c r="X105" s="22" t="n">
        <v>326656</v>
      </c>
    </row>
    <row r="106">
      <c r="A106" s="20" t="inlineStr">
        <is>
          <t>리스부채 상환 지출</t>
        </is>
      </c>
      <c r="F106" s="22" t="n">
        <v>-27531</v>
      </c>
      <c r="J106" s="22" t="n">
        <v>-28787</v>
      </c>
      <c r="N106" s="22" t="n">
        <v>-30528</v>
      </c>
      <c r="V106" s="22" t="n">
        <v>-27531</v>
      </c>
      <c r="W106" s="22" t="n">
        <v>-28787</v>
      </c>
      <c r="X106" s="22" t="n">
        <v>-30528</v>
      </c>
    </row>
    <row r="107">
      <c r="A107" s="20" t="inlineStr">
        <is>
          <t>Redemption Of Preferred Shares Fin CF</t>
        </is>
      </c>
      <c r="J107" s="22" t="n">
        <v>0</v>
      </c>
      <c r="N107" s="22" t="n">
        <v>-322996</v>
      </c>
      <c r="W107" s="22" t="n">
        <v>0</v>
      </c>
      <c r="X107" s="22" t="n">
        <v>-322996</v>
      </c>
    </row>
    <row r="108">
      <c r="A108" s="20" t="inlineStr">
        <is>
          <t>주식 발행</t>
        </is>
      </c>
      <c r="F108" s="22" t="n">
        <v>0</v>
      </c>
      <c r="J108" s="22" t="n">
        <v>30367</v>
      </c>
      <c r="N108" s="22" t="n">
        <v>11588</v>
      </c>
      <c r="V108" s="22" t="n">
        <v>0</v>
      </c>
      <c r="W108" s="22" t="n">
        <v>30367</v>
      </c>
      <c r="X108" s="22" t="n">
        <v>11588</v>
      </c>
    </row>
    <row r="109">
      <c r="A109" s="20" t="inlineStr">
        <is>
          <t>자기주식 취득</t>
        </is>
      </c>
      <c r="J109" s="22" t="n">
        <v>0</v>
      </c>
      <c r="N109" s="22" t="n">
        <v>-2</v>
      </c>
      <c r="W109" s="22" t="n">
        <v>0</v>
      </c>
      <c r="X109" s="22" t="n">
        <v>-2</v>
      </c>
    </row>
    <row r="110">
      <c r="A110" s="9" t="inlineStr">
        <is>
          <t>재무활동 현금흐름</t>
        </is>
      </c>
      <c r="F110" s="12" t="n">
        <v>3238</v>
      </c>
      <c r="J110" s="12" t="n">
        <v>-322679</v>
      </c>
      <c r="N110" s="12" t="n">
        <v>-96074</v>
      </c>
      <c r="V110" s="12" t="n">
        <v>3238</v>
      </c>
      <c r="W110" s="12" t="n">
        <v>-322679</v>
      </c>
      <c r="X110" s="12" t="n">
        <v>-96074</v>
      </c>
    </row>
    <row r="111">
      <c r="A111" s="20" t="inlineStr">
        <is>
          <t>현금성자산 환산차이</t>
        </is>
      </c>
      <c r="F111" s="22" t="n">
        <v>2746</v>
      </c>
      <c r="J111" s="22" t="n">
        <v>-387</v>
      </c>
      <c r="N111" s="22" t="n">
        <v>3821</v>
      </c>
      <c r="V111" s="22" t="n">
        <v>2746</v>
      </c>
      <c r="W111" s="22" t="n">
        <v>-387</v>
      </c>
      <c r="X111" s="22" t="n">
        <v>3821</v>
      </c>
    </row>
    <row r="112">
      <c r="A112" s="20" t="inlineStr">
        <is>
          <t>현금성자산 증감</t>
        </is>
      </c>
      <c r="F112" s="22" t="n">
        <v>-73758</v>
      </c>
      <c r="J112" s="22" t="n">
        <v>-19661</v>
      </c>
      <c r="N112" s="22" t="n">
        <v>302775</v>
      </c>
      <c r="V112" s="22" t="n">
        <v>-73758</v>
      </c>
      <c r="W112" s="22" t="n">
        <v>-19661</v>
      </c>
      <c r="X112" s="22" t="n">
        <v>302775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</cols>
  <sheetData>
    <row r="1" ht="30" customHeight="1">
      <c r="A1" s="1" t="inlineStr">
        <is>
          <t>285A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2024</t>
        </is>
      </c>
      <c r="I3" s="5" t="inlineStr">
        <is>
          <t>2025</t>
        </is>
      </c>
      <c r="J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</row>
    <row r="5">
      <c r="A5" s="9" t="inlineStr">
        <is>
          <t>유동자산</t>
        </is>
      </c>
      <c r="B5" s="10" t="n"/>
      <c r="C5" s="11" t="n">
        <v>806709</v>
      </c>
      <c r="D5" s="12" t="n"/>
      <c r="E5" s="12" t="n"/>
      <c r="F5" s="12" t="n"/>
      <c r="G5" s="12" t="n">
        <v>1617829</v>
      </c>
      <c r="H5" s="11" t="n">
        <v>651375</v>
      </c>
      <c r="I5" s="12" t="n">
        <v>806709</v>
      </c>
      <c r="J5" s="12" t="n">
        <v>1617829</v>
      </c>
    </row>
    <row r="6">
      <c r="A6" s="20" t="inlineStr">
        <is>
          <t>현금및현금성자산</t>
        </is>
      </c>
      <c r="B6" s="10" t="n"/>
      <c r="C6" s="21" t="n">
        <v>167932</v>
      </c>
      <c r="D6" s="22" t="n"/>
      <c r="E6" s="22" t="n"/>
      <c r="F6" s="22" t="n"/>
      <c r="G6" s="22" t="n">
        <v>470707</v>
      </c>
      <c r="H6" s="21" t="n">
        <v>187593</v>
      </c>
      <c r="I6" s="22" t="n">
        <v>167932</v>
      </c>
      <c r="J6" s="22" t="n">
        <v>470707</v>
      </c>
    </row>
    <row r="7">
      <c r="A7" s="20" t="inlineStr">
        <is>
          <t>단기금융상품</t>
        </is>
      </c>
      <c r="B7" s="10" t="n"/>
      <c r="C7" s="21" t="n">
        <v>3971</v>
      </c>
      <c r="D7" s="22" t="n"/>
      <c r="E7" s="22" t="n"/>
      <c r="F7" s="22" t="n"/>
      <c r="G7" s="22" t="n">
        <v>7191</v>
      </c>
      <c r="H7" s="21" t="n">
        <v>5353</v>
      </c>
      <c r="I7" s="22" t="n">
        <v>3971</v>
      </c>
      <c r="J7" s="22" t="n">
        <v>7191</v>
      </c>
    </row>
    <row r="8">
      <c r="A8" s="20" t="inlineStr">
        <is>
          <t>매출채권</t>
        </is>
      </c>
      <c r="B8" s="10" t="n"/>
      <c r="C8" s="21" t="n">
        <v>238594</v>
      </c>
      <c r="D8" s="22" t="n"/>
      <c r="E8" s="22" t="n"/>
      <c r="F8" s="22" t="n"/>
      <c r="G8" s="22" t="n">
        <v>660559</v>
      </c>
      <c r="H8" s="21" t="n">
        <v>149815</v>
      </c>
      <c r="I8" s="22" t="n">
        <v>238594</v>
      </c>
      <c r="J8" s="22" t="n">
        <v>660559</v>
      </c>
    </row>
    <row r="9">
      <c r="A9" s="20" t="inlineStr">
        <is>
          <t>재고자산</t>
        </is>
      </c>
      <c r="B9" s="10" t="n"/>
      <c r="C9" s="21" t="n">
        <v>352863</v>
      </c>
      <c r="D9" s="22" t="n"/>
      <c r="E9" s="22" t="n"/>
      <c r="F9" s="22" t="n"/>
      <c r="G9" s="22" t="n">
        <v>412612</v>
      </c>
      <c r="H9" s="21" t="n">
        <v>271781</v>
      </c>
      <c r="I9" s="22" t="n">
        <v>352863</v>
      </c>
      <c r="J9" s="22" t="n">
        <v>412612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</row>
    <row r="11">
      <c r="A11" s="9" t="inlineStr">
        <is>
          <t>비유동자산</t>
        </is>
      </c>
      <c r="B11" s="10" t="n"/>
      <c r="C11" s="11" t="n">
        <v>2112970</v>
      </c>
      <c r="D11" s="12" t="n"/>
      <c r="E11" s="12" t="n"/>
      <c r="F11" s="12" t="n"/>
      <c r="G11" s="12" t="n">
        <v>2072242</v>
      </c>
      <c r="H11" s="11" t="n">
        <v>2213566</v>
      </c>
      <c r="I11" s="12" t="n">
        <v>2112970</v>
      </c>
      <c r="J11" s="12" t="n">
        <v>2072242</v>
      </c>
    </row>
    <row r="12">
      <c r="A12" s="20" t="inlineStr">
        <is>
          <t>유형자산</t>
        </is>
      </c>
      <c r="B12" s="10" t="n"/>
      <c r="C12" s="21" t="n">
        <v>1100181</v>
      </c>
      <c r="D12" s="22" t="n"/>
      <c r="E12" s="22" t="n"/>
      <c r="F12" s="22" t="n"/>
      <c r="G12" s="22" t="n">
        <v>1055255</v>
      </c>
      <c r="H12" s="21" t="n">
        <v>1168765</v>
      </c>
      <c r="I12" s="22" t="n">
        <v>1100181</v>
      </c>
      <c r="J12" s="22" t="n">
        <v>1055255</v>
      </c>
    </row>
    <row r="13">
      <c r="A13" s="20" t="inlineStr">
        <is>
          <t>무형자산</t>
        </is>
      </c>
      <c r="B13" s="10" t="n"/>
      <c r="C13" s="21" t="n">
        <v>10658</v>
      </c>
      <c r="D13" s="22" t="n"/>
      <c r="E13" s="22" t="n"/>
      <c r="F13" s="22" t="n"/>
      <c r="G13" s="22" t="n">
        <v>11192</v>
      </c>
      <c r="H13" s="21" t="n">
        <v>11259</v>
      </c>
      <c r="I13" s="22" t="n">
        <v>10658</v>
      </c>
      <c r="J13" s="22" t="n">
        <v>11192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</row>
    <row r="16">
      <c r="A16" s="9" t="inlineStr">
        <is>
          <t>자산총계</t>
        </is>
      </c>
      <c r="B16" s="10" t="n"/>
      <c r="C16" s="11" t="n">
        <v>2919679</v>
      </c>
      <c r="D16" s="12" t="n"/>
      <c r="E16" s="12" t="n"/>
      <c r="F16" s="12" t="n"/>
      <c r="G16" s="12" t="n">
        <v>3690071</v>
      </c>
      <c r="H16" s="11" t="n">
        <v>2864941</v>
      </c>
      <c r="I16" s="12" t="n">
        <v>2919679</v>
      </c>
      <c r="J16" s="12" t="n">
        <v>3690071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</row>
    <row r="18">
      <c r="A18" s="9" t="inlineStr">
        <is>
          <t>유동부채</t>
        </is>
      </c>
      <c r="B18" s="10" t="n"/>
      <c r="C18" s="11" t="n">
        <v>985173</v>
      </c>
      <c r="D18" s="12" t="n"/>
      <c r="E18" s="12" t="n"/>
      <c r="F18" s="12" t="n"/>
      <c r="G18" s="12" t="n">
        <v>1098008</v>
      </c>
      <c r="H18" s="11" t="n">
        <v>1866127</v>
      </c>
      <c r="I18" s="12" t="n">
        <v>985173</v>
      </c>
      <c r="J18" s="12" t="n">
        <v>1098008</v>
      </c>
    </row>
    <row r="19">
      <c r="A19" s="20" t="inlineStr">
        <is>
          <t>매입채무</t>
        </is>
      </c>
      <c r="B19" s="10" t="n"/>
      <c r="C19" s="21" t="n">
        <v>504011</v>
      </c>
      <c r="D19" s="22" t="n"/>
      <c r="E19" s="22" t="n"/>
      <c r="F19" s="22" t="n"/>
      <c r="G19" s="22" t="n">
        <v>594917</v>
      </c>
      <c r="H19" s="21" t="n">
        <v>512502</v>
      </c>
      <c r="I19" s="22" t="n">
        <v>504011</v>
      </c>
      <c r="J19" s="22" t="n">
        <v>594917</v>
      </c>
    </row>
    <row r="20">
      <c r="A20" s="20" t="inlineStr">
        <is>
          <t>단기차입금</t>
        </is>
      </c>
      <c r="B20" s="10" t="n"/>
      <c r="C20" s="21" t="n">
        <v>246508</v>
      </c>
      <c r="D20" s="22" t="n"/>
      <c r="E20" s="22" t="n"/>
      <c r="F20" s="22" t="n"/>
      <c r="G20" s="22" t="n"/>
      <c r="H20" s="21" t="n">
        <v>826413</v>
      </c>
      <c r="I20" s="22" t="n">
        <v>246508</v>
      </c>
      <c r="J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</row>
    <row r="23">
      <c r="A23" s="9" t="inlineStr">
        <is>
          <t>비유동부채</t>
        </is>
      </c>
      <c r="B23" s="10" t="n"/>
      <c r="C23" s="11" t="n">
        <v>1196810</v>
      </c>
      <c r="D23" s="12" t="n"/>
      <c r="E23" s="12" t="n"/>
      <c r="F23" s="12" t="n"/>
      <c r="G23" s="12" t="n">
        <v>1192984</v>
      </c>
      <c r="H23" s="11" t="n">
        <v>549048</v>
      </c>
      <c r="I23" s="12" t="n">
        <v>1196810</v>
      </c>
      <c r="J23" s="12" t="n">
        <v>1192984</v>
      </c>
    </row>
    <row r="24">
      <c r="A24" s="20" t="inlineStr">
        <is>
          <t>장기차입금</t>
        </is>
      </c>
      <c r="B24" s="10" t="n"/>
      <c r="C24" s="21" t="n">
        <v>531198</v>
      </c>
      <c r="D24" s="22" t="n"/>
      <c r="E24" s="22" t="n"/>
      <c r="F24" s="22" t="n"/>
      <c r="G24" s="22" t="n"/>
      <c r="H24" s="21" t="n">
        <v>284899</v>
      </c>
      <c r="I24" s="22" t="n">
        <v>531198</v>
      </c>
      <c r="J24" s="22" t="n"/>
    </row>
    <row r="25">
      <c r="A25" s="20" t="inlineStr">
        <is>
          <t>사채</t>
        </is>
      </c>
      <c r="B25" s="10" t="n"/>
      <c r="C25" s="21" t="n">
        <v>531198</v>
      </c>
      <c r="D25" s="22" t="n"/>
      <c r="E25" s="22" t="n"/>
      <c r="F25" s="22" t="n"/>
      <c r="G25" s="22" t="n">
        <v>872116</v>
      </c>
      <c r="H25" s="21" t="n"/>
      <c r="I25" s="22" t="n">
        <v>531198</v>
      </c>
      <c r="J25" s="22" t="n">
        <v>872116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</row>
    <row r="27">
      <c r="A27" s="9" t="inlineStr">
        <is>
          <t>부채총계</t>
        </is>
      </c>
      <c r="B27" s="10" t="n"/>
      <c r="C27" s="11" t="n">
        <v>2181983</v>
      </c>
      <c r="D27" s="12" t="n"/>
      <c r="E27" s="12" t="n"/>
      <c r="F27" s="12" t="n"/>
      <c r="G27" s="12" t="n">
        <v>2290992</v>
      </c>
      <c r="H27" s="11" t="n">
        <v>2415175</v>
      </c>
      <c r="I27" s="12" t="n">
        <v>2181983</v>
      </c>
      <c r="J27" s="12" t="n">
        <v>2290992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</row>
    <row r="31">
      <c r="A31" s="9" t="inlineStr">
        <is>
          <t>지배주주지분</t>
        </is>
      </c>
      <c r="B31" s="10" t="n"/>
      <c r="C31" s="11" t="n">
        <v>737565</v>
      </c>
      <c r="D31" s="12" t="n"/>
      <c r="E31" s="12" t="n"/>
      <c r="F31" s="12" t="n"/>
      <c r="G31" s="12" t="n">
        <v>1398929</v>
      </c>
      <c r="H31" s="11" t="n">
        <v>449635</v>
      </c>
      <c r="I31" s="12" t="n">
        <v>737565</v>
      </c>
      <c r="J31" s="12" t="n">
        <v>1398929</v>
      </c>
    </row>
    <row r="32">
      <c r="A32" s="20" t="inlineStr">
        <is>
          <t>자본금</t>
        </is>
      </c>
      <c r="B32" s="10" t="n"/>
      <c r="C32" s="21" t="n">
        <v>25239</v>
      </c>
      <c r="D32" s="22" t="n"/>
      <c r="E32" s="22" t="n"/>
      <c r="F32" s="22" t="n"/>
      <c r="G32" s="22" t="n">
        <v>31284</v>
      </c>
      <c r="H32" s="21" t="n">
        <v>10000</v>
      </c>
      <c r="I32" s="22" t="n">
        <v>25239</v>
      </c>
      <c r="J32" s="22" t="n">
        <v>31284</v>
      </c>
    </row>
    <row r="33">
      <c r="A33" s="20" t="inlineStr">
        <is>
          <t>이익잉여금</t>
        </is>
      </c>
      <c r="B33" s="10" t="n"/>
      <c r="C33" s="21" t="n">
        <v>-189547</v>
      </c>
      <c r="D33" s="22" t="n"/>
      <c r="E33" s="22" t="n"/>
      <c r="F33" s="22" t="n"/>
      <c r="G33" s="22" t="n">
        <v>366955</v>
      </c>
      <c r="H33" s="21" t="n">
        <v>-463054</v>
      </c>
      <c r="I33" s="22" t="n">
        <v>-189547</v>
      </c>
      <c r="J33" s="22" t="n">
        <v>366955</v>
      </c>
    </row>
    <row r="34">
      <c r="A34" s="20" t="inlineStr">
        <is>
          <t>비지배지분</t>
        </is>
      </c>
      <c r="B34" s="10" t="n"/>
      <c r="C34" s="21" t="n">
        <v>131</v>
      </c>
      <c r="D34" s="22" t="n"/>
      <c r="E34" s="22" t="n"/>
      <c r="F34" s="22" t="n"/>
      <c r="G34" s="22" t="n">
        <v>150</v>
      </c>
      <c r="H34" s="21" t="n">
        <v>131</v>
      </c>
      <c r="I34" s="22" t="n">
        <v>131</v>
      </c>
      <c r="J34" s="22" t="n">
        <v>150</v>
      </c>
    </row>
    <row r="35">
      <c r="A35" s="9" t="inlineStr">
        <is>
          <t>자본총계</t>
        </is>
      </c>
      <c r="B35" s="10" t="n"/>
      <c r="C35" s="11" t="n">
        <v>737696</v>
      </c>
      <c r="D35" s="12" t="n"/>
      <c r="E35" s="12" t="n"/>
      <c r="F35" s="12" t="n"/>
      <c r="G35" s="12" t="n">
        <v>1399079</v>
      </c>
      <c r="H35" s="11" t="n">
        <v>449766</v>
      </c>
      <c r="I35" s="12" t="n">
        <v>737696</v>
      </c>
      <c r="J35" s="12" t="n">
        <v>1399079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</row>
    <row r="37">
      <c r="A37" s="9" t="inlineStr">
        <is>
          <t>영업활동현금흐름</t>
        </is>
      </c>
      <c r="B37" s="10" t="n"/>
      <c r="C37" s="11" t="n">
        <v>476416</v>
      </c>
      <c r="D37" s="12" t="n"/>
      <c r="E37" s="12" t="n"/>
      <c r="F37" s="12" t="n"/>
      <c r="G37" s="12" t="n">
        <v>616540</v>
      </c>
      <c r="H37" s="11" t="n">
        <v>195111</v>
      </c>
      <c r="I37" s="12" t="n">
        <v>476416</v>
      </c>
      <c r="J37" s="12" t="n">
        <v>616540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225603</v>
      </c>
      <c r="D38" s="22" t="n"/>
      <c r="E38" s="22" t="n"/>
      <c r="F38" s="22" t="n"/>
      <c r="G38" s="22" t="n">
        <v>283674</v>
      </c>
      <c r="H38" s="21" t="n">
        <v>305097</v>
      </c>
      <c r="I38" s="22" t="n">
        <v>225603</v>
      </c>
      <c r="J38" s="22" t="n">
        <v>283674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IFERROR(('연간'!V16)/('연간'!V38),"")</f>
        <v/>
      </c>
      <c r="I48" s="33">
        <f>IFERROR(('연간'!W16)/('연간'!W38),"")</f>
        <v/>
      </c>
      <c r="J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IFERROR(IF(('연간'!V44)&lt;=0,"적자",H28/('연간'!V44)),"")</f>
        <v/>
      </c>
      <c r="I49" s="48">
        <f>IFERROR(IF(('연간'!W44)&lt;=0,"적자",I28/('연간'!W44)),"")</f>
        <v/>
      </c>
      <c r="J49" s="48">
        <f>IFERROR(IF(('연간'!X44)&lt;=0,"적자",J28/('연간'!X44)),"")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IFERROR(('연간'!V44)/H31,"")</f>
        <v/>
      </c>
      <c r="I51" s="38">
        <f>IFERROR(('연간'!W44)/I31,"")</f>
        <v/>
      </c>
      <c r="J51" s="38">
        <f>IFERROR(('연간'!X44)/J31,"")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IFERROR(('연간'!V43)/H16,"")</f>
        <v/>
      </c>
      <c r="I52" s="38">
        <f>IFERROR(('연간'!W43)/I16,"")</f>
        <v/>
      </c>
      <c r="J52" s="38">
        <f>IFERROR(('연간'!X43)/J16,"")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IFERROR(('연간'!V16)*(1-0.3)/(H35+H29),"")</f>
        <v/>
      </c>
      <c r="I53" s="38">
        <f>IFERROR(('연간'!W16)*(1-0.3)/(I35+I29),"")</f>
        <v/>
      </c>
      <c r="J53" s="38">
        <f>IFERROR(('연간'!X16)*(1-0.3)/(J35+J29),"")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IFERROR(('연간'!V12)/('연간'!V4),"")</f>
        <v/>
      </c>
      <c r="I54" s="38">
        <f>IFERROR(('연간'!W12)/('연간'!W4),"")</f>
        <v/>
      </c>
      <c r="J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IFERROR(('연간'!V16)/('연간'!V4),"")</f>
        <v/>
      </c>
      <c r="I55" s="38">
        <f>IFERROR(('연간'!W16)/('연간'!W4),"")</f>
        <v/>
      </c>
      <c r="J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IFERROR(('연간'!V43)/('연간'!V4),"")</f>
        <v/>
      </c>
      <c r="I56" s="38">
        <f>IFERROR(('연간'!W43)/('연간'!W4),"")</f>
        <v/>
      </c>
      <c r="J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IFERROR(('연간'!V4)/H16,"")</f>
        <v/>
      </c>
      <c r="I58" s="33">
        <f>IFERROR(('연간'!W4)/I16,"")</f>
        <v/>
      </c>
      <c r="J58" s="33">
        <f>IFERROR(('연간'!X4)/J16,"")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IFERROR(H8/('연간'!V4)*365,"")</f>
        <v/>
      </c>
      <c r="I59" s="50">
        <f>IFERROR(I8/('연간'!W4)*365,"")</f>
        <v/>
      </c>
      <c r="J59" s="50">
        <f>IFERROR(J8/('연간'!X4)*365,"")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IFERROR(H9/('연간'!V11)*365,"")</f>
        <v/>
      </c>
      <c r="I60" s="50">
        <f>IFERROR(I9/('연간'!W11)*365,"")</f>
        <v/>
      </c>
      <c r="J60" s="50">
        <f>IFERROR(J9/('연간'!X11)*365,"")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IFERROR(H19/('연간'!V11)*365,"")</f>
        <v/>
      </c>
      <c r="I61" s="50">
        <f>IFERROR(I19/('연간'!W11)*365,"")</f>
        <v/>
      </c>
      <c r="J61" s="50">
        <f>IFERROR(J19/('연간'!X11)*365,"")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IF(H37="","",IFERROR(H37/('연간'!V43),""))</f>
        <v/>
      </c>
      <c r="I64" s="33">
        <f>IF(I37="","",IFERROR(I37/('연간'!W43),""))</f>
        <v/>
      </c>
      <c r="J64" s="33">
        <f>IF(J37="","",IFERROR(J37/('연간'!X43),""))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IF(H39="","",IFERROR(H39/('연간'!V4),""))</f>
        <v/>
      </c>
      <c r="I65" s="38">
        <f>IF(I39="","",IFERROR(I39/('연간'!W4),""))</f>
        <v/>
      </c>
      <c r="J65" s="38">
        <f>IF(J39="","",IFERROR(J39/('연간'!X4),""))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IF(H38="","",IFERROR(H38/('연간'!V4),""))</f>
        <v/>
      </c>
      <c r="I66" s="38">
        <f>IF(I38="","",IFERROR(I38/('연간'!W4),""))</f>
        <v/>
      </c>
      <c r="J66" s="38">
        <f>IF(J38="","",IFERROR(J38/('연간'!X4),""))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IF(H40="","",IFERROR(H40/('연간'!V44),""))</f>
        <v/>
      </c>
      <c r="I67" s="38">
        <f>IF(I40="","",IFERROR(I40/('연간'!W44),""))</f>
        <v/>
      </c>
      <c r="J67" s="38">
        <f>IF(J40="","",IFERROR(J40/('연간'!X44),""))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2024</t>
        </is>
      </c>
      <c r="I70" s="5" t="inlineStr">
        <is>
          <t>2025</t>
        </is>
      </c>
      <c r="J70" s="5" t="inlineStr">
        <is>
          <t>2026</t>
        </is>
      </c>
    </row>
    <row r="71">
      <c r="A71" s="20" t="inlineStr">
        <is>
          <t>현금및현금성자산</t>
        </is>
      </c>
      <c r="C71" s="22" t="n">
        <v>167932</v>
      </c>
      <c r="G71" s="22" t="n">
        <v>470707</v>
      </c>
      <c r="H71" s="22" t="n">
        <v>187593</v>
      </c>
      <c r="I71" s="22" t="n">
        <v>167932</v>
      </c>
      <c r="J71" s="22" t="n">
        <v>470707</v>
      </c>
    </row>
    <row r="72">
      <c r="A72" s="20" t="inlineStr">
        <is>
          <t>영업채권 및 기타채권</t>
        </is>
      </c>
      <c r="C72" s="22" t="n">
        <v>238594</v>
      </c>
      <c r="G72" s="22" t="n">
        <v>660559</v>
      </c>
      <c r="H72" s="22" t="n">
        <v>149815</v>
      </c>
      <c r="I72" s="22" t="n">
        <v>238594</v>
      </c>
      <c r="J72" s="22" t="n">
        <v>660559</v>
      </c>
    </row>
    <row r="73">
      <c r="A73" s="20" t="inlineStr">
        <is>
          <t>기타금융자산</t>
        </is>
      </c>
      <c r="C73" s="22" t="n">
        <v>3971</v>
      </c>
      <c r="G73" s="22" t="n">
        <v>7191</v>
      </c>
      <c r="H73" s="22" t="n">
        <v>5353</v>
      </c>
      <c r="I73" s="22" t="n">
        <v>3971</v>
      </c>
      <c r="J73" s="22" t="n">
        <v>7191</v>
      </c>
    </row>
    <row r="74">
      <c r="A74" s="20" t="inlineStr">
        <is>
          <t>재고자산</t>
        </is>
      </c>
      <c r="C74" s="22" t="n">
        <v>352863</v>
      </c>
      <c r="G74" s="22" t="n">
        <v>412612</v>
      </c>
      <c r="H74" s="22" t="n">
        <v>271781</v>
      </c>
      <c r="I74" s="22" t="n">
        <v>352863</v>
      </c>
      <c r="J74" s="22" t="n">
        <v>412612</v>
      </c>
    </row>
    <row r="75">
      <c r="A75" s="20" t="inlineStr">
        <is>
          <t>기타유동자산</t>
        </is>
      </c>
      <c r="C75" s="22" t="n">
        <v>43349</v>
      </c>
      <c r="G75" s="22" t="n">
        <v>66760</v>
      </c>
      <c r="H75" s="22" t="n">
        <v>36833</v>
      </c>
      <c r="I75" s="22" t="n">
        <v>43349</v>
      </c>
      <c r="J75" s="22" t="n">
        <v>66760</v>
      </c>
    </row>
    <row r="76">
      <c r="A76" s="9" t="inlineStr">
        <is>
          <t>유동자산 합계</t>
        </is>
      </c>
      <c r="C76" s="12" t="n">
        <v>806709</v>
      </c>
      <c r="G76" s="12" t="n">
        <v>1617829</v>
      </c>
      <c r="H76" s="12" t="n">
        <v>651375</v>
      </c>
      <c r="I76" s="12" t="n">
        <v>806709</v>
      </c>
      <c r="J76" s="12" t="n">
        <v>1617829</v>
      </c>
    </row>
    <row r="77">
      <c r="A77" s="20" t="inlineStr">
        <is>
          <t>유형자산</t>
        </is>
      </c>
      <c r="C77" s="22" t="n">
        <v>1100181</v>
      </c>
      <c r="G77" s="22" t="n">
        <v>1055255</v>
      </c>
      <c r="H77" s="22" t="n">
        <v>1168765</v>
      </c>
      <c r="I77" s="22" t="n">
        <v>1100181</v>
      </c>
      <c r="J77" s="22" t="n">
        <v>1055255</v>
      </c>
    </row>
    <row r="78">
      <c r="A78" s="20" t="inlineStr">
        <is>
          <t>사용권자산</t>
        </is>
      </c>
      <c r="C78" s="22" t="n">
        <v>197063</v>
      </c>
      <c r="G78" s="22" t="n">
        <v>178092</v>
      </c>
      <c r="H78" s="22" t="n">
        <v>159719</v>
      </c>
      <c r="I78" s="22" t="n">
        <v>197063</v>
      </c>
      <c r="J78" s="22" t="n">
        <v>178092</v>
      </c>
    </row>
    <row r="79">
      <c r="A79" s="20" t="inlineStr">
        <is>
          <t>영업권</t>
        </is>
      </c>
      <c r="C79" s="22" t="n">
        <v>395256</v>
      </c>
      <c r="G79" s="22" t="n">
        <v>395585</v>
      </c>
      <c r="H79" s="22" t="n">
        <v>395405</v>
      </c>
      <c r="I79" s="22" t="n">
        <v>395256</v>
      </c>
      <c r="J79" s="22" t="n">
        <v>395585</v>
      </c>
    </row>
    <row r="80">
      <c r="A80" s="20" t="inlineStr">
        <is>
          <t>무형자산</t>
        </is>
      </c>
      <c r="C80" s="22" t="n">
        <v>10658</v>
      </c>
      <c r="G80" s="22" t="n">
        <v>11192</v>
      </c>
      <c r="H80" s="22" t="n">
        <v>11259</v>
      </c>
      <c r="I80" s="22" t="n">
        <v>10658</v>
      </c>
      <c r="J80" s="22" t="n">
        <v>11192</v>
      </c>
    </row>
    <row r="81">
      <c r="A81" s="20" t="inlineStr">
        <is>
          <t>지분법 투자</t>
        </is>
      </c>
      <c r="C81" s="22" t="n">
        <v>7401</v>
      </c>
      <c r="G81" s="22" t="n">
        <v>8097</v>
      </c>
      <c r="H81" s="22" t="n">
        <v>6869</v>
      </c>
      <c r="I81" s="22" t="n">
        <v>7401</v>
      </c>
      <c r="J81" s="22" t="n">
        <v>8097</v>
      </c>
    </row>
    <row r="82">
      <c r="A82" s="20" t="inlineStr">
        <is>
          <t>기타금융자산</t>
        </is>
      </c>
      <c r="C82" s="22" t="n">
        <v>63179</v>
      </c>
      <c r="G82" s="22" t="n">
        <v>219230</v>
      </c>
      <c r="H82" s="22" t="n">
        <v>87139</v>
      </c>
      <c r="I82" s="22" t="n">
        <v>63179</v>
      </c>
      <c r="J82" s="22" t="n">
        <v>219230</v>
      </c>
    </row>
    <row r="83">
      <c r="A83" s="20" t="inlineStr">
        <is>
          <t>기타비유동자산</t>
        </is>
      </c>
      <c r="C83" s="22" t="n">
        <v>20069</v>
      </c>
      <c r="G83" s="22" t="n">
        <v>27285</v>
      </c>
      <c r="H83" s="22" t="n">
        <v>13688</v>
      </c>
      <c r="I83" s="22" t="n">
        <v>20069</v>
      </c>
      <c r="J83" s="22" t="n">
        <v>27285</v>
      </c>
    </row>
    <row r="84">
      <c r="A84" s="20" t="inlineStr">
        <is>
          <t>이연법인세자산</t>
        </is>
      </c>
      <c r="C84" s="22" t="n">
        <v>319163</v>
      </c>
      <c r="G84" s="22" t="n">
        <v>177506</v>
      </c>
      <c r="H84" s="22" t="n">
        <v>370722</v>
      </c>
      <c r="I84" s="22" t="n">
        <v>319163</v>
      </c>
      <c r="J84" s="22" t="n">
        <v>177506</v>
      </c>
    </row>
    <row r="85">
      <c r="A85" s="20" t="inlineStr">
        <is>
          <t>비유동자산 합계</t>
        </is>
      </c>
      <c r="C85" s="22" t="n">
        <v>2112970</v>
      </c>
      <c r="G85" s="22" t="n">
        <v>2072242</v>
      </c>
      <c r="H85" s="22" t="n">
        <v>2213566</v>
      </c>
      <c r="I85" s="22" t="n">
        <v>2112970</v>
      </c>
      <c r="J85" s="22" t="n">
        <v>2072242</v>
      </c>
    </row>
    <row r="86">
      <c r="A86" s="20" t="inlineStr">
        <is>
          <t>자산 합계</t>
        </is>
      </c>
      <c r="C86" s="22" t="n">
        <v>2919679</v>
      </c>
      <c r="G86" s="22" t="n">
        <v>3690071</v>
      </c>
      <c r="H86" s="22" t="n">
        <v>2864941</v>
      </c>
      <c r="I86" s="22" t="n">
        <v>2919679</v>
      </c>
      <c r="J86" s="22" t="n">
        <v>3690071</v>
      </c>
    </row>
    <row r="87">
      <c r="A87" s="20" t="inlineStr">
        <is>
          <t>차입금</t>
        </is>
      </c>
      <c r="C87" s="22" t="n">
        <v>246508</v>
      </c>
      <c r="H87" s="22" t="n">
        <v>826413</v>
      </c>
      <c r="I87" s="22" t="n">
        <v>246508</v>
      </c>
    </row>
    <row r="88">
      <c r="A88" s="20" t="inlineStr">
        <is>
          <t>사채 및 차입금</t>
        </is>
      </c>
      <c r="C88" s="22" t="n">
        <v>246508</v>
      </c>
      <c r="G88" s="22" t="n">
        <v>175452</v>
      </c>
      <c r="I88" s="22" t="n">
        <v>246508</v>
      </c>
      <c r="J88" s="22" t="n">
        <v>175452</v>
      </c>
    </row>
    <row r="89">
      <c r="A89" s="20" t="inlineStr">
        <is>
          <t>영업채무 및 기타채무</t>
        </is>
      </c>
      <c r="C89" s="22" t="n">
        <v>504011</v>
      </c>
      <c r="G89" s="22" t="n">
        <v>594917</v>
      </c>
      <c r="H89" s="22" t="n">
        <v>512502</v>
      </c>
      <c r="I89" s="22" t="n">
        <v>504011</v>
      </c>
      <c r="J89" s="22" t="n">
        <v>594917</v>
      </c>
    </row>
    <row r="90">
      <c r="A90" s="20" t="inlineStr">
        <is>
          <t>리스부채</t>
        </is>
      </c>
      <c r="C90" s="22" t="n">
        <v>42521</v>
      </c>
      <c r="G90" s="22" t="n">
        <v>43911</v>
      </c>
      <c r="H90" s="22" t="n">
        <v>40025</v>
      </c>
      <c r="I90" s="22" t="n">
        <v>42521</v>
      </c>
      <c r="J90" s="22" t="n">
        <v>43911</v>
      </c>
    </row>
    <row r="91">
      <c r="A91" s="20" t="inlineStr">
        <is>
          <t>기타금융부채</t>
        </is>
      </c>
      <c r="C91" s="22" t="n">
        <v>28058</v>
      </c>
      <c r="G91" s="22" t="n">
        <v>28338</v>
      </c>
      <c r="H91" s="22" t="n">
        <v>344341</v>
      </c>
      <c r="I91" s="22" t="n">
        <v>28058</v>
      </c>
      <c r="J91" s="22" t="n">
        <v>28338</v>
      </c>
    </row>
    <row r="92">
      <c r="A92" s="20" t="inlineStr">
        <is>
          <t>미지급법인세</t>
        </is>
      </c>
      <c r="C92" s="22" t="n">
        <v>38183</v>
      </c>
      <c r="G92" s="22" t="n">
        <v>104516</v>
      </c>
      <c r="H92" s="22" t="n">
        <v>6182</v>
      </c>
      <c r="I92" s="22" t="n">
        <v>38183</v>
      </c>
      <c r="J92" s="22" t="n">
        <v>104516</v>
      </c>
    </row>
    <row r="93">
      <c r="A93" s="20" t="inlineStr">
        <is>
          <t>충당금</t>
        </is>
      </c>
      <c r="C93" s="22" t="n">
        <v>3328</v>
      </c>
      <c r="G93" s="22" t="n">
        <v>3876</v>
      </c>
      <c r="H93" s="22" t="n">
        <v>4694</v>
      </c>
      <c r="I93" s="22" t="n">
        <v>3328</v>
      </c>
      <c r="J93" s="22" t="n">
        <v>3876</v>
      </c>
    </row>
    <row r="94">
      <c r="A94" s="20" t="inlineStr">
        <is>
          <t>기타유동부채</t>
        </is>
      </c>
      <c r="C94" s="22" t="n">
        <v>122564</v>
      </c>
      <c r="G94" s="22" t="n">
        <v>146998</v>
      </c>
      <c r="H94" s="22" t="n">
        <v>131970</v>
      </c>
      <c r="I94" s="22" t="n">
        <v>122564</v>
      </c>
      <c r="J94" s="22" t="n">
        <v>146998</v>
      </c>
    </row>
    <row r="95">
      <c r="A95" s="20" t="inlineStr">
        <is>
          <t>유동부채 합계</t>
        </is>
      </c>
      <c r="C95" s="22" t="n">
        <v>985173</v>
      </c>
      <c r="G95" s="22" t="n">
        <v>1098008</v>
      </c>
      <c r="H95" s="22" t="n">
        <v>1866127</v>
      </c>
      <c r="I95" s="22" t="n">
        <v>985173</v>
      </c>
      <c r="J95" s="22" t="n">
        <v>1098008</v>
      </c>
    </row>
    <row r="96">
      <c r="A96" s="20" t="inlineStr">
        <is>
          <t>차입금</t>
        </is>
      </c>
      <c r="C96" s="22" t="n">
        <v>531198</v>
      </c>
      <c r="H96" s="22" t="n">
        <v>284899</v>
      </c>
      <c r="I96" s="22" t="n">
        <v>531198</v>
      </c>
    </row>
    <row r="97">
      <c r="A97" s="20" t="inlineStr">
        <is>
          <t>사채 및 차입금</t>
        </is>
      </c>
      <c r="C97" s="22" t="n">
        <v>531198</v>
      </c>
      <c r="G97" s="22" t="n">
        <v>872116</v>
      </c>
      <c r="I97" s="22" t="n">
        <v>531198</v>
      </c>
      <c r="J97" s="22" t="n">
        <v>872116</v>
      </c>
    </row>
    <row r="98">
      <c r="A98" s="20" t="inlineStr">
        <is>
          <t>리스부채</t>
        </is>
      </c>
      <c r="C98" s="22" t="n">
        <v>179294</v>
      </c>
      <c r="G98" s="22" t="n">
        <v>161710</v>
      </c>
      <c r="H98" s="22" t="n">
        <v>142871</v>
      </c>
      <c r="I98" s="22" t="n">
        <v>179294</v>
      </c>
      <c r="J98" s="22" t="n">
        <v>161710</v>
      </c>
    </row>
    <row r="99">
      <c r="A99" s="20" t="inlineStr">
        <is>
          <t>기타금융부채</t>
        </is>
      </c>
      <c r="C99" s="22" t="n">
        <v>321261</v>
      </c>
      <c r="G99" s="22" t="n">
        <v>0</v>
      </c>
      <c r="H99" s="22" t="n">
        <v>0</v>
      </c>
      <c r="I99" s="22" t="n">
        <v>321261</v>
      </c>
      <c r="J99" s="22" t="n">
        <v>0</v>
      </c>
    </row>
    <row r="100">
      <c r="A100" s="20" t="inlineStr">
        <is>
          <t>퇴직급여부채</t>
        </is>
      </c>
      <c r="C100" s="22" t="n">
        <v>46477</v>
      </c>
      <c r="G100" s="22" t="n">
        <v>42871</v>
      </c>
      <c r="H100" s="22" t="n">
        <v>48492</v>
      </c>
      <c r="I100" s="22" t="n">
        <v>46477</v>
      </c>
      <c r="J100" s="22" t="n">
        <v>42871</v>
      </c>
    </row>
    <row r="101">
      <c r="A101" s="20" t="inlineStr">
        <is>
          <t>충당금</t>
        </is>
      </c>
      <c r="C101" s="22" t="n">
        <v>7560</v>
      </c>
      <c r="G101" s="22" t="n">
        <v>12840</v>
      </c>
      <c r="H101" s="22" t="n">
        <v>7331</v>
      </c>
      <c r="I101" s="22" t="n">
        <v>7560</v>
      </c>
      <c r="J101" s="22" t="n">
        <v>12840</v>
      </c>
    </row>
    <row r="102">
      <c r="A102" s="20" t="inlineStr">
        <is>
          <t>기타비유동부채</t>
        </is>
      </c>
      <c r="C102" s="22" t="n">
        <v>111017</v>
      </c>
      <c r="G102" s="22" t="n">
        <v>102725</v>
      </c>
      <c r="H102" s="22" t="n">
        <v>65419</v>
      </c>
      <c r="I102" s="22" t="n">
        <v>111017</v>
      </c>
      <c r="J102" s="22" t="n">
        <v>102725</v>
      </c>
    </row>
    <row r="103">
      <c r="A103" s="20" t="inlineStr">
        <is>
          <t>이연법인세부채</t>
        </is>
      </c>
      <c r="C103" s="22" t="n">
        <v>3</v>
      </c>
      <c r="G103" s="22" t="n">
        <v>722</v>
      </c>
      <c r="H103" s="22" t="n">
        <v>36</v>
      </c>
      <c r="I103" s="22" t="n">
        <v>3</v>
      </c>
      <c r="J103" s="22" t="n">
        <v>722</v>
      </c>
    </row>
    <row r="104">
      <c r="A104" s="20" t="inlineStr">
        <is>
          <t>비유동부채 합계</t>
        </is>
      </c>
      <c r="C104" s="22" t="n">
        <v>1196810</v>
      </c>
      <c r="G104" s="22" t="n">
        <v>1192984</v>
      </c>
      <c r="H104" s="22" t="n">
        <v>549048</v>
      </c>
      <c r="I104" s="22" t="n">
        <v>1196810</v>
      </c>
      <c r="J104" s="22" t="n">
        <v>1192984</v>
      </c>
    </row>
    <row r="105">
      <c r="A105" s="20" t="inlineStr">
        <is>
          <t>부채 합계</t>
        </is>
      </c>
      <c r="C105" s="22" t="n">
        <v>2181983</v>
      </c>
      <c r="G105" s="22" t="n">
        <v>2290992</v>
      </c>
      <c r="H105" s="22" t="n">
        <v>2415175</v>
      </c>
      <c r="I105" s="22" t="n">
        <v>2181983</v>
      </c>
      <c r="J105" s="22" t="n">
        <v>2290992</v>
      </c>
    </row>
    <row r="106">
      <c r="A106" s="20" t="inlineStr">
        <is>
          <t>자본금</t>
        </is>
      </c>
      <c r="C106" s="22" t="n">
        <v>25239</v>
      </c>
      <c r="G106" s="22" t="n">
        <v>31284</v>
      </c>
      <c r="H106" s="22" t="n">
        <v>10000</v>
      </c>
      <c r="I106" s="22" t="n">
        <v>25239</v>
      </c>
      <c r="J106" s="22" t="n">
        <v>31284</v>
      </c>
    </row>
    <row r="107">
      <c r="A107" s="20" t="inlineStr">
        <is>
          <t>자본잉여금</t>
        </is>
      </c>
      <c r="C107" s="22" t="n">
        <v>866665</v>
      </c>
      <c r="G107" s="22" t="n">
        <v>875804</v>
      </c>
      <c r="H107" s="22" t="n">
        <v>851517</v>
      </c>
      <c r="I107" s="22" t="n">
        <v>866665</v>
      </c>
      <c r="J107" s="22" t="n">
        <v>875804</v>
      </c>
    </row>
    <row r="108">
      <c r="A108" s="20" t="inlineStr">
        <is>
          <t>기타자본구성요소</t>
        </is>
      </c>
      <c r="C108" s="22" t="n">
        <v>35208</v>
      </c>
      <c r="G108" s="22" t="n">
        <v>124888</v>
      </c>
      <c r="H108" s="22" t="n">
        <v>51172</v>
      </c>
      <c r="I108" s="22" t="n">
        <v>35208</v>
      </c>
      <c r="J108" s="22" t="n">
        <v>124888</v>
      </c>
    </row>
    <row r="109">
      <c r="A109" s="20" t="inlineStr">
        <is>
          <t>이익잉여금</t>
        </is>
      </c>
      <c r="C109" s="22" t="n">
        <v>-189547</v>
      </c>
      <c r="G109" s="22" t="n">
        <v>366955</v>
      </c>
      <c r="H109" s="22" t="n">
        <v>-463054</v>
      </c>
      <c r="I109" s="22" t="n">
        <v>-189547</v>
      </c>
      <c r="J109" s="22" t="n">
        <v>366955</v>
      </c>
    </row>
    <row r="110">
      <c r="A110" s="20" t="inlineStr">
        <is>
          <t>자기주식</t>
        </is>
      </c>
      <c r="C110" s="22" t="n">
        <v>0</v>
      </c>
      <c r="G110" s="22" t="n">
        <v>-2</v>
      </c>
      <c r="I110" s="22" t="n">
        <v>0</v>
      </c>
      <c r="J110" s="22" t="n">
        <v>-2</v>
      </c>
    </row>
    <row r="111">
      <c r="A111" s="20" t="inlineStr">
        <is>
          <t>지배기업 소유주 귀속 지분 합계</t>
        </is>
      </c>
      <c r="C111" s="22" t="n">
        <v>737565</v>
      </c>
      <c r="G111" s="22" t="n">
        <v>1398929</v>
      </c>
      <c r="H111" s="22" t="n">
        <v>449635</v>
      </c>
      <c r="I111" s="22" t="n">
        <v>737565</v>
      </c>
      <c r="J111" s="22" t="n">
        <v>1398929</v>
      </c>
    </row>
    <row r="112">
      <c r="A112" s="20" t="inlineStr">
        <is>
          <t>비지배지분</t>
        </is>
      </c>
      <c r="C112" s="22" t="n">
        <v>131</v>
      </c>
      <c r="G112" s="22" t="n">
        <v>150</v>
      </c>
      <c r="H112" s="22" t="n">
        <v>131</v>
      </c>
      <c r="I112" s="22" t="n">
        <v>131</v>
      </c>
      <c r="J112" s="22" t="n">
        <v>150</v>
      </c>
    </row>
    <row r="113">
      <c r="A113" s="20" t="inlineStr">
        <is>
          <t>자본 합계</t>
        </is>
      </c>
      <c r="C113" s="22" t="n">
        <v>737696</v>
      </c>
      <c r="G113" s="22" t="n">
        <v>1399079</v>
      </c>
      <c r="H113" s="22" t="n">
        <v>449766</v>
      </c>
      <c r="I113" s="22" t="n">
        <v>737696</v>
      </c>
      <c r="J113" s="22" t="n">
        <v>1399079</v>
      </c>
    </row>
    <row r="114">
      <c r="A114" s="20" t="inlineStr">
        <is>
          <t>부채및자본 합계</t>
        </is>
      </c>
      <c r="C114" s="22" t="n">
        <v>2919679</v>
      </c>
      <c r="G114" s="22" t="n">
        <v>3690071</v>
      </c>
      <c r="H114" s="22" t="n">
        <v>2864941</v>
      </c>
      <c r="I114" s="22" t="n">
        <v>2919679</v>
      </c>
      <c r="J114" s="22" t="n">
        <v>3690071</v>
      </c>
    </row>
  </sheetData>
  <conditionalFormatting sqref="C43:J43">
    <cfRule type="expression" priority="1" dxfId="0">
      <formula>AND(ISNUMBER(C43),C43&gt;1.0)</formula>
    </cfRule>
  </conditionalFormatting>
  <conditionalFormatting sqref="C44:J44">
    <cfRule type="expression" priority="2" dxfId="0">
      <formula>AND(ISNUMBER(C44),C44&gt;0.5)</formula>
    </cfRule>
  </conditionalFormatting>
  <conditionalFormatting sqref="C45:J45">
    <cfRule type="expression" priority="3" dxfId="0">
      <formula>AND(ISNUMBER(C45),C45&lt;0.5)</formula>
    </cfRule>
  </conditionalFormatting>
  <conditionalFormatting sqref="C46:J46">
    <cfRule type="expression" priority="4" dxfId="0">
      <formula>AND(ISNUMBER(C46),C46&lt;1.5)</formula>
    </cfRule>
  </conditionalFormatting>
  <conditionalFormatting sqref="C47:J47">
    <cfRule type="expression" priority="5" dxfId="0">
      <formula>AND(ISNUMBER(C47),C47&lt;1.0)</formula>
    </cfRule>
  </conditionalFormatting>
  <conditionalFormatting sqref="C48:J48">
    <cfRule type="expression" priority="6" dxfId="0">
      <formula>AND(ISNUMBER(C48),C48&lt;5)</formula>
    </cfRule>
  </conditionalFormatting>
  <conditionalFormatting sqref="C49:J49">
    <cfRule type="expression" priority="7" dxfId="0">
      <formula>AND(ISNUMBER(C49),C49&gt;4)</formula>
    </cfRule>
  </conditionalFormatting>
  <conditionalFormatting sqref="C51:J51">
    <cfRule type="expression" priority="8" dxfId="0">
      <formula>AND(ISNUMBER(C51),C51&lt;0.15)</formula>
    </cfRule>
  </conditionalFormatting>
  <conditionalFormatting sqref="C52:J52">
    <cfRule type="expression" priority="9" dxfId="0">
      <formula>AND(ISNUMBER(C52),C52&lt;0.05)</formula>
    </cfRule>
  </conditionalFormatting>
  <conditionalFormatting sqref="C53:J53">
    <cfRule type="expression" priority="10" dxfId="0">
      <formula>AND(ISNUMBER(C53),C53&lt;0.1)</formula>
    </cfRule>
  </conditionalFormatting>
  <conditionalFormatting sqref="C54:J54">
    <cfRule type="expression" priority="11" dxfId="0">
      <formula>AND(ISNUMBER(C54),C54&lt;0.4)</formula>
    </cfRule>
  </conditionalFormatting>
  <conditionalFormatting sqref="C55:J55">
    <cfRule type="expression" priority="12" dxfId="0">
      <formula>AND(ISNUMBER(C55),C55&lt;0.15)</formula>
    </cfRule>
  </conditionalFormatting>
  <conditionalFormatting sqref="C56:J56">
    <cfRule type="expression" priority="13" dxfId="0">
      <formula>AND(ISNUMBER(C56),C56&lt;0.1)</formula>
    </cfRule>
  </conditionalFormatting>
  <conditionalFormatting sqref="C64:J64">
    <cfRule type="expression" priority="14" dxfId="0">
      <formula>AND(ISNUMBER(C64),C64&lt;1.0)</formula>
    </cfRule>
  </conditionalFormatting>
  <conditionalFormatting sqref="C65:J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2026-05-15</t>
        </is>
      </c>
      <c r="B4" t="inlineStr">
        <is>
          <t>2026년 3월 결산기 연간 결산단신</t>
        </is>
      </c>
      <c r="C4" t="inlineStr">
        <is>
          <t>https://www2.jpx.co.jp/disc/285A0/140120260515537803.pdf</t>
        </is>
      </c>
    </row>
    <row r="5">
      <c r="A5" t="inlineStr">
        <is>
          <t>2025-05-15</t>
        </is>
      </c>
      <c r="B5" t="inlineStr">
        <is>
          <t>2025년 3월 결산기 연간 결산단신</t>
        </is>
      </c>
      <c r="C5" t="inlineStr">
        <is>
          <t>https://www2.jpx.co.jp/disc/285A0/140120250515552869.pdf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2026-10-25T16:11:48Z</dcterms:created>
  <dcterms:modified xmlns:dcterms="http://purl.org/dc/terms/" xmlns:xsi="http://www.w3.org/2001/XMLSchema-instance" xsi:type="dcterms:W3CDTF">2026-10-25T16:11:48Z</dcterms:modified>
</cp:coreProperties>
</file>