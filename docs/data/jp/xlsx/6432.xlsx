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타케우치제작소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53655</v>
      </c>
      <c r="D4" s="12" t="n">
        <v>53796</v>
      </c>
      <c r="E4" s="12" t="n">
        <v>55174</v>
      </c>
      <c r="F4" s="12" t="n">
        <v>54432</v>
      </c>
      <c r="G4" s="12" t="n">
        <v>56797</v>
      </c>
      <c r="H4" s="12" t="n">
        <v>46827</v>
      </c>
      <c r="I4" s="12" t="n">
        <v>50620</v>
      </c>
      <c r="J4" s="12" t="n">
        <v>63483</v>
      </c>
      <c r="K4" s="12" t="n">
        <v>58730</v>
      </c>
      <c r="L4" s="12" t="n">
        <v>52451</v>
      </c>
      <c r="M4" s="12" t="n">
        <v>56809</v>
      </c>
      <c r="N4" s="12" t="n">
        <v>75574</v>
      </c>
      <c r="O4" s="11" t="n">
        <v>83000</v>
      </c>
      <c r="P4" s="12" t="n">
        <v>94342</v>
      </c>
      <c r="Q4" s="12" t="n">
        <v>110175</v>
      </c>
      <c r="R4" s="12" t="n">
        <v>115913</v>
      </c>
      <c r="S4" s="12" t="n">
        <v>112254</v>
      </c>
      <c r="T4" s="12" t="n">
        <v>140892</v>
      </c>
      <c r="U4" s="12" t="n">
        <v>178966</v>
      </c>
      <c r="V4" s="12" t="n">
        <v>212627</v>
      </c>
      <c r="W4" s="12" t="n">
        <v>213230</v>
      </c>
      <c r="X4" s="12" t="n">
        <v>225284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일본</t>
        </is>
      </c>
      <c r="B7" s="10" t="n"/>
      <c r="C7" s="19" t="n">
        <v>20159</v>
      </c>
      <c r="D7" s="20" t="n">
        <v>19079</v>
      </c>
      <c r="E7" s="20" t="n">
        <v>15822</v>
      </c>
      <c r="F7" s="20" t="n">
        <v>17341</v>
      </c>
      <c r="G7" s="20" t="n">
        <v>16339</v>
      </c>
      <c r="H7" s="20" t="n">
        <v>17631</v>
      </c>
      <c r="I7" s="20" t="n">
        <v>17143</v>
      </c>
      <c r="J7" s="20" t="n">
        <v>18560</v>
      </c>
      <c r="K7" s="20" t="n">
        <v>16386</v>
      </c>
      <c r="L7" s="20" t="n">
        <v>15723</v>
      </c>
      <c r="M7" s="20" t="n">
        <v>17299</v>
      </c>
      <c r="N7" s="20" t="n">
        <v>20063</v>
      </c>
      <c r="O7" s="19" t="n"/>
      <c r="P7" s="20" t="n"/>
      <c r="Q7" s="20" t="n"/>
      <c r="R7" s="20" t="n"/>
      <c r="S7" s="20" t="n"/>
      <c r="T7" s="20" t="n"/>
      <c r="U7" s="20" t="n"/>
      <c r="V7" s="20" t="n">
        <v>75404</v>
      </c>
      <c r="W7" s="20" t="n">
        <v>67133</v>
      </c>
      <c r="X7" s="20" t="n">
        <v>67812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미국</t>
        </is>
      </c>
      <c r="B10" s="10" t="n"/>
      <c r="C10" s="19" t="n">
        <v>28307</v>
      </c>
      <c r="D10" s="20" t="n">
        <v>30258</v>
      </c>
      <c r="E10" s="20" t="n">
        <v>32359</v>
      </c>
      <c r="F10" s="20" t="n">
        <v>30562</v>
      </c>
      <c r="G10" s="20" t="n">
        <v>34450</v>
      </c>
      <c r="H10" s="20" t="n">
        <v>22732</v>
      </c>
      <c r="I10" s="20" t="n">
        <v>26866</v>
      </c>
      <c r="J10" s="20" t="n">
        <v>36719</v>
      </c>
      <c r="K10" s="20" t="n">
        <v>35136</v>
      </c>
      <c r="L10" s="20" t="n">
        <v>29990</v>
      </c>
      <c r="M10" s="20" t="n">
        <v>31180</v>
      </c>
      <c r="N10" s="20" t="n">
        <v>44197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115183</v>
      </c>
      <c r="W10" s="20" t="n">
        <v>120103</v>
      </c>
      <c r="X10" s="20" t="n">
        <v>128711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영국</t>
        </is>
      </c>
      <c r="B13" s="10" t="n"/>
      <c r="C13" s="19" t="n">
        <v>2626</v>
      </c>
      <c r="D13" s="20" t="n">
        <v>2017</v>
      </c>
      <c r="E13" s="20" t="n">
        <v>3710</v>
      </c>
      <c r="F13" s="20" t="n">
        <v>3636</v>
      </c>
      <c r="G13" s="20" t="n">
        <v>3637</v>
      </c>
      <c r="H13" s="20" t="n">
        <v>3564</v>
      </c>
      <c r="I13" s="20" t="n">
        <v>4208</v>
      </c>
      <c r="J13" s="20" t="n">
        <v>5549</v>
      </c>
      <c r="K13" s="20" t="n">
        <v>4251</v>
      </c>
      <c r="L13" s="20" t="n">
        <v>3968</v>
      </c>
      <c r="M13" s="20" t="n">
        <v>5640</v>
      </c>
      <c r="N13" s="20" t="n">
        <v>7931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12131</v>
      </c>
      <c r="W13" s="20" t="n">
        <v>14547</v>
      </c>
      <c r="X13" s="20" t="n">
        <v>17976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프랑스</t>
        </is>
      </c>
      <c r="B16" s="10" t="n"/>
      <c r="C16" s="19" t="n">
        <v>2514</v>
      </c>
      <c r="D16" s="20" t="n">
        <v>2413</v>
      </c>
      <c r="E16" s="20" t="n">
        <v>3264</v>
      </c>
      <c r="F16" s="20" t="n">
        <v>2868</v>
      </c>
      <c r="G16" s="20" t="n">
        <v>2349</v>
      </c>
      <c r="H16" s="20" t="n">
        <v>2844</v>
      </c>
      <c r="I16" s="20" t="n">
        <v>2400</v>
      </c>
      <c r="J16" s="20" t="n">
        <v>2654</v>
      </c>
      <c r="K16" s="20" t="n">
        <v>2953</v>
      </c>
      <c r="L16" s="20" t="n">
        <v>2769</v>
      </c>
      <c r="M16" s="20" t="n">
        <v>2688</v>
      </c>
      <c r="N16" s="20" t="n">
        <v>3380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9794</v>
      </c>
      <c r="W16" s="20" t="n">
        <v>11325</v>
      </c>
      <c r="X16" s="20" t="n">
        <v>10776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중국</t>
        </is>
      </c>
      <c r="B19" s="10" t="n"/>
      <c r="C19" s="19" t="n">
        <v>48</v>
      </c>
      <c r="D19" s="20" t="n">
        <v>30</v>
      </c>
      <c r="E19" s="20" t="n">
        <v>18</v>
      </c>
      <c r="F19" s="20" t="n">
        <v>24</v>
      </c>
      <c r="G19" s="20" t="n">
        <v>22</v>
      </c>
      <c r="H19" s="20" t="n">
        <v>56</v>
      </c>
      <c r="I19" s="20" t="n">
        <v>1</v>
      </c>
      <c r="J19" s="20" t="n">
        <v>2</v>
      </c>
      <c r="K19" s="20" t="n">
        <v>2</v>
      </c>
      <c r="L19" s="20" t="n">
        <v>1</v>
      </c>
      <c r="M19" s="20" t="n">
        <v>1</v>
      </c>
      <c r="N19" s="20" t="n">
        <v>3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113</v>
      </c>
      <c r="W19" s="20" t="n">
        <v>120</v>
      </c>
      <c r="X19" s="20" t="n">
        <v>6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40694</v>
      </c>
      <c r="D23" s="20" t="n">
        <v>40146</v>
      </c>
      <c r="E23" s="20" t="n">
        <v>39444</v>
      </c>
      <c r="F23" s="20" t="n">
        <v>35865</v>
      </c>
      <c r="G23" s="20" t="n">
        <v>43655</v>
      </c>
      <c r="H23" s="20" t="n">
        <v>38257</v>
      </c>
      <c r="I23" s="20" t="n">
        <v>35179</v>
      </c>
      <c r="J23" s="20" t="n">
        <v>46541</v>
      </c>
      <c r="K23" s="20" t="n">
        <v>46136</v>
      </c>
      <c r="L23" s="20" t="n">
        <v>41242</v>
      </c>
      <c r="M23" s="20" t="n">
        <v>41021</v>
      </c>
      <c r="N23" s="20" t="n">
        <v>55780</v>
      </c>
      <c r="O23" s="19" t="n">
        <v>62276</v>
      </c>
      <c r="P23" s="20" t="n">
        <v>72365</v>
      </c>
      <c r="Q23" s="20" t="n">
        <v>86328</v>
      </c>
      <c r="R23" s="20" t="n">
        <v>93313</v>
      </c>
      <c r="S23" s="20" t="n">
        <v>90146</v>
      </c>
      <c r="T23" s="20" t="n">
        <v>110563</v>
      </c>
      <c r="U23" s="20" t="n">
        <v>135928</v>
      </c>
      <c r="V23" s="20" t="n">
        <v>160481</v>
      </c>
      <c r="W23" s="20" t="n">
        <v>157221</v>
      </c>
      <c r="X23" s="20" t="n">
        <v>169098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4309</v>
      </c>
      <c r="D29" s="20" t="n">
        <v>3975</v>
      </c>
      <c r="E29" s="20" t="n">
        <v>4609</v>
      </c>
      <c r="F29" s="20" t="n">
        <v>4820</v>
      </c>
      <c r="G29" s="20" t="n">
        <v>4194</v>
      </c>
      <c r="H29" s="20" t="n">
        <v>5243</v>
      </c>
      <c r="I29" s="20" t="n">
        <v>4442</v>
      </c>
      <c r="J29" s="20" t="n">
        <v>4538</v>
      </c>
      <c r="K29" s="20" t="n">
        <v>4562</v>
      </c>
      <c r="L29" s="20" t="n">
        <v>4956</v>
      </c>
      <c r="M29" s="20" t="n">
        <v>5812</v>
      </c>
      <c r="N29" s="20" t="n">
        <v>5571</v>
      </c>
      <c r="O29" s="19" t="n">
        <v>7320</v>
      </c>
      <c r="P29" s="20" t="n">
        <v>7842</v>
      </c>
      <c r="Q29" s="20" t="n">
        <v>8435</v>
      </c>
      <c r="R29" s="20" t="n">
        <v>9950</v>
      </c>
      <c r="S29" s="20" t="n">
        <v>8900</v>
      </c>
      <c r="T29" s="20" t="n">
        <v>12564</v>
      </c>
      <c r="U29" s="20" t="n">
        <v>21816</v>
      </c>
      <c r="V29" s="20" t="n">
        <v>16849</v>
      </c>
      <c r="W29" s="20" t="n">
        <v>18866</v>
      </c>
      <c r="X29" s="20" t="n">
        <v>18498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8652</v>
      </c>
      <c r="D31" s="12" t="n">
        <v>9675</v>
      </c>
      <c r="E31" s="12" t="n">
        <v>11121</v>
      </c>
      <c r="F31" s="12" t="n">
        <v>13746</v>
      </c>
      <c r="G31" s="12" t="n">
        <v>8948</v>
      </c>
      <c r="H31" s="12" t="n">
        <v>3327</v>
      </c>
      <c r="I31" s="12" t="n">
        <v>10998</v>
      </c>
      <c r="J31" s="12" t="n">
        <v>12404</v>
      </c>
      <c r="K31" s="12" t="n">
        <v>8032</v>
      </c>
      <c r="L31" s="12" t="n">
        <v>6253</v>
      </c>
      <c r="M31" s="12" t="n">
        <v>9975</v>
      </c>
      <c r="N31" s="12" t="n">
        <v>14223</v>
      </c>
      <c r="O31" s="11" t="n">
        <v>13404</v>
      </c>
      <c r="P31" s="12" t="n">
        <v>14133</v>
      </c>
      <c r="Q31" s="12" t="n">
        <v>15411</v>
      </c>
      <c r="R31" s="12" t="n">
        <v>12649</v>
      </c>
      <c r="S31" s="12" t="n">
        <v>13207</v>
      </c>
      <c r="T31" s="12" t="n">
        <v>17764</v>
      </c>
      <c r="U31" s="12" t="n">
        <v>21221</v>
      </c>
      <c r="V31" s="12" t="n">
        <v>35296</v>
      </c>
      <c r="W31" s="12" t="n">
        <v>37142</v>
      </c>
      <c r="X31" s="12" t="n">
        <v>37687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>
        <v>1533</v>
      </c>
      <c r="P36" s="20" t="n">
        <v>1650</v>
      </c>
      <c r="Q36" s="20" t="n">
        <v>1697</v>
      </c>
      <c r="R36" s="20" t="n">
        <v>1827</v>
      </c>
      <c r="S36" s="20" t="n">
        <v>1870</v>
      </c>
      <c r="T36" s="20" t="n">
        <v>2181</v>
      </c>
      <c r="U36" s="20" t="n">
        <v>2678</v>
      </c>
      <c r="V36" s="20" t="n">
        <v>3212</v>
      </c>
      <c r="W36" s="20" t="n">
        <v>3598</v>
      </c>
      <c r="X36" s="20" t="n">
        <v>3905</v>
      </c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>
        <v>5</v>
      </c>
      <c r="P47" s="20" t="n">
        <v>0</v>
      </c>
      <c r="Q47" s="20" t="n">
        <v>198</v>
      </c>
      <c r="R47" s="20" t="n">
        <v>0</v>
      </c>
      <c r="S47" s="20" t="n"/>
      <c r="T47" s="20" t="n"/>
      <c r="U47" s="20" t="n"/>
      <c r="V47" s="20" t="n"/>
      <c r="W47" s="20" t="n"/>
      <c r="X47" s="20" t="n"/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9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148</v>
      </c>
      <c r="D51" s="20" t="n">
        <v>204</v>
      </c>
      <c r="E51" s="20" t="n">
        <v>856</v>
      </c>
      <c r="F51" s="20" t="n">
        <v>-339</v>
      </c>
      <c r="G51" s="20" t="n">
        <v>-13</v>
      </c>
      <c r="H51" s="20" t="n">
        <v>262</v>
      </c>
      <c r="I51" s="20" t="n">
        <v>188</v>
      </c>
      <c r="J51" s="20" t="n">
        <v>146</v>
      </c>
      <c r="K51" s="20" t="n">
        <v>1460</v>
      </c>
      <c r="L51" s="20" t="n">
        <v>-201</v>
      </c>
      <c r="M51" s="20" t="n">
        <v>558</v>
      </c>
      <c r="N51" s="20" t="n">
        <v>423</v>
      </c>
      <c r="O51" s="19" t="n">
        <v>138</v>
      </c>
      <c r="P51" s="20" t="n">
        <v>252</v>
      </c>
      <c r="Q51" s="20" t="n">
        <v>170</v>
      </c>
      <c r="R51" s="20" t="n">
        <v>194</v>
      </c>
      <c r="S51" s="20" t="n">
        <v>284</v>
      </c>
      <c r="T51" s="20" t="n">
        <v>332</v>
      </c>
      <c r="U51" s="20" t="n">
        <v>478</v>
      </c>
      <c r="V51" s="20" t="n">
        <v>614</v>
      </c>
      <c r="W51" s="20" t="n">
        <v>766</v>
      </c>
      <c r="X51" s="20" t="n">
        <v>1593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75</v>
      </c>
      <c r="D53" s="20" t="n">
        <v>221</v>
      </c>
      <c r="E53" s="20" t="n">
        <v>238</v>
      </c>
      <c r="F53" s="20" t="n">
        <v>1959</v>
      </c>
      <c r="G53" s="20" t="n">
        <v>-251</v>
      </c>
      <c r="H53" s="20" t="n">
        <v>354</v>
      </c>
      <c r="I53" s="20" t="n">
        <v>773</v>
      </c>
      <c r="J53" s="20" t="n">
        <v>-728</v>
      </c>
      <c r="K53" s="20" t="n">
        <v>300</v>
      </c>
      <c r="L53" s="20" t="n">
        <v>-252</v>
      </c>
      <c r="M53" s="20" t="n">
        <v>27</v>
      </c>
      <c r="N53" s="20" t="n">
        <v>30</v>
      </c>
      <c r="O53" s="19" t="n">
        <v>1820</v>
      </c>
      <c r="P53" s="20" t="n">
        <v>352</v>
      </c>
      <c r="Q53" s="20" t="n">
        <v>84</v>
      </c>
      <c r="R53" s="20" t="n">
        <v>441</v>
      </c>
      <c r="S53" s="20" t="n">
        <v>194</v>
      </c>
      <c r="T53" s="20" t="n">
        <v>16</v>
      </c>
      <c r="U53" s="20" t="n">
        <v>320</v>
      </c>
      <c r="V53" s="20" t="n">
        <v>455</v>
      </c>
      <c r="W53" s="20" t="n">
        <v>2300</v>
      </c>
      <c r="X53" s="20" t="n">
        <v>93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8726</v>
      </c>
      <c r="D55" s="12" t="n">
        <v>9657</v>
      </c>
      <c r="E55" s="12" t="n">
        <v>11739</v>
      </c>
      <c r="F55" s="12" t="n">
        <v>11448</v>
      </c>
      <c r="G55" s="12" t="n">
        <v>9186</v>
      </c>
      <c r="H55" s="12" t="n">
        <v>3235</v>
      </c>
      <c r="I55" s="12" t="n">
        <v>10413</v>
      </c>
      <c r="J55" s="12" t="n">
        <v>13279</v>
      </c>
      <c r="K55" s="12" t="n">
        <v>9192</v>
      </c>
      <c r="L55" s="12" t="n">
        <v>6303</v>
      </c>
      <c r="M55" s="12" t="n">
        <v>10506</v>
      </c>
      <c r="N55" s="12" t="n">
        <v>14616</v>
      </c>
      <c r="O55" s="11" t="n">
        <v>11727</v>
      </c>
      <c r="P55" s="12" t="n">
        <v>14033</v>
      </c>
      <c r="Q55" s="12" t="n">
        <v>15694</v>
      </c>
      <c r="R55" s="12" t="n">
        <v>12403</v>
      </c>
      <c r="S55" s="12" t="n">
        <v>13298</v>
      </c>
      <c r="T55" s="12" t="n">
        <v>18080</v>
      </c>
      <c r="U55" s="12" t="n">
        <v>21379</v>
      </c>
      <c r="V55" s="12" t="n">
        <v>35455</v>
      </c>
      <c r="W55" s="12" t="n">
        <v>35608</v>
      </c>
      <c r="X55" s="12" t="n">
        <v>39187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2447</v>
      </c>
      <c r="D57" s="20" t="n">
        <v>2457</v>
      </c>
      <c r="E57" s="20" t="n">
        <v>3275</v>
      </c>
      <c r="F57" s="20" t="n">
        <v>3058</v>
      </c>
      <c r="G57" s="20" t="n">
        <v>2656</v>
      </c>
      <c r="H57" s="20" t="n">
        <v>506</v>
      </c>
      <c r="I57" s="20" t="n">
        <v>2995</v>
      </c>
      <c r="J57" s="20" t="n">
        <v>3642</v>
      </c>
      <c r="K57" s="20" t="n">
        <v>2774</v>
      </c>
      <c r="L57" s="20" t="n">
        <v>1506</v>
      </c>
      <c r="M57" s="20" t="n">
        <v>3076</v>
      </c>
      <c r="N57" s="20" t="n">
        <v>3917</v>
      </c>
      <c r="O57" s="19" t="n">
        <v>3969</v>
      </c>
      <c r="P57" s="20" t="n">
        <v>4485</v>
      </c>
      <c r="Q57" s="20" t="n">
        <v>4303</v>
      </c>
      <c r="R57" s="20" t="n">
        <v>3311</v>
      </c>
      <c r="S57" s="20" t="n">
        <v>3532</v>
      </c>
      <c r="T57" s="20" t="n">
        <v>4732</v>
      </c>
      <c r="U57" s="20" t="n">
        <v>5399</v>
      </c>
      <c r="V57" s="20" t="n">
        <v>9306</v>
      </c>
      <c r="W57" s="20" t="n">
        <v>9495</v>
      </c>
      <c r="X57" s="20" t="n">
        <v>10917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6278</v>
      </c>
      <c r="D59" s="12" t="n">
        <v>7201</v>
      </c>
      <c r="E59" s="12" t="n">
        <v>8464</v>
      </c>
      <c r="F59" s="12" t="n">
        <v>8390</v>
      </c>
      <c r="G59" s="12" t="n">
        <v>6530</v>
      </c>
      <c r="H59" s="12" t="n">
        <v>2729</v>
      </c>
      <c r="I59" s="12" t="n">
        <v>7418</v>
      </c>
      <c r="J59" s="12" t="n">
        <v>9637</v>
      </c>
      <c r="K59" s="12" t="n">
        <v>6418</v>
      </c>
      <c r="L59" s="12" t="n">
        <v>4797</v>
      </c>
      <c r="M59" s="12" t="n">
        <v>7429</v>
      </c>
      <c r="N59" s="12" t="n">
        <v>10700</v>
      </c>
      <c r="O59" s="11" t="n">
        <v>7757</v>
      </c>
      <c r="P59" s="12" t="n">
        <v>9547</v>
      </c>
      <c r="Q59" s="12" t="n">
        <v>11391</v>
      </c>
      <c r="R59" s="12" t="n">
        <v>9091</v>
      </c>
      <c r="S59" s="12" t="n">
        <v>9765</v>
      </c>
      <c r="T59" s="12" t="n">
        <v>13348</v>
      </c>
      <c r="U59" s="12" t="n">
        <v>15979</v>
      </c>
      <c r="V59" s="12" t="n">
        <v>26149</v>
      </c>
      <c r="W59" s="12" t="n">
        <v>26113</v>
      </c>
      <c r="X59" s="12" t="n">
        <v>28270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6278</v>
      </c>
      <c r="D61" s="12" t="n">
        <v>7201</v>
      </c>
      <c r="E61" s="12" t="n">
        <v>8464</v>
      </c>
      <c r="F61" s="12" t="n">
        <v>8390</v>
      </c>
      <c r="G61" s="12" t="n">
        <v>6530</v>
      </c>
      <c r="H61" s="12" t="n">
        <v>2729</v>
      </c>
      <c r="I61" s="12" t="n">
        <v>7418</v>
      </c>
      <c r="J61" s="12" t="n">
        <v>9637</v>
      </c>
      <c r="K61" s="12" t="n">
        <v>6418</v>
      </c>
      <c r="L61" s="12" t="n">
        <v>4797</v>
      </c>
      <c r="M61" s="12" t="n">
        <v>7429</v>
      </c>
      <c r="N61" s="12" t="n">
        <v>10700</v>
      </c>
      <c r="O61" s="11" t="n">
        <v>7757</v>
      </c>
      <c r="P61" s="12" t="n">
        <v>9547</v>
      </c>
      <c r="Q61" s="12" t="n">
        <v>11391</v>
      </c>
      <c r="R61" s="12" t="n">
        <v>9091</v>
      </c>
      <c r="S61" s="12" t="n">
        <v>9765</v>
      </c>
      <c r="T61" s="12" t="n">
        <v>13348</v>
      </c>
      <c r="U61" s="12" t="n">
        <v>15979</v>
      </c>
      <c r="V61" s="12" t="n">
        <v>26149</v>
      </c>
      <c r="W61" s="12" t="n">
        <v>26113</v>
      </c>
      <c r="X61" s="12" t="n">
        <v>28270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53655</v>
      </c>
      <c r="D96" s="12" t="n">
        <v>53796</v>
      </c>
      <c r="E96" s="12" t="n">
        <v>55174</v>
      </c>
      <c r="F96" s="12" t="n">
        <v>54432</v>
      </c>
      <c r="G96" s="12" t="n">
        <v>56797</v>
      </c>
      <c r="H96" s="12" t="n">
        <v>46827</v>
      </c>
      <c r="I96" s="12" t="n">
        <v>50620</v>
      </c>
      <c r="J96" s="12" t="n">
        <v>63483</v>
      </c>
      <c r="K96" s="12" t="n">
        <v>58730</v>
      </c>
      <c r="L96" s="12" t="n">
        <v>52451</v>
      </c>
      <c r="M96" s="12" t="n">
        <v>56809</v>
      </c>
      <c r="N96" s="12" t="n">
        <v>75574</v>
      </c>
      <c r="T96" s="12" t="n">
        <v>33990</v>
      </c>
      <c r="U96" s="12" t="n">
        <v>46040</v>
      </c>
      <c r="V96" s="12" t="n">
        <v>53796</v>
      </c>
      <c r="W96" s="12" t="n">
        <v>46827</v>
      </c>
      <c r="X96" s="12" t="n">
        <v>52451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40694</v>
      </c>
      <c r="D98" s="20" t="n">
        <v>40146</v>
      </c>
      <c r="E98" s="20" t="n">
        <v>39444</v>
      </c>
      <c r="F98" s="20" t="n">
        <v>35865</v>
      </c>
      <c r="G98" s="20" t="n">
        <v>43655</v>
      </c>
      <c r="H98" s="20" t="n">
        <v>38257</v>
      </c>
      <c r="I98" s="20" t="n">
        <v>35179</v>
      </c>
      <c r="J98" s="20" t="n">
        <v>46541</v>
      </c>
      <c r="K98" s="20" t="n">
        <v>46136</v>
      </c>
      <c r="L98" s="20" t="n">
        <v>41242</v>
      </c>
      <c r="M98" s="20" t="n">
        <v>41021</v>
      </c>
      <c r="N98" s="20" t="n">
        <v>55780</v>
      </c>
      <c r="T98" s="20" t="n">
        <v>27074</v>
      </c>
      <c r="U98" s="20" t="n">
        <v>34065</v>
      </c>
      <c r="V98" s="20" t="n">
        <v>40146</v>
      </c>
      <c r="W98" s="20" t="n">
        <v>38257</v>
      </c>
      <c r="X98" s="20" t="n">
        <v>41242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12962</v>
      </c>
      <c r="D100" s="12" t="n">
        <v>13650</v>
      </c>
      <c r="E100" s="12" t="n">
        <v>15730</v>
      </c>
      <c r="F100" s="12" t="n">
        <v>18567</v>
      </c>
      <c r="G100" s="12" t="n">
        <v>13141</v>
      </c>
      <c r="H100" s="12" t="n">
        <v>8571</v>
      </c>
      <c r="I100" s="12" t="n">
        <v>15441</v>
      </c>
      <c r="J100" s="12" t="n">
        <v>16941</v>
      </c>
      <c r="K100" s="12" t="n">
        <v>12594</v>
      </c>
      <c r="L100" s="12" t="n">
        <v>11210</v>
      </c>
      <c r="M100" s="12" t="n">
        <v>15788</v>
      </c>
      <c r="N100" s="12" t="n">
        <v>19794</v>
      </c>
      <c r="T100" s="12" t="n">
        <v>6916</v>
      </c>
      <c r="U100" s="12" t="n">
        <v>11974</v>
      </c>
      <c r="V100" s="12" t="n">
        <v>13650</v>
      </c>
      <c r="W100" s="12" t="n">
        <v>8571</v>
      </c>
      <c r="X100" s="12" t="n">
        <v>11210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운반비</t>
        </is>
      </c>
      <c r="C102" s="20" t="n">
        <v>1728</v>
      </c>
      <c r="D102" s="20" t="n">
        <v>1787</v>
      </c>
      <c r="E102" s="20" t="n">
        <v>1766</v>
      </c>
      <c r="F102" s="20" t="n">
        <v>1937</v>
      </c>
      <c r="G102" s="20" t="n">
        <v>1457</v>
      </c>
      <c r="H102" s="20" t="n">
        <v>1547</v>
      </c>
      <c r="I102" s="20" t="n">
        <v>1477</v>
      </c>
      <c r="J102" s="20" t="n">
        <v>1438</v>
      </c>
      <c r="K102" s="20" t="n">
        <v>1311</v>
      </c>
      <c r="L102" s="20" t="n">
        <v>1338</v>
      </c>
      <c r="M102" s="20" t="n">
        <v>1987</v>
      </c>
      <c r="N102" s="20" t="n">
        <v>1696</v>
      </c>
      <c r="T102" s="20" t="n">
        <v>1792</v>
      </c>
      <c r="U102" s="20" t="n">
        <v>2729</v>
      </c>
      <c r="V102" s="20" t="n">
        <v>1787</v>
      </c>
      <c r="W102" s="20" t="n">
        <v>1547</v>
      </c>
      <c r="X102" s="20" t="n">
        <v>1338</v>
      </c>
    </row>
    <row r="103">
      <c r="A103" s="18" t="inlineStr">
        <is>
          <t>제품보증충당금 전입액</t>
        </is>
      </c>
      <c r="C103" s="20" t="n">
        <v>453</v>
      </c>
      <c r="D103" s="20" t="n">
        <v>-103</v>
      </c>
      <c r="E103" s="20" t="n">
        <v>368</v>
      </c>
      <c r="F103" s="20" t="n">
        <v>324</v>
      </c>
      <c r="G103" s="20" t="n">
        <v>418</v>
      </c>
      <c r="H103" s="20" t="n">
        <v>849</v>
      </c>
      <c r="I103" s="20" t="n">
        <v>405</v>
      </c>
      <c r="J103" s="20" t="n">
        <v>478</v>
      </c>
      <c r="K103" s="20" t="n">
        <v>382</v>
      </c>
      <c r="L103" s="20" t="n">
        <v>591</v>
      </c>
      <c r="M103" s="20" t="n">
        <v>487</v>
      </c>
      <c r="N103" s="20" t="n">
        <v>617</v>
      </c>
      <c r="T103" s="20" t="n">
        <v>12</v>
      </c>
      <c r="U103" s="20" t="n">
        <v>179</v>
      </c>
      <c r="V103" s="20" t="n">
        <v>-103</v>
      </c>
      <c r="W103" s="20" t="n">
        <v>849</v>
      </c>
      <c r="X103" s="20" t="n">
        <v>591</v>
      </c>
    </row>
    <row r="104">
      <c r="A104" s="18" t="inlineStr">
        <is>
          <t>대손충당금 전입</t>
        </is>
      </c>
      <c r="C104" s="20" t="n">
        <v>0</v>
      </c>
      <c r="D104" s="20" t="n">
        <v>0</v>
      </c>
      <c r="E104" s="20" t="n">
        <v>-0</v>
      </c>
      <c r="F104" s="20" t="n">
        <v>0</v>
      </c>
      <c r="G104" s="20" t="n">
        <v>0</v>
      </c>
      <c r="H104" s="20" t="n">
        <v>0</v>
      </c>
      <c r="I104" s="20" t="n">
        <v>-0</v>
      </c>
      <c r="J104" s="20" t="n">
        <v>0</v>
      </c>
      <c r="K104" s="20" t="n">
        <v>0</v>
      </c>
      <c r="L104" s="20" t="n">
        <v>0</v>
      </c>
      <c r="M104" s="20" t="n">
        <v>0</v>
      </c>
      <c r="N104" s="20" t="n">
        <v>-0</v>
      </c>
      <c r="T104" s="20" t="n">
        <v>8</v>
      </c>
      <c r="U104" s="20" t="n">
        <v>0</v>
      </c>
      <c r="V104" s="20" t="n">
        <v>0</v>
      </c>
      <c r="W104" s="20" t="n">
        <v>0</v>
      </c>
      <c r="X104" s="20" t="n">
        <v>0</v>
      </c>
    </row>
    <row r="105">
      <c r="A105" s="18" t="inlineStr">
        <is>
          <t>임원 보수</t>
        </is>
      </c>
      <c r="C105" s="20" t="n">
        <v>100</v>
      </c>
      <c r="D105" s="20" t="n">
        <v>100</v>
      </c>
      <c r="E105" s="20" t="n">
        <v>97</v>
      </c>
      <c r="F105" s="20" t="n">
        <v>108</v>
      </c>
      <c r="G105" s="20" t="n">
        <v>113</v>
      </c>
      <c r="H105" s="20" t="n">
        <v>110</v>
      </c>
      <c r="I105" s="20" t="n">
        <v>112</v>
      </c>
      <c r="J105" s="20" t="n">
        <v>125</v>
      </c>
      <c r="K105" s="20" t="n">
        <v>129</v>
      </c>
      <c r="L105" s="20" t="n">
        <v>131</v>
      </c>
      <c r="M105" s="20" t="n">
        <v>131</v>
      </c>
      <c r="N105" s="20" t="n">
        <v>137</v>
      </c>
      <c r="T105" s="20" t="n">
        <v>80</v>
      </c>
      <c r="U105" s="20" t="n">
        <v>88</v>
      </c>
      <c r="V105" s="20" t="n">
        <v>100</v>
      </c>
      <c r="W105" s="20" t="n">
        <v>110</v>
      </c>
      <c r="X105" s="20" t="n">
        <v>131</v>
      </c>
    </row>
    <row r="106">
      <c r="A106" s="18" t="inlineStr">
        <is>
          <t>급여·수당</t>
        </is>
      </c>
      <c r="C106" s="20" t="n">
        <v>910</v>
      </c>
      <c r="D106" s="20" t="n">
        <v>928</v>
      </c>
      <c r="E106" s="20" t="n">
        <v>770</v>
      </c>
      <c r="F106" s="20" t="n">
        <v>840</v>
      </c>
      <c r="G106" s="20" t="n">
        <v>947</v>
      </c>
      <c r="H106" s="20" t="n">
        <v>1041</v>
      </c>
      <c r="I106" s="20" t="n">
        <v>853</v>
      </c>
      <c r="J106" s="20" t="n">
        <v>897</v>
      </c>
      <c r="K106" s="20" t="n">
        <v>1063</v>
      </c>
      <c r="L106" s="20" t="n">
        <v>1092</v>
      </c>
      <c r="M106" s="20" t="n">
        <v>1014</v>
      </c>
      <c r="N106" s="20" t="n">
        <v>1048</v>
      </c>
      <c r="T106" s="20" t="n">
        <v>654</v>
      </c>
      <c r="U106" s="20" t="n">
        <v>794</v>
      </c>
      <c r="V106" s="20" t="n">
        <v>928</v>
      </c>
      <c r="W106" s="20" t="n">
        <v>1041</v>
      </c>
      <c r="X106" s="20" t="n">
        <v>1092</v>
      </c>
    </row>
    <row r="107">
      <c r="A107" s="18" t="inlineStr">
        <is>
          <t>상여충당금 전입</t>
        </is>
      </c>
      <c r="C107" s="20" t="n">
        <v>-48</v>
      </c>
      <c r="D107" s="20" t="n">
        <v>-35</v>
      </c>
      <c r="E107" s="20" t="n">
        <v>104</v>
      </c>
      <c r="F107" s="20" t="n">
        <v>96</v>
      </c>
      <c r="G107" s="20" t="n">
        <v>-42</v>
      </c>
      <c r="H107" s="20" t="n">
        <v>-24</v>
      </c>
      <c r="I107" s="20" t="n">
        <v>121</v>
      </c>
      <c r="J107" s="20" t="n">
        <v>99</v>
      </c>
      <c r="K107" s="20" t="n">
        <v>-12</v>
      </c>
      <c r="L107" s="20" t="n">
        <v>-40</v>
      </c>
      <c r="M107" s="20" t="n">
        <v>152</v>
      </c>
      <c r="N107" s="20" t="n">
        <v>146</v>
      </c>
      <c r="T107" s="20" t="n">
        <v>-25</v>
      </c>
      <c r="U107" s="20" t="n">
        <v>-17</v>
      </c>
      <c r="V107" s="20" t="n">
        <v>-35</v>
      </c>
      <c r="W107" s="20" t="n">
        <v>-24</v>
      </c>
      <c r="X107" s="20" t="n">
        <v>-40</v>
      </c>
    </row>
    <row r="108">
      <c r="A108" s="18" t="inlineStr">
        <is>
          <t>퇴직급여비용</t>
        </is>
      </c>
      <c r="C108" s="20" t="n">
        <v>19</v>
      </c>
      <c r="D108" s="20" t="n">
        <v>39</v>
      </c>
      <c r="E108" s="20" t="n">
        <v>19</v>
      </c>
      <c r="F108" s="20" t="n">
        <v>22</v>
      </c>
      <c r="G108" s="20" t="n">
        <v>20</v>
      </c>
      <c r="H108" s="20" t="n">
        <v>50</v>
      </c>
      <c r="I108" s="20" t="n">
        <v>19</v>
      </c>
      <c r="J108" s="20" t="n">
        <v>21</v>
      </c>
      <c r="K108" s="20" t="n">
        <v>22</v>
      </c>
      <c r="L108" s="20" t="n">
        <v>43</v>
      </c>
      <c r="M108" s="20" t="n">
        <v>19</v>
      </c>
      <c r="N108" s="20" t="n">
        <v>23</v>
      </c>
      <c r="T108" s="20" t="n">
        <v>15</v>
      </c>
      <c r="U108" s="20" t="n">
        <v>32</v>
      </c>
      <c r="V108" s="20" t="n">
        <v>39</v>
      </c>
      <c r="W108" s="20" t="n">
        <v>50</v>
      </c>
      <c r="X108" s="20" t="n">
        <v>43</v>
      </c>
    </row>
    <row r="109">
      <c r="A109" s="18" t="inlineStr">
        <is>
          <t>임원 주식급여 충당금 전입액</t>
        </is>
      </c>
      <c r="C109" s="20" t="n">
        <v>6</v>
      </c>
      <c r="D109" s="20" t="n">
        <v>5</v>
      </c>
      <c r="E109" s="20" t="n">
        <v>4</v>
      </c>
      <c r="F109" s="20" t="n">
        <v>4</v>
      </c>
      <c r="G109" s="20" t="n">
        <v>4</v>
      </c>
      <c r="H109" s="20" t="n">
        <v>5</v>
      </c>
      <c r="I109" s="20" t="n">
        <v>4</v>
      </c>
      <c r="J109" s="20" t="n">
        <v>38</v>
      </c>
      <c r="K109" s="20" t="n">
        <v>3</v>
      </c>
      <c r="L109" s="20" t="n">
        <v>3</v>
      </c>
      <c r="M109" s="20" t="n">
        <v>1</v>
      </c>
      <c r="N109" s="20" t="n">
        <v>2</v>
      </c>
      <c r="T109" s="20" t="n">
        <v>4</v>
      </c>
      <c r="U109" s="20" t="n">
        <v>3</v>
      </c>
      <c r="V109" s="20" t="n">
        <v>5</v>
      </c>
      <c r="W109" s="20" t="n">
        <v>5</v>
      </c>
      <c r="X109" s="20" t="n">
        <v>3</v>
      </c>
    </row>
    <row r="110">
      <c r="A110" s="18" t="inlineStr">
        <is>
          <t>기타</t>
        </is>
      </c>
      <c r="C110" s="20" t="n">
        <v>1141</v>
      </c>
      <c r="D110" s="20" t="n">
        <v>1256</v>
      </c>
      <c r="E110" s="20" t="n">
        <v>1478</v>
      </c>
      <c r="F110" s="20" t="n">
        <v>1489</v>
      </c>
      <c r="G110" s="20" t="n">
        <v>1276</v>
      </c>
      <c r="H110" s="20" t="n">
        <v>1666</v>
      </c>
      <c r="I110" s="20" t="n">
        <v>1449</v>
      </c>
      <c r="J110" s="20" t="n">
        <v>1440</v>
      </c>
      <c r="K110" s="20" t="n">
        <v>1665</v>
      </c>
      <c r="L110" s="20" t="n">
        <v>1797</v>
      </c>
      <c r="M110" s="20" t="n">
        <v>2019</v>
      </c>
      <c r="N110" s="20" t="n">
        <v>1881</v>
      </c>
      <c r="T110" s="20" t="n">
        <v>771</v>
      </c>
      <c r="U110" s="20" t="n">
        <v>895</v>
      </c>
      <c r="V110" s="20" t="n">
        <v>1256</v>
      </c>
      <c r="W110" s="20" t="n">
        <v>1666</v>
      </c>
      <c r="X110" s="20" t="n">
        <v>1797</v>
      </c>
    </row>
    <row r="111">
      <c r="A111" s="18" t="inlineStr">
        <is>
          <t>판매비와 관리비 합계</t>
        </is>
      </c>
      <c r="C111" s="20" t="n">
        <v>4309</v>
      </c>
      <c r="D111" s="20" t="n">
        <v>3975</v>
      </c>
      <c r="E111" s="20" t="n">
        <v>4609</v>
      </c>
      <c r="F111" s="20" t="n">
        <v>4820</v>
      </c>
      <c r="G111" s="20" t="n">
        <v>4194</v>
      </c>
      <c r="H111" s="20" t="n">
        <v>5243</v>
      </c>
      <c r="I111" s="20" t="n">
        <v>4442</v>
      </c>
      <c r="J111" s="20" t="n">
        <v>4538</v>
      </c>
      <c r="K111" s="20" t="n">
        <v>4562</v>
      </c>
      <c r="L111" s="20" t="n">
        <v>4956</v>
      </c>
      <c r="M111" s="20" t="n">
        <v>5812</v>
      </c>
      <c r="N111" s="20" t="n">
        <v>5571</v>
      </c>
      <c r="T111" s="20" t="n">
        <v>3312</v>
      </c>
      <c r="U111" s="20" t="n">
        <v>4706</v>
      </c>
      <c r="V111" s="20" t="n">
        <v>3975</v>
      </c>
      <c r="W111" s="20" t="n">
        <v>5243</v>
      </c>
      <c r="X111" s="20" t="n">
        <v>4956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9" t="inlineStr">
        <is>
          <t>영업이익</t>
        </is>
      </c>
      <c r="C113" s="12" t="n">
        <v>8652</v>
      </c>
      <c r="D113" s="12" t="n">
        <v>9675</v>
      </c>
      <c r="E113" s="12" t="n">
        <v>11121</v>
      </c>
      <c r="F113" s="12" t="n">
        <v>13746</v>
      </c>
      <c r="G113" s="12" t="n">
        <v>8948</v>
      </c>
      <c r="H113" s="12" t="n">
        <v>3327</v>
      </c>
      <c r="I113" s="12" t="n">
        <v>10998</v>
      </c>
      <c r="J113" s="12" t="n">
        <v>12404</v>
      </c>
      <c r="K113" s="12" t="n">
        <v>8032</v>
      </c>
      <c r="L113" s="12" t="n">
        <v>6253</v>
      </c>
      <c r="M113" s="12" t="n">
        <v>9975</v>
      </c>
      <c r="N113" s="12" t="n">
        <v>14223</v>
      </c>
      <c r="T113" s="12" t="n">
        <v>3604</v>
      </c>
      <c r="U113" s="12" t="n">
        <v>7269</v>
      </c>
      <c r="V113" s="12" t="n">
        <v>9675</v>
      </c>
      <c r="W113" s="12" t="n">
        <v>3327</v>
      </c>
      <c r="X113" s="12" t="n">
        <v>6253</v>
      </c>
    </row>
    <row r="114">
      <c r="A114" s="43" t="inlineStr">
        <is>
          <t>OPM</t>
        </is>
      </c>
      <c r="B114" s="3" t="inlineStr">
        <is>
          <t>영업이익 ÷ 매출</t>
        </is>
      </c>
      <c r="C114" s="15">
        <f>IF(OR(C113="",C96=""),"",IF(C96&lt;=0,"",IFERROR(C113/C96,"")))</f>
        <v/>
      </c>
      <c r="D114" s="15">
        <f>IF(OR(D113="",D96=""),"",IF(D96&lt;=0,"",IFERROR(D113/D96,"")))</f>
        <v/>
      </c>
      <c r="E114" s="15">
        <f>IF(OR(E113="",E96=""),"",IF(E96&lt;=0,"",IFERROR(E113/E96,"")))</f>
        <v/>
      </c>
      <c r="F114" s="15">
        <f>IF(OR(F113="",F96=""),"",IF(F96&lt;=0,"",IFERROR(F113/F96,"")))</f>
        <v/>
      </c>
      <c r="G114" s="15">
        <f>IF(OR(G113="",G96=""),"",IF(G96&lt;=0,"",IFERROR(G113/G96,"")))</f>
        <v/>
      </c>
      <c r="H114" s="15">
        <f>IF(OR(H113="",H96=""),"",IF(H96&lt;=0,"",IFERROR(H113/H96,"")))</f>
        <v/>
      </c>
      <c r="I114" s="15">
        <f>IF(OR(I113="",I96=""),"",IF(I96&lt;=0,"",IFERROR(I113/I96,"")))</f>
        <v/>
      </c>
      <c r="J114" s="15">
        <f>IF(OR(J113="",J96=""),"",IF(J96&lt;=0,"",IFERROR(J113/J96,"")))</f>
        <v/>
      </c>
      <c r="K114" s="15">
        <f>IF(OR(K113="",K96=""),"",IF(K96&lt;=0,"",IFERROR(K113/K96,"")))</f>
        <v/>
      </c>
      <c r="L114" s="15">
        <f>IF(OR(L113="",L96=""),"",IF(L96&lt;=0,"",IFERROR(L113/L96,"")))</f>
        <v/>
      </c>
      <c r="M114" s="15">
        <f>IF(OR(M113="",M96=""),"",IF(M96&lt;=0,"",IFERROR(M113/M96,"")))</f>
        <v/>
      </c>
      <c r="N114" s="15">
        <f>IF(OR(N113="",N96=""),"",IF(N96&lt;=0,"",IFERROR(N113/N96,"")))</f>
        <v/>
      </c>
      <c r="T114" s="15">
        <f>IF(OR(T113="",T96=""),"",IF(T96&lt;=0,"",IFERROR(T113/T96,"")))</f>
        <v/>
      </c>
      <c r="U114" s="15">
        <f>IF(OR(U113="",U96=""),"",IF(U96&lt;=0,"",IFERROR(U113/U96,"")))</f>
        <v/>
      </c>
      <c r="V114" s="15">
        <f>IF(OR(V113="",V96=""),"",IF(V96&lt;=0,"",IFERROR(V113/V96,"")))</f>
        <v/>
      </c>
      <c r="W114" s="15">
        <f>IF(OR(W113="",W96=""),"",IF(W96&lt;=0,"",IFERROR(W113/W96,"")))</f>
        <v/>
      </c>
      <c r="X114" s="15">
        <f>IF(OR(X113="",X96=""),"",IF(X96&lt;=0,"",IFERROR(X113/X96,"")))</f>
        <v/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IF(OR(G113="",C113=""),"",IF(C113&lt;=0,"",IFERROR(G113/C113-1,"")))</f>
        <v/>
      </c>
      <c r="H115" s="15">
        <f>IF(OR(H113="",D113=""),"",IF(D113&lt;=0,"",IFERROR(H113/D113-1,"")))</f>
        <v/>
      </c>
      <c r="I115" s="15">
        <f>IF(OR(I113="",E113=""),"",IF(E113&lt;=0,"",IFERROR(I113/E113-1,"")))</f>
        <v/>
      </c>
      <c r="J115" s="15">
        <f>IF(OR(J113="",F113=""),"",IF(F113&lt;=0,"",IFERROR(J113/F113-1,"")))</f>
        <v/>
      </c>
      <c r="K115" s="15">
        <f>IF(OR(K113="",G113=""),"",IF(G113&lt;=0,"",IFERROR(K113/G113-1,"")))</f>
        <v/>
      </c>
      <c r="L115" s="15">
        <f>IF(OR(L113="",H113=""),"",IF(H113&lt;=0,"",IFERROR(L113/H113-1,"")))</f>
        <v/>
      </c>
      <c r="M115" s="15">
        <f>IF(OR(M113="",I113=""),"",IF(I113&lt;=0,"",IFERROR(M113/I113-1,"")))</f>
        <v/>
      </c>
      <c r="N115" s="15">
        <f>IF(OR(N113="",J113=""),"",IF(J113&lt;=0,"",IFERROR(N113/J113-1,"")))</f>
        <v/>
      </c>
      <c r="T115" s="15">
        <f>IF(OR(T113="",S113=""),"",IF(S113&lt;=0,"",IFERROR(T113/S113-1,"")))</f>
        <v/>
      </c>
      <c r="U115" s="15">
        <f>IF(OR(U113="",T113=""),"",IF(T113&lt;=0,"",IFERROR(U113/T113-1,"")))</f>
        <v/>
      </c>
      <c r="V115" s="15">
        <f>IF(OR(V113="",U113=""),"",IF(U113&lt;=0,"",IFERROR(V113/U113-1,"")))</f>
        <v/>
      </c>
      <c r="W115" s="15">
        <f>IF(OR(W113="",V113=""),"",IF(V113&lt;=0,"",IFERROR(W113/V113-1,"")))</f>
        <v/>
      </c>
      <c r="X115" s="15">
        <f>IF(OR(X113="",W113=""),"",IF(W113&lt;=0,"",IFERROR(X113/W113-1,"")))</f>
        <v/>
      </c>
    </row>
    <row r="116">
      <c r="A116" s="18" t="inlineStr">
        <is>
          <t>이자수익</t>
        </is>
      </c>
      <c r="C116" s="20" t="n">
        <v>122</v>
      </c>
      <c r="D116" s="20" t="n">
        <v>176</v>
      </c>
      <c r="E116" s="20" t="n">
        <v>150</v>
      </c>
      <c r="F116" s="20" t="n">
        <v>160</v>
      </c>
      <c r="G116" s="20" t="n">
        <v>81</v>
      </c>
      <c r="H116" s="20" t="n">
        <v>135</v>
      </c>
      <c r="I116" s="20" t="n">
        <v>57</v>
      </c>
      <c r="J116" s="20" t="n">
        <v>136</v>
      </c>
      <c r="K116" s="20" t="n">
        <v>54</v>
      </c>
      <c r="L116" s="20" t="n">
        <v>147</v>
      </c>
      <c r="M116" s="20" t="n">
        <v>62</v>
      </c>
      <c r="N116" s="20" t="n">
        <v>255</v>
      </c>
      <c r="T116" s="20" t="n">
        <v>8</v>
      </c>
      <c r="U116" s="20" t="n">
        <v>120</v>
      </c>
      <c r="V116" s="20" t="n">
        <v>176</v>
      </c>
      <c r="W116" s="20" t="n">
        <v>135</v>
      </c>
      <c r="X116" s="20" t="n">
        <v>147</v>
      </c>
    </row>
    <row r="117">
      <c r="A117" s="18" t="inlineStr">
        <is>
          <t>외환차익</t>
        </is>
      </c>
      <c r="C117" s="20" t="n">
        <v>0</v>
      </c>
      <c r="D117" s="20" t="n">
        <v>0</v>
      </c>
      <c r="E117" s="20" t="n">
        <v>671</v>
      </c>
      <c r="H117" s="20" t="n">
        <v>0</v>
      </c>
      <c r="I117" s="20" t="n">
        <v>0</v>
      </c>
      <c r="J117" s="20" t="n">
        <v>0</v>
      </c>
      <c r="K117" s="20" t="n">
        <v>1450</v>
      </c>
      <c r="L117" s="20" t="n">
        <v>-375</v>
      </c>
      <c r="M117" s="20" t="n">
        <v>362</v>
      </c>
      <c r="N117" s="20" t="n">
        <v>134</v>
      </c>
      <c r="T117" s="20" t="n">
        <v>100</v>
      </c>
      <c r="U117" s="20" t="n">
        <v>-742</v>
      </c>
      <c r="V117" s="20" t="n">
        <v>0</v>
      </c>
      <c r="W117" s="20" t="n">
        <v>0</v>
      </c>
      <c r="X117" s="20" t="n">
        <v>-375</v>
      </c>
    </row>
    <row r="118">
      <c r="A118" s="18" t="inlineStr">
        <is>
          <t>파생상품 평가이익</t>
        </is>
      </c>
      <c r="E118" s="20" t="n">
        <v>0</v>
      </c>
      <c r="F118" s="20" t="n">
        <v>124</v>
      </c>
      <c r="I118" s="20" t="n">
        <v>80</v>
      </c>
    </row>
    <row r="119">
      <c r="A119" s="18" t="inlineStr">
        <is>
          <t>기타</t>
        </is>
      </c>
      <c r="C119" s="20" t="n">
        <v>25</v>
      </c>
      <c r="D119" s="20" t="n">
        <v>25</v>
      </c>
      <c r="E119" s="20" t="n">
        <v>34</v>
      </c>
      <c r="F119" s="20" t="n">
        <v>172</v>
      </c>
      <c r="G119" s="20" t="n">
        <v>-94</v>
      </c>
      <c r="H119" s="20" t="n">
        <v>122</v>
      </c>
      <c r="I119" s="20" t="n">
        <v>131</v>
      </c>
      <c r="J119" s="20" t="n">
        <v>10</v>
      </c>
      <c r="K119" s="20" t="n">
        <v>-45</v>
      </c>
      <c r="L119" s="20" t="n">
        <v>19</v>
      </c>
      <c r="M119" s="20" t="n">
        <v>133</v>
      </c>
      <c r="N119" s="20" t="n">
        <v>34</v>
      </c>
      <c r="T119" s="20" t="n">
        <v>-31</v>
      </c>
      <c r="U119" s="20" t="n">
        <v>29</v>
      </c>
      <c r="V119" s="20" t="n">
        <v>25</v>
      </c>
      <c r="W119" s="20" t="n">
        <v>122</v>
      </c>
      <c r="X119" s="20" t="n">
        <v>19</v>
      </c>
    </row>
    <row r="120">
      <c r="A120" s="18" t="inlineStr">
        <is>
          <t>영업외수익 합계</t>
        </is>
      </c>
      <c r="C120" s="20" t="n">
        <v>148</v>
      </c>
      <c r="D120" s="20" t="n">
        <v>204</v>
      </c>
      <c r="E120" s="20" t="n">
        <v>856</v>
      </c>
      <c r="F120" s="20" t="n">
        <v>-339</v>
      </c>
      <c r="G120" s="20" t="n">
        <v>-13</v>
      </c>
      <c r="H120" s="20" t="n">
        <v>262</v>
      </c>
      <c r="I120" s="20" t="n">
        <v>188</v>
      </c>
      <c r="J120" s="20" t="n">
        <v>146</v>
      </c>
      <c r="K120" s="20" t="n">
        <v>1460</v>
      </c>
      <c r="L120" s="20" t="n">
        <v>-201</v>
      </c>
      <c r="M120" s="20" t="n">
        <v>558</v>
      </c>
      <c r="N120" s="20" t="n">
        <v>423</v>
      </c>
      <c r="T120" s="20" t="n">
        <v>79</v>
      </c>
      <c r="U120" s="20" t="n">
        <v>-590</v>
      </c>
      <c r="V120" s="20" t="n">
        <v>204</v>
      </c>
      <c r="W120" s="20" t="n">
        <v>262</v>
      </c>
      <c r="X120" s="20" t="n">
        <v>-201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IF(OR(G120="",C120=""),"",IF(G120*C120&lt;=0,"",IFERROR(G120/C120-1,"")))</f>
        <v/>
      </c>
      <c r="H121" s="15">
        <f>IF(OR(H120="",D120=""),"",IF(H120*D120&lt;=0,"",IFERROR(H120/D120-1,"")))</f>
        <v/>
      </c>
      <c r="I121" s="15">
        <f>IF(OR(I120="",E120=""),"",IF(I120*E120&lt;=0,"",IFERROR(I120/E120-1,"")))</f>
        <v/>
      </c>
      <c r="J121" s="15">
        <f>IF(OR(J120="",F120=""),"",IF(J120*F120&lt;=0,"",IFERROR(J120/F120-1,"")))</f>
        <v/>
      </c>
      <c r="K121" s="15">
        <f>IF(OR(K120="",G120=""),"",IF(K120*G120&lt;=0,"",IFERROR(K120/G120-1,"")))</f>
        <v/>
      </c>
      <c r="L121" s="15">
        <f>IF(OR(L120="",H120=""),"",IF(L120*H120&lt;=0,"",IFERROR(L120/H120-1,"")))</f>
        <v/>
      </c>
      <c r="M121" s="15">
        <f>IF(OR(M120="",I120=""),"",IF(M120*I120&lt;=0,"",IFERROR(M120/I120-1,"")))</f>
        <v/>
      </c>
      <c r="N121" s="15">
        <f>IF(OR(N120="",J120=""),"",IF(N120*J120&lt;=0,"",IFERROR(N120/J120-1,"")))</f>
        <v/>
      </c>
      <c r="T121" s="15">
        <f>IF(OR(T120="",S120=""),"",IF(T120*S120&lt;=0,"",IFERROR(T120/S120-1,"")))</f>
        <v/>
      </c>
      <c r="U121" s="15">
        <f>IF(OR(U120="",T120=""),"",IF(U120*T120&lt;=0,"",IFERROR(U120/T120-1,"")))</f>
        <v/>
      </c>
      <c r="V121" s="15">
        <f>IF(OR(V120="",U120=""),"",IF(V120*U120&lt;=0,"",IFERROR(V120/U120-1,"")))</f>
        <v/>
      </c>
      <c r="W121" s="15">
        <f>IF(OR(W120="",V120=""),"",IF(W120*V120&lt;=0,"",IFERROR(W120/V120-1,"")))</f>
        <v/>
      </c>
      <c r="X121" s="15">
        <f>IF(OR(X120="",W120=""),"",IF(X120*W120&lt;=0,"",IFERROR(X120/W120-1,"")))</f>
        <v/>
      </c>
    </row>
    <row r="122">
      <c r="A122" s="18" t="inlineStr">
        <is>
          <t>고정자산 제각손실</t>
        </is>
      </c>
      <c r="C122" s="20" t="n">
        <v>6</v>
      </c>
      <c r="D122" s="20" t="n">
        <v>6</v>
      </c>
      <c r="E122" s="20" t="n">
        <v>6</v>
      </c>
      <c r="F122" s="20" t="n">
        <v>29</v>
      </c>
      <c r="G122" s="20" t="n">
        <v>5</v>
      </c>
      <c r="H122" s="20" t="n">
        <v>4</v>
      </c>
      <c r="I122" s="20" t="n">
        <v>0</v>
      </c>
      <c r="J122" s="20" t="n">
        <v>2</v>
      </c>
      <c r="K122" s="20" t="n">
        <v>1</v>
      </c>
      <c r="L122" s="20" t="n">
        <v>1</v>
      </c>
      <c r="M122" s="20" t="n">
        <v>27</v>
      </c>
      <c r="N122" s="20" t="n">
        <v>1</v>
      </c>
      <c r="T122" s="20" t="n">
        <v>0</v>
      </c>
      <c r="U122" s="20" t="n">
        <v>69</v>
      </c>
      <c r="V122" s="20" t="n">
        <v>6</v>
      </c>
      <c r="W122" s="20" t="n">
        <v>4</v>
      </c>
      <c r="X122" s="20" t="n">
        <v>1</v>
      </c>
    </row>
    <row r="123">
      <c r="A123" s="18" t="inlineStr">
        <is>
          <t>외환차손</t>
        </is>
      </c>
      <c r="C123" s="20" t="n">
        <v>69</v>
      </c>
      <c r="D123" s="20" t="n">
        <v>115</v>
      </c>
      <c r="E123" s="20" t="n">
        <v>0</v>
      </c>
      <c r="F123" s="20" t="n">
        <v>2158</v>
      </c>
      <c r="G123" s="20" t="n">
        <v>-302</v>
      </c>
      <c r="H123" s="20" t="n">
        <v>396</v>
      </c>
      <c r="I123" s="20" t="n">
        <v>772</v>
      </c>
      <c r="J123" s="20" t="n">
        <v>-733</v>
      </c>
      <c r="K123" s="20" t="n">
        <v>-39</v>
      </c>
      <c r="L123" s="20" t="n">
        <v>0</v>
      </c>
      <c r="M123" s="20" t="n">
        <v>0</v>
      </c>
      <c r="N123" s="20" t="n">
        <v>0</v>
      </c>
      <c r="U123" s="20" t="n">
        <v>0</v>
      </c>
      <c r="V123" s="20" t="n">
        <v>115</v>
      </c>
      <c r="W123" s="20" t="n">
        <v>396</v>
      </c>
      <c r="X123" s="20" t="n">
        <v>0</v>
      </c>
    </row>
    <row r="124">
      <c r="A124" s="18" t="inlineStr">
        <is>
          <t>파생상품 평가손실</t>
        </is>
      </c>
      <c r="D124" s="20" t="n">
        <v>99</v>
      </c>
      <c r="E124" s="20" t="n">
        <v>231</v>
      </c>
      <c r="H124" s="20" t="n">
        <v>-46</v>
      </c>
      <c r="I124" s="20" t="n">
        <v>0</v>
      </c>
      <c r="L124" s="20" t="n">
        <v>-262</v>
      </c>
      <c r="V124" s="20" t="n">
        <v>99</v>
      </c>
      <c r="W124" s="20" t="n">
        <v>-46</v>
      </c>
      <c r="X124" s="20" t="n">
        <v>-262</v>
      </c>
    </row>
    <row r="125">
      <c r="A125" s="18" t="inlineStr">
        <is>
          <t>기타</t>
        </is>
      </c>
      <c r="C125" s="20" t="n">
        <v>0</v>
      </c>
      <c r="D125" s="20" t="n">
        <v>0</v>
      </c>
      <c r="E125" s="20" t="n">
        <v>1</v>
      </c>
      <c r="F125" s="20" t="n">
        <v>1</v>
      </c>
      <c r="G125" s="20" t="n">
        <v>1</v>
      </c>
      <c r="H125" s="20" t="n">
        <v>-1</v>
      </c>
      <c r="I125" s="20" t="n">
        <v>0</v>
      </c>
      <c r="J125" s="20" t="n">
        <v>3</v>
      </c>
      <c r="K125" s="20" t="n">
        <v>1</v>
      </c>
      <c r="L125" s="20" t="n">
        <v>9</v>
      </c>
      <c r="M125" s="20" t="n">
        <v>0</v>
      </c>
      <c r="N125" s="20" t="n">
        <v>28</v>
      </c>
      <c r="T125" s="20" t="n">
        <v>0</v>
      </c>
      <c r="U125" s="20" t="n">
        <v>0</v>
      </c>
      <c r="V125" s="20" t="n">
        <v>0</v>
      </c>
      <c r="W125" s="20" t="n">
        <v>-1</v>
      </c>
      <c r="X125" s="20" t="n">
        <v>9</v>
      </c>
    </row>
    <row r="126">
      <c r="A126" s="18" t="inlineStr">
        <is>
          <t>영업외비용 합계</t>
        </is>
      </c>
      <c r="C126" s="20" t="n">
        <v>75</v>
      </c>
      <c r="D126" s="20" t="n">
        <v>221</v>
      </c>
      <c r="E126" s="20" t="n">
        <v>238</v>
      </c>
      <c r="F126" s="20" t="n">
        <v>1959</v>
      </c>
      <c r="G126" s="20" t="n">
        <v>-251</v>
      </c>
      <c r="H126" s="20" t="n">
        <v>354</v>
      </c>
      <c r="I126" s="20" t="n">
        <v>773</v>
      </c>
      <c r="J126" s="20" t="n">
        <v>-728</v>
      </c>
      <c r="K126" s="20" t="n">
        <v>300</v>
      </c>
      <c r="L126" s="20" t="n">
        <v>-252</v>
      </c>
      <c r="M126" s="20" t="n">
        <v>27</v>
      </c>
      <c r="N126" s="20" t="n">
        <v>30</v>
      </c>
      <c r="T126" s="20" t="n">
        <v>1</v>
      </c>
      <c r="U126" s="20" t="n">
        <v>70</v>
      </c>
      <c r="V126" s="20" t="n">
        <v>221</v>
      </c>
      <c r="W126" s="20" t="n">
        <v>354</v>
      </c>
      <c r="X126" s="20" t="n">
        <v>-252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9" t="inlineStr">
        <is>
          <t>경상이익</t>
        </is>
      </c>
      <c r="C128" s="12" t="n">
        <v>8726</v>
      </c>
      <c r="D128" s="12" t="n">
        <v>9657</v>
      </c>
      <c r="E128" s="12" t="n">
        <v>11739</v>
      </c>
      <c r="F128" s="12" t="n">
        <v>11448</v>
      </c>
      <c r="G128" s="12" t="n">
        <v>9186</v>
      </c>
      <c r="H128" s="12" t="n">
        <v>3235</v>
      </c>
      <c r="I128" s="12" t="n">
        <v>10413</v>
      </c>
      <c r="J128" s="12" t="n">
        <v>13279</v>
      </c>
      <c r="K128" s="12" t="n">
        <v>9192</v>
      </c>
      <c r="L128" s="12" t="n">
        <v>6303</v>
      </c>
      <c r="M128" s="12" t="n">
        <v>10506</v>
      </c>
      <c r="N128" s="12" t="n">
        <v>14616</v>
      </c>
      <c r="T128" s="12" t="n">
        <v>3682</v>
      </c>
      <c r="U128" s="12" t="n">
        <v>6609</v>
      </c>
      <c r="V128" s="12" t="n">
        <v>9657</v>
      </c>
      <c r="W128" s="12" t="n">
        <v>3235</v>
      </c>
      <c r="X128" s="12" t="n">
        <v>6303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9" t="inlineStr">
        <is>
          <t>법인세차감전 순이익</t>
        </is>
      </c>
      <c r="C130" s="12" t="n">
        <v>8726</v>
      </c>
      <c r="D130" s="12" t="n">
        <v>9657</v>
      </c>
      <c r="E130" s="12" t="n">
        <v>11739</v>
      </c>
      <c r="F130" s="12" t="n">
        <v>11448</v>
      </c>
      <c r="G130" s="12" t="n">
        <v>9186</v>
      </c>
      <c r="H130" s="12" t="n">
        <v>3235</v>
      </c>
      <c r="I130" s="12" t="n">
        <v>10413</v>
      </c>
      <c r="J130" s="12" t="n">
        <v>13279</v>
      </c>
      <c r="K130" s="12" t="n">
        <v>9192</v>
      </c>
      <c r="L130" s="12" t="n">
        <v>6303</v>
      </c>
      <c r="M130" s="12" t="n">
        <v>10506</v>
      </c>
      <c r="N130" s="12" t="n">
        <v>14616</v>
      </c>
      <c r="T130" s="12" t="n">
        <v>3682</v>
      </c>
      <c r="U130" s="12" t="n">
        <v>6609</v>
      </c>
      <c r="V130" s="12" t="n">
        <v>9657</v>
      </c>
      <c r="W130" s="12" t="n">
        <v>3235</v>
      </c>
      <c r="X130" s="12" t="n">
        <v>6303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IF(OR(G130="",C130=""),"",IF(C130&lt;=0,"",IFERROR(G130/C130-1,"")))</f>
        <v/>
      </c>
      <c r="H131" s="15">
        <f>IF(OR(H130="",D130=""),"",IF(D130&lt;=0,"",IFERROR(H130/D130-1,"")))</f>
        <v/>
      </c>
      <c r="I131" s="15">
        <f>IF(OR(I130="",E130=""),"",IF(E130&lt;=0,"",IFERROR(I130/E130-1,"")))</f>
        <v/>
      </c>
      <c r="J131" s="15">
        <f>IF(OR(J130="",F130=""),"",IF(F130&lt;=0,"",IFERROR(J130/F130-1,"")))</f>
        <v/>
      </c>
      <c r="K131" s="15">
        <f>IF(OR(K130="",G130=""),"",IF(G130&lt;=0,"",IFERROR(K130/G130-1,"")))</f>
        <v/>
      </c>
      <c r="L131" s="15">
        <f>IF(OR(L130="",H130=""),"",IF(H130&lt;=0,"",IFERROR(L130/H130-1,"")))</f>
        <v/>
      </c>
      <c r="M131" s="15">
        <f>IF(OR(M130="",I130=""),"",IF(I130&lt;=0,"",IFERROR(M130/I130-1,"")))</f>
        <v/>
      </c>
      <c r="N131" s="15">
        <f>IF(OR(N130="",J130=""),"",IF(J130&lt;=0,"",IFERROR(N130/J130-1,"")))</f>
        <v/>
      </c>
      <c r="T131" s="15">
        <f>IF(OR(T130="",S130=""),"",IF(S130&lt;=0,"",IFERROR(T130/S130-1,"")))</f>
        <v/>
      </c>
      <c r="U131" s="15">
        <f>IF(OR(U130="",T130=""),"",IF(T130&lt;=0,"",IFERROR(U130/T130-1,"")))</f>
        <v/>
      </c>
      <c r="V131" s="15">
        <f>IF(OR(V130="",U130=""),"",IF(U130&lt;=0,"",IFERROR(V130/U130-1,"")))</f>
        <v/>
      </c>
      <c r="W131" s="15">
        <f>IF(OR(W130="",V130=""),"",IF(V130&lt;=0,"",IFERROR(W130/V130-1,"")))</f>
        <v/>
      </c>
      <c r="X131" s="15">
        <f>IF(OR(X130="",W130=""),"",IF(W130&lt;=0,"",IFERROR(X130/W130-1,"")))</f>
        <v/>
      </c>
    </row>
    <row r="132">
      <c r="A132" s="18" t="inlineStr">
        <is>
          <t>법인세·주민세·사업세</t>
        </is>
      </c>
      <c r="C132" s="20" t="n">
        <v>3021</v>
      </c>
      <c r="D132" s="20" t="n">
        <v>3674</v>
      </c>
      <c r="E132" s="20" t="n">
        <v>4656</v>
      </c>
      <c r="F132" s="20" t="n">
        <v>3125</v>
      </c>
      <c r="G132" s="20" t="n">
        <v>2912</v>
      </c>
      <c r="H132" s="20" t="n">
        <v>2618</v>
      </c>
      <c r="I132" s="20" t="n">
        <v>2855</v>
      </c>
      <c r="J132" s="20" t="n">
        <v>2719</v>
      </c>
      <c r="K132" s="20" t="n">
        <v>2711</v>
      </c>
      <c r="L132" s="20" t="n">
        <v>3075</v>
      </c>
      <c r="M132" s="20" t="n">
        <v>3438</v>
      </c>
      <c r="N132" s="20" t="n">
        <v>2990</v>
      </c>
      <c r="T132" s="20" t="n">
        <v>1597</v>
      </c>
      <c r="U132" s="20" t="n">
        <v>1073</v>
      </c>
      <c r="V132" s="20" t="n">
        <v>3674</v>
      </c>
      <c r="W132" s="20" t="n">
        <v>2618</v>
      </c>
      <c r="X132" s="20" t="n">
        <v>3075</v>
      </c>
    </row>
    <row r="133">
      <c r="A133" s="18" t="inlineStr">
        <is>
          <t>법인세 조정액</t>
        </is>
      </c>
      <c r="C133" s="20" t="n">
        <v>-574</v>
      </c>
      <c r="D133" s="20" t="n">
        <v>-1218</v>
      </c>
      <c r="E133" s="20" t="n">
        <v>-1380</v>
      </c>
      <c r="F133" s="20" t="n">
        <v>-67</v>
      </c>
      <c r="G133" s="20" t="n">
        <v>-257</v>
      </c>
      <c r="H133" s="20" t="n">
        <v>-2112</v>
      </c>
      <c r="I133" s="20" t="n">
        <v>139</v>
      </c>
      <c r="J133" s="20" t="n">
        <v>923</v>
      </c>
      <c r="K133" s="20" t="n">
        <v>63</v>
      </c>
      <c r="L133" s="20" t="n">
        <v>-1568</v>
      </c>
      <c r="M133" s="20" t="n">
        <v>-361</v>
      </c>
      <c r="N133" s="20" t="n">
        <v>926</v>
      </c>
      <c r="T133" s="20" t="n">
        <v>-645</v>
      </c>
      <c r="U133" s="20" t="n">
        <v>487</v>
      </c>
      <c r="V133" s="20" t="n">
        <v>-1218</v>
      </c>
      <c r="W133" s="20" t="n">
        <v>-2112</v>
      </c>
      <c r="X133" s="20" t="n">
        <v>-1568</v>
      </c>
    </row>
    <row r="134">
      <c r="A134" s="18" t="inlineStr">
        <is>
          <t>법인세 등 합계</t>
        </is>
      </c>
      <c r="C134" s="20" t="n">
        <v>2447</v>
      </c>
      <c r="D134" s="20" t="n">
        <v>2457</v>
      </c>
      <c r="E134" s="20" t="n">
        <v>3275</v>
      </c>
      <c r="F134" s="20" t="n">
        <v>3058</v>
      </c>
      <c r="G134" s="20" t="n">
        <v>2656</v>
      </c>
      <c r="H134" s="20" t="n">
        <v>506</v>
      </c>
      <c r="I134" s="20" t="n">
        <v>2995</v>
      </c>
      <c r="J134" s="20" t="n">
        <v>3642</v>
      </c>
      <c r="K134" s="20" t="n">
        <v>2774</v>
      </c>
      <c r="L134" s="20" t="n">
        <v>1506</v>
      </c>
      <c r="M134" s="20" t="n">
        <v>3076</v>
      </c>
      <c r="N134" s="20" t="n">
        <v>3917</v>
      </c>
      <c r="T134" s="20" t="n">
        <v>952</v>
      </c>
      <c r="U134" s="20" t="n">
        <v>1561</v>
      </c>
      <c r="V134" s="20" t="n">
        <v>2457</v>
      </c>
      <c r="W134" s="20" t="n">
        <v>506</v>
      </c>
      <c r="X134" s="20" t="n">
        <v>1506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IF(OR(G134="",C134=""),"",IF(G134*C134&lt;=0,"",IFERROR(G134/C134-1,"")))</f>
        <v/>
      </c>
      <c r="H135" s="15">
        <f>IF(OR(H134="",D134=""),"",IF(H134*D134&lt;=0,"",IFERROR(H134/D134-1,"")))</f>
        <v/>
      </c>
      <c r="I135" s="15">
        <f>IF(OR(I134="",E134=""),"",IF(I134*E134&lt;=0,"",IFERROR(I134/E134-1,"")))</f>
        <v/>
      </c>
      <c r="J135" s="15">
        <f>IF(OR(J134="",F134=""),"",IF(J134*F134&lt;=0,"",IFERROR(J134/F134-1,"")))</f>
        <v/>
      </c>
      <c r="K135" s="15">
        <f>IF(OR(K134="",G134=""),"",IF(K134*G134&lt;=0,"",IFERROR(K134/G134-1,"")))</f>
        <v/>
      </c>
      <c r="L135" s="15">
        <f>IF(OR(L134="",H134=""),"",IF(L134*H134&lt;=0,"",IFERROR(L134/H134-1,"")))</f>
        <v/>
      </c>
      <c r="M135" s="15">
        <f>IF(OR(M134="",I134=""),"",IF(M134*I134&lt;=0,"",IFERROR(M134/I134-1,"")))</f>
        <v/>
      </c>
      <c r="N135" s="15">
        <f>IF(OR(N134="",J134=""),"",IF(N134*J134&lt;=0,"",IFERROR(N134/J134-1,"")))</f>
        <v/>
      </c>
      <c r="T135" s="15">
        <f>IF(OR(T134="",S134=""),"",IF(T134*S134&lt;=0,"",IFERROR(T134/S134-1,"")))</f>
        <v/>
      </c>
      <c r="U135" s="15">
        <f>IF(OR(U134="",T134=""),"",IF(U134*T134&lt;=0,"",IFERROR(U134/T134-1,"")))</f>
        <v/>
      </c>
      <c r="V135" s="15">
        <f>IF(OR(V134="",U134=""),"",IF(V134*U134&lt;=0,"",IFERROR(V134/U134-1,"")))</f>
        <v/>
      </c>
      <c r="W135" s="15">
        <f>IF(OR(W134="",V134=""),"",IF(W134*V134&lt;=0,"",IFERROR(W134/V134-1,"")))</f>
        <v/>
      </c>
      <c r="X135" s="15">
        <f>IF(OR(X134="",W134=""),"",IF(X134*W134&lt;=0,"",IFERROR(X134/W134-1,"")))</f>
        <v/>
      </c>
    </row>
    <row r="136">
      <c r="A136" s="9" t="inlineStr">
        <is>
          <t>순이익</t>
        </is>
      </c>
      <c r="C136" s="12" t="n">
        <v>6278</v>
      </c>
      <c r="D136" s="12" t="n">
        <v>7201</v>
      </c>
      <c r="E136" s="12" t="n">
        <v>8464</v>
      </c>
      <c r="F136" s="12" t="n">
        <v>8390</v>
      </c>
      <c r="G136" s="12" t="n">
        <v>6530</v>
      </c>
      <c r="H136" s="12" t="n">
        <v>2729</v>
      </c>
      <c r="I136" s="12" t="n">
        <v>7418</v>
      </c>
      <c r="J136" s="12" t="n">
        <v>9637</v>
      </c>
      <c r="K136" s="12" t="n">
        <v>6418</v>
      </c>
      <c r="L136" s="12" t="n">
        <v>4797</v>
      </c>
      <c r="M136" s="12" t="n">
        <v>7429</v>
      </c>
      <c r="N136" s="12" t="n">
        <v>10700</v>
      </c>
      <c r="T136" s="12" t="n">
        <v>2730</v>
      </c>
      <c r="U136" s="12" t="n">
        <v>5048</v>
      </c>
      <c r="V136" s="12" t="n">
        <v>7201</v>
      </c>
      <c r="W136" s="12" t="n">
        <v>2729</v>
      </c>
      <c r="X136" s="12" t="n">
        <v>4797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IF(OR(G136="",C136=""),"",IF(C136&lt;=0,"",IFERROR(G136/C136-1,"")))</f>
        <v/>
      </c>
      <c r="H137" s="15">
        <f>IF(OR(H136="",D136=""),"",IF(D136&lt;=0,"",IFERROR(H136/D136-1,"")))</f>
        <v/>
      </c>
      <c r="I137" s="15">
        <f>IF(OR(I136="",E136=""),"",IF(E136&lt;=0,"",IFERROR(I136/E136-1,"")))</f>
        <v/>
      </c>
      <c r="J137" s="15">
        <f>IF(OR(J136="",F136=""),"",IF(F136&lt;=0,"",IFERROR(J136/F136-1,"")))</f>
        <v/>
      </c>
      <c r="K137" s="15">
        <f>IF(OR(K136="",G136=""),"",IF(G136&lt;=0,"",IFERROR(K136/G136-1,"")))</f>
        <v/>
      </c>
      <c r="L137" s="15">
        <f>IF(OR(L136="",H136=""),"",IF(H136&lt;=0,"",IFERROR(L136/H136-1,"")))</f>
        <v/>
      </c>
      <c r="M137" s="15">
        <f>IF(OR(M136="",I136=""),"",IF(I136&lt;=0,"",IFERROR(M136/I136-1,"")))</f>
        <v/>
      </c>
      <c r="N137" s="15">
        <f>IF(OR(N136="",J136=""),"",IF(J136&lt;=0,"",IFERROR(N136/J136-1,"")))</f>
        <v/>
      </c>
      <c r="T137" s="15">
        <f>IF(OR(T136="",S136=""),"",IF(S136&lt;=0,"",IFERROR(T136/S136-1,"")))</f>
        <v/>
      </c>
      <c r="U137" s="15">
        <f>IF(OR(U136="",T136=""),"",IF(T136&lt;=0,"",IFERROR(U136/T136-1,"")))</f>
        <v/>
      </c>
      <c r="V137" s="15">
        <f>IF(OR(V136="",U136=""),"",IF(U136&lt;=0,"",IFERROR(V136/U136-1,"")))</f>
        <v/>
      </c>
      <c r="W137" s="15">
        <f>IF(OR(W136="",V136=""),"",IF(V136&lt;=0,"",IFERROR(W136/V136-1,"")))</f>
        <v/>
      </c>
      <c r="X137" s="15">
        <f>IF(OR(X136="",W136=""),"",IF(W136&lt;=0,"",IFERROR(X136/W136-1,"")))</f>
        <v/>
      </c>
    </row>
    <row r="138">
      <c r="A138" s="9" t="inlineStr">
        <is>
          <t>지배주주 순이익</t>
        </is>
      </c>
      <c r="C138" s="12" t="n">
        <v>6278</v>
      </c>
      <c r="D138" s="12" t="n">
        <v>7201</v>
      </c>
      <c r="E138" s="12" t="n">
        <v>8464</v>
      </c>
      <c r="F138" s="12" t="n">
        <v>8390</v>
      </c>
      <c r="G138" s="12" t="n">
        <v>6530</v>
      </c>
      <c r="H138" s="12" t="n">
        <v>2729</v>
      </c>
      <c r="I138" s="12" t="n">
        <v>7418</v>
      </c>
      <c r="J138" s="12" t="n">
        <v>9637</v>
      </c>
      <c r="K138" s="12" t="n">
        <v>6418</v>
      </c>
      <c r="L138" s="12" t="n">
        <v>4797</v>
      </c>
      <c r="M138" s="12" t="n">
        <v>7429</v>
      </c>
      <c r="N138" s="12" t="n">
        <v>10700</v>
      </c>
      <c r="T138" s="12" t="n">
        <v>2730</v>
      </c>
      <c r="U138" s="12" t="n">
        <v>5048</v>
      </c>
      <c r="V138" s="12" t="n">
        <v>7201</v>
      </c>
      <c r="W138" s="12" t="n">
        <v>2729</v>
      </c>
      <c r="X138" s="12" t="n">
        <v>4797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H139" s="15">
        <f>IF(OR(H138="",D138=""),"",IF(D138&lt;=0,"",IFERROR(H138/D138-1,"")))</f>
        <v/>
      </c>
      <c r="I139" s="15">
        <f>IF(OR(I138="",E138=""),"",IF(E138&lt;=0,"",IFERROR(I138/E138-1,"")))</f>
        <v/>
      </c>
      <c r="J139" s="15">
        <f>IF(OR(J138="",F138=""),"",IF(F138&lt;=0,"",IFERROR(J138/F138-1,"")))</f>
        <v/>
      </c>
      <c r="K139" s="15">
        <f>IF(OR(K138="",G138=""),"",IF(G138&lt;=0,"",IFERROR(K138/G138-1,"")))</f>
        <v/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T139" s="15">
        <f>IF(OR(T138="",S138=""),"",IF(S138&lt;=0,"",IFERROR(T138/S138-1,"")))</f>
        <v/>
      </c>
      <c r="U139" s="15">
        <f>IF(OR(U138="",T138=""),"",IF(T138&lt;=0,"",IFERROR(U138/T138-1,"")))</f>
        <v/>
      </c>
      <c r="V139" s="15">
        <f>IF(OR(V138="",U138=""),"",IF(U138&lt;=0,"",IFERROR(V138/U138-1,"")))</f>
        <v/>
      </c>
      <c r="W139" s="15">
        <f>IF(OR(W138="",V138=""),"",IF(V138&lt;=0,"",IFERROR(W138/V138-1,"")))</f>
        <v/>
      </c>
      <c r="X139" s="15">
        <f>IF(OR(X138="",W138=""),"",IF(W138&lt;=0,"",IFERROR(X138/W138-1,"")))</f>
        <v/>
      </c>
    </row>
    <row r="141">
      <c r="A141" s="16" t="inlineStr">
        <is>
          <t>포괄손익 · 전 항목</t>
        </is>
      </c>
      <c r="B141" s="42" t="inlineStr">
        <is>
          <t>분기 = 3개월 단독</t>
        </is>
      </c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</row>
    <row r="142">
      <c r="A142" s="5" t="inlineStr">
        <is>
          <t>항목</t>
        </is>
      </c>
      <c r="B142" s="5" t="inlineStr">
        <is>
          <t>참고</t>
        </is>
      </c>
      <c r="C142" s="5" t="inlineStr">
        <is>
          <t>2024.3Q</t>
        </is>
      </c>
      <c r="D142" s="5" t="inlineStr">
        <is>
          <t>2024.4Q</t>
        </is>
      </c>
      <c r="E142" s="5" t="inlineStr">
        <is>
          <t>2025.1Q</t>
        </is>
      </c>
      <c r="F142" s="5" t="inlineStr">
        <is>
          <t>2025.2Q</t>
        </is>
      </c>
      <c r="G142" s="5" t="inlineStr">
        <is>
          <t>2025.3Q</t>
        </is>
      </c>
      <c r="H142" s="5" t="inlineStr">
        <is>
          <t>2025.4Q</t>
        </is>
      </c>
      <c r="I142" s="5" t="inlineStr">
        <is>
          <t>2026.1Q</t>
        </is>
      </c>
      <c r="J142" s="5" t="inlineStr">
        <is>
          <t>2026.2Q</t>
        </is>
      </c>
      <c r="K142" s="5" t="inlineStr">
        <is>
          <t>2026.3Q</t>
        </is>
      </c>
      <c r="L142" s="5" t="inlineStr">
        <is>
          <t>2026.4Q</t>
        </is>
      </c>
      <c r="M142" s="5" t="inlineStr">
        <is>
          <t>2027.1Q</t>
        </is>
      </c>
      <c r="N142" s="5" t="inlineStr">
        <is>
          <t>2027.2Q</t>
        </is>
      </c>
      <c r="O142" s="5" t="inlineStr">
        <is>
          <t>2017</t>
        </is>
      </c>
      <c r="P142" s="5" t="inlineStr">
        <is>
          <t>2018</t>
        </is>
      </c>
      <c r="Q142" s="5" t="inlineStr">
        <is>
          <t>2019</t>
        </is>
      </c>
      <c r="R142" s="5" t="inlineStr">
        <is>
          <t>2020</t>
        </is>
      </c>
      <c r="S142" s="5" t="inlineStr">
        <is>
          <t>2021</t>
        </is>
      </c>
      <c r="T142" s="5" t="inlineStr">
        <is>
          <t>2022</t>
        </is>
      </c>
      <c r="U142" s="5" t="inlineStr">
        <is>
          <t>2023</t>
        </is>
      </c>
      <c r="V142" s="5" t="inlineStr">
        <is>
          <t>2024</t>
        </is>
      </c>
      <c r="W142" s="5" t="inlineStr">
        <is>
          <t>2025</t>
        </is>
      </c>
      <c r="X142" s="5" t="inlineStr">
        <is>
          <t>2026</t>
        </is>
      </c>
      <c r="Y142" s="5" t="inlineStr">
        <is>
          <t>2027(MW)</t>
        </is>
      </c>
      <c r="Z142" s="5" t="inlineStr">
        <is>
          <t>2028(MW)</t>
        </is>
      </c>
      <c r="AA142" s="5" t="inlineStr">
        <is>
          <t>2029(MW)</t>
        </is>
      </c>
      <c r="AB142" s="5" t="inlineStr">
        <is>
          <t>2030(MW)</t>
        </is>
      </c>
      <c r="AC142" s="5" t="inlineStr">
        <is>
          <t>2031(MW)</t>
        </is>
      </c>
    </row>
    <row r="143">
      <c r="A143" s="9" t="inlineStr">
        <is>
          <t>순이익</t>
        </is>
      </c>
      <c r="C143" s="12" t="n">
        <v>6278</v>
      </c>
      <c r="D143" s="12" t="n">
        <v>7201</v>
      </c>
      <c r="E143" s="12" t="n">
        <v>8464</v>
      </c>
      <c r="F143" s="12" t="n">
        <v>8390</v>
      </c>
      <c r="G143" s="12" t="n">
        <v>6530</v>
      </c>
      <c r="H143" s="12" t="n">
        <v>2729</v>
      </c>
      <c r="I143" s="12" t="n">
        <v>7418</v>
      </c>
      <c r="J143" s="12" t="n">
        <v>9637</v>
      </c>
      <c r="K143" s="12" t="n">
        <v>6418</v>
      </c>
      <c r="L143" s="12" t="n">
        <v>4797</v>
      </c>
      <c r="M143" s="12" t="n">
        <v>7429</v>
      </c>
      <c r="N143" s="12" t="n">
        <v>10700</v>
      </c>
      <c r="T143" s="12" t="n">
        <v>2730</v>
      </c>
      <c r="U143" s="12" t="n">
        <v>5048</v>
      </c>
      <c r="V143" s="12" t="n">
        <v>7201</v>
      </c>
      <c r="W143" s="12" t="n">
        <v>2729</v>
      </c>
      <c r="X143" s="12" t="n">
        <v>4797</v>
      </c>
    </row>
    <row r="144">
      <c r="A144" s="18" t="inlineStr">
        <is>
          <t>기타유가증권 평가차액</t>
        </is>
      </c>
      <c r="C144" s="20" t="n">
        <v>1</v>
      </c>
      <c r="D144" s="20" t="n">
        <v>15</v>
      </c>
      <c r="E144" s="20" t="n">
        <v>16</v>
      </c>
      <c r="F144" s="20" t="n">
        <v>-18</v>
      </c>
      <c r="G144" s="20" t="n">
        <v>8</v>
      </c>
      <c r="H144" s="20" t="n">
        <v>-6</v>
      </c>
      <c r="I144" s="20" t="n">
        <v>24</v>
      </c>
      <c r="J144" s="20" t="n">
        <v>32</v>
      </c>
      <c r="K144" s="20" t="n">
        <v>30</v>
      </c>
      <c r="L144" s="20" t="n">
        <v>52</v>
      </c>
      <c r="M144" s="20" t="n">
        <v>23</v>
      </c>
      <c r="N144" s="20" t="n">
        <v>41</v>
      </c>
      <c r="T144" s="20" t="n">
        <v>6</v>
      </c>
      <c r="U144" s="20" t="n">
        <v>12</v>
      </c>
      <c r="V144" s="20" t="n">
        <v>15</v>
      </c>
      <c r="W144" s="20" t="n">
        <v>-6</v>
      </c>
      <c r="X144" s="20" t="n">
        <v>52</v>
      </c>
    </row>
    <row r="145">
      <c r="A145" s="18" t="inlineStr">
        <is>
          <t>해외사업환산조정</t>
        </is>
      </c>
      <c r="C145" s="20" t="n">
        <v>1683</v>
      </c>
      <c r="D145" s="20" t="n">
        <v>-2992</v>
      </c>
      <c r="E145" s="20" t="n">
        <v>4307</v>
      </c>
      <c r="F145" s="20" t="n">
        <v>4775</v>
      </c>
      <c r="G145" s="20" t="n">
        <v>-8667</v>
      </c>
      <c r="H145" s="20" t="n">
        <v>7283</v>
      </c>
      <c r="I145" s="20" t="n">
        <v>-4228</v>
      </c>
      <c r="J145" s="20" t="n">
        <v>-1650</v>
      </c>
      <c r="K145" s="20" t="n">
        <v>2158</v>
      </c>
      <c r="L145" s="20" t="n">
        <v>4574</v>
      </c>
      <c r="M145" s="20" t="n">
        <v>1698</v>
      </c>
      <c r="N145" s="20" t="n">
        <v>1587</v>
      </c>
      <c r="T145" s="20" t="n">
        <v>1014</v>
      </c>
      <c r="U145" s="20" t="n">
        <v>-3950</v>
      </c>
      <c r="V145" s="20" t="n">
        <v>-2992</v>
      </c>
      <c r="W145" s="20" t="n">
        <v>7283</v>
      </c>
      <c r="X145" s="20" t="n">
        <v>4574</v>
      </c>
    </row>
    <row r="146">
      <c r="A146" s="18" t="inlineStr">
        <is>
          <t>퇴직급여 조정액</t>
        </is>
      </c>
      <c r="C146" s="20" t="n">
        <v>1</v>
      </c>
      <c r="D146" s="20" t="n">
        <v>91</v>
      </c>
      <c r="E146" s="20" t="n">
        <v>-4</v>
      </c>
      <c r="F146" s="20" t="n">
        <v>-4</v>
      </c>
      <c r="G146" s="20" t="n">
        <v>-5</v>
      </c>
      <c r="H146" s="20" t="n">
        <v>119</v>
      </c>
      <c r="I146" s="20" t="n">
        <v>-12</v>
      </c>
      <c r="J146" s="20" t="n">
        <v>-12</v>
      </c>
      <c r="K146" s="20" t="n">
        <v>-13</v>
      </c>
      <c r="L146" s="20" t="n">
        <v>37</v>
      </c>
      <c r="M146" s="20" t="n">
        <v>-12</v>
      </c>
      <c r="N146" s="20" t="n">
        <v>-12</v>
      </c>
      <c r="T146" s="20" t="n">
        <v>36</v>
      </c>
      <c r="U146" s="20" t="n">
        <v>-44</v>
      </c>
      <c r="V146" s="20" t="n">
        <v>91</v>
      </c>
      <c r="W146" s="20" t="n">
        <v>119</v>
      </c>
      <c r="X146" s="20" t="n">
        <v>37</v>
      </c>
    </row>
    <row r="147">
      <c r="A147" s="18" t="inlineStr">
        <is>
          <t>기타포괄손익 합계</t>
        </is>
      </c>
      <c r="C147" s="20" t="n">
        <v>1686</v>
      </c>
      <c r="D147" s="20" t="n">
        <v>-2887</v>
      </c>
      <c r="E147" s="20" t="n">
        <v>4319</v>
      </c>
      <c r="F147" s="20" t="n">
        <v>4752</v>
      </c>
      <c r="G147" s="20" t="n">
        <v>-8662</v>
      </c>
      <c r="H147" s="20" t="n">
        <v>7396</v>
      </c>
      <c r="I147" s="20" t="n">
        <v>-4216</v>
      </c>
      <c r="J147" s="20" t="n">
        <v>-1630</v>
      </c>
      <c r="K147" s="20" t="n">
        <v>2175</v>
      </c>
      <c r="L147" s="20" t="n">
        <v>4663</v>
      </c>
      <c r="M147" s="20" t="n">
        <v>1709</v>
      </c>
      <c r="N147" s="20" t="n">
        <v>1616</v>
      </c>
      <c r="T147" s="20" t="n">
        <v>1058</v>
      </c>
      <c r="U147" s="20" t="n">
        <v>-3982</v>
      </c>
      <c r="V147" s="20" t="n">
        <v>-2887</v>
      </c>
      <c r="W147" s="20" t="n">
        <v>7396</v>
      </c>
      <c r="X147" s="20" t="n">
        <v>4663</v>
      </c>
    </row>
    <row r="148">
      <c r="A148" s="9" t="inlineStr">
        <is>
          <t>포괄이익</t>
        </is>
      </c>
      <c r="C148" s="12" t="n">
        <v>7965</v>
      </c>
      <c r="D148" s="12" t="n">
        <v>4314</v>
      </c>
      <c r="E148" s="12" t="n">
        <v>12783</v>
      </c>
      <c r="F148" s="12" t="n">
        <v>13142</v>
      </c>
      <c r="G148" s="12" t="n">
        <v>-2132</v>
      </c>
      <c r="H148" s="12" t="n">
        <v>10125</v>
      </c>
      <c r="I148" s="12" t="n">
        <v>3201</v>
      </c>
      <c r="J148" s="12" t="n">
        <v>8007</v>
      </c>
      <c r="K148" s="12" t="n">
        <v>8593</v>
      </c>
      <c r="L148" s="12" t="n">
        <v>9461</v>
      </c>
      <c r="M148" s="12" t="n">
        <v>9138</v>
      </c>
      <c r="N148" s="12" t="n">
        <v>12316</v>
      </c>
      <c r="T148" s="12" t="n">
        <v>3788</v>
      </c>
      <c r="U148" s="12" t="n">
        <v>1066</v>
      </c>
      <c r="V148" s="12" t="n">
        <v>4314</v>
      </c>
      <c r="W148" s="12" t="n">
        <v>10125</v>
      </c>
      <c r="X148" s="12" t="n">
        <v>9461</v>
      </c>
    </row>
    <row r="149">
      <c r="A149" s="9" t="inlineStr">
        <is>
          <t>지배주주 포괄이익</t>
        </is>
      </c>
      <c r="C149" s="12" t="n">
        <v>7965</v>
      </c>
      <c r="D149" s="12" t="n">
        <v>4314</v>
      </c>
      <c r="E149" s="12" t="n">
        <v>12783</v>
      </c>
      <c r="F149" s="12" t="n">
        <v>13142</v>
      </c>
      <c r="G149" s="12" t="n">
        <v>-2132</v>
      </c>
      <c r="H149" s="12" t="n">
        <v>10125</v>
      </c>
      <c r="I149" s="12" t="n">
        <v>3201</v>
      </c>
      <c r="J149" s="12" t="n">
        <v>8007</v>
      </c>
      <c r="K149" s="12" t="n">
        <v>8593</v>
      </c>
      <c r="L149" s="12" t="n">
        <v>9461</v>
      </c>
      <c r="M149" s="12" t="n">
        <v>9138</v>
      </c>
      <c r="N149" s="12" t="n">
        <v>12316</v>
      </c>
      <c r="T149" s="12" t="n">
        <v>3788</v>
      </c>
      <c r="U149" s="12" t="n">
        <v>1066</v>
      </c>
      <c r="V149" s="12" t="n">
        <v>4314</v>
      </c>
      <c r="W149" s="12" t="n">
        <v>10125</v>
      </c>
      <c r="X149" s="12" t="n">
        <v>9461</v>
      </c>
    </row>
    <row r="150">
      <c r="A150" s="9" t="inlineStr">
        <is>
          <t>비지배주주 포괄이익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</row>
    <row r="152">
      <c r="A152" s="16" t="inlineStr">
        <is>
          <t>부문 · 전 항목</t>
        </is>
      </c>
      <c r="B152" s="42" t="inlineStr">
        <is>
          <t>부문 · 항목</t>
        </is>
      </c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</row>
    <row r="153">
      <c r="A153" s="5" t="inlineStr">
        <is>
          <t>항목</t>
        </is>
      </c>
      <c r="B153" s="5" t="inlineStr">
        <is>
          <t>참고</t>
        </is>
      </c>
      <c r="C153" s="5" t="inlineStr">
        <is>
          <t>2024.3Q</t>
        </is>
      </c>
      <c r="D153" s="5" t="inlineStr">
        <is>
          <t>2024.4Q</t>
        </is>
      </c>
      <c r="E153" s="5" t="inlineStr">
        <is>
          <t>2025.1Q</t>
        </is>
      </c>
      <c r="F153" s="5" t="inlineStr">
        <is>
          <t>2025.2Q</t>
        </is>
      </c>
      <c r="G153" s="5" t="inlineStr">
        <is>
          <t>2025.3Q</t>
        </is>
      </c>
      <c r="H153" s="5" t="inlineStr">
        <is>
          <t>2025.4Q</t>
        </is>
      </c>
      <c r="I153" s="5" t="inlineStr">
        <is>
          <t>2026.1Q</t>
        </is>
      </c>
      <c r="J153" s="5" t="inlineStr">
        <is>
          <t>2026.2Q</t>
        </is>
      </c>
      <c r="K153" s="5" t="inlineStr">
        <is>
          <t>2026.3Q</t>
        </is>
      </c>
      <c r="L153" s="5" t="inlineStr">
        <is>
          <t>2026.4Q</t>
        </is>
      </c>
      <c r="M153" s="5" t="inlineStr">
        <is>
          <t>2027.1Q</t>
        </is>
      </c>
      <c r="N153" s="5" t="inlineStr">
        <is>
          <t>2027.2Q</t>
        </is>
      </c>
      <c r="O153" s="5" t="inlineStr">
        <is>
          <t>2017</t>
        </is>
      </c>
      <c r="P153" s="5" t="inlineStr">
        <is>
          <t>2018</t>
        </is>
      </c>
      <c r="Q153" s="5" t="inlineStr">
        <is>
          <t>2019</t>
        </is>
      </c>
      <c r="R153" s="5" t="inlineStr">
        <is>
          <t>2020</t>
        </is>
      </c>
      <c r="S153" s="5" t="inlineStr">
        <is>
          <t>2021</t>
        </is>
      </c>
      <c r="T153" s="5" t="inlineStr">
        <is>
          <t>2022</t>
        </is>
      </c>
      <c r="U153" s="5" t="inlineStr">
        <is>
          <t>2023</t>
        </is>
      </c>
      <c r="V153" s="5" t="inlineStr">
        <is>
          <t>2024</t>
        </is>
      </c>
      <c r="W153" s="5" t="inlineStr">
        <is>
          <t>2025</t>
        </is>
      </c>
      <c r="X153" s="5" t="inlineStr">
        <is>
          <t>2026</t>
        </is>
      </c>
      <c r="Y153" s="5" t="inlineStr">
        <is>
          <t>2027(MW)</t>
        </is>
      </c>
      <c r="Z153" s="5" t="inlineStr">
        <is>
          <t>2028(MW)</t>
        </is>
      </c>
      <c r="AA153" s="5" t="inlineStr">
        <is>
          <t>2029(MW)</t>
        </is>
      </c>
      <c r="AB153" s="5" t="inlineStr">
        <is>
          <t>2030(MW)</t>
        </is>
      </c>
      <c r="AC153" s="5" t="inlineStr">
        <is>
          <t>2031(MW)</t>
        </is>
      </c>
    </row>
    <row r="154">
      <c r="A154" s="18" t="inlineStr">
        <is>
          <t>일본 · 외부 고객 매출</t>
        </is>
      </c>
      <c r="C154" s="20" t="n">
        <v>20159</v>
      </c>
      <c r="D154" s="20" t="n">
        <v>19079</v>
      </c>
      <c r="E154" s="20" t="n">
        <v>15822</v>
      </c>
      <c r="F154" s="20" t="n">
        <v>17341</v>
      </c>
      <c r="G154" s="20" t="n">
        <v>16339</v>
      </c>
      <c r="H154" s="20" t="n">
        <v>17631</v>
      </c>
      <c r="I154" s="20" t="n">
        <v>17143</v>
      </c>
      <c r="J154" s="20" t="n">
        <v>18560</v>
      </c>
      <c r="K154" s="20" t="n">
        <v>16386</v>
      </c>
      <c r="L154" s="20" t="n">
        <v>15723</v>
      </c>
      <c r="M154" s="20" t="n">
        <v>17299</v>
      </c>
      <c r="N154" s="20" t="n">
        <v>20063</v>
      </c>
      <c r="V154" s="20" t="n">
        <v>19079</v>
      </c>
      <c r="W154" s="20" t="n">
        <v>17631</v>
      </c>
      <c r="X154" s="20" t="n">
        <v>15723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18" t="inlineStr">
        <is>
          <t>미국 · 외부 고객 매출</t>
        </is>
      </c>
      <c r="C156" s="20" t="n">
        <v>28307</v>
      </c>
      <c r="D156" s="20" t="n">
        <v>30258</v>
      </c>
      <c r="E156" s="20" t="n">
        <v>32359</v>
      </c>
      <c r="F156" s="20" t="n">
        <v>30562</v>
      </c>
      <c r="G156" s="20" t="n">
        <v>34450</v>
      </c>
      <c r="H156" s="20" t="n">
        <v>22732</v>
      </c>
      <c r="I156" s="20" t="n">
        <v>26866</v>
      </c>
      <c r="J156" s="20" t="n">
        <v>36719</v>
      </c>
      <c r="K156" s="20" t="n">
        <v>35136</v>
      </c>
      <c r="L156" s="20" t="n">
        <v>29990</v>
      </c>
      <c r="M156" s="20" t="n">
        <v>31180</v>
      </c>
      <c r="N156" s="20" t="n">
        <v>44197</v>
      </c>
      <c r="V156" s="20" t="n">
        <v>30258</v>
      </c>
      <c r="W156" s="20" t="n">
        <v>22732</v>
      </c>
      <c r="X156" s="20" t="n">
        <v>29990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영국 · 외부 고객 매출</t>
        </is>
      </c>
      <c r="C158" s="20" t="n">
        <v>2626</v>
      </c>
      <c r="D158" s="20" t="n">
        <v>2017</v>
      </c>
      <c r="E158" s="20" t="n">
        <v>3710</v>
      </c>
      <c r="F158" s="20" t="n">
        <v>3636</v>
      </c>
      <c r="G158" s="20" t="n">
        <v>3637</v>
      </c>
      <c r="H158" s="20" t="n">
        <v>3564</v>
      </c>
      <c r="I158" s="20" t="n">
        <v>4208</v>
      </c>
      <c r="J158" s="20" t="n">
        <v>5549</v>
      </c>
      <c r="K158" s="20" t="n">
        <v>4251</v>
      </c>
      <c r="L158" s="20" t="n">
        <v>3968</v>
      </c>
      <c r="M158" s="20" t="n">
        <v>5640</v>
      </c>
      <c r="N158" s="20" t="n">
        <v>7931</v>
      </c>
      <c r="V158" s="20" t="n">
        <v>2017</v>
      </c>
      <c r="W158" s="20" t="n">
        <v>3564</v>
      </c>
      <c r="X158" s="20" t="n">
        <v>3968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프랑스 · 외부 고객 매출</t>
        </is>
      </c>
      <c r="C160" s="20" t="n">
        <v>2514</v>
      </c>
      <c r="D160" s="20" t="n">
        <v>2413</v>
      </c>
      <c r="E160" s="20" t="n">
        <v>3264</v>
      </c>
      <c r="F160" s="20" t="n">
        <v>2868</v>
      </c>
      <c r="G160" s="20" t="n">
        <v>2349</v>
      </c>
      <c r="H160" s="20" t="n">
        <v>2844</v>
      </c>
      <c r="I160" s="20" t="n">
        <v>2400</v>
      </c>
      <c r="J160" s="20" t="n">
        <v>2654</v>
      </c>
      <c r="K160" s="20" t="n">
        <v>2953</v>
      </c>
      <c r="L160" s="20" t="n">
        <v>2769</v>
      </c>
      <c r="M160" s="20" t="n">
        <v>2688</v>
      </c>
      <c r="N160" s="20" t="n">
        <v>3380</v>
      </c>
      <c r="V160" s="20" t="n">
        <v>2413</v>
      </c>
      <c r="W160" s="20" t="n">
        <v>2844</v>
      </c>
      <c r="X160" s="20" t="n">
        <v>2769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중국 · 외부 고객 매출</t>
        </is>
      </c>
      <c r="C162" s="20" t="n">
        <v>48</v>
      </c>
      <c r="D162" s="20" t="n">
        <v>30</v>
      </c>
      <c r="E162" s="20" t="n">
        <v>18</v>
      </c>
      <c r="F162" s="20" t="n">
        <v>24</v>
      </c>
      <c r="G162" s="20" t="n">
        <v>22</v>
      </c>
      <c r="H162" s="20" t="n">
        <v>56</v>
      </c>
      <c r="I162" s="20" t="n">
        <v>1</v>
      </c>
      <c r="J162" s="20" t="n">
        <v>2</v>
      </c>
      <c r="K162" s="20" t="n">
        <v>2</v>
      </c>
      <c r="L162" s="20" t="n">
        <v>1</v>
      </c>
      <c r="M162" s="20" t="n">
        <v>1</v>
      </c>
      <c r="N162" s="20" t="n">
        <v>3</v>
      </c>
      <c r="V162" s="20" t="n">
        <v>30</v>
      </c>
      <c r="W162" s="20" t="n">
        <v>56</v>
      </c>
      <c r="X162" s="20" t="n">
        <v>1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합계 · 외부 고객 매출</t>
        </is>
      </c>
      <c r="C164" s="20" t="n">
        <v>53655</v>
      </c>
      <c r="D164" s="20" t="n">
        <v>53796</v>
      </c>
      <c r="E164" s="20" t="n">
        <v>55174</v>
      </c>
      <c r="F164" s="20" t="n">
        <v>54432</v>
      </c>
      <c r="G164" s="20" t="n">
        <v>56797</v>
      </c>
      <c r="H164" s="20" t="n">
        <v>46827</v>
      </c>
      <c r="I164" s="20" t="n">
        <v>50620</v>
      </c>
      <c r="J164" s="20" t="n">
        <v>63483</v>
      </c>
      <c r="K164" s="20" t="n">
        <v>58730</v>
      </c>
      <c r="L164" s="20" t="n">
        <v>52451</v>
      </c>
      <c r="M164" s="20" t="n">
        <v>56809</v>
      </c>
      <c r="N164" s="20" t="n">
        <v>75574</v>
      </c>
      <c r="V164" s="20" t="n">
        <v>53796</v>
      </c>
      <c r="W164" s="20" t="n">
        <v>46827</v>
      </c>
      <c r="X164" s="20" t="n">
        <v>52451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조정액 · 외부 고객 매출</t>
        </is>
      </c>
      <c r="C166" s="20" t="n">
        <v>0</v>
      </c>
      <c r="D166" s="20" t="n">
        <v>0</v>
      </c>
      <c r="E166" s="20" t="n">
        <v>0</v>
      </c>
      <c r="F166" s="20" t="n">
        <v>0</v>
      </c>
      <c r="G166" s="20" t="n">
        <v>0</v>
      </c>
      <c r="H166" s="20" t="n">
        <v>0</v>
      </c>
      <c r="I166" s="20" t="n">
        <v>0</v>
      </c>
      <c r="J166" s="20" t="n">
        <v>0</v>
      </c>
      <c r="K166" s="20" t="n">
        <v>0</v>
      </c>
      <c r="L166" s="20" t="n">
        <v>0</v>
      </c>
      <c r="M166" s="20" t="n">
        <v>0</v>
      </c>
      <c r="N166" s="20" t="n">
        <v>0</v>
      </c>
      <c r="V166" s="20" t="n">
        <v>0</v>
      </c>
      <c r="W166" s="20" t="n">
        <v>0</v>
      </c>
      <c r="X166" s="20" t="n">
        <v>0</v>
      </c>
    </row>
    <row r="167">
      <c r="A167" s="9" t="inlineStr">
        <is>
          <t>외부 고객 매출</t>
        </is>
      </c>
      <c r="C167" s="12" t="n">
        <v>53655</v>
      </c>
      <c r="D167" s="12" t="n">
        <v>53796</v>
      </c>
      <c r="E167" s="12" t="n">
        <v>55174</v>
      </c>
      <c r="F167" s="12" t="n">
        <v>54432</v>
      </c>
      <c r="G167" s="12" t="n">
        <v>56797</v>
      </c>
      <c r="H167" s="12" t="n">
        <v>46827</v>
      </c>
      <c r="I167" s="12" t="n">
        <v>50620</v>
      </c>
      <c r="J167" s="12" t="n">
        <v>63483</v>
      </c>
      <c r="K167" s="12" t="n">
        <v>58730</v>
      </c>
      <c r="L167" s="12" t="n">
        <v>52451</v>
      </c>
      <c r="M167" s="12" t="n">
        <v>56809</v>
      </c>
      <c r="N167" s="12" t="n">
        <v>75574</v>
      </c>
      <c r="V167" s="12" t="n">
        <v>53796</v>
      </c>
      <c r="W167" s="12" t="n">
        <v>46827</v>
      </c>
      <c r="X167" s="12" t="n">
        <v>52451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일본 · 부문 간 내부매출·대체</t>
        </is>
      </c>
      <c r="C169" s="20" t="n">
        <v>30423</v>
      </c>
      <c r="D169" s="20" t="n">
        <v>35461</v>
      </c>
      <c r="E169" s="20" t="n">
        <v>37212</v>
      </c>
      <c r="F169" s="20" t="n">
        <v>37168</v>
      </c>
      <c r="G169" s="20" t="n">
        <v>28899</v>
      </c>
      <c r="H169" s="20" t="n">
        <v>30199</v>
      </c>
      <c r="I169" s="20" t="n">
        <v>32573</v>
      </c>
      <c r="J169" s="20" t="n">
        <v>27453</v>
      </c>
      <c r="K169" s="20" t="n">
        <v>26903</v>
      </c>
      <c r="L169" s="20" t="n">
        <v>32773</v>
      </c>
      <c r="M169" s="20" t="n">
        <v>32341</v>
      </c>
      <c r="N169" s="20" t="n">
        <v>27451</v>
      </c>
      <c r="V169" s="20" t="n">
        <v>35461</v>
      </c>
      <c r="W169" s="20" t="n">
        <v>30199</v>
      </c>
      <c r="X169" s="20" t="n">
        <v>32773</v>
      </c>
    </row>
    <row r="170">
      <c r="A170" s="18" t="inlineStr">
        <is>
          <t>미국 · 부문 간 내부매출·대체</t>
        </is>
      </c>
      <c r="C170" s="20" t="n">
        <v>1</v>
      </c>
      <c r="D170" s="20" t="n">
        <v>1</v>
      </c>
      <c r="E170" s="20" t="n">
        <v>6</v>
      </c>
      <c r="F170" s="20" t="n">
        <v>1</v>
      </c>
      <c r="G170" s="20" t="n">
        <v>1</v>
      </c>
      <c r="H170" s="20" t="n">
        <v>1</v>
      </c>
      <c r="I170" s="20" t="n">
        <v>2</v>
      </c>
      <c r="J170" s="20" t="n">
        <v>1</v>
      </c>
      <c r="K170" s="20" t="n">
        <v>2</v>
      </c>
      <c r="L170" s="20" t="n">
        <v>5</v>
      </c>
      <c r="M170" s="20" t="n">
        <v>0</v>
      </c>
      <c r="N170" s="20" t="n">
        <v>0</v>
      </c>
      <c r="V170" s="20" t="n">
        <v>1</v>
      </c>
      <c r="W170" s="20" t="n">
        <v>1</v>
      </c>
      <c r="X170" s="20" t="n">
        <v>5</v>
      </c>
    </row>
    <row r="171">
      <c r="A171" s="18" t="inlineStr">
        <is>
          <t>영국 · 부문 간 내부매출·대체</t>
        </is>
      </c>
      <c r="C171" s="20" t="n">
        <v>9</v>
      </c>
      <c r="D171" s="20" t="n">
        <v>7</v>
      </c>
      <c r="E171" s="20" t="n">
        <v>11</v>
      </c>
      <c r="F171" s="20" t="n">
        <v>4</v>
      </c>
      <c r="G171" s="20" t="n">
        <v>1</v>
      </c>
      <c r="H171" s="20" t="n">
        <v>1</v>
      </c>
      <c r="I171" s="20" t="n">
        <v>1</v>
      </c>
      <c r="J171" s="20" t="n">
        <v>1</v>
      </c>
      <c r="K171" s="20" t="n">
        <v>0</v>
      </c>
      <c r="L171" s="20" t="n">
        <v>2</v>
      </c>
      <c r="M171" s="20" t="n">
        <v>0</v>
      </c>
      <c r="N171" s="20" t="n">
        <v>0</v>
      </c>
      <c r="V171" s="20" t="n">
        <v>7</v>
      </c>
      <c r="W171" s="20" t="n">
        <v>1</v>
      </c>
      <c r="X171" s="20" t="n">
        <v>2</v>
      </c>
    </row>
    <row r="172">
      <c r="A172" s="18" t="inlineStr">
        <is>
          <t>프랑스 · 부문 간 내부매출·대체</t>
        </is>
      </c>
      <c r="C172" s="20" t="n">
        <v>2</v>
      </c>
      <c r="D172" s="20" t="n">
        <v>2</v>
      </c>
      <c r="E172" s="20" t="n">
        <v>1</v>
      </c>
      <c r="F172" s="20" t="n">
        <v>2</v>
      </c>
      <c r="G172" s="20" t="n">
        <v>2</v>
      </c>
      <c r="H172" s="20" t="n">
        <v>5</v>
      </c>
      <c r="I172" s="20" t="n">
        <v>3</v>
      </c>
      <c r="J172" s="20" t="n">
        <v>3</v>
      </c>
      <c r="K172" s="20" t="n">
        <v>4</v>
      </c>
      <c r="L172" s="20" t="n">
        <v>27</v>
      </c>
      <c r="M172" s="20" t="n">
        <v>36</v>
      </c>
      <c r="N172" s="20" t="n">
        <v>2</v>
      </c>
      <c r="V172" s="20" t="n">
        <v>2</v>
      </c>
      <c r="W172" s="20" t="n">
        <v>5</v>
      </c>
      <c r="X172" s="20" t="n">
        <v>27</v>
      </c>
    </row>
    <row r="173">
      <c r="A173" s="18" t="inlineStr">
        <is>
          <t>중국 · 부문 간 내부매출·대체</t>
        </is>
      </c>
      <c r="C173" s="20" t="n">
        <v>1198</v>
      </c>
      <c r="D173" s="20" t="n">
        <v>1094</v>
      </c>
      <c r="E173" s="20" t="n">
        <v>1109</v>
      </c>
      <c r="F173" s="20" t="n">
        <v>1469</v>
      </c>
      <c r="G173" s="20" t="n">
        <v>1055</v>
      </c>
      <c r="H173" s="20" t="n">
        <v>1040</v>
      </c>
      <c r="I173" s="20" t="n">
        <v>1015</v>
      </c>
      <c r="J173" s="20" t="n">
        <v>1023</v>
      </c>
      <c r="K173" s="20" t="n">
        <v>1022</v>
      </c>
      <c r="L173" s="20" t="n">
        <v>1086</v>
      </c>
      <c r="M173" s="20" t="n">
        <v>1349</v>
      </c>
      <c r="N173" s="20" t="n">
        <v>1574</v>
      </c>
      <c r="V173" s="20" t="n">
        <v>1094</v>
      </c>
      <c r="W173" s="20" t="n">
        <v>1040</v>
      </c>
      <c r="X173" s="20" t="n">
        <v>1086</v>
      </c>
    </row>
    <row r="174">
      <c r="A174" s="18" t="inlineStr">
        <is>
          <t>합계 · 부문 간 내부매출·대체</t>
        </is>
      </c>
      <c r="C174" s="20" t="n">
        <v>31633</v>
      </c>
      <c r="D174" s="20" t="n">
        <v>36565</v>
      </c>
      <c r="E174" s="20" t="n">
        <v>38341</v>
      </c>
      <c r="F174" s="20" t="n">
        <v>38644</v>
      </c>
      <c r="G174" s="20" t="n">
        <v>29958</v>
      </c>
      <c r="H174" s="20" t="n">
        <v>31245</v>
      </c>
      <c r="I174" s="20" t="n">
        <v>33595</v>
      </c>
      <c r="J174" s="20" t="n">
        <v>28482</v>
      </c>
      <c r="K174" s="20" t="n">
        <v>27931</v>
      </c>
      <c r="L174" s="20" t="n">
        <v>33894</v>
      </c>
      <c r="M174" s="20" t="n">
        <v>33727</v>
      </c>
      <c r="N174" s="20" t="n">
        <v>29027</v>
      </c>
      <c r="V174" s="20" t="n">
        <v>36565</v>
      </c>
      <c r="W174" s="20" t="n">
        <v>31245</v>
      </c>
      <c r="X174" s="20" t="n">
        <v>33894</v>
      </c>
    </row>
    <row r="175">
      <c r="A175" s="18" t="inlineStr">
        <is>
          <t>조정액 · 부문 간 내부매출·대체</t>
        </is>
      </c>
      <c r="C175" s="20" t="n">
        <v>-31633</v>
      </c>
      <c r="D175" s="20" t="n">
        <v>-36565</v>
      </c>
      <c r="E175" s="20" t="n">
        <v>-38341</v>
      </c>
      <c r="F175" s="20" t="n">
        <v>-38644</v>
      </c>
      <c r="G175" s="20" t="n">
        <v>-29958</v>
      </c>
      <c r="H175" s="20" t="n">
        <v>-31245</v>
      </c>
      <c r="I175" s="20" t="n">
        <v>-33595</v>
      </c>
      <c r="J175" s="20" t="n">
        <v>-28482</v>
      </c>
      <c r="K175" s="20" t="n">
        <v>-27931</v>
      </c>
      <c r="L175" s="20" t="n">
        <v>-33894</v>
      </c>
      <c r="M175" s="20" t="n">
        <v>-33727</v>
      </c>
      <c r="N175" s="20" t="n">
        <v>-29027</v>
      </c>
      <c r="V175" s="20" t="n">
        <v>-36565</v>
      </c>
      <c r="W175" s="20" t="n">
        <v>-31245</v>
      </c>
      <c r="X175" s="20" t="n">
        <v>-33894</v>
      </c>
    </row>
    <row r="176">
      <c r="A176" s="18" t="inlineStr">
        <is>
          <t>부문 간 내부매출·대체</t>
        </is>
      </c>
      <c r="C176" s="20" t="n">
        <v>0</v>
      </c>
      <c r="D176" s="20" t="n">
        <v>0</v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0</v>
      </c>
      <c r="K176" s="20" t="n">
        <v>0</v>
      </c>
      <c r="L176" s="20" t="n">
        <v>0</v>
      </c>
      <c r="M176" s="20" t="n">
        <v>0</v>
      </c>
      <c r="N176" s="20" t="n">
        <v>0</v>
      </c>
      <c r="V176" s="20" t="n">
        <v>0</v>
      </c>
      <c r="W176" s="20" t="n">
        <v>0</v>
      </c>
      <c r="X176" s="20" t="n">
        <v>0</v>
      </c>
    </row>
    <row r="177">
      <c r="A177" s="18" t="inlineStr">
        <is>
          <t>일본 · 계</t>
        </is>
      </c>
      <c r="C177" s="20" t="n">
        <v>50583</v>
      </c>
      <c r="D177" s="20" t="n">
        <v>54540</v>
      </c>
      <c r="E177" s="20" t="n">
        <v>53034</v>
      </c>
      <c r="F177" s="20" t="n">
        <v>54509</v>
      </c>
      <c r="G177" s="20" t="n">
        <v>45238</v>
      </c>
      <c r="H177" s="20" t="n">
        <v>47831</v>
      </c>
      <c r="I177" s="20" t="n">
        <v>49716</v>
      </c>
      <c r="J177" s="20" t="n">
        <v>46014</v>
      </c>
      <c r="K177" s="20" t="n">
        <v>43289</v>
      </c>
      <c r="L177" s="20" t="n">
        <v>48495</v>
      </c>
      <c r="M177" s="20" t="n">
        <v>49640</v>
      </c>
      <c r="N177" s="20" t="n">
        <v>47514</v>
      </c>
      <c r="V177" s="20" t="n">
        <v>54540</v>
      </c>
      <c r="W177" s="20" t="n">
        <v>47831</v>
      </c>
      <c r="X177" s="20" t="n">
        <v>48495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  <c r="X178" s="15">
        <f>IF(OR(X177="",W177=""),"",IF(W177&lt;=0,"",IFERROR(X177/W177-1,"")))</f>
        <v/>
      </c>
    </row>
    <row r="179">
      <c r="A179" s="18" t="inlineStr">
        <is>
          <t>미국 · 계</t>
        </is>
      </c>
      <c r="C179" s="20" t="n">
        <v>28309</v>
      </c>
      <c r="D179" s="20" t="n">
        <v>30259</v>
      </c>
      <c r="E179" s="20" t="n">
        <v>32365</v>
      </c>
      <c r="F179" s="20" t="n">
        <v>30564</v>
      </c>
      <c r="G179" s="20" t="n">
        <v>34451</v>
      </c>
      <c r="H179" s="20" t="n">
        <v>22733</v>
      </c>
      <c r="I179" s="20" t="n">
        <v>26868</v>
      </c>
      <c r="J179" s="20" t="n">
        <v>36720</v>
      </c>
      <c r="K179" s="20" t="n">
        <v>35139</v>
      </c>
      <c r="L179" s="20" t="n">
        <v>29995</v>
      </c>
      <c r="M179" s="20" t="n">
        <v>31180</v>
      </c>
      <c r="N179" s="20" t="n">
        <v>44197</v>
      </c>
      <c r="V179" s="20" t="n">
        <v>30259</v>
      </c>
      <c r="W179" s="20" t="n">
        <v>22733</v>
      </c>
      <c r="X179" s="20" t="n">
        <v>29995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영국 · 계</t>
        </is>
      </c>
      <c r="C181" s="20" t="n">
        <v>2635</v>
      </c>
      <c r="D181" s="20" t="n">
        <v>2023</v>
      </c>
      <c r="E181" s="20" t="n">
        <v>3722</v>
      </c>
      <c r="F181" s="20" t="n">
        <v>3640</v>
      </c>
      <c r="G181" s="20" t="n">
        <v>3637</v>
      </c>
      <c r="H181" s="20" t="n">
        <v>3565</v>
      </c>
      <c r="I181" s="20" t="n">
        <v>4210</v>
      </c>
      <c r="J181" s="20" t="n">
        <v>5550</v>
      </c>
      <c r="K181" s="20" t="n">
        <v>4251</v>
      </c>
      <c r="L181" s="20" t="n">
        <v>3970</v>
      </c>
      <c r="M181" s="20" t="n">
        <v>5640</v>
      </c>
      <c r="N181" s="20" t="n">
        <v>7931</v>
      </c>
      <c r="V181" s="20" t="n">
        <v>2023</v>
      </c>
      <c r="W181" s="20" t="n">
        <v>3565</v>
      </c>
      <c r="X181" s="20" t="n">
        <v>3970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프랑스 · 계</t>
        </is>
      </c>
      <c r="C183" s="20" t="n">
        <v>2515</v>
      </c>
      <c r="D183" s="20" t="n">
        <v>2416</v>
      </c>
      <c r="E183" s="20" t="n">
        <v>3266</v>
      </c>
      <c r="F183" s="20" t="n">
        <v>2869</v>
      </c>
      <c r="G183" s="20" t="n">
        <v>2351</v>
      </c>
      <c r="H183" s="20" t="n">
        <v>2849</v>
      </c>
      <c r="I183" s="20" t="n">
        <v>2404</v>
      </c>
      <c r="J183" s="20" t="n">
        <v>2656</v>
      </c>
      <c r="K183" s="20" t="n">
        <v>2958</v>
      </c>
      <c r="L183" s="20" t="n">
        <v>2796</v>
      </c>
      <c r="M183" s="20" t="n">
        <v>2724</v>
      </c>
      <c r="N183" s="20" t="n">
        <v>3382</v>
      </c>
      <c r="V183" s="20" t="n">
        <v>2416</v>
      </c>
      <c r="W183" s="20" t="n">
        <v>2849</v>
      </c>
      <c r="X183" s="20" t="n">
        <v>2796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중국 · 계</t>
        </is>
      </c>
      <c r="C185" s="20" t="n">
        <v>1247</v>
      </c>
      <c r="D185" s="20" t="n">
        <v>1123</v>
      </c>
      <c r="E185" s="20" t="n">
        <v>1127</v>
      </c>
      <c r="F185" s="20" t="n">
        <v>1493</v>
      </c>
      <c r="G185" s="20" t="n">
        <v>1078</v>
      </c>
      <c r="H185" s="20" t="n">
        <v>1095</v>
      </c>
      <c r="I185" s="20" t="n">
        <v>1016</v>
      </c>
      <c r="J185" s="20" t="n">
        <v>1025</v>
      </c>
      <c r="K185" s="20" t="n">
        <v>1024</v>
      </c>
      <c r="L185" s="20" t="n">
        <v>1088</v>
      </c>
      <c r="M185" s="20" t="n">
        <v>1351</v>
      </c>
      <c r="N185" s="20" t="n">
        <v>1576</v>
      </c>
      <c r="V185" s="20" t="n">
        <v>1123</v>
      </c>
      <c r="W185" s="20" t="n">
        <v>1095</v>
      </c>
      <c r="X185" s="20" t="n">
        <v>1088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  <c r="V186" s="15">
        <f>IF(OR(V185="",U185=""),"",IF(U185&lt;=0,"",IFERROR(V185/U185-1,"")))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합계 · 계</t>
        </is>
      </c>
      <c r="C187" s="20" t="n">
        <v>85288</v>
      </c>
      <c r="D187" s="20" t="n">
        <v>90361</v>
      </c>
      <c r="E187" s="20" t="n">
        <v>93516</v>
      </c>
      <c r="F187" s="20" t="n">
        <v>93076</v>
      </c>
      <c r="G187" s="20" t="n">
        <v>86755</v>
      </c>
      <c r="H187" s="20" t="n">
        <v>78071</v>
      </c>
      <c r="I187" s="20" t="n">
        <v>84216</v>
      </c>
      <c r="J187" s="20" t="n">
        <v>91965</v>
      </c>
      <c r="K187" s="20" t="n">
        <v>86661</v>
      </c>
      <c r="L187" s="20" t="n">
        <v>86345</v>
      </c>
      <c r="M187" s="20" t="n">
        <v>90537</v>
      </c>
      <c r="N187" s="20" t="n">
        <v>104601</v>
      </c>
      <c r="V187" s="20" t="n">
        <v>90361</v>
      </c>
      <c r="W187" s="20" t="n">
        <v>78071</v>
      </c>
      <c r="X187" s="20" t="n">
        <v>86345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L188" s="15">
        <f>IF(OR(L187="",H187=""),"",IF(H187&lt;=0,"",IFERROR(L187/H187-1,"")))</f>
        <v/>
      </c>
      <c r="M188" s="15">
        <f>IF(OR(M187="",I187=""),"",IF(I187&lt;=0,"",IFERROR(M187/I187-1,"")))</f>
        <v/>
      </c>
      <c r="N188" s="15">
        <f>IF(OR(N187="",J187=""),"",IF(J187&lt;=0,"",IFERROR(N187/J187-1,"")))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조정액 · 계</t>
        </is>
      </c>
      <c r="C189" s="20" t="n">
        <v>-31633</v>
      </c>
      <c r="D189" s="20" t="n">
        <v>-36565</v>
      </c>
      <c r="E189" s="20" t="n">
        <v>-38341</v>
      </c>
      <c r="F189" s="20" t="n">
        <v>-38644</v>
      </c>
      <c r="G189" s="20" t="n">
        <v>-29958</v>
      </c>
      <c r="H189" s="20" t="n">
        <v>-31245</v>
      </c>
      <c r="I189" s="20" t="n">
        <v>-33595</v>
      </c>
      <c r="J189" s="20" t="n">
        <v>-28482</v>
      </c>
      <c r="K189" s="20" t="n">
        <v>-27931</v>
      </c>
      <c r="L189" s="20" t="n">
        <v>-33894</v>
      </c>
      <c r="M189" s="20" t="n">
        <v>-33727</v>
      </c>
      <c r="N189" s="20" t="n">
        <v>-29027</v>
      </c>
      <c r="V189" s="20" t="n">
        <v>-36565</v>
      </c>
      <c r="W189" s="20" t="n">
        <v>-31245</v>
      </c>
      <c r="X189" s="20" t="n">
        <v>-33894</v>
      </c>
    </row>
    <row r="190">
      <c r="A190" s="9" t="inlineStr">
        <is>
          <t>계</t>
        </is>
      </c>
      <c r="C190" s="12" t="n">
        <v>53655</v>
      </c>
      <c r="D190" s="12" t="n">
        <v>53796</v>
      </c>
      <c r="E190" s="12" t="n">
        <v>55174</v>
      </c>
      <c r="F190" s="12" t="n">
        <v>54432</v>
      </c>
      <c r="G190" s="12" t="n">
        <v>56797</v>
      </c>
      <c r="H190" s="12" t="n">
        <v>46827</v>
      </c>
      <c r="I190" s="12" t="n">
        <v>50620</v>
      </c>
      <c r="J190" s="12" t="n">
        <v>63483</v>
      </c>
      <c r="K190" s="12" t="n">
        <v>58730</v>
      </c>
      <c r="L190" s="12" t="n">
        <v>52451</v>
      </c>
      <c r="M190" s="12" t="n">
        <v>56809</v>
      </c>
      <c r="N190" s="12" t="n">
        <v>75574</v>
      </c>
      <c r="V190" s="12" t="n">
        <v>53796</v>
      </c>
      <c r="W190" s="12" t="n">
        <v>46827</v>
      </c>
      <c r="X190" s="12" t="n">
        <v>52451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일본 · 부문 이익</t>
        </is>
      </c>
      <c r="C192" s="20" t="n">
        <v>8392</v>
      </c>
      <c r="D192" s="20" t="n">
        <v>9874</v>
      </c>
      <c r="E192" s="20" t="n">
        <v>11298</v>
      </c>
      <c r="F192" s="20" t="n">
        <v>11102</v>
      </c>
      <c r="G192" s="20" t="n">
        <v>7210</v>
      </c>
      <c r="H192" s="20" t="n">
        <v>4695</v>
      </c>
      <c r="I192" s="20" t="n">
        <v>7879</v>
      </c>
      <c r="J192" s="20" t="n">
        <v>7347</v>
      </c>
      <c r="K192" s="20" t="n">
        <v>7232</v>
      </c>
      <c r="L192" s="20" t="n">
        <v>8905</v>
      </c>
      <c r="M192" s="20" t="n">
        <v>9217</v>
      </c>
      <c r="N192" s="20" t="n">
        <v>8127</v>
      </c>
      <c r="V192" s="20" t="n">
        <v>9874</v>
      </c>
      <c r="W192" s="20" t="n">
        <v>4695</v>
      </c>
      <c r="X192" s="20" t="n">
        <v>8905</v>
      </c>
    </row>
    <row r="193">
      <c r="A193" s="43" t="inlineStr">
        <is>
          <t>OPM</t>
        </is>
      </c>
      <c r="B193" s="3" t="inlineStr">
        <is>
          <t>영업이익 ÷ 매출</t>
        </is>
      </c>
      <c r="C193" s="15">
        <f>IF(OR(C192="",C177=""),"",IF(C177&lt;=0,"",IFERROR(C192/C177,"")))</f>
        <v/>
      </c>
      <c r="D193" s="15">
        <f>IF(OR(D192="",D177=""),"",IF(D177&lt;=0,"",IFERROR(D192/D177,"")))</f>
        <v/>
      </c>
      <c r="E193" s="15">
        <f>IF(OR(E192="",E177=""),"",IF(E177&lt;=0,"",IFERROR(E192/E177,"")))</f>
        <v/>
      </c>
      <c r="F193" s="15">
        <f>IF(OR(F192="",F177=""),"",IF(F177&lt;=0,"",IFERROR(F192/F177,"")))</f>
        <v/>
      </c>
      <c r="G193" s="15">
        <f>IF(OR(G192="",G177=""),"",IF(G177&lt;=0,"",IFERROR(G192/G177,"")))</f>
        <v/>
      </c>
      <c r="H193" s="15">
        <f>IF(OR(H192="",H177=""),"",IF(H177&lt;=0,"",IFERROR(H192/H177,"")))</f>
        <v/>
      </c>
      <c r="I193" s="15">
        <f>IF(OR(I192="",I177=""),"",IF(I177&lt;=0,"",IFERROR(I192/I177,"")))</f>
        <v/>
      </c>
      <c r="J193" s="15">
        <f>IF(OR(J192="",J177=""),"",IF(J177&lt;=0,"",IFERROR(J192/J177,"")))</f>
        <v/>
      </c>
      <c r="K193" s="15">
        <f>IF(OR(K192="",K177=""),"",IF(K177&lt;=0,"",IFERROR(K192/K177,"")))</f>
        <v/>
      </c>
      <c r="L193" s="15">
        <f>IF(OR(L192="",L177=""),"",IF(L177&lt;=0,"",IFERROR(L192/L177,"")))</f>
        <v/>
      </c>
      <c r="M193" s="15">
        <f>IF(OR(M192="",M177=""),"",IF(M177&lt;=0,"",IFERROR(M192/M177,"")))</f>
        <v/>
      </c>
      <c r="N193" s="15">
        <f>IF(OR(N192="",N177=""),"",IF(N177&lt;=0,"",IFERROR(N192/N177,"")))</f>
        <v/>
      </c>
      <c r="V193" s="15">
        <f>IF(OR(V192="",V177=""),"",IF(V177&lt;=0,"",IFERROR(V192/V177,"")))</f>
        <v/>
      </c>
      <c r="W193" s="15">
        <f>IF(OR(W192="",W177=""),"",IF(W177&lt;=0,"",IFERROR(W192/W177,"")))</f>
        <v/>
      </c>
      <c r="X193" s="15">
        <f>IF(OR(X192="",X177=""),"",IF(X177&lt;=0,"",IFERROR(X192/X177,"")))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IF(OR(G192="",C192=""),"",IF(C192&lt;=0,"",IFERROR(G192/C192-1,"")))</f>
        <v/>
      </c>
      <c r="H194" s="15">
        <f>IF(OR(H192="",D192=""),"",IF(D192&lt;=0,"",IFERROR(H192/D192-1,"")))</f>
        <v/>
      </c>
      <c r="I194" s="15">
        <f>IF(OR(I192="",E192=""),"",IF(E192&lt;=0,"",IFERROR(I192/E192-1,"")))</f>
        <v/>
      </c>
      <c r="J194" s="15">
        <f>IF(OR(J192="",F192=""),"",IF(F192&lt;=0,"",IFERROR(J192/F192-1,"")))</f>
        <v/>
      </c>
      <c r="K194" s="15">
        <f>IF(OR(K192="",G192=""),"",IF(G192&lt;=0,"",IFERROR(K192/G192-1,"")))</f>
        <v/>
      </c>
      <c r="L194" s="15">
        <f>IF(OR(L192="",H192=""),"",IF(H192&lt;=0,"",IFERROR(L192/H192-1,"")))</f>
        <v/>
      </c>
      <c r="M194" s="15">
        <f>IF(OR(M192="",I192=""),"",IF(I192&lt;=0,"",IFERROR(M192/I192-1,"")))</f>
        <v/>
      </c>
      <c r="N194" s="15">
        <f>IF(OR(N192="",J192=""),"",IF(J192&lt;=0,"",IFERROR(N192/J192-1,"")))</f>
        <v/>
      </c>
      <c r="V194" s="15">
        <f>IF(OR(V192="",U192=""),"",IF(U192&lt;=0,"",IFERROR(V192/U192-1,"")))</f>
        <v/>
      </c>
      <c r="W194" s="15">
        <f>IF(OR(W192="",V192=""),"",IF(V192&lt;=0,"",IFERROR(W192/V192-1,"")))</f>
        <v/>
      </c>
      <c r="X194" s="15">
        <f>IF(OR(X192="",W192=""),"",IF(W192&lt;=0,"",IFERROR(X192/W192-1,"")))</f>
        <v/>
      </c>
    </row>
    <row r="195">
      <c r="A195" s="18" t="inlineStr">
        <is>
          <t>미국 · 부문 이익</t>
        </is>
      </c>
      <c r="C195" s="20" t="n">
        <v>2483</v>
      </c>
      <c r="D195" s="20" t="n">
        <v>3220</v>
      </c>
      <c r="E195" s="20" t="n">
        <v>3873</v>
      </c>
      <c r="F195" s="20" t="n">
        <v>3102</v>
      </c>
      <c r="G195" s="20" t="n">
        <v>3137</v>
      </c>
      <c r="H195" s="20" t="n">
        <v>799</v>
      </c>
      <c r="I195" s="20" t="n">
        <v>2234</v>
      </c>
      <c r="J195" s="20" t="n">
        <v>2192</v>
      </c>
      <c r="K195" s="20" t="n">
        <v>1734</v>
      </c>
      <c r="L195" s="20" t="n">
        <v>575</v>
      </c>
      <c r="M195" s="20" t="n">
        <v>1522</v>
      </c>
      <c r="N195" s="20" t="n">
        <v>2715</v>
      </c>
      <c r="V195" s="20" t="n">
        <v>3220</v>
      </c>
      <c r="W195" s="20" t="n">
        <v>799</v>
      </c>
      <c r="X195" s="20" t="n">
        <v>575</v>
      </c>
    </row>
    <row r="196">
      <c r="A196" s="43" t="inlineStr">
        <is>
          <t>OPM</t>
        </is>
      </c>
      <c r="B196" s="3" t="inlineStr">
        <is>
          <t>영업이익 ÷ 매출</t>
        </is>
      </c>
      <c r="C196" s="15">
        <f>IF(OR(C195="",C179=""),"",IF(C179&lt;=0,"",IFERROR(C195/C179,"")))</f>
        <v/>
      </c>
      <c r="D196" s="15">
        <f>IF(OR(D195="",D179=""),"",IF(D179&lt;=0,"",IFERROR(D195/D179,"")))</f>
        <v/>
      </c>
      <c r="E196" s="15">
        <f>IF(OR(E195="",E179=""),"",IF(E179&lt;=0,"",IFERROR(E195/E179,"")))</f>
        <v/>
      </c>
      <c r="F196" s="15">
        <f>IF(OR(F195="",F179=""),"",IF(F179&lt;=0,"",IFERROR(F195/F179,"")))</f>
        <v/>
      </c>
      <c r="G196" s="15">
        <f>IF(OR(G195="",G179=""),"",IF(G179&lt;=0,"",IFERROR(G195/G179,"")))</f>
        <v/>
      </c>
      <c r="H196" s="15">
        <f>IF(OR(H195="",H179=""),"",IF(H179&lt;=0,"",IFERROR(H195/H179,"")))</f>
        <v/>
      </c>
      <c r="I196" s="15">
        <f>IF(OR(I195="",I179=""),"",IF(I179&lt;=0,"",IFERROR(I195/I179,"")))</f>
        <v/>
      </c>
      <c r="J196" s="15">
        <f>IF(OR(J195="",J179=""),"",IF(J179&lt;=0,"",IFERROR(J195/J179,"")))</f>
        <v/>
      </c>
      <c r="K196" s="15">
        <f>IF(OR(K195="",K179=""),"",IF(K179&lt;=0,"",IFERROR(K195/K179,"")))</f>
        <v/>
      </c>
      <c r="L196" s="15">
        <f>IF(OR(L195="",L179=""),"",IF(L179&lt;=0,"",IFERROR(L195/L179,"")))</f>
        <v/>
      </c>
      <c r="M196" s="15">
        <f>IF(OR(M195="",M179=""),"",IF(M179&lt;=0,"",IFERROR(M195/M179,"")))</f>
        <v/>
      </c>
      <c r="N196" s="15">
        <f>IF(OR(N195="",N179=""),"",IF(N179&lt;=0,"",IFERROR(N195/N179,"")))</f>
        <v/>
      </c>
      <c r="V196" s="15">
        <f>IF(OR(V195="",V179=""),"",IF(V179&lt;=0,"",IFERROR(V195/V179,"")))</f>
        <v/>
      </c>
      <c r="W196" s="15">
        <f>IF(OR(W195="",W179=""),"",IF(W179&lt;=0,"",IFERROR(W195/W179,"")))</f>
        <v/>
      </c>
      <c r="X196" s="15">
        <f>IF(OR(X195="",X179=""),"",IF(X179&lt;=0,"",IFERROR(X195/X179,"")))</f>
        <v/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IF(OR(G195="",C195=""),"",IF(C195&lt;=0,"",IFERROR(G195/C195-1,"")))</f>
        <v/>
      </c>
      <c r="H197" s="15">
        <f>IF(OR(H195="",D195=""),"",IF(D195&lt;=0,"",IFERROR(H195/D195-1,"")))</f>
        <v/>
      </c>
      <c r="I197" s="15">
        <f>IF(OR(I195="",E195=""),"",IF(E195&lt;=0,"",IFERROR(I195/E195-1,"")))</f>
        <v/>
      </c>
      <c r="J197" s="15">
        <f>IF(OR(J195="",F195=""),"",IF(F195&lt;=0,"",IFERROR(J195/F195-1,"")))</f>
        <v/>
      </c>
      <c r="K197" s="15">
        <f>IF(OR(K195="",G195=""),"",IF(G195&lt;=0,"",IFERROR(K195/G195-1,"")))</f>
        <v/>
      </c>
      <c r="L197" s="15">
        <f>IF(OR(L195="",H195=""),"",IF(H195&lt;=0,"",IFERROR(L195/H195-1,"")))</f>
        <v/>
      </c>
      <c r="M197" s="15">
        <f>IF(OR(M195="",I195=""),"",IF(I195&lt;=0,"",IFERROR(M195/I195-1,"")))</f>
        <v/>
      </c>
      <c r="N197" s="15">
        <f>IF(OR(N195="",J195=""),"",IF(J195&lt;=0,"",IFERROR(N195/J195-1,"")))</f>
        <v/>
      </c>
      <c r="V197" s="15">
        <f>IF(OR(V195="",U195=""),"",IF(U195&lt;=0,"",IFERROR(V195/U195-1,"")))</f>
        <v/>
      </c>
      <c r="W197" s="15">
        <f>IF(OR(W195="",V195=""),"",IF(V195&lt;=0,"",IFERROR(W195/V195-1,"")))</f>
        <v/>
      </c>
      <c r="X197" s="15">
        <f>IF(OR(X195="",W195=""),"",IF(W195&lt;=0,"",IFERROR(X195/W195-1,"")))</f>
        <v/>
      </c>
    </row>
    <row r="198">
      <c r="A198" s="18" t="inlineStr">
        <is>
          <t>영국 · 부문 이익</t>
        </is>
      </c>
      <c r="C198" s="20" t="n">
        <v>101</v>
      </c>
      <c r="D198" s="20" t="n">
        <v>-31</v>
      </c>
      <c r="E198" s="20" t="n">
        <v>9</v>
      </c>
      <c r="F198" s="20" t="n">
        <v>101</v>
      </c>
      <c r="G198" s="20" t="n">
        <v>171</v>
      </c>
      <c r="H198" s="20" t="n">
        <v>218</v>
      </c>
      <c r="I198" s="20" t="n">
        <v>295</v>
      </c>
      <c r="J198" s="20" t="n">
        <v>433</v>
      </c>
      <c r="K198" s="20" t="n">
        <v>289</v>
      </c>
      <c r="L198" s="20" t="n">
        <v>221</v>
      </c>
      <c r="M198" s="20" t="n">
        <v>332</v>
      </c>
      <c r="N198" s="20" t="n">
        <v>558</v>
      </c>
      <c r="V198" s="20" t="n">
        <v>-31</v>
      </c>
      <c r="W198" s="20" t="n">
        <v>218</v>
      </c>
      <c r="X198" s="20" t="n">
        <v>221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IF(OR(C198="",C181=""),"",IF(C181&lt;=0,"",IFERROR(C198/C181,"")))</f>
        <v/>
      </c>
      <c r="D199" s="15">
        <f>IF(OR(D198="",D181=""),"",IF(D181&lt;=0,"",IFERROR(D198/D181,"")))</f>
        <v/>
      </c>
      <c r="E199" s="15">
        <f>IF(OR(E198="",E181=""),"",IF(E181&lt;=0,"",IFERROR(E198/E181,"")))</f>
        <v/>
      </c>
      <c r="F199" s="15">
        <f>IF(OR(F198="",F181=""),"",IF(F181&lt;=0,"",IFERROR(F198/F181,"")))</f>
        <v/>
      </c>
      <c r="G199" s="15">
        <f>IF(OR(G198="",G181=""),"",IF(G181&lt;=0,"",IFERROR(G198/G181,"")))</f>
        <v/>
      </c>
      <c r="H199" s="15">
        <f>IF(OR(H198="",H181=""),"",IF(H181&lt;=0,"",IFERROR(H198/H181,"")))</f>
        <v/>
      </c>
      <c r="I199" s="15">
        <f>IF(OR(I198="",I181=""),"",IF(I181&lt;=0,"",IFERROR(I198/I181,"")))</f>
        <v/>
      </c>
      <c r="J199" s="15">
        <f>IF(OR(J198="",J181=""),"",IF(J181&lt;=0,"",IFERROR(J198/J181,"")))</f>
        <v/>
      </c>
      <c r="K199" s="15">
        <f>IF(OR(K198="",K181=""),"",IF(K181&lt;=0,"",IFERROR(K198/K181,"")))</f>
        <v/>
      </c>
      <c r="L199" s="15">
        <f>IF(OR(L198="",L181=""),"",IF(L181&lt;=0,"",IFERROR(L198/L181,"")))</f>
        <v/>
      </c>
      <c r="M199" s="15">
        <f>IF(OR(M198="",M181=""),"",IF(M181&lt;=0,"",IFERROR(M198/M181,"")))</f>
        <v/>
      </c>
      <c r="N199" s="15">
        <f>IF(OR(N198="",N181=""),"",IF(N181&lt;=0,"",IFERROR(N198/N181,"")))</f>
        <v/>
      </c>
      <c r="V199" s="15">
        <f>IF(OR(V198="",V181=""),"",IF(V181&lt;=0,"",IFERROR(V198/V181,"")))</f>
        <v/>
      </c>
      <c r="W199" s="15">
        <f>IF(OR(W198="",W181=""),"",IF(W181&lt;=0,"",IFERROR(W198/W181,"")))</f>
        <v/>
      </c>
      <c r="X199" s="15">
        <f>IF(OR(X198="",X181=""),"",IF(X181&lt;=0,"",IFERROR(X198/X181,"")))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K200" s="15">
        <f>IF(OR(K198="",G198=""),"",IF(G198&lt;=0,"",IFERROR(K198/G198-1,"")))</f>
        <v/>
      </c>
      <c r="L200" s="15">
        <f>IF(OR(L198="",H198=""),"",IF(H198&lt;=0,"",IFERROR(L198/H198-1,"")))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  <c r="V200" s="15">
        <f>IF(OR(V198="",U198=""),"",IF(U198&lt;=0,"",IFERROR(V198/U198-1,"")))</f>
        <v/>
      </c>
      <c r="W200" s="15">
        <f>IF(OR(W198="",V198=""),"",IF(V198&lt;=0,"",IFERROR(W198/V198-1,"")))</f>
        <v/>
      </c>
      <c r="X200" s="15">
        <f>IF(OR(X198="",W198=""),"",IF(W198&lt;=0,"",IFERROR(X198/W198-1,"")))</f>
        <v/>
      </c>
    </row>
    <row r="201">
      <c r="A201" s="18" t="inlineStr">
        <is>
          <t>프랑스 · 부문 이익</t>
        </is>
      </c>
      <c r="C201" s="20" t="n">
        <v>273</v>
      </c>
      <c r="D201" s="20" t="n">
        <v>179</v>
      </c>
      <c r="E201" s="20" t="n">
        <v>334</v>
      </c>
      <c r="F201" s="20" t="n">
        <v>199</v>
      </c>
      <c r="G201" s="20" t="n">
        <v>193</v>
      </c>
      <c r="H201" s="20" t="n">
        <v>90</v>
      </c>
      <c r="I201" s="20" t="n">
        <v>157</v>
      </c>
      <c r="J201" s="20" t="n">
        <v>164</v>
      </c>
      <c r="K201" s="20" t="n">
        <v>185</v>
      </c>
      <c r="L201" s="20" t="n">
        <v>72</v>
      </c>
      <c r="M201" s="20" t="n">
        <v>79</v>
      </c>
      <c r="N201" s="20" t="n">
        <v>152</v>
      </c>
      <c r="V201" s="20" t="n">
        <v>179</v>
      </c>
      <c r="W201" s="20" t="n">
        <v>90</v>
      </c>
      <c r="X201" s="20" t="n">
        <v>72</v>
      </c>
    </row>
    <row r="202">
      <c r="A202" s="43" t="inlineStr">
        <is>
          <t>OPM</t>
        </is>
      </c>
      <c r="B202" s="3" t="inlineStr">
        <is>
          <t>영업이익 ÷ 매출</t>
        </is>
      </c>
      <c r="C202" s="15">
        <f>IF(OR(C201="",C183=""),"",IF(C183&lt;=0,"",IFERROR(C201/C183,"")))</f>
        <v/>
      </c>
      <c r="D202" s="15">
        <f>IF(OR(D201="",D183=""),"",IF(D183&lt;=0,"",IFERROR(D201/D183,"")))</f>
        <v/>
      </c>
      <c r="E202" s="15">
        <f>IF(OR(E201="",E183=""),"",IF(E183&lt;=0,"",IFERROR(E201/E183,"")))</f>
        <v/>
      </c>
      <c r="F202" s="15">
        <f>IF(OR(F201="",F183=""),"",IF(F183&lt;=0,"",IFERROR(F201/F183,"")))</f>
        <v/>
      </c>
      <c r="G202" s="15">
        <f>IF(OR(G201="",G183=""),"",IF(G183&lt;=0,"",IFERROR(G201/G183,"")))</f>
        <v/>
      </c>
      <c r="H202" s="15">
        <f>IF(OR(H201="",H183=""),"",IF(H183&lt;=0,"",IFERROR(H201/H183,"")))</f>
        <v/>
      </c>
      <c r="I202" s="15">
        <f>IF(OR(I201="",I183=""),"",IF(I183&lt;=0,"",IFERROR(I201/I183,"")))</f>
        <v/>
      </c>
      <c r="J202" s="15">
        <f>IF(OR(J201="",J183=""),"",IF(J183&lt;=0,"",IFERROR(J201/J183,"")))</f>
        <v/>
      </c>
      <c r="K202" s="15">
        <f>IF(OR(K201="",K183=""),"",IF(K183&lt;=0,"",IFERROR(K201/K183,"")))</f>
        <v/>
      </c>
      <c r="L202" s="15">
        <f>IF(OR(L201="",L183=""),"",IF(L183&lt;=0,"",IFERROR(L201/L183,"")))</f>
        <v/>
      </c>
      <c r="M202" s="15">
        <f>IF(OR(M201="",M183=""),"",IF(M183&lt;=0,"",IFERROR(M201/M183,"")))</f>
        <v/>
      </c>
      <c r="N202" s="15">
        <f>IF(OR(N201="",N183=""),"",IF(N183&lt;=0,"",IFERROR(N201/N183,"")))</f>
        <v/>
      </c>
      <c r="V202" s="15">
        <f>IF(OR(V201="",V183=""),"",IF(V183&lt;=0,"",IFERROR(V201/V183,"")))</f>
        <v/>
      </c>
      <c r="W202" s="15">
        <f>IF(OR(W201="",W183=""),"",IF(W183&lt;=0,"",IFERROR(W201/W183,"")))</f>
        <v/>
      </c>
      <c r="X202" s="15">
        <f>IF(OR(X201="",X183=""),"",IF(X183&lt;=0,"",IFERROR(X201/X183,"")))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IF(OR(G201="",C201=""),"",IF(C201&lt;=0,"",IFERROR(G201/C201-1,"")))</f>
        <v/>
      </c>
      <c r="H203" s="15">
        <f>IF(OR(H201="",D201=""),"",IF(D201&lt;=0,"",IFERROR(H201/D201-1,"")))</f>
        <v/>
      </c>
      <c r="I203" s="15">
        <f>IF(OR(I201="",E201=""),"",IF(E201&lt;=0,"",IFERROR(I201/E201-1,"")))</f>
        <v/>
      </c>
      <c r="J203" s="15">
        <f>IF(OR(J201="",F201=""),"",IF(F201&lt;=0,"",IFERROR(J201/F201-1,"")))</f>
        <v/>
      </c>
      <c r="K203" s="15">
        <f>IF(OR(K201="",G201=""),"",IF(G201&lt;=0,"",IFERROR(K201/G201-1,"")))</f>
        <v/>
      </c>
      <c r="L203" s="15">
        <f>IF(OR(L201="",H201=""),"",IF(H201&lt;=0,"",IFERROR(L201/H201-1,"")))</f>
        <v/>
      </c>
      <c r="M203" s="15">
        <f>IF(OR(M201="",I201=""),"",IF(I201&lt;=0,"",IFERROR(M201/I201-1,"")))</f>
        <v/>
      </c>
      <c r="N203" s="15">
        <f>IF(OR(N201="",J201=""),"",IF(J201&lt;=0,"",IFERROR(N201/J201-1,"")))</f>
        <v/>
      </c>
      <c r="V203" s="15">
        <f>IF(OR(V201="",U201=""),"",IF(U201&lt;=0,"",IFERROR(V201/U201-1,"")))</f>
        <v/>
      </c>
      <c r="W203" s="15">
        <f>IF(OR(W201="",V201=""),"",IF(V201&lt;=0,"",IFERROR(W201/V201-1,"")))</f>
        <v/>
      </c>
      <c r="X203" s="15">
        <f>IF(OR(X201="",W201=""),"",IF(W201&lt;=0,"",IFERROR(X201/W201-1,"")))</f>
        <v/>
      </c>
    </row>
    <row r="204">
      <c r="A204" s="18" t="inlineStr">
        <is>
          <t>중국 · 부문 이익</t>
        </is>
      </c>
      <c r="C204" s="20" t="n">
        <v>51</v>
      </c>
      <c r="D204" s="20" t="n">
        <v>62</v>
      </c>
      <c r="E204" s="20" t="n">
        <v>73</v>
      </c>
      <c r="F204" s="20" t="n">
        <v>119</v>
      </c>
      <c r="G204" s="20" t="n">
        <v>66</v>
      </c>
      <c r="H204" s="20" t="n">
        <v>39</v>
      </c>
      <c r="I204" s="20" t="n">
        <v>71</v>
      </c>
      <c r="J204" s="20" t="n">
        <v>43</v>
      </c>
      <c r="K204" s="20" t="n">
        <v>74</v>
      </c>
      <c r="L204" s="20" t="n">
        <v>66</v>
      </c>
      <c r="M204" s="20" t="n">
        <v>153</v>
      </c>
      <c r="N204" s="20" t="n">
        <v>148</v>
      </c>
      <c r="V204" s="20" t="n">
        <v>62</v>
      </c>
      <c r="W204" s="20" t="n">
        <v>39</v>
      </c>
      <c r="X204" s="20" t="n">
        <v>66</v>
      </c>
    </row>
    <row r="205">
      <c r="A205" s="43" t="inlineStr">
        <is>
          <t>OPM</t>
        </is>
      </c>
      <c r="B205" s="3" t="inlineStr">
        <is>
          <t>영업이익 ÷ 매출</t>
        </is>
      </c>
      <c r="C205" s="15">
        <f>IF(OR(C204="",C185=""),"",IF(C185&lt;=0,"",IFERROR(C204/C185,"")))</f>
        <v/>
      </c>
      <c r="D205" s="15">
        <f>IF(OR(D204="",D185=""),"",IF(D185&lt;=0,"",IFERROR(D204/D185,"")))</f>
        <v/>
      </c>
      <c r="E205" s="15">
        <f>IF(OR(E204="",E185=""),"",IF(E185&lt;=0,"",IFERROR(E204/E185,"")))</f>
        <v/>
      </c>
      <c r="F205" s="15">
        <f>IF(OR(F204="",F185=""),"",IF(F185&lt;=0,"",IFERROR(F204/F185,"")))</f>
        <v/>
      </c>
      <c r="G205" s="15">
        <f>IF(OR(G204="",G185=""),"",IF(G185&lt;=0,"",IFERROR(G204/G185,"")))</f>
        <v/>
      </c>
      <c r="H205" s="15">
        <f>IF(OR(H204="",H185=""),"",IF(H185&lt;=0,"",IFERROR(H204/H185,"")))</f>
        <v/>
      </c>
      <c r="I205" s="15">
        <f>IF(OR(I204="",I185=""),"",IF(I185&lt;=0,"",IFERROR(I204/I185,"")))</f>
        <v/>
      </c>
      <c r="J205" s="15">
        <f>IF(OR(J204="",J185=""),"",IF(J185&lt;=0,"",IFERROR(J204/J185,"")))</f>
        <v/>
      </c>
      <c r="K205" s="15">
        <f>IF(OR(K204="",K185=""),"",IF(K185&lt;=0,"",IFERROR(K204/K185,"")))</f>
        <v/>
      </c>
      <c r="L205" s="15">
        <f>IF(OR(L204="",L185=""),"",IF(L185&lt;=0,"",IFERROR(L204/L185,"")))</f>
        <v/>
      </c>
      <c r="M205" s="15">
        <f>IF(OR(M204="",M185=""),"",IF(M185&lt;=0,"",IFERROR(M204/M185,"")))</f>
        <v/>
      </c>
      <c r="N205" s="15">
        <f>IF(OR(N204="",N185=""),"",IF(N185&lt;=0,"",IFERROR(N204/N185,"")))</f>
        <v/>
      </c>
      <c r="V205" s="15">
        <f>IF(OR(V204="",V185=""),"",IF(V185&lt;=0,"",IFERROR(V204/V185,"")))</f>
        <v/>
      </c>
      <c r="W205" s="15">
        <f>IF(OR(W204="",W185=""),"",IF(W185&lt;=0,"",IFERROR(W204/W185,"")))</f>
        <v/>
      </c>
      <c r="X205" s="15">
        <f>IF(OR(X204="",X185=""),"",IF(X185&lt;=0,"",IFERROR(X204/X185,"")))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IF(OR(G204="",C204=""),"",IF(C204&lt;=0,"",IFERROR(G204/C204-1,"")))</f>
        <v/>
      </c>
      <c r="H206" s="15">
        <f>IF(OR(H204="",D204=""),"",IF(D204&lt;=0,"",IFERROR(H204/D204-1,"")))</f>
        <v/>
      </c>
      <c r="I206" s="15">
        <f>IF(OR(I204="",E204=""),"",IF(E204&lt;=0,"",IFERROR(I204/E204-1,"")))</f>
        <v/>
      </c>
      <c r="J206" s="15">
        <f>IF(OR(J204="",F204=""),"",IF(F204&lt;=0,"",IFERROR(J204/F204-1,"")))</f>
        <v/>
      </c>
      <c r="K206" s="15">
        <f>IF(OR(K204="",G204=""),"",IF(G204&lt;=0,"",IFERROR(K204/G204-1,"")))</f>
        <v/>
      </c>
      <c r="L206" s="15">
        <f>IF(OR(L204="",H204=""),"",IF(H204&lt;=0,"",IFERROR(L204/H204-1,"")))</f>
        <v/>
      </c>
      <c r="M206" s="15">
        <f>IF(OR(M204="",I204=""),"",IF(I204&lt;=0,"",IFERROR(M204/I204-1,"")))</f>
        <v/>
      </c>
      <c r="N206" s="15">
        <f>IF(OR(N204="",J204=""),"",IF(J204&lt;=0,"",IFERROR(N204/J204-1,"")))</f>
        <v/>
      </c>
      <c r="V206" s="15">
        <f>IF(OR(V204="",U204=""),"",IF(U204&lt;=0,"",IFERROR(V204/U204-1,"")))</f>
        <v/>
      </c>
      <c r="W206" s="15">
        <f>IF(OR(W204="",V204=""),"",IF(V204&lt;=0,"",IFERROR(W204/V204-1,"")))</f>
        <v/>
      </c>
      <c r="X206" s="15">
        <f>IF(OR(X204="",W204=""),"",IF(W204&lt;=0,"",IFERROR(X204/W204-1,"")))</f>
        <v/>
      </c>
    </row>
    <row r="207">
      <c r="A207" s="18" t="inlineStr">
        <is>
          <t>합계 · 부문 이익</t>
        </is>
      </c>
      <c r="C207" s="20" t="n">
        <v>11301</v>
      </c>
      <c r="D207" s="20" t="n">
        <v>13304</v>
      </c>
      <c r="E207" s="20" t="n">
        <v>15590</v>
      </c>
      <c r="F207" s="20" t="n">
        <v>14622</v>
      </c>
      <c r="G207" s="20" t="n">
        <v>10776</v>
      </c>
      <c r="H207" s="20" t="n">
        <v>5842</v>
      </c>
      <c r="I207" s="20" t="n">
        <v>10639</v>
      </c>
      <c r="J207" s="20" t="n">
        <v>10179</v>
      </c>
      <c r="K207" s="20" t="n">
        <v>9513</v>
      </c>
      <c r="L207" s="20" t="n">
        <v>9839</v>
      </c>
      <c r="M207" s="20" t="n">
        <v>11305</v>
      </c>
      <c r="N207" s="20" t="n">
        <v>11699</v>
      </c>
      <c r="V207" s="20" t="n">
        <v>13304</v>
      </c>
      <c r="W207" s="20" t="n">
        <v>5842</v>
      </c>
      <c r="X207" s="20" t="n">
        <v>9839</v>
      </c>
    </row>
    <row r="208">
      <c r="A208" s="43" t="inlineStr">
        <is>
          <t>OPM</t>
        </is>
      </c>
      <c r="B208" s="3" t="inlineStr">
        <is>
          <t>영업이익 ÷ 매출</t>
        </is>
      </c>
      <c r="C208" s="15">
        <f>IF(OR(C207="",C187=""),"",IF(C187&lt;=0,"",IFERROR(C207/C187,"")))</f>
        <v/>
      </c>
      <c r="D208" s="15">
        <f>IF(OR(D207="",D187=""),"",IF(D187&lt;=0,"",IFERROR(D207/D187,"")))</f>
        <v/>
      </c>
      <c r="E208" s="15">
        <f>IF(OR(E207="",E187=""),"",IF(E187&lt;=0,"",IFERROR(E207/E187,"")))</f>
        <v/>
      </c>
      <c r="F208" s="15">
        <f>IF(OR(F207="",F187=""),"",IF(F187&lt;=0,"",IFERROR(F207/F187,"")))</f>
        <v/>
      </c>
      <c r="G208" s="15">
        <f>IF(OR(G207="",G187=""),"",IF(G187&lt;=0,"",IFERROR(G207/G187,"")))</f>
        <v/>
      </c>
      <c r="H208" s="15">
        <f>IF(OR(H207="",H187=""),"",IF(H187&lt;=0,"",IFERROR(H207/H187,"")))</f>
        <v/>
      </c>
      <c r="I208" s="15">
        <f>IF(OR(I207="",I187=""),"",IF(I187&lt;=0,"",IFERROR(I207/I187,"")))</f>
        <v/>
      </c>
      <c r="J208" s="15">
        <f>IF(OR(J207="",J187=""),"",IF(J187&lt;=0,"",IFERROR(J207/J187,"")))</f>
        <v/>
      </c>
      <c r="K208" s="15">
        <f>IF(OR(K207="",K187=""),"",IF(K187&lt;=0,"",IFERROR(K207/K187,"")))</f>
        <v/>
      </c>
      <c r="L208" s="15">
        <f>IF(OR(L207="",L187=""),"",IF(L187&lt;=0,"",IFERROR(L207/L187,"")))</f>
        <v/>
      </c>
      <c r="M208" s="15">
        <f>IF(OR(M207="",M187=""),"",IF(M187&lt;=0,"",IFERROR(M207/M187,"")))</f>
        <v/>
      </c>
      <c r="N208" s="15">
        <f>IF(OR(N207="",N187=""),"",IF(N187&lt;=0,"",IFERROR(N207/N187,"")))</f>
        <v/>
      </c>
      <c r="V208" s="15">
        <f>IF(OR(V207="",V187=""),"",IF(V187&lt;=0,"",IFERROR(V207/V187,"")))</f>
        <v/>
      </c>
      <c r="W208" s="15">
        <f>IF(OR(W207="",W187=""),"",IF(W187&lt;=0,"",IFERROR(W207/W187,"")))</f>
        <v/>
      </c>
      <c r="X208" s="15">
        <f>IF(OR(X207="",X187=""),"",IF(X187&lt;=0,"",IFERROR(X207/X187,"")))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IF(OR(G207="",C207=""),"",IF(C207&lt;=0,"",IFERROR(G207/C207-1,"")))</f>
        <v/>
      </c>
      <c r="H209" s="15">
        <f>IF(OR(H207="",D207=""),"",IF(D207&lt;=0,"",IFERROR(H207/D207-1,"")))</f>
        <v/>
      </c>
      <c r="I209" s="15">
        <f>IF(OR(I207="",E207=""),"",IF(E207&lt;=0,"",IFERROR(I207/E207-1,"")))</f>
        <v/>
      </c>
      <c r="J209" s="15">
        <f>IF(OR(J207="",F207=""),"",IF(F207&lt;=0,"",IFERROR(J207/F207-1,"")))</f>
        <v/>
      </c>
      <c r="K209" s="15">
        <f>IF(OR(K207="",G207=""),"",IF(G207&lt;=0,"",IFERROR(K207/G207-1,"")))</f>
        <v/>
      </c>
      <c r="L209" s="15">
        <f>IF(OR(L207="",H207=""),"",IF(H207&lt;=0,"",IFERROR(L207/H207-1,"")))</f>
        <v/>
      </c>
      <c r="M209" s="15">
        <f>IF(OR(M207="",I207=""),"",IF(I207&lt;=0,"",IFERROR(M207/I207-1,"")))</f>
        <v/>
      </c>
      <c r="N209" s="15">
        <f>IF(OR(N207="",J207=""),"",IF(J207&lt;=0,"",IFERROR(N207/J207-1,"")))</f>
        <v/>
      </c>
      <c r="V209" s="15">
        <f>IF(OR(V207="",U207=""),"",IF(U207&lt;=0,"",IFERROR(V207/U207-1,"")))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0">
      <c r="A210" s="18" t="inlineStr">
        <is>
          <t>조정액 · 부문 이익</t>
        </is>
      </c>
      <c r="C210" s="20" t="n">
        <v>-2648</v>
      </c>
      <c r="D210" s="20" t="n">
        <v>-3629</v>
      </c>
      <c r="E210" s="20" t="n">
        <v>-4469</v>
      </c>
      <c r="F210" s="20" t="n">
        <v>-875</v>
      </c>
      <c r="G210" s="20" t="n">
        <v>-1828</v>
      </c>
      <c r="H210" s="20" t="n">
        <v>-2516</v>
      </c>
      <c r="I210" s="20" t="n">
        <v>359</v>
      </c>
      <c r="J210" s="20" t="n">
        <v>2225</v>
      </c>
      <c r="K210" s="20" t="n">
        <v>-1481</v>
      </c>
      <c r="L210" s="20" t="n">
        <v>-3586</v>
      </c>
      <c r="M210" s="20" t="n">
        <v>-1330</v>
      </c>
      <c r="N210" s="20" t="n">
        <v>2524</v>
      </c>
      <c r="V210" s="20" t="n">
        <v>-3629</v>
      </c>
      <c r="W210" s="20" t="n">
        <v>-2516</v>
      </c>
      <c r="X210" s="20" t="n">
        <v>-3586</v>
      </c>
    </row>
    <row r="211">
      <c r="A211" s="9" t="inlineStr">
        <is>
          <t>부문 이익</t>
        </is>
      </c>
      <c r="C211" s="12" t="n">
        <v>8652</v>
      </c>
      <c r="D211" s="12" t="n">
        <v>9675</v>
      </c>
      <c r="E211" s="12" t="n">
        <v>11121</v>
      </c>
      <c r="F211" s="12" t="n">
        <v>13746</v>
      </c>
      <c r="G211" s="12" t="n">
        <v>8948</v>
      </c>
      <c r="H211" s="12" t="n">
        <v>3327</v>
      </c>
      <c r="I211" s="12" t="n">
        <v>10998</v>
      </c>
      <c r="J211" s="12" t="n">
        <v>12404</v>
      </c>
      <c r="K211" s="12" t="n">
        <v>8032</v>
      </c>
      <c r="L211" s="12" t="n">
        <v>6253</v>
      </c>
      <c r="M211" s="12" t="n">
        <v>9975</v>
      </c>
      <c r="N211" s="12" t="n">
        <v>14223</v>
      </c>
      <c r="V211" s="12" t="n">
        <v>9675</v>
      </c>
      <c r="W211" s="12" t="n">
        <v>3327</v>
      </c>
      <c r="X211" s="12" t="n">
        <v>6253</v>
      </c>
    </row>
    <row r="212">
      <c r="A212" s="43" t="inlineStr">
        <is>
          <t>OPM</t>
        </is>
      </c>
      <c r="B212" s="3" t="inlineStr">
        <is>
          <t>영업이익 ÷ 매출</t>
        </is>
      </c>
      <c r="C212" s="15">
        <f>IF(OR(C211="",C167=""),"",IF(C167&lt;=0,"",IFERROR(C211/C167,"")))</f>
        <v/>
      </c>
      <c r="D212" s="15">
        <f>IF(OR(D211="",D167=""),"",IF(D167&lt;=0,"",IFERROR(D211/D167,"")))</f>
        <v/>
      </c>
      <c r="E212" s="15">
        <f>IF(OR(E211="",E167=""),"",IF(E167&lt;=0,"",IFERROR(E211/E167,"")))</f>
        <v/>
      </c>
      <c r="F212" s="15">
        <f>IF(OR(F211="",F167=""),"",IF(F167&lt;=0,"",IFERROR(F211/F167,"")))</f>
        <v/>
      </c>
      <c r="G212" s="15">
        <f>IF(OR(G211="",G167=""),"",IF(G167&lt;=0,"",IFERROR(G211/G167,"")))</f>
        <v/>
      </c>
      <c r="H212" s="15">
        <f>IF(OR(H211="",H167=""),"",IF(H167&lt;=0,"",IFERROR(H211/H167,"")))</f>
        <v/>
      </c>
      <c r="I212" s="15">
        <f>IF(OR(I211="",I167=""),"",IF(I167&lt;=0,"",IFERROR(I211/I167,"")))</f>
        <v/>
      </c>
      <c r="J212" s="15">
        <f>IF(OR(J211="",J167=""),"",IF(J167&lt;=0,"",IFERROR(J211/J167,"")))</f>
        <v/>
      </c>
      <c r="K212" s="15">
        <f>IF(OR(K211="",K167=""),"",IF(K167&lt;=0,"",IFERROR(K211/K167,"")))</f>
        <v/>
      </c>
      <c r="L212" s="15">
        <f>IF(OR(L211="",L167=""),"",IF(L167&lt;=0,"",IFERROR(L211/L167,"")))</f>
        <v/>
      </c>
      <c r="M212" s="15">
        <f>IF(OR(M211="",M167=""),"",IF(M167&lt;=0,"",IFERROR(M211/M167,"")))</f>
        <v/>
      </c>
      <c r="N212" s="15">
        <f>IF(OR(N211="",N167=""),"",IF(N167&lt;=0,"",IFERROR(N211/N167,"")))</f>
        <v/>
      </c>
      <c r="V212" s="15">
        <f>IF(OR(V211="",V167=""),"",IF(V167&lt;=0,"",IFERROR(V211/V167,"")))</f>
        <v/>
      </c>
      <c r="W212" s="15">
        <f>IF(OR(W211="",W167=""),"",IF(W167&lt;=0,"",IFERROR(W211/W167,"")))</f>
        <v/>
      </c>
      <c r="X212" s="15">
        <f>IF(OR(X211="",X167=""),"",IF(X167&lt;=0,"",IFERROR(X211/X167,"")))</f>
        <v/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G213" s="15">
        <f>IF(OR(G211="",C211=""),"",IF(C211&lt;=0,"",IFERROR(G211/C211-1,"")))</f>
        <v/>
      </c>
      <c r="H213" s="15">
        <f>IF(OR(H211="",D211=""),"",IF(D211&lt;=0,"",IFERROR(H211/D211-1,"")))</f>
        <v/>
      </c>
      <c r="I213" s="15">
        <f>IF(OR(I211="",E211=""),"",IF(E211&lt;=0,"",IFERROR(I211/E211-1,"")))</f>
        <v/>
      </c>
      <c r="J213" s="15">
        <f>IF(OR(J211="",F211=""),"",IF(F211&lt;=0,"",IFERROR(J211/F211-1,"")))</f>
        <v/>
      </c>
      <c r="K213" s="15">
        <f>IF(OR(K211="",G211=""),"",IF(G211&lt;=0,"",IFERROR(K211/G211-1,"")))</f>
        <v/>
      </c>
      <c r="L213" s="15">
        <f>IF(OR(L211="",H211=""),"",IF(H211&lt;=0,"",IFERROR(L211/H211-1,"")))</f>
        <v/>
      </c>
      <c r="M213" s="15">
        <f>IF(OR(M211="",I211=""),"",IF(I211&lt;=0,"",IFERROR(M211/I211-1,"")))</f>
        <v/>
      </c>
      <c r="N213" s="15">
        <f>IF(OR(N211="",J211=""),"",IF(J211&lt;=0,"",IFERROR(N211/J211-1,"")))</f>
        <v/>
      </c>
      <c r="V213" s="15">
        <f>IF(OR(V211="",U211=""),"",IF(U211&lt;=0,"",IFERROR(V211/U211-1,"")))</f>
        <v/>
      </c>
      <c r="W213" s="15">
        <f>IF(OR(W211="",V211=""),"",IF(V211&lt;=0,"",IFERROR(W211/V211-1,"")))</f>
        <v/>
      </c>
      <c r="X213" s="15">
        <f>IF(OR(X211="",W211=""),"",IF(W211&lt;=0,"",IFERROR(X211/W211-1,"")))</f>
        <v/>
      </c>
    </row>
    <row r="214">
      <c r="A214" s="18" t="inlineStr">
        <is>
          <t>일본 · 고객과의 계약에서 생기는 수익</t>
        </is>
      </c>
      <c r="E214" s="20" t="n">
        <v>15822</v>
      </c>
      <c r="I214" s="20" t="n">
        <v>17143</v>
      </c>
      <c r="M214" s="20" t="n">
        <v>17299</v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I215" s="15">
        <f>IF(OR(I214="",E214=""),"",IF(E214&lt;=0,"",IFERROR(I214/E214-1,"")))</f>
        <v/>
      </c>
      <c r="M215" s="15">
        <f>IF(OR(M214="",I214=""),"",IF(I214&lt;=0,"",IFERROR(M214/I214-1,"")))</f>
        <v/>
      </c>
    </row>
    <row r="216">
      <c r="A216" s="18" t="inlineStr">
        <is>
          <t>미국 · 고객과의 계약에서 생기는 수익</t>
        </is>
      </c>
      <c r="E216" s="20" t="n">
        <v>32359</v>
      </c>
      <c r="I216" s="20" t="n">
        <v>26866</v>
      </c>
      <c r="M216" s="20" t="n">
        <v>31180</v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I217" s="15">
        <f>IF(OR(I216="",E216=""),"",IF(E216&lt;=0,"",IFERROR(I216/E216-1,"")))</f>
        <v/>
      </c>
      <c r="M217" s="15">
        <f>IF(OR(M216="",I216=""),"",IF(I216&lt;=0,"",IFERROR(M216/I216-1,"")))</f>
        <v/>
      </c>
    </row>
    <row r="218">
      <c r="A218" s="18" t="inlineStr">
        <is>
          <t>영국 · 고객과의 계약에서 생기는 수익</t>
        </is>
      </c>
      <c r="E218" s="20" t="n">
        <v>3710</v>
      </c>
      <c r="I218" s="20" t="n">
        <v>4208</v>
      </c>
      <c r="M218" s="20" t="n">
        <v>5640</v>
      </c>
    </row>
    <row r="219">
      <c r="A219" s="43" t="inlineStr">
        <is>
          <t>YoY</t>
        </is>
      </c>
      <c r="B219" s="3" t="inlineStr">
        <is>
          <t>전년 같은 분기·전년 대비</t>
        </is>
      </c>
      <c r="I219" s="15">
        <f>IF(OR(I218="",E218=""),"",IF(E218&lt;=0,"",IFERROR(I218/E218-1,"")))</f>
        <v/>
      </c>
      <c r="M219" s="15">
        <f>IF(OR(M218="",I218=""),"",IF(I218&lt;=0,"",IFERROR(M218/I218-1,"")))</f>
        <v/>
      </c>
    </row>
    <row r="220">
      <c r="A220" s="18" t="inlineStr">
        <is>
          <t>프랑스 · 고객과의 계약에서 생기는 수익</t>
        </is>
      </c>
      <c r="E220" s="20" t="n">
        <v>3264</v>
      </c>
      <c r="I220" s="20" t="n">
        <v>2400</v>
      </c>
      <c r="M220" s="20" t="n">
        <v>2688</v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I221" s="15">
        <f>IF(OR(I220="",E220=""),"",IF(E220&lt;=0,"",IFERROR(I220/E220-1,"")))</f>
        <v/>
      </c>
      <c r="M221" s="15">
        <f>IF(OR(M220="",I220=""),"",IF(I220&lt;=0,"",IFERROR(M220/I220-1,"")))</f>
        <v/>
      </c>
    </row>
    <row r="222">
      <c r="A222" s="18" t="inlineStr">
        <is>
          <t>중국 · 고객과의 계약에서 생기는 수익</t>
        </is>
      </c>
      <c r="E222" s="20" t="n">
        <v>18</v>
      </c>
      <c r="I222" s="20" t="n">
        <v>1</v>
      </c>
      <c r="M222" s="20" t="n">
        <v>1</v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I223" s="15">
        <f>IF(OR(I222="",E222=""),"",IF(E222&lt;=0,"",IFERROR(I222/E222-1,"")))</f>
        <v/>
      </c>
      <c r="M223" s="15">
        <f>IF(OR(M222="",I222=""),"",IF(I222&lt;=0,"",IFERROR(M222/I222-1,"")))</f>
        <v/>
      </c>
    </row>
    <row r="224">
      <c r="A224" s="18" t="inlineStr">
        <is>
          <t>합계 · 고객과의 계약에서 생기는 수익</t>
        </is>
      </c>
      <c r="E224" s="20" t="n">
        <v>55174</v>
      </c>
      <c r="I224" s="20" t="n">
        <v>50620</v>
      </c>
      <c r="M224" s="20" t="n">
        <v>56809</v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I225" s="15">
        <f>IF(OR(I224="",E224=""),"",IF(E224&lt;=0,"",IFERROR(I224/E224-1,"")))</f>
        <v/>
      </c>
      <c r="M225" s="15">
        <f>IF(OR(M224="",I224=""),"",IF(I224&lt;=0,"",IFERROR(M224/I224-1,"")))</f>
        <v/>
      </c>
    </row>
    <row r="226">
      <c r="A226" s="18" t="inlineStr">
        <is>
          <t>조정액 · 고객과의 계약에서 생기는 수익</t>
        </is>
      </c>
      <c r="E226" s="20" t="n">
        <v>0</v>
      </c>
      <c r="I226" s="20" t="n">
        <v>0</v>
      </c>
      <c r="M226" s="20" t="n">
        <v>0</v>
      </c>
    </row>
    <row r="227">
      <c r="A227" s="9" t="inlineStr">
        <is>
          <t>고객과의 계약에서 생기는 수익</t>
        </is>
      </c>
      <c r="E227" s="12" t="n">
        <v>55174</v>
      </c>
      <c r="I227" s="12" t="n">
        <v>50620</v>
      </c>
      <c r="M227" s="12" t="n">
        <v>56809</v>
      </c>
    </row>
    <row r="228">
      <c r="A228" s="43" t="inlineStr">
        <is>
          <t>YoY</t>
        </is>
      </c>
      <c r="B228" s="3" t="inlineStr">
        <is>
          <t>전년 같은 분기·전년 대비</t>
        </is>
      </c>
      <c r="I228" s="15">
        <f>IF(OR(I227="",E227=""),"",IF(E227&lt;=0,"",IFERROR(I227/E227-1,"")))</f>
        <v/>
      </c>
      <c r="M228" s="15">
        <f>IF(OR(M227="",I227=""),"",IF(I227&lt;=0,"",IFERROR(M227/I227-1,"")))</f>
        <v/>
      </c>
    </row>
    <row r="230">
      <c r="A230" s="16" t="inlineStr">
        <is>
          <t>현금흐름표 · 전 항목</t>
        </is>
      </c>
      <c r="B230" s="42" t="inlineStr">
        <is>
          <t>분기 = 결산기 첫날부터 누계(공시 그대로)</t>
        </is>
      </c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</row>
    <row r="231">
      <c r="A231" s="5" t="inlineStr">
        <is>
          <t>항목</t>
        </is>
      </c>
      <c r="B231" s="5" t="inlineStr">
        <is>
          <t>참고</t>
        </is>
      </c>
      <c r="C231" s="5" t="inlineStr">
        <is>
          <t>2024.3Q</t>
        </is>
      </c>
      <c r="D231" s="5" t="inlineStr">
        <is>
          <t>2024.4Q</t>
        </is>
      </c>
      <c r="E231" s="5" t="inlineStr">
        <is>
          <t>2025.1Q</t>
        </is>
      </c>
      <c r="F231" s="5" t="inlineStr">
        <is>
          <t>2025.2Q</t>
        </is>
      </c>
      <c r="G231" s="5" t="inlineStr">
        <is>
          <t>2025.3Q</t>
        </is>
      </c>
      <c r="H231" s="5" t="inlineStr">
        <is>
          <t>2025.4Q</t>
        </is>
      </c>
      <c r="I231" s="5" t="inlineStr">
        <is>
          <t>2026.1Q</t>
        </is>
      </c>
      <c r="J231" s="5" t="inlineStr">
        <is>
          <t>2026.2Q</t>
        </is>
      </c>
      <c r="K231" s="5" t="inlineStr">
        <is>
          <t>2026.3Q</t>
        </is>
      </c>
      <c r="L231" s="5" t="inlineStr">
        <is>
          <t>2026.4Q</t>
        </is>
      </c>
      <c r="M231" s="5" t="inlineStr">
        <is>
          <t>2027.1Q</t>
        </is>
      </c>
      <c r="N231" s="5" t="inlineStr">
        <is>
          <t>2027.2Q</t>
        </is>
      </c>
      <c r="O231" s="5" t="inlineStr">
        <is>
          <t>2017</t>
        </is>
      </c>
      <c r="P231" s="5" t="inlineStr">
        <is>
          <t>2018</t>
        </is>
      </c>
      <c r="Q231" s="5" t="inlineStr">
        <is>
          <t>2019</t>
        </is>
      </c>
      <c r="R231" s="5" t="inlineStr">
        <is>
          <t>2020</t>
        </is>
      </c>
      <c r="S231" s="5" t="inlineStr">
        <is>
          <t>2021</t>
        </is>
      </c>
      <c r="T231" s="5" t="inlineStr">
        <is>
          <t>2022</t>
        </is>
      </c>
      <c r="U231" s="5" t="inlineStr">
        <is>
          <t>2023</t>
        </is>
      </c>
      <c r="V231" s="5" t="inlineStr">
        <is>
          <t>2024</t>
        </is>
      </c>
      <c r="W231" s="5" t="inlineStr">
        <is>
          <t>2025</t>
        </is>
      </c>
      <c r="X231" s="5" t="inlineStr">
        <is>
          <t>2026</t>
        </is>
      </c>
      <c r="Y231" s="5" t="inlineStr">
        <is>
          <t>2027(MW)</t>
        </is>
      </c>
      <c r="Z231" s="5" t="inlineStr">
        <is>
          <t>2028(MW)</t>
        </is>
      </c>
      <c r="AA231" s="5" t="inlineStr">
        <is>
          <t>2029(MW)</t>
        </is>
      </c>
      <c r="AB231" s="5" t="inlineStr">
        <is>
          <t>2030(MW)</t>
        </is>
      </c>
      <c r="AC231" s="5" t="inlineStr">
        <is>
          <t>2031(MW)</t>
        </is>
      </c>
    </row>
    <row r="232">
      <c r="A232" s="9" t="inlineStr">
        <is>
          <t>법인세차감전 순이익</t>
        </is>
      </c>
      <c r="D232" s="12" t="n">
        <v>35455</v>
      </c>
      <c r="F232" s="12" t="n">
        <v>23187</v>
      </c>
      <c r="H232" s="12" t="n">
        <v>35608</v>
      </c>
      <c r="J232" s="12" t="n">
        <v>23692</v>
      </c>
      <c r="L232" s="12" t="n">
        <v>39187</v>
      </c>
      <c r="N232" s="12" t="n">
        <v>25122</v>
      </c>
      <c r="O232" s="12" t="n">
        <v>11727</v>
      </c>
      <c r="P232" s="12" t="n">
        <v>14033</v>
      </c>
      <c r="Q232" s="12" t="n">
        <v>15694</v>
      </c>
      <c r="R232" s="12" t="n">
        <v>12403</v>
      </c>
      <c r="S232" s="12" t="n">
        <v>13298</v>
      </c>
      <c r="T232" s="12" t="n">
        <v>18080</v>
      </c>
      <c r="U232" s="12" t="n">
        <v>21379</v>
      </c>
      <c r="V232" s="12" t="n">
        <v>35455</v>
      </c>
      <c r="W232" s="12" t="n">
        <v>35608</v>
      </c>
      <c r="X232" s="12" t="n">
        <v>39187</v>
      </c>
    </row>
    <row r="233">
      <c r="A233" s="18" t="inlineStr">
        <is>
          <t>감가상각비</t>
        </is>
      </c>
      <c r="D233" s="20" t="n">
        <v>3321</v>
      </c>
      <c r="F233" s="20" t="n">
        <v>1807</v>
      </c>
      <c r="H233" s="20" t="n">
        <v>3755</v>
      </c>
      <c r="J233" s="20" t="n">
        <v>1514</v>
      </c>
      <c r="L233" s="20" t="n">
        <v>3166</v>
      </c>
      <c r="N233" s="20" t="n">
        <v>1499</v>
      </c>
      <c r="O233" s="20" t="n">
        <v>1429</v>
      </c>
      <c r="P233" s="20" t="n">
        <v>1265</v>
      </c>
      <c r="Q233" s="20" t="n">
        <v>1280</v>
      </c>
      <c r="R233" s="20" t="n">
        <v>1529</v>
      </c>
      <c r="S233" s="20" t="n">
        <v>1676</v>
      </c>
      <c r="T233" s="20" t="n">
        <v>1586</v>
      </c>
      <c r="U233" s="20" t="n">
        <v>2039</v>
      </c>
      <c r="V233" s="20" t="n">
        <v>3321</v>
      </c>
      <c r="W233" s="20" t="n">
        <v>3755</v>
      </c>
      <c r="X233" s="20" t="n">
        <v>3166</v>
      </c>
    </row>
    <row r="234">
      <c r="A234" s="18" t="inlineStr">
        <is>
          <t>대손충당금 증감</t>
        </is>
      </c>
      <c r="D234" s="20" t="n">
        <v>-0</v>
      </c>
      <c r="F234" s="20" t="n">
        <v>-0</v>
      </c>
      <c r="H234" s="20" t="n">
        <v>-96</v>
      </c>
      <c r="J234" s="20" t="n">
        <v>-0</v>
      </c>
      <c r="L234" s="20" t="n">
        <v>-66</v>
      </c>
      <c r="N234" s="20" t="n">
        <v>-0</v>
      </c>
      <c r="O234" s="20" t="n">
        <v>10</v>
      </c>
      <c r="P234" s="20" t="n">
        <v>-139</v>
      </c>
      <c r="Q234" s="20" t="n">
        <v>-308</v>
      </c>
      <c r="R234" s="20" t="n">
        <v>31</v>
      </c>
      <c r="S234" s="20" t="n">
        <v>-34</v>
      </c>
      <c r="T234" s="20" t="n">
        <v>-145</v>
      </c>
      <c r="U234" s="20" t="n">
        <v>0</v>
      </c>
      <c r="V234" s="20" t="n">
        <v>-0</v>
      </c>
      <c r="W234" s="20" t="n">
        <v>-96</v>
      </c>
      <c r="X234" s="20" t="n">
        <v>-66</v>
      </c>
    </row>
    <row r="235">
      <c r="A235" s="18" t="inlineStr">
        <is>
          <t>상여충당금 증감</t>
        </is>
      </c>
      <c r="D235" s="20" t="n">
        <v>28</v>
      </c>
      <c r="F235" s="20" t="n">
        <v>205</v>
      </c>
      <c r="H235" s="20" t="n">
        <v>114</v>
      </c>
      <c r="J235" s="20" t="n">
        <v>141</v>
      </c>
      <c r="L235" s="20" t="n">
        <v>65</v>
      </c>
      <c r="N235" s="20" t="n">
        <v>235</v>
      </c>
      <c r="O235" s="20" t="n">
        <v>14</v>
      </c>
      <c r="P235" s="20" t="n">
        <v>24</v>
      </c>
      <c r="Q235" s="20" t="n">
        <v>34</v>
      </c>
      <c r="R235" s="20" t="n">
        <v>109</v>
      </c>
      <c r="S235" s="20" t="n">
        <v>42</v>
      </c>
      <c r="T235" s="20" t="n">
        <v>47</v>
      </c>
      <c r="U235" s="20" t="n">
        <v>206</v>
      </c>
      <c r="V235" s="20" t="n">
        <v>28</v>
      </c>
      <c r="W235" s="20" t="n">
        <v>114</v>
      </c>
      <c r="X235" s="20" t="n">
        <v>65</v>
      </c>
    </row>
    <row r="236">
      <c r="A236" s="18" t="inlineStr">
        <is>
          <t>임원 상여충당금 증감</t>
        </is>
      </c>
      <c r="J236" s="20" t="n">
        <v>0</v>
      </c>
      <c r="N236" s="20" t="n">
        <v>17</v>
      </c>
    </row>
    <row r="237">
      <c r="A237" s="18" t="inlineStr">
        <is>
          <t>제품보증 충당금 증감</t>
        </is>
      </c>
      <c r="D237" s="20" t="n">
        <v>104</v>
      </c>
      <c r="F237" s="20" t="n">
        <v>53</v>
      </c>
      <c r="H237" s="20" t="n">
        <v>680</v>
      </c>
      <c r="J237" s="20" t="n">
        <v>-188</v>
      </c>
      <c r="L237" s="20" t="n">
        <v>177</v>
      </c>
      <c r="N237" s="20" t="n">
        <v>-39</v>
      </c>
      <c r="O237" s="20" t="n">
        <v>138</v>
      </c>
      <c r="P237" s="20" t="n">
        <v>21</v>
      </c>
      <c r="Q237" s="20" t="n">
        <v>343</v>
      </c>
      <c r="R237" s="20" t="n">
        <v>236</v>
      </c>
      <c r="S237" s="20" t="n">
        <v>-74</v>
      </c>
      <c r="T237" s="20" t="n">
        <v>-3</v>
      </c>
      <c r="U237" s="20" t="n">
        <v>209</v>
      </c>
      <c r="V237" s="20" t="n">
        <v>104</v>
      </c>
      <c r="W237" s="20" t="n">
        <v>680</v>
      </c>
      <c r="X237" s="20" t="n">
        <v>177</v>
      </c>
    </row>
    <row r="238">
      <c r="A238" s="18" t="inlineStr">
        <is>
          <t>퇴직급여자산 증감</t>
        </is>
      </c>
      <c r="D238" s="20" t="n">
        <v>26</v>
      </c>
      <c r="F238" s="20" t="n">
        <v>10</v>
      </c>
      <c r="H238" s="20" t="n">
        <v>0</v>
      </c>
      <c r="J238" s="20" t="n">
        <v>-26</v>
      </c>
      <c r="L238" s="20" t="n">
        <v>-53</v>
      </c>
      <c r="N238" s="20" t="n">
        <v>-34</v>
      </c>
      <c r="O238" s="20" t="n">
        <v>-76</v>
      </c>
      <c r="P238" s="20" t="n">
        <v>-153</v>
      </c>
      <c r="Q238" s="20" t="n">
        <v>-74</v>
      </c>
      <c r="R238" s="20" t="n">
        <v>-31</v>
      </c>
      <c r="S238" s="20" t="n">
        <v>24</v>
      </c>
      <c r="T238" s="20" t="n">
        <v>10</v>
      </c>
      <c r="U238" s="20" t="n">
        <v>3</v>
      </c>
      <c r="V238" s="20" t="n">
        <v>26</v>
      </c>
      <c r="W238" s="20" t="n">
        <v>0</v>
      </c>
      <c r="X238" s="20" t="n">
        <v>-53</v>
      </c>
    </row>
    <row r="239">
      <c r="A239" s="18" t="inlineStr">
        <is>
          <t>임원 퇴직위로 충당금 증감</t>
        </is>
      </c>
      <c r="O239" s="20" t="n">
        <v>-267</v>
      </c>
      <c r="P239" s="20" t="n">
        <v>0</v>
      </c>
    </row>
    <row r="240">
      <c r="A240" s="18" t="inlineStr">
        <is>
          <t>임원 주식급여 충당금 증감</t>
        </is>
      </c>
      <c r="O240" s="20" t="n">
        <v>17</v>
      </c>
      <c r="P240" s="20" t="n">
        <v>14</v>
      </c>
      <c r="Q240" s="20" t="n">
        <v>6</v>
      </c>
      <c r="R240" s="20" t="n">
        <v>12</v>
      </c>
    </row>
    <row r="241">
      <c r="A241" s="18" t="inlineStr">
        <is>
          <t>채무보증손실충당금 증감액(△는 감소)</t>
        </is>
      </c>
      <c r="O241" s="20" t="n">
        <v>-17</v>
      </c>
      <c r="P241" s="20" t="n">
        <v>-64</v>
      </c>
      <c r="Q241" s="20" t="n">
        <v>-21</v>
      </c>
      <c r="R241" s="20" t="n">
        <v>0</v>
      </c>
    </row>
    <row r="242">
      <c r="A242" s="18" t="inlineStr">
        <is>
          <t>임원 주식급여 충당금 증감</t>
        </is>
      </c>
      <c r="D242" s="20" t="n">
        <v>19</v>
      </c>
      <c r="F242" s="20" t="n">
        <v>8</v>
      </c>
      <c r="H242" s="20" t="n">
        <v>17</v>
      </c>
      <c r="J242" s="20" t="n">
        <v>42</v>
      </c>
      <c r="L242" s="20" t="n">
        <v>48</v>
      </c>
      <c r="N242" s="20" t="n">
        <v>-19</v>
      </c>
      <c r="R242" s="20" t="n">
        <v>12</v>
      </c>
      <c r="S242" s="20" t="n">
        <v>14</v>
      </c>
      <c r="T242" s="20" t="n">
        <v>14</v>
      </c>
      <c r="U242" s="20" t="n">
        <v>24</v>
      </c>
      <c r="V242" s="20" t="n">
        <v>19</v>
      </c>
      <c r="W242" s="20" t="n">
        <v>17</v>
      </c>
      <c r="X242" s="20" t="n">
        <v>48</v>
      </c>
    </row>
    <row r="243">
      <c r="A243" s="18" t="inlineStr">
        <is>
          <t>이자·배당금 수익</t>
        </is>
      </c>
      <c r="D243" s="20" t="n">
        <v>-516</v>
      </c>
      <c r="F243" s="20" t="n">
        <v>-313</v>
      </c>
      <c r="H243" s="20" t="n">
        <v>-531</v>
      </c>
      <c r="J243" s="20" t="n">
        <v>-197</v>
      </c>
      <c r="L243" s="20" t="n">
        <v>-402</v>
      </c>
      <c r="N243" s="20" t="n">
        <v>-323</v>
      </c>
      <c r="O243" s="20" t="n">
        <v>-62</v>
      </c>
      <c r="P243" s="20" t="n">
        <v>-41</v>
      </c>
      <c r="Q243" s="20" t="n">
        <v>-69</v>
      </c>
      <c r="R243" s="20" t="n">
        <v>-122</v>
      </c>
      <c r="S243" s="20" t="n">
        <v>-64</v>
      </c>
      <c r="T243" s="20" t="n">
        <v>-40</v>
      </c>
      <c r="U243" s="20" t="n">
        <v>-173</v>
      </c>
      <c r="V243" s="20" t="n">
        <v>-516</v>
      </c>
      <c r="W243" s="20" t="n">
        <v>-531</v>
      </c>
      <c r="X243" s="20" t="n">
        <v>-402</v>
      </c>
    </row>
    <row r="244">
      <c r="A244" s="18" t="inlineStr">
        <is>
          <t>외환차손익</t>
        </is>
      </c>
      <c r="D244" s="20" t="n">
        <v>1927</v>
      </c>
      <c r="F244" s="20" t="n">
        <v>1138</v>
      </c>
      <c r="H244" s="20" t="n">
        <v>2140</v>
      </c>
      <c r="J244" s="20" t="n">
        <v>-225</v>
      </c>
      <c r="L244" s="20" t="n">
        <v>-121</v>
      </c>
      <c r="N244" s="20" t="n">
        <v>458</v>
      </c>
      <c r="O244" s="20" t="n">
        <v>-1149</v>
      </c>
      <c r="P244" s="20" t="n">
        <v>1157</v>
      </c>
      <c r="Q244" s="20" t="n">
        <v>22</v>
      </c>
      <c r="R244" s="20" t="n">
        <v>-15</v>
      </c>
      <c r="S244" s="20" t="n">
        <v>-334</v>
      </c>
      <c r="T244" s="20" t="n">
        <v>872</v>
      </c>
      <c r="U244" s="20" t="n">
        <v>1969</v>
      </c>
      <c r="V244" s="20" t="n">
        <v>1927</v>
      </c>
      <c r="W244" s="20" t="n">
        <v>2140</v>
      </c>
      <c r="X244" s="20" t="n">
        <v>-121</v>
      </c>
    </row>
    <row r="245">
      <c r="A245" s="18" t="inlineStr">
        <is>
          <t>이자비용</t>
        </is>
      </c>
      <c r="O245" s="20" t="n">
        <v>5</v>
      </c>
      <c r="P245" s="20" t="n">
        <v>2</v>
      </c>
      <c r="Q245" s="20" t="n">
        <v>0</v>
      </c>
    </row>
    <row r="246">
      <c r="A246" s="18" t="inlineStr">
        <is>
          <t>투자유가증권 매각손익</t>
        </is>
      </c>
      <c r="O246" s="20" t="n">
        <v>-5</v>
      </c>
      <c r="P246" s="20" t="n">
        <v>0</v>
      </c>
    </row>
    <row r="247">
      <c r="A247" s="18" t="inlineStr">
        <is>
          <t>고정자산 매각손익</t>
        </is>
      </c>
      <c r="D247" s="20" t="n">
        <v>-5</v>
      </c>
      <c r="F247" s="20" t="n">
        <v>-8</v>
      </c>
      <c r="H247" s="20" t="n">
        <v>-22</v>
      </c>
      <c r="J247" s="20" t="n">
        <v>-4</v>
      </c>
      <c r="L247" s="20" t="n">
        <v>-5</v>
      </c>
      <c r="N247" s="20" t="n">
        <v>-0</v>
      </c>
      <c r="O247" s="20" t="n">
        <v>-1</v>
      </c>
      <c r="P247" s="20" t="n">
        <v>-1</v>
      </c>
      <c r="Q247" s="20" t="n">
        <v>-4</v>
      </c>
      <c r="R247" s="20" t="n">
        <v>-3</v>
      </c>
      <c r="S247" s="20" t="n">
        <v>0</v>
      </c>
      <c r="T247" s="20" t="n">
        <v>8</v>
      </c>
      <c r="U247" s="20" t="n">
        <v>-2</v>
      </c>
      <c r="V247" s="20" t="n">
        <v>-5</v>
      </c>
      <c r="W247" s="20" t="n">
        <v>-22</v>
      </c>
      <c r="X247" s="20" t="n">
        <v>-5</v>
      </c>
    </row>
    <row r="248">
      <c r="A248" s="18" t="inlineStr">
        <is>
          <t>고정자산 제각손실</t>
        </is>
      </c>
      <c r="D248" s="20" t="n">
        <v>13</v>
      </c>
      <c r="F248" s="20" t="n">
        <v>33</v>
      </c>
      <c r="H248" s="20" t="n">
        <v>41</v>
      </c>
      <c r="J248" s="20" t="n">
        <v>1</v>
      </c>
      <c r="L248" s="20" t="n">
        <v>3</v>
      </c>
      <c r="N248" s="20" t="n">
        <v>28</v>
      </c>
      <c r="O248" s="20" t="n">
        <v>25</v>
      </c>
      <c r="P248" s="20" t="n">
        <v>32</v>
      </c>
      <c r="Q248" s="20" t="n">
        <v>18</v>
      </c>
      <c r="R248" s="20" t="n">
        <v>48</v>
      </c>
      <c r="S248" s="20" t="n">
        <v>24</v>
      </c>
      <c r="T248" s="20" t="n">
        <v>6</v>
      </c>
      <c r="U248" s="20" t="n">
        <v>299</v>
      </c>
      <c r="V248" s="20" t="n">
        <v>13</v>
      </c>
      <c r="W248" s="20" t="n">
        <v>41</v>
      </c>
      <c r="X248" s="20" t="n">
        <v>3</v>
      </c>
    </row>
    <row r="249">
      <c r="A249" s="18" t="inlineStr">
        <is>
          <t>사업양도 손익</t>
        </is>
      </c>
      <c r="P249" s="20" t="n">
        <v>0</v>
      </c>
      <c r="Q249" s="20" t="n">
        <v>-198</v>
      </c>
      <c r="R249" s="20" t="n">
        <v>0</v>
      </c>
    </row>
    <row r="250">
      <c r="A250" s="18" t="inlineStr">
        <is>
          <t>매출채권 증감</t>
        </is>
      </c>
      <c r="D250" s="20" t="n">
        <v>-6889</v>
      </c>
      <c r="F250" s="20" t="n">
        <v>-3010</v>
      </c>
      <c r="H250" s="20" t="n">
        <v>1856</v>
      </c>
      <c r="J250" s="20" t="n">
        <v>-13835</v>
      </c>
      <c r="L250" s="20" t="n">
        <v>1678</v>
      </c>
      <c r="N250" s="20" t="n">
        <v>-24049</v>
      </c>
      <c r="O250" s="20" t="n">
        <v>-1049</v>
      </c>
      <c r="P250" s="20" t="n">
        <v>-941</v>
      </c>
      <c r="Q250" s="20" t="n">
        <v>-940</v>
      </c>
      <c r="R250" s="20" t="n">
        <v>-2519</v>
      </c>
      <c r="S250" s="20" t="n">
        <v>-2396</v>
      </c>
      <c r="T250" s="20" t="n">
        <v>2891</v>
      </c>
      <c r="U250" s="20" t="n">
        <v>-8132</v>
      </c>
      <c r="V250" s="20" t="n">
        <v>-6889</v>
      </c>
      <c r="W250" s="20" t="n">
        <v>1856</v>
      </c>
      <c r="X250" s="20" t="n">
        <v>1678</v>
      </c>
    </row>
    <row r="251">
      <c r="A251" s="18" t="inlineStr">
        <is>
          <t>재고자산 증감</t>
        </is>
      </c>
      <c r="D251" s="20" t="n">
        <v>-8506</v>
      </c>
      <c r="F251" s="20" t="n">
        <v>-11860</v>
      </c>
      <c r="H251" s="20" t="n">
        <v>-17171</v>
      </c>
      <c r="J251" s="20" t="n">
        <v>2872</v>
      </c>
      <c r="L251" s="20" t="n">
        <v>2431</v>
      </c>
      <c r="N251" s="20" t="n">
        <v>-5242</v>
      </c>
      <c r="O251" s="20" t="n">
        <v>-4014</v>
      </c>
      <c r="P251" s="20" t="n">
        <v>-630</v>
      </c>
      <c r="Q251" s="20" t="n">
        <v>-7034</v>
      </c>
      <c r="R251" s="20" t="n">
        <v>-492</v>
      </c>
      <c r="S251" s="20" t="n">
        <v>221</v>
      </c>
      <c r="T251" s="20" t="n">
        <v>-10000</v>
      </c>
      <c r="U251" s="20" t="n">
        <v>-3205</v>
      </c>
      <c r="V251" s="20" t="n">
        <v>-8506</v>
      </c>
      <c r="W251" s="20" t="n">
        <v>-17171</v>
      </c>
      <c r="X251" s="20" t="n">
        <v>2431</v>
      </c>
    </row>
    <row r="252">
      <c r="A252" s="18" t="inlineStr">
        <is>
          <t>매입채무 증감</t>
        </is>
      </c>
      <c r="D252" s="20" t="n">
        <v>8501</v>
      </c>
      <c r="F252" s="20" t="n">
        <v>-13759</v>
      </c>
      <c r="H252" s="20" t="n">
        <v>-3548</v>
      </c>
      <c r="J252" s="20" t="n">
        <v>-5281</v>
      </c>
      <c r="L252" s="20" t="n">
        <v>-10866</v>
      </c>
      <c r="N252" s="20" t="n">
        <v>-4874</v>
      </c>
      <c r="O252" s="20" t="n">
        <v>2535</v>
      </c>
      <c r="P252" s="20" t="n">
        <v>598</v>
      </c>
      <c r="Q252" s="20" t="n">
        <v>3697</v>
      </c>
      <c r="R252" s="20" t="n">
        <v>-445</v>
      </c>
      <c r="S252" s="20" t="n">
        <v>425</v>
      </c>
      <c r="T252" s="20" t="n">
        <v>3567</v>
      </c>
      <c r="U252" s="20" t="n">
        <v>-664</v>
      </c>
      <c r="V252" s="20" t="n">
        <v>8501</v>
      </c>
      <c r="W252" s="20" t="n">
        <v>-3548</v>
      </c>
      <c r="X252" s="20" t="n">
        <v>-10866</v>
      </c>
    </row>
    <row r="253">
      <c r="A253" s="18" t="inlineStr">
        <is>
          <t>기타 자산 증감</t>
        </is>
      </c>
      <c r="D253" s="20" t="n">
        <v>-1213</v>
      </c>
      <c r="F253" s="20" t="n">
        <v>-124</v>
      </c>
      <c r="H253" s="20" t="n">
        <v>-117</v>
      </c>
      <c r="J253" s="20" t="n">
        <v>425</v>
      </c>
      <c r="L253" s="20" t="n">
        <v>40</v>
      </c>
      <c r="N253" s="20" t="n">
        <v>-600</v>
      </c>
      <c r="O253" s="20" t="n">
        <v>831</v>
      </c>
      <c r="P253" s="20" t="n">
        <v>-1128</v>
      </c>
      <c r="Q253" s="20" t="n">
        <v>262</v>
      </c>
      <c r="R253" s="20" t="n">
        <v>-1020</v>
      </c>
      <c r="S253" s="20" t="n">
        <v>-1</v>
      </c>
      <c r="T253" s="20" t="n">
        <v>-72</v>
      </c>
      <c r="U253" s="20" t="n">
        <v>-401</v>
      </c>
      <c r="V253" s="20" t="n">
        <v>-1213</v>
      </c>
      <c r="W253" s="20" t="n">
        <v>-117</v>
      </c>
      <c r="X253" s="20" t="n">
        <v>40</v>
      </c>
    </row>
    <row r="254">
      <c r="A254" s="18" t="inlineStr">
        <is>
          <t>기타 부채 증감</t>
        </is>
      </c>
      <c r="D254" s="20" t="n">
        <v>-1212</v>
      </c>
      <c r="F254" s="20" t="n">
        <v>748</v>
      </c>
      <c r="H254" s="20" t="n">
        <v>100</v>
      </c>
      <c r="J254" s="20" t="n">
        <v>1049</v>
      </c>
      <c r="L254" s="20" t="n">
        <v>-169</v>
      </c>
      <c r="N254" s="20" t="n">
        <v>1318</v>
      </c>
      <c r="O254" s="20" t="n">
        <v>1014</v>
      </c>
      <c r="P254" s="20" t="n">
        <v>-362</v>
      </c>
      <c r="Q254" s="20" t="n">
        <v>40</v>
      </c>
      <c r="R254" s="20" t="n">
        <v>240</v>
      </c>
      <c r="S254" s="20" t="n">
        <v>854</v>
      </c>
      <c r="T254" s="20" t="n">
        <v>516</v>
      </c>
      <c r="U254" s="20" t="n">
        <v>1916</v>
      </c>
      <c r="V254" s="20" t="n">
        <v>-1212</v>
      </c>
      <c r="W254" s="20" t="n">
        <v>100</v>
      </c>
      <c r="X254" s="20" t="n">
        <v>-169</v>
      </c>
    </row>
    <row r="255">
      <c r="A255" s="18" t="inlineStr">
        <is>
          <t>기타</t>
        </is>
      </c>
      <c r="D255" s="20" t="n">
        <v>-4</v>
      </c>
      <c r="F255" s="20" t="n">
        <v>-2</v>
      </c>
      <c r="H255" s="20" t="n">
        <v>-3</v>
      </c>
      <c r="J255" s="20" t="n">
        <v>-1</v>
      </c>
      <c r="L255" s="20" t="n">
        <v>-1</v>
      </c>
      <c r="N255" s="20" t="n">
        <v>-27</v>
      </c>
      <c r="O255" s="20" t="n">
        <v>-12</v>
      </c>
      <c r="P255" s="20" t="n">
        <v>-14</v>
      </c>
      <c r="Q255" s="20" t="n">
        <v>-5</v>
      </c>
      <c r="R255" s="20" t="n">
        <v>-18</v>
      </c>
      <c r="S255" s="20" t="n">
        <v>-14</v>
      </c>
      <c r="T255" s="20" t="n">
        <v>-5</v>
      </c>
      <c r="U255" s="20" t="n">
        <v>-4</v>
      </c>
      <c r="V255" s="20" t="n">
        <v>-4</v>
      </c>
      <c r="W255" s="20" t="n">
        <v>-3</v>
      </c>
      <c r="X255" s="20" t="n">
        <v>-1</v>
      </c>
    </row>
    <row r="256">
      <c r="A256" s="18" t="inlineStr">
        <is>
          <t>소계</t>
        </is>
      </c>
      <c r="D256" s="20" t="n">
        <v>31050</v>
      </c>
      <c r="F256" s="20" t="n">
        <v>-1886</v>
      </c>
      <c r="H256" s="20" t="n">
        <v>22823</v>
      </c>
      <c r="J256" s="20" t="n">
        <v>9978</v>
      </c>
      <c r="L256" s="20" t="n">
        <v>35113</v>
      </c>
      <c r="N256" s="20" t="n">
        <v>-6530</v>
      </c>
      <c r="O256" s="20" t="n">
        <v>11094</v>
      </c>
      <c r="P256" s="20" t="n">
        <v>13672</v>
      </c>
      <c r="Q256" s="20" t="n">
        <v>12746</v>
      </c>
      <c r="R256" s="20" t="n">
        <v>9942</v>
      </c>
      <c r="S256" s="20" t="n">
        <v>13662</v>
      </c>
      <c r="T256" s="20" t="n">
        <v>17332</v>
      </c>
      <c r="U256" s="20" t="n">
        <v>15463</v>
      </c>
      <c r="V256" s="20" t="n">
        <v>31050</v>
      </c>
      <c r="W256" s="20" t="n">
        <v>22823</v>
      </c>
      <c r="X256" s="20" t="n">
        <v>35113</v>
      </c>
    </row>
    <row r="257">
      <c r="A257" s="18" t="inlineStr">
        <is>
          <t>이자·배당금 수취</t>
        </is>
      </c>
      <c r="D257" s="20" t="n">
        <v>514</v>
      </c>
      <c r="F257" s="20" t="n">
        <v>312</v>
      </c>
      <c r="H257" s="20" t="n">
        <v>532</v>
      </c>
      <c r="J257" s="20" t="n">
        <v>198</v>
      </c>
      <c r="L257" s="20" t="n">
        <v>400</v>
      </c>
      <c r="N257" s="20" t="n">
        <v>326</v>
      </c>
      <c r="O257" s="20" t="n">
        <v>62</v>
      </c>
      <c r="P257" s="20" t="n">
        <v>41</v>
      </c>
      <c r="Q257" s="20" t="n">
        <v>68</v>
      </c>
      <c r="R257" s="20" t="n">
        <v>125</v>
      </c>
      <c r="S257" s="20" t="n">
        <v>63</v>
      </c>
      <c r="T257" s="20" t="n">
        <v>40</v>
      </c>
      <c r="U257" s="20" t="n">
        <v>173</v>
      </c>
      <c r="V257" s="20" t="n">
        <v>514</v>
      </c>
      <c r="W257" s="20" t="n">
        <v>532</v>
      </c>
      <c r="X257" s="20" t="n">
        <v>400</v>
      </c>
    </row>
    <row r="258">
      <c r="A258" s="18" t="inlineStr">
        <is>
          <t>이자 지급</t>
        </is>
      </c>
      <c r="O258" s="20" t="n">
        <v>-5</v>
      </c>
      <c r="P258" s="20" t="n">
        <v>-2</v>
      </c>
      <c r="Q258" s="20" t="n">
        <v>0</v>
      </c>
    </row>
    <row r="259">
      <c r="A259" s="18" t="inlineStr">
        <is>
          <t>법인세 납부</t>
        </is>
      </c>
      <c r="D259" s="20" t="n">
        <v>-6923</v>
      </c>
      <c r="F259" s="20" t="n">
        <v>-8693</v>
      </c>
      <c r="H259" s="20" t="n">
        <v>-15072</v>
      </c>
      <c r="J259" s="20" t="n">
        <v>-6627</v>
      </c>
      <c r="L259" s="20" t="n">
        <v>-12625</v>
      </c>
      <c r="N259" s="20" t="n">
        <v>-4909</v>
      </c>
      <c r="O259" s="20" t="n">
        <v>-4327</v>
      </c>
      <c r="P259" s="20" t="n">
        <v>-3304</v>
      </c>
      <c r="Q259" s="20" t="n">
        <v>-4393</v>
      </c>
      <c r="R259" s="20" t="n">
        <v>-4577</v>
      </c>
      <c r="S259" s="20" t="n">
        <v>-3348</v>
      </c>
      <c r="T259" s="20" t="n">
        <v>-3591</v>
      </c>
      <c r="U259" s="20" t="n">
        <v>-7098</v>
      </c>
      <c r="V259" s="20" t="n">
        <v>-6923</v>
      </c>
      <c r="W259" s="20" t="n">
        <v>-15072</v>
      </c>
      <c r="X259" s="20" t="n">
        <v>-12625</v>
      </c>
    </row>
    <row r="260">
      <c r="A260" s="9" t="inlineStr">
        <is>
          <t>영업활동 현금흐름</t>
        </is>
      </c>
      <c r="D260" s="12" t="n">
        <v>24640</v>
      </c>
      <c r="F260" s="12" t="n">
        <v>-10266</v>
      </c>
      <c r="H260" s="12" t="n">
        <v>8283</v>
      </c>
      <c r="J260" s="12" t="n">
        <v>3549</v>
      </c>
      <c r="L260" s="12" t="n">
        <v>22889</v>
      </c>
      <c r="N260" s="12" t="n">
        <v>-11113</v>
      </c>
      <c r="O260" s="12" t="n">
        <v>6823</v>
      </c>
      <c r="P260" s="12" t="n">
        <v>10406</v>
      </c>
      <c r="Q260" s="12" t="n">
        <v>8421</v>
      </c>
      <c r="R260" s="12" t="n">
        <v>5489</v>
      </c>
      <c r="S260" s="12" t="n">
        <v>10378</v>
      </c>
      <c r="T260" s="12" t="n">
        <v>13780</v>
      </c>
      <c r="U260" s="12" t="n">
        <v>8537</v>
      </c>
      <c r="V260" s="12" t="n">
        <v>24640</v>
      </c>
      <c r="W260" s="12" t="n">
        <v>8283</v>
      </c>
      <c r="X260" s="12" t="n">
        <v>22889</v>
      </c>
    </row>
    <row r="261">
      <c r="A261" s="18" t="inlineStr">
        <is>
          <t>정기예금 증감</t>
        </is>
      </c>
      <c r="D261" s="20" t="n">
        <v>-18</v>
      </c>
      <c r="F261" s="20" t="n">
        <v>-38</v>
      </c>
      <c r="H261" s="20" t="n">
        <v>58</v>
      </c>
      <c r="J261" s="20" t="n">
        <v>-18</v>
      </c>
      <c r="L261" s="20" t="n">
        <v>-500</v>
      </c>
      <c r="N261" s="20" t="n">
        <v>-18</v>
      </c>
      <c r="O261" s="20" t="n">
        <v>-0</v>
      </c>
      <c r="P261" s="20" t="n">
        <v>-0</v>
      </c>
      <c r="Q261" s="20" t="n">
        <v>-30</v>
      </c>
      <c r="R261" s="20" t="n">
        <v>-0</v>
      </c>
      <c r="S261" s="20" t="n">
        <v>-0</v>
      </c>
      <c r="T261" s="20" t="n">
        <v>-2</v>
      </c>
      <c r="U261" s="20" t="n">
        <v>-165</v>
      </c>
      <c r="V261" s="20" t="n">
        <v>-18</v>
      </c>
      <c r="W261" s="20" t="n">
        <v>58</v>
      </c>
      <c r="X261" s="20" t="n">
        <v>-500</v>
      </c>
    </row>
    <row r="262">
      <c r="A262" s="18" t="inlineStr">
        <is>
          <t>유가증권 취득</t>
        </is>
      </c>
      <c r="O262" s="20" t="n">
        <v>0</v>
      </c>
      <c r="P262" s="20" t="n">
        <v>-900</v>
      </c>
      <c r="Q262" s="20" t="n">
        <v>0</v>
      </c>
    </row>
    <row r="263">
      <c r="A263" s="18" t="inlineStr">
        <is>
          <t>유가증권 상환 수입</t>
        </is>
      </c>
      <c r="D263" s="20" t="n">
        <v>100</v>
      </c>
      <c r="F263" s="20" t="n">
        <v>300</v>
      </c>
      <c r="H263" s="20" t="n">
        <v>600</v>
      </c>
      <c r="J263" s="20" t="n">
        <v>0</v>
      </c>
      <c r="L263" s="20" t="n">
        <v>0</v>
      </c>
      <c r="O263" s="20" t="n">
        <v>0</v>
      </c>
      <c r="P263" s="20" t="n">
        <v>909</v>
      </c>
      <c r="Q263" s="20" t="n">
        <v>0</v>
      </c>
      <c r="S263" s="20" t="n">
        <v>0</v>
      </c>
      <c r="T263" s="20" t="n">
        <v>300</v>
      </c>
      <c r="U263" s="20" t="n">
        <v>0</v>
      </c>
      <c r="V263" s="20" t="n">
        <v>100</v>
      </c>
      <c r="W263" s="20" t="n">
        <v>600</v>
      </c>
      <c r="X263" s="20" t="n">
        <v>0</v>
      </c>
    </row>
    <row r="264">
      <c r="A264" s="18" t="inlineStr">
        <is>
          <t>유형자산 취득(설비투자)</t>
        </is>
      </c>
      <c r="D264" s="20" t="n">
        <v>-7537</v>
      </c>
      <c r="F264" s="20" t="n">
        <v>-1302</v>
      </c>
      <c r="H264" s="20" t="n">
        <v>-3269</v>
      </c>
      <c r="J264" s="20" t="n">
        <v>-978</v>
      </c>
      <c r="L264" s="20" t="n">
        <v>-2853</v>
      </c>
      <c r="N264" s="20" t="n">
        <v>-918</v>
      </c>
      <c r="O264" s="20" t="n">
        <v>-1191</v>
      </c>
      <c r="P264" s="20" t="n">
        <v>-866</v>
      </c>
      <c r="Q264" s="20" t="n">
        <v>-2233</v>
      </c>
      <c r="R264" s="20" t="n">
        <v>-2965</v>
      </c>
      <c r="S264" s="20" t="n">
        <v>-1800</v>
      </c>
      <c r="T264" s="20" t="n">
        <v>-4454</v>
      </c>
      <c r="U264" s="20" t="n">
        <v>-8766</v>
      </c>
      <c r="V264" s="20" t="n">
        <v>-7537</v>
      </c>
      <c r="W264" s="20" t="n">
        <v>-3269</v>
      </c>
      <c r="X264" s="20" t="n">
        <v>-2853</v>
      </c>
    </row>
    <row r="265">
      <c r="A265" s="18" t="inlineStr">
        <is>
          <t>유형자산 매각</t>
        </is>
      </c>
      <c r="D265" s="20" t="n">
        <v>12</v>
      </c>
      <c r="F265" s="20" t="n">
        <v>8</v>
      </c>
      <c r="H265" s="20" t="n">
        <v>37</v>
      </c>
      <c r="J265" s="20" t="n">
        <v>11</v>
      </c>
      <c r="L265" s="20" t="n">
        <v>12</v>
      </c>
      <c r="N265" s="20" t="n">
        <v>1</v>
      </c>
      <c r="O265" s="20" t="n">
        <v>2</v>
      </c>
      <c r="P265" s="20" t="n">
        <v>3</v>
      </c>
      <c r="Q265" s="20" t="n">
        <v>19</v>
      </c>
      <c r="R265" s="20" t="n">
        <v>19</v>
      </c>
      <c r="S265" s="20" t="n">
        <v>14</v>
      </c>
      <c r="T265" s="20" t="n">
        <v>3</v>
      </c>
      <c r="U265" s="20" t="n">
        <v>4</v>
      </c>
      <c r="V265" s="20" t="n">
        <v>12</v>
      </c>
      <c r="W265" s="20" t="n">
        <v>37</v>
      </c>
      <c r="X265" s="20" t="n">
        <v>12</v>
      </c>
    </row>
    <row r="266">
      <c r="A266" s="18" t="inlineStr">
        <is>
          <t>무형자산 취득</t>
        </is>
      </c>
      <c r="D266" s="20" t="n">
        <v>-325</v>
      </c>
      <c r="F266" s="20" t="n">
        <v>-39</v>
      </c>
      <c r="H266" s="20" t="n">
        <v>-71</v>
      </c>
      <c r="J266" s="20" t="n">
        <v>-94</v>
      </c>
      <c r="L266" s="20" t="n">
        <v>-416</v>
      </c>
      <c r="N266" s="20" t="n">
        <v>-104</v>
      </c>
      <c r="O266" s="20" t="n">
        <v>-180</v>
      </c>
      <c r="P266" s="20" t="n">
        <v>-159</v>
      </c>
      <c r="Q266" s="20" t="n">
        <v>-104</v>
      </c>
      <c r="R266" s="20" t="n">
        <v>-265</v>
      </c>
      <c r="S266" s="20" t="n">
        <v>-245</v>
      </c>
      <c r="T266" s="20" t="n">
        <v>-148</v>
      </c>
      <c r="U266" s="20" t="n">
        <v>-235</v>
      </c>
      <c r="V266" s="20" t="n">
        <v>-325</v>
      </c>
      <c r="W266" s="20" t="n">
        <v>-71</v>
      </c>
      <c r="X266" s="20" t="n">
        <v>-416</v>
      </c>
    </row>
    <row r="267">
      <c r="A267" s="18" t="inlineStr">
        <is>
          <t>무형자산 매각 수입</t>
        </is>
      </c>
      <c r="P267" s="20" t="n">
        <v>0</v>
      </c>
      <c r="Q267" s="20" t="n">
        <v>1</v>
      </c>
      <c r="R267" s="20" t="n">
        <v>0</v>
      </c>
      <c r="S267" s="20" t="n">
        <v>0</v>
      </c>
    </row>
    <row r="268">
      <c r="A268" s="18" t="inlineStr">
        <is>
          <t>투자유가증권 취득</t>
        </is>
      </c>
      <c r="O268" s="20" t="n">
        <v>-100</v>
      </c>
      <c r="P268" s="20" t="n">
        <v>-300</v>
      </c>
      <c r="Q268" s="20" t="n">
        <v>-301</v>
      </c>
      <c r="R268" s="20" t="n">
        <v>-900</v>
      </c>
      <c r="S268" s="20" t="n">
        <v>0</v>
      </c>
      <c r="T268" s="20" t="n">
        <v>-10</v>
      </c>
      <c r="U268" s="20" t="n">
        <v>0</v>
      </c>
    </row>
    <row r="269">
      <c r="A269" s="18" t="inlineStr">
        <is>
          <t>투자유가증권 매각</t>
        </is>
      </c>
      <c r="O269" s="20" t="n">
        <v>9</v>
      </c>
      <c r="P269" s="20" t="n">
        <v>0</v>
      </c>
      <c r="Q269" s="20" t="n">
        <v>0</v>
      </c>
      <c r="R269" s="20" t="n">
        <v>20</v>
      </c>
      <c r="S269" s="20" t="n">
        <v>10</v>
      </c>
      <c r="T269" s="20" t="n">
        <v>0</v>
      </c>
    </row>
    <row r="270">
      <c r="A270" s="18" t="inlineStr">
        <is>
          <t>대여</t>
        </is>
      </c>
      <c r="O270" s="20" t="n">
        <v>-0</v>
      </c>
      <c r="P270" s="20" t="n">
        <v>0</v>
      </c>
    </row>
    <row r="271">
      <c r="A271" s="18" t="inlineStr">
        <is>
          <t>대여금 회수</t>
        </is>
      </c>
      <c r="O271" s="20" t="n">
        <v>0</v>
      </c>
      <c r="P271" s="20" t="n">
        <v>0</v>
      </c>
      <c r="Q271" s="20" t="n">
        <v>0</v>
      </c>
      <c r="R271" s="20" t="n">
        <v>0</v>
      </c>
    </row>
    <row r="272">
      <c r="A272" s="18" t="inlineStr">
        <is>
          <t>사업양도 수입</t>
        </is>
      </c>
      <c r="P272" s="20" t="n">
        <v>0</v>
      </c>
      <c r="Q272" s="20" t="n">
        <v>386</v>
      </c>
      <c r="R272" s="20" t="n">
        <v>0</v>
      </c>
    </row>
    <row r="273">
      <c r="A273" s="18" t="inlineStr">
        <is>
          <t>투자유가증권 상환</t>
        </is>
      </c>
      <c r="D273" s="20" t="n">
        <v>0</v>
      </c>
      <c r="H273" s="20" t="n">
        <v>300</v>
      </c>
      <c r="L273" s="20" t="n">
        <v>0</v>
      </c>
      <c r="T273" s="20" t="n">
        <v>0</v>
      </c>
      <c r="U273" s="20" t="n">
        <v>300</v>
      </c>
      <c r="V273" s="20" t="n">
        <v>0</v>
      </c>
      <c r="W273" s="20" t="n">
        <v>300</v>
      </c>
      <c r="X273" s="20" t="n">
        <v>0</v>
      </c>
    </row>
    <row r="274">
      <c r="A274" s="18" t="inlineStr">
        <is>
          <t>기타</t>
        </is>
      </c>
      <c r="D274" s="20" t="n">
        <v>-3</v>
      </c>
      <c r="F274" s="20" t="n">
        <v>-7</v>
      </c>
      <c r="H274" s="20" t="n">
        <v>-3</v>
      </c>
      <c r="J274" s="20" t="n">
        <v>-2</v>
      </c>
      <c r="L274" s="20" t="n">
        <v>-1</v>
      </c>
      <c r="N274" s="20" t="n">
        <v>-73</v>
      </c>
      <c r="O274" s="20" t="n">
        <v>17</v>
      </c>
      <c r="P274" s="20" t="n">
        <v>-14</v>
      </c>
      <c r="Q274" s="20" t="n">
        <v>-5</v>
      </c>
      <c r="R274" s="20" t="n">
        <v>-6</v>
      </c>
      <c r="S274" s="20" t="n">
        <v>53</v>
      </c>
      <c r="T274" s="20" t="n">
        <v>8</v>
      </c>
      <c r="U274" s="20" t="n">
        <v>-1</v>
      </c>
      <c r="V274" s="20" t="n">
        <v>-3</v>
      </c>
      <c r="W274" s="20" t="n">
        <v>-3</v>
      </c>
      <c r="X274" s="20" t="n">
        <v>-1</v>
      </c>
    </row>
    <row r="275">
      <c r="A275" s="9" t="inlineStr">
        <is>
          <t>투자활동 현금흐름</t>
        </is>
      </c>
      <c r="D275" s="12" t="n">
        <v>-7771</v>
      </c>
      <c r="F275" s="12" t="n">
        <v>-1079</v>
      </c>
      <c r="H275" s="12" t="n">
        <v>-2348</v>
      </c>
      <c r="J275" s="12" t="n">
        <v>-1081</v>
      </c>
      <c r="L275" s="12" t="n">
        <v>-3758</v>
      </c>
      <c r="N275" s="12" t="n">
        <v>-1113</v>
      </c>
      <c r="O275" s="12" t="n">
        <v>-1442</v>
      </c>
      <c r="P275" s="12" t="n">
        <v>-1326</v>
      </c>
      <c r="Q275" s="12" t="n">
        <v>-2268</v>
      </c>
      <c r="R275" s="12" t="n">
        <v>-4096</v>
      </c>
      <c r="S275" s="12" t="n">
        <v>-1967</v>
      </c>
      <c r="T275" s="12" t="n">
        <v>-4303</v>
      </c>
      <c r="U275" s="12" t="n">
        <v>-8863</v>
      </c>
      <c r="V275" s="12" t="n">
        <v>-7771</v>
      </c>
      <c r="W275" s="12" t="n">
        <v>-2348</v>
      </c>
      <c r="X275" s="12" t="n">
        <v>-3758</v>
      </c>
    </row>
    <row r="276">
      <c r="A276" s="18" t="inlineStr">
        <is>
          <t>자기주식 취득</t>
        </is>
      </c>
      <c r="D276" s="20" t="n">
        <v>-0</v>
      </c>
      <c r="F276" s="20" t="n">
        <v>-0</v>
      </c>
      <c r="H276" s="20" t="n">
        <v>-7000</v>
      </c>
      <c r="J276" s="20" t="n">
        <v>-69</v>
      </c>
      <c r="L276" s="20" t="n">
        <v>-70</v>
      </c>
      <c r="N276" s="20" t="n">
        <v>-0</v>
      </c>
      <c r="O276" s="20" t="n">
        <v>-1975</v>
      </c>
      <c r="P276" s="20" t="n">
        <v>0</v>
      </c>
      <c r="Q276" s="20" t="n">
        <v>0</v>
      </c>
      <c r="R276" s="20" t="n">
        <v>-20</v>
      </c>
      <c r="S276" s="20" t="n">
        <v>-0</v>
      </c>
      <c r="T276" s="20" t="n">
        <v>-0</v>
      </c>
      <c r="U276" s="20" t="n">
        <v>-47</v>
      </c>
      <c r="V276" s="20" t="n">
        <v>-0</v>
      </c>
      <c r="W276" s="20" t="n">
        <v>-7000</v>
      </c>
      <c r="X276" s="20" t="n">
        <v>-70</v>
      </c>
    </row>
    <row r="277">
      <c r="A277" s="18" t="inlineStr">
        <is>
          <t>자기주식 매각</t>
        </is>
      </c>
      <c r="J277" s="20" t="n">
        <v>0</v>
      </c>
      <c r="N277" s="20" t="n">
        <v>23</v>
      </c>
      <c r="O277" s="20" t="n">
        <v>0</v>
      </c>
      <c r="P277" s="20" t="n">
        <v>0</v>
      </c>
      <c r="Q277" s="20" t="n">
        <v>3</v>
      </c>
      <c r="R277" s="20" t="n">
        <v>0</v>
      </c>
    </row>
    <row r="278">
      <c r="A278" s="18" t="inlineStr">
        <is>
          <t>배당금 지급</t>
        </is>
      </c>
      <c r="D278" s="20" t="n">
        <v>-4679</v>
      </c>
      <c r="F278" s="20" t="n">
        <v>-7537</v>
      </c>
      <c r="H278" s="20" t="n">
        <v>-7539</v>
      </c>
      <c r="J278" s="20" t="n">
        <v>-9215</v>
      </c>
      <c r="L278" s="20" t="n">
        <v>-9218</v>
      </c>
      <c r="N278" s="20" t="n">
        <v>-9672</v>
      </c>
      <c r="O278" s="20" t="n">
        <v>-1076</v>
      </c>
      <c r="P278" s="20" t="n">
        <v>-1241</v>
      </c>
      <c r="Q278" s="20" t="n">
        <v>-1711</v>
      </c>
      <c r="R278" s="20" t="n">
        <v>-2154</v>
      </c>
      <c r="S278" s="20" t="n">
        <v>-2387</v>
      </c>
      <c r="T278" s="20" t="n">
        <v>-2530</v>
      </c>
      <c r="U278" s="20" t="n">
        <v>-3246</v>
      </c>
      <c r="V278" s="20" t="n">
        <v>-4679</v>
      </c>
      <c r="W278" s="20" t="n">
        <v>-7539</v>
      </c>
      <c r="X278" s="20" t="n">
        <v>-9218</v>
      </c>
    </row>
    <row r="279">
      <c r="A279" s="18" t="inlineStr">
        <is>
          <t>리스부채 상환</t>
        </is>
      </c>
      <c r="D279" s="20" t="n">
        <v>-34</v>
      </c>
      <c r="F279" s="20" t="n">
        <v>-20</v>
      </c>
      <c r="H279" s="20" t="n">
        <v>-43</v>
      </c>
      <c r="J279" s="20" t="n">
        <v>-26</v>
      </c>
      <c r="L279" s="20" t="n">
        <v>-37</v>
      </c>
      <c r="N279" s="20" t="n">
        <v>-64</v>
      </c>
      <c r="O279" s="20" t="n">
        <v>-14</v>
      </c>
      <c r="P279" s="20" t="n">
        <v>-12</v>
      </c>
      <c r="Q279" s="20" t="n">
        <v>-7</v>
      </c>
      <c r="R279" s="20" t="n">
        <v>-5</v>
      </c>
      <c r="S279" s="20" t="n">
        <v>-2</v>
      </c>
      <c r="T279" s="20" t="n">
        <v>-2</v>
      </c>
      <c r="U279" s="20" t="n">
        <v>-27</v>
      </c>
      <c r="V279" s="20" t="n">
        <v>-34</v>
      </c>
      <c r="W279" s="20" t="n">
        <v>-43</v>
      </c>
      <c r="X279" s="20" t="n">
        <v>-37</v>
      </c>
    </row>
    <row r="280">
      <c r="A280" s="9" t="inlineStr">
        <is>
          <t>재무활동 현금흐름</t>
        </is>
      </c>
      <c r="D280" s="12" t="n">
        <v>-4714</v>
      </c>
      <c r="F280" s="12" t="n">
        <v>-7558</v>
      </c>
      <c r="H280" s="12" t="n">
        <v>-14583</v>
      </c>
      <c r="J280" s="12" t="n">
        <v>-9311</v>
      </c>
      <c r="L280" s="12" t="n">
        <v>-9326</v>
      </c>
      <c r="N280" s="12" t="n">
        <v>-9714</v>
      </c>
      <c r="O280" s="12" t="n">
        <v>-3066</v>
      </c>
      <c r="P280" s="12" t="n">
        <v>-1253</v>
      </c>
      <c r="Q280" s="12" t="n">
        <v>-1715</v>
      </c>
      <c r="R280" s="12" t="n">
        <v>-2180</v>
      </c>
      <c r="S280" s="12" t="n">
        <v>-2389</v>
      </c>
      <c r="T280" s="12" t="n">
        <v>-2532</v>
      </c>
      <c r="U280" s="12" t="n">
        <v>-3320</v>
      </c>
      <c r="V280" s="12" t="n">
        <v>-4714</v>
      </c>
      <c r="W280" s="12" t="n">
        <v>-14583</v>
      </c>
      <c r="X280" s="12" t="n">
        <v>-9326</v>
      </c>
    </row>
    <row r="281">
      <c r="A281" s="18" t="inlineStr">
        <is>
          <t>현금성자산 환산차이</t>
        </is>
      </c>
      <c r="D281" s="20" t="n">
        <v>-991</v>
      </c>
      <c r="F281" s="20" t="n">
        <v>1073</v>
      </c>
      <c r="H281" s="20" t="n">
        <v>14</v>
      </c>
      <c r="J281" s="20" t="n">
        <v>-313</v>
      </c>
      <c r="L281" s="20" t="n">
        <v>383</v>
      </c>
      <c r="N281" s="20" t="n">
        <v>-51</v>
      </c>
      <c r="O281" s="20" t="n">
        <v>1316</v>
      </c>
      <c r="P281" s="20" t="n">
        <v>-1048</v>
      </c>
      <c r="Q281" s="20" t="n">
        <v>-384</v>
      </c>
      <c r="R281" s="20" t="n">
        <v>-64</v>
      </c>
      <c r="S281" s="20" t="n">
        <v>-14</v>
      </c>
      <c r="T281" s="20" t="n">
        <v>85</v>
      </c>
      <c r="U281" s="20" t="n">
        <v>517</v>
      </c>
      <c r="V281" s="20" t="n">
        <v>-991</v>
      </c>
      <c r="W281" s="20" t="n">
        <v>14</v>
      </c>
      <c r="X281" s="20" t="n">
        <v>383</v>
      </c>
    </row>
    <row r="282">
      <c r="A282" s="18" t="inlineStr">
        <is>
          <t>현금성자산 증감</t>
        </is>
      </c>
      <c r="D282" s="20" t="n">
        <v>11162</v>
      </c>
      <c r="F282" s="20" t="n">
        <v>-17830</v>
      </c>
      <c r="H282" s="20" t="n">
        <v>-8634</v>
      </c>
      <c r="J282" s="20" t="n">
        <v>-7157</v>
      </c>
      <c r="L282" s="20" t="n">
        <v>10188</v>
      </c>
      <c r="N282" s="20" t="n">
        <v>-21992</v>
      </c>
      <c r="O282" s="20" t="n">
        <v>3630</v>
      </c>
      <c r="P282" s="20" t="n">
        <v>6778</v>
      </c>
      <c r="Q282" s="20" t="n">
        <v>4052</v>
      </c>
      <c r="R282" s="20" t="n">
        <v>-851</v>
      </c>
      <c r="S282" s="20" t="n">
        <v>6006</v>
      </c>
      <c r="T282" s="20" t="n">
        <v>7029</v>
      </c>
      <c r="U282" s="20" t="n">
        <v>-3128</v>
      </c>
      <c r="V282" s="20" t="n">
        <v>11162</v>
      </c>
      <c r="W282" s="20" t="n">
        <v>-8634</v>
      </c>
      <c r="X282" s="20" t="n">
        <v>10188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타케우치제작소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173333</v>
      </c>
      <c r="D5" s="12" t="n">
        <v>176549</v>
      </c>
      <c r="E5" s="12" t="n">
        <v>183948</v>
      </c>
      <c r="F5" s="12" t="n">
        <v>175666</v>
      </c>
      <c r="G5" s="12" t="n">
        <v>195703</v>
      </c>
      <c r="H5" s="11" t="n">
        <v>116705</v>
      </c>
      <c r="I5" s="12" t="n">
        <v>130459</v>
      </c>
      <c r="J5" s="12" t="n">
        <v>161920</v>
      </c>
      <c r="K5" s="12" t="n">
        <v>177254</v>
      </c>
      <c r="L5" s="12" t="n">
        <v>183948</v>
      </c>
    </row>
    <row r="6">
      <c r="A6" s="18" t="inlineStr">
        <is>
          <t>현금및현금성자산</t>
        </is>
      </c>
      <c r="B6" s="10" t="n"/>
      <c r="C6" s="19" t="n">
        <v>39343</v>
      </c>
      <c r="D6" s="20" t="n">
        <v>49199</v>
      </c>
      <c r="E6" s="20" t="n">
        <v>57170</v>
      </c>
      <c r="F6" s="20" t="n">
        <v>28441</v>
      </c>
      <c r="G6" s="20" t="n">
        <v>35496</v>
      </c>
      <c r="H6" s="19" t="n">
        <v>47258</v>
      </c>
      <c r="I6" s="20" t="n">
        <v>43995</v>
      </c>
      <c r="J6" s="20" t="n">
        <v>55175</v>
      </c>
      <c r="K6" s="20" t="n">
        <v>46482</v>
      </c>
      <c r="L6" s="20" t="n">
        <v>57170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57677</v>
      </c>
      <c r="D8" s="20" t="n">
        <v>54886</v>
      </c>
      <c r="E8" s="20" t="n">
        <v>44829</v>
      </c>
      <c r="F8" s="20" t="n">
        <v>55146</v>
      </c>
      <c r="G8" s="20" t="n">
        <v>70191</v>
      </c>
      <c r="H8" s="19" t="n">
        <v>25737</v>
      </c>
      <c r="I8" s="20" t="n">
        <v>35739</v>
      </c>
      <c r="J8" s="20" t="n">
        <v>44572</v>
      </c>
      <c r="K8" s="20" t="n">
        <v>45586</v>
      </c>
      <c r="L8" s="20" t="n">
        <v>44829</v>
      </c>
    </row>
    <row r="9">
      <c r="A9" s="18" t="inlineStr">
        <is>
          <t>재고자산</t>
        </is>
      </c>
      <c r="B9" s="10" t="n"/>
      <c r="C9" s="19" t="n">
        <v>72611</v>
      </c>
      <c r="D9" s="20" t="n">
        <v>68121</v>
      </c>
      <c r="E9" s="20" t="n">
        <v>77964</v>
      </c>
      <c r="F9" s="20" t="n">
        <v>87839</v>
      </c>
      <c r="G9" s="20" t="n">
        <v>85768</v>
      </c>
      <c r="H9" s="19" t="n">
        <v>41351</v>
      </c>
      <c r="I9" s="20" t="n">
        <v>47722</v>
      </c>
      <c r="J9" s="20" t="n">
        <v>58262</v>
      </c>
      <c r="K9" s="20" t="n">
        <v>80496</v>
      </c>
      <c r="L9" s="20" t="n">
        <v>77964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38760</v>
      </c>
      <c r="D11" s="12" t="n">
        <v>38625</v>
      </c>
      <c r="E11" s="12" t="n">
        <v>41184</v>
      </c>
      <c r="F11" s="12" t="n">
        <v>41697</v>
      </c>
      <c r="G11" s="12" t="n">
        <v>41214</v>
      </c>
      <c r="H11" s="11" t="n">
        <v>20496</v>
      </c>
      <c r="I11" s="12" t="n">
        <v>28326</v>
      </c>
      <c r="J11" s="12" t="n">
        <v>36233</v>
      </c>
      <c r="K11" s="12" t="n">
        <v>40464</v>
      </c>
      <c r="L11" s="12" t="n">
        <v>41184</v>
      </c>
    </row>
    <row r="12">
      <c r="A12" s="18" t="inlineStr">
        <is>
          <t>유형자산</t>
        </is>
      </c>
      <c r="B12" s="10" t="n"/>
      <c r="C12" s="19" t="n">
        <v>28564</v>
      </c>
      <c r="D12" s="20" t="n">
        <v>28421</v>
      </c>
      <c r="E12" s="20" t="n">
        <v>29020</v>
      </c>
      <c r="F12" s="20" t="n">
        <v>29196</v>
      </c>
      <c r="G12" s="20" t="n">
        <v>29696</v>
      </c>
      <c r="H12" s="19" t="n">
        <v>15382</v>
      </c>
      <c r="I12" s="20" t="n">
        <v>22721</v>
      </c>
      <c r="J12" s="20" t="n">
        <v>28196</v>
      </c>
      <c r="K12" s="20" t="n">
        <v>29091</v>
      </c>
      <c r="L12" s="20" t="n">
        <v>29020</v>
      </c>
    </row>
    <row r="13">
      <c r="A13" s="18" t="inlineStr">
        <is>
          <t>무형자산</t>
        </is>
      </c>
      <c r="B13" s="10" t="n"/>
      <c r="C13" s="19" t="n">
        <v>684</v>
      </c>
      <c r="D13" s="20" t="n">
        <v>698</v>
      </c>
      <c r="E13" s="20" t="n">
        <v>879</v>
      </c>
      <c r="F13" s="20" t="n">
        <v>857</v>
      </c>
      <c r="G13" s="20" t="n">
        <v>887</v>
      </c>
      <c r="H13" s="19" t="n">
        <v>682</v>
      </c>
      <c r="I13" s="20" t="n">
        <v>759</v>
      </c>
      <c r="J13" s="20" t="n">
        <v>829</v>
      </c>
      <c r="K13" s="20" t="n">
        <v>672</v>
      </c>
      <c r="L13" s="20" t="n">
        <v>879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212094</v>
      </c>
      <c r="D16" s="12" t="n">
        <v>215174</v>
      </c>
      <c r="E16" s="12" t="n">
        <v>225133</v>
      </c>
      <c r="F16" s="12" t="n">
        <v>217364</v>
      </c>
      <c r="G16" s="12" t="n">
        <v>236918</v>
      </c>
      <c r="H16" s="11" t="n">
        <v>137201</v>
      </c>
      <c r="I16" s="12" t="n">
        <v>158785</v>
      </c>
      <c r="J16" s="12" t="n">
        <v>198153</v>
      </c>
      <c r="K16" s="12" t="n">
        <v>217718</v>
      </c>
      <c r="L16" s="12" t="n">
        <v>225133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42468</v>
      </c>
      <c r="D18" s="12" t="n">
        <v>36958</v>
      </c>
      <c r="E18" s="12" t="n">
        <v>37405</v>
      </c>
      <c r="F18" s="12" t="n">
        <v>30190</v>
      </c>
      <c r="G18" s="12" t="n">
        <v>37091</v>
      </c>
      <c r="H18" s="11" t="n">
        <v>32537</v>
      </c>
      <c r="I18" s="12" t="n">
        <v>36376</v>
      </c>
      <c r="J18" s="12" t="n">
        <v>49872</v>
      </c>
      <c r="K18" s="12" t="n">
        <v>49974</v>
      </c>
      <c r="L18" s="12" t="n">
        <v>37405</v>
      </c>
    </row>
    <row r="19">
      <c r="A19" s="18" t="inlineStr">
        <is>
          <t>매입채무</t>
        </is>
      </c>
      <c r="B19" s="10" t="n"/>
      <c r="C19" s="19" t="n">
        <v>28591</v>
      </c>
      <c r="D19" s="20" t="n">
        <v>25872</v>
      </c>
      <c r="E19" s="20" t="n">
        <v>25304</v>
      </c>
      <c r="F19" s="20" t="n">
        <v>17202</v>
      </c>
      <c r="G19" s="20" t="n">
        <v>21759</v>
      </c>
      <c r="H19" s="19" t="n">
        <v>24491</v>
      </c>
      <c r="I19" s="20" t="n">
        <v>26755</v>
      </c>
      <c r="J19" s="20" t="n">
        <v>36381</v>
      </c>
      <c r="K19" s="20" t="n">
        <v>36022</v>
      </c>
      <c r="L19" s="20" t="n">
        <v>25304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743</v>
      </c>
      <c r="D23" s="12" t="n">
        <v>741</v>
      </c>
      <c r="E23" s="12" t="n">
        <v>791</v>
      </c>
      <c r="F23" s="12" t="n">
        <v>809</v>
      </c>
      <c r="G23" s="12" t="n">
        <v>1111</v>
      </c>
      <c r="H23" s="11" t="n">
        <v>580</v>
      </c>
      <c r="I23" s="12" t="n">
        <v>606</v>
      </c>
      <c r="J23" s="12" t="n">
        <v>655</v>
      </c>
      <c r="K23" s="12" t="n">
        <v>744</v>
      </c>
      <c r="L23" s="12" t="n">
        <v>791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43211</v>
      </c>
      <c r="D27" s="12" t="n">
        <v>37700</v>
      </c>
      <c r="E27" s="12" t="n">
        <v>38197</v>
      </c>
      <c r="F27" s="12" t="n">
        <v>31000</v>
      </c>
      <c r="G27" s="12" t="n">
        <v>38203</v>
      </c>
      <c r="H27" s="11" t="n">
        <v>33117</v>
      </c>
      <c r="I27" s="12" t="n">
        <v>36983</v>
      </c>
      <c r="J27" s="12" t="n">
        <v>50527</v>
      </c>
      <c r="K27" s="12" t="n">
        <v>50718</v>
      </c>
      <c r="L27" s="12" t="n">
        <v>38197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168882</v>
      </c>
      <c r="D31" s="12" t="n">
        <v>177474</v>
      </c>
      <c r="E31" s="12" t="n">
        <v>186935</v>
      </c>
      <c r="F31" s="12" t="n">
        <v>186363</v>
      </c>
      <c r="G31" s="12" t="n">
        <v>198715</v>
      </c>
      <c r="H31" s="11" t="n">
        <v>104083</v>
      </c>
      <c r="I31" s="12" t="n">
        <v>121802</v>
      </c>
      <c r="J31" s="12" t="n">
        <v>147625</v>
      </c>
      <c r="K31" s="12" t="n">
        <v>167000</v>
      </c>
      <c r="L31" s="12" t="n">
        <v>186935</v>
      </c>
    </row>
    <row r="32">
      <c r="A32" s="18" t="inlineStr">
        <is>
          <t>자본금</t>
        </is>
      </c>
      <c r="B32" s="10" t="n"/>
      <c r="C32" s="19" t="n">
        <v>3632</v>
      </c>
      <c r="D32" s="20" t="n">
        <v>3632</v>
      </c>
      <c r="E32" s="20" t="n">
        <v>3632</v>
      </c>
      <c r="F32" s="20" t="n">
        <v>3632</v>
      </c>
      <c r="G32" s="20" t="n">
        <v>3632</v>
      </c>
      <c r="H32" s="19" t="n">
        <v>3632</v>
      </c>
      <c r="I32" s="20" t="n">
        <v>3632</v>
      </c>
      <c r="J32" s="20" t="n">
        <v>3632</v>
      </c>
      <c r="K32" s="20" t="n">
        <v>3632</v>
      </c>
      <c r="L32" s="20" t="n">
        <v>3632</v>
      </c>
    </row>
    <row r="33">
      <c r="A33" s="18" t="inlineStr">
        <is>
          <t>이익잉여금</t>
        </is>
      </c>
      <c r="B33" s="10" t="n"/>
      <c r="C33" s="19" t="n">
        <v>157015</v>
      </c>
      <c r="D33" s="20" t="n">
        <v>163433</v>
      </c>
      <c r="E33" s="20" t="n">
        <v>168230</v>
      </c>
      <c r="F33" s="20" t="n">
        <v>165940</v>
      </c>
      <c r="G33" s="20" t="n">
        <v>176640</v>
      </c>
      <c r="H33" s="19" t="n">
        <v>96444</v>
      </c>
      <c r="I33" s="20" t="n">
        <v>109177</v>
      </c>
      <c r="J33" s="20" t="n">
        <v>130648</v>
      </c>
      <c r="K33" s="20" t="n">
        <v>149217</v>
      </c>
      <c r="L33" s="20" t="n">
        <v>168230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168882</v>
      </c>
      <c r="D35" s="12" t="n">
        <v>177474</v>
      </c>
      <c r="E35" s="12" t="n">
        <v>186935</v>
      </c>
      <c r="F35" s="12" t="n">
        <v>186363</v>
      </c>
      <c r="G35" s="12" t="n">
        <v>198715</v>
      </c>
      <c r="H35" s="11" t="n">
        <v>104083</v>
      </c>
      <c r="I35" s="12" t="n">
        <v>121802</v>
      </c>
      <c r="J35" s="12" t="n">
        <v>147625</v>
      </c>
      <c r="K35" s="12" t="n">
        <v>167000</v>
      </c>
      <c r="L35" s="12" t="n">
        <v>186935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22098</v>
      </c>
      <c r="D37" s="12" t="n"/>
      <c r="E37" s="12" t="n">
        <v>22889</v>
      </c>
      <c r="F37" s="12" t="n"/>
      <c r="G37" s="12" t="n">
        <v>8227</v>
      </c>
      <c r="H37" s="11" t="n">
        <v>13780</v>
      </c>
      <c r="I37" s="12" t="n">
        <v>8537</v>
      </c>
      <c r="J37" s="12" t="n">
        <v>24640</v>
      </c>
      <c r="K37" s="12" t="n">
        <v>8283</v>
      </c>
      <c r="L37" s="12" t="n">
        <v>22889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3071</v>
      </c>
      <c r="D38" s="20" t="n"/>
      <c r="E38" s="20" t="n">
        <v>3269</v>
      </c>
      <c r="F38" s="20" t="n"/>
      <c r="G38" s="20" t="n">
        <v>3219</v>
      </c>
      <c r="H38" s="19" t="n">
        <v>4602</v>
      </c>
      <c r="I38" s="20" t="n">
        <v>9001</v>
      </c>
      <c r="J38" s="20" t="n">
        <v>7862</v>
      </c>
      <c r="K38" s="20" t="n">
        <v>3340</v>
      </c>
      <c r="L38" s="20" t="n">
        <v>3269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9217</v>
      </c>
      <c r="D40" s="20" t="n"/>
      <c r="E40" s="20" t="n">
        <v>9218</v>
      </c>
      <c r="F40" s="20" t="n"/>
      <c r="G40" s="20" t="n">
        <v>9675</v>
      </c>
      <c r="H40" s="19" t="n">
        <v>2530</v>
      </c>
      <c r="I40" s="20" t="n">
        <v>3246</v>
      </c>
      <c r="J40" s="20" t="n">
        <v>4679</v>
      </c>
      <c r="K40" s="20" t="n">
        <v>7539</v>
      </c>
      <c r="L40" s="20" t="n">
        <v>9218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39343</v>
      </c>
      <c r="D71" s="20" t="n">
        <v>49199</v>
      </c>
      <c r="E71" s="20" t="n">
        <v>57170</v>
      </c>
      <c r="F71" s="20" t="n">
        <v>28441</v>
      </c>
      <c r="G71" s="20" t="n">
        <v>35496</v>
      </c>
      <c r="H71" s="20" t="n">
        <v>47258</v>
      </c>
      <c r="I71" s="20" t="n">
        <v>43995</v>
      </c>
      <c r="J71" s="20" t="n">
        <v>55175</v>
      </c>
      <c r="K71" s="20" t="n">
        <v>46482</v>
      </c>
      <c r="L71" s="20" t="n">
        <v>57170</v>
      </c>
    </row>
    <row r="72">
      <c r="A72" s="18" t="inlineStr">
        <is>
          <t>받을어음·매출채권</t>
        </is>
      </c>
      <c r="C72" s="20" t="n">
        <v>57677</v>
      </c>
      <c r="D72" s="20" t="n">
        <v>54886</v>
      </c>
      <c r="E72" s="20" t="n">
        <v>44829</v>
      </c>
      <c r="F72" s="20" t="n">
        <v>55146</v>
      </c>
      <c r="G72" s="20" t="n">
        <v>70191</v>
      </c>
      <c r="H72" s="20" t="n">
        <v>25737</v>
      </c>
      <c r="I72" s="20" t="n">
        <v>35739</v>
      </c>
      <c r="J72" s="20" t="n">
        <v>44572</v>
      </c>
      <c r="K72" s="20" t="n">
        <v>45586</v>
      </c>
      <c r="L72" s="20" t="n">
        <v>44829</v>
      </c>
    </row>
    <row r="73">
      <c r="A73" s="18" t="inlineStr">
        <is>
          <t>상품·제품</t>
        </is>
      </c>
      <c r="C73" s="20" t="n">
        <v>46690</v>
      </c>
      <c r="D73" s="20" t="n">
        <v>42141</v>
      </c>
      <c r="E73" s="20" t="n">
        <v>49038</v>
      </c>
      <c r="F73" s="20" t="n">
        <v>55945</v>
      </c>
      <c r="G73" s="20" t="n">
        <v>54425</v>
      </c>
      <c r="H73" s="20" t="n">
        <v>27569</v>
      </c>
      <c r="I73" s="20" t="n">
        <v>22013</v>
      </c>
      <c r="J73" s="20" t="n">
        <v>29820</v>
      </c>
      <c r="K73" s="20" t="n">
        <v>50343</v>
      </c>
      <c r="L73" s="20" t="n">
        <v>49038</v>
      </c>
    </row>
    <row r="74">
      <c r="A74" s="18" t="inlineStr">
        <is>
          <t>재공품</t>
        </is>
      </c>
      <c r="C74" s="20" t="n">
        <v>12852</v>
      </c>
      <c r="D74" s="20" t="n">
        <v>12235</v>
      </c>
      <c r="E74" s="20" t="n">
        <v>12832</v>
      </c>
      <c r="F74" s="20" t="n">
        <v>14956</v>
      </c>
      <c r="G74" s="20" t="n">
        <v>14572</v>
      </c>
      <c r="H74" s="20" t="n">
        <v>6108</v>
      </c>
      <c r="I74" s="20" t="n">
        <v>15346</v>
      </c>
      <c r="J74" s="20" t="n">
        <v>12216</v>
      </c>
      <c r="K74" s="20" t="n">
        <v>15676</v>
      </c>
      <c r="L74" s="20" t="n">
        <v>12832</v>
      </c>
    </row>
    <row r="75">
      <c r="A75" s="18" t="inlineStr">
        <is>
          <t>원재료·저장품</t>
        </is>
      </c>
      <c r="C75" s="20" t="n">
        <v>13069</v>
      </c>
      <c r="D75" s="20" t="n">
        <v>13745</v>
      </c>
      <c r="E75" s="20" t="n">
        <v>16094</v>
      </c>
      <c r="F75" s="20" t="n">
        <v>16938</v>
      </c>
      <c r="G75" s="20" t="n">
        <v>16771</v>
      </c>
      <c r="H75" s="20" t="n">
        <v>7674</v>
      </c>
      <c r="I75" s="20" t="n">
        <v>10363</v>
      </c>
      <c r="J75" s="20" t="n">
        <v>16226</v>
      </c>
      <c r="K75" s="20" t="n">
        <v>14477</v>
      </c>
      <c r="L75" s="20" t="n">
        <v>16094</v>
      </c>
    </row>
    <row r="76">
      <c r="A76" s="18" t="inlineStr">
        <is>
          <t>기타</t>
        </is>
      </c>
      <c r="C76" s="20" t="n">
        <v>4815</v>
      </c>
      <c r="D76" s="20" t="n">
        <v>5494</v>
      </c>
      <c r="E76" s="20" t="n">
        <v>5172</v>
      </c>
      <c r="F76" s="20" t="n">
        <v>5469</v>
      </c>
      <c r="G76" s="20" t="n">
        <v>5518</v>
      </c>
      <c r="H76" s="20" t="n">
        <v>3435</v>
      </c>
      <c r="I76" s="20" t="n">
        <v>4138</v>
      </c>
      <c r="J76" s="20" t="n">
        <v>5101</v>
      </c>
      <c r="K76" s="20" t="n">
        <v>5886</v>
      </c>
      <c r="L76" s="20" t="n">
        <v>5172</v>
      </c>
    </row>
    <row r="77">
      <c r="A77" s="18" t="inlineStr">
        <is>
          <t>대손충당금</t>
        </is>
      </c>
      <c r="C77" s="20" t="n">
        <v>-1116</v>
      </c>
      <c r="D77" s="20" t="n">
        <v>-1153</v>
      </c>
      <c r="E77" s="20" t="n">
        <v>-1190</v>
      </c>
      <c r="F77" s="20" t="n">
        <v>-1231</v>
      </c>
      <c r="G77" s="20" t="n">
        <v>-1271</v>
      </c>
      <c r="H77" s="20" t="n">
        <v>-1079</v>
      </c>
      <c r="I77" s="20" t="n">
        <v>-1137</v>
      </c>
      <c r="J77" s="20" t="n">
        <v>-1192</v>
      </c>
      <c r="K77" s="20" t="n">
        <v>-1198</v>
      </c>
      <c r="L77" s="20" t="n">
        <v>-1190</v>
      </c>
    </row>
    <row r="78">
      <c r="A78" s="9" t="inlineStr">
        <is>
          <t>유동자산 합계</t>
        </is>
      </c>
      <c r="C78" s="12" t="n">
        <v>173333</v>
      </c>
      <c r="D78" s="12" t="n">
        <v>176549</v>
      </c>
      <c r="E78" s="12" t="n">
        <v>183948</v>
      </c>
      <c r="F78" s="12" t="n">
        <v>175666</v>
      </c>
      <c r="G78" s="12" t="n">
        <v>195703</v>
      </c>
      <c r="H78" s="12" t="n">
        <v>116705</v>
      </c>
      <c r="I78" s="12" t="n">
        <v>130459</v>
      </c>
      <c r="J78" s="12" t="n">
        <v>161920</v>
      </c>
      <c r="K78" s="12" t="n">
        <v>177254</v>
      </c>
      <c r="L78" s="12" t="n">
        <v>183948</v>
      </c>
    </row>
    <row r="79">
      <c r="A79" s="18" t="inlineStr">
        <is>
          <t>건물·구축물(순액)</t>
        </is>
      </c>
      <c r="C79" s="20" t="n">
        <v>17949</v>
      </c>
      <c r="D79" s="20" t="n">
        <v>17889</v>
      </c>
      <c r="E79" s="20" t="n">
        <v>20138</v>
      </c>
      <c r="F79" s="20" t="n">
        <v>19944</v>
      </c>
      <c r="G79" s="20" t="n">
        <v>20436</v>
      </c>
      <c r="H79" s="20" t="n">
        <v>7648</v>
      </c>
      <c r="I79" s="20" t="n">
        <v>9592</v>
      </c>
      <c r="J79" s="20" t="n">
        <v>17660</v>
      </c>
      <c r="K79" s="20" t="n">
        <v>18729</v>
      </c>
      <c r="L79" s="20" t="n">
        <v>20138</v>
      </c>
    </row>
    <row r="80">
      <c r="A80" s="18" t="inlineStr">
        <is>
          <t>기계장치·운반구(순액)</t>
        </is>
      </c>
      <c r="C80" s="20" t="n">
        <v>3629</v>
      </c>
      <c r="D80" s="20" t="n">
        <v>3438</v>
      </c>
      <c r="E80" s="20" t="n">
        <v>3354</v>
      </c>
      <c r="F80" s="20" t="n">
        <v>3373</v>
      </c>
      <c r="G80" s="20" t="n">
        <v>3311</v>
      </c>
      <c r="H80" s="20" t="n">
        <v>1546</v>
      </c>
      <c r="I80" s="20" t="n">
        <v>2491</v>
      </c>
      <c r="J80" s="20" t="n">
        <v>4765</v>
      </c>
      <c r="K80" s="20" t="n">
        <v>3875</v>
      </c>
      <c r="L80" s="20" t="n">
        <v>3354</v>
      </c>
    </row>
    <row r="81">
      <c r="A81" s="18" t="inlineStr">
        <is>
          <t>공구·기구·비품(순액)</t>
        </is>
      </c>
      <c r="E81" s="20" t="n">
        <v>834</v>
      </c>
      <c r="H81" s="20" t="n">
        <v>480</v>
      </c>
      <c r="I81" s="20" t="n">
        <v>758</v>
      </c>
      <c r="J81" s="20" t="n">
        <v>1192</v>
      </c>
      <c r="K81" s="20" t="n">
        <v>1098</v>
      </c>
      <c r="L81" s="20" t="n">
        <v>834</v>
      </c>
    </row>
    <row r="82">
      <c r="A82" s="18" t="inlineStr">
        <is>
          <t>토지</t>
        </is>
      </c>
      <c r="C82" s="20" t="n">
        <v>4180</v>
      </c>
      <c r="D82" s="20" t="n">
        <v>4225</v>
      </c>
      <c r="E82" s="20" t="n">
        <v>4333</v>
      </c>
      <c r="F82" s="20" t="n">
        <v>4514</v>
      </c>
      <c r="G82" s="20" t="n">
        <v>4548</v>
      </c>
      <c r="H82" s="20" t="n">
        <v>2627</v>
      </c>
      <c r="I82" s="20" t="n">
        <v>3553</v>
      </c>
      <c r="J82" s="20" t="n">
        <v>3940</v>
      </c>
      <c r="K82" s="20" t="n">
        <v>4287</v>
      </c>
      <c r="L82" s="20" t="n">
        <v>4333</v>
      </c>
    </row>
    <row r="83">
      <c r="A83" s="18" t="inlineStr">
        <is>
          <t>건설중인자산</t>
        </is>
      </c>
      <c r="E83" s="20" t="n">
        <v>360</v>
      </c>
      <c r="H83" s="20" t="n">
        <v>3078</v>
      </c>
      <c r="I83" s="20" t="n">
        <v>6324</v>
      </c>
      <c r="J83" s="20" t="n">
        <v>637</v>
      </c>
      <c r="K83" s="20" t="n">
        <v>1100</v>
      </c>
      <c r="L83" s="20" t="n">
        <v>360</v>
      </c>
    </row>
    <row r="84">
      <c r="A84" s="18" t="inlineStr">
        <is>
          <t>기타(순액)</t>
        </is>
      </c>
      <c r="C84" s="20" t="n">
        <v>2805</v>
      </c>
      <c r="D84" s="20" t="n">
        <v>2867</v>
      </c>
      <c r="E84" s="20" t="n">
        <v>1194</v>
      </c>
      <c r="F84" s="20" t="n">
        <v>1364</v>
      </c>
      <c r="G84" s="20" t="n">
        <v>1399</v>
      </c>
      <c r="H84" s="20" t="n">
        <v>3559</v>
      </c>
      <c r="I84" s="20" t="n">
        <v>7082</v>
      </c>
      <c r="J84" s="20" t="n">
        <v>1829</v>
      </c>
      <c r="K84" s="20" t="n">
        <v>2198</v>
      </c>
      <c r="L84" s="20" t="n">
        <v>1194</v>
      </c>
    </row>
    <row r="85">
      <c r="A85" s="18" t="inlineStr">
        <is>
          <t>유형자산 합계</t>
        </is>
      </c>
      <c r="C85" s="20" t="n">
        <v>28564</v>
      </c>
      <c r="D85" s="20" t="n">
        <v>28421</v>
      </c>
      <c r="E85" s="20" t="n">
        <v>29020</v>
      </c>
      <c r="F85" s="20" t="n">
        <v>29196</v>
      </c>
      <c r="G85" s="20" t="n">
        <v>29696</v>
      </c>
      <c r="H85" s="20" t="n">
        <v>15382</v>
      </c>
      <c r="I85" s="20" t="n">
        <v>22721</v>
      </c>
      <c r="J85" s="20" t="n">
        <v>28196</v>
      </c>
      <c r="K85" s="20" t="n">
        <v>29091</v>
      </c>
      <c r="L85" s="20" t="n">
        <v>29020</v>
      </c>
    </row>
    <row r="86">
      <c r="A86" s="18" t="inlineStr">
        <is>
          <t>무형자산</t>
        </is>
      </c>
      <c r="C86" s="20" t="n">
        <v>684</v>
      </c>
      <c r="D86" s="20" t="n">
        <v>698</v>
      </c>
      <c r="E86" s="20" t="n">
        <v>879</v>
      </c>
      <c r="F86" s="20" t="n">
        <v>857</v>
      </c>
      <c r="G86" s="20" t="n">
        <v>887</v>
      </c>
      <c r="H86" s="20" t="n">
        <v>682</v>
      </c>
      <c r="I86" s="20" t="n">
        <v>759</v>
      </c>
      <c r="J86" s="20" t="n">
        <v>829</v>
      </c>
      <c r="K86" s="20" t="n">
        <v>672</v>
      </c>
      <c r="L86" s="20" t="n">
        <v>879</v>
      </c>
    </row>
    <row r="87">
      <c r="A87" s="18" t="inlineStr">
        <is>
          <t>투자유가증권</t>
        </is>
      </c>
      <c r="E87" s="20" t="n">
        <v>367</v>
      </c>
      <c r="H87" s="20" t="n">
        <v>1385</v>
      </c>
      <c r="I87" s="20" t="n">
        <v>1008</v>
      </c>
      <c r="J87" s="20" t="n">
        <v>767</v>
      </c>
      <c r="K87" s="20" t="n">
        <v>168</v>
      </c>
      <c r="L87" s="20" t="n">
        <v>367</v>
      </c>
    </row>
    <row r="88">
      <c r="A88" s="18" t="inlineStr">
        <is>
          <t>이연법인세자산</t>
        </is>
      </c>
      <c r="C88" s="20" t="n">
        <v>7866</v>
      </c>
      <c r="D88" s="20" t="n">
        <v>7846</v>
      </c>
      <c r="E88" s="20" t="n">
        <v>9478</v>
      </c>
      <c r="F88" s="20" t="n">
        <v>9768</v>
      </c>
      <c r="G88" s="20" t="n">
        <v>8988</v>
      </c>
      <c r="H88" s="20" t="n">
        <v>2323</v>
      </c>
      <c r="I88" s="20" t="n">
        <v>2882</v>
      </c>
      <c r="J88" s="20" t="n">
        <v>5190</v>
      </c>
      <c r="K88" s="20" t="n">
        <v>9088</v>
      </c>
      <c r="L88" s="20" t="n">
        <v>9478</v>
      </c>
    </row>
    <row r="89">
      <c r="A89" s="18" t="inlineStr">
        <is>
          <t>퇴직급여자산</t>
        </is>
      </c>
      <c r="E89" s="20" t="n">
        <v>535</v>
      </c>
      <c r="H89" s="20" t="n">
        <v>289</v>
      </c>
      <c r="I89" s="20" t="n">
        <v>218</v>
      </c>
      <c r="J89" s="20" t="n">
        <v>329</v>
      </c>
      <c r="K89" s="20" t="n">
        <v>481</v>
      </c>
      <c r="L89" s="20" t="n">
        <v>535</v>
      </c>
    </row>
    <row r="90">
      <c r="A90" s="18" t="inlineStr">
        <is>
          <t>기타</t>
        </is>
      </c>
      <c r="C90" s="20" t="n">
        <v>1666</v>
      </c>
      <c r="D90" s="20" t="n">
        <v>1681</v>
      </c>
      <c r="E90" s="20" t="n">
        <v>1806</v>
      </c>
      <c r="F90" s="20" t="n">
        <v>1875</v>
      </c>
      <c r="G90" s="20" t="n">
        <v>1641</v>
      </c>
      <c r="H90" s="20" t="n">
        <v>454</v>
      </c>
      <c r="I90" s="20" t="n">
        <v>757</v>
      </c>
      <c r="J90" s="20" t="n">
        <v>941</v>
      </c>
      <c r="K90" s="20" t="n">
        <v>983</v>
      </c>
      <c r="L90" s="20" t="n">
        <v>1806</v>
      </c>
    </row>
    <row r="91">
      <c r="A91" s="18" t="inlineStr">
        <is>
          <t>대손충당금</t>
        </is>
      </c>
      <c r="C91" s="20" t="n">
        <v>-21</v>
      </c>
      <c r="D91" s="20" t="n">
        <v>-21</v>
      </c>
      <c r="E91" s="20" t="n">
        <v>0</v>
      </c>
      <c r="H91" s="20" t="n">
        <v>-21</v>
      </c>
      <c r="I91" s="20" t="n">
        <v>-21</v>
      </c>
      <c r="J91" s="20" t="n">
        <v>-21</v>
      </c>
      <c r="K91" s="20" t="n">
        <v>-21</v>
      </c>
      <c r="L91" s="20" t="n">
        <v>0</v>
      </c>
    </row>
    <row r="92">
      <c r="A92" s="18" t="inlineStr">
        <is>
          <t>투자 및 기타자산 합계</t>
        </is>
      </c>
      <c r="C92" s="20" t="n">
        <v>9511</v>
      </c>
      <c r="D92" s="20" t="n">
        <v>9505</v>
      </c>
      <c r="E92" s="20" t="n">
        <v>11284</v>
      </c>
      <c r="F92" s="20" t="n">
        <v>11643</v>
      </c>
      <c r="G92" s="20" t="n">
        <v>10630</v>
      </c>
      <c r="H92" s="20" t="n">
        <v>4430</v>
      </c>
      <c r="I92" s="20" t="n">
        <v>4846</v>
      </c>
      <c r="J92" s="20" t="n">
        <v>7206</v>
      </c>
      <c r="K92" s="20" t="n">
        <v>10700</v>
      </c>
      <c r="L92" s="20" t="n">
        <v>11284</v>
      </c>
    </row>
    <row r="93">
      <c r="A93" s="9" t="inlineStr">
        <is>
          <t>비유동자산 합계</t>
        </is>
      </c>
      <c r="C93" s="12" t="n">
        <v>38760</v>
      </c>
      <c r="D93" s="12" t="n">
        <v>38625</v>
      </c>
      <c r="E93" s="12" t="n">
        <v>41184</v>
      </c>
      <c r="F93" s="12" t="n">
        <v>41697</v>
      </c>
      <c r="G93" s="12" t="n">
        <v>41214</v>
      </c>
      <c r="H93" s="12" t="n">
        <v>20496</v>
      </c>
      <c r="I93" s="12" t="n">
        <v>28326</v>
      </c>
      <c r="J93" s="12" t="n">
        <v>36233</v>
      </c>
      <c r="K93" s="12" t="n">
        <v>40464</v>
      </c>
      <c r="L93" s="12" t="n">
        <v>41184</v>
      </c>
    </row>
    <row r="94">
      <c r="A94" s="9" t="inlineStr">
        <is>
          <t>자산 합계</t>
        </is>
      </c>
      <c r="C94" s="12" t="n">
        <v>212094</v>
      </c>
      <c r="D94" s="12" t="n">
        <v>215174</v>
      </c>
      <c r="E94" s="12" t="n">
        <v>225133</v>
      </c>
      <c r="F94" s="12" t="n">
        <v>217364</v>
      </c>
      <c r="G94" s="12" t="n">
        <v>236918</v>
      </c>
      <c r="H94" s="12" t="n">
        <v>137201</v>
      </c>
      <c r="I94" s="12" t="n">
        <v>158785</v>
      </c>
      <c r="J94" s="12" t="n">
        <v>198153</v>
      </c>
      <c r="K94" s="12" t="n">
        <v>217718</v>
      </c>
      <c r="L94" s="12" t="n">
        <v>225133</v>
      </c>
    </row>
    <row r="95">
      <c r="A95" s="18" t="inlineStr">
        <is>
          <t>매입채무</t>
        </is>
      </c>
      <c r="C95" s="20" t="n">
        <v>28591</v>
      </c>
      <c r="D95" s="20" t="n">
        <v>25872</v>
      </c>
      <c r="E95" s="20" t="n">
        <v>25304</v>
      </c>
      <c r="F95" s="20" t="n">
        <v>17202</v>
      </c>
      <c r="G95" s="20" t="n">
        <v>21759</v>
      </c>
      <c r="H95" s="20" t="n">
        <v>24491</v>
      </c>
      <c r="I95" s="20" t="n">
        <v>26755</v>
      </c>
      <c r="J95" s="20" t="n">
        <v>36381</v>
      </c>
      <c r="K95" s="20" t="n">
        <v>36022</v>
      </c>
      <c r="L95" s="20" t="n">
        <v>25304</v>
      </c>
    </row>
    <row r="96">
      <c r="A96" s="18" t="inlineStr">
        <is>
          <t>미지급법인세</t>
        </is>
      </c>
      <c r="C96" s="20" t="n">
        <v>4202</v>
      </c>
      <c r="D96" s="20" t="n">
        <v>1510</v>
      </c>
      <c r="E96" s="20" t="n">
        <v>3878</v>
      </c>
      <c r="F96" s="20" t="n">
        <v>3032</v>
      </c>
      <c r="G96" s="20" t="n">
        <v>5178</v>
      </c>
      <c r="H96" s="20" t="n">
        <v>2862</v>
      </c>
      <c r="I96" s="20" t="n">
        <v>1869</v>
      </c>
      <c r="J96" s="20" t="n">
        <v>6558</v>
      </c>
      <c r="K96" s="20" t="n">
        <v>5867</v>
      </c>
      <c r="L96" s="20" t="n">
        <v>3878</v>
      </c>
    </row>
    <row r="97">
      <c r="A97" s="18" t="inlineStr">
        <is>
          <t>상여충당금</t>
        </is>
      </c>
      <c r="C97" s="20" t="n">
        <v>931</v>
      </c>
      <c r="D97" s="20" t="n">
        <v>596</v>
      </c>
      <c r="E97" s="20" t="n">
        <v>867</v>
      </c>
      <c r="F97" s="20" t="n">
        <v>1462</v>
      </c>
      <c r="G97" s="20" t="n">
        <v>1107</v>
      </c>
      <c r="H97" s="20" t="n">
        <v>426</v>
      </c>
      <c r="I97" s="20" t="n">
        <v>639</v>
      </c>
      <c r="J97" s="20" t="n">
        <v>675</v>
      </c>
      <c r="K97" s="20" t="n">
        <v>792</v>
      </c>
      <c r="L97" s="20" t="n">
        <v>867</v>
      </c>
    </row>
    <row r="98">
      <c r="A98" s="18" t="inlineStr">
        <is>
          <t>임원 상여충당금</t>
        </is>
      </c>
      <c r="E98" s="20" t="n">
        <v>0</v>
      </c>
      <c r="G98" s="20" t="n">
        <v>17</v>
      </c>
      <c r="L98" s="20" t="n">
        <v>0</v>
      </c>
    </row>
    <row r="99">
      <c r="A99" s="18" t="inlineStr">
        <is>
          <t>제품보증 충당금</t>
        </is>
      </c>
      <c r="C99" s="20" t="n">
        <v>2755</v>
      </c>
      <c r="D99" s="20" t="n">
        <v>2859</v>
      </c>
      <c r="E99" s="20" t="n">
        <v>3249</v>
      </c>
      <c r="F99" s="20" t="n">
        <v>3197</v>
      </c>
      <c r="G99" s="20" t="n">
        <v>3276</v>
      </c>
      <c r="H99" s="20" t="n">
        <v>1701</v>
      </c>
      <c r="I99" s="20" t="n">
        <v>2058</v>
      </c>
      <c r="J99" s="20" t="n">
        <v>2247</v>
      </c>
      <c r="K99" s="20" t="n">
        <v>3094</v>
      </c>
      <c r="L99" s="20" t="n">
        <v>3249</v>
      </c>
    </row>
    <row r="100">
      <c r="A100" s="18" t="inlineStr">
        <is>
          <t>기타</t>
        </is>
      </c>
      <c r="C100" s="20" t="n">
        <v>5986</v>
      </c>
      <c r="D100" s="20" t="n">
        <v>6119</v>
      </c>
      <c r="E100" s="20" t="n">
        <v>4106</v>
      </c>
      <c r="F100" s="20" t="n">
        <v>5296</v>
      </c>
      <c r="G100" s="20" t="n">
        <v>5752</v>
      </c>
      <c r="H100" s="20" t="n">
        <v>3055</v>
      </c>
      <c r="I100" s="20" t="n">
        <v>5053</v>
      </c>
      <c r="J100" s="20" t="n">
        <v>4009</v>
      </c>
      <c r="K100" s="20" t="n">
        <v>4197</v>
      </c>
      <c r="L100" s="20" t="n">
        <v>4106</v>
      </c>
    </row>
    <row r="101">
      <c r="A101" s="9" t="inlineStr">
        <is>
          <t>유동부채 합계</t>
        </is>
      </c>
      <c r="C101" s="12" t="n">
        <v>42468</v>
      </c>
      <c r="D101" s="12" t="n">
        <v>36958</v>
      </c>
      <c r="E101" s="12" t="n">
        <v>37405</v>
      </c>
      <c r="F101" s="12" t="n">
        <v>30190</v>
      </c>
      <c r="G101" s="12" t="n">
        <v>37091</v>
      </c>
      <c r="H101" s="12" t="n">
        <v>32537</v>
      </c>
      <c r="I101" s="12" t="n">
        <v>36376</v>
      </c>
      <c r="J101" s="12" t="n">
        <v>49872</v>
      </c>
      <c r="K101" s="12" t="n">
        <v>49974</v>
      </c>
      <c r="L101" s="12" t="n">
        <v>37405</v>
      </c>
    </row>
    <row r="102">
      <c r="A102" s="18" t="inlineStr">
        <is>
          <t>임원 주식급여 충당금</t>
        </is>
      </c>
      <c r="C102" s="20" t="n">
        <v>173</v>
      </c>
      <c r="D102" s="20" t="n">
        <v>176</v>
      </c>
      <c r="E102" s="20" t="n">
        <v>179</v>
      </c>
      <c r="F102" s="20" t="n">
        <v>181</v>
      </c>
      <c r="G102" s="20" t="n">
        <v>137</v>
      </c>
      <c r="H102" s="20" t="n">
        <v>69</v>
      </c>
      <c r="I102" s="20" t="n">
        <v>94</v>
      </c>
      <c r="J102" s="20" t="n">
        <v>113</v>
      </c>
      <c r="K102" s="20" t="n">
        <v>130</v>
      </c>
      <c r="L102" s="20" t="n">
        <v>179</v>
      </c>
    </row>
    <row r="103">
      <c r="A103" s="18" t="inlineStr">
        <is>
          <t>퇴직급여부채</t>
        </is>
      </c>
      <c r="C103" s="20" t="n">
        <v>115</v>
      </c>
      <c r="D103" s="20" t="n">
        <v>119</v>
      </c>
      <c r="E103" s="20" t="n">
        <v>142</v>
      </c>
      <c r="F103" s="20" t="n">
        <v>154</v>
      </c>
      <c r="G103" s="20" t="n">
        <v>148</v>
      </c>
      <c r="H103" s="20" t="n">
        <v>80</v>
      </c>
      <c r="I103" s="20" t="n">
        <v>72</v>
      </c>
      <c r="J103" s="20" t="n">
        <v>102</v>
      </c>
      <c r="K103" s="20" t="n">
        <v>138</v>
      </c>
      <c r="L103" s="20" t="n">
        <v>142</v>
      </c>
    </row>
    <row r="104">
      <c r="A104" s="18" t="inlineStr">
        <is>
          <t>기타</t>
        </is>
      </c>
      <c r="C104" s="20" t="n">
        <v>454</v>
      </c>
      <c r="D104" s="20" t="n">
        <v>445</v>
      </c>
      <c r="E104" s="20" t="n">
        <v>470</v>
      </c>
      <c r="F104" s="20" t="n">
        <v>473</v>
      </c>
      <c r="G104" s="20" t="n">
        <v>825</v>
      </c>
      <c r="H104" s="20" t="n">
        <v>430</v>
      </c>
      <c r="I104" s="20" t="n">
        <v>439</v>
      </c>
      <c r="J104" s="20" t="n">
        <v>439</v>
      </c>
      <c r="K104" s="20" t="n">
        <v>475</v>
      </c>
      <c r="L104" s="20" t="n">
        <v>470</v>
      </c>
    </row>
    <row r="105">
      <c r="A105" s="9" t="inlineStr">
        <is>
          <t>비유동부채 합계</t>
        </is>
      </c>
      <c r="C105" s="12" t="n">
        <v>743</v>
      </c>
      <c r="D105" s="12" t="n">
        <v>741</v>
      </c>
      <c r="E105" s="12" t="n">
        <v>791</v>
      </c>
      <c r="F105" s="12" t="n">
        <v>809</v>
      </c>
      <c r="G105" s="12" t="n">
        <v>1111</v>
      </c>
      <c r="H105" s="12" t="n">
        <v>580</v>
      </c>
      <c r="I105" s="12" t="n">
        <v>606</v>
      </c>
      <c r="J105" s="12" t="n">
        <v>655</v>
      </c>
      <c r="K105" s="12" t="n">
        <v>744</v>
      </c>
      <c r="L105" s="12" t="n">
        <v>791</v>
      </c>
    </row>
    <row r="106">
      <c r="A106" s="9" t="inlineStr">
        <is>
          <t>부채 합계</t>
        </is>
      </c>
      <c r="C106" s="12" t="n">
        <v>43211</v>
      </c>
      <c r="D106" s="12" t="n">
        <v>37700</v>
      </c>
      <c r="E106" s="12" t="n">
        <v>38197</v>
      </c>
      <c r="F106" s="12" t="n">
        <v>31000</v>
      </c>
      <c r="G106" s="12" t="n">
        <v>38203</v>
      </c>
      <c r="H106" s="12" t="n">
        <v>33117</v>
      </c>
      <c r="I106" s="12" t="n">
        <v>36983</v>
      </c>
      <c r="J106" s="12" t="n">
        <v>50527</v>
      </c>
      <c r="K106" s="12" t="n">
        <v>50718</v>
      </c>
      <c r="L106" s="12" t="n">
        <v>38197</v>
      </c>
    </row>
    <row r="107">
      <c r="A107" s="18" t="inlineStr">
        <is>
          <t>자본금</t>
        </is>
      </c>
      <c r="C107" s="20" t="n">
        <v>3632</v>
      </c>
      <c r="D107" s="20" t="n">
        <v>3632</v>
      </c>
      <c r="E107" s="20" t="n">
        <v>3632</v>
      </c>
      <c r="F107" s="20" t="n">
        <v>3632</v>
      </c>
      <c r="G107" s="20" t="n">
        <v>3632</v>
      </c>
      <c r="H107" s="20" t="n">
        <v>3632</v>
      </c>
      <c r="I107" s="20" t="n">
        <v>3632</v>
      </c>
      <c r="J107" s="20" t="n">
        <v>3632</v>
      </c>
      <c r="K107" s="20" t="n">
        <v>3632</v>
      </c>
      <c r="L107" s="20" t="n">
        <v>3632</v>
      </c>
    </row>
    <row r="108">
      <c r="A108" s="18" t="inlineStr">
        <is>
          <t>자본잉여금</t>
        </is>
      </c>
      <c r="C108" s="20" t="n">
        <v>3631</v>
      </c>
      <c r="D108" s="20" t="n">
        <v>3631</v>
      </c>
      <c r="E108" s="20" t="n">
        <v>3631</v>
      </c>
      <c r="F108" s="20" t="n">
        <v>3631</v>
      </c>
      <c r="G108" s="20" t="n">
        <v>3631</v>
      </c>
      <c r="H108" s="20" t="n">
        <v>3631</v>
      </c>
      <c r="I108" s="20" t="n">
        <v>3631</v>
      </c>
      <c r="J108" s="20" t="n">
        <v>3631</v>
      </c>
      <c r="K108" s="20" t="n">
        <v>3631</v>
      </c>
      <c r="L108" s="20" t="n">
        <v>3631</v>
      </c>
    </row>
    <row r="109">
      <c r="A109" s="18" t="inlineStr">
        <is>
          <t>이익잉여금</t>
        </is>
      </c>
      <c r="C109" s="20" t="n">
        <v>157015</v>
      </c>
      <c r="D109" s="20" t="n">
        <v>163433</v>
      </c>
      <c r="E109" s="20" t="n">
        <v>168230</v>
      </c>
      <c r="F109" s="20" t="n">
        <v>165940</v>
      </c>
      <c r="G109" s="20" t="n">
        <v>176640</v>
      </c>
      <c r="H109" s="20" t="n">
        <v>96444</v>
      </c>
      <c r="I109" s="20" t="n">
        <v>109177</v>
      </c>
      <c r="J109" s="20" t="n">
        <v>130648</v>
      </c>
      <c r="K109" s="20" t="n">
        <v>149217</v>
      </c>
      <c r="L109" s="20" t="n">
        <v>168230</v>
      </c>
    </row>
    <row r="110">
      <c r="A110" s="18" t="inlineStr">
        <is>
          <t>자기주식</t>
        </is>
      </c>
      <c r="C110" s="20" t="n">
        <v>-9103</v>
      </c>
      <c r="D110" s="20" t="n">
        <v>-9104</v>
      </c>
      <c r="E110" s="20" t="n">
        <v>-9104</v>
      </c>
      <c r="F110" s="20" t="n">
        <v>-9094</v>
      </c>
      <c r="G110" s="20" t="n">
        <v>-9059</v>
      </c>
      <c r="H110" s="20" t="n">
        <v>-1985</v>
      </c>
      <c r="I110" s="20" t="n">
        <v>-2032</v>
      </c>
      <c r="J110" s="20" t="n">
        <v>-2032</v>
      </c>
      <c r="K110" s="20" t="n">
        <v>-9033</v>
      </c>
      <c r="L110" s="20" t="n">
        <v>-9104</v>
      </c>
    </row>
    <row r="111">
      <c r="A111" s="9" t="inlineStr">
        <is>
          <t>주주자본 합계</t>
        </is>
      </c>
      <c r="C111" s="12" t="n">
        <v>155177</v>
      </c>
      <c r="D111" s="12" t="n">
        <v>161594</v>
      </c>
      <c r="E111" s="12" t="n">
        <v>166391</v>
      </c>
      <c r="F111" s="12" t="n">
        <v>164110</v>
      </c>
      <c r="G111" s="12" t="n">
        <v>174845</v>
      </c>
      <c r="H111" s="12" t="n">
        <v>101723</v>
      </c>
      <c r="I111" s="12" t="n">
        <v>114409</v>
      </c>
      <c r="J111" s="12" t="n">
        <v>135879</v>
      </c>
      <c r="K111" s="12" t="n">
        <v>147448</v>
      </c>
      <c r="L111" s="12" t="n">
        <v>166391</v>
      </c>
    </row>
    <row r="112">
      <c r="A112" s="18" t="inlineStr">
        <is>
          <t>기타유가증권 평가차액</t>
        </is>
      </c>
      <c r="C112" s="20" t="n">
        <v>114</v>
      </c>
      <c r="D112" s="20" t="n">
        <v>144</v>
      </c>
      <c r="E112" s="20" t="n">
        <v>196</v>
      </c>
      <c r="F112" s="20" t="n">
        <v>219</v>
      </c>
      <c r="G112" s="20" t="n">
        <v>261</v>
      </c>
      <c r="H112" s="20" t="n">
        <v>-1</v>
      </c>
      <c r="I112" s="20" t="n">
        <v>16</v>
      </c>
      <c r="J112" s="20" t="n">
        <v>57</v>
      </c>
      <c r="K112" s="20" t="n">
        <v>58</v>
      </c>
      <c r="L112" s="20" t="n">
        <v>196</v>
      </c>
    </row>
    <row r="113">
      <c r="A113" s="18" t="inlineStr">
        <is>
          <t>해외사업환산조정</t>
        </is>
      </c>
      <c r="C113" s="20" t="n">
        <v>13424</v>
      </c>
      <c r="D113" s="20" t="n">
        <v>15582</v>
      </c>
      <c r="E113" s="20" t="n">
        <v>20157</v>
      </c>
      <c r="F113" s="20" t="n">
        <v>21855</v>
      </c>
      <c r="G113" s="20" t="n">
        <v>23442</v>
      </c>
      <c r="H113" s="20" t="n">
        <v>2326</v>
      </c>
      <c r="I113" s="20" t="n">
        <v>7387</v>
      </c>
      <c r="J113" s="20" t="n">
        <v>11604</v>
      </c>
      <c r="K113" s="20" t="n">
        <v>19303</v>
      </c>
      <c r="L113" s="20" t="n">
        <v>20157</v>
      </c>
    </row>
    <row r="114">
      <c r="A114" s="18" t="inlineStr">
        <is>
          <t>퇴직급여 조정누계액</t>
        </is>
      </c>
      <c r="C114" s="20" t="n">
        <v>165</v>
      </c>
      <c r="D114" s="20" t="n">
        <v>153</v>
      </c>
      <c r="E114" s="20" t="n">
        <v>189</v>
      </c>
      <c r="F114" s="20" t="n">
        <v>177</v>
      </c>
      <c r="G114" s="20" t="n">
        <v>165</v>
      </c>
      <c r="H114" s="20" t="n">
        <v>34</v>
      </c>
      <c r="I114" s="20" t="n">
        <v>-11</v>
      </c>
      <c r="J114" s="20" t="n">
        <v>84</v>
      </c>
      <c r="K114" s="20" t="n">
        <v>190</v>
      </c>
      <c r="L114" s="20" t="n">
        <v>189</v>
      </c>
    </row>
    <row r="115">
      <c r="A115" s="18" t="inlineStr">
        <is>
          <t>기타포괄손익누계액 합계</t>
        </is>
      </c>
      <c r="C115" s="20" t="n">
        <v>13705</v>
      </c>
      <c r="D115" s="20" t="n">
        <v>15879</v>
      </c>
      <c r="E115" s="20" t="n">
        <v>20544</v>
      </c>
      <c r="F115" s="20" t="n">
        <v>22253</v>
      </c>
      <c r="G115" s="20" t="n">
        <v>23869</v>
      </c>
      <c r="H115" s="20" t="n">
        <v>2360</v>
      </c>
      <c r="I115" s="20" t="n">
        <v>7392</v>
      </c>
      <c r="J115" s="20" t="n">
        <v>11745</v>
      </c>
      <c r="K115" s="20" t="n">
        <v>19551</v>
      </c>
      <c r="L115" s="20" t="n">
        <v>20544</v>
      </c>
    </row>
    <row r="116">
      <c r="A116" s="9" t="inlineStr">
        <is>
          <t>순자산 합계</t>
        </is>
      </c>
      <c r="C116" s="12" t="n">
        <v>168882</v>
      </c>
      <c r="D116" s="12" t="n">
        <v>177474</v>
      </c>
      <c r="E116" s="12" t="n">
        <v>186935</v>
      </c>
      <c r="F116" s="12" t="n">
        <v>186363</v>
      </c>
      <c r="G116" s="12" t="n">
        <v>198715</v>
      </c>
      <c r="H116" s="12" t="n">
        <v>104083</v>
      </c>
      <c r="I116" s="12" t="n">
        <v>121802</v>
      </c>
      <c r="J116" s="12" t="n">
        <v>147625</v>
      </c>
      <c r="K116" s="12" t="n">
        <v>167000</v>
      </c>
      <c r="L116" s="12" t="n">
        <v>186935</v>
      </c>
    </row>
    <row r="117">
      <c r="A117" s="9" t="inlineStr">
        <is>
          <t>부채·순자산 합계</t>
        </is>
      </c>
      <c r="C117" s="12" t="n">
        <v>212094</v>
      </c>
      <c r="D117" s="12" t="n">
        <v>215174</v>
      </c>
      <c r="E117" s="12" t="n">
        <v>225133</v>
      </c>
      <c r="F117" s="12" t="n">
        <v>217364</v>
      </c>
      <c r="G117" s="12" t="n">
        <v>236918</v>
      </c>
      <c r="H117" s="12" t="n">
        <v>137201</v>
      </c>
      <c r="I117" s="12" t="n">
        <v>158785</v>
      </c>
      <c r="J117" s="12" t="n">
        <v>198153</v>
      </c>
      <c r="K117" s="12" t="n">
        <v>217718</v>
      </c>
      <c r="L117" s="12" t="n">
        <v>225133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4" customWidth="1" min="10" max="10"/>
  </cols>
  <sheetData>
    <row r="1">
      <c r="A1" s="50" t="inlineStr">
        <is>
          <t>타케우치제작소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가이던스 revision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</row>
    <row r="5">
      <c r="A5" s="53" t="inlineStr">
        <is>
          <t>항목</t>
        </is>
      </c>
      <c r="B5" s="53" t="inlineStr">
        <is>
          <t>값</t>
        </is>
      </c>
      <c r="J5" s="53" t="inlineStr">
        <is>
          <t>출처</t>
        </is>
      </c>
    </row>
    <row r="6">
      <c r="A6" s="54" t="inlineStr">
        <is>
          <t>환율 상반기 달러</t>
        </is>
      </c>
      <c r="B6" s="55" t="n">
        <v>159.6</v>
      </c>
      <c r="J6" s="56" t="inlineStr">
        <is>
          <t>2단계 보고서 자료(회사 설명회 자료·공시)</t>
        </is>
      </c>
    </row>
    <row r="7">
      <c r="A7" s="54" t="inlineStr">
        <is>
          <t>환율 하반기 달러</t>
        </is>
      </c>
      <c r="B7" s="57" t="n">
        <v>150</v>
      </c>
    </row>
    <row r="8">
      <c r="A8" s="54" t="inlineStr">
        <is>
          <t>수량 하반기 YoY</t>
        </is>
      </c>
      <c r="B8" s="55" t="n">
        <v>18.2</v>
      </c>
    </row>
    <row r="9">
      <c r="A9" s="54" t="inlineStr">
        <is>
          <t>dps</t>
        </is>
      </c>
      <c r="B9" s="57" t="n">
        <v>245</v>
      </c>
    </row>
    <row r="11">
      <c r="A11" s="52" t="inlineStr">
        <is>
          <t>가이던스 revision · before</t>
        </is>
      </c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</row>
    <row r="12">
      <c r="A12" s="53" t="inlineStr">
        <is>
          <t>항목</t>
        </is>
      </c>
      <c r="B12" s="53" t="inlineStr">
        <is>
          <t>값</t>
        </is>
      </c>
      <c r="J12" s="53" t="inlineStr">
        <is>
          <t>출처</t>
        </is>
      </c>
    </row>
    <row r="13">
      <c r="A13" s="54" t="inlineStr">
        <is>
          <t>매출</t>
        </is>
      </c>
      <c r="B13" s="57" t="n">
        <v>2440</v>
      </c>
      <c r="J13" s="56" t="inlineStr">
        <is>
          <t>2단계 보고서 자료(회사 설명회 자료·공시)</t>
        </is>
      </c>
    </row>
    <row r="14">
      <c r="A14" s="54" t="inlineStr">
        <is>
          <t>영업이익</t>
        </is>
      </c>
      <c r="B14" s="57" t="n">
        <v>373</v>
      </c>
    </row>
    <row r="15">
      <c r="A15" s="54" t="inlineStr">
        <is>
          <t>ord</t>
        </is>
      </c>
      <c r="B15" s="57" t="n">
        <v>365</v>
      </c>
    </row>
    <row r="16">
      <c r="A16" s="54" t="inlineStr">
        <is>
          <t>순이익</t>
        </is>
      </c>
      <c r="B16" s="57" t="n">
        <v>259</v>
      </c>
    </row>
    <row r="17">
      <c r="A17" s="54" t="inlineStr">
        <is>
          <t>EPS</t>
        </is>
      </c>
      <c r="B17" s="55" t="n">
        <v>560.6900000000001</v>
      </c>
    </row>
    <row r="19">
      <c r="A19" s="52" t="inlineStr">
        <is>
          <t>가이던스 revision · after</t>
        </is>
      </c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</row>
    <row r="20">
      <c r="A20" s="53" t="inlineStr">
        <is>
          <t>항목</t>
        </is>
      </c>
      <c r="B20" s="53" t="inlineStr">
        <is>
          <t>값</t>
        </is>
      </c>
      <c r="J20" s="53" t="inlineStr">
        <is>
          <t>출처</t>
        </is>
      </c>
    </row>
    <row r="21">
      <c r="A21" s="54" t="inlineStr">
        <is>
          <t>매출</t>
        </is>
      </c>
      <c r="B21" s="57" t="n">
        <v>2610</v>
      </c>
      <c r="J21" s="56" t="inlineStr">
        <is>
          <t>2단계 보고서 자료(회사 설명회 자료·공시)</t>
        </is>
      </c>
    </row>
    <row r="22">
      <c r="A22" s="54" t="inlineStr">
        <is>
          <t>영업이익</t>
        </is>
      </c>
      <c r="B22" s="57" t="n">
        <v>445</v>
      </c>
    </row>
    <row r="23">
      <c r="A23" s="54" t="inlineStr">
        <is>
          <t>ord</t>
        </is>
      </c>
      <c r="B23" s="57" t="n">
        <v>442</v>
      </c>
    </row>
    <row r="24">
      <c r="A24" s="54" t="inlineStr">
        <is>
          <t>순이익</t>
        </is>
      </c>
      <c r="B24" s="57" t="n">
        <v>315</v>
      </c>
    </row>
    <row r="25">
      <c r="A25" s="54" t="inlineStr">
        <is>
          <t>EPS</t>
        </is>
      </c>
      <c r="B25" s="55" t="n">
        <v>681.71</v>
      </c>
    </row>
    <row r="27">
      <c r="A27" s="52" t="inlineStr">
        <is>
          <t>가이던스 revision · refund 영업이익</t>
        </is>
      </c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</row>
    <row r="28">
      <c r="A28" s="53" t="inlineStr">
        <is>
          <t>항목</t>
        </is>
      </c>
      <c r="B28" s="53" t="inlineStr">
        <is>
          <t>값</t>
        </is>
      </c>
      <c r="J28" s="53" t="inlineStr">
        <is>
          <t>출처</t>
        </is>
      </c>
    </row>
    <row r="29">
      <c r="A29" s="54" t="inlineStr">
        <is>
          <t>2Q</t>
        </is>
      </c>
      <c r="B29" s="55" t="n">
        <v>26.25</v>
      </c>
      <c r="J29" s="56" t="inlineStr">
        <is>
          <t>2단계 보고서 자료(회사 설명회 자료·공시)</t>
        </is>
      </c>
    </row>
    <row r="30">
      <c r="A30" s="54" t="inlineStr">
        <is>
          <t>3Q</t>
        </is>
      </c>
      <c r="B30" s="57" t="n">
        <v>42</v>
      </c>
    </row>
    <row r="31">
      <c r="A31" s="54" t="inlineStr">
        <is>
          <t>FY</t>
        </is>
      </c>
      <c r="B31" s="57" t="n">
        <v>68</v>
      </c>
    </row>
    <row r="33">
      <c r="A33" s="52" t="inlineStr">
        <is>
          <t>2Q tariff</t>
        </is>
      </c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</row>
    <row r="34">
      <c r="A34" s="53" t="inlineStr">
        <is>
          <t>항목</t>
        </is>
      </c>
      <c r="B34" s="53" t="inlineStr">
        <is>
          <t>값</t>
        </is>
      </c>
      <c r="J34" s="53" t="inlineStr">
        <is>
          <t>출처</t>
        </is>
      </c>
    </row>
    <row r="35">
      <c r="A35" s="54" t="inlineStr">
        <is>
          <t>상반기 cost</t>
        </is>
      </c>
      <c r="B35" s="55" t="n">
        <v>76.84</v>
      </c>
      <c r="J35" s="56" t="inlineStr">
        <is>
          <t>2단계 보고서 자료(회사 설명회 자료·공시)</t>
        </is>
      </c>
    </row>
    <row r="36">
      <c r="A36" s="54" t="inlineStr">
        <is>
          <t>상반기 passthrough</t>
        </is>
      </c>
      <c r="B36" s="55" t="n">
        <v>33.31</v>
      </c>
    </row>
    <row r="37">
      <c r="A37" s="54" t="inlineStr">
        <is>
          <t>상반기 refund</t>
        </is>
      </c>
      <c r="B37" s="55" t="n">
        <v>26.25</v>
      </c>
    </row>
    <row r="38">
      <c r="A38" s="54" t="inlineStr">
        <is>
          <t>1Q cost</t>
        </is>
      </c>
      <c r="B38" s="55" t="n">
        <v>35.37</v>
      </c>
    </row>
    <row r="39">
      <c r="A39" s="54" t="inlineStr">
        <is>
          <t>1Q pass</t>
        </is>
      </c>
      <c r="B39" s="55" t="n">
        <v>16.63</v>
      </c>
    </row>
    <row r="41">
      <c r="A41" s="52" t="inlineStr">
        <is>
          <t>수주 q</t>
        </is>
      </c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</row>
    <row r="42">
      <c r="A42" s="53" t="inlineStr">
        <is>
          <t>항목</t>
        </is>
      </c>
      <c r="B42" s="53" t="inlineStr">
        <is>
          <t>값</t>
        </is>
      </c>
      <c r="J42" s="53" t="inlineStr">
        <is>
          <t>출처</t>
        </is>
      </c>
    </row>
    <row r="43">
      <c r="A43" s="54" t="inlineStr">
        <is>
          <t>25.1Q</t>
        </is>
      </c>
      <c r="B43" s="55" t="n">
        <v>615.2</v>
      </c>
      <c r="J43" s="56" t="inlineStr">
        <is>
          <t>2단계 보고서 자료(회사 설명회 자료·공시)</t>
        </is>
      </c>
    </row>
    <row r="44">
      <c r="A44" s="54" t="inlineStr">
        <is>
          <t>25.2Q</t>
        </is>
      </c>
      <c r="B44" s="55" t="n">
        <v>357.9</v>
      </c>
    </row>
    <row r="45">
      <c r="A45" s="54" t="inlineStr">
        <is>
          <t>25.3Q</t>
        </is>
      </c>
      <c r="B45" s="55" t="n">
        <v>224.2</v>
      </c>
    </row>
    <row r="46">
      <c r="A46" s="54" t="inlineStr">
        <is>
          <t>25.4Q</t>
        </is>
      </c>
      <c r="B46" s="55" t="n">
        <v>430.2</v>
      </c>
    </row>
    <row r="47">
      <c r="A47" s="54" t="inlineStr">
        <is>
          <t>26.1Q</t>
        </is>
      </c>
      <c r="B47" s="55" t="n">
        <v>567.4</v>
      </c>
    </row>
    <row r="48">
      <c r="A48" s="54" t="inlineStr">
        <is>
          <t>26.2Q</t>
        </is>
      </c>
      <c r="B48" s="55" t="n">
        <v>418.4</v>
      </c>
    </row>
    <row r="49">
      <c r="A49" s="54" t="inlineStr">
        <is>
          <t>26.3Q</t>
        </is>
      </c>
      <c r="B49" s="55" t="n">
        <v>373.8</v>
      </c>
    </row>
    <row r="50">
      <c r="A50" s="54" t="inlineStr">
        <is>
          <t>26.4Q</t>
        </is>
      </c>
      <c r="B50" s="55" t="n">
        <v>544.7</v>
      </c>
    </row>
    <row r="51">
      <c r="A51" s="54" t="inlineStr">
        <is>
          <t>27.1Q</t>
        </is>
      </c>
      <c r="B51" s="55" t="n">
        <v>903.1</v>
      </c>
    </row>
    <row r="52">
      <c r="A52" s="54" t="inlineStr">
        <is>
          <t>27.2Q</t>
        </is>
      </c>
      <c r="B52" s="55" t="n">
        <v>556.8</v>
      </c>
    </row>
    <row r="54">
      <c r="A54" s="52" t="inlineStr">
        <is>
          <t>매출 q</t>
        </is>
      </c>
      <c r="B54" s="52" t="n"/>
      <c r="C54" s="52" t="n"/>
      <c r="D54" s="52" t="n"/>
      <c r="E54" s="52" t="n"/>
      <c r="F54" s="52" t="n"/>
      <c r="G54" s="52" t="n"/>
      <c r="H54" s="52" t="n"/>
      <c r="I54" s="52" t="n"/>
      <c r="J54" s="52" t="n"/>
    </row>
    <row r="55">
      <c r="A55" s="53" t="inlineStr">
        <is>
          <t>항목</t>
        </is>
      </c>
      <c r="B55" s="53" t="inlineStr">
        <is>
          <t>값</t>
        </is>
      </c>
      <c r="J55" s="53" t="inlineStr">
        <is>
          <t>출처</t>
        </is>
      </c>
    </row>
    <row r="56">
      <c r="A56" s="54" t="inlineStr">
        <is>
          <t>25.1Q</t>
        </is>
      </c>
      <c r="B56" s="55" t="n">
        <v>551.7</v>
      </c>
      <c r="J56" s="56" t="inlineStr">
        <is>
          <t>2단계 보고서 자료(회사 설명회 자료·공시)</t>
        </is>
      </c>
    </row>
    <row r="57">
      <c r="A57" s="54" t="inlineStr">
        <is>
          <t>25.2Q</t>
        </is>
      </c>
      <c r="B57" s="55" t="n">
        <v>544.3</v>
      </c>
    </row>
    <row r="58">
      <c r="A58" s="54" t="inlineStr">
        <is>
          <t>25.3Q</t>
        </is>
      </c>
      <c r="B58" s="55" t="n">
        <v>568</v>
      </c>
    </row>
    <row r="59">
      <c r="A59" s="54" t="inlineStr">
        <is>
          <t>25.4Q</t>
        </is>
      </c>
      <c r="B59" s="55" t="n">
        <v>468.3</v>
      </c>
    </row>
    <row r="60">
      <c r="A60" s="54" t="inlineStr">
        <is>
          <t>26.1Q</t>
        </is>
      </c>
      <c r="B60" s="55" t="n">
        <v>506.2</v>
      </c>
    </row>
    <row r="61">
      <c r="A61" s="54" t="inlineStr">
        <is>
          <t>26.2Q</t>
        </is>
      </c>
      <c r="B61" s="55" t="n">
        <v>634.8</v>
      </c>
    </row>
    <row r="62">
      <c r="A62" s="54" t="inlineStr">
        <is>
          <t>26.3Q</t>
        </is>
      </c>
      <c r="B62" s="55" t="n">
        <v>587.3</v>
      </c>
    </row>
    <row r="63">
      <c r="A63" s="54" t="inlineStr">
        <is>
          <t>26.4Q</t>
        </is>
      </c>
      <c r="B63" s="55" t="n">
        <v>524.5</v>
      </c>
    </row>
    <row r="64">
      <c r="A64" s="54" t="inlineStr">
        <is>
          <t>27.1Q</t>
        </is>
      </c>
      <c r="B64" s="55" t="n">
        <v>568.1</v>
      </c>
    </row>
    <row r="65">
      <c r="A65" s="54" t="inlineStr">
        <is>
          <t>27.2Q</t>
        </is>
      </c>
      <c r="B65" s="55" t="n">
        <v>755.7</v>
      </c>
    </row>
    <row r="67">
      <c r="A67" s="52" t="inlineStr">
        <is>
          <t>us 수출 q eok</t>
        </is>
      </c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</row>
    <row r="68">
      <c r="A68" s="53" t="inlineStr">
        <is>
          <t>항목</t>
        </is>
      </c>
      <c r="B68" s="53" t="inlineStr">
        <is>
          <t>값</t>
        </is>
      </c>
      <c r="J68" s="53" t="inlineStr">
        <is>
          <t>출처</t>
        </is>
      </c>
    </row>
    <row r="69">
      <c r="A69" s="54" t="inlineStr">
        <is>
          <t>2024.3Q</t>
        </is>
      </c>
      <c r="B69" s="55" t="n">
        <v>2431.6</v>
      </c>
      <c r="J69" s="56" t="inlineStr">
        <is>
          <t>2단계 보고서 자료(회사 설명회 자료·공시)</t>
        </is>
      </c>
    </row>
    <row r="70">
      <c r="A70" s="54" t="inlineStr">
        <is>
          <t>2024.4Q</t>
        </is>
      </c>
      <c r="B70" s="55" t="n">
        <v>2395.5</v>
      </c>
    </row>
    <row r="71">
      <c r="A71" s="54" t="inlineStr">
        <is>
          <t>2025.1Q</t>
        </is>
      </c>
      <c r="B71" s="55" t="n">
        <v>2318.2</v>
      </c>
    </row>
    <row r="72">
      <c r="A72" s="54" t="inlineStr">
        <is>
          <t>2025.2Q</t>
        </is>
      </c>
      <c r="B72" s="55" t="n">
        <v>2153.3</v>
      </c>
    </row>
    <row r="73">
      <c r="A73" s="54" t="inlineStr">
        <is>
          <t>2025.3Q</t>
        </is>
      </c>
      <c r="B73" s="55" t="n">
        <v>1773.3</v>
      </c>
    </row>
    <row r="74">
      <c r="A74" s="54" t="inlineStr">
        <is>
          <t>2025.4Q</t>
        </is>
      </c>
      <c r="B74" s="55" t="n">
        <v>1687.3</v>
      </c>
    </row>
    <row r="75">
      <c r="A75" s="54" t="inlineStr">
        <is>
          <t>2026.1Q</t>
        </is>
      </c>
      <c r="B75" s="55" t="n">
        <v>1961.2</v>
      </c>
    </row>
    <row r="76">
      <c r="A76" s="54" t="inlineStr">
        <is>
          <t>2026.2Q</t>
        </is>
      </c>
      <c r="B76" s="55" t="n">
        <v>1839.7</v>
      </c>
    </row>
    <row r="77">
      <c r="A77" s="54" t="inlineStr">
        <is>
          <t>2026.3Q</t>
        </is>
      </c>
      <c r="B77" s="55" t="n">
        <v>2049.8</v>
      </c>
    </row>
    <row r="78">
      <c r="A78" s="54" t="inlineStr">
        <is>
          <t>2026.4Q</t>
        </is>
      </c>
      <c r="B78" s="55" t="n">
        <v>2028.3</v>
      </c>
    </row>
    <row r="79">
      <c r="A79" s="54" t="inlineStr">
        <is>
          <t>2027.1Q</t>
        </is>
      </c>
      <c r="B79" s="55" t="n">
        <v>2176.4</v>
      </c>
    </row>
    <row r="80">
      <c r="A80" s="54" t="inlineStr">
        <is>
          <t>2027.2Q</t>
        </is>
      </c>
      <c r="B80" s="55" t="n">
        <v>2028</v>
      </c>
    </row>
    <row r="82">
      <c r="A82" s="52" t="inlineStr">
        <is>
          <t>컨센서스</t>
        </is>
      </c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</row>
    <row r="83">
      <c r="A83" s="53" t="inlineStr">
        <is>
          <t>항목</t>
        </is>
      </c>
      <c r="B83" s="53" t="inlineStr">
        <is>
          <t>값</t>
        </is>
      </c>
      <c r="J83" s="53" t="inlineStr">
        <is>
          <t>출처</t>
        </is>
      </c>
    </row>
    <row r="84">
      <c r="A84" s="54" t="inlineStr">
        <is>
          <t>fy27 EPS</t>
        </is>
      </c>
      <c r="B84" s="55" t="n">
        <v>664.46</v>
      </c>
      <c r="J84" s="56" t="inlineStr">
        <is>
          <t>2단계 보고서 자료(회사 설명회 자료·공시)</t>
        </is>
      </c>
    </row>
    <row r="85">
      <c r="A85" s="54" t="inlineStr">
        <is>
          <t>fy28 EPS</t>
        </is>
      </c>
      <c r="B85" s="55" t="n">
        <v>743.4</v>
      </c>
    </row>
    <row r="86">
      <c r="A86" s="54" t="inlineStr">
        <is>
          <t>3Q 매출</t>
        </is>
      </c>
      <c r="B86" s="55" t="n">
        <v>690.6</v>
      </c>
    </row>
    <row r="87">
      <c r="A87" s="54" t="inlineStr">
        <is>
          <t>tp 평균</t>
        </is>
      </c>
      <c r="B87" s="57" t="n">
        <v>8933</v>
      </c>
    </row>
    <row r="88">
      <c r="A88" s="54" t="inlineStr">
        <is>
          <t>애널리스트 수 tp</t>
        </is>
      </c>
      <c r="B88" s="57" t="n">
        <v>3</v>
      </c>
    </row>
    <row r="89">
      <c r="A89" s="54" t="inlineStr">
        <is>
          <t>2Q EPS 추정</t>
        </is>
      </c>
      <c r="B89" s="55" t="n">
        <v>197.8</v>
      </c>
    </row>
    <row r="91">
      <c r="A91" s="52" t="inlineStr">
        <is>
          <t>PER band</t>
        </is>
      </c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</row>
    <row r="92">
      <c r="A92" s="53" t="inlineStr">
        <is>
          <t>항목</t>
        </is>
      </c>
      <c r="B92" s="53" t="inlineStr">
        <is>
          <t>값</t>
        </is>
      </c>
      <c r="J92" s="53" t="inlineStr">
        <is>
          <t>출처</t>
        </is>
      </c>
    </row>
    <row r="93">
      <c r="A93" s="54" t="inlineStr">
        <is>
          <t>lo</t>
        </is>
      </c>
      <c r="B93" s="55" t="n">
        <v>6.9</v>
      </c>
      <c r="J93" s="56" t="inlineStr">
        <is>
          <t>2단계 보고서 자료(회사 설명회 자료·공시)</t>
        </is>
      </c>
    </row>
    <row r="94">
      <c r="A94" s="54" t="inlineStr">
        <is>
          <t>avg</t>
        </is>
      </c>
      <c r="B94" s="55" t="n">
        <v>10.1</v>
      </c>
    </row>
    <row r="95">
      <c r="A95" s="54" t="inlineStr">
        <is>
          <t>hi</t>
        </is>
      </c>
      <c r="B95" s="55" t="n">
        <v>13.9</v>
      </c>
    </row>
    <row r="96">
      <c r="A96" s="54" t="inlineStr">
        <is>
          <t>now</t>
        </is>
      </c>
      <c r="B96" s="55" t="n">
        <v>11.25</v>
      </c>
    </row>
    <row r="98">
      <c r="A98" s="52" t="inlineStr">
        <is>
          <t>비교 기업 q</t>
        </is>
      </c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</row>
    <row r="99">
      <c r="A99" s="53" t="inlineStr">
        <is>
          <t>항목</t>
        </is>
      </c>
      <c r="B99" s="53" t="inlineStr">
        <is>
          <t>CY4Q24</t>
        </is>
      </c>
      <c r="C99" s="53" t="inlineStr">
        <is>
          <t>CY1Q25</t>
        </is>
      </c>
      <c r="D99" s="53" t="inlineStr">
        <is>
          <t>CY2Q25</t>
        </is>
      </c>
      <c r="E99" s="53" t="inlineStr">
        <is>
          <t>CY3Q25</t>
        </is>
      </c>
      <c r="F99" s="53" t="inlineStr">
        <is>
          <t>CY4Q25</t>
        </is>
      </c>
      <c r="G99" s="53" t="inlineStr">
        <is>
          <t>CY1Q26</t>
        </is>
      </c>
      <c r="H99" s="53" t="inlineStr">
        <is>
          <t>CY2Q26</t>
        </is>
      </c>
      <c r="I99" s="53" t="inlineStr">
        <is>
          <t>CY3Q26</t>
        </is>
      </c>
      <c r="J99" s="53" t="inlineStr">
        <is>
          <t>출처</t>
        </is>
      </c>
    </row>
    <row r="100">
      <c r="A100" s="54" t="inlineStr">
        <is>
          <t>komatsu 매출</t>
        </is>
      </c>
      <c r="B100" s="55" t="n">
        <v>9892</v>
      </c>
      <c r="C100" s="55" t="n">
        <v>11471.3</v>
      </c>
      <c r="D100" s="55" t="n">
        <v>9095.200000000001</v>
      </c>
      <c r="E100" s="55" t="n">
        <v>9820.6</v>
      </c>
      <c r="F100" s="55" t="n">
        <v>10239</v>
      </c>
      <c r="G100" s="55" t="n">
        <v>12172.7</v>
      </c>
      <c r="H100" s="55" t="n">
        <v>10431.4</v>
      </c>
      <c r="I100" s="58" t="n"/>
      <c r="J100" s="56" t="inlineStr">
        <is>
          <t>2단계 보고서 자료(회사 설명회 자료·공시)</t>
        </is>
      </c>
    </row>
    <row r="101">
      <c r="A101" s="54" t="inlineStr">
        <is>
          <t>hcm 매출</t>
        </is>
      </c>
      <c r="B101" s="55" t="n">
        <v>3255.4</v>
      </c>
      <c r="C101" s="55" t="n">
        <v>3800.1</v>
      </c>
      <c r="D101" s="55" t="n">
        <v>3061.5</v>
      </c>
      <c r="E101" s="55" t="n">
        <v>3479</v>
      </c>
      <c r="F101" s="55" t="n">
        <v>3253</v>
      </c>
      <c r="G101" s="55" t="n">
        <v>4261.4</v>
      </c>
      <c r="H101" s="55" t="n">
        <v>3291.3</v>
      </c>
      <c r="I101" s="58" t="n"/>
    </row>
    <row r="102">
      <c r="A102" s="54" t="inlineStr">
        <is>
          <t>kubota 매출</t>
        </is>
      </c>
      <c r="B102" s="55" t="n">
        <v>7383.6</v>
      </c>
      <c r="C102" s="55" t="n">
        <v>7125.6</v>
      </c>
      <c r="D102" s="55" t="n">
        <v>7423.8</v>
      </c>
      <c r="E102" s="55" t="n">
        <v>7493.5</v>
      </c>
      <c r="F102" s="55" t="n">
        <v>8146.1</v>
      </c>
      <c r="G102" s="55" t="n">
        <v>8100.1</v>
      </c>
      <c r="H102" s="55" t="n">
        <v>8802.700000000001</v>
      </c>
      <c r="I102" s="5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2026-10-13</t>
        </is>
      </c>
      <c r="B4" t="inlineStr">
        <is>
          <t>2027년 2월 결산기 2분기 결산단신</t>
        </is>
      </c>
      <c r="C4" t="inlineStr">
        <is>
          <t>https://www2.jpx.co.jp/disc/64320/140120261013549309.pdf</t>
        </is>
      </c>
    </row>
    <row r="5">
      <c r="A5" t="inlineStr">
        <is>
          <t>2026-07-10</t>
        </is>
      </c>
      <c r="B5" t="inlineStr">
        <is>
          <t>2027년 2월 결산기 1분기 결산단신</t>
        </is>
      </c>
      <c r="C5" t="inlineStr">
        <is>
          <t>https://www2.jpx.co.jp/disc/64320/140120260710591084.pdf</t>
        </is>
      </c>
    </row>
    <row r="6">
      <c r="A6" t="inlineStr">
        <is>
          <t>2026-04-10</t>
        </is>
      </c>
      <c r="B6" t="inlineStr">
        <is>
          <t>2026년 2월 결산기 연간 결산단신</t>
        </is>
      </c>
      <c r="C6" t="inlineStr">
        <is>
          <t>https://www2.jpx.co.jp/disc/64320/140120260410501419.pdf</t>
        </is>
      </c>
    </row>
    <row r="7">
      <c r="A7" t="inlineStr">
        <is>
          <t>2026-01-13</t>
        </is>
      </c>
      <c r="B7" t="inlineStr">
        <is>
          <t>2026년 2월 결산기 3분기 결산단신</t>
        </is>
      </c>
      <c r="C7" t="inlineStr">
        <is>
          <t>https://www2.jpx.co.jp/disc/64320/140120260113532330.pdf</t>
        </is>
      </c>
    </row>
    <row r="8">
      <c r="A8" t="inlineStr">
        <is>
          <t>2025-10-10</t>
        </is>
      </c>
      <c r="B8" t="inlineStr">
        <is>
          <t>2026년 2월 결산기 2분기 결산단신</t>
        </is>
      </c>
      <c r="C8" t="inlineStr">
        <is>
          <t>https://www2.jpx.co.jp/disc/64320/140120251010571662.pdf</t>
        </is>
      </c>
    </row>
    <row r="9">
      <c r="A9" t="inlineStr">
        <is>
          <t>2025-07-10</t>
        </is>
      </c>
      <c r="B9" t="inlineStr">
        <is>
          <t>2026년 2월 결산기 1분기 결산단신</t>
        </is>
      </c>
      <c r="C9" t="inlineStr">
        <is>
          <t>https://www2.jpx.co.jp/disc/64320/140120250710511555.pdf</t>
        </is>
      </c>
    </row>
    <row r="10">
      <c r="A10" t="inlineStr">
        <is>
          <t>2025-04-11</t>
        </is>
      </c>
      <c r="B10" t="inlineStr">
        <is>
          <t>2025년 2월 결산기 연간 결산단신</t>
        </is>
      </c>
      <c r="C10" t="inlineStr">
        <is>
          <t>https://www2.jpx.co.jp/disc/64320/140120250411513672.pdf</t>
        </is>
      </c>
    </row>
    <row r="11">
      <c r="A11" t="inlineStr">
        <is>
          <t>2025-01-10</t>
        </is>
      </c>
      <c r="B11" t="inlineStr">
        <is>
          <t>2025년 2월 결산기 3분기 결산단신</t>
        </is>
      </c>
      <c r="C11" t="inlineStr">
        <is>
          <t>https://www2.jpx.co.jp/disc/64320/140120250110549131.pdf</t>
        </is>
      </c>
    </row>
    <row r="12">
      <c r="A12" t="inlineStr">
        <is>
          <t>2024-10-10</t>
        </is>
      </c>
      <c r="B12" t="inlineStr">
        <is>
          <t>2025년 2월 결산기 2분기 결산단신</t>
        </is>
      </c>
      <c r="C12" t="inlineStr">
        <is>
          <t>https://www2.jpx.co.jp/disc/64320/140120241010596291.pdf</t>
        </is>
      </c>
    </row>
    <row r="13">
      <c r="A13" t="inlineStr">
        <is>
          <t>2024-07-12</t>
        </is>
      </c>
      <c r="B13" t="inlineStr">
        <is>
          <t>2025년 2월 결산기 1분기 결산단신</t>
        </is>
      </c>
      <c r="C13" t="inlineStr">
        <is>
          <t>https://www2.jpx.co.jp/disc/64320/140120240712548842.pdf</t>
        </is>
      </c>
    </row>
    <row r="14">
      <c r="A14" t="inlineStr">
        <is>
          <t>2024-04-12</t>
        </is>
      </c>
      <c r="B14" t="inlineStr">
        <is>
          <t>2024년 2월 결산기 연간 결산단신</t>
        </is>
      </c>
      <c r="C14" t="inlineStr">
        <is>
          <t>https://www2.jpx.co.jp/disc/64320/140120240412569893.pdf</t>
        </is>
      </c>
    </row>
    <row r="15">
      <c r="A15" t="inlineStr">
        <is>
          <t>2024-01-12</t>
        </is>
      </c>
      <c r="B15" t="inlineStr">
        <is>
          <t>2024년 2월 결산기 3분기 결산단신</t>
        </is>
      </c>
      <c r="C15" t="inlineStr">
        <is>
          <t>https://www2.jpx.co.jp/disc/64320/140120240112514237.pdf</t>
        </is>
      </c>
    </row>
    <row r="16">
      <c r="A16" t="inlineStr">
        <is>
          <t>2023-10-12</t>
        </is>
      </c>
      <c r="B16" t="inlineStr">
        <is>
          <t>2024년 2월 결산기 2분기 결산단신</t>
        </is>
      </c>
      <c r="C16" t="inlineStr">
        <is>
          <t>https://www2.jpx.co.jp/disc/64320/140120231011564890.pdf</t>
        </is>
      </c>
    </row>
    <row r="17">
      <c r="A17" t="inlineStr">
        <is>
          <t>2023-07-13</t>
        </is>
      </c>
      <c r="B17" t="inlineStr">
        <is>
          <t>2024년 2월 결산기 1분기 결산단신</t>
        </is>
      </c>
      <c r="C17" t="inlineStr">
        <is>
          <t>https://www2.jpx.co.jp/disc/64320/140120230711520480.pdf</t>
        </is>
      </c>
    </row>
    <row r="18">
      <c r="A18" t="inlineStr">
        <is>
          <t>2023-04-11</t>
        </is>
      </c>
      <c r="B18" t="inlineStr">
        <is>
          <t>2023년 2월 결산기 연간 결산단신</t>
        </is>
      </c>
      <c r="C18" t="inlineStr">
        <is>
          <t>https://www2.jpx.co.jp/disc/64320/140120230410544959.pdf</t>
        </is>
      </c>
    </row>
    <row r="19">
      <c r="A19" t="inlineStr">
        <is>
          <t>2023-01-13</t>
        </is>
      </c>
      <c r="B19" t="inlineStr">
        <is>
          <t>2023년 2월 결산기 3분기 결산단신</t>
        </is>
      </c>
      <c r="C19" t="inlineStr">
        <is>
          <t>https://www2.jpx.co.jp/disc/64320/140120230112588035.pdf</t>
        </is>
      </c>
    </row>
    <row r="20">
      <c r="A20" t="inlineStr">
        <is>
          <t>2022-04-12</t>
        </is>
      </c>
      <c r="B20" t="inlineStr">
        <is>
          <t>2022년 2월 결산기 연간 결산단신</t>
        </is>
      </c>
      <c r="C20" t="inlineStr">
        <is>
          <t>https://www2.jpx.co.jp/disc/64320/140120220411520016.pdf</t>
        </is>
      </c>
    </row>
    <row r="21">
      <c r="A21" t="inlineStr">
        <is>
          <t>2021-04-09</t>
        </is>
      </c>
      <c r="B21" t="inlineStr">
        <is>
          <t>2021년 2월 결산기 연간 결산단신</t>
        </is>
      </c>
      <c r="C21" t="inlineStr">
        <is>
          <t>https://www2.jpx.co.jp/disc/64320/140120210407491141.pdf</t>
        </is>
      </c>
    </row>
    <row r="22">
      <c r="A22" t="inlineStr">
        <is>
          <t>2020-04-09</t>
        </is>
      </c>
      <c r="B22" t="inlineStr">
        <is>
          <t>2020년 2월 결산기 연간 결산단신</t>
        </is>
      </c>
      <c r="C22" t="inlineStr">
        <is>
          <t>https://www2.jpx.co.jp/disc/64320/140120200310477263.pdf</t>
        </is>
      </c>
    </row>
    <row r="23">
      <c r="A23" t="inlineStr">
        <is>
          <t>2019-04-09</t>
        </is>
      </c>
      <c r="B23" t="inlineStr">
        <is>
          <t>2019년 2월 결산기 연간 결산단신</t>
        </is>
      </c>
      <c r="C23" t="inlineStr">
        <is>
          <t>https://www2.jpx.co.jp/disc/64320/140120190327496349.pdf</t>
        </is>
      </c>
    </row>
    <row r="24">
      <c r="A24" t="inlineStr">
        <is>
          <t>2018-04-10</t>
        </is>
      </c>
      <c r="B24" t="inlineStr">
        <is>
          <t>연간 결산단신</t>
        </is>
      </c>
      <c r="C24" t="inlineStr">
        <is>
          <t>https://www2.jpx.co.jp/disc/64320/140120180406406333.pdf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2026-10-28T07:39:43Z</dcterms:created>
  <dcterms:modified xmlns:dcterms="http://purl.org/dc/terms/" xmlns:xsi="http://www.w3.org/2001/XMLSchema-instance" xsi:type="dcterms:W3CDTF">2026-10-28T07:39:43Z</dcterms:modified>
</cp:coreProperties>
</file>