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7185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2574.738</v>
      </c>
      <c r="D4" s="12" t="n">
        <v>2674.609</v>
      </c>
      <c r="E4" s="12" t="n">
        <v>2541.142</v>
      </c>
      <c r="F4" s="12" t="n">
        <v>2798.433</v>
      </c>
      <c r="G4" s="12" t="n">
        <v>2663.931</v>
      </c>
      <c r="H4" s="12" t="n">
        <v>2133.529</v>
      </c>
      <c r="I4" s="12" t="n">
        <v>2607.656</v>
      </c>
      <c r="J4" s="12" t="n">
        <v>2564.126</v>
      </c>
      <c r="K4" s="12" t="n">
        <v>2122.944</v>
      </c>
      <c r="L4" s="12" t="n">
        <v>2452.468</v>
      </c>
      <c r="M4" s="12" t="n">
        <v>3351.035</v>
      </c>
      <c r="N4" s="12" t="n">
        <v>3123.159</v>
      </c>
      <c r="O4" s="11" t="n">
        <v>6721.917</v>
      </c>
      <c r="P4" s="12" t="n">
        <v>7671.961</v>
      </c>
      <c r="Q4" s="12" t="n">
        <v>8378.67</v>
      </c>
      <c r="R4" s="12" t="n">
        <v>8412.23</v>
      </c>
      <c r="S4" s="12" t="n">
        <v>8733.915999999999</v>
      </c>
      <c r="T4" s="12" t="n">
        <v>8722.862999999999</v>
      </c>
      <c r="U4" s="12" t="n">
        <v>10318.279</v>
      </c>
      <c r="V4" s="12" t="n">
        <v>10713.36</v>
      </c>
      <c r="W4" s="12" t="n">
        <v>10203.549</v>
      </c>
      <c r="X4" s="12" t="n">
        <v>10490.573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0.304</v>
      </c>
      <c r="D11" s="22" t="n">
        <v>0.08599999999999999</v>
      </c>
      <c r="E11" s="22" t="n">
        <v>0.139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/>
      <c r="K11" s="22" t="n"/>
      <c r="L11" s="22" t="n"/>
      <c r="M11" s="22" t="n"/>
      <c r="N11" s="22" t="n"/>
      <c r="O11" s="21" t="n"/>
      <c r="P11" s="22" t="n"/>
      <c r="Q11" s="22" t="n"/>
      <c r="R11" s="22" t="n"/>
      <c r="S11" s="22" t="n">
        <v>0</v>
      </c>
      <c r="T11" s="22" t="n">
        <v>7.999</v>
      </c>
      <c r="U11" s="22" t="n">
        <v>46.578</v>
      </c>
      <c r="V11" s="22" t="n">
        <v>3.788</v>
      </c>
      <c r="W11" s="22" t="n">
        <v>0</v>
      </c>
      <c r="X11" s="22" t="n"/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1695.025</v>
      </c>
      <c r="D15" s="22" t="n">
        <v>1470.13</v>
      </c>
      <c r="E15" s="22" t="n">
        <v>1719.733</v>
      </c>
      <c r="F15" s="22" t="n">
        <v>1560.675</v>
      </c>
      <c r="G15" s="22" t="n">
        <v>1951.619</v>
      </c>
      <c r="H15" s="22" t="n">
        <v>1605.187</v>
      </c>
      <c r="I15" s="22" t="n">
        <v>1963.751</v>
      </c>
      <c r="J15" s="22" t="n">
        <v>1739.411</v>
      </c>
      <c r="K15" s="22" t="n">
        <v>1808.741</v>
      </c>
      <c r="L15" s="22" t="n">
        <v>1774.835</v>
      </c>
      <c r="M15" s="22" t="n">
        <v>2063.268</v>
      </c>
      <c r="N15" s="22" t="n">
        <v>1854.261</v>
      </c>
      <c r="O15" s="21" t="n">
        <v>5192</v>
      </c>
      <c r="P15" s="22" t="n">
        <v>5061.5</v>
      </c>
      <c r="Q15" s="22" t="n">
        <v>5364.312</v>
      </c>
      <c r="R15" s="22" t="n">
        <v>5387.233</v>
      </c>
      <c r="S15" s="22" t="n">
        <v>5820.894</v>
      </c>
      <c r="T15" s="22" t="n">
        <v>5960.087</v>
      </c>
      <c r="U15" s="22" t="n">
        <v>6642.45</v>
      </c>
      <c r="V15" s="22" t="n">
        <v>6416.014</v>
      </c>
      <c r="W15" s="22" t="n">
        <v>7081.232</v>
      </c>
      <c r="X15" s="22" t="n">
        <v>7386.255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869.455</v>
      </c>
      <c r="D16" s="12" t="n">
        <v>1195.694</v>
      </c>
      <c r="E16" s="12" t="n">
        <v>812.533</v>
      </c>
      <c r="F16" s="12" t="n">
        <v>1226.471</v>
      </c>
      <c r="G16" s="12" t="n">
        <v>699.567</v>
      </c>
      <c r="H16" s="12" t="n">
        <v>513.2190000000001</v>
      </c>
      <c r="I16" s="12" t="n">
        <v>625.66</v>
      </c>
      <c r="J16" s="12" t="n">
        <v>807.67</v>
      </c>
      <c r="K16" s="12" t="n">
        <v>300.451</v>
      </c>
      <c r="L16" s="12" t="n">
        <v>664.028</v>
      </c>
      <c r="M16" s="12" t="n">
        <v>1267.839</v>
      </c>
      <c r="N16" s="12" t="n">
        <v>1242.552</v>
      </c>
      <c r="O16" s="11" t="n">
        <v>1529.917</v>
      </c>
      <c r="P16" s="12" t="n">
        <v>2610.461</v>
      </c>
      <c r="Q16" s="12" t="n">
        <v>3014.358</v>
      </c>
      <c r="R16" s="12" t="n">
        <v>3024.996</v>
      </c>
      <c r="S16" s="12" t="n">
        <v>2853.648</v>
      </c>
      <c r="T16" s="12" t="n">
        <v>2706.718</v>
      </c>
      <c r="U16" s="12" t="n">
        <v>3586.414</v>
      </c>
      <c r="V16" s="12" t="n">
        <v>4256.336</v>
      </c>
      <c r="W16" s="12" t="n">
        <v>3064.917</v>
      </c>
      <c r="X16" s="12" t="n">
        <v>3039.988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/>
      <c r="D32" s="22" t="n"/>
      <c r="E32" s="22" t="n"/>
      <c r="F32" s="22" t="n"/>
      <c r="G32" s="22" t="n"/>
      <c r="H32" s="22" t="n"/>
      <c r="I32" s="22" t="n"/>
      <c r="J32" s="22" t="n">
        <v>0</v>
      </c>
      <c r="K32" s="22" t="n"/>
      <c r="L32" s="22" t="n"/>
      <c r="M32" s="22" t="n"/>
      <c r="N32" s="22" t="n">
        <v>11.45</v>
      </c>
      <c r="O32" s="21" t="n"/>
      <c r="P32" s="22" t="n">
        <v>0</v>
      </c>
      <c r="Q32" s="22" t="n">
        <v>0.242</v>
      </c>
      <c r="R32" s="22" t="n">
        <v>1.642</v>
      </c>
      <c r="S32" s="22" t="n">
        <v>0</v>
      </c>
      <c r="T32" s="22" t="n">
        <v>0.06900000000000001</v>
      </c>
      <c r="U32" s="22" t="n">
        <v>0</v>
      </c>
      <c r="V32" s="22" t="n"/>
      <c r="W32" s="22" t="n">
        <v>0</v>
      </c>
      <c r="X32" s="22" t="n">
        <v>19.604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/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1.586</v>
      </c>
      <c r="K34" s="22" t="n">
        <v>0</v>
      </c>
      <c r="L34" s="22" t="n">
        <v>0</v>
      </c>
      <c r="M34" s="22" t="n">
        <v>0</v>
      </c>
      <c r="N34" s="22" t="n">
        <v>0</v>
      </c>
      <c r="O34" s="21" t="n">
        <v>9.170999999999999</v>
      </c>
      <c r="P34" s="22" t="n">
        <v>0.609</v>
      </c>
      <c r="Q34" s="22" t="n">
        <v>0.13</v>
      </c>
      <c r="R34" s="22" t="n">
        <v>25.37</v>
      </c>
      <c r="S34" s="22" t="n">
        <v>3.679</v>
      </c>
      <c r="T34" s="22" t="n">
        <v>0.064</v>
      </c>
      <c r="U34" s="22" t="n">
        <v>0</v>
      </c>
      <c r="V34" s="22" t="n">
        <v>0</v>
      </c>
      <c r="W34" s="22" t="n">
        <v>0</v>
      </c>
      <c r="X34" s="22" t="n">
        <v>1.586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0.954</v>
      </c>
      <c r="D36" s="22" t="n">
        <v>0.353</v>
      </c>
      <c r="E36" s="22" t="n">
        <v>0.844</v>
      </c>
      <c r="F36" s="22" t="n">
        <v>2.997</v>
      </c>
      <c r="G36" s="22" t="n">
        <v>2.339</v>
      </c>
      <c r="H36" s="22" t="n">
        <v>3.214</v>
      </c>
      <c r="I36" s="22" t="n">
        <v>0.077</v>
      </c>
      <c r="J36" s="22" t="n">
        <v>6.152</v>
      </c>
      <c r="K36" s="22" t="n">
        <v>12.909</v>
      </c>
      <c r="L36" s="22" t="n">
        <v>10.787</v>
      </c>
      <c r="M36" s="22" t="n">
        <v>4.536</v>
      </c>
      <c r="N36" s="22" t="n">
        <v>2.091</v>
      </c>
      <c r="O36" s="21" t="n">
        <v>5.782</v>
      </c>
      <c r="P36" s="22" t="n">
        <v>6.869</v>
      </c>
      <c r="Q36" s="22" t="n">
        <v>2.72</v>
      </c>
      <c r="R36" s="22" t="n">
        <v>7.849</v>
      </c>
      <c r="S36" s="22" t="n">
        <v>6.667</v>
      </c>
      <c r="T36" s="22" t="n">
        <v>4.781</v>
      </c>
      <c r="U36" s="22" t="n">
        <v>3.668</v>
      </c>
      <c r="V36" s="22" t="n">
        <v>3.32</v>
      </c>
      <c r="W36" s="22" t="n">
        <v>8.627000000000001</v>
      </c>
      <c r="X36" s="22" t="n">
        <v>34.384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0.768</v>
      </c>
      <c r="D38" s="22" t="n">
        <v>-0.387</v>
      </c>
      <c r="E38" s="22" t="n">
        <v>0.632</v>
      </c>
      <c r="F38" s="22" t="n">
        <v>2.368</v>
      </c>
      <c r="G38" s="22" t="n">
        <v>-2.361</v>
      </c>
      <c r="H38" s="22" t="n">
        <v>5.524</v>
      </c>
      <c r="I38" s="22" t="n">
        <v>-2.398</v>
      </c>
      <c r="J38" s="22" t="n">
        <v>1.056</v>
      </c>
      <c r="K38" s="22" t="n">
        <v>0.68</v>
      </c>
      <c r="L38" s="22" t="n">
        <v>-0.393</v>
      </c>
      <c r="M38" s="22" t="n">
        <v>-0.909</v>
      </c>
      <c r="N38" s="22" t="n">
        <v>4.01</v>
      </c>
      <c r="O38" s="21" t="n">
        <v>73.48699999999999</v>
      </c>
      <c r="P38" s="22" t="n">
        <v>64.36199999999999</v>
      </c>
      <c r="Q38" s="22" t="n">
        <v>49.192</v>
      </c>
      <c r="R38" s="22" t="n">
        <v>60.069</v>
      </c>
      <c r="S38" s="22" t="n">
        <v>4.651</v>
      </c>
      <c r="T38" s="22" t="n">
        <v>7.804</v>
      </c>
      <c r="U38" s="22" t="n">
        <v>4.592</v>
      </c>
      <c r="V38" s="22" t="n">
        <v>4.653</v>
      </c>
      <c r="W38" s="22" t="n">
        <v>3.133</v>
      </c>
      <c r="X38" s="22" t="n">
        <v>0.434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869.641</v>
      </c>
      <c r="D40" s="12" t="n">
        <v>1196.434</v>
      </c>
      <c r="E40" s="12" t="n">
        <v>812.744</v>
      </c>
      <c r="F40" s="12" t="n">
        <v>1227.1</v>
      </c>
      <c r="G40" s="12" t="n">
        <v>704.2670000000001</v>
      </c>
      <c r="H40" s="12" t="n">
        <v>510.91</v>
      </c>
      <c r="I40" s="12" t="n">
        <v>628.134</v>
      </c>
      <c r="J40" s="12" t="n">
        <v>811.179</v>
      </c>
      <c r="K40" s="12" t="n">
        <v>312.68</v>
      </c>
      <c r="L40" s="12" t="n">
        <v>675.2089999999999</v>
      </c>
      <c r="M40" s="12" t="n">
        <v>1292.888</v>
      </c>
      <c r="N40" s="12" t="n">
        <v>1252.084</v>
      </c>
      <c r="O40" s="11" t="n">
        <v>1453.041</v>
      </c>
      <c r="P40" s="12" t="n">
        <v>2552.359</v>
      </c>
      <c r="Q40" s="12" t="n">
        <v>2967.998</v>
      </c>
      <c r="R40" s="12" t="n">
        <v>2949.048</v>
      </c>
      <c r="S40" s="12" t="n">
        <v>2851.985</v>
      </c>
      <c r="T40" s="12" t="n">
        <v>2703.7</v>
      </c>
      <c r="U40" s="12" t="n">
        <v>3585.491</v>
      </c>
      <c r="V40" s="12" t="n">
        <v>4255.002</v>
      </c>
      <c r="W40" s="12" t="n">
        <v>3070.411</v>
      </c>
      <c r="X40" s="12" t="n">
        <v>3091.956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313.391</v>
      </c>
      <c r="D41" s="22" t="n">
        <v>385.506</v>
      </c>
      <c r="E41" s="22" t="n">
        <v>227.296</v>
      </c>
      <c r="F41" s="22" t="n">
        <v>388.466</v>
      </c>
      <c r="G41" s="22" t="n">
        <v>280.492</v>
      </c>
      <c r="H41" s="22" t="n">
        <v>202.255</v>
      </c>
      <c r="I41" s="22" t="n">
        <v>-30.319</v>
      </c>
      <c r="J41" s="22" t="n">
        <v>269.174</v>
      </c>
      <c r="K41" s="22" t="n">
        <v>165.671</v>
      </c>
      <c r="L41" s="22" t="n">
        <v>190.896</v>
      </c>
      <c r="M41" s="22" t="n">
        <v>405.575</v>
      </c>
      <c r="N41" s="22" t="n">
        <v>449.143</v>
      </c>
      <c r="O41" s="21" t="n">
        <v>572.707</v>
      </c>
      <c r="P41" s="22" t="n">
        <v>845.446</v>
      </c>
      <c r="Q41" s="22" t="n">
        <v>1000.196</v>
      </c>
      <c r="R41" s="22" t="n">
        <v>866.003</v>
      </c>
      <c r="S41" s="22" t="n">
        <v>913.722</v>
      </c>
      <c r="T41" s="22" t="n">
        <v>863.545</v>
      </c>
      <c r="U41" s="22" t="n">
        <v>1177.916</v>
      </c>
      <c r="V41" s="22" t="n">
        <v>1329.556</v>
      </c>
      <c r="W41" s="22" t="n">
        <v>840.894</v>
      </c>
      <c r="X41" s="22" t="n">
        <v>1031.316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556.251</v>
      </c>
      <c r="D43" s="12" t="n">
        <v>810.928</v>
      </c>
      <c r="E43" s="12" t="n">
        <v>585.448</v>
      </c>
      <c r="F43" s="12" t="n">
        <v>838.633</v>
      </c>
      <c r="G43" s="12" t="n">
        <v>423.775</v>
      </c>
      <c r="H43" s="12" t="n">
        <v>308.655</v>
      </c>
      <c r="I43" s="12" t="n">
        <v>658.454</v>
      </c>
      <c r="J43" s="12" t="n">
        <v>542.005</v>
      </c>
      <c r="K43" s="12" t="n">
        <v>147.008</v>
      </c>
      <c r="L43" s="12" t="n">
        <v>484.314</v>
      </c>
      <c r="M43" s="12" t="n">
        <v>887.312</v>
      </c>
      <c r="N43" s="12" t="n">
        <v>802.9400000000001</v>
      </c>
      <c r="O43" s="11" t="n">
        <v>880.333</v>
      </c>
      <c r="P43" s="12" t="n">
        <v>1706.913</v>
      </c>
      <c r="Q43" s="12" t="n">
        <v>1967.801</v>
      </c>
      <c r="R43" s="12" t="n">
        <v>2083.045</v>
      </c>
      <c r="S43" s="12" t="n">
        <v>1938.262</v>
      </c>
      <c r="T43" s="12" t="n">
        <v>1840.155</v>
      </c>
      <c r="U43" s="12" t="n">
        <v>2407.574</v>
      </c>
      <c r="V43" s="12" t="n">
        <v>2925.446</v>
      </c>
      <c r="W43" s="12" t="n">
        <v>2229.517</v>
      </c>
      <c r="X43" s="12" t="n">
        <v>2060.639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556.251</v>
      </c>
      <c r="D44" s="12" t="n">
        <v>810.928</v>
      </c>
      <c r="E44" s="12" t="n">
        <v>585.448</v>
      </c>
      <c r="F44" s="12" t="n">
        <v>838.633</v>
      </c>
      <c r="G44" s="12" t="n">
        <v>423.775</v>
      </c>
      <c r="H44" s="12" t="n">
        <v>308.655</v>
      </c>
      <c r="I44" s="12" t="n">
        <v>658.454</v>
      </c>
      <c r="J44" s="12" t="n">
        <v>542.005</v>
      </c>
      <c r="K44" s="12" t="n">
        <v>147.008</v>
      </c>
      <c r="L44" s="12" t="n">
        <v>484.314</v>
      </c>
      <c r="M44" s="12" t="n">
        <v>887.312</v>
      </c>
      <c r="N44" s="12" t="n">
        <v>802.9400000000001</v>
      </c>
      <c r="O44" s="11" t="n">
        <v>880.333</v>
      </c>
      <c r="P44" s="12" t="n">
        <v>1706.913</v>
      </c>
      <c r="Q44" s="12" t="n">
        <v>1967.801</v>
      </c>
      <c r="R44" s="12" t="n">
        <v>2083.045</v>
      </c>
      <c r="S44" s="12" t="n">
        <v>1938.262</v>
      </c>
      <c r="T44" s="12" t="n">
        <v>1840.155</v>
      </c>
      <c r="U44" s="12" t="n">
        <v>2407.574</v>
      </c>
      <c r="V44" s="12" t="n">
        <v>2925.446</v>
      </c>
      <c r="W44" s="12" t="n">
        <v>2229.517</v>
      </c>
      <c r="X44" s="12" t="n">
        <v>2060.639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(2026.10.26)</t>
        </is>
      </c>
      <c r="B47" s="29" t="n">
        <v>3655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6883500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2026.10.26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20" t="inlineStr">
        <is>
          <t>Net Trading Income ORSEC</t>
        </is>
      </c>
      <c r="C78" s="22" t="n">
        <v>2572.179</v>
      </c>
      <c r="D78" s="22" t="n">
        <v>2671.49</v>
      </c>
      <c r="E78" s="22" t="n">
        <v>2537.759</v>
      </c>
      <c r="F78" s="22" t="n">
        <v>2795.081</v>
      </c>
      <c r="G78" s="22" t="n">
        <v>2643.955</v>
      </c>
      <c r="H78" s="22" t="n">
        <v>2126.583</v>
      </c>
      <c r="I78" s="22" t="n">
        <v>2560.291</v>
      </c>
      <c r="J78" s="22" t="n">
        <v>2552.304</v>
      </c>
      <c r="K78" s="22" t="n">
        <v>2095.166</v>
      </c>
      <c r="L78" s="22" t="n">
        <v>2435.493</v>
      </c>
      <c r="M78" s="22" t="n">
        <v>3312.262</v>
      </c>
      <c r="N78" s="22" t="n">
        <v>3094.097</v>
      </c>
      <c r="T78" s="22" t="n">
        <v>2321.225</v>
      </c>
      <c r="U78" s="22" t="n">
        <v>2495.021</v>
      </c>
      <c r="V78" s="22" t="n">
        <v>2537.759</v>
      </c>
      <c r="W78" s="22" t="n">
        <v>2560.291</v>
      </c>
      <c r="X78" s="22" t="n">
        <v>3312.262</v>
      </c>
    </row>
    <row r="79">
      <c r="A79" s="20" t="inlineStr">
        <is>
          <t>금융수익</t>
        </is>
      </c>
      <c r="C79" s="22" t="n">
        <v>1.395</v>
      </c>
      <c r="D79" s="22" t="n">
        <v>1.017</v>
      </c>
      <c r="E79" s="22" t="n">
        <v>1.578</v>
      </c>
      <c r="F79" s="22" t="n">
        <v>2.156</v>
      </c>
      <c r="G79" s="22" t="n">
        <v>19.425</v>
      </c>
      <c r="H79" s="22" t="n">
        <v>5.984</v>
      </c>
      <c r="I79" s="22" t="n">
        <v>47.079</v>
      </c>
      <c r="J79" s="22" t="n">
        <v>11.822</v>
      </c>
      <c r="K79" s="22" t="n">
        <v>27.778</v>
      </c>
      <c r="L79" s="22" t="n">
        <v>16.975</v>
      </c>
      <c r="M79" s="22" t="n">
        <v>38.772</v>
      </c>
      <c r="N79" s="22" t="n">
        <v>29.062</v>
      </c>
      <c r="T79" s="22" t="n">
        <v>0.378</v>
      </c>
      <c r="U79" s="22" t="n">
        <v>1.257</v>
      </c>
      <c r="V79" s="22" t="n">
        <v>1.578</v>
      </c>
      <c r="W79" s="22" t="n">
        <v>47.079</v>
      </c>
      <c r="X79" s="22" t="n">
        <v>38.772</v>
      </c>
    </row>
    <row r="80">
      <c r="A80" s="20" t="inlineStr">
        <is>
          <t>Other Sales Rev OA</t>
        </is>
      </c>
      <c r="C80" s="22" t="n">
        <v>1.164</v>
      </c>
      <c r="F80" s="22" t="n">
        <v>1.194</v>
      </c>
      <c r="G80" s="22" t="n">
        <v>0.551</v>
      </c>
      <c r="J80" s="22" t="n">
        <v>0</v>
      </c>
      <c r="K80" s="22" t="n">
        <v>0</v>
      </c>
    </row>
    <row r="81">
      <c r="A81" s="20" t="inlineStr">
        <is>
          <t>Operating Revenue1</t>
        </is>
      </c>
      <c r="C81" s="22" t="n">
        <v>2574.738</v>
      </c>
      <c r="D81" s="22" t="n">
        <v>2674.609</v>
      </c>
      <c r="E81" s="22" t="n">
        <v>2541.142</v>
      </c>
      <c r="F81" s="22" t="n">
        <v>2798.433</v>
      </c>
      <c r="G81" s="22" t="n">
        <v>2663.931</v>
      </c>
      <c r="H81" s="22" t="n">
        <v>2133.529</v>
      </c>
      <c r="I81" s="22" t="n">
        <v>2607.656</v>
      </c>
      <c r="J81" s="22" t="n">
        <v>2564.126</v>
      </c>
      <c r="K81" s="22" t="n">
        <v>2122.944</v>
      </c>
      <c r="L81" s="22" t="n">
        <v>2452.468</v>
      </c>
      <c r="M81" s="22" t="n">
        <v>3351.035</v>
      </c>
      <c r="N81" s="22" t="n">
        <v>3123.159</v>
      </c>
      <c r="T81" s="22" t="n">
        <v>2328.354</v>
      </c>
      <c r="U81" s="22" t="n">
        <v>2503.882</v>
      </c>
      <c r="V81" s="22" t="n">
        <v>2541.142</v>
      </c>
      <c r="W81" s="22" t="n">
        <v>2607.656</v>
      </c>
      <c r="X81" s="22" t="n">
        <v>3351.035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T82" s="17">
        <f>IF(OR(T81="",S81=""),"",IF(S81&lt;=0,"",IFERROR(T81/S81-1,"")))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금융비용</t>
        </is>
      </c>
      <c r="C83" s="22" t="n">
        <v>9.954000000000001</v>
      </c>
      <c r="D83" s="22" t="n">
        <v>8.698</v>
      </c>
      <c r="E83" s="22" t="n">
        <v>8.738</v>
      </c>
      <c r="F83" s="22" t="n">
        <v>11.286</v>
      </c>
      <c r="G83" s="22" t="n">
        <v>12.746</v>
      </c>
      <c r="H83" s="22" t="n">
        <v>15.121</v>
      </c>
      <c r="I83" s="22" t="n">
        <v>18.246</v>
      </c>
      <c r="J83" s="22" t="n">
        <v>17.044</v>
      </c>
      <c r="K83" s="22" t="n">
        <v>13.752</v>
      </c>
      <c r="L83" s="22" t="n">
        <v>13.605</v>
      </c>
      <c r="M83" s="22" t="n">
        <v>19.928</v>
      </c>
      <c r="N83" s="22" t="n">
        <v>26.345</v>
      </c>
      <c r="T83" s="22" t="n">
        <v>9.632</v>
      </c>
      <c r="U83" s="22" t="n">
        <v>10.256</v>
      </c>
      <c r="V83" s="22" t="n">
        <v>8.738</v>
      </c>
      <c r="W83" s="22" t="n">
        <v>18.246</v>
      </c>
      <c r="X83" s="22" t="n">
        <v>19.928</v>
      </c>
    </row>
    <row r="84">
      <c r="A84" s="20" t="inlineStr">
        <is>
          <t>매출원가</t>
        </is>
      </c>
      <c r="C84" s="22" t="n">
        <v>0.304</v>
      </c>
      <c r="D84" s="22" t="n">
        <v>0.08599999999999999</v>
      </c>
      <c r="E84" s="22" t="n">
        <v>0.139</v>
      </c>
      <c r="F84" s="22" t="n">
        <v>0</v>
      </c>
      <c r="G84" s="22" t="n">
        <v>0</v>
      </c>
      <c r="H84" s="22" t="n">
        <v>0</v>
      </c>
      <c r="I84" s="22" t="n">
        <v>0</v>
      </c>
      <c r="T84" s="22" t="n">
        <v>5.137</v>
      </c>
      <c r="U84" s="22" t="n">
        <v>5.191</v>
      </c>
      <c r="V84" s="22" t="n">
        <v>0.139</v>
      </c>
      <c r="W84" s="22" t="n">
        <v>0</v>
      </c>
    </row>
    <row r="85">
      <c r="A85" s="20" t="inlineStr">
        <is>
          <t>Net Operating Revenue SEC</t>
        </is>
      </c>
      <c r="C85" s="22" t="n">
        <v>2564.48</v>
      </c>
      <c r="D85" s="22" t="n">
        <v>2665.825</v>
      </c>
      <c r="E85" s="22" t="n">
        <v>2532.265</v>
      </c>
      <c r="F85" s="22" t="n">
        <v>2787.146</v>
      </c>
      <c r="G85" s="22" t="n">
        <v>2651.186</v>
      </c>
      <c r="H85" s="22" t="n">
        <v>2118.407</v>
      </c>
      <c r="I85" s="22" t="n">
        <v>2589.41</v>
      </c>
      <c r="J85" s="22" t="n">
        <v>2547.082</v>
      </c>
      <c r="K85" s="22" t="n">
        <v>2109.191</v>
      </c>
      <c r="L85" s="22" t="n">
        <v>2438.863</v>
      </c>
      <c r="M85" s="22" t="n">
        <v>3331.108</v>
      </c>
      <c r="N85" s="22" t="n">
        <v>3096.814</v>
      </c>
      <c r="T85" s="22" t="n">
        <v>2313.586</v>
      </c>
      <c r="U85" s="22" t="n">
        <v>2488.435</v>
      </c>
      <c r="V85" s="22" t="n">
        <v>2532.265</v>
      </c>
      <c r="W85" s="22" t="n">
        <v>2589.41</v>
      </c>
      <c r="X85" s="22" t="n">
        <v>3331.108</v>
      </c>
    </row>
    <row r="86">
      <c r="A86" s="20" t="inlineStr">
        <is>
          <t>판매비와 관리비</t>
        </is>
      </c>
      <c r="C86" s="22" t="n">
        <v>1695.025</v>
      </c>
      <c r="D86" s="22" t="n">
        <v>1470.13</v>
      </c>
      <c r="E86" s="22" t="n">
        <v>1719.733</v>
      </c>
      <c r="F86" s="22" t="n">
        <v>1560.675</v>
      </c>
      <c r="G86" s="22" t="n">
        <v>1951.619</v>
      </c>
      <c r="H86" s="22" t="n">
        <v>1605.187</v>
      </c>
      <c r="I86" s="22" t="n">
        <v>1963.751</v>
      </c>
      <c r="J86" s="22" t="n">
        <v>1739.411</v>
      </c>
      <c r="K86" s="22" t="n">
        <v>1808.741</v>
      </c>
      <c r="L86" s="22" t="n">
        <v>1774.835</v>
      </c>
      <c r="M86" s="22" t="n">
        <v>2063.268</v>
      </c>
      <c r="N86" s="22" t="n">
        <v>1854.261</v>
      </c>
      <c r="T86" s="22" t="n">
        <v>1636.179</v>
      </c>
      <c r="U86" s="22" t="n">
        <v>1678.585</v>
      </c>
      <c r="V86" s="22" t="n">
        <v>1719.733</v>
      </c>
      <c r="W86" s="22" t="n">
        <v>1963.751</v>
      </c>
      <c r="X86" s="22" t="n">
        <v>2063.268</v>
      </c>
    </row>
    <row r="87">
      <c r="A87" s="9" t="inlineStr">
        <is>
          <t>영업이익</t>
        </is>
      </c>
      <c r="C87" s="12" t="n">
        <v>869.455</v>
      </c>
      <c r="D87" s="12" t="n">
        <v>1195.694</v>
      </c>
      <c r="E87" s="12" t="n">
        <v>812.533</v>
      </c>
      <c r="F87" s="12" t="n">
        <v>1226.471</v>
      </c>
      <c r="G87" s="12" t="n">
        <v>699.567</v>
      </c>
      <c r="H87" s="12" t="n">
        <v>513.2190000000001</v>
      </c>
      <c r="I87" s="12" t="n">
        <v>625.66</v>
      </c>
      <c r="J87" s="12" t="n">
        <v>807.67</v>
      </c>
      <c r="K87" s="12" t="n">
        <v>300.451</v>
      </c>
      <c r="L87" s="12" t="n">
        <v>664.028</v>
      </c>
      <c r="M87" s="12" t="n">
        <v>1267.839</v>
      </c>
      <c r="N87" s="12" t="n">
        <v>1242.552</v>
      </c>
      <c r="T87" s="12" t="n">
        <v>677.407</v>
      </c>
      <c r="U87" s="12" t="n">
        <v>809.85</v>
      </c>
      <c r="V87" s="12" t="n">
        <v>812.533</v>
      </c>
      <c r="W87" s="12" t="n">
        <v>625.66</v>
      </c>
      <c r="X87" s="12" t="n">
        <v>1267.839</v>
      </c>
    </row>
    <row r="88">
      <c r="A88" s="45" t="inlineStr">
        <is>
          <t>OPM</t>
        </is>
      </c>
      <c r="B88" s="3" t="inlineStr">
        <is>
          <t>영업이익 ÷ 매출</t>
        </is>
      </c>
      <c r="C88" s="17">
        <f>IF(OR(C87="",C81=""),"",IF(C81&lt;=0,"",IFERROR(C87/C81,"")))</f>
        <v/>
      </c>
      <c r="D88" s="17">
        <f>IF(OR(D87="",D81=""),"",IF(D81&lt;=0,"",IFERROR(D87/D81,"")))</f>
        <v/>
      </c>
      <c r="E88" s="17">
        <f>IF(OR(E87="",E81=""),"",IF(E81&lt;=0,"",IFERROR(E87/E81,"")))</f>
        <v/>
      </c>
      <c r="F88" s="17">
        <f>IF(OR(F87="",F81=""),"",IF(F81&lt;=0,"",IFERROR(F87/F81,"")))</f>
        <v/>
      </c>
      <c r="G88" s="17">
        <f>IF(OR(G87="",G81=""),"",IF(G81&lt;=0,"",IFERROR(G87/G81,"")))</f>
        <v/>
      </c>
      <c r="H88" s="17">
        <f>IF(OR(H87="",H81=""),"",IF(H81&lt;=0,"",IFERROR(H87/H81,"")))</f>
        <v/>
      </c>
      <c r="I88" s="17">
        <f>IF(OR(I87="",I81=""),"",IF(I81&lt;=0,"",IFERROR(I87/I81,"")))</f>
        <v/>
      </c>
      <c r="J88" s="17">
        <f>IF(OR(J87="",J81=""),"",IF(J81&lt;=0,"",IFERROR(J87/J81,"")))</f>
        <v/>
      </c>
      <c r="K88" s="17">
        <f>IF(OR(K87="",K81=""),"",IF(K81&lt;=0,"",IFERROR(K87/K81,"")))</f>
        <v/>
      </c>
      <c r="L88" s="17">
        <f>IF(OR(L87="",L81=""),"",IF(L81&lt;=0,"",IFERROR(L87/L81,"")))</f>
        <v/>
      </c>
      <c r="M88" s="17">
        <f>IF(OR(M87="",M81=""),"",IF(M81&lt;=0,"",IFERROR(M87/M81,"")))</f>
        <v/>
      </c>
      <c r="N88" s="17">
        <f>IF(OR(N87="",N81=""),"",IF(N81&lt;=0,"",IFERROR(N87/N81,"")))</f>
        <v/>
      </c>
      <c r="T88" s="17">
        <f>IF(OR(T87="",T81=""),"",IF(T81&lt;=0,"",IFERROR(T87/T81,"")))</f>
        <v/>
      </c>
      <c r="U88" s="17">
        <f>IF(OR(U87="",U81=""),"",IF(U81&lt;=0,"",IFERROR(U87/U81,"")))</f>
        <v/>
      </c>
      <c r="V88" s="17">
        <f>IF(OR(V87="",V81=""),"",IF(V81&lt;=0,"",IFERROR(V87/V81,"")))</f>
        <v/>
      </c>
      <c r="W88" s="17">
        <f>IF(OR(W87="",W81=""),"",IF(W81&lt;=0,"",IFERROR(W87/W81,"")))</f>
        <v/>
      </c>
      <c r="X88" s="17">
        <f>IF(OR(X87="",X81=""),"",IF(X81&lt;=0,"",IFERROR(X87/X81,"")))</f>
        <v/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IF(OR(G87="",C87=""),"",IF(C87&lt;=0,"",IFERROR(G87/C87-1,"")))</f>
        <v/>
      </c>
      <c r="H89" s="17">
        <f>IF(OR(H87="",D87=""),"",IF(D87&lt;=0,"",IFERROR(H87/D87-1,"")))</f>
        <v/>
      </c>
      <c r="I89" s="17">
        <f>IF(OR(I87="",E87=""),"",IF(E87&lt;=0,"",IFERROR(I87/E87-1,"")))</f>
        <v/>
      </c>
      <c r="J89" s="17">
        <f>IF(OR(J87="",F87=""),"",IF(F87&lt;=0,"",IFERROR(J87/F87-1,"")))</f>
        <v/>
      </c>
      <c r="K89" s="17">
        <f>IF(OR(K87="",G87=""),"",IF(G87&lt;=0,"",IFERROR(K87/G87-1,"")))</f>
        <v/>
      </c>
      <c r="L89" s="17">
        <f>IF(OR(L87="",H87=""),"",IF(H87&lt;=0,"",IFERROR(L87/H87-1,"")))</f>
        <v/>
      </c>
      <c r="M89" s="17">
        <f>IF(OR(M87="",I87=""),"",IF(I87&lt;=0,"",IFERROR(M87/I87-1,"")))</f>
        <v/>
      </c>
      <c r="N89" s="17">
        <f>IF(OR(N87="",J87=""),"",IF(J87&lt;=0,"",IFERROR(N87/J87-1,"")))</f>
        <v/>
      </c>
      <c r="T89" s="17">
        <f>IF(OR(T87="",S87=""),"",IF(S87&lt;=0,"",IFERROR(T87/S87-1,"")))</f>
        <v/>
      </c>
      <c r="U89" s="17">
        <f>IF(OR(U87="",T87=""),"",IF(T87&lt;=0,"",IFERROR(U87/T87-1,"")))</f>
        <v/>
      </c>
      <c r="V89" s="17">
        <f>IF(OR(V87="",U87=""),"",IF(U87&lt;=0,"",IFERROR(V87/U87-1,"")))</f>
        <v/>
      </c>
      <c r="W89" s="17">
        <f>IF(OR(W87="",V87=""),"",IF(V87&lt;=0,"",IFERROR(W87/V87-1,"")))</f>
        <v/>
      </c>
      <c r="X89" s="17">
        <f>IF(OR(X87="",W87=""),"",IF(W87&lt;=0,"",IFERROR(X87/W87-1,"")))</f>
        <v/>
      </c>
    </row>
    <row r="90">
      <c r="A90" s="20" t="inlineStr">
        <is>
          <t>대손충당금 환입</t>
        </is>
      </c>
      <c r="C90" s="22" t="n">
        <v>0.08</v>
      </c>
      <c r="D90" s="22" t="n">
        <v>0.04</v>
      </c>
      <c r="E90" s="22" t="n">
        <v>0.06</v>
      </c>
      <c r="F90" s="22" t="n">
        <v>0.06</v>
      </c>
      <c r="G90" s="22" t="n">
        <v>0.08</v>
      </c>
      <c r="H90" s="22" t="n">
        <v>0.06</v>
      </c>
      <c r="I90" s="22" t="n">
        <v>0.039</v>
      </c>
      <c r="J90" s="22" t="n">
        <v>0.08</v>
      </c>
      <c r="K90" s="22" t="n">
        <v>0.04</v>
      </c>
      <c r="L90" s="22" t="n">
        <v>9.433</v>
      </c>
      <c r="M90" s="22" t="n">
        <v>0.181</v>
      </c>
      <c r="N90" s="22" t="n">
        <v>0.02</v>
      </c>
      <c r="T90" s="22" t="n">
        <v>0.064</v>
      </c>
      <c r="U90" s="22" t="n">
        <v>0</v>
      </c>
      <c r="V90" s="22" t="n">
        <v>0.06</v>
      </c>
      <c r="W90" s="22" t="n">
        <v>0.039</v>
      </c>
      <c r="X90" s="22" t="n">
        <v>0.181</v>
      </c>
    </row>
    <row r="91">
      <c r="A91" s="20" t="inlineStr">
        <is>
          <t>보조금 수입</t>
        </is>
      </c>
      <c r="C91" s="22" t="n">
        <v>0.751</v>
      </c>
      <c r="D91" s="22" t="n">
        <v>0.242</v>
      </c>
      <c r="E91" s="22" t="n">
        <v>0.033</v>
      </c>
      <c r="F91" s="22" t="n">
        <v>0.356</v>
      </c>
      <c r="G91" s="22" t="n">
        <v>0.826</v>
      </c>
      <c r="H91" s="22" t="n">
        <v>3.429</v>
      </c>
      <c r="I91" s="22" t="n">
        <v>-0.003</v>
      </c>
      <c r="J91" s="22" t="n">
        <v>1.818</v>
      </c>
      <c r="K91" s="22" t="n">
        <v>3.894</v>
      </c>
      <c r="N91" s="22" t="n">
        <v>1.835</v>
      </c>
      <c r="T91" s="22" t="n">
        <v>0.11</v>
      </c>
      <c r="U91" s="22" t="n">
        <v>0.536</v>
      </c>
      <c r="V91" s="22" t="n">
        <v>0.033</v>
      </c>
      <c r="W91" s="22" t="n">
        <v>-0.003</v>
      </c>
    </row>
    <row r="92">
      <c r="A92" s="20" t="inlineStr">
        <is>
          <t>보상금 수취</t>
        </is>
      </c>
      <c r="C92" s="22" t="n">
        <v>0</v>
      </c>
      <c r="D92" s="22" t="n">
        <v>0</v>
      </c>
      <c r="E92" s="22" t="n">
        <v>0</v>
      </c>
      <c r="F92" s="22" t="n">
        <v>2.421</v>
      </c>
      <c r="G92" s="22" t="n">
        <v>1.038</v>
      </c>
      <c r="H92" s="22" t="n">
        <v>0</v>
      </c>
      <c r="I92" s="22" t="n">
        <v>0</v>
      </c>
      <c r="J92" s="22" t="n">
        <v>0</v>
      </c>
      <c r="K92" s="22" t="n">
        <v>0</v>
      </c>
      <c r="L92" s="22" t="n">
        <v>0</v>
      </c>
      <c r="M92" s="22" t="n">
        <v>0</v>
      </c>
      <c r="V92" s="22" t="n">
        <v>0</v>
      </c>
      <c r="W92" s="22" t="n">
        <v>0</v>
      </c>
      <c r="X92" s="22" t="n">
        <v>0</v>
      </c>
    </row>
    <row r="93">
      <c r="A93" s="20" t="inlineStr">
        <is>
          <t>수수료 수익</t>
        </is>
      </c>
      <c r="E93" s="22" t="n">
        <v>0</v>
      </c>
      <c r="F93" s="22" t="n">
        <v>0</v>
      </c>
      <c r="G93" s="22" t="n">
        <v>0</v>
      </c>
      <c r="H93" s="22" t="n">
        <v>0</v>
      </c>
      <c r="I93" s="22" t="n">
        <v>0</v>
      </c>
      <c r="J93" s="22" t="n">
        <v>3.958</v>
      </c>
      <c r="K93" s="22" t="n">
        <v>8.926</v>
      </c>
      <c r="L93" s="22" t="n">
        <v>0.239</v>
      </c>
      <c r="M93" s="22" t="n">
        <v>0.175</v>
      </c>
      <c r="N93" s="22" t="n">
        <v>0</v>
      </c>
      <c r="T93" s="22" t="n">
        <v>0</v>
      </c>
      <c r="U93" s="22" t="n">
        <v>-0.003</v>
      </c>
      <c r="V93" s="22" t="n">
        <v>0</v>
      </c>
      <c r="W93" s="22" t="n">
        <v>0</v>
      </c>
      <c r="X93" s="22" t="n">
        <v>0.175</v>
      </c>
    </row>
    <row r="94">
      <c r="A94" s="20" t="inlineStr">
        <is>
          <t>기타</t>
        </is>
      </c>
      <c r="C94" s="22" t="n">
        <v>-0.827</v>
      </c>
      <c r="D94" s="22" t="n">
        <v>0.07099999999999999</v>
      </c>
      <c r="E94" s="22" t="n">
        <v>0.037</v>
      </c>
      <c r="F94" s="22" t="n">
        <v>0.159</v>
      </c>
      <c r="G94" s="22" t="n">
        <v>0.043</v>
      </c>
      <c r="H94" s="22" t="n">
        <v>4.689</v>
      </c>
      <c r="I94" s="22" t="n">
        <v>-4.571</v>
      </c>
      <c r="J94" s="22" t="n">
        <v>0.294</v>
      </c>
      <c r="K94" s="22" t="n">
        <v>0.049</v>
      </c>
      <c r="L94" s="22" t="n">
        <v>6.828</v>
      </c>
      <c r="M94" s="22" t="n">
        <v>-1.951</v>
      </c>
      <c r="N94" s="22" t="n">
        <v>0.235</v>
      </c>
      <c r="T94" s="22" t="n">
        <v>0.056</v>
      </c>
      <c r="U94" s="22" t="n">
        <v>0.224</v>
      </c>
      <c r="V94" s="22" t="n">
        <v>0.037</v>
      </c>
      <c r="W94" s="22" t="n">
        <v>-4.571</v>
      </c>
      <c r="X94" s="22" t="n">
        <v>-1.951</v>
      </c>
    </row>
    <row r="95">
      <c r="A95" s="20" t="inlineStr">
        <is>
          <t>영업외수익 합계</t>
        </is>
      </c>
      <c r="C95" s="22" t="n">
        <v>0.954</v>
      </c>
      <c r="D95" s="22" t="n">
        <v>0.353</v>
      </c>
      <c r="E95" s="22" t="n">
        <v>0.844</v>
      </c>
      <c r="F95" s="22" t="n">
        <v>2.997</v>
      </c>
      <c r="G95" s="22" t="n">
        <v>2.339</v>
      </c>
      <c r="H95" s="22" t="n">
        <v>3.214</v>
      </c>
      <c r="I95" s="22" t="n">
        <v>0.077</v>
      </c>
      <c r="J95" s="22" t="n">
        <v>6.152</v>
      </c>
      <c r="K95" s="22" t="n">
        <v>12.909</v>
      </c>
      <c r="L95" s="22" t="n">
        <v>10.787</v>
      </c>
      <c r="M95" s="22" t="n">
        <v>4.536</v>
      </c>
      <c r="N95" s="22" t="n">
        <v>2.091</v>
      </c>
      <c r="T95" s="22" t="n">
        <v>1.731</v>
      </c>
      <c r="U95" s="22" t="n">
        <v>0.757</v>
      </c>
      <c r="V95" s="22" t="n">
        <v>0.844</v>
      </c>
      <c r="W95" s="22" t="n">
        <v>0.077</v>
      </c>
      <c r="X95" s="22" t="n">
        <v>4.536</v>
      </c>
    </row>
    <row r="96">
      <c r="A96" s="20" t="inlineStr">
        <is>
          <t>지급수수료</t>
        </is>
      </c>
      <c r="D96" s="22" t="n">
        <v>0</v>
      </c>
      <c r="E96" s="22" t="n">
        <v>0</v>
      </c>
      <c r="H96" s="22" t="n">
        <v>0</v>
      </c>
      <c r="I96" s="22" t="n">
        <v>0</v>
      </c>
      <c r="L96" s="22" t="n">
        <v>0</v>
      </c>
      <c r="M96" s="22" t="n">
        <v>0</v>
      </c>
      <c r="T96" s="22" t="n">
        <v>0</v>
      </c>
      <c r="U96" s="22" t="n">
        <v>0</v>
      </c>
      <c r="V96" s="22" t="n">
        <v>0</v>
      </c>
      <c r="W96" s="22" t="n">
        <v>0</v>
      </c>
      <c r="X96" s="22" t="n">
        <v>0</v>
      </c>
    </row>
    <row r="97">
      <c r="A97" s="20" t="inlineStr">
        <is>
          <t>외환차손</t>
        </is>
      </c>
      <c r="C97" s="22" t="n">
        <v>0.062</v>
      </c>
      <c r="D97" s="22" t="n">
        <v>-0.386</v>
      </c>
      <c r="E97" s="22" t="n">
        <v>0.632</v>
      </c>
      <c r="F97" s="22" t="n">
        <v>2.36</v>
      </c>
      <c r="G97" s="22" t="n">
        <v>-2.36</v>
      </c>
      <c r="H97" s="22" t="n">
        <v>5.032</v>
      </c>
      <c r="I97" s="22" t="n">
        <v>-2.448</v>
      </c>
      <c r="J97" s="22" t="n">
        <v>1.056</v>
      </c>
      <c r="K97" s="22" t="n">
        <v>0.245</v>
      </c>
      <c r="L97" s="22" t="n">
        <v>-0.393</v>
      </c>
      <c r="M97" s="22" t="n">
        <v>-0.908</v>
      </c>
      <c r="N97" s="22" t="n">
        <v>1.223</v>
      </c>
      <c r="T97" s="22" t="n">
        <v>4.93</v>
      </c>
      <c r="U97" s="22" t="n">
        <v>-0.136</v>
      </c>
      <c r="V97" s="22" t="n">
        <v>0.632</v>
      </c>
      <c r="W97" s="22" t="n">
        <v>-2.448</v>
      </c>
      <c r="X97" s="22" t="n">
        <v>-0.908</v>
      </c>
    </row>
    <row r="98">
      <c r="A98" s="20" t="inlineStr">
        <is>
          <t>Surcharge NOE</t>
        </is>
      </c>
      <c r="J98" s="22" t="n">
        <v>0</v>
      </c>
      <c r="N98" s="22" t="n">
        <v>2.783</v>
      </c>
    </row>
    <row r="99">
      <c r="A99" s="20" t="inlineStr">
        <is>
          <t>기타</t>
        </is>
      </c>
      <c r="C99" s="22" t="n">
        <v>0</v>
      </c>
      <c r="D99" s="22" t="n">
        <v>0</v>
      </c>
      <c r="E99" s="22" t="n">
        <v>0</v>
      </c>
      <c r="F99" s="22" t="n">
        <v>0.007</v>
      </c>
      <c r="G99" s="22" t="n">
        <v>0</v>
      </c>
      <c r="H99" s="22" t="n">
        <v>0.491</v>
      </c>
      <c r="I99" s="22" t="n">
        <v>-0.441</v>
      </c>
      <c r="J99" s="22" t="n">
        <v>0</v>
      </c>
      <c r="K99" s="22" t="n">
        <v>0</v>
      </c>
      <c r="L99" s="22" t="n">
        <v>0</v>
      </c>
      <c r="M99" s="22" t="n">
        <v>0</v>
      </c>
      <c r="N99" s="22" t="n">
        <v>0.003</v>
      </c>
      <c r="V99" s="22" t="n">
        <v>0</v>
      </c>
      <c r="W99" s="22" t="n">
        <v>-0.441</v>
      </c>
      <c r="X99" s="22" t="n">
        <v>0</v>
      </c>
    </row>
    <row r="100">
      <c r="A100" s="20" t="inlineStr">
        <is>
          <t>영업외비용 합계</t>
        </is>
      </c>
      <c r="C100" s="22" t="n">
        <v>0.768</v>
      </c>
      <c r="D100" s="22" t="n">
        <v>-0.387</v>
      </c>
      <c r="E100" s="22" t="n">
        <v>0.632</v>
      </c>
      <c r="F100" s="22" t="n">
        <v>2.368</v>
      </c>
      <c r="G100" s="22" t="n">
        <v>-2.361</v>
      </c>
      <c r="H100" s="22" t="n">
        <v>5.524</v>
      </c>
      <c r="I100" s="22" t="n">
        <v>-2.398</v>
      </c>
      <c r="J100" s="22" t="n">
        <v>1.056</v>
      </c>
      <c r="K100" s="22" t="n">
        <v>0.68</v>
      </c>
      <c r="L100" s="22" t="n">
        <v>-0.393</v>
      </c>
      <c r="M100" s="22" t="n">
        <v>-0.909</v>
      </c>
      <c r="N100" s="22" t="n">
        <v>4.01</v>
      </c>
      <c r="T100" s="22" t="n">
        <v>4.93</v>
      </c>
      <c r="U100" s="22" t="n">
        <v>-0.136</v>
      </c>
      <c r="V100" s="22" t="n">
        <v>0.632</v>
      </c>
      <c r="W100" s="22" t="n">
        <v>-2.398</v>
      </c>
      <c r="X100" s="22" t="n">
        <v>-0.909</v>
      </c>
    </row>
    <row r="101">
      <c r="A101" s="9" t="inlineStr">
        <is>
          <t>경상이익</t>
        </is>
      </c>
      <c r="C101" s="12" t="n">
        <v>869.641</v>
      </c>
      <c r="D101" s="12" t="n">
        <v>1196.434</v>
      </c>
      <c r="E101" s="12" t="n">
        <v>812.744</v>
      </c>
      <c r="F101" s="12" t="n">
        <v>1227.1</v>
      </c>
      <c r="G101" s="12" t="n">
        <v>704.2670000000001</v>
      </c>
      <c r="H101" s="12" t="n">
        <v>510.91</v>
      </c>
      <c r="I101" s="12" t="n">
        <v>628.134</v>
      </c>
      <c r="J101" s="12" t="n">
        <v>812.766</v>
      </c>
      <c r="K101" s="12" t="n">
        <v>312.679</v>
      </c>
      <c r="L101" s="12" t="n">
        <v>675.2089999999999</v>
      </c>
      <c r="M101" s="12" t="n">
        <v>1273.284</v>
      </c>
      <c r="N101" s="12" t="n">
        <v>1240.633</v>
      </c>
      <c r="T101" s="12" t="n">
        <v>674.2089999999999</v>
      </c>
      <c r="U101" s="12" t="n">
        <v>810.7430000000001</v>
      </c>
      <c r="V101" s="12" t="n">
        <v>812.744</v>
      </c>
      <c r="W101" s="12" t="n">
        <v>628.134</v>
      </c>
      <c r="X101" s="12" t="n">
        <v>1273.284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G102" s="17">
        <f>IF(OR(G101="",C101=""),"",IF(C101&lt;=0,"",IFERROR(G101/C101-1,"")))</f>
        <v/>
      </c>
      <c r="H102" s="17">
        <f>IF(OR(H101="",D101=""),"",IF(D101&lt;=0,"",IFERROR(H101/D101-1,"")))</f>
        <v/>
      </c>
      <c r="I102" s="17">
        <f>IF(OR(I101="",E101=""),"",IF(E101&lt;=0,"",IFERROR(I101/E101-1,"")))</f>
        <v/>
      </c>
      <c r="J102" s="17">
        <f>IF(OR(J101="",F101=""),"",IF(F101&lt;=0,"",IFERROR(J101/F101-1,"")))</f>
        <v/>
      </c>
      <c r="K102" s="17">
        <f>IF(OR(K101="",G101=""),"",IF(G101&lt;=0,"",IFERROR(K101/G101-1,"")))</f>
        <v/>
      </c>
      <c r="L102" s="17">
        <f>IF(OR(L101="",H101=""),"",IF(H101&lt;=0,"",IFERROR(L101/H101-1,"")))</f>
        <v/>
      </c>
      <c r="M102" s="17">
        <f>IF(OR(M101="",I101=""),"",IF(I101&lt;=0,"",IFERROR(M101/I101-1,"")))</f>
        <v/>
      </c>
      <c r="N102" s="17">
        <f>IF(OR(N101="",J101=""),"",IF(J101&lt;=0,"",IFERROR(N101/J101-1,"")))</f>
        <v/>
      </c>
      <c r="T102" s="17">
        <f>IF(OR(T101="",S101=""),"",IF(S101&lt;=0,"",IFERROR(T101/S101-1,"")))</f>
        <v/>
      </c>
      <c r="U102" s="17">
        <f>IF(OR(U101="",T101=""),"",IF(T101&lt;=0,"",IFERROR(U101/T101-1,"")))</f>
        <v/>
      </c>
      <c r="V102" s="17">
        <f>IF(OR(V101="",U101=""),"",IF(U101&lt;=0,"",IFERROR(V101/U101-1,"")))</f>
        <v/>
      </c>
      <c r="W102" s="17">
        <f>IF(OR(W101="",V101=""),"",IF(V101&lt;=0,"",IFERROR(W101/V101-1,"")))</f>
        <v/>
      </c>
      <c r="X102" s="17">
        <f>IF(OR(X101="",W101=""),"",IF(W101&lt;=0,"",IFERROR(X101/W101-1,"")))</f>
        <v/>
      </c>
    </row>
    <row r="103">
      <c r="A103" s="20" t="inlineStr">
        <is>
          <t>고정자산 매각이익</t>
        </is>
      </c>
      <c r="T103" s="22" t="n">
        <v>0</v>
      </c>
      <c r="U103" s="22" t="n">
        <v>0</v>
      </c>
    </row>
    <row r="104">
      <c r="A104" s="20" t="inlineStr">
        <is>
          <t>관계회사 청산이익</t>
        </is>
      </c>
      <c r="J104" s="22" t="n">
        <v>0</v>
      </c>
      <c r="N104" s="22" t="n">
        <v>11.45</v>
      </c>
    </row>
    <row r="105">
      <c r="A105" s="20" t="inlineStr">
        <is>
          <t>특별이익 합계</t>
        </is>
      </c>
      <c r="J105" s="22" t="n">
        <v>0</v>
      </c>
      <c r="N105" s="22" t="n">
        <v>11.45</v>
      </c>
      <c r="T105" s="22" t="n">
        <v>0</v>
      </c>
      <c r="U105" s="22" t="n">
        <v>0</v>
      </c>
    </row>
    <row r="106">
      <c r="A106" s="20" t="inlineStr">
        <is>
          <t>고정자산 제각손실</t>
        </is>
      </c>
      <c r="D106" s="22" t="n">
        <v>0</v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</v>
      </c>
      <c r="J106" s="22" t="n">
        <v>1.586</v>
      </c>
      <c r="K106" s="22" t="n">
        <v>0</v>
      </c>
      <c r="L106" s="22" t="n">
        <v>0</v>
      </c>
      <c r="M106" s="22" t="n">
        <v>0</v>
      </c>
      <c r="N106" s="22" t="n">
        <v>0</v>
      </c>
      <c r="T106" s="22" t="n">
        <v>0</v>
      </c>
      <c r="U106" s="22" t="n">
        <v>0</v>
      </c>
      <c r="V106" s="22" t="n">
        <v>0</v>
      </c>
      <c r="W106" s="22" t="n">
        <v>0</v>
      </c>
      <c r="X106" s="22" t="n">
        <v>0</v>
      </c>
    </row>
    <row r="107">
      <c r="A107" s="20" t="inlineStr">
        <is>
          <t>특별손실 합계</t>
        </is>
      </c>
      <c r="D107" s="22" t="n">
        <v>0</v>
      </c>
      <c r="E107" s="22" t="n">
        <v>0</v>
      </c>
      <c r="F107" s="22" t="n">
        <v>0</v>
      </c>
      <c r="G107" s="22" t="n">
        <v>0</v>
      </c>
      <c r="H107" s="22" t="n">
        <v>0</v>
      </c>
      <c r="I107" s="22" t="n">
        <v>0</v>
      </c>
      <c r="J107" s="22" t="n">
        <v>1.586</v>
      </c>
      <c r="K107" s="22" t="n">
        <v>0</v>
      </c>
      <c r="L107" s="22" t="n">
        <v>0</v>
      </c>
      <c r="M107" s="22" t="n">
        <v>0</v>
      </c>
      <c r="N107" s="22" t="n">
        <v>0</v>
      </c>
      <c r="T107" s="22" t="n">
        <v>0</v>
      </c>
      <c r="U107" s="22" t="n">
        <v>0</v>
      </c>
      <c r="V107" s="22" t="n">
        <v>0</v>
      </c>
      <c r="W107" s="22" t="n">
        <v>0</v>
      </c>
      <c r="X107" s="22" t="n">
        <v>0</v>
      </c>
    </row>
    <row r="108">
      <c r="A108" s="9" t="inlineStr">
        <is>
          <t>법인세차감전 순이익</t>
        </is>
      </c>
      <c r="C108" s="12" t="n">
        <v>869.641</v>
      </c>
      <c r="D108" s="12" t="n">
        <v>1196.434</v>
      </c>
      <c r="E108" s="12" t="n">
        <v>812.744</v>
      </c>
      <c r="F108" s="12" t="n">
        <v>1227.1</v>
      </c>
      <c r="G108" s="12" t="n">
        <v>704.2670000000001</v>
      </c>
      <c r="H108" s="12" t="n">
        <v>510.91</v>
      </c>
      <c r="I108" s="12" t="n">
        <v>628.134</v>
      </c>
      <c r="J108" s="12" t="n">
        <v>811.179</v>
      </c>
      <c r="K108" s="12" t="n">
        <v>312.68</v>
      </c>
      <c r="L108" s="12" t="n">
        <v>675.2089999999999</v>
      </c>
      <c r="M108" s="12" t="n">
        <v>1292.888</v>
      </c>
      <c r="N108" s="12" t="n">
        <v>1252.084</v>
      </c>
      <c r="T108" s="12" t="n">
        <v>674.2089999999999</v>
      </c>
      <c r="U108" s="12" t="n">
        <v>810.7430000000001</v>
      </c>
      <c r="V108" s="12" t="n">
        <v>812.744</v>
      </c>
      <c r="W108" s="12" t="n">
        <v>628.134</v>
      </c>
      <c r="X108" s="12" t="n">
        <v>1292.888</v>
      </c>
    </row>
    <row r="109">
      <c r="A109" s="20" t="inlineStr">
        <is>
          <t>법인세·주민세·사업세</t>
        </is>
      </c>
      <c r="C109" s="22" t="n">
        <v>370.201</v>
      </c>
      <c r="D109" s="22" t="n">
        <v>323.579</v>
      </c>
      <c r="E109" s="22" t="n">
        <v>291.327</v>
      </c>
      <c r="F109" s="22" t="n">
        <v>349.267</v>
      </c>
      <c r="G109" s="22" t="n">
        <v>336.51</v>
      </c>
      <c r="H109" s="22" t="n">
        <v>117.763</v>
      </c>
      <c r="I109" s="22" t="n">
        <v>243.263</v>
      </c>
      <c r="J109" s="22" t="n">
        <v>254.833</v>
      </c>
      <c r="K109" s="22" t="n">
        <v>202.464</v>
      </c>
      <c r="L109" s="22" t="n">
        <v>192.818</v>
      </c>
      <c r="M109" s="22" t="n">
        <v>326.585</v>
      </c>
      <c r="N109" s="22" t="n">
        <v>376.004</v>
      </c>
      <c r="T109" s="22" t="n">
        <v>236.859</v>
      </c>
      <c r="U109" s="22" t="n">
        <v>288.653</v>
      </c>
      <c r="V109" s="22" t="n">
        <v>291.327</v>
      </c>
      <c r="W109" s="22" t="n">
        <v>243.263</v>
      </c>
      <c r="X109" s="22" t="n">
        <v>326.585</v>
      </c>
    </row>
    <row r="110">
      <c r="A110" s="20" t="inlineStr">
        <is>
          <t>법인세 조정액</t>
        </is>
      </c>
      <c r="C110" s="22" t="n">
        <v>-56.81</v>
      </c>
      <c r="D110" s="22" t="n">
        <v>61.926</v>
      </c>
      <c r="E110" s="22" t="n">
        <v>-64.03</v>
      </c>
      <c r="F110" s="22" t="n">
        <v>39.199</v>
      </c>
      <c r="G110" s="22" t="n">
        <v>-56.018</v>
      </c>
      <c r="H110" s="22" t="n">
        <v>84.492</v>
      </c>
      <c r="I110" s="22" t="n">
        <v>-273.581</v>
      </c>
      <c r="J110" s="22" t="n">
        <v>14.34</v>
      </c>
      <c r="K110" s="22" t="n">
        <v>-36.791</v>
      </c>
      <c r="L110" s="22" t="n">
        <v>-1.923</v>
      </c>
      <c r="M110" s="22" t="n">
        <v>78.98999999999999</v>
      </c>
      <c r="N110" s="22" t="n">
        <v>73.139</v>
      </c>
      <c r="T110" s="22" t="n">
        <v>-24.732</v>
      </c>
      <c r="U110" s="22" t="n">
        <v>-32.683</v>
      </c>
      <c r="V110" s="22" t="n">
        <v>-64.03</v>
      </c>
      <c r="W110" s="22" t="n">
        <v>-273.581</v>
      </c>
      <c r="X110" s="22" t="n">
        <v>78.98999999999999</v>
      </c>
    </row>
    <row r="111">
      <c r="A111" s="20" t="inlineStr">
        <is>
          <t>법인세 등 합계</t>
        </is>
      </c>
      <c r="C111" s="22" t="n">
        <v>313.391</v>
      </c>
      <c r="D111" s="22" t="n">
        <v>385.506</v>
      </c>
      <c r="E111" s="22" t="n">
        <v>227.296</v>
      </c>
      <c r="F111" s="22" t="n">
        <v>388.466</v>
      </c>
      <c r="G111" s="22" t="n">
        <v>280.492</v>
      </c>
      <c r="H111" s="22" t="n">
        <v>202.255</v>
      </c>
      <c r="I111" s="22" t="n">
        <v>-30.319</v>
      </c>
      <c r="J111" s="22" t="n">
        <v>269.174</v>
      </c>
      <c r="K111" s="22" t="n">
        <v>165.671</v>
      </c>
      <c r="L111" s="22" t="n">
        <v>190.896</v>
      </c>
      <c r="M111" s="22" t="n">
        <v>405.575</v>
      </c>
      <c r="N111" s="22" t="n">
        <v>449.143</v>
      </c>
      <c r="T111" s="22" t="n">
        <v>212.127</v>
      </c>
      <c r="U111" s="22" t="n">
        <v>255.97</v>
      </c>
      <c r="V111" s="22" t="n">
        <v>227.296</v>
      </c>
      <c r="W111" s="22" t="n">
        <v>-30.319</v>
      </c>
      <c r="X111" s="22" t="n">
        <v>405.575</v>
      </c>
    </row>
    <row r="112">
      <c r="A112" s="9" t="inlineStr">
        <is>
          <t>순이익</t>
        </is>
      </c>
      <c r="C112" s="12" t="n">
        <v>556.251</v>
      </c>
      <c r="D112" s="12" t="n">
        <v>810.928</v>
      </c>
      <c r="E112" s="12" t="n">
        <v>585.448</v>
      </c>
      <c r="F112" s="12" t="n">
        <v>838.633</v>
      </c>
      <c r="G112" s="12" t="n">
        <v>423.775</v>
      </c>
      <c r="H112" s="12" t="n">
        <v>308.655</v>
      </c>
      <c r="I112" s="12" t="n">
        <v>658.454</v>
      </c>
      <c r="J112" s="12" t="n">
        <v>542.005</v>
      </c>
      <c r="K112" s="12" t="n">
        <v>147.008</v>
      </c>
      <c r="L112" s="12" t="n">
        <v>484.314</v>
      </c>
      <c r="M112" s="12" t="n">
        <v>887.312</v>
      </c>
      <c r="N112" s="12" t="n">
        <v>802.9400000000001</v>
      </c>
      <c r="T112" s="12" t="n">
        <v>462.082</v>
      </c>
      <c r="U112" s="12" t="n">
        <v>554.773</v>
      </c>
      <c r="V112" s="12" t="n">
        <v>585.448</v>
      </c>
      <c r="W112" s="12" t="n">
        <v>658.454</v>
      </c>
      <c r="X112" s="12" t="n">
        <v>887.312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G113" s="17">
        <f>IF(OR(G112="",C112=""),"",IF(C112&lt;=0,"",IFERROR(G112/C112-1,"")))</f>
        <v/>
      </c>
      <c r="H113" s="17">
        <f>IF(OR(H112="",D112=""),"",IF(D112&lt;=0,"",IFERROR(H112/D112-1,"")))</f>
        <v/>
      </c>
      <c r="I113" s="17">
        <f>IF(OR(I112="",E112=""),"",IF(E112&lt;=0,"",IFERROR(I112/E112-1,"")))</f>
        <v/>
      </c>
      <c r="J113" s="17">
        <f>IF(OR(J112="",F112=""),"",IF(F112&lt;=0,"",IFERROR(J112/F112-1,"")))</f>
        <v/>
      </c>
      <c r="K113" s="17">
        <f>IF(OR(K112="",G112=""),"",IF(G112&lt;=0,"",IFERROR(K112/G112-1,"")))</f>
        <v/>
      </c>
      <c r="L113" s="17">
        <f>IF(OR(L112="",H112=""),"",IF(H112&lt;=0,"",IFERROR(L112/H112-1,"")))</f>
        <v/>
      </c>
      <c r="M113" s="17">
        <f>IF(OR(M112="",I112=""),"",IF(I112&lt;=0,"",IFERROR(M112/I112-1,"")))</f>
        <v/>
      </c>
      <c r="N113" s="17">
        <f>IF(OR(N112="",J112=""),"",IF(J112&lt;=0,"",IFERROR(N112/J112-1,"")))</f>
        <v/>
      </c>
      <c r="T113" s="17">
        <f>IF(OR(T112="",S112=""),"",IF(S112&lt;=0,"",IFERROR(T112/S112-1,"")))</f>
        <v/>
      </c>
      <c r="U113" s="17">
        <f>IF(OR(U112="",T112=""),"",IF(T112&lt;=0,"",IFERROR(U112/T112-1,"")))</f>
        <v/>
      </c>
      <c r="V113" s="17">
        <f>IF(OR(V112="",U112=""),"",IF(U112&lt;=0,"",IFERROR(V112/U112-1,"")))</f>
        <v/>
      </c>
      <c r="W113" s="17">
        <f>IF(OR(W112="",V112=""),"",IF(V112&lt;=0,"",IFERROR(W112/V112-1,"")))</f>
        <v/>
      </c>
      <c r="X113" s="17">
        <f>IF(OR(X112="",W112=""),"",IF(W112&lt;=0,"",IFERROR(X112/W112-1,"")))</f>
        <v/>
      </c>
    </row>
    <row r="114">
      <c r="A114" s="9" t="inlineStr">
        <is>
          <t>지배주주 순이익</t>
        </is>
      </c>
      <c r="C114" s="12" t="n">
        <v>556.251</v>
      </c>
      <c r="D114" s="12" t="n">
        <v>810.928</v>
      </c>
      <c r="E114" s="12" t="n">
        <v>585.448</v>
      </c>
      <c r="F114" s="12" t="n">
        <v>838.633</v>
      </c>
      <c r="G114" s="12" t="n">
        <v>423.775</v>
      </c>
      <c r="H114" s="12" t="n">
        <v>308.655</v>
      </c>
      <c r="I114" s="12" t="n">
        <v>658.454</v>
      </c>
      <c r="J114" s="12" t="n">
        <v>542.005</v>
      </c>
      <c r="K114" s="12" t="n">
        <v>147.008</v>
      </c>
      <c r="L114" s="12" t="n">
        <v>484.314</v>
      </c>
      <c r="M114" s="12" t="n">
        <v>887.312</v>
      </c>
      <c r="N114" s="12" t="n">
        <v>802.9400000000001</v>
      </c>
      <c r="T114" s="12" t="n">
        <v>462.082</v>
      </c>
      <c r="U114" s="12" t="n">
        <v>554.773</v>
      </c>
      <c r="V114" s="12" t="n">
        <v>585.448</v>
      </c>
      <c r="W114" s="12" t="n">
        <v>658.454</v>
      </c>
      <c r="X114" s="12" t="n">
        <v>887.312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G115" s="17">
        <f>IF(OR(G114="",C114=""),"",IF(C114&lt;=0,"",IFERROR(G114/C114-1,"")))</f>
        <v/>
      </c>
      <c r="H115" s="17">
        <f>IF(OR(H114="",D114=""),"",IF(D114&lt;=0,"",IFERROR(H114/D114-1,"")))</f>
        <v/>
      </c>
      <c r="I115" s="17">
        <f>IF(OR(I114="",E114=""),"",IF(E114&lt;=0,"",IFERROR(I114/E114-1,"")))</f>
        <v/>
      </c>
      <c r="J115" s="17">
        <f>IF(OR(J114="",F114=""),"",IF(F114&lt;=0,"",IFERROR(J114/F114-1,"")))</f>
        <v/>
      </c>
      <c r="K115" s="17">
        <f>IF(OR(K114="",G114=""),"",IF(G114&lt;=0,"",IFERROR(K114/G114-1,"")))</f>
        <v/>
      </c>
      <c r="L115" s="17">
        <f>IF(OR(L114="",H114=""),"",IF(H114&lt;=0,"",IFERROR(L114/H114-1,"")))</f>
        <v/>
      </c>
      <c r="M115" s="17">
        <f>IF(OR(M114="",I114=""),"",IF(I114&lt;=0,"",IFERROR(M114/I114-1,"")))</f>
        <v/>
      </c>
      <c r="N115" s="17">
        <f>IF(OR(N114="",J114=""),"",IF(J114&lt;=0,"",IFERROR(N114/J114-1,"")))</f>
        <v/>
      </c>
      <c r="T115" s="17">
        <f>IF(OR(T114="",S114=""),"",IF(S114&lt;=0,"",IFERROR(T114/S114-1,"")))</f>
        <v/>
      </c>
      <c r="U115" s="17">
        <f>IF(OR(U114="",T114=""),"",IF(T114&lt;=0,"",IFERROR(U114/T114-1,"")))</f>
        <v/>
      </c>
      <c r="V115" s="17">
        <f>IF(OR(V114="",U114=""),"",IF(U114&lt;=0,"",IFERROR(V114/U114-1,"")))</f>
        <v/>
      </c>
      <c r="W115" s="17">
        <f>IF(OR(W114="",V114=""),"",IF(V114&lt;=0,"",IFERROR(W114/V114-1,"")))</f>
        <v/>
      </c>
      <c r="X115" s="17">
        <f>IF(OR(X114="",W114=""),"",IF(W114&lt;=0,"",IFERROR(X114/W114-1,"")))</f>
        <v/>
      </c>
    </row>
    <row r="117">
      <c r="A117" s="18" t="inlineStr">
        <is>
          <t>포괄손익 · 전 항목</t>
        </is>
      </c>
      <c r="B117" s="44" t="inlineStr">
        <is>
          <t>분기 = 3개월 단독</t>
        </is>
      </c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</row>
    <row r="118">
      <c r="A118" s="5" t="inlineStr">
        <is>
          <t>항목</t>
        </is>
      </c>
      <c r="B118" s="5" t="inlineStr">
        <is>
          <t>참고</t>
        </is>
      </c>
      <c r="C118" s="5" t="inlineStr">
        <is>
          <t>2024.2Q</t>
        </is>
      </c>
      <c r="D118" s="5" t="inlineStr">
        <is>
          <t>2024.3Q</t>
        </is>
      </c>
      <c r="E118" s="5" t="inlineStr">
        <is>
          <t>2024.4Q</t>
        </is>
      </c>
      <c r="F118" s="5" t="inlineStr">
        <is>
          <t>2025.1Q</t>
        </is>
      </c>
      <c r="G118" s="5" t="inlineStr">
        <is>
          <t>2025.2Q</t>
        </is>
      </c>
      <c r="H118" s="5" t="inlineStr">
        <is>
          <t>2025.3Q</t>
        </is>
      </c>
      <c r="I118" s="5" t="inlineStr">
        <is>
          <t>2025.4Q</t>
        </is>
      </c>
      <c r="J118" s="5" t="inlineStr">
        <is>
          <t>2026.1Q</t>
        </is>
      </c>
      <c r="K118" s="5" t="inlineStr">
        <is>
          <t>2026.2Q</t>
        </is>
      </c>
      <c r="L118" s="5" t="inlineStr">
        <is>
          <t>2026.3Q</t>
        </is>
      </c>
      <c r="M118" s="5" t="inlineStr">
        <is>
          <t>2026.4Q</t>
        </is>
      </c>
      <c r="N118" s="5" t="inlineStr">
        <is>
          <t>2027.1Q</t>
        </is>
      </c>
      <c r="O118" s="5" t="inlineStr">
        <is>
          <t>2017</t>
        </is>
      </c>
      <c r="P118" s="5" t="inlineStr">
        <is>
          <t>2018</t>
        </is>
      </c>
      <c r="Q118" s="5" t="inlineStr">
        <is>
          <t>2019</t>
        </is>
      </c>
      <c r="R118" s="5" t="inlineStr">
        <is>
          <t>2020</t>
        </is>
      </c>
      <c r="S118" s="5" t="inlineStr">
        <is>
          <t>2021</t>
        </is>
      </c>
      <c r="T118" s="5" t="inlineStr">
        <is>
          <t>2022</t>
        </is>
      </c>
      <c r="U118" s="5" t="inlineStr">
        <is>
          <t>2023</t>
        </is>
      </c>
      <c r="V118" s="5" t="inlineStr">
        <is>
          <t>2024</t>
        </is>
      </c>
      <c r="W118" s="5" t="inlineStr">
        <is>
          <t>2025</t>
        </is>
      </c>
      <c r="X118" s="5" t="inlineStr">
        <is>
          <t>2026</t>
        </is>
      </c>
      <c r="Y118" s="5" t="inlineStr">
        <is>
          <t>2027(MW)</t>
        </is>
      </c>
      <c r="Z118" s="5" t="inlineStr">
        <is>
          <t>2028(MW)</t>
        </is>
      </c>
      <c r="AA118" s="5" t="inlineStr">
        <is>
          <t>2029(MW)</t>
        </is>
      </c>
      <c r="AB118" s="5" t="inlineStr">
        <is>
          <t>2030(MW)</t>
        </is>
      </c>
      <c r="AC118" s="5" t="inlineStr">
        <is>
          <t>2031(MW)</t>
        </is>
      </c>
    </row>
    <row r="119">
      <c r="A119" s="9" t="inlineStr">
        <is>
          <t>순이익</t>
        </is>
      </c>
      <c r="C119" s="12" t="n">
        <v>556.251</v>
      </c>
      <c r="D119" s="12" t="n">
        <v>810.928</v>
      </c>
      <c r="E119" s="12" t="n">
        <v>585.448</v>
      </c>
      <c r="F119" s="12" t="n">
        <v>838.633</v>
      </c>
      <c r="G119" s="12" t="n">
        <v>423.775</v>
      </c>
      <c r="H119" s="12" t="n">
        <v>308.655</v>
      </c>
      <c r="I119" s="12" t="n">
        <v>658.454</v>
      </c>
      <c r="J119" s="12" t="n">
        <v>542.005</v>
      </c>
      <c r="K119" s="12" t="n">
        <v>147.008</v>
      </c>
      <c r="L119" s="12" t="n">
        <v>484.314</v>
      </c>
      <c r="M119" s="12" t="n">
        <v>887.312</v>
      </c>
      <c r="N119" s="12" t="n">
        <v>802.9400000000001</v>
      </c>
      <c r="T119" s="12" t="n">
        <v>462.082</v>
      </c>
      <c r="U119" s="12" t="n">
        <v>554.773</v>
      </c>
      <c r="V119" s="12" t="n">
        <v>585.448</v>
      </c>
      <c r="W119" s="12" t="n">
        <v>658.454</v>
      </c>
      <c r="X119" s="12" t="n">
        <v>887.312</v>
      </c>
    </row>
    <row r="120">
      <c r="A120" s="20" t="inlineStr">
        <is>
          <t>해외사업환산조정</t>
        </is>
      </c>
      <c r="C120" s="22" t="n">
        <v>2.639</v>
      </c>
      <c r="D120" s="22" t="n">
        <v>-23.648</v>
      </c>
      <c r="E120" s="22" t="n">
        <v>56.887</v>
      </c>
      <c r="F120" s="22" t="n">
        <v>60.545</v>
      </c>
      <c r="G120" s="22" t="n">
        <v>-59.788</v>
      </c>
      <c r="H120" s="22" t="n">
        <v>34.775</v>
      </c>
      <c r="I120" s="22" t="n">
        <v>-22.776</v>
      </c>
      <c r="J120" s="22" t="n">
        <v>14.738</v>
      </c>
      <c r="K120" s="22" t="n">
        <v>10.356</v>
      </c>
      <c r="L120" s="22" t="n">
        <v>64.46599999999999</v>
      </c>
      <c r="M120" s="22" t="n">
        <v>-17.322</v>
      </c>
      <c r="N120" s="22" t="n">
        <v>19.402</v>
      </c>
      <c r="T120" s="22" t="n">
        <v>21.504</v>
      </c>
      <c r="U120" s="22" t="n">
        <v>18.586</v>
      </c>
      <c r="V120" s="22" t="n">
        <v>56.887</v>
      </c>
      <c r="W120" s="22" t="n">
        <v>-22.776</v>
      </c>
      <c r="X120" s="22" t="n">
        <v>-17.322</v>
      </c>
    </row>
    <row r="121">
      <c r="A121" s="20" t="inlineStr">
        <is>
          <t>기타포괄손익 합계</t>
        </is>
      </c>
      <c r="C121" s="22" t="n">
        <v>2.639</v>
      </c>
      <c r="D121" s="22" t="n">
        <v>-23.648</v>
      </c>
      <c r="E121" s="22" t="n">
        <v>56.887</v>
      </c>
      <c r="F121" s="22" t="n">
        <v>60.545</v>
      </c>
      <c r="G121" s="22" t="n">
        <v>-59.788</v>
      </c>
      <c r="H121" s="22" t="n">
        <v>34.775</v>
      </c>
      <c r="I121" s="22" t="n">
        <v>-22.776</v>
      </c>
      <c r="J121" s="22" t="n">
        <v>14.738</v>
      </c>
      <c r="K121" s="22" t="n">
        <v>10.356</v>
      </c>
      <c r="L121" s="22" t="n">
        <v>64.46599999999999</v>
      </c>
      <c r="M121" s="22" t="n">
        <v>-17.322</v>
      </c>
      <c r="N121" s="22" t="n">
        <v>19.402</v>
      </c>
      <c r="T121" s="22" t="n">
        <v>21.504</v>
      </c>
      <c r="U121" s="22" t="n">
        <v>18.586</v>
      </c>
      <c r="V121" s="22" t="n">
        <v>56.887</v>
      </c>
      <c r="W121" s="22" t="n">
        <v>-22.776</v>
      </c>
      <c r="X121" s="22" t="n">
        <v>-17.322</v>
      </c>
    </row>
    <row r="122">
      <c r="A122" s="9" t="inlineStr">
        <is>
          <t>포괄이익</t>
        </is>
      </c>
      <c r="C122" s="12" t="n">
        <v>558.889</v>
      </c>
      <c r="D122" s="12" t="n">
        <v>787.28</v>
      </c>
      <c r="E122" s="12" t="n">
        <v>642.335</v>
      </c>
      <c r="F122" s="12" t="n">
        <v>899.179</v>
      </c>
      <c r="G122" s="12" t="n">
        <v>363.986</v>
      </c>
      <c r="H122" s="12" t="n">
        <v>343.431</v>
      </c>
      <c r="I122" s="12" t="n">
        <v>635.677</v>
      </c>
      <c r="J122" s="12" t="n">
        <v>556.744</v>
      </c>
      <c r="K122" s="12" t="n">
        <v>157.364</v>
      </c>
      <c r="L122" s="12" t="n">
        <v>548.779</v>
      </c>
      <c r="M122" s="12" t="n">
        <v>869.991</v>
      </c>
      <c r="N122" s="12" t="n">
        <v>822.343</v>
      </c>
      <c r="T122" s="12" t="n">
        <v>483.586</v>
      </c>
      <c r="U122" s="12" t="n">
        <v>573.359</v>
      </c>
      <c r="V122" s="12" t="n">
        <v>642.335</v>
      </c>
      <c r="W122" s="12" t="n">
        <v>635.677</v>
      </c>
      <c r="X122" s="12" t="n">
        <v>869.991</v>
      </c>
    </row>
    <row r="123">
      <c r="A123" s="9" t="inlineStr">
        <is>
          <t>지배주주 포괄이익</t>
        </is>
      </c>
      <c r="C123" s="12" t="n">
        <v>558.889</v>
      </c>
      <c r="D123" s="12" t="n">
        <v>787.28</v>
      </c>
      <c r="E123" s="12" t="n">
        <v>642.335</v>
      </c>
      <c r="F123" s="12" t="n">
        <v>899.179</v>
      </c>
      <c r="G123" s="12" t="n">
        <v>363.986</v>
      </c>
      <c r="H123" s="12" t="n">
        <v>343.431</v>
      </c>
      <c r="I123" s="12" t="n">
        <v>635.677</v>
      </c>
      <c r="J123" s="12" t="n">
        <v>556.744</v>
      </c>
      <c r="K123" s="12" t="n">
        <v>157.364</v>
      </c>
      <c r="L123" s="12" t="n">
        <v>548.779</v>
      </c>
      <c r="M123" s="12" t="n">
        <v>869.991</v>
      </c>
      <c r="N123" s="12" t="n">
        <v>822.343</v>
      </c>
      <c r="T123" s="12" t="n">
        <v>483.586</v>
      </c>
      <c r="U123" s="12" t="n">
        <v>573.359</v>
      </c>
      <c r="V123" s="12" t="n">
        <v>642.335</v>
      </c>
      <c r="W123" s="12" t="n">
        <v>635.677</v>
      </c>
      <c r="X123" s="12" t="n">
        <v>869.991</v>
      </c>
    </row>
    <row r="125">
      <c r="A125" s="18" t="inlineStr">
        <is>
          <t>현금흐름표 · 전 항목</t>
        </is>
      </c>
      <c r="B125" s="44" t="inlineStr">
        <is>
          <t>분기 = 결산기 첫날부터 누계(공시 그대로)</t>
        </is>
      </c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</row>
    <row r="126">
      <c r="A126" s="5" t="inlineStr">
        <is>
          <t>항목</t>
        </is>
      </c>
      <c r="B126" s="5" t="inlineStr">
        <is>
          <t>참고</t>
        </is>
      </c>
      <c r="C126" s="5" t="inlineStr">
        <is>
          <t>2024.2Q</t>
        </is>
      </c>
      <c r="D126" s="5" t="inlineStr">
        <is>
          <t>2024.3Q</t>
        </is>
      </c>
      <c r="E126" s="5" t="inlineStr">
        <is>
          <t>2024.4Q</t>
        </is>
      </c>
      <c r="F126" s="5" t="inlineStr">
        <is>
          <t>2025.1Q</t>
        </is>
      </c>
      <c r="G126" s="5" t="inlineStr">
        <is>
          <t>2025.2Q</t>
        </is>
      </c>
      <c r="H126" s="5" t="inlineStr">
        <is>
          <t>2025.3Q</t>
        </is>
      </c>
      <c r="I126" s="5" t="inlineStr">
        <is>
          <t>2025.4Q</t>
        </is>
      </c>
      <c r="J126" s="5" t="inlineStr">
        <is>
          <t>2026.1Q</t>
        </is>
      </c>
      <c r="K126" s="5" t="inlineStr">
        <is>
          <t>2026.2Q</t>
        </is>
      </c>
      <c r="L126" s="5" t="inlineStr">
        <is>
          <t>2026.3Q</t>
        </is>
      </c>
      <c r="M126" s="5" t="inlineStr">
        <is>
          <t>2026.4Q</t>
        </is>
      </c>
      <c r="N126" s="5" t="inlineStr">
        <is>
          <t>2027.1Q</t>
        </is>
      </c>
      <c r="O126" s="5" t="inlineStr">
        <is>
          <t>2017</t>
        </is>
      </c>
      <c r="P126" s="5" t="inlineStr">
        <is>
          <t>2018</t>
        </is>
      </c>
      <c r="Q126" s="5" t="inlineStr">
        <is>
          <t>2019</t>
        </is>
      </c>
      <c r="R126" s="5" t="inlineStr">
        <is>
          <t>2020</t>
        </is>
      </c>
      <c r="S126" s="5" t="inlineStr">
        <is>
          <t>2021</t>
        </is>
      </c>
      <c r="T126" s="5" t="inlineStr">
        <is>
          <t>2022</t>
        </is>
      </c>
      <c r="U126" s="5" t="inlineStr">
        <is>
          <t>2023</t>
        </is>
      </c>
      <c r="V126" s="5" t="inlineStr">
        <is>
          <t>2024</t>
        </is>
      </c>
      <c r="W126" s="5" t="inlineStr">
        <is>
          <t>2025</t>
        </is>
      </c>
      <c r="X126" s="5" t="inlineStr">
        <is>
          <t>2026</t>
        </is>
      </c>
      <c r="Y126" s="5" t="inlineStr">
        <is>
          <t>2027(MW)</t>
        </is>
      </c>
      <c r="Z126" s="5" t="inlineStr">
        <is>
          <t>2028(MW)</t>
        </is>
      </c>
      <c r="AA126" s="5" t="inlineStr">
        <is>
          <t>2029(MW)</t>
        </is>
      </c>
      <c r="AB126" s="5" t="inlineStr">
        <is>
          <t>2030(MW)</t>
        </is>
      </c>
      <c r="AC126" s="5" t="inlineStr">
        <is>
          <t>2031(MW)</t>
        </is>
      </c>
    </row>
    <row r="127">
      <c r="A127" s="9" t="inlineStr">
        <is>
          <t>법인세차감전 순이익</t>
        </is>
      </c>
      <c r="C127" s="12" t="n">
        <v>2245.824</v>
      </c>
      <c r="E127" s="12" t="n">
        <v>4255.002</v>
      </c>
      <c r="G127" s="12" t="n">
        <v>1931.367</v>
      </c>
      <c r="I127" s="12" t="n">
        <v>3070.411</v>
      </c>
      <c r="K127" s="12" t="n">
        <v>1123.859</v>
      </c>
      <c r="M127" s="12" t="n">
        <v>3091.956</v>
      </c>
      <c r="O127" s="12" t="n">
        <v>1453.041</v>
      </c>
      <c r="P127" s="12" t="n">
        <v>2552.359</v>
      </c>
      <c r="Q127" s="12" t="n">
        <v>2967.998</v>
      </c>
      <c r="R127" s="12" t="n">
        <v>2949.048</v>
      </c>
      <c r="S127" s="12" t="n">
        <v>2851.985</v>
      </c>
      <c r="T127" s="12" t="n">
        <v>2703.7</v>
      </c>
      <c r="U127" s="12" t="n">
        <v>3585.491</v>
      </c>
      <c r="V127" s="12" t="n">
        <v>4255.002</v>
      </c>
      <c r="W127" s="12" t="n">
        <v>3070.411</v>
      </c>
      <c r="X127" s="12" t="n">
        <v>3091.956</v>
      </c>
    </row>
    <row r="128">
      <c r="A128" s="20" t="inlineStr">
        <is>
          <t>감가상각비</t>
        </is>
      </c>
      <c r="C128" s="22" t="n">
        <v>21.301</v>
      </c>
      <c r="E128" s="22" t="n">
        <v>45.573</v>
      </c>
      <c r="G128" s="22" t="n">
        <v>22.198</v>
      </c>
      <c r="I128" s="22" t="n">
        <v>51.403</v>
      </c>
      <c r="K128" s="22" t="n">
        <v>21.31</v>
      </c>
      <c r="M128" s="22" t="n">
        <v>45.601</v>
      </c>
      <c r="O128" s="22" t="n">
        <v>79.599</v>
      </c>
      <c r="P128" s="22" t="n">
        <v>78.28100000000001</v>
      </c>
      <c r="Q128" s="22" t="n">
        <v>88.196</v>
      </c>
      <c r="R128" s="22" t="n">
        <v>79.09</v>
      </c>
      <c r="S128" s="22" t="n">
        <v>60.428</v>
      </c>
      <c r="T128" s="22" t="n">
        <v>52.569</v>
      </c>
      <c r="U128" s="22" t="n">
        <v>49.684</v>
      </c>
      <c r="V128" s="22" t="n">
        <v>45.573</v>
      </c>
      <c r="W128" s="22" t="n">
        <v>51.403</v>
      </c>
      <c r="X128" s="22" t="n">
        <v>45.601</v>
      </c>
    </row>
    <row r="129">
      <c r="A129" s="20" t="inlineStr">
        <is>
          <t>손상차손</t>
        </is>
      </c>
      <c r="O129" s="22" t="n">
        <v>7.796</v>
      </c>
      <c r="P129" s="22" t="n">
        <v>0</v>
      </c>
    </row>
    <row r="130">
      <c r="A130" s="20" t="inlineStr">
        <is>
          <t>주식보상비용</t>
        </is>
      </c>
      <c r="C130" s="22" t="n">
        <v>0</v>
      </c>
      <c r="E130" s="22" t="n">
        <v>0</v>
      </c>
      <c r="G130" s="22" t="n">
        <v>53.658</v>
      </c>
      <c r="I130" s="22" t="n">
        <v>214.632</v>
      </c>
      <c r="K130" s="22" t="n">
        <v>133.404</v>
      </c>
      <c r="M130" s="22" t="n">
        <v>292.152</v>
      </c>
      <c r="O130" s="22" t="n">
        <v>15.409</v>
      </c>
      <c r="P130" s="22" t="n">
        <v>29.357</v>
      </c>
      <c r="Q130" s="22" t="n">
        <v>14.841</v>
      </c>
      <c r="R130" s="22" t="n">
        <v>0</v>
      </c>
      <c r="V130" s="22" t="n">
        <v>0</v>
      </c>
      <c r="W130" s="22" t="n">
        <v>214.632</v>
      </c>
      <c r="X130" s="22" t="n">
        <v>292.152</v>
      </c>
    </row>
    <row r="131">
      <c r="A131" s="20" t="inlineStr">
        <is>
          <t>대손충당금 증감</t>
        </is>
      </c>
      <c r="C131" s="22" t="n">
        <v>1.198</v>
      </c>
      <c r="E131" s="22" t="n">
        <v>1.17</v>
      </c>
      <c r="G131" s="22" t="n">
        <v>-0.706</v>
      </c>
      <c r="I131" s="22" t="n">
        <v>-0.239</v>
      </c>
      <c r="K131" s="22" t="n">
        <v>-0.977</v>
      </c>
      <c r="M131" s="22" t="n">
        <v>-10.368</v>
      </c>
      <c r="O131" s="22" t="n">
        <v>-1.694</v>
      </c>
      <c r="P131" s="22" t="n">
        <v>-5.173</v>
      </c>
      <c r="Q131" s="22" t="n">
        <v>2.682</v>
      </c>
      <c r="R131" s="22" t="n">
        <v>5.942</v>
      </c>
      <c r="S131" s="22" t="n">
        <v>0.334</v>
      </c>
      <c r="T131" s="22" t="n">
        <v>-0.914</v>
      </c>
      <c r="U131" s="22" t="n">
        <v>-1.967</v>
      </c>
      <c r="V131" s="22" t="n">
        <v>1.17</v>
      </c>
      <c r="W131" s="22" t="n">
        <v>-0.239</v>
      </c>
      <c r="X131" s="22" t="n">
        <v>-10.368</v>
      </c>
    </row>
    <row r="132">
      <c r="A132" s="20" t="inlineStr">
        <is>
          <t>상여충당금 증감</t>
        </is>
      </c>
      <c r="C132" s="22" t="n">
        <v>89.364</v>
      </c>
      <c r="E132" s="22" t="n">
        <v>19.036</v>
      </c>
      <c r="G132" s="22" t="n">
        <v>79.05800000000001</v>
      </c>
      <c r="I132" s="22" t="n">
        <v>-28.528</v>
      </c>
      <c r="K132" s="22" t="n">
        <v>59.229</v>
      </c>
      <c r="M132" s="22" t="n">
        <v>35.823</v>
      </c>
      <c r="O132" s="22" t="n">
        <v>-1.583</v>
      </c>
      <c r="P132" s="22" t="n">
        <v>1.674</v>
      </c>
      <c r="Q132" s="22" t="n">
        <v>10.624</v>
      </c>
      <c r="R132" s="22" t="n">
        <v>9.02</v>
      </c>
      <c r="S132" s="22" t="n">
        <v>-7.892</v>
      </c>
      <c r="T132" s="22" t="n">
        <v>-10.832</v>
      </c>
      <c r="U132" s="22" t="n">
        <v>10.419</v>
      </c>
      <c r="V132" s="22" t="n">
        <v>19.036</v>
      </c>
      <c r="W132" s="22" t="n">
        <v>-28.528</v>
      </c>
      <c r="X132" s="22" t="n">
        <v>35.823</v>
      </c>
    </row>
    <row r="133">
      <c r="A133" s="20" t="inlineStr">
        <is>
          <t>퇴직급여부채 증감</t>
        </is>
      </c>
      <c r="C133" s="22" t="n">
        <v>1.02</v>
      </c>
      <c r="E133" s="22" t="n">
        <v>5.545</v>
      </c>
      <c r="G133" s="22" t="n">
        <v>3.755</v>
      </c>
      <c r="I133" s="22" t="n">
        <v>6.956</v>
      </c>
      <c r="K133" s="22" t="n">
        <v>4.387</v>
      </c>
      <c r="M133" s="22" t="n">
        <v>5.973</v>
      </c>
      <c r="O133" s="22" t="n">
        <v>4.136</v>
      </c>
      <c r="P133" s="22" t="n">
        <v>4.08</v>
      </c>
      <c r="Q133" s="22" t="n">
        <v>3.881</v>
      </c>
      <c r="R133" s="22" t="n">
        <v>5.933</v>
      </c>
      <c r="S133" s="22" t="n">
        <v>6.503</v>
      </c>
      <c r="T133" s="22" t="n">
        <v>2.482</v>
      </c>
      <c r="U133" s="22" t="n">
        <v>7.015</v>
      </c>
      <c r="V133" s="22" t="n">
        <v>5.545</v>
      </c>
      <c r="W133" s="22" t="n">
        <v>6.956</v>
      </c>
      <c r="X133" s="22" t="n">
        <v>5.973</v>
      </c>
    </row>
    <row r="134">
      <c r="A134" s="20" t="inlineStr">
        <is>
          <t>임원 퇴직위로 충당금 증감</t>
        </is>
      </c>
      <c r="O134" s="22" t="n">
        <v>259.589</v>
      </c>
      <c r="P134" s="22" t="n">
        <v>103.418</v>
      </c>
      <c r="Q134" s="22" t="n">
        <v>111.549</v>
      </c>
      <c r="R134" s="22" t="n">
        <v>-1159.9</v>
      </c>
      <c r="S134" s="22" t="n">
        <v>0</v>
      </c>
    </row>
    <row r="135">
      <c r="A135" s="20" t="inlineStr">
        <is>
          <t>장기미지급금 증감</t>
        </is>
      </c>
      <c r="C135" s="22" t="n">
        <v>0</v>
      </c>
      <c r="E135" s="22" t="n">
        <v>0.14</v>
      </c>
      <c r="G135" s="22" t="n">
        <v>-0.037</v>
      </c>
      <c r="I135" s="22" t="n">
        <v>-0.074</v>
      </c>
      <c r="K135" s="22" t="n">
        <v>-0.037</v>
      </c>
      <c r="M135" s="22" t="n">
        <v>-0.065</v>
      </c>
      <c r="Q135" s="22" t="n">
        <v>0</v>
      </c>
      <c r="R135" s="22" t="n">
        <v>779.254</v>
      </c>
      <c r="S135" s="22" t="n">
        <v>0</v>
      </c>
      <c r="T135" s="22" t="n">
        <v>-81.517</v>
      </c>
      <c r="U135" s="22" t="n">
        <v>0</v>
      </c>
      <c r="V135" s="22" t="n">
        <v>0.14</v>
      </c>
      <c r="W135" s="22" t="n">
        <v>-0.074</v>
      </c>
      <c r="X135" s="22" t="n">
        <v>-0.065</v>
      </c>
    </row>
    <row r="136">
      <c r="A136" s="20" t="inlineStr">
        <is>
          <t>이자·배당금 수익</t>
        </is>
      </c>
      <c r="C136" s="22" t="n">
        <v>-2.353</v>
      </c>
      <c r="E136" s="22" t="n">
        <v>-4.948</v>
      </c>
      <c r="G136" s="22" t="n">
        <v>-21.581</v>
      </c>
      <c r="I136" s="22" t="n">
        <v>-74.64400000000001</v>
      </c>
      <c r="K136" s="22" t="n">
        <v>-39.6</v>
      </c>
      <c r="M136" s="22" t="n">
        <v>-95.34699999999999</v>
      </c>
      <c r="O136" s="22" t="n">
        <v>-2.346</v>
      </c>
      <c r="P136" s="22" t="n">
        <v>-2.849</v>
      </c>
      <c r="Q136" s="22" t="n">
        <v>-1.342</v>
      </c>
      <c r="R136" s="22" t="n">
        <v>-1.317</v>
      </c>
      <c r="S136" s="22" t="n">
        <v>-0.952</v>
      </c>
      <c r="T136" s="22" t="n">
        <v>-0.834</v>
      </c>
      <c r="U136" s="22" t="n">
        <v>-3.086</v>
      </c>
      <c r="V136" s="22" t="n">
        <v>-4.948</v>
      </c>
      <c r="W136" s="22" t="n">
        <v>-74.64400000000001</v>
      </c>
      <c r="X136" s="22" t="n">
        <v>-95.34699999999999</v>
      </c>
    </row>
    <row r="137">
      <c r="A137" s="20" t="inlineStr">
        <is>
          <t>이자비용</t>
        </is>
      </c>
      <c r="C137" s="22" t="n">
        <v>19.785</v>
      </c>
      <c r="E137" s="22" t="n">
        <v>37.221</v>
      </c>
      <c r="G137" s="22" t="n">
        <v>24.032</v>
      </c>
      <c r="I137" s="22" t="n">
        <v>57.399</v>
      </c>
      <c r="K137" s="22" t="n">
        <v>30.796</v>
      </c>
      <c r="M137" s="22" t="n">
        <v>64.32899999999999</v>
      </c>
      <c r="O137" s="22" t="n">
        <v>73.053</v>
      </c>
      <c r="P137" s="22" t="n">
        <v>61.527</v>
      </c>
      <c r="Q137" s="22" t="n">
        <v>48.909</v>
      </c>
      <c r="R137" s="22" t="n">
        <v>59.869</v>
      </c>
      <c r="S137" s="22" t="n">
        <v>59.373</v>
      </c>
      <c r="T137" s="22" t="n">
        <v>48.059</v>
      </c>
      <c r="U137" s="22" t="n">
        <v>42.835</v>
      </c>
      <c r="V137" s="22" t="n">
        <v>37.221</v>
      </c>
      <c r="W137" s="22" t="n">
        <v>57.399</v>
      </c>
      <c r="X137" s="22" t="n">
        <v>64.32899999999999</v>
      </c>
    </row>
    <row r="138">
      <c r="A138" s="20" t="inlineStr">
        <is>
          <t>외환차손익</t>
        </is>
      </c>
      <c r="C138" s="22" t="n">
        <v>0.48</v>
      </c>
      <c r="E138" s="22" t="n">
        <v>0.573</v>
      </c>
      <c r="G138" s="22" t="n">
        <v>-0.409</v>
      </c>
      <c r="I138" s="22" t="n">
        <v>-0.19</v>
      </c>
      <c r="K138" s="22" t="n">
        <v>-0.6929999999999999</v>
      </c>
      <c r="M138" s="22" t="n">
        <v>-1.175</v>
      </c>
      <c r="O138" s="22" t="n">
        <v>0.108</v>
      </c>
      <c r="P138" s="22" t="n">
        <v>1.011</v>
      </c>
      <c r="Q138" s="22" t="n">
        <v>1.556</v>
      </c>
      <c r="R138" s="22" t="n">
        <v>-6.744</v>
      </c>
      <c r="S138" s="22" t="n">
        <v>0.724</v>
      </c>
      <c r="T138" s="22" t="n">
        <v>-0.308</v>
      </c>
      <c r="U138" s="22" t="n">
        <v>0.774</v>
      </c>
      <c r="V138" s="22" t="n">
        <v>0.573</v>
      </c>
      <c r="W138" s="22" t="n">
        <v>-0.19</v>
      </c>
      <c r="X138" s="22" t="n">
        <v>-1.175</v>
      </c>
    </row>
    <row r="139">
      <c r="A139" s="20" t="inlineStr">
        <is>
          <t>고정자산 매각이익</t>
        </is>
      </c>
      <c r="P139" s="22" t="n">
        <v>0</v>
      </c>
      <c r="Q139" s="22" t="n">
        <v>-0.242</v>
      </c>
    </row>
    <row r="140">
      <c r="A140" s="20" t="inlineStr">
        <is>
          <t>고정자산 매각이익</t>
        </is>
      </c>
      <c r="I140" s="22" t="n">
        <v>0</v>
      </c>
      <c r="M140" s="22" t="n">
        <v>-2.709</v>
      </c>
      <c r="Q140" s="22" t="n">
        <v>-0.242</v>
      </c>
      <c r="R140" s="22" t="n">
        <v>0</v>
      </c>
      <c r="S140" s="22" t="n">
        <v>0</v>
      </c>
      <c r="T140" s="22" t="n">
        <v>-0.06900000000000001</v>
      </c>
      <c r="U140" s="22" t="n">
        <v>0</v>
      </c>
      <c r="W140" s="22" t="n">
        <v>0</v>
      </c>
      <c r="X140" s="22" t="n">
        <v>-2.709</v>
      </c>
    </row>
    <row r="141">
      <c r="A141" s="20" t="inlineStr">
        <is>
          <t>고정자산 제각손실</t>
        </is>
      </c>
      <c r="C141" s="22" t="n">
        <v>0</v>
      </c>
      <c r="E141" s="22" t="n">
        <v>0</v>
      </c>
      <c r="G141" s="22" t="n">
        <v>0</v>
      </c>
      <c r="I141" s="22" t="n">
        <v>0</v>
      </c>
      <c r="K141" s="22" t="n">
        <v>1.586</v>
      </c>
      <c r="M141" s="22" t="n">
        <v>1.586</v>
      </c>
      <c r="O141" s="22" t="n">
        <v>1.375</v>
      </c>
      <c r="P141" s="22" t="n">
        <v>0.609</v>
      </c>
      <c r="Q141" s="22" t="n">
        <v>0.13</v>
      </c>
      <c r="R141" s="22" t="n">
        <v>25.37</v>
      </c>
      <c r="S141" s="22" t="n">
        <v>3.679</v>
      </c>
      <c r="T141" s="22" t="n">
        <v>0.064</v>
      </c>
      <c r="U141" s="22" t="n">
        <v>0</v>
      </c>
      <c r="V141" s="22" t="n">
        <v>0</v>
      </c>
      <c r="W141" s="22" t="n">
        <v>0</v>
      </c>
      <c r="X141" s="22" t="n">
        <v>1.586</v>
      </c>
    </row>
    <row r="142">
      <c r="A142" s="20" t="inlineStr">
        <is>
          <t>신주예약권 환입이익</t>
        </is>
      </c>
      <c r="Q142" s="22" t="n">
        <v>0</v>
      </c>
      <c r="R142" s="22" t="n">
        <v>-1.642</v>
      </c>
      <c r="S142" s="22" t="n">
        <v>0</v>
      </c>
    </row>
    <row r="143">
      <c r="A143" s="20" t="inlineStr">
        <is>
          <t>Decrease Increase In Foreign Exchange Dealings Cash Segregated As Deposits For Customers Ope CF</t>
        </is>
      </c>
      <c r="O143" s="22" t="n">
        <v>-9183</v>
      </c>
      <c r="P143" s="22" t="n">
        <v>-6002</v>
      </c>
      <c r="Q143" s="22" t="n">
        <v>-454</v>
      </c>
      <c r="R143" s="22" t="n">
        <v>-2092.11</v>
      </c>
      <c r="S143" s="22" t="n">
        <v>-8413</v>
      </c>
    </row>
    <row r="144">
      <c r="A144" s="20" t="inlineStr">
        <is>
          <t>Decrease Increase In Foreign Exchange Dealings Customers Margin Assets Ope CF</t>
        </is>
      </c>
      <c r="O144" s="22" t="n">
        <v>-1027.345</v>
      </c>
      <c r="P144" s="22" t="n">
        <v>-3801.817</v>
      </c>
      <c r="Q144" s="22" t="n">
        <v>3334.453</v>
      </c>
      <c r="R144" s="22" t="n">
        <v>-8738.59</v>
      </c>
      <c r="S144" s="22" t="n">
        <v>5400.255</v>
      </c>
    </row>
    <row r="145">
      <c r="A145" s="20" t="inlineStr">
        <is>
          <t>Decrease Increase In Foreign Exchange Dealings Accounts Receivable For Customers Ope CF</t>
        </is>
      </c>
      <c r="O145" s="22" t="n">
        <v>-126.699</v>
      </c>
      <c r="P145" s="22" t="n">
        <v>-122.891</v>
      </c>
      <c r="Q145" s="22" t="n">
        <v>-104.424</v>
      </c>
      <c r="R145" s="22" t="n">
        <v>102.022</v>
      </c>
      <c r="S145" s="22" t="n">
        <v>-172.917</v>
      </c>
    </row>
    <row r="146">
      <c r="A146" s="20" t="inlineStr">
        <is>
          <t>Decrease Increase In Foreign Exchange Dealings Guarantee Deposits Ope CF</t>
        </is>
      </c>
      <c r="O146" s="22" t="n">
        <v>-783.758</v>
      </c>
      <c r="P146" s="22" t="n">
        <v>-4358.296</v>
      </c>
      <c r="Q146" s="22" t="n">
        <v>4219.214</v>
      </c>
      <c r="R146" s="22" t="n">
        <v>-4376.576</v>
      </c>
      <c r="S146" s="22" t="n">
        <v>1741.436</v>
      </c>
    </row>
    <row r="147">
      <c r="A147" s="20" t="inlineStr">
        <is>
          <t>Decrease Increase In Foreign Exchange Dealings Variation Ope CF</t>
        </is>
      </c>
      <c r="O147" s="22" t="n">
        <v>51.603</v>
      </c>
      <c r="P147" s="22" t="n">
        <v>-115.824</v>
      </c>
      <c r="Q147" s="22" t="n">
        <v>-303.916</v>
      </c>
      <c r="R147" s="22" t="n">
        <v>479.323</v>
      </c>
      <c r="S147" s="22" t="n">
        <v>-238.421</v>
      </c>
    </row>
    <row r="148">
      <c r="A148" s="20" t="inlineStr">
        <is>
          <t>Decrease Increase In Foreign Exchange Dealings Accounts Receivable For Self Dealing Ope CF</t>
        </is>
      </c>
      <c r="O148" s="22" t="n">
        <v>-101.247</v>
      </c>
      <c r="P148" s="22" t="n">
        <v>-117.494</v>
      </c>
      <c r="Q148" s="22" t="n">
        <v>-263.339</v>
      </c>
      <c r="R148" s="22" t="n">
        <v>489.042</v>
      </c>
      <c r="S148" s="22" t="n">
        <v>45.428</v>
      </c>
    </row>
    <row r="149">
      <c r="A149" s="20" t="inlineStr">
        <is>
          <t>Decrease Increase In Cash Segregated As Deposits Ope CFSEC</t>
        </is>
      </c>
      <c r="C149" s="22" t="n">
        <v>-7200</v>
      </c>
      <c r="E149" s="22" t="n">
        <v>-11101</v>
      </c>
      <c r="G149" s="22" t="n">
        <v>9675</v>
      </c>
      <c r="I149" s="22" t="n">
        <v>3345.225</v>
      </c>
      <c r="K149" s="22" t="n">
        <v>-6461.803</v>
      </c>
      <c r="M149" s="22" t="n">
        <v>-16373.21</v>
      </c>
      <c r="S149" s="22" t="n">
        <v>-8413</v>
      </c>
      <c r="T149" s="22" t="n">
        <v>-5686</v>
      </c>
      <c r="U149" s="22" t="n">
        <v>-4042</v>
      </c>
      <c r="V149" s="22" t="n">
        <v>-11101</v>
      </c>
      <c r="W149" s="22" t="n">
        <v>3345.225</v>
      </c>
      <c r="X149" s="22" t="n">
        <v>-16373.21</v>
      </c>
    </row>
    <row r="150">
      <c r="A150" s="20" t="inlineStr">
        <is>
          <t>Decrease Increase In Trading Products Assets Ope CFSEC</t>
        </is>
      </c>
      <c r="C150" s="22" t="n">
        <v>-1385.119</v>
      </c>
      <c r="E150" s="22" t="n">
        <v>-1615.723</v>
      </c>
      <c r="G150" s="22" t="n">
        <v>-1984.661</v>
      </c>
      <c r="I150" s="22" t="n">
        <v>-1436.471</v>
      </c>
      <c r="K150" s="22" t="n">
        <v>-154.885</v>
      </c>
      <c r="M150" s="22" t="n">
        <v>-601.279</v>
      </c>
      <c r="S150" s="22" t="n">
        <v>5161.834</v>
      </c>
      <c r="T150" s="22" t="n">
        <v>959.551</v>
      </c>
      <c r="U150" s="22" t="n">
        <v>-2030.964</v>
      </c>
      <c r="V150" s="22" t="n">
        <v>-1615.723</v>
      </c>
      <c r="W150" s="22" t="n">
        <v>-1436.471</v>
      </c>
      <c r="X150" s="22" t="n">
        <v>-601.279</v>
      </c>
    </row>
    <row r="151">
      <c r="A151" s="20" t="inlineStr">
        <is>
          <t>Decrease Increase In Accrued Income Ope CF</t>
        </is>
      </c>
      <c r="C151" s="22" t="n">
        <v>-846.146</v>
      </c>
      <c r="E151" s="22" t="n">
        <v>-1312.108</v>
      </c>
      <c r="G151" s="22" t="n">
        <v>692.915</v>
      </c>
      <c r="I151" s="22" t="n">
        <v>498.142</v>
      </c>
      <c r="K151" s="22" t="n">
        <v>-324.159</v>
      </c>
      <c r="M151" s="22" t="n">
        <v>-519.617</v>
      </c>
      <c r="S151" s="22" t="n">
        <v>-172.917</v>
      </c>
      <c r="T151" s="22" t="n">
        <v>-6.916</v>
      </c>
      <c r="U151" s="22" t="n">
        <v>-186.049</v>
      </c>
      <c r="V151" s="22" t="n">
        <v>-1312.108</v>
      </c>
      <c r="W151" s="22" t="n">
        <v>498.142</v>
      </c>
      <c r="X151" s="22" t="n">
        <v>-519.617</v>
      </c>
    </row>
    <row r="152">
      <c r="A152" s="20" t="inlineStr">
        <is>
          <t>Decrease Increase In Short Term Guarantee Deposits Ope CFSEC</t>
        </is>
      </c>
      <c r="C152" s="22" t="n">
        <v>-619.256</v>
      </c>
      <c r="E152" s="22" t="n">
        <v>-1204.827</v>
      </c>
      <c r="G152" s="22" t="n">
        <v>-610.793</v>
      </c>
      <c r="I152" s="22" t="n">
        <v>727.495</v>
      </c>
      <c r="K152" s="22" t="n">
        <v>-49.037</v>
      </c>
      <c r="M152" s="22" t="n">
        <v>-2581.408</v>
      </c>
      <c r="S152" s="22" t="n">
        <v>1741.436</v>
      </c>
      <c r="T152" s="22" t="n">
        <v>-168.072</v>
      </c>
      <c r="U152" s="22" t="n">
        <v>-2892.361</v>
      </c>
      <c r="V152" s="22" t="n">
        <v>-1204.827</v>
      </c>
      <c r="W152" s="22" t="n">
        <v>727.495</v>
      </c>
      <c r="X152" s="22" t="n">
        <v>-2581.408</v>
      </c>
    </row>
    <row r="153">
      <c r="A153" s="20" t="inlineStr">
        <is>
          <t>Decrease Increase In Trade Date Accrual Assets Ope CFSEC</t>
        </is>
      </c>
      <c r="C153" s="22" t="n">
        <v>-66.627</v>
      </c>
      <c r="E153" s="22" t="n">
        <v>171.652</v>
      </c>
      <c r="G153" s="22" t="n">
        <v>158.435</v>
      </c>
      <c r="I153" s="22" t="n">
        <v>155.698</v>
      </c>
      <c r="K153" s="22" t="n">
        <v>-58.023</v>
      </c>
      <c r="M153" s="22" t="n">
        <v>-39.956</v>
      </c>
      <c r="S153" s="22" t="n">
        <v>45.428</v>
      </c>
      <c r="T153" s="22" t="n">
        <v>10.538</v>
      </c>
      <c r="U153" s="22" t="n">
        <v>-266.69</v>
      </c>
      <c r="V153" s="22" t="n">
        <v>171.652</v>
      </c>
      <c r="W153" s="22" t="n">
        <v>155.698</v>
      </c>
      <c r="X153" s="22" t="n">
        <v>-39.956</v>
      </c>
    </row>
    <row r="154">
      <c r="A154" s="20" t="inlineStr">
        <is>
          <t>저장품 증감</t>
        </is>
      </c>
      <c r="C154" s="22" t="n">
        <v>-22.008</v>
      </c>
      <c r="E154" s="22" t="n">
        <v>-17.224</v>
      </c>
      <c r="G154" s="22" t="n">
        <v>-5.244</v>
      </c>
      <c r="I154" s="22" t="n">
        <v>5.261</v>
      </c>
      <c r="K154" s="22" t="n">
        <v>-19.584</v>
      </c>
      <c r="M154" s="22" t="n">
        <v>11.66</v>
      </c>
      <c r="O154" s="22" t="n">
        <v>1.985</v>
      </c>
      <c r="P154" s="22" t="n">
        <v>5.713</v>
      </c>
      <c r="Q154" s="22" t="n">
        <v>-22.21</v>
      </c>
      <c r="R154" s="22" t="n">
        <v>5.833</v>
      </c>
      <c r="S154" s="22" t="n">
        <v>-31.539</v>
      </c>
      <c r="T154" s="22" t="n">
        <v>8.358000000000001</v>
      </c>
      <c r="U154" s="22" t="n">
        <v>16.982</v>
      </c>
      <c r="V154" s="22" t="n">
        <v>-17.224</v>
      </c>
      <c r="W154" s="22" t="n">
        <v>5.261</v>
      </c>
      <c r="X154" s="22" t="n">
        <v>11.66</v>
      </c>
    </row>
    <row r="155">
      <c r="A155" s="20" t="inlineStr">
        <is>
          <t>미수금 증감</t>
        </is>
      </c>
      <c r="C155" s="22" t="n">
        <v>11.017</v>
      </c>
      <c r="E155" s="22" t="n">
        <v>45.285</v>
      </c>
      <c r="G155" s="22" t="n">
        <v>0.734</v>
      </c>
      <c r="I155" s="22" t="n">
        <v>3.253</v>
      </c>
      <c r="K155" s="22" t="n">
        <v>4.806</v>
      </c>
      <c r="M155" s="22" t="n">
        <v>20.045</v>
      </c>
      <c r="O155" s="22" t="n">
        <v>6.175</v>
      </c>
      <c r="P155" s="22" t="n">
        <v>-31.03</v>
      </c>
      <c r="Q155" s="22" t="n">
        <v>12.874</v>
      </c>
      <c r="R155" s="22" t="n">
        <v>4.466</v>
      </c>
      <c r="S155" s="22" t="n">
        <v>6.516</v>
      </c>
      <c r="T155" s="22" t="n">
        <v>-48.234</v>
      </c>
      <c r="U155" s="22" t="n">
        <v>8.928000000000001</v>
      </c>
      <c r="V155" s="22" t="n">
        <v>45.285</v>
      </c>
      <c r="W155" s="22" t="n">
        <v>3.253</v>
      </c>
      <c r="X155" s="22" t="n">
        <v>20.045</v>
      </c>
    </row>
    <row r="156">
      <c r="A156" s="20" t="inlineStr">
        <is>
          <t>Decrease Increase In Consumption Taxes Refund Recievable Ope CF</t>
        </is>
      </c>
      <c r="C156" s="22" t="n">
        <v>202.582</v>
      </c>
      <c r="E156" s="22" t="n">
        <v>7.747</v>
      </c>
      <c r="G156" s="22" t="n">
        <v>266.864</v>
      </c>
      <c r="I156" s="22" t="n">
        <v>130.271</v>
      </c>
      <c r="K156" s="22" t="n">
        <v>81.61199999999999</v>
      </c>
      <c r="M156" s="22" t="n">
        <v>-129.119</v>
      </c>
      <c r="O156" s="22" t="n">
        <v>-63.409</v>
      </c>
      <c r="P156" s="22" t="n">
        <v>-3.003</v>
      </c>
      <c r="Q156" s="22" t="n">
        <v>-34.321</v>
      </c>
      <c r="R156" s="22" t="n">
        <v>-24.937</v>
      </c>
      <c r="S156" s="22" t="n">
        <v>-96.97799999999999</v>
      </c>
      <c r="T156" s="22" t="n">
        <v>-27.156</v>
      </c>
      <c r="U156" s="22" t="n">
        <v>-32.116</v>
      </c>
      <c r="V156" s="22" t="n">
        <v>7.747</v>
      </c>
      <c r="W156" s="22" t="n">
        <v>130.271</v>
      </c>
      <c r="X156" s="22" t="n">
        <v>-129.119</v>
      </c>
    </row>
    <row r="157">
      <c r="A157" s="20" t="inlineStr">
        <is>
          <t>선급비용 증감</t>
        </is>
      </c>
      <c r="C157" s="22" t="n">
        <v>-29.005</v>
      </c>
      <c r="E157" s="22" t="n">
        <v>10.759</v>
      </c>
      <c r="G157" s="22" t="n">
        <v>-39.963</v>
      </c>
      <c r="I157" s="22" t="n">
        <v>-24.721</v>
      </c>
      <c r="K157" s="22" t="n">
        <v>-10.081</v>
      </c>
      <c r="M157" s="22" t="n">
        <v>12.376</v>
      </c>
      <c r="O157" s="22" t="n">
        <v>-6.684</v>
      </c>
      <c r="P157" s="22" t="n">
        <v>10.024</v>
      </c>
      <c r="Q157" s="22" t="n">
        <v>-4.561</v>
      </c>
      <c r="R157" s="22" t="n">
        <v>-1.187</v>
      </c>
      <c r="S157" s="22" t="n">
        <v>-0.037</v>
      </c>
      <c r="T157" s="22" t="n">
        <v>-1.362</v>
      </c>
      <c r="U157" s="22" t="n">
        <v>-27.631</v>
      </c>
      <c r="V157" s="22" t="n">
        <v>10.759</v>
      </c>
      <c r="W157" s="22" t="n">
        <v>-24.721</v>
      </c>
      <c r="X157" s="22" t="n">
        <v>12.376</v>
      </c>
    </row>
    <row r="158">
      <c r="A158" s="20" t="inlineStr">
        <is>
          <t>Increase Decrease In Foreign Exchange Dealings Deposits From Customers Ope CF</t>
        </is>
      </c>
      <c r="O158" s="22" t="n">
        <v>9816.081</v>
      </c>
      <c r="P158" s="22" t="n">
        <v>8380.201999999999</v>
      </c>
      <c r="Q158" s="22" t="n">
        <v>-2735.979</v>
      </c>
      <c r="R158" s="22" t="n">
        <v>9404.734</v>
      </c>
      <c r="S158" s="22" t="n">
        <v>4161.107</v>
      </c>
    </row>
    <row r="159">
      <c r="A159" s="20" t="inlineStr">
        <is>
          <t>Increase Decrease In Foreign Exchange Dealings Customers Margin Debt Ope CF</t>
        </is>
      </c>
      <c r="O159" s="22" t="n">
        <v>-157.641</v>
      </c>
      <c r="P159" s="22" t="n">
        <v>-153.589</v>
      </c>
      <c r="Q159" s="22" t="n">
        <v>101.578</v>
      </c>
      <c r="R159" s="22" t="n">
        <v>-120.11</v>
      </c>
      <c r="S159" s="22" t="n">
        <v>1095.341</v>
      </c>
    </row>
    <row r="160">
      <c r="A160" s="20" t="inlineStr">
        <is>
          <t>Increase Decrease In Foreign Exchange Dealings Customers Arrears Ope CF</t>
        </is>
      </c>
      <c r="O160" s="22" t="n">
        <v>574.825</v>
      </c>
      <c r="P160" s="22" t="n">
        <v>1412.154</v>
      </c>
      <c r="Q160" s="22" t="n">
        <v>88.97199999999999</v>
      </c>
      <c r="R160" s="22" t="n">
        <v>618.088</v>
      </c>
      <c r="S160" s="22" t="n">
        <v>-624.143</v>
      </c>
    </row>
    <row r="161">
      <c r="A161" s="20" t="inlineStr">
        <is>
          <t>Increase Decrease In Foreign Exchange Dealings Variation Margin Received Debt Ope CF</t>
        </is>
      </c>
      <c r="O161" s="22" t="n">
        <v>232.298</v>
      </c>
      <c r="P161" s="22" t="n">
        <v>383.818</v>
      </c>
      <c r="Q161" s="22" t="n">
        <v>-638.783</v>
      </c>
      <c r="R161" s="22" t="n">
        <v>1016.45</v>
      </c>
      <c r="S161" s="22" t="n">
        <v>-986.3630000000001</v>
      </c>
    </row>
    <row r="162">
      <c r="A162" s="20" t="inlineStr">
        <is>
          <t>Increase Decrease In Foreign Exchange Dealings Accounts Receivable For Self Dealing Ope CF</t>
        </is>
      </c>
      <c r="O162" s="22" t="n">
        <v>12.628</v>
      </c>
      <c r="P162" s="22" t="n">
        <v>25.113</v>
      </c>
      <c r="Q162" s="22" t="n">
        <v>-38.795</v>
      </c>
      <c r="R162" s="22" t="n">
        <v>210.876</v>
      </c>
      <c r="S162" s="22" t="n">
        <v>-30.337</v>
      </c>
    </row>
    <row r="163">
      <c r="A163" s="20" t="inlineStr">
        <is>
          <t>Increase Decrease In Guarantee Deposits Received Ope CFSEC</t>
        </is>
      </c>
      <c r="C163" s="22" t="n">
        <v>5691.56</v>
      </c>
      <c r="E163" s="22" t="n">
        <v>5352.255</v>
      </c>
      <c r="G163" s="22" t="n">
        <v>-3345.029</v>
      </c>
      <c r="I163" s="22" t="n">
        <v>-800.383</v>
      </c>
      <c r="K163" s="22" t="n">
        <v>4217.784</v>
      </c>
      <c r="M163" s="22" t="n">
        <v>11601.832</v>
      </c>
      <c r="S163" s="22" t="n">
        <v>4161.107</v>
      </c>
      <c r="T163" s="22" t="n">
        <v>2308.032</v>
      </c>
      <c r="U163" s="22" t="n">
        <v>5352.301</v>
      </c>
      <c r="V163" s="22" t="n">
        <v>5352.255</v>
      </c>
      <c r="W163" s="22" t="n">
        <v>-800.383</v>
      </c>
      <c r="X163" s="22" t="n">
        <v>11601.832</v>
      </c>
    </row>
    <row r="164">
      <c r="A164" s="20" t="inlineStr">
        <is>
          <t>Increase Decrease In Trading Products Liabilities Ope CFSEC</t>
        </is>
      </c>
      <c r="C164" s="22" t="n">
        <v>2922.78</v>
      </c>
      <c r="E164" s="22" t="n">
        <v>4499.259</v>
      </c>
      <c r="G164" s="22" t="n">
        <v>-4725.919</v>
      </c>
      <c r="I164" s="22" t="n">
        <v>-5128.866</v>
      </c>
      <c r="K164" s="22" t="n">
        <v>1587.314</v>
      </c>
      <c r="M164" s="22" t="n">
        <v>3838.73</v>
      </c>
      <c r="S164" s="22" t="n">
        <v>108.978</v>
      </c>
      <c r="T164" s="22" t="n">
        <v>1386.326</v>
      </c>
      <c r="U164" s="22" t="n">
        <v>119.181</v>
      </c>
      <c r="V164" s="22" t="n">
        <v>4499.259</v>
      </c>
      <c r="W164" s="22" t="n">
        <v>-5128.866</v>
      </c>
      <c r="X164" s="22" t="n">
        <v>3838.73</v>
      </c>
    </row>
    <row r="165">
      <c r="A165" s="20" t="inlineStr">
        <is>
          <t>Decrease Decrease In Trade Date Accrual Liabilities Ope CFSEC</t>
        </is>
      </c>
      <c r="C165" s="22" t="n">
        <v>-43.919</v>
      </c>
      <c r="E165" s="22" t="n">
        <v>-43.919</v>
      </c>
      <c r="G165" s="22" t="n">
        <v>513.3390000000001</v>
      </c>
      <c r="I165" s="22" t="n">
        <v>740.174</v>
      </c>
      <c r="K165" s="22" t="n">
        <v>-615.592</v>
      </c>
      <c r="M165" s="22" t="n">
        <v>-664.8920000000001</v>
      </c>
      <c r="S165" s="22" t="n">
        <v>-30.337</v>
      </c>
      <c r="T165" s="22" t="n">
        <v>-86.096</v>
      </c>
      <c r="U165" s="22" t="n">
        <v>-50.523</v>
      </c>
      <c r="V165" s="22" t="n">
        <v>-43.919</v>
      </c>
      <c r="W165" s="22" t="n">
        <v>740.174</v>
      </c>
      <c r="X165" s="22" t="n">
        <v>-664.8920000000001</v>
      </c>
    </row>
    <row r="166">
      <c r="A166" s="20" t="inlineStr">
        <is>
          <t>미지급금 증감</t>
        </is>
      </c>
      <c r="C166" s="22" t="n">
        <v>-32.389</v>
      </c>
      <c r="E166" s="22" t="n">
        <v>-182.215</v>
      </c>
      <c r="G166" s="22" t="n">
        <v>221.718</v>
      </c>
      <c r="I166" s="22" t="n">
        <v>146.779</v>
      </c>
      <c r="K166" s="22" t="n">
        <v>49.211</v>
      </c>
      <c r="M166" s="22" t="n">
        <v>69.663</v>
      </c>
      <c r="O166" s="22" t="n">
        <v>-38.388</v>
      </c>
      <c r="P166" s="22" t="n">
        <v>35.507</v>
      </c>
      <c r="Q166" s="22" t="n">
        <v>139.001</v>
      </c>
      <c r="R166" s="22" t="n">
        <v>83.809</v>
      </c>
      <c r="S166" s="22" t="n">
        <v>-61.948</v>
      </c>
      <c r="T166" s="22" t="n">
        <v>162.955</v>
      </c>
      <c r="U166" s="22" t="n">
        <v>55.809</v>
      </c>
      <c r="V166" s="22" t="n">
        <v>-182.215</v>
      </c>
      <c r="W166" s="22" t="n">
        <v>146.779</v>
      </c>
      <c r="X166" s="22" t="n">
        <v>69.663</v>
      </c>
    </row>
    <row r="167">
      <c r="A167" s="20" t="inlineStr">
        <is>
          <t>미지급비용 증감</t>
        </is>
      </c>
      <c r="C167" s="22" t="n">
        <v>1069.339</v>
      </c>
      <c r="E167" s="22" t="n">
        <v>2065.801</v>
      </c>
      <c r="G167" s="22" t="n">
        <v>804.979</v>
      </c>
      <c r="I167" s="22" t="n">
        <v>2023.667</v>
      </c>
      <c r="K167" s="22" t="n">
        <v>1798.842</v>
      </c>
      <c r="M167" s="22" t="n">
        <v>2391.255</v>
      </c>
      <c r="O167" s="22" t="n">
        <v>2.566</v>
      </c>
      <c r="P167" s="22" t="n">
        <v>4.457</v>
      </c>
      <c r="Q167" s="22" t="n">
        <v>3.498</v>
      </c>
      <c r="R167" s="22" t="n">
        <v>-1.484</v>
      </c>
      <c r="S167" s="22" t="n">
        <v>-623.6660000000001</v>
      </c>
      <c r="T167" s="22" t="n">
        <v>-211.522</v>
      </c>
      <c r="U167" s="22" t="n">
        <v>1117.106</v>
      </c>
      <c r="V167" s="22" t="n">
        <v>2065.801</v>
      </c>
      <c r="W167" s="22" t="n">
        <v>2023.667</v>
      </c>
      <c r="X167" s="22" t="n">
        <v>2391.255</v>
      </c>
    </row>
    <row r="168">
      <c r="A168" s="20" t="inlineStr">
        <is>
          <t>기타</t>
        </is>
      </c>
      <c r="C168" s="22" t="n">
        <v>-42.386</v>
      </c>
      <c r="E168" s="22" t="n">
        <v>69.02800000000001</v>
      </c>
      <c r="G168" s="22" t="n">
        <v>17.902</v>
      </c>
      <c r="I168" s="22" t="n">
        <v>56.778</v>
      </c>
      <c r="K168" s="22" t="n">
        <v>-84.92700000000001</v>
      </c>
      <c r="M168" s="22" t="n">
        <v>-75.435</v>
      </c>
      <c r="O168" s="22" t="n">
        <v>107.704</v>
      </c>
      <c r="P168" s="22" t="n">
        <v>176.549</v>
      </c>
      <c r="Q168" s="22" t="n">
        <v>24.669</v>
      </c>
      <c r="R168" s="22" t="n">
        <v>-515.703</v>
      </c>
      <c r="S168" s="22" t="n">
        <v>379.782</v>
      </c>
      <c r="T168" s="22" t="n">
        <v>-145.204</v>
      </c>
      <c r="U168" s="22" t="n">
        <v>149.146</v>
      </c>
      <c r="V168" s="22" t="n">
        <v>69.02800000000001</v>
      </c>
      <c r="W168" s="22" t="n">
        <v>56.778</v>
      </c>
      <c r="X168" s="22" t="n">
        <v>-75.435</v>
      </c>
    </row>
    <row r="169">
      <c r="A169" s="20" t="inlineStr">
        <is>
          <t>소계</t>
        </is>
      </c>
      <c r="C169" s="22" t="n">
        <v>1987.042</v>
      </c>
      <c r="E169" s="22" t="n">
        <v>1104.086</v>
      </c>
      <c r="G169" s="22" t="n">
        <v>3731.612</v>
      </c>
      <c r="I169" s="22" t="n">
        <v>3739.432</v>
      </c>
      <c r="K169" s="22" t="n">
        <v>1294.743</v>
      </c>
      <c r="M169" s="22" t="n">
        <v>388.399</v>
      </c>
      <c r="O169" s="22" t="n">
        <v>1206.176</v>
      </c>
      <c r="P169" s="22" t="n">
        <v>-1448.109</v>
      </c>
      <c r="Q169" s="22" t="n">
        <v>6572.712</v>
      </c>
      <c r="R169" s="22" t="n">
        <v>-712.127</v>
      </c>
      <c r="S169" s="22" t="n">
        <v>5148.842</v>
      </c>
      <c r="T169" s="22" t="n">
        <v>1167.594</v>
      </c>
      <c r="U169" s="22" t="n">
        <v>982.283</v>
      </c>
      <c r="V169" s="22" t="n">
        <v>1104.086</v>
      </c>
      <c r="W169" s="22" t="n">
        <v>3739.432</v>
      </c>
      <c r="X169" s="22" t="n">
        <v>388.399</v>
      </c>
    </row>
    <row r="170">
      <c r="A170" s="20" t="inlineStr">
        <is>
          <t>이자·배당금 수취</t>
        </is>
      </c>
      <c r="C170" s="22" t="n">
        <v>2.321</v>
      </c>
      <c r="E170" s="22" t="n">
        <v>4.787</v>
      </c>
      <c r="G170" s="22" t="n">
        <v>5.311</v>
      </c>
      <c r="I170" s="22" t="n">
        <v>32.015</v>
      </c>
      <c r="K170" s="22" t="n">
        <v>63.791</v>
      </c>
      <c r="M170" s="22" t="n">
        <v>112.184</v>
      </c>
      <c r="O170" s="22" t="n">
        <v>4.655</v>
      </c>
      <c r="P170" s="22" t="n">
        <v>2.451</v>
      </c>
      <c r="Q170" s="22" t="n">
        <v>3</v>
      </c>
      <c r="R170" s="22" t="n">
        <v>1.251</v>
      </c>
      <c r="S170" s="22" t="n">
        <v>1.104</v>
      </c>
      <c r="T170" s="22" t="n">
        <v>0.824</v>
      </c>
      <c r="U170" s="22" t="n">
        <v>3.032</v>
      </c>
      <c r="V170" s="22" t="n">
        <v>4.787</v>
      </c>
      <c r="W170" s="22" t="n">
        <v>32.015</v>
      </c>
      <c r="X170" s="22" t="n">
        <v>112.184</v>
      </c>
    </row>
    <row r="171">
      <c r="A171" s="20" t="inlineStr">
        <is>
          <t>이자 지급</t>
        </is>
      </c>
      <c r="C171" s="22" t="n">
        <v>-17.734</v>
      </c>
      <c r="E171" s="22" t="n">
        <v>-35.374</v>
      </c>
      <c r="G171" s="22" t="n">
        <v>-23.99</v>
      </c>
      <c r="I171" s="22" t="n">
        <v>-57.687</v>
      </c>
      <c r="K171" s="22" t="n">
        <v>-30.636</v>
      </c>
      <c r="M171" s="22" t="n">
        <v>-64.741</v>
      </c>
      <c r="O171" s="22" t="n">
        <v>-74.51000000000001</v>
      </c>
      <c r="P171" s="22" t="n">
        <v>-59.751</v>
      </c>
      <c r="Q171" s="22" t="n">
        <v>-48.202</v>
      </c>
      <c r="R171" s="22" t="n">
        <v>-62.035</v>
      </c>
      <c r="S171" s="22" t="n">
        <v>-58.645</v>
      </c>
      <c r="T171" s="22" t="n">
        <v>-45.062</v>
      </c>
      <c r="U171" s="22" t="n">
        <v>-43.107</v>
      </c>
      <c r="V171" s="22" t="n">
        <v>-35.374</v>
      </c>
      <c r="W171" s="22" t="n">
        <v>-57.687</v>
      </c>
      <c r="X171" s="22" t="n">
        <v>-64.741</v>
      </c>
    </row>
    <row r="172">
      <c r="A172" s="20" t="inlineStr">
        <is>
          <t>법인세 납부</t>
        </is>
      </c>
      <c r="C172" s="22" t="n">
        <v>-778.985</v>
      </c>
      <c r="E172" s="22" t="n">
        <v>-1380.077</v>
      </c>
      <c r="G172" s="22" t="n">
        <v>-780.662</v>
      </c>
      <c r="I172" s="22" t="n">
        <v>-1471.605</v>
      </c>
      <c r="K172" s="22" t="n">
        <v>-356.726</v>
      </c>
      <c r="M172" s="22" t="n">
        <v>-879.688</v>
      </c>
      <c r="O172" s="22" t="n">
        <v>-605.522</v>
      </c>
      <c r="P172" s="22" t="n">
        <v>-599.978</v>
      </c>
      <c r="Q172" s="22" t="n">
        <v>-1010.376</v>
      </c>
      <c r="R172" s="22" t="n">
        <v>-1078.992</v>
      </c>
      <c r="S172" s="22" t="n">
        <v>-760.88</v>
      </c>
      <c r="T172" s="22" t="n">
        <v>-976.202</v>
      </c>
      <c r="U172" s="22" t="n">
        <v>-815.403</v>
      </c>
      <c r="V172" s="22" t="n">
        <v>-1380.077</v>
      </c>
      <c r="W172" s="22" t="n">
        <v>-1471.605</v>
      </c>
      <c r="X172" s="22" t="n">
        <v>-879.688</v>
      </c>
    </row>
    <row r="173">
      <c r="A173" s="9" t="inlineStr">
        <is>
          <t>영업활동 현금흐름</t>
        </is>
      </c>
      <c r="C173" s="12" t="n">
        <v>1192.644</v>
      </c>
      <c r="E173" s="12" t="n">
        <v>-306.578</v>
      </c>
      <c r="G173" s="12" t="n">
        <v>2932.27</v>
      </c>
      <c r="I173" s="12" t="n">
        <v>2242.154</v>
      </c>
      <c r="K173" s="12" t="n">
        <v>971.172</v>
      </c>
      <c r="M173" s="12" t="n">
        <v>-443.845</v>
      </c>
      <c r="O173" s="12" t="n">
        <v>530.799</v>
      </c>
      <c r="P173" s="12" t="n">
        <v>-2105.388</v>
      </c>
      <c r="Q173" s="12" t="n">
        <v>5517.134</v>
      </c>
      <c r="R173" s="12" t="n">
        <v>-1851.903</v>
      </c>
      <c r="S173" s="12" t="n">
        <v>4330.421</v>
      </c>
      <c r="T173" s="12" t="n">
        <v>147.153</v>
      </c>
      <c r="U173" s="12" t="n">
        <v>126.804</v>
      </c>
      <c r="V173" s="12" t="n">
        <v>-306.578</v>
      </c>
      <c r="W173" s="12" t="n">
        <v>2242.154</v>
      </c>
      <c r="X173" s="12" t="n">
        <v>-443.845</v>
      </c>
    </row>
    <row r="174">
      <c r="A174" s="20" t="inlineStr">
        <is>
          <t>정기예금 예입</t>
        </is>
      </c>
      <c r="C174" s="22" t="n">
        <v>-4115</v>
      </c>
      <c r="E174" s="22" t="n">
        <v>-5995</v>
      </c>
      <c r="G174" s="22" t="n">
        <v>-4195</v>
      </c>
      <c r="I174" s="22" t="n">
        <v>-6135</v>
      </c>
      <c r="K174" s="22" t="n">
        <v>-3035</v>
      </c>
      <c r="M174" s="22" t="n">
        <v>-4675</v>
      </c>
      <c r="O174" s="22" t="n">
        <v>-4395</v>
      </c>
      <c r="P174" s="22" t="n">
        <v>-5445</v>
      </c>
      <c r="Q174" s="22" t="n">
        <v>-4785.014</v>
      </c>
      <c r="R174" s="22" t="n">
        <v>-7460</v>
      </c>
      <c r="S174" s="22" t="n">
        <v>-12485</v>
      </c>
      <c r="T174" s="22" t="n">
        <v>-10485</v>
      </c>
      <c r="U174" s="22" t="n">
        <v>-5485</v>
      </c>
      <c r="V174" s="22" t="n">
        <v>-5995</v>
      </c>
      <c r="W174" s="22" t="n">
        <v>-6135</v>
      </c>
      <c r="X174" s="22" t="n">
        <v>-4675</v>
      </c>
    </row>
    <row r="175">
      <c r="A175" s="20" t="inlineStr">
        <is>
          <t>정기예금 인출</t>
        </is>
      </c>
      <c r="C175" s="22" t="n">
        <v>3815</v>
      </c>
      <c r="E175" s="22" t="n">
        <v>5725</v>
      </c>
      <c r="G175" s="22" t="n">
        <v>4175</v>
      </c>
      <c r="I175" s="22" t="n">
        <v>6115</v>
      </c>
      <c r="K175" s="22" t="n">
        <v>4285</v>
      </c>
      <c r="M175" s="22" t="n">
        <v>6085</v>
      </c>
      <c r="O175" s="22" t="n">
        <v>2295</v>
      </c>
      <c r="P175" s="22" t="n">
        <v>5485</v>
      </c>
      <c r="Q175" s="22" t="n">
        <v>4515.014</v>
      </c>
      <c r="R175" s="22" t="n">
        <v>6340</v>
      </c>
      <c r="S175" s="22" t="n">
        <v>12235</v>
      </c>
      <c r="T175" s="22" t="n">
        <v>10985</v>
      </c>
      <c r="U175" s="22" t="n">
        <v>5485</v>
      </c>
      <c r="V175" s="22" t="n">
        <v>5725</v>
      </c>
      <c r="W175" s="22" t="n">
        <v>6115</v>
      </c>
      <c r="X175" s="22" t="n">
        <v>6085</v>
      </c>
    </row>
    <row r="176">
      <c r="A176" s="20" t="inlineStr">
        <is>
          <t>유형자산 취득(설비투자)</t>
        </is>
      </c>
      <c r="C176" s="22" t="n">
        <v>-1.681</v>
      </c>
      <c r="E176" s="22" t="n">
        <v>-4.427</v>
      </c>
      <c r="G176" s="22" t="n">
        <v>-2.437</v>
      </c>
      <c r="I176" s="22" t="n">
        <v>-3.946</v>
      </c>
      <c r="K176" s="22" t="n">
        <v>-5.526</v>
      </c>
      <c r="M176" s="22" t="n">
        <v>-25.034</v>
      </c>
      <c r="O176" s="22" t="n">
        <v>-62.278</v>
      </c>
      <c r="P176" s="22" t="n">
        <v>-23.791</v>
      </c>
      <c r="Q176" s="22" t="n">
        <v>-7.13</v>
      </c>
      <c r="R176" s="22" t="n">
        <v>-9.882999999999999</v>
      </c>
      <c r="S176" s="22" t="n">
        <v>-20.442</v>
      </c>
      <c r="T176" s="22" t="n">
        <v>-23.02</v>
      </c>
      <c r="U176" s="22" t="n">
        <v>-12.42</v>
      </c>
      <c r="V176" s="22" t="n">
        <v>-4.427</v>
      </c>
      <c r="W176" s="22" t="n">
        <v>-3.946</v>
      </c>
      <c r="X176" s="22" t="n">
        <v>-25.034</v>
      </c>
    </row>
    <row r="177">
      <c r="A177" s="20" t="inlineStr">
        <is>
          <t>유형자산 매각</t>
        </is>
      </c>
      <c r="I177" s="22" t="n">
        <v>0</v>
      </c>
      <c r="M177" s="22" t="n">
        <v>2.709</v>
      </c>
      <c r="P177" s="22" t="n">
        <v>0</v>
      </c>
      <c r="Q177" s="22" t="n">
        <v>0.268</v>
      </c>
      <c r="R177" s="22" t="n">
        <v>0</v>
      </c>
      <c r="S177" s="22" t="n">
        <v>0</v>
      </c>
      <c r="T177" s="22" t="n">
        <v>0.06900000000000001</v>
      </c>
      <c r="U177" s="22" t="n">
        <v>0</v>
      </c>
      <c r="W177" s="22" t="n">
        <v>0</v>
      </c>
      <c r="X177" s="22" t="n">
        <v>2.709</v>
      </c>
    </row>
    <row r="178">
      <c r="A178" s="20" t="inlineStr">
        <is>
          <t>무형자산 취득</t>
        </is>
      </c>
      <c r="C178" s="22" t="n">
        <v>-7.6</v>
      </c>
      <c r="E178" s="22" t="n">
        <v>-39.349</v>
      </c>
      <c r="G178" s="22" t="n">
        <v>-9.199999999999999</v>
      </c>
      <c r="I178" s="22" t="n">
        <v>-30.482</v>
      </c>
      <c r="K178" s="22" t="n">
        <v>-4.85</v>
      </c>
      <c r="M178" s="22" t="n">
        <v>-13.198</v>
      </c>
      <c r="O178" s="22" t="n">
        <v>-89.02500000000001</v>
      </c>
      <c r="P178" s="22" t="n">
        <v>-69.428</v>
      </c>
      <c r="Q178" s="22" t="n">
        <v>-53.968</v>
      </c>
      <c r="R178" s="22" t="n">
        <v>-53.779</v>
      </c>
      <c r="S178" s="22" t="n">
        <v>-32.087</v>
      </c>
      <c r="T178" s="22" t="n">
        <v>-33.326</v>
      </c>
      <c r="U178" s="22" t="n">
        <v>-15.964</v>
      </c>
      <c r="V178" s="22" t="n">
        <v>-39.349</v>
      </c>
      <c r="W178" s="22" t="n">
        <v>-30.482</v>
      </c>
      <c r="X178" s="22" t="n">
        <v>-13.198</v>
      </c>
    </row>
    <row r="179">
      <c r="A179" s="20" t="inlineStr">
        <is>
          <t>자산복구부채 이행 지출</t>
        </is>
      </c>
      <c r="O179" s="22" t="n">
        <v>-5.299</v>
      </c>
      <c r="P179" s="22" t="n">
        <v>-2.786</v>
      </c>
      <c r="Q179" s="22" t="n">
        <v>0</v>
      </c>
    </row>
    <row r="180">
      <c r="A180" s="20" t="inlineStr">
        <is>
          <t>장기선급비용 지출</t>
        </is>
      </c>
      <c r="C180" s="22" t="n">
        <v>-0.079</v>
      </c>
      <c r="E180" s="22" t="n">
        <v>-0.158</v>
      </c>
      <c r="G180" s="22" t="n">
        <v>0</v>
      </c>
      <c r="I180" s="22" t="n">
        <v>-0.409</v>
      </c>
      <c r="K180" s="22" t="n">
        <v>-0.079</v>
      </c>
      <c r="M180" s="22" t="n">
        <v>-19.088</v>
      </c>
      <c r="O180" s="22" t="n">
        <v>-3</v>
      </c>
      <c r="P180" s="22" t="n">
        <v>-0.122</v>
      </c>
      <c r="Q180" s="22" t="n">
        <v>-0.104</v>
      </c>
      <c r="R180" s="22" t="n">
        <v>-0.126</v>
      </c>
      <c r="S180" s="22" t="n">
        <v>0</v>
      </c>
      <c r="T180" s="22" t="n">
        <v>-1.155</v>
      </c>
      <c r="U180" s="22" t="n">
        <v>-1.748</v>
      </c>
      <c r="V180" s="22" t="n">
        <v>-0.158</v>
      </c>
      <c r="W180" s="22" t="n">
        <v>-0.409</v>
      </c>
      <c r="X180" s="22" t="n">
        <v>-19.088</v>
      </c>
    </row>
    <row r="181">
      <c r="A181" s="20" t="inlineStr">
        <is>
          <t>기타</t>
        </is>
      </c>
      <c r="C181" s="22" t="n">
        <v>-0.007</v>
      </c>
      <c r="E181" s="22" t="n">
        <v>-0.1</v>
      </c>
      <c r="G181" s="22" t="n">
        <v>0.418</v>
      </c>
      <c r="I181" s="22" t="n">
        <v>1.316</v>
      </c>
      <c r="K181" s="22" t="n">
        <v>-0.066</v>
      </c>
      <c r="M181" s="22" t="n">
        <v>4.204</v>
      </c>
      <c r="O181" s="22" t="n">
        <v>-3.55</v>
      </c>
      <c r="P181" s="22" t="n">
        <v>-5.084</v>
      </c>
      <c r="Q181" s="22" t="n">
        <v>-2.224</v>
      </c>
      <c r="R181" s="22" t="n">
        <v>-0.106</v>
      </c>
      <c r="S181" s="22" t="n">
        <v>0.199</v>
      </c>
      <c r="T181" s="22" t="n">
        <v>-0.707</v>
      </c>
      <c r="U181" s="22" t="n">
        <v>-2.84</v>
      </c>
      <c r="V181" s="22" t="n">
        <v>-0.1</v>
      </c>
      <c r="W181" s="22" t="n">
        <v>1.316</v>
      </c>
      <c r="X181" s="22" t="n">
        <v>4.204</v>
      </c>
    </row>
    <row r="182">
      <c r="A182" s="9" t="inlineStr">
        <is>
          <t>투자활동 현금흐름</t>
        </is>
      </c>
      <c r="C182" s="12" t="n">
        <v>-309.369</v>
      </c>
      <c r="E182" s="12" t="n">
        <v>-314.036</v>
      </c>
      <c r="G182" s="12" t="n">
        <v>-31.219</v>
      </c>
      <c r="I182" s="12" t="n">
        <v>-53.522</v>
      </c>
      <c r="K182" s="12" t="n">
        <v>1239.477</v>
      </c>
      <c r="M182" s="12" t="n">
        <v>1359.592</v>
      </c>
      <c r="O182" s="12" t="n">
        <v>-2263.154</v>
      </c>
      <c r="P182" s="12" t="n">
        <v>-61.213</v>
      </c>
      <c r="Q182" s="12" t="n">
        <v>-333.159</v>
      </c>
      <c r="R182" s="12" t="n">
        <v>-1183.896</v>
      </c>
      <c r="S182" s="12" t="n">
        <v>-302.33</v>
      </c>
      <c r="T182" s="12" t="n">
        <v>441.859</v>
      </c>
      <c r="U182" s="12" t="n">
        <v>-32.974</v>
      </c>
      <c r="V182" s="12" t="n">
        <v>-314.036</v>
      </c>
      <c r="W182" s="12" t="n">
        <v>-53.522</v>
      </c>
      <c r="X182" s="12" t="n">
        <v>1359.592</v>
      </c>
    </row>
    <row r="183">
      <c r="A183" s="20" t="inlineStr">
        <is>
          <t>단기차입금 순증감</t>
        </is>
      </c>
      <c r="C183" s="22" t="n">
        <v>700</v>
      </c>
      <c r="E183" s="22" t="n">
        <v>1800</v>
      </c>
      <c r="G183" s="22" t="n">
        <v>-700</v>
      </c>
      <c r="I183" s="22" t="n">
        <v>-200</v>
      </c>
      <c r="K183" s="22" t="n">
        <v>-1400</v>
      </c>
      <c r="M183" s="22" t="n">
        <v>-300</v>
      </c>
      <c r="O183" s="22" t="n">
        <v>2783.6</v>
      </c>
      <c r="P183" s="22" t="n">
        <v>1716.4</v>
      </c>
      <c r="Q183" s="22" t="n">
        <v>-3800</v>
      </c>
      <c r="R183" s="22" t="n">
        <v>3900</v>
      </c>
      <c r="S183" s="22" t="n">
        <v>-1700</v>
      </c>
      <c r="T183" s="22" t="n">
        <v>-300</v>
      </c>
      <c r="U183" s="22" t="n">
        <v>100</v>
      </c>
      <c r="V183" s="22" t="n">
        <v>1800</v>
      </c>
      <c r="W183" s="22" t="n">
        <v>-200</v>
      </c>
      <c r="X183" s="22" t="n">
        <v>-300</v>
      </c>
    </row>
    <row r="184">
      <c r="A184" s="20" t="inlineStr">
        <is>
          <t>장기차입</t>
        </is>
      </c>
      <c r="Q184" s="22" t="n">
        <v>0</v>
      </c>
      <c r="R184" s="22" t="n">
        <v>1000</v>
      </c>
      <c r="S184" s="22" t="n">
        <v>0</v>
      </c>
      <c r="T184" s="22" t="n">
        <v>500</v>
      </c>
      <c r="U184" s="22" t="n">
        <v>0</v>
      </c>
    </row>
    <row r="185">
      <c r="A185" s="20" t="inlineStr">
        <is>
          <t>장기차입금 상환</t>
        </is>
      </c>
      <c r="C185" s="22" t="n">
        <v>-500</v>
      </c>
      <c r="E185" s="22" t="n">
        <v>-500</v>
      </c>
      <c r="G185" s="22" t="n">
        <v>0</v>
      </c>
      <c r="I185" s="22" t="n">
        <v>0</v>
      </c>
      <c r="Q185" s="22" t="n">
        <v>0</v>
      </c>
      <c r="R185" s="22" t="n">
        <v>-500</v>
      </c>
      <c r="S185" s="22" t="n">
        <v>0</v>
      </c>
      <c r="T185" s="22" t="n">
        <v>-1000</v>
      </c>
      <c r="U185" s="22" t="n">
        <v>0</v>
      </c>
      <c r="V185" s="22" t="n">
        <v>-500</v>
      </c>
      <c r="W185" s="22" t="n">
        <v>0</v>
      </c>
    </row>
    <row r="186">
      <c r="A186" s="20" t="inlineStr">
        <is>
          <t>주식 발행</t>
        </is>
      </c>
      <c r="C186" s="22" t="n">
        <v>3.444</v>
      </c>
      <c r="E186" s="22" t="n">
        <v>18.482</v>
      </c>
      <c r="G186" s="22" t="n">
        <v>9.757999999999999</v>
      </c>
      <c r="I186" s="22" t="n">
        <v>13.202</v>
      </c>
      <c r="K186" s="22" t="n">
        <v>9.757999999999999</v>
      </c>
      <c r="M186" s="22" t="n">
        <v>28.7</v>
      </c>
      <c r="O186" s="22" t="n">
        <v>54.45</v>
      </c>
      <c r="P186" s="22" t="n">
        <v>1.8</v>
      </c>
      <c r="Q186" s="22" t="n">
        <v>180.416</v>
      </c>
      <c r="R186" s="22" t="n">
        <v>5.166</v>
      </c>
      <c r="S186" s="22" t="n">
        <v>71.187</v>
      </c>
      <c r="T186" s="22" t="n">
        <v>169.664</v>
      </c>
      <c r="U186" s="22" t="n">
        <v>1.722</v>
      </c>
      <c r="V186" s="22" t="n">
        <v>18.482</v>
      </c>
      <c r="W186" s="22" t="n">
        <v>13.202</v>
      </c>
      <c r="X186" s="22" t="n">
        <v>28.7</v>
      </c>
    </row>
    <row r="187">
      <c r="A187" s="20" t="inlineStr">
        <is>
          <t>신주예약권 발행</t>
        </is>
      </c>
      <c r="O187" s="22" t="n">
        <v>7.14</v>
      </c>
      <c r="P187" s="22" t="n">
        <v>0</v>
      </c>
    </row>
    <row r="188">
      <c r="A188" s="20" t="inlineStr">
        <is>
          <t>자기주식 취득</t>
        </is>
      </c>
      <c r="C188" s="22" t="n">
        <v>-529.665</v>
      </c>
      <c r="E188" s="22" t="n">
        <v>-529.665</v>
      </c>
      <c r="G188" s="22" t="n">
        <v>0</v>
      </c>
      <c r="I188" s="22" t="n">
        <v>0</v>
      </c>
      <c r="K188" s="22" t="n">
        <v>-258.664</v>
      </c>
      <c r="M188" s="22" t="n">
        <v>-258.664</v>
      </c>
      <c r="O188" s="22" t="n">
        <v>-0.046</v>
      </c>
      <c r="P188" s="22" t="n">
        <v>-0.139</v>
      </c>
      <c r="Q188" s="22" t="n">
        <v>-0.07099999999999999</v>
      </c>
      <c r="R188" s="22" t="n">
        <v>-0.065</v>
      </c>
      <c r="S188" s="22" t="n">
        <v>-295.626</v>
      </c>
      <c r="T188" s="22" t="n">
        <v>-0.079</v>
      </c>
      <c r="U188" s="22" t="n">
        <v>-1040.816</v>
      </c>
      <c r="V188" s="22" t="n">
        <v>-529.665</v>
      </c>
      <c r="W188" s="22" t="n">
        <v>0</v>
      </c>
      <c r="X188" s="22" t="n">
        <v>-258.664</v>
      </c>
    </row>
    <row r="189">
      <c r="A189" s="20" t="inlineStr">
        <is>
          <t>배당금 지급</t>
        </is>
      </c>
      <c r="C189" s="22" t="n">
        <v>-241.824</v>
      </c>
      <c r="E189" s="22" t="n">
        <v>-241.824</v>
      </c>
      <c r="G189" s="22" t="n">
        <v>-290.051</v>
      </c>
      <c r="I189" s="22" t="n">
        <v>-290.051</v>
      </c>
      <c r="K189" s="22" t="n">
        <v>-238.767</v>
      </c>
      <c r="M189" s="22" t="n">
        <v>-238.767</v>
      </c>
      <c r="O189" s="22" t="n">
        <v>-92.496</v>
      </c>
      <c r="P189" s="22" t="n">
        <v>-129.023</v>
      </c>
      <c r="Q189" s="22" t="n">
        <v>-160.052</v>
      </c>
      <c r="R189" s="22" t="n">
        <v>-192.31</v>
      </c>
      <c r="S189" s="22" t="n">
        <v>-198.859</v>
      </c>
      <c r="T189" s="22" t="n">
        <v>-197.276</v>
      </c>
      <c r="U189" s="22" t="n">
        <v>-204.573</v>
      </c>
      <c r="V189" s="22" t="n">
        <v>-241.824</v>
      </c>
      <c r="W189" s="22" t="n">
        <v>-290.051</v>
      </c>
      <c r="X189" s="22" t="n">
        <v>-238.767</v>
      </c>
    </row>
    <row r="190">
      <c r="A190" s="9" t="inlineStr">
        <is>
          <t>재무활동 현금흐름</t>
        </is>
      </c>
      <c r="C190" s="12" t="n">
        <v>-568.046</v>
      </c>
      <c r="E190" s="12" t="n">
        <v>546.992</v>
      </c>
      <c r="G190" s="12" t="n">
        <v>-980.293</v>
      </c>
      <c r="I190" s="12" t="n">
        <v>-476.849</v>
      </c>
      <c r="K190" s="12" t="n">
        <v>-1887.673</v>
      </c>
      <c r="M190" s="12" t="n">
        <v>-768.731</v>
      </c>
      <c r="O190" s="12" t="n">
        <v>2752.647</v>
      </c>
      <c r="P190" s="12" t="n">
        <v>1589.037</v>
      </c>
      <c r="Q190" s="12" t="n">
        <v>-3779.708</v>
      </c>
      <c r="R190" s="12" t="n">
        <v>4212.789</v>
      </c>
      <c r="S190" s="12" t="n">
        <v>-2123.298</v>
      </c>
      <c r="T190" s="12" t="n">
        <v>-827.691</v>
      </c>
      <c r="U190" s="12" t="n">
        <v>-1143.667</v>
      </c>
      <c r="V190" s="12" t="n">
        <v>546.992</v>
      </c>
      <c r="W190" s="12" t="n">
        <v>-476.849</v>
      </c>
      <c r="X190" s="12" t="n">
        <v>-768.731</v>
      </c>
    </row>
    <row r="191">
      <c r="A191" s="20" t="inlineStr">
        <is>
          <t>현금성자산 환산차이</t>
        </is>
      </c>
      <c r="C191" s="22" t="n">
        <v>81.31100000000001</v>
      </c>
      <c r="E191" s="22" t="n">
        <v>114.457</v>
      </c>
      <c r="G191" s="22" t="n">
        <v>1.166</v>
      </c>
      <c r="I191" s="22" t="n">
        <v>12.946</v>
      </c>
      <c r="K191" s="22" t="n">
        <v>25.788</v>
      </c>
      <c r="M191" s="22" t="n">
        <v>73.413</v>
      </c>
      <c r="O191" s="22" t="n">
        <v>-3.979</v>
      </c>
      <c r="P191" s="22" t="n">
        <v>-4.526</v>
      </c>
      <c r="Q191" s="22" t="n">
        <v>-1.377</v>
      </c>
      <c r="R191" s="22" t="n">
        <v>-18.614</v>
      </c>
      <c r="S191" s="22" t="n">
        <v>43.73</v>
      </c>
      <c r="T191" s="22" t="n">
        <v>33.789</v>
      </c>
      <c r="U191" s="22" t="n">
        <v>21.966</v>
      </c>
      <c r="V191" s="22" t="n">
        <v>114.457</v>
      </c>
      <c r="W191" s="22" t="n">
        <v>12.946</v>
      </c>
      <c r="X191" s="22" t="n">
        <v>73.413</v>
      </c>
    </row>
    <row r="192">
      <c r="A192" s="20" t="inlineStr">
        <is>
          <t>현금성자산 증감</t>
        </is>
      </c>
      <c r="C192" s="22" t="n">
        <v>396.54</v>
      </c>
      <c r="E192" s="22" t="n">
        <v>40.835</v>
      </c>
      <c r="G192" s="22" t="n">
        <v>1921.924</v>
      </c>
      <c r="I192" s="22" t="n">
        <v>1724.729</v>
      </c>
      <c r="K192" s="22" t="n">
        <v>348.763</v>
      </c>
      <c r="M192" s="22" t="n">
        <v>220.429</v>
      </c>
      <c r="O192" s="22" t="n">
        <v>1016.312</v>
      </c>
      <c r="P192" s="22" t="n">
        <v>-582.091</v>
      </c>
      <c r="Q192" s="22" t="n">
        <v>1402.889</v>
      </c>
      <c r="R192" s="22" t="n">
        <v>1158.374</v>
      </c>
      <c r="S192" s="22" t="n">
        <v>1948.523</v>
      </c>
      <c r="T192" s="22" t="n">
        <v>-204.889</v>
      </c>
      <c r="U192" s="22" t="n">
        <v>-1027.87</v>
      </c>
      <c r="V192" s="22" t="n">
        <v>40.835</v>
      </c>
      <c r="W192" s="22" t="n">
        <v>1724.729</v>
      </c>
      <c r="X192" s="22" t="n">
        <v>220.429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7185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119925.24</v>
      </c>
      <c r="D5" s="12" t="n">
        <v>123330.567</v>
      </c>
      <c r="E5" s="12" t="n">
        <v>130246.362</v>
      </c>
      <c r="F5" s="12" t="n">
        <v>136156.972</v>
      </c>
      <c r="G5" s="12" t="n">
        <v>150109.55</v>
      </c>
      <c r="H5" s="11" t="n">
        <v>95162.72500000001</v>
      </c>
      <c r="I5" s="12" t="n">
        <v>103433.11</v>
      </c>
      <c r="J5" s="12" t="n">
        <v>118713.302</v>
      </c>
      <c r="K5" s="12" t="n">
        <v>117077.409</v>
      </c>
      <c r="L5" s="12" t="n">
        <v>136156.972</v>
      </c>
    </row>
    <row r="6">
      <c r="A6" s="20" t="inlineStr">
        <is>
          <t>현금및현금성자산</t>
        </is>
      </c>
      <c r="B6" s="10" t="n"/>
      <c r="C6" s="21" t="n">
        <v>15812.037</v>
      </c>
      <c r="D6" s="22" t="n">
        <v>12687.684</v>
      </c>
      <c r="E6" s="22" t="n">
        <v>10908.555</v>
      </c>
      <c r="F6" s="22" t="n">
        <v>12474.113</v>
      </c>
      <c r="G6" s="22" t="n">
        <v>11705.533</v>
      </c>
      <c r="H6" s="21" t="n">
        <v>12861.537</v>
      </c>
      <c r="I6" s="22" t="n">
        <v>11694.061</v>
      </c>
      <c r="J6" s="22" t="n">
        <v>11959.71</v>
      </c>
      <c r="K6" s="22" t="n">
        <v>13591.822</v>
      </c>
      <c r="L6" s="22" t="n">
        <v>12474.113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/>
      <c r="D8" s="22" t="n"/>
      <c r="E8" s="22" t="n"/>
      <c r="F8" s="22" t="n"/>
      <c r="G8" s="22" t="n"/>
      <c r="H8" s="21" t="n"/>
      <c r="I8" s="22" t="n"/>
      <c r="J8" s="22" t="n"/>
      <c r="K8" s="22" t="n"/>
      <c r="L8" s="22" t="n"/>
    </row>
    <row r="9">
      <c r="A9" s="20" t="inlineStr">
        <is>
          <t>재고자산</t>
        </is>
      </c>
      <c r="B9" s="10" t="n"/>
      <c r="C9" s="21" t="n">
        <v>95.42100000000001</v>
      </c>
      <c r="D9" s="22" t="n">
        <v>91.65600000000001</v>
      </c>
      <c r="E9" s="22" t="n">
        <v>97.291</v>
      </c>
      <c r="F9" s="22" t="n">
        <v>60.411</v>
      </c>
      <c r="G9" s="22" t="n">
        <v>97.08799999999999</v>
      </c>
      <c r="H9" s="21" t="n">
        <v>77.09099999999999</v>
      </c>
      <c r="I9" s="22" t="n">
        <v>60.108</v>
      </c>
      <c r="J9" s="22" t="n">
        <v>77.333</v>
      </c>
      <c r="K9" s="22" t="n">
        <v>72.071</v>
      </c>
      <c r="L9" s="22" t="n">
        <v>60.411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522.424</v>
      </c>
      <c r="D11" s="12" t="n">
        <v>557.961</v>
      </c>
      <c r="E11" s="12" t="n">
        <v>579.201</v>
      </c>
      <c r="F11" s="12" t="n">
        <v>506.446</v>
      </c>
      <c r="G11" s="12" t="n">
        <v>440.48</v>
      </c>
      <c r="H11" s="11" t="n">
        <v>293.124</v>
      </c>
      <c r="I11" s="12" t="n">
        <v>291.66</v>
      </c>
      <c r="J11" s="12" t="n">
        <v>357.04</v>
      </c>
      <c r="K11" s="12" t="n">
        <v>545.2670000000001</v>
      </c>
      <c r="L11" s="12" t="n">
        <v>506.446</v>
      </c>
    </row>
    <row r="12">
      <c r="A12" s="20" t="inlineStr">
        <is>
          <t>유형자산</t>
        </is>
      </c>
      <c r="B12" s="10" t="n"/>
      <c r="C12" s="21" t="n">
        <v>82.666</v>
      </c>
      <c r="D12" s="22" t="n">
        <v>81.17700000000001</v>
      </c>
      <c r="E12" s="22" t="n">
        <v>80.241</v>
      </c>
      <c r="F12" s="22" t="n">
        <v>93.58499999999999</v>
      </c>
      <c r="G12" s="22" t="n">
        <v>91.196</v>
      </c>
      <c r="H12" s="21" t="n">
        <v>112.937</v>
      </c>
      <c r="I12" s="22" t="n">
        <v>107.067</v>
      </c>
      <c r="J12" s="22" t="n">
        <v>97.413</v>
      </c>
      <c r="K12" s="22" t="n">
        <v>86.554</v>
      </c>
      <c r="L12" s="22" t="n">
        <v>93.58499999999999</v>
      </c>
    </row>
    <row r="13">
      <c r="A13" s="20" t="inlineStr">
        <is>
          <t>무형자산</t>
        </is>
      </c>
      <c r="B13" s="10" t="n"/>
      <c r="C13" s="21" t="n">
        <v>41.495</v>
      </c>
      <c r="D13" s="22" t="n">
        <v>41.097</v>
      </c>
      <c r="E13" s="22" t="n">
        <v>36.733</v>
      </c>
      <c r="F13" s="22" t="n">
        <v>40.123</v>
      </c>
      <c r="G13" s="22" t="n">
        <v>53.003</v>
      </c>
      <c r="H13" s="21" t="n">
        <v>58.797</v>
      </c>
      <c r="I13" s="22" t="n">
        <v>37.184</v>
      </c>
      <c r="J13" s="22" t="n">
        <v>51.959</v>
      </c>
      <c r="K13" s="22" t="n">
        <v>47.608</v>
      </c>
      <c r="L13" s="22" t="n">
        <v>40.123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120447.664</v>
      </c>
      <c r="D16" s="12" t="n">
        <v>123888.529</v>
      </c>
      <c r="E16" s="12" t="n">
        <v>130825.563</v>
      </c>
      <c r="F16" s="12" t="n">
        <v>136663.418</v>
      </c>
      <c r="G16" s="12" t="n">
        <v>150550.031</v>
      </c>
      <c r="H16" s="11" t="n">
        <v>95455.849</v>
      </c>
      <c r="I16" s="12" t="n">
        <v>103724.771</v>
      </c>
      <c r="J16" s="12" t="n">
        <v>119070.342</v>
      </c>
      <c r="K16" s="12" t="n">
        <v>117622.676</v>
      </c>
      <c r="L16" s="12" t="n">
        <v>136663.418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99541.765</v>
      </c>
      <c r="D18" s="12" t="n">
        <v>102780.586</v>
      </c>
      <c r="E18" s="12" t="n">
        <v>109168.059</v>
      </c>
      <c r="F18" s="12" t="n">
        <v>114116.045</v>
      </c>
      <c r="G18" s="12" t="n">
        <v>127418.145</v>
      </c>
      <c r="H18" s="11" t="n">
        <v>80144.41800000001</v>
      </c>
      <c r="I18" s="12" t="n">
        <v>87714.511</v>
      </c>
      <c r="J18" s="12" t="n">
        <v>100752.563</v>
      </c>
      <c r="K18" s="12" t="n">
        <v>97037.15300000001</v>
      </c>
      <c r="L18" s="12" t="n">
        <v>114116.045</v>
      </c>
    </row>
    <row r="19">
      <c r="A19" s="20" t="inlineStr">
        <is>
          <t>매입채무</t>
        </is>
      </c>
      <c r="B19" s="10" t="n"/>
      <c r="C19" s="21" t="n"/>
      <c r="D19" s="22" t="n"/>
      <c r="E19" s="22" t="n"/>
      <c r="F19" s="22" t="n"/>
      <c r="G19" s="22" t="n"/>
      <c r="H19" s="21" t="n"/>
      <c r="I19" s="22" t="n"/>
      <c r="J19" s="22" t="n"/>
      <c r="K19" s="22" t="n"/>
      <c r="L19" s="22" t="n"/>
    </row>
    <row r="20">
      <c r="A20" s="20" t="inlineStr">
        <is>
          <t>단기차입금</t>
        </is>
      </c>
      <c r="B20" s="10" t="n"/>
      <c r="C20" s="21" t="n">
        <v>7817.5</v>
      </c>
      <c r="D20" s="22" t="n">
        <v>6000</v>
      </c>
      <c r="E20" s="22" t="n">
        <v>8145</v>
      </c>
      <c r="F20" s="22" t="n">
        <v>7100</v>
      </c>
      <c r="G20" s="22" t="n">
        <v>11052.5</v>
      </c>
      <c r="H20" s="21" t="n">
        <v>5700</v>
      </c>
      <c r="I20" s="22" t="n">
        <v>5800</v>
      </c>
      <c r="J20" s="22" t="n">
        <v>7600</v>
      </c>
      <c r="K20" s="22" t="n">
        <v>7400</v>
      </c>
      <c r="L20" s="22" t="n">
        <v>7100</v>
      </c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>
        <v>0</v>
      </c>
      <c r="I21" s="22" t="n">
        <v>500</v>
      </c>
      <c r="J21" s="22" t="n">
        <v>0</v>
      </c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821.316</v>
      </c>
      <c r="D23" s="12" t="n">
        <v>823.428</v>
      </c>
      <c r="E23" s="12" t="n">
        <v>824.21</v>
      </c>
      <c r="F23" s="12" t="n">
        <v>825.145</v>
      </c>
      <c r="G23" s="12" t="n">
        <v>827.2910000000001</v>
      </c>
      <c r="H23" s="11" t="n">
        <v>1281.41</v>
      </c>
      <c r="I23" s="12" t="n">
        <v>792.375</v>
      </c>
      <c r="J23" s="12" t="n">
        <v>811.718</v>
      </c>
      <c r="K23" s="12" t="n">
        <v>818.918</v>
      </c>
      <c r="L23" s="12" t="n">
        <v>825.145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>
        <v>500</v>
      </c>
      <c r="I24" s="22" t="n">
        <v>0</v>
      </c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100363.081</v>
      </c>
      <c r="D27" s="12" t="n">
        <v>103604.014</v>
      </c>
      <c r="E27" s="12" t="n">
        <v>109992.269</v>
      </c>
      <c r="F27" s="12" t="n">
        <v>114941.191</v>
      </c>
      <c r="G27" s="12" t="n">
        <v>128245.436</v>
      </c>
      <c r="H27" s="11" t="n">
        <v>81425.829</v>
      </c>
      <c r="I27" s="12" t="n">
        <v>88506.886</v>
      </c>
      <c r="J27" s="12" t="n">
        <v>101564.282</v>
      </c>
      <c r="K27" s="12" t="n">
        <v>97856.071</v>
      </c>
      <c r="L27" s="12" t="n">
        <v>114941.191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20054.51</v>
      </c>
      <c r="D31" s="12" t="n">
        <v>20259.007</v>
      </c>
      <c r="E31" s="12" t="n">
        <v>20807.787</v>
      </c>
      <c r="F31" s="12" t="n">
        <v>21705.58</v>
      </c>
      <c r="G31" s="12" t="n">
        <v>22287.947</v>
      </c>
      <c r="H31" s="11" t="n">
        <v>13984.322</v>
      </c>
      <c r="I31" s="12" t="n">
        <v>15172.991</v>
      </c>
      <c r="J31" s="12" t="n">
        <v>17469.813</v>
      </c>
      <c r="K31" s="12" t="n">
        <v>19736.533</v>
      </c>
      <c r="L31" s="12" t="n">
        <v>21705.58</v>
      </c>
    </row>
    <row r="32">
      <c r="A32" s="20" t="inlineStr">
        <is>
          <t>자본금</t>
        </is>
      </c>
      <c r="B32" s="10" t="n"/>
      <c r="C32" s="21" t="n">
        <v>1094.354</v>
      </c>
      <c r="D32" s="22" t="n">
        <v>1101.515</v>
      </c>
      <c r="E32" s="22" t="n">
        <v>1101.515</v>
      </c>
      <c r="F32" s="22" t="n">
        <v>1115.416</v>
      </c>
      <c r="G32" s="22" t="n">
        <v>1115.416</v>
      </c>
      <c r="H32" s="21" t="n">
        <v>1069.837</v>
      </c>
      <c r="I32" s="22" t="n">
        <v>1071.101</v>
      </c>
      <c r="J32" s="22" t="n">
        <v>1084.665</v>
      </c>
      <c r="K32" s="22" t="n">
        <v>1094.354</v>
      </c>
      <c r="L32" s="22" t="n">
        <v>1115.416</v>
      </c>
    </row>
    <row r="33">
      <c r="A33" s="20" t="inlineStr">
        <is>
          <t>이익잉여금</t>
        </is>
      </c>
      <c r="B33" s="10" t="n"/>
      <c r="C33" s="21" t="n">
        <v>19686.674</v>
      </c>
      <c r="D33" s="22" t="n">
        <v>19833.682</v>
      </c>
      <c r="E33" s="22" t="n">
        <v>20317.995</v>
      </c>
      <c r="F33" s="22" t="n">
        <v>21205.308</v>
      </c>
      <c r="G33" s="22" t="n">
        <v>21768.273</v>
      </c>
      <c r="H33" s="21" t="n">
        <v>12557.346</v>
      </c>
      <c r="I33" s="22" t="n">
        <v>14760.347</v>
      </c>
      <c r="J33" s="22" t="n">
        <v>17443.969</v>
      </c>
      <c r="K33" s="22" t="n">
        <v>19383.435</v>
      </c>
      <c r="L33" s="22" t="n">
        <v>21205.308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20084.582</v>
      </c>
      <c r="D35" s="12" t="n">
        <v>20284.514</v>
      </c>
      <c r="E35" s="12" t="n">
        <v>20833.294</v>
      </c>
      <c r="F35" s="12" t="n">
        <v>21722.227</v>
      </c>
      <c r="G35" s="12" t="n">
        <v>22304.594</v>
      </c>
      <c r="H35" s="11" t="n">
        <v>14030.02</v>
      </c>
      <c r="I35" s="12" t="n">
        <v>15217.884</v>
      </c>
      <c r="J35" s="12" t="n">
        <v>17506.06</v>
      </c>
      <c r="K35" s="12" t="n">
        <v>19766.605</v>
      </c>
      <c r="L35" s="12" t="n">
        <v>21722.227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281.056</v>
      </c>
      <c r="E37" s="12" t="n"/>
      <c r="F37" s="12" t="n">
        <v>-443.845</v>
      </c>
      <c r="G37" s="12" t="n"/>
      <c r="H37" s="11" t="n">
        <v>147.153</v>
      </c>
      <c r="I37" s="12" t="n">
        <v>126.804</v>
      </c>
      <c r="J37" s="12" t="n">
        <v>-306.578</v>
      </c>
      <c r="K37" s="12" t="n">
        <v>2242.154</v>
      </c>
      <c r="L37" s="12" t="n">
        <v>-443.845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33.167</v>
      </c>
      <c r="E38" s="22" t="n"/>
      <c r="F38" s="22" t="n">
        <v>38.232</v>
      </c>
      <c r="G38" s="22" t="n"/>
      <c r="H38" s="21" t="n">
        <v>56.346</v>
      </c>
      <c r="I38" s="22" t="n">
        <v>28.384</v>
      </c>
      <c r="J38" s="22" t="n">
        <v>43.776</v>
      </c>
      <c r="K38" s="22" t="n">
        <v>34.428</v>
      </c>
      <c r="L38" s="22" t="n">
        <v>38.232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238.767</v>
      </c>
      <c r="E40" s="22" t="n"/>
      <c r="F40" s="22" t="n">
        <v>238.767</v>
      </c>
      <c r="G40" s="22" t="n"/>
      <c r="H40" s="21" t="n">
        <v>197.276</v>
      </c>
      <c r="I40" s="22" t="n">
        <v>204.573</v>
      </c>
      <c r="J40" s="22" t="n">
        <v>241.824</v>
      </c>
      <c r="K40" s="22" t="n">
        <v>290.051</v>
      </c>
      <c r="L40" s="22" t="n">
        <v>238.767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15812.037</v>
      </c>
      <c r="D71" s="22" t="n">
        <v>12687.684</v>
      </c>
      <c r="E71" s="22" t="n">
        <v>10908.555</v>
      </c>
      <c r="F71" s="22" t="n">
        <v>12474.113</v>
      </c>
      <c r="G71" s="22" t="n">
        <v>11705.533</v>
      </c>
      <c r="H71" s="22" t="n">
        <v>12861.537</v>
      </c>
      <c r="I71" s="22" t="n">
        <v>11694.061</v>
      </c>
      <c r="J71" s="22" t="n">
        <v>11959.71</v>
      </c>
      <c r="K71" s="22" t="n">
        <v>13591.822</v>
      </c>
      <c r="L71" s="22" t="n">
        <v>12474.113</v>
      </c>
    </row>
    <row r="72">
      <c r="A72" s="20" t="inlineStr">
        <is>
          <t>Cash Segregated As Deposits CASEC</t>
        </is>
      </c>
      <c r="C72" s="22" t="n">
        <v>74660.586</v>
      </c>
      <c r="D72" s="22" t="n">
        <v>80711.68799999999</v>
      </c>
      <c r="E72" s="22" t="n">
        <v>86701.356</v>
      </c>
      <c r="F72" s="22" t="n">
        <v>90623.094</v>
      </c>
      <c r="G72" s="22" t="n">
        <v>99140.78</v>
      </c>
      <c r="H72" s="22" t="n">
        <v>62452.11</v>
      </c>
      <c r="I72" s="22" t="n">
        <v>66494.11</v>
      </c>
      <c r="J72" s="22" t="n">
        <v>77595.11</v>
      </c>
      <c r="K72" s="22" t="n">
        <v>74249.88400000001</v>
      </c>
      <c r="L72" s="22" t="n">
        <v>90623.094</v>
      </c>
    </row>
    <row r="73">
      <c r="A73" s="20" t="inlineStr">
        <is>
          <t>고객 분별금 신탁</t>
        </is>
      </c>
      <c r="C73" s="22" t="n">
        <v>355</v>
      </c>
      <c r="D73" s="22" t="n">
        <v>355</v>
      </c>
      <c r="E73" s="22" t="n">
        <v>405</v>
      </c>
      <c r="F73" s="22" t="n">
        <v>455</v>
      </c>
      <c r="G73" s="22" t="n">
        <v>805</v>
      </c>
      <c r="H73" s="22" t="n">
        <v>155</v>
      </c>
      <c r="I73" s="22" t="n">
        <v>255</v>
      </c>
      <c r="J73" s="22" t="n">
        <v>255</v>
      </c>
      <c r="K73" s="22" t="n">
        <v>355</v>
      </c>
      <c r="L73" s="22" t="n">
        <v>455</v>
      </c>
    </row>
    <row r="74">
      <c r="A74" s="20" t="inlineStr">
        <is>
          <t>Cash Division As Deposits For Customers CASEC</t>
        </is>
      </c>
      <c r="E74" s="22" t="n">
        <v>84520.11</v>
      </c>
      <c r="F74" s="22" t="n">
        <v>88430.11</v>
      </c>
      <c r="H74" s="22" t="n">
        <v>62297.11</v>
      </c>
      <c r="I74" s="22" t="n">
        <v>66239.11</v>
      </c>
      <c r="J74" s="22" t="n">
        <v>77340.11</v>
      </c>
      <c r="K74" s="22" t="n">
        <v>72451.11</v>
      </c>
      <c r="L74" s="22" t="n">
        <v>88430.11</v>
      </c>
    </row>
    <row r="75">
      <c r="A75" s="20" t="inlineStr">
        <is>
          <t>Cash Segregated As Deposits For Customers</t>
        </is>
      </c>
      <c r="C75" s="22" t="n">
        <v>73123.11</v>
      </c>
      <c r="D75" s="22" t="n">
        <v>79040.11</v>
      </c>
      <c r="F75" s="22" t="n">
        <v>88430.11</v>
      </c>
      <c r="G75" s="22" t="n">
        <v>96190.11</v>
      </c>
      <c r="H75" s="22" t="n">
        <v>62297.11</v>
      </c>
      <c r="I75" s="22" t="n">
        <v>66239.11</v>
      </c>
      <c r="J75" s="22" t="n">
        <v>77340.11</v>
      </c>
      <c r="K75" s="22" t="n">
        <v>72451.11</v>
      </c>
      <c r="L75" s="22" t="n">
        <v>88430.11</v>
      </c>
    </row>
    <row r="76">
      <c r="A76" s="20" t="inlineStr">
        <is>
          <t>Cash Segregated As Deposits For Others CASEC</t>
        </is>
      </c>
      <c r="C76" s="22" t="n">
        <v>1182.476</v>
      </c>
      <c r="D76" s="22" t="n">
        <v>1316.578</v>
      </c>
      <c r="E76" s="22" t="n">
        <v>1776.246</v>
      </c>
      <c r="F76" s="22" t="n">
        <v>1737.984</v>
      </c>
      <c r="G76" s="22" t="n">
        <v>2145.67</v>
      </c>
      <c r="J76" s="22" t="n">
        <v>0</v>
      </c>
      <c r="K76" s="22" t="n">
        <v>1443.774</v>
      </c>
      <c r="L76" s="22" t="n">
        <v>1737.984</v>
      </c>
    </row>
    <row r="77">
      <c r="A77" s="20" t="inlineStr">
        <is>
          <t>Trading Products CASEC</t>
        </is>
      </c>
      <c r="C77" s="22" t="n">
        <v>16929.794</v>
      </c>
      <c r="D77" s="22" t="n">
        <v>15875.274</v>
      </c>
      <c r="E77" s="22" t="n">
        <v>15801.588</v>
      </c>
      <c r="F77" s="22" t="n">
        <v>16321.669</v>
      </c>
      <c r="G77" s="22" t="n">
        <v>16894.803</v>
      </c>
      <c r="H77" s="22" t="n">
        <v>10637.23</v>
      </c>
      <c r="I77" s="22" t="n">
        <v>12668.195</v>
      </c>
      <c r="J77" s="22" t="n">
        <v>14283.918</v>
      </c>
      <c r="K77" s="22" t="n">
        <v>15720.389</v>
      </c>
      <c r="L77" s="22" t="n">
        <v>16321.669</v>
      </c>
    </row>
    <row r="78">
      <c r="A78" s="20" t="inlineStr">
        <is>
          <t>Derivatives CASEC</t>
        </is>
      </c>
      <c r="C78" s="22" t="n">
        <v>16929.794</v>
      </c>
      <c r="D78" s="22" t="n">
        <v>15875.274</v>
      </c>
      <c r="E78" s="22" t="n">
        <v>15801.588</v>
      </c>
      <c r="F78" s="22" t="n">
        <v>16321.669</v>
      </c>
      <c r="G78" s="22" t="n">
        <v>16894.803</v>
      </c>
      <c r="H78" s="22" t="n">
        <v>10637.23</v>
      </c>
      <c r="I78" s="22" t="n">
        <v>12668.195</v>
      </c>
      <c r="J78" s="22" t="n">
        <v>14283.918</v>
      </c>
      <c r="K78" s="22" t="n">
        <v>15720.389</v>
      </c>
      <c r="L78" s="22" t="n">
        <v>16321.669</v>
      </c>
    </row>
    <row r="79">
      <c r="A79" s="20" t="inlineStr">
        <is>
          <t>Trade Date Accrual CASEC</t>
        </is>
      </c>
      <c r="C79" s="22" t="n">
        <v>85.33199999999999</v>
      </c>
      <c r="D79" s="22" t="n">
        <v>61.123</v>
      </c>
      <c r="E79" s="22" t="n">
        <v>37.398</v>
      </c>
      <c r="F79" s="22" t="n">
        <v>43.056</v>
      </c>
      <c r="G79" s="22" t="n">
        <v>118.135</v>
      </c>
      <c r="H79" s="22" t="n">
        <v>63.761</v>
      </c>
      <c r="I79" s="22" t="n">
        <v>330.451</v>
      </c>
      <c r="J79" s="22" t="n">
        <v>158.799</v>
      </c>
      <c r="K79" s="22" t="n">
        <v>3.1</v>
      </c>
      <c r="L79" s="22" t="n">
        <v>43.056</v>
      </c>
    </row>
    <row r="80">
      <c r="A80" s="20" t="inlineStr">
        <is>
          <t>Short Term Guarantee Deposits CASEC</t>
        </is>
      </c>
      <c r="C80" s="22" t="n">
        <v>10511.746</v>
      </c>
      <c r="D80" s="22" t="n">
        <v>11450.299</v>
      </c>
      <c r="E80" s="22" t="n">
        <v>14148.668</v>
      </c>
      <c r="F80" s="22" t="n">
        <v>13982.67</v>
      </c>
      <c r="G80" s="22" t="n">
        <v>19419.794</v>
      </c>
      <c r="H80" s="22" t="n">
        <v>8031.567</v>
      </c>
      <c r="I80" s="22" t="n">
        <v>10923.929</v>
      </c>
      <c r="J80" s="22" t="n">
        <v>12128.757</v>
      </c>
      <c r="K80" s="22" t="n">
        <v>11401.261</v>
      </c>
      <c r="L80" s="22" t="n">
        <v>13982.67</v>
      </c>
    </row>
    <row r="81">
      <c r="A81" s="20" t="inlineStr">
        <is>
          <t>Margin For Foreign Exchange SEC</t>
        </is>
      </c>
      <c r="C81" s="22" t="n">
        <v>10115.687</v>
      </c>
      <c r="D81" s="22" t="n">
        <v>11067.499</v>
      </c>
      <c r="E81" s="22" t="n">
        <v>13875.709</v>
      </c>
      <c r="F81" s="22" t="n">
        <v>13761.904</v>
      </c>
      <c r="G81" s="22" t="n">
        <v>19127.67</v>
      </c>
      <c r="H81" s="22" t="n">
        <v>7981.093</v>
      </c>
      <c r="I81" s="22" t="n">
        <v>10853.391</v>
      </c>
      <c r="J81" s="22" t="n">
        <v>12073.276</v>
      </c>
      <c r="K81" s="22" t="n">
        <v>11020.365</v>
      </c>
      <c r="L81" s="22" t="n">
        <v>13761.904</v>
      </c>
    </row>
    <row r="82">
      <c r="A82" s="20" t="inlineStr">
        <is>
          <t>Guarantee Deposits For Others CASEC</t>
        </is>
      </c>
      <c r="C82" s="22" t="n">
        <v>396.059</v>
      </c>
      <c r="D82" s="22" t="n">
        <v>382.8</v>
      </c>
      <c r="E82" s="22" t="n">
        <v>272.958</v>
      </c>
      <c r="F82" s="22" t="n">
        <v>220.766</v>
      </c>
      <c r="G82" s="22" t="n">
        <v>292.124</v>
      </c>
      <c r="H82" s="22" t="n">
        <v>50.474</v>
      </c>
      <c r="I82" s="22" t="n">
        <v>70.538</v>
      </c>
      <c r="J82" s="22" t="n">
        <v>55.481</v>
      </c>
      <c r="K82" s="22" t="n">
        <v>380.896</v>
      </c>
      <c r="L82" s="22" t="n">
        <v>220.766</v>
      </c>
    </row>
    <row r="83">
      <c r="A83" s="20" t="inlineStr">
        <is>
          <t>저장품</t>
        </is>
      </c>
      <c r="C83" s="22" t="n">
        <v>95.42100000000001</v>
      </c>
      <c r="D83" s="22" t="n">
        <v>91.65600000000001</v>
      </c>
      <c r="E83" s="22" t="n">
        <v>97.291</v>
      </c>
      <c r="F83" s="22" t="n">
        <v>60.411</v>
      </c>
      <c r="G83" s="22" t="n">
        <v>97.08799999999999</v>
      </c>
      <c r="H83" s="22" t="n">
        <v>77.09099999999999</v>
      </c>
      <c r="I83" s="22" t="n">
        <v>60.108</v>
      </c>
      <c r="J83" s="22" t="n">
        <v>77.333</v>
      </c>
      <c r="K83" s="22" t="n">
        <v>72.071</v>
      </c>
      <c r="L83" s="22" t="n">
        <v>60.411</v>
      </c>
    </row>
    <row r="84">
      <c r="A84" s="20" t="inlineStr">
        <is>
          <t>미수금</t>
        </is>
      </c>
      <c r="C84" s="22" t="n">
        <v>48.688</v>
      </c>
      <c r="D84" s="22" t="n">
        <v>44.322</v>
      </c>
      <c r="E84" s="22" t="n">
        <v>21.89</v>
      </c>
      <c r="F84" s="22" t="n">
        <v>36.438</v>
      </c>
      <c r="G84" s="22" t="n">
        <v>53.638</v>
      </c>
      <c r="H84" s="22" t="n">
        <v>87.943</v>
      </c>
      <c r="I84" s="22" t="n">
        <v>79.069</v>
      </c>
      <c r="J84" s="22" t="n">
        <v>33.945</v>
      </c>
      <c r="K84" s="22" t="n">
        <v>73.31999999999999</v>
      </c>
      <c r="L84" s="22" t="n">
        <v>36.438</v>
      </c>
    </row>
    <row r="85">
      <c r="A85" s="20" t="inlineStr">
        <is>
          <t>미수수익</t>
        </is>
      </c>
      <c r="C85" s="22" t="n">
        <v>1572.708</v>
      </c>
      <c r="D85" s="22" t="n">
        <v>1866.525</v>
      </c>
      <c r="E85" s="22" t="n">
        <v>1958.276</v>
      </c>
      <c r="F85" s="22" t="n">
        <v>2061.983</v>
      </c>
      <c r="G85" s="22" t="n">
        <v>2471.593</v>
      </c>
      <c r="H85" s="22" t="n">
        <v>542.35</v>
      </c>
      <c r="I85" s="22" t="n">
        <v>728.399</v>
      </c>
      <c r="J85" s="22" t="n">
        <v>2040.508</v>
      </c>
      <c r="K85" s="22" t="n">
        <v>1542.366</v>
      </c>
      <c r="L85" s="22" t="n">
        <v>2061.983</v>
      </c>
    </row>
    <row r="86">
      <c r="A86" s="20" t="inlineStr">
        <is>
          <t>Foreign Exchange Dealings Accrued Income</t>
        </is>
      </c>
      <c r="C86" s="22" t="n">
        <v>1571.993</v>
      </c>
      <c r="D86" s="22" t="n">
        <v>1865.474</v>
      </c>
      <c r="E86" s="22" t="n">
        <v>1955.28</v>
      </c>
      <c r="F86" s="22" t="n">
        <v>2057.851</v>
      </c>
      <c r="G86" s="22" t="n">
        <v>2467.521</v>
      </c>
      <c r="H86" s="22" t="n">
        <v>542.254</v>
      </c>
      <c r="I86" s="22" t="n">
        <v>728.0650000000001</v>
      </c>
      <c r="J86" s="22" t="n">
        <v>2040.061</v>
      </c>
      <c r="K86" s="22" t="n">
        <v>1541.925</v>
      </c>
      <c r="L86" s="22" t="n">
        <v>2057.851</v>
      </c>
    </row>
    <row r="87">
      <c r="A87" s="20" t="inlineStr">
        <is>
          <t>Other Accrued Income</t>
        </is>
      </c>
      <c r="C87" s="22" t="n">
        <v>0.715</v>
      </c>
      <c r="D87" s="22" t="n">
        <v>1.051</v>
      </c>
      <c r="E87" s="22" t="n">
        <v>2.996</v>
      </c>
      <c r="F87" s="22" t="n">
        <v>4.131</v>
      </c>
      <c r="G87" s="22" t="n">
        <v>4.072</v>
      </c>
      <c r="H87" s="22" t="n">
        <v>0.095</v>
      </c>
      <c r="I87" s="22" t="n">
        <v>0.334</v>
      </c>
      <c r="J87" s="22" t="n">
        <v>0.447</v>
      </c>
      <c r="K87" s="22" t="n">
        <v>0.44</v>
      </c>
      <c r="L87" s="22" t="n">
        <v>4.131</v>
      </c>
    </row>
    <row r="88">
      <c r="A88" s="20" t="inlineStr">
        <is>
          <t>미수 환급소비세</t>
        </is>
      </c>
      <c r="C88" s="22" t="n">
        <v>109.571</v>
      </c>
      <c r="D88" s="22" t="n">
        <v>180.934</v>
      </c>
      <c r="E88" s="22" t="n">
        <v>292.069</v>
      </c>
      <c r="F88" s="22" t="n">
        <v>391.666</v>
      </c>
      <c r="G88" s="22" t="n">
        <v>120.123</v>
      </c>
      <c r="H88" s="22" t="n">
        <v>368.449</v>
      </c>
      <c r="I88" s="22" t="n">
        <v>400.565</v>
      </c>
      <c r="J88" s="22" t="n">
        <v>392.818</v>
      </c>
      <c r="K88" s="22" t="n">
        <v>262.547</v>
      </c>
      <c r="L88" s="22" t="n">
        <v>391.666</v>
      </c>
    </row>
    <row r="89">
      <c r="A89" s="20" t="inlineStr">
        <is>
          <t>선급비용</t>
        </is>
      </c>
      <c r="C89" s="22" t="n">
        <v>84.602</v>
      </c>
      <c r="D89" s="22" t="n">
        <v>321.351</v>
      </c>
      <c r="E89" s="22" t="n">
        <v>240.385</v>
      </c>
      <c r="F89" s="22" t="n">
        <v>141.446</v>
      </c>
      <c r="G89" s="22" t="n">
        <v>71.39400000000001</v>
      </c>
      <c r="H89" s="22" t="n">
        <v>32.381</v>
      </c>
      <c r="I89" s="22" t="n">
        <v>60.396</v>
      </c>
      <c r="J89" s="22" t="n">
        <v>47.924</v>
      </c>
      <c r="K89" s="22" t="n">
        <v>153.664</v>
      </c>
      <c r="L89" s="22" t="n">
        <v>141.446</v>
      </c>
    </row>
    <row r="90">
      <c r="A90" s="20" t="inlineStr">
        <is>
          <t>기타</t>
        </is>
      </c>
      <c r="C90" s="22" t="n">
        <v>23.837</v>
      </c>
      <c r="D90" s="22" t="n">
        <v>48.976</v>
      </c>
      <c r="E90" s="22" t="n">
        <v>38.882</v>
      </c>
      <c r="F90" s="22" t="n">
        <v>20.421</v>
      </c>
      <c r="G90" s="22" t="n">
        <v>16.664</v>
      </c>
      <c r="H90" s="22" t="n">
        <v>16.386</v>
      </c>
      <c r="I90" s="22" t="n">
        <v>2.559</v>
      </c>
      <c r="J90" s="22" t="n">
        <v>4.603</v>
      </c>
      <c r="K90" s="22" t="n">
        <v>17.109</v>
      </c>
      <c r="L90" s="22" t="n">
        <v>20.421</v>
      </c>
    </row>
    <row r="91">
      <c r="A91" s="20" t="inlineStr">
        <is>
          <t>대손충당금</t>
        </is>
      </c>
      <c r="C91" s="22" t="n">
        <v>-9.089</v>
      </c>
      <c r="D91" s="22" t="n">
        <v>-9.271000000000001</v>
      </c>
      <c r="E91" s="22" t="n">
        <v>0</v>
      </c>
      <c r="F91" s="22" t="n">
        <v>0</v>
      </c>
      <c r="H91" s="22" t="n">
        <v>-8.084</v>
      </c>
      <c r="I91" s="22" t="n">
        <v>-8.737</v>
      </c>
      <c r="J91" s="22" t="n">
        <v>-10.125</v>
      </c>
      <c r="K91" s="22" t="n">
        <v>-10.128</v>
      </c>
      <c r="L91" s="22" t="n">
        <v>0</v>
      </c>
    </row>
    <row r="92">
      <c r="A92" s="9" t="inlineStr">
        <is>
          <t>유동자산 합계</t>
        </is>
      </c>
      <c r="C92" s="12" t="n">
        <v>119925.24</v>
      </c>
      <c r="D92" s="12" t="n">
        <v>123330.567</v>
      </c>
      <c r="E92" s="12" t="n">
        <v>130246.362</v>
      </c>
      <c r="F92" s="12" t="n">
        <v>136156.972</v>
      </c>
      <c r="G92" s="12" t="n">
        <v>150109.55</v>
      </c>
      <c r="H92" s="12" t="n">
        <v>95162.72500000001</v>
      </c>
      <c r="I92" s="12" t="n">
        <v>103433.11</v>
      </c>
      <c r="J92" s="12" t="n">
        <v>118713.302</v>
      </c>
      <c r="K92" s="12" t="n">
        <v>117077.409</v>
      </c>
      <c r="L92" s="12" t="n">
        <v>136156.972</v>
      </c>
    </row>
    <row r="93">
      <c r="A93" s="20" t="inlineStr">
        <is>
          <t>건물</t>
        </is>
      </c>
      <c r="F93" s="22" t="n">
        <v>177.496</v>
      </c>
      <c r="H93" s="22" t="n">
        <v>160.835</v>
      </c>
      <c r="I93" s="22" t="n">
        <v>167.809</v>
      </c>
      <c r="J93" s="22" t="n">
        <v>182.507</v>
      </c>
      <c r="K93" s="22" t="n">
        <v>182.507</v>
      </c>
      <c r="L93" s="22" t="n">
        <v>177.496</v>
      </c>
    </row>
    <row r="94">
      <c r="A94" s="20" t="inlineStr">
        <is>
          <t>감가상각누계액</t>
        </is>
      </c>
      <c r="F94" s="22" t="n">
        <v>-117.619</v>
      </c>
      <c r="H94" s="22" t="n">
        <v>-77.422</v>
      </c>
      <c r="I94" s="22" t="n">
        <v>-85.074</v>
      </c>
      <c r="J94" s="22" t="n">
        <v>-104.663</v>
      </c>
      <c r="K94" s="22" t="n">
        <v>-113.173</v>
      </c>
      <c r="L94" s="22" t="n">
        <v>-117.619</v>
      </c>
    </row>
    <row r="95">
      <c r="A95" s="20" t="inlineStr">
        <is>
          <t>건물(순액)</t>
        </is>
      </c>
      <c r="C95" s="22" t="n">
        <v>66.092</v>
      </c>
      <c r="D95" s="22" t="n">
        <v>64.02</v>
      </c>
      <c r="E95" s="22" t="n">
        <v>61.948</v>
      </c>
      <c r="F95" s="22" t="n">
        <v>59.876</v>
      </c>
      <c r="G95" s="22" t="n">
        <v>57.876</v>
      </c>
      <c r="H95" s="22" t="n">
        <v>83.413</v>
      </c>
      <c r="I95" s="22" t="n">
        <v>82.735</v>
      </c>
      <c r="J95" s="22" t="n">
        <v>77.84399999999999</v>
      </c>
      <c r="K95" s="22" t="n">
        <v>69.334</v>
      </c>
      <c r="L95" s="22" t="n">
        <v>59.876</v>
      </c>
    </row>
    <row r="96">
      <c r="A96" s="20" t="inlineStr">
        <is>
          <t>차량운반구</t>
        </is>
      </c>
      <c r="F96" s="22" t="n">
        <v>31.882</v>
      </c>
      <c r="H96" s="22" t="n">
        <v>27.18</v>
      </c>
      <c r="I96" s="22" t="n">
        <v>29.063</v>
      </c>
      <c r="J96" s="22" t="n">
        <v>29.17</v>
      </c>
      <c r="K96" s="22" t="n">
        <v>29.278</v>
      </c>
      <c r="L96" s="22" t="n">
        <v>31.882</v>
      </c>
    </row>
    <row r="97">
      <c r="A97" s="20" t="inlineStr">
        <is>
          <t>감가상각누계액</t>
        </is>
      </c>
      <c r="F97" s="22" t="n">
        <v>-20.326</v>
      </c>
      <c r="H97" s="22" t="n">
        <v>-12.748</v>
      </c>
      <c r="I97" s="22" t="n">
        <v>-17.679</v>
      </c>
      <c r="J97" s="22" t="n">
        <v>-21.29</v>
      </c>
      <c r="K97" s="22" t="n">
        <v>-23.876</v>
      </c>
      <c r="L97" s="22" t="n">
        <v>-20.326</v>
      </c>
    </row>
    <row r="98">
      <c r="A98" s="20" t="inlineStr">
        <is>
          <t>차량운반구(순액)</t>
        </is>
      </c>
      <c r="C98" s="22" t="n">
        <v>4.955</v>
      </c>
      <c r="D98" s="22" t="n">
        <v>4.52</v>
      </c>
      <c r="E98" s="22" t="n">
        <v>4.131</v>
      </c>
      <c r="F98" s="22" t="n">
        <v>11.555</v>
      </c>
      <c r="G98" s="22" t="n">
        <v>10.295</v>
      </c>
      <c r="H98" s="22" t="n">
        <v>14.432</v>
      </c>
      <c r="I98" s="22" t="n">
        <v>11.383</v>
      </c>
      <c r="J98" s="22" t="n">
        <v>7.88</v>
      </c>
      <c r="K98" s="22" t="n">
        <v>5.401</v>
      </c>
      <c r="L98" s="22" t="n">
        <v>11.555</v>
      </c>
    </row>
    <row r="99">
      <c r="A99" s="20" t="inlineStr">
        <is>
          <t>Equipment</t>
        </is>
      </c>
      <c r="F99" s="22" t="n">
        <v>84.80200000000001</v>
      </c>
      <c r="H99" s="22" t="n">
        <v>71.73399999999999</v>
      </c>
      <c r="I99" s="22" t="n">
        <v>75.432</v>
      </c>
      <c r="J99" s="22" t="n">
        <v>78.51600000000001</v>
      </c>
      <c r="K99" s="22" t="n">
        <v>78.181</v>
      </c>
      <c r="L99" s="22" t="n">
        <v>84.80200000000001</v>
      </c>
    </row>
    <row r="100">
      <c r="A100" s="20" t="inlineStr">
        <is>
          <t>감가상각누계액</t>
        </is>
      </c>
      <c r="F100" s="22" t="n">
        <v>-62.649</v>
      </c>
      <c r="H100" s="22" t="n">
        <v>-56.642</v>
      </c>
      <c r="I100" s="22" t="n">
        <v>-62.483</v>
      </c>
      <c r="J100" s="22" t="n">
        <v>-66.827</v>
      </c>
      <c r="K100" s="22" t="n">
        <v>-66.363</v>
      </c>
      <c r="L100" s="22" t="n">
        <v>-62.649</v>
      </c>
    </row>
    <row r="101">
      <c r="A101" s="20" t="inlineStr">
        <is>
          <t>Equipment Net</t>
        </is>
      </c>
      <c r="C101" s="22" t="n">
        <v>11.618</v>
      </c>
      <c r="D101" s="22" t="n">
        <v>12.636</v>
      </c>
      <c r="E101" s="22" t="n">
        <v>14.161</v>
      </c>
      <c r="F101" s="22" t="n">
        <v>22.152</v>
      </c>
      <c r="G101" s="22" t="n">
        <v>23.023</v>
      </c>
      <c r="H101" s="22" t="n">
        <v>15.091</v>
      </c>
      <c r="I101" s="22" t="n">
        <v>12.949</v>
      </c>
      <c r="J101" s="22" t="n">
        <v>11.689</v>
      </c>
      <c r="K101" s="22" t="n">
        <v>11.818</v>
      </c>
      <c r="L101" s="22" t="n">
        <v>22.152</v>
      </c>
    </row>
    <row r="102">
      <c r="A102" s="20" t="inlineStr">
        <is>
          <t>유형자산 합계</t>
        </is>
      </c>
      <c r="C102" s="22" t="n">
        <v>82.666</v>
      </c>
      <c r="D102" s="22" t="n">
        <v>81.17700000000001</v>
      </c>
      <c r="E102" s="22" t="n">
        <v>80.241</v>
      </c>
      <c r="F102" s="22" t="n">
        <v>93.58499999999999</v>
      </c>
      <c r="G102" s="22" t="n">
        <v>91.196</v>
      </c>
      <c r="H102" s="22" t="n">
        <v>112.937</v>
      </c>
      <c r="I102" s="22" t="n">
        <v>107.067</v>
      </c>
      <c r="J102" s="22" t="n">
        <v>97.413</v>
      </c>
      <c r="K102" s="22" t="n">
        <v>86.554</v>
      </c>
      <c r="L102" s="22" t="n">
        <v>93.58499999999999</v>
      </c>
    </row>
    <row r="103">
      <c r="A103" s="20" t="inlineStr">
        <is>
          <t>소프트웨어</t>
        </is>
      </c>
      <c r="C103" s="22" t="n">
        <v>41.248</v>
      </c>
      <c r="D103" s="22" t="n">
        <v>40.85</v>
      </c>
      <c r="E103" s="22" t="n">
        <v>36.486</v>
      </c>
      <c r="F103" s="22" t="n">
        <v>39.876</v>
      </c>
      <c r="G103" s="22" t="n">
        <v>52.756</v>
      </c>
      <c r="H103" s="22" t="n">
        <v>55.094</v>
      </c>
      <c r="I103" s="22" t="n">
        <v>31.86</v>
      </c>
      <c r="J103" s="22" t="n">
        <v>48.57</v>
      </c>
      <c r="K103" s="22" t="n">
        <v>47.361</v>
      </c>
      <c r="L103" s="22" t="n">
        <v>39.876</v>
      </c>
    </row>
    <row r="104">
      <c r="A104" s="20" t="inlineStr">
        <is>
          <t>개발 중 소프트웨어</t>
        </is>
      </c>
      <c r="H104" s="22" t="n">
        <v>0</v>
      </c>
      <c r="I104" s="22" t="n">
        <v>1.822</v>
      </c>
      <c r="J104" s="22" t="n">
        <v>0</v>
      </c>
    </row>
    <row r="105">
      <c r="A105" s="20" t="inlineStr">
        <is>
          <t>기타</t>
        </is>
      </c>
      <c r="C105" s="22" t="n">
        <v>0.246</v>
      </c>
      <c r="D105" s="22" t="n">
        <v>0.246</v>
      </c>
      <c r="E105" s="22" t="n">
        <v>0.246</v>
      </c>
      <c r="F105" s="22" t="n">
        <v>0.246</v>
      </c>
      <c r="G105" s="22" t="n">
        <v>0.246</v>
      </c>
      <c r="H105" s="22" t="n">
        <v>3.703</v>
      </c>
      <c r="I105" s="22" t="n">
        <v>3.501</v>
      </c>
      <c r="J105" s="22" t="n">
        <v>3.389</v>
      </c>
      <c r="K105" s="22" t="n">
        <v>0.246</v>
      </c>
      <c r="L105" s="22" t="n">
        <v>0.246</v>
      </c>
    </row>
    <row r="106">
      <c r="A106" s="20" t="inlineStr">
        <is>
          <t>무형자산 합계</t>
        </is>
      </c>
      <c r="C106" s="22" t="n">
        <v>41.495</v>
      </c>
      <c r="D106" s="22" t="n">
        <v>41.097</v>
      </c>
      <c r="E106" s="22" t="n">
        <v>36.733</v>
      </c>
      <c r="F106" s="22" t="n">
        <v>40.123</v>
      </c>
      <c r="G106" s="22" t="n">
        <v>53.003</v>
      </c>
      <c r="H106" s="22" t="n">
        <v>58.797</v>
      </c>
      <c r="I106" s="22" t="n">
        <v>37.184</v>
      </c>
      <c r="J106" s="22" t="n">
        <v>51.959</v>
      </c>
      <c r="K106" s="22" t="n">
        <v>47.608</v>
      </c>
      <c r="L106" s="22" t="n">
        <v>40.123</v>
      </c>
    </row>
    <row r="107">
      <c r="A107" s="20" t="inlineStr">
        <is>
          <t>장기선급비용</t>
        </is>
      </c>
      <c r="C107" s="22" t="n">
        <v>0.374</v>
      </c>
      <c r="D107" s="22" t="n">
        <v>0.294</v>
      </c>
      <c r="E107" s="22" t="n">
        <v>18.995</v>
      </c>
      <c r="F107" s="22" t="n">
        <v>11.592</v>
      </c>
      <c r="G107" s="22" t="n">
        <v>5.886</v>
      </c>
      <c r="H107" s="22" t="n">
        <v>0.962</v>
      </c>
      <c r="I107" s="22" t="n">
        <v>1.125</v>
      </c>
      <c r="J107" s="22" t="n">
        <v>0.602</v>
      </c>
      <c r="K107" s="22" t="n">
        <v>0.534</v>
      </c>
      <c r="L107" s="22" t="n">
        <v>11.592</v>
      </c>
    </row>
    <row r="108">
      <c r="A108" s="20" t="inlineStr">
        <is>
          <t>이연법인세자산</t>
        </is>
      </c>
      <c r="C108" s="22" t="n">
        <v>352.743</v>
      </c>
      <c r="D108" s="22" t="n">
        <v>390.1</v>
      </c>
      <c r="E108" s="22" t="n">
        <v>397.489</v>
      </c>
      <c r="F108" s="22" t="n">
        <v>318.784</v>
      </c>
      <c r="G108" s="22" t="n">
        <v>248.496</v>
      </c>
      <c r="H108" s="22" t="n">
        <v>81.624</v>
      </c>
      <c r="I108" s="22" t="n">
        <v>105.141</v>
      </c>
      <c r="J108" s="22" t="n">
        <v>158.947</v>
      </c>
      <c r="K108" s="22" t="n">
        <v>365.235</v>
      </c>
      <c r="L108" s="22" t="n">
        <v>318.784</v>
      </c>
    </row>
    <row r="109">
      <c r="A109" s="20" t="inlineStr">
        <is>
          <t>보증금</t>
        </is>
      </c>
      <c r="C109" s="22" t="n">
        <v>35.431</v>
      </c>
      <c r="D109" s="22" t="n">
        <v>35.42</v>
      </c>
      <c r="E109" s="22" t="n">
        <v>35.597</v>
      </c>
      <c r="F109" s="22" t="n">
        <v>36.189</v>
      </c>
      <c r="G109" s="22" t="n">
        <v>36.237</v>
      </c>
      <c r="H109" s="22" t="n">
        <v>29.069</v>
      </c>
      <c r="I109" s="22" t="n">
        <v>31.078</v>
      </c>
      <c r="J109" s="22" t="n">
        <v>37.466</v>
      </c>
      <c r="K109" s="22" t="n">
        <v>35.4</v>
      </c>
      <c r="L109" s="22" t="n">
        <v>36.189</v>
      </c>
    </row>
    <row r="110">
      <c r="A110" s="20" t="inlineStr">
        <is>
          <t>기타</t>
        </is>
      </c>
      <c r="C110" s="22" t="n">
        <v>9.891999999999999</v>
      </c>
      <c r="D110" s="22" t="n">
        <v>10.009</v>
      </c>
      <c r="E110" s="22" t="n">
        <v>10.224</v>
      </c>
      <c r="F110" s="22" t="n">
        <v>6.19</v>
      </c>
      <c r="G110" s="22" t="n">
        <v>5.66</v>
      </c>
      <c r="H110" s="22" t="n">
        <v>13.072</v>
      </c>
      <c r="I110" s="22" t="n">
        <v>10.783</v>
      </c>
      <c r="J110" s="22" t="n">
        <v>11.152</v>
      </c>
      <c r="K110" s="22" t="n">
        <v>10.195</v>
      </c>
      <c r="L110" s="22" t="n">
        <v>6.19</v>
      </c>
    </row>
    <row r="111">
      <c r="A111" s="20" t="inlineStr">
        <is>
          <t>대손충당금</t>
        </is>
      </c>
      <c r="C111" s="22" t="n">
        <v>-0.18</v>
      </c>
      <c r="D111" s="22" t="n">
        <v>-0.14</v>
      </c>
      <c r="E111" s="22" t="n">
        <v>-0.08</v>
      </c>
      <c r="F111" s="22" t="n">
        <v>-0.02</v>
      </c>
      <c r="G111" s="22" t="n">
        <v>0</v>
      </c>
      <c r="H111" s="22" t="n">
        <v>-3.34</v>
      </c>
      <c r="I111" s="22" t="n">
        <v>-0.72</v>
      </c>
      <c r="J111" s="22" t="n">
        <v>-0.502</v>
      </c>
      <c r="K111" s="22" t="n">
        <v>-0.26</v>
      </c>
      <c r="L111" s="22" t="n">
        <v>-0.02</v>
      </c>
    </row>
    <row r="112">
      <c r="A112" s="20" t="inlineStr">
        <is>
          <t>투자 및 기타자산 합계</t>
        </is>
      </c>
      <c r="C112" s="22" t="n">
        <v>398.262</v>
      </c>
      <c r="D112" s="22" t="n">
        <v>435.686</v>
      </c>
      <c r="E112" s="22" t="n">
        <v>462.226</v>
      </c>
      <c r="F112" s="22" t="n">
        <v>372.737</v>
      </c>
      <c r="G112" s="22" t="n">
        <v>296.281</v>
      </c>
      <c r="H112" s="22" t="n">
        <v>121.389</v>
      </c>
      <c r="I112" s="22" t="n">
        <v>147.408</v>
      </c>
      <c r="J112" s="22" t="n">
        <v>207.666</v>
      </c>
      <c r="K112" s="22" t="n">
        <v>411.104</v>
      </c>
      <c r="L112" s="22" t="n">
        <v>372.737</v>
      </c>
    </row>
    <row r="113">
      <c r="A113" s="9" t="inlineStr">
        <is>
          <t>비유동자산 합계</t>
        </is>
      </c>
      <c r="C113" s="12" t="n">
        <v>522.424</v>
      </c>
      <c r="D113" s="12" t="n">
        <v>557.961</v>
      </c>
      <c r="E113" s="12" t="n">
        <v>579.201</v>
      </c>
      <c r="F113" s="12" t="n">
        <v>506.446</v>
      </c>
      <c r="G113" s="12" t="n">
        <v>440.48</v>
      </c>
      <c r="H113" s="12" t="n">
        <v>293.124</v>
      </c>
      <c r="I113" s="12" t="n">
        <v>291.66</v>
      </c>
      <c r="J113" s="12" t="n">
        <v>357.04</v>
      </c>
      <c r="K113" s="12" t="n">
        <v>545.2670000000001</v>
      </c>
      <c r="L113" s="12" t="n">
        <v>506.446</v>
      </c>
    </row>
    <row r="114">
      <c r="A114" s="9" t="inlineStr">
        <is>
          <t>자산 합계</t>
        </is>
      </c>
      <c r="C114" s="12" t="n">
        <v>120447.664</v>
      </c>
      <c r="D114" s="12" t="n">
        <v>123888.529</v>
      </c>
      <c r="E114" s="12" t="n">
        <v>130825.563</v>
      </c>
      <c r="F114" s="12" t="n">
        <v>136663.418</v>
      </c>
      <c r="G114" s="12" t="n">
        <v>150550.031</v>
      </c>
      <c r="H114" s="12" t="n">
        <v>95455.849</v>
      </c>
      <c r="I114" s="12" t="n">
        <v>103724.771</v>
      </c>
      <c r="J114" s="12" t="n">
        <v>119070.342</v>
      </c>
      <c r="K114" s="12" t="n">
        <v>117622.676</v>
      </c>
      <c r="L114" s="12" t="n">
        <v>136663.418</v>
      </c>
    </row>
    <row r="115">
      <c r="A115" s="20" t="inlineStr">
        <is>
          <t>Trading Products CLSEC</t>
        </is>
      </c>
      <c r="C115" s="22" t="n">
        <v>2728.907</v>
      </c>
      <c r="D115" s="22" t="n">
        <v>3852.113</v>
      </c>
      <c r="E115" s="22" t="n">
        <v>6290.349</v>
      </c>
      <c r="F115" s="22" t="n">
        <v>6103.529</v>
      </c>
      <c r="G115" s="22" t="n">
        <v>8048.165</v>
      </c>
      <c r="H115" s="22" t="n">
        <v>2775.223</v>
      </c>
      <c r="I115" s="22" t="n">
        <v>2894.405</v>
      </c>
      <c r="J115" s="22" t="n">
        <v>7393.665</v>
      </c>
      <c r="K115" s="22" t="n">
        <v>2264.798</v>
      </c>
      <c r="L115" s="22" t="n">
        <v>6103.529</v>
      </c>
    </row>
    <row r="116">
      <c r="A116" s="20" t="inlineStr">
        <is>
          <t>Derivatives CLSEC</t>
        </is>
      </c>
      <c r="C116" s="22" t="n">
        <v>2728.907</v>
      </c>
      <c r="D116" s="22" t="n">
        <v>3852.113</v>
      </c>
      <c r="E116" s="22" t="n">
        <v>6290.349</v>
      </c>
      <c r="F116" s="22" t="n">
        <v>6103.529</v>
      </c>
      <c r="G116" s="22" t="n">
        <v>8048.165</v>
      </c>
      <c r="H116" s="22" t="n">
        <v>2775.223</v>
      </c>
      <c r="I116" s="22" t="n">
        <v>2894.405</v>
      </c>
      <c r="J116" s="22" t="n">
        <v>7393.665</v>
      </c>
      <c r="K116" s="22" t="n">
        <v>2264.798</v>
      </c>
      <c r="L116" s="22" t="n">
        <v>6103.529</v>
      </c>
    </row>
    <row r="117">
      <c r="A117" s="20" t="inlineStr">
        <is>
          <t>Trade Date Accrual CLSEC</t>
        </is>
      </c>
      <c r="C117" s="22" t="n">
        <v>4.427</v>
      </c>
      <c r="D117" s="22" t="n">
        <v>124.582</v>
      </c>
      <c r="E117" s="22" t="n">
        <v>128.123</v>
      </c>
      <c r="F117" s="22" t="n">
        <v>75.282</v>
      </c>
      <c r="G117" s="22" t="n">
        <v>71.61499999999999</v>
      </c>
      <c r="H117" s="22" t="n">
        <v>94.44199999999999</v>
      </c>
      <c r="I117" s="22" t="n">
        <v>43.919</v>
      </c>
      <c r="J117" s="22" t="n">
        <v>0</v>
      </c>
      <c r="K117" s="22" t="n">
        <v>740.174</v>
      </c>
      <c r="L117" s="22" t="n">
        <v>75.282</v>
      </c>
    </row>
    <row r="118">
      <c r="A118" s="20" t="inlineStr">
        <is>
          <t>Guarantee Deposits Received CLSEC</t>
        </is>
      </c>
      <c r="C118" s="22" t="n">
        <v>79049.43399999999</v>
      </c>
      <c r="D118" s="22" t="n">
        <v>81825.61900000001</v>
      </c>
      <c r="E118" s="22" t="n">
        <v>84061.261</v>
      </c>
      <c r="F118" s="22" t="n">
        <v>89209.667</v>
      </c>
      <c r="G118" s="22" t="n">
        <v>95652.81</v>
      </c>
      <c r="H118" s="22" t="n">
        <v>67703.66099999999</v>
      </c>
      <c r="I118" s="22" t="n">
        <v>73055.962</v>
      </c>
      <c r="J118" s="22" t="n">
        <v>78408.21799999999</v>
      </c>
      <c r="K118" s="22" t="n">
        <v>77607.83500000001</v>
      </c>
      <c r="L118" s="22" t="n">
        <v>89209.667</v>
      </c>
    </row>
    <row r="119">
      <c r="A119" s="20" t="inlineStr">
        <is>
          <t>Margin Deposits Received For Foreign Exchange SEC</t>
        </is>
      </c>
      <c r="D119" s="22" t="n">
        <v>81169.03</v>
      </c>
      <c r="F119" s="22" t="n">
        <v>88359.87300000001</v>
      </c>
      <c r="H119" s="22" t="n">
        <v>67639.23699999999</v>
      </c>
      <c r="I119" s="22" t="n">
        <v>72976.247</v>
      </c>
      <c r="J119" s="22" t="n">
        <v>78278.242</v>
      </c>
      <c r="K119" s="22" t="n">
        <v>77207.58900000001</v>
      </c>
      <c r="L119" s="22" t="n">
        <v>88359.87300000001</v>
      </c>
    </row>
    <row r="120">
      <c r="A120" s="20" t="inlineStr">
        <is>
          <t>Margin Deposits Received For Foreign Exchange CL</t>
        </is>
      </c>
      <c r="C120" s="22" t="n">
        <v>78555.443</v>
      </c>
      <c r="E120" s="22" t="n">
        <v>83192.79399999999</v>
      </c>
      <c r="F120" s="22" t="n">
        <v>88359.87300000001</v>
      </c>
      <c r="G120" s="22" t="n">
        <v>94488.314</v>
      </c>
      <c r="H120" s="22" t="n">
        <v>67639.23699999999</v>
      </c>
      <c r="I120" s="22" t="n">
        <v>72976.247</v>
      </c>
      <c r="J120" s="22" t="n">
        <v>78278.242</v>
      </c>
      <c r="K120" s="22" t="n">
        <v>77207.58900000001</v>
      </c>
      <c r="L120" s="22" t="n">
        <v>88359.87300000001</v>
      </c>
    </row>
    <row r="121">
      <c r="A121" s="20" t="inlineStr">
        <is>
          <t>Guarantee Deposits Received For Others CLSEC</t>
        </is>
      </c>
      <c r="C121" s="22" t="n">
        <v>493.991</v>
      </c>
      <c r="D121" s="22" t="n">
        <v>656.588</v>
      </c>
      <c r="E121" s="22" t="n">
        <v>868.466</v>
      </c>
      <c r="F121" s="22" t="n">
        <v>849.793</v>
      </c>
      <c r="G121" s="22" t="n">
        <v>1164.496</v>
      </c>
      <c r="H121" s="22" t="n">
        <v>64.42400000000001</v>
      </c>
      <c r="I121" s="22" t="n">
        <v>79.715</v>
      </c>
      <c r="J121" s="22" t="n">
        <v>129.976</v>
      </c>
      <c r="K121" s="22" t="n">
        <v>400.245</v>
      </c>
      <c r="L121" s="22" t="n">
        <v>849.793</v>
      </c>
    </row>
    <row r="122">
      <c r="A122" s="20" t="inlineStr">
        <is>
          <t>단기차입금</t>
        </is>
      </c>
      <c r="C122" s="22" t="n">
        <v>7817.5</v>
      </c>
      <c r="D122" s="22" t="n">
        <v>6000</v>
      </c>
      <c r="E122" s="22" t="n">
        <v>8145</v>
      </c>
      <c r="F122" s="22" t="n">
        <v>7100</v>
      </c>
      <c r="G122" s="22" t="n">
        <v>11052.5</v>
      </c>
      <c r="H122" s="22" t="n">
        <v>5700</v>
      </c>
      <c r="I122" s="22" t="n">
        <v>5800</v>
      </c>
      <c r="J122" s="22" t="n">
        <v>7600</v>
      </c>
      <c r="K122" s="22" t="n">
        <v>7400</v>
      </c>
      <c r="L122" s="22" t="n">
        <v>7100</v>
      </c>
    </row>
    <row r="123">
      <c r="A123" s="20" t="inlineStr">
        <is>
          <t>1년 내 상환 장기차입금</t>
        </is>
      </c>
      <c r="H123" s="22" t="n">
        <v>0</v>
      </c>
      <c r="I123" s="22" t="n">
        <v>500</v>
      </c>
      <c r="J123" s="22" t="n">
        <v>0</v>
      </c>
    </row>
    <row r="124">
      <c r="A124" s="20" t="inlineStr">
        <is>
          <t>미지급금</t>
        </is>
      </c>
      <c r="C124" s="22" t="n">
        <v>673.884</v>
      </c>
      <c r="D124" s="22" t="n">
        <v>734.359</v>
      </c>
      <c r="E124" s="22" t="n">
        <v>677.924</v>
      </c>
      <c r="F124" s="22" t="n">
        <v>762.5119999999999</v>
      </c>
      <c r="G124" s="22" t="n">
        <v>843.979</v>
      </c>
      <c r="H124" s="22" t="n">
        <v>673.0700000000001</v>
      </c>
      <c r="I124" s="22" t="n">
        <v>718.784</v>
      </c>
      <c r="J124" s="22" t="n">
        <v>536.7809999999999</v>
      </c>
      <c r="K124" s="22" t="n">
        <v>685.048</v>
      </c>
      <c r="L124" s="22" t="n">
        <v>762.5119999999999</v>
      </c>
    </row>
    <row r="125">
      <c r="A125" s="20" t="inlineStr">
        <is>
          <t>미지급비용</t>
        </is>
      </c>
      <c r="C125" s="22" t="n">
        <v>8903.362999999999</v>
      </c>
      <c r="D125" s="22" t="n">
        <v>9606.968000000001</v>
      </c>
      <c r="E125" s="22" t="n">
        <v>9577.843000000001</v>
      </c>
      <c r="F125" s="22" t="n">
        <v>10200.109</v>
      </c>
      <c r="G125" s="22" t="n">
        <v>11255.369</v>
      </c>
      <c r="H125" s="22" t="n">
        <v>2600.932</v>
      </c>
      <c r="I125" s="22" t="n">
        <v>3718.149</v>
      </c>
      <c r="J125" s="22" t="n">
        <v>5784.085</v>
      </c>
      <c r="K125" s="22" t="n">
        <v>7807.995</v>
      </c>
      <c r="L125" s="22" t="n">
        <v>10200.109</v>
      </c>
    </row>
    <row r="126">
      <c r="A126" s="20" t="inlineStr">
        <is>
          <t>Foreign Exchange Dealings Accrued Expenses</t>
        </is>
      </c>
      <c r="C126" s="22" t="n">
        <v>8857.995999999999</v>
      </c>
      <c r="D126" s="22" t="n">
        <v>9555.793</v>
      </c>
      <c r="E126" s="22" t="n">
        <v>9518.278</v>
      </c>
      <c r="F126" s="22" t="n">
        <v>10142.406</v>
      </c>
      <c r="G126" s="22" t="n">
        <v>11202.591</v>
      </c>
      <c r="H126" s="22" t="n">
        <v>2554.225</v>
      </c>
      <c r="I126" s="22" t="n">
        <v>3667.502</v>
      </c>
      <c r="J126" s="22" t="n">
        <v>5723.583</v>
      </c>
      <c r="K126" s="22" t="n">
        <v>7758.013</v>
      </c>
      <c r="L126" s="22" t="n">
        <v>10142.406</v>
      </c>
    </row>
    <row r="127">
      <c r="A127" s="20" t="inlineStr">
        <is>
          <t>Other Accrued Expenses</t>
        </is>
      </c>
      <c r="C127" s="22" t="n">
        <v>45.366</v>
      </c>
      <c r="D127" s="22" t="n">
        <v>51.174</v>
      </c>
      <c r="E127" s="22" t="n">
        <v>59.564</v>
      </c>
      <c r="F127" s="22" t="n">
        <v>57.702</v>
      </c>
      <c r="G127" s="22" t="n">
        <v>52.777</v>
      </c>
      <c r="H127" s="22" t="n">
        <v>46.706</v>
      </c>
      <c r="I127" s="22" t="n">
        <v>50.647</v>
      </c>
      <c r="J127" s="22" t="n">
        <v>60.501</v>
      </c>
      <c r="K127" s="22" t="n">
        <v>49.981</v>
      </c>
      <c r="L127" s="22" t="n">
        <v>57.702</v>
      </c>
    </row>
    <row r="128">
      <c r="A128" s="20" t="inlineStr">
        <is>
          <t>미지급법인세</t>
        </is>
      </c>
      <c r="C128" s="22" t="n">
        <v>271.503</v>
      </c>
      <c r="D128" s="22" t="n">
        <v>486.983</v>
      </c>
      <c r="E128" s="22" t="n">
        <v>171.024</v>
      </c>
      <c r="F128" s="22" t="n">
        <v>483.366</v>
      </c>
      <c r="G128" s="22" t="n">
        <v>396.474</v>
      </c>
      <c r="H128" s="22" t="n">
        <v>419.268</v>
      </c>
      <c r="I128" s="22" t="n">
        <v>821.635</v>
      </c>
      <c r="J128" s="22" t="n">
        <v>826.47</v>
      </c>
      <c r="K128" s="22" t="n">
        <v>381.859</v>
      </c>
      <c r="L128" s="22" t="n">
        <v>483.366</v>
      </c>
    </row>
    <row r="129">
      <c r="A129" s="20" t="inlineStr">
        <is>
          <t>상여충당금</t>
        </is>
      </c>
      <c r="C129" s="22" t="n">
        <v>39.926</v>
      </c>
      <c r="D129" s="22" t="n">
        <v>113.518</v>
      </c>
      <c r="E129" s="22" t="n">
        <v>20.757</v>
      </c>
      <c r="F129" s="22" t="n">
        <v>90.11199999999999</v>
      </c>
      <c r="G129" s="22" t="n">
        <v>45.193</v>
      </c>
      <c r="H129" s="22" t="n">
        <v>53.361</v>
      </c>
      <c r="I129" s="22" t="n">
        <v>63.781</v>
      </c>
      <c r="J129" s="22" t="n">
        <v>82.818</v>
      </c>
      <c r="K129" s="22" t="n">
        <v>54.289</v>
      </c>
      <c r="L129" s="22" t="n">
        <v>90.11199999999999</v>
      </c>
    </row>
    <row r="130">
      <c r="A130" s="20" t="inlineStr">
        <is>
          <t>기타</t>
        </is>
      </c>
      <c r="C130" s="22" t="n">
        <v>52.818</v>
      </c>
      <c r="D130" s="22" t="n">
        <v>36.441</v>
      </c>
      <c r="E130" s="22" t="n">
        <v>95.77500000000001</v>
      </c>
      <c r="F130" s="22" t="n">
        <v>91.46599999999999</v>
      </c>
      <c r="G130" s="22" t="n">
        <v>52.037</v>
      </c>
      <c r="H130" s="22" t="n">
        <v>124.457</v>
      </c>
      <c r="I130" s="22" t="n">
        <v>97.871</v>
      </c>
      <c r="J130" s="22" t="n">
        <v>120.524</v>
      </c>
      <c r="K130" s="22" t="n">
        <v>95.152</v>
      </c>
      <c r="L130" s="22" t="n">
        <v>91.46599999999999</v>
      </c>
    </row>
    <row r="131">
      <c r="A131" s="9" t="inlineStr">
        <is>
          <t>유동부채 합계</t>
        </is>
      </c>
      <c r="C131" s="12" t="n">
        <v>99541.765</v>
      </c>
      <c r="D131" s="12" t="n">
        <v>102780.586</v>
      </c>
      <c r="E131" s="12" t="n">
        <v>109168.059</v>
      </c>
      <c r="F131" s="12" t="n">
        <v>114116.045</v>
      </c>
      <c r="G131" s="12" t="n">
        <v>127418.145</v>
      </c>
      <c r="H131" s="12" t="n">
        <v>80144.41800000001</v>
      </c>
      <c r="I131" s="12" t="n">
        <v>87714.511</v>
      </c>
      <c r="J131" s="12" t="n">
        <v>100752.563</v>
      </c>
      <c r="K131" s="12" t="n">
        <v>97037.15300000001</v>
      </c>
      <c r="L131" s="12" t="n">
        <v>114116.045</v>
      </c>
    </row>
    <row r="132">
      <c r="A132" s="20" t="inlineStr">
        <is>
          <t>장기차입금</t>
        </is>
      </c>
      <c r="H132" s="22" t="n">
        <v>500</v>
      </c>
      <c r="I132" s="22" t="n">
        <v>0</v>
      </c>
    </row>
    <row r="133">
      <c r="A133" s="20" t="inlineStr">
        <is>
          <t>장기미지급금</t>
        </is>
      </c>
      <c r="C133" s="22" t="n">
        <v>697.784</v>
      </c>
      <c r="D133" s="22" t="n">
        <v>697.765</v>
      </c>
      <c r="E133" s="22" t="n">
        <v>697.747</v>
      </c>
      <c r="F133" s="22" t="n">
        <v>697.737</v>
      </c>
      <c r="G133" s="22" t="n">
        <v>697.737</v>
      </c>
      <c r="H133" s="22" t="n">
        <v>697.737</v>
      </c>
      <c r="I133" s="22" t="n">
        <v>697.737</v>
      </c>
      <c r="J133" s="22" t="n">
        <v>697.877</v>
      </c>
      <c r="K133" s="22" t="n">
        <v>697.802</v>
      </c>
      <c r="L133" s="22" t="n">
        <v>697.737</v>
      </c>
    </row>
    <row r="134">
      <c r="A134" s="20" t="inlineStr">
        <is>
          <t>퇴직급여부채</t>
        </is>
      </c>
      <c r="C134" s="22" t="n">
        <v>84.28100000000001</v>
      </c>
      <c r="D134" s="22" t="n">
        <v>86.33199999999999</v>
      </c>
      <c r="E134" s="22" t="n">
        <v>87.05200000000001</v>
      </c>
      <c r="F134" s="22" t="n">
        <v>87.917</v>
      </c>
      <c r="G134" s="22" t="n">
        <v>89.982</v>
      </c>
      <c r="H134" s="22" t="n">
        <v>62.427</v>
      </c>
      <c r="I134" s="22" t="n">
        <v>69.443</v>
      </c>
      <c r="J134" s="22" t="n">
        <v>74.988</v>
      </c>
      <c r="K134" s="22" t="n">
        <v>81.944</v>
      </c>
      <c r="L134" s="22" t="n">
        <v>87.917</v>
      </c>
    </row>
    <row r="135">
      <c r="A135" s="20" t="inlineStr">
        <is>
          <t>자산복구부채</t>
        </is>
      </c>
      <c r="C135" s="22" t="n">
        <v>39.25</v>
      </c>
      <c r="D135" s="22" t="n">
        <v>39.33</v>
      </c>
      <c r="E135" s="22" t="n">
        <v>39.41</v>
      </c>
      <c r="F135" s="22" t="n">
        <v>39.491</v>
      </c>
      <c r="G135" s="22" t="n">
        <v>39.572</v>
      </c>
      <c r="H135" s="22" t="n">
        <v>21.246</v>
      </c>
      <c r="I135" s="22" t="n">
        <v>25.195</v>
      </c>
      <c r="J135" s="22" t="n">
        <v>38.853</v>
      </c>
      <c r="K135" s="22" t="n">
        <v>39.17</v>
      </c>
      <c r="L135" s="22" t="n">
        <v>39.491</v>
      </c>
    </row>
    <row r="136">
      <c r="A136" s="9" t="inlineStr">
        <is>
          <t>비유동부채 합계</t>
        </is>
      </c>
      <c r="C136" s="12" t="n">
        <v>821.316</v>
      </c>
      <c r="D136" s="12" t="n">
        <v>823.428</v>
      </c>
      <c r="E136" s="12" t="n">
        <v>824.21</v>
      </c>
      <c r="F136" s="12" t="n">
        <v>825.145</v>
      </c>
      <c r="G136" s="12" t="n">
        <v>827.2910000000001</v>
      </c>
      <c r="H136" s="12" t="n">
        <v>1281.41</v>
      </c>
      <c r="I136" s="12" t="n">
        <v>792.375</v>
      </c>
      <c r="J136" s="12" t="n">
        <v>811.718</v>
      </c>
      <c r="K136" s="12" t="n">
        <v>818.918</v>
      </c>
      <c r="L136" s="12" t="n">
        <v>825.145</v>
      </c>
    </row>
    <row r="137">
      <c r="A137" s="9" t="inlineStr">
        <is>
          <t>부채 합계</t>
        </is>
      </c>
      <c r="C137" s="12" t="n">
        <v>100363.081</v>
      </c>
      <c r="D137" s="12" t="n">
        <v>103604.014</v>
      </c>
      <c r="E137" s="12" t="n">
        <v>109992.269</v>
      </c>
      <c r="F137" s="12" t="n">
        <v>114941.191</v>
      </c>
      <c r="G137" s="12" t="n">
        <v>128245.436</v>
      </c>
      <c r="H137" s="12" t="n">
        <v>81425.829</v>
      </c>
      <c r="I137" s="12" t="n">
        <v>88506.886</v>
      </c>
      <c r="J137" s="12" t="n">
        <v>101564.282</v>
      </c>
      <c r="K137" s="12" t="n">
        <v>97856.071</v>
      </c>
      <c r="L137" s="12" t="n">
        <v>114941.191</v>
      </c>
    </row>
    <row r="138">
      <c r="A138" s="20" t="inlineStr">
        <is>
          <t>자본금</t>
        </is>
      </c>
      <c r="C138" s="22" t="n">
        <v>1094.354</v>
      </c>
      <c r="D138" s="22" t="n">
        <v>1101.515</v>
      </c>
      <c r="E138" s="22" t="n">
        <v>1101.515</v>
      </c>
      <c r="F138" s="22" t="n">
        <v>1115.416</v>
      </c>
      <c r="G138" s="22" t="n">
        <v>1115.416</v>
      </c>
      <c r="H138" s="22" t="n">
        <v>1069.837</v>
      </c>
      <c r="I138" s="22" t="n">
        <v>1071.101</v>
      </c>
      <c r="J138" s="22" t="n">
        <v>1084.665</v>
      </c>
      <c r="K138" s="22" t="n">
        <v>1094.354</v>
      </c>
      <c r="L138" s="22" t="n">
        <v>1115.416</v>
      </c>
    </row>
    <row r="139">
      <c r="A139" s="20" t="inlineStr">
        <is>
          <t>자본잉여금</t>
        </is>
      </c>
      <c r="C139" s="22" t="n">
        <v>790.9160000000001</v>
      </c>
      <c r="D139" s="22" t="n">
        <v>919.729</v>
      </c>
      <c r="E139" s="22" t="n">
        <v>919.729</v>
      </c>
      <c r="F139" s="22" t="n">
        <v>933.63</v>
      </c>
      <c r="G139" s="22" t="n">
        <v>933.63</v>
      </c>
      <c r="H139" s="22" t="n">
        <v>631.147</v>
      </c>
      <c r="I139" s="22" t="n">
        <v>632.4109999999999</v>
      </c>
      <c r="J139" s="22" t="n">
        <v>645.975</v>
      </c>
      <c r="K139" s="22" t="n">
        <v>790.9160000000001</v>
      </c>
      <c r="L139" s="22" t="n">
        <v>933.63</v>
      </c>
    </row>
    <row r="140">
      <c r="A140" s="20" t="inlineStr">
        <is>
          <t>이익잉여금</t>
        </is>
      </c>
      <c r="C140" s="22" t="n">
        <v>19686.674</v>
      </c>
      <c r="D140" s="22" t="n">
        <v>19833.682</v>
      </c>
      <c r="E140" s="22" t="n">
        <v>20317.995</v>
      </c>
      <c r="F140" s="22" t="n">
        <v>21205.308</v>
      </c>
      <c r="G140" s="22" t="n">
        <v>21768.273</v>
      </c>
      <c r="H140" s="22" t="n">
        <v>12557.346</v>
      </c>
      <c r="I140" s="22" t="n">
        <v>14760.347</v>
      </c>
      <c r="J140" s="22" t="n">
        <v>17443.969</v>
      </c>
      <c r="K140" s="22" t="n">
        <v>19383.435</v>
      </c>
      <c r="L140" s="22" t="n">
        <v>21205.308</v>
      </c>
    </row>
    <row r="141">
      <c r="A141" s="20" t="inlineStr">
        <is>
          <t>자기주식</t>
        </is>
      </c>
      <c r="C141" s="22" t="n">
        <v>-1730.649</v>
      </c>
      <c r="D141" s="22" t="n">
        <v>-1819.491</v>
      </c>
      <c r="E141" s="22" t="n">
        <v>-1819.491</v>
      </c>
      <c r="F141" s="22" t="n">
        <v>-1819.491</v>
      </c>
      <c r="G141" s="22" t="n">
        <v>-1819.491</v>
      </c>
      <c r="H141" s="22" t="n">
        <v>-321.957</v>
      </c>
      <c r="I141" s="22" t="n">
        <v>-1361.557</v>
      </c>
      <c r="J141" s="22" t="n">
        <v>-1890.517</v>
      </c>
      <c r="K141" s="22" t="n">
        <v>-1730.649</v>
      </c>
      <c r="L141" s="22" t="n">
        <v>-1819.491</v>
      </c>
    </row>
    <row r="142">
      <c r="A142" s="9" t="inlineStr">
        <is>
          <t>주주자본 합계</t>
        </is>
      </c>
      <c r="C142" s="12" t="n">
        <v>19841.295</v>
      </c>
      <c r="D142" s="12" t="n">
        <v>20035.435</v>
      </c>
      <c r="E142" s="12" t="n">
        <v>20519.749</v>
      </c>
      <c r="F142" s="12" t="n">
        <v>21434.864</v>
      </c>
      <c r="G142" s="12" t="n">
        <v>21997.829</v>
      </c>
      <c r="H142" s="12" t="n">
        <v>13936.373</v>
      </c>
      <c r="I142" s="12" t="n">
        <v>15102.302</v>
      </c>
      <c r="J142" s="12" t="n">
        <v>17284.093</v>
      </c>
      <c r="K142" s="12" t="n">
        <v>19538.056</v>
      </c>
      <c r="L142" s="12" t="n">
        <v>21434.864</v>
      </c>
    </row>
    <row r="143">
      <c r="A143" s="20" t="inlineStr">
        <is>
          <t>해외사업환산조정</t>
        </is>
      </c>
      <c r="C143" s="22" t="n">
        <v>213.215</v>
      </c>
      <c r="D143" s="22" t="n">
        <v>223.571</v>
      </c>
      <c r="E143" s="22" t="n">
        <v>288.037</v>
      </c>
      <c r="F143" s="22" t="n">
        <v>270.715</v>
      </c>
      <c r="G143" s="22" t="n">
        <v>290.118</v>
      </c>
      <c r="H143" s="22" t="n">
        <v>47.948</v>
      </c>
      <c r="I143" s="22" t="n">
        <v>70.688</v>
      </c>
      <c r="J143" s="22" t="n">
        <v>185.72</v>
      </c>
      <c r="K143" s="22" t="n">
        <v>198.476</v>
      </c>
      <c r="L143" s="22" t="n">
        <v>270.715</v>
      </c>
    </row>
    <row r="144">
      <c r="A144" s="20" t="inlineStr">
        <is>
          <t>기타포괄손익누계액 합계</t>
        </is>
      </c>
      <c r="C144" s="22" t="n">
        <v>213.215</v>
      </c>
      <c r="D144" s="22" t="n">
        <v>223.571</v>
      </c>
      <c r="E144" s="22" t="n">
        <v>288.037</v>
      </c>
      <c r="F144" s="22" t="n">
        <v>270.715</v>
      </c>
      <c r="G144" s="22" t="n">
        <v>290.118</v>
      </c>
      <c r="H144" s="22" t="n">
        <v>47.948</v>
      </c>
      <c r="I144" s="22" t="n">
        <v>70.688</v>
      </c>
      <c r="J144" s="22" t="n">
        <v>185.72</v>
      </c>
      <c r="K144" s="22" t="n">
        <v>198.476</v>
      </c>
      <c r="L144" s="22" t="n">
        <v>270.715</v>
      </c>
    </row>
    <row r="145">
      <c r="A145" s="20" t="inlineStr">
        <is>
          <t>신주예약권</t>
        </is>
      </c>
      <c r="C145" s="22" t="n">
        <v>30.072</v>
      </c>
      <c r="D145" s="22" t="n">
        <v>25.507</v>
      </c>
      <c r="E145" s="22" t="n">
        <v>25.507</v>
      </c>
      <c r="F145" s="22" t="n">
        <v>16.647</v>
      </c>
      <c r="G145" s="22" t="n">
        <v>16.647</v>
      </c>
      <c r="H145" s="22" t="n">
        <v>45.698</v>
      </c>
      <c r="I145" s="22" t="n">
        <v>44.893</v>
      </c>
      <c r="J145" s="22" t="n">
        <v>36.247</v>
      </c>
      <c r="K145" s="22" t="n">
        <v>30.072</v>
      </c>
      <c r="L145" s="22" t="n">
        <v>16.647</v>
      </c>
    </row>
    <row r="146">
      <c r="A146" s="9" t="inlineStr">
        <is>
          <t>순자산 합계</t>
        </is>
      </c>
      <c r="C146" s="12" t="n">
        <v>20084.582</v>
      </c>
      <c r="D146" s="12" t="n">
        <v>20284.514</v>
      </c>
      <c r="E146" s="12" t="n">
        <v>20833.294</v>
      </c>
      <c r="F146" s="12" t="n">
        <v>21722.227</v>
      </c>
      <c r="G146" s="12" t="n">
        <v>22304.594</v>
      </c>
      <c r="H146" s="12" t="n">
        <v>14030.02</v>
      </c>
      <c r="I146" s="12" t="n">
        <v>15217.884</v>
      </c>
      <c r="J146" s="12" t="n">
        <v>17506.06</v>
      </c>
      <c r="K146" s="12" t="n">
        <v>19766.605</v>
      </c>
      <c r="L146" s="12" t="n">
        <v>21722.227</v>
      </c>
    </row>
    <row r="147">
      <c r="A147" s="9" t="inlineStr">
        <is>
          <t>부채·순자산 합계</t>
        </is>
      </c>
      <c r="C147" s="12" t="n">
        <v>120447.664</v>
      </c>
      <c r="D147" s="12" t="n">
        <v>123888.529</v>
      </c>
      <c r="E147" s="12" t="n">
        <v>130825.563</v>
      </c>
      <c r="F147" s="12" t="n">
        <v>136663.418</v>
      </c>
      <c r="G147" s="12" t="n">
        <v>150550.031</v>
      </c>
      <c r="H147" s="12" t="n">
        <v>95455.849</v>
      </c>
      <c r="I147" s="12" t="n">
        <v>103724.771</v>
      </c>
      <c r="J147" s="12" t="n">
        <v>119070.342</v>
      </c>
      <c r="K147" s="12" t="n">
        <v>117622.676</v>
      </c>
      <c r="L147" s="12" t="n">
        <v>136663.418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１분기 결산단신</t>
        </is>
      </c>
      <c r="C4" t="inlineStr">
        <is>
          <t>https://www2.jpx.co.jp/disc/71850/140120260729502397.pdf</t>
        </is>
      </c>
    </row>
    <row r="5">
      <c r="A5" t="inlineStr">
        <is>
          <t>2026-05-14</t>
        </is>
      </c>
      <c r="B5" t="inlineStr">
        <is>
          <t>2026년 3월 결산기 연간 결산단신</t>
        </is>
      </c>
      <c r="C5" t="inlineStr">
        <is>
          <t>https://www2.jpx.co.jp/disc/71850/140120260514531903.pdf</t>
        </is>
      </c>
    </row>
    <row r="6">
      <c r="A6" t="inlineStr">
        <is>
          <t>2026-01-29</t>
        </is>
      </c>
      <c r="B6" t="inlineStr">
        <is>
          <t>2026년 3월 결산기 ３분기 결산단신</t>
        </is>
      </c>
      <c r="C6" t="inlineStr">
        <is>
          <t>https://www2.jpx.co.jp/disc/71850/140120260128540486.pdf</t>
        </is>
      </c>
    </row>
    <row r="7">
      <c r="A7" t="inlineStr">
        <is>
          <t>2025-10-30</t>
        </is>
      </c>
      <c r="B7" t="inlineStr">
        <is>
          <t>2026년 3월 결산기 ２분기 결산단신</t>
        </is>
      </c>
      <c r="C7" t="inlineStr">
        <is>
          <t>https://www2.jpx.co.jp/disc/71850/140120251029581541.pdf</t>
        </is>
      </c>
    </row>
    <row r="8">
      <c r="A8" t="inlineStr">
        <is>
          <t>2025-07-30</t>
        </is>
      </c>
      <c r="B8" t="inlineStr">
        <is>
          <t>2026년 3월 결산기 １분기 결산단신</t>
        </is>
      </c>
      <c r="C8" t="inlineStr">
        <is>
          <t>https://www2.jpx.co.jp/disc/71850/140120250729522697.pdf</t>
        </is>
      </c>
    </row>
    <row r="9">
      <c r="A9" t="inlineStr">
        <is>
          <t>2025-05-15</t>
        </is>
      </c>
      <c r="B9" t="inlineStr">
        <is>
          <t>2025년 3월 결산기 연간 결산단신</t>
        </is>
      </c>
      <c r="C9" t="inlineStr">
        <is>
          <t>https://www2.jpx.co.jp/disc/71850/140120250513546706.pdf</t>
        </is>
      </c>
    </row>
    <row r="10">
      <c r="A10" t="inlineStr">
        <is>
          <t>2025-01-30</t>
        </is>
      </c>
      <c r="B10" t="inlineStr">
        <is>
          <t>2025년 3월 결산기 ３분기 결산단신</t>
        </is>
      </c>
      <c r="C10" t="inlineStr">
        <is>
          <t>https://www2.jpx.co.jp/disc/71850/140120250129557173.pdf</t>
        </is>
      </c>
    </row>
    <row r="11">
      <c r="A11" t="inlineStr">
        <is>
          <t>2024-10-30</t>
        </is>
      </c>
      <c r="B11" t="inlineStr">
        <is>
          <t>2025년 3월 결산기 ２분기 결산단신</t>
        </is>
      </c>
      <c r="C11" t="inlineStr">
        <is>
          <t>https://www2.jpx.co.jp/disc/71850/140120241025502543.pdf</t>
        </is>
      </c>
    </row>
    <row r="12">
      <c r="A12" t="inlineStr">
        <is>
          <t>2024-07-30</t>
        </is>
      </c>
      <c r="B12" t="inlineStr">
        <is>
          <t>2025년 3월 결산기 １분기 결산단신</t>
        </is>
      </c>
      <c r="C12" t="inlineStr">
        <is>
          <t>https://www2.jpx.co.jp/disc/71850/140120240725554597.pdf</t>
        </is>
      </c>
    </row>
    <row r="13">
      <c r="A13" t="inlineStr">
        <is>
          <t>2024-05-14</t>
        </is>
      </c>
      <c r="B13" t="inlineStr">
        <is>
          <t>2024년 3월 결산기 연간 결산단신</t>
        </is>
      </c>
      <c r="C13" t="inlineStr">
        <is>
          <t>https://www2.jpx.co.jp/disc/71850/140120240513593436.pdf</t>
        </is>
      </c>
    </row>
    <row r="14">
      <c r="A14" t="inlineStr">
        <is>
          <t>2024-01-30</t>
        </is>
      </c>
      <c r="B14" t="inlineStr">
        <is>
          <t>2024년 3월 결산기 ３분기 결산단신</t>
        </is>
      </c>
      <c r="C14" t="inlineStr">
        <is>
          <t>https://www2.jpx.co.jp/disc/71850/140120240123518120.pdf</t>
        </is>
      </c>
    </row>
    <row r="15">
      <c r="A15" t="inlineStr">
        <is>
          <t>2023-10-30</t>
        </is>
      </c>
      <c r="B15" t="inlineStr">
        <is>
          <t>2024년 3월 결산기 ２분기 결산단신</t>
        </is>
      </c>
      <c r="C15" t="inlineStr">
        <is>
          <t>https://www2.jpx.co.jp/disc/71850/140120231025571309.pdf</t>
        </is>
      </c>
    </row>
    <row r="16">
      <c r="A16" t="inlineStr">
        <is>
          <t>2023-07-31</t>
        </is>
      </c>
      <c r="B16" t="inlineStr">
        <is>
          <t>2024년 3월 결산기 １분기 결산단신</t>
        </is>
      </c>
      <c r="C16" t="inlineStr">
        <is>
          <t>https://www2.jpx.co.jp/disc/71850/140120230725526590.pdf</t>
        </is>
      </c>
    </row>
    <row r="17">
      <c r="A17" t="inlineStr">
        <is>
          <t>2023-05-12</t>
        </is>
      </c>
      <c r="B17" t="inlineStr">
        <is>
          <t>2023년 3월 결산기 연간 결산단신</t>
        </is>
      </c>
      <c r="C17" t="inlineStr">
        <is>
          <t>https://www2.jpx.co.jp/disc/71850/140120230502558185.pdf</t>
        </is>
      </c>
    </row>
    <row r="18">
      <c r="A18" t="inlineStr">
        <is>
          <t>2023-01-30</t>
        </is>
      </c>
      <c r="B18" t="inlineStr">
        <is>
          <t>2023년 3월 결산기 ３분기 결산단신</t>
        </is>
      </c>
      <c r="C18" t="inlineStr">
        <is>
          <t>https://www2.jpx.co.jp/disc/71850/140120230125593224.pdf</t>
        </is>
      </c>
    </row>
    <row r="19">
      <c r="A19" t="inlineStr">
        <is>
          <t>2022-10-28</t>
        </is>
      </c>
      <c r="B19" t="inlineStr">
        <is>
          <t>2023년 3월 결산기 ２분기 결산단신</t>
        </is>
      </c>
      <c r="C19" t="inlineStr">
        <is>
          <t>https://www2.jpx.co.jp/disc/71850/140120221027550552.pdf</t>
        </is>
      </c>
    </row>
    <row r="20">
      <c r="A20" t="inlineStr">
        <is>
          <t>2022-05-12</t>
        </is>
      </c>
      <c r="B20" t="inlineStr">
        <is>
          <t>2022년 3월 결산기 연간 결산단신</t>
        </is>
      </c>
      <c r="C20" t="inlineStr">
        <is>
          <t>https://www2.jpx.co.jp/disc/71850/140120220510538537.pdf</t>
        </is>
      </c>
    </row>
    <row r="21">
      <c r="A21" t="inlineStr">
        <is>
          <t>2021-05-13</t>
        </is>
      </c>
      <c r="B21" t="inlineStr">
        <is>
          <t>2021년 3월 결산기 연간 결산단신</t>
        </is>
      </c>
      <c r="C21" t="inlineStr">
        <is>
          <t>https://www2.jpx.co.jp/disc/71850/140120210510409717.pdf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https://www2.jpx.co.jp/disc/71850/140120200507405901.pdf</t>
        </is>
      </c>
    </row>
    <row r="23">
      <c r="A23" t="inlineStr">
        <is>
          <t>2019-05-15</t>
        </is>
      </c>
      <c r="B23" t="inlineStr">
        <is>
          <t>2019년 3월 결산기 연간 결산단신</t>
        </is>
      </c>
      <c r="C23" t="inlineStr">
        <is>
          <t>https://www2.jpx.co.jp/disc/71850/140120190509419524.pdf</t>
        </is>
      </c>
    </row>
    <row r="24">
      <c r="A24" t="inlineStr">
        <is>
          <t>2018-05-15</t>
        </is>
      </c>
      <c r="B24" t="inlineStr">
        <is>
          <t>연간 결산단신</t>
        </is>
      </c>
      <c r="C24" t="inlineStr">
        <is>
          <t>https://www2.jpx.co.jp/disc/71850/140120180514438077.pdf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2026-10-26T10:58:34Z</dcterms:created>
  <dcterms:modified xmlns:dcterms="http://purl.org/dc/terms/" xmlns:xsi="http://www.w3.org/2001/XMLSchema-instance" xsi:type="dcterms:W3CDTF">2026-10-26T10:58:35Z</dcterms:modified>
</cp:coreProperties>
</file>