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6754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>
        <v>85967</v>
      </c>
      <c r="Q4" s="12" t="n">
        <v>99659</v>
      </c>
      <c r="R4" s="12" t="n">
        <v>107023</v>
      </c>
      <c r="S4" s="12" t="n">
        <v>105939</v>
      </c>
      <c r="T4" s="12" t="n">
        <v>105387</v>
      </c>
      <c r="U4" s="12" t="n">
        <v>110919</v>
      </c>
      <c r="V4" s="12" t="n">
        <v>109952</v>
      </c>
      <c r="W4" s="12" t="n">
        <v>112979</v>
      </c>
      <c r="X4" s="12" t="n">
        <v>117462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Test And Measurement</t>
        </is>
      </c>
      <c r="B7" s="10" t="n"/>
      <c r="C7" s="19" t="n">
        <v>15192</v>
      </c>
      <c r="D7" s="20" t="n">
        <v>17928</v>
      </c>
      <c r="E7" s="20" t="n">
        <v>17741</v>
      </c>
      <c r="F7" s="20" t="n">
        <v>20144</v>
      </c>
      <c r="G7" s="20" t="n">
        <v>16832</v>
      </c>
      <c r="H7" s="20" t="n">
        <v>17153</v>
      </c>
      <c r="I7" s="20" t="n">
        <v>16907</v>
      </c>
      <c r="J7" s="20" t="n">
        <v>19217</v>
      </c>
      <c r="K7" s="20" t="n">
        <v>14502</v>
      </c>
      <c r="L7" s="20" t="n">
        <v>16431</v>
      </c>
      <c r="M7" s="20" t="n">
        <v>17231</v>
      </c>
      <c r="N7" s="20" t="n">
        <v>20610</v>
      </c>
      <c r="O7" s="19" t="n"/>
      <c r="P7" s="20" t="n"/>
      <c r="Q7" s="20" t="n"/>
      <c r="R7" s="20" t="n"/>
      <c r="S7" s="20" t="n"/>
      <c r="T7" s="20" t="n"/>
      <c r="U7" s="20" t="n"/>
      <c r="V7" s="20" t="n">
        <v>71005</v>
      </c>
      <c r="W7" s="20" t="n">
        <v>70109</v>
      </c>
      <c r="X7" s="20" t="n">
        <v>68774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PQA</t>
        </is>
      </c>
      <c r="B10" s="10" t="n"/>
      <c r="C10" s="19" t="n">
        <v>5368</v>
      </c>
      <c r="D10" s="20" t="n">
        <v>6378</v>
      </c>
      <c r="E10" s="20" t="n">
        <v>5980</v>
      </c>
      <c r="F10" s="20" t="n">
        <v>7647</v>
      </c>
      <c r="G10" s="20" t="n">
        <v>5564</v>
      </c>
      <c r="H10" s="20" t="n">
        <v>7429</v>
      </c>
      <c r="I10" s="20" t="n">
        <v>6839</v>
      </c>
      <c r="J10" s="20" t="n">
        <v>8409</v>
      </c>
      <c r="K10" s="20" t="n">
        <v>6821</v>
      </c>
      <c r="L10" s="20" t="n">
        <v>7717</v>
      </c>
      <c r="M10" s="20" t="n">
        <v>7696</v>
      </c>
      <c r="N10" s="20" t="n">
        <v>8799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25373</v>
      </c>
      <c r="W10" s="20" t="n">
        <v>28241</v>
      </c>
      <c r="X10" s="20" t="n">
        <v>31033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Environmental Measurement Reportable Segments</t>
        </is>
      </c>
      <c r="B13" s="10" t="n"/>
      <c r="C13" s="19" t="n">
        <v>824</v>
      </c>
      <c r="D13" s="20" t="n">
        <v>2197</v>
      </c>
      <c r="E13" s="20" t="n">
        <v>1871</v>
      </c>
      <c r="F13" s="20" t="n">
        <v>2546</v>
      </c>
      <c r="G13" s="20" t="n">
        <v>1487</v>
      </c>
      <c r="H13" s="20" t="n">
        <v>2041</v>
      </c>
      <c r="I13" s="20" t="n">
        <v>2192</v>
      </c>
      <c r="J13" s="20" t="n">
        <v>2825</v>
      </c>
      <c r="K13" s="20" t="n">
        <v>851</v>
      </c>
      <c r="L13" s="20" t="n">
        <v>2085</v>
      </c>
      <c r="M13" s="20" t="n">
        <v>2684</v>
      </c>
      <c r="N13" s="20" t="n">
        <v>5167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7438</v>
      </c>
      <c r="W13" s="20" t="n">
        <v>8545</v>
      </c>
      <c r="X13" s="20" t="n">
        <v>10787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1357</v>
      </c>
      <c r="D16" s="20" t="n">
        <v>1650</v>
      </c>
      <c r="E16" s="20" t="n">
        <v>1293</v>
      </c>
      <c r="F16" s="20" t="n">
        <v>1834</v>
      </c>
      <c r="G16" s="20" t="n">
        <v>1344</v>
      </c>
      <c r="H16" s="20" t="n">
        <v>1457</v>
      </c>
      <c r="I16" s="20" t="n">
        <v>1594</v>
      </c>
      <c r="J16" s="20" t="n">
        <v>1686</v>
      </c>
      <c r="K16" s="20" t="n">
        <v>1444</v>
      </c>
      <c r="L16" s="20" t="n">
        <v>1840</v>
      </c>
      <c r="M16" s="20" t="n">
        <v>1766</v>
      </c>
      <c r="N16" s="20" t="n">
        <v>1817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6134</v>
      </c>
      <c r="W16" s="20" t="n">
        <v>6081</v>
      </c>
      <c r="X16" s="20" t="n">
        <v>6867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19" t="n"/>
      <c r="P20" s="20" t="n">
        <v>44023</v>
      </c>
      <c r="Q20" s="20" t="n">
        <v>48807</v>
      </c>
      <c r="R20" s="20" t="n">
        <v>48948</v>
      </c>
      <c r="S20" s="20" t="n">
        <v>48734</v>
      </c>
      <c r="T20" s="20" t="n">
        <v>49915</v>
      </c>
      <c r="U20" s="20" t="n">
        <v>56864</v>
      </c>
      <c r="V20" s="20" t="n">
        <v>58333</v>
      </c>
      <c r="W20" s="20" t="n">
        <v>58003</v>
      </c>
      <c r="X20" s="20" t="n">
        <v>57387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>
        <v>26563</v>
      </c>
      <c r="Q26" s="20" t="n">
        <v>27944</v>
      </c>
      <c r="R26" s="20" t="n">
        <v>28036</v>
      </c>
      <c r="S26" s="20" t="n">
        <v>26793</v>
      </c>
      <c r="T26" s="20" t="n">
        <v>27913</v>
      </c>
      <c r="U26" s="20" t="n">
        <v>31578</v>
      </c>
      <c r="V26" s="20" t="n">
        <v>32703</v>
      </c>
      <c r="W26" s="20" t="n">
        <v>33390</v>
      </c>
      <c r="X26" s="20" t="n">
        <v>36391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1" t="n"/>
      <c r="P28" s="12" t="n">
        <v>4912</v>
      </c>
      <c r="Q28" s="12" t="n">
        <v>11246</v>
      </c>
      <c r="R28" s="12" t="n">
        <v>17413</v>
      </c>
      <c r="S28" s="12" t="n">
        <v>19651</v>
      </c>
      <c r="T28" s="12" t="n">
        <v>16499</v>
      </c>
      <c r="U28" s="12" t="n">
        <v>11746</v>
      </c>
      <c r="V28" s="12" t="n">
        <v>8983</v>
      </c>
      <c r="W28" s="12" t="n">
        <v>12124</v>
      </c>
      <c r="X28" s="12" t="n">
        <v>14828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기타이익</t>
        </is>
      </c>
      <c r="B44" s="10" t="n"/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>
        <v>224</v>
      </c>
      <c r="Q44" s="20" t="n">
        <v>428</v>
      </c>
      <c r="R44" s="20" t="n">
        <v>659</v>
      </c>
      <c r="S44" s="20" t="n">
        <v>266</v>
      </c>
      <c r="T44" s="20" t="n">
        <v>309</v>
      </c>
      <c r="U44" s="20" t="n">
        <v>457</v>
      </c>
      <c r="V44" s="20" t="n">
        <v>277</v>
      </c>
      <c r="W44" s="20" t="n">
        <v>333</v>
      </c>
      <c r="X44" s="20" t="n">
        <v>743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기타손실</t>
        </is>
      </c>
      <c r="B46" s="10" t="n"/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>
        <v>535</v>
      </c>
      <c r="Q46" s="20" t="n">
        <v>374</v>
      </c>
      <c r="R46" s="20" t="n">
        <v>309</v>
      </c>
      <c r="S46" s="20" t="n">
        <v>117</v>
      </c>
      <c r="T46" s="20" t="n">
        <v>388</v>
      </c>
      <c r="U46" s="20" t="n">
        <v>242</v>
      </c>
      <c r="V46" s="20" t="n">
        <v>880</v>
      </c>
      <c r="W46" s="20" t="n">
        <v>544</v>
      </c>
      <c r="X46" s="20" t="n">
        <v>153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금융수익</t>
        </is>
      </c>
      <c r="B48" s="10" t="n"/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>
        <v>332</v>
      </c>
      <c r="Q48" s="20" t="n">
        <v>387</v>
      </c>
      <c r="R48" s="20" t="n">
        <v>345</v>
      </c>
      <c r="S48" s="20" t="n">
        <v>372</v>
      </c>
      <c r="T48" s="20" t="n">
        <v>970</v>
      </c>
      <c r="U48" s="20" t="n">
        <v>1170</v>
      </c>
      <c r="V48" s="20" t="n">
        <v>1259</v>
      </c>
      <c r="W48" s="20" t="n">
        <v>757</v>
      </c>
      <c r="X48" s="20" t="n">
        <v>1555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금융원가</t>
        </is>
      </c>
      <c r="B50" s="10" t="n"/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  <c r="P50" s="20" t="n">
        <v>642</v>
      </c>
      <c r="Q50" s="20" t="n">
        <v>271</v>
      </c>
      <c r="R50" s="20" t="n">
        <v>577</v>
      </c>
      <c r="S50" s="20" t="n">
        <v>184</v>
      </c>
      <c r="T50" s="20" t="n">
        <v>318</v>
      </c>
      <c r="U50" s="20" t="n">
        <v>482</v>
      </c>
      <c r="V50" s="20" t="n">
        <v>290</v>
      </c>
      <c r="W50" s="20" t="n">
        <v>143</v>
      </c>
      <c r="X50" s="20" t="n">
        <v>264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1" t="n"/>
      <c r="P52" s="12" t="n">
        <v>4602</v>
      </c>
      <c r="Q52" s="12" t="n">
        <v>11362</v>
      </c>
      <c r="R52" s="12" t="n">
        <v>17181</v>
      </c>
      <c r="S52" s="12" t="n">
        <v>19838</v>
      </c>
      <c r="T52" s="12" t="n">
        <v>17150</v>
      </c>
      <c r="U52" s="12" t="n">
        <v>12438</v>
      </c>
      <c r="V52" s="12" t="n">
        <v>9951</v>
      </c>
      <c r="W52" s="12" t="n">
        <v>12737</v>
      </c>
      <c r="X52" s="12" t="n">
        <v>16147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19" t="n"/>
      <c r="P54" s="20" t="n">
        <v>1703</v>
      </c>
      <c r="Q54" s="20" t="n">
        <v>2371</v>
      </c>
      <c r="R54" s="20" t="n">
        <v>3783</v>
      </c>
      <c r="S54" s="20" t="n">
        <v>3695</v>
      </c>
      <c r="T54" s="20" t="n">
        <v>4309</v>
      </c>
      <c r="U54" s="20" t="n">
        <v>3182</v>
      </c>
      <c r="V54" s="20" t="n">
        <v>2277</v>
      </c>
      <c r="W54" s="20" t="n">
        <v>3478</v>
      </c>
      <c r="X54" s="20" t="n">
        <v>4469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1" t="n"/>
      <c r="P56" s="12" t="n">
        <v>2898</v>
      </c>
      <c r="Q56" s="12" t="n">
        <v>8991</v>
      </c>
      <c r="R56" s="12" t="n">
        <v>13397</v>
      </c>
      <c r="S56" s="12" t="n">
        <v>16143</v>
      </c>
      <c r="T56" s="12" t="n">
        <v>12841</v>
      </c>
      <c r="U56" s="12" t="n">
        <v>9256</v>
      </c>
      <c r="V56" s="12" t="n">
        <v>7674</v>
      </c>
      <c r="W56" s="12" t="n">
        <v>9259</v>
      </c>
      <c r="X56" s="12" t="n">
        <v>11677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1" t="n"/>
      <c r="P58" s="12" t="n">
        <v>2880</v>
      </c>
      <c r="Q58" s="12" t="n">
        <v>8956</v>
      </c>
      <c r="R58" s="12" t="n">
        <v>13355</v>
      </c>
      <c r="S58" s="12" t="n">
        <v>16105</v>
      </c>
      <c r="T58" s="12" t="n">
        <v>12796</v>
      </c>
      <c r="U58" s="12" t="n">
        <v>9272</v>
      </c>
      <c r="V58" s="12" t="n">
        <v>7675</v>
      </c>
      <c r="W58" s="12" t="n">
        <v>9257</v>
      </c>
      <c r="X58" s="12" t="n">
        <v>11677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3029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135870594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포괄손익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2024.1Q</t>
        </is>
      </c>
      <c r="D92" s="5" t="inlineStr">
        <is>
          <t>2024.2Q</t>
        </is>
      </c>
      <c r="E92" s="5" t="inlineStr">
        <is>
          <t>2024.3Q</t>
        </is>
      </c>
      <c r="F92" s="5" t="inlineStr">
        <is>
          <t>2024.4Q</t>
        </is>
      </c>
      <c r="G92" s="5" t="inlineStr">
        <is>
          <t>2025.1Q</t>
        </is>
      </c>
      <c r="H92" s="5" t="inlineStr">
        <is>
          <t>2025.2Q</t>
        </is>
      </c>
      <c r="I92" s="5" t="inlineStr">
        <is>
          <t>2025.3Q</t>
        </is>
      </c>
      <c r="J92" s="5" t="inlineStr">
        <is>
          <t>2025.4Q</t>
        </is>
      </c>
      <c r="K92" s="5" t="inlineStr">
        <is>
          <t>2026.1Q</t>
        </is>
      </c>
      <c r="L92" s="5" t="inlineStr">
        <is>
          <t>2026.2Q</t>
        </is>
      </c>
      <c r="M92" s="5" t="inlineStr">
        <is>
          <t>2026.3Q</t>
        </is>
      </c>
      <c r="N92" s="5" t="inlineStr">
        <is>
          <t>2026.4Q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매출수익</t>
        </is>
      </c>
      <c r="C93" s="12" t="n">
        <v>22742</v>
      </c>
      <c r="D93" s="12" t="n">
        <v>28153</v>
      </c>
      <c r="E93" s="12" t="n">
        <v>26886</v>
      </c>
      <c r="G93" s="12" t="n">
        <v>25229</v>
      </c>
      <c r="K93" s="12" t="n">
        <v>23620</v>
      </c>
    </row>
    <row r="94">
      <c r="A94" s="18" t="inlineStr">
        <is>
          <t>매출원가</t>
        </is>
      </c>
      <c r="C94" s="20" t="n">
        <v>12606</v>
      </c>
      <c r="D94" s="20" t="n">
        <v>14739</v>
      </c>
      <c r="E94" s="20" t="n">
        <v>14186</v>
      </c>
      <c r="G94" s="20" t="n">
        <v>13579</v>
      </c>
      <c r="K94" s="20" t="n">
        <v>11874</v>
      </c>
    </row>
    <row r="95">
      <c r="A95" s="9" t="inlineStr">
        <is>
          <t>매출총이익</t>
        </is>
      </c>
      <c r="C95" s="12" t="n">
        <v>10136</v>
      </c>
      <c r="D95" s="12" t="n">
        <v>13413</v>
      </c>
      <c r="E95" s="12" t="n">
        <v>12700</v>
      </c>
      <c r="G95" s="12" t="n">
        <v>11649</v>
      </c>
      <c r="K95" s="12" t="n">
        <v>11745</v>
      </c>
    </row>
    <row r="96">
      <c r="A96" s="18" t="inlineStr">
        <is>
          <t>판매비와 관리비</t>
        </is>
      </c>
      <c r="C96" s="20" t="n">
        <v>7839</v>
      </c>
      <c r="D96" s="20" t="n">
        <v>8103</v>
      </c>
      <c r="E96" s="20" t="n">
        <v>8210</v>
      </c>
      <c r="G96" s="20" t="n">
        <v>8343</v>
      </c>
      <c r="K96" s="20" t="n">
        <v>8296</v>
      </c>
    </row>
    <row r="97">
      <c r="A97" s="18" t="inlineStr">
        <is>
          <t>연구개발비</t>
        </is>
      </c>
      <c r="C97" s="20" t="n">
        <v>2353</v>
      </c>
      <c r="D97" s="20" t="n">
        <v>2286</v>
      </c>
      <c r="E97" s="20" t="n">
        <v>2315</v>
      </c>
      <c r="G97" s="20" t="n">
        <v>2518</v>
      </c>
      <c r="K97" s="20" t="n">
        <v>2123</v>
      </c>
    </row>
    <row r="98">
      <c r="A98" s="18" t="inlineStr">
        <is>
          <t>기타수익</t>
        </is>
      </c>
      <c r="C98" s="20" t="n">
        <v>43</v>
      </c>
      <c r="D98" s="20" t="n">
        <v>60</v>
      </c>
      <c r="E98" s="20" t="n">
        <v>62</v>
      </c>
      <c r="G98" s="20" t="n">
        <v>49</v>
      </c>
      <c r="K98" s="20" t="n">
        <v>47</v>
      </c>
    </row>
    <row r="99">
      <c r="A99" s="18" t="inlineStr">
        <is>
          <t>기타비용</t>
        </is>
      </c>
      <c r="C99" s="20" t="n">
        <v>44</v>
      </c>
      <c r="D99" s="20" t="n">
        <v>93</v>
      </c>
      <c r="E99" s="20" t="n">
        <v>11</v>
      </c>
      <c r="G99" s="20" t="n">
        <v>214</v>
      </c>
      <c r="K99" s="20" t="n">
        <v>33</v>
      </c>
    </row>
    <row r="100">
      <c r="A100" s="18" t="inlineStr">
        <is>
          <t>영업이익</t>
        </is>
      </c>
      <c r="C100" s="20" t="n">
        <v>-57</v>
      </c>
      <c r="D100" s="20" t="n">
        <v>2991</v>
      </c>
      <c r="E100" s="20" t="n">
        <v>2225</v>
      </c>
      <c r="G100" s="20" t="n">
        <v>622</v>
      </c>
      <c r="K100" s="20" t="n">
        <v>1339</v>
      </c>
    </row>
    <row r="101">
      <c r="A101" s="18" t="inlineStr">
        <is>
          <t>금융수익</t>
        </is>
      </c>
      <c r="C101" s="20" t="n">
        <v>568</v>
      </c>
      <c r="D101" s="20" t="n">
        <v>212</v>
      </c>
      <c r="E101" s="20" t="n">
        <v>-63</v>
      </c>
      <c r="G101" s="20" t="n">
        <v>677</v>
      </c>
      <c r="K101" s="20" t="n">
        <v>195</v>
      </c>
    </row>
    <row r="102">
      <c r="A102" s="18" t="inlineStr">
        <is>
          <t>금융비용</t>
        </is>
      </c>
      <c r="C102" s="20" t="n">
        <v>83</v>
      </c>
      <c r="D102" s="20" t="n">
        <v>27</v>
      </c>
      <c r="E102" s="20" t="n">
        <v>130</v>
      </c>
      <c r="G102" s="20" t="n">
        <v>46</v>
      </c>
      <c r="K102" s="20" t="n">
        <v>182</v>
      </c>
    </row>
    <row r="103">
      <c r="A103" s="18" t="inlineStr">
        <is>
          <t>지분법 투자손익(△ 손실)</t>
        </is>
      </c>
      <c r="C103" s="20" t="n">
        <v>-0</v>
      </c>
      <c r="D103" s="20" t="n">
        <v>0</v>
      </c>
      <c r="E103" s="20" t="n">
        <v>0</v>
      </c>
      <c r="G103" s="20" t="n">
        <v>-0</v>
      </c>
      <c r="K103" s="20" t="n">
        <v>-0</v>
      </c>
    </row>
    <row r="104">
      <c r="A104" s="9" t="inlineStr">
        <is>
          <t>법인세비용차감전 중간이익</t>
        </is>
      </c>
      <c r="C104" s="12" t="n">
        <v>427</v>
      </c>
      <c r="D104" s="12" t="n">
        <v>3176</v>
      </c>
      <c r="E104" s="12" t="n">
        <v>2033</v>
      </c>
      <c r="G104" s="12" t="n">
        <v>1254</v>
      </c>
      <c r="K104" s="12" t="n">
        <v>1351</v>
      </c>
    </row>
    <row r="105">
      <c r="A105" s="18" t="inlineStr">
        <is>
          <t>법인소득세 비용</t>
        </is>
      </c>
      <c r="C105" s="20" t="n">
        <v>185</v>
      </c>
      <c r="D105" s="20" t="n">
        <v>632</v>
      </c>
      <c r="E105" s="20" t="n">
        <v>898</v>
      </c>
      <c r="G105" s="20" t="n">
        <v>537</v>
      </c>
      <c r="K105" s="20" t="n">
        <v>768</v>
      </c>
    </row>
    <row r="106">
      <c r="A106" s="9" t="inlineStr">
        <is>
          <t>중간이익</t>
        </is>
      </c>
      <c r="C106" s="12" t="n">
        <v>241</v>
      </c>
      <c r="D106" s="12" t="n">
        <v>2545</v>
      </c>
      <c r="E106" s="12" t="n">
        <v>1135</v>
      </c>
      <c r="G106" s="12" t="n">
        <v>716</v>
      </c>
      <c r="K106" s="12" t="n">
        <v>583</v>
      </c>
    </row>
    <row r="107">
      <c r="A107" s="9" t="inlineStr">
        <is>
          <t>지배기업 소유주</t>
        </is>
      </c>
      <c r="C107" s="12" t="n">
        <v>3418</v>
      </c>
      <c r="D107" s="12" t="n">
        <v>3683</v>
      </c>
      <c r="E107" s="12" t="n">
        <v>-329</v>
      </c>
      <c r="G107" s="12" t="n">
        <v>3446</v>
      </c>
      <c r="K107" s="12" t="n">
        <v>194</v>
      </c>
    </row>
    <row r="108">
      <c r="A108" s="9" t="inlineStr">
        <is>
          <t>비지배지분</t>
        </is>
      </c>
      <c r="C108" s="12" t="n">
        <v>-9</v>
      </c>
      <c r="D108" s="12" t="n">
        <v>7</v>
      </c>
      <c r="E108" s="12" t="n">
        <v>0</v>
      </c>
      <c r="G108" s="12" t="n">
        <v>0</v>
      </c>
      <c r="K108" s="12" t="n">
        <v>0</v>
      </c>
    </row>
    <row r="109">
      <c r="A109" s="18" t="inlineStr">
        <is>
          <t>기타포괄손익-공정가치 측정 금융자산</t>
        </is>
      </c>
      <c r="C109" s="20" t="n">
        <v>112</v>
      </c>
      <c r="D109" s="20" t="n">
        <v>75</v>
      </c>
      <c r="E109" s="20" t="n">
        <v>8</v>
      </c>
      <c r="G109" s="20" t="n">
        <v>27</v>
      </c>
      <c r="K109" s="20" t="n">
        <v>-63</v>
      </c>
    </row>
    <row r="110">
      <c r="A110" s="18" t="inlineStr">
        <is>
          <t>계</t>
        </is>
      </c>
      <c r="C110" s="20" t="n">
        <v>112</v>
      </c>
      <c r="D110" s="20" t="n">
        <v>75</v>
      </c>
      <c r="E110" s="20" t="n">
        <v>8</v>
      </c>
      <c r="G110" s="20" t="n">
        <v>27</v>
      </c>
      <c r="K110" s="20" t="n">
        <v>-63</v>
      </c>
    </row>
    <row r="111">
      <c r="A111" s="18" t="inlineStr">
        <is>
          <t>해외사업 환산차액</t>
        </is>
      </c>
      <c r="C111" s="20" t="n">
        <v>3055</v>
      </c>
      <c r="D111" s="20" t="n">
        <v>1070</v>
      </c>
      <c r="E111" s="20" t="n">
        <v>-1473</v>
      </c>
      <c r="G111" s="20" t="n">
        <v>2702</v>
      </c>
      <c r="K111" s="20" t="n">
        <v>-326</v>
      </c>
    </row>
    <row r="112">
      <c r="A112" s="18" t="inlineStr">
        <is>
          <t>Share Of Other Comprehensive Income Of Investments Accounted For Using Equity Method Net Of Tax Items That May Be Reclassified To Profit Or Loss OCI</t>
        </is>
      </c>
      <c r="G112" s="20" t="n">
        <v>0</v>
      </c>
      <c r="K112" s="20" t="n">
        <v>1</v>
      </c>
    </row>
    <row r="113">
      <c r="A113" s="18" t="inlineStr">
        <is>
          <t>계</t>
        </is>
      </c>
      <c r="C113" s="20" t="n">
        <v>3055</v>
      </c>
      <c r="D113" s="20" t="n">
        <v>1070</v>
      </c>
      <c r="E113" s="20" t="n">
        <v>-1473</v>
      </c>
      <c r="G113" s="20" t="n">
        <v>2702</v>
      </c>
      <c r="K113" s="20" t="n">
        <v>-325</v>
      </c>
    </row>
    <row r="114">
      <c r="A114" s="18" t="inlineStr">
        <is>
          <t>기타포괄손익 합계</t>
        </is>
      </c>
      <c r="C114" s="20" t="n">
        <v>3167</v>
      </c>
      <c r="D114" s="20" t="n">
        <v>1145</v>
      </c>
      <c r="E114" s="20" t="n">
        <v>-1465</v>
      </c>
      <c r="G114" s="20" t="n">
        <v>2730</v>
      </c>
      <c r="K114" s="20" t="n">
        <v>-388</v>
      </c>
    </row>
    <row r="115">
      <c r="A115" s="9" t="inlineStr">
        <is>
          <t>포괄이익</t>
        </is>
      </c>
      <c r="C115" s="12" t="n">
        <v>3409</v>
      </c>
      <c r="D115" s="12" t="n">
        <v>3690</v>
      </c>
      <c r="E115" s="12" t="n">
        <v>-330</v>
      </c>
      <c r="G115" s="12" t="n">
        <v>3446</v>
      </c>
      <c r="K115" s="12" t="n">
        <v>194</v>
      </c>
    </row>
    <row r="116">
      <c r="A116" s="18" t="inlineStr">
        <is>
          <t>Basic Earnings Loss Per Share</t>
        </is>
      </c>
      <c r="C116" s="20" t="n">
        <v>1.9e-06</v>
      </c>
      <c r="D116" s="20" t="n">
        <v>1.929e-05</v>
      </c>
      <c r="E116" s="20" t="n">
        <v>8.609999999999999e-06</v>
      </c>
      <c r="G116" s="20" t="n">
        <v>5.43e-06</v>
      </c>
      <c r="K116" s="20" t="n">
        <v>4.55e-06</v>
      </c>
    </row>
    <row r="117">
      <c r="A117" s="18" t="inlineStr">
        <is>
          <t>Diluted Earnings Loss Per Share</t>
        </is>
      </c>
      <c r="C117" s="20" t="n">
        <v>1.9e-06</v>
      </c>
      <c r="D117" s="20" t="n">
        <v>1.929e-05</v>
      </c>
      <c r="E117" s="20" t="n">
        <v>8.609999999999999e-06</v>
      </c>
      <c r="G117" s="20" t="n">
        <v>5.43e-06</v>
      </c>
      <c r="K117" s="20" t="n">
        <v>0</v>
      </c>
    </row>
    <row r="118">
      <c r="A118" s="9" t="inlineStr">
        <is>
          <t>지배기업 소유주</t>
        </is>
      </c>
      <c r="C118" s="12" t="n">
        <v>250</v>
      </c>
      <c r="D118" s="12" t="n">
        <v>2539</v>
      </c>
      <c r="E118" s="12" t="n">
        <v>1135</v>
      </c>
      <c r="G118" s="12" t="n">
        <v>716</v>
      </c>
      <c r="K118" s="12" t="n">
        <v>583</v>
      </c>
    </row>
    <row r="119">
      <c r="A119" s="9" t="inlineStr">
        <is>
          <t>비지배지분</t>
        </is>
      </c>
      <c r="C119" s="12" t="n">
        <v>-9</v>
      </c>
      <c r="D119" s="12" t="n">
        <v>7</v>
      </c>
      <c r="E119" s="12" t="n">
        <v>0</v>
      </c>
      <c r="G119" s="12" t="n">
        <v>0</v>
      </c>
      <c r="K119" s="12" t="n">
        <v>0</v>
      </c>
    </row>
    <row r="121">
      <c r="A121" s="16" t="inlineStr">
        <is>
          <t>부문 · 전 항목</t>
        </is>
      </c>
      <c r="B121" s="42" t="inlineStr">
        <is>
          <t>부문 · 항목</t>
        </is>
      </c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</row>
    <row r="122">
      <c r="A122" s="5" t="inlineStr">
        <is>
          <t>항목</t>
        </is>
      </c>
      <c r="B122" s="5" t="inlineStr">
        <is>
          <t>참고</t>
        </is>
      </c>
      <c r="C122" s="5" t="inlineStr">
        <is>
          <t>2024.1Q</t>
        </is>
      </c>
      <c r="D122" s="5" t="inlineStr">
        <is>
          <t>2024.2Q</t>
        </is>
      </c>
      <c r="E122" s="5" t="inlineStr">
        <is>
          <t>2024.3Q</t>
        </is>
      </c>
      <c r="F122" s="5" t="inlineStr">
        <is>
          <t>2024.4Q</t>
        </is>
      </c>
      <c r="G122" s="5" t="inlineStr">
        <is>
          <t>2025.1Q</t>
        </is>
      </c>
      <c r="H122" s="5" t="inlineStr">
        <is>
          <t>2025.2Q</t>
        </is>
      </c>
      <c r="I122" s="5" t="inlineStr">
        <is>
          <t>2025.3Q</t>
        </is>
      </c>
      <c r="J122" s="5" t="inlineStr">
        <is>
          <t>2025.4Q</t>
        </is>
      </c>
      <c r="K122" s="5" t="inlineStr">
        <is>
          <t>2026.1Q</t>
        </is>
      </c>
      <c r="L122" s="5" t="inlineStr">
        <is>
          <t>2026.2Q</t>
        </is>
      </c>
      <c r="M122" s="5" t="inlineStr">
        <is>
          <t>2026.3Q</t>
        </is>
      </c>
      <c r="N122" s="5" t="inlineStr">
        <is>
          <t>2026.4Q</t>
        </is>
      </c>
      <c r="O122" s="5" t="inlineStr">
        <is>
          <t>2017</t>
        </is>
      </c>
      <c r="P122" s="5" t="inlineStr">
        <is>
          <t>2018</t>
        </is>
      </c>
      <c r="Q122" s="5" t="inlineStr">
        <is>
          <t>2019</t>
        </is>
      </c>
      <c r="R122" s="5" t="inlineStr">
        <is>
          <t>2020</t>
        </is>
      </c>
      <c r="S122" s="5" t="inlineStr">
        <is>
          <t>2021</t>
        </is>
      </c>
      <c r="T122" s="5" t="inlineStr">
        <is>
          <t>2022</t>
        </is>
      </c>
      <c r="U122" s="5" t="inlineStr">
        <is>
          <t>2023</t>
        </is>
      </c>
      <c r="V122" s="5" t="inlineStr">
        <is>
          <t>2024</t>
        </is>
      </c>
      <c r="W122" s="5" t="inlineStr">
        <is>
          <t>2025</t>
        </is>
      </c>
      <c r="X122" s="5" t="inlineStr">
        <is>
          <t>2026</t>
        </is>
      </c>
      <c r="Y122" s="5" t="inlineStr">
        <is>
          <t>2027(MW)</t>
        </is>
      </c>
      <c r="Z122" s="5" t="inlineStr">
        <is>
          <t>2028(MW)</t>
        </is>
      </c>
      <c r="AA122" s="5" t="inlineStr">
        <is>
          <t>2029(MW)</t>
        </is>
      </c>
      <c r="AB122" s="5" t="inlineStr">
        <is>
          <t>2030(MW)</t>
        </is>
      </c>
      <c r="AC122" s="5" t="inlineStr">
        <is>
          <t>2031(MW)</t>
        </is>
      </c>
    </row>
    <row r="123">
      <c r="A123" s="18" t="inlineStr">
        <is>
          <t>부문 · Revenue From External Customers</t>
        </is>
      </c>
      <c r="C123" s="20" t="n">
        <v>15192</v>
      </c>
      <c r="D123" s="20" t="n">
        <v>17928</v>
      </c>
      <c r="E123" s="20" t="n">
        <v>17741</v>
      </c>
      <c r="F123" s="20" t="n">
        <v>20144</v>
      </c>
      <c r="G123" s="20" t="n">
        <v>16832</v>
      </c>
      <c r="H123" s="20" t="n">
        <v>17153</v>
      </c>
      <c r="I123" s="20" t="n">
        <v>16907</v>
      </c>
      <c r="J123" s="20" t="n">
        <v>19217</v>
      </c>
      <c r="K123" s="20" t="n">
        <v>14502</v>
      </c>
      <c r="L123" s="20" t="n">
        <v>16431</v>
      </c>
      <c r="M123" s="20" t="n">
        <v>17231</v>
      </c>
      <c r="N123" s="20" t="n">
        <v>20610</v>
      </c>
      <c r="V123" s="20" t="n">
        <v>20144</v>
      </c>
      <c r="W123" s="20" t="n">
        <v>19217</v>
      </c>
      <c r="X123" s="20" t="n">
        <v>20610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IF(OR(G123="",C123=""),"",IF(C123&lt;=0,"",IFERROR(G123/C123-1,"")))</f>
        <v/>
      </c>
      <c r="H124" s="15">
        <f>IF(OR(H123="",D123=""),"",IF(D123&lt;=0,"",IFERROR(H123/D123-1,"")))</f>
        <v/>
      </c>
      <c r="I124" s="15">
        <f>IF(OR(I123="",E123=""),"",IF(E123&lt;=0,"",IFERROR(I123/E123-1,"")))</f>
        <v/>
      </c>
      <c r="J124" s="15">
        <f>IF(OR(J123="",F123=""),"",IF(F123&lt;=0,"",IFERROR(J123/F123-1,"")))</f>
        <v/>
      </c>
      <c r="K124" s="15">
        <f>IF(OR(K123="",G123=""),"",IF(G123&lt;=0,"",IFERROR(K123/G123-1,"")))</f>
        <v/>
      </c>
      <c r="L124" s="15">
        <f>IF(OR(L123="",H123=""),"",IF(H123&lt;=0,"",IFERROR(L123/H123-1,"")))</f>
        <v/>
      </c>
      <c r="M124" s="15">
        <f>IF(OR(M123="",I123=""),"",IF(I123&lt;=0,"",IFERROR(M123/I123-1,"")))</f>
        <v/>
      </c>
      <c r="N124" s="15">
        <f>IF(OR(N123="",J123=""),"",IF(J123&lt;=0,"",IFERROR(N123/J123-1,"")))</f>
        <v/>
      </c>
      <c r="V124" s="15">
        <f>IF(OR(V123="",U123=""),"",IF(U123&lt;=0,"",IFERROR(V123/U123-1,"")))</f>
        <v/>
      </c>
      <c r="W124" s="15">
        <f>IF(OR(W123="",V123=""),"",IF(V123&lt;=0,"",IFERROR(W123/V123-1,"")))</f>
        <v/>
      </c>
      <c r="X124" s="15">
        <f>IF(OR(X123="",W123=""),"",IF(W123&lt;=0,"",IFERROR(X123/W123-1,"")))</f>
        <v/>
      </c>
    </row>
    <row r="125">
      <c r="A125" s="18" t="inlineStr">
        <is>
          <t>PQA · Revenue From External Customers</t>
        </is>
      </c>
      <c r="C125" s="20" t="n">
        <v>5368</v>
      </c>
      <c r="D125" s="20" t="n">
        <v>6378</v>
      </c>
      <c r="E125" s="20" t="n">
        <v>5980</v>
      </c>
      <c r="F125" s="20" t="n">
        <v>7647</v>
      </c>
      <c r="G125" s="20" t="n">
        <v>5564</v>
      </c>
      <c r="H125" s="20" t="n">
        <v>7429</v>
      </c>
      <c r="I125" s="20" t="n">
        <v>6839</v>
      </c>
      <c r="J125" s="20" t="n">
        <v>8409</v>
      </c>
      <c r="K125" s="20" t="n">
        <v>6821</v>
      </c>
      <c r="L125" s="20" t="n">
        <v>7717</v>
      </c>
      <c r="M125" s="20" t="n">
        <v>7696</v>
      </c>
      <c r="N125" s="20" t="n">
        <v>8799</v>
      </c>
      <c r="V125" s="20" t="n">
        <v>7647</v>
      </c>
      <c r="W125" s="20" t="n">
        <v>8409</v>
      </c>
      <c r="X125" s="20" t="n">
        <v>8799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V126" s="15">
        <f>IF(OR(V125="",U125=""),"",IF(U125&lt;=0,"",IFERROR(V125/U125-1,"")))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18" t="inlineStr">
        <is>
          <t>부문 · Revenue From External Customers</t>
        </is>
      </c>
      <c r="C127" s="20" t="n">
        <v>824</v>
      </c>
      <c r="D127" s="20" t="n">
        <v>2197</v>
      </c>
      <c r="E127" s="20" t="n">
        <v>1871</v>
      </c>
      <c r="F127" s="20" t="n">
        <v>2546</v>
      </c>
      <c r="G127" s="20" t="n">
        <v>1487</v>
      </c>
      <c r="H127" s="20" t="n">
        <v>2041</v>
      </c>
      <c r="I127" s="20" t="n">
        <v>2192</v>
      </c>
      <c r="J127" s="20" t="n">
        <v>2825</v>
      </c>
      <c r="K127" s="20" t="n">
        <v>851</v>
      </c>
      <c r="L127" s="20" t="n">
        <v>2085</v>
      </c>
      <c r="M127" s="20" t="n">
        <v>2684</v>
      </c>
      <c r="N127" s="20" t="n">
        <v>5167</v>
      </c>
      <c r="V127" s="20" t="n">
        <v>2546</v>
      </c>
      <c r="W127" s="20" t="n">
        <v>2825</v>
      </c>
      <c r="X127" s="20" t="n">
        <v>5167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  <c r="X128" s="15">
        <f>IF(OR(X127="",W127=""),"",IF(W127&lt;=0,"",IFERROR(X127/W127-1,"")))</f>
        <v/>
      </c>
    </row>
    <row r="129">
      <c r="A129" s="18" t="inlineStr">
        <is>
          <t>보고부문 합계 · Revenue From External Customers</t>
        </is>
      </c>
      <c r="C129" s="20" t="n">
        <v>21385</v>
      </c>
      <c r="D129" s="20" t="n">
        <v>26502</v>
      </c>
      <c r="E129" s="20" t="n">
        <v>25593</v>
      </c>
      <c r="F129" s="20" t="n">
        <v>30337</v>
      </c>
      <c r="G129" s="20" t="n">
        <v>23884</v>
      </c>
      <c r="H129" s="20" t="n">
        <v>26623</v>
      </c>
      <c r="I129" s="20" t="n">
        <v>25938</v>
      </c>
      <c r="J129" s="20" t="n">
        <v>30452</v>
      </c>
      <c r="K129" s="20" t="n">
        <v>22175</v>
      </c>
      <c r="L129" s="20" t="n">
        <v>26233</v>
      </c>
      <c r="M129" s="20" t="n">
        <v>27611</v>
      </c>
      <c r="N129" s="20" t="n">
        <v>34575</v>
      </c>
      <c r="V129" s="20" t="n">
        <v>30337</v>
      </c>
      <c r="W129" s="20" t="n">
        <v>30452</v>
      </c>
      <c r="X129" s="20" t="n">
        <v>34575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IF(OR(G129="",C129=""),"",IF(C129&lt;=0,"",IFERROR(G129/C129-1,"")))</f>
        <v/>
      </c>
      <c r="H130" s="15">
        <f>IF(OR(H129="",D129=""),"",IF(D129&lt;=0,"",IFERROR(H129/D129-1,"")))</f>
        <v/>
      </c>
      <c r="I130" s="15">
        <f>IF(OR(I129="",E129=""),"",IF(E129&lt;=0,"",IFERROR(I129/E129-1,"")))</f>
        <v/>
      </c>
      <c r="J130" s="15">
        <f>IF(OR(J129="",F129=""),"",IF(F129&lt;=0,"",IFERROR(J129/F129-1,"")))</f>
        <v/>
      </c>
      <c r="K130" s="15">
        <f>IF(OR(K129="",G129=""),"",IF(G129&lt;=0,"",IFERROR(K129/G129-1,"")))</f>
        <v/>
      </c>
      <c r="L130" s="15">
        <f>IF(OR(L129="",H129=""),"",IF(H129&lt;=0,"",IFERROR(L129/H129-1,"")))</f>
        <v/>
      </c>
      <c r="M130" s="15">
        <f>IF(OR(M129="",I129=""),"",IF(I129&lt;=0,"",IFERROR(M129/I129-1,"")))</f>
        <v/>
      </c>
      <c r="N130" s="15">
        <f>IF(OR(N129="",J129=""),"",IF(J129&lt;=0,"",IFERROR(N129/J129-1,"")))</f>
        <v/>
      </c>
      <c r="V130" s="15">
        <f>IF(OR(V129="",U129=""),"",IF(U129&lt;=0,"",IFERROR(V129/U129-1,"")))</f>
        <v/>
      </c>
      <c r="W130" s="15">
        <f>IF(OR(W129="",V129=""),"",IF(V129&lt;=0,"",IFERROR(W129/V129-1,"")))</f>
        <v/>
      </c>
      <c r="X130" s="15">
        <f>IF(OR(X129="",W129=""),"",IF(W129&lt;=0,"",IFERROR(X129/W129-1,"")))</f>
        <v/>
      </c>
    </row>
    <row r="131">
      <c r="A131" s="18" t="inlineStr">
        <is>
          <t>기타 · Revenue From External Customers</t>
        </is>
      </c>
      <c r="C131" s="20" t="n">
        <v>1357</v>
      </c>
      <c r="D131" s="20" t="n">
        <v>1650</v>
      </c>
      <c r="E131" s="20" t="n">
        <v>1293</v>
      </c>
      <c r="F131" s="20" t="n">
        <v>1834</v>
      </c>
      <c r="G131" s="20" t="n">
        <v>1344</v>
      </c>
      <c r="H131" s="20" t="n">
        <v>1457</v>
      </c>
      <c r="I131" s="20" t="n">
        <v>1594</v>
      </c>
      <c r="J131" s="20" t="n">
        <v>1686</v>
      </c>
      <c r="K131" s="20" t="n">
        <v>1444</v>
      </c>
      <c r="L131" s="20" t="n">
        <v>1840</v>
      </c>
      <c r="M131" s="20" t="n">
        <v>1766</v>
      </c>
      <c r="N131" s="20" t="n">
        <v>1817</v>
      </c>
      <c r="V131" s="20" t="n">
        <v>1834</v>
      </c>
      <c r="W131" s="20" t="n">
        <v>1686</v>
      </c>
      <c r="X131" s="20" t="n">
        <v>1817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합계 · Revenue From External Customers</t>
        </is>
      </c>
      <c r="C133" s="20" t="n">
        <v>22742</v>
      </c>
      <c r="D133" s="20" t="n">
        <v>28153</v>
      </c>
      <c r="E133" s="20" t="n">
        <v>26886</v>
      </c>
      <c r="F133" s="20" t="n">
        <v>32171</v>
      </c>
      <c r="G133" s="20" t="n">
        <v>25229</v>
      </c>
      <c r="H133" s="20" t="n">
        <v>28080</v>
      </c>
      <c r="I133" s="20" t="n">
        <v>27531</v>
      </c>
      <c r="J133" s="20" t="n">
        <v>32139</v>
      </c>
      <c r="K133" s="20" t="n">
        <v>23620</v>
      </c>
      <c r="L133" s="20" t="n">
        <v>28073</v>
      </c>
      <c r="M133" s="20" t="n">
        <v>29377</v>
      </c>
      <c r="N133" s="20" t="n">
        <v>36392</v>
      </c>
      <c r="V133" s="20" t="n">
        <v>32171</v>
      </c>
      <c r="W133" s="20" t="n">
        <v>32139</v>
      </c>
      <c r="X133" s="20" t="n">
        <v>36392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조정액 · Revenue From External Customers</t>
        </is>
      </c>
      <c r="C135" s="20" t="n">
        <v>0</v>
      </c>
      <c r="D135" s="20" t="n">
        <v>0</v>
      </c>
      <c r="E135" s="20" t="n">
        <v>0</v>
      </c>
      <c r="F135" s="20" t="n">
        <v>0</v>
      </c>
      <c r="G135" s="20" t="n">
        <v>0</v>
      </c>
      <c r="H135" s="20" t="n">
        <v>0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V135" s="20" t="n">
        <v>0</v>
      </c>
      <c r="W135" s="20" t="n">
        <v>0</v>
      </c>
      <c r="X135" s="20" t="n">
        <v>0</v>
      </c>
    </row>
    <row r="136">
      <c r="A136" s="9" t="inlineStr">
        <is>
          <t>Revenue From External Customers</t>
        </is>
      </c>
      <c r="C136" s="12" t="n">
        <v>22742</v>
      </c>
      <c r="D136" s="12" t="n">
        <v>28153</v>
      </c>
      <c r="E136" s="12" t="n">
        <v>26886</v>
      </c>
      <c r="F136" s="12" t="n">
        <v>32171</v>
      </c>
      <c r="G136" s="12" t="n">
        <v>25229</v>
      </c>
      <c r="H136" s="12" t="n">
        <v>28080</v>
      </c>
      <c r="I136" s="12" t="n">
        <v>27531</v>
      </c>
      <c r="J136" s="12" t="n">
        <v>32139</v>
      </c>
      <c r="K136" s="12" t="n">
        <v>23620</v>
      </c>
      <c r="L136" s="12" t="n">
        <v>28073</v>
      </c>
      <c r="M136" s="12" t="n">
        <v>29377</v>
      </c>
      <c r="N136" s="12" t="n">
        <v>36392</v>
      </c>
      <c r="V136" s="12" t="n">
        <v>32171</v>
      </c>
      <c r="W136" s="12" t="n">
        <v>32139</v>
      </c>
      <c r="X136" s="12" t="n">
        <v>36392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8">
      <c r="A138" s="18" t="inlineStr">
        <is>
          <t>부문 · Intersegment Revenue</t>
        </is>
      </c>
      <c r="C138" s="20" t="n">
        <v>5</v>
      </c>
      <c r="D138" s="20" t="n">
        <v>4</v>
      </c>
      <c r="E138" s="20" t="n">
        <v>1</v>
      </c>
      <c r="F138" s="20" t="n">
        <v>3</v>
      </c>
      <c r="G138" s="20" t="n">
        <v>3</v>
      </c>
      <c r="H138" s="20" t="n">
        <v>3</v>
      </c>
      <c r="I138" s="20" t="n">
        <v>5</v>
      </c>
      <c r="J138" s="20" t="n">
        <v>2</v>
      </c>
      <c r="K138" s="20" t="n">
        <v>3</v>
      </c>
      <c r="L138" s="20" t="n">
        <v>3</v>
      </c>
      <c r="M138" s="20" t="n">
        <v>3</v>
      </c>
      <c r="N138" s="20" t="n">
        <v>4</v>
      </c>
      <c r="V138" s="20" t="n">
        <v>3</v>
      </c>
      <c r="W138" s="20" t="n">
        <v>2</v>
      </c>
      <c r="X138" s="20" t="n">
        <v>4</v>
      </c>
    </row>
    <row r="139">
      <c r="A139" s="18" t="inlineStr">
        <is>
          <t>PQA · Intersegment Revenue</t>
        </is>
      </c>
      <c r="C139" s="20" t="n">
        <v>0</v>
      </c>
      <c r="D139" s="20" t="n">
        <v>1</v>
      </c>
      <c r="E139" s="20" t="n">
        <v>1</v>
      </c>
      <c r="F139" s="20" t="n">
        <v>1</v>
      </c>
      <c r="G139" s="20" t="n">
        <v>0</v>
      </c>
      <c r="H139" s="20" t="n">
        <v>1</v>
      </c>
      <c r="I139" s="20" t="n">
        <v>1</v>
      </c>
      <c r="J139" s="20" t="n">
        <v>1</v>
      </c>
      <c r="K139" s="20" t="n">
        <v>0</v>
      </c>
      <c r="L139" s="20" t="n">
        <v>0</v>
      </c>
      <c r="M139" s="20" t="n">
        <v>1</v>
      </c>
      <c r="N139" s="20" t="n">
        <v>0</v>
      </c>
      <c r="V139" s="20" t="n">
        <v>1</v>
      </c>
      <c r="W139" s="20" t="n">
        <v>1</v>
      </c>
      <c r="X139" s="20" t="n">
        <v>0</v>
      </c>
    </row>
    <row r="140">
      <c r="A140" s="18" t="inlineStr">
        <is>
          <t>부문 · Intersegment Revenue</t>
        </is>
      </c>
      <c r="C140" s="20" t="n">
        <v>0</v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0</v>
      </c>
      <c r="I140" s="20" t="n">
        <v>0</v>
      </c>
      <c r="J140" s="20" t="n">
        <v>0</v>
      </c>
      <c r="K140" s="20" t="n">
        <v>0</v>
      </c>
      <c r="L140" s="20" t="n">
        <v>0</v>
      </c>
      <c r="M140" s="20" t="n">
        <v>0</v>
      </c>
      <c r="N140" s="20" t="n">
        <v>0</v>
      </c>
      <c r="V140" s="20" t="n">
        <v>0</v>
      </c>
      <c r="W140" s="20" t="n">
        <v>0</v>
      </c>
      <c r="X140" s="20" t="n">
        <v>0</v>
      </c>
    </row>
    <row r="141">
      <c r="A141" s="18" t="inlineStr">
        <is>
          <t>보고부문 합계 · Intersegment Revenue</t>
        </is>
      </c>
      <c r="C141" s="20" t="n">
        <v>6</v>
      </c>
      <c r="D141" s="20" t="n">
        <v>5</v>
      </c>
      <c r="E141" s="20" t="n">
        <v>2</v>
      </c>
      <c r="F141" s="20" t="n">
        <v>3</v>
      </c>
      <c r="G141" s="20" t="n">
        <v>4</v>
      </c>
      <c r="H141" s="20" t="n">
        <v>4</v>
      </c>
      <c r="I141" s="20" t="n">
        <v>6</v>
      </c>
      <c r="J141" s="20" t="n">
        <v>2</v>
      </c>
      <c r="K141" s="20" t="n">
        <v>3</v>
      </c>
      <c r="L141" s="20" t="n">
        <v>4</v>
      </c>
      <c r="M141" s="20" t="n">
        <v>4</v>
      </c>
      <c r="N141" s="20" t="n">
        <v>4</v>
      </c>
      <c r="V141" s="20" t="n">
        <v>3</v>
      </c>
      <c r="W141" s="20" t="n">
        <v>2</v>
      </c>
      <c r="X141" s="20" t="n">
        <v>4</v>
      </c>
    </row>
    <row r="142">
      <c r="A142" s="18" t="inlineStr">
        <is>
          <t>기타 · Intersegment Revenue</t>
        </is>
      </c>
      <c r="C142" s="20" t="n">
        <v>574</v>
      </c>
      <c r="D142" s="20" t="n">
        <v>601</v>
      </c>
      <c r="E142" s="20" t="n">
        <v>663</v>
      </c>
      <c r="F142" s="20" t="n">
        <v>746</v>
      </c>
      <c r="G142" s="20" t="n">
        <v>650</v>
      </c>
      <c r="H142" s="20" t="n">
        <v>787</v>
      </c>
      <c r="I142" s="20" t="n">
        <v>836</v>
      </c>
      <c r="J142" s="20" t="n">
        <v>806</v>
      </c>
      <c r="K142" s="20" t="n">
        <v>761</v>
      </c>
      <c r="L142" s="20" t="n">
        <v>761</v>
      </c>
      <c r="M142" s="20" t="n">
        <v>941</v>
      </c>
      <c r="N142" s="20" t="n">
        <v>1204</v>
      </c>
      <c r="V142" s="20" t="n">
        <v>746</v>
      </c>
      <c r="W142" s="20" t="n">
        <v>806</v>
      </c>
      <c r="X142" s="20" t="n">
        <v>1204</v>
      </c>
    </row>
    <row r="143">
      <c r="A143" s="18" t="inlineStr">
        <is>
          <t>합계 · Intersegment Revenue</t>
        </is>
      </c>
      <c r="C143" s="20" t="n">
        <v>580</v>
      </c>
      <c r="D143" s="20" t="n">
        <v>606</v>
      </c>
      <c r="E143" s="20" t="n">
        <v>665</v>
      </c>
      <c r="F143" s="20" t="n">
        <v>750</v>
      </c>
      <c r="G143" s="20" t="n">
        <v>654</v>
      </c>
      <c r="H143" s="20" t="n">
        <v>792</v>
      </c>
      <c r="I143" s="20" t="n">
        <v>841</v>
      </c>
      <c r="J143" s="20" t="n">
        <v>809</v>
      </c>
      <c r="K143" s="20" t="n">
        <v>765</v>
      </c>
      <c r="L143" s="20" t="n">
        <v>764</v>
      </c>
      <c r="M143" s="20" t="n">
        <v>946</v>
      </c>
      <c r="N143" s="20" t="n">
        <v>1207</v>
      </c>
      <c r="V143" s="20" t="n">
        <v>750</v>
      </c>
      <c r="W143" s="20" t="n">
        <v>809</v>
      </c>
      <c r="X143" s="20" t="n">
        <v>1207</v>
      </c>
    </row>
    <row r="144">
      <c r="A144" s="18" t="inlineStr">
        <is>
          <t>조정액 · Intersegment Revenue</t>
        </is>
      </c>
      <c r="C144" s="20" t="n">
        <v>-580</v>
      </c>
      <c r="D144" s="20" t="n">
        <v>-606</v>
      </c>
      <c r="E144" s="20" t="n">
        <v>-665</v>
      </c>
      <c r="F144" s="20" t="n">
        <v>-750</v>
      </c>
      <c r="G144" s="20" t="n">
        <v>-654</v>
      </c>
      <c r="H144" s="20" t="n">
        <v>-792</v>
      </c>
      <c r="I144" s="20" t="n">
        <v>-841</v>
      </c>
      <c r="J144" s="20" t="n">
        <v>-809</v>
      </c>
      <c r="K144" s="20" t="n">
        <v>-765</v>
      </c>
      <c r="L144" s="20" t="n">
        <v>-764</v>
      </c>
      <c r="M144" s="20" t="n">
        <v>-946</v>
      </c>
      <c r="N144" s="20" t="n">
        <v>-1207</v>
      </c>
      <c r="V144" s="20" t="n">
        <v>-750</v>
      </c>
      <c r="W144" s="20" t="n">
        <v>-809</v>
      </c>
      <c r="X144" s="20" t="n">
        <v>-1207</v>
      </c>
    </row>
    <row r="145">
      <c r="A145" s="18" t="inlineStr">
        <is>
          <t>Intersegment Revenue</t>
        </is>
      </c>
      <c r="C145" s="20" t="n">
        <v>0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0</v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0</v>
      </c>
      <c r="V145" s="20" t="n">
        <v>0</v>
      </c>
      <c r="W145" s="20" t="n">
        <v>0</v>
      </c>
      <c r="X145" s="20" t="n">
        <v>0</v>
      </c>
    </row>
    <row r="146">
      <c r="A146" s="18" t="inlineStr">
        <is>
          <t>부문 · 계</t>
        </is>
      </c>
      <c r="C146" s="20" t="n">
        <v>15197</v>
      </c>
      <c r="D146" s="20" t="n">
        <v>17932</v>
      </c>
      <c r="E146" s="20" t="n">
        <v>17743</v>
      </c>
      <c r="F146" s="20" t="n">
        <v>20147</v>
      </c>
      <c r="G146" s="20" t="n">
        <v>16836</v>
      </c>
      <c r="H146" s="20" t="n">
        <v>17156</v>
      </c>
      <c r="I146" s="20" t="n">
        <v>16912</v>
      </c>
      <c r="J146" s="20" t="n">
        <v>19219</v>
      </c>
      <c r="K146" s="20" t="n">
        <v>14506</v>
      </c>
      <c r="L146" s="20" t="n">
        <v>16434</v>
      </c>
      <c r="M146" s="20" t="n">
        <v>17234</v>
      </c>
      <c r="N146" s="20" t="n">
        <v>20614</v>
      </c>
      <c r="V146" s="20" t="n">
        <v>20147</v>
      </c>
      <c r="W146" s="20" t="n">
        <v>19219</v>
      </c>
      <c r="X146" s="20" t="n">
        <v>20614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PQA · 계</t>
        </is>
      </c>
      <c r="C148" s="20" t="n">
        <v>5369</v>
      </c>
      <c r="D148" s="20" t="n">
        <v>6379</v>
      </c>
      <c r="E148" s="20" t="n">
        <v>5980</v>
      </c>
      <c r="F148" s="20" t="n">
        <v>7648</v>
      </c>
      <c r="G148" s="20" t="n">
        <v>5564</v>
      </c>
      <c r="H148" s="20" t="n">
        <v>7430</v>
      </c>
      <c r="I148" s="20" t="n">
        <v>6841</v>
      </c>
      <c r="J148" s="20" t="n">
        <v>8409</v>
      </c>
      <c r="K148" s="20" t="n">
        <v>6822</v>
      </c>
      <c r="L148" s="20" t="n">
        <v>7716</v>
      </c>
      <c r="M148" s="20" t="n">
        <v>7697</v>
      </c>
      <c r="N148" s="20" t="n">
        <v>8799</v>
      </c>
      <c r="V148" s="20" t="n">
        <v>7648</v>
      </c>
      <c r="W148" s="20" t="n">
        <v>8409</v>
      </c>
      <c r="X148" s="20" t="n">
        <v>8799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부문 · 계</t>
        </is>
      </c>
      <c r="C150" s="20" t="n">
        <v>824</v>
      </c>
      <c r="D150" s="20" t="n">
        <v>2197</v>
      </c>
      <c r="E150" s="20" t="n">
        <v>1871</v>
      </c>
      <c r="F150" s="20" t="n">
        <v>2546</v>
      </c>
      <c r="G150" s="20" t="n">
        <v>1487</v>
      </c>
      <c r="H150" s="20" t="n">
        <v>2041</v>
      </c>
      <c r="I150" s="20" t="n">
        <v>2192</v>
      </c>
      <c r="J150" s="20" t="n">
        <v>2825</v>
      </c>
      <c r="K150" s="20" t="n">
        <v>851</v>
      </c>
      <c r="L150" s="20" t="n">
        <v>2085</v>
      </c>
      <c r="M150" s="20" t="n">
        <v>2684</v>
      </c>
      <c r="N150" s="20" t="n">
        <v>5167</v>
      </c>
      <c r="V150" s="20" t="n">
        <v>2546</v>
      </c>
      <c r="W150" s="20" t="n">
        <v>2825</v>
      </c>
      <c r="X150" s="20" t="n">
        <v>5167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보고부문 합계 · 계</t>
        </is>
      </c>
      <c r="C152" s="20" t="n">
        <v>21391</v>
      </c>
      <c r="D152" s="20" t="n">
        <v>26507</v>
      </c>
      <c r="E152" s="20" t="n">
        <v>25596</v>
      </c>
      <c r="F152" s="20" t="n">
        <v>30340</v>
      </c>
      <c r="G152" s="20" t="n">
        <v>23888</v>
      </c>
      <c r="H152" s="20" t="n">
        <v>26627</v>
      </c>
      <c r="I152" s="20" t="n">
        <v>25944</v>
      </c>
      <c r="J152" s="20" t="n">
        <v>30455</v>
      </c>
      <c r="K152" s="20" t="n">
        <v>22179</v>
      </c>
      <c r="L152" s="20" t="n">
        <v>26237</v>
      </c>
      <c r="M152" s="20" t="n">
        <v>27614</v>
      </c>
      <c r="N152" s="20" t="n">
        <v>34580</v>
      </c>
      <c r="V152" s="20" t="n">
        <v>30340</v>
      </c>
      <c r="W152" s="20" t="n">
        <v>30455</v>
      </c>
      <c r="X152" s="20" t="n">
        <v>34580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기타 · 계</t>
        </is>
      </c>
      <c r="C154" s="20" t="n">
        <v>1931</v>
      </c>
      <c r="D154" s="20" t="n">
        <v>2252</v>
      </c>
      <c r="E154" s="20" t="n">
        <v>1955</v>
      </c>
      <c r="F154" s="20" t="n">
        <v>2581</v>
      </c>
      <c r="G154" s="20" t="n">
        <v>1995</v>
      </c>
      <c r="H154" s="20" t="n">
        <v>2244</v>
      </c>
      <c r="I154" s="20" t="n">
        <v>2429</v>
      </c>
      <c r="J154" s="20" t="n">
        <v>2493</v>
      </c>
      <c r="K154" s="20" t="n">
        <v>2205</v>
      </c>
      <c r="L154" s="20" t="n">
        <v>2601</v>
      </c>
      <c r="M154" s="20" t="n">
        <v>2708</v>
      </c>
      <c r="N154" s="20" t="n">
        <v>3020</v>
      </c>
      <c r="V154" s="20" t="n">
        <v>2581</v>
      </c>
      <c r="W154" s="20" t="n">
        <v>2493</v>
      </c>
      <c r="X154" s="20" t="n">
        <v>3020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합계 · 계</t>
        </is>
      </c>
      <c r="C156" s="20" t="n">
        <v>23323</v>
      </c>
      <c r="D156" s="20" t="n">
        <v>28759</v>
      </c>
      <c r="E156" s="20" t="n">
        <v>27551</v>
      </c>
      <c r="F156" s="20" t="n">
        <v>32920</v>
      </c>
      <c r="G156" s="20" t="n">
        <v>25883</v>
      </c>
      <c r="H156" s="20" t="n">
        <v>28872</v>
      </c>
      <c r="I156" s="20" t="n">
        <v>28373</v>
      </c>
      <c r="J156" s="20" t="n">
        <v>32947</v>
      </c>
      <c r="K156" s="20" t="n">
        <v>24385</v>
      </c>
      <c r="L156" s="20" t="n">
        <v>28837</v>
      </c>
      <c r="M156" s="20" t="n">
        <v>30323</v>
      </c>
      <c r="N156" s="20" t="n">
        <v>37599</v>
      </c>
      <c r="V156" s="20" t="n">
        <v>32920</v>
      </c>
      <c r="W156" s="20" t="n">
        <v>32947</v>
      </c>
      <c r="X156" s="20" t="n">
        <v>37599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조정액 · 계</t>
        </is>
      </c>
      <c r="C158" s="20" t="n">
        <v>-580</v>
      </c>
      <c r="D158" s="20" t="n">
        <v>-606</v>
      </c>
      <c r="E158" s="20" t="n">
        <v>-665</v>
      </c>
      <c r="F158" s="20" t="n">
        <v>-750</v>
      </c>
      <c r="G158" s="20" t="n">
        <v>-654</v>
      </c>
      <c r="H158" s="20" t="n">
        <v>-792</v>
      </c>
      <c r="I158" s="20" t="n">
        <v>-841</v>
      </c>
      <c r="J158" s="20" t="n">
        <v>-809</v>
      </c>
      <c r="K158" s="20" t="n">
        <v>-765</v>
      </c>
      <c r="L158" s="20" t="n">
        <v>-764</v>
      </c>
      <c r="M158" s="20" t="n">
        <v>-946</v>
      </c>
      <c r="N158" s="20" t="n">
        <v>-1207</v>
      </c>
      <c r="V158" s="20" t="n">
        <v>-750</v>
      </c>
      <c r="W158" s="20" t="n">
        <v>-809</v>
      </c>
      <c r="X158" s="20" t="n">
        <v>-1207</v>
      </c>
    </row>
    <row r="159">
      <c r="A159" s="9" t="inlineStr">
        <is>
          <t>계</t>
        </is>
      </c>
      <c r="C159" s="12" t="n">
        <v>22742</v>
      </c>
      <c r="D159" s="12" t="n">
        <v>28153</v>
      </c>
      <c r="E159" s="12" t="n">
        <v>26886</v>
      </c>
      <c r="F159" s="12" t="n">
        <v>32171</v>
      </c>
      <c r="G159" s="12" t="n">
        <v>25229</v>
      </c>
      <c r="H159" s="12" t="n">
        <v>28080</v>
      </c>
      <c r="I159" s="12" t="n">
        <v>27531</v>
      </c>
      <c r="J159" s="12" t="n">
        <v>32139</v>
      </c>
      <c r="K159" s="12" t="n">
        <v>23620</v>
      </c>
      <c r="L159" s="12" t="n">
        <v>28073</v>
      </c>
      <c r="M159" s="12" t="n">
        <v>29377</v>
      </c>
      <c r="N159" s="12" t="n">
        <v>36392</v>
      </c>
      <c r="V159" s="12" t="n">
        <v>32171</v>
      </c>
      <c r="W159" s="12" t="n">
        <v>32139</v>
      </c>
      <c r="X159" s="12" t="n">
        <v>36392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부문 · Cost Of Sales Other Revenue And Expenses</t>
        </is>
      </c>
      <c r="C161" s="20" t="n">
        <v>-14773</v>
      </c>
      <c r="D161" s="20" t="n">
        <v>-15242</v>
      </c>
      <c r="E161" s="20" t="n">
        <v>-15973</v>
      </c>
      <c r="F161" s="20" t="n">
        <v>-17486</v>
      </c>
      <c r="G161" s="20" t="n">
        <v>-16231</v>
      </c>
      <c r="H161" s="20" t="n">
        <v>-15220</v>
      </c>
      <c r="I161" s="20" t="n">
        <v>-15017</v>
      </c>
      <c r="J161" s="20" t="n">
        <v>-15280</v>
      </c>
      <c r="K161" s="20" t="n">
        <v>-13237</v>
      </c>
      <c r="L161" s="20" t="n">
        <v>-13756</v>
      </c>
      <c r="M161" s="20" t="n">
        <v>-14678</v>
      </c>
      <c r="N161" s="20" t="n">
        <v>-16334</v>
      </c>
      <c r="V161" s="20" t="n">
        <v>-17486</v>
      </c>
      <c r="W161" s="20" t="n">
        <v>-15280</v>
      </c>
      <c r="X161" s="20" t="n">
        <v>-16334</v>
      </c>
    </row>
    <row r="162">
      <c r="A162" s="18" t="inlineStr">
        <is>
          <t>PQA · Cost Of Sales Other Revenue And Expenses</t>
        </is>
      </c>
      <c r="C162" s="20" t="n">
        <v>-5349</v>
      </c>
      <c r="D162" s="20" t="n">
        <v>-6156</v>
      </c>
      <c r="E162" s="20" t="n">
        <v>-5527</v>
      </c>
      <c r="F162" s="20" t="n">
        <v>-7049</v>
      </c>
      <c r="G162" s="20" t="n">
        <v>-5436</v>
      </c>
      <c r="H162" s="20" t="n">
        <v>-6499</v>
      </c>
      <c r="I162" s="20" t="n">
        <v>-6325</v>
      </c>
      <c r="J162" s="20" t="n">
        <v>-7148</v>
      </c>
      <c r="K162" s="20" t="n">
        <v>-6255</v>
      </c>
      <c r="L162" s="20" t="n">
        <v>-6829</v>
      </c>
      <c r="M162" s="20" t="n">
        <v>-7080</v>
      </c>
      <c r="N162" s="20" t="n">
        <v>-7552</v>
      </c>
      <c r="V162" s="20" t="n">
        <v>-7049</v>
      </c>
      <c r="W162" s="20" t="n">
        <v>-7148</v>
      </c>
      <c r="X162" s="20" t="n">
        <v>-7552</v>
      </c>
    </row>
    <row r="163">
      <c r="A163" s="18" t="inlineStr">
        <is>
          <t>부문 · Cost Of Sales Other Revenue And Expenses</t>
        </is>
      </c>
      <c r="C163" s="20" t="n">
        <v>-1135</v>
      </c>
      <c r="D163" s="20" t="n">
        <v>-2056</v>
      </c>
      <c r="E163" s="20" t="n">
        <v>-1688</v>
      </c>
      <c r="F163" s="20" t="n">
        <v>-2022</v>
      </c>
      <c r="G163" s="20" t="n">
        <v>-1543</v>
      </c>
      <c r="H163" s="20" t="n">
        <v>-1922</v>
      </c>
      <c r="I163" s="20" t="n">
        <v>-1838</v>
      </c>
      <c r="J163" s="20" t="n">
        <v>-2342</v>
      </c>
      <c r="K163" s="20" t="n">
        <v>-1245</v>
      </c>
      <c r="L163" s="20" t="n">
        <v>-1788</v>
      </c>
      <c r="M163" s="20" t="n">
        <v>-2599</v>
      </c>
      <c r="N163" s="20" t="n">
        <v>-4304</v>
      </c>
      <c r="V163" s="20" t="n">
        <v>-2022</v>
      </c>
      <c r="W163" s="20" t="n">
        <v>-2342</v>
      </c>
      <c r="X163" s="20" t="n">
        <v>-4304</v>
      </c>
    </row>
    <row r="164">
      <c r="A164" s="18" t="inlineStr">
        <is>
          <t>보고부문 합계 · Cost Of Sales Other Revenue And Expenses</t>
        </is>
      </c>
      <c r="C164" s="20" t="n">
        <v>-21258</v>
      </c>
      <c r="D164" s="20" t="n">
        <v>-23453</v>
      </c>
      <c r="E164" s="20" t="n">
        <v>-23189</v>
      </c>
      <c r="F164" s="20" t="n">
        <v>-26557</v>
      </c>
      <c r="G164" s="20" t="n">
        <v>-23211</v>
      </c>
      <c r="H164" s="20" t="n">
        <v>-23640</v>
      </c>
      <c r="I164" s="20" t="n">
        <v>-23182</v>
      </c>
      <c r="J164" s="20" t="n">
        <v>-24770</v>
      </c>
      <c r="K164" s="20" t="n">
        <v>-20738</v>
      </c>
      <c r="L164" s="20" t="n">
        <v>-22373</v>
      </c>
      <c r="M164" s="20" t="n">
        <v>-24357</v>
      </c>
      <c r="N164" s="20" t="n">
        <v>-28190</v>
      </c>
      <c r="V164" s="20" t="n">
        <v>-26557</v>
      </c>
      <c r="W164" s="20" t="n">
        <v>-24770</v>
      </c>
      <c r="X164" s="20" t="n">
        <v>-28190</v>
      </c>
    </row>
    <row r="165">
      <c r="A165" s="18" t="inlineStr">
        <is>
          <t>기타 · Cost Of Sales Other Revenue And Expenses</t>
        </is>
      </c>
      <c r="C165" s="20" t="n">
        <v>-1863</v>
      </c>
      <c r="D165" s="20" t="n">
        <v>-2025</v>
      </c>
      <c r="E165" s="20" t="n">
        <v>-1806</v>
      </c>
      <c r="F165" s="20" t="n">
        <v>-2214</v>
      </c>
      <c r="G165" s="20" t="n">
        <v>-1679</v>
      </c>
      <c r="H165" s="20" t="n">
        <v>-1931</v>
      </c>
      <c r="I165" s="20" t="n">
        <v>-1964</v>
      </c>
      <c r="J165" s="20" t="n">
        <v>-2130</v>
      </c>
      <c r="K165" s="20" t="n">
        <v>-1828</v>
      </c>
      <c r="L165" s="20" t="n">
        <v>-2238</v>
      </c>
      <c r="M165" s="20" t="n">
        <v>-2061</v>
      </c>
      <c r="N165" s="20" t="n">
        <v>-2435</v>
      </c>
      <c r="V165" s="20" t="n">
        <v>-2214</v>
      </c>
      <c r="W165" s="20" t="n">
        <v>-2130</v>
      </c>
      <c r="X165" s="20" t="n">
        <v>-2435</v>
      </c>
    </row>
    <row r="166">
      <c r="A166" s="18" t="inlineStr">
        <is>
          <t>합계 · Cost Of Sales Other Revenue And Expenses</t>
        </is>
      </c>
      <c r="C166" s="20" t="n">
        <v>-23121</v>
      </c>
      <c r="D166" s="20" t="n">
        <v>-25479</v>
      </c>
      <c r="E166" s="20" t="n">
        <v>-24994</v>
      </c>
      <c r="F166" s="20" t="n">
        <v>-28772</v>
      </c>
      <c r="G166" s="20" t="n">
        <v>-24891</v>
      </c>
      <c r="H166" s="20" t="n">
        <v>-25571</v>
      </c>
      <c r="I166" s="20" t="n">
        <v>-25145</v>
      </c>
      <c r="J166" s="20" t="n">
        <v>-26900</v>
      </c>
      <c r="K166" s="20" t="n">
        <v>-22566</v>
      </c>
      <c r="L166" s="20" t="n">
        <v>-24612</v>
      </c>
      <c r="M166" s="20" t="n">
        <v>-26417</v>
      </c>
      <c r="N166" s="20" t="n">
        <v>-30626</v>
      </c>
      <c r="V166" s="20" t="n">
        <v>-28772</v>
      </c>
      <c r="W166" s="20" t="n">
        <v>-26900</v>
      </c>
      <c r="X166" s="20" t="n">
        <v>-30626</v>
      </c>
    </row>
    <row r="167">
      <c r="A167" s="18" t="inlineStr">
        <is>
          <t>조정액 · Cost Of Sales Other Revenue And Expenses</t>
        </is>
      </c>
      <c r="C167" s="20" t="n">
        <v>321</v>
      </c>
      <c r="D167" s="20" t="n">
        <v>318</v>
      </c>
      <c r="E167" s="20" t="n">
        <v>333</v>
      </c>
      <c r="F167" s="20" t="n">
        <v>425</v>
      </c>
      <c r="G167" s="20" t="n">
        <v>285</v>
      </c>
      <c r="H167" s="20" t="n">
        <v>444</v>
      </c>
      <c r="I167" s="20" t="n">
        <v>456</v>
      </c>
      <c r="J167" s="20" t="n">
        <v>467</v>
      </c>
      <c r="K167" s="20" t="n">
        <v>286</v>
      </c>
      <c r="L167" s="20" t="n">
        <v>231</v>
      </c>
      <c r="M167" s="20" t="n">
        <v>421</v>
      </c>
      <c r="N167" s="20" t="n">
        <v>649</v>
      </c>
      <c r="V167" s="20" t="n">
        <v>425</v>
      </c>
      <c r="W167" s="20" t="n">
        <v>467</v>
      </c>
      <c r="X167" s="20" t="n">
        <v>649</v>
      </c>
    </row>
    <row r="168">
      <c r="A168" s="18" t="inlineStr">
        <is>
          <t>Cost Of Sales Other Revenue And Expenses</t>
        </is>
      </c>
      <c r="C168" s="20" t="n">
        <v>-22799</v>
      </c>
      <c r="D168" s="20" t="n">
        <v>-25162</v>
      </c>
      <c r="E168" s="20" t="n">
        <v>-24661</v>
      </c>
      <c r="F168" s="20" t="n">
        <v>-28346</v>
      </c>
      <c r="G168" s="20" t="n">
        <v>-24606</v>
      </c>
      <c r="H168" s="20" t="n">
        <v>-25126</v>
      </c>
      <c r="I168" s="20" t="n">
        <v>-24689</v>
      </c>
      <c r="J168" s="20" t="n">
        <v>-26434</v>
      </c>
      <c r="K168" s="20" t="n">
        <v>-22280</v>
      </c>
      <c r="L168" s="20" t="n">
        <v>-24380</v>
      </c>
      <c r="M168" s="20" t="n">
        <v>-25997</v>
      </c>
      <c r="N168" s="20" t="n">
        <v>-29976</v>
      </c>
      <c r="V168" s="20" t="n">
        <v>-28346</v>
      </c>
      <c r="W168" s="20" t="n">
        <v>-26434</v>
      </c>
      <c r="X168" s="20" t="n">
        <v>-29976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IF(OR(G168="",C168=""),"",IF(G168*C168&lt;=0,"",IFERROR(G168/C168-1,"")))</f>
        <v/>
      </c>
      <c r="H169" s="15">
        <f>IF(OR(H168="",D168=""),"",IF(H168*D168&lt;=0,"",IFERROR(H168/D168-1,"")))</f>
        <v/>
      </c>
      <c r="I169" s="15">
        <f>IF(OR(I168="",E168=""),"",IF(I168*E168&lt;=0,"",IFERROR(I168/E168-1,"")))</f>
        <v/>
      </c>
      <c r="J169" s="15">
        <f>IF(OR(J168="",F168=""),"",IF(J168*F168&lt;=0,"",IFERROR(J168/F168-1,"")))</f>
        <v/>
      </c>
      <c r="K169" s="15">
        <f>IF(OR(K168="",G168=""),"",IF(K168*G168&lt;=0,"",IFERROR(K168/G168-1,"")))</f>
        <v/>
      </c>
      <c r="L169" s="15">
        <f>IF(OR(L168="",H168=""),"",IF(L168*H168&lt;=0,"",IFERROR(L168/H168-1,"")))</f>
        <v/>
      </c>
      <c r="M169" s="15">
        <f>IF(OR(M168="",I168=""),"",IF(M168*I168&lt;=0,"",IFERROR(M168/I168-1,"")))</f>
        <v/>
      </c>
      <c r="N169" s="15">
        <f>IF(OR(N168="",J168=""),"",IF(N168*J168&lt;=0,"",IFERROR(N168/J168-1,"")))</f>
        <v/>
      </c>
      <c r="V169" s="15">
        <f>IF(OR(V168="",U168=""),"",IF(V168*U168&lt;=0,"",IFERROR(V168/U168-1,"")))</f>
        <v/>
      </c>
      <c r="W169" s="15">
        <f>IF(OR(W168="",V168=""),"",IF(W168*V168&lt;=0,"",IFERROR(W168/V168-1,"")))</f>
        <v/>
      </c>
      <c r="X169" s="15">
        <f>IF(OR(X168="",W168=""),"",IF(X168*W168&lt;=0,"",IFERROR(X168/W168-1,"")))</f>
        <v/>
      </c>
    </row>
    <row r="170">
      <c r="A170" s="18" t="inlineStr">
        <is>
          <t>부문 · 영업이익(손실)</t>
        </is>
      </c>
      <c r="C170" s="20" t="n">
        <v>424</v>
      </c>
      <c r="D170" s="20" t="n">
        <v>2690</v>
      </c>
      <c r="E170" s="20" t="n">
        <v>1770</v>
      </c>
      <c r="F170" s="20" t="n">
        <v>2660</v>
      </c>
      <c r="G170" s="20" t="n">
        <v>604</v>
      </c>
      <c r="H170" s="20" t="n">
        <v>1937</v>
      </c>
      <c r="I170" s="20" t="n">
        <v>1894</v>
      </c>
      <c r="J170" s="20" t="n">
        <v>3940</v>
      </c>
      <c r="K170" s="20" t="n">
        <v>1268</v>
      </c>
      <c r="L170" s="20" t="n">
        <v>2679</v>
      </c>
      <c r="M170" s="20" t="n">
        <v>2555</v>
      </c>
      <c r="N170" s="20" t="n">
        <v>4280</v>
      </c>
      <c r="V170" s="20" t="n">
        <v>2660</v>
      </c>
      <c r="W170" s="20" t="n">
        <v>3940</v>
      </c>
      <c r="X170" s="20" t="n">
        <v>4280</v>
      </c>
    </row>
    <row r="171">
      <c r="A171" s="43" t="inlineStr">
        <is>
          <t>OPM</t>
        </is>
      </c>
      <c r="B171" s="3" t="inlineStr">
        <is>
          <t>영업이익 ÷ 매출</t>
        </is>
      </c>
      <c r="C171" s="15">
        <f>IF(OR(C170="",C146=""),"",IF(C146&lt;=0,"",IFERROR(C170/C146,"")))</f>
        <v/>
      </c>
      <c r="D171" s="15">
        <f>IF(OR(D170="",D146=""),"",IF(D146&lt;=0,"",IFERROR(D170/D146,"")))</f>
        <v/>
      </c>
      <c r="E171" s="15">
        <f>IF(OR(E170="",E146=""),"",IF(E146&lt;=0,"",IFERROR(E170/E146,"")))</f>
        <v/>
      </c>
      <c r="F171" s="15">
        <f>IF(OR(F170="",F146=""),"",IF(F146&lt;=0,"",IFERROR(F170/F146,"")))</f>
        <v/>
      </c>
      <c r="G171" s="15">
        <f>IF(OR(G170="",G146=""),"",IF(G146&lt;=0,"",IFERROR(G170/G146,"")))</f>
        <v/>
      </c>
      <c r="H171" s="15">
        <f>IF(OR(H170="",H146=""),"",IF(H146&lt;=0,"",IFERROR(H170/H146,"")))</f>
        <v/>
      </c>
      <c r="I171" s="15">
        <f>IF(OR(I170="",I146=""),"",IF(I146&lt;=0,"",IFERROR(I170/I146,"")))</f>
        <v/>
      </c>
      <c r="J171" s="15">
        <f>IF(OR(J170="",J146=""),"",IF(J146&lt;=0,"",IFERROR(J170/J146,"")))</f>
        <v/>
      </c>
      <c r="K171" s="15">
        <f>IF(OR(K170="",K146=""),"",IF(K146&lt;=0,"",IFERROR(K170/K146,"")))</f>
        <v/>
      </c>
      <c r="L171" s="15">
        <f>IF(OR(L170="",L146=""),"",IF(L146&lt;=0,"",IFERROR(L170/L146,"")))</f>
        <v/>
      </c>
      <c r="M171" s="15">
        <f>IF(OR(M170="",M146=""),"",IF(M146&lt;=0,"",IFERROR(M170/M146,"")))</f>
        <v/>
      </c>
      <c r="N171" s="15">
        <f>IF(OR(N170="",N146=""),"",IF(N146&lt;=0,"",IFERROR(N170/N146,"")))</f>
        <v/>
      </c>
      <c r="V171" s="15">
        <f>IF(OR(V170="",V146=""),"",IF(V146&lt;=0,"",IFERROR(V170/V146,"")))</f>
        <v/>
      </c>
      <c r="W171" s="15">
        <f>IF(OR(W170="",W146=""),"",IF(W146&lt;=0,"",IFERROR(W170/W146,"")))</f>
        <v/>
      </c>
      <c r="X171" s="15">
        <f>IF(OR(X170="",X146=""),"",IF(X146&lt;=0,"",IFERROR(X170/X146,"")))</f>
        <v/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IF(OR(G170="",C170=""),"",IF(C170&lt;=0,"",IFERROR(G170/C170-1,"")))</f>
        <v/>
      </c>
      <c r="H172" s="15">
        <f>IF(OR(H170="",D170=""),"",IF(D170&lt;=0,"",IFERROR(H170/D170-1,"")))</f>
        <v/>
      </c>
      <c r="I172" s="15">
        <f>IF(OR(I170="",E170=""),"",IF(E170&lt;=0,"",IFERROR(I170/E170-1,"")))</f>
        <v/>
      </c>
      <c r="J172" s="15">
        <f>IF(OR(J170="",F170=""),"",IF(F170&lt;=0,"",IFERROR(J170/F170-1,"")))</f>
        <v/>
      </c>
      <c r="K172" s="15">
        <f>IF(OR(K170="",G170=""),"",IF(G170&lt;=0,"",IFERROR(K170/G170-1,"")))</f>
        <v/>
      </c>
      <c r="L172" s="15">
        <f>IF(OR(L170="",H170=""),"",IF(H170&lt;=0,"",IFERROR(L170/H170-1,"")))</f>
        <v/>
      </c>
      <c r="M172" s="15">
        <f>IF(OR(M170="",I170=""),"",IF(I170&lt;=0,"",IFERROR(M170/I170-1,"")))</f>
        <v/>
      </c>
      <c r="N172" s="15">
        <f>IF(OR(N170="",J170=""),"",IF(J170&lt;=0,"",IFERROR(N170/J170-1,"")))</f>
        <v/>
      </c>
      <c r="V172" s="15">
        <f>IF(OR(V170="",U170=""),"",IF(U170&lt;=0,"",IFERROR(V170/U170-1,"")))</f>
        <v/>
      </c>
      <c r="W172" s="15">
        <f>IF(OR(W170="",V170=""),"",IF(V170&lt;=0,"",IFERROR(W170/V170-1,"")))</f>
        <v/>
      </c>
      <c r="X172" s="15">
        <f>IF(OR(X170="",W170=""),"",IF(W170&lt;=0,"",IFERROR(X170/W170-1,"")))</f>
        <v/>
      </c>
    </row>
    <row r="173">
      <c r="A173" s="18" t="inlineStr">
        <is>
          <t>PQA · 영업이익(손실)</t>
        </is>
      </c>
      <c r="C173" s="20" t="n">
        <v>20</v>
      </c>
      <c r="D173" s="20" t="n">
        <v>222</v>
      </c>
      <c r="E173" s="20" t="n">
        <v>454</v>
      </c>
      <c r="F173" s="20" t="n">
        <v>599</v>
      </c>
      <c r="G173" s="20" t="n">
        <v>127</v>
      </c>
      <c r="H173" s="20" t="n">
        <v>932</v>
      </c>
      <c r="I173" s="20" t="n">
        <v>516</v>
      </c>
      <c r="J173" s="20" t="n">
        <v>1261</v>
      </c>
      <c r="K173" s="20" t="n">
        <v>567</v>
      </c>
      <c r="L173" s="20" t="n">
        <v>887</v>
      </c>
      <c r="M173" s="20" t="n">
        <v>617</v>
      </c>
      <c r="N173" s="20" t="n">
        <v>1247</v>
      </c>
      <c r="V173" s="20" t="n">
        <v>599</v>
      </c>
      <c r="W173" s="20" t="n">
        <v>1261</v>
      </c>
      <c r="X173" s="20" t="n">
        <v>1247</v>
      </c>
    </row>
    <row r="174">
      <c r="A174" s="43" t="inlineStr">
        <is>
          <t>OPM</t>
        </is>
      </c>
      <c r="B174" s="3" t="inlineStr">
        <is>
          <t>영업이익 ÷ 매출</t>
        </is>
      </c>
      <c r="C174" s="15">
        <f>IF(OR(C173="",C148=""),"",IF(C148&lt;=0,"",IFERROR(C173/C148,"")))</f>
        <v/>
      </c>
      <c r="D174" s="15">
        <f>IF(OR(D173="",D148=""),"",IF(D148&lt;=0,"",IFERROR(D173/D148,"")))</f>
        <v/>
      </c>
      <c r="E174" s="15">
        <f>IF(OR(E173="",E148=""),"",IF(E148&lt;=0,"",IFERROR(E173/E148,"")))</f>
        <v/>
      </c>
      <c r="F174" s="15">
        <f>IF(OR(F173="",F148=""),"",IF(F148&lt;=0,"",IFERROR(F173/F148,"")))</f>
        <v/>
      </c>
      <c r="G174" s="15">
        <f>IF(OR(G173="",G148=""),"",IF(G148&lt;=0,"",IFERROR(G173/G148,"")))</f>
        <v/>
      </c>
      <c r="H174" s="15">
        <f>IF(OR(H173="",H148=""),"",IF(H148&lt;=0,"",IFERROR(H173/H148,"")))</f>
        <v/>
      </c>
      <c r="I174" s="15">
        <f>IF(OR(I173="",I148=""),"",IF(I148&lt;=0,"",IFERROR(I173/I148,"")))</f>
        <v/>
      </c>
      <c r="J174" s="15">
        <f>IF(OR(J173="",J148=""),"",IF(J148&lt;=0,"",IFERROR(J173/J148,"")))</f>
        <v/>
      </c>
      <c r="K174" s="15">
        <f>IF(OR(K173="",K148=""),"",IF(K148&lt;=0,"",IFERROR(K173/K148,"")))</f>
        <v/>
      </c>
      <c r="L174" s="15">
        <f>IF(OR(L173="",L148=""),"",IF(L148&lt;=0,"",IFERROR(L173/L148,"")))</f>
        <v/>
      </c>
      <c r="M174" s="15">
        <f>IF(OR(M173="",M148=""),"",IF(M148&lt;=0,"",IFERROR(M173/M148,"")))</f>
        <v/>
      </c>
      <c r="N174" s="15">
        <f>IF(OR(N173="",N148=""),"",IF(N148&lt;=0,"",IFERROR(N173/N148,"")))</f>
        <v/>
      </c>
      <c r="V174" s="15">
        <f>IF(OR(V173="",V148=""),"",IF(V148&lt;=0,"",IFERROR(V173/V148,"")))</f>
        <v/>
      </c>
      <c r="W174" s="15">
        <f>IF(OR(W173="",W148=""),"",IF(W148&lt;=0,"",IFERROR(W173/W148,"")))</f>
        <v/>
      </c>
      <c r="X174" s="15">
        <f>IF(OR(X173="",X148=""),"",IF(X148&lt;=0,"",IFERROR(X173/X148,"")))</f>
        <v/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IF(OR(G173="",C173=""),"",IF(C173&lt;=0,"",IFERROR(G173/C173-1,"")))</f>
        <v/>
      </c>
      <c r="H175" s="15">
        <f>IF(OR(H173="",D173=""),"",IF(D173&lt;=0,"",IFERROR(H173/D173-1,"")))</f>
        <v/>
      </c>
      <c r="I175" s="15">
        <f>IF(OR(I173="",E173=""),"",IF(E173&lt;=0,"",IFERROR(I173/E173-1,"")))</f>
        <v/>
      </c>
      <c r="J175" s="15">
        <f>IF(OR(J173="",F173=""),"",IF(F173&lt;=0,"",IFERROR(J173/F173-1,"")))</f>
        <v/>
      </c>
      <c r="K175" s="15">
        <f>IF(OR(K173="",G173=""),"",IF(G173&lt;=0,"",IFERROR(K173/G173-1,"")))</f>
        <v/>
      </c>
      <c r="L175" s="15">
        <f>IF(OR(L173="",H173=""),"",IF(H173&lt;=0,"",IFERROR(L173/H173-1,"")))</f>
        <v/>
      </c>
      <c r="M175" s="15">
        <f>IF(OR(M173="",I173=""),"",IF(I173&lt;=0,"",IFERROR(M173/I173-1,"")))</f>
        <v/>
      </c>
      <c r="N175" s="15">
        <f>IF(OR(N173="",J173=""),"",IF(J173&lt;=0,"",IFERROR(N173/J173-1,"")))</f>
        <v/>
      </c>
      <c r="V175" s="15">
        <f>IF(OR(V173="",U173=""),"",IF(U173&lt;=0,"",IFERROR(V173/U173-1,"")))</f>
        <v/>
      </c>
      <c r="W175" s="15">
        <f>IF(OR(W173="",V173=""),"",IF(V173&lt;=0,"",IFERROR(W173/V173-1,"")))</f>
        <v/>
      </c>
      <c r="X175" s="15">
        <f>IF(OR(X173="",W173=""),"",IF(W173&lt;=0,"",IFERROR(X173/W173-1,"")))</f>
        <v/>
      </c>
    </row>
    <row r="176">
      <c r="A176" s="18" t="inlineStr">
        <is>
          <t>부문 · 영업이익(손실)</t>
        </is>
      </c>
      <c r="C176" s="20" t="n">
        <v>-311</v>
      </c>
      <c r="D176" s="20" t="n">
        <v>141</v>
      </c>
      <c r="E176" s="20" t="n">
        <v>183</v>
      </c>
      <c r="F176" s="20" t="n">
        <v>524</v>
      </c>
      <c r="G176" s="20" t="n">
        <v>-55</v>
      </c>
      <c r="H176" s="20" t="n">
        <v>118</v>
      </c>
      <c r="I176" s="20" t="n">
        <v>353</v>
      </c>
      <c r="J176" s="20" t="n">
        <v>484</v>
      </c>
      <c r="K176" s="20" t="n">
        <v>-394</v>
      </c>
      <c r="L176" s="20" t="n">
        <v>297</v>
      </c>
      <c r="M176" s="20" t="n">
        <v>85</v>
      </c>
      <c r="N176" s="20" t="n">
        <v>862</v>
      </c>
      <c r="V176" s="20" t="n">
        <v>524</v>
      </c>
      <c r="W176" s="20" t="n">
        <v>484</v>
      </c>
      <c r="X176" s="20" t="n">
        <v>862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IF(OR(C176="",C150=""),"",IF(C150&lt;=0,"",IFERROR(C176/C150,"")))</f>
        <v/>
      </c>
      <c r="D177" s="15">
        <f>IF(OR(D176="",D150=""),"",IF(D150&lt;=0,"",IFERROR(D176/D150,"")))</f>
        <v/>
      </c>
      <c r="E177" s="15">
        <f>IF(OR(E176="",E150=""),"",IF(E150&lt;=0,"",IFERROR(E176/E150,"")))</f>
        <v/>
      </c>
      <c r="F177" s="15">
        <f>IF(OR(F176="",F150=""),"",IF(F150&lt;=0,"",IFERROR(F176/F150,"")))</f>
        <v/>
      </c>
      <c r="G177" s="15">
        <f>IF(OR(G176="",G150=""),"",IF(G150&lt;=0,"",IFERROR(G176/G150,"")))</f>
        <v/>
      </c>
      <c r="H177" s="15">
        <f>IF(OR(H176="",H150=""),"",IF(H150&lt;=0,"",IFERROR(H176/H150,"")))</f>
        <v/>
      </c>
      <c r="I177" s="15">
        <f>IF(OR(I176="",I150=""),"",IF(I150&lt;=0,"",IFERROR(I176/I150,"")))</f>
        <v/>
      </c>
      <c r="J177" s="15">
        <f>IF(OR(J176="",J150=""),"",IF(J150&lt;=0,"",IFERROR(J176/J150,"")))</f>
        <v/>
      </c>
      <c r="K177" s="15">
        <f>IF(OR(K176="",K150=""),"",IF(K150&lt;=0,"",IFERROR(K176/K150,"")))</f>
        <v/>
      </c>
      <c r="L177" s="15">
        <f>IF(OR(L176="",L150=""),"",IF(L150&lt;=0,"",IFERROR(L176/L150,"")))</f>
        <v/>
      </c>
      <c r="M177" s="15">
        <f>IF(OR(M176="",M150=""),"",IF(M150&lt;=0,"",IFERROR(M176/M150,"")))</f>
        <v/>
      </c>
      <c r="N177" s="15">
        <f>IF(OR(N176="",N150=""),"",IF(N150&lt;=0,"",IFERROR(N176/N150,"")))</f>
        <v/>
      </c>
      <c r="V177" s="15">
        <f>IF(OR(V176="",V150=""),"",IF(V150&lt;=0,"",IFERROR(V176/V150,"")))</f>
        <v/>
      </c>
      <c r="W177" s="15">
        <f>IF(OR(W176="",W150=""),"",IF(W150&lt;=0,"",IFERROR(W176/W150,"")))</f>
        <v/>
      </c>
      <c r="X177" s="15">
        <f>IF(OR(X176="",X150=""),"",IF(X150&lt;=0,"",IFERROR(X176/X150,"")))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I178" s="15">
        <f>IF(OR(I176="",E176=""),"",IF(E176&lt;=0,"",IFERROR(I176/E176-1,"")))</f>
        <v/>
      </c>
      <c r="J178" s="15">
        <f>IF(OR(J176="",F176=""),"",IF(F176&lt;=0,"",IFERROR(J176/F176-1,"")))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M178" s="15">
        <f>IF(OR(M176="",I176=""),"",IF(I176&lt;=0,"",IFERROR(M176/I176-1,"")))</f>
        <v/>
      </c>
      <c r="N178" s="15">
        <f>IF(OR(N176="",J176=""),"",IF(J176&lt;=0,"",IFERROR(N176/J176-1,"")))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79">
      <c r="A179" s="18" t="inlineStr">
        <is>
          <t>보고부문 합계 · 영업이익(손실)</t>
        </is>
      </c>
      <c r="C179" s="20" t="n">
        <v>132</v>
      </c>
      <c r="D179" s="20" t="n">
        <v>3054</v>
      </c>
      <c r="E179" s="20" t="n">
        <v>2408</v>
      </c>
      <c r="F179" s="20" t="n">
        <v>3782</v>
      </c>
      <c r="G179" s="20" t="n">
        <v>676</v>
      </c>
      <c r="H179" s="20" t="n">
        <v>2988</v>
      </c>
      <c r="I179" s="20" t="n">
        <v>2762</v>
      </c>
      <c r="J179" s="20" t="n">
        <v>5685</v>
      </c>
      <c r="K179" s="20" t="n">
        <v>1441</v>
      </c>
      <c r="L179" s="20" t="n">
        <v>3863</v>
      </c>
      <c r="M179" s="20" t="n">
        <v>3258</v>
      </c>
      <c r="N179" s="20" t="n">
        <v>6389</v>
      </c>
      <c r="V179" s="20" t="n">
        <v>3782</v>
      </c>
      <c r="W179" s="20" t="n">
        <v>5685</v>
      </c>
      <c r="X179" s="20" t="n">
        <v>6389</v>
      </c>
    </row>
    <row r="180">
      <c r="A180" s="43" t="inlineStr">
        <is>
          <t>OPM</t>
        </is>
      </c>
      <c r="B180" s="3" t="inlineStr">
        <is>
          <t>영업이익 ÷ 매출</t>
        </is>
      </c>
      <c r="C180" s="15">
        <f>IF(OR(C179="",C152=""),"",IF(C152&lt;=0,"",IFERROR(C179/C152,"")))</f>
        <v/>
      </c>
      <c r="D180" s="15">
        <f>IF(OR(D179="",D152=""),"",IF(D152&lt;=0,"",IFERROR(D179/D152,"")))</f>
        <v/>
      </c>
      <c r="E180" s="15">
        <f>IF(OR(E179="",E152=""),"",IF(E152&lt;=0,"",IFERROR(E179/E152,"")))</f>
        <v/>
      </c>
      <c r="F180" s="15">
        <f>IF(OR(F179="",F152=""),"",IF(F152&lt;=0,"",IFERROR(F179/F152,"")))</f>
        <v/>
      </c>
      <c r="G180" s="15">
        <f>IF(OR(G179="",G152=""),"",IF(G152&lt;=0,"",IFERROR(G179/G152,"")))</f>
        <v/>
      </c>
      <c r="H180" s="15">
        <f>IF(OR(H179="",H152=""),"",IF(H152&lt;=0,"",IFERROR(H179/H152,"")))</f>
        <v/>
      </c>
      <c r="I180" s="15">
        <f>IF(OR(I179="",I152=""),"",IF(I152&lt;=0,"",IFERROR(I179/I152,"")))</f>
        <v/>
      </c>
      <c r="J180" s="15">
        <f>IF(OR(J179="",J152=""),"",IF(J152&lt;=0,"",IFERROR(J179/J152,"")))</f>
        <v/>
      </c>
      <c r="K180" s="15">
        <f>IF(OR(K179="",K152=""),"",IF(K152&lt;=0,"",IFERROR(K179/K152,"")))</f>
        <v/>
      </c>
      <c r="L180" s="15">
        <f>IF(OR(L179="",L152=""),"",IF(L152&lt;=0,"",IFERROR(L179/L152,"")))</f>
        <v/>
      </c>
      <c r="M180" s="15">
        <f>IF(OR(M179="",M152=""),"",IF(M152&lt;=0,"",IFERROR(M179/M152,"")))</f>
        <v/>
      </c>
      <c r="N180" s="15">
        <f>IF(OR(N179="",N152=""),"",IF(N152&lt;=0,"",IFERROR(N179/N152,"")))</f>
        <v/>
      </c>
      <c r="V180" s="15">
        <f>IF(OR(V179="",V152=""),"",IF(V152&lt;=0,"",IFERROR(V179/V152,"")))</f>
        <v/>
      </c>
      <c r="W180" s="15">
        <f>IF(OR(W179="",W152=""),"",IF(W152&lt;=0,"",IFERROR(W179/W152,"")))</f>
        <v/>
      </c>
      <c r="X180" s="15">
        <f>IF(OR(X179="",X152=""),"",IF(X152&lt;=0,"",IFERROR(X179/X152,"")))</f>
        <v/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IF(OR(G179="",C179=""),"",IF(C179&lt;=0,"",IFERROR(G179/C179-1,"")))</f>
        <v/>
      </c>
      <c r="H181" s="15">
        <f>IF(OR(H179="",D179=""),"",IF(D179&lt;=0,"",IFERROR(H179/D179-1,"")))</f>
        <v/>
      </c>
      <c r="I181" s="15">
        <f>IF(OR(I179="",E179=""),"",IF(E179&lt;=0,"",IFERROR(I179/E179-1,"")))</f>
        <v/>
      </c>
      <c r="J181" s="15">
        <f>IF(OR(J179="",F179=""),"",IF(F179&lt;=0,"",IFERROR(J179/F179-1,"")))</f>
        <v/>
      </c>
      <c r="K181" s="15">
        <f>IF(OR(K179="",G179=""),"",IF(G179&lt;=0,"",IFERROR(K179/G179-1,"")))</f>
        <v/>
      </c>
      <c r="L181" s="15">
        <f>IF(OR(L179="",H179=""),"",IF(H179&lt;=0,"",IFERROR(L179/H179-1,"")))</f>
        <v/>
      </c>
      <c r="M181" s="15">
        <f>IF(OR(M179="",I179=""),"",IF(I179&lt;=0,"",IFERROR(M179/I179-1,"")))</f>
        <v/>
      </c>
      <c r="N181" s="15">
        <f>IF(OR(N179="",J179=""),"",IF(J179&lt;=0,"",IFERROR(N179/J179-1,"")))</f>
        <v/>
      </c>
      <c r="V181" s="15">
        <f>IF(OR(V179="",U179=""),"",IF(U179&lt;=0,"",IFERROR(V179/U179-1,"")))</f>
        <v/>
      </c>
      <c r="W181" s="15">
        <f>IF(OR(W179="",V179=""),"",IF(V179&lt;=0,"",IFERROR(W179/V179-1,"")))</f>
        <v/>
      </c>
      <c r="X181" s="15">
        <f>IF(OR(X179="",W179=""),"",IF(W179&lt;=0,"",IFERROR(X179/W179-1,"")))</f>
        <v/>
      </c>
    </row>
    <row r="182">
      <c r="A182" s="18" t="inlineStr">
        <is>
          <t>기타 · 영업이익(손실)</t>
        </is>
      </c>
      <c r="C182" s="20" t="n">
        <v>68</v>
      </c>
      <c r="D182" s="20" t="n">
        <v>226</v>
      </c>
      <c r="E182" s="20" t="n">
        <v>150</v>
      </c>
      <c r="F182" s="20" t="n">
        <v>366</v>
      </c>
      <c r="G182" s="20" t="n">
        <v>315</v>
      </c>
      <c r="H182" s="20" t="n">
        <v>313</v>
      </c>
      <c r="I182" s="20" t="n">
        <v>466</v>
      </c>
      <c r="J182" s="20" t="n">
        <v>362</v>
      </c>
      <c r="K182" s="20" t="n">
        <v>376</v>
      </c>
      <c r="L182" s="20" t="n">
        <v>364</v>
      </c>
      <c r="M182" s="20" t="n">
        <v>647</v>
      </c>
      <c r="N182" s="20" t="n">
        <v>585</v>
      </c>
      <c r="V182" s="20" t="n">
        <v>366</v>
      </c>
      <c r="W182" s="20" t="n">
        <v>362</v>
      </c>
      <c r="X182" s="20" t="n">
        <v>585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IF(OR(C182="",C154=""),"",IF(C154&lt;=0,"",IFERROR(C182/C154,"")))</f>
        <v/>
      </c>
      <c r="D183" s="15">
        <f>IF(OR(D182="",D154=""),"",IF(D154&lt;=0,"",IFERROR(D182/D154,"")))</f>
        <v/>
      </c>
      <c r="E183" s="15">
        <f>IF(OR(E182="",E154=""),"",IF(E154&lt;=0,"",IFERROR(E182/E154,"")))</f>
        <v/>
      </c>
      <c r="F183" s="15">
        <f>IF(OR(F182="",F154=""),"",IF(F154&lt;=0,"",IFERROR(F182/F154,"")))</f>
        <v/>
      </c>
      <c r="G183" s="15">
        <f>IF(OR(G182="",G154=""),"",IF(G154&lt;=0,"",IFERROR(G182/G154,"")))</f>
        <v/>
      </c>
      <c r="H183" s="15">
        <f>IF(OR(H182="",H154=""),"",IF(H154&lt;=0,"",IFERROR(H182/H154,"")))</f>
        <v/>
      </c>
      <c r="I183" s="15">
        <f>IF(OR(I182="",I154=""),"",IF(I154&lt;=0,"",IFERROR(I182/I154,"")))</f>
        <v/>
      </c>
      <c r="J183" s="15">
        <f>IF(OR(J182="",J154=""),"",IF(J154&lt;=0,"",IFERROR(J182/J154,"")))</f>
        <v/>
      </c>
      <c r="K183" s="15">
        <f>IF(OR(K182="",K154=""),"",IF(K154&lt;=0,"",IFERROR(K182/K154,"")))</f>
        <v/>
      </c>
      <c r="L183" s="15">
        <f>IF(OR(L182="",L154=""),"",IF(L154&lt;=0,"",IFERROR(L182/L154,"")))</f>
        <v/>
      </c>
      <c r="M183" s="15">
        <f>IF(OR(M182="",M154=""),"",IF(M154&lt;=0,"",IFERROR(M182/M154,"")))</f>
        <v/>
      </c>
      <c r="N183" s="15">
        <f>IF(OR(N182="",N154=""),"",IF(N154&lt;=0,"",IFERROR(N182/N154,"")))</f>
        <v/>
      </c>
      <c r="V183" s="15">
        <f>IF(OR(V182="",V154=""),"",IF(V154&lt;=0,"",IFERROR(V182/V154,"")))</f>
        <v/>
      </c>
      <c r="W183" s="15">
        <f>IF(OR(W182="",W154=""),"",IF(W154&lt;=0,"",IFERROR(W182/W154,"")))</f>
        <v/>
      </c>
      <c r="X183" s="15">
        <f>IF(OR(X182="",X154=""),"",IF(X154&lt;=0,"",IFERROR(X182/X154,"")))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합계 · 영업이익(손실)</t>
        </is>
      </c>
      <c r="C185" s="20" t="n">
        <v>201</v>
      </c>
      <c r="D185" s="20" t="n">
        <v>3280</v>
      </c>
      <c r="E185" s="20" t="n">
        <v>2557</v>
      </c>
      <c r="F185" s="20" t="n">
        <v>4149</v>
      </c>
      <c r="G185" s="20" t="n">
        <v>992</v>
      </c>
      <c r="H185" s="20" t="n">
        <v>3300</v>
      </c>
      <c r="I185" s="20" t="n">
        <v>3228</v>
      </c>
      <c r="J185" s="20" t="n">
        <v>6048</v>
      </c>
      <c r="K185" s="20" t="n">
        <v>1818</v>
      </c>
      <c r="L185" s="20" t="n">
        <v>4226</v>
      </c>
      <c r="M185" s="20" t="n">
        <v>3905</v>
      </c>
      <c r="N185" s="20" t="n">
        <v>6974</v>
      </c>
      <c r="V185" s="20" t="n">
        <v>4149</v>
      </c>
      <c r="W185" s="20" t="n">
        <v>6048</v>
      </c>
      <c r="X185" s="20" t="n">
        <v>6974</v>
      </c>
    </row>
    <row r="186">
      <c r="A186" s="43" t="inlineStr">
        <is>
          <t>OPM</t>
        </is>
      </c>
      <c r="B186" s="3" t="inlineStr">
        <is>
          <t>영업이익 ÷ 매출</t>
        </is>
      </c>
      <c r="C186" s="15">
        <f>IF(OR(C185="",C156=""),"",IF(C156&lt;=0,"",IFERROR(C185/C156,"")))</f>
        <v/>
      </c>
      <c r="D186" s="15">
        <f>IF(OR(D185="",D156=""),"",IF(D156&lt;=0,"",IFERROR(D185/D156,"")))</f>
        <v/>
      </c>
      <c r="E186" s="15">
        <f>IF(OR(E185="",E156=""),"",IF(E156&lt;=0,"",IFERROR(E185/E156,"")))</f>
        <v/>
      </c>
      <c r="F186" s="15">
        <f>IF(OR(F185="",F156=""),"",IF(F156&lt;=0,"",IFERROR(F185/F156,"")))</f>
        <v/>
      </c>
      <c r="G186" s="15">
        <f>IF(OR(G185="",G156=""),"",IF(G156&lt;=0,"",IFERROR(G185/G156,"")))</f>
        <v/>
      </c>
      <c r="H186" s="15">
        <f>IF(OR(H185="",H156=""),"",IF(H156&lt;=0,"",IFERROR(H185/H156,"")))</f>
        <v/>
      </c>
      <c r="I186" s="15">
        <f>IF(OR(I185="",I156=""),"",IF(I156&lt;=0,"",IFERROR(I185/I156,"")))</f>
        <v/>
      </c>
      <c r="J186" s="15">
        <f>IF(OR(J185="",J156=""),"",IF(J156&lt;=0,"",IFERROR(J185/J156,"")))</f>
        <v/>
      </c>
      <c r="K186" s="15">
        <f>IF(OR(K185="",K156=""),"",IF(K156&lt;=0,"",IFERROR(K185/K156,"")))</f>
        <v/>
      </c>
      <c r="L186" s="15">
        <f>IF(OR(L185="",L156=""),"",IF(L156&lt;=0,"",IFERROR(L185/L156,"")))</f>
        <v/>
      </c>
      <c r="M186" s="15">
        <f>IF(OR(M185="",M156=""),"",IF(M156&lt;=0,"",IFERROR(M185/M156,"")))</f>
        <v/>
      </c>
      <c r="N186" s="15">
        <f>IF(OR(N185="",N156=""),"",IF(N156&lt;=0,"",IFERROR(N185/N156,"")))</f>
        <v/>
      </c>
      <c r="V186" s="15">
        <f>IF(OR(V185="",V156=""),"",IF(V156&lt;=0,"",IFERROR(V185/V156,"")))</f>
        <v/>
      </c>
      <c r="W186" s="15">
        <f>IF(OR(W185="",W156=""),"",IF(W156&lt;=0,"",IFERROR(W185/W156,"")))</f>
        <v/>
      </c>
      <c r="X186" s="15">
        <f>IF(OR(X185="",X156=""),"",IF(X156&lt;=0,"",IFERROR(X185/X156,"")))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IF(OR(G185="",C185=""),"",IF(C185&lt;=0,"",IFERROR(G185/C185-1,"")))</f>
        <v/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J187" s="15">
        <f>IF(OR(J185="",F185=""),"",IF(F185&lt;=0,"",IFERROR(J185/F185-1,"")))</f>
        <v/>
      </c>
      <c r="K187" s="15">
        <f>IF(OR(K185="",G185=""),"",IF(G185&lt;=0,"",IFERROR(K185/G185-1,"")))</f>
        <v/>
      </c>
      <c r="L187" s="15">
        <f>IF(OR(L185="",H185=""),"",IF(H185&lt;=0,"",IFERROR(L185/H185-1,"")))</f>
        <v/>
      </c>
      <c r="M187" s="15">
        <f>IF(OR(M185="",I185=""),"",IF(I185&lt;=0,"",IFERROR(M185/I185-1,"")))</f>
        <v/>
      </c>
      <c r="N187" s="15">
        <f>IF(OR(N185="",J185=""),"",IF(J185&lt;=0,"",IFERROR(N185/J185-1,"")))</f>
        <v/>
      </c>
      <c r="V187" s="15">
        <f>IF(OR(V185="",U185=""),"",IF(U185&lt;=0,"",IFERROR(V185/U185-1,"")))</f>
        <v/>
      </c>
      <c r="W187" s="15">
        <f>IF(OR(W185="",V185=""),"",IF(V185&lt;=0,"",IFERROR(W185/V185-1,"")))</f>
        <v/>
      </c>
      <c r="X187" s="15">
        <f>IF(OR(X185="",W185=""),"",IF(W185&lt;=0,"",IFERROR(X185/W185-1,"")))</f>
        <v/>
      </c>
    </row>
    <row r="188">
      <c r="A188" s="18" t="inlineStr">
        <is>
          <t>조정액 · 영업이익(손실)</t>
        </is>
      </c>
      <c r="C188" s="20" t="n">
        <v>-259</v>
      </c>
      <c r="D188" s="20" t="n">
        <v>-288</v>
      </c>
      <c r="E188" s="20" t="n">
        <v>-332</v>
      </c>
      <c r="F188" s="20" t="n">
        <v>-325</v>
      </c>
      <c r="G188" s="20" t="n">
        <v>-369</v>
      </c>
      <c r="H188" s="20" t="n">
        <v>-347</v>
      </c>
      <c r="I188" s="20" t="n">
        <v>-385</v>
      </c>
      <c r="J188" s="20" t="n">
        <v>-343</v>
      </c>
      <c r="K188" s="20" t="n">
        <v>-479</v>
      </c>
      <c r="L188" s="20" t="n">
        <v>-533</v>
      </c>
      <c r="M188" s="20" t="n">
        <v>-525</v>
      </c>
      <c r="N188" s="20" t="n">
        <v>-557</v>
      </c>
      <c r="V188" s="20" t="n">
        <v>-325</v>
      </c>
      <c r="W188" s="20" t="n">
        <v>-343</v>
      </c>
      <c r="X188" s="20" t="n">
        <v>-557</v>
      </c>
    </row>
    <row r="189">
      <c r="A189" s="18" t="inlineStr">
        <is>
          <t>영업이익(손실)</t>
        </is>
      </c>
      <c r="C189" s="20" t="n">
        <v>-57</v>
      </c>
      <c r="D189" s="20" t="n">
        <v>2991</v>
      </c>
      <c r="E189" s="20" t="n">
        <v>2225</v>
      </c>
      <c r="F189" s="20" t="n">
        <v>3824</v>
      </c>
      <c r="G189" s="20" t="n">
        <v>622</v>
      </c>
      <c r="H189" s="20" t="n">
        <v>2954</v>
      </c>
      <c r="I189" s="20" t="n">
        <v>2843</v>
      </c>
      <c r="J189" s="20" t="n">
        <v>5705</v>
      </c>
      <c r="K189" s="20" t="n">
        <v>1339</v>
      </c>
      <c r="L189" s="20" t="n">
        <v>3693</v>
      </c>
      <c r="M189" s="20" t="n">
        <v>3380</v>
      </c>
      <c r="N189" s="20" t="n">
        <v>6416</v>
      </c>
      <c r="V189" s="20" t="n">
        <v>3824</v>
      </c>
      <c r="W189" s="20" t="n">
        <v>5705</v>
      </c>
      <c r="X189" s="20" t="n">
        <v>6416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IF(OR(C189="",C136=""),"",IF(C136&lt;=0,"",IFERROR(C189/C136,"")))</f>
        <v/>
      </c>
      <c r="D190" s="15">
        <f>IF(OR(D189="",D136=""),"",IF(D136&lt;=0,"",IFERROR(D189/D136,"")))</f>
        <v/>
      </c>
      <c r="E190" s="15">
        <f>IF(OR(E189="",E136=""),"",IF(E136&lt;=0,"",IFERROR(E189/E136,"")))</f>
        <v/>
      </c>
      <c r="F190" s="15">
        <f>IF(OR(F189="",F136=""),"",IF(F136&lt;=0,"",IFERROR(F189/F136,"")))</f>
        <v/>
      </c>
      <c r="G190" s="15">
        <f>IF(OR(G189="",G136=""),"",IF(G136&lt;=0,"",IFERROR(G189/G136,"")))</f>
        <v/>
      </c>
      <c r="H190" s="15">
        <f>IF(OR(H189="",H136=""),"",IF(H136&lt;=0,"",IFERROR(H189/H136,"")))</f>
        <v/>
      </c>
      <c r="I190" s="15">
        <f>IF(OR(I189="",I136=""),"",IF(I136&lt;=0,"",IFERROR(I189/I136,"")))</f>
        <v/>
      </c>
      <c r="J190" s="15">
        <f>IF(OR(J189="",J136=""),"",IF(J136&lt;=0,"",IFERROR(J189/J136,"")))</f>
        <v/>
      </c>
      <c r="K190" s="15">
        <f>IF(OR(K189="",K136=""),"",IF(K136&lt;=0,"",IFERROR(K189/K136,"")))</f>
        <v/>
      </c>
      <c r="L190" s="15">
        <f>IF(OR(L189="",L136=""),"",IF(L136&lt;=0,"",IFERROR(L189/L136,"")))</f>
        <v/>
      </c>
      <c r="M190" s="15">
        <f>IF(OR(M189="",M136=""),"",IF(M136&lt;=0,"",IFERROR(M189/M136,"")))</f>
        <v/>
      </c>
      <c r="N190" s="15">
        <f>IF(OR(N189="",N136=""),"",IF(N136&lt;=0,"",IFERROR(N189/N136,"")))</f>
        <v/>
      </c>
      <c r="V190" s="15">
        <f>IF(OR(V189="",V136=""),"",IF(V136&lt;=0,"",IFERROR(V189/V136,"")))</f>
        <v/>
      </c>
      <c r="W190" s="15">
        <f>IF(OR(W189="",W136=""),"",IF(W136&lt;=0,"",IFERROR(W189/W136,"")))</f>
        <v/>
      </c>
      <c r="X190" s="15">
        <f>IF(OR(X189="",X136=""),"",IF(X136&lt;=0,"",IFERROR(X189/X136,"")))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부문 · 금융수익</t>
        </is>
      </c>
      <c r="C192" s="20" t="n">
        <v>0</v>
      </c>
      <c r="D192" s="20" t="n">
        <v>0</v>
      </c>
      <c r="E192" s="20" t="n">
        <v>0</v>
      </c>
      <c r="F192" s="20" t="n">
        <v>0</v>
      </c>
      <c r="G192" s="20" t="n">
        <v>0</v>
      </c>
      <c r="H192" s="20" t="n">
        <v>0</v>
      </c>
      <c r="I192" s="20" t="n">
        <v>0</v>
      </c>
      <c r="J192" s="20" t="n">
        <v>0</v>
      </c>
      <c r="K192" s="20" t="n">
        <v>0</v>
      </c>
      <c r="L192" s="20" t="n">
        <v>0</v>
      </c>
      <c r="M192" s="20" t="n">
        <v>0</v>
      </c>
      <c r="N192" s="20" t="n">
        <v>0</v>
      </c>
      <c r="V192" s="20" t="n">
        <v>0</v>
      </c>
      <c r="W192" s="20" t="n">
        <v>0</v>
      </c>
      <c r="X192" s="20" t="n">
        <v>0</v>
      </c>
    </row>
    <row r="193">
      <c r="A193" s="18" t="inlineStr">
        <is>
          <t>PQA · 금융수익</t>
        </is>
      </c>
      <c r="C193" s="20" t="n">
        <v>0</v>
      </c>
      <c r="D193" s="20" t="n">
        <v>0</v>
      </c>
      <c r="E193" s="20" t="n">
        <v>0</v>
      </c>
      <c r="F193" s="20" t="n">
        <v>0</v>
      </c>
      <c r="G193" s="20" t="n">
        <v>0</v>
      </c>
      <c r="H193" s="20" t="n">
        <v>0</v>
      </c>
      <c r="I193" s="20" t="n">
        <v>0</v>
      </c>
      <c r="J193" s="20" t="n">
        <v>0</v>
      </c>
      <c r="K193" s="20" t="n">
        <v>0</v>
      </c>
      <c r="L193" s="20" t="n">
        <v>0</v>
      </c>
      <c r="M193" s="20" t="n">
        <v>0</v>
      </c>
      <c r="N193" s="20" t="n">
        <v>0</v>
      </c>
      <c r="V193" s="20" t="n">
        <v>0</v>
      </c>
      <c r="W193" s="20" t="n">
        <v>0</v>
      </c>
      <c r="X193" s="20" t="n">
        <v>0</v>
      </c>
    </row>
    <row r="194">
      <c r="A194" s="18" t="inlineStr">
        <is>
          <t>부문 · 금융수익</t>
        </is>
      </c>
      <c r="C194" s="20" t="n">
        <v>0</v>
      </c>
      <c r="D194" s="20" t="n">
        <v>0</v>
      </c>
      <c r="E194" s="20" t="n">
        <v>0</v>
      </c>
      <c r="F194" s="20" t="n">
        <v>0</v>
      </c>
      <c r="G194" s="20" t="n">
        <v>0</v>
      </c>
      <c r="H194" s="20" t="n">
        <v>0</v>
      </c>
      <c r="I194" s="20" t="n">
        <v>0</v>
      </c>
      <c r="J194" s="20" t="n">
        <v>0</v>
      </c>
      <c r="K194" s="20" t="n">
        <v>0</v>
      </c>
      <c r="L194" s="20" t="n">
        <v>0</v>
      </c>
      <c r="M194" s="20" t="n">
        <v>0</v>
      </c>
      <c r="N194" s="20" t="n">
        <v>0</v>
      </c>
      <c r="V194" s="20" t="n">
        <v>0</v>
      </c>
      <c r="W194" s="20" t="n">
        <v>0</v>
      </c>
      <c r="X194" s="20" t="n">
        <v>0</v>
      </c>
    </row>
    <row r="195">
      <c r="A195" s="18" t="inlineStr">
        <is>
          <t>보고부문 합계 · 금융수익</t>
        </is>
      </c>
      <c r="C195" s="20" t="n">
        <v>0</v>
      </c>
      <c r="D195" s="20" t="n">
        <v>0</v>
      </c>
      <c r="E195" s="20" t="n">
        <v>0</v>
      </c>
      <c r="F195" s="20" t="n">
        <v>0</v>
      </c>
      <c r="G195" s="20" t="n">
        <v>0</v>
      </c>
      <c r="H195" s="20" t="n">
        <v>0</v>
      </c>
      <c r="I195" s="20" t="n">
        <v>0</v>
      </c>
      <c r="J195" s="20" t="n">
        <v>0</v>
      </c>
      <c r="K195" s="20" t="n">
        <v>0</v>
      </c>
      <c r="L195" s="20" t="n">
        <v>0</v>
      </c>
      <c r="M195" s="20" t="n">
        <v>0</v>
      </c>
      <c r="N195" s="20" t="n">
        <v>0</v>
      </c>
      <c r="V195" s="20" t="n">
        <v>0</v>
      </c>
      <c r="W195" s="20" t="n">
        <v>0</v>
      </c>
      <c r="X195" s="20" t="n">
        <v>0</v>
      </c>
    </row>
    <row r="196">
      <c r="A196" s="18" t="inlineStr">
        <is>
          <t>기타 · 금융수익</t>
        </is>
      </c>
      <c r="C196" s="20" t="n">
        <v>0</v>
      </c>
      <c r="D196" s="20" t="n">
        <v>0</v>
      </c>
      <c r="E196" s="20" t="n">
        <v>0</v>
      </c>
      <c r="F196" s="20" t="n">
        <v>0</v>
      </c>
      <c r="G196" s="20" t="n">
        <v>0</v>
      </c>
      <c r="H196" s="20" t="n">
        <v>0</v>
      </c>
      <c r="I196" s="20" t="n">
        <v>0</v>
      </c>
      <c r="J196" s="20" t="n">
        <v>0</v>
      </c>
      <c r="K196" s="20" t="n">
        <v>0</v>
      </c>
      <c r="L196" s="20" t="n">
        <v>0</v>
      </c>
      <c r="M196" s="20" t="n">
        <v>0</v>
      </c>
      <c r="N196" s="20" t="n">
        <v>0</v>
      </c>
      <c r="V196" s="20" t="n">
        <v>0</v>
      </c>
      <c r="W196" s="20" t="n">
        <v>0</v>
      </c>
      <c r="X196" s="20" t="n">
        <v>0</v>
      </c>
    </row>
    <row r="197">
      <c r="A197" s="18" t="inlineStr">
        <is>
          <t>합계 · 금융수익</t>
        </is>
      </c>
      <c r="C197" s="20" t="n">
        <v>0</v>
      </c>
      <c r="D197" s="20" t="n">
        <v>0</v>
      </c>
      <c r="E197" s="20" t="n">
        <v>0</v>
      </c>
      <c r="F197" s="20" t="n">
        <v>0</v>
      </c>
      <c r="G197" s="20" t="n">
        <v>0</v>
      </c>
      <c r="H197" s="20" t="n">
        <v>0</v>
      </c>
      <c r="I197" s="20" t="n">
        <v>0</v>
      </c>
      <c r="J197" s="20" t="n">
        <v>0</v>
      </c>
      <c r="K197" s="20" t="n">
        <v>0</v>
      </c>
      <c r="L197" s="20" t="n">
        <v>0</v>
      </c>
      <c r="M197" s="20" t="n">
        <v>0</v>
      </c>
      <c r="N197" s="20" t="n">
        <v>0</v>
      </c>
      <c r="V197" s="20" t="n">
        <v>0</v>
      </c>
      <c r="W197" s="20" t="n">
        <v>0</v>
      </c>
      <c r="X197" s="20" t="n">
        <v>0</v>
      </c>
    </row>
    <row r="198">
      <c r="A198" s="18" t="inlineStr">
        <is>
          <t>조정액 · 금융수익</t>
        </is>
      </c>
      <c r="C198" s="20" t="n">
        <v>0</v>
      </c>
      <c r="D198" s="20" t="n">
        <v>0</v>
      </c>
      <c r="E198" s="20" t="n">
        <v>0</v>
      </c>
      <c r="F198" s="20" t="n">
        <v>0</v>
      </c>
      <c r="G198" s="20" t="n">
        <v>0</v>
      </c>
      <c r="H198" s="20" t="n">
        <v>0</v>
      </c>
      <c r="I198" s="20" t="n">
        <v>0</v>
      </c>
      <c r="J198" s="20" t="n">
        <v>0</v>
      </c>
      <c r="K198" s="20" t="n">
        <v>0</v>
      </c>
      <c r="L198" s="20" t="n">
        <v>0</v>
      </c>
      <c r="M198" s="20" t="n">
        <v>0</v>
      </c>
      <c r="N198" s="20" t="n">
        <v>0</v>
      </c>
      <c r="V198" s="20" t="n">
        <v>0</v>
      </c>
      <c r="W198" s="20" t="n">
        <v>0</v>
      </c>
      <c r="X198" s="20" t="n">
        <v>0</v>
      </c>
    </row>
    <row r="199">
      <c r="A199" s="18" t="inlineStr">
        <is>
          <t>금융수익</t>
        </is>
      </c>
      <c r="C199" s="20" t="n">
        <v>568</v>
      </c>
      <c r="D199" s="20" t="n">
        <v>212</v>
      </c>
      <c r="E199" s="20" t="n">
        <v>-63</v>
      </c>
      <c r="F199" s="20" t="n">
        <v>542</v>
      </c>
      <c r="G199" s="20" t="n">
        <v>677</v>
      </c>
      <c r="H199" s="20" t="n">
        <v>-304</v>
      </c>
      <c r="I199" s="20" t="n">
        <v>560</v>
      </c>
      <c r="J199" s="20" t="n">
        <v>-176</v>
      </c>
      <c r="K199" s="20" t="n">
        <v>195</v>
      </c>
      <c r="L199" s="20" t="n">
        <v>282</v>
      </c>
      <c r="M199" s="20" t="n">
        <v>700</v>
      </c>
      <c r="N199" s="20" t="n">
        <v>378</v>
      </c>
      <c r="V199" s="20" t="n">
        <v>542</v>
      </c>
      <c r="W199" s="20" t="n">
        <v>-176</v>
      </c>
      <c r="X199" s="20" t="n">
        <v>378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IF(OR(G199="",C199=""),"",IF(G199*C199&lt;=0,"",IFERROR(G199/C199-1,"")))</f>
        <v/>
      </c>
      <c r="H200" s="15">
        <f>IF(OR(H199="",D199=""),"",IF(H199*D199&lt;=0,"",IFERROR(H199/D199-1,"")))</f>
        <v/>
      </c>
      <c r="I200" s="15">
        <f>IF(OR(I199="",E199=""),"",IF(I199*E199&lt;=0,"",IFERROR(I199/E199-1,"")))</f>
        <v/>
      </c>
      <c r="J200" s="15">
        <f>IF(OR(J199="",F199=""),"",IF(J199*F199&lt;=0,"",IFERROR(J199/F199-1,"")))</f>
        <v/>
      </c>
      <c r="K200" s="15">
        <f>IF(OR(K199="",G199=""),"",IF(K199*G199&lt;=0,"",IFERROR(K199/G199-1,"")))</f>
        <v/>
      </c>
      <c r="L200" s="15">
        <f>IF(OR(L199="",H199=""),"",IF(L199*H199&lt;=0,"",IFERROR(L199/H199-1,"")))</f>
        <v/>
      </c>
      <c r="M200" s="15">
        <f>IF(OR(M199="",I199=""),"",IF(M199*I199&lt;=0,"",IFERROR(M199/I199-1,"")))</f>
        <v/>
      </c>
      <c r="N200" s="15">
        <f>IF(OR(N199="",J199=""),"",IF(N199*J199&lt;=0,"",IFERROR(N199/J199-1,"")))</f>
        <v/>
      </c>
      <c r="V200" s="15">
        <f>IF(OR(V199="",U199=""),"",IF(V199*U199&lt;=0,"",IFERROR(V199/U199-1,"")))</f>
        <v/>
      </c>
      <c r="W200" s="15">
        <f>IF(OR(W199="",V199=""),"",IF(W199*V199&lt;=0,"",IFERROR(W199/V199-1,"")))</f>
        <v/>
      </c>
      <c r="X200" s="15">
        <f>IF(OR(X199="",W199=""),"",IF(X199*W199&lt;=0,"",IFERROR(X199/W199-1,"")))</f>
        <v/>
      </c>
    </row>
    <row r="201">
      <c r="A201" s="18" t="inlineStr">
        <is>
          <t>부문 · 금융비용</t>
        </is>
      </c>
      <c r="C201" s="20" t="n">
        <v>0</v>
      </c>
      <c r="D201" s="20" t="n">
        <v>0</v>
      </c>
      <c r="E201" s="20" t="n">
        <v>0</v>
      </c>
      <c r="F201" s="20" t="n">
        <v>0</v>
      </c>
      <c r="G201" s="20" t="n">
        <v>0</v>
      </c>
      <c r="H201" s="20" t="n">
        <v>0</v>
      </c>
      <c r="I201" s="20" t="n">
        <v>0</v>
      </c>
      <c r="J201" s="20" t="n">
        <v>0</v>
      </c>
      <c r="K201" s="20" t="n">
        <v>0</v>
      </c>
      <c r="L201" s="20" t="n">
        <v>0</v>
      </c>
      <c r="M201" s="20" t="n">
        <v>0</v>
      </c>
      <c r="N201" s="20" t="n">
        <v>0</v>
      </c>
      <c r="V201" s="20" t="n">
        <v>0</v>
      </c>
      <c r="W201" s="20" t="n">
        <v>0</v>
      </c>
      <c r="X201" s="20" t="n">
        <v>0</v>
      </c>
    </row>
    <row r="202">
      <c r="A202" s="18" t="inlineStr">
        <is>
          <t>PQA · 금융비용</t>
        </is>
      </c>
      <c r="C202" s="20" t="n">
        <v>0</v>
      </c>
      <c r="D202" s="20" t="n">
        <v>0</v>
      </c>
      <c r="E202" s="20" t="n">
        <v>0</v>
      </c>
      <c r="F202" s="20" t="n">
        <v>0</v>
      </c>
      <c r="G202" s="20" t="n">
        <v>0</v>
      </c>
      <c r="H202" s="20" t="n">
        <v>0</v>
      </c>
      <c r="I202" s="20" t="n">
        <v>0</v>
      </c>
      <c r="J202" s="20" t="n">
        <v>0</v>
      </c>
      <c r="K202" s="20" t="n">
        <v>0</v>
      </c>
      <c r="L202" s="20" t="n">
        <v>0</v>
      </c>
      <c r="M202" s="20" t="n">
        <v>0</v>
      </c>
      <c r="N202" s="20" t="n">
        <v>0</v>
      </c>
      <c r="V202" s="20" t="n">
        <v>0</v>
      </c>
      <c r="W202" s="20" t="n">
        <v>0</v>
      </c>
      <c r="X202" s="20" t="n">
        <v>0</v>
      </c>
    </row>
    <row r="203">
      <c r="A203" s="18" t="inlineStr">
        <is>
          <t>부문 · 금융비용</t>
        </is>
      </c>
      <c r="C203" s="20" t="n">
        <v>0</v>
      </c>
      <c r="D203" s="20" t="n">
        <v>0</v>
      </c>
      <c r="E203" s="20" t="n">
        <v>0</v>
      </c>
      <c r="F203" s="20" t="n">
        <v>0</v>
      </c>
      <c r="G203" s="20" t="n">
        <v>0</v>
      </c>
      <c r="H203" s="20" t="n">
        <v>0</v>
      </c>
      <c r="I203" s="20" t="n">
        <v>0</v>
      </c>
      <c r="J203" s="20" t="n">
        <v>0</v>
      </c>
      <c r="K203" s="20" t="n">
        <v>0</v>
      </c>
      <c r="L203" s="20" t="n">
        <v>0</v>
      </c>
      <c r="M203" s="20" t="n">
        <v>0</v>
      </c>
      <c r="N203" s="20" t="n">
        <v>0</v>
      </c>
      <c r="V203" s="20" t="n">
        <v>0</v>
      </c>
      <c r="W203" s="20" t="n">
        <v>0</v>
      </c>
      <c r="X203" s="20" t="n">
        <v>0</v>
      </c>
    </row>
    <row r="204">
      <c r="A204" s="18" t="inlineStr">
        <is>
          <t>보고부문 합계 · 금융비용</t>
        </is>
      </c>
      <c r="C204" s="20" t="n">
        <v>0</v>
      </c>
      <c r="D204" s="20" t="n">
        <v>0</v>
      </c>
      <c r="E204" s="20" t="n">
        <v>0</v>
      </c>
      <c r="F204" s="20" t="n">
        <v>0</v>
      </c>
      <c r="G204" s="20" t="n">
        <v>0</v>
      </c>
      <c r="H204" s="20" t="n">
        <v>0</v>
      </c>
      <c r="I204" s="20" t="n">
        <v>0</v>
      </c>
      <c r="J204" s="20" t="n">
        <v>0</v>
      </c>
      <c r="K204" s="20" t="n">
        <v>0</v>
      </c>
      <c r="L204" s="20" t="n">
        <v>0</v>
      </c>
      <c r="M204" s="20" t="n">
        <v>0</v>
      </c>
      <c r="N204" s="20" t="n">
        <v>0</v>
      </c>
      <c r="V204" s="20" t="n">
        <v>0</v>
      </c>
      <c r="W204" s="20" t="n">
        <v>0</v>
      </c>
      <c r="X204" s="20" t="n">
        <v>0</v>
      </c>
    </row>
    <row r="205">
      <c r="A205" s="18" t="inlineStr">
        <is>
          <t>기타 · 금융비용</t>
        </is>
      </c>
      <c r="C205" s="20" t="n">
        <v>0</v>
      </c>
      <c r="D205" s="20" t="n">
        <v>0</v>
      </c>
      <c r="E205" s="20" t="n">
        <v>0</v>
      </c>
      <c r="F205" s="20" t="n">
        <v>0</v>
      </c>
      <c r="G205" s="20" t="n">
        <v>0</v>
      </c>
      <c r="H205" s="20" t="n">
        <v>0</v>
      </c>
      <c r="I205" s="20" t="n">
        <v>0</v>
      </c>
      <c r="J205" s="20" t="n">
        <v>0</v>
      </c>
      <c r="K205" s="20" t="n">
        <v>0</v>
      </c>
      <c r="L205" s="20" t="n">
        <v>0</v>
      </c>
      <c r="M205" s="20" t="n">
        <v>0</v>
      </c>
      <c r="N205" s="20" t="n">
        <v>0</v>
      </c>
      <c r="V205" s="20" t="n">
        <v>0</v>
      </c>
      <c r="W205" s="20" t="n">
        <v>0</v>
      </c>
      <c r="X205" s="20" t="n">
        <v>0</v>
      </c>
    </row>
    <row r="206">
      <c r="A206" s="18" t="inlineStr">
        <is>
          <t>합계 · 금융비용</t>
        </is>
      </c>
      <c r="C206" s="20" t="n">
        <v>0</v>
      </c>
      <c r="D206" s="20" t="n">
        <v>0</v>
      </c>
      <c r="E206" s="20" t="n">
        <v>0</v>
      </c>
      <c r="F206" s="20" t="n">
        <v>0</v>
      </c>
      <c r="G206" s="20" t="n">
        <v>0</v>
      </c>
      <c r="H206" s="20" t="n">
        <v>0</v>
      </c>
      <c r="I206" s="20" t="n">
        <v>0</v>
      </c>
      <c r="J206" s="20" t="n">
        <v>0</v>
      </c>
      <c r="K206" s="20" t="n">
        <v>0</v>
      </c>
      <c r="L206" s="20" t="n">
        <v>0</v>
      </c>
      <c r="M206" s="20" t="n">
        <v>0</v>
      </c>
      <c r="N206" s="20" t="n">
        <v>0</v>
      </c>
      <c r="V206" s="20" t="n">
        <v>0</v>
      </c>
      <c r="W206" s="20" t="n">
        <v>0</v>
      </c>
      <c r="X206" s="20" t="n">
        <v>0</v>
      </c>
    </row>
    <row r="207">
      <c r="A207" s="18" t="inlineStr">
        <is>
          <t>조정액 · 금융비용</t>
        </is>
      </c>
      <c r="C207" s="20" t="n">
        <v>0</v>
      </c>
      <c r="D207" s="20" t="n">
        <v>0</v>
      </c>
      <c r="E207" s="20" t="n">
        <v>0</v>
      </c>
      <c r="F207" s="20" t="n">
        <v>0</v>
      </c>
      <c r="G207" s="20" t="n">
        <v>0</v>
      </c>
      <c r="H207" s="20" t="n">
        <v>0</v>
      </c>
      <c r="I207" s="20" t="n">
        <v>0</v>
      </c>
      <c r="J207" s="20" t="n">
        <v>0</v>
      </c>
      <c r="K207" s="20" t="n">
        <v>0</v>
      </c>
      <c r="L207" s="20" t="n">
        <v>0</v>
      </c>
      <c r="M207" s="20" t="n">
        <v>0</v>
      </c>
      <c r="N207" s="20" t="n">
        <v>0</v>
      </c>
      <c r="V207" s="20" t="n">
        <v>0</v>
      </c>
      <c r="W207" s="20" t="n">
        <v>0</v>
      </c>
      <c r="X207" s="20" t="n">
        <v>0</v>
      </c>
    </row>
    <row r="208">
      <c r="A208" s="18" t="inlineStr">
        <is>
          <t>금융비용</t>
        </is>
      </c>
      <c r="C208" s="20" t="n">
        <v>83</v>
      </c>
      <c r="D208" s="20" t="n">
        <v>27</v>
      </c>
      <c r="E208" s="20" t="n">
        <v>130</v>
      </c>
      <c r="F208" s="20" t="n">
        <v>50</v>
      </c>
      <c r="G208" s="20" t="n">
        <v>46</v>
      </c>
      <c r="H208" s="20" t="n">
        <v>521</v>
      </c>
      <c r="I208" s="20" t="n">
        <v>-464</v>
      </c>
      <c r="J208" s="20" t="n">
        <v>40</v>
      </c>
      <c r="K208" s="20" t="n">
        <v>182</v>
      </c>
      <c r="L208" s="20" t="n">
        <v>-19</v>
      </c>
      <c r="M208" s="20" t="n">
        <v>29</v>
      </c>
      <c r="N208" s="20" t="n">
        <v>72</v>
      </c>
      <c r="V208" s="20" t="n">
        <v>50</v>
      </c>
      <c r="W208" s="20" t="n">
        <v>40</v>
      </c>
      <c r="X208" s="20" t="n">
        <v>72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IF(OR(G208="",C208=""),"",IF(G208*C208&lt;=0,"",IFERROR(G208/C208-1,"")))</f>
        <v/>
      </c>
      <c r="H209" s="15">
        <f>IF(OR(H208="",D208=""),"",IF(H208*D208&lt;=0,"",IFERROR(H208/D208-1,"")))</f>
        <v/>
      </c>
      <c r="I209" s="15">
        <f>IF(OR(I208="",E208=""),"",IF(I208*E208&lt;=0,"",IFERROR(I208/E208-1,"")))</f>
        <v/>
      </c>
      <c r="J209" s="15">
        <f>IF(OR(J208="",F208=""),"",IF(J208*F208&lt;=0,"",IFERROR(J208/F208-1,"")))</f>
        <v/>
      </c>
      <c r="K209" s="15">
        <f>IF(OR(K208="",G208=""),"",IF(K208*G208&lt;=0,"",IFERROR(K208/G208-1,"")))</f>
        <v/>
      </c>
      <c r="L209" s="15">
        <f>IF(OR(L208="",H208=""),"",IF(L208*H208&lt;=0,"",IFERROR(L208/H208-1,"")))</f>
        <v/>
      </c>
      <c r="M209" s="15">
        <f>IF(OR(M208="",I208=""),"",IF(M208*I208&lt;=0,"",IFERROR(M208/I208-1,"")))</f>
        <v/>
      </c>
      <c r="N209" s="15">
        <f>IF(OR(N208="",J208=""),"",IF(N208*J208&lt;=0,"",IFERROR(N208/J208-1,"")))</f>
        <v/>
      </c>
      <c r="V209" s="15">
        <f>IF(OR(V208="",U208=""),"",IF(V208*U208&lt;=0,"",IFERROR(V208/U208-1,"")))</f>
        <v/>
      </c>
      <c r="W209" s="15">
        <f>IF(OR(W208="",V208=""),"",IF(W208*V208&lt;=0,"",IFERROR(W208/V208-1,"")))</f>
        <v/>
      </c>
      <c r="X209" s="15">
        <f>IF(OR(X208="",W208=""),"",IF(X208*W208&lt;=0,"",IFERROR(X208/W208-1,"")))</f>
        <v/>
      </c>
    </row>
    <row r="210">
      <c r="A210" s="18" t="inlineStr">
        <is>
          <t>부문 · 지분법 투자손익(△ 손실)</t>
        </is>
      </c>
      <c r="C210" s="20" t="n">
        <v>0</v>
      </c>
      <c r="D210" s="20" t="n">
        <v>0</v>
      </c>
      <c r="E210" s="20" t="n">
        <v>0</v>
      </c>
      <c r="F210" s="20" t="n">
        <v>0</v>
      </c>
      <c r="G210" s="20" t="n">
        <v>0</v>
      </c>
      <c r="H210" s="20" t="n">
        <v>0</v>
      </c>
      <c r="I210" s="20" t="n">
        <v>0</v>
      </c>
      <c r="J210" s="20" t="n">
        <v>0</v>
      </c>
      <c r="K210" s="20" t="n">
        <v>0</v>
      </c>
      <c r="L210" s="20" t="n">
        <v>0</v>
      </c>
      <c r="M210" s="20" t="n">
        <v>0</v>
      </c>
      <c r="N210" s="20" t="n">
        <v>0</v>
      </c>
      <c r="V210" s="20" t="n">
        <v>0</v>
      </c>
      <c r="W210" s="20" t="n">
        <v>0</v>
      </c>
      <c r="X210" s="20" t="n">
        <v>0</v>
      </c>
    </row>
    <row r="211">
      <c r="A211" s="43" t="inlineStr">
        <is>
          <t>OPM</t>
        </is>
      </c>
      <c r="B211" s="3" t="inlineStr">
        <is>
          <t>영업이익 ÷ 매출</t>
        </is>
      </c>
      <c r="C211" s="15">
        <f>IF(OR(C210="",C146=""),"",IF(C146&lt;=0,"",IFERROR(C210/C146,"")))</f>
        <v/>
      </c>
      <c r="D211" s="15">
        <f>IF(OR(D210="",D146=""),"",IF(D146&lt;=0,"",IFERROR(D210/D146,"")))</f>
        <v/>
      </c>
      <c r="E211" s="15">
        <f>IF(OR(E210="",E146=""),"",IF(E146&lt;=0,"",IFERROR(E210/E146,"")))</f>
        <v/>
      </c>
      <c r="F211" s="15">
        <f>IF(OR(F210="",F146=""),"",IF(F146&lt;=0,"",IFERROR(F210/F146,"")))</f>
        <v/>
      </c>
      <c r="G211" s="15">
        <f>IF(OR(G210="",G146=""),"",IF(G146&lt;=0,"",IFERROR(G210/G146,"")))</f>
        <v/>
      </c>
      <c r="H211" s="15">
        <f>IF(OR(H210="",H146=""),"",IF(H146&lt;=0,"",IFERROR(H210/H146,"")))</f>
        <v/>
      </c>
      <c r="I211" s="15">
        <f>IF(OR(I210="",I146=""),"",IF(I146&lt;=0,"",IFERROR(I210/I146,"")))</f>
        <v/>
      </c>
      <c r="J211" s="15">
        <f>IF(OR(J210="",J146=""),"",IF(J146&lt;=0,"",IFERROR(J210/J146,"")))</f>
        <v/>
      </c>
      <c r="K211" s="15">
        <f>IF(OR(K210="",K146=""),"",IF(K146&lt;=0,"",IFERROR(K210/K146,"")))</f>
        <v/>
      </c>
      <c r="L211" s="15">
        <f>IF(OR(L210="",L146=""),"",IF(L146&lt;=0,"",IFERROR(L210/L146,"")))</f>
        <v/>
      </c>
      <c r="M211" s="15">
        <f>IF(OR(M210="",M146=""),"",IF(M146&lt;=0,"",IFERROR(M210/M146,"")))</f>
        <v/>
      </c>
      <c r="N211" s="15">
        <f>IF(OR(N210="",N146=""),"",IF(N146&lt;=0,"",IFERROR(N210/N146,"")))</f>
        <v/>
      </c>
      <c r="V211" s="15">
        <f>IF(OR(V210="",V146=""),"",IF(V146&lt;=0,"",IFERROR(V210/V146,"")))</f>
        <v/>
      </c>
      <c r="W211" s="15">
        <f>IF(OR(W210="",W146=""),"",IF(W146&lt;=0,"",IFERROR(W210/W146,"")))</f>
        <v/>
      </c>
      <c r="X211" s="15">
        <f>IF(OR(X210="",X146=""),"",IF(X146&lt;=0,"",IFERROR(X210/X146,"")))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IF(OR(G210="",C210=""),"",IF(C210&lt;=0,"",IFERROR(G210/C210-1,"")))</f>
        <v/>
      </c>
      <c r="H212" s="15">
        <f>IF(OR(H210="",D210=""),"",IF(D210&lt;=0,"",IFERROR(H210/D210-1,"")))</f>
        <v/>
      </c>
      <c r="I212" s="15">
        <f>IF(OR(I210="",E210=""),"",IF(E210&lt;=0,"",IFERROR(I210/E210-1,"")))</f>
        <v/>
      </c>
      <c r="J212" s="15">
        <f>IF(OR(J210="",F210=""),"",IF(F210&lt;=0,"",IFERROR(J210/F210-1,"")))</f>
        <v/>
      </c>
      <c r="K212" s="15">
        <f>IF(OR(K210="",G210=""),"",IF(G210&lt;=0,"",IFERROR(K210/G210-1,"")))</f>
        <v/>
      </c>
      <c r="L212" s="15">
        <f>IF(OR(L210="",H210=""),"",IF(H210&lt;=0,"",IFERROR(L210/H210-1,"")))</f>
        <v/>
      </c>
      <c r="M212" s="15">
        <f>IF(OR(M210="",I210=""),"",IF(I210&lt;=0,"",IFERROR(M210/I210-1,"")))</f>
        <v/>
      </c>
      <c r="N212" s="15">
        <f>IF(OR(N210="",J210=""),"",IF(J210&lt;=0,"",IFERROR(N210/J210-1,"")))</f>
        <v/>
      </c>
      <c r="V212" s="15">
        <f>IF(OR(V210="",U210=""),"",IF(U210&lt;=0,"",IFERROR(V210/U210-1,"")))</f>
        <v/>
      </c>
      <c r="W212" s="15">
        <f>IF(OR(W210="",V210=""),"",IF(V210&lt;=0,"",IFERROR(W210/V210-1,"")))</f>
        <v/>
      </c>
      <c r="X212" s="15">
        <f>IF(OR(X210="",W210=""),"",IF(W210&lt;=0,"",IFERROR(X210/W210-1,"")))</f>
        <v/>
      </c>
    </row>
    <row r="213">
      <c r="A213" s="18" t="inlineStr">
        <is>
          <t>PQA · 지분법 투자손익(△ 손실)</t>
        </is>
      </c>
      <c r="C213" s="20" t="n">
        <v>0</v>
      </c>
      <c r="D213" s="20" t="n">
        <v>0</v>
      </c>
      <c r="E213" s="20" t="n">
        <v>0</v>
      </c>
      <c r="F213" s="20" t="n">
        <v>0</v>
      </c>
      <c r="G213" s="20" t="n">
        <v>0</v>
      </c>
      <c r="H213" s="20" t="n">
        <v>0</v>
      </c>
      <c r="I213" s="20" t="n">
        <v>0</v>
      </c>
      <c r="J213" s="20" t="n">
        <v>0</v>
      </c>
      <c r="K213" s="20" t="n">
        <v>0</v>
      </c>
      <c r="L213" s="20" t="n">
        <v>0</v>
      </c>
      <c r="M213" s="20" t="n">
        <v>0</v>
      </c>
      <c r="N213" s="20" t="n">
        <v>0</v>
      </c>
      <c r="V213" s="20" t="n">
        <v>0</v>
      </c>
      <c r="W213" s="20" t="n">
        <v>0</v>
      </c>
      <c r="X213" s="20" t="n">
        <v>0</v>
      </c>
    </row>
    <row r="214">
      <c r="A214" s="43" t="inlineStr">
        <is>
          <t>OPM</t>
        </is>
      </c>
      <c r="B214" s="3" t="inlineStr">
        <is>
          <t>영업이익 ÷ 매출</t>
        </is>
      </c>
      <c r="C214" s="15">
        <f>IF(OR(C213="",C148=""),"",IF(C148&lt;=0,"",IFERROR(C213/C148,"")))</f>
        <v/>
      </c>
      <c r="D214" s="15">
        <f>IF(OR(D213="",D148=""),"",IF(D148&lt;=0,"",IFERROR(D213/D148,"")))</f>
        <v/>
      </c>
      <c r="E214" s="15">
        <f>IF(OR(E213="",E148=""),"",IF(E148&lt;=0,"",IFERROR(E213/E148,"")))</f>
        <v/>
      </c>
      <c r="F214" s="15">
        <f>IF(OR(F213="",F148=""),"",IF(F148&lt;=0,"",IFERROR(F213/F148,"")))</f>
        <v/>
      </c>
      <c r="G214" s="15">
        <f>IF(OR(G213="",G148=""),"",IF(G148&lt;=0,"",IFERROR(G213/G148,"")))</f>
        <v/>
      </c>
      <c r="H214" s="15">
        <f>IF(OR(H213="",H148=""),"",IF(H148&lt;=0,"",IFERROR(H213/H148,"")))</f>
        <v/>
      </c>
      <c r="I214" s="15">
        <f>IF(OR(I213="",I148=""),"",IF(I148&lt;=0,"",IFERROR(I213/I148,"")))</f>
        <v/>
      </c>
      <c r="J214" s="15">
        <f>IF(OR(J213="",J148=""),"",IF(J148&lt;=0,"",IFERROR(J213/J148,"")))</f>
        <v/>
      </c>
      <c r="K214" s="15">
        <f>IF(OR(K213="",K148=""),"",IF(K148&lt;=0,"",IFERROR(K213/K148,"")))</f>
        <v/>
      </c>
      <c r="L214" s="15">
        <f>IF(OR(L213="",L148=""),"",IF(L148&lt;=0,"",IFERROR(L213/L148,"")))</f>
        <v/>
      </c>
      <c r="M214" s="15">
        <f>IF(OR(M213="",M148=""),"",IF(M148&lt;=0,"",IFERROR(M213/M148,"")))</f>
        <v/>
      </c>
      <c r="N214" s="15">
        <f>IF(OR(N213="",N148=""),"",IF(N148&lt;=0,"",IFERROR(N213/N148,"")))</f>
        <v/>
      </c>
      <c r="V214" s="15">
        <f>IF(OR(V213="",V148=""),"",IF(V148&lt;=0,"",IFERROR(V213/V148,"")))</f>
        <v/>
      </c>
      <c r="W214" s="15">
        <f>IF(OR(W213="",W148=""),"",IF(W148&lt;=0,"",IFERROR(W213/W148,"")))</f>
        <v/>
      </c>
      <c r="X214" s="15">
        <f>IF(OR(X213="",X148=""),"",IF(X148&lt;=0,"",IFERROR(X213/X148,"")))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IF(OR(G213="",C213=""),"",IF(C213&lt;=0,"",IFERROR(G213/C213-1,"")))</f>
        <v/>
      </c>
      <c r="H215" s="15">
        <f>IF(OR(H213="",D213=""),"",IF(D213&lt;=0,"",IFERROR(H213/D213-1,"")))</f>
        <v/>
      </c>
      <c r="I215" s="15">
        <f>IF(OR(I213="",E213=""),"",IF(E213&lt;=0,"",IFERROR(I213/E213-1,"")))</f>
        <v/>
      </c>
      <c r="J215" s="15">
        <f>IF(OR(J213="",F213=""),"",IF(F213&lt;=0,"",IFERROR(J213/F213-1,"")))</f>
        <v/>
      </c>
      <c r="K215" s="15">
        <f>IF(OR(K213="",G213=""),"",IF(G213&lt;=0,"",IFERROR(K213/G213-1,"")))</f>
        <v/>
      </c>
      <c r="L215" s="15">
        <f>IF(OR(L213="",H213=""),"",IF(H213&lt;=0,"",IFERROR(L213/H213-1,"")))</f>
        <v/>
      </c>
      <c r="M215" s="15">
        <f>IF(OR(M213="",I213=""),"",IF(I213&lt;=0,"",IFERROR(M213/I213-1,"")))</f>
        <v/>
      </c>
      <c r="N215" s="15">
        <f>IF(OR(N213="",J213=""),"",IF(J213&lt;=0,"",IFERROR(N213/J213-1,"")))</f>
        <v/>
      </c>
      <c r="V215" s="15">
        <f>IF(OR(V213="",U213=""),"",IF(U213&lt;=0,"",IFERROR(V213/U213-1,"")))</f>
        <v/>
      </c>
      <c r="W215" s="15">
        <f>IF(OR(W213="",V213=""),"",IF(V213&lt;=0,"",IFERROR(W213/V213-1,"")))</f>
        <v/>
      </c>
      <c r="X215" s="15">
        <f>IF(OR(X213="",W213=""),"",IF(W213&lt;=0,"",IFERROR(X213/W213-1,"")))</f>
        <v/>
      </c>
    </row>
    <row r="216">
      <c r="A216" s="18" t="inlineStr">
        <is>
          <t>부문 · 지분법 투자손익(△ 손실)</t>
        </is>
      </c>
      <c r="C216" s="20" t="n">
        <v>0</v>
      </c>
      <c r="D216" s="20" t="n">
        <v>0</v>
      </c>
      <c r="E216" s="20" t="n">
        <v>0</v>
      </c>
      <c r="F216" s="20" t="n">
        <v>0</v>
      </c>
      <c r="G216" s="20" t="n">
        <v>0</v>
      </c>
      <c r="H216" s="20" t="n">
        <v>0</v>
      </c>
      <c r="I216" s="20" t="n">
        <v>0</v>
      </c>
      <c r="J216" s="20" t="n">
        <v>0</v>
      </c>
      <c r="K216" s="20" t="n">
        <v>0</v>
      </c>
      <c r="L216" s="20" t="n">
        <v>0</v>
      </c>
      <c r="M216" s="20" t="n">
        <v>0</v>
      </c>
      <c r="N216" s="20" t="n">
        <v>0</v>
      </c>
      <c r="V216" s="20" t="n">
        <v>0</v>
      </c>
      <c r="W216" s="20" t="n">
        <v>0</v>
      </c>
      <c r="X216" s="20" t="n">
        <v>0</v>
      </c>
    </row>
    <row r="217">
      <c r="A217" s="43" t="inlineStr">
        <is>
          <t>OPM</t>
        </is>
      </c>
      <c r="B217" s="3" t="inlineStr">
        <is>
          <t>영업이익 ÷ 매출</t>
        </is>
      </c>
      <c r="C217" s="15">
        <f>IF(OR(C216="",C150=""),"",IF(C150&lt;=0,"",IFERROR(C216/C150,"")))</f>
        <v/>
      </c>
      <c r="D217" s="15">
        <f>IF(OR(D216="",D150=""),"",IF(D150&lt;=0,"",IFERROR(D216/D150,"")))</f>
        <v/>
      </c>
      <c r="E217" s="15">
        <f>IF(OR(E216="",E150=""),"",IF(E150&lt;=0,"",IFERROR(E216/E150,"")))</f>
        <v/>
      </c>
      <c r="F217" s="15">
        <f>IF(OR(F216="",F150=""),"",IF(F150&lt;=0,"",IFERROR(F216/F150,"")))</f>
        <v/>
      </c>
      <c r="G217" s="15">
        <f>IF(OR(G216="",G150=""),"",IF(G150&lt;=0,"",IFERROR(G216/G150,"")))</f>
        <v/>
      </c>
      <c r="H217" s="15">
        <f>IF(OR(H216="",H150=""),"",IF(H150&lt;=0,"",IFERROR(H216/H150,"")))</f>
        <v/>
      </c>
      <c r="I217" s="15">
        <f>IF(OR(I216="",I150=""),"",IF(I150&lt;=0,"",IFERROR(I216/I150,"")))</f>
        <v/>
      </c>
      <c r="J217" s="15">
        <f>IF(OR(J216="",J150=""),"",IF(J150&lt;=0,"",IFERROR(J216/J150,"")))</f>
        <v/>
      </c>
      <c r="K217" s="15">
        <f>IF(OR(K216="",K150=""),"",IF(K150&lt;=0,"",IFERROR(K216/K150,"")))</f>
        <v/>
      </c>
      <c r="L217" s="15">
        <f>IF(OR(L216="",L150=""),"",IF(L150&lt;=0,"",IFERROR(L216/L150,"")))</f>
        <v/>
      </c>
      <c r="M217" s="15">
        <f>IF(OR(M216="",M150=""),"",IF(M150&lt;=0,"",IFERROR(M216/M150,"")))</f>
        <v/>
      </c>
      <c r="N217" s="15">
        <f>IF(OR(N216="",N150=""),"",IF(N150&lt;=0,"",IFERROR(N216/N150,"")))</f>
        <v/>
      </c>
      <c r="V217" s="15">
        <f>IF(OR(V216="",V150=""),"",IF(V150&lt;=0,"",IFERROR(V216/V150,"")))</f>
        <v/>
      </c>
      <c r="W217" s="15">
        <f>IF(OR(W216="",W150=""),"",IF(W150&lt;=0,"",IFERROR(W216/W150,"")))</f>
        <v/>
      </c>
      <c r="X217" s="15">
        <f>IF(OR(X216="",X150=""),"",IF(X150&lt;=0,"",IFERROR(X216/X150,"")))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G218" s="15">
        <f>IF(OR(G216="",C216=""),"",IF(C216&lt;=0,"",IFERROR(G216/C216-1,"")))</f>
        <v/>
      </c>
      <c r="H218" s="15">
        <f>IF(OR(H216="",D216=""),"",IF(D216&lt;=0,"",IFERROR(H216/D216-1,"")))</f>
        <v/>
      </c>
      <c r="I218" s="15">
        <f>IF(OR(I216="",E216=""),"",IF(E216&lt;=0,"",IFERROR(I216/E216-1,"")))</f>
        <v/>
      </c>
      <c r="J218" s="15">
        <f>IF(OR(J216="",F216=""),"",IF(F216&lt;=0,"",IFERROR(J216/F216-1,"")))</f>
        <v/>
      </c>
      <c r="K218" s="15">
        <f>IF(OR(K216="",G216=""),"",IF(G216&lt;=0,"",IFERROR(K216/G216-1,"")))</f>
        <v/>
      </c>
      <c r="L218" s="15">
        <f>IF(OR(L216="",H216=""),"",IF(H216&lt;=0,"",IFERROR(L216/H216-1,"")))</f>
        <v/>
      </c>
      <c r="M218" s="15">
        <f>IF(OR(M216="",I216=""),"",IF(I216&lt;=0,"",IFERROR(M216/I216-1,"")))</f>
        <v/>
      </c>
      <c r="N218" s="15">
        <f>IF(OR(N216="",J216=""),"",IF(J216&lt;=0,"",IFERROR(N216/J216-1,"")))</f>
        <v/>
      </c>
      <c r="V218" s="15">
        <f>IF(OR(V216="",U216=""),"",IF(U216&lt;=0,"",IFERROR(V216/U216-1,"")))</f>
        <v/>
      </c>
      <c r="W218" s="15">
        <f>IF(OR(W216="",V216=""),"",IF(V216&lt;=0,"",IFERROR(W216/V216-1,"")))</f>
        <v/>
      </c>
      <c r="X218" s="15">
        <f>IF(OR(X216="",W216=""),"",IF(W216&lt;=0,"",IFERROR(X216/W216-1,"")))</f>
        <v/>
      </c>
    </row>
    <row r="219">
      <c r="A219" s="18" t="inlineStr">
        <is>
          <t>보고부문 합계 · 지분법 투자손익(△ 손실)</t>
        </is>
      </c>
      <c r="C219" s="20" t="n">
        <v>0</v>
      </c>
      <c r="D219" s="20" t="n">
        <v>0</v>
      </c>
      <c r="E219" s="20" t="n">
        <v>0</v>
      </c>
      <c r="F219" s="20" t="n">
        <v>0</v>
      </c>
      <c r="G219" s="20" t="n">
        <v>0</v>
      </c>
      <c r="H219" s="20" t="n">
        <v>0</v>
      </c>
      <c r="I219" s="20" t="n">
        <v>0</v>
      </c>
      <c r="J219" s="20" t="n">
        <v>0</v>
      </c>
      <c r="K219" s="20" t="n">
        <v>0</v>
      </c>
      <c r="L219" s="20" t="n">
        <v>0</v>
      </c>
      <c r="M219" s="20" t="n">
        <v>0</v>
      </c>
      <c r="N219" s="20" t="n">
        <v>0</v>
      </c>
      <c r="V219" s="20" t="n">
        <v>0</v>
      </c>
      <c r="W219" s="20" t="n">
        <v>0</v>
      </c>
      <c r="X219" s="20" t="n">
        <v>0</v>
      </c>
    </row>
    <row r="220">
      <c r="A220" s="43" t="inlineStr">
        <is>
          <t>OPM</t>
        </is>
      </c>
      <c r="B220" s="3" t="inlineStr">
        <is>
          <t>영업이익 ÷ 매출</t>
        </is>
      </c>
      <c r="C220" s="15">
        <f>IF(OR(C219="",C152=""),"",IF(C152&lt;=0,"",IFERROR(C219/C152,"")))</f>
        <v/>
      </c>
      <c r="D220" s="15">
        <f>IF(OR(D219="",D152=""),"",IF(D152&lt;=0,"",IFERROR(D219/D152,"")))</f>
        <v/>
      </c>
      <c r="E220" s="15">
        <f>IF(OR(E219="",E152=""),"",IF(E152&lt;=0,"",IFERROR(E219/E152,"")))</f>
        <v/>
      </c>
      <c r="F220" s="15">
        <f>IF(OR(F219="",F152=""),"",IF(F152&lt;=0,"",IFERROR(F219/F152,"")))</f>
        <v/>
      </c>
      <c r="G220" s="15">
        <f>IF(OR(G219="",G152=""),"",IF(G152&lt;=0,"",IFERROR(G219/G152,"")))</f>
        <v/>
      </c>
      <c r="H220" s="15">
        <f>IF(OR(H219="",H152=""),"",IF(H152&lt;=0,"",IFERROR(H219/H152,"")))</f>
        <v/>
      </c>
      <c r="I220" s="15">
        <f>IF(OR(I219="",I152=""),"",IF(I152&lt;=0,"",IFERROR(I219/I152,"")))</f>
        <v/>
      </c>
      <c r="J220" s="15">
        <f>IF(OR(J219="",J152=""),"",IF(J152&lt;=0,"",IFERROR(J219/J152,"")))</f>
        <v/>
      </c>
      <c r="K220" s="15">
        <f>IF(OR(K219="",K152=""),"",IF(K152&lt;=0,"",IFERROR(K219/K152,"")))</f>
        <v/>
      </c>
      <c r="L220" s="15">
        <f>IF(OR(L219="",L152=""),"",IF(L152&lt;=0,"",IFERROR(L219/L152,"")))</f>
        <v/>
      </c>
      <c r="M220" s="15">
        <f>IF(OR(M219="",M152=""),"",IF(M152&lt;=0,"",IFERROR(M219/M152,"")))</f>
        <v/>
      </c>
      <c r="N220" s="15">
        <f>IF(OR(N219="",N152=""),"",IF(N152&lt;=0,"",IFERROR(N219/N152,"")))</f>
        <v/>
      </c>
      <c r="V220" s="15">
        <f>IF(OR(V219="",V152=""),"",IF(V152&lt;=0,"",IFERROR(V219/V152,"")))</f>
        <v/>
      </c>
      <c r="W220" s="15">
        <f>IF(OR(W219="",W152=""),"",IF(W152&lt;=0,"",IFERROR(W219/W152,"")))</f>
        <v/>
      </c>
      <c r="X220" s="15">
        <f>IF(OR(X219="",X152=""),"",IF(X152&lt;=0,"",IFERROR(X219/X152,"")))</f>
        <v/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G221" s="15">
        <f>IF(OR(G219="",C219=""),"",IF(C219&lt;=0,"",IFERROR(G219/C219-1,"")))</f>
        <v/>
      </c>
      <c r="H221" s="15">
        <f>IF(OR(H219="",D219=""),"",IF(D219&lt;=0,"",IFERROR(H219/D219-1,"")))</f>
        <v/>
      </c>
      <c r="I221" s="15">
        <f>IF(OR(I219="",E219=""),"",IF(E219&lt;=0,"",IFERROR(I219/E219-1,"")))</f>
        <v/>
      </c>
      <c r="J221" s="15">
        <f>IF(OR(J219="",F219=""),"",IF(F219&lt;=0,"",IFERROR(J219/F219-1,"")))</f>
        <v/>
      </c>
      <c r="K221" s="15">
        <f>IF(OR(K219="",G219=""),"",IF(G219&lt;=0,"",IFERROR(K219/G219-1,"")))</f>
        <v/>
      </c>
      <c r="L221" s="15">
        <f>IF(OR(L219="",H219=""),"",IF(H219&lt;=0,"",IFERROR(L219/H219-1,"")))</f>
        <v/>
      </c>
      <c r="M221" s="15">
        <f>IF(OR(M219="",I219=""),"",IF(I219&lt;=0,"",IFERROR(M219/I219-1,"")))</f>
        <v/>
      </c>
      <c r="N221" s="15">
        <f>IF(OR(N219="",J219=""),"",IF(J219&lt;=0,"",IFERROR(N219/J219-1,"")))</f>
        <v/>
      </c>
      <c r="V221" s="15">
        <f>IF(OR(V219="",U219=""),"",IF(U219&lt;=0,"",IFERROR(V219/U219-1,"")))</f>
        <v/>
      </c>
      <c r="W221" s="15">
        <f>IF(OR(W219="",V219=""),"",IF(V219&lt;=0,"",IFERROR(W219/V219-1,"")))</f>
        <v/>
      </c>
      <c r="X221" s="15">
        <f>IF(OR(X219="",W219=""),"",IF(W219&lt;=0,"",IFERROR(X219/W219-1,"")))</f>
        <v/>
      </c>
    </row>
    <row r="222">
      <c r="A222" s="18" t="inlineStr">
        <is>
          <t>기타 · 지분법 투자손익(△ 손실)</t>
        </is>
      </c>
      <c r="C222" s="20" t="n">
        <v>0</v>
      </c>
      <c r="D222" s="20" t="n">
        <v>0</v>
      </c>
      <c r="E222" s="20" t="n">
        <v>0</v>
      </c>
      <c r="F222" s="20" t="n">
        <v>0</v>
      </c>
      <c r="G222" s="20" t="n">
        <v>0</v>
      </c>
      <c r="H222" s="20" t="n">
        <v>0</v>
      </c>
      <c r="I222" s="20" t="n">
        <v>0</v>
      </c>
      <c r="J222" s="20" t="n">
        <v>0</v>
      </c>
      <c r="K222" s="20" t="n">
        <v>0</v>
      </c>
      <c r="L222" s="20" t="n">
        <v>0</v>
      </c>
      <c r="M222" s="20" t="n">
        <v>0</v>
      </c>
      <c r="N222" s="20" t="n">
        <v>0</v>
      </c>
      <c r="V222" s="20" t="n">
        <v>0</v>
      </c>
      <c r="W222" s="20" t="n">
        <v>0</v>
      </c>
      <c r="X222" s="20" t="n">
        <v>0</v>
      </c>
    </row>
    <row r="223">
      <c r="A223" s="43" t="inlineStr">
        <is>
          <t>OPM</t>
        </is>
      </c>
      <c r="B223" s="3" t="inlineStr">
        <is>
          <t>영업이익 ÷ 매출</t>
        </is>
      </c>
      <c r="C223" s="15">
        <f>IF(OR(C222="",C154=""),"",IF(C154&lt;=0,"",IFERROR(C222/C154,"")))</f>
        <v/>
      </c>
      <c r="D223" s="15">
        <f>IF(OR(D222="",D154=""),"",IF(D154&lt;=0,"",IFERROR(D222/D154,"")))</f>
        <v/>
      </c>
      <c r="E223" s="15">
        <f>IF(OR(E222="",E154=""),"",IF(E154&lt;=0,"",IFERROR(E222/E154,"")))</f>
        <v/>
      </c>
      <c r="F223" s="15">
        <f>IF(OR(F222="",F154=""),"",IF(F154&lt;=0,"",IFERROR(F222/F154,"")))</f>
        <v/>
      </c>
      <c r="G223" s="15">
        <f>IF(OR(G222="",G154=""),"",IF(G154&lt;=0,"",IFERROR(G222/G154,"")))</f>
        <v/>
      </c>
      <c r="H223" s="15">
        <f>IF(OR(H222="",H154=""),"",IF(H154&lt;=0,"",IFERROR(H222/H154,"")))</f>
        <v/>
      </c>
      <c r="I223" s="15">
        <f>IF(OR(I222="",I154=""),"",IF(I154&lt;=0,"",IFERROR(I222/I154,"")))</f>
        <v/>
      </c>
      <c r="J223" s="15">
        <f>IF(OR(J222="",J154=""),"",IF(J154&lt;=0,"",IFERROR(J222/J154,"")))</f>
        <v/>
      </c>
      <c r="K223" s="15">
        <f>IF(OR(K222="",K154=""),"",IF(K154&lt;=0,"",IFERROR(K222/K154,"")))</f>
        <v/>
      </c>
      <c r="L223" s="15">
        <f>IF(OR(L222="",L154=""),"",IF(L154&lt;=0,"",IFERROR(L222/L154,"")))</f>
        <v/>
      </c>
      <c r="M223" s="15">
        <f>IF(OR(M222="",M154=""),"",IF(M154&lt;=0,"",IFERROR(M222/M154,"")))</f>
        <v/>
      </c>
      <c r="N223" s="15">
        <f>IF(OR(N222="",N154=""),"",IF(N154&lt;=0,"",IFERROR(N222/N154,"")))</f>
        <v/>
      </c>
      <c r="V223" s="15">
        <f>IF(OR(V222="",V154=""),"",IF(V154&lt;=0,"",IFERROR(V222/V154,"")))</f>
        <v/>
      </c>
      <c r="W223" s="15">
        <f>IF(OR(W222="",W154=""),"",IF(W154&lt;=0,"",IFERROR(W222/W154,"")))</f>
        <v/>
      </c>
      <c r="X223" s="15">
        <f>IF(OR(X222="",X154=""),"",IF(X154&lt;=0,"",IFERROR(X222/X154,"")))</f>
        <v/>
      </c>
    </row>
    <row r="224">
      <c r="A224" s="43" t="inlineStr">
        <is>
          <t>YoY</t>
        </is>
      </c>
      <c r="B224" s="3" t="inlineStr">
        <is>
          <t>전년 같은 분기·전년 대비</t>
        </is>
      </c>
      <c r="G224" s="15">
        <f>IF(OR(G222="",C222=""),"",IF(C222&lt;=0,"",IFERROR(G222/C222-1,"")))</f>
        <v/>
      </c>
      <c r="H224" s="15">
        <f>IF(OR(H222="",D222=""),"",IF(D222&lt;=0,"",IFERROR(H222/D222-1,"")))</f>
        <v/>
      </c>
      <c r="I224" s="15">
        <f>IF(OR(I222="",E222=""),"",IF(E222&lt;=0,"",IFERROR(I222/E222-1,"")))</f>
        <v/>
      </c>
      <c r="J224" s="15">
        <f>IF(OR(J222="",F222=""),"",IF(F222&lt;=0,"",IFERROR(J222/F222-1,"")))</f>
        <v/>
      </c>
      <c r="K224" s="15">
        <f>IF(OR(K222="",G222=""),"",IF(G222&lt;=0,"",IFERROR(K222/G222-1,"")))</f>
        <v/>
      </c>
      <c r="L224" s="15">
        <f>IF(OR(L222="",H222=""),"",IF(H222&lt;=0,"",IFERROR(L222/H222-1,"")))</f>
        <v/>
      </c>
      <c r="M224" s="15">
        <f>IF(OR(M222="",I222=""),"",IF(I222&lt;=0,"",IFERROR(M222/I222-1,"")))</f>
        <v/>
      </c>
      <c r="N224" s="15">
        <f>IF(OR(N222="",J222=""),"",IF(J222&lt;=0,"",IFERROR(N222/J222-1,"")))</f>
        <v/>
      </c>
      <c r="V224" s="15">
        <f>IF(OR(V222="",U222=""),"",IF(U222&lt;=0,"",IFERROR(V222/U222-1,"")))</f>
        <v/>
      </c>
      <c r="W224" s="15">
        <f>IF(OR(W222="",V222=""),"",IF(V222&lt;=0,"",IFERROR(W222/V222-1,"")))</f>
        <v/>
      </c>
      <c r="X224" s="15">
        <f>IF(OR(X222="",W222=""),"",IF(W222&lt;=0,"",IFERROR(X222/W222-1,"")))</f>
        <v/>
      </c>
    </row>
    <row r="225">
      <c r="A225" s="18" t="inlineStr">
        <is>
          <t>합계 · 지분법 투자손익(△ 손실)</t>
        </is>
      </c>
      <c r="C225" s="20" t="n">
        <v>0</v>
      </c>
      <c r="D225" s="20" t="n">
        <v>0</v>
      </c>
      <c r="E225" s="20" t="n">
        <v>0</v>
      </c>
      <c r="F225" s="20" t="n">
        <v>0</v>
      </c>
      <c r="G225" s="20" t="n">
        <v>0</v>
      </c>
      <c r="H225" s="20" t="n">
        <v>0</v>
      </c>
      <c r="I225" s="20" t="n">
        <v>0</v>
      </c>
      <c r="J225" s="20" t="n">
        <v>0</v>
      </c>
      <c r="K225" s="20" t="n">
        <v>0</v>
      </c>
      <c r="L225" s="20" t="n">
        <v>0</v>
      </c>
      <c r="M225" s="20" t="n">
        <v>0</v>
      </c>
      <c r="N225" s="20" t="n">
        <v>0</v>
      </c>
      <c r="V225" s="20" t="n">
        <v>0</v>
      </c>
      <c r="W225" s="20" t="n">
        <v>0</v>
      </c>
      <c r="X225" s="20" t="n">
        <v>0</v>
      </c>
    </row>
    <row r="226">
      <c r="A226" s="43" t="inlineStr">
        <is>
          <t>OPM</t>
        </is>
      </c>
      <c r="B226" s="3" t="inlineStr">
        <is>
          <t>영업이익 ÷ 매출</t>
        </is>
      </c>
      <c r="C226" s="15">
        <f>IF(OR(C225="",C156=""),"",IF(C156&lt;=0,"",IFERROR(C225/C156,"")))</f>
        <v/>
      </c>
      <c r="D226" s="15">
        <f>IF(OR(D225="",D156=""),"",IF(D156&lt;=0,"",IFERROR(D225/D156,"")))</f>
        <v/>
      </c>
      <c r="E226" s="15">
        <f>IF(OR(E225="",E156=""),"",IF(E156&lt;=0,"",IFERROR(E225/E156,"")))</f>
        <v/>
      </c>
      <c r="F226" s="15">
        <f>IF(OR(F225="",F156=""),"",IF(F156&lt;=0,"",IFERROR(F225/F156,"")))</f>
        <v/>
      </c>
      <c r="G226" s="15">
        <f>IF(OR(G225="",G156=""),"",IF(G156&lt;=0,"",IFERROR(G225/G156,"")))</f>
        <v/>
      </c>
      <c r="H226" s="15">
        <f>IF(OR(H225="",H156=""),"",IF(H156&lt;=0,"",IFERROR(H225/H156,"")))</f>
        <v/>
      </c>
      <c r="I226" s="15">
        <f>IF(OR(I225="",I156=""),"",IF(I156&lt;=0,"",IFERROR(I225/I156,"")))</f>
        <v/>
      </c>
      <c r="J226" s="15">
        <f>IF(OR(J225="",J156=""),"",IF(J156&lt;=0,"",IFERROR(J225/J156,"")))</f>
        <v/>
      </c>
      <c r="K226" s="15">
        <f>IF(OR(K225="",K156=""),"",IF(K156&lt;=0,"",IFERROR(K225/K156,"")))</f>
        <v/>
      </c>
      <c r="L226" s="15">
        <f>IF(OR(L225="",L156=""),"",IF(L156&lt;=0,"",IFERROR(L225/L156,"")))</f>
        <v/>
      </c>
      <c r="M226" s="15">
        <f>IF(OR(M225="",M156=""),"",IF(M156&lt;=0,"",IFERROR(M225/M156,"")))</f>
        <v/>
      </c>
      <c r="N226" s="15">
        <f>IF(OR(N225="",N156=""),"",IF(N156&lt;=0,"",IFERROR(N225/N156,"")))</f>
        <v/>
      </c>
      <c r="V226" s="15">
        <f>IF(OR(V225="",V156=""),"",IF(V156&lt;=0,"",IFERROR(V225/V156,"")))</f>
        <v/>
      </c>
      <c r="W226" s="15">
        <f>IF(OR(W225="",W156=""),"",IF(W156&lt;=0,"",IFERROR(W225/W156,"")))</f>
        <v/>
      </c>
      <c r="X226" s="15">
        <f>IF(OR(X225="",X156=""),"",IF(X156&lt;=0,"",IFERROR(X225/X156,"")))</f>
        <v/>
      </c>
    </row>
    <row r="227">
      <c r="A227" s="43" t="inlineStr">
        <is>
          <t>YoY</t>
        </is>
      </c>
      <c r="B227" s="3" t="inlineStr">
        <is>
          <t>전년 같은 분기·전년 대비</t>
        </is>
      </c>
      <c r="G227" s="15">
        <f>IF(OR(G225="",C225=""),"",IF(C225&lt;=0,"",IFERROR(G225/C225-1,"")))</f>
        <v/>
      </c>
      <c r="H227" s="15">
        <f>IF(OR(H225="",D225=""),"",IF(D225&lt;=0,"",IFERROR(H225/D225-1,"")))</f>
        <v/>
      </c>
      <c r="I227" s="15">
        <f>IF(OR(I225="",E225=""),"",IF(E225&lt;=0,"",IFERROR(I225/E225-1,"")))</f>
        <v/>
      </c>
      <c r="J227" s="15">
        <f>IF(OR(J225="",F225=""),"",IF(F225&lt;=0,"",IFERROR(J225/F225-1,"")))</f>
        <v/>
      </c>
      <c r="K227" s="15">
        <f>IF(OR(K225="",G225=""),"",IF(G225&lt;=0,"",IFERROR(K225/G225-1,"")))</f>
        <v/>
      </c>
      <c r="L227" s="15">
        <f>IF(OR(L225="",H225=""),"",IF(H225&lt;=0,"",IFERROR(L225/H225-1,"")))</f>
        <v/>
      </c>
      <c r="M227" s="15">
        <f>IF(OR(M225="",I225=""),"",IF(I225&lt;=0,"",IFERROR(M225/I225-1,"")))</f>
        <v/>
      </c>
      <c r="N227" s="15">
        <f>IF(OR(N225="",J225=""),"",IF(J225&lt;=0,"",IFERROR(N225/J225-1,"")))</f>
        <v/>
      </c>
      <c r="V227" s="15">
        <f>IF(OR(V225="",U225=""),"",IF(U225&lt;=0,"",IFERROR(V225/U225-1,"")))</f>
        <v/>
      </c>
      <c r="W227" s="15">
        <f>IF(OR(W225="",V225=""),"",IF(V225&lt;=0,"",IFERROR(W225/V225-1,"")))</f>
        <v/>
      </c>
      <c r="X227" s="15">
        <f>IF(OR(X225="",W225=""),"",IF(W225&lt;=0,"",IFERROR(X225/W225-1,"")))</f>
        <v/>
      </c>
    </row>
    <row r="228">
      <c r="A228" s="18" t="inlineStr">
        <is>
          <t>조정액 · 지분법 투자손익(△ 손실)</t>
        </is>
      </c>
      <c r="C228" s="20" t="n">
        <v>0</v>
      </c>
      <c r="D228" s="20" t="n">
        <v>0</v>
      </c>
      <c r="E228" s="20" t="n">
        <v>0</v>
      </c>
      <c r="F228" s="20" t="n">
        <v>0</v>
      </c>
      <c r="G228" s="20" t="n">
        <v>0</v>
      </c>
      <c r="H228" s="20" t="n">
        <v>0</v>
      </c>
      <c r="I228" s="20" t="n">
        <v>0</v>
      </c>
      <c r="J228" s="20" t="n">
        <v>0</v>
      </c>
      <c r="K228" s="20" t="n">
        <v>0</v>
      </c>
      <c r="L228" s="20" t="n">
        <v>0</v>
      </c>
      <c r="M228" s="20" t="n">
        <v>0</v>
      </c>
      <c r="N228" s="20" t="n">
        <v>0</v>
      </c>
      <c r="V228" s="20" t="n">
        <v>0</v>
      </c>
      <c r="W228" s="20" t="n">
        <v>0</v>
      </c>
      <c r="X228" s="20" t="n">
        <v>0</v>
      </c>
    </row>
    <row r="229">
      <c r="A229" s="18" t="inlineStr">
        <is>
          <t>지분법 투자손익(△ 손실)</t>
        </is>
      </c>
      <c r="C229" s="20" t="n">
        <v>-0</v>
      </c>
      <c r="D229" s="20" t="n">
        <v>0</v>
      </c>
      <c r="E229" s="20" t="n">
        <v>0</v>
      </c>
      <c r="F229" s="20" t="n">
        <v>0</v>
      </c>
      <c r="G229" s="20" t="n">
        <v>-0</v>
      </c>
      <c r="H229" s="20" t="n">
        <v>0</v>
      </c>
      <c r="I229" s="20" t="n">
        <v>0</v>
      </c>
      <c r="J229" s="20" t="n">
        <v>0</v>
      </c>
      <c r="K229" s="20" t="n">
        <v>-0</v>
      </c>
      <c r="L229" s="20" t="n">
        <v>10</v>
      </c>
      <c r="M229" s="20" t="n">
        <v>7</v>
      </c>
      <c r="N229" s="20" t="n">
        <v>10</v>
      </c>
      <c r="V229" s="20" t="n">
        <v>0</v>
      </c>
      <c r="W229" s="20" t="n">
        <v>0</v>
      </c>
      <c r="X229" s="20" t="n">
        <v>10</v>
      </c>
    </row>
    <row r="230">
      <c r="A230" s="18" t="inlineStr">
        <is>
          <t>부문 · 법인세비용차감전 중간이익</t>
        </is>
      </c>
      <c r="C230" s="20" t="n">
        <v>0</v>
      </c>
      <c r="D230" s="20" t="n">
        <v>0</v>
      </c>
      <c r="E230" s="20" t="n">
        <v>0</v>
      </c>
      <c r="F230" s="20" t="n">
        <v>0</v>
      </c>
      <c r="G230" s="20" t="n">
        <v>0</v>
      </c>
      <c r="H230" s="20" t="n">
        <v>0</v>
      </c>
      <c r="I230" s="20" t="n">
        <v>0</v>
      </c>
      <c r="J230" s="20" t="n">
        <v>0</v>
      </c>
      <c r="K230" s="20" t="n">
        <v>0</v>
      </c>
      <c r="L230" s="20" t="n">
        <v>0</v>
      </c>
      <c r="M230" s="20" t="n">
        <v>0</v>
      </c>
      <c r="N230" s="20" t="n">
        <v>0</v>
      </c>
      <c r="V230" s="20" t="n">
        <v>0</v>
      </c>
      <c r="W230" s="20" t="n">
        <v>0</v>
      </c>
      <c r="X230" s="20" t="n">
        <v>0</v>
      </c>
    </row>
    <row r="231">
      <c r="A231" s="43" t="inlineStr">
        <is>
          <t>OPM</t>
        </is>
      </c>
      <c r="B231" s="3" t="inlineStr">
        <is>
          <t>영업이익 ÷ 매출</t>
        </is>
      </c>
      <c r="C231" s="15">
        <f>IF(OR(C230="",C146=""),"",IF(C146&lt;=0,"",IFERROR(C230/C146,"")))</f>
        <v/>
      </c>
      <c r="D231" s="15">
        <f>IF(OR(D230="",D146=""),"",IF(D146&lt;=0,"",IFERROR(D230/D146,"")))</f>
        <v/>
      </c>
      <c r="E231" s="15">
        <f>IF(OR(E230="",E146=""),"",IF(E146&lt;=0,"",IFERROR(E230/E146,"")))</f>
        <v/>
      </c>
      <c r="F231" s="15">
        <f>IF(OR(F230="",F146=""),"",IF(F146&lt;=0,"",IFERROR(F230/F146,"")))</f>
        <v/>
      </c>
      <c r="G231" s="15">
        <f>IF(OR(G230="",G146=""),"",IF(G146&lt;=0,"",IFERROR(G230/G146,"")))</f>
        <v/>
      </c>
      <c r="H231" s="15">
        <f>IF(OR(H230="",H146=""),"",IF(H146&lt;=0,"",IFERROR(H230/H146,"")))</f>
        <v/>
      </c>
      <c r="I231" s="15">
        <f>IF(OR(I230="",I146=""),"",IF(I146&lt;=0,"",IFERROR(I230/I146,"")))</f>
        <v/>
      </c>
      <c r="J231" s="15">
        <f>IF(OR(J230="",J146=""),"",IF(J146&lt;=0,"",IFERROR(J230/J146,"")))</f>
        <v/>
      </c>
      <c r="K231" s="15">
        <f>IF(OR(K230="",K146=""),"",IF(K146&lt;=0,"",IFERROR(K230/K146,"")))</f>
        <v/>
      </c>
      <c r="L231" s="15">
        <f>IF(OR(L230="",L146=""),"",IF(L146&lt;=0,"",IFERROR(L230/L146,"")))</f>
        <v/>
      </c>
      <c r="M231" s="15">
        <f>IF(OR(M230="",M146=""),"",IF(M146&lt;=0,"",IFERROR(M230/M146,"")))</f>
        <v/>
      </c>
      <c r="N231" s="15">
        <f>IF(OR(N230="",N146=""),"",IF(N146&lt;=0,"",IFERROR(N230/N146,"")))</f>
        <v/>
      </c>
      <c r="V231" s="15">
        <f>IF(OR(V230="",V146=""),"",IF(V146&lt;=0,"",IFERROR(V230/V146,"")))</f>
        <v/>
      </c>
      <c r="W231" s="15">
        <f>IF(OR(W230="",W146=""),"",IF(W146&lt;=0,"",IFERROR(W230/W146,"")))</f>
        <v/>
      </c>
      <c r="X231" s="15">
        <f>IF(OR(X230="",X146=""),"",IF(X146&lt;=0,"",IFERROR(X230/X146,"")))</f>
        <v/>
      </c>
    </row>
    <row r="232">
      <c r="A232" s="43" t="inlineStr">
        <is>
          <t>YoY</t>
        </is>
      </c>
      <c r="B232" s="3" t="inlineStr">
        <is>
          <t>전년 같은 분기·전년 대비</t>
        </is>
      </c>
      <c r="G232" s="15">
        <f>IF(OR(G230="",C230=""),"",IF(C230&lt;=0,"",IFERROR(G230/C230-1,"")))</f>
        <v/>
      </c>
      <c r="H232" s="15">
        <f>IF(OR(H230="",D230=""),"",IF(D230&lt;=0,"",IFERROR(H230/D230-1,"")))</f>
        <v/>
      </c>
      <c r="I232" s="15">
        <f>IF(OR(I230="",E230=""),"",IF(E230&lt;=0,"",IFERROR(I230/E230-1,"")))</f>
        <v/>
      </c>
      <c r="J232" s="15">
        <f>IF(OR(J230="",F230=""),"",IF(F230&lt;=0,"",IFERROR(J230/F230-1,"")))</f>
        <v/>
      </c>
      <c r="K232" s="15">
        <f>IF(OR(K230="",G230=""),"",IF(G230&lt;=0,"",IFERROR(K230/G230-1,"")))</f>
        <v/>
      </c>
      <c r="L232" s="15">
        <f>IF(OR(L230="",H230=""),"",IF(H230&lt;=0,"",IFERROR(L230/H230-1,"")))</f>
        <v/>
      </c>
      <c r="M232" s="15">
        <f>IF(OR(M230="",I230=""),"",IF(I230&lt;=0,"",IFERROR(M230/I230-1,"")))</f>
        <v/>
      </c>
      <c r="N232" s="15">
        <f>IF(OR(N230="",J230=""),"",IF(J230&lt;=0,"",IFERROR(N230/J230-1,"")))</f>
        <v/>
      </c>
      <c r="V232" s="15">
        <f>IF(OR(V230="",U230=""),"",IF(U230&lt;=0,"",IFERROR(V230/U230-1,"")))</f>
        <v/>
      </c>
      <c r="W232" s="15">
        <f>IF(OR(W230="",V230=""),"",IF(V230&lt;=0,"",IFERROR(W230/V230-1,"")))</f>
        <v/>
      </c>
      <c r="X232" s="15">
        <f>IF(OR(X230="",W230=""),"",IF(W230&lt;=0,"",IFERROR(X230/W230-1,"")))</f>
        <v/>
      </c>
    </row>
    <row r="233">
      <c r="A233" s="18" t="inlineStr">
        <is>
          <t>PQA · 법인세비용차감전 중간이익</t>
        </is>
      </c>
      <c r="C233" s="20" t="n">
        <v>0</v>
      </c>
      <c r="D233" s="20" t="n">
        <v>0</v>
      </c>
      <c r="E233" s="20" t="n">
        <v>0</v>
      </c>
      <c r="F233" s="20" t="n">
        <v>0</v>
      </c>
      <c r="G233" s="20" t="n">
        <v>0</v>
      </c>
      <c r="H233" s="20" t="n">
        <v>0</v>
      </c>
      <c r="I233" s="20" t="n">
        <v>0</v>
      </c>
      <c r="J233" s="20" t="n">
        <v>0</v>
      </c>
      <c r="K233" s="20" t="n">
        <v>0</v>
      </c>
      <c r="L233" s="20" t="n">
        <v>0</v>
      </c>
      <c r="M233" s="20" t="n">
        <v>0</v>
      </c>
      <c r="N233" s="20" t="n">
        <v>0</v>
      </c>
      <c r="V233" s="20" t="n">
        <v>0</v>
      </c>
      <c r="W233" s="20" t="n">
        <v>0</v>
      </c>
      <c r="X233" s="20" t="n">
        <v>0</v>
      </c>
    </row>
    <row r="234">
      <c r="A234" s="43" t="inlineStr">
        <is>
          <t>OPM</t>
        </is>
      </c>
      <c r="B234" s="3" t="inlineStr">
        <is>
          <t>영업이익 ÷ 매출</t>
        </is>
      </c>
      <c r="C234" s="15">
        <f>IF(OR(C233="",C148=""),"",IF(C148&lt;=0,"",IFERROR(C233/C148,"")))</f>
        <v/>
      </c>
      <c r="D234" s="15">
        <f>IF(OR(D233="",D148=""),"",IF(D148&lt;=0,"",IFERROR(D233/D148,"")))</f>
        <v/>
      </c>
      <c r="E234" s="15">
        <f>IF(OR(E233="",E148=""),"",IF(E148&lt;=0,"",IFERROR(E233/E148,"")))</f>
        <v/>
      </c>
      <c r="F234" s="15">
        <f>IF(OR(F233="",F148=""),"",IF(F148&lt;=0,"",IFERROR(F233/F148,"")))</f>
        <v/>
      </c>
      <c r="G234" s="15">
        <f>IF(OR(G233="",G148=""),"",IF(G148&lt;=0,"",IFERROR(G233/G148,"")))</f>
        <v/>
      </c>
      <c r="H234" s="15">
        <f>IF(OR(H233="",H148=""),"",IF(H148&lt;=0,"",IFERROR(H233/H148,"")))</f>
        <v/>
      </c>
      <c r="I234" s="15">
        <f>IF(OR(I233="",I148=""),"",IF(I148&lt;=0,"",IFERROR(I233/I148,"")))</f>
        <v/>
      </c>
      <c r="J234" s="15">
        <f>IF(OR(J233="",J148=""),"",IF(J148&lt;=0,"",IFERROR(J233/J148,"")))</f>
        <v/>
      </c>
      <c r="K234" s="15">
        <f>IF(OR(K233="",K148=""),"",IF(K148&lt;=0,"",IFERROR(K233/K148,"")))</f>
        <v/>
      </c>
      <c r="L234" s="15">
        <f>IF(OR(L233="",L148=""),"",IF(L148&lt;=0,"",IFERROR(L233/L148,"")))</f>
        <v/>
      </c>
      <c r="M234" s="15">
        <f>IF(OR(M233="",M148=""),"",IF(M148&lt;=0,"",IFERROR(M233/M148,"")))</f>
        <v/>
      </c>
      <c r="N234" s="15">
        <f>IF(OR(N233="",N148=""),"",IF(N148&lt;=0,"",IFERROR(N233/N148,"")))</f>
        <v/>
      </c>
      <c r="V234" s="15">
        <f>IF(OR(V233="",V148=""),"",IF(V148&lt;=0,"",IFERROR(V233/V148,"")))</f>
        <v/>
      </c>
      <c r="W234" s="15">
        <f>IF(OR(W233="",W148=""),"",IF(W148&lt;=0,"",IFERROR(W233/W148,"")))</f>
        <v/>
      </c>
      <c r="X234" s="15">
        <f>IF(OR(X233="",X148=""),"",IF(X148&lt;=0,"",IFERROR(X233/X148,"")))</f>
        <v/>
      </c>
    </row>
    <row r="235">
      <c r="A235" s="43" t="inlineStr">
        <is>
          <t>YoY</t>
        </is>
      </c>
      <c r="B235" s="3" t="inlineStr">
        <is>
          <t>전년 같은 분기·전년 대비</t>
        </is>
      </c>
      <c r="G235" s="15">
        <f>IF(OR(G233="",C233=""),"",IF(C233&lt;=0,"",IFERROR(G233/C233-1,"")))</f>
        <v/>
      </c>
      <c r="H235" s="15">
        <f>IF(OR(H233="",D233=""),"",IF(D233&lt;=0,"",IFERROR(H233/D233-1,"")))</f>
        <v/>
      </c>
      <c r="I235" s="15">
        <f>IF(OR(I233="",E233=""),"",IF(E233&lt;=0,"",IFERROR(I233/E233-1,"")))</f>
        <v/>
      </c>
      <c r="J235" s="15">
        <f>IF(OR(J233="",F233=""),"",IF(F233&lt;=0,"",IFERROR(J233/F233-1,"")))</f>
        <v/>
      </c>
      <c r="K235" s="15">
        <f>IF(OR(K233="",G233=""),"",IF(G233&lt;=0,"",IFERROR(K233/G233-1,"")))</f>
        <v/>
      </c>
      <c r="L235" s="15">
        <f>IF(OR(L233="",H233=""),"",IF(H233&lt;=0,"",IFERROR(L233/H233-1,"")))</f>
        <v/>
      </c>
      <c r="M235" s="15">
        <f>IF(OR(M233="",I233=""),"",IF(I233&lt;=0,"",IFERROR(M233/I233-1,"")))</f>
        <v/>
      </c>
      <c r="N235" s="15">
        <f>IF(OR(N233="",J233=""),"",IF(J233&lt;=0,"",IFERROR(N233/J233-1,"")))</f>
        <v/>
      </c>
      <c r="V235" s="15">
        <f>IF(OR(V233="",U233=""),"",IF(U233&lt;=0,"",IFERROR(V233/U233-1,"")))</f>
        <v/>
      </c>
      <c r="W235" s="15">
        <f>IF(OR(W233="",V233=""),"",IF(V233&lt;=0,"",IFERROR(W233/V233-1,"")))</f>
        <v/>
      </c>
      <c r="X235" s="15">
        <f>IF(OR(X233="",W233=""),"",IF(W233&lt;=0,"",IFERROR(X233/W233-1,"")))</f>
        <v/>
      </c>
    </row>
    <row r="236">
      <c r="A236" s="18" t="inlineStr">
        <is>
          <t>부문 · 법인세비용차감전 중간이익</t>
        </is>
      </c>
      <c r="C236" s="20" t="n">
        <v>0</v>
      </c>
      <c r="D236" s="20" t="n">
        <v>0</v>
      </c>
      <c r="E236" s="20" t="n">
        <v>0</v>
      </c>
      <c r="F236" s="20" t="n">
        <v>0</v>
      </c>
      <c r="G236" s="20" t="n">
        <v>0</v>
      </c>
      <c r="H236" s="20" t="n">
        <v>0</v>
      </c>
      <c r="I236" s="20" t="n">
        <v>0</v>
      </c>
      <c r="J236" s="20" t="n">
        <v>0</v>
      </c>
      <c r="K236" s="20" t="n">
        <v>0</v>
      </c>
      <c r="L236" s="20" t="n">
        <v>0</v>
      </c>
      <c r="M236" s="20" t="n">
        <v>0</v>
      </c>
      <c r="N236" s="20" t="n">
        <v>0</v>
      </c>
      <c r="V236" s="20" t="n">
        <v>0</v>
      </c>
      <c r="W236" s="20" t="n">
        <v>0</v>
      </c>
      <c r="X236" s="20" t="n">
        <v>0</v>
      </c>
    </row>
    <row r="237">
      <c r="A237" s="43" t="inlineStr">
        <is>
          <t>OPM</t>
        </is>
      </c>
      <c r="B237" s="3" t="inlineStr">
        <is>
          <t>영업이익 ÷ 매출</t>
        </is>
      </c>
      <c r="C237" s="15">
        <f>IF(OR(C236="",C150=""),"",IF(C150&lt;=0,"",IFERROR(C236/C150,"")))</f>
        <v/>
      </c>
      <c r="D237" s="15">
        <f>IF(OR(D236="",D150=""),"",IF(D150&lt;=0,"",IFERROR(D236/D150,"")))</f>
        <v/>
      </c>
      <c r="E237" s="15">
        <f>IF(OR(E236="",E150=""),"",IF(E150&lt;=0,"",IFERROR(E236/E150,"")))</f>
        <v/>
      </c>
      <c r="F237" s="15">
        <f>IF(OR(F236="",F150=""),"",IF(F150&lt;=0,"",IFERROR(F236/F150,"")))</f>
        <v/>
      </c>
      <c r="G237" s="15">
        <f>IF(OR(G236="",G150=""),"",IF(G150&lt;=0,"",IFERROR(G236/G150,"")))</f>
        <v/>
      </c>
      <c r="H237" s="15">
        <f>IF(OR(H236="",H150=""),"",IF(H150&lt;=0,"",IFERROR(H236/H150,"")))</f>
        <v/>
      </c>
      <c r="I237" s="15">
        <f>IF(OR(I236="",I150=""),"",IF(I150&lt;=0,"",IFERROR(I236/I150,"")))</f>
        <v/>
      </c>
      <c r="J237" s="15">
        <f>IF(OR(J236="",J150=""),"",IF(J150&lt;=0,"",IFERROR(J236/J150,"")))</f>
        <v/>
      </c>
      <c r="K237" s="15">
        <f>IF(OR(K236="",K150=""),"",IF(K150&lt;=0,"",IFERROR(K236/K150,"")))</f>
        <v/>
      </c>
      <c r="L237" s="15">
        <f>IF(OR(L236="",L150=""),"",IF(L150&lt;=0,"",IFERROR(L236/L150,"")))</f>
        <v/>
      </c>
      <c r="M237" s="15">
        <f>IF(OR(M236="",M150=""),"",IF(M150&lt;=0,"",IFERROR(M236/M150,"")))</f>
        <v/>
      </c>
      <c r="N237" s="15">
        <f>IF(OR(N236="",N150=""),"",IF(N150&lt;=0,"",IFERROR(N236/N150,"")))</f>
        <v/>
      </c>
      <c r="V237" s="15">
        <f>IF(OR(V236="",V150=""),"",IF(V150&lt;=0,"",IFERROR(V236/V150,"")))</f>
        <v/>
      </c>
      <c r="W237" s="15">
        <f>IF(OR(W236="",W150=""),"",IF(W150&lt;=0,"",IFERROR(W236/W150,"")))</f>
        <v/>
      </c>
      <c r="X237" s="15">
        <f>IF(OR(X236="",X150=""),"",IF(X150&lt;=0,"",IFERROR(X236/X150,"")))</f>
        <v/>
      </c>
    </row>
    <row r="238">
      <c r="A238" s="43" t="inlineStr">
        <is>
          <t>YoY</t>
        </is>
      </c>
      <c r="B238" s="3" t="inlineStr">
        <is>
          <t>전년 같은 분기·전년 대비</t>
        </is>
      </c>
      <c r="G238" s="15">
        <f>IF(OR(G236="",C236=""),"",IF(C236&lt;=0,"",IFERROR(G236/C236-1,"")))</f>
        <v/>
      </c>
      <c r="H238" s="15">
        <f>IF(OR(H236="",D236=""),"",IF(D236&lt;=0,"",IFERROR(H236/D236-1,"")))</f>
        <v/>
      </c>
      <c r="I238" s="15">
        <f>IF(OR(I236="",E236=""),"",IF(E236&lt;=0,"",IFERROR(I236/E236-1,"")))</f>
        <v/>
      </c>
      <c r="J238" s="15">
        <f>IF(OR(J236="",F236=""),"",IF(F236&lt;=0,"",IFERROR(J236/F236-1,"")))</f>
        <v/>
      </c>
      <c r="K238" s="15">
        <f>IF(OR(K236="",G236=""),"",IF(G236&lt;=0,"",IFERROR(K236/G236-1,"")))</f>
        <v/>
      </c>
      <c r="L238" s="15">
        <f>IF(OR(L236="",H236=""),"",IF(H236&lt;=0,"",IFERROR(L236/H236-1,"")))</f>
        <v/>
      </c>
      <c r="M238" s="15">
        <f>IF(OR(M236="",I236=""),"",IF(I236&lt;=0,"",IFERROR(M236/I236-1,"")))</f>
        <v/>
      </c>
      <c r="N238" s="15">
        <f>IF(OR(N236="",J236=""),"",IF(J236&lt;=0,"",IFERROR(N236/J236-1,"")))</f>
        <v/>
      </c>
      <c r="V238" s="15">
        <f>IF(OR(V236="",U236=""),"",IF(U236&lt;=0,"",IFERROR(V236/U236-1,"")))</f>
        <v/>
      </c>
      <c r="W238" s="15">
        <f>IF(OR(W236="",V236=""),"",IF(V236&lt;=0,"",IFERROR(W236/V236-1,"")))</f>
        <v/>
      </c>
      <c r="X238" s="15">
        <f>IF(OR(X236="",W236=""),"",IF(W236&lt;=0,"",IFERROR(X236/W236-1,"")))</f>
        <v/>
      </c>
    </row>
    <row r="239">
      <c r="A239" s="18" t="inlineStr">
        <is>
          <t>보고부문 합계 · 법인세비용차감전 중간이익</t>
        </is>
      </c>
      <c r="C239" s="20" t="n">
        <v>0</v>
      </c>
      <c r="D239" s="20" t="n">
        <v>0</v>
      </c>
      <c r="E239" s="20" t="n">
        <v>0</v>
      </c>
      <c r="F239" s="20" t="n">
        <v>0</v>
      </c>
      <c r="G239" s="20" t="n">
        <v>0</v>
      </c>
      <c r="H239" s="20" t="n">
        <v>0</v>
      </c>
      <c r="I239" s="20" t="n">
        <v>0</v>
      </c>
      <c r="J239" s="20" t="n">
        <v>0</v>
      </c>
      <c r="K239" s="20" t="n">
        <v>0</v>
      </c>
      <c r="L239" s="20" t="n">
        <v>0</v>
      </c>
      <c r="M239" s="20" t="n">
        <v>0</v>
      </c>
      <c r="N239" s="20" t="n">
        <v>0</v>
      </c>
      <c r="V239" s="20" t="n">
        <v>0</v>
      </c>
      <c r="W239" s="20" t="n">
        <v>0</v>
      </c>
      <c r="X239" s="20" t="n">
        <v>0</v>
      </c>
    </row>
    <row r="240">
      <c r="A240" s="43" t="inlineStr">
        <is>
          <t>OPM</t>
        </is>
      </c>
      <c r="B240" s="3" t="inlineStr">
        <is>
          <t>영업이익 ÷ 매출</t>
        </is>
      </c>
      <c r="C240" s="15">
        <f>IF(OR(C239="",C152=""),"",IF(C152&lt;=0,"",IFERROR(C239/C152,"")))</f>
        <v/>
      </c>
      <c r="D240" s="15">
        <f>IF(OR(D239="",D152=""),"",IF(D152&lt;=0,"",IFERROR(D239/D152,"")))</f>
        <v/>
      </c>
      <c r="E240" s="15">
        <f>IF(OR(E239="",E152=""),"",IF(E152&lt;=0,"",IFERROR(E239/E152,"")))</f>
        <v/>
      </c>
      <c r="F240" s="15">
        <f>IF(OR(F239="",F152=""),"",IF(F152&lt;=0,"",IFERROR(F239/F152,"")))</f>
        <v/>
      </c>
      <c r="G240" s="15">
        <f>IF(OR(G239="",G152=""),"",IF(G152&lt;=0,"",IFERROR(G239/G152,"")))</f>
        <v/>
      </c>
      <c r="H240" s="15">
        <f>IF(OR(H239="",H152=""),"",IF(H152&lt;=0,"",IFERROR(H239/H152,"")))</f>
        <v/>
      </c>
      <c r="I240" s="15">
        <f>IF(OR(I239="",I152=""),"",IF(I152&lt;=0,"",IFERROR(I239/I152,"")))</f>
        <v/>
      </c>
      <c r="J240" s="15">
        <f>IF(OR(J239="",J152=""),"",IF(J152&lt;=0,"",IFERROR(J239/J152,"")))</f>
        <v/>
      </c>
      <c r="K240" s="15">
        <f>IF(OR(K239="",K152=""),"",IF(K152&lt;=0,"",IFERROR(K239/K152,"")))</f>
        <v/>
      </c>
      <c r="L240" s="15">
        <f>IF(OR(L239="",L152=""),"",IF(L152&lt;=0,"",IFERROR(L239/L152,"")))</f>
        <v/>
      </c>
      <c r="M240" s="15">
        <f>IF(OR(M239="",M152=""),"",IF(M152&lt;=0,"",IFERROR(M239/M152,"")))</f>
        <v/>
      </c>
      <c r="N240" s="15">
        <f>IF(OR(N239="",N152=""),"",IF(N152&lt;=0,"",IFERROR(N239/N152,"")))</f>
        <v/>
      </c>
      <c r="V240" s="15">
        <f>IF(OR(V239="",V152=""),"",IF(V152&lt;=0,"",IFERROR(V239/V152,"")))</f>
        <v/>
      </c>
      <c r="W240" s="15">
        <f>IF(OR(W239="",W152=""),"",IF(W152&lt;=0,"",IFERROR(W239/W152,"")))</f>
        <v/>
      </c>
      <c r="X240" s="15">
        <f>IF(OR(X239="",X152=""),"",IF(X152&lt;=0,"",IFERROR(X239/X152,"")))</f>
        <v/>
      </c>
    </row>
    <row r="241">
      <c r="A241" s="43" t="inlineStr">
        <is>
          <t>YoY</t>
        </is>
      </c>
      <c r="B241" s="3" t="inlineStr">
        <is>
          <t>전년 같은 분기·전년 대비</t>
        </is>
      </c>
      <c r="G241" s="15">
        <f>IF(OR(G239="",C239=""),"",IF(C239&lt;=0,"",IFERROR(G239/C239-1,"")))</f>
        <v/>
      </c>
      <c r="H241" s="15">
        <f>IF(OR(H239="",D239=""),"",IF(D239&lt;=0,"",IFERROR(H239/D239-1,"")))</f>
        <v/>
      </c>
      <c r="I241" s="15">
        <f>IF(OR(I239="",E239=""),"",IF(E239&lt;=0,"",IFERROR(I239/E239-1,"")))</f>
        <v/>
      </c>
      <c r="J241" s="15">
        <f>IF(OR(J239="",F239=""),"",IF(F239&lt;=0,"",IFERROR(J239/F239-1,"")))</f>
        <v/>
      </c>
      <c r="K241" s="15">
        <f>IF(OR(K239="",G239=""),"",IF(G239&lt;=0,"",IFERROR(K239/G239-1,"")))</f>
        <v/>
      </c>
      <c r="L241" s="15">
        <f>IF(OR(L239="",H239=""),"",IF(H239&lt;=0,"",IFERROR(L239/H239-1,"")))</f>
        <v/>
      </c>
      <c r="M241" s="15">
        <f>IF(OR(M239="",I239=""),"",IF(I239&lt;=0,"",IFERROR(M239/I239-1,"")))</f>
        <v/>
      </c>
      <c r="N241" s="15">
        <f>IF(OR(N239="",J239=""),"",IF(J239&lt;=0,"",IFERROR(N239/J239-1,"")))</f>
        <v/>
      </c>
      <c r="V241" s="15">
        <f>IF(OR(V239="",U239=""),"",IF(U239&lt;=0,"",IFERROR(V239/U239-1,"")))</f>
        <v/>
      </c>
      <c r="W241" s="15">
        <f>IF(OR(W239="",V239=""),"",IF(V239&lt;=0,"",IFERROR(W239/V239-1,"")))</f>
        <v/>
      </c>
      <c r="X241" s="15">
        <f>IF(OR(X239="",W239=""),"",IF(W239&lt;=0,"",IFERROR(X239/W239-1,"")))</f>
        <v/>
      </c>
    </row>
    <row r="242">
      <c r="A242" s="18" t="inlineStr">
        <is>
          <t>기타 · 법인세비용차감전 중간이익</t>
        </is>
      </c>
      <c r="C242" s="20" t="n">
        <v>0</v>
      </c>
      <c r="D242" s="20" t="n">
        <v>0</v>
      </c>
      <c r="E242" s="20" t="n">
        <v>0</v>
      </c>
      <c r="F242" s="20" t="n">
        <v>0</v>
      </c>
      <c r="G242" s="20" t="n">
        <v>0</v>
      </c>
      <c r="H242" s="20" t="n">
        <v>0</v>
      </c>
      <c r="I242" s="20" t="n">
        <v>0</v>
      </c>
      <c r="J242" s="20" t="n">
        <v>0</v>
      </c>
      <c r="K242" s="20" t="n">
        <v>0</v>
      </c>
      <c r="L242" s="20" t="n">
        <v>0</v>
      </c>
      <c r="M242" s="20" t="n">
        <v>0</v>
      </c>
      <c r="N242" s="20" t="n">
        <v>0</v>
      </c>
      <c r="V242" s="20" t="n">
        <v>0</v>
      </c>
      <c r="W242" s="20" t="n">
        <v>0</v>
      </c>
      <c r="X242" s="20" t="n">
        <v>0</v>
      </c>
    </row>
    <row r="243">
      <c r="A243" s="43" t="inlineStr">
        <is>
          <t>OPM</t>
        </is>
      </c>
      <c r="B243" s="3" t="inlineStr">
        <is>
          <t>영업이익 ÷ 매출</t>
        </is>
      </c>
      <c r="C243" s="15">
        <f>IF(OR(C242="",C154=""),"",IF(C154&lt;=0,"",IFERROR(C242/C154,"")))</f>
        <v/>
      </c>
      <c r="D243" s="15">
        <f>IF(OR(D242="",D154=""),"",IF(D154&lt;=0,"",IFERROR(D242/D154,"")))</f>
        <v/>
      </c>
      <c r="E243" s="15">
        <f>IF(OR(E242="",E154=""),"",IF(E154&lt;=0,"",IFERROR(E242/E154,"")))</f>
        <v/>
      </c>
      <c r="F243" s="15">
        <f>IF(OR(F242="",F154=""),"",IF(F154&lt;=0,"",IFERROR(F242/F154,"")))</f>
        <v/>
      </c>
      <c r="G243" s="15">
        <f>IF(OR(G242="",G154=""),"",IF(G154&lt;=0,"",IFERROR(G242/G154,"")))</f>
        <v/>
      </c>
      <c r="H243" s="15">
        <f>IF(OR(H242="",H154=""),"",IF(H154&lt;=0,"",IFERROR(H242/H154,"")))</f>
        <v/>
      </c>
      <c r="I243" s="15">
        <f>IF(OR(I242="",I154=""),"",IF(I154&lt;=0,"",IFERROR(I242/I154,"")))</f>
        <v/>
      </c>
      <c r="J243" s="15">
        <f>IF(OR(J242="",J154=""),"",IF(J154&lt;=0,"",IFERROR(J242/J154,"")))</f>
        <v/>
      </c>
      <c r="K243" s="15">
        <f>IF(OR(K242="",K154=""),"",IF(K154&lt;=0,"",IFERROR(K242/K154,"")))</f>
        <v/>
      </c>
      <c r="L243" s="15">
        <f>IF(OR(L242="",L154=""),"",IF(L154&lt;=0,"",IFERROR(L242/L154,"")))</f>
        <v/>
      </c>
      <c r="M243" s="15">
        <f>IF(OR(M242="",M154=""),"",IF(M154&lt;=0,"",IFERROR(M242/M154,"")))</f>
        <v/>
      </c>
      <c r="N243" s="15">
        <f>IF(OR(N242="",N154=""),"",IF(N154&lt;=0,"",IFERROR(N242/N154,"")))</f>
        <v/>
      </c>
      <c r="V243" s="15">
        <f>IF(OR(V242="",V154=""),"",IF(V154&lt;=0,"",IFERROR(V242/V154,"")))</f>
        <v/>
      </c>
      <c r="W243" s="15">
        <f>IF(OR(W242="",W154=""),"",IF(W154&lt;=0,"",IFERROR(W242/W154,"")))</f>
        <v/>
      </c>
      <c r="X243" s="15">
        <f>IF(OR(X242="",X154=""),"",IF(X154&lt;=0,"",IFERROR(X242/X154,"")))</f>
        <v/>
      </c>
    </row>
    <row r="244">
      <c r="A244" s="43" t="inlineStr">
        <is>
          <t>YoY</t>
        </is>
      </c>
      <c r="B244" s="3" t="inlineStr">
        <is>
          <t>전년 같은 분기·전년 대비</t>
        </is>
      </c>
      <c r="G244" s="15">
        <f>IF(OR(G242="",C242=""),"",IF(C242&lt;=0,"",IFERROR(G242/C242-1,"")))</f>
        <v/>
      </c>
      <c r="H244" s="15">
        <f>IF(OR(H242="",D242=""),"",IF(D242&lt;=0,"",IFERROR(H242/D242-1,"")))</f>
        <v/>
      </c>
      <c r="I244" s="15">
        <f>IF(OR(I242="",E242=""),"",IF(E242&lt;=0,"",IFERROR(I242/E242-1,"")))</f>
        <v/>
      </c>
      <c r="J244" s="15">
        <f>IF(OR(J242="",F242=""),"",IF(F242&lt;=0,"",IFERROR(J242/F242-1,"")))</f>
        <v/>
      </c>
      <c r="K244" s="15">
        <f>IF(OR(K242="",G242=""),"",IF(G242&lt;=0,"",IFERROR(K242/G242-1,"")))</f>
        <v/>
      </c>
      <c r="L244" s="15">
        <f>IF(OR(L242="",H242=""),"",IF(H242&lt;=0,"",IFERROR(L242/H242-1,"")))</f>
        <v/>
      </c>
      <c r="M244" s="15">
        <f>IF(OR(M242="",I242=""),"",IF(I242&lt;=0,"",IFERROR(M242/I242-1,"")))</f>
        <v/>
      </c>
      <c r="N244" s="15">
        <f>IF(OR(N242="",J242=""),"",IF(J242&lt;=0,"",IFERROR(N242/J242-1,"")))</f>
        <v/>
      </c>
      <c r="V244" s="15">
        <f>IF(OR(V242="",U242=""),"",IF(U242&lt;=0,"",IFERROR(V242/U242-1,"")))</f>
        <v/>
      </c>
      <c r="W244" s="15">
        <f>IF(OR(W242="",V242=""),"",IF(V242&lt;=0,"",IFERROR(W242/V242-1,"")))</f>
        <v/>
      </c>
      <c r="X244" s="15">
        <f>IF(OR(X242="",W242=""),"",IF(W242&lt;=0,"",IFERROR(X242/W242-1,"")))</f>
        <v/>
      </c>
    </row>
    <row r="245">
      <c r="A245" s="18" t="inlineStr">
        <is>
          <t>합계 · 법인세비용차감전 중간이익</t>
        </is>
      </c>
      <c r="C245" s="20" t="n">
        <v>0</v>
      </c>
      <c r="D245" s="20" t="n">
        <v>0</v>
      </c>
      <c r="E245" s="20" t="n">
        <v>0</v>
      </c>
      <c r="F245" s="20" t="n">
        <v>0</v>
      </c>
      <c r="G245" s="20" t="n">
        <v>0</v>
      </c>
      <c r="H245" s="20" t="n">
        <v>0</v>
      </c>
      <c r="I245" s="20" t="n">
        <v>0</v>
      </c>
      <c r="J245" s="20" t="n">
        <v>0</v>
      </c>
      <c r="K245" s="20" t="n">
        <v>0</v>
      </c>
      <c r="L245" s="20" t="n">
        <v>0</v>
      </c>
      <c r="M245" s="20" t="n">
        <v>0</v>
      </c>
      <c r="N245" s="20" t="n">
        <v>0</v>
      </c>
      <c r="V245" s="20" t="n">
        <v>0</v>
      </c>
      <c r="W245" s="20" t="n">
        <v>0</v>
      </c>
      <c r="X245" s="20" t="n">
        <v>0</v>
      </c>
    </row>
    <row r="246">
      <c r="A246" s="43" t="inlineStr">
        <is>
          <t>OPM</t>
        </is>
      </c>
      <c r="B246" s="3" t="inlineStr">
        <is>
          <t>영업이익 ÷ 매출</t>
        </is>
      </c>
      <c r="C246" s="15">
        <f>IF(OR(C245="",C156=""),"",IF(C156&lt;=0,"",IFERROR(C245/C156,"")))</f>
        <v/>
      </c>
      <c r="D246" s="15">
        <f>IF(OR(D245="",D156=""),"",IF(D156&lt;=0,"",IFERROR(D245/D156,"")))</f>
        <v/>
      </c>
      <c r="E246" s="15">
        <f>IF(OR(E245="",E156=""),"",IF(E156&lt;=0,"",IFERROR(E245/E156,"")))</f>
        <v/>
      </c>
      <c r="F246" s="15">
        <f>IF(OR(F245="",F156=""),"",IF(F156&lt;=0,"",IFERROR(F245/F156,"")))</f>
        <v/>
      </c>
      <c r="G246" s="15">
        <f>IF(OR(G245="",G156=""),"",IF(G156&lt;=0,"",IFERROR(G245/G156,"")))</f>
        <v/>
      </c>
      <c r="H246" s="15">
        <f>IF(OR(H245="",H156=""),"",IF(H156&lt;=0,"",IFERROR(H245/H156,"")))</f>
        <v/>
      </c>
      <c r="I246" s="15">
        <f>IF(OR(I245="",I156=""),"",IF(I156&lt;=0,"",IFERROR(I245/I156,"")))</f>
        <v/>
      </c>
      <c r="J246" s="15">
        <f>IF(OR(J245="",J156=""),"",IF(J156&lt;=0,"",IFERROR(J245/J156,"")))</f>
        <v/>
      </c>
      <c r="K246" s="15">
        <f>IF(OR(K245="",K156=""),"",IF(K156&lt;=0,"",IFERROR(K245/K156,"")))</f>
        <v/>
      </c>
      <c r="L246" s="15">
        <f>IF(OR(L245="",L156=""),"",IF(L156&lt;=0,"",IFERROR(L245/L156,"")))</f>
        <v/>
      </c>
      <c r="M246" s="15">
        <f>IF(OR(M245="",M156=""),"",IF(M156&lt;=0,"",IFERROR(M245/M156,"")))</f>
        <v/>
      </c>
      <c r="N246" s="15">
        <f>IF(OR(N245="",N156=""),"",IF(N156&lt;=0,"",IFERROR(N245/N156,"")))</f>
        <v/>
      </c>
      <c r="V246" s="15">
        <f>IF(OR(V245="",V156=""),"",IF(V156&lt;=0,"",IFERROR(V245/V156,"")))</f>
        <v/>
      </c>
      <c r="W246" s="15">
        <f>IF(OR(W245="",W156=""),"",IF(W156&lt;=0,"",IFERROR(W245/W156,"")))</f>
        <v/>
      </c>
      <c r="X246" s="15">
        <f>IF(OR(X245="",X156=""),"",IF(X156&lt;=0,"",IFERROR(X245/X156,"")))</f>
        <v/>
      </c>
    </row>
    <row r="247">
      <c r="A247" s="43" t="inlineStr">
        <is>
          <t>YoY</t>
        </is>
      </c>
      <c r="B247" s="3" t="inlineStr">
        <is>
          <t>전년 같은 분기·전년 대비</t>
        </is>
      </c>
      <c r="G247" s="15">
        <f>IF(OR(G245="",C245=""),"",IF(C245&lt;=0,"",IFERROR(G245/C245-1,"")))</f>
        <v/>
      </c>
      <c r="H247" s="15">
        <f>IF(OR(H245="",D245=""),"",IF(D245&lt;=0,"",IFERROR(H245/D245-1,"")))</f>
        <v/>
      </c>
      <c r="I247" s="15">
        <f>IF(OR(I245="",E245=""),"",IF(E245&lt;=0,"",IFERROR(I245/E245-1,"")))</f>
        <v/>
      </c>
      <c r="J247" s="15">
        <f>IF(OR(J245="",F245=""),"",IF(F245&lt;=0,"",IFERROR(J245/F245-1,"")))</f>
        <v/>
      </c>
      <c r="K247" s="15">
        <f>IF(OR(K245="",G245=""),"",IF(G245&lt;=0,"",IFERROR(K245/G245-1,"")))</f>
        <v/>
      </c>
      <c r="L247" s="15">
        <f>IF(OR(L245="",H245=""),"",IF(H245&lt;=0,"",IFERROR(L245/H245-1,"")))</f>
        <v/>
      </c>
      <c r="M247" s="15">
        <f>IF(OR(M245="",I245=""),"",IF(I245&lt;=0,"",IFERROR(M245/I245-1,"")))</f>
        <v/>
      </c>
      <c r="N247" s="15">
        <f>IF(OR(N245="",J245=""),"",IF(J245&lt;=0,"",IFERROR(N245/J245-1,"")))</f>
        <v/>
      </c>
      <c r="V247" s="15">
        <f>IF(OR(V245="",U245=""),"",IF(U245&lt;=0,"",IFERROR(V245/U245-1,"")))</f>
        <v/>
      </c>
      <c r="W247" s="15">
        <f>IF(OR(W245="",V245=""),"",IF(V245&lt;=0,"",IFERROR(W245/V245-1,"")))</f>
        <v/>
      </c>
      <c r="X247" s="15">
        <f>IF(OR(X245="",W245=""),"",IF(W245&lt;=0,"",IFERROR(X245/W245-1,"")))</f>
        <v/>
      </c>
    </row>
    <row r="248">
      <c r="A248" s="18" t="inlineStr">
        <is>
          <t>조정액 · 법인세비용차감전 중간이익</t>
        </is>
      </c>
      <c r="C248" s="20" t="n">
        <v>0</v>
      </c>
      <c r="D248" s="20" t="n">
        <v>0</v>
      </c>
      <c r="E248" s="20" t="n">
        <v>0</v>
      </c>
      <c r="F248" s="20" t="n">
        <v>0</v>
      </c>
      <c r="G248" s="20" t="n">
        <v>0</v>
      </c>
      <c r="H248" s="20" t="n">
        <v>0</v>
      </c>
      <c r="I248" s="20" t="n">
        <v>0</v>
      </c>
      <c r="J248" s="20" t="n">
        <v>0</v>
      </c>
      <c r="K248" s="20" t="n">
        <v>0</v>
      </c>
      <c r="L248" s="20" t="n">
        <v>0</v>
      </c>
      <c r="M248" s="20" t="n">
        <v>0</v>
      </c>
      <c r="N248" s="20" t="n">
        <v>0</v>
      </c>
      <c r="V248" s="20" t="n">
        <v>0</v>
      </c>
      <c r="W248" s="20" t="n">
        <v>0</v>
      </c>
      <c r="X248" s="20" t="n">
        <v>0</v>
      </c>
    </row>
    <row r="249">
      <c r="A249" s="9" t="inlineStr">
        <is>
          <t>법인세비용차감전 중간이익</t>
        </is>
      </c>
      <c r="C249" s="12" t="n">
        <v>427</v>
      </c>
      <c r="D249" s="12" t="n">
        <v>3176</v>
      </c>
      <c r="E249" s="12" t="n">
        <v>2033</v>
      </c>
      <c r="F249" s="12" t="n">
        <v>4315</v>
      </c>
      <c r="G249" s="12" t="n">
        <v>1254</v>
      </c>
      <c r="H249" s="12" t="n">
        <v>2127</v>
      </c>
      <c r="I249" s="12" t="n">
        <v>3866</v>
      </c>
      <c r="J249" s="12" t="n">
        <v>5490</v>
      </c>
      <c r="K249" s="12" t="n">
        <v>1351</v>
      </c>
      <c r="L249" s="12" t="n">
        <v>4005</v>
      </c>
      <c r="M249" s="12" t="n">
        <v>4058</v>
      </c>
      <c r="N249" s="12" t="n">
        <v>6733</v>
      </c>
      <c r="V249" s="12" t="n">
        <v>4315</v>
      </c>
      <c r="W249" s="12" t="n">
        <v>5490</v>
      </c>
      <c r="X249" s="12" t="n">
        <v>6733</v>
      </c>
    </row>
    <row r="250">
      <c r="A250" s="18" t="inlineStr">
        <is>
          <t>부문 · 법인소득세 비용</t>
        </is>
      </c>
      <c r="C250" s="20" t="n">
        <v>0</v>
      </c>
      <c r="D250" s="20" t="n">
        <v>0</v>
      </c>
      <c r="E250" s="20" t="n">
        <v>0</v>
      </c>
      <c r="F250" s="20" t="n">
        <v>0</v>
      </c>
      <c r="G250" s="20" t="n">
        <v>0</v>
      </c>
      <c r="H250" s="20" t="n">
        <v>0</v>
      </c>
      <c r="I250" s="20" t="n">
        <v>0</v>
      </c>
      <c r="J250" s="20" t="n">
        <v>0</v>
      </c>
      <c r="K250" s="20" t="n">
        <v>0</v>
      </c>
      <c r="L250" s="20" t="n">
        <v>0</v>
      </c>
      <c r="M250" s="20" t="n">
        <v>0</v>
      </c>
      <c r="N250" s="20" t="n">
        <v>0</v>
      </c>
      <c r="V250" s="20" t="n">
        <v>0</v>
      </c>
      <c r="W250" s="20" t="n">
        <v>0</v>
      </c>
      <c r="X250" s="20" t="n">
        <v>0</v>
      </c>
    </row>
    <row r="251">
      <c r="A251" s="18" t="inlineStr">
        <is>
          <t>PQA · 법인소득세 비용</t>
        </is>
      </c>
      <c r="C251" s="20" t="n">
        <v>0</v>
      </c>
      <c r="D251" s="20" t="n">
        <v>0</v>
      </c>
      <c r="E251" s="20" t="n">
        <v>0</v>
      </c>
      <c r="F251" s="20" t="n">
        <v>0</v>
      </c>
      <c r="G251" s="20" t="n">
        <v>0</v>
      </c>
      <c r="H251" s="20" t="n">
        <v>0</v>
      </c>
      <c r="I251" s="20" t="n">
        <v>0</v>
      </c>
      <c r="J251" s="20" t="n">
        <v>0</v>
      </c>
      <c r="K251" s="20" t="n">
        <v>0</v>
      </c>
      <c r="L251" s="20" t="n">
        <v>0</v>
      </c>
      <c r="M251" s="20" t="n">
        <v>0</v>
      </c>
      <c r="N251" s="20" t="n">
        <v>0</v>
      </c>
      <c r="V251" s="20" t="n">
        <v>0</v>
      </c>
      <c r="W251" s="20" t="n">
        <v>0</v>
      </c>
      <c r="X251" s="20" t="n">
        <v>0</v>
      </c>
    </row>
    <row r="252">
      <c r="A252" s="18" t="inlineStr">
        <is>
          <t>부문 · 법인소득세 비용</t>
        </is>
      </c>
      <c r="C252" s="20" t="n">
        <v>0</v>
      </c>
      <c r="D252" s="20" t="n">
        <v>0</v>
      </c>
      <c r="E252" s="20" t="n">
        <v>0</v>
      </c>
      <c r="F252" s="20" t="n">
        <v>0</v>
      </c>
      <c r="G252" s="20" t="n">
        <v>0</v>
      </c>
      <c r="H252" s="20" t="n">
        <v>0</v>
      </c>
      <c r="I252" s="20" t="n">
        <v>0</v>
      </c>
      <c r="J252" s="20" t="n">
        <v>0</v>
      </c>
      <c r="K252" s="20" t="n">
        <v>0</v>
      </c>
      <c r="L252" s="20" t="n">
        <v>0</v>
      </c>
      <c r="M252" s="20" t="n">
        <v>0</v>
      </c>
      <c r="N252" s="20" t="n">
        <v>0</v>
      </c>
      <c r="V252" s="20" t="n">
        <v>0</v>
      </c>
      <c r="W252" s="20" t="n">
        <v>0</v>
      </c>
      <c r="X252" s="20" t="n">
        <v>0</v>
      </c>
    </row>
    <row r="253">
      <c r="A253" s="18" t="inlineStr">
        <is>
          <t>보고부문 합계 · 법인소득세 비용</t>
        </is>
      </c>
      <c r="C253" s="20" t="n">
        <v>0</v>
      </c>
      <c r="D253" s="20" t="n">
        <v>0</v>
      </c>
      <c r="E253" s="20" t="n">
        <v>0</v>
      </c>
      <c r="F253" s="20" t="n">
        <v>0</v>
      </c>
      <c r="G253" s="20" t="n">
        <v>0</v>
      </c>
      <c r="H253" s="20" t="n">
        <v>0</v>
      </c>
      <c r="I253" s="20" t="n">
        <v>0</v>
      </c>
      <c r="J253" s="20" t="n">
        <v>0</v>
      </c>
      <c r="K253" s="20" t="n">
        <v>0</v>
      </c>
      <c r="L253" s="20" t="n">
        <v>0</v>
      </c>
      <c r="M253" s="20" t="n">
        <v>0</v>
      </c>
      <c r="N253" s="20" t="n">
        <v>0</v>
      </c>
      <c r="V253" s="20" t="n">
        <v>0</v>
      </c>
      <c r="W253" s="20" t="n">
        <v>0</v>
      </c>
      <c r="X253" s="20" t="n">
        <v>0</v>
      </c>
    </row>
    <row r="254">
      <c r="A254" s="18" t="inlineStr">
        <is>
          <t>기타 · 법인소득세 비용</t>
        </is>
      </c>
      <c r="C254" s="20" t="n">
        <v>0</v>
      </c>
      <c r="D254" s="20" t="n">
        <v>0</v>
      </c>
      <c r="E254" s="20" t="n">
        <v>0</v>
      </c>
      <c r="F254" s="20" t="n">
        <v>0</v>
      </c>
      <c r="G254" s="20" t="n">
        <v>0</v>
      </c>
      <c r="H254" s="20" t="n">
        <v>0</v>
      </c>
      <c r="I254" s="20" t="n">
        <v>0</v>
      </c>
      <c r="J254" s="20" t="n">
        <v>0</v>
      </c>
      <c r="K254" s="20" t="n">
        <v>0</v>
      </c>
      <c r="L254" s="20" t="n">
        <v>0</v>
      </c>
      <c r="M254" s="20" t="n">
        <v>0</v>
      </c>
      <c r="N254" s="20" t="n">
        <v>0</v>
      </c>
      <c r="V254" s="20" t="n">
        <v>0</v>
      </c>
      <c r="W254" s="20" t="n">
        <v>0</v>
      </c>
      <c r="X254" s="20" t="n">
        <v>0</v>
      </c>
    </row>
    <row r="255">
      <c r="A255" s="18" t="inlineStr">
        <is>
          <t>합계 · 법인소득세 비용</t>
        </is>
      </c>
      <c r="C255" s="20" t="n">
        <v>0</v>
      </c>
      <c r="D255" s="20" t="n">
        <v>0</v>
      </c>
      <c r="E255" s="20" t="n">
        <v>0</v>
      </c>
      <c r="F255" s="20" t="n">
        <v>0</v>
      </c>
      <c r="G255" s="20" t="n">
        <v>0</v>
      </c>
      <c r="H255" s="20" t="n">
        <v>0</v>
      </c>
      <c r="I255" s="20" t="n">
        <v>0</v>
      </c>
      <c r="J255" s="20" t="n">
        <v>0</v>
      </c>
      <c r="K255" s="20" t="n">
        <v>0</v>
      </c>
      <c r="L255" s="20" t="n">
        <v>0</v>
      </c>
      <c r="M255" s="20" t="n">
        <v>0</v>
      </c>
      <c r="N255" s="20" t="n">
        <v>0</v>
      </c>
      <c r="V255" s="20" t="n">
        <v>0</v>
      </c>
      <c r="W255" s="20" t="n">
        <v>0</v>
      </c>
      <c r="X255" s="20" t="n">
        <v>0</v>
      </c>
    </row>
    <row r="256">
      <c r="A256" s="18" t="inlineStr">
        <is>
          <t>조정액 · 법인소득세 비용</t>
        </is>
      </c>
      <c r="C256" s="20" t="n">
        <v>0</v>
      </c>
      <c r="D256" s="20" t="n">
        <v>0</v>
      </c>
      <c r="E256" s="20" t="n">
        <v>0</v>
      </c>
      <c r="F256" s="20" t="n">
        <v>0</v>
      </c>
      <c r="G256" s="20" t="n">
        <v>0</v>
      </c>
      <c r="H256" s="20" t="n">
        <v>0</v>
      </c>
      <c r="I256" s="20" t="n">
        <v>0</v>
      </c>
      <c r="J256" s="20" t="n">
        <v>0</v>
      </c>
      <c r="K256" s="20" t="n">
        <v>0</v>
      </c>
      <c r="L256" s="20" t="n">
        <v>0</v>
      </c>
      <c r="M256" s="20" t="n">
        <v>0</v>
      </c>
      <c r="N256" s="20" t="n">
        <v>0</v>
      </c>
      <c r="V256" s="20" t="n">
        <v>0</v>
      </c>
      <c r="W256" s="20" t="n">
        <v>0</v>
      </c>
      <c r="X256" s="20" t="n">
        <v>0</v>
      </c>
    </row>
    <row r="257">
      <c r="A257" s="18" t="inlineStr">
        <is>
          <t>법인소득세 비용</t>
        </is>
      </c>
      <c r="C257" s="20" t="n">
        <v>185</v>
      </c>
      <c r="D257" s="20" t="n">
        <v>632</v>
      </c>
      <c r="E257" s="20" t="n">
        <v>898</v>
      </c>
      <c r="F257" s="20" t="n">
        <v>562</v>
      </c>
      <c r="G257" s="20" t="n">
        <v>537</v>
      </c>
      <c r="H257" s="20" t="n">
        <v>605</v>
      </c>
      <c r="I257" s="20" t="n">
        <v>1200</v>
      </c>
      <c r="J257" s="20" t="n">
        <v>1136</v>
      </c>
      <c r="K257" s="20" t="n">
        <v>768</v>
      </c>
      <c r="L257" s="20" t="n">
        <v>779</v>
      </c>
      <c r="M257" s="20" t="n">
        <v>1545</v>
      </c>
      <c r="N257" s="20" t="n">
        <v>1377</v>
      </c>
      <c r="V257" s="20" t="n">
        <v>562</v>
      </c>
      <c r="W257" s="20" t="n">
        <v>1136</v>
      </c>
      <c r="X257" s="20" t="n">
        <v>1377</v>
      </c>
    </row>
    <row r="258">
      <c r="A258" s="43" t="inlineStr">
        <is>
          <t>YoY</t>
        </is>
      </c>
      <c r="B258" s="3" t="inlineStr">
        <is>
          <t>전년 같은 분기·전년 대비</t>
        </is>
      </c>
      <c r="G258" s="15">
        <f>IF(OR(G257="",C257=""),"",IF(G257*C257&lt;=0,"",IFERROR(G257/C257-1,"")))</f>
        <v/>
      </c>
      <c r="H258" s="15">
        <f>IF(OR(H257="",D257=""),"",IF(H257*D257&lt;=0,"",IFERROR(H257/D257-1,"")))</f>
        <v/>
      </c>
      <c r="I258" s="15">
        <f>IF(OR(I257="",E257=""),"",IF(I257*E257&lt;=0,"",IFERROR(I257/E257-1,"")))</f>
        <v/>
      </c>
      <c r="J258" s="15">
        <f>IF(OR(J257="",F257=""),"",IF(J257*F257&lt;=0,"",IFERROR(J257/F257-1,"")))</f>
        <v/>
      </c>
      <c r="K258" s="15">
        <f>IF(OR(K257="",G257=""),"",IF(K257*G257&lt;=0,"",IFERROR(K257/G257-1,"")))</f>
        <v/>
      </c>
      <c r="L258" s="15">
        <f>IF(OR(L257="",H257=""),"",IF(L257*H257&lt;=0,"",IFERROR(L257/H257-1,"")))</f>
        <v/>
      </c>
      <c r="M258" s="15">
        <f>IF(OR(M257="",I257=""),"",IF(M257*I257&lt;=0,"",IFERROR(M257/I257-1,"")))</f>
        <v/>
      </c>
      <c r="N258" s="15">
        <f>IF(OR(N257="",J257=""),"",IF(N257*J257&lt;=0,"",IFERROR(N257/J257-1,"")))</f>
        <v/>
      </c>
      <c r="V258" s="15">
        <f>IF(OR(V257="",U257=""),"",IF(V257*U257&lt;=0,"",IFERROR(V257/U257-1,"")))</f>
        <v/>
      </c>
      <c r="W258" s="15">
        <f>IF(OR(W257="",V257=""),"",IF(W257*V257&lt;=0,"",IFERROR(W257/V257-1,"")))</f>
        <v/>
      </c>
      <c r="X258" s="15">
        <f>IF(OR(X257="",W257=""),"",IF(X257*W257&lt;=0,"",IFERROR(X257/W257-1,"")))</f>
        <v/>
      </c>
    </row>
    <row r="259">
      <c r="A259" s="18" t="inlineStr">
        <is>
          <t>부문 · 중간이익</t>
        </is>
      </c>
      <c r="C259" s="20" t="n">
        <v>0</v>
      </c>
      <c r="D259" s="20" t="n">
        <v>0</v>
      </c>
      <c r="E259" s="20" t="n">
        <v>0</v>
      </c>
      <c r="F259" s="20" t="n">
        <v>0</v>
      </c>
      <c r="G259" s="20" t="n">
        <v>0</v>
      </c>
      <c r="H259" s="20" t="n">
        <v>0</v>
      </c>
      <c r="I259" s="20" t="n">
        <v>0</v>
      </c>
      <c r="J259" s="20" t="n">
        <v>0</v>
      </c>
      <c r="K259" s="20" t="n">
        <v>0</v>
      </c>
      <c r="L259" s="20" t="n">
        <v>0</v>
      </c>
      <c r="M259" s="20" t="n">
        <v>0</v>
      </c>
      <c r="N259" s="20" t="n">
        <v>0</v>
      </c>
      <c r="V259" s="20" t="n">
        <v>0</v>
      </c>
      <c r="W259" s="20" t="n">
        <v>0</v>
      </c>
      <c r="X259" s="20" t="n">
        <v>0</v>
      </c>
    </row>
    <row r="260">
      <c r="A260" s="43" t="inlineStr">
        <is>
          <t>OPM</t>
        </is>
      </c>
      <c r="B260" s="3" t="inlineStr">
        <is>
          <t>영업이익 ÷ 매출</t>
        </is>
      </c>
      <c r="C260" s="15">
        <f>IF(OR(C259="",C146=""),"",IF(C146&lt;=0,"",IFERROR(C259/C146,"")))</f>
        <v/>
      </c>
      <c r="D260" s="15">
        <f>IF(OR(D259="",D146=""),"",IF(D146&lt;=0,"",IFERROR(D259/D146,"")))</f>
        <v/>
      </c>
      <c r="E260" s="15">
        <f>IF(OR(E259="",E146=""),"",IF(E146&lt;=0,"",IFERROR(E259/E146,"")))</f>
        <v/>
      </c>
      <c r="F260" s="15">
        <f>IF(OR(F259="",F146=""),"",IF(F146&lt;=0,"",IFERROR(F259/F146,"")))</f>
        <v/>
      </c>
      <c r="G260" s="15">
        <f>IF(OR(G259="",G146=""),"",IF(G146&lt;=0,"",IFERROR(G259/G146,"")))</f>
        <v/>
      </c>
      <c r="H260" s="15">
        <f>IF(OR(H259="",H146=""),"",IF(H146&lt;=0,"",IFERROR(H259/H146,"")))</f>
        <v/>
      </c>
      <c r="I260" s="15">
        <f>IF(OR(I259="",I146=""),"",IF(I146&lt;=0,"",IFERROR(I259/I146,"")))</f>
        <v/>
      </c>
      <c r="J260" s="15">
        <f>IF(OR(J259="",J146=""),"",IF(J146&lt;=0,"",IFERROR(J259/J146,"")))</f>
        <v/>
      </c>
      <c r="K260" s="15">
        <f>IF(OR(K259="",K146=""),"",IF(K146&lt;=0,"",IFERROR(K259/K146,"")))</f>
        <v/>
      </c>
      <c r="L260" s="15">
        <f>IF(OR(L259="",L146=""),"",IF(L146&lt;=0,"",IFERROR(L259/L146,"")))</f>
        <v/>
      </c>
      <c r="M260" s="15">
        <f>IF(OR(M259="",M146=""),"",IF(M146&lt;=0,"",IFERROR(M259/M146,"")))</f>
        <v/>
      </c>
      <c r="N260" s="15">
        <f>IF(OR(N259="",N146=""),"",IF(N146&lt;=0,"",IFERROR(N259/N146,"")))</f>
        <v/>
      </c>
      <c r="V260" s="15">
        <f>IF(OR(V259="",V146=""),"",IF(V146&lt;=0,"",IFERROR(V259/V146,"")))</f>
        <v/>
      </c>
      <c r="W260" s="15">
        <f>IF(OR(W259="",W146=""),"",IF(W146&lt;=0,"",IFERROR(W259/W146,"")))</f>
        <v/>
      </c>
      <c r="X260" s="15">
        <f>IF(OR(X259="",X146=""),"",IF(X146&lt;=0,"",IFERROR(X259/X146,"")))</f>
        <v/>
      </c>
    </row>
    <row r="261">
      <c r="A261" s="43" t="inlineStr">
        <is>
          <t>YoY</t>
        </is>
      </c>
      <c r="B261" s="3" t="inlineStr">
        <is>
          <t>전년 같은 분기·전년 대비</t>
        </is>
      </c>
      <c r="G261" s="15">
        <f>IF(OR(G259="",C259=""),"",IF(C259&lt;=0,"",IFERROR(G259/C259-1,"")))</f>
        <v/>
      </c>
      <c r="H261" s="15">
        <f>IF(OR(H259="",D259=""),"",IF(D259&lt;=0,"",IFERROR(H259/D259-1,"")))</f>
        <v/>
      </c>
      <c r="I261" s="15">
        <f>IF(OR(I259="",E259=""),"",IF(E259&lt;=0,"",IFERROR(I259/E259-1,"")))</f>
        <v/>
      </c>
      <c r="J261" s="15">
        <f>IF(OR(J259="",F259=""),"",IF(F259&lt;=0,"",IFERROR(J259/F259-1,"")))</f>
        <v/>
      </c>
      <c r="K261" s="15">
        <f>IF(OR(K259="",G259=""),"",IF(G259&lt;=0,"",IFERROR(K259/G259-1,"")))</f>
        <v/>
      </c>
      <c r="L261" s="15">
        <f>IF(OR(L259="",H259=""),"",IF(H259&lt;=0,"",IFERROR(L259/H259-1,"")))</f>
        <v/>
      </c>
      <c r="M261" s="15">
        <f>IF(OR(M259="",I259=""),"",IF(I259&lt;=0,"",IFERROR(M259/I259-1,"")))</f>
        <v/>
      </c>
      <c r="N261" s="15">
        <f>IF(OR(N259="",J259=""),"",IF(J259&lt;=0,"",IFERROR(N259/J259-1,"")))</f>
        <v/>
      </c>
      <c r="V261" s="15">
        <f>IF(OR(V259="",U259=""),"",IF(U259&lt;=0,"",IFERROR(V259/U259-1,"")))</f>
        <v/>
      </c>
      <c r="W261" s="15">
        <f>IF(OR(W259="",V259=""),"",IF(V259&lt;=0,"",IFERROR(W259/V259-1,"")))</f>
        <v/>
      </c>
      <c r="X261" s="15">
        <f>IF(OR(X259="",W259=""),"",IF(W259&lt;=0,"",IFERROR(X259/W259-1,"")))</f>
        <v/>
      </c>
    </row>
    <row r="262">
      <c r="A262" s="18" t="inlineStr">
        <is>
          <t>PQA · 중간이익</t>
        </is>
      </c>
      <c r="C262" s="20" t="n">
        <v>0</v>
      </c>
      <c r="D262" s="20" t="n">
        <v>0</v>
      </c>
      <c r="E262" s="20" t="n">
        <v>0</v>
      </c>
      <c r="F262" s="20" t="n">
        <v>0</v>
      </c>
      <c r="G262" s="20" t="n">
        <v>0</v>
      </c>
      <c r="H262" s="20" t="n">
        <v>0</v>
      </c>
      <c r="I262" s="20" t="n">
        <v>0</v>
      </c>
      <c r="J262" s="20" t="n">
        <v>0</v>
      </c>
      <c r="K262" s="20" t="n">
        <v>0</v>
      </c>
      <c r="L262" s="20" t="n">
        <v>0</v>
      </c>
      <c r="M262" s="20" t="n">
        <v>0</v>
      </c>
      <c r="N262" s="20" t="n">
        <v>0</v>
      </c>
      <c r="V262" s="20" t="n">
        <v>0</v>
      </c>
      <c r="W262" s="20" t="n">
        <v>0</v>
      </c>
      <c r="X262" s="20" t="n">
        <v>0</v>
      </c>
    </row>
    <row r="263">
      <c r="A263" s="43" t="inlineStr">
        <is>
          <t>OPM</t>
        </is>
      </c>
      <c r="B263" s="3" t="inlineStr">
        <is>
          <t>영업이익 ÷ 매출</t>
        </is>
      </c>
      <c r="C263" s="15">
        <f>IF(OR(C262="",C148=""),"",IF(C148&lt;=0,"",IFERROR(C262/C148,"")))</f>
        <v/>
      </c>
      <c r="D263" s="15">
        <f>IF(OR(D262="",D148=""),"",IF(D148&lt;=0,"",IFERROR(D262/D148,"")))</f>
        <v/>
      </c>
      <c r="E263" s="15">
        <f>IF(OR(E262="",E148=""),"",IF(E148&lt;=0,"",IFERROR(E262/E148,"")))</f>
        <v/>
      </c>
      <c r="F263" s="15">
        <f>IF(OR(F262="",F148=""),"",IF(F148&lt;=0,"",IFERROR(F262/F148,"")))</f>
        <v/>
      </c>
      <c r="G263" s="15">
        <f>IF(OR(G262="",G148=""),"",IF(G148&lt;=0,"",IFERROR(G262/G148,"")))</f>
        <v/>
      </c>
      <c r="H263" s="15">
        <f>IF(OR(H262="",H148=""),"",IF(H148&lt;=0,"",IFERROR(H262/H148,"")))</f>
        <v/>
      </c>
      <c r="I263" s="15">
        <f>IF(OR(I262="",I148=""),"",IF(I148&lt;=0,"",IFERROR(I262/I148,"")))</f>
        <v/>
      </c>
      <c r="J263" s="15">
        <f>IF(OR(J262="",J148=""),"",IF(J148&lt;=0,"",IFERROR(J262/J148,"")))</f>
        <v/>
      </c>
      <c r="K263" s="15">
        <f>IF(OR(K262="",K148=""),"",IF(K148&lt;=0,"",IFERROR(K262/K148,"")))</f>
        <v/>
      </c>
      <c r="L263" s="15">
        <f>IF(OR(L262="",L148=""),"",IF(L148&lt;=0,"",IFERROR(L262/L148,"")))</f>
        <v/>
      </c>
      <c r="M263" s="15">
        <f>IF(OR(M262="",M148=""),"",IF(M148&lt;=0,"",IFERROR(M262/M148,"")))</f>
        <v/>
      </c>
      <c r="N263" s="15">
        <f>IF(OR(N262="",N148=""),"",IF(N148&lt;=0,"",IFERROR(N262/N148,"")))</f>
        <v/>
      </c>
      <c r="V263" s="15">
        <f>IF(OR(V262="",V148=""),"",IF(V148&lt;=0,"",IFERROR(V262/V148,"")))</f>
        <v/>
      </c>
      <c r="W263" s="15">
        <f>IF(OR(W262="",W148=""),"",IF(W148&lt;=0,"",IFERROR(W262/W148,"")))</f>
        <v/>
      </c>
      <c r="X263" s="15">
        <f>IF(OR(X262="",X148=""),"",IF(X148&lt;=0,"",IFERROR(X262/X148,"")))</f>
        <v/>
      </c>
    </row>
    <row r="264">
      <c r="A264" s="43" t="inlineStr">
        <is>
          <t>YoY</t>
        </is>
      </c>
      <c r="B264" s="3" t="inlineStr">
        <is>
          <t>전년 같은 분기·전년 대비</t>
        </is>
      </c>
      <c r="G264" s="15">
        <f>IF(OR(G262="",C262=""),"",IF(C262&lt;=0,"",IFERROR(G262/C262-1,"")))</f>
        <v/>
      </c>
      <c r="H264" s="15">
        <f>IF(OR(H262="",D262=""),"",IF(D262&lt;=0,"",IFERROR(H262/D262-1,"")))</f>
        <v/>
      </c>
      <c r="I264" s="15">
        <f>IF(OR(I262="",E262=""),"",IF(E262&lt;=0,"",IFERROR(I262/E262-1,"")))</f>
        <v/>
      </c>
      <c r="J264" s="15">
        <f>IF(OR(J262="",F262=""),"",IF(F262&lt;=0,"",IFERROR(J262/F262-1,"")))</f>
        <v/>
      </c>
      <c r="K264" s="15">
        <f>IF(OR(K262="",G262=""),"",IF(G262&lt;=0,"",IFERROR(K262/G262-1,"")))</f>
        <v/>
      </c>
      <c r="L264" s="15">
        <f>IF(OR(L262="",H262=""),"",IF(H262&lt;=0,"",IFERROR(L262/H262-1,"")))</f>
        <v/>
      </c>
      <c r="M264" s="15">
        <f>IF(OR(M262="",I262=""),"",IF(I262&lt;=0,"",IFERROR(M262/I262-1,"")))</f>
        <v/>
      </c>
      <c r="N264" s="15">
        <f>IF(OR(N262="",J262=""),"",IF(J262&lt;=0,"",IFERROR(N262/J262-1,"")))</f>
        <v/>
      </c>
      <c r="V264" s="15">
        <f>IF(OR(V262="",U262=""),"",IF(U262&lt;=0,"",IFERROR(V262/U262-1,"")))</f>
        <v/>
      </c>
      <c r="W264" s="15">
        <f>IF(OR(W262="",V262=""),"",IF(V262&lt;=0,"",IFERROR(W262/V262-1,"")))</f>
        <v/>
      </c>
      <c r="X264" s="15">
        <f>IF(OR(X262="",W262=""),"",IF(W262&lt;=0,"",IFERROR(X262/W262-1,"")))</f>
        <v/>
      </c>
    </row>
    <row r="265">
      <c r="A265" s="18" t="inlineStr">
        <is>
          <t>부문 · 중간이익</t>
        </is>
      </c>
      <c r="C265" s="20" t="n">
        <v>0</v>
      </c>
      <c r="D265" s="20" t="n">
        <v>0</v>
      </c>
      <c r="E265" s="20" t="n">
        <v>0</v>
      </c>
      <c r="F265" s="20" t="n">
        <v>0</v>
      </c>
      <c r="G265" s="20" t="n">
        <v>0</v>
      </c>
      <c r="H265" s="20" t="n">
        <v>0</v>
      </c>
      <c r="I265" s="20" t="n">
        <v>0</v>
      </c>
      <c r="J265" s="20" t="n">
        <v>0</v>
      </c>
      <c r="K265" s="20" t="n">
        <v>0</v>
      </c>
      <c r="L265" s="20" t="n">
        <v>0</v>
      </c>
      <c r="M265" s="20" t="n">
        <v>0</v>
      </c>
      <c r="N265" s="20" t="n">
        <v>0</v>
      </c>
      <c r="V265" s="20" t="n">
        <v>0</v>
      </c>
      <c r="W265" s="20" t="n">
        <v>0</v>
      </c>
      <c r="X265" s="20" t="n">
        <v>0</v>
      </c>
    </row>
    <row r="266">
      <c r="A266" s="43" t="inlineStr">
        <is>
          <t>OPM</t>
        </is>
      </c>
      <c r="B266" s="3" t="inlineStr">
        <is>
          <t>영업이익 ÷ 매출</t>
        </is>
      </c>
      <c r="C266" s="15">
        <f>IF(OR(C265="",C150=""),"",IF(C150&lt;=0,"",IFERROR(C265/C150,"")))</f>
        <v/>
      </c>
      <c r="D266" s="15">
        <f>IF(OR(D265="",D150=""),"",IF(D150&lt;=0,"",IFERROR(D265/D150,"")))</f>
        <v/>
      </c>
      <c r="E266" s="15">
        <f>IF(OR(E265="",E150=""),"",IF(E150&lt;=0,"",IFERROR(E265/E150,"")))</f>
        <v/>
      </c>
      <c r="F266" s="15">
        <f>IF(OR(F265="",F150=""),"",IF(F150&lt;=0,"",IFERROR(F265/F150,"")))</f>
        <v/>
      </c>
      <c r="G266" s="15">
        <f>IF(OR(G265="",G150=""),"",IF(G150&lt;=0,"",IFERROR(G265/G150,"")))</f>
        <v/>
      </c>
      <c r="H266" s="15">
        <f>IF(OR(H265="",H150=""),"",IF(H150&lt;=0,"",IFERROR(H265/H150,"")))</f>
        <v/>
      </c>
      <c r="I266" s="15">
        <f>IF(OR(I265="",I150=""),"",IF(I150&lt;=0,"",IFERROR(I265/I150,"")))</f>
        <v/>
      </c>
      <c r="J266" s="15">
        <f>IF(OR(J265="",J150=""),"",IF(J150&lt;=0,"",IFERROR(J265/J150,"")))</f>
        <v/>
      </c>
      <c r="K266" s="15">
        <f>IF(OR(K265="",K150=""),"",IF(K150&lt;=0,"",IFERROR(K265/K150,"")))</f>
        <v/>
      </c>
      <c r="L266" s="15">
        <f>IF(OR(L265="",L150=""),"",IF(L150&lt;=0,"",IFERROR(L265/L150,"")))</f>
        <v/>
      </c>
      <c r="M266" s="15">
        <f>IF(OR(M265="",M150=""),"",IF(M150&lt;=0,"",IFERROR(M265/M150,"")))</f>
        <v/>
      </c>
      <c r="N266" s="15">
        <f>IF(OR(N265="",N150=""),"",IF(N150&lt;=0,"",IFERROR(N265/N150,"")))</f>
        <v/>
      </c>
      <c r="V266" s="15">
        <f>IF(OR(V265="",V150=""),"",IF(V150&lt;=0,"",IFERROR(V265/V150,"")))</f>
        <v/>
      </c>
      <c r="W266" s="15">
        <f>IF(OR(W265="",W150=""),"",IF(W150&lt;=0,"",IFERROR(W265/W150,"")))</f>
        <v/>
      </c>
      <c r="X266" s="15">
        <f>IF(OR(X265="",X150=""),"",IF(X150&lt;=0,"",IFERROR(X265/X150,"")))</f>
        <v/>
      </c>
    </row>
    <row r="267">
      <c r="A267" s="43" t="inlineStr">
        <is>
          <t>YoY</t>
        </is>
      </c>
      <c r="B267" s="3" t="inlineStr">
        <is>
          <t>전년 같은 분기·전년 대비</t>
        </is>
      </c>
      <c r="G267" s="15">
        <f>IF(OR(G265="",C265=""),"",IF(C265&lt;=0,"",IFERROR(G265/C265-1,"")))</f>
        <v/>
      </c>
      <c r="H267" s="15">
        <f>IF(OR(H265="",D265=""),"",IF(D265&lt;=0,"",IFERROR(H265/D265-1,"")))</f>
        <v/>
      </c>
      <c r="I267" s="15">
        <f>IF(OR(I265="",E265=""),"",IF(E265&lt;=0,"",IFERROR(I265/E265-1,"")))</f>
        <v/>
      </c>
      <c r="J267" s="15">
        <f>IF(OR(J265="",F265=""),"",IF(F265&lt;=0,"",IFERROR(J265/F265-1,"")))</f>
        <v/>
      </c>
      <c r="K267" s="15">
        <f>IF(OR(K265="",G265=""),"",IF(G265&lt;=0,"",IFERROR(K265/G265-1,"")))</f>
        <v/>
      </c>
      <c r="L267" s="15">
        <f>IF(OR(L265="",H265=""),"",IF(H265&lt;=0,"",IFERROR(L265/H265-1,"")))</f>
        <v/>
      </c>
      <c r="M267" s="15">
        <f>IF(OR(M265="",I265=""),"",IF(I265&lt;=0,"",IFERROR(M265/I265-1,"")))</f>
        <v/>
      </c>
      <c r="N267" s="15">
        <f>IF(OR(N265="",J265=""),"",IF(J265&lt;=0,"",IFERROR(N265/J265-1,"")))</f>
        <v/>
      </c>
      <c r="V267" s="15">
        <f>IF(OR(V265="",U265=""),"",IF(U265&lt;=0,"",IFERROR(V265/U265-1,"")))</f>
        <v/>
      </c>
      <c r="W267" s="15">
        <f>IF(OR(W265="",V265=""),"",IF(V265&lt;=0,"",IFERROR(W265/V265-1,"")))</f>
        <v/>
      </c>
      <c r="X267" s="15">
        <f>IF(OR(X265="",W265=""),"",IF(W265&lt;=0,"",IFERROR(X265/W265-1,"")))</f>
        <v/>
      </c>
    </row>
    <row r="268">
      <c r="A268" s="18" t="inlineStr">
        <is>
          <t>보고부문 합계 · 중간이익</t>
        </is>
      </c>
      <c r="C268" s="20" t="n">
        <v>0</v>
      </c>
      <c r="D268" s="20" t="n">
        <v>0</v>
      </c>
      <c r="E268" s="20" t="n">
        <v>0</v>
      </c>
      <c r="F268" s="20" t="n">
        <v>0</v>
      </c>
      <c r="G268" s="20" t="n">
        <v>0</v>
      </c>
      <c r="H268" s="20" t="n">
        <v>0</v>
      </c>
      <c r="I268" s="20" t="n">
        <v>0</v>
      </c>
      <c r="J268" s="20" t="n">
        <v>0</v>
      </c>
      <c r="K268" s="20" t="n">
        <v>0</v>
      </c>
      <c r="L268" s="20" t="n">
        <v>0</v>
      </c>
      <c r="M268" s="20" t="n">
        <v>0</v>
      </c>
      <c r="N268" s="20" t="n">
        <v>0</v>
      </c>
      <c r="V268" s="20" t="n">
        <v>0</v>
      </c>
      <c r="W268" s="20" t="n">
        <v>0</v>
      </c>
      <c r="X268" s="20" t="n">
        <v>0</v>
      </c>
    </row>
    <row r="269">
      <c r="A269" s="43" t="inlineStr">
        <is>
          <t>OPM</t>
        </is>
      </c>
      <c r="B269" s="3" t="inlineStr">
        <is>
          <t>영업이익 ÷ 매출</t>
        </is>
      </c>
      <c r="C269" s="15">
        <f>IF(OR(C268="",C152=""),"",IF(C152&lt;=0,"",IFERROR(C268/C152,"")))</f>
        <v/>
      </c>
      <c r="D269" s="15">
        <f>IF(OR(D268="",D152=""),"",IF(D152&lt;=0,"",IFERROR(D268/D152,"")))</f>
        <v/>
      </c>
      <c r="E269" s="15">
        <f>IF(OR(E268="",E152=""),"",IF(E152&lt;=0,"",IFERROR(E268/E152,"")))</f>
        <v/>
      </c>
      <c r="F269" s="15">
        <f>IF(OR(F268="",F152=""),"",IF(F152&lt;=0,"",IFERROR(F268/F152,"")))</f>
        <v/>
      </c>
      <c r="G269" s="15">
        <f>IF(OR(G268="",G152=""),"",IF(G152&lt;=0,"",IFERROR(G268/G152,"")))</f>
        <v/>
      </c>
      <c r="H269" s="15">
        <f>IF(OR(H268="",H152=""),"",IF(H152&lt;=0,"",IFERROR(H268/H152,"")))</f>
        <v/>
      </c>
      <c r="I269" s="15">
        <f>IF(OR(I268="",I152=""),"",IF(I152&lt;=0,"",IFERROR(I268/I152,"")))</f>
        <v/>
      </c>
      <c r="J269" s="15">
        <f>IF(OR(J268="",J152=""),"",IF(J152&lt;=0,"",IFERROR(J268/J152,"")))</f>
        <v/>
      </c>
      <c r="K269" s="15">
        <f>IF(OR(K268="",K152=""),"",IF(K152&lt;=0,"",IFERROR(K268/K152,"")))</f>
        <v/>
      </c>
      <c r="L269" s="15">
        <f>IF(OR(L268="",L152=""),"",IF(L152&lt;=0,"",IFERROR(L268/L152,"")))</f>
        <v/>
      </c>
      <c r="M269" s="15">
        <f>IF(OR(M268="",M152=""),"",IF(M152&lt;=0,"",IFERROR(M268/M152,"")))</f>
        <v/>
      </c>
      <c r="N269" s="15">
        <f>IF(OR(N268="",N152=""),"",IF(N152&lt;=0,"",IFERROR(N268/N152,"")))</f>
        <v/>
      </c>
      <c r="V269" s="15">
        <f>IF(OR(V268="",V152=""),"",IF(V152&lt;=0,"",IFERROR(V268/V152,"")))</f>
        <v/>
      </c>
      <c r="W269" s="15">
        <f>IF(OR(W268="",W152=""),"",IF(W152&lt;=0,"",IFERROR(W268/W152,"")))</f>
        <v/>
      </c>
      <c r="X269" s="15">
        <f>IF(OR(X268="",X152=""),"",IF(X152&lt;=0,"",IFERROR(X268/X152,"")))</f>
        <v/>
      </c>
    </row>
    <row r="270">
      <c r="A270" s="43" t="inlineStr">
        <is>
          <t>YoY</t>
        </is>
      </c>
      <c r="B270" s="3" t="inlineStr">
        <is>
          <t>전년 같은 분기·전년 대비</t>
        </is>
      </c>
      <c r="G270" s="15">
        <f>IF(OR(G268="",C268=""),"",IF(C268&lt;=0,"",IFERROR(G268/C268-1,"")))</f>
        <v/>
      </c>
      <c r="H270" s="15">
        <f>IF(OR(H268="",D268=""),"",IF(D268&lt;=0,"",IFERROR(H268/D268-1,"")))</f>
        <v/>
      </c>
      <c r="I270" s="15">
        <f>IF(OR(I268="",E268=""),"",IF(E268&lt;=0,"",IFERROR(I268/E268-1,"")))</f>
        <v/>
      </c>
      <c r="J270" s="15">
        <f>IF(OR(J268="",F268=""),"",IF(F268&lt;=0,"",IFERROR(J268/F268-1,"")))</f>
        <v/>
      </c>
      <c r="K270" s="15">
        <f>IF(OR(K268="",G268=""),"",IF(G268&lt;=0,"",IFERROR(K268/G268-1,"")))</f>
        <v/>
      </c>
      <c r="L270" s="15">
        <f>IF(OR(L268="",H268=""),"",IF(H268&lt;=0,"",IFERROR(L268/H268-1,"")))</f>
        <v/>
      </c>
      <c r="M270" s="15">
        <f>IF(OR(M268="",I268=""),"",IF(I268&lt;=0,"",IFERROR(M268/I268-1,"")))</f>
        <v/>
      </c>
      <c r="N270" s="15">
        <f>IF(OR(N268="",J268=""),"",IF(J268&lt;=0,"",IFERROR(N268/J268-1,"")))</f>
        <v/>
      </c>
      <c r="V270" s="15">
        <f>IF(OR(V268="",U268=""),"",IF(U268&lt;=0,"",IFERROR(V268/U268-1,"")))</f>
        <v/>
      </c>
      <c r="W270" s="15">
        <f>IF(OR(W268="",V268=""),"",IF(V268&lt;=0,"",IFERROR(W268/V268-1,"")))</f>
        <v/>
      </c>
      <c r="X270" s="15">
        <f>IF(OR(X268="",W268=""),"",IF(W268&lt;=0,"",IFERROR(X268/W268-1,"")))</f>
        <v/>
      </c>
    </row>
    <row r="271">
      <c r="A271" s="18" t="inlineStr">
        <is>
          <t>기타 · 중간이익</t>
        </is>
      </c>
      <c r="C271" s="20" t="n">
        <v>0</v>
      </c>
      <c r="D271" s="20" t="n">
        <v>0</v>
      </c>
      <c r="E271" s="20" t="n">
        <v>0</v>
      </c>
      <c r="F271" s="20" t="n">
        <v>0</v>
      </c>
      <c r="G271" s="20" t="n">
        <v>0</v>
      </c>
      <c r="H271" s="20" t="n">
        <v>0</v>
      </c>
      <c r="I271" s="20" t="n">
        <v>0</v>
      </c>
      <c r="J271" s="20" t="n">
        <v>0</v>
      </c>
      <c r="K271" s="20" t="n">
        <v>0</v>
      </c>
      <c r="L271" s="20" t="n">
        <v>0</v>
      </c>
      <c r="M271" s="20" t="n">
        <v>0</v>
      </c>
      <c r="N271" s="20" t="n">
        <v>0</v>
      </c>
      <c r="V271" s="20" t="n">
        <v>0</v>
      </c>
      <c r="W271" s="20" t="n">
        <v>0</v>
      </c>
      <c r="X271" s="20" t="n">
        <v>0</v>
      </c>
    </row>
    <row r="272">
      <c r="A272" s="43" t="inlineStr">
        <is>
          <t>OPM</t>
        </is>
      </c>
      <c r="B272" s="3" t="inlineStr">
        <is>
          <t>영업이익 ÷ 매출</t>
        </is>
      </c>
      <c r="C272" s="15">
        <f>IF(OR(C271="",C154=""),"",IF(C154&lt;=0,"",IFERROR(C271/C154,"")))</f>
        <v/>
      </c>
      <c r="D272" s="15">
        <f>IF(OR(D271="",D154=""),"",IF(D154&lt;=0,"",IFERROR(D271/D154,"")))</f>
        <v/>
      </c>
      <c r="E272" s="15">
        <f>IF(OR(E271="",E154=""),"",IF(E154&lt;=0,"",IFERROR(E271/E154,"")))</f>
        <v/>
      </c>
      <c r="F272" s="15">
        <f>IF(OR(F271="",F154=""),"",IF(F154&lt;=0,"",IFERROR(F271/F154,"")))</f>
        <v/>
      </c>
      <c r="G272" s="15">
        <f>IF(OR(G271="",G154=""),"",IF(G154&lt;=0,"",IFERROR(G271/G154,"")))</f>
        <v/>
      </c>
      <c r="H272" s="15">
        <f>IF(OR(H271="",H154=""),"",IF(H154&lt;=0,"",IFERROR(H271/H154,"")))</f>
        <v/>
      </c>
      <c r="I272" s="15">
        <f>IF(OR(I271="",I154=""),"",IF(I154&lt;=0,"",IFERROR(I271/I154,"")))</f>
        <v/>
      </c>
      <c r="J272" s="15">
        <f>IF(OR(J271="",J154=""),"",IF(J154&lt;=0,"",IFERROR(J271/J154,"")))</f>
        <v/>
      </c>
      <c r="K272" s="15">
        <f>IF(OR(K271="",K154=""),"",IF(K154&lt;=0,"",IFERROR(K271/K154,"")))</f>
        <v/>
      </c>
      <c r="L272" s="15">
        <f>IF(OR(L271="",L154=""),"",IF(L154&lt;=0,"",IFERROR(L271/L154,"")))</f>
        <v/>
      </c>
      <c r="M272" s="15">
        <f>IF(OR(M271="",M154=""),"",IF(M154&lt;=0,"",IFERROR(M271/M154,"")))</f>
        <v/>
      </c>
      <c r="N272" s="15">
        <f>IF(OR(N271="",N154=""),"",IF(N154&lt;=0,"",IFERROR(N271/N154,"")))</f>
        <v/>
      </c>
      <c r="V272" s="15">
        <f>IF(OR(V271="",V154=""),"",IF(V154&lt;=0,"",IFERROR(V271/V154,"")))</f>
        <v/>
      </c>
      <c r="W272" s="15">
        <f>IF(OR(W271="",W154=""),"",IF(W154&lt;=0,"",IFERROR(W271/W154,"")))</f>
        <v/>
      </c>
      <c r="X272" s="15">
        <f>IF(OR(X271="",X154=""),"",IF(X154&lt;=0,"",IFERROR(X271/X154,"")))</f>
        <v/>
      </c>
    </row>
    <row r="273">
      <c r="A273" s="43" t="inlineStr">
        <is>
          <t>YoY</t>
        </is>
      </c>
      <c r="B273" s="3" t="inlineStr">
        <is>
          <t>전년 같은 분기·전년 대비</t>
        </is>
      </c>
      <c r="G273" s="15">
        <f>IF(OR(G271="",C271=""),"",IF(C271&lt;=0,"",IFERROR(G271/C271-1,"")))</f>
        <v/>
      </c>
      <c r="H273" s="15">
        <f>IF(OR(H271="",D271=""),"",IF(D271&lt;=0,"",IFERROR(H271/D271-1,"")))</f>
        <v/>
      </c>
      <c r="I273" s="15">
        <f>IF(OR(I271="",E271=""),"",IF(E271&lt;=0,"",IFERROR(I271/E271-1,"")))</f>
        <v/>
      </c>
      <c r="J273" s="15">
        <f>IF(OR(J271="",F271=""),"",IF(F271&lt;=0,"",IFERROR(J271/F271-1,"")))</f>
        <v/>
      </c>
      <c r="K273" s="15">
        <f>IF(OR(K271="",G271=""),"",IF(G271&lt;=0,"",IFERROR(K271/G271-1,"")))</f>
        <v/>
      </c>
      <c r="L273" s="15">
        <f>IF(OR(L271="",H271=""),"",IF(H271&lt;=0,"",IFERROR(L271/H271-1,"")))</f>
        <v/>
      </c>
      <c r="M273" s="15">
        <f>IF(OR(M271="",I271=""),"",IF(I271&lt;=0,"",IFERROR(M271/I271-1,"")))</f>
        <v/>
      </c>
      <c r="N273" s="15">
        <f>IF(OR(N271="",J271=""),"",IF(J271&lt;=0,"",IFERROR(N271/J271-1,"")))</f>
        <v/>
      </c>
      <c r="V273" s="15">
        <f>IF(OR(V271="",U271=""),"",IF(U271&lt;=0,"",IFERROR(V271/U271-1,"")))</f>
        <v/>
      </c>
      <c r="W273" s="15">
        <f>IF(OR(W271="",V271=""),"",IF(V271&lt;=0,"",IFERROR(W271/V271-1,"")))</f>
        <v/>
      </c>
      <c r="X273" s="15">
        <f>IF(OR(X271="",W271=""),"",IF(W271&lt;=0,"",IFERROR(X271/W271-1,"")))</f>
        <v/>
      </c>
    </row>
    <row r="274">
      <c r="A274" s="18" t="inlineStr">
        <is>
          <t>합계 · 중간이익</t>
        </is>
      </c>
      <c r="C274" s="20" t="n">
        <v>0</v>
      </c>
      <c r="D274" s="20" t="n">
        <v>0</v>
      </c>
      <c r="E274" s="20" t="n">
        <v>0</v>
      </c>
      <c r="F274" s="20" t="n">
        <v>0</v>
      </c>
      <c r="G274" s="20" t="n">
        <v>0</v>
      </c>
      <c r="H274" s="20" t="n">
        <v>0</v>
      </c>
      <c r="I274" s="20" t="n">
        <v>0</v>
      </c>
      <c r="J274" s="20" t="n">
        <v>0</v>
      </c>
      <c r="K274" s="20" t="n">
        <v>0</v>
      </c>
      <c r="L274" s="20" t="n">
        <v>0</v>
      </c>
      <c r="M274" s="20" t="n">
        <v>0</v>
      </c>
      <c r="N274" s="20" t="n">
        <v>0</v>
      </c>
      <c r="V274" s="20" t="n">
        <v>0</v>
      </c>
      <c r="W274" s="20" t="n">
        <v>0</v>
      </c>
      <c r="X274" s="20" t="n">
        <v>0</v>
      </c>
    </row>
    <row r="275">
      <c r="A275" s="43" t="inlineStr">
        <is>
          <t>OPM</t>
        </is>
      </c>
      <c r="B275" s="3" t="inlineStr">
        <is>
          <t>영업이익 ÷ 매출</t>
        </is>
      </c>
      <c r="C275" s="15">
        <f>IF(OR(C274="",C156=""),"",IF(C156&lt;=0,"",IFERROR(C274/C156,"")))</f>
        <v/>
      </c>
      <c r="D275" s="15">
        <f>IF(OR(D274="",D156=""),"",IF(D156&lt;=0,"",IFERROR(D274/D156,"")))</f>
        <v/>
      </c>
      <c r="E275" s="15">
        <f>IF(OR(E274="",E156=""),"",IF(E156&lt;=0,"",IFERROR(E274/E156,"")))</f>
        <v/>
      </c>
      <c r="F275" s="15">
        <f>IF(OR(F274="",F156=""),"",IF(F156&lt;=0,"",IFERROR(F274/F156,"")))</f>
        <v/>
      </c>
      <c r="G275" s="15">
        <f>IF(OR(G274="",G156=""),"",IF(G156&lt;=0,"",IFERROR(G274/G156,"")))</f>
        <v/>
      </c>
      <c r="H275" s="15">
        <f>IF(OR(H274="",H156=""),"",IF(H156&lt;=0,"",IFERROR(H274/H156,"")))</f>
        <v/>
      </c>
      <c r="I275" s="15">
        <f>IF(OR(I274="",I156=""),"",IF(I156&lt;=0,"",IFERROR(I274/I156,"")))</f>
        <v/>
      </c>
      <c r="J275" s="15">
        <f>IF(OR(J274="",J156=""),"",IF(J156&lt;=0,"",IFERROR(J274/J156,"")))</f>
        <v/>
      </c>
      <c r="K275" s="15">
        <f>IF(OR(K274="",K156=""),"",IF(K156&lt;=0,"",IFERROR(K274/K156,"")))</f>
        <v/>
      </c>
      <c r="L275" s="15">
        <f>IF(OR(L274="",L156=""),"",IF(L156&lt;=0,"",IFERROR(L274/L156,"")))</f>
        <v/>
      </c>
      <c r="M275" s="15">
        <f>IF(OR(M274="",M156=""),"",IF(M156&lt;=0,"",IFERROR(M274/M156,"")))</f>
        <v/>
      </c>
      <c r="N275" s="15">
        <f>IF(OR(N274="",N156=""),"",IF(N156&lt;=0,"",IFERROR(N274/N156,"")))</f>
        <v/>
      </c>
      <c r="V275" s="15">
        <f>IF(OR(V274="",V156=""),"",IF(V156&lt;=0,"",IFERROR(V274/V156,"")))</f>
        <v/>
      </c>
      <c r="W275" s="15">
        <f>IF(OR(W274="",W156=""),"",IF(W156&lt;=0,"",IFERROR(W274/W156,"")))</f>
        <v/>
      </c>
      <c r="X275" s="15">
        <f>IF(OR(X274="",X156=""),"",IF(X156&lt;=0,"",IFERROR(X274/X156,"")))</f>
        <v/>
      </c>
    </row>
    <row r="276">
      <c r="A276" s="43" t="inlineStr">
        <is>
          <t>YoY</t>
        </is>
      </c>
      <c r="B276" s="3" t="inlineStr">
        <is>
          <t>전년 같은 분기·전년 대비</t>
        </is>
      </c>
      <c r="G276" s="15">
        <f>IF(OR(G274="",C274=""),"",IF(C274&lt;=0,"",IFERROR(G274/C274-1,"")))</f>
        <v/>
      </c>
      <c r="H276" s="15">
        <f>IF(OR(H274="",D274=""),"",IF(D274&lt;=0,"",IFERROR(H274/D274-1,"")))</f>
        <v/>
      </c>
      <c r="I276" s="15">
        <f>IF(OR(I274="",E274=""),"",IF(E274&lt;=0,"",IFERROR(I274/E274-1,"")))</f>
        <v/>
      </c>
      <c r="J276" s="15">
        <f>IF(OR(J274="",F274=""),"",IF(F274&lt;=0,"",IFERROR(J274/F274-1,"")))</f>
        <v/>
      </c>
      <c r="K276" s="15">
        <f>IF(OR(K274="",G274=""),"",IF(G274&lt;=0,"",IFERROR(K274/G274-1,"")))</f>
        <v/>
      </c>
      <c r="L276" s="15">
        <f>IF(OR(L274="",H274=""),"",IF(H274&lt;=0,"",IFERROR(L274/H274-1,"")))</f>
        <v/>
      </c>
      <c r="M276" s="15">
        <f>IF(OR(M274="",I274=""),"",IF(I274&lt;=0,"",IFERROR(M274/I274-1,"")))</f>
        <v/>
      </c>
      <c r="N276" s="15">
        <f>IF(OR(N274="",J274=""),"",IF(J274&lt;=0,"",IFERROR(N274/J274-1,"")))</f>
        <v/>
      </c>
      <c r="V276" s="15">
        <f>IF(OR(V274="",U274=""),"",IF(U274&lt;=0,"",IFERROR(V274/U274-1,"")))</f>
        <v/>
      </c>
      <c r="W276" s="15">
        <f>IF(OR(W274="",V274=""),"",IF(V274&lt;=0,"",IFERROR(W274/V274-1,"")))</f>
        <v/>
      </c>
      <c r="X276" s="15">
        <f>IF(OR(X274="",W274=""),"",IF(W274&lt;=0,"",IFERROR(X274/W274-1,"")))</f>
        <v/>
      </c>
    </row>
    <row r="277">
      <c r="A277" s="18" t="inlineStr">
        <is>
          <t>조정액 · 중간이익</t>
        </is>
      </c>
      <c r="C277" s="20" t="n">
        <v>0</v>
      </c>
      <c r="D277" s="20" t="n">
        <v>0</v>
      </c>
      <c r="E277" s="20" t="n">
        <v>0</v>
      </c>
      <c r="F277" s="20" t="n">
        <v>0</v>
      </c>
      <c r="G277" s="20" t="n">
        <v>0</v>
      </c>
      <c r="H277" s="20" t="n">
        <v>0</v>
      </c>
      <c r="I277" s="20" t="n">
        <v>0</v>
      </c>
      <c r="J277" s="20" t="n">
        <v>0</v>
      </c>
      <c r="K277" s="20" t="n">
        <v>0</v>
      </c>
      <c r="L277" s="20" t="n">
        <v>0</v>
      </c>
      <c r="M277" s="20" t="n">
        <v>0</v>
      </c>
      <c r="N277" s="20" t="n">
        <v>0</v>
      </c>
      <c r="V277" s="20" t="n">
        <v>0</v>
      </c>
      <c r="W277" s="20" t="n">
        <v>0</v>
      </c>
      <c r="X277" s="20" t="n">
        <v>0</v>
      </c>
    </row>
    <row r="278">
      <c r="A278" s="9" t="inlineStr">
        <is>
          <t>중간이익</t>
        </is>
      </c>
      <c r="C278" s="12" t="n">
        <v>241</v>
      </c>
      <c r="D278" s="12" t="n">
        <v>2545</v>
      </c>
      <c r="E278" s="12" t="n">
        <v>1135</v>
      </c>
      <c r="F278" s="12" t="n">
        <v>3753</v>
      </c>
      <c r="G278" s="12" t="n">
        <v>716</v>
      </c>
      <c r="H278" s="12" t="n">
        <v>1522</v>
      </c>
      <c r="I278" s="12" t="n">
        <v>2667</v>
      </c>
      <c r="J278" s="12" t="n">
        <v>4354</v>
      </c>
      <c r="K278" s="12" t="n">
        <v>583</v>
      </c>
      <c r="L278" s="12" t="n">
        <v>3226</v>
      </c>
      <c r="M278" s="12" t="n">
        <v>2513</v>
      </c>
      <c r="N278" s="12" t="n">
        <v>5355</v>
      </c>
      <c r="V278" s="12" t="n">
        <v>3753</v>
      </c>
      <c r="W278" s="12" t="n">
        <v>4354</v>
      </c>
      <c r="X278" s="12" t="n">
        <v>5355</v>
      </c>
    </row>
    <row r="279">
      <c r="A279" s="43" t="inlineStr">
        <is>
          <t>YoY</t>
        </is>
      </c>
      <c r="B279" s="3" t="inlineStr">
        <is>
          <t>전년 같은 분기·전년 대비</t>
        </is>
      </c>
      <c r="G279" s="15">
        <f>IF(OR(G278="",C278=""),"",IF(C278&lt;=0,"",IFERROR(G278/C278-1,"")))</f>
        <v/>
      </c>
      <c r="H279" s="15">
        <f>IF(OR(H278="",D278=""),"",IF(D278&lt;=0,"",IFERROR(H278/D278-1,"")))</f>
        <v/>
      </c>
      <c r="I279" s="15">
        <f>IF(OR(I278="",E278=""),"",IF(E278&lt;=0,"",IFERROR(I278/E278-1,"")))</f>
        <v/>
      </c>
      <c r="J279" s="15">
        <f>IF(OR(J278="",F278=""),"",IF(F278&lt;=0,"",IFERROR(J278/F278-1,"")))</f>
        <v/>
      </c>
      <c r="K279" s="15">
        <f>IF(OR(K278="",G278=""),"",IF(G278&lt;=0,"",IFERROR(K278/G278-1,"")))</f>
        <v/>
      </c>
      <c r="L279" s="15">
        <f>IF(OR(L278="",H278=""),"",IF(H278&lt;=0,"",IFERROR(L278/H278-1,"")))</f>
        <v/>
      </c>
      <c r="M279" s="15">
        <f>IF(OR(M278="",I278=""),"",IF(I278&lt;=0,"",IFERROR(M278/I278-1,"")))</f>
        <v/>
      </c>
      <c r="N279" s="15">
        <f>IF(OR(N278="",J278=""),"",IF(J278&lt;=0,"",IFERROR(N278/J278-1,"")))</f>
        <v/>
      </c>
      <c r="V279" s="15">
        <f>IF(OR(V278="",U278=""),"",IF(U278&lt;=0,"",IFERROR(V278/U278-1,"")))</f>
        <v/>
      </c>
      <c r="W279" s="15">
        <f>IF(OR(W278="",V278=""),"",IF(V278&lt;=0,"",IFERROR(W278/V278-1,"")))</f>
        <v/>
      </c>
      <c r="X279" s="15">
        <f>IF(OR(X278="",W278=""),"",IF(W278&lt;=0,"",IFERROR(X278/W278-1,"")))</f>
        <v/>
      </c>
    </row>
    <row r="281">
      <c r="A281" s="16" t="inlineStr">
        <is>
          <t>현금흐름표 · 전 항목</t>
        </is>
      </c>
      <c r="B281" s="42" t="inlineStr">
        <is>
          <t>분기 = 결산기 첫날부터 누계(공시 그대로)</t>
        </is>
      </c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16" t="n"/>
      <c r="AB281" s="16" t="n"/>
      <c r="AC281" s="16" t="n"/>
    </row>
    <row r="282">
      <c r="A282" s="5" t="inlineStr">
        <is>
          <t>항목</t>
        </is>
      </c>
      <c r="B282" s="5" t="inlineStr">
        <is>
          <t>참고</t>
        </is>
      </c>
      <c r="C282" s="5" t="inlineStr">
        <is>
          <t>2024.1Q</t>
        </is>
      </c>
      <c r="D282" s="5" t="inlineStr">
        <is>
          <t>2024.2Q</t>
        </is>
      </c>
      <c r="E282" s="5" t="inlineStr">
        <is>
          <t>2024.3Q</t>
        </is>
      </c>
      <c r="F282" s="5" t="inlineStr">
        <is>
          <t>2024.4Q</t>
        </is>
      </c>
      <c r="G282" s="5" t="inlineStr">
        <is>
          <t>2025.1Q</t>
        </is>
      </c>
      <c r="H282" s="5" t="inlineStr">
        <is>
          <t>2025.2Q</t>
        </is>
      </c>
      <c r="I282" s="5" t="inlineStr">
        <is>
          <t>2025.3Q</t>
        </is>
      </c>
      <c r="J282" s="5" t="inlineStr">
        <is>
          <t>2025.4Q</t>
        </is>
      </c>
      <c r="K282" s="5" t="inlineStr">
        <is>
          <t>2026.1Q</t>
        </is>
      </c>
      <c r="L282" s="5" t="inlineStr">
        <is>
          <t>2026.2Q</t>
        </is>
      </c>
      <c r="M282" s="5" t="inlineStr">
        <is>
          <t>2026.3Q</t>
        </is>
      </c>
      <c r="N282" s="5" t="inlineStr">
        <is>
          <t>2026.4Q</t>
        </is>
      </c>
      <c r="O282" s="5" t="inlineStr">
        <is>
          <t>2017</t>
        </is>
      </c>
      <c r="P282" s="5" t="inlineStr">
        <is>
          <t>2018</t>
        </is>
      </c>
      <c r="Q282" s="5" t="inlineStr">
        <is>
          <t>2019</t>
        </is>
      </c>
      <c r="R282" s="5" t="inlineStr">
        <is>
          <t>2020</t>
        </is>
      </c>
      <c r="S282" s="5" t="inlineStr">
        <is>
          <t>2021</t>
        </is>
      </c>
      <c r="T282" s="5" t="inlineStr">
        <is>
          <t>2022</t>
        </is>
      </c>
      <c r="U282" s="5" t="inlineStr">
        <is>
          <t>2023</t>
        </is>
      </c>
      <c r="V282" s="5" t="inlineStr">
        <is>
          <t>2024</t>
        </is>
      </c>
      <c r="W282" s="5" t="inlineStr">
        <is>
          <t>2025</t>
        </is>
      </c>
      <c r="X282" s="5" t="inlineStr">
        <is>
          <t>2026</t>
        </is>
      </c>
      <c r="Y282" s="5" t="inlineStr">
        <is>
          <t>2027(MW)</t>
        </is>
      </c>
      <c r="Z282" s="5" t="inlineStr">
        <is>
          <t>2028(MW)</t>
        </is>
      </c>
      <c r="AA282" s="5" t="inlineStr">
        <is>
          <t>2029(MW)</t>
        </is>
      </c>
      <c r="AB282" s="5" t="inlineStr">
        <is>
          <t>2030(MW)</t>
        </is>
      </c>
      <c r="AC282" s="5" t="inlineStr">
        <is>
          <t>2031(MW)</t>
        </is>
      </c>
    </row>
    <row r="283">
      <c r="A283" s="9" t="inlineStr">
        <is>
          <t>법인세비용차감전 중간이익</t>
        </is>
      </c>
      <c r="C283" s="12" t="n">
        <v>427</v>
      </c>
      <c r="D283" s="12" t="n">
        <v>3603</v>
      </c>
      <c r="E283" s="12" t="n">
        <v>5636</v>
      </c>
      <c r="F283" s="12" t="n">
        <v>9951</v>
      </c>
      <c r="G283" s="12" t="n">
        <v>1254</v>
      </c>
      <c r="H283" s="12" t="n">
        <v>3381</v>
      </c>
      <c r="I283" s="12" t="n">
        <v>7247</v>
      </c>
      <c r="J283" s="12" t="n">
        <v>12737</v>
      </c>
      <c r="K283" s="12" t="n">
        <v>1351</v>
      </c>
      <c r="L283" s="12" t="n">
        <v>5356</v>
      </c>
      <c r="M283" s="12" t="n">
        <v>9414</v>
      </c>
      <c r="N283" s="12" t="n">
        <v>16147</v>
      </c>
      <c r="P283" s="12" t="n">
        <v>4602</v>
      </c>
      <c r="Q283" s="12" t="n">
        <v>11362</v>
      </c>
      <c r="R283" s="12" t="n">
        <v>17181</v>
      </c>
      <c r="S283" s="12" t="n">
        <v>19838</v>
      </c>
      <c r="T283" s="12" t="n">
        <v>17150</v>
      </c>
      <c r="U283" s="12" t="n">
        <v>12438</v>
      </c>
      <c r="V283" s="12" t="n">
        <v>9951</v>
      </c>
      <c r="W283" s="12" t="n">
        <v>12737</v>
      </c>
      <c r="X283" s="12" t="n">
        <v>16147</v>
      </c>
    </row>
    <row r="284">
      <c r="A284" s="18" t="inlineStr">
        <is>
          <t>감가상각비 및 상각비</t>
        </is>
      </c>
      <c r="C284" s="20" t="n">
        <v>1501</v>
      </c>
      <c r="D284" s="20" t="n">
        <v>2957</v>
      </c>
      <c r="E284" s="20" t="n">
        <v>4470</v>
      </c>
      <c r="F284" s="20" t="n">
        <v>5888</v>
      </c>
      <c r="G284" s="20" t="n">
        <v>1495</v>
      </c>
      <c r="H284" s="20" t="n">
        <v>2953</v>
      </c>
      <c r="I284" s="20" t="n">
        <v>4375</v>
      </c>
      <c r="J284" s="20" t="n">
        <v>5707</v>
      </c>
      <c r="K284" s="20" t="n">
        <v>1435</v>
      </c>
      <c r="L284" s="20" t="n">
        <v>2839</v>
      </c>
      <c r="M284" s="20" t="n">
        <v>4413</v>
      </c>
      <c r="N284" s="20" t="n">
        <v>6014</v>
      </c>
      <c r="P284" s="20" t="n">
        <v>4285</v>
      </c>
      <c r="Q284" s="20" t="n">
        <v>4386</v>
      </c>
      <c r="R284" s="20" t="n">
        <v>4999</v>
      </c>
      <c r="S284" s="20" t="n">
        <v>4946</v>
      </c>
      <c r="T284" s="20" t="n">
        <v>5132</v>
      </c>
      <c r="U284" s="20" t="n">
        <v>5693</v>
      </c>
      <c r="V284" s="20" t="n">
        <v>5888</v>
      </c>
      <c r="W284" s="20" t="n">
        <v>5707</v>
      </c>
      <c r="X284" s="20" t="n">
        <v>6014</v>
      </c>
    </row>
    <row r="285">
      <c r="A285" s="18" t="inlineStr">
        <is>
          <t>손상차손</t>
        </is>
      </c>
      <c r="F285" s="20" t="n">
        <v>256</v>
      </c>
      <c r="J285" s="20" t="n">
        <v>0</v>
      </c>
      <c r="U285" s="20" t="n">
        <v>0</v>
      </c>
      <c r="V285" s="20" t="n">
        <v>256</v>
      </c>
      <c r="W285" s="20" t="n">
        <v>0</v>
      </c>
    </row>
    <row r="286">
      <c r="A286" s="18" t="inlineStr">
        <is>
          <t>이자·배당금 수익</t>
        </is>
      </c>
      <c r="C286" s="20" t="n">
        <v>-136</v>
      </c>
      <c r="D286" s="20" t="n">
        <v>-266</v>
      </c>
      <c r="E286" s="20" t="n">
        <v>-439</v>
      </c>
      <c r="F286" s="20" t="n">
        <v>-600</v>
      </c>
      <c r="G286" s="20" t="n">
        <v>-213</v>
      </c>
      <c r="H286" s="20" t="n">
        <v>-370</v>
      </c>
      <c r="I286" s="20" t="n">
        <v>-548</v>
      </c>
      <c r="J286" s="20" t="n">
        <v>-713</v>
      </c>
      <c r="K286" s="20" t="n">
        <v>-193</v>
      </c>
      <c r="L286" s="20" t="n">
        <v>-358</v>
      </c>
      <c r="M286" s="20" t="n">
        <v>-548</v>
      </c>
      <c r="N286" s="20" t="n">
        <v>-713</v>
      </c>
      <c r="P286" s="20" t="n">
        <v>-238</v>
      </c>
      <c r="Q286" s="20" t="n">
        <v>-335</v>
      </c>
      <c r="R286" s="20" t="n">
        <v>-342</v>
      </c>
      <c r="S286" s="20" t="n">
        <v>-128</v>
      </c>
      <c r="T286" s="20" t="n">
        <v>-104</v>
      </c>
      <c r="U286" s="20" t="n">
        <v>-343</v>
      </c>
      <c r="V286" s="20" t="n">
        <v>-600</v>
      </c>
      <c r="W286" s="20" t="n">
        <v>-713</v>
      </c>
      <c r="X286" s="20" t="n">
        <v>-713</v>
      </c>
    </row>
    <row r="287">
      <c r="A287" s="18" t="inlineStr">
        <is>
          <t>이자비용</t>
        </is>
      </c>
      <c r="C287" s="20" t="n">
        <v>16</v>
      </c>
      <c r="D287" s="20" t="n">
        <v>34</v>
      </c>
      <c r="E287" s="20" t="n">
        <v>55</v>
      </c>
      <c r="F287" s="20" t="n">
        <v>78</v>
      </c>
      <c r="G287" s="20" t="n">
        <v>21</v>
      </c>
      <c r="H287" s="20" t="n">
        <v>40</v>
      </c>
      <c r="I287" s="20" t="n">
        <v>58</v>
      </c>
      <c r="J287" s="20" t="n">
        <v>82</v>
      </c>
      <c r="K287" s="20" t="n">
        <v>19</v>
      </c>
      <c r="L287" s="20" t="n">
        <v>85</v>
      </c>
      <c r="M287" s="20" t="n">
        <v>110</v>
      </c>
      <c r="N287" s="20" t="n">
        <v>117</v>
      </c>
      <c r="P287" s="20" t="n">
        <v>128</v>
      </c>
      <c r="Q287" s="20" t="n">
        <v>103</v>
      </c>
      <c r="R287" s="20" t="n">
        <v>116</v>
      </c>
      <c r="S287" s="20" t="n">
        <v>70</v>
      </c>
      <c r="T287" s="20" t="n">
        <v>65</v>
      </c>
      <c r="U287" s="20" t="n">
        <v>64</v>
      </c>
      <c r="V287" s="20" t="n">
        <v>78</v>
      </c>
      <c r="W287" s="20" t="n">
        <v>82</v>
      </c>
      <c r="X287" s="20" t="n">
        <v>117</v>
      </c>
    </row>
    <row r="288">
      <c r="A288" s="18" t="inlineStr">
        <is>
          <t>고정자산 제각·매각손익</t>
        </is>
      </c>
      <c r="C288" s="20" t="n">
        <v>-1</v>
      </c>
      <c r="D288" s="20" t="n">
        <v>4</v>
      </c>
      <c r="E288" s="20" t="n">
        <v>7</v>
      </c>
      <c r="F288" s="20" t="n">
        <v>325</v>
      </c>
      <c r="G288" s="20" t="n">
        <v>-0</v>
      </c>
      <c r="H288" s="20" t="n">
        <v>-2</v>
      </c>
      <c r="I288" s="20" t="n">
        <v>-1</v>
      </c>
      <c r="J288" s="20" t="n">
        <v>11</v>
      </c>
      <c r="K288" s="20" t="n">
        <v>-2</v>
      </c>
      <c r="L288" s="20" t="n">
        <v>-371</v>
      </c>
      <c r="M288" s="20" t="n">
        <v>-382</v>
      </c>
      <c r="N288" s="20" t="n">
        <v>-395</v>
      </c>
      <c r="P288" s="20" t="n">
        <v>9</v>
      </c>
      <c r="Q288" s="20" t="n">
        <v>-241</v>
      </c>
      <c r="R288" s="20" t="n">
        <v>-43</v>
      </c>
      <c r="S288" s="20" t="n">
        <v>4</v>
      </c>
      <c r="T288" s="20" t="n">
        <v>336</v>
      </c>
      <c r="U288" s="20" t="n">
        <v>-46</v>
      </c>
      <c r="V288" s="20" t="n">
        <v>325</v>
      </c>
      <c r="W288" s="20" t="n">
        <v>11</v>
      </c>
      <c r="X288" s="20" t="n">
        <v>-395</v>
      </c>
    </row>
    <row r="289">
      <c r="A289" s="18" t="inlineStr">
        <is>
          <t>매출채권 및 기타채권 증감액</t>
        </is>
      </c>
      <c r="C289" s="20" t="n">
        <v>2277</v>
      </c>
      <c r="D289" s="20" t="n">
        <v>1290</v>
      </c>
      <c r="E289" s="20" t="n">
        <v>1037</v>
      </c>
      <c r="F289" s="20" t="n">
        <v>-1550</v>
      </c>
      <c r="G289" s="20" t="n">
        <v>2379</v>
      </c>
      <c r="H289" s="20" t="n">
        <v>4894</v>
      </c>
      <c r="I289" s="20" t="n">
        <v>4114</v>
      </c>
      <c r="J289" s="20" t="n">
        <v>98</v>
      </c>
      <c r="K289" s="20" t="n">
        <v>5385</v>
      </c>
      <c r="L289" s="20" t="n">
        <v>4198</v>
      </c>
      <c r="M289" s="20" t="n">
        <v>225</v>
      </c>
      <c r="N289" s="20" t="n">
        <v>980</v>
      </c>
      <c r="P289" s="20" t="n">
        <v>-11</v>
      </c>
      <c r="Q289" s="20" t="n">
        <v>-3395</v>
      </c>
      <c r="R289" s="20" t="n">
        <v>-1282</v>
      </c>
      <c r="S289" s="20" t="n">
        <v>91</v>
      </c>
      <c r="T289" s="20" t="n">
        <v>1008</v>
      </c>
      <c r="U289" s="20" t="n">
        <v>1647</v>
      </c>
      <c r="V289" s="20" t="n">
        <v>-1550</v>
      </c>
      <c r="W289" s="20" t="n">
        <v>98</v>
      </c>
      <c r="X289" s="20" t="n">
        <v>980</v>
      </c>
    </row>
    <row r="290">
      <c r="A290" s="18" t="inlineStr">
        <is>
          <t>재고자산 증감</t>
        </is>
      </c>
      <c r="C290" s="20" t="n">
        <v>-1282</v>
      </c>
      <c r="D290" s="20" t="n">
        <v>-61</v>
      </c>
      <c r="E290" s="20" t="n">
        <v>-300</v>
      </c>
      <c r="F290" s="20" t="n">
        <v>3508</v>
      </c>
      <c r="G290" s="20" t="n">
        <v>663</v>
      </c>
      <c r="H290" s="20" t="n">
        <v>2004</v>
      </c>
      <c r="I290" s="20" t="n">
        <v>2857</v>
      </c>
      <c r="J290" s="20" t="n">
        <v>5356</v>
      </c>
      <c r="K290" s="20" t="n">
        <v>-1512</v>
      </c>
      <c r="L290" s="20" t="n">
        <v>-1596</v>
      </c>
      <c r="M290" s="20" t="n">
        <v>-2964</v>
      </c>
      <c r="N290" s="20" t="n">
        <v>-1872</v>
      </c>
      <c r="P290" s="20" t="n">
        <v>-1973</v>
      </c>
      <c r="Q290" s="20" t="n">
        <v>-64</v>
      </c>
      <c r="R290" s="20" t="n">
        <v>-2370</v>
      </c>
      <c r="S290" s="20" t="n">
        <v>1035</v>
      </c>
      <c r="T290" s="20" t="n">
        <v>-3398</v>
      </c>
      <c r="U290" s="20" t="n">
        <v>-3092</v>
      </c>
      <c r="V290" s="20" t="n">
        <v>3508</v>
      </c>
      <c r="W290" s="20" t="n">
        <v>5356</v>
      </c>
      <c r="X290" s="20" t="n">
        <v>-1872</v>
      </c>
    </row>
    <row r="291">
      <c r="A291" s="18" t="inlineStr">
        <is>
          <t>매입채무 및 기타채무 증감액</t>
        </is>
      </c>
      <c r="C291" s="20" t="n">
        <v>-1340</v>
      </c>
      <c r="D291" s="20" t="n">
        <v>-1911</v>
      </c>
      <c r="E291" s="20" t="n">
        <v>-1406</v>
      </c>
      <c r="F291" s="20" t="n">
        <v>-1607</v>
      </c>
      <c r="G291" s="20" t="n">
        <v>-1005</v>
      </c>
      <c r="H291" s="20" t="n">
        <v>-113</v>
      </c>
      <c r="I291" s="20" t="n">
        <v>-248</v>
      </c>
      <c r="J291" s="20" t="n">
        <v>21</v>
      </c>
      <c r="K291" s="20" t="n">
        <v>-402</v>
      </c>
      <c r="L291" s="20" t="n">
        <v>411</v>
      </c>
      <c r="M291" s="20" t="n">
        <v>744</v>
      </c>
      <c r="N291" s="20" t="n">
        <v>799</v>
      </c>
      <c r="P291" s="20" t="n">
        <v>882</v>
      </c>
      <c r="Q291" s="20" t="n">
        <v>-452</v>
      </c>
      <c r="R291" s="20" t="n">
        <v>-176</v>
      </c>
      <c r="S291" s="20" t="n">
        <v>-1055</v>
      </c>
      <c r="T291" s="20" t="n">
        <v>544</v>
      </c>
      <c r="U291" s="20" t="n">
        <v>-1101</v>
      </c>
      <c r="V291" s="20" t="n">
        <v>-1607</v>
      </c>
      <c r="W291" s="20" t="n">
        <v>21</v>
      </c>
      <c r="X291" s="20" t="n">
        <v>799</v>
      </c>
    </row>
    <row r="292">
      <c r="A292" s="18" t="inlineStr">
        <is>
          <t>Increase Decrease In Employee Benefits Ope CF</t>
        </is>
      </c>
      <c r="C292" s="20" t="n">
        <v>-2671</v>
      </c>
      <c r="D292" s="20" t="n">
        <v>-551</v>
      </c>
      <c r="E292" s="20" t="n">
        <v>-2276</v>
      </c>
      <c r="F292" s="20" t="n">
        <v>-552</v>
      </c>
      <c r="G292" s="20" t="n">
        <v>-2577</v>
      </c>
      <c r="H292" s="20" t="n">
        <v>-744</v>
      </c>
      <c r="I292" s="20" t="n">
        <v>-1737</v>
      </c>
      <c r="J292" s="20" t="n">
        <v>588</v>
      </c>
      <c r="K292" s="20" t="n">
        <v>-2312</v>
      </c>
      <c r="L292" s="20" t="n">
        <v>-302</v>
      </c>
      <c r="M292" s="20" t="n">
        <v>-1515</v>
      </c>
      <c r="N292" s="20" t="n">
        <v>1164</v>
      </c>
      <c r="P292" s="20" t="n">
        <v>376</v>
      </c>
      <c r="Q292" s="20" t="n">
        <v>536</v>
      </c>
      <c r="R292" s="20" t="n">
        <v>-578</v>
      </c>
      <c r="S292" s="20" t="n">
        <v>-549</v>
      </c>
      <c r="T292" s="20" t="n">
        <v>-1713</v>
      </c>
      <c r="U292" s="20" t="n">
        <v>-2474</v>
      </c>
      <c r="V292" s="20" t="n">
        <v>-552</v>
      </c>
      <c r="W292" s="20" t="n">
        <v>588</v>
      </c>
      <c r="X292" s="20" t="n">
        <v>1164</v>
      </c>
    </row>
    <row r="293">
      <c r="A293" s="18" t="inlineStr">
        <is>
          <t>기타</t>
        </is>
      </c>
      <c r="C293" s="20" t="n">
        <v>3781</v>
      </c>
      <c r="D293" s="20" t="n">
        <v>3575</v>
      </c>
      <c r="E293" s="20" t="n">
        <v>5186</v>
      </c>
      <c r="F293" s="20" t="n">
        <v>2685</v>
      </c>
      <c r="G293" s="20" t="n">
        <v>2770</v>
      </c>
      <c r="H293" s="20" t="n">
        <v>-303</v>
      </c>
      <c r="I293" s="20" t="n">
        <v>2670</v>
      </c>
      <c r="J293" s="20" t="n">
        <v>-586</v>
      </c>
      <c r="K293" s="20" t="n">
        <v>3017</v>
      </c>
      <c r="L293" s="20" t="n">
        <v>957</v>
      </c>
      <c r="M293" s="20" t="n">
        <v>4367</v>
      </c>
      <c r="N293" s="20" t="n">
        <v>-0</v>
      </c>
      <c r="P293" s="20" t="n">
        <v>-47</v>
      </c>
      <c r="Q293" s="20" t="n">
        <v>1761</v>
      </c>
      <c r="R293" s="20" t="n">
        <v>363</v>
      </c>
      <c r="S293" s="20" t="n">
        <v>1355</v>
      </c>
      <c r="T293" s="20" t="n">
        <v>961</v>
      </c>
      <c r="U293" s="20" t="n">
        <v>-2940</v>
      </c>
      <c r="V293" s="20" t="n">
        <v>2685</v>
      </c>
      <c r="W293" s="20" t="n">
        <v>-586</v>
      </c>
      <c r="X293" s="20" t="n">
        <v>-0</v>
      </c>
    </row>
    <row r="294">
      <c r="A294" s="18" t="inlineStr">
        <is>
          <t>소계</t>
        </is>
      </c>
      <c r="C294" s="20" t="n">
        <v>2572</v>
      </c>
      <c r="D294" s="20" t="n">
        <v>8676</v>
      </c>
      <c r="E294" s="20" t="n">
        <v>11969</v>
      </c>
      <c r="F294" s="20" t="n">
        <v>18385</v>
      </c>
      <c r="G294" s="20" t="n">
        <v>4787</v>
      </c>
      <c r="H294" s="20" t="n">
        <v>11740</v>
      </c>
      <c r="I294" s="20" t="n">
        <v>18788</v>
      </c>
      <c r="J294" s="20" t="n">
        <v>23304</v>
      </c>
      <c r="K294" s="20" t="n">
        <v>6785</v>
      </c>
      <c r="L294" s="20" t="n">
        <v>11220</v>
      </c>
      <c r="M294" s="20" t="n">
        <v>13864</v>
      </c>
      <c r="N294" s="20" t="n">
        <v>22242</v>
      </c>
      <c r="P294" s="20" t="n">
        <v>8014</v>
      </c>
      <c r="Q294" s="20" t="n">
        <v>13661</v>
      </c>
      <c r="R294" s="20" t="n">
        <v>17866</v>
      </c>
      <c r="S294" s="20" t="n">
        <v>25609</v>
      </c>
      <c r="T294" s="20" t="n">
        <v>19984</v>
      </c>
      <c r="U294" s="20" t="n">
        <v>9845</v>
      </c>
      <c r="V294" s="20" t="n">
        <v>18385</v>
      </c>
      <c r="W294" s="20" t="n">
        <v>23304</v>
      </c>
      <c r="X294" s="20" t="n">
        <v>22242</v>
      </c>
    </row>
    <row r="295">
      <c r="A295" s="18" t="inlineStr">
        <is>
          <t>이자 수취</t>
        </is>
      </c>
      <c r="C295" s="20" t="n">
        <v>111</v>
      </c>
      <c r="D295" s="20" t="n">
        <v>241</v>
      </c>
      <c r="E295" s="20" t="n">
        <v>411</v>
      </c>
      <c r="F295" s="20" t="n">
        <v>573</v>
      </c>
      <c r="G295" s="20" t="n">
        <v>181</v>
      </c>
      <c r="H295" s="20" t="n">
        <v>338</v>
      </c>
      <c r="I295" s="20" t="n">
        <v>513</v>
      </c>
      <c r="J295" s="20" t="n">
        <v>678</v>
      </c>
      <c r="K295" s="20" t="n">
        <v>157</v>
      </c>
      <c r="L295" s="20" t="n">
        <v>321</v>
      </c>
      <c r="M295" s="20" t="n">
        <v>506</v>
      </c>
      <c r="N295" s="20" t="n">
        <v>671</v>
      </c>
      <c r="P295" s="20" t="n">
        <v>179</v>
      </c>
      <c r="Q295" s="20" t="n">
        <v>272</v>
      </c>
      <c r="R295" s="20" t="n">
        <v>304</v>
      </c>
      <c r="S295" s="20" t="n">
        <v>91</v>
      </c>
      <c r="T295" s="20" t="n">
        <v>81</v>
      </c>
      <c r="U295" s="20" t="n">
        <v>316</v>
      </c>
      <c r="V295" s="20" t="n">
        <v>573</v>
      </c>
      <c r="W295" s="20" t="n">
        <v>678</v>
      </c>
      <c r="X295" s="20" t="n">
        <v>671</v>
      </c>
    </row>
    <row r="296">
      <c r="A296" s="18" t="inlineStr">
        <is>
          <t>배당금 수취액</t>
        </is>
      </c>
      <c r="C296" s="20" t="n">
        <v>24</v>
      </c>
      <c r="D296" s="20" t="n">
        <v>24</v>
      </c>
      <c r="E296" s="20" t="n">
        <v>27</v>
      </c>
      <c r="F296" s="20" t="n">
        <v>27</v>
      </c>
      <c r="G296" s="20" t="n">
        <v>31</v>
      </c>
      <c r="H296" s="20" t="n">
        <v>31</v>
      </c>
      <c r="I296" s="20" t="n">
        <v>35</v>
      </c>
      <c r="J296" s="20" t="n">
        <v>35</v>
      </c>
      <c r="K296" s="20" t="n">
        <v>35</v>
      </c>
      <c r="L296" s="20" t="n">
        <v>37</v>
      </c>
      <c r="M296" s="20" t="n">
        <v>41</v>
      </c>
      <c r="N296" s="20" t="n">
        <v>41</v>
      </c>
      <c r="P296" s="20" t="n">
        <v>58</v>
      </c>
      <c r="Q296" s="20" t="n">
        <v>62</v>
      </c>
      <c r="R296" s="20" t="n">
        <v>37</v>
      </c>
      <c r="S296" s="20" t="n">
        <v>37</v>
      </c>
      <c r="T296" s="20" t="n">
        <v>22</v>
      </c>
      <c r="U296" s="20" t="n">
        <v>26</v>
      </c>
      <c r="V296" s="20" t="n">
        <v>27</v>
      </c>
      <c r="W296" s="20" t="n">
        <v>35</v>
      </c>
      <c r="X296" s="20" t="n">
        <v>41</v>
      </c>
    </row>
    <row r="297">
      <c r="A297" s="18" t="inlineStr">
        <is>
          <t>이자 지급</t>
        </is>
      </c>
      <c r="C297" s="20" t="n">
        <v>-16</v>
      </c>
      <c r="D297" s="20" t="n">
        <v>-34</v>
      </c>
      <c r="E297" s="20" t="n">
        <v>-53</v>
      </c>
      <c r="F297" s="20" t="n">
        <v>-76</v>
      </c>
      <c r="G297" s="20" t="n">
        <v>-18</v>
      </c>
      <c r="H297" s="20" t="n">
        <v>-49</v>
      </c>
      <c r="I297" s="20" t="n">
        <v>-65</v>
      </c>
      <c r="J297" s="20" t="n">
        <v>-88</v>
      </c>
      <c r="K297" s="20" t="n">
        <v>-18</v>
      </c>
      <c r="L297" s="20" t="n">
        <v>-83</v>
      </c>
      <c r="M297" s="20" t="n">
        <v>-107</v>
      </c>
      <c r="N297" s="20" t="n">
        <v>-114</v>
      </c>
      <c r="P297" s="20" t="n">
        <v>-109</v>
      </c>
      <c r="Q297" s="20" t="n">
        <v>-98</v>
      </c>
      <c r="R297" s="20" t="n">
        <v>-102</v>
      </c>
      <c r="S297" s="20" t="n">
        <v>-74</v>
      </c>
      <c r="T297" s="20" t="n">
        <v>-71</v>
      </c>
      <c r="U297" s="20" t="n">
        <v>-59</v>
      </c>
      <c r="V297" s="20" t="n">
        <v>-76</v>
      </c>
      <c r="W297" s="20" t="n">
        <v>-88</v>
      </c>
      <c r="X297" s="20" t="n">
        <v>-114</v>
      </c>
    </row>
    <row r="298">
      <c r="A298" s="18" t="inlineStr">
        <is>
          <t>법인소득세 지급액</t>
        </is>
      </c>
      <c r="C298" s="20" t="n">
        <v>-393</v>
      </c>
      <c r="D298" s="20" t="n">
        <v>-1267</v>
      </c>
      <c r="E298" s="20" t="n">
        <v>-2259</v>
      </c>
      <c r="F298" s="20" t="n">
        <v>-2610</v>
      </c>
      <c r="G298" s="20" t="n">
        <v>-1181</v>
      </c>
      <c r="H298" s="20" t="n">
        <v>-1449</v>
      </c>
      <c r="I298" s="20" t="n">
        <v>-2820</v>
      </c>
      <c r="J298" s="20" t="n">
        <v>-3001</v>
      </c>
      <c r="K298" s="20" t="n">
        <v>-2650</v>
      </c>
      <c r="L298" s="20" t="n">
        <v>-3040</v>
      </c>
      <c r="M298" s="20" t="n">
        <v>-5005</v>
      </c>
      <c r="N298" s="20" t="n">
        <v>-5049</v>
      </c>
      <c r="P298" s="20" t="n">
        <v>-484</v>
      </c>
      <c r="Q298" s="20" t="n">
        <v>-1960</v>
      </c>
      <c r="R298" s="20" t="n">
        <v>-3473</v>
      </c>
      <c r="S298" s="20" t="n">
        <v>-5193</v>
      </c>
      <c r="T298" s="20" t="n">
        <v>-4379</v>
      </c>
      <c r="U298" s="20" t="n">
        <v>-4159</v>
      </c>
      <c r="V298" s="20" t="n">
        <v>-2610</v>
      </c>
      <c r="W298" s="20" t="n">
        <v>-3001</v>
      </c>
      <c r="X298" s="20" t="n">
        <v>-5049</v>
      </c>
    </row>
    <row r="299">
      <c r="A299" s="18" t="inlineStr">
        <is>
          <t>Income Taxes Refund Ope CF</t>
        </is>
      </c>
      <c r="C299" s="20" t="n">
        <v>0</v>
      </c>
      <c r="D299" s="20" t="n">
        <v>274</v>
      </c>
      <c r="E299" s="20" t="n">
        <v>274</v>
      </c>
      <c r="F299" s="20" t="n">
        <v>274</v>
      </c>
      <c r="G299" s="20" t="n">
        <v>45</v>
      </c>
      <c r="H299" s="20" t="n">
        <v>154</v>
      </c>
      <c r="I299" s="20" t="n">
        <v>144</v>
      </c>
      <c r="J299" s="20" t="n">
        <v>144</v>
      </c>
      <c r="K299" s="20" t="n">
        <v>23</v>
      </c>
      <c r="L299" s="20" t="n">
        <v>25</v>
      </c>
      <c r="M299" s="20" t="n">
        <v>19</v>
      </c>
      <c r="N299" s="20" t="n">
        <v>90</v>
      </c>
      <c r="P299" s="20" t="n">
        <v>287</v>
      </c>
      <c r="Q299" s="20" t="n">
        <v>309</v>
      </c>
      <c r="R299" s="20" t="n">
        <v>88</v>
      </c>
      <c r="S299" s="20" t="n">
        <v>11</v>
      </c>
      <c r="T299" s="20" t="n">
        <v>393</v>
      </c>
      <c r="U299" s="20" t="n">
        <v>143</v>
      </c>
      <c r="V299" s="20" t="n">
        <v>274</v>
      </c>
      <c r="W299" s="20" t="n">
        <v>144</v>
      </c>
      <c r="X299" s="20" t="n">
        <v>90</v>
      </c>
    </row>
    <row r="300">
      <c r="A300" s="9" t="inlineStr">
        <is>
          <t>영업활동 현금흐름</t>
        </is>
      </c>
      <c r="C300" s="12" t="n">
        <v>2299</v>
      </c>
      <c r="D300" s="12" t="n">
        <v>7915</v>
      </c>
      <c r="E300" s="12" t="n">
        <v>10371</v>
      </c>
      <c r="F300" s="12" t="n">
        <v>16573</v>
      </c>
      <c r="G300" s="12" t="n">
        <v>3846</v>
      </c>
      <c r="H300" s="12" t="n">
        <v>10767</v>
      </c>
      <c r="I300" s="12" t="n">
        <v>16595</v>
      </c>
      <c r="J300" s="12" t="n">
        <v>21071</v>
      </c>
      <c r="K300" s="12" t="n">
        <v>4332</v>
      </c>
      <c r="L300" s="12" t="n">
        <v>8481</v>
      </c>
      <c r="M300" s="12" t="n">
        <v>9318</v>
      </c>
      <c r="N300" s="12" t="n">
        <v>17881</v>
      </c>
      <c r="P300" s="12" t="n">
        <v>7946</v>
      </c>
      <c r="Q300" s="12" t="n">
        <v>12247</v>
      </c>
      <c r="R300" s="12" t="n">
        <v>14721</v>
      </c>
      <c r="S300" s="12" t="n">
        <v>20481</v>
      </c>
      <c r="T300" s="12" t="n">
        <v>16031</v>
      </c>
      <c r="U300" s="12" t="n">
        <v>6114</v>
      </c>
      <c r="V300" s="12" t="n">
        <v>16573</v>
      </c>
      <c r="W300" s="12" t="n">
        <v>21071</v>
      </c>
      <c r="X300" s="12" t="n">
        <v>17881</v>
      </c>
    </row>
    <row r="301">
      <c r="A301" s="18" t="inlineStr">
        <is>
          <t>정기예금 예입</t>
        </is>
      </c>
      <c r="P301" s="20" t="n">
        <v>-1215</v>
      </c>
      <c r="Q301" s="20" t="n">
        <v>-545</v>
      </c>
      <c r="R301" s="20" t="n">
        <v>-9</v>
      </c>
      <c r="S301" s="20" t="n">
        <v>-9</v>
      </c>
      <c r="T301" s="20" t="n">
        <v>-7</v>
      </c>
    </row>
    <row r="302">
      <c r="A302" s="18" t="inlineStr">
        <is>
          <t>정기예금 인출</t>
        </is>
      </c>
      <c r="P302" s="20" t="n">
        <v>1200</v>
      </c>
      <c r="Q302" s="20" t="n">
        <v>1135</v>
      </c>
      <c r="R302" s="20" t="n">
        <v>477</v>
      </c>
      <c r="S302" s="20" t="n">
        <v>4</v>
      </c>
      <c r="T302" s="20" t="n">
        <v>1</v>
      </c>
    </row>
    <row r="303">
      <c r="A303" s="18" t="inlineStr">
        <is>
          <t>유형자산 취득(설비투자)</t>
        </is>
      </c>
      <c r="C303" s="20" t="n">
        <v>-803</v>
      </c>
      <c r="D303" s="20" t="n">
        <v>-1297</v>
      </c>
      <c r="E303" s="20" t="n">
        <v>-1851</v>
      </c>
      <c r="F303" s="20" t="n">
        <v>-2635</v>
      </c>
      <c r="G303" s="20" t="n">
        <v>-406</v>
      </c>
      <c r="H303" s="20" t="n">
        <v>-888</v>
      </c>
      <c r="I303" s="20" t="n">
        <v>-1558</v>
      </c>
      <c r="J303" s="20" t="n">
        <v>-2438</v>
      </c>
      <c r="K303" s="20" t="n">
        <v>-580</v>
      </c>
      <c r="L303" s="20" t="n">
        <v>-1354</v>
      </c>
      <c r="M303" s="20" t="n">
        <v>-2282</v>
      </c>
      <c r="N303" s="20" t="n">
        <v>-4112</v>
      </c>
      <c r="P303" s="20" t="n">
        <v>-2444</v>
      </c>
      <c r="Q303" s="20" t="n">
        <v>-2114</v>
      </c>
      <c r="R303" s="20" t="n">
        <v>-2830</v>
      </c>
      <c r="S303" s="20" t="n">
        <v>-2691</v>
      </c>
      <c r="T303" s="20" t="n">
        <v>-2941</v>
      </c>
      <c r="U303" s="20" t="n">
        <v>-4142</v>
      </c>
      <c r="V303" s="20" t="n">
        <v>-2635</v>
      </c>
      <c r="W303" s="20" t="n">
        <v>-2438</v>
      </c>
      <c r="X303" s="20" t="n">
        <v>-4112</v>
      </c>
    </row>
    <row r="304">
      <c r="A304" s="18" t="inlineStr">
        <is>
          <t>유형자산 매각</t>
        </is>
      </c>
      <c r="C304" s="20" t="n">
        <v>0</v>
      </c>
      <c r="D304" s="20" t="n">
        <v>0</v>
      </c>
      <c r="E304" s="20" t="n">
        <v>1</v>
      </c>
      <c r="F304" s="20" t="n">
        <v>1</v>
      </c>
      <c r="H304" s="20" t="n">
        <v>4</v>
      </c>
      <c r="I304" s="20" t="n">
        <v>12</v>
      </c>
      <c r="J304" s="20" t="n">
        <v>19</v>
      </c>
      <c r="L304" s="20" t="n">
        <v>540</v>
      </c>
      <c r="M304" s="20" t="n">
        <v>555</v>
      </c>
      <c r="N304" s="20" t="n">
        <v>571</v>
      </c>
      <c r="P304" s="20" t="n">
        <v>2</v>
      </c>
      <c r="Q304" s="20" t="n">
        <v>714</v>
      </c>
      <c r="R304" s="20" t="n">
        <v>310</v>
      </c>
      <c r="S304" s="20" t="n">
        <v>5</v>
      </c>
      <c r="T304" s="20" t="n">
        <v>84</v>
      </c>
      <c r="U304" s="20" t="n">
        <v>63</v>
      </c>
      <c r="V304" s="20" t="n">
        <v>1</v>
      </c>
      <c r="W304" s="20" t="n">
        <v>19</v>
      </c>
      <c r="X304" s="20" t="n">
        <v>571</v>
      </c>
    </row>
    <row r="305">
      <c r="A305" s="18" t="inlineStr">
        <is>
          <t>무형자산 취득 지출</t>
        </is>
      </c>
      <c r="C305" s="20" t="n">
        <v>-333</v>
      </c>
      <c r="D305" s="20" t="n">
        <v>-620</v>
      </c>
      <c r="E305" s="20" t="n">
        <v>-879</v>
      </c>
      <c r="F305" s="20" t="n">
        <v>-1151</v>
      </c>
      <c r="G305" s="20" t="n">
        <v>-375</v>
      </c>
      <c r="H305" s="20" t="n">
        <v>-686</v>
      </c>
      <c r="I305" s="20" t="n">
        <v>-995</v>
      </c>
      <c r="J305" s="20" t="n">
        <v>-1294</v>
      </c>
      <c r="K305" s="20" t="n">
        <v>-251</v>
      </c>
      <c r="L305" s="20" t="n">
        <v>-521</v>
      </c>
      <c r="M305" s="20" t="n">
        <v>-819</v>
      </c>
      <c r="N305" s="20" t="n">
        <v>-1162</v>
      </c>
      <c r="U305" s="20" t="n">
        <v>-1041</v>
      </c>
      <c r="V305" s="20" t="n">
        <v>-1151</v>
      </c>
      <c r="W305" s="20" t="n">
        <v>-1294</v>
      </c>
      <c r="X305" s="20" t="n">
        <v>-1162</v>
      </c>
    </row>
    <row r="306">
      <c r="A306" s="18" t="inlineStr">
        <is>
          <t>Purchase Of Other Financial Assets Inv CF</t>
        </is>
      </c>
      <c r="C306" s="20" t="n">
        <v>0</v>
      </c>
      <c r="D306" s="20" t="n">
        <v>0</v>
      </c>
      <c r="E306" s="20" t="n">
        <v>0</v>
      </c>
      <c r="F306" s="20" t="n">
        <v>0</v>
      </c>
      <c r="P306" s="20" t="n">
        <v>-2</v>
      </c>
      <c r="Q306" s="20" t="n">
        <v>-3</v>
      </c>
      <c r="R306" s="20" t="n">
        <v>-1</v>
      </c>
      <c r="S306" s="20" t="n">
        <v>-26</v>
      </c>
      <c r="T306" s="20" t="n">
        <v>-30</v>
      </c>
      <c r="U306" s="20" t="n">
        <v>-150</v>
      </c>
      <c r="V306" s="20" t="n">
        <v>0</v>
      </c>
    </row>
    <row r="307">
      <c r="A307" s="18" t="inlineStr">
        <is>
          <t>Proceeds From Sale Of Other Financial Assets Inv CF</t>
        </is>
      </c>
      <c r="C307" s="20" t="n">
        <v>1</v>
      </c>
      <c r="D307" s="20" t="n">
        <v>1</v>
      </c>
      <c r="E307" s="20" t="n">
        <v>6</v>
      </c>
      <c r="F307" s="20" t="n">
        <v>6</v>
      </c>
      <c r="P307" s="20" t="n">
        <v>0</v>
      </c>
      <c r="Q307" s="20" t="n">
        <v>1177</v>
      </c>
      <c r="R307" s="20" t="n">
        <v>6</v>
      </c>
      <c r="S307" s="20" t="n">
        <v>256</v>
      </c>
      <c r="T307" s="20" t="n">
        <v>57</v>
      </c>
      <c r="U307" s="20" t="n">
        <v>5</v>
      </c>
      <c r="V307" s="20" t="n">
        <v>6</v>
      </c>
    </row>
    <row r="308">
      <c r="A308" s="18" t="inlineStr">
        <is>
          <t>대여</t>
        </is>
      </c>
      <c r="S308" s="20" t="n">
        <v>0</v>
      </c>
      <c r="T308" s="20" t="n">
        <v>-10</v>
      </c>
    </row>
    <row r="309">
      <c r="A309" s="18" t="inlineStr">
        <is>
          <t>자회사 취득 지출</t>
        </is>
      </c>
      <c r="I309" s="20" t="n">
        <v>0</v>
      </c>
      <c r="J309" s="20" t="n">
        <v>0</v>
      </c>
      <c r="M309" s="20" t="n">
        <v>-9850</v>
      </c>
      <c r="N309" s="20" t="n">
        <v>-9850</v>
      </c>
      <c r="S309" s="20" t="n">
        <v>0</v>
      </c>
      <c r="T309" s="20" t="n">
        <v>-4012</v>
      </c>
      <c r="U309" s="20" t="n">
        <v>0</v>
      </c>
      <c r="W309" s="20" t="n">
        <v>0</v>
      </c>
      <c r="X309" s="20" t="n">
        <v>-9850</v>
      </c>
    </row>
    <row r="310">
      <c r="A310" s="18" t="inlineStr">
        <is>
          <t>기타</t>
        </is>
      </c>
      <c r="C310" s="20" t="n">
        <v>51</v>
      </c>
      <c r="D310" s="20" t="n">
        <v>37</v>
      </c>
      <c r="E310" s="20" t="n">
        <v>74</v>
      </c>
      <c r="F310" s="20" t="n">
        <v>143</v>
      </c>
      <c r="G310" s="20" t="n">
        <v>19</v>
      </c>
      <c r="H310" s="20" t="n">
        <v>54</v>
      </c>
      <c r="I310" s="20" t="n">
        <v>114</v>
      </c>
      <c r="J310" s="20" t="n">
        <v>-202</v>
      </c>
      <c r="K310" s="20" t="n">
        <v>-25</v>
      </c>
      <c r="L310" s="20" t="n">
        <v>-16</v>
      </c>
      <c r="M310" s="20" t="n">
        <v>-92</v>
      </c>
      <c r="N310" s="20" t="n">
        <v>-128</v>
      </c>
      <c r="P310" s="20" t="n">
        <v>-1473</v>
      </c>
      <c r="Q310" s="20" t="n">
        <v>-980</v>
      </c>
      <c r="R310" s="20" t="n">
        <v>-1637</v>
      </c>
      <c r="S310" s="20" t="n">
        <v>-2568</v>
      </c>
      <c r="T310" s="20" t="n">
        <v>-1864</v>
      </c>
      <c r="U310" s="20" t="n">
        <v>49</v>
      </c>
      <c r="V310" s="20" t="n">
        <v>143</v>
      </c>
      <c r="W310" s="20" t="n">
        <v>-202</v>
      </c>
      <c r="X310" s="20" t="n">
        <v>-128</v>
      </c>
    </row>
    <row r="311">
      <c r="A311" s="9" t="inlineStr">
        <is>
          <t>투자활동 현금흐름</t>
        </is>
      </c>
      <c r="C311" s="12" t="n">
        <v>-1086</v>
      </c>
      <c r="D311" s="12" t="n">
        <v>-1880</v>
      </c>
      <c r="E311" s="12" t="n">
        <v>-2656</v>
      </c>
      <c r="F311" s="12" t="n">
        <v>-3643</v>
      </c>
      <c r="G311" s="12" t="n">
        <v>-761</v>
      </c>
      <c r="H311" s="12" t="n">
        <v>-1516</v>
      </c>
      <c r="I311" s="12" t="n">
        <v>-2426</v>
      </c>
      <c r="J311" s="12" t="n">
        <v>-3916</v>
      </c>
      <c r="K311" s="12" t="n">
        <v>-857</v>
      </c>
      <c r="L311" s="12" t="n">
        <v>-1352</v>
      </c>
      <c r="M311" s="12" t="n">
        <v>-12490</v>
      </c>
      <c r="N311" s="12" t="n">
        <v>-14681</v>
      </c>
      <c r="P311" s="12" t="n">
        <v>-3932</v>
      </c>
      <c r="Q311" s="12" t="n">
        <v>-616</v>
      </c>
      <c r="R311" s="12" t="n">
        <v>-3686</v>
      </c>
      <c r="S311" s="12" t="n">
        <v>-5029</v>
      </c>
      <c r="T311" s="12" t="n">
        <v>-8706</v>
      </c>
      <c r="U311" s="12" t="n">
        <v>-5216</v>
      </c>
      <c r="V311" s="12" t="n">
        <v>-3643</v>
      </c>
      <c r="W311" s="12" t="n">
        <v>-3916</v>
      </c>
      <c r="X311" s="12" t="n">
        <v>-14681</v>
      </c>
    </row>
    <row r="312">
      <c r="A312" s="18" t="inlineStr">
        <is>
          <t>단기차입금 순증감</t>
        </is>
      </c>
      <c r="C312" s="20" t="n">
        <v>-54</v>
      </c>
      <c r="D312" s="20" t="n">
        <v>-55</v>
      </c>
      <c r="E312" s="20" t="n">
        <v>-56</v>
      </c>
      <c r="F312" s="20" t="n">
        <v>-57</v>
      </c>
      <c r="G312" s="20" t="n">
        <v>0</v>
      </c>
      <c r="H312" s="20" t="n">
        <v>-470</v>
      </c>
      <c r="I312" s="20" t="n">
        <v>-470</v>
      </c>
      <c r="J312" s="20" t="n">
        <v>-520</v>
      </c>
      <c r="L312" s="20" t="n">
        <v>0</v>
      </c>
      <c r="M312" s="20" t="n">
        <v>240</v>
      </c>
      <c r="N312" s="20" t="n">
        <v>0</v>
      </c>
      <c r="P312" s="20" t="n">
        <v>-100</v>
      </c>
      <c r="Q312" s="20" t="n">
        <v>300</v>
      </c>
      <c r="R312" s="20" t="n">
        <v>114</v>
      </c>
      <c r="S312" s="20" t="n">
        <v>-753</v>
      </c>
      <c r="T312" s="20" t="n">
        <v>-1361</v>
      </c>
      <c r="U312" s="20" t="n">
        <v>0</v>
      </c>
      <c r="V312" s="20" t="n">
        <v>-57</v>
      </c>
      <c r="W312" s="20" t="n">
        <v>-520</v>
      </c>
      <c r="X312" s="20" t="n">
        <v>0</v>
      </c>
    </row>
    <row r="313">
      <c r="A313" s="18" t="inlineStr">
        <is>
          <t>장기차입</t>
        </is>
      </c>
      <c r="D313" s="20" t="n">
        <v>0</v>
      </c>
      <c r="E313" s="20" t="n">
        <v>0</v>
      </c>
      <c r="F313" s="20" t="n">
        <v>0</v>
      </c>
      <c r="H313" s="20" t="n">
        <v>3000</v>
      </c>
      <c r="I313" s="20" t="n">
        <v>3000</v>
      </c>
      <c r="J313" s="20" t="n">
        <v>3000</v>
      </c>
      <c r="L313" s="20" t="n">
        <v>0</v>
      </c>
      <c r="M313" s="20" t="n">
        <v>0</v>
      </c>
      <c r="N313" s="20" t="n">
        <v>0</v>
      </c>
      <c r="Q313" s="20" t="n">
        <v>3000</v>
      </c>
      <c r="R313" s="20" t="n">
        <v>0</v>
      </c>
      <c r="S313" s="20" t="n">
        <v>0</v>
      </c>
      <c r="T313" s="20" t="n">
        <v>3000</v>
      </c>
      <c r="U313" s="20" t="n">
        <v>0</v>
      </c>
      <c r="V313" s="20" t="n">
        <v>0</v>
      </c>
      <c r="W313" s="20" t="n">
        <v>3000</v>
      </c>
      <c r="X313" s="20" t="n">
        <v>0</v>
      </c>
    </row>
    <row r="314">
      <c r="A314" s="18" t="inlineStr">
        <is>
          <t>장기차입금 상환</t>
        </is>
      </c>
      <c r="D314" s="20" t="n">
        <v>0</v>
      </c>
      <c r="E314" s="20" t="n">
        <v>0</v>
      </c>
      <c r="F314" s="20" t="n">
        <v>0</v>
      </c>
      <c r="H314" s="20" t="n">
        <v>-3000</v>
      </c>
      <c r="I314" s="20" t="n">
        <v>-3000</v>
      </c>
      <c r="J314" s="20" t="n">
        <v>-3000</v>
      </c>
      <c r="L314" s="20" t="n">
        <v>0</v>
      </c>
      <c r="M314" s="20" t="n">
        <v>0</v>
      </c>
      <c r="N314" s="20" t="n">
        <v>0</v>
      </c>
      <c r="Q314" s="20" t="n">
        <v>-3000</v>
      </c>
      <c r="R314" s="20" t="n">
        <v>-3500</v>
      </c>
      <c r="S314" s="20" t="n">
        <v>0</v>
      </c>
      <c r="T314" s="20" t="n">
        <v>-3000</v>
      </c>
      <c r="U314" s="20" t="n">
        <v>0</v>
      </c>
      <c r="V314" s="20" t="n">
        <v>0</v>
      </c>
      <c r="W314" s="20" t="n">
        <v>-3000</v>
      </c>
      <c r="X314" s="20" t="n">
        <v>0</v>
      </c>
    </row>
    <row r="315">
      <c r="A315" s="18" t="inlineStr">
        <is>
          <t>사채 상환</t>
        </is>
      </c>
      <c r="P315" s="20" t="n">
        <v>-6000</v>
      </c>
      <c r="Q315" s="20" t="n">
        <v>0</v>
      </c>
      <c r="S315" s="20" t="n">
        <v>-8000</v>
      </c>
      <c r="T315" s="20" t="n">
        <v>0</v>
      </c>
    </row>
    <row r="316">
      <c r="A316" s="18" t="inlineStr">
        <is>
          <t>리스부채 상환</t>
        </is>
      </c>
      <c r="Q316" s="20" t="n">
        <v>0</v>
      </c>
      <c r="R316" s="20" t="n">
        <v>-900</v>
      </c>
      <c r="S316" s="20" t="n">
        <v>-857</v>
      </c>
      <c r="T316" s="20" t="n">
        <v>-904</v>
      </c>
      <c r="U316" s="20" t="n">
        <v>-1123</v>
      </c>
    </row>
    <row r="317">
      <c r="A317" s="18" t="inlineStr">
        <is>
          <t>리스부채 상환 지출</t>
        </is>
      </c>
      <c r="C317" s="20" t="n">
        <v>-310</v>
      </c>
      <c r="D317" s="20" t="n">
        <v>-626</v>
      </c>
      <c r="E317" s="20" t="n">
        <v>-880</v>
      </c>
      <c r="F317" s="20" t="n">
        <v>-1250</v>
      </c>
      <c r="G317" s="20" t="n">
        <v>-302</v>
      </c>
      <c r="H317" s="20" t="n">
        <v>-573</v>
      </c>
      <c r="I317" s="20" t="n">
        <v>-965</v>
      </c>
      <c r="J317" s="20" t="n">
        <v>-1252</v>
      </c>
      <c r="K317" s="20" t="n">
        <v>-242</v>
      </c>
      <c r="L317" s="20" t="n">
        <v>-525</v>
      </c>
      <c r="M317" s="20" t="n">
        <v>-855</v>
      </c>
      <c r="N317" s="20" t="n">
        <v>-1263</v>
      </c>
      <c r="U317" s="20" t="n">
        <v>-1123</v>
      </c>
      <c r="V317" s="20" t="n">
        <v>-1250</v>
      </c>
      <c r="W317" s="20" t="n">
        <v>-1252</v>
      </c>
      <c r="X317" s="20" t="n">
        <v>-1263</v>
      </c>
    </row>
    <row r="318">
      <c r="A318" s="18" t="inlineStr">
        <is>
          <t>자기주식 취득</t>
        </is>
      </c>
      <c r="C318" s="20" t="n">
        <v>0</v>
      </c>
      <c r="D318" s="20" t="n">
        <v>-0</v>
      </c>
      <c r="E318" s="20" t="n">
        <v>-0</v>
      </c>
      <c r="F318" s="20" t="n">
        <v>-0</v>
      </c>
      <c r="G318" s="20" t="n">
        <v>0</v>
      </c>
      <c r="H318" s="20" t="n">
        <v>0</v>
      </c>
      <c r="I318" s="20" t="n">
        <v>0</v>
      </c>
      <c r="J318" s="20" t="n">
        <v>-3857</v>
      </c>
      <c r="K318" s="20" t="n">
        <v>-1342</v>
      </c>
      <c r="L318" s="20" t="n">
        <v>-1342</v>
      </c>
      <c r="M318" s="20" t="n">
        <v>-1342</v>
      </c>
      <c r="N318" s="20" t="n">
        <v>-1342</v>
      </c>
      <c r="S318" s="20" t="n">
        <v>-0</v>
      </c>
      <c r="T318" s="20" t="n">
        <v>-5079</v>
      </c>
      <c r="U318" s="20" t="n">
        <v>-5000</v>
      </c>
      <c r="V318" s="20" t="n">
        <v>-0</v>
      </c>
      <c r="W318" s="20" t="n">
        <v>-3857</v>
      </c>
      <c r="X318" s="20" t="n">
        <v>-1342</v>
      </c>
    </row>
    <row r="319">
      <c r="A319" s="18" t="inlineStr">
        <is>
          <t>자기주식 취득 예탁금 증감</t>
        </is>
      </c>
      <c r="F319" s="20" t="n">
        <v>0</v>
      </c>
      <c r="G319" s="20" t="n">
        <v>0</v>
      </c>
      <c r="H319" s="20" t="n">
        <v>0</v>
      </c>
      <c r="I319" s="20" t="n">
        <v>0</v>
      </c>
      <c r="J319" s="20" t="n">
        <v>-1342</v>
      </c>
      <c r="K319" s="20" t="n">
        <v>1342</v>
      </c>
      <c r="L319" s="20" t="n">
        <v>1342</v>
      </c>
      <c r="M319" s="20" t="n">
        <v>1342</v>
      </c>
      <c r="N319" s="20" t="n">
        <v>1342</v>
      </c>
      <c r="V319" s="20" t="n">
        <v>0</v>
      </c>
      <c r="W319" s="20" t="n">
        <v>-1342</v>
      </c>
      <c r="X319" s="20" t="n">
        <v>1342</v>
      </c>
    </row>
    <row r="320">
      <c r="A320" s="18" t="inlineStr">
        <is>
          <t>배당금 지급</t>
        </is>
      </c>
      <c r="C320" s="20" t="n">
        <v>-2633</v>
      </c>
      <c r="D320" s="20" t="n">
        <v>-2633</v>
      </c>
      <c r="E320" s="20" t="n">
        <v>-5266</v>
      </c>
      <c r="F320" s="20" t="n">
        <v>-5266</v>
      </c>
      <c r="G320" s="20" t="n">
        <v>-2635</v>
      </c>
      <c r="H320" s="20" t="n">
        <v>-2635</v>
      </c>
      <c r="I320" s="20" t="n">
        <v>-5270</v>
      </c>
      <c r="J320" s="20" t="n">
        <v>-5270</v>
      </c>
      <c r="K320" s="20" t="n">
        <v>-2579</v>
      </c>
      <c r="L320" s="20" t="n">
        <v>-2579</v>
      </c>
      <c r="M320" s="20" t="n">
        <v>-5139</v>
      </c>
      <c r="N320" s="20" t="n">
        <v>-5139</v>
      </c>
      <c r="P320" s="20" t="n">
        <v>-2059</v>
      </c>
      <c r="Q320" s="20" t="n">
        <v>-2198</v>
      </c>
      <c r="R320" s="20" t="n">
        <v>-3365</v>
      </c>
      <c r="S320" s="20" t="n">
        <v>-4878</v>
      </c>
      <c r="T320" s="20" t="n">
        <v>-6077</v>
      </c>
      <c r="U320" s="20" t="n">
        <v>-5332</v>
      </c>
      <c r="V320" s="20" t="n">
        <v>-5266</v>
      </c>
      <c r="W320" s="20" t="n">
        <v>-5270</v>
      </c>
      <c r="X320" s="20" t="n">
        <v>-5139</v>
      </c>
    </row>
    <row r="321">
      <c r="A321" s="18" t="inlineStr">
        <is>
          <t>기타</t>
        </is>
      </c>
      <c r="C321" s="20" t="n">
        <v>0</v>
      </c>
      <c r="D321" s="20" t="n">
        <v>1</v>
      </c>
      <c r="E321" s="20" t="n">
        <v>-3</v>
      </c>
      <c r="F321" s="20" t="n">
        <v>-3</v>
      </c>
      <c r="G321" s="20" t="n">
        <v>0</v>
      </c>
      <c r="H321" s="20" t="n">
        <v>0</v>
      </c>
      <c r="I321" s="20" t="n">
        <v>-14</v>
      </c>
      <c r="J321" s="20" t="n">
        <v>-14</v>
      </c>
      <c r="L321" s="20" t="n">
        <v>-0</v>
      </c>
      <c r="M321" s="20" t="n">
        <v>-1</v>
      </c>
      <c r="N321" s="20" t="n">
        <v>-1</v>
      </c>
      <c r="P321" s="20" t="n">
        <v>-42</v>
      </c>
      <c r="Q321" s="20" t="n">
        <v>-154</v>
      </c>
      <c r="R321" s="20" t="n">
        <v>58</v>
      </c>
      <c r="S321" s="20" t="n">
        <v>30</v>
      </c>
      <c r="T321" s="20" t="n">
        <v>28</v>
      </c>
      <c r="U321" s="20" t="n">
        <v>46</v>
      </c>
      <c r="V321" s="20" t="n">
        <v>-3</v>
      </c>
      <c r="W321" s="20" t="n">
        <v>-14</v>
      </c>
      <c r="X321" s="20" t="n">
        <v>-1</v>
      </c>
    </row>
    <row r="322">
      <c r="A322" s="9" t="inlineStr">
        <is>
          <t>재무활동 현금흐름</t>
        </is>
      </c>
      <c r="C322" s="12" t="n">
        <v>-2998</v>
      </c>
      <c r="D322" s="12" t="n">
        <v>-3314</v>
      </c>
      <c r="E322" s="12" t="n">
        <v>-6207</v>
      </c>
      <c r="F322" s="12" t="n">
        <v>-6578</v>
      </c>
      <c r="G322" s="12" t="n">
        <v>-2937</v>
      </c>
      <c r="H322" s="12" t="n">
        <v>-3677</v>
      </c>
      <c r="I322" s="12" t="n">
        <v>-6720</v>
      </c>
      <c r="J322" s="12" t="n">
        <v>-12257</v>
      </c>
      <c r="K322" s="12" t="n">
        <v>-2822</v>
      </c>
      <c r="L322" s="12" t="n">
        <v>-3106</v>
      </c>
      <c r="M322" s="12" t="n">
        <v>-5756</v>
      </c>
      <c r="N322" s="12" t="n">
        <v>-6405</v>
      </c>
      <c r="P322" s="12" t="n">
        <v>-8201</v>
      </c>
      <c r="Q322" s="12" t="n">
        <v>-2052</v>
      </c>
      <c r="R322" s="12" t="n">
        <v>-7592</v>
      </c>
      <c r="S322" s="12" t="n">
        <v>-14458</v>
      </c>
      <c r="T322" s="12" t="n">
        <v>-13395</v>
      </c>
      <c r="U322" s="12" t="n">
        <v>-11409</v>
      </c>
      <c r="V322" s="12" t="n">
        <v>-6578</v>
      </c>
      <c r="W322" s="12" t="n">
        <v>-12257</v>
      </c>
      <c r="X322" s="12" t="n">
        <v>-6405</v>
      </c>
    </row>
    <row r="323">
      <c r="A323" s="18" t="inlineStr">
        <is>
          <t>현금성자산 환산차이</t>
        </is>
      </c>
      <c r="C323" s="20" t="n">
        <v>1253</v>
      </c>
      <c r="D323" s="20" t="n">
        <v>1836</v>
      </c>
      <c r="E323" s="20" t="n">
        <v>1366</v>
      </c>
      <c r="F323" s="20" t="n">
        <v>2472</v>
      </c>
      <c r="G323" s="20" t="n">
        <v>1368</v>
      </c>
      <c r="H323" s="20" t="n">
        <v>-892</v>
      </c>
      <c r="I323" s="20" t="n">
        <v>807</v>
      </c>
      <c r="J323" s="20" t="n">
        <v>-459</v>
      </c>
      <c r="K323" s="20" t="n">
        <v>-71</v>
      </c>
      <c r="L323" s="20" t="n">
        <v>447</v>
      </c>
      <c r="M323" s="20" t="n">
        <v>1853</v>
      </c>
      <c r="N323" s="20" t="n">
        <v>2425</v>
      </c>
      <c r="P323" s="20" t="n">
        <v>-41</v>
      </c>
      <c r="Q323" s="20" t="n">
        <v>65</v>
      </c>
      <c r="R323" s="20" t="n">
        <v>-870</v>
      </c>
      <c r="S323" s="20" t="n">
        <v>1147</v>
      </c>
      <c r="T323" s="20" t="n">
        <v>1949</v>
      </c>
      <c r="U323" s="20" t="n">
        <v>1655</v>
      </c>
      <c r="V323" s="20" t="n">
        <v>2472</v>
      </c>
      <c r="W323" s="20" t="n">
        <v>-459</v>
      </c>
      <c r="X323" s="20" t="n">
        <v>2425</v>
      </c>
    </row>
    <row r="324">
      <c r="A324" s="18" t="inlineStr">
        <is>
          <t>현금성자산 증감</t>
        </is>
      </c>
      <c r="C324" s="20" t="n">
        <v>-532</v>
      </c>
      <c r="D324" s="20" t="n">
        <v>4557</v>
      </c>
      <c r="E324" s="20" t="n">
        <v>2873</v>
      </c>
      <c r="F324" s="20" t="n">
        <v>8823</v>
      </c>
      <c r="G324" s="20" t="n">
        <v>1515</v>
      </c>
      <c r="H324" s="20" t="n">
        <v>4681</v>
      </c>
      <c r="I324" s="20" t="n">
        <v>8255</v>
      </c>
      <c r="J324" s="20" t="n">
        <v>4437</v>
      </c>
      <c r="K324" s="20" t="n">
        <v>580</v>
      </c>
      <c r="L324" s="20" t="n">
        <v>4469</v>
      </c>
      <c r="M324" s="20" t="n">
        <v>-7074</v>
      </c>
      <c r="N324" s="20" t="n">
        <v>-780</v>
      </c>
      <c r="P324" s="20" t="n">
        <v>-4229</v>
      </c>
      <c r="Q324" s="20" t="n">
        <v>9644</v>
      </c>
      <c r="R324" s="20" t="n">
        <v>2572</v>
      </c>
      <c r="S324" s="20" t="n">
        <v>2140</v>
      </c>
      <c r="T324" s="20" t="n">
        <v>-4120</v>
      </c>
      <c r="U324" s="20" t="n">
        <v>-8856</v>
      </c>
      <c r="V324" s="20" t="n">
        <v>8823</v>
      </c>
      <c r="W324" s="20" t="n">
        <v>4437</v>
      </c>
      <c r="X324" s="20" t="n">
        <v>-780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6754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100360</v>
      </c>
      <c r="D5" s="12" t="n">
        <v>106251</v>
      </c>
      <c r="E5" s="12" t="n">
        <v>104198</v>
      </c>
      <c r="F5" s="12" t="n">
        <v>109404</v>
      </c>
      <c r="G5" s="12" t="n">
        <v>110951</v>
      </c>
      <c r="H5" s="11" t="n">
        <v>101989</v>
      </c>
      <c r="I5" s="12" t="n">
        <v>98081</v>
      </c>
      <c r="J5" s="12" t="n">
        <v>105843</v>
      </c>
      <c r="K5" s="12" t="n">
        <v>106119</v>
      </c>
      <c r="L5" s="12" t="n">
        <v>109404</v>
      </c>
    </row>
    <row r="6">
      <c r="A6" s="18" t="inlineStr">
        <is>
          <t>현금및현금성자산</t>
        </is>
      </c>
      <c r="B6" s="10" t="n"/>
      <c r="C6" s="19" t="n">
        <v>50675</v>
      </c>
      <c r="D6" s="20" t="n">
        <v>54564</v>
      </c>
      <c r="E6" s="20" t="n">
        <v>43020</v>
      </c>
      <c r="F6" s="20" t="n">
        <v>49314</v>
      </c>
      <c r="G6" s="20" t="n">
        <v>50941</v>
      </c>
      <c r="H6" s="19" t="n">
        <v>45689</v>
      </c>
      <c r="I6" s="20" t="n">
        <v>36833</v>
      </c>
      <c r="J6" s="20" t="n">
        <v>45657</v>
      </c>
      <c r="K6" s="20" t="n">
        <v>50094</v>
      </c>
      <c r="L6" s="20" t="n">
        <v>49314</v>
      </c>
    </row>
    <row r="7">
      <c r="A7" s="18" t="inlineStr">
        <is>
          <t>단기금융상품</t>
        </is>
      </c>
      <c r="B7" s="10" t="n"/>
      <c r="C7" s="19" t="n">
        <v>50</v>
      </c>
      <c r="D7" s="20" t="n">
        <v>39</v>
      </c>
      <c r="E7" s="20" t="n">
        <v>12</v>
      </c>
      <c r="F7" s="20" t="n">
        <v>10</v>
      </c>
      <c r="G7" s="20" t="n">
        <v>10</v>
      </c>
      <c r="H7" s="19" t="n">
        <v>17</v>
      </c>
      <c r="I7" s="20" t="n">
        <v>21</v>
      </c>
      <c r="J7" s="20" t="n">
        <v>9</v>
      </c>
      <c r="K7" s="20" t="n">
        <v>1364</v>
      </c>
      <c r="L7" s="20" t="n">
        <v>10</v>
      </c>
    </row>
    <row r="8">
      <c r="A8" s="18" t="inlineStr">
        <is>
          <t>매출채권</t>
        </is>
      </c>
      <c r="B8" s="10" t="n"/>
      <c r="C8" s="19" t="n">
        <v>22841</v>
      </c>
      <c r="D8" s="20" t="n">
        <v>24397</v>
      </c>
      <c r="E8" s="20" t="n">
        <v>30156</v>
      </c>
      <c r="F8" s="20" t="n">
        <v>29295</v>
      </c>
      <c r="G8" s="20" t="n">
        <v>27081</v>
      </c>
      <c r="H8" s="19" t="n">
        <v>26622</v>
      </c>
      <c r="I8" s="20" t="n">
        <v>25798</v>
      </c>
      <c r="J8" s="20" t="n">
        <v>28623</v>
      </c>
      <c r="K8" s="20" t="n">
        <v>28535</v>
      </c>
      <c r="L8" s="20" t="n">
        <v>29295</v>
      </c>
    </row>
    <row r="9">
      <c r="A9" s="18" t="inlineStr">
        <is>
          <t>재고자산</t>
        </is>
      </c>
      <c r="B9" s="10" t="n"/>
      <c r="C9" s="19" t="n">
        <v>23679</v>
      </c>
      <c r="D9" s="20" t="n">
        <v>24085</v>
      </c>
      <c r="E9" s="20" t="n">
        <v>27251</v>
      </c>
      <c r="F9" s="20" t="n">
        <v>26281</v>
      </c>
      <c r="G9" s="20" t="n">
        <v>28865</v>
      </c>
      <c r="H9" s="19" t="n">
        <v>25591</v>
      </c>
      <c r="I9" s="20" t="n">
        <v>29828</v>
      </c>
      <c r="J9" s="20" t="n">
        <v>27860</v>
      </c>
      <c r="K9" s="20" t="n">
        <v>22425</v>
      </c>
      <c r="L9" s="20" t="n">
        <v>26281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53637</v>
      </c>
      <c r="D11" s="12" t="n">
        <v>53706</v>
      </c>
      <c r="E11" s="12" t="n">
        <v>64329</v>
      </c>
      <c r="F11" s="12" t="n">
        <v>63854</v>
      </c>
      <c r="G11" s="12" t="n">
        <v>64807</v>
      </c>
      <c r="H11" s="11" t="n">
        <v>51271</v>
      </c>
      <c r="I11" s="12" t="n">
        <v>54156</v>
      </c>
      <c r="J11" s="12" t="n">
        <v>55242</v>
      </c>
      <c r="K11" s="12" t="n">
        <v>53706</v>
      </c>
      <c r="L11" s="12" t="n">
        <v>63854</v>
      </c>
    </row>
    <row r="12">
      <c r="A12" s="18" t="inlineStr">
        <is>
          <t>유형자산</t>
        </is>
      </c>
      <c r="B12" s="10" t="n"/>
      <c r="C12" s="19" t="n">
        <v>27223</v>
      </c>
      <c r="D12" s="20" t="n">
        <v>27121</v>
      </c>
      <c r="E12" s="20" t="n">
        <v>28073</v>
      </c>
      <c r="F12" s="20" t="n">
        <v>29213</v>
      </c>
      <c r="G12" s="20" t="n">
        <v>29522</v>
      </c>
      <c r="H12" s="19" t="n">
        <v>28150</v>
      </c>
      <c r="I12" s="20" t="n">
        <v>29004</v>
      </c>
      <c r="J12" s="20" t="n">
        <v>28935</v>
      </c>
      <c r="K12" s="20" t="n">
        <v>27251</v>
      </c>
      <c r="L12" s="20" t="n">
        <v>29213</v>
      </c>
    </row>
    <row r="13">
      <c r="A13" s="18" t="inlineStr">
        <is>
          <t>무형자산</t>
        </is>
      </c>
      <c r="B13" s="10" t="n"/>
      <c r="C13" s="19" t="n"/>
      <c r="D13" s="20" t="n"/>
      <c r="E13" s="20" t="n"/>
      <c r="F13" s="20" t="n"/>
      <c r="G13" s="20" t="n"/>
      <c r="H13" s="19" t="n"/>
      <c r="I13" s="20" t="n"/>
      <c r="J13" s="20" t="n"/>
      <c r="K13" s="20" t="n"/>
      <c r="L13" s="20" t="n"/>
    </row>
    <row r="14">
      <c r="A14" s="18" t="inlineStr">
        <is>
          <t>투자부동산</t>
        </is>
      </c>
      <c r="B14" s="10" t="n"/>
      <c r="C14" s="19" t="n">
        <v>236</v>
      </c>
      <c r="D14" s="20" t="n">
        <v>236</v>
      </c>
      <c r="E14" s="20" t="n">
        <v>236</v>
      </c>
      <c r="F14" s="20" t="n">
        <v>236</v>
      </c>
      <c r="G14" s="20" t="n">
        <v>236</v>
      </c>
      <c r="H14" s="19" t="n">
        <v>255</v>
      </c>
      <c r="I14" s="20" t="n">
        <v>233</v>
      </c>
      <c r="J14" s="20" t="n">
        <v>236</v>
      </c>
      <c r="K14" s="20" t="n">
        <v>236</v>
      </c>
      <c r="L14" s="20" t="n">
        <v>236</v>
      </c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153997</v>
      </c>
      <c r="D16" s="12" t="n">
        <v>159958</v>
      </c>
      <c r="E16" s="12" t="n">
        <v>168527</v>
      </c>
      <c r="F16" s="12" t="n">
        <v>173258</v>
      </c>
      <c r="G16" s="12" t="n">
        <v>175758</v>
      </c>
      <c r="H16" s="11" t="n">
        <v>153261</v>
      </c>
      <c r="I16" s="12" t="n">
        <v>152238</v>
      </c>
      <c r="J16" s="12" t="n">
        <v>161085</v>
      </c>
      <c r="K16" s="12" t="n">
        <v>159826</v>
      </c>
      <c r="L16" s="12" t="n">
        <v>173258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26324</v>
      </c>
      <c r="D18" s="12" t="n">
        <v>28095</v>
      </c>
      <c r="E18" s="12" t="n">
        <v>32883</v>
      </c>
      <c r="F18" s="12" t="n">
        <v>32550</v>
      </c>
      <c r="G18" s="12" t="n">
        <v>33957</v>
      </c>
      <c r="H18" s="11" t="n">
        <v>31290</v>
      </c>
      <c r="I18" s="12" t="n">
        <v>27184</v>
      </c>
      <c r="J18" s="12" t="n">
        <v>30592</v>
      </c>
      <c r="K18" s="12" t="n">
        <v>28654</v>
      </c>
      <c r="L18" s="12" t="n">
        <v>32550</v>
      </c>
    </row>
    <row r="19">
      <c r="A19" s="18" t="inlineStr">
        <is>
          <t>매입채무</t>
        </is>
      </c>
      <c r="B19" s="10" t="n"/>
      <c r="C19" s="19" t="n">
        <v>6150</v>
      </c>
      <c r="D19" s="20" t="n">
        <v>7431</v>
      </c>
      <c r="E19" s="20" t="n">
        <v>8347</v>
      </c>
      <c r="F19" s="20" t="n">
        <v>8317</v>
      </c>
      <c r="G19" s="20" t="n">
        <v>8948</v>
      </c>
      <c r="H19" s="19" t="n">
        <v>8426</v>
      </c>
      <c r="I19" s="20" t="n">
        <v>7442</v>
      </c>
      <c r="J19" s="20" t="n">
        <v>6459</v>
      </c>
      <c r="K19" s="20" t="n">
        <v>6642</v>
      </c>
      <c r="L19" s="20" t="n">
        <v>8317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7108</v>
      </c>
      <c r="D23" s="12" t="n">
        <v>7003</v>
      </c>
      <c r="E23" s="12" t="n">
        <v>7694</v>
      </c>
      <c r="F23" s="12" t="n">
        <v>7991</v>
      </c>
      <c r="G23" s="12" t="n">
        <v>8563</v>
      </c>
      <c r="H23" s="11" t="n">
        <v>7529</v>
      </c>
      <c r="I23" s="12" t="n">
        <v>7537</v>
      </c>
      <c r="J23" s="12" t="n">
        <v>4967</v>
      </c>
      <c r="K23" s="12" t="n">
        <v>6904</v>
      </c>
      <c r="L23" s="12" t="n">
        <v>7991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>
        <v>2991</v>
      </c>
      <c r="D25" s="20" t="n">
        <v>2992</v>
      </c>
      <c r="E25" s="20" t="n">
        <v>2993</v>
      </c>
      <c r="F25" s="20" t="n">
        <v>2994</v>
      </c>
      <c r="G25" s="20" t="n">
        <v>2995</v>
      </c>
      <c r="H25" s="19" t="n">
        <v>2990</v>
      </c>
      <c r="I25" s="20" t="n">
        <v>2993</v>
      </c>
      <c r="J25" s="20" t="n">
        <v>0</v>
      </c>
      <c r="K25" s="20" t="n">
        <v>2991</v>
      </c>
      <c r="L25" s="20" t="n">
        <v>2994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33433</v>
      </c>
      <c r="D27" s="12" t="n">
        <v>35098</v>
      </c>
      <c r="E27" s="12" t="n">
        <v>40578</v>
      </c>
      <c r="F27" s="12" t="n">
        <v>40541</v>
      </c>
      <c r="G27" s="12" t="n">
        <v>42521</v>
      </c>
      <c r="H27" s="11" t="n">
        <v>38819</v>
      </c>
      <c r="I27" s="12" t="n">
        <v>34722</v>
      </c>
      <c r="J27" s="12" t="n">
        <v>35559</v>
      </c>
      <c r="K27" s="12" t="n">
        <v>35558</v>
      </c>
      <c r="L27" s="12" t="n">
        <v>40541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120564</v>
      </c>
      <c r="D31" s="12" t="n">
        <v>124859</v>
      </c>
      <c r="E31" s="12" t="n">
        <v>127949</v>
      </c>
      <c r="F31" s="12" t="n">
        <v>132717</v>
      </c>
      <c r="G31" s="12" t="n">
        <v>133237</v>
      </c>
      <c r="H31" s="11" t="n">
        <v>114196</v>
      </c>
      <c r="I31" s="12" t="n">
        <v>117286</v>
      </c>
      <c r="J31" s="12" t="n">
        <v>125520</v>
      </c>
      <c r="K31" s="12" t="n">
        <v>124268</v>
      </c>
      <c r="L31" s="12" t="n">
        <v>132717</v>
      </c>
    </row>
    <row r="32">
      <c r="A32" s="18" t="inlineStr">
        <is>
          <t>자본금</t>
        </is>
      </c>
      <c r="B32" s="10" t="n"/>
      <c r="C32" s="19" t="n">
        <v>19219</v>
      </c>
      <c r="D32" s="20" t="n">
        <v>19219</v>
      </c>
      <c r="E32" s="20" t="n">
        <v>19219</v>
      </c>
      <c r="F32" s="20" t="n">
        <v>19219</v>
      </c>
      <c r="G32" s="20" t="n">
        <v>19219</v>
      </c>
      <c r="H32" s="19" t="n">
        <v>19189</v>
      </c>
      <c r="I32" s="20" t="n">
        <v>19218</v>
      </c>
      <c r="J32" s="20" t="n">
        <v>19219</v>
      </c>
      <c r="K32" s="20" t="n">
        <v>19219</v>
      </c>
      <c r="L32" s="20" t="n">
        <v>19219</v>
      </c>
    </row>
    <row r="33">
      <c r="A33" s="18" t="inlineStr">
        <is>
          <t>이익잉여금</t>
        </is>
      </c>
      <c r="B33" s="10" t="n"/>
      <c r="C33" s="19" t="n">
        <v>66909</v>
      </c>
      <c r="D33" s="20" t="n">
        <v>70144</v>
      </c>
      <c r="E33" s="20" t="n">
        <v>70029</v>
      </c>
      <c r="F33" s="20" t="n">
        <v>74015</v>
      </c>
      <c r="G33" s="20" t="n">
        <v>73462</v>
      </c>
      <c r="H33" s="19" t="n">
        <v>63206</v>
      </c>
      <c r="I33" s="20" t="n">
        <v>63074</v>
      </c>
      <c r="J33" s="20" t="n">
        <v>65696</v>
      </c>
      <c r="K33" s="20" t="n">
        <v>68906</v>
      </c>
      <c r="L33" s="20" t="n">
        <v>74015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246</v>
      </c>
      <c r="I34" s="20" t="n">
        <v>229</v>
      </c>
      <c r="J34" s="20" t="n">
        <v>5</v>
      </c>
      <c r="K34" s="20" t="n">
        <v>0</v>
      </c>
      <c r="L34" s="20" t="n"/>
    </row>
    <row r="35">
      <c r="A35" s="9" t="inlineStr">
        <is>
          <t>자본총계</t>
        </is>
      </c>
      <c r="B35" s="10" t="n"/>
      <c r="C35" s="11" t="n">
        <v>120564</v>
      </c>
      <c r="D35" s="12" t="n">
        <v>124859</v>
      </c>
      <c r="E35" s="12" t="n">
        <v>127949</v>
      </c>
      <c r="F35" s="12" t="n">
        <v>132717</v>
      </c>
      <c r="G35" s="12" t="n">
        <v>133237</v>
      </c>
      <c r="H35" s="11" t="n">
        <v>114442</v>
      </c>
      <c r="I35" s="12" t="n">
        <v>117516</v>
      </c>
      <c r="J35" s="12" t="n">
        <v>125525</v>
      </c>
      <c r="K35" s="12" t="n">
        <v>124268</v>
      </c>
      <c r="L35" s="12" t="n">
        <v>132717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21557</v>
      </c>
      <c r="D37" s="12" t="n">
        <v>18785</v>
      </c>
      <c r="E37" s="12" t="n">
        <v>13794</v>
      </c>
      <c r="F37" s="12" t="n">
        <v>17881</v>
      </c>
      <c r="G37" s="12" t="n">
        <v>20059</v>
      </c>
      <c r="H37" s="11" t="n">
        <v>16031</v>
      </c>
      <c r="I37" s="12" t="n">
        <v>6114</v>
      </c>
      <c r="J37" s="12" t="n">
        <v>16573</v>
      </c>
      <c r="K37" s="12" t="n">
        <v>21071</v>
      </c>
      <c r="L37" s="12" t="n">
        <v>17881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3782</v>
      </c>
      <c r="D38" s="20" t="n">
        <v>4033</v>
      </c>
      <c r="E38" s="20" t="n">
        <v>4280</v>
      </c>
      <c r="F38" s="20" t="n">
        <v>5274</v>
      </c>
      <c r="G38" s="20" t="n">
        <v>5505</v>
      </c>
      <c r="H38" s="19" t="n">
        <v>2941</v>
      </c>
      <c r="I38" s="20" t="n">
        <v>5183</v>
      </c>
      <c r="J38" s="20" t="n">
        <v>3786</v>
      </c>
      <c r="K38" s="20" t="n">
        <v>3732</v>
      </c>
      <c r="L38" s="20" t="n">
        <v>5274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5214</v>
      </c>
      <c r="D40" s="20" t="n">
        <v>5214</v>
      </c>
      <c r="E40" s="20" t="n">
        <v>5139</v>
      </c>
      <c r="F40" s="20" t="n">
        <v>5139</v>
      </c>
      <c r="G40" s="20" t="n">
        <v>6399</v>
      </c>
      <c r="H40" s="19" t="n">
        <v>6077</v>
      </c>
      <c r="I40" s="20" t="n">
        <v>5332</v>
      </c>
      <c r="J40" s="20" t="n">
        <v>5266</v>
      </c>
      <c r="K40" s="20" t="n">
        <v>5270</v>
      </c>
      <c r="L40" s="20" t="n">
        <v>5139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IFERROR((IF(COUNT('연간'!H28:K28)&lt;4,"",SUM('연간'!H28:K28)))/(IF(COUNT('연간'!H50:K50)&lt;4,"",SUM('연간'!H50:K50))),"")</f>
        <v/>
      </c>
      <c r="D48" s="31">
        <f>IFERROR((IF(COUNT('연간'!I28:L28)&lt;4,"",SUM('연간'!I28:L28)))/(IF(COUNT('연간'!I50:L50)&lt;4,"",SUM('연간'!I50:L50))),"")</f>
        <v/>
      </c>
      <c r="E48" s="31">
        <f>IFERROR((IF(COUNT('연간'!J28:M28)&lt;4,"",SUM('연간'!J28:M28)))/(IF(COUNT('연간'!J50:M50)&lt;4,"",SUM('연간'!J50:M50))),"")</f>
        <v/>
      </c>
      <c r="F48" s="31">
        <f>IFERROR((IF(COUNT('연간'!K28:N28)&lt;4,"",SUM('연간'!K28:N28)))/(IF(COUNT('연간'!K50:N50)&lt;4,"",SUM('연간'!K50:N50))),"")</f>
        <v/>
      </c>
      <c r="G48" s="31" t="n"/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IFERROR(IF((IF(COUNT('연간'!H58:K58)&lt;4,"",SUM('연간'!H58:K58)))&lt;=0,"적자",C28/(IF(COUNT('연간'!H58:K58)&lt;4,"",SUM('연간'!H58:K58)))),"")</f>
        <v/>
      </c>
      <c r="D49" s="47">
        <f>IFERROR(IF((IF(COUNT('연간'!I58:L58)&lt;4,"",SUM('연간'!I58:L58)))&lt;=0,"적자",D28/(IF(COUNT('연간'!I58:L58)&lt;4,"",SUM('연간'!I58:L58)))),"")</f>
        <v/>
      </c>
      <c r="E49" s="47">
        <f>IFERROR(IF((IF(COUNT('연간'!J58:M58)&lt;4,"",SUM('연간'!J58:M58)))&lt;=0,"적자",E28/(IF(COUNT('연간'!J58:M58)&lt;4,"",SUM('연간'!J58:M58)))),"")</f>
        <v/>
      </c>
      <c r="F49" s="47">
        <f>IFERROR(IF((IF(COUNT('연간'!K58:N58)&lt;4,"",SUM('연간'!K58:N58)))&lt;=0,"적자",F28/(IF(COUNT('연간'!K58:N58)&lt;4,"",SUM('연간'!K58:N58)))),"")</f>
        <v/>
      </c>
      <c r="G49" s="47" t="n"/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IFERROR((IF(COUNT('연간'!H58:K58)&lt;4,"",SUM('연간'!H58:K58)))/C31,"")</f>
        <v/>
      </c>
      <c r="D51" s="36">
        <f>IFERROR((IF(COUNT('연간'!I58:L58)&lt;4,"",SUM('연간'!I58:L58)))/D31,"")</f>
        <v/>
      </c>
      <c r="E51" s="36">
        <f>IFERROR((IF(COUNT('연간'!J58:M58)&lt;4,"",SUM('연간'!J58:M58)))/E31,"")</f>
        <v/>
      </c>
      <c r="F51" s="36">
        <f>IFERROR((IF(COUNT('연간'!K58:N58)&lt;4,"",SUM('연간'!K58:N58)))/F31,"")</f>
        <v/>
      </c>
      <c r="G51" s="36" t="n"/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IFERROR((IF(COUNT('연간'!H56:K56)&lt;4,"",SUM('연간'!H56:K56)))/C16,"")</f>
        <v/>
      </c>
      <c r="D52" s="36">
        <f>IFERROR((IF(COUNT('연간'!I56:L56)&lt;4,"",SUM('연간'!I56:L56)))/D16,"")</f>
        <v/>
      </c>
      <c r="E52" s="36">
        <f>IFERROR((IF(COUNT('연간'!J56:M56)&lt;4,"",SUM('연간'!J56:M56)))/E16,"")</f>
        <v/>
      </c>
      <c r="F52" s="36">
        <f>IFERROR((IF(COUNT('연간'!K56:N56)&lt;4,"",SUM('연간'!K56:N56)))/F16,"")</f>
        <v/>
      </c>
      <c r="G52" s="36" t="n"/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IFERROR((IF(COUNT('연간'!H28:K28)&lt;4,"",SUM('연간'!H28:K28)))*(1-0.3)/(C35+C29),"")</f>
        <v/>
      </c>
      <c r="D53" s="36">
        <f>IFERROR((IF(COUNT('연간'!I28:L28)&lt;4,"",SUM('연간'!I28:L28)))*(1-0.3)/(D35+D29),"")</f>
        <v/>
      </c>
      <c r="E53" s="36">
        <f>IFERROR((IF(COUNT('연간'!J28:M28)&lt;4,"",SUM('연간'!J28:M28)))*(1-0.3)/(E35+E29),"")</f>
        <v/>
      </c>
      <c r="F53" s="36">
        <f>IFERROR((IF(COUNT('연간'!K28:N28)&lt;4,"",SUM('연간'!K28:N28)))*(1-0.3)/(F35+F29),"")</f>
        <v/>
      </c>
      <c r="G53" s="36" t="n"/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IFERROR((IF(COUNT('연간'!H22:K22)&lt;4,"",SUM('연간'!H22:K22)))/(IF(COUNT('연간'!H4:K4)&lt;4,"",SUM('연간'!H4:K4))),"")</f>
        <v/>
      </c>
      <c r="D54" s="36">
        <f>IFERROR((IF(COUNT('연간'!I22:L22)&lt;4,"",SUM('연간'!I22:L22)))/(IF(COUNT('연간'!I4:L4)&lt;4,"",SUM('연간'!I4:L4))),"")</f>
        <v/>
      </c>
      <c r="E54" s="36">
        <f>IFERROR((IF(COUNT('연간'!J22:M22)&lt;4,"",SUM('연간'!J22:M22)))/(IF(COUNT('연간'!J4:M4)&lt;4,"",SUM('연간'!J4:M4))),"")</f>
        <v/>
      </c>
      <c r="F54" s="36">
        <f>IFERROR((IF(COUNT('연간'!K22:N22)&lt;4,"",SUM('연간'!K22:N22)))/(IF(COUNT('연간'!K4:N4)&lt;4,"",SUM('연간'!K4:N4))),"")</f>
        <v/>
      </c>
      <c r="G54" s="36" t="n"/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IFERROR((IF(COUNT('연간'!H28:K28)&lt;4,"",SUM('연간'!H28:K28)))/(IF(COUNT('연간'!H4:K4)&lt;4,"",SUM('연간'!H4:K4))),"")</f>
        <v/>
      </c>
      <c r="D55" s="36">
        <f>IFERROR((IF(COUNT('연간'!I28:L28)&lt;4,"",SUM('연간'!I28:L28)))/(IF(COUNT('연간'!I4:L4)&lt;4,"",SUM('연간'!I4:L4))),"")</f>
        <v/>
      </c>
      <c r="E55" s="36">
        <f>IFERROR((IF(COUNT('연간'!J28:M28)&lt;4,"",SUM('연간'!J28:M28)))/(IF(COUNT('연간'!J4:M4)&lt;4,"",SUM('연간'!J4:M4))),"")</f>
        <v/>
      </c>
      <c r="F55" s="36">
        <f>IFERROR((IF(COUNT('연간'!K28:N28)&lt;4,"",SUM('연간'!K28:N28)))/(IF(COUNT('연간'!K4:N4)&lt;4,"",SUM('연간'!K4:N4))),"")</f>
        <v/>
      </c>
      <c r="G55" s="36" t="n"/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IFERROR((IF(COUNT('연간'!H56:K56)&lt;4,"",SUM('연간'!H56:K56)))/(IF(COUNT('연간'!H4:K4)&lt;4,"",SUM('연간'!H4:K4))),"")</f>
        <v/>
      </c>
      <c r="D56" s="36">
        <f>IFERROR((IF(COUNT('연간'!I56:L56)&lt;4,"",SUM('연간'!I56:L56)))/(IF(COUNT('연간'!I4:L4)&lt;4,"",SUM('연간'!I4:L4))),"")</f>
        <v/>
      </c>
      <c r="E56" s="36">
        <f>IFERROR((IF(COUNT('연간'!J56:M56)&lt;4,"",SUM('연간'!J56:M56)))/(IF(COUNT('연간'!J4:M4)&lt;4,"",SUM('연간'!J4:M4))),"")</f>
        <v/>
      </c>
      <c r="F56" s="36">
        <f>IFERROR((IF(COUNT('연간'!K56:N56)&lt;4,"",SUM('연간'!K56:N56)))/(IF(COUNT('연간'!K4:N4)&lt;4,"",SUM('연간'!K4:N4))),"")</f>
        <v/>
      </c>
      <c r="G56" s="36" t="n"/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IFERROR((IF(COUNT('연간'!H4:K4)&lt;4,"",SUM('연간'!H4:K4)))/C16,"")</f>
        <v/>
      </c>
      <c r="D58" s="31">
        <f>IFERROR((IF(COUNT('연간'!I4:L4)&lt;4,"",SUM('연간'!I4:L4)))/D16,"")</f>
        <v/>
      </c>
      <c r="E58" s="31">
        <f>IFERROR((IF(COUNT('연간'!J4:M4)&lt;4,"",SUM('연간'!J4:M4)))/E16,"")</f>
        <v/>
      </c>
      <c r="F58" s="31">
        <f>IFERROR((IF(COUNT('연간'!K4:N4)&lt;4,"",SUM('연간'!K4:N4)))/F16,"")</f>
        <v/>
      </c>
      <c r="G58" s="31" t="n"/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IFERROR(C8/(IF(COUNT('연간'!H4:K4)&lt;4,"",SUM('연간'!H4:K4)))*365,"")</f>
        <v/>
      </c>
      <c r="D59" s="49">
        <f>IFERROR(D8/(IF(COUNT('연간'!I4:L4)&lt;4,"",SUM('연간'!I4:L4)))*365,"")</f>
        <v/>
      </c>
      <c r="E59" s="49">
        <f>IFERROR(E8/(IF(COUNT('연간'!J4:M4)&lt;4,"",SUM('연간'!J4:M4)))*365,"")</f>
        <v/>
      </c>
      <c r="F59" s="49">
        <f>IFERROR(F8/(IF(COUNT('연간'!K4:N4)&lt;4,"",SUM('연간'!K4:N4)))*365,"")</f>
        <v/>
      </c>
      <c r="G59" s="49" t="n"/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IFERROR(C9/(IF(COUNT('연간'!H20:K20)&lt;4,"",SUM('연간'!H20:K20)))*365,"")</f>
        <v/>
      </c>
      <c r="D60" s="49">
        <f>IFERROR(D9/(IF(COUNT('연간'!I20:L20)&lt;4,"",SUM('연간'!I20:L20)))*365,"")</f>
        <v/>
      </c>
      <c r="E60" s="49">
        <f>IFERROR(E9/(IF(COUNT('연간'!J20:M20)&lt;4,"",SUM('연간'!J20:M20)))*365,"")</f>
        <v/>
      </c>
      <c r="F60" s="49">
        <f>IFERROR(F9/(IF(COUNT('연간'!K20:N20)&lt;4,"",SUM('연간'!K20:N20)))*365,"")</f>
        <v/>
      </c>
      <c r="G60" s="49" t="n"/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IFERROR(C19/(IF(COUNT('연간'!H20:K20)&lt;4,"",SUM('연간'!H20:K20)))*365,"")</f>
        <v/>
      </c>
      <c r="D61" s="49">
        <f>IFERROR(D19/(IF(COUNT('연간'!I20:L20)&lt;4,"",SUM('연간'!I20:L20)))*365,"")</f>
        <v/>
      </c>
      <c r="E61" s="49">
        <f>IFERROR(E19/(IF(COUNT('연간'!J20:M20)&lt;4,"",SUM('연간'!J20:M20)))*365,"")</f>
        <v/>
      </c>
      <c r="F61" s="49">
        <f>IFERROR(F19/(IF(COUNT('연간'!K20:N20)&lt;4,"",SUM('연간'!K20:N20)))*365,"")</f>
        <v/>
      </c>
      <c r="G61" s="49" t="n"/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IF(C37="","",IFERROR(C37/(IF(COUNT('연간'!H56:K56)&lt;4,"",SUM('연간'!H56:K56))),""))</f>
        <v/>
      </c>
      <c r="D64" s="31">
        <f>IF(D37="","",IFERROR(D37/(IF(COUNT('연간'!I56:L56)&lt;4,"",SUM('연간'!I56:L56))),""))</f>
        <v/>
      </c>
      <c r="E64" s="31">
        <f>IF(E37="","",IFERROR(E37/(IF(COUNT('연간'!J56:M56)&lt;4,"",SUM('연간'!J56:M56))),""))</f>
        <v/>
      </c>
      <c r="F64" s="31">
        <f>IF(F37="","",IFERROR(F37/(IF(COUNT('연간'!K56:N56)&lt;4,"",SUM('연간'!K56:N56))),""))</f>
        <v/>
      </c>
      <c r="G64" s="31" t="n"/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IF(C39="","",IFERROR(C39/(IF(COUNT('연간'!H4:K4)&lt;4,"",SUM('연간'!H4:K4))),""))</f>
        <v/>
      </c>
      <c r="D65" s="36">
        <f>IF(D39="","",IFERROR(D39/(IF(COUNT('연간'!I4:L4)&lt;4,"",SUM('연간'!I4:L4))),""))</f>
        <v/>
      </c>
      <c r="E65" s="36">
        <f>IF(E39="","",IFERROR(E39/(IF(COUNT('연간'!J4:M4)&lt;4,"",SUM('연간'!J4:M4))),""))</f>
        <v/>
      </c>
      <c r="F65" s="36">
        <f>IF(F39="","",IFERROR(F39/(IF(COUNT('연간'!K4:N4)&lt;4,"",SUM('연간'!K4:N4))),""))</f>
        <v/>
      </c>
      <c r="G65" s="36" t="n"/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IF(C38="","",IFERROR(C38/(IF(COUNT('연간'!H4:K4)&lt;4,"",SUM('연간'!H4:K4))),""))</f>
        <v/>
      </c>
      <c r="D66" s="36">
        <f>IF(D38="","",IFERROR(D38/(IF(COUNT('연간'!I4:L4)&lt;4,"",SUM('연간'!I4:L4))),""))</f>
        <v/>
      </c>
      <c r="E66" s="36">
        <f>IF(E38="","",IFERROR(E38/(IF(COUNT('연간'!J4:M4)&lt;4,"",SUM('연간'!J4:M4))),""))</f>
        <v/>
      </c>
      <c r="F66" s="36">
        <f>IF(F38="","",IFERROR(F38/(IF(COUNT('연간'!K4:N4)&lt;4,"",SUM('연간'!K4:N4))),""))</f>
        <v/>
      </c>
      <c r="G66" s="36" t="n"/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IF(C40="","",IFERROR(C40/(IF(COUNT('연간'!H58:K58)&lt;4,"",SUM('연간'!H58:K58))),""))</f>
        <v/>
      </c>
      <c r="D67" s="36">
        <f>IF(D40="","",IFERROR(D40/(IF(COUNT('연간'!I58:L58)&lt;4,"",SUM('연간'!I58:L58))),""))</f>
        <v/>
      </c>
      <c r="E67" s="36">
        <f>IF(E40="","",IFERROR(E40/(IF(COUNT('연간'!J58:M58)&lt;4,"",SUM('연간'!J58:M58))),""))</f>
        <v/>
      </c>
      <c r="F67" s="36">
        <f>IF(F40="","",IFERROR(F40/(IF(COUNT('연간'!K58:N58)&lt;4,"",SUM('연간'!K58:N58))),""))</f>
        <v/>
      </c>
      <c r="G67" s="36" t="n"/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50675</v>
      </c>
      <c r="D71" s="20" t="n">
        <v>54564</v>
      </c>
      <c r="E71" s="20" t="n">
        <v>43020</v>
      </c>
      <c r="F71" s="20" t="n">
        <v>49314</v>
      </c>
      <c r="G71" s="20" t="n">
        <v>50941</v>
      </c>
      <c r="H71" s="20" t="n">
        <v>45689</v>
      </c>
      <c r="I71" s="20" t="n">
        <v>36833</v>
      </c>
      <c r="J71" s="20" t="n">
        <v>45657</v>
      </c>
      <c r="K71" s="20" t="n">
        <v>50094</v>
      </c>
      <c r="L71" s="20" t="n">
        <v>49314</v>
      </c>
    </row>
    <row r="72">
      <c r="A72" s="18" t="inlineStr">
        <is>
          <t>영업채권 및 기타채권</t>
        </is>
      </c>
      <c r="C72" s="20" t="n">
        <v>22841</v>
      </c>
      <c r="D72" s="20" t="n">
        <v>24397</v>
      </c>
      <c r="E72" s="20" t="n">
        <v>30156</v>
      </c>
      <c r="F72" s="20" t="n">
        <v>29295</v>
      </c>
      <c r="G72" s="20" t="n">
        <v>27081</v>
      </c>
      <c r="H72" s="20" t="n">
        <v>26622</v>
      </c>
      <c r="I72" s="20" t="n">
        <v>25798</v>
      </c>
      <c r="J72" s="20" t="n">
        <v>28623</v>
      </c>
      <c r="K72" s="20" t="n">
        <v>28535</v>
      </c>
      <c r="L72" s="20" t="n">
        <v>29295</v>
      </c>
    </row>
    <row r="73">
      <c r="A73" s="18" t="inlineStr">
        <is>
          <t>기타금융자산</t>
        </is>
      </c>
      <c r="C73" s="20" t="n">
        <v>50</v>
      </c>
      <c r="D73" s="20" t="n">
        <v>39</v>
      </c>
      <c r="E73" s="20" t="n">
        <v>12</v>
      </c>
      <c r="F73" s="20" t="n">
        <v>10</v>
      </c>
      <c r="G73" s="20" t="n">
        <v>10</v>
      </c>
      <c r="H73" s="20" t="n">
        <v>17</v>
      </c>
      <c r="I73" s="20" t="n">
        <v>21</v>
      </c>
      <c r="J73" s="20" t="n">
        <v>9</v>
      </c>
      <c r="K73" s="20" t="n">
        <v>1364</v>
      </c>
      <c r="L73" s="20" t="n">
        <v>10</v>
      </c>
    </row>
    <row r="74">
      <c r="A74" s="18" t="inlineStr">
        <is>
          <t>재고자산</t>
        </is>
      </c>
      <c r="C74" s="20" t="n">
        <v>23679</v>
      </c>
      <c r="D74" s="20" t="n">
        <v>24085</v>
      </c>
      <c r="E74" s="20" t="n">
        <v>27251</v>
      </c>
      <c r="F74" s="20" t="n">
        <v>26281</v>
      </c>
      <c r="G74" s="20" t="n">
        <v>28865</v>
      </c>
      <c r="H74" s="20" t="n">
        <v>25591</v>
      </c>
      <c r="I74" s="20" t="n">
        <v>29828</v>
      </c>
      <c r="J74" s="20" t="n">
        <v>27860</v>
      </c>
      <c r="K74" s="20" t="n">
        <v>22425</v>
      </c>
      <c r="L74" s="20" t="n">
        <v>26281</v>
      </c>
    </row>
    <row r="75">
      <c r="A75" s="18" t="inlineStr">
        <is>
          <t>미수법인세</t>
        </is>
      </c>
      <c r="C75" s="20" t="n">
        <v>155</v>
      </c>
      <c r="D75" s="20" t="n">
        <v>156</v>
      </c>
      <c r="E75" s="20" t="n">
        <v>179</v>
      </c>
      <c r="F75" s="20" t="n">
        <v>216</v>
      </c>
      <c r="G75" s="20" t="n">
        <v>180</v>
      </c>
      <c r="H75" s="20" t="n">
        <v>105</v>
      </c>
      <c r="I75" s="20" t="n">
        <v>395</v>
      </c>
      <c r="J75" s="20" t="n">
        <v>284</v>
      </c>
      <c r="K75" s="20" t="n">
        <v>170</v>
      </c>
      <c r="L75" s="20" t="n">
        <v>216</v>
      </c>
    </row>
    <row r="76">
      <c r="A76" s="18" t="inlineStr">
        <is>
          <t>기타유동자산</t>
        </is>
      </c>
      <c r="C76" s="20" t="n">
        <v>2957</v>
      </c>
      <c r="D76" s="20" t="n">
        <v>3008</v>
      </c>
      <c r="E76" s="20" t="n">
        <v>3577</v>
      </c>
      <c r="F76" s="20" t="n">
        <v>4285</v>
      </c>
      <c r="G76" s="20" t="n">
        <v>3871</v>
      </c>
      <c r="H76" s="20" t="n">
        <v>3962</v>
      </c>
      <c r="I76" s="20" t="n">
        <v>5204</v>
      </c>
      <c r="J76" s="20" t="n">
        <v>3408</v>
      </c>
      <c r="K76" s="20" t="n">
        <v>3529</v>
      </c>
      <c r="L76" s="20" t="n">
        <v>4285</v>
      </c>
    </row>
    <row r="77">
      <c r="A77" s="9" t="inlineStr">
        <is>
          <t>유동자산 합계</t>
        </is>
      </c>
      <c r="C77" s="12" t="n">
        <v>100360</v>
      </c>
      <c r="D77" s="12" t="n">
        <v>106251</v>
      </c>
      <c r="E77" s="12" t="n">
        <v>104198</v>
      </c>
      <c r="F77" s="12" t="n">
        <v>109404</v>
      </c>
      <c r="G77" s="12" t="n">
        <v>110951</v>
      </c>
      <c r="H77" s="12" t="n">
        <v>101989</v>
      </c>
      <c r="I77" s="12" t="n">
        <v>98081</v>
      </c>
      <c r="J77" s="12" t="n">
        <v>105843</v>
      </c>
      <c r="K77" s="12" t="n">
        <v>106119</v>
      </c>
      <c r="L77" s="12" t="n">
        <v>109404</v>
      </c>
    </row>
    <row r="78">
      <c r="A78" s="18" t="inlineStr">
        <is>
          <t>유형자산</t>
        </is>
      </c>
      <c r="C78" s="20" t="n">
        <v>27223</v>
      </c>
      <c r="D78" s="20" t="n">
        <v>27121</v>
      </c>
      <c r="E78" s="20" t="n">
        <v>28073</v>
      </c>
      <c r="F78" s="20" t="n">
        <v>29213</v>
      </c>
      <c r="G78" s="20" t="n">
        <v>29522</v>
      </c>
      <c r="H78" s="20" t="n">
        <v>28150</v>
      </c>
      <c r="I78" s="20" t="n">
        <v>29004</v>
      </c>
      <c r="J78" s="20" t="n">
        <v>28935</v>
      </c>
      <c r="K78" s="20" t="n">
        <v>27251</v>
      </c>
      <c r="L78" s="20" t="n">
        <v>29213</v>
      </c>
    </row>
    <row r="79">
      <c r="A79" s="18" t="inlineStr">
        <is>
          <t>영업권 및 무형자산</t>
        </is>
      </c>
      <c r="C79" s="20" t="n">
        <v>8140</v>
      </c>
      <c r="D79" s="20" t="n">
        <v>8177</v>
      </c>
      <c r="E79" s="20" t="n">
        <v>16953</v>
      </c>
      <c r="F79" s="20" t="n">
        <v>17815</v>
      </c>
      <c r="G79" s="20" t="n">
        <v>17806</v>
      </c>
      <c r="H79" s="20" t="n">
        <v>8579</v>
      </c>
      <c r="I79" s="20" t="n">
        <v>8483</v>
      </c>
      <c r="J79" s="20" t="n">
        <v>8231</v>
      </c>
      <c r="K79" s="20" t="n">
        <v>8161</v>
      </c>
      <c r="L79" s="20" t="n">
        <v>17815</v>
      </c>
    </row>
    <row r="80">
      <c r="A80" s="18" t="inlineStr">
        <is>
          <t>Investment Property</t>
        </is>
      </c>
      <c r="C80" s="20" t="n">
        <v>236</v>
      </c>
      <c r="D80" s="20" t="n">
        <v>236</v>
      </c>
      <c r="E80" s="20" t="n">
        <v>236</v>
      </c>
      <c r="F80" s="20" t="n">
        <v>236</v>
      </c>
      <c r="G80" s="20" t="n">
        <v>236</v>
      </c>
      <c r="H80" s="20" t="n">
        <v>255</v>
      </c>
      <c r="I80" s="20" t="n">
        <v>233</v>
      </c>
      <c r="J80" s="20" t="n">
        <v>236</v>
      </c>
      <c r="K80" s="20" t="n">
        <v>236</v>
      </c>
      <c r="L80" s="20" t="n">
        <v>236</v>
      </c>
    </row>
    <row r="81">
      <c r="A81" s="18" t="inlineStr">
        <is>
          <t>영업채권 및 기타채권</t>
        </is>
      </c>
      <c r="C81" s="20" t="n">
        <v>511</v>
      </c>
      <c r="D81" s="20" t="n">
        <v>518</v>
      </c>
      <c r="E81" s="20" t="n">
        <v>349</v>
      </c>
      <c r="F81" s="20" t="n">
        <v>416</v>
      </c>
      <c r="G81" s="20" t="n">
        <v>428</v>
      </c>
      <c r="H81" s="20" t="n">
        <v>492</v>
      </c>
      <c r="I81" s="20" t="n">
        <v>450</v>
      </c>
      <c r="J81" s="20" t="n">
        <v>512</v>
      </c>
      <c r="K81" s="20" t="n">
        <v>505</v>
      </c>
      <c r="L81" s="20" t="n">
        <v>416</v>
      </c>
    </row>
    <row r="82">
      <c r="A82" s="18" t="inlineStr">
        <is>
          <t>지분법 투자</t>
        </is>
      </c>
      <c r="C82" s="20" t="n">
        <v>315</v>
      </c>
      <c r="D82" s="20" t="n">
        <v>327</v>
      </c>
      <c r="E82" s="20" t="n">
        <v>337</v>
      </c>
      <c r="F82" s="20" t="n">
        <v>347</v>
      </c>
      <c r="G82" s="20" t="n">
        <v>910</v>
      </c>
      <c r="H82" s="20" t="n">
        <v>3</v>
      </c>
      <c r="I82" s="20" t="n">
        <v>7</v>
      </c>
      <c r="J82" s="20" t="n">
        <v>7</v>
      </c>
      <c r="K82" s="20" t="n">
        <v>314</v>
      </c>
      <c r="L82" s="20" t="n">
        <v>347</v>
      </c>
    </row>
    <row r="83">
      <c r="A83" s="18" t="inlineStr">
        <is>
          <t>기타금융자산</t>
        </is>
      </c>
      <c r="C83" s="20" t="n">
        <v>2116</v>
      </c>
      <c r="D83" s="20" t="n">
        <v>2176</v>
      </c>
      <c r="E83" s="20" t="n">
        <v>2502</v>
      </c>
      <c r="F83" s="20" t="n">
        <v>2733</v>
      </c>
      <c r="G83" s="20" t="n">
        <v>2809</v>
      </c>
      <c r="H83" s="20" t="n">
        <v>1378</v>
      </c>
      <c r="I83" s="20" t="n">
        <v>1630</v>
      </c>
      <c r="J83" s="20" t="n">
        <v>2177</v>
      </c>
      <c r="K83" s="20" t="n">
        <v>2208</v>
      </c>
      <c r="L83" s="20" t="n">
        <v>2733</v>
      </c>
    </row>
    <row r="84">
      <c r="A84" s="18" t="inlineStr">
        <is>
          <t>이연법인세자산</t>
        </is>
      </c>
      <c r="C84" s="20" t="n">
        <v>7484</v>
      </c>
      <c r="D84" s="20" t="n">
        <v>7537</v>
      </c>
      <c r="E84" s="20" t="n">
        <v>8346</v>
      </c>
      <c r="F84" s="20" t="n">
        <v>7581</v>
      </c>
      <c r="G84" s="20" t="n">
        <v>7639</v>
      </c>
      <c r="H84" s="20" t="n">
        <v>6379</v>
      </c>
      <c r="I84" s="20" t="n">
        <v>5418</v>
      </c>
      <c r="J84" s="20" t="n">
        <v>5921</v>
      </c>
      <c r="K84" s="20" t="n">
        <v>7383</v>
      </c>
      <c r="L84" s="20" t="n">
        <v>7581</v>
      </c>
    </row>
    <row r="85">
      <c r="A85" s="18" t="inlineStr">
        <is>
          <t>기타비유동자산</t>
        </is>
      </c>
      <c r="C85" s="20" t="n">
        <v>7607</v>
      </c>
      <c r="D85" s="20" t="n">
        <v>7610</v>
      </c>
      <c r="E85" s="20" t="n">
        <v>7530</v>
      </c>
      <c r="F85" s="20" t="n">
        <v>5510</v>
      </c>
      <c r="G85" s="20" t="n">
        <v>5453</v>
      </c>
      <c r="H85" s="20" t="n">
        <v>6031</v>
      </c>
      <c r="I85" s="20" t="n">
        <v>8929</v>
      </c>
      <c r="J85" s="20" t="n">
        <v>9219</v>
      </c>
      <c r="K85" s="20" t="n">
        <v>7645</v>
      </c>
      <c r="L85" s="20" t="n">
        <v>5510</v>
      </c>
    </row>
    <row r="86">
      <c r="A86" s="18" t="inlineStr">
        <is>
          <t>비유동자산 합계</t>
        </is>
      </c>
      <c r="C86" s="20" t="n">
        <v>53637</v>
      </c>
      <c r="D86" s="20" t="n">
        <v>53706</v>
      </c>
      <c r="E86" s="20" t="n">
        <v>64329</v>
      </c>
      <c r="F86" s="20" t="n">
        <v>63854</v>
      </c>
      <c r="G86" s="20" t="n">
        <v>64807</v>
      </c>
      <c r="H86" s="20" t="n">
        <v>51271</v>
      </c>
      <c r="I86" s="20" t="n">
        <v>54156</v>
      </c>
      <c r="J86" s="20" t="n">
        <v>55242</v>
      </c>
      <c r="K86" s="20" t="n">
        <v>53706</v>
      </c>
      <c r="L86" s="20" t="n">
        <v>63854</v>
      </c>
    </row>
    <row r="87">
      <c r="A87" s="18" t="inlineStr">
        <is>
          <t>자산 합계</t>
        </is>
      </c>
      <c r="C87" s="20" t="n">
        <v>153997</v>
      </c>
      <c r="D87" s="20" t="n">
        <v>159958</v>
      </c>
      <c r="E87" s="20" t="n">
        <v>168527</v>
      </c>
      <c r="F87" s="20" t="n">
        <v>173258</v>
      </c>
      <c r="G87" s="20" t="n">
        <v>175758</v>
      </c>
      <c r="H87" s="20" t="n">
        <v>153261</v>
      </c>
      <c r="I87" s="20" t="n">
        <v>152238</v>
      </c>
      <c r="J87" s="20" t="n">
        <v>161085</v>
      </c>
      <c r="K87" s="20" t="n">
        <v>159826</v>
      </c>
      <c r="L87" s="20" t="n">
        <v>173258</v>
      </c>
    </row>
    <row r="88">
      <c r="A88" s="18" t="inlineStr">
        <is>
          <t>영업채무 및 기타채무</t>
        </is>
      </c>
      <c r="C88" s="20" t="n">
        <v>6150</v>
      </c>
      <c r="D88" s="20" t="n">
        <v>7431</v>
      </c>
      <c r="E88" s="20" t="n">
        <v>8347</v>
      </c>
      <c r="F88" s="20" t="n">
        <v>8317</v>
      </c>
      <c r="G88" s="20" t="n">
        <v>8948</v>
      </c>
      <c r="H88" s="20" t="n">
        <v>8426</v>
      </c>
      <c r="I88" s="20" t="n">
        <v>7442</v>
      </c>
      <c r="J88" s="20" t="n">
        <v>6459</v>
      </c>
      <c r="K88" s="20" t="n">
        <v>6642</v>
      </c>
      <c r="L88" s="20" t="n">
        <v>8317</v>
      </c>
    </row>
    <row r="89">
      <c r="A89" s="18" t="inlineStr">
        <is>
          <t>사채 및 차입금</t>
        </is>
      </c>
      <c r="C89" s="20" t="n">
        <v>570</v>
      </c>
      <c r="D89" s="20" t="n">
        <v>570</v>
      </c>
      <c r="E89" s="20" t="n">
        <v>827</v>
      </c>
      <c r="F89" s="20" t="n">
        <v>570</v>
      </c>
      <c r="G89" s="20" t="n">
        <v>570</v>
      </c>
      <c r="H89" s="20" t="n">
        <v>1133</v>
      </c>
      <c r="I89" s="20" t="n">
        <v>1144</v>
      </c>
      <c r="J89" s="20" t="n">
        <v>4087</v>
      </c>
      <c r="K89" s="20" t="n">
        <v>570</v>
      </c>
      <c r="L89" s="20" t="n">
        <v>570</v>
      </c>
    </row>
    <row r="90">
      <c r="A90" s="18" t="inlineStr">
        <is>
          <t>기타금융부채</t>
        </is>
      </c>
      <c r="C90" s="20" t="n">
        <v>962</v>
      </c>
      <c r="D90" s="20" t="n">
        <v>915</v>
      </c>
      <c r="E90" s="20" t="n">
        <v>1059</v>
      </c>
      <c r="F90" s="20" t="n">
        <v>1082</v>
      </c>
      <c r="G90" s="20" t="n">
        <v>1148</v>
      </c>
      <c r="H90" s="20" t="n">
        <v>964</v>
      </c>
      <c r="I90" s="20" t="n">
        <v>824</v>
      </c>
      <c r="J90" s="20" t="n">
        <v>1009</v>
      </c>
      <c r="K90" s="20" t="n">
        <v>946</v>
      </c>
      <c r="L90" s="20" t="n">
        <v>1082</v>
      </c>
    </row>
    <row r="91">
      <c r="A91" s="18" t="inlineStr">
        <is>
          <t>미지급법인세</t>
        </is>
      </c>
      <c r="C91" s="20" t="n">
        <v>1475</v>
      </c>
      <c r="D91" s="20" t="n">
        <v>1906</v>
      </c>
      <c r="E91" s="20" t="n">
        <v>1520</v>
      </c>
      <c r="F91" s="20" t="n">
        <v>2308</v>
      </c>
      <c r="G91" s="20" t="n">
        <v>2322</v>
      </c>
      <c r="H91" s="20" t="n">
        <v>1901</v>
      </c>
      <c r="I91" s="20" t="n">
        <v>785</v>
      </c>
      <c r="J91" s="20" t="n">
        <v>1269</v>
      </c>
      <c r="K91" s="20" t="n">
        <v>3220</v>
      </c>
      <c r="L91" s="20" t="n">
        <v>2308</v>
      </c>
    </row>
    <row r="92">
      <c r="A92" s="18" t="inlineStr">
        <is>
          <t>Employee Benefits Accruals CL</t>
        </is>
      </c>
      <c r="C92" s="20" t="n">
        <v>5210</v>
      </c>
      <c r="D92" s="20" t="n">
        <v>7302</v>
      </c>
      <c r="E92" s="20" t="n">
        <v>6418</v>
      </c>
      <c r="F92" s="20" t="n">
        <v>9253</v>
      </c>
      <c r="G92" s="20" t="n">
        <v>6490</v>
      </c>
      <c r="H92" s="20" t="n">
        <v>8181</v>
      </c>
      <c r="I92" s="20" t="n">
        <v>7634</v>
      </c>
      <c r="J92" s="20" t="n">
        <v>7407</v>
      </c>
      <c r="K92" s="20" t="n">
        <v>7611</v>
      </c>
      <c r="L92" s="20" t="n">
        <v>9253</v>
      </c>
    </row>
    <row r="93">
      <c r="A93" s="18" t="inlineStr">
        <is>
          <t>충당금</t>
        </is>
      </c>
      <c r="C93" s="20" t="n">
        <v>542</v>
      </c>
      <c r="D93" s="20" t="n">
        <v>543</v>
      </c>
      <c r="E93" s="20" t="n">
        <v>485</v>
      </c>
      <c r="F93" s="20" t="n">
        <v>497</v>
      </c>
      <c r="G93" s="20" t="n">
        <v>442</v>
      </c>
      <c r="H93" s="20" t="n">
        <v>438</v>
      </c>
      <c r="I93" s="20" t="n">
        <v>472</v>
      </c>
      <c r="J93" s="20" t="n">
        <v>574</v>
      </c>
      <c r="K93" s="20" t="n">
        <v>575</v>
      </c>
      <c r="L93" s="20" t="n">
        <v>497</v>
      </c>
    </row>
    <row r="94">
      <c r="A94" s="18" t="inlineStr">
        <is>
          <t>기타유동부채</t>
        </is>
      </c>
      <c r="C94" s="20" t="n">
        <v>11414</v>
      </c>
      <c r="D94" s="20" t="n">
        <v>9426</v>
      </c>
      <c r="E94" s="20" t="n">
        <v>14224</v>
      </c>
      <c r="F94" s="20" t="n">
        <v>10520</v>
      </c>
      <c r="G94" s="20" t="n">
        <v>14035</v>
      </c>
      <c r="H94" s="20" t="n">
        <v>10244</v>
      </c>
      <c r="I94" s="20" t="n">
        <v>8881</v>
      </c>
      <c r="J94" s="20" t="n">
        <v>9784</v>
      </c>
      <c r="K94" s="20" t="n">
        <v>9086</v>
      </c>
      <c r="L94" s="20" t="n">
        <v>10520</v>
      </c>
    </row>
    <row r="95">
      <c r="A95" s="18" t="inlineStr">
        <is>
          <t>유동부채 합계</t>
        </is>
      </c>
      <c r="C95" s="20" t="n">
        <v>26324</v>
      </c>
      <c r="D95" s="20" t="n">
        <v>28095</v>
      </c>
      <c r="E95" s="20" t="n">
        <v>32883</v>
      </c>
      <c r="F95" s="20" t="n">
        <v>32550</v>
      </c>
      <c r="G95" s="20" t="n">
        <v>33957</v>
      </c>
      <c r="H95" s="20" t="n">
        <v>31290</v>
      </c>
      <c r="I95" s="20" t="n">
        <v>27184</v>
      </c>
      <c r="J95" s="20" t="n">
        <v>30592</v>
      </c>
      <c r="K95" s="20" t="n">
        <v>28654</v>
      </c>
      <c r="L95" s="20" t="n">
        <v>32550</v>
      </c>
    </row>
    <row r="96">
      <c r="A96" s="18" t="inlineStr">
        <is>
          <t>영업채무 및 기타채무</t>
        </is>
      </c>
      <c r="C96" s="20" t="n">
        <v>459</v>
      </c>
      <c r="D96" s="20" t="n">
        <v>459</v>
      </c>
      <c r="E96" s="20" t="n">
        <v>459</v>
      </c>
      <c r="F96" s="20" t="n">
        <v>499</v>
      </c>
      <c r="G96" s="20" t="n">
        <v>585</v>
      </c>
      <c r="H96" s="20" t="n">
        <v>414</v>
      </c>
      <c r="I96" s="20" t="n">
        <v>597</v>
      </c>
      <c r="J96" s="20" t="n">
        <v>512</v>
      </c>
      <c r="K96" s="20" t="n">
        <v>463</v>
      </c>
      <c r="L96" s="20" t="n">
        <v>499</v>
      </c>
    </row>
    <row r="97">
      <c r="A97" s="18" t="inlineStr">
        <is>
          <t>사채 및 차입금</t>
        </is>
      </c>
      <c r="C97" s="20" t="n">
        <v>2991</v>
      </c>
      <c r="D97" s="20" t="n">
        <v>2992</v>
      </c>
      <c r="E97" s="20" t="n">
        <v>2993</v>
      </c>
      <c r="F97" s="20" t="n">
        <v>2994</v>
      </c>
      <c r="G97" s="20" t="n">
        <v>2995</v>
      </c>
      <c r="H97" s="20" t="n">
        <v>2990</v>
      </c>
      <c r="I97" s="20" t="n">
        <v>2993</v>
      </c>
      <c r="J97" s="20" t="n">
        <v>0</v>
      </c>
      <c r="K97" s="20" t="n">
        <v>2991</v>
      </c>
      <c r="L97" s="20" t="n">
        <v>2994</v>
      </c>
    </row>
    <row r="98">
      <c r="A98" s="18" t="inlineStr">
        <is>
          <t>기타금융부채</t>
        </is>
      </c>
      <c r="C98" s="20" t="n">
        <v>1741</v>
      </c>
      <c r="D98" s="20" t="n">
        <v>1629</v>
      </c>
      <c r="E98" s="20" t="n">
        <v>2092</v>
      </c>
      <c r="F98" s="20" t="n">
        <v>2141</v>
      </c>
      <c r="G98" s="20" t="n">
        <v>2584</v>
      </c>
      <c r="H98" s="20" t="n">
        <v>1489</v>
      </c>
      <c r="I98" s="20" t="n">
        <v>1624</v>
      </c>
      <c r="J98" s="20" t="n">
        <v>2115</v>
      </c>
      <c r="K98" s="20" t="n">
        <v>1565</v>
      </c>
      <c r="L98" s="20" t="n">
        <v>2141</v>
      </c>
    </row>
    <row r="99">
      <c r="A99" s="18" t="inlineStr">
        <is>
          <t>Employee Benefits NCL</t>
        </is>
      </c>
      <c r="C99" s="20" t="n">
        <v>663</v>
      </c>
      <c r="D99" s="20" t="n">
        <v>658</v>
      </c>
      <c r="E99" s="20" t="n">
        <v>912</v>
      </c>
      <c r="F99" s="20" t="n">
        <v>786</v>
      </c>
      <c r="G99" s="20" t="n">
        <v>790</v>
      </c>
      <c r="H99" s="20" t="n">
        <v>783</v>
      </c>
      <c r="I99" s="20" t="n">
        <v>688</v>
      </c>
      <c r="J99" s="20" t="n">
        <v>685</v>
      </c>
      <c r="K99" s="20" t="n">
        <v>652</v>
      </c>
      <c r="L99" s="20" t="n">
        <v>786</v>
      </c>
    </row>
    <row r="100">
      <c r="A100" s="18" t="inlineStr">
        <is>
          <t>충당금</t>
        </is>
      </c>
      <c r="C100" s="20" t="n">
        <v>128</v>
      </c>
      <c r="D100" s="20" t="n">
        <v>129</v>
      </c>
      <c r="E100" s="20" t="n">
        <v>129</v>
      </c>
      <c r="F100" s="20" t="n">
        <v>129</v>
      </c>
      <c r="G100" s="20" t="n">
        <v>130</v>
      </c>
      <c r="H100" s="20" t="n">
        <v>113</v>
      </c>
      <c r="I100" s="20" t="n">
        <v>104</v>
      </c>
      <c r="J100" s="20" t="n">
        <v>128</v>
      </c>
      <c r="K100" s="20" t="n">
        <v>127</v>
      </c>
      <c r="L100" s="20" t="n">
        <v>129</v>
      </c>
    </row>
    <row r="101">
      <c r="A101" s="18" t="inlineStr">
        <is>
          <t>이연법인세부채</t>
        </is>
      </c>
      <c r="C101" s="20" t="n">
        <v>24</v>
      </c>
      <c r="D101" s="20" t="n">
        <v>25</v>
      </c>
      <c r="E101" s="20" t="n">
        <v>26</v>
      </c>
      <c r="F101" s="20" t="n">
        <v>281</v>
      </c>
      <c r="G101" s="20" t="n">
        <v>252</v>
      </c>
      <c r="H101" s="20" t="n">
        <v>326</v>
      </c>
      <c r="I101" s="20" t="n">
        <v>346</v>
      </c>
      <c r="J101" s="20" t="n">
        <v>319</v>
      </c>
      <c r="K101" s="20" t="n">
        <v>25</v>
      </c>
      <c r="L101" s="20" t="n">
        <v>281</v>
      </c>
    </row>
    <row r="102">
      <c r="A102" s="18" t="inlineStr">
        <is>
          <t>기타비유동부채</t>
        </is>
      </c>
      <c r="C102" s="20" t="n">
        <v>1098</v>
      </c>
      <c r="D102" s="20" t="n">
        <v>1108</v>
      </c>
      <c r="E102" s="20" t="n">
        <v>1079</v>
      </c>
      <c r="F102" s="20" t="n">
        <v>1160</v>
      </c>
      <c r="G102" s="20" t="n">
        <v>1224</v>
      </c>
      <c r="H102" s="20" t="n">
        <v>1410</v>
      </c>
      <c r="I102" s="20" t="n">
        <v>1183</v>
      </c>
      <c r="J102" s="20" t="n">
        <v>1205</v>
      </c>
      <c r="K102" s="20" t="n">
        <v>1079</v>
      </c>
      <c r="L102" s="20" t="n">
        <v>1160</v>
      </c>
    </row>
    <row r="103">
      <c r="A103" s="18" t="inlineStr">
        <is>
          <t>비유동부채 합계</t>
        </is>
      </c>
      <c r="C103" s="20" t="n">
        <v>7108</v>
      </c>
      <c r="D103" s="20" t="n">
        <v>7003</v>
      </c>
      <c r="E103" s="20" t="n">
        <v>7694</v>
      </c>
      <c r="F103" s="20" t="n">
        <v>7991</v>
      </c>
      <c r="G103" s="20" t="n">
        <v>8563</v>
      </c>
      <c r="H103" s="20" t="n">
        <v>7529</v>
      </c>
      <c r="I103" s="20" t="n">
        <v>7537</v>
      </c>
      <c r="J103" s="20" t="n">
        <v>4967</v>
      </c>
      <c r="K103" s="20" t="n">
        <v>6904</v>
      </c>
      <c r="L103" s="20" t="n">
        <v>7991</v>
      </c>
    </row>
    <row r="104">
      <c r="A104" s="18" t="inlineStr">
        <is>
          <t>부채 합계</t>
        </is>
      </c>
      <c r="C104" s="20" t="n">
        <v>33433</v>
      </c>
      <c r="D104" s="20" t="n">
        <v>35098</v>
      </c>
      <c r="E104" s="20" t="n">
        <v>40578</v>
      </c>
      <c r="F104" s="20" t="n">
        <v>40541</v>
      </c>
      <c r="G104" s="20" t="n">
        <v>42521</v>
      </c>
      <c r="H104" s="20" t="n">
        <v>38819</v>
      </c>
      <c r="I104" s="20" t="n">
        <v>34722</v>
      </c>
      <c r="J104" s="20" t="n">
        <v>35559</v>
      </c>
      <c r="K104" s="20" t="n">
        <v>35558</v>
      </c>
      <c r="L104" s="20" t="n">
        <v>40541</v>
      </c>
    </row>
    <row r="105">
      <c r="A105" s="18" t="inlineStr">
        <is>
          <t>자본금</t>
        </is>
      </c>
      <c r="C105" s="20" t="n">
        <v>19219</v>
      </c>
      <c r="D105" s="20" t="n">
        <v>19219</v>
      </c>
      <c r="E105" s="20" t="n">
        <v>19219</v>
      </c>
      <c r="F105" s="20" t="n">
        <v>19219</v>
      </c>
      <c r="G105" s="20" t="n">
        <v>19219</v>
      </c>
      <c r="H105" s="20" t="n">
        <v>19189</v>
      </c>
      <c r="I105" s="20" t="n">
        <v>19218</v>
      </c>
      <c r="J105" s="20" t="n">
        <v>19219</v>
      </c>
      <c r="K105" s="20" t="n">
        <v>19219</v>
      </c>
      <c r="L105" s="20" t="n">
        <v>19219</v>
      </c>
    </row>
    <row r="106">
      <c r="A106" s="18" t="inlineStr">
        <is>
          <t>자본잉여금</t>
        </is>
      </c>
      <c r="C106" s="20" t="n">
        <v>28647</v>
      </c>
      <c r="D106" s="20" t="n">
        <v>28589</v>
      </c>
      <c r="E106" s="20" t="n">
        <v>28606</v>
      </c>
      <c r="F106" s="20" t="n">
        <v>28628</v>
      </c>
      <c r="G106" s="20" t="n">
        <v>28653</v>
      </c>
      <c r="H106" s="20" t="n">
        <v>28432</v>
      </c>
      <c r="I106" s="20" t="n">
        <v>28441</v>
      </c>
      <c r="J106" s="20" t="n">
        <v>28580</v>
      </c>
      <c r="K106" s="20" t="n">
        <v>28622</v>
      </c>
      <c r="L106" s="20" t="n">
        <v>28628</v>
      </c>
    </row>
    <row r="107">
      <c r="A107" s="18" t="inlineStr">
        <is>
          <t>이익잉여금</t>
        </is>
      </c>
      <c r="C107" s="20" t="n">
        <v>66909</v>
      </c>
      <c r="D107" s="20" t="n">
        <v>70144</v>
      </c>
      <c r="E107" s="20" t="n">
        <v>70029</v>
      </c>
      <c r="F107" s="20" t="n">
        <v>74015</v>
      </c>
      <c r="G107" s="20" t="n">
        <v>73462</v>
      </c>
      <c r="H107" s="20" t="n">
        <v>63206</v>
      </c>
      <c r="I107" s="20" t="n">
        <v>63074</v>
      </c>
      <c r="J107" s="20" t="n">
        <v>65696</v>
      </c>
      <c r="K107" s="20" t="n">
        <v>68906</v>
      </c>
      <c r="L107" s="20" t="n">
        <v>74015</v>
      </c>
    </row>
    <row r="108">
      <c r="A108" s="18" t="inlineStr">
        <is>
          <t>자기주식</t>
        </is>
      </c>
      <c r="C108" s="20" t="n">
        <v>-11212</v>
      </c>
      <c r="D108" s="20" t="n">
        <v>-11139</v>
      </c>
      <c r="E108" s="20" t="n">
        <v>-11132</v>
      </c>
      <c r="F108" s="20" t="n">
        <v>-11132</v>
      </c>
      <c r="G108" s="20" t="n">
        <v>-11132</v>
      </c>
      <c r="H108" s="20" t="n">
        <v>-6199</v>
      </c>
      <c r="I108" s="20" t="n">
        <v>-6177</v>
      </c>
      <c r="J108" s="20" t="n">
        <v>-6050</v>
      </c>
      <c r="K108" s="20" t="n">
        <v>-9869</v>
      </c>
      <c r="L108" s="20" t="n">
        <v>-11132</v>
      </c>
    </row>
    <row r="109">
      <c r="A109" s="18" t="inlineStr">
        <is>
          <t>기타자본구성요소</t>
        </is>
      </c>
      <c r="C109" s="20" t="n">
        <v>16999</v>
      </c>
      <c r="D109" s="20" t="n">
        <v>18045</v>
      </c>
      <c r="E109" s="20" t="n">
        <v>21225</v>
      </c>
      <c r="F109" s="20" t="n">
        <v>21986</v>
      </c>
      <c r="G109" s="20" t="n">
        <v>23035</v>
      </c>
      <c r="H109" s="20" t="n">
        <v>9566</v>
      </c>
      <c r="I109" s="20" t="n">
        <v>12729</v>
      </c>
      <c r="J109" s="20" t="n">
        <v>18074</v>
      </c>
      <c r="K109" s="20" t="n">
        <v>17388</v>
      </c>
      <c r="L109" s="20" t="n">
        <v>21986</v>
      </c>
    </row>
    <row r="110">
      <c r="A110" s="18" t="inlineStr">
        <is>
          <t>지배기업 소유주 귀속 지분 합계</t>
        </is>
      </c>
      <c r="C110" s="20" t="n">
        <v>120564</v>
      </c>
      <c r="D110" s="20" t="n">
        <v>124859</v>
      </c>
      <c r="E110" s="20" t="n">
        <v>127949</v>
      </c>
      <c r="F110" s="20" t="n">
        <v>132717</v>
      </c>
      <c r="G110" s="20" t="n">
        <v>133237</v>
      </c>
      <c r="H110" s="20" t="n">
        <v>114196</v>
      </c>
      <c r="I110" s="20" t="n">
        <v>117286</v>
      </c>
      <c r="J110" s="20" t="n">
        <v>125520</v>
      </c>
      <c r="K110" s="20" t="n">
        <v>124268</v>
      </c>
      <c r="L110" s="20" t="n">
        <v>132717</v>
      </c>
    </row>
    <row r="111">
      <c r="A111" s="18" t="inlineStr">
        <is>
          <t>비지배지분</t>
        </is>
      </c>
      <c r="H111" s="20" t="n">
        <v>246</v>
      </c>
      <c r="I111" s="20" t="n">
        <v>229</v>
      </c>
      <c r="J111" s="20" t="n">
        <v>5</v>
      </c>
      <c r="K111" s="20" t="n">
        <v>0</v>
      </c>
    </row>
    <row r="112">
      <c r="A112" s="18" t="inlineStr">
        <is>
          <t>자본 합계</t>
        </is>
      </c>
      <c r="C112" s="20" t="n">
        <v>120564</v>
      </c>
      <c r="D112" s="20" t="n">
        <v>124859</v>
      </c>
      <c r="E112" s="20" t="n">
        <v>127949</v>
      </c>
      <c r="F112" s="20" t="n">
        <v>132717</v>
      </c>
      <c r="G112" s="20" t="n">
        <v>133237</v>
      </c>
      <c r="H112" s="20" t="n">
        <v>114442</v>
      </c>
      <c r="I112" s="20" t="n">
        <v>117516</v>
      </c>
      <c r="J112" s="20" t="n">
        <v>125525</v>
      </c>
      <c r="K112" s="20" t="n">
        <v>124268</v>
      </c>
      <c r="L112" s="20" t="n">
        <v>132717</v>
      </c>
    </row>
    <row r="113">
      <c r="A113" s="18" t="inlineStr">
        <is>
          <t>부채및자본 합계</t>
        </is>
      </c>
      <c r="C113" s="20" t="n">
        <v>153997</v>
      </c>
      <c r="D113" s="20" t="n">
        <v>159958</v>
      </c>
      <c r="E113" s="20" t="n">
        <v>168527</v>
      </c>
      <c r="F113" s="20" t="n">
        <v>173258</v>
      </c>
      <c r="G113" s="20" t="n">
        <v>175758</v>
      </c>
      <c r="H113" s="20" t="n">
        <v>153261</v>
      </c>
      <c r="I113" s="20" t="n">
        <v>152238</v>
      </c>
      <c r="J113" s="20" t="n">
        <v>161085</v>
      </c>
      <c r="K113" s="20" t="n">
        <v>159826</v>
      </c>
      <c r="L113" s="20" t="n">
        <v>173258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https://www2.jpx.co.jp/disc/67540/140120260729501632.pdf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https://www2.jpx.co.jp/disc/67540/140120260424510842.pdf</t>
        </is>
      </c>
    </row>
    <row r="6">
      <c r="A6" t="inlineStr">
        <is>
          <t>2026-01-29</t>
        </is>
      </c>
      <c r="B6" t="inlineStr">
        <is>
          <t>2026년 3월 결산기 3분기 결산단신</t>
        </is>
      </c>
      <c r="C6" t="inlineStr">
        <is>
          <t>https://www2.jpx.co.jp/disc/67540/140120260128540712.pdf</t>
        </is>
      </c>
    </row>
    <row r="7">
      <c r="A7" t="inlineStr">
        <is>
          <t>2025-10-30</t>
        </is>
      </c>
      <c r="B7" t="inlineStr">
        <is>
          <t>2026년 3월 결산기 2분기 결산단신</t>
        </is>
      </c>
      <c r="C7" t="inlineStr">
        <is>
          <t>https://www2.jpx.co.jp/disc/67540/140120251029581863.pdf</t>
        </is>
      </c>
    </row>
    <row r="8">
      <c r="A8" t="inlineStr">
        <is>
          <t>2025-07-30</t>
        </is>
      </c>
      <c r="B8" t="inlineStr">
        <is>
          <t>2026년 3월 결산기 1분기 결산단신</t>
        </is>
      </c>
      <c r="C8" t="inlineStr">
        <is>
          <t>https://www2.jpx.co.jp/disc/67540/140120250729522582.pdf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https://www2.jpx.co.jp/disc/67540/140120250424523040.pdf</t>
        </is>
      </c>
    </row>
    <row r="10">
      <c r="A10" t="inlineStr">
        <is>
          <t>2025-01-30</t>
        </is>
      </c>
      <c r="B10" t="inlineStr">
        <is>
          <t>2025년 3월 결산기 3분기 결산단신</t>
        </is>
      </c>
      <c r="C10" t="inlineStr">
        <is>
          <t>https://www2.jpx.co.jp/disc/67540/140120250129557211.pdf</t>
        </is>
      </c>
    </row>
    <row r="11">
      <c r="A11" t="inlineStr">
        <is>
          <t>2024-10-30</t>
        </is>
      </c>
      <c r="B11" t="inlineStr">
        <is>
          <t>2025년 3월 결산기 2분기 결산단신</t>
        </is>
      </c>
      <c r="C11" t="inlineStr">
        <is>
          <t>https://www2.jpx.co.jp/disc/67540/140120241021500494.pdf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https://www2.jpx.co.jp/disc/67540/140120240730557509.pdf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https://www2.jpx.co.jp/disc/67540/140120240424575977.pdf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https://www2.jpx.co.jp/disc/67540/140120240129520917.pdf</t>
        </is>
      </c>
    </row>
    <row r="15">
      <c r="A15" t="inlineStr">
        <is>
          <t>2023-10-30</t>
        </is>
      </c>
      <c r="B15" t="inlineStr">
        <is>
          <t>2024년 3월 결산기 2분기 결산단신</t>
        </is>
      </c>
      <c r="C15" t="inlineStr">
        <is>
          <t>https://www2.jpx.co.jp/disc/67540/140120231030574093.pdf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https://www2.jpx.co.jp/disc/67540/140120230727528306.pdf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https://www2.jpx.co.jp/disc/67540/140120230427554744.pdf</t>
        </is>
      </c>
    </row>
    <row r="18">
      <c r="A18" t="inlineStr">
        <is>
          <t>2023-01-30</t>
        </is>
      </c>
      <c r="B18" t="inlineStr">
        <is>
          <t>2023년 3월 결산기 3분기 결산단신</t>
        </is>
      </c>
      <c r="C18" t="inlineStr">
        <is>
          <t>https://www2.jpx.co.jp/disc/67540/140120230127595213.pdf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https://www2.jpx.co.jp/disc/67540/140120221027551104.pdf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https://www2.jpx.co.jp/disc/67540/140120220427530035.pdf</t>
        </is>
      </c>
    </row>
    <row r="21">
      <c r="A21" t="inlineStr">
        <is>
          <t>2020-04-27</t>
        </is>
      </c>
      <c r="B21" t="inlineStr">
        <is>
          <t>2020년 3월 결산기 연간 결산단신</t>
        </is>
      </c>
      <c r="C21" t="inlineStr">
        <is>
          <t>https://www2.jpx.co.jp/disc/67540/140120200420496174.pdf</t>
        </is>
      </c>
    </row>
    <row r="22">
      <c r="A22" t="inlineStr">
        <is>
          <t>2019-04-25</t>
        </is>
      </c>
      <c r="B22" t="inlineStr">
        <is>
          <t>2019년 3월 결산기 연간 결산단신</t>
        </is>
      </c>
      <c r="C22" t="inlineStr">
        <is>
          <t>https://www2.jpx.co.jp/disc/67540/140120190415404846.pdf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2026-10-28T07:05:03Z</dcterms:created>
  <dcterms:modified xmlns:dcterms="http://purl.org/dc/terms/" xmlns:xsi="http://www.w3.org/2001/XMLSchema-instance" xsi:type="dcterms:W3CDTF">2026-10-28T07:05:04Z</dcterms:modified>
</cp:coreProperties>
</file>