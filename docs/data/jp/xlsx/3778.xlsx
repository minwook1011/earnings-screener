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3778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5237.51</v>
      </c>
      <c r="D4" s="12" t="n">
        <v>5315.83</v>
      </c>
      <c r="E4" s="12" t="n">
        <v>6167.796</v>
      </c>
      <c r="F4" s="12" t="n">
        <v>5935.785</v>
      </c>
      <c r="G4" s="12" t="n">
        <v>7335.885</v>
      </c>
      <c r="H4" s="12" t="n">
        <v>8125.387</v>
      </c>
      <c r="I4" s="12" t="n">
        <v>10015.325</v>
      </c>
      <c r="J4" s="12" t="n">
        <v>7492.152</v>
      </c>
      <c r="K4" s="12" t="n">
        <v>8139.01</v>
      </c>
      <c r="L4" s="12" t="n">
        <v>8393.405000000001</v>
      </c>
      <c r="M4" s="12" t="n">
        <v>11277.082</v>
      </c>
      <c r="N4" s="12" t="n">
        <v>11134.597</v>
      </c>
      <c r="O4" s="11" t="n">
        <v>13961.972</v>
      </c>
      <c r="P4" s="12" t="n">
        <v>17033.374</v>
      </c>
      <c r="Q4" s="12" t="n">
        <v>19501.463</v>
      </c>
      <c r="R4" s="12" t="n">
        <v>21908.899</v>
      </c>
      <c r="S4" s="12" t="n">
        <v>22168.022</v>
      </c>
      <c r="T4" s="12" t="n">
        <v>20019.177</v>
      </c>
      <c r="U4" s="12" t="n">
        <v>20622.9</v>
      </c>
      <c r="V4" s="12" t="n">
        <v>21826.794</v>
      </c>
      <c r="W4" s="12" t="n">
        <v>31412.382</v>
      </c>
      <c r="X4" s="12" t="n">
        <v>35301.649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3884.069</v>
      </c>
      <c r="D11" s="22" t="n">
        <v>3929.928</v>
      </c>
      <c r="E11" s="22" t="n">
        <v>4457.149</v>
      </c>
      <c r="F11" s="22" t="n">
        <v>4236.884</v>
      </c>
      <c r="G11" s="22" t="n">
        <v>4685.563</v>
      </c>
      <c r="H11" s="22" t="n">
        <v>5159.102</v>
      </c>
      <c r="I11" s="22" t="n">
        <v>6100.555</v>
      </c>
      <c r="J11" s="22" t="n">
        <v>5948.216</v>
      </c>
      <c r="K11" s="22" t="n">
        <v>6534.127</v>
      </c>
      <c r="L11" s="22" t="n">
        <v>6504.314</v>
      </c>
      <c r="M11" s="22" t="n">
        <v>8358.476000000001</v>
      </c>
      <c r="N11" s="22" t="n">
        <v>7713.234</v>
      </c>
      <c r="O11" s="21" t="n">
        <v>9784.241</v>
      </c>
      <c r="P11" s="22" t="n">
        <v>12214.571</v>
      </c>
      <c r="Q11" s="22" t="n">
        <v>14155.609</v>
      </c>
      <c r="R11" s="22" t="n">
        <v>16076.933</v>
      </c>
      <c r="S11" s="22" t="n">
        <v>16478.309</v>
      </c>
      <c r="T11" s="22" t="n">
        <v>15311.108</v>
      </c>
      <c r="U11" s="22" t="n">
        <v>15255.276</v>
      </c>
      <c r="V11" s="22" t="n">
        <v>16091</v>
      </c>
      <c r="W11" s="22" t="n">
        <v>20182.104</v>
      </c>
      <c r="X11" s="22" t="n">
        <v>27345.133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1208.361</v>
      </c>
      <c r="D15" s="22" t="n">
        <v>1186.81</v>
      </c>
      <c r="E15" s="22" t="n">
        <v>1274.723</v>
      </c>
      <c r="F15" s="22" t="n">
        <v>1467.133</v>
      </c>
      <c r="G15" s="22" t="n">
        <v>1586.202</v>
      </c>
      <c r="H15" s="22" t="n">
        <v>1676.755</v>
      </c>
      <c r="I15" s="22" t="n">
        <v>2354.602</v>
      </c>
      <c r="J15" s="22" t="n">
        <v>2001.106</v>
      </c>
      <c r="K15" s="22" t="n">
        <v>2068.527</v>
      </c>
      <c r="L15" s="22" t="n">
        <v>2085.757</v>
      </c>
      <c r="M15" s="22" t="n">
        <v>2204.78</v>
      </c>
      <c r="N15" s="22" t="n">
        <v>2190.684</v>
      </c>
      <c r="O15" s="21" t="n">
        <v>3159.669</v>
      </c>
      <c r="P15" s="22" t="n">
        <v>4072.827</v>
      </c>
      <c r="Q15" s="22" t="n">
        <v>4778.645</v>
      </c>
      <c r="R15" s="22" t="n">
        <v>4892.759</v>
      </c>
      <c r="S15" s="22" t="n">
        <v>4317.243</v>
      </c>
      <c r="T15" s="22" t="n">
        <v>3944.927</v>
      </c>
      <c r="U15" s="22" t="n">
        <v>4274.57</v>
      </c>
      <c r="V15" s="22" t="n">
        <v>4851.285</v>
      </c>
      <c r="W15" s="22" t="n">
        <v>7084.692</v>
      </c>
      <c r="X15" s="22" t="n">
        <v>8360.17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145.081</v>
      </c>
      <c r="D16" s="12" t="n">
        <v>199.092</v>
      </c>
      <c r="E16" s="12" t="n">
        <v>435.923</v>
      </c>
      <c r="F16" s="12" t="n">
        <v>231.767</v>
      </c>
      <c r="G16" s="12" t="n">
        <v>1064.12</v>
      </c>
      <c r="H16" s="12" t="n">
        <v>1289.53</v>
      </c>
      <c r="I16" s="12" t="n">
        <v>1560.169</v>
      </c>
      <c r="J16" s="12" t="n">
        <v>-457.171</v>
      </c>
      <c r="K16" s="12" t="n">
        <v>-463.644</v>
      </c>
      <c r="L16" s="12" t="n">
        <v>-196.665</v>
      </c>
      <c r="M16" s="12" t="n">
        <v>713.826</v>
      </c>
      <c r="N16" s="12" t="n">
        <v>1230.678</v>
      </c>
      <c r="O16" s="11" t="n">
        <v>1018.061</v>
      </c>
      <c r="P16" s="12" t="n">
        <v>745.974</v>
      </c>
      <c r="Q16" s="12" t="n">
        <v>567.208</v>
      </c>
      <c r="R16" s="12" t="n">
        <v>939.206</v>
      </c>
      <c r="S16" s="12" t="n">
        <v>1372.469</v>
      </c>
      <c r="T16" s="12" t="n">
        <v>763.141</v>
      </c>
      <c r="U16" s="12" t="n">
        <v>1093.053</v>
      </c>
      <c r="V16" s="12" t="n">
        <v>884.5069999999999</v>
      </c>
      <c r="W16" s="12" t="n">
        <v>4145.586</v>
      </c>
      <c r="X16" s="12" t="n">
        <v>-403.654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>
        <v>870.649</v>
      </c>
      <c r="P21" s="22" t="n">
        <v>1192.232</v>
      </c>
      <c r="Q21" s="22" t="n">
        <v>1408.291</v>
      </c>
      <c r="R21" s="22" t="n">
        <v>1494.757</v>
      </c>
      <c r="S21" s="22" t="n">
        <v>1356.345</v>
      </c>
      <c r="T21" s="22" t="n">
        <v>1255.128</v>
      </c>
      <c r="U21" s="22" t="n">
        <v>1372.555</v>
      </c>
      <c r="V21" s="22" t="n">
        <v>1555.223</v>
      </c>
      <c r="W21" s="22" t="n">
        <v>2182.757</v>
      </c>
      <c r="X21" s="22" t="n">
        <v>2936.951</v>
      </c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>
        <v>663.968</v>
      </c>
      <c r="P25" s="22" t="n">
        <v>769.364</v>
      </c>
      <c r="Q25" s="22" t="n">
        <v>907.336</v>
      </c>
      <c r="R25" s="22" t="n">
        <v>897.5599999999999</v>
      </c>
      <c r="S25" s="22" t="n">
        <v>950.2910000000001</v>
      </c>
      <c r="T25" s="22" t="n">
        <v>861.663</v>
      </c>
      <c r="U25" s="22" t="n">
        <v>935.5410000000001</v>
      </c>
      <c r="V25" s="22" t="n">
        <v>1051.952</v>
      </c>
      <c r="W25" s="22" t="n">
        <v>1456.992</v>
      </c>
      <c r="X25" s="22" t="n">
        <v>1610.716</v>
      </c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>
        <v>5.868</v>
      </c>
      <c r="E32" s="22" t="n">
        <v>1624.819</v>
      </c>
      <c r="F32" s="22" t="n">
        <v>3709.415</v>
      </c>
      <c r="G32" s="22" t="n">
        <v>0</v>
      </c>
      <c r="H32" s="22" t="n">
        <v>1623.376</v>
      </c>
      <c r="I32" s="22" t="n">
        <v>787.759</v>
      </c>
      <c r="J32" s="22" t="n">
        <v>6283.839</v>
      </c>
      <c r="K32" s="22" t="n">
        <v>0</v>
      </c>
      <c r="L32" s="22" t="n">
        <v>137.447</v>
      </c>
      <c r="M32" s="22" t="n">
        <v>8046.062</v>
      </c>
      <c r="N32" s="22" t="n">
        <v>2503.629</v>
      </c>
      <c r="O32" s="21" t="n">
        <v>21.773</v>
      </c>
      <c r="P32" s="22" t="n">
        <v>0</v>
      </c>
      <c r="Q32" s="22" t="n">
        <v>311.218</v>
      </c>
      <c r="R32" s="22" t="n">
        <v>87.202</v>
      </c>
      <c r="S32" s="22" t="n">
        <v>127.193</v>
      </c>
      <c r="T32" s="22" t="n">
        <v>12.84</v>
      </c>
      <c r="U32" s="22" t="n">
        <v>8.574</v>
      </c>
      <c r="V32" s="22" t="n">
        <v>1692.005</v>
      </c>
      <c r="W32" s="22" t="n">
        <v>6120.55</v>
      </c>
      <c r="X32" s="22" t="n">
        <v>14467.348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1.335</v>
      </c>
      <c r="D34" s="22" t="n">
        <v>0.014</v>
      </c>
      <c r="E34" s="22" t="n">
        <v>1624.953</v>
      </c>
      <c r="F34" s="22" t="n">
        <v>3709.493</v>
      </c>
      <c r="G34" s="22" t="n">
        <v>30.016</v>
      </c>
      <c r="H34" s="22" t="n">
        <v>1631.954</v>
      </c>
      <c r="I34" s="22" t="n">
        <v>830.294</v>
      </c>
      <c r="J34" s="22" t="n">
        <v>6283.862</v>
      </c>
      <c r="K34" s="22" t="n">
        <v>14.609</v>
      </c>
      <c r="L34" s="22" t="n">
        <v>1.174</v>
      </c>
      <c r="M34" s="22" t="n">
        <v>8028.858</v>
      </c>
      <c r="N34" s="22" t="n">
        <v>2504.089</v>
      </c>
      <c r="O34" s="21" t="n">
        <v>30.15</v>
      </c>
      <c r="P34" s="22" t="n">
        <v>32.195</v>
      </c>
      <c r="Q34" s="22" t="n">
        <v>383.154</v>
      </c>
      <c r="R34" s="22" t="n">
        <v>500.042</v>
      </c>
      <c r="S34" s="22" t="n">
        <v>142.014</v>
      </c>
      <c r="T34" s="22" t="n">
        <v>275.722</v>
      </c>
      <c r="U34" s="22" t="n">
        <v>14.605</v>
      </c>
      <c r="V34" s="22" t="n">
        <v>1626.416</v>
      </c>
      <c r="W34" s="22" t="n">
        <v>6201.757</v>
      </c>
      <c r="X34" s="22" t="n">
        <v>14328.503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15.082</v>
      </c>
      <c r="D36" s="22" t="n">
        <v>7.783</v>
      </c>
      <c r="E36" s="22" t="n">
        <v>91.265</v>
      </c>
      <c r="F36" s="22" t="n">
        <v>46.58</v>
      </c>
      <c r="G36" s="22" t="n">
        <v>29.343</v>
      </c>
      <c r="H36" s="22" t="n">
        <v>128.899</v>
      </c>
      <c r="I36" s="22" t="n">
        <v>92.161</v>
      </c>
      <c r="J36" s="22" t="n">
        <v>149.528</v>
      </c>
      <c r="K36" s="22" t="n">
        <v>223.472</v>
      </c>
      <c r="L36" s="22" t="n">
        <v>327.182</v>
      </c>
      <c r="M36" s="22" t="n">
        <v>363.977</v>
      </c>
      <c r="N36" s="22" t="n">
        <v>226.474</v>
      </c>
      <c r="O36" s="21" t="n">
        <v>12.075</v>
      </c>
      <c r="P36" s="22" t="n">
        <v>30.848</v>
      </c>
      <c r="Q36" s="22" t="n">
        <v>42.876</v>
      </c>
      <c r="R36" s="22" t="n">
        <v>63.135</v>
      </c>
      <c r="S36" s="22" t="n">
        <v>43.324</v>
      </c>
      <c r="T36" s="22" t="n">
        <v>110.995</v>
      </c>
      <c r="U36" s="22" t="n">
        <v>68.81</v>
      </c>
      <c r="V36" s="22" t="n">
        <v>138.701</v>
      </c>
      <c r="W36" s="22" t="n">
        <v>296.983</v>
      </c>
      <c r="X36" s="22" t="n">
        <v>1064.159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60.544</v>
      </c>
      <c r="D38" s="22" t="n">
        <v>59.823</v>
      </c>
      <c r="E38" s="22" t="n">
        <v>82.84099999999999</v>
      </c>
      <c r="F38" s="22" t="n">
        <v>183.138</v>
      </c>
      <c r="G38" s="22" t="n">
        <v>86.565</v>
      </c>
      <c r="H38" s="22" t="n">
        <v>32.07</v>
      </c>
      <c r="I38" s="22" t="n">
        <v>80.364</v>
      </c>
      <c r="J38" s="22" t="n">
        <v>130.634</v>
      </c>
      <c r="K38" s="22" t="n">
        <v>133.313</v>
      </c>
      <c r="L38" s="22" t="n">
        <v>118.343</v>
      </c>
      <c r="M38" s="22" t="n">
        <v>172.737</v>
      </c>
      <c r="N38" s="22" t="n">
        <v>199.088</v>
      </c>
      <c r="O38" s="21" t="n">
        <v>225.73</v>
      </c>
      <c r="P38" s="22" t="n">
        <v>202.378</v>
      </c>
      <c r="Q38" s="22" t="n">
        <v>214.243</v>
      </c>
      <c r="R38" s="22" t="n">
        <v>212.697</v>
      </c>
      <c r="S38" s="22" t="n">
        <v>316.115</v>
      </c>
      <c r="T38" s="22" t="n">
        <v>224.704</v>
      </c>
      <c r="U38" s="22" t="n">
        <v>196.032</v>
      </c>
      <c r="V38" s="22" t="n">
        <v>259.129</v>
      </c>
      <c r="W38" s="22" t="n">
        <v>382.137</v>
      </c>
      <c r="X38" s="22" t="n">
        <v>555.027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98.28400000000001</v>
      </c>
      <c r="D40" s="12" t="n">
        <v>152.906</v>
      </c>
      <c r="E40" s="12" t="n">
        <v>444.214</v>
      </c>
      <c r="F40" s="12" t="n">
        <v>95.13</v>
      </c>
      <c r="G40" s="12" t="n">
        <v>976.883</v>
      </c>
      <c r="H40" s="12" t="n">
        <v>1377.78</v>
      </c>
      <c r="I40" s="12" t="n">
        <v>1529.431</v>
      </c>
      <c r="J40" s="12" t="n">
        <v>-438.299</v>
      </c>
      <c r="K40" s="12" t="n">
        <v>-388.094</v>
      </c>
      <c r="L40" s="12" t="n">
        <v>148.446</v>
      </c>
      <c r="M40" s="12" t="n">
        <v>922.269</v>
      </c>
      <c r="N40" s="12" t="n">
        <v>1257.605</v>
      </c>
      <c r="O40" s="11" t="n">
        <v>796.029</v>
      </c>
      <c r="P40" s="12" t="n">
        <v>542.249</v>
      </c>
      <c r="Q40" s="12" t="n">
        <v>323.905</v>
      </c>
      <c r="R40" s="12" t="n">
        <v>376.804</v>
      </c>
      <c r="S40" s="12" t="n">
        <v>1084.857</v>
      </c>
      <c r="T40" s="12" t="n">
        <v>386.549</v>
      </c>
      <c r="U40" s="12" t="n">
        <v>959.799</v>
      </c>
      <c r="V40" s="12" t="n">
        <v>829.668</v>
      </c>
      <c r="W40" s="12" t="n">
        <v>3979.224</v>
      </c>
      <c r="X40" s="12" t="n">
        <v>244.322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46.442</v>
      </c>
      <c r="D41" s="22" t="n">
        <v>22.421</v>
      </c>
      <c r="E41" s="22" t="n">
        <v>90.515</v>
      </c>
      <c r="F41" s="22" t="n">
        <v>54.421</v>
      </c>
      <c r="G41" s="22" t="n">
        <v>309.433</v>
      </c>
      <c r="H41" s="22" t="n">
        <v>441.617</v>
      </c>
      <c r="I41" s="22" t="n">
        <v>220.398</v>
      </c>
      <c r="J41" s="22" t="n">
        <v>-119.319</v>
      </c>
      <c r="K41" s="22" t="n">
        <v>-89.794</v>
      </c>
      <c r="L41" s="22" t="n">
        <v>67.03400000000001</v>
      </c>
      <c r="M41" s="22" t="n">
        <v>151.604</v>
      </c>
      <c r="N41" s="22" t="n">
        <v>400.032</v>
      </c>
      <c r="O41" s="21" t="n">
        <v>247.158</v>
      </c>
      <c r="P41" s="22" t="n">
        <v>190.151</v>
      </c>
      <c r="Q41" s="22" t="n">
        <v>175.535</v>
      </c>
      <c r="R41" s="22" t="n">
        <v>171.579</v>
      </c>
      <c r="S41" s="22" t="n">
        <v>304.897</v>
      </c>
      <c r="T41" s="22" t="n">
        <v>86.342</v>
      </c>
      <c r="U41" s="22" t="n">
        <v>288.045</v>
      </c>
      <c r="V41" s="22" t="n">
        <v>194.436</v>
      </c>
      <c r="W41" s="22" t="n">
        <v>1025.869</v>
      </c>
      <c r="X41" s="22" t="n">
        <v>9.525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51.842</v>
      </c>
      <c r="D43" s="12" t="n">
        <v>130.486</v>
      </c>
      <c r="E43" s="12" t="n">
        <v>353.699</v>
      </c>
      <c r="F43" s="12" t="n">
        <v>40.709</v>
      </c>
      <c r="G43" s="12" t="n">
        <v>667.449</v>
      </c>
      <c r="H43" s="12" t="n">
        <v>936.164</v>
      </c>
      <c r="I43" s="12" t="n">
        <v>1309.033</v>
      </c>
      <c r="J43" s="12" t="n">
        <v>-318.98</v>
      </c>
      <c r="K43" s="12" t="n">
        <v>-298.3</v>
      </c>
      <c r="L43" s="12" t="n">
        <v>81.413</v>
      </c>
      <c r="M43" s="12" t="n">
        <v>770.664</v>
      </c>
      <c r="N43" s="12" t="n">
        <v>857.572</v>
      </c>
      <c r="O43" s="11" t="n">
        <v>548.871</v>
      </c>
      <c r="P43" s="12" t="n">
        <v>352.098</v>
      </c>
      <c r="Q43" s="12" t="n">
        <v>148.369</v>
      </c>
      <c r="R43" s="12" t="n">
        <v>205.224</v>
      </c>
      <c r="S43" s="12" t="n">
        <v>779.9589999999999</v>
      </c>
      <c r="T43" s="12" t="n">
        <v>300.206</v>
      </c>
      <c r="U43" s="12" t="n">
        <v>671.754</v>
      </c>
      <c r="V43" s="12" t="n">
        <v>635.232</v>
      </c>
      <c r="W43" s="12" t="n">
        <v>2953.355</v>
      </c>
      <c r="X43" s="12" t="n">
        <v>234.797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66.672</v>
      </c>
      <c r="D44" s="12" t="n">
        <v>128.866</v>
      </c>
      <c r="E44" s="12" t="n">
        <v>347.712</v>
      </c>
      <c r="F44" s="12" t="n">
        <v>41.721</v>
      </c>
      <c r="G44" s="12" t="n">
        <v>668.35</v>
      </c>
      <c r="H44" s="12" t="n">
        <v>932.2</v>
      </c>
      <c r="I44" s="12" t="n">
        <v>1295.188</v>
      </c>
      <c r="J44" s="12" t="n">
        <v>-324.379</v>
      </c>
      <c r="K44" s="12" t="n">
        <v>-302.384</v>
      </c>
      <c r="L44" s="12" t="n">
        <v>75.738</v>
      </c>
      <c r="M44" s="12" t="n">
        <v>767.048</v>
      </c>
      <c r="N44" s="12" t="n">
        <v>855.926</v>
      </c>
      <c r="O44" s="11" t="n">
        <v>548.871</v>
      </c>
      <c r="P44" s="12" t="n">
        <v>349.469</v>
      </c>
      <c r="Q44" s="12" t="n">
        <v>91.639</v>
      </c>
      <c r="R44" s="12" t="n">
        <v>160.091</v>
      </c>
      <c r="S44" s="12" t="n">
        <v>758.3630000000001</v>
      </c>
      <c r="T44" s="12" t="n">
        <v>275.451</v>
      </c>
      <c r="U44" s="12" t="n">
        <v>666.551</v>
      </c>
      <c r="V44" s="12" t="n">
        <v>651.716</v>
      </c>
      <c r="W44" s="12" t="n">
        <v>2937.459</v>
      </c>
      <c r="X44" s="12" t="n">
        <v>216.023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2927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41890700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5237.51</v>
      </c>
      <c r="D78" s="12" t="n">
        <v>5315.83</v>
      </c>
      <c r="E78" s="12" t="n">
        <v>6167.796</v>
      </c>
      <c r="F78" s="12" t="n">
        <v>5935.785</v>
      </c>
      <c r="G78" s="12" t="n">
        <v>7335.885</v>
      </c>
      <c r="H78" s="12" t="n">
        <v>8125.387</v>
      </c>
      <c r="I78" s="12" t="n">
        <v>10015.325</v>
      </c>
      <c r="J78" s="12" t="n">
        <v>7492.152</v>
      </c>
      <c r="K78" s="12" t="n">
        <v>8139.01</v>
      </c>
      <c r="L78" s="12" t="n">
        <v>8393.405000000001</v>
      </c>
      <c r="M78" s="12" t="n">
        <v>11277.082</v>
      </c>
      <c r="N78" s="12" t="n">
        <v>11134.597</v>
      </c>
      <c r="T78" s="12" t="n">
        <v>5396.722</v>
      </c>
      <c r="U78" s="12" t="n">
        <v>5578.95</v>
      </c>
      <c r="V78" s="12" t="n">
        <v>6167.796</v>
      </c>
      <c r="W78" s="12" t="n">
        <v>10015.325</v>
      </c>
      <c r="X78" s="12" t="n">
        <v>11277.082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3884.069</v>
      </c>
      <c r="D80" s="22" t="n">
        <v>3929.928</v>
      </c>
      <c r="E80" s="22" t="n">
        <v>4457.149</v>
      </c>
      <c r="F80" s="22" t="n">
        <v>4236.884</v>
      </c>
      <c r="G80" s="22" t="n">
        <v>4685.563</v>
      </c>
      <c r="H80" s="22" t="n">
        <v>5159.102</v>
      </c>
      <c r="I80" s="22" t="n">
        <v>6100.555</v>
      </c>
      <c r="J80" s="22" t="n">
        <v>5948.216</v>
      </c>
      <c r="K80" s="22" t="n">
        <v>6534.127</v>
      </c>
      <c r="L80" s="22" t="n">
        <v>6504.314</v>
      </c>
      <c r="M80" s="22" t="n">
        <v>8358.476000000001</v>
      </c>
      <c r="N80" s="22" t="n">
        <v>7713.234</v>
      </c>
      <c r="T80" s="22" t="n">
        <v>4032.635</v>
      </c>
      <c r="U80" s="22" t="n">
        <v>4032.751</v>
      </c>
      <c r="V80" s="22" t="n">
        <v>4457.149</v>
      </c>
      <c r="W80" s="22" t="n">
        <v>6100.555</v>
      </c>
      <c r="X80" s="22" t="n">
        <v>8358.476000000001</v>
      </c>
    </row>
    <row r="81">
      <c r="A81" s="9" t="inlineStr">
        <is>
          <t>매출총이익</t>
        </is>
      </c>
      <c r="C81" s="12" t="n">
        <v>1353.442</v>
      </c>
      <c r="D81" s="12" t="n">
        <v>1385.901</v>
      </c>
      <c r="E81" s="12" t="n">
        <v>1710.647</v>
      </c>
      <c r="F81" s="12" t="n">
        <v>1698.9</v>
      </c>
      <c r="G81" s="12" t="n">
        <v>2650.323</v>
      </c>
      <c r="H81" s="12" t="n">
        <v>2966.284</v>
      </c>
      <c r="I81" s="12" t="n">
        <v>3914.771</v>
      </c>
      <c r="J81" s="12" t="n">
        <v>1543.935</v>
      </c>
      <c r="K81" s="12" t="n">
        <v>1604.883</v>
      </c>
      <c r="L81" s="12" t="n">
        <v>1889.092</v>
      </c>
      <c r="M81" s="12" t="n">
        <v>2918.605</v>
      </c>
      <c r="N81" s="12" t="n">
        <v>3421.363</v>
      </c>
      <c r="T81" s="12" t="n">
        <v>1364.087</v>
      </c>
      <c r="U81" s="12" t="n">
        <v>1546.199</v>
      </c>
      <c r="V81" s="12" t="n">
        <v>1710.647</v>
      </c>
      <c r="W81" s="12" t="n">
        <v>3914.771</v>
      </c>
      <c r="X81" s="12" t="n">
        <v>2918.605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대손충당금 전입</t>
        </is>
      </c>
      <c r="C83" s="22" t="n">
        <v>0.577</v>
      </c>
      <c r="D83" s="22" t="n">
        <v>0.316</v>
      </c>
      <c r="E83" s="22" t="n">
        <v>-0.49</v>
      </c>
      <c r="F83" s="22" t="n">
        <v>0.984</v>
      </c>
      <c r="G83" s="22" t="n">
        <v>0.332</v>
      </c>
      <c r="H83" s="22" t="n">
        <v>0.345</v>
      </c>
      <c r="I83" s="22" t="n">
        <v>1.108</v>
      </c>
      <c r="J83" s="22" t="n">
        <v>1.976</v>
      </c>
      <c r="K83" s="22" t="n">
        <v>-0.201</v>
      </c>
      <c r="L83" s="22" t="n">
        <v>3.618</v>
      </c>
      <c r="M83" s="22" t="n">
        <v>0.505</v>
      </c>
      <c r="N83" s="22" t="n">
        <v>0.043</v>
      </c>
      <c r="T83" s="22" t="n">
        <v>0.005</v>
      </c>
      <c r="U83" s="22" t="n">
        <v>-1.174</v>
      </c>
      <c r="V83" s="22" t="n">
        <v>-0.49</v>
      </c>
      <c r="W83" s="22" t="n">
        <v>1.108</v>
      </c>
      <c r="X83" s="22" t="n">
        <v>0.505</v>
      </c>
    </row>
    <row r="84">
      <c r="A84" s="20" t="inlineStr">
        <is>
          <t>급여·수당</t>
        </is>
      </c>
      <c r="C84" s="22" t="n">
        <v>352.304</v>
      </c>
      <c r="D84" s="22" t="n">
        <v>490.886</v>
      </c>
      <c r="E84" s="22" t="n">
        <v>368.378</v>
      </c>
      <c r="F84" s="22" t="n">
        <v>453.048</v>
      </c>
      <c r="G84" s="22" t="n">
        <v>465.006</v>
      </c>
      <c r="H84" s="22" t="n">
        <v>656.981</v>
      </c>
      <c r="I84" s="22" t="n">
        <v>607.722</v>
      </c>
      <c r="J84" s="22" t="n">
        <v>615.433</v>
      </c>
      <c r="K84" s="22" t="n">
        <v>679.801</v>
      </c>
      <c r="L84" s="22" t="n">
        <v>925.864</v>
      </c>
      <c r="M84" s="22" t="n">
        <v>715.853</v>
      </c>
      <c r="N84" s="22" t="n">
        <v>796.379</v>
      </c>
      <c r="T84" s="22" t="n">
        <v>289.519</v>
      </c>
      <c r="U84" s="22" t="n">
        <v>328.029</v>
      </c>
      <c r="V84" s="22" t="n">
        <v>368.378</v>
      </c>
      <c r="W84" s="22" t="n">
        <v>607.722</v>
      </c>
      <c r="X84" s="22" t="n">
        <v>715.853</v>
      </c>
    </row>
    <row r="85">
      <c r="A85" s="20" t="inlineStr">
        <is>
          <t>상여충당금 전입</t>
        </is>
      </c>
      <c r="C85" s="22" t="n">
        <v>78.821</v>
      </c>
      <c r="D85" s="22" t="n">
        <v>-59.454</v>
      </c>
      <c r="E85" s="22" t="n">
        <v>67.70399999999999</v>
      </c>
      <c r="F85" s="22" t="n">
        <v>92.941</v>
      </c>
      <c r="G85" s="22" t="n">
        <v>88.996</v>
      </c>
      <c r="H85" s="22" t="n">
        <v>-70.34999999999999</v>
      </c>
      <c r="I85" s="22" t="n">
        <v>178.681</v>
      </c>
      <c r="J85" s="22" t="n">
        <v>124.814</v>
      </c>
      <c r="K85" s="22" t="n">
        <v>162.47</v>
      </c>
      <c r="L85" s="22" t="n">
        <v>-129.591</v>
      </c>
      <c r="M85" s="22" t="n">
        <v>179.255</v>
      </c>
      <c r="N85" s="22" t="n">
        <v>159.367</v>
      </c>
      <c r="T85" s="22" t="n">
        <v>61.683</v>
      </c>
      <c r="U85" s="22" t="n">
        <v>69.19199999999999</v>
      </c>
      <c r="V85" s="22" t="n">
        <v>67.70399999999999</v>
      </c>
      <c r="W85" s="22" t="n">
        <v>178.681</v>
      </c>
      <c r="X85" s="22" t="n">
        <v>179.255</v>
      </c>
    </row>
    <row r="86">
      <c r="A86" s="20" t="inlineStr">
        <is>
          <t>임원 퇴직위로 충당금 전입</t>
        </is>
      </c>
      <c r="F86" s="22" t="n">
        <v>0</v>
      </c>
      <c r="G86" s="22" t="n">
        <v>0</v>
      </c>
      <c r="H86" s="22" t="n">
        <v>0</v>
      </c>
      <c r="I86" s="22" t="n">
        <v>50.638</v>
      </c>
      <c r="J86" s="22" t="n">
        <v>12.802</v>
      </c>
      <c r="K86" s="22" t="n">
        <v>2.446</v>
      </c>
      <c r="L86" s="22" t="n">
        <v>2.446</v>
      </c>
      <c r="M86" s="22" t="n">
        <v>2.447</v>
      </c>
      <c r="N86" s="22" t="n">
        <v>14.446</v>
      </c>
      <c r="W86" s="22" t="n">
        <v>50.638</v>
      </c>
      <c r="X86" s="22" t="n">
        <v>2.447</v>
      </c>
    </row>
    <row r="87">
      <c r="A87" s="20" t="inlineStr">
        <is>
          <t>퇴직급여비용</t>
        </is>
      </c>
      <c r="H87" s="22" t="n">
        <v>0</v>
      </c>
      <c r="I87" s="22" t="n">
        <v>30</v>
      </c>
      <c r="J87" s="22" t="n">
        <v>0</v>
      </c>
      <c r="K87" s="22" t="n">
        <v>1.5</v>
      </c>
      <c r="L87" s="22" t="n">
        <v>0.75</v>
      </c>
      <c r="M87" s="22" t="n">
        <v>0.8</v>
      </c>
      <c r="N87" s="22" t="n">
        <v>0.9</v>
      </c>
      <c r="W87" s="22" t="n">
        <v>30</v>
      </c>
      <c r="X87" s="22" t="n">
        <v>0.8</v>
      </c>
    </row>
    <row r="88">
      <c r="A88" s="20" t="inlineStr">
        <is>
          <t>지급수수료</t>
        </is>
      </c>
      <c r="F88" s="22" t="n">
        <v>305.837</v>
      </c>
      <c r="G88" s="22" t="n">
        <v>356.703</v>
      </c>
      <c r="H88" s="22" t="n">
        <v>361.766</v>
      </c>
      <c r="I88" s="22" t="n">
        <v>432.686</v>
      </c>
      <c r="J88" s="22" t="n">
        <v>450.458</v>
      </c>
      <c r="K88" s="22" t="n">
        <v>361.404</v>
      </c>
      <c r="L88" s="22" t="n">
        <v>385.465</v>
      </c>
      <c r="M88" s="22" t="n">
        <v>413.389</v>
      </c>
      <c r="N88" s="22" t="n">
        <v>330.858</v>
      </c>
      <c r="W88" s="22" t="n">
        <v>432.686</v>
      </c>
      <c r="X88" s="22" t="n">
        <v>413.389</v>
      </c>
    </row>
    <row r="89">
      <c r="A89" s="20" t="inlineStr">
        <is>
          <t>기타</t>
        </is>
      </c>
      <c r="C89" s="22" t="n">
        <v>776.659</v>
      </c>
      <c r="D89" s="22" t="n">
        <v>755.061</v>
      </c>
      <c r="E89" s="22" t="n">
        <v>-429.901</v>
      </c>
      <c r="F89" s="22" t="n">
        <v>614.321</v>
      </c>
      <c r="G89" s="22" t="n">
        <v>675.165</v>
      </c>
      <c r="H89" s="22" t="n">
        <v>728.013</v>
      </c>
      <c r="I89" s="22" t="n">
        <v>714.141</v>
      </c>
      <c r="J89" s="22" t="n">
        <v>795.621</v>
      </c>
      <c r="K89" s="22" t="n">
        <v>861.106</v>
      </c>
      <c r="L89" s="22" t="n">
        <v>897.207</v>
      </c>
      <c r="M89" s="22" t="n">
        <v>515.975</v>
      </c>
      <c r="N89" s="22" t="n">
        <v>888.688</v>
      </c>
      <c r="T89" s="22" t="n">
        <v>-461.657</v>
      </c>
      <c r="U89" s="22" t="n">
        <v>-383.781</v>
      </c>
      <c r="V89" s="22" t="n">
        <v>-429.901</v>
      </c>
      <c r="W89" s="22" t="n">
        <v>714.141</v>
      </c>
      <c r="X89" s="22" t="n">
        <v>515.975</v>
      </c>
    </row>
    <row r="90">
      <c r="A90" s="20" t="inlineStr">
        <is>
          <t>판매비와 관리비 합계</t>
        </is>
      </c>
      <c r="C90" s="22" t="n">
        <v>1208.361</v>
      </c>
      <c r="D90" s="22" t="n">
        <v>1186.81</v>
      </c>
      <c r="E90" s="22" t="n">
        <v>1274.723</v>
      </c>
      <c r="F90" s="22" t="n">
        <v>1467.133</v>
      </c>
      <c r="G90" s="22" t="n">
        <v>1586.202</v>
      </c>
      <c r="H90" s="22" t="n">
        <v>1676.755</v>
      </c>
      <c r="I90" s="22" t="n">
        <v>2354.602</v>
      </c>
      <c r="J90" s="22" t="n">
        <v>2001.106</v>
      </c>
      <c r="K90" s="22" t="n">
        <v>2068.527</v>
      </c>
      <c r="L90" s="22" t="n">
        <v>2085.757</v>
      </c>
      <c r="M90" s="22" t="n">
        <v>2204.78</v>
      </c>
      <c r="N90" s="22" t="n">
        <v>2190.684</v>
      </c>
      <c r="T90" s="22" t="n">
        <v>1039.892</v>
      </c>
      <c r="U90" s="22" t="n">
        <v>1147.174</v>
      </c>
      <c r="V90" s="22" t="n">
        <v>1274.723</v>
      </c>
      <c r="W90" s="22" t="n">
        <v>2354.602</v>
      </c>
      <c r="X90" s="22" t="n">
        <v>2204.78</v>
      </c>
    </row>
    <row r="91">
      <c r="A91" s="9" t="inlineStr">
        <is>
          <t>영업이익(손실)</t>
        </is>
      </c>
      <c r="C91" s="12" t="n">
        <v>145.081</v>
      </c>
      <c r="D91" s="12" t="n">
        <v>199.092</v>
      </c>
      <c r="E91" s="12" t="n">
        <v>435.923</v>
      </c>
      <c r="F91" s="12" t="n">
        <v>231.767</v>
      </c>
      <c r="G91" s="12" t="n">
        <v>1064.12</v>
      </c>
      <c r="H91" s="12" t="n">
        <v>1289.53</v>
      </c>
      <c r="I91" s="12" t="n">
        <v>1560.169</v>
      </c>
      <c r="J91" s="12" t="n">
        <v>-457.171</v>
      </c>
      <c r="K91" s="12" t="n">
        <v>-463.644</v>
      </c>
      <c r="L91" s="12" t="n">
        <v>-196.665</v>
      </c>
      <c r="M91" s="12" t="n">
        <v>713.826</v>
      </c>
      <c r="N91" s="12" t="n">
        <v>1230.678</v>
      </c>
      <c r="T91" s="12" t="n">
        <v>324.195</v>
      </c>
      <c r="U91" s="12" t="n">
        <v>399.025</v>
      </c>
      <c r="V91" s="12" t="n">
        <v>435.923</v>
      </c>
      <c r="W91" s="12" t="n">
        <v>1560.169</v>
      </c>
      <c r="X91" s="12" t="n">
        <v>713.826</v>
      </c>
    </row>
    <row r="92">
      <c r="A92" s="45" t="inlineStr">
        <is>
          <t>OPM</t>
        </is>
      </c>
      <c r="B92" s="3" t="inlineStr">
        <is>
          <t>영업이익 ÷ 매출</t>
        </is>
      </c>
      <c r="C92" s="17">
        <f>IF(OR(C91="",C78=""),"",IF(C78&lt;=0,"",IFERROR(C91/C78,"")))</f>
        <v/>
      </c>
      <c r="D92" s="17">
        <f>IF(OR(D91="",D78=""),"",IF(D78&lt;=0,"",IFERROR(D91/D78,"")))</f>
        <v/>
      </c>
      <c r="E92" s="17">
        <f>IF(OR(E91="",E78=""),"",IF(E78&lt;=0,"",IFERROR(E91/E78,"")))</f>
        <v/>
      </c>
      <c r="F92" s="17">
        <f>IF(OR(F91="",F78=""),"",IF(F78&lt;=0,"",IFERROR(F91/F78,"")))</f>
        <v/>
      </c>
      <c r="G92" s="17">
        <f>IF(OR(G91="",G78=""),"",IF(G78&lt;=0,"",IFERROR(G91/G78,"")))</f>
        <v/>
      </c>
      <c r="H92" s="17">
        <f>IF(OR(H91="",H78=""),"",IF(H78&lt;=0,"",IFERROR(H91/H78,"")))</f>
        <v/>
      </c>
      <c r="I92" s="17">
        <f>IF(OR(I91="",I78=""),"",IF(I78&lt;=0,"",IFERROR(I91/I78,"")))</f>
        <v/>
      </c>
      <c r="J92" s="17">
        <f>IF(OR(J91="",J78=""),"",IF(J78&lt;=0,"",IFERROR(J91/J78,"")))</f>
        <v/>
      </c>
      <c r="K92" s="17">
        <f>IF(OR(K91="",K78=""),"",IF(K78&lt;=0,"",IFERROR(K91/K78,"")))</f>
        <v/>
      </c>
      <c r="L92" s="17">
        <f>IF(OR(L91="",L78=""),"",IF(L78&lt;=0,"",IFERROR(L91/L78,"")))</f>
        <v/>
      </c>
      <c r="M92" s="17">
        <f>IF(OR(M91="",M78=""),"",IF(M78&lt;=0,"",IFERROR(M91/M78,"")))</f>
        <v/>
      </c>
      <c r="N92" s="17">
        <f>IF(OR(N91="",N78=""),"",IF(N78&lt;=0,"",IFERROR(N91/N78,"")))</f>
        <v/>
      </c>
      <c r="T92" s="17">
        <f>IF(OR(T91="",T78=""),"",IF(T78&lt;=0,"",IFERROR(T91/T78,"")))</f>
        <v/>
      </c>
      <c r="U92" s="17">
        <f>IF(OR(U91="",U78=""),"",IF(U78&lt;=0,"",IFERROR(U91/U78,"")))</f>
        <v/>
      </c>
      <c r="V92" s="17">
        <f>IF(OR(V91="",V78=""),"",IF(V78&lt;=0,"",IFERROR(V91/V78,"")))</f>
        <v/>
      </c>
      <c r="W92" s="17">
        <f>IF(OR(W91="",W78=""),"",IF(W78&lt;=0,"",IFERROR(W91/W78,"")))</f>
        <v/>
      </c>
      <c r="X92" s="17">
        <f>IF(OR(X91="",X78=""),"",IF(X78&lt;=0,"",IFERROR(X91/X78,"")))</f>
        <v/>
      </c>
    </row>
    <row r="93">
      <c r="A93" s="45" t="inlineStr">
        <is>
          <t>YoY</t>
        </is>
      </c>
      <c r="B93" s="3" t="inlineStr">
        <is>
          <t>전년 같은 분기·전년 대비</t>
        </is>
      </c>
      <c r="G93" s="17">
        <f>IF(OR(G91="",C91=""),"",IF(C91&lt;=0,"",IFERROR(G91/C91-1,"")))</f>
        <v/>
      </c>
      <c r="H93" s="17">
        <f>IF(OR(H91="",D91=""),"",IF(D91&lt;=0,"",IFERROR(H91/D91-1,"")))</f>
        <v/>
      </c>
      <c r="I93" s="17">
        <f>IF(OR(I91="",E91=""),"",IF(E91&lt;=0,"",IFERROR(I91/E91-1,"")))</f>
        <v/>
      </c>
      <c r="J93" s="17">
        <f>IF(OR(J91="",F91=""),"",IF(F91&lt;=0,"",IFERROR(J91/F91-1,"")))</f>
        <v/>
      </c>
      <c r="K93" s="17">
        <f>IF(OR(K91="",G91=""),"",IF(G91&lt;=0,"",IFERROR(K91/G91-1,"")))</f>
        <v/>
      </c>
      <c r="L93" s="17">
        <f>IF(OR(L91="",H91=""),"",IF(H91&lt;=0,"",IFERROR(L91/H91-1,"")))</f>
        <v/>
      </c>
      <c r="M93" s="17">
        <f>IF(OR(M91="",I91=""),"",IF(I91&lt;=0,"",IFERROR(M91/I91-1,"")))</f>
        <v/>
      </c>
      <c r="N93" s="17">
        <f>IF(OR(N91="",J91=""),"",IF(J91&lt;=0,"",IFERROR(N91/J91-1,"")))</f>
        <v/>
      </c>
      <c r="T93" s="17">
        <f>IF(OR(T91="",S91=""),"",IF(S91&lt;=0,"",IFERROR(T91/S91-1,"")))</f>
        <v/>
      </c>
      <c r="U93" s="17">
        <f>IF(OR(U91="",T91=""),"",IF(T91&lt;=0,"",IFERROR(U91/T91-1,"")))</f>
        <v/>
      </c>
      <c r="V93" s="17">
        <f>IF(OR(V91="",U91=""),"",IF(U91&lt;=0,"",IFERROR(V91/U91-1,"")))</f>
        <v/>
      </c>
      <c r="W93" s="17">
        <f>IF(OR(W91="",V91=""),"",IF(V91&lt;=0,"",IFERROR(W91/V91-1,"")))</f>
        <v/>
      </c>
      <c r="X93" s="17">
        <f>IF(OR(X91="",W91=""),"",IF(W91&lt;=0,"",IFERROR(X91/W91-1,"")))</f>
        <v/>
      </c>
    </row>
    <row r="94">
      <c r="A94" s="20" t="inlineStr">
        <is>
          <t>이자수익</t>
        </is>
      </c>
      <c r="C94" s="22" t="n">
        <v>0.012</v>
      </c>
      <c r="D94" s="22" t="n">
        <v>0.011</v>
      </c>
      <c r="E94" s="22" t="n">
        <v>0.102</v>
      </c>
      <c r="F94" s="22" t="n">
        <v>1.467</v>
      </c>
      <c r="G94" s="22" t="n">
        <v>0.3</v>
      </c>
      <c r="H94" s="22" t="n">
        <v>1.04</v>
      </c>
      <c r="I94" s="22" t="n">
        <v>14.487</v>
      </c>
      <c r="J94" s="22" t="n">
        <v>0.994</v>
      </c>
      <c r="K94" s="22" t="n">
        <v>24.108</v>
      </c>
      <c r="L94" s="22" t="n">
        <v>9.542999999999999</v>
      </c>
      <c r="M94" s="22" t="n">
        <v>11.689</v>
      </c>
      <c r="N94" s="22" t="n">
        <v>14.507</v>
      </c>
      <c r="T94" s="22" t="n">
        <v>0.021</v>
      </c>
      <c r="U94" s="22" t="n">
        <v>0.015</v>
      </c>
      <c r="V94" s="22" t="n">
        <v>0.102</v>
      </c>
      <c r="W94" s="22" t="n">
        <v>14.487</v>
      </c>
      <c r="X94" s="22" t="n">
        <v>11.689</v>
      </c>
    </row>
    <row r="95">
      <c r="A95" s="20" t="inlineStr">
        <is>
          <t>지분법이익</t>
        </is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19.571</v>
      </c>
      <c r="I95" s="22" t="n">
        <v>6.642</v>
      </c>
      <c r="J95" s="22" t="n">
        <v>37.234</v>
      </c>
      <c r="K95" s="22" t="n">
        <v>3.122</v>
      </c>
      <c r="L95" s="22" t="n">
        <v>18.229</v>
      </c>
      <c r="M95" s="22" t="n">
        <v>18.686</v>
      </c>
      <c r="N95" s="22" t="n">
        <v>51.464</v>
      </c>
      <c r="T95" s="22" t="n">
        <v>4.56</v>
      </c>
      <c r="U95" s="22" t="n">
        <v>-4.654</v>
      </c>
      <c r="V95" s="22" t="n">
        <v>0</v>
      </c>
      <c r="W95" s="22" t="n">
        <v>6.642</v>
      </c>
      <c r="X95" s="22" t="n">
        <v>18.686</v>
      </c>
    </row>
    <row r="96">
      <c r="A96" s="20" t="inlineStr">
        <is>
          <t>대손충당금 환입</t>
        </is>
      </c>
      <c r="C96" s="22" t="n">
        <v>0.081</v>
      </c>
      <c r="D96" s="22" t="n">
        <v>-0.01</v>
      </c>
      <c r="E96" s="22" t="n">
        <v>-0.182</v>
      </c>
      <c r="F96" s="22" t="n">
        <v>0.317</v>
      </c>
      <c r="G96" s="22" t="n">
        <v>0.079</v>
      </c>
      <c r="H96" s="22" t="n">
        <v>0.097</v>
      </c>
      <c r="I96" s="22" t="n">
        <v>0.053</v>
      </c>
      <c r="J96" s="22" t="n">
        <v>0</v>
      </c>
      <c r="K96" s="22" t="n">
        <v>0</v>
      </c>
      <c r="L96" s="22" t="n">
        <v>0</v>
      </c>
      <c r="M96" s="22" t="n">
        <v>0</v>
      </c>
      <c r="T96" s="22" t="n">
        <v>-0.364</v>
      </c>
      <c r="U96" s="22" t="n">
        <v>-0.274</v>
      </c>
      <c r="V96" s="22" t="n">
        <v>-0.182</v>
      </c>
      <c r="W96" s="22" t="n">
        <v>0.053</v>
      </c>
      <c r="X96" s="22" t="n">
        <v>0</v>
      </c>
    </row>
    <row r="97">
      <c r="A97" s="20" t="inlineStr">
        <is>
          <t>업무수탁료</t>
        </is>
      </c>
      <c r="E97" s="22" t="n">
        <v>3.575</v>
      </c>
      <c r="U97" s="22" t="n">
        <v>4.115</v>
      </c>
      <c r="V97" s="22" t="n">
        <v>3.575</v>
      </c>
    </row>
    <row r="98">
      <c r="A98" s="20" t="inlineStr">
        <is>
          <t>암호자산 매각이익</t>
        </is>
      </c>
      <c r="C98" s="22" t="n">
        <v>0</v>
      </c>
      <c r="D98" s="22" t="n">
        <v>0</v>
      </c>
    </row>
    <row r="99">
      <c r="A99" s="20" t="inlineStr">
        <is>
          <t>Temporary Transfer Charges Income NOI</t>
        </is>
      </c>
      <c r="C99" s="22" t="n">
        <v>3.234</v>
      </c>
      <c r="D99" s="22" t="n">
        <v>2.89</v>
      </c>
      <c r="E99" s="22" t="n">
        <v>1.869</v>
      </c>
      <c r="T99" s="22" t="n">
        <v>5.412</v>
      </c>
      <c r="U99" s="22" t="n">
        <v>4.684</v>
      </c>
      <c r="V99" s="22" t="n">
        <v>1.869</v>
      </c>
    </row>
    <row r="100">
      <c r="A100" s="20" t="inlineStr">
        <is>
          <t>보조금 수입</t>
        </is>
      </c>
      <c r="C100" s="22" t="n">
        <v>0</v>
      </c>
      <c r="D100" s="22" t="n">
        <v>0</v>
      </c>
      <c r="E100" s="22" t="n">
        <v>9.494999999999999</v>
      </c>
      <c r="F100" s="22" t="n">
        <v>25.292</v>
      </c>
      <c r="G100" s="22" t="n">
        <v>20.066</v>
      </c>
      <c r="H100" s="22" t="n">
        <v>51.59</v>
      </c>
      <c r="I100" s="22" t="n">
        <v>63.831</v>
      </c>
      <c r="J100" s="22" t="n">
        <v>92.321</v>
      </c>
      <c r="K100" s="22" t="n">
        <v>170.64</v>
      </c>
      <c r="L100" s="22" t="n">
        <v>259.205</v>
      </c>
      <c r="M100" s="22" t="n">
        <v>95.462</v>
      </c>
      <c r="N100" s="22" t="n">
        <v>137.969</v>
      </c>
      <c r="V100" s="22" t="n">
        <v>9.494999999999999</v>
      </c>
      <c r="W100" s="22" t="n">
        <v>63.831</v>
      </c>
      <c r="X100" s="22" t="n">
        <v>95.462</v>
      </c>
    </row>
    <row r="101">
      <c r="A101" s="20" t="inlineStr">
        <is>
          <t>기타</t>
        </is>
      </c>
      <c r="C101" s="22" t="n">
        <v>14.989</v>
      </c>
      <c r="D101" s="22" t="n">
        <v>7.782</v>
      </c>
      <c r="E101" s="22" t="n">
        <v>-14.155</v>
      </c>
      <c r="F101" s="22" t="n">
        <v>19.502</v>
      </c>
      <c r="G101" s="22" t="n">
        <v>8.898999999999999</v>
      </c>
      <c r="H101" s="22" t="n">
        <v>56.6</v>
      </c>
      <c r="I101" s="22" t="n">
        <v>-33.707</v>
      </c>
      <c r="J101" s="22" t="n">
        <v>18.979</v>
      </c>
      <c r="K101" s="22" t="n">
        <v>25.601</v>
      </c>
      <c r="L101" s="22" t="n">
        <v>40.204</v>
      </c>
      <c r="M101" s="22" t="n">
        <v>-13.139</v>
      </c>
      <c r="N101" s="22" t="n">
        <v>22.532</v>
      </c>
      <c r="T101" s="22" t="n">
        <v>-11.388</v>
      </c>
      <c r="U101" s="22" t="n">
        <v>-10.132</v>
      </c>
      <c r="V101" s="22" t="n">
        <v>-14.155</v>
      </c>
      <c r="W101" s="22" t="n">
        <v>-33.707</v>
      </c>
      <c r="X101" s="22" t="n">
        <v>-13.139</v>
      </c>
    </row>
    <row r="102">
      <c r="A102" s="20" t="inlineStr">
        <is>
          <t>영업외수익 합계</t>
        </is>
      </c>
      <c r="C102" s="22" t="n">
        <v>15.082</v>
      </c>
      <c r="D102" s="22" t="n">
        <v>7.783</v>
      </c>
      <c r="E102" s="22" t="n">
        <v>91.265</v>
      </c>
      <c r="F102" s="22" t="n">
        <v>46.58</v>
      </c>
      <c r="G102" s="22" t="n">
        <v>29.343</v>
      </c>
      <c r="H102" s="22" t="n">
        <v>128.899</v>
      </c>
      <c r="I102" s="22" t="n">
        <v>92.161</v>
      </c>
      <c r="J102" s="22" t="n">
        <v>149.528</v>
      </c>
      <c r="K102" s="22" t="n">
        <v>223.472</v>
      </c>
      <c r="L102" s="22" t="n">
        <v>327.182</v>
      </c>
      <c r="M102" s="22" t="n">
        <v>363.977</v>
      </c>
      <c r="N102" s="22" t="n">
        <v>226.474</v>
      </c>
      <c r="T102" s="22" t="n">
        <v>25.772</v>
      </c>
      <c r="U102" s="22" t="n">
        <v>-0.032</v>
      </c>
      <c r="V102" s="22" t="n">
        <v>91.265</v>
      </c>
      <c r="W102" s="22" t="n">
        <v>92.161</v>
      </c>
      <c r="X102" s="22" t="n">
        <v>363.977</v>
      </c>
    </row>
    <row r="103">
      <c r="A103" s="20" t="inlineStr">
        <is>
          <t>이자비용</t>
        </is>
      </c>
      <c r="C103" s="22" t="n">
        <v>43.376</v>
      </c>
      <c r="D103" s="22" t="n">
        <v>44.217</v>
      </c>
      <c r="E103" s="22" t="n">
        <v>45.299</v>
      </c>
      <c r="F103" s="22" t="n">
        <v>53.729</v>
      </c>
      <c r="G103" s="22" t="n">
        <v>59.73</v>
      </c>
      <c r="H103" s="22" t="n">
        <v>64.011</v>
      </c>
      <c r="I103" s="22" t="n">
        <v>78.092</v>
      </c>
      <c r="J103" s="22" t="n">
        <v>108.696</v>
      </c>
      <c r="K103" s="22" t="n">
        <v>125.347</v>
      </c>
      <c r="L103" s="22" t="n">
        <v>143.082</v>
      </c>
      <c r="M103" s="22" t="n">
        <v>161.697</v>
      </c>
      <c r="N103" s="22" t="n">
        <v>180.876</v>
      </c>
      <c r="T103" s="22" t="n">
        <v>39.813</v>
      </c>
      <c r="U103" s="22" t="n">
        <v>38.398</v>
      </c>
      <c r="V103" s="22" t="n">
        <v>45.299</v>
      </c>
      <c r="W103" s="22" t="n">
        <v>78.092</v>
      </c>
      <c r="X103" s="22" t="n">
        <v>161.697</v>
      </c>
    </row>
    <row r="104">
      <c r="A104" s="20" t="inlineStr">
        <is>
          <t>지분법손실</t>
        </is>
      </c>
      <c r="C104" s="22" t="n">
        <v>1.667</v>
      </c>
      <c r="D104" s="22" t="n">
        <v>0.749</v>
      </c>
      <c r="E104" s="22" t="n">
        <v>-3.794</v>
      </c>
      <c r="F104" s="22" t="n">
        <v>7.383</v>
      </c>
      <c r="G104" s="22" t="n">
        <v>5.031</v>
      </c>
      <c r="H104" s="22" t="n">
        <v>-12.414</v>
      </c>
      <c r="I104" s="22" t="n">
        <v>0</v>
      </c>
      <c r="J104" s="22" t="n">
        <v>0</v>
      </c>
      <c r="K104" s="22" t="n">
        <v>0</v>
      </c>
      <c r="U104" s="22" t="n">
        <v>1.688</v>
      </c>
      <c r="V104" s="22" t="n">
        <v>-3.794</v>
      </c>
      <c r="W104" s="22" t="n">
        <v>0</v>
      </c>
    </row>
    <row r="105">
      <c r="A105" s="20" t="inlineStr">
        <is>
          <t>주식교부비</t>
        </is>
      </c>
      <c r="C105" s="22" t="n">
        <v>0</v>
      </c>
      <c r="D105" s="22" t="n">
        <v>0</v>
      </c>
      <c r="E105" s="22" t="n">
        <v>0</v>
      </c>
      <c r="F105" s="22" t="n">
        <v>109.766</v>
      </c>
      <c r="G105" s="22" t="n">
        <v>-0.238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V105" s="22" t="n">
        <v>0</v>
      </c>
      <c r="W105" s="22" t="n">
        <v>0</v>
      </c>
      <c r="X105" s="22" t="n">
        <v>0</v>
      </c>
    </row>
    <row r="106">
      <c r="A106" s="20" t="inlineStr">
        <is>
          <t>기타</t>
        </is>
      </c>
      <c r="C106" s="22" t="n">
        <v>15.501</v>
      </c>
      <c r="D106" s="22" t="n">
        <v>14.857</v>
      </c>
      <c r="E106" s="22" t="n">
        <v>-1.96</v>
      </c>
      <c r="F106" s="22" t="n">
        <v>12.26</v>
      </c>
      <c r="G106" s="22" t="n">
        <v>22.04</v>
      </c>
      <c r="H106" s="22" t="n">
        <v>-19.526</v>
      </c>
      <c r="I106" s="22" t="n">
        <v>-5.101</v>
      </c>
      <c r="J106" s="22" t="n">
        <v>21.938</v>
      </c>
      <c r="K106" s="22" t="n">
        <v>7.965</v>
      </c>
      <c r="L106" s="22" t="n">
        <v>-24.739</v>
      </c>
      <c r="M106" s="22" t="n">
        <v>5.17</v>
      </c>
      <c r="N106" s="22" t="n">
        <v>18.212</v>
      </c>
      <c r="T106" s="22" t="n">
        <v>11.257</v>
      </c>
      <c r="U106" s="22" t="n">
        <v>-19.624</v>
      </c>
      <c r="V106" s="22" t="n">
        <v>-1.96</v>
      </c>
      <c r="W106" s="22" t="n">
        <v>-5.101</v>
      </c>
      <c r="X106" s="22" t="n">
        <v>5.17</v>
      </c>
    </row>
    <row r="107">
      <c r="A107" s="20" t="inlineStr">
        <is>
          <t>영업외비용 합계</t>
        </is>
      </c>
      <c r="C107" s="22" t="n">
        <v>60.544</v>
      </c>
      <c r="D107" s="22" t="n">
        <v>59.823</v>
      </c>
      <c r="E107" s="22" t="n">
        <v>82.84099999999999</v>
      </c>
      <c r="F107" s="22" t="n">
        <v>183.138</v>
      </c>
      <c r="G107" s="22" t="n">
        <v>86.565</v>
      </c>
      <c r="H107" s="22" t="n">
        <v>32.07</v>
      </c>
      <c r="I107" s="22" t="n">
        <v>80.364</v>
      </c>
      <c r="J107" s="22" t="n">
        <v>130.634</v>
      </c>
      <c r="K107" s="22" t="n">
        <v>133.313</v>
      </c>
      <c r="L107" s="22" t="n">
        <v>118.343</v>
      </c>
      <c r="M107" s="22" t="n">
        <v>172.737</v>
      </c>
      <c r="N107" s="22" t="n">
        <v>199.088</v>
      </c>
      <c r="T107" s="22" t="n">
        <v>53.426</v>
      </c>
      <c r="U107" s="22" t="n">
        <v>48.755</v>
      </c>
      <c r="V107" s="22" t="n">
        <v>82.84099999999999</v>
      </c>
      <c r="W107" s="22" t="n">
        <v>80.364</v>
      </c>
      <c r="X107" s="22" t="n">
        <v>172.737</v>
      </c>
    </row>
    <row r="108">
      <c r="A108" s="9" t="inlineStr">
        <is>
          <t>경상이익(손실)</t>
        </is>
      </c>
      <c r="C108" s="12" t="n">
        <v>99.619</v>
      </c>
      <c r="D108" s="12" t="n">
        <v>147.052</v>
      </c>
      <c r="E108" s="12" t="n">
        <v>444.348</v>
      </c>
      <c r="F108" s="12" t="n">
        <v>95.208</v>
      </c>
      <c r="G108" s="12" t="n">
        <v>1006.9</v>
      </c>
      <c r="H108" s="12" t="n">
        <v>1386.358</v>
      </c>
      <c r="I108" s="12" t="n">
        <v>1571.965</v>
      </c>
      <c r="J108" s="12" t="n">
        <v>-438.277</v>
      </c>
      <c r="K108" s="12" t="n">
        <v>-373.485</v>
      </c>
      <c r="L108" s="12" t="n">
        <v>12.174</v>
      </c>
      <c r="M108" s="12" t="n">
        <v>905.0650000000001</v>
      </c>
      <c r="N108" s="12" t="n">
        <v>1258.064</v>
      </c>
      <c r="T108" s="12" t="n">
        <v>296.54</v>
      </c>
      <c r="U108" s="12" t="n">
        <v>350.237</v>
      </c>
      <c r="V108" s="12" t="n">
        <v>444.348</v>
      </c>
      <c r="W108" s="12" t="n">
        <v>1571.965</v>
      </c>
      <c r="X108" s="12" t="n">
        <v>905.0650000000001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고정자산 매각이익</t>
        </is>
      </c>
      <c r="C110" s="22" t="n">
        <v>0</v>
      </c>
      <c r="D110" s="22" t="n">
        <v>5.868</v>
      </c>
      <c r="E110" s="22" t="n">
        <v>0</v>
      </c>
      <c r="F110" s="22" t="n">
        <v>0.034</v>
      </c>
      <c r="G110" s="22" t="n">
        <v>0</v>
      </c>
      <c r="H110" s="22" t="n">
        <v>0.313</v>
      </c>
      <c r="I110" s="22" t="n">
        <v>0.459</v>
      </c>
      <c r="J110" s="22" t="n">
        <v>0</v>
      </c>
      <c r="K110" s="22" t="n">
        <v>0</v>
      </c>
      <c r="L110" s="22" t="n">
        <v>0.06</v>
      </c>
      <c r="M110" s="22" t="n">
        <v>0</v>
      </c>
      <c r="T110" s="22" t="n">
        <v>0.032</v>
      </c>
      <c r="U110" s="22" t="n">
        <v>4.815</v>
      </c>
      <c r="V110" s="22" t="n">
        <v>0</v>
      </c>
      <c r="W110" s="22" t="n">
        <v>0.459</v>
      </c>
      <c r="X110" s="22" t="n">
        <v>0</v>
      </c>
    </row>
    <row r="111">
      <c r="A111" s="20" t="inlineStr">
        <is>
          <t>투자유가증권 매각이익</t>
        </is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M111" s="22" t="n">
        <v>18.209</v>
      </c>
      <c r="U111" s="22" t="n">
        <v>0</v>
      </c>
      <c r="V111" s="22" t="n">
        <v>0</v>
      </c>
      <c r="W111" s="22" t="n">
        <v>0</v>
      </c>
      <c r="X111" s="22" t="n">
        <v>18.209</v>
      </c>
    </row>
    <row r="112">
      <c r="A112" s="20" t="inlineStr">
        <is>
          <t>AState Government Subsidy Income EI</t>
        </is>
      </c>
      <c r="C112" s="22" t="n">
        <v>0</v>
      </c>
      <c r="D112" s="22" t="n">
        <v>0</v>
      </c>
      <c r="E112" s="22" t="n">
        <v>1624.819</v>
      </c>
      <c r="F112" s="22" t="n">
        <v>3709.381</v>
      </c>
      <c r="G112" s="22" t="n">
        <v>0</v>
      </c>
      <c r="H112" s="22" t="n">
        <v>1623.063</v>
      </c>
      <c r="I112" s="22" t="n">
        <v>787.3</v>
      </c>
      <c r="J112" s="22" t="n">
        <v>6283.839</v>
      </c>
      <c r="K112" s="22" t="n">
        <v>0</v>
      </c>
      <c r="L112" s="22" t="n">
        <v>0</v>
      </c>
      <c r="M112" s="22" t="n">
        <v>8027.854</v>
      </c>
      <c r="N112" s="22" t="n">
        <v>2503.629</v>
      </c>
      <c r="V112" s="22" t="n">
        <v>1624.819</v>
      </c>
      <c r="W112" s="22" t="n">
        <v>787.3</v>
      </c>
      <c r="X112" s="22" t="n">
        <v>8027.854</v>
      </c>
    </row>
    <row r="113">
      <c r="A113" s="20" t="inlineStr">
        <is>
          <t>특별이익 합계</t>
        </is>
      </c>
      <c r="C113" s="22" t="n">
        <v>0</v>
      </c>
      <c r="D113" s="22" t="n">
        <v>5.868</v>
      </c>
      <c r="E113" s="22" t="n">
        <v>1624.819</v>
      </c>
      <c r="F113" s="22" t="n">
        <v>3709.415</v>
      </c>
      <c r="G113" s="22" t="n">
        <v>0</v>
      </c>
      <c r="H113" s="22" t="n">
        <v>1623.376</v>
      </c>
      <c r="I113" s="22" t="n">
        <v>787.759</v>
      </c>
      <c r="J113" s="22" t="n">
        <v>6283.839</v>
      </c>
      <c r="K113" s="22" t="n">
        <v>0</v>
      </c>
      <c r="L113" s="22" t="n">
        <v>137.447</v>
      </c>
      <c r="M113" s="22" t="n">
        <v>8046.062</v>
      </c>
      <c r="N113" s="22" t="n">
        <v>2503.629</v>
      </c>
      <c r="T113" s="22" t="n">
        <v>0.032</v>
      </c>
      <c r="U113" s="22" t="n">
        <v>4.815</v>
      </c>
      <c r="V113" s="22" t="n">
        <v>1624.819</v>
      </c>
      <c r="W113" s="22" t="n">
        <v>787.759</v>
      </c>
      <c r="X113" s="22" t="n">
        <v>8046.062</v>
      </c>
    </row>
    <row r="114">
      <c r="A114" s="20" t="inlineStr">
        <is>
          <t>고정자산 제각손실</t>
        </is>
      </c>
      <c r="C114" s="22" t="n">
        <v>1.334</v>
      </c>
      <c r="D114" s="22" t="n">
        <v>0.015</v>
      </c>
      <c r="E114" s="22" t="n">
        <v>0.134</v>
      </c>
      <c r="F114" s="22" t="n">
        <v>0.112</v>
      </c>
      <c r="G114" s="22" t="n">
        <v>0.016</v>
      </c>
      <c r="H114" s="22" t="n">
        <v>9.364000000000001</v>
      </c>
      <c r="I114" s="22" t="n">
        <v>42.52</v>
      </c>
      <c r="J114" s="22" t="n">
        <v>0.022</v>
      </c>
      <c r="K114" s="22" t="n">
        <v>13.733</v>
      </c>
      <c r="L114" s="22" t="n">
        <v>-0.031</v>
      </c>
      <c r="M114" s="22" t="n">
        <v>0.989</v>
      </c>
      <c r="N114" s="22" t="n">
        <v>0.459</v>
      </c>
      <c r="T114" s="22" t="n">
        <v>2.511</v>
      </c>
      <c r="U114" s="22" t="n">
        <v>9.138999999999999</v>
      </c>
      <c r="V114" s="22" t="n">
        <v>0.134</v>
      </c>
      <c r="W114" s="22" t="n">
        <v>42.52</v>
      </c>
      <c r="X114" s="22" t="n">
        <v>0.989</v>
      </c>
    </row>
    <row r="115">
      <c r="A115" s="20" t="inlineStr">
        <is>
          <t>손상차손</t>
        </is>
      </c>
      <c r="T115" s="22" t="n">
        <v>0</v>
      </c>
      <c r="U115" s="22" t="n">
        <v>0</v>
      </c>
    </row>
    <row r="116">
      <c r="A116" s="20" t="inlineStr">
        <is>
          <t>고정자산 매각손실</t>
        </is>
      </c>
      <c r="H116" s="22" t="n">
        <v>0</v>
      </c>
      <c r="I116" s="22" t="n">
        <v>0</v>
      </c>
      <c r="L116" s="22" t="n">
        <v>1.205</v>
      </c>
      <c r="M116" s="22" t="n">
        <v>0.016</v>
      </c>
      <c r="T116" s="22" t="n">
        <v>0</v>
      </c>
      <c r="U116" s="22" t="n">
        <v>0</v>
      </c>
      <c r="W116" s="22" t="n">
        <v>0</v>
      </c>
      <c r="X116" s="22" t="n">
        <v>0.016</v>
      </c>
    </row>
    <row r="117">
      <c r="A117" s="20" t="inlineStr">
        <is>
          <t>고정자산 압축손실</t>
        </is>
      </c>
      <c r="C117" s="22" t="n">
        <v>0</v>
      </c>
      <c r="D117" s="22" t="n">
        <v>0</v>
      </c>
      <c r="E117" s="22" t="n">
        <v>1624.819</v>
      </c>
      <c r="F117" s="22" t="n">
        <v>3709.381</v>
      </c>
      <c r="G117" s="22" t="n">
        <v>0</v>
      </c>
      <c r="H117" s="22" t="n">
        <v>1622.59</v>
      </c>
      <c r="I117" s="22" t="n">
        <v>787.773</v>
      </c>
      <c r="J117" s="22" t="n">
        <v>6283.839</v>
      </c>
      <c r="K117" s="22" t="n">
        <v>0</v>
      </c>
      <c r="L117" s="22" t="n">
        <v>0</v>
      </c>
      <c r="M117" s="22" t="n">
        <v>8027.854</v>
      </c>
      <c r="N117" s="22" t="n">
        <v>2503.629</v>
      </c>
      <c r="V117" s="22" t="n">
        <v>1624.819</v>
      </c>
      <c r="W117" s="22" t="n">
        <v>787.773</v>
      </c>
      <c r="X117" s="22" t="n">
        <v>8027.854</v>
      </c>
    </row>
    <row r="118">
      <c r="A118" s="20" t="inlineStr">
        <is>
          <t>투자유가증권 평가손실</t>
        </is>
      </c>
      <c r="D118" s="22" t="n">
        <v>0</v>
      </c>
      <c r="E118" s="22" t="n">
        <v>0</v>
      </c>
      <c r="H118" s="22" t="n">
        <v>0</v>
      </c>
      <c r="I118" s="22" t="n">
        <v>0</v>
      </c>
      <c r="L118" s="22" t="n">
        <v>0</v>
      </c>
      <c r="M118" s="22" t="n">
        <v>0</v>
      </c>
      <c r="V118" s="22" t="n">
        <v>0</v>
      </c>
      <c r="W118" s="22" t="n">
        <v>0</v>
      </c>
      <c r="X118" s="22" t="n">
        <v>0</v>
      </c>
    </row>
    <row r="119">
      <c r="A119" s="20" t="inlineStr">
        <is>
          <t>리스해약 손실</t>
        </is>
      </c>
      <c r="C119" s="22" t="n">
        <v>0</v>
      </c>
      <c r="D119" s="22" t="n">
        <v>0</v>
      </c>
      <c r="F119" s="22" t="n">
        <v>0</v>
      </c>
      <c r="G119" s="22" t="n">
        <v>0</v>
      </c>
      <c r="H119" s="22" t="n">
        <v>0</v>
      </c>
    </row>
    <row r="120">
      <c r="A120" s="20" t="inlineStr">
        <is>
          <t>특별손실 합계</t>
        </is>
      </c>
      <c r="C120" s="22" t="n">
        <v>1.335</v>
      </c>
      <c r="D120" s="22" t="n">
        <v>0.014</v>
      </c>
      <c r="E120" s="22" t="n">
        <v>1624.953</v>
      </c>
      <c r="F120" s="22" t="n">
        <v>3709.493</v>
      </c>
      <c r="G120" s="22" t="n">
        <v>30.016</v>
      </c>
      <c r="H120" s="22" t="n">
        <v>1631.954</v>
      </c>
      <c r="I120" s="22" t="n">
        <v>830.294</v>
      </c>
      <c r="J120" s="22" t="n">
        <v>6283.862</v>
      </c>
      <c r="K120" s="22" t="n">
        <v>14.609</v>
      </c>
      <c r="L120" s="22" t="n">
        <v>1.174</v>
      </c>
      <c r="M120" s="22" t="n">
        <v>8028.858</v>
      </c>
      <c r="N120" s="22" t="n">
        <v>2504.089</v>
      </c>
      <c r="T120" s="22" t="n">
        <v>2.51</v>
      </c>
      <c r="U120" s="22" t="n">
        <v>9.138999999999999</v>
      </c>
      <c r="V120" s="22" t="n">
        <v>1624.953</v>
      </c>
      <c r="W120" s="22" t="n">
        <v>830.294</v>
      </c>
      <c r="X120" s="22" t="n">
        <v>8028.858</v>
      </c>
    </row>
    <row r="121">
      <c r="A121" s="9" t="inlineStr">
        <is>
          <t>법인세차감전 중간순이익(손실)</t>
        </is>
      </c>
      <c r="C121" s="12" t="n">
        <v>98.28400000000001</v>
      </c>
      <c r="D121" s="12" t="n">
        <v>152.906</v>
      </c>
      <c r="E121" s="12" t="n">
        <v>444.214</v>
      </c>
      <c r="F121" s="12" t="n">
        <v>95.13</v>
      </c>
      <c r="G121" s="12" t="n">
        <v>976.883</v>
      </c>
      <c r="H121" s="12" t="n">
        <v>1377.78</v>
      </c>
      <c r="I121" s="12" t="n">
        <v>1529.431</v>
      </c>
      <c r="J121" s="12" t="n">
        <v>-438.299</v>
      </c>
      <c r="K121" s="12" t="n">
        <v>-388.094</v>
      </c>
      <c r="L121" s="12" t="n">
        <v>148.446</v>
      </c>
      <c r="M121" s="12" t="n">
        <v>922.269</v>
      </c>
      <c r="N121" s="12" t="n">
        <v>1257.605</v>
      </c>
      <c r="T121" s="12" t="n">
        <v>294.062</v>
      </c>
      <c r="U121" s="12" t="n">
        <v>345.913</v>
      </c>
      <c r="V121" s="12" t="n">
        <v>444.214</v>
      </c>
      <c r="W121" s="12" t="n">
        <v>1529.431</v>
      </c>
      <c r="X121" s="12" t="n">
        <v>922.269</v>
      </c>
    </row>
    <row r="122">
      <c r="A122" s="20" t="inlineStr">
        <is>
          <t>법인세·주민세·사업세</t>
        </is>
      </c>
      <c r="C122" s="22" t="n">
        <v>128.224</v>
      </c>
      <c r="D122" s="22" t="n">
        <v>-6.844</v>
      </c>
      <c r="E122" s="22" t="n">
        <v>147.56</v>
      </c>
      <c r="F122" s="22" t="n">
        <v>15.041</v>
      </c>
      <c r="G122" s="22" t="n">
        <v>479.685</v>
      </c>
      <c r="H122" s="22" t="n">
        <v>437.255</v>
      </c>
      <c r="I122" s="22" t="n">
        <v>543.503</v>
      </c>
      <c r="J122" s="22" t="n">
        <v>-5.14</v>
      </c>
      <c r="K122" s="22" t="n">
        <v>24.327</v>
      </c>
      <c r="L122" s="22" t="n">
        <v>21.516</v>
      </c>
      <c r="M122" s="22" t="n">
        <v>391.47</v>
      </c>
      <c r="N122" s="22" t="n">
        <v>480.114</v>
      </c>
      <c r="T122" s="22" t="n">
        <v>78.794</v>
      </c>
      <c r="U122" s="22" t="n">
        <v>124.161</v>
      </c>
      <c r="V122" s="22" t="n">
        <v>147.56</v>
      </c>
      <c r="W122" s="22" t="n">
        <v>543.503</v>
      </c>
      <c r="X122" s="22" t="n">
        <v>391.47</v>
      </c>
    </row>
    <row r="123">
      <c r="A123" s="20" t="inlineStr">
        <is>
          <t>법인세 조정액</t>
        </is>
      </c>
      <c r="C123" s="22" t="n">
        <v>-81.782</v>
      </c>
      <c r="D123" s="22" t="n">
        <v>29.266</v>
      </c>
      <c r="E123" s="22" t="n">
        <v>-57.046</v>
      </c>
      <c r="F123" s="22" t="n">
        <v>39.379</v>
      </c>
      <c r="G123" s="22" t="n">
        <v>-170.251</v>
      </c>
      <c r="H123" s="22" t="n">
        <v>4.362</v>
      </c>
      <c r="I123" s="22" t="n">
        <v>-323.105</v>
      </c>
      <c r="J123" s="22" t="n">
        <v>-114.178</v>
      </c>
      <c r="K123" s="22" t="n">
        <v>-114.122</v>
      </c>
      <c r="L123" s="22" t="n">
        <v>45.517</v>
      </c>
      <c r="M123" s="22" t="n">
        <v>-239.864</v>
      </c>
      <c r="N123" s="22" t="n">
        <v>-80.08199999999999</v>
      </c>
      <c r="T123" s="22" t="n">
        <v>-5.992</v>
      </c>
      <c r="U123" s="22" t="n">
        <v>-40.595</v>
      </c>
      <c r="V123" s="22" t="n">
        <v>-57.046</v>
      </c>
      <c r="W123" s="22" t="n">
        <v>-323.105</v>
      </c>
      <c r="X123" s="22" t="n">
        <v>-239.864</v>
      </c>
    </row>
    <row r="124">
      <c r="A124" s="20" t="inlineStr">
        <is>
          <t>법인세 등 합계</t>
        </is>
      </c>
      <c r="C124" s="22" t="n">
        <v>46.442</v>
      </c>
      <c r="D124" s="22" t="n">
        <v>22.421</v>
      </c>
      <c r="E124" s="22" t="n">
        <v>90.515</v>
      </c>
      <c r="F124" s="22" t="n">
        <v>54.421</v>
      </c>
      <c r="G124" s="22" t="n">
        <v>309.433</v>
      </c>
      <c r="H124" s="22" t="n">
        <v>441.617</v>
      </c>
      <c r="I124" s="22" t="n">
        <v>220.398</v>
      </c>
      <c r="J124" s="22" t="n">
        <v>-119.319</v>
      </c>
      <c r="K124" s="22" t="n">
        <v>-89.794</v>
      </c>
      <c r="L124" s="22" t="n">
        <v>67.03400000000001</v>
      </c>
      <c r="M124" s="22" t="n">
        <v>151.604</v>
      </c>
      <c r="N124" s="22" t="n">
        <v>400.032</v>
      </c>
      <c r="T124" s="22" t="n">
        <v>72.80200000000001</v>
      </c>
      <c r="U124" s="22" t="n">
        <v>83.566</v>
      </c>
      <c r="V124" s="22" t="n">
        <v>90.515</v>
      </c>
      <c r="W124" s="22" t="n">
        <v>220.398</v>
      </c>
      <c r="X124" s="22" t="n">
        <v>151.604</v>
      </c>
    </row>
    <row r="125">
      <c r="A125" s="9" t="inlineStr">
        <is>
          <t>중간순이익(손실)</t>
        </is>
      </c>
      <c r="C125" s="12" t="n">
        <v>51.842</v>
      </c>
      <c r="D125" s="12" t="n">
        <v>130.486</v>
      </c>
      <c r="E125" s="12" t="n">
        <v>353.699</v>
      </c>
      <c r="F125" s="12" t="n">
        <v>40.709</v>
      </c>
      <c r="G125" s="12" t="n">
        <v>667.449</v>
      </c>
      <c r="H125" s="12" t="n">
        <v>936.164</v>
      </c>
      <c r="I125" s="12" t="n">
        <v>1309.033</v>
      </c>
      <c r="J125" s="12" t="n">
        <v>-318.98</v>
      </c>
      <c r="K125" s="12" t="n">
        <v>-298.3</v>
      </c>
      <c r="L125" s="12" t="n">
        <v>81.413</v>
      </c>
      <c r="M125" s="12" t="n">
        <v>770.664</v>
      </c>
      <c r="N125" s="12" t="n">
        <v>857.572</v>
      </c>
      <c r="T125" s="12" t="n">
        <v>221.26</v>
      </c>
      <c r="U125" s="12" t="n">
        <v>262.348</v>
      </c>
      <c r="V125" s="12" t="n">
        <v>353.699</v>
      </c>
      <c r="W125" s="12" t="n">
        <v>1309.033</v>
      </c>
      <c r="X125" s="12" t="n">
        <v>770.664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IF(OR(G125="",C125=""),"",IF(C125&lt;=0,"",IFERROR(G125/C125-1,"")))</f>
        <v/>
      </c>
      <c r="H126" s="17">
        <f>IF(OR(H125="",D125=""),"",IF(D125&lt;=0,"",IFERROR(H125/D125-1,"")))</f>
        <v/>
      </c>
      <c r="I126" s="17">
        <f>IF(OR(I125="",E125=""),"",IF(E125&lt;=0,"",IFERROR(I125/E125-1,"")))</f>
        <v/>
      </c>
      <c r="J126" s="17">
        <f>IF(OR(J125="",F125=""),"",IF(F125&lt;=0,"",IFERROR(J125/F125-1,"")))</f>
        <v/>
      </c>
      <c r="K126" s="17">
        <f>IF(OR(K125="",G125=""),"",IF(G125&lt;=0,"",IFERROR(K125/G125-1,"")))</f>
        <v/>
      </c>
      <c r="L126" s="17">
        <f>IF(OR(L125="",H125=""),"",IF(H125&lt;=0,"",IFERROR(L125/H125-1,"")))</f>
        <v/>
      </c>
      <c r="M126" s="17">
        <f>IF(OR(M125="",I125=""),"",IF(I125&lt;=0,"",IFERROR(M125/I125-1,"")))</f>
        <v/>
      </c>
      <c r="N126" s="17">
        <f>IF(OR(N125="",J125=""),"",IF(J125&lt;=0,"",IFERROR(N125/J125-1,"")))</f>
        <v/>
      </c>
      <c r="T126" s="17">
        <f>IF(OR(T125="",S125=""),"",IF(S125&lt;=0,"",IFERROR(T125/S125-1,"")))</f>
        <v/>
      </c>
      <c r="U126" s="17">
        <f>IF(OR(U125="",T125=""),"",IF(T125&lt;=0,"",IFERROR(U125/T125-1,"")))</f>
        <v/>
      </c>
      <c r="V126" s="17">
        <f>IF(OR(V125="",U125=""),"",IF(U125&lt;=0,"",IFERROR(V125/U125-1,"")))</f>
        <v/>
      </c>
      <c r="W126" s="17">
        <f>IF(OR(W125="",V125=""),"",IF(V125&lt;=0,"",IFERROR(W125/V125-1,"")))</f>
        <v/>
      </c>
      <c r="X126" s="17">
        <f>IF(OR(X125="",W125=""),"",IF(W125&lt;=0,"",IFERROR(X125/W125-1,"")))</f>
        <v/>
      </c>
    </row>
    <row r="127">
      <c r="A127" s="9" t="inlineStr">
        <is>
          <t>비지배주주 순이익</t>
        </is>
      </c>
      <c r="C127" s="12" t="n">
        <v>-14.831</v>
      </c>
      <c r="D127" s="12" t="n">
        <v>1.62</v>
      </c>
      <c r="E127" s="12" t="n">
        <v>5.987</v>
      </c>
      <c r="F127" s="12" t="n">
        <v>-1.011</v>
      </c>
      <c r="G127" s="12" t="n">
        <v>-0.901</v>
      </c>
      <c r="H127" s="12" t="n">
        <v>3.962</v>
      </c>
      <c r="I127" s="12" t="n">
        <v>13.845</v>
      </c>
      <c r="J127" s="12" t="n">
        <v>5.398</v>
      </c>
      <c r="K127" s="12" t="n">
        <v>4.084</v>
      </c>
      <c r="L127" s="12" t="n">
        <v>5.675</v>
      </c>
      <c r="M127" s="12" t="n">
        <v>3.616</v>
      </c>
      <c r="N127" s="12" t="n">
        <v>1.646</v>
      </c>
      <c r="T127" s="12" t="n">
        <v>23.371</v>
      </c>
      <c r="U127" s="12" t="n">
        <v>13.437</v>
      </c>
      <c r="V127" s="12" t="n">
        <v>5.987</v>
      </c>
      <c r="W127" s="12" t="n">
        <v>13.845</v>
      </c>
      <c r="X127" s="12" t="n">
        <v>3.616</v>
      </c>
    </row>
    <row r="128">
      <c r="A128" s="9" t="inlineStr">
        <is>
          <t>지배주주 귀속 중간순이익(손실)</t>
        </is>
      </c>
      <c r="C128" s="12" t="n">
        <v>66.672</v>
      </c>
      <c r="D128" s="12" t="n">
        <v>128.866</v>
      </c>
      <c r="E128" s="12" t="n">
        <v>347.712</v>
      </c>
      <c r="F128" s="12" t="n">
        <v>41.721</v>
      </c>
      <c r="G128" s="12" t="n">
        <v>668.35</v>
      </c>
      <c r="H128" s="12" t="n">
        <v>932.2</v>
      </c>
      <c r="I128" s="12" t="n">
        <v>1295.188</v>
      </c>
      <c r="J128" s="12" t="n">
        <v>-324.379</v>
      </c>
      <c r="K128" s="12" t="n">
        <v>-302.384</v>
      </c>
      <c r="L128" s="12" t="n">
        <v>75.738</v>
      </c>
      <c r="M128" s="12" t="n">
        <v>767.048</v>
      </c>
      <c r="N128" s="12" t="n">
        <v>855.926</v>
      </c>
      <c r="T128" s="12" t="n">
        <v>197.888</v>
      </c>
      <c r="U128" s="12" t="n">
        <v>248.91</v>
      </c>
      <c r="V128" s="12" t="n">
        <v>347.712</v>
      </c>
      <c r="W128" s="12" t="n">
        <v>1295.188</v>
      </c>
      <c r="X128" s="12" t="n">
        <v>767.048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IF(OR(G128="",C128=""),"",IF(C128&lt;=0,"",IFERROR(G128/C128-1,"")))</f>
        <v/>
      </c>
      <c r="H129" s="17">
        <f>IF(OR(H128="",D128=""),"",IF(D128&lt;=0,"",IFERROR(H128/D128-1,"")))</f>
        <v/>
      </c>
      <c r="I129" s="17">
        <f>IF(OR(I128="",E128=""),"",IF(E128&lt;=0,"",IFERROR(I128/E128-1,"")))</f>
        <v/>
      </c>
      <c r="J129" s="17">
        <f>IF(OR(J128="",F128=""),"",IF(F128&lt;=0,"",IFERROR(J128/F128-1,"")))</f>
        <v/>
      </c>
      <c r="K129" s="17">
        <f>IF(OR(K128="",G128=""),"",IF(G128&lt;=0,"",IFERROR(K128/G128-1,"")))</f>
        <v/>
      </c>
      <c r="L129" s="17">
        <f>IF(OR(L128="",H128=""),"",IF(H128&lt;=0,"",IFERROR(L128/H128-1,"")))</f>
        <v/>
      </c>
      <c r="M129" s="17">
        <f>IF(OR(M128="",I128=""),"",IF(I128&lt;=0,"",IFERROR(M128/I128-1,"")))</f>
        <v/>
      </c>
      <c r="N129" s="17">
        <f>IF(OR(N128="",J128=""),"",IF(J128&lt;=0,"",IFERROR(N128/J128-1,"")))</f>
        <v/>
      </c>
      <c r="T129" s="17">
        <f>IF(OR(T128="",S128=""),"",IF(S128&lt;=0,"",IFERROR(T128/S128-1,"")))</f>
        <v/>
      </c>
      <c r="U129" s="17">
        <f>IF(OR(U128="",T128=""),"",IF(T128&lt;=0,"",IFERROR(U128/T128-1,"")))</f>
        <v/>
      </c>
      <c r="V129" s="17">
        <f>IF(OR(V128="",U128=""),"",IF(U128&lt;=0,"",IFERROR(V128/U128-1,"")))</f>
        <v/>
      </c>
      <c r="W129" s="17">
        <f>IF(OR(W128="",V128=""),"",IF(V128&lt;=0,"",IFERROR(W128/V128-1,"")))</f>
        <v/>
      </c>
      <c r="X129" s="17">
        <f>IF(OR(X128="",W128=""),"",IF(W128&lt;=0,"",IFERROR(X128/W128-1,"")))</f>
        <v/>
      </c>
    </row>
    <row r="131">
      <c r="A131" s="18" t="inlineStr">
        <is>
          <t>포괄손익 · 전 항목</t>
        </is>
      </c>
      <c r="B131" s="44" t="inlineStr">
        <is>
          <t>분기 = 3개월 단독</t>
        </is>
      </c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2024.2Q</t>
        </is>
      </c>
      <c r="D132" s="5" t="inlineStr">
        <is>
          <t>2024.3Q</t>
        </is>
      </c>
      <c r="E132" s="5" t="inlineStr">
        <is>
          <t>2024.4Q</t>
        </is>
      </c>
      <c r="F132" s="5" t="inlineStr">
        <is>
          <t>2025.1Q</t>
        </is>
      </c>
      <c r="G132" s="5" t="inlineStr">
        <is>
          <t>2025.2Q</t>
        </is>
      </c>
      <c r="H132" s="5" t="inlineStr">
        <is>
          <t>2025.3Q</t>
        </is>
      </c>
      <c r="I132" s="5" t="inlineStr">
        <is>
          <t>2025.4Q</t>
        </is>
      </c>
      <c r="J132" s="5" t="inlineStr">
        <is>
          <t>2026.1Q</t>
        </is>
      </c>
      <c r="K132" s="5" t="inlineStr">
        <is>
          <t>2026.2Q</t>
        </is>
      </c>
      <c r="L132" s="5" t="inlineStr">
        <is>
          <t>2026.3Q</t>
        </is>
      </c>
      <c r="M132" s="5" t="inlineStr">
        <is>
          <t>2026.4Q</t>
        </is>
      </c>
      <c r="N132" s="5" t="inlineStr">
        <is>
          <t>2027.1Q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중간순이익(손실)</t>
        </is>
      </c>
      <c r="C133" s="12" t="n">
        <v>51.842</v>
      </c>
      <c r="D133" s="12" t="n">
        <v>130.486</v>
      </c>
      <c r="E133" s="12" t="n">
        <v>353.699</v>
      </c>
      <c r="F133" s="12" t="n">
        <v>40.709</v>
      </c>
      <c r="G133" s="12" t="n">
        <v>667.449</v>
      </c>
      <c r="H133" s="12" t="n">
        <v>936.164</v>
      </c>
      <c r="I133" s="12" t="n">
        <v>1309.033</v>
      </c>
      <c r="J133" s="12" t="n">
        <v>-318.98</v>
      </c>
      <c r="K133" s="12" t="n">
        <v>-298.3</v>
      </c>
      <c r="L133" s="12" t="n">
        <v>81.413</v>
      </c>
      <c r="M133" s="12" t="n">
        <v>770.664</v>
      </c>
      <c r="N133" s="12" t="n">
        <v>857.572</v>
      </c>
      <c r="T133" s="12" t="n">
        <v>221.26</v>
      </c>
      <c r="U133" s="12" t="n">
        <v>262.348</v>
      </c>
      <c r="V133" s="12" t="n">
        <v>353.699</v>
      </c>
      <c r="W133" s="12" t="n">
        <v>1309.033</v>
      </c>
      <c r="X133" s="12" t="n">
        <v>770.664</v>
      </c>
    </row>
    <row r="134">
      <c r="A134" s="20" t="inlineStr">
        <is>
          <t>기타유가증권 평가차액</t>
        </is>
      </c>
      <c r="C134" s="22" t="n">
        <v>-54.413</v>
      </c>
      <c r="D134" s="22" t="n">
        <v>-83.655</v>
      </c>
      <c r="E134" s="22" t="n">
        <v>31.081</v>
      </c>
      <c r="F134" s="22" t="n">
        <v>-30.201</v>
      </c>
      <c r="G134" s="22" t="n">
        <v>-33.611</v>
      </c>
      <c r="H134" s="22" t="n">
        <v>-8.762</v>
      </c>
      <c r="I134" s="22" t="n">
        <v>52.12</v>
      </c>
      <c r="J134" s="22" t="n">
        <v>45.913</v>
      </c>
      <c r="K134" s="22" t="n">
        <v>-2.86</v>
      </c>
      <c r="L134" s="22" t="n">
        <v>-125.285</v>
      </c>
      <c r="M134" s="22" t="n">
        <v>-19.547</v>
      </c>
      <c r="N134" s="22" t="n">
        <v>-0.004</v>
      </c>
      <c r="T134" s="22" t="n">
        <v>0.018</v>
      </c>
      <c r="U134" s="22" t="n">
        <v>0.002</v>
      </c>
      <c r="V134" s="22" t="n">
        <v>31.081</v>
      </c>
      <c r="W134" s="22" t="n">
        <v>52.12</v>
      </c>
      <c r="X134" s="22" t="n">
        <v>-19.547</v>
      </c>
    </row>
    <row r="135">
      <c r="A135" s="20" t="inlineStr">
        <is>
          <t>이연헤지손익</t>
        </is>
      </c>
      <c r="C135" s="22" t="n">
        <v>-3.074</v>
      </c>
      <c r="D135" s="22" t="n">
        <v>-0.032</v>
      </c>
      <c r="E135" s="22" t="n">
        <v>0.176</v>
      </c>
      <c r="F135" s="22" t="n">
        <v>-0.155</v>
      </c>
      <c r="G135" s="22" t="n">
        <v>-2.211</v>
      </c>
      <c r="H135" s="22" t="n">
        <v>9.288</v>
      </c>
      <c r="I135" s="22" t="n">
        <v>-7.093</v>
      </c>
      <c r="J135" s="22" t="n">
        <v>-0.87</v>
      </c>
      <c r="K135" s="22" t="n">
        <v>6.086</v>
      </c>
      <c r="L135" s="22" t="n">
        <v>1.672</v>
      </c>
      <c r="M135" s="22" t="n">
        <v>-6.611</v>
      </c>
      <c r="N135" s="22" t="n">
        <v>2.258</v>
      </c>
      <c r="T135" s="22" t="n">
        <v>-0.638</v>
      </c>
      <c r="U135" s="22" t="n">
        <v>1.14</v>
      </c>
      <c r="V135" s="22" t="n">
        <v>0.176</v>
      </c>
      <c r="W135" s="22" t="n">
        <v>-7.093</v>
      </c>
      <c r="X135" s="22" t="n">
        <v>-6.611</v>
      </c>
    </row>
    <row r="136">
      <c r="A136" s="20" t="inlineStr">
        <is>
          <t>해외사업환산조정</t>
        </is>
      </c>
      <c r="C136" s="22" t="n">
        <v>1.183</v>
      </c>
      <c r="D136" s="22" t="n">
        <v>-1.739</v>
      </c>
      <c r="E136" s="22" t="n">
        <v>2.256</v>
      </c>
      <c r="F136" s="22" t="n">
        <v>2.296</v>
      </c>
      <c r="G136" s="22" t="n">
        <v>-4.244</v>
      </c>
      <c r="H136" s="22" t="n">
        <v>3.8</v>
      </c>
      <c r="I136" s="22" t="n">
        <v>-2.098</v>
      </c>
      <c r="J136" s="22" t="n">
        <v>-1.48</v>
      </c>
      <c r="K136" s="22" t="n">
        <v>1.358</v>
      </c>
      <c r="L136" s="22" t="n">
        <v>1.875</v>
      </c>
      <c r="M136" s="22" t="n">
        <v>0.496</v>
      </c>
      <c r="N136" s="22" t="n">
        <v>0.577</v>
      </c>
      <c r="T136" s="22" t="n">
        <v>2.23</v>
      </c>
      <c r="U136" s="22" t="n">
        <v>-0.08400000000000001</v>
      </c>
      <c r="V136" s="22" t="n">
        <v>2.256</v>
      </c>
      <c r="W136" s="22" t="n">
        <v>-2.098</v>
      </c>
      <c r="X136" s="22" t="n">
        <v>0.496</v>
      </c>
    </row>
    <row r="137">
      <c r="A137" s="20" t="inlineStr">
        <is>
          <t>지분법 적용회사 지분 해당액</t>
        </is>
      </c>
      <c r="C137" s="22" t="n">
        <v>1.772</v>
      </c>
      <c r="D137" s="22" t="n">
        <v>0</v>
      </c>
      <c r="E137" s="22" t="n">
        <v>0.706</v>
      </c>
      <c r="F137" s="22" t="n">
        <v>3.729</v>
      </c>
      <c r="G137" s="22" t="n">
        <v>-7.079</v>
      </c>
      <c r="H137" s="22" t="n">
        <v>5.963</v>
      </c>
      <c r="I137" s="22" t="n">
        <v>-3.342</v>
      </c>
      <c r="J137" s="22" t="n">
        <v>-1.934</v>
      </c>
      <c r="K137" s="22" t="n">
        <v>1.55</v>
      </c>
      <c r="L137" s="22" t="n">
        <v>2.926</v>
      </c>
      <c r="M137" s="22" t="n">
        <v>1.265</v>
      </c>
      <c r="N137" s="22" t="n">
        <v>0.956</v>
      </c>
      <c r="T137" s="22" t="n">
        <v>0</v>
      </c>
      <c r="U137" s="22" t="n">
        <v>0.461</v>
      </c>
      <c r="V137" s="22" t="n">
        <v>0.706</v>
      </c>
      <c r="W137" s="22" t="n">
        <v>-3.342</v>
      </c>
      <c r="X137" s="22" t="n">
        <v>1.265</v>
      </c>
    </row>
    <row r="138">
      <c r="A138" s="20" t="inlineStr">
        <is>
          <t>기타포괄손익 합계</t>
        </is>
      </c>
      <c r="C138" s="22" t="n">
        <v>-54.53</v>
      </c>
      <c r="D138" s="22" t="n">
        <v>-85.426</v>
      </c>
      <c r="E138" s="22" t="n">
        <v>34.22</v>
      </c>
      <c r="F138" s="22" t="n">
        <v>-24.331</v>
      </c>
      <c r="G138" s="22" t="n">
        <v>-47.147</v>
      </c>
      <c r="H138" s="22" t="n">
        <v>10.293</v>
      </c>
      <c r="I138" s="22" t="n">
        <v>39.584</v>
      </c>
      <c r="J138" s="22" t="n">
        <v>41.627</v>
      </c>
      <c r="K138" s="22" t="n">
        <v>6.136</v>
      </c>
      <c r="L138" s="22" t="n">
        <v>-118.811</v>
      </c>
      <c r="M138" s="22" t="n">
        <v>-24.396</v>
      </c>
      <c r="N138" s="22" t="n">
        <v>3.788</v>
      </c>
      <c r="T138" s="22" t="n">
        <v>1.609</v>
      </c>
      <c r="U138" s="22" t="n">
        <v>1.52</v>
      </c>
      <c r="V138" s="22" t="n">
        <v>34.22</v>
      </c>
      <c r="W138" s="22" t="n">
        <v>39.584</v>
      </c>
      <c r="X138" s="22" t="n">
        <v>-24.396</v>
      </c>
    </row>
    <row r="139">
      <c r="A139" s="9" t="inlineStr">
        <is>
          <t>포괄이익</t>
        </is>
      </c>
      <c r="C139" s="12" t="n">
        <v>-2.688</v>
      </c>
      <c r="D139" s="12" t="n">
        <v>45.059</v>
      </c>
      <c r="E139" s="12" t="n">
        <v>387.919</v>
      </c>
      <c r="F139" s="12" t="n">
        <v>16.377</v>
      </c>
      <c r="G139" s="12" t="n">
        <v>620.303</v>
      </c>
      <c r="H139" s="12" t="n">
        <v>946.456</v>
      </c>
      <c r="I139" s="12" t="n">
        <v>1348.617</v>
      </c>
      <c r="J139" s="12" t="n">
        <v>-277.352</v>
      </c>
      <c r="K139" s="12" t="n">
        <v>-292.164</v>
      </c>
      <c r="L139" s="12" t="n">
        <v>-37.4</v>
      </c>
      <c r="M139" s="12" t="n">
        <v>746.268</v>
      </c>
      <c r="N139" s="12" t="n">
        <v>861.361</v>
      </c>
      <c r="T139" s="12" t="n">
        <v>222.869</v>
      </c>
      <c r="U139" s="12" t="n">
        <v>263.868</v>
      </c>
      <c r="V139" s="12" t="n">
        <v>387.919</v>
      </c>
      <c r="W139" s="12" t="n">
        <v>1348.617</v>
      </c>
      <c r="X139" s="12" t="n">
        <v>746.268</v>
      </c>
    </row>
    <row r="140">
      <c r="A140" s="9" t="inlineStr">
        <is>
          <t>지배주주 포괄이익</t>
        </is>
      </c>
      <c r="C140" s="12" t="n">
        <v>12.142</v>
      </c>
      <c r="D140" s="12" t="n">
        <v>43.44</v>
      </c>
      <c r="E140" s="12" t="n">
        <v>381.931</v>
      </c>
      <c r="F140" s="12" t="n">
        <v>17.389</v>
      </c>
      <c r="G140" s="12" t="n">
        <v>621.204</v>
      </c>
      <c r="H140" s="12" t="n">
        <v>942.4930000000001</v>
      </c>
      <c r="I140" s="12" t="n">
        <v>1334.771</v>
      </c>
      <c r="J140" s="12" t="n">
        <v>-282.751</v>
      </c>
      <c r="K140" s="12" t="n">
        <v>-296.248</v>
      </c>
      <c r="L140" s="12" t="n">
        <v>-43.075</v>
      </c>
      <c r="M140" s="12" t="n">
        <v>742.652</v>
      </c>
      <c r="N140" s="12" t="n">
        <v>859.715</v>
      </c>
      <c r="T140" s="12" t="n">
        <v>199.498</v>
      </c>
      <c r="U140" s="12" t="n">
        <v>250.43</v>
      </c>
      <c r="V140" s="12" t="n">
        <v>381.931</v>
      </c>
      <c r="W140" s="12" t="n">
        <v>1334.771</v>
      </c>
      <c r="X140" s="12" t="n">
        <v>742.652</v>
      </c>
    </row>
    <row r="141">
      <c r="A141" s="9" t="inlineStr">
        <is>
          <t>비지배주주 포괄이익</t>
        </is>
      </c>
      <c r="C141" s="12" t="n">
        <v>-14.831</v>
      </c>
      <c r="D141" s="12" t="n">
        <v>1.62</v>
      </c>
      <c r="E141" s="12" t="n">
        <v>5.987</v>
      </c>
      <c r="F141" s="12" t="n">
        <v>-1.011</v>
      </c>
      <c r="G141" s="12" t="n">
        <v>-0.901</v>
      </c>
      <c r="H141" s="12" t="n">
        <v>3.962</v>
      </c>
      <c r="I141" s="12" t="n">
        <v>13.845</v>
      </c>
      <c r="J141" s="12" t="n">
        <v>5.398</v>
      </c>
      <c r="K141" s="12" t="n">
        <v>4.084</v>
      </c>
      <c r="L141" s="12" t="n">
        <v>5.675</v>
      </c>
      <c r="M141" s="12" t="n">
        <v>3.616</v>
      </c>
      <c r="N141" s="12" t="n">
        <v>1.646</v>
      </c>
      <c r="T141" s="12" t="n">
        <v>23.371</v>
      </c>
      <c r="U141" s="12" t="n">
        <v>13.437</v>
      </c>
      <c r="V141" s="12" t="n">
        <v>5.987</v>
      </c>
      <c r="W141" s="12" t="n">
        <v>13.845</v>
      </c>
      <c r="X141" s="12" t="n">
        <v>3.616</v>
      </c>
    </row>
    <row r="143">
      <c r="A143" s="18" t="inlineStr">
        <is>
          <t>현금흐름표 · 전 항목</t>
        </is>
      </c>
      <c r="B143" s="44" t="inlineStr">
        <is>
          <t>분기 = 결산기 첫날부터 누계(공시 그대로)</t>
        </is>
      </c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2024.2Q</t>
        </is>
      </c>
      <c r="D144" s="5" t="inlineStr">
        <is>
          <t>2024.3Q</t>
        </is>
      </c>
      <c r="E144" s="5" t="inlineStr">
        <is>
          <t>2024.4Q</t>
        </is>
      </c>
      <c r="F144" s="5" t="inlineStr">
        <is>
          <t>2025.1Q</t>
        </is>
      </c>
      <c r="G144" s="5" t="inlineStr">
        <is>
          <t>2025.2Q</t>
        </is>
      </c>
      <c r="H144" s="5" t="inlineStr">
        <is>
          <t>2025.3Q</t>
        </is>
      </c>
      <c r="I144" s="5" t="inlineStr">
        <is>
          <t>2025.4Q</t>
        </is>
      </c>
      <c r="J144" s="5" t="inlineStr">
        <is>
          <t>2026.1Q</t>
        </is>
      </c>
      <c r="K144" s="5" t="inlineStr">
        <is>
          <t>2026.2Q</t>
        </is>
      </c>
      <c r="L144" s="5" t="inlineStr">
        <is>
          <t>2026.3Q</t>
        </is>
      </c>
      <c r="M144" s="5" t="inlineStr">
        <is>
          <t>2026.4Q</t>
        </is>
      </c>
      <c r="N144" s="5" t="inlineStr">
        <is>
          <t>2027.1Q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9" t="inlineStr">
        <is>
          <t>법인세차감전 순이익</t>
        </is>
      </c>
      <c r="E145" s="12" t="n">
        <v>829.668</v>
      </c>
      <c r="I145" s="12" t="n">
        <v>3979.224</v>
      </c>
      <c r="M145" s="12" t="n">
        <v>244.322</v>
      </c>
      <c r="O145" s="12" t="n">
        <v>796.029</v>
      </c>
      <c r="P145" s="12" t="n">
        <v>542.249</v>
      </c>
      <c r="Q145" s="12" t="n">
        <v>323.905</v>
      </c>
      <c r="R145" s="12" t="n">
        <v>376.804</v>
      </c>
      <c r="S145" s="12" t="n">
        <v>1084.857</v>
      </c>
      <c r="T145" s="12" t="n">
        <v>386.549</v>
      </c>
      <c r="U145" s="12" t="n">
        <v>959.799</v>
      </c>
      <c r="V145" s="12" t="n">
        <v>829.668</v>
      </c>
      <c r="W145" s="12" t="n">
        <v>3979.224</v>
      </c>
      <c r="X145" s="12" t="n">
        <v>244.322</v>
      </c>
    </row>
    <row r="146">
      <c r="A146" s="20" t="inlineStr">
        <is>
          <t>감가상각비</t>
        </is>
      </c>
      <c r="E146" s="22" t="n">
        <v>3135.503</v>
      </c>
      <c r="I146" s="22" t="n">
        <v>4768.734</v>
      </c>
      <c r="M146" s="22" t="n">
        <v>7739.239</v>
      </c>
      <c r="O146" s="22" t="n">
        <v>1598.375</v>
      </c>
      <c r="P146" s="22" t="n">
        <v>2250.153</v>
      </c>
      <c r="Q146" s="22" t="n">
        <v>2529.559</v>
      </c>
      <c r="R146" s="22" t="n">
        <v>3022.923</v>
      </c>
      <c r="S146" s="22" t="n">
        <v>3166.814</v>
      </c>
      <c r="T146" s="22" t="n">
        <v>3253.506</v>
      </c>
      <c r="U146" s="22" t="n">
        <v>2774.76</v>
      </c>
      <c r="V146" s="22" t="n">
        <v>3135.503</v>
      </c>
      <c r="W146" s="22" t="n">
        <v>4768.734</v>
      </c>
      <c r="X146" s="22" t="n">
        <v>7739.239</v>
      </c>
    </row>
    <row r="147">
      <c r="A147" s="20" t="inlineStr">
        <is>
          <t>손상차손</t>
        </is>
      </c>
      <c r="O147" s="22" t="n">
        <v>10.627</v>
      </c>
      <c r="P147" s="22" t="n">
        <v>6.857</v>
      </c>
      <c r="Q147" s="22" t="n">
        <v>0</v>
      </c>
      <c r="R147" s="22" t="n">
        <v>405.838</v>
      </c>
      <c r="S147" s="22" t="n">
        <v>100.019</v>
      </c>
      <c r="T147" s="22" t="n">
        <v>142.73</v>
      </c>
      <c r="U147" s="22" t="n">
        <v>0</v>
      </c>
    </row>
    <row r="148">
      <c r="A148" s="20" t="inlineStr">
        <is>
          <t>영업권 상각</t>
        </is>
      </c>
      <c r="E148" s="22" t="n">
        <v>2.919</v>
      </c>
      <c r="I148" s="22" t="n">
        <v>0</v>
      </c>
      <c r="O148" s="22" t="n">
        <v>49.551</v>
      </c>
      <c r="P148" s="22" t="n">
        <v>67.35899999999999</v>
      </c>
      <c r="Q148" s="22" t="n">
        <v>129.404</v>
      </c>
      <c r="R148" s="22" t="n">
        <v>52.133</v>
      </c>
      <c r="S148" s="22" t="n">
        <v>23.479</v>
      </c>
      <c r="T148" s="22" t="n">
        <v>23.479</v>
      </c>
      <c r="U148" s="22" t="n">
        <v>14.658</v>
      </c>
      <c r="V148" s="22" t="n">
        <v>2.919</v>
      </c>
      <c r="W148" s="22" t="n">
        <v>0</v>
      </c>
    </row>
    <row r="149">
      <c r="A149" s="20" t="inlineStr">
        <is>
          <t>대손충당금 증감</t>
        </is>
      </c>
      <c r="E149" s="22" t="n">
        <v>0.437</v>
      </c>
      <c r="I149" s="22" t="n">
        <v>2.048</v>
      </c>
      <c r="M149" s="22" t="n">
        <v>5.522</v>
      </c>
      <c r="O149" s="22" t="n">
        <v>-0.974</v>
      </c>
      <c r="P149" s="22" t="n">
        <v>0.712</v>
      </c>
      <c r="Q149" s="22" t="n">
        <v>-5.953</v>
      </c>
      <c r="R149" s="22" t="n">
        <v>8.863</v>
      </c>
      <c r="S149" s="22" t="n">
        <v>-25.518</v>
      </c>
      <c r="T149" s="22" t="n">
        <v>-1.4</v>
      </c>
      <c r="U149" s="22" t="n">
        <v>-0.154</v>
      </c>
      <c r="V149" s="22" t="n">
        <v>0.437</v>
      </c>
      <c r="W149" s="22" t="n">
        <v>2.048</v>
      </c>
      <c r="X149" s="22" t="n">
        <v>5.522</v>
      </c>
    </row>
    <row r="150">
      <c r="A150" s="20" t="inlineStr">
        <is>
          <t>상여충당금 증감</t>
        </is>
      </c>
      <c r="E150" s="22" t="n">
        <v>60.376</v>
      </c>
      <c r="I150" s="22" t="n">
        <v>212.255</v>
      </c>
      <c r="M150" s="22" t="n">
        <v>108.983</v>
      </c>
      <c r="O150" s="22" t="n">
        <v>35.808</v>
      </c>
      <c r="P150" s="22" t="n">
        <v>19.694</v>
      </c>
      <c r="Q150" s="22" t="n">
        <v>35.053</v>
      </c>
      <c r="R150" s="22" t="n">
        <v>22.654</v>
      </c>
      <c r="S150" s="22" t="n">
        <v>31.609</v>
      </c>
      <c r="T150" s="22" t="n">
        <v>25.66</v>
      </c>
      <c r="U150" s="22" t="n">
        <v>37.614</v>
      </c>
      <c r="V150" s="22" t="n">
        <v>60.376</v>
      </c>
      <c r="W150" s="22" t="n">
        <v>212.255</v>
      </c>
      <c r="X150" s="22" t="n">
        <v>108.983</v>
      </c>
    </row>
    <row r="151">
      <c r="A151" s="20" t="inlineStr">
        <is>
          <t>임원 상여충당금 증감</t>
        </is>
      </c>
      <c r="E151" s="22" t="n">
        <v>-2.25</v>
      </c>
      <c r="I151" s="22" t="n">
        <v>48.735</v>
      </c>
      <c r="M151" s="22" t="n">
        <v>-16.435</v>
      </c>
      <c r="S151" s="22" t="n">
        <v>0</v>
      </c>
      <c r="T151" s="22" t="n">
        <v>1.35</v>
      </c>
      <c r="U151" s="22" t="n">
        <v>5.4</v>
      </c>
      <c r="V151" s="22" t="n">
        <v>-2.25</v>
      </c>
      <c r="W151" s="22" t="n">
        <v>48.735</v>
      </c>
      <c r="X151" s="22" t="n">
        <v>-16.435</v>
      </c>
    </row>
    <row r="152">
      <c r="A152" s="20" t="inlineStr">
        <is>
          <t>주식급여 충당금 증감</t>
        </is>
      </c>
      <c r="E152" s="22" t="n">
        <v>30.662</v>
      </c>
      <c r="I152" s="22" t="n">
        <v>31.186</v>
      </c>
      <c r="M152" s="22" t="n">
        <v>-6.461</v>
      </c>
      <c r="T152" s="22" t="n">
        <v>0</v>
      </c>
      <c r="U152" s="22" t="n">
        <v>28.666</v>
      </c>
      <c r="V152" s="22" t="n">
        <v>30.662</v>
      </c>
      <c r="W152" s="22" t="n">
        <v>31.186</v>
      </c>
      <c r="X152" s="22" t="n">
        <v>-6.461</v>
      </c>
    </row>
    <row r="153">
      <c r="A153" s="20" t="inlineStr">
        <is>
          <t>임원 퇴직위로 충당금 증감</t>
        </is>
      </c>
      <c r="E153" s="22" t="n">
        <v>0</v>
      </c>
      <c r="I153" s="22" t="n">
        <v>50.638</v>
      </c>
      <c r="M153" s="22" t="n">
        <v>20.141</v>
      </c>
      <c r="V153" s="22" t="n">
        <v>0</v>
      </c>
      <c r="W153" s="22" t="n">
        <v>50.638</v>
      </c>
      <c r="X153" s="22" t="n">
        <v>20.141</v>
      </c>
    </row>
    <row r="154">
      <c r="A154" s="20" t="inlineStr">
        <is>
          <t>퇴직급여부채 증감</t>
        </is>
      </c>
      <c r="I154" s="22" t="n">
        <v>30</v>
      </c>
      <c r="M154" s="22" t="n">
        <v>3.05</v>
      </c>
      <c r="W154" s="22" t="n">
        <v>30</v>
      </c>
      <c r="X154" s="22" t="n">
        <v>3.05</v>
      </c>
    </row>
    <row r="155">
      <c r="A155" s="20" t="inlineStr">
        <is>
          <t>이자·배당금 수익</t>
        </is>
      </c>
      <c r="E155" s="22" t="n">
        <v>-5.173</v>
      </c>
      <c r="I155" s="22" t="n">
        <v>-21.614</v>
      </c>
      <c r="M155" s="22" t="n">
        <v>-52.094</v>
      </c>
      <c r="O155" s="22" t="n">
        <v>-2.496</v>
      </c>
      <c r="P155" s="22" t="n">
        <v>-2.508</v>
      </c>
      <c r="Q155" s="22" t="n">
        <v>-2.505</v>
      </c>
      <c r="R155" s="22" t="n">
        <v>-4.02</v>
      </c>
      <c r="S155" s="22" t="n">
        <v>-3.157</v>
      </c>
      <c r="T155" s="22" t="n">
        <v>-3.873</v>
      </c>
      <c r="U155" s="22" t="n">
        <v>-3.639</v>
      </c>
      <c r="V155" s="22" t="n">
        <v>-5.173</v>
      </c>
      <c r="W155" s="22" t="n">
        <v>-21.614</v>
      </c>
      <c r="X155" s="22" t="n">
        <v>-52.094</v>
      </c>
    </row>
    <row r="156">
      <c r="A156" s="20" t="inlineStr">
        <is>
          <t>이자비용</t>
        </is>
      </c>
      <c r="E156" s="22" t="n">
        <v>173.679</v>
      </c>
      <c r="I156" s="22" t="n">
        <v>255.562</v>
      </c>
      <c r="M156" s="22" t="n">
        <v>538.822</v>
      </c>
      <c r="O156" s="22" t="n">
        <v>169.504</v>
      </c>
      <c r="P156" s="22" t="n">
        <v>189.024</v>
      </c>
      <c r="Q156" s="22" t="n">
        <v>191.605</v>
      </c>
      <c r="R156" s="22" t="n">
        <v>197.629</v>
      </c>
      <c r="S156" s="22" t="n">
        <v>199.731</v>
      </c>
      <c r="T156" s="22" t="n">
        <v>171.05</v>
      </c>
      <c r="U156" s="22" t="n">
        <v>154.641</v>
      </c>
      <c r="V156" s="22" t="n">
        <v>173.679</v>
      </c>
      <c r="W156" s="22" t="n">
        <v>255.562</v>
      </c>
      <c r="X156" s="22" t="n">
        <v>538.822</v>
      </c>
    </row>
    <row r="157">
      <c r="A157" s="20" t="inlineStr">
        <is>
          <t>주식교부비</t>
        </is>
      </c>
      <c r="E157" s="22" t="n">
        <v>1.459</v>
      </c>
      <c r="I157" s="22" t="n">
        <v>109.528</v>
      </c>
      <c r="M157" s="22" t="n">
        <v>0</v>
      </c>
      <c r="V157" s="22" t="n">
        <v>1.459</v>
      </c>
      <c r="W157" s="22" t="n">
        <v>109.528</v>
      </c>
      <c r="X157" s="22" t="n">
        <v>0</v>
      </c>
    </row>
    <row r="158">
      <c r="A158" s="20" t="inlineStr">
        <is>
          <t>투자사업조합 운용 손익(△는 이익)</t>
        </is>
      </c>
      <c r="E158" s="22" t="n">
        <v>4.287</v>
      </c>
      <c r="I158" s="22" t="n">
        <v>-14.746</v>
      </c>
      <c r="M158" s="22" t="n">
        <v>8.773999999999999</v>
      </c>
      <c r="O158" s="22" t="n">
        <v>0</v>
      </c>
      <c r="P158" s="22" t="n">
        <v>-9.741</v>
      </c>
      <c r="Q158" s="22" t="n">
        <v>5.484</v>
      </c>
      <c r="R158" s="22" t="n">
        <v>-0.9350000000000001</v>
      </c>
      <c r="S158" s="22" t="n">
        <v>1.317</v>
      </c>
      <c r="T158" s="22" t="n">
        <v>18.336</v>
      </c>
      <c r="U158" s="22" t="n">
        <v>7.83</v>
      </c>
      <c r="V158" s="22" t="n">
        <v>4.287</v>
      </c>
      <c r="W158" s="22" t="n">
        <v>-14.746</v>
      </c>
      <c r="X158" s="22" t="n">
        <v>8.773999999999999</v>
      </c>
    </row>
    <row r="159">
      <c r="A159" s="20" t="inlineStr">
        <is>
          <t>고정자산 제각손실</t>
        </is>
      </c>
      <c r="E159" s="22" t="n">
        <v>1.483</v>
      </c>
      <c r="I159" s="22" t="n">
        <v>52.012</v>
      </c>
      <c r="M159" s="22" t="n">
        <v>14.713</v>
      </c>
      <c r="O159" s="22" t="n">
        <v>9.007999999999999</v>
      </c>
      <c r="P159" s="22" t="n">
        <v>24.287</v>
      </c>
      <c r="Q159" s="22" t="n">
        <v>2.787</v>
      </c>
      <c r="R159" s="22" t="n">
        <v>13.473</v>
      </c>
      <c r="S159" s="22" t="n">
        <v>19.824</v>
      </c>
      <c r="T159" s="22" t="n">
        <v>43.822</v>
      </c>
      <c r="U159" s="22" t="n">
        <v>13.291</v>
      </c>
      <c r="V159" s="22" t="n">
        <v>1.483</v>
      </c>
      <c r="W159" s="22" t="n">
        <v>52.012</v>
      </c>
      <c r="X159" s="22" t="n">
        <v>14.713</v>
      </c>
    </row>
    <row r="160">
      <c r="A160" s="20" t="inlineStr">
        <is>
          <t>Income By Government Subsidies Ope CF</t>
        </is>
      </c>
      <c r="E160" s="22" t="n">
        <v>-1624.819</v>
      </c>
      <c r="I160" s="22" t="n">
        <v>-6119.744</v>
      </c>
      <c r="M160" s="22" t="n">
        <v>-14311.693</v>
      </c>
      <c r="P160" s="22" t="n">
        <v>0</v>
      </c>
      <c r="Q160" s="22" t="n">
        <v>-311.213</v>
      </c>
      <c r="R160" s="22" t="n">
        <v>-77.202</v>
      </c>
      <c r="S160" s="22" t="n">
        <v>0</v>
      </c>
      <c r="U160" s="22" t="n">
        <v>0</v>
      </c>
      <c r="V160" s="22" t="n">
        <v>-1624.819</v>
      </c>
      <c r="W160" s="22" t="n">
        <v>-6119.744</v>
      </c>
      <c r="X160" s="22" t="n">
        <v>-14311.693</v>
      </c>
    </row>
    <row r="161">
      <c r="A161" s="20" t="inlineStr">
        <is>
          <t>고정자산 압축손실</t>
        </is>
      </c>
      <c r="E161" s="22" t="n">
        <v>1624.819</v>
      </c>
      <c r="I161" s="22" t="n">
        <v>6119.744</v>
      </c>
      <c r="M161" s="22" t="n">
        <v>14311.693</v>
      </c>
      <c r="P161" s="22" t="n">
        <v>0</v>
      </c>
      <c r="Q161" s="22" t="n">
        <v>265.277</v>
      </c>
      <c r="R161" s="22" t="n">
        <v>77.202</v>
      </c>
      <c r="S161" s="22" t="n">
        <v>0</v>
      </c>
      <c r="U161" s="22" t="n">
        <v>0</v>
      </c>
      <c r="V161" s="22" t="n">
        <v>1624.819</v>
      </c>
      <c r="W161" s="22" t="n">
        <v>6119.744</v>
      </c>
      <c r="X161" s="22" t="n">
        <v>14311.693</v>
      </c>
    </row>
    <row r="162">
      <c r="A162" s="20" t="inlineStr">
        <is>
          <t>고정자산 매각손익</t>
        </is>
      </c>
      <c r="E162" s="22" t="n">
        <v>-5.868</v>
      </c>
      <c r="I162" s="22" t="n">
        <v>-0.806</v>
      </c>
      <c r="M162" s="22" t="n">
        <v>2.036</v>
      </c>
      <c r="O162" s="22" t="n">
        <v>0.166</v>
      </c>
      <c r="P162" s="22" t="n">
        <v>0</v>
      </c>
      <c r="Q162" s="22" t="n">
        <v>-0.004</v>
      </c>
      <c r="R162" s="22" t="n">
        <v>2.527</v>
      </c>
      <c r="S162" s="22" t="n">
        <v>6.316</v>
      </c>
      <c r="T162" s="22" t="n">
        <v>-9.720000000000001</v>
      </c>
      <c r="U162" s="22" t="n">
        <v>-8.574</v>
      </c>
      <c r="V162" s="22" t="n">
        <v>-5.868</v>
      </c>
      <c r="W162" s="22" t="n">
        <v>-0.806</v>
      </c>
      <c r="X162" s="22" t="n">
        <v>2.036</v>
      </c>
    </row>
    <row r="163">
      <c r="A163" s="20" t="inlineStr">
        <is>
          <t>고정자산 수증이익</t>
        </is>
      </c>
      <c r="O163" s="22" t="n">
        <v>-4.702</v>
      </c>
      <c r="P163" s="22" t="n">
        <v>0</v>
      </c>
    </row>
    <row r="164">
      <c r="A164" s="20" t="inlineStr">
        <is>
          <t>위약금 수입</t>
        </is>
      </c>
      <c r="R164" s="22" t="n">
        <v>0</v>
      </c>
      <c r="S164" s="22" t="n">
        <v>-72.67</v>
      </c>
      <c r="T164" s="22" t="n">
        <v>0</v>
      </c>
    </row>
    <row r="165">
      <c r="A165" s="20" t="inlineStr">
        <is>
          <t>화해금 수령</t>
        </is>
      </c>
      <c r="R165" s="22" t="n">
        <v>0</v>
      </c>
      <c r="S165" s="22" t="n">
        <v>-54.513</v>
      </c>
      <c r="T165" s="22" t="n">
        <v>0</v>
      </c>
    </row>
    <row r="166">
      <c r="A166" s="20" t="inlineStr">
        <is>
          <t>보상금 수취</t>
        </is>
      </c>
      <c r="Q166" s="22" t="n">
        <v>0</v>
      </c>
      <c r="R166" s="22" t="n">
        <v>-10</v>
      </c>
      <c r="S166" s="22" t="n">
        <v>0</v>
      </c>
    </row>
    <row r="167">
      <c r="A167" s="20" t="inlineStr">
        <is>
          <t>Settlement Package Ope CF</t>
        </is>
      </c>
      <c r="R167" s="22" t="n">
        <v>0</v>
      </c>
      <c r="S167" s="22" t="n">
        <v>10</v>
      </c>
      <c r="T167" s="22" t="n">
        <v>0</v>
      </c>
    </row>
    <row r="168">
      <c r="A168" s="20" t="inlineStr">
        <is>
          <t>투자유가증권 매각손익</t>
        </is>
      </c>
      <c r="E168" s="22" t="n">
        <v>-61.318</v>
      </c>
      <c r="I168" s="22" t="n">
        <v>0</v>
      </c>
      <c r="M168" s="22" t="n">
        <v>-155.595</v>
      </c>
      <c r="O168" s="22" t="n">
        <v>-17.071</v>
      </c>
      <c r="P168" s="22" t="n">
        <v>0</v>
      </c>
      <c r="U168" s="22" t="n">
        <v>0</v>
      </c>
      <c r="V168" s="22" t="n">
        <v>-61.318</v>
      </c>
      <c r="W168" s="22" t="n">
        <v>0</v>
      </c>
      <c r="X168" s="22" t="n">
        <v>-155.595</v>
      </c>
    </row>
    <row r="169">
      <c r="A169" s="20" t="inlineStr">
        <is>
          <t>투자유가증권 평가손익</t>
        </is>
      </c>
      <c r="E169" s="22" t="n">
        <v>0</v>
      </c>
      <c r="I169" s="22" t="n">
        <v>29.999</v>
      </c>
      <c r="M169" s="22" t="n">
        <v>0</v>
      </c>
      <c r="O169" s="22" t="n">
        <v>13.184</v>
      </c>
      <c r="P169" s="22" t="n">
        <v>0</v>
      </c>
      <c r="Q169" s="22" t="n">
        <v>103.045</v>
      </c>
      <c r="R169" s="22" t="n">
        <v>1.908</v>
      </c>
      <c r="S169" s="22" t="n">
        <v>0</v>
      </c>
      <c r="V169" s="22" t="n">
        <v>0</v>
      </c>
      <c r="W169" s="22" t="n">
        <v>29.999</v>
      </c>
      <c r="X169" s="22" t="n">
        <v>0</v>
      </c>
    </row>
    <row r="170">
      <c r="A170" s="20" t="inlineStr">
        <is>
          <t>미수 소비세 증감</t>
        </is>
      </c>
      <c r="E170" s="22" t="n">
        <v>-356.745</v>
      </c>
      <c r="I170" s="22" t="n">
        <v>-1274.235</v>
      </c>
      <c r="M170" s="22" t="n">
        <v>-544.572</v>
      </c>
      <c r="O170" s="22" t="n">
        <v>-252.734</v>
      </c>
      <c r="P170" s="22" t="n">
        <v>376.446</v>
      </c>
      <c r="Q170" s="22" t="n">
        <v>-199.607</v>
      </c>
      <c r="R170" s="22" t="n">
        <v>199.607</v>
      </c>
      <c r="S170" s="22" t="n">
        <v>-55.032</v>
      </c>
      <c r="T170" s="22" t="n">
        <v>55.032</v>
      </c>
      <c r="U170" s="22" t="n">
        <v>0</v>
      </c>
      <c r="V170" s="22" t="n">
        <v>-356.745</v>
      </c>
      <c r="W170" s="22" t="n">
        <v>-1274.235</v>
      </c>
      <c r="X170" s="22" t="n">
        <v>-544.572</v>
      </c>
    </row>
    <row r="171">
      <c r="A171" s="20" t="inlineStr">
        <is>
          <t>미지급 소비세 증감</t>
        </is>
      </c>
      <c r="E171" s="22" t="n">
        <v>-131.375</v>
      </c>
      <c r="I171" s="22" t="n">
        <v>-8.226000000000001</v>
      </c>
      <c r="M171" s="22" t="n">
        <v>0.9350000000000001</v>
      </c>
      <c r="O171" s="22" t="n">
        <v>12.765</v>
      </c>
      <c r="P171" s="22" t="n">
        <v>249.375</v>
      </c>
      <c r="Q171" s="22" t="n">
        <v>-99.048</v>
      </c>
      <c r="R171" s="22" t="n">
        <v>448.6</v>
      </c>
      <c r="S171" s="22" t="n">
        <v>-258.123</v>
      </c>
      <c r="T171" s="22" t="n">
        <v>-77.179</v>
      </c>
      <c r="U171" s="22" t="n">
        <v>37.46</v>
      </c>
      <c r="V171" s="22" t="n">
        <v>-131.375</v>
      </c>
      <c r="W171" s="22" t="n">
        <v>-8.226000000000001</v>
      </c>
      <c r="X171" s="22" t="n">
        <v>0.9350000000000001</v>
      </c>
    </row>
    <row r="172">
      <c r="A172" s="20" t="inlineStr">
        <is>
          <t>매출채권 증감</t>
        </is>
      </c>
      <c r="E172" s="22" t="n">
        <v>-848.745</v>
      </c>
      <c r="I172" s="22" t="n">
        <v>-4336.737</v>
      </c>
      <c r="M172" s="22" t="n">
        <v>2764.99</v>
      </c>
      <c r="O172" s="22" t="n">
        <v>-190.419</v>
      </c>
      <c r="P172" s="22" t="n">
        <v>-155.664</v>
      </c>
      <c r="Q172" s="22" t="n">
        <v>-433.373</v>
      </c>
      <c r="R172" s="22" t="n">
        <v>-301.119</v>
      </c>
      <c r="S172" s="22" t="n">
        <v>139.068</v>
      </c>
      <c r="T172" s="22" t="n">
        <v>-532.948</v>
      </c>
      <c r="U172" s="22" t="n">
        <v>307.77</v>
      </c>
      <c r="V172" s="22" t="n">
        <v>-848.745</v>
      </c>
      <c r="W172" s="22" t="n">
        <v>-4336.737</v>
      </c>
      <c r="X172" s="22" t="n">
        <v>2764.99</v>
      </c>
    </row>
    <row r="173">
      <c r="A173" s="20" t="inlineStr">
        <is>
          <t>선수금 증감</t>
        </is>
      </c>
      <c r="E173" s="22" t="n">
        <v>114.746</v>
      </c>
      <c r="I173" s="22" t="n">
        <v>1109.342</v>
      </c>
      <c r="M173" s="22" t="n">
        <v>2549.518</v>
      </c>
      <c r="O173" s="22" t="n">
        <v>118.988</v>
      </c>
      <c r="P173" s="22" t="n">
        <v>230.646</v>
      </c>
      <c r="Q173" s="22" t="n">
        <v>313.213</v>
      </c>
      <c r="R173" s="22" t="n">
        <v>883.6130000000001</v>
      </c>
      <c r="S173" s="22" t="n">
        <v>276.043</v>
      </c>
      <c r="T173" s="22" t="n">
        <v>36.803</v>
      </c>
      <c r="U173" s="22" t="n">
        <v>439.754</v>
      </c>
      <c r="V173" s="22" t="n">
        <v>114.746</v>
      </c>
      <c r="W173" s="22" t="n">
        <v>1109.342</v>
      </c>
      <c r="X173" s="22" t="n">
        <v>2549.518</v>
      </c>
    </row>
    <row r="174">
      <c r="A174" s="20" t="inlineStr">
        <is>
          <t>재고자산 증감</t>
        </is>
      </c>
      <c r="E174" s="22" t="n">
        <v>8.167</v>
      </c>
      <c r="I174" s="22" t="n">
        <v>-41.905</v>
      </c>
      <c r="M174" s="22" t="n">
        <v>-489.31</v>
      </c>
      <c r="O174" s="22" t="n">
        <v>-6.025</v>
      </c>
      <c r="P174" s="22" t="n">
        <v>-300.177</v>
      </c>
      <c r="Q174" s="22" t="n">
        <v>-246.773</v>
      </c>
      <c r="R174" s="22" t="n">
        <v>291.377</v>
      </c>
      <c r="S174" s="22" t="n">
        <v>113.209</v>
      </c>
      <c r="T174" s="22" t="n">
        <v>-105.562</v>
      </c>
      <c r="U174" s="22" t="n">
        <v>162.001</v>
      </c>
      <c r="V174" s="22" t="n">
        <v>8.167</v>
      </c>
      <c r="W174" s="22" t="n">
        <v>-41.905</v>
      </c>
      <c r="X174" s="22" t="n">
        <v>-489.31</v>
      </c>
    </row>
    <row r="175">
      <c r="A175" s="20" t="inlineStr">
        <is>
          <t>매입채무 증감</t>
        </is>
      </c>
      <c r="E175" s="22" t="n">
        <v>-288.711</v>
      </c>
      <c r="I175" s="22" t="n">
        <v>1047.14</v>
      </c>
      <c r="M175" s="22" t="n">
        <v>-535.282</v>
      </c>
      <c r="O175" s="22" t="n">
        <v>62.735</v>
      </c>
      <c r="P175" s="22" t="n">
        <v>57.431</v>
      </c>
      <c r="Q175" s="22" t="n">
        <v>172.379</v>
      </c>
      <c r="R175" s="22" t="n">
        <v>-3.145</v>
      </c>
      <c r="S175" s="22" t="n">
        <v>-133.081</v>
      </c>
      <c r="T175" s="22" t="n">
        <v>1055.893</v>
      </c>
      <c r="U175" s="22" t="n">
        <v>-696.37</v>
      </c>
      <c r="V175" s="22" t="n">
        <v>-288.711</v>
      </c>
      <c r="W175" s="22" t="n">
        <v>1047.14</v>
      </c>
      <c r="X175" s="22" t="n">
        <v>-535.282</v>
      </c>
    </row>
    <row r="176">
      <c r="A176" s="20" t="inlineStr">
        <is>
          <t>기타</t>
        </is>
      </c>
      <c r="E176" s="22" t="n">
        <v>694.696</v>
      </c>
      <c r="I176" s="22" t="n">
        <v>302.101</v>
      </c>
      <c r="M176" s="22" t="n">
        <v>-4141.055</v>
      </c>
      <c r="O176" s="22" t="n">
        <v>-152.043</v>
      </c>
      <c r="P176" s="22" t="n">
        <v>1.054</v>
      </c>
      <c r="Q176" s="22" t="n">
        <v>-130.426</v>
      </c>
      <c r="R176" s="22" t="n">
        <v>-546.058</v>
      </c>
      <c r="S176" s="22" t="n">
        <v>-75.792</v>
      </c>
      <c r="T176" s="22" t="n">
        <v>-207.995</v>
      </c>
      <c r="U176" s="22" t="n">
        <v>-62.786</v>
      </c>
      <c r="V176" s="22" t="n">
        <v>694.696</v>
      </c>
      <c r="W176" s="22" t="n">
        <v>302.101</v>
      </c>
      <c r="X176" s="22" t="n">
        <v>-4141.055</v>
      </c>
    </row>
    <row r="177">
      <c r="A177" s="20" t="inlineStr">
        <is>
          <t>소계</t>
        </is>
      </c>
      <c r="E177" s="22" t="n">
        <v>3357.899</v>
      </c>
      <c r="I177" s="22" t="n">
        <v>6330.24</v>
      </c>
      <c r="M177" s="22" t="n">
        <v>8060.243</v>
      </c>
      <c r="O177" s="22" t="n">
        <v>2250.277</v>
      </c>
      <c r="P177" s="22" t="n">
        <v>3547.201</v>
      </c>
      <c r="Q177" s="22" t="n">
        <v>2642.81</v>
      </c>
      <c r="R177" s="22" t="n">
        <v>5062.678</v>
      </c>
      <c r="S177" s="22" t="n">
        <v>4494.401</v>
      </c>
      <c r="T177" s="22" t="n">
        <v>4275.535</v>
      </c>
      <c r="U177" s="22" t="n">
        <v>4172.125</v>
      </c>
      <c r="V177" s="22" t="n">
        <v>3357.899</v>
      </c>
      <c r="W177" s="22" t="n">
        <v>6330.24</v>
      </c>
      <c r="X177" s="22" t="n">
        <v>8060.243</v>
      </c>
    </row>
    <row r="178">
      <c r="A178" s="20" t="inlineStr">
        <is>
          <t>이자·배당금 수취</t>
        </is>
      </c>
      <c r="E178" s="22" t="n">
        <v>5.084</v>
      </c>
      <c r="I178" s="22" t="n">
        <v>21.078</v>
      </c>
      <c r="M178" s="22" t="n">
        <v>39.093</v>
      </c>
      <c r="O178" s="22" t="n">
        <v>2.495</v>
      </c>
      <c r="P178" s="22" t="n">
        <v>2.509</v>
      </c>
      <c r="Q178" s="22" t="n">
        <v>2.504</v>
      </c>
      <c r="R178" s="22" t="n">
        <v>4.017</v>
      </c>
      <c r="S178" s="22" t="n">
        <v>3.163</v>
      </c>
      <c r="T178" s="22" t="n">
        <v>3.872</v>
      </c>
      <c r="U178" s="22" t="n">
        <v>3.639</v>
      </c>
      <c r="V178" s="22" t="n">
        <v>5.084</v>
      </c>
      <c r="W178" s="22" t="n">
        <v>21.078</v>
      </c>
      <c r="X178" s="22" t="n">
        <v>39.093</v>
      </c>
    </row>
    <row r="179">
      <c r="A179" s="20" t="inlineStr">
        <is>
          <t>이자 지급</t>
        </is>
      </c>
      <c r="E179" s="22" t="n">
        <v>-173.507</v>
      </c>
      <c r="I179" s="22" t="n">
        <v>-259.091</v>
      </c>
      <c r="M179" s="22" t="n">
        <v>-548.114</v>
      </c>
      <c r="O179" s="22" t="n">
        <v>-169.374</v>
      </c>
      <c r="P179" s="22" t="n">
        <v>-189.022</v>
      </c>
      <c r="Q179" s="22" t="n">
        <v>-192.286</v>
      </c>
      <c r="R179" s="22" t="n">
        <v>-197.362</v>
      </c>
      <c r="S179" s="22" t="n">
        <v>-199.303</v>
      </c>
      <c r="T179" s="22" t="n">
        <v>-170.445</v>
      </c>
      <c r="U179" s="22" t="n">
        <v>-154.745</v>
      </c>
      <c r="V179" s="22" t="n">
        <v>-173.507</v>
      </c>
      <c r="W179" s="22" t="n">
        <v>-259.091</v>
      </c>
      <c r="X179" s="22" t="n">
        <v>-548.114</v>
      </c>
    </row>
    <row r="180">
      <c r="A180" s="20" t="inlineStr">
        <is>
          <t>법인세 납부·환급</t>
        </is>
      </c>
      <c r="E180" s="22" t="n">
        <v>-305.342</v>
      </c>
      <c r="I180" s="22" t="n">
        <v>-304.663</v>
      </c>
      <c r="M180" s="22" t="n">
        <v>-1327.646</v>
      </c>
      <c r="O180" s="22" t="n">
        <v>-230.676</v>
      </c>
      <c r="P180" s="22" t="n">
        <v>-292.8</v>
      </c>
      <c r="Q180" s="22" t="n">
        <v>-221.753</v>
      </c>
      <c r="R180" s="22" t="n">
        <v>-297.139</v>
      </c>
      <c r="S180" s="22" t="n">
        <v>-304.808</v>
      </c>
      <c r="T180" s="22" t="n">
        <v>-151.215</v>
      </c>
      <c r="U180" s="22" t="n">
        <v>-57.599</v>
      </c>
      <c r="V180" s="22" t="n">
        <v>-305.342</v>
      </c>
      <c r="W180" s="22" t="n">
        <v>-304.663</v>
      </c>
      <c r="X180" s="22" t="n">
        <v>-1327.646</v>
      </c>
    </row>
    <row r="181">
      <c r="A181" s="20" t="inlineStr">
        <is>
          <t>보상금 수취</t>
        </is>
      </c>
      <c r="Q181" s="22" t="n">
        <v>0</v>
      </c>
      <c r="R181" s="22" t="n">
        <v>10</v>
      </c>
      <c r="S181" s="22" t="n">
        <v>0</v>
      </c>
    </row>
    <row r="182">
      <c r="A182" s="20" t="inlineStr">
        <is>
          <t>Penalty Income Received Ope CF</t>
        </is>
      </c>
      <c r="R182" s="22" t="n">
        <v>0</v>
      </c>
      <c r="S182" s="22" t="n">
        <v>72.67</v>
      </c>
      <c r="T182" s="22" t="n">
        <v>0</v>
      </c>
    </row>
    <row r="183">
      <c r="A183" s="20" t="inlineStr">
        <is>
          <t>화해금 수취액</t>
        </is>
      </c>
      <c r="R183" s="22" t="n">
        <v>0</v>
      </c>
      <c r="S183" s="22" t="n">
        <v>54.513</v>
      </c>
      <c r="T183" s="22" t="n">
        <v>0</v>
      </c>
    </row>
    <row r="184">
      <c r="A184" s="20" t="inlineStr">
        <is>
          <t>Settlement Package Paid Ope CF</t>
        </is>
      </c>
      <c r="R184" s="22" t="n">
        <v>0</v>
      </c>
      <c r="S184" s="22" t="n">
        <v>-10</v>
      </c>
      <c r="T184" s="22" t="n">
        <v>0</v>
      </c>
    </row>
    <row r="185">
      <c r="A185" s="9" t="inlineStr">
        <is>
          <t>영업활동 현금흐름</t>
        </is>
      </c>
      <c r="E185" s="12" t="n">
        <v>2884.133</v>
      </c>
      <c r="I185" s="12" t="n">
        <v>5787.563</v>
      </c>
      <c r="M185" s="12" t="n">
        <v>6223.575</v>
      </c>
      <c r="O185" s="12" t="n">
        <v>1852.721</v>
      </c>
      <c r="P185" s="12" t="n">
        <v>3067.888</v>
      </c>
      <c r="Q185" s="12" t="n">
        <v>2231.274</v>
      </c>
      <c r="R185" s="12" t="n">
        <v>4582.193</v>
      </c>
      <c r="S185" s="12" t="n">
        <v>4110.636</v>
      </c>
      <c r="T185" s="12" t="n">
        <v>3957.746</v>
      </c>
      <c r="U185" s="12" t="n">
        <v>3963.42</v>
      </c>
      <c r="V185" s="12" t="n">
        <v>2884.133</v>
      </c>
      <c r="W185" s="12" t="n">
        <v>5787.563</v>
      </c>
      <c r="X185" s="12" t="n">
        <v>6223.575</v>
      </c>
    </row>
    <row r="186">
      <c r="A186" s="20" t="inlineStr">
        <is>
          <t>유형자산 취득(설비투자)</t>
        </is>
      </c>
      <c r="E186" s="22" t="n">
        <v>-3481.799</v>
      </c>
      <c r="I186" s="22" t="n">
        <v>-17657.769</v>
      </c>
      <c r="M186" s="22" t="n">
        <v>-36336.695</v>
      </c>
      <c r="O186" s="22" t="n">
        <v>-4754.476</v>
      </c>
      <c r="P186" s="22" t="n">
        <v>-1121.804</v>
      </c>
      <c r="Q186" s="22" t="n">
        <v>-2381.784</v>
      </c>
      <c r="R186" s="22" t="n">
        <v>-2754.54</v>
      </c>
      <c r="S186" s="22" t="n">
        <v>-1350.518</v>
      </c>
      <c r="T186" s="22" t="n">
        <v>-1293.13</v>
      </c>
      <c r="U186" s="22" t="n">
        <v>-498.24</v>
      </c>
      <c r="V186" s="22" t="n">
        <v>-3481.799</v>
      </c>
      <c r="W186" s="22" t="n">
        <v>-17657.769</v>
      </c>
      <c r="X186" s="22" t="n">
        <v>-36336.695</v>
      </c>
    </row>
    <row r="187">
      <c r="A187" s="20" t="inlineStr">
        <is>
          <t>유형자산 매각</t>
        </is>
      </c>
      <c r="I187" s="22" t="n">
        <v>0.806</v>
      </c>
      <c r="M187" s="22" t="n">
        <v>470.776</v>
      </c>
      <c r="O187" s="22" t="n">
        <v>1.871</v>
      </c>
      <c r="P187" s="22" t="n">
        <v>0</v>
      </c>
      <c r="W187" s="22" t="n">
        <v>0.806</v>
      </c>
      <c r="X187" s="22" t="n">
        <v>470.776</v>
      </c>
    </row>
    <row r="188">
      <c r="A188" s="20" t="inlineStr">
        <is>
          <t>무형자산 취득</t>
        </is>
      </c>
      <c r="E188" s="22" t="n">
        <v>-136.977</v>
      </c>
      <c r="I188" s="22" t="n">
        <v>-895.994</v>
      </c>
      <c r="M188" s="22" t="n">
        <v>-1106.251</v>
      </c>
      <c r="O188" s="22" t="n">
        <v>-214.38</v>
      </c>
      <c r="P188" s="22" t="n">
        <v>-197.418</v>
      </c>
      <c r="Q188" s="22" t="n">
        <v>-173.406</v>
      </c>
      <c r="R188" s="22" t="n">
        <v>-133.741</v>
      </c>
      <c r="S188" s="22" t="n">
        <v>-141.78</v>
      </c>
      <c r="T188" s="22" t="n">
        <v>-132.947</v>
      </c>
      <c r="U188" s="22" t="n">
        <v>-272.099</v>
      </c>
      <c r="V188" s="22" t="n">
        <v>-136.977</v>
      </c>
      <c r="W188" s="22" t="n">
        <v>-895.994</v>
      </c>
      <c r="X188" s="22" t="n">
        <v>-1106.251</v>
      </c>
    </row>
    <row r="189">
      <c r="A189" s="20" t="inlineStr">
        <is>
          <t>Income By Government Subsidies Inv CF</t>
        </is>
      </c>
      <c r="E189" s="22" t="n">
        <v>1634.371</v>
      </c>
      <c r="I189" s="22" t="n">
        <v>10299.156</v>
      </c>
      <c r="M189" s="22" t="n">
        <v>12346.456</v>
      </c>
      <c r="P189" s="22" t="n">
        <v>0</v>
      </c>
      <c r="Q189" s="22" t="n">
        <v>153.629</v>
      </c>
      <c r="R189" s="22" t="n">
        <v>155.995</v>
      </c>
      <c r="S189" s="22" t="n">
        <v>78.79300000000001</v>
      </c>
      <c r="T189" s="22" t="n">
        <v>0</v>
      </c>
      <c r="U189" s="22" t="n">
        <v>0</v>
      </c>
      <c r="V189" s="22" t="n">
        <v>1634.371</v>
      </c>
      <c r="W189" s="22" t="n">
        <v>10299.156</v>
      </c>
      <c r="X189" s="22" t="n">
        <v>12346.456</v>
      </c>
    </row>
    <row r="190">
      <c r="A190" s="20" t="inlineStr">
        <is>
          <t>자산복구부채 이행 지출</t>
        </is>
      </c>
      <c r="O190" s="22" t="n">
        <v>0</v>
      </c>
      <c r="P190" s="22" t="n">
        <v>-20.901</v>
      </c>
      <c r="Q190" s="22" t="n">
        <v>0</v>
      </c>
    </row>
    <row r="191">
      <c r="A191" s="20" t="inlineStr">
        <is>
          <t>투자유가증권 취득</t>
        </is>
      </c>
      <c r="E191" s="22" t="n">
        <v>-21</v>
      </c>
      <c r="I191" s="22" t="n">
        <v>-11</v>
      </c>
      <c r="M191" s="22" t="n">
        <v>-217.931</v>
      </c>
      <c r="O191" s="22" t="n">
        <v>-34.5</v>
      </c>
      <c r="P191" s="22" t="n">
        <v>-66.932</v>
      </c>
      <c r="Q191" s="22" t="n">
        <v>-105.615</v>
      </c>
      <c r="R191" s="22" t="n">
        <v>-148</v>
      </c>
      <c r="S191" s="22" t="n">
        <v>-80</v>
      </c>
      <c r="T191" s="22" t="n">
        <v>-30</v>
      </c>
      <c r="U191" s="22" t="n">
        <v>-20</v>
      </c>
      <c r="V191" s="22" t="n">
        <v>-21</v>
      </c>
      <c r="W191" s="22" t="n">
        <v>-11</v>
      </c>
      <c r="X191" s="22" t="n">
        <v>-217.931</v>
      </c>
    </row>
    <row r="192">
      <c r="A192" s="20" t="inlineStr">
        <is>
          <t>투자조합 분배 수입</t>
        </is>
      </c>
      <c r="O192" s="22" t="n">
        <v>0</v>
      </c>
      <c r="P192" s="22" t="n">
        <v>14.967</v>
      </c>
      <c r="Q192" s="22" t="n">
        <v>0</v>
      </c>
    </row>
    <row r="193">
      <c r="A193" s="20" t="inlineStr">
        <is>
          <t>관계회사 주식 취득</t>
        </is>
      </c>
      <c r="S193" s="22" t="n">
        <v>0</v>
      </c>
      <c r="T193" s="22" t="n">
        <v>-108</v>
      </c>
      <c r="U193" s="22" t="n">
        <v>0</v>
      </c>
    </row>
    <row r="194">
      <c r="A194" s="20" t="inlineStr">
        <is>
          <t>투자유가증권 매각</t>
        </is>
      </c>
      <c r="I194" s="22" t="n">
        <v>0</v>
      </c>
      <c r="M194" s="22" t="n">
        <v>187.185</v>
      </c>
      <c r="O194" s="22" t="n">
        <v>17.071</v>
      </c>
      <c r="P194" s="22" t="n">
        <v>0</v>
      </c>
      <c r="W194" s="22" t="n">
        <v>0</v>
      </c>
      <c r="X194" s="22" t="n">
        <v>187.185</v>
      </c>
    </row>
    <row r="195">
      <c r="A195" s="20" t="inlineStr">
        <is>
          <t>임차보증금·보증금 납입</t>
        </is>
      </c>
      <c r="E195" s="22" t="n">
        <v>-94.59699999999999</v>
      </c>
      <c r="I195" s="22" t="n">
        <v>-64.92100000000001</v>
      </c>
      <c r="M195" s="22" t="n">
        <v>-0.732</v>
      </c>
      <c r="O195" s="22" t="n">
        <v>-343.935</v>
      </c>
      <c r="P195" s="22" t="n">
        <v>-4.1</v>
      </c>
      <c r="Q195" s="22" t="n">
        <v>-75.621</v>
      </c>
      <c r="R195" s="22" t="n">
        <v>-93.71899999999999</v>
      </c>
      <c r="S195" s="22" t="n">
        <v>0</v>
      </c>
      <c r="T195" s="22" t="n">
        <v>-27.009</v>
      </c>
      <c r="U195" s="22" t="n">
        <v>-20.555</v>
      </c>
      <c r="V195" s="22" t="n">
        <v>-94.59699999999999</v>
      </c>
      <c r="W195" s="22" t="n">
        <v>-64.92100000000001</v>
      </c>
      <c r="X195" s="22" t="n">
        <v>-0.732</v>
      </c>
    </row>
    <row r="196">
      <c r="A196" s="20" t="inlineStr">
        <is>
          <t>임차보증금·보증금 회수</t>
        </is>
      </c>
      <c r="E196" s="22" t="n">
        <v>0</v>
      </c>
      <c r="I196" s="22" t="n">
        <v>0.201</v>
      </c>
      <c r="M196" s="22" t="n">
        <v>6.374</v>
      </c>
      <c r="O196" s="22" t="n">
        <v>0.7</v>
      </c>
      <c r="P196" s="22" t="n">
        <v>22.021</v>
      </c>
      <c r="Q196" s="22" t="n">
        <v>1.094</v>
      </c>
      <c r="R196" s="22" t="n">
        <v>0</v>
      </c>
      <c r="S196" s="22" t="n">
        <v>151.35</v>
      </c>
      <c r="T196" s="22" t="n">
        <v>63.289</v>
      </c>
      <c r="U196" s="22" t="n">
        <v>356.746</v>
      </c>
      <c r="V196" s="22" t="n">
        <v>0</v>
      </c>
      <c r="W196" s="22" t="n">
        <v>0.201</v>
      </c>
      <c r="X196" s="22" t="n">
        <v>6.374</v>
      </c>
    </row>
    <row r="197">
      <c r="A197" s="20" t="inlineStr">
        <is>
          <t>연결범위 변경 자회사 주식 취득</t>
        </is>
      </c>
      <c r="O197" s="22" t="n">
        <v>-83.26600000000001</v>
      </c>
      <c r="P197" s="22" t="n">
        <v>-8.58</v>
      </c>
      <c r="Q197" s="22" t="n">
        <v>0</v>
      </c>
    </row>
    <row r="198">
      <c r="A198" s="20" t="inlineStr">
        <is>
          <t>연결범위 변경 자회사 주식 취득(수입)</t>
        </is>
      </c>
      <c r="P198" s="22" t="n">
        <v>0</v>
      </c>
      <c r="Q198" s="22" t="n">
        <v>5.421</v>
      </c>
      <c r="R198" s="22" t="n">
        <v>0</v>
      </c>
    </row>
    <row r="199">
      <c r="A199" s="20" t="inlineStr">
        <is>
          <t>기타</t>
        </is>
      </c>
      <c r="E199" s="22" t="n">
        <v>74.364</v>
      </c>
      <c r="I199" s="22" t="n">
        <v>6.408</v>
      </c>
      <c r="M199" s="22" t="n">
        <v>7.716</v>
      </c>
      <c r="O199" s="22" t="n">
        <v>0</v>
      </c>
      <c r="P199" s="22" t="n">
        <v>-0.078</v>
      </c>
      <c r="Q199" s="22" t="n">
        <v>0.004</v>
      </c>
      <c r="R199" s="22" t="n">
        <v>0.412</v>
      </c>
      <c r="S199" s="22" t="n">
        <v>-17.35</v>
      </c>
      <c r="T199" s="22" t="n">
        <v>-146.968</v>
      </c>
      <c r="U199" s="22" t="n">
        <v>-151.979</v>
      </c>
      <c r="V199" s="22" t="n">
        <v>74.364</v>
      </c>
      <c r="W199" s="22" t="n">
        <v>6.408</v>
      </c>
      <c r="X199" s="22" t="n">
        <v>7.716</v>
      </c>
    </row>
    <row r="200">
      <c r="A200" s="9" t="inlineStr">
        <is>
          <t>투자활동 현금흐름</t>
        </is>
      </c>
      <c r="E200" s="12" t="n">
        <v>-2025.638</v>
      </c>
      <c r="I200" s="12" t="n">
        <v>-8323.112999999999</v>
      </c>
      <c r="M200" s="12" t="n">
        <v>-24643.1</v>
      </c>
      <c r="O200" s="12" t="n">
        <v>-5410.917</v>
      </c>
      <c r="P200" s="12" t="n">
        <v>-1382.827</v>
      </c>
      <c r="Q200" s="12" t="n">
        <v>-2576.277</v>
      </c>
      <c r="R200" s="12" t="n">
        <v>-2973.593</v>
      </c>
      <c r="S200" s="12" t="n">
        <v>-1359.506</v>
      </c>
      <c r="T200" s="12" t="n">
        <v>-1674.766</v>
      </c>
      <c r="U200" s="12" t="n">
        <v>-606.129</v>
      </c>
      <c r="V200" s="12" t="n">
        <v>-2025.638</v>
      </c>
      <c r="W200" s="12" t="n">
        <v>-8323.112999999999</v>
      </c>
      <c r="X200" s="12" t="n">
        <v>-24643.1</v>
      </c>
    </row>
    <row r="201">
      <c r="A201" s="20" t="inlineStr">
        <is>
          <t>단기차입</t>
        </is>
      </c>
      <c r="E201" s="22" t="n">
        <v>1053</v>
      </c>
      <c r="I201" s="22" t="n">
        <v>20067</v>
      </c>
      <c r="M201" s="22" t="n">
        <v>17087</v>
      </c>
      <c r="O201" s="22" t="n">
        <v>655</v>
      </c>
      <c r="P201" s="22" t="n">
        <v>787</v>
      </c>
      <c r="Q201" s="22" t="n">
        <v>1300</v>
      </c>
      <c r="R201" s="22" t="n">
        <v>2114.288</v>
      </c>
      <c r="S201" s="22" t="n">
        <v>2976</v>
      </c>
      <c r="T201" s="22" t="n">
        <v>2766</v>
      </c>
      <c r="U201" s="22" t="n">
        <v>1396</v>
      </c>
      <c r="V201" s="22" t="n">
        <v>1053</v>
      </c>
      <c r="W201" s="22" t="n">
        <v>20067</v>
      </c>
      <c r="X201" s="22" t="n">
        <v>17087</v>
      </c>
    </row>
    <row r="202">
      <c r="A202" s="20" t="inlineStr">
        <is>
          <t>단기차입금 상환</t>
        </is>
      </c>
      <c r="E202" s="22" t="n">
        <v>-955.332</v>
      </c>
      <c r="I202" s="22" t="n">
        <v>-11223</v>
      </c>
      <c r="M202" s="22" t="n">
        <v>-15661.668</v>
      </c>
      <c r="O202" s="22" t="n">
        <v>-643</v>
      </c>
      <c r="P202" s="22" t="n">
        <v>-752</v>
      </c>
      <c r="Q202" s="22" t="n">
        <v>-730</v>
      </c>
      <c r="R202" s="22" t="n">
        <v>-1679.288</v>
      </c>
      <c r="S202" s="22" t="n">
        <v>-3209</v>
      </c>
      <c r="T202" s="22" t="n">
        <v>-2350</v>
      </c>
      <c r="U202" s="22" t="n">
        <v>-2527</v>
      </c>
      <c r="V202" s="22" t="n">
        <v>-955.332</v>
      </c>
      <c r="W202" s="22" t="n">
        <v>-11223</v>
      </c>
      <c r="X202" s="22" t="n">
        <v>-15661.668</v>
      </c>
    </row>
    <row r="203">
      <c r="A203" s="20" t="inlineStr">
        <is>
          <t>장기차입</t>
        </is>
      </c>
      <c r="E203" s="22" t="n">
        <v>1664</v>
      </c>
      <c r="I203" s="22" t="n">
        <v>5725</v>
      </c>
      <c r="M203" s="22" t="n">
        <v>8110</v>
      </c>
      <c r="O203" s="22" t="n">
        <v>2774</v>
      </c>
      <c r="P203" s="22" t="n">
        <v>186</v>
      </c>
      <c r="Q203" s="22" t="n">
        <v>3329.5</v>
      </c>
      <c r="R203" s="22" t="n">
        <v>409.288</v>
      </c>
      <c r="S203" s="22" t="n">
        <v>0</v>
      </c>
      <c r="T203" s="22" t="n">
        <v>1010</v>
      </c>
      <c r="U203" s="22" t="n">
        <v>0</v>
      </c>
      <c r="V203" s="22" t="n">
        <v>1664</v>
      </c>
      <c r="W203" s="22" t="n">
        <v>5725</v>
      </c>
      <c r="X203" s="22" t="n">
        <v>8110</v>
      </c>
    </row>
    <row r="204">
      <c r="A204" s="20" t="inlineStr">
        <is>
          <t>장기차입금 상환</t>
        </is>
      </c>
      <c r="E204" s="22" t="n">
        <v>-817.818</v>
      </c>
      <c r="I204" s="22" t="n">
        <v>-4278.739</v>
      </c>
      <c r="M204" s="22" t="n">
        <v>-3339.651</v>
      </c>
      <c r="O204" s="22" t="n">
        <v>-809.525</v>
      </c>
      <c r="P204" s="22" t="n">
        <v>-1256.83</v>
      </c>
      <c r="Q204" s="22" t="n">
        <v>-885.444</v>
      </c>
      <c r="R204" s="22" t="n">
        <v>-2162.076</v>
      </c>
      <c r="S204" s="22" t="n">
        <v>-1902.99</v>
      </c>
      <c r="T204" s="22" t="n">
        <v>-933.568</v>
      </c>
      <c r="U204" s="22" t="n">
        <v>-918.082</v>
      </c>
      <c r="V204" s="22" t="n">
        <v>-817.818</v>
      </c>
      <c r="W204" s="22" t="n">
        <v>-4278.739</v>
      </c>
      <c r="X204" s="22" t="n">
        <v>-3339.651</v>
      </c>
    </row>
    <row r="205">
      <c r="A205" s="20" t="inlineStr">
        <is>
          <t>주식 발행</t>
        </is>
      </c>
      <c r="E205" s="22" t="n">
        <v>0</v>
      </c>
      <c r="I205" s="22" t="n">
        <v>17942.964</v>
      </c>
      <c r="M205" s="22" t="n">
        <v>0</v>
      </c>
      <c r="O205" s="22" t="n">
        <v>2702.395</v>
      </c>
      <c r="P205" s="22" t="n">
        <v>0</v>
      </c>
      <c r="V205" s="22" t="n">
        <v>0</v>
      </c>
      <c r="W205" s="22" t="n">
        <v>17942.964</v>
      </c>
      <c r="X205" s="22" t="n">
        <v>0</v>
      </c>
    </row>
    <row r="206">
      <c r="A206" s="20" t="inlineStr">
        <is>
          <t>비지배주주 납입</t>
        </is>
      </c>
      <c r="E206" s="22" t="n">
        <v>129.041</v>
      </c>
      <c r="I206" s="22" t="n">
        <v>0</v>
      </c>
      <c r="U206" s="22" t="n">
        <v>0</v>
      </c>
      <c r="V206" s="22" t="n">
        <v>129.041</v>
      </c>
      <c r="W206" s="22" t="n">
        <v>0</v>
      </c>
    </row>
    <row r="207">
      <c r="A207" s="20" t="inlineStr">
        <is>
          <t>리스부채 상환</t>
        </is>
      </c>
      <c r="E207" s="22" t="n">
        <v>-1566.762</v>
      </c>
      <c r="I207" s="22" t="n">
        <v>-1836.513</v>
      </c>
      <c r="M207" s="22" t="n">
        <v>-2649.97</v>
      </c>
      <c r="O207" s="22" t="n">
        <v>-944.025</v>
      </c>
      <c r="P207" s="22" t="n">
        <v>-1239.156</v>
      </c>
      <c r="Q207" s="22" t="n">
        <v>-1328.085</v>
      </c>
      <c r="R207" s="22" t="n">
        <v>-1366.964</v>
      </c>
      <c r="S207" s="22" t="n">
        <v>-1482.328</v>
      </c>
      <c r="T207" s="22" t="n">
        <v>-1358.908</v>
      </c>
      <c r="U207" s="22" t="n">
        <v>-1302.251</v>
      </c>
      <c r="V207" s="22" t="n">
        <v>-1566.762</v>
      </c>
      <c r="W207" s="22" t="n">
        <v>-1836.513</v>
      </c>
      <c r="X207" s="22" t="n">
        <v>-2649.97</v>
      </c>
    </row>
    <row r="208">
      <c r="A208" s="20" t="inlineStr">
        <is>
          <t>세일앤리스백 수입</t>
        </is>
      </c>
      <c r="E208" s="22" t="n">
        <v>217.272</v>
      </c>
      <c r="I208" s="22" t="n">
        <v>512.228</v>
      </c>
      <c r="M208" s="22" t="n">
        <v>1242.652</v>
      </c>
      <c r="O208" s="22" t="n">
        <v>818.274</v>
      </c>
      <c r="P208" s="22" t="n">
        <v>528.948</v>
      </c>
      <c r="Q208" s="22" t="n">
        <v>351.111</v>
      </c>
      <c r="R208" s="22" t="n">
        <v>371.306</v>
      </c>
      <c r="S208" s="22" t="n">
        <v>632.232</v>
      </c>
      <c r="T208" s="22" t="n">
        <v>9.039</v>
      </c>
      <c r="U208" s="22" t="n">
        <v>80.358</v>
      </c>
      <c r="V208" s="22" t="n">
        <v>217.272</v>
      </c>
      <c r="W208" s="22" t="n">
        <v>512.228</v>
      </c>
      <c r="X208" s="22" t="n">
        <v>1242.652</v>
      </c>
    </row>
    <row r="209">
      <c r="A209" s="20" t="inlineStr">
        <is>
          <t>Repayments Of Installment Payables Fin CF</t>
        </is>
      </c>
      <c r="E209" s="22" t="n">
        <v>-7.75</v>
      </c>
      <c r="I209" s="22" t="n">
        <v>-21.232</v>
      </c>
      <c r="M209" s="22" t="n">
        <v>-393.305</v>
      </c>
      <c r="O209" s="22" t="n">
        <v>-117.405</v>
      </c>
      <c r="P209" s="22" t="n">
        <v>-101.615</v>
      </c>
      <c r="Q209" s="22" t="n">
        <v>-103.808</v>
      </c>
      <c r="R209" s="22" t="n">
        <v>-102.149</v>
      </c>
      <c r="S209" s="22" t="n">
        <v>-71.84</v>
      </c>
      <c r="T209" s="22" t="n">
        <v>-38.926</v>
      </c>
      <c r="U209" s="22" t="n">
        <v>-17.605</v>
      </c>
      <c r="V209" s="22" t="n">
        <v>-7.75</v>
      </c>
      <c r="W209" s="22" t="n">
        <v>-21.232</v>
      </c>
      <c r="X209" s="22" t="n">
        <v>-393.305</v>
      </c>
    </row>
    <row r="210">
      <c r="A210" s="20" t="inlineStr">
        <is>
          <t>자기주식 취득</t>
        </is>
      </c>
      <c r="E210" s="22" t="n">
        <v>-1.383</v>
      </c>
      <c r="I210" s="22" t="n">
        <v>-0.317</v>
      </c>
      <c r="M210" s="22" t="n">
        <v>-0.031</v>
      </c>
      <c r="P210" s="22" t="n">
        <v>0</v>
      </c>
      <c r="Q210" s="22" t="n">
        <v>-602.1130000000001</v>
      </c>
      <c r="R210" s="22" t="n">
        <v>0</v>
      </c>
      <c r="T210" s="22" t="n">
        <v>0</v>
      </c>
      <c r="U210" s="22" t="n">
        <v>-601.282</v>
      </c>
      <c r="V210" s="22" t="n">
        <v>-1.383</v>
      </c>
      <c r="W210" s="22" t="n">
        <v>-0.317</v>
      </c>
      <c r="X210" s="22" t="n">
        <v>-0.031</v>
      </c>
    </row>
    <row r="211">
      <c r="A211" s="20" t="inlineStr">
        <is>
          <t>자기주식 매각</t>
        </is>
      </c>
      <c r="I211" s="22" t="n">
        <v>0.963</v>
      </c>
      <c r="M211" s="22" t="n">
        <v>85.861</v>
      </c>
      <c r="W211" s="22" t="n">
        <v>0.963</v>
      </c>
      <c r="X211" s="22" t="n">
        <v>85.861</v>
      </c>
    </row>
    <row r="212">
      <c r="A212" s="20" t="inlineStr">
        <is>
          <t>배당금 지급</t>
        </is>
      </c>
      <c r="E212" s="22" t="n">
        <v>-125.621</v>
      </c>
      <c r="I212" s="22" t="n">
        <v>-124.699</v>
      </c>
      <c r="M212" s="22" t="n">
        <v>-161.619</v>
      </c>
      <c r="O212" s="22" t="n">
        <v>-86.23</v>
      </c>
      <c r="P212" s="22" t="n">
        <v>-93.366</v>
      </c>
      <c r="Q212" s="22" t="n">
        <v>-93.57899999999999</v>
      </c>
      <c r="R212" s="22" t="n">
        <v>-90.79600000000001</v>
      </c>
      <c r="S212" s="22" t="n">
        <v>-90.779</v>
      </c>
      <c r="T212" s="22" t="n">
        <v>-108.912</v>
      </c>
      <c r="U212" s="22" t="n">
        <v>-109.509</v>
      </c>
      <c r="V212" s="22" t="n">
        <v>-125.621</v>
      </c>
      <c r="W212" s="22" t="n">
        <v>-124.699</v>
      </c>
      <c r="X212" s="22" t="n">
        <v>-161.619</v>
      </c>
    </row>
    <row r="213">
      <c r="A213" s="20" t="inlineStr">
        <is>
          <t>연결범위 변경 없는 자회사 주식 취득</t>
        </is>
      </c>
      <c r="Q213" s="22" t="n">
        <v>0</v>
      </c>
      <c r="R213" s="22" t="n">
        <v>-35.1</v>
      </c>
      <c r="S213" s="22" t="n">
        <v>0</v>
      </c>
    </row>
    <row r="214">
      <c r="A214" s="20" t="inlineStr">
        <is>
          <t>기타</t>
        </is>
      </c>
      <c r="E214" s="22" t="n">
        <v>0.763</v>
      </c>
      <c r="I214" s="22" t="n">
        <v>0.963</v>
      </c>
      <c r="U214" s="22" t="n">
        <v>0</v>
      </c>
      <c r="V214" s="22" t="n">
        <v>0.763</v>
      </c>
      <c r="W214" s="22" t="n">
        <v>0.963</v>
      </c>
    </row>
    <row r="215">
      <c r="A215" s="9" t="inlineStr">
        <is>
          <t>재무활동 현금흐름</t>
        </is>
      </c>
      <c r="E215" s="12" t="n">
        <v>-410.59</v>
      </c>
      <c r="I215" s="12" t="n">
        <v>26763.654</v>
      </c>
      <c r="M215" s="12" t="n">
        <v>4319.267</v>
      </c>
      <c r="O215" s="12" t="n">
        <v>4349.483</v>
      </c>
      <c r="P215" s="12" t="n">
        <v>-1941.02</v>
      </c>
      <c r="Q215" s="12" t="n">
        <v>1237.58</v>
      </c>
      <c r="R215" s="12" t="n">
        <v>-2541.492</v>
      </c>
      <c r="S215" s="12" t="n">
        <v>-3148.706</v>
      </c>
      <c r="T215" s="12" t="n">
        <v>-1005.276</v>
      </c>
      <c r="U215" s="12" t="n">
        <v>-3999.374</v>
      </c>
      <c r="V215" s="12" t="n">
        <v>-410.59</v>
      </c>
      <c r="W215" s="12" t="n">
        <v>26763.654</v>
      </c>
      <c r="X215" s="12" t="n">
        <v>4319.267</v>
      </c>
    </row>
    <row r="216">
      <c r="A216" s="20" t="inlineStr">
        <is>
          <t>현금성자산 환산차이</t>
        </is>
      </c>
      <c r="E216" s="22" t="n">
        <v>-0.726</v>
      </c>
      <c r="I216" s="22" t="n">
        <v>-2.017</v>
      </c>
      <c r="M216" s="22" t="n">
        <v>5.791</v>
      </c>
      <c r="O216" s="22" t="n">
        <v>-0.186</v>
      </c>
      <c r="P216" s="22" t="n">
        <v>-0.066</v>
      </c>
      <c r="Q216" s="22" t="n">
        <v>0.048</v>
      </c>
      <c r="R216" s="22" t="n">
        <v>-0.159</v>
      </c>
      <c r="S216" s="22" t="n">
        <v>0.019</v>
      </c>
      <c r="T216" s="22" t="n">
        <v>0.123</v>
      </c>
      <c r="U216" s="22" t="n">
        <v>0.117</v>
      </c>
      <c r="V216" s="22" t="n">
        <v>-0.726</v>
      </c>
      <c r="W216" s="22" t="n">
        <v>-2.017</v>
      </c>
      <c r="X216" s="22" t="n">
        <v>5.791</v>
      </c>
    </row>
    <row r="217">
      <c r="A217" s="20" t="inlineStr">
        <is>
          <t>현금성자산 증감</t>
        </is>
      </c>
      <c r="E217" s="22" t="n">
        <v>447.177</v>
      </c>
      <c r="I217" s="22" t="n">
        <v>24226.087</v>
      </c>
      <c r="M217" s="22" t="n">
        <v>-14094.466</v>
      </c>
      <c r="O217" s="22" t="n">
        <v>791.101</v>
      </c>
      <c r="P217" s="22" t="n">
        <v>-256.025</v>
      </c>
      <c r="Q217" s="22" t="n">
        <v>892.626</v>
      </c>
      <c r="R217" s="22" t="n">
        <v>-933.052</v>
      </c>
      <c r="S217" s="22" t="n">
        <v>-397.555</v>
      </c>
      <c r="T217" s="22" t="n">
        <v>1277.827</v>
      </c>
      <c r="U217" s="22" t="n">
        <v>-641.9640000000001</v>
      </c>
      <c r="V217" s="22" t="n">
        <v>447.177</v>
      </c>
      <c r="W217" s="22" t="n">
        <v>24226.087</v>
      </c>
      <c r="X217" s="22" t="n">
        <v>-14094.466</v>
      </c>
    </row>
    <row r="218">
      <c r="A218" s="20" t="inlineStr">
        <is>
          <t>연결범위 변경에 따른 현금성자산 증감</t>
        </is>
      </c>
      <c r="E218" s="22" t="n">
        <v>0</v>
      </c>
      <c r="I218" s="22" t="n">
        <v>5.329</v>
      </c>
      <c r="M218" s="22" t="n">
        <v>0</v>
      </c>
      <c r="V218" s="22" t="n">
        <v>0</v>
      </c>
      <c r="W218" s="22" t="n">
        <v>5.329</v>
      </c>
      <c r="X218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3778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33697.89</v>
      </c>
      <c r="D5" s="12" t="n">
        <v>19694.627</v>
      </c>
      <c r="E5" s="12" t="n">
        <v>22089.296</v>
      </c>
      <c r="F5" s="12" t="n">
        <v>26255.316</v>
      </c>
      <c r="G5" s="12" t="n">
        <v>29074.46</v>
      </c>
      <c r="H5" s="11" t="n">
        <v>9776.159</v>
      </c>
      <c r="I5" s="12" t="n">
        <v>8930.986999999999</v>
      </c>
      <c r="J5" s="12" t="n">
        <v>10574.2</v>
      </c>
      <c r="K5" s="12" t="n">
        <v>41744.592</v>
      </c>
      <c r="L5" s="12" t="n">
        <v>26255.316</v>
      </c>
    </row>
    <row r="6">
      <c r="A6" s="20" t="inlineStr">
        <is>
          <t>현금및현금성자산</t>
        </is>
      </c>
      <c r="B6" s="10" t="n"/>
      <c r="C6" s="21" t="n">
        <v>24254.781</v>
      </c>
      <c r="D6" s="22" t="n">
        <v>10780.435</v>
      </c>
      <c r="E6" s="22" t="n">
        <v>12242.841</v>
      </c>
      <c r="F6" s="22" t="n">
        <v>15391.081</v>
      </c>
      <c r="G6" s="22" t="n">
        <v>17271.165</v>
      </c>
      <c r="H6" s="21" t="n">
        <v>5452.592</v>
      </c>
      <c r="I6" s="22" t="n">
        <v>4810.628</v>
      </c>
      <c r="J6" s="22" t="n">
        <v>5257.805</v>
      </c>
      <c r="K6" s="22" t="n">
        <v>29489.223</v>
      </c>
      <c r="L6" s="22" t="n">
        <v>15391.081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2838.646</v>
      </c>
      <c r="D8" s="22" t="n">
        <v>2737.055</v>
      </c>
      <c r="E8" s="22" t="n">
        <v>3209.464</v>
      </c>
      <c r="F8" s="22" t="n">
        <v>4813.239</v>
      </c>
      <c r="G8" s="22" t="n">
        <v>4876.587</v>
      </c>
      <c r="H8" s="21" t="n">
        <v>2700.19</v>
      </c>
      <c r="I8" s="22" t="n">
        <v>2392.419</v>
      </c>
      <c r="J8" s="22" t="n">
        <v>3241.165</v>
      </c>
      <c r="K8" s="22" t="n">
        <v>7577.863</v>
      </c>
      <c r="L8" s="22" t="n">
        <v>4813.239</v>
      </c>
    </row>
    <row r="9">
      <c r="A9" s="20" t="inlineStr">
        <is>
          <t>재고자산</t>
        </is>
      </c>
      <c r="B9" s="10" t="n"/>
      <c r="C9" s="21" t="n">
        <v>517.375</v>
      </c>
      <c r="D9" s="22" t="n">
        <v>441.675</v>
      </c>
      <c r="E9" s="22" t="n">
        <v>1022.395</v>
      </c>
      <c r="F9" s="22" t="n">
        <v>1021.882</v>
      </c>
      <c r="G9" s="22" t="n">
        <v>505.42</v>
      </c>
      <c r="H9" s="21" t="n">
        <v>702.027</v>
      </c>
      <c r="I9" s="22" t="n">
        <v>540.025</v>
      </c>
      <c r="J9" s="22" t="n">
        <v>525.061</v>
      </c>
      <c r="K9" s="22" t="n">
        <v>532.572</v>
      </c>
      <c r="L9" s="22" t="n">
        <v>1021.882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47303.133</v>
      </c>
      <c r="D11" s="12" t="n">
        <v>60565.398</v>
      </c>
      <c r="E11" s="12" t="n">
        <v>60529.567</v>
      </c>
      <c r="F11" s="12" t="n">
        <v>56195.76</v>
      </c>
      <c r="G11" s="12" t="n">
        <v>58471.666</v>
      </c>
      <c r="H11" s="11" t="n">
        <v>18620.168</v>
      </c>
      <c r="I11" s="12" t="n">
        <v>17325.122</v>
      </c>
      <c r="J11" s="12" t="n">
        <v>19650.247</v>
      </c>
      <c r="K11" s="12" t="n">
        <v>39674.878</v>
      </c>
      <c r="L11" s="12" t="n">
        <v>56195.76</v>
      </c>
    </row>
    <row r="12">
      <c r="A12" s="20" t="inlineStr">
        <is>
          <t>유형자산</t>
        </is>
      </c>
      <c r="B12" s="10" t="n"/>
      <c r="C12" s="21" t="n">
        <v>37880.622</v>
      </c>
      <c r="D12" s="22" t="n">
        <v>51190.946</v>
      </c>
      <c r="E12" s="22" t="n">
        <v>51214.577</v>
      </c>
      <c r="F12" s="22" t="n">
        <v>46722.502</v>
      </c>
      <c r="G12" s="22" t="n">
        <v>48894.327</v>
      </c>
      <c r="H12" s="21" t="n">
        <v>15725.557</v>
      </c>
      <c r="I12" s="22" t="n">
        <v>14716.102</v>
      </c>
      <c r="J12" s="22" t="n">
        <v>16656.693</v>
      </c>
      <c r="K12" s="22" t="n">
        <v>33469.545</v>
      </c>
      <c r="L12" s="22" t="n">
        <v>46722.502</v>
      </c>
    </row>
    <row r="13">
      <c r="A13" s="20" t="inlineStr">
        <is>
          <t>무형자산</t>
        </is>
      </c>
      <c r="B13" s="10" t="n"/>
      <c r="C13" s="21" t="n">
        <v>1403.956</v>
      </c>
      <c r="D13" s="22" t="n">
        <v>1565.479</v>
      </c>
      <c r="E13" s="22" t="n">
        <v>1831.062</v>
      </c>
      <c r="F13" s="22" t="n">
        <v>2018.177</v>
      </c>
      <c r="G13" s="22" t="n">
        <v>2109.37</v>
      </c>
      <c r="H13" s="21" t="n">
        <v>426.342</v>
      </c>
      <c r="I13" s="22" t="n">
        <v>508.025</v>
      </c>
      <c r="J13" s="22" t="n">
        <v>505.262</v>
      </c>
      <c r="K13" s="22" t="n">
        <v>1259.893</v>
      </c>
      <c r="L13" s="22" t="n">
        <v>2018.177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81001.024</v>
      </c>
      <c r="D16" s="12" t="n">
        <v>80260.02499999999</v>
      </c>
      <c r="E16" s="12" t="n">
        <v>82618.864</v>
      </c>
      <c r="F16" s="12" t="n">
        <v>82451.076</v>
      </c>
      <c r="G16" s="12" t="n">
        <v>87546.12699999999</v>
      </c>
      <c r="H16" s="11" t="n">
        <v>28396.327</v>
      </c>
      <c r="I16" s="12" t="n">
        <v>26256.109</v>
      </c>
      <c r="J16" s="12" t="n">
        <v>30224.447</v>
      </c>
      <c r="K16" s="12" t="n">
        <v>81419.47</v>
      </c>
      <c r="L16" s="12" t="n">
        <v>82451.076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37750.942</v>
      </c>
      <c r="D18" s="12" t="n">
        <v>34194.632</v>
      </c>
      <c r="E18" s="12" t="n">
        <v>34799.76</v>
      </c>
      <c r="F18" s="12" t="n">
        <v>33854.933</v>
      </c>
      <c r="G18" s="12" t="n">
        <v>36915.473</v>
      </c>
      <c r="H18" s="11" t="n">
        <v>11309.298</v>
      </c>
      <c r="I18" s="12" t="n">
        <v>9840.513999999999</v>
      </c>
      <c r="J18" s="12" t="n">
        <v>10598.366</v>
      </c>
      <c r="K18" s="12" t="n">
        <v>40347.49</v>
      </c>
      <c r="L18" s="12" t="n">
        <v>33854.933</v>
      </c>
    </row>
    <row r="19">
      <c r="A19" s="20" t="inlineStr">
        <is>
          <t>매입채무</t>
        </is>
      </c>
      <c r="B19" s="10" t="n"/>
      <c r="C19" s="21" t="n">
        <v>607.006</v>
      </c>
      <c r="D19" s="22" t="n">
        <v>660.9299999999999</v>
      </c>
      <c r="E19" s="22" t="n">
        <v>816.725</v>
      </c>
      <c r="F19" s="22" t="n">
        <v>1245.523</v>
      </c>
      <c r="G19" s="22" t="n">
        <v>554.71</v>
      </c>
      <c r="H19" s="21" t="n">
        <v>1613.404</v>
      </c>
      <c r="I19" s="22" t="n">
        <v>917.034</v>
      </c>
      <c r="J19" s="22" t="n">
        <v>628.323</v>
      </c>
      <c r="K19" s="22" t="n">
        <v>1675.464</v>
      </c>
      <c r="L19" s="22" t="n">
        <v>1245.523</v>
      </c>
    </row>
    <row r="20">
      <c r="A20" s="20" t="inlineStr">
        <is>
          <t>단기차입금</t>
        </is>
      </c>
      <c r="B20" s="10" t="n"/>
      <c r="C20" s="21" t="n">
        <v>6741.667</v>
      </c>
      <c r="D20" s="22" t="n">
        <v>10675.668</v>
      </c>
      <c r="E20" s="22" t="n">
        <v>8255</v>
      </c>
      <c r="F20" s="22" t="n">
        <v>10687</v>
      </c>
      <c r="G20" s="22" t="n">
        <v>14742</v>
      </c>
      <c r="H20" s="21" t="n">
        <v>1451</v>
      </c>
      <c r="I20" s="22" t="n">
        <v>320</v>
      </c>
      <c r="J20" s="22" t="n">
        <v>417.668</v>
      </c>
      <c r="K20" s="22" t="n">
        <v>9261.668</v>
      </c>
      <c r="L20" s="22" t="n">
        <v>10687</v>
      </c>
    </row>
    <row r="21">
      <c r="A21" s="20" t="inlineStr">
        <is>
          <t>유동성장기부채</t>
        </is>
      </c>
      <c r="B21" s="10" t="n"/>
      <c r="C21" s="21" t="n">
        <v>2668.38</v>
      </c>
      <c r="D21" s="22" t="n">
        <v>3657.66</v>
      </c>
      <c r="E21" s="22" t="n">
        <v>5323.383</v>
      </c>
      <c r="F21" s="22" t="n">
        <v>4796.832</v>
      </c>
      <c r="G21" s="22" t="n">
        <v>4242.518</v>
      </c>
      <c r="H21" s="21" t="n">
        <v>918.082</v>
      </c>
      <c r="I21" s="22" t="n">
        <v>813.183</v>
      </c>
      <c r="J21" s="22" t="n">
        <v>740.21</v>
      </c>
      <c r="K21" s="22" t="n">
        <v>2649.408</v>
      </c>
      <c r="L21" s="22" t="n">
        <v>4796.832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13430.972</v>
      </c>
      <c r="D23" s="12" t="n">
        <v>16453.494</v>
      </c>
      <c r="E23" s="12" t="n">
        <v>18244.036</v>
      </c>
      <c r="F23" s="12" t="n">
        <v>18266.988</v>
      </c>
      <c r="G23" s="12" t="n">
        <v>19641.134</v>
      </c>
      <c r="H23" s="11" t="n">
        <v>8637.099</v>
      </c>
      <c r="I23" s="12" t="n">
        <v>7929.456</v>
      </c>
      <c r="J23" s="12" t="n">
        <v>10304.872</v>
      </c>
      <c r="K23" s="12" t="n">
        <v>10814.598</v>
      </c>
      <c r="L23" s="12" t="n">
        <v>18266.988</v>
      </c>
    </row>
    <row r="24">
      <c r="A24" s="20" t="inlineStr">
        <is>
          <t>장기차입금</t>
        </is>
      </c>
      <c r="B24" s="10" t="n"/>
      <c r="C24" s="21" t="n">
        <v>2542.612</v>
      </c>
      <c r="D24" s="22" t="n">
        <v>4917.091</v>
      </c>
      <c r="E24" s="22" t="n">
        <v>6553.073</v>
      </c>
      <c r="F24" s="22" t="n">
        <v>5777.396</v>
      </c>
      <c r="G24" s="22" t="n">
        <v>5067.428</v>
      </c>
      <c r="H24" s="21" t="n">
        <v>3475.436</v>
      </c>
      <c r="I24" s="22" t="n">
        <v>2662.253</v>
      </c>
      <c r="J24" s="22" t="n">
        <v>3617.408</v>
      </c>
      <c r="K24" s="22" t="n">
        <v>3154.471</v>
      </c>
      <c r="L24" s="22" t="n">
        <v>5777.396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51181.915</v>
      </c>
      <c r="D27" s="12" t="n">
        <v>50648.126</v>
      </c>
      <c r="E27" s="12" t="n">
        <v>53043.797</v>
      </c>
      <c r="F27" s="12" t="n">
        <v>52121.922</v>
      </c>
      <c r="G27" s="12" t="n">
        <v>56556.608</v>
      </c>
      <c r="H27" s="11" t="n">
        <v>19946.398</v>
      </c>
      <c r="I27" s="12" t="n">
        <v>17769.97</v>
      </c>
      <c r="J27" s="12" t="n">
        <v>20903.238</v>
      </c>
      <c r="K27" s="12" t="n">
        <v>51162.089</v>
      </c>
      <c r="L27" s="12" t="n">
        <v>52121.922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29611.608</v>
      </c>
      <c r="D31" s="12" t="n">
        <v>29400.315</v>
      </c>
      <c r="E31" s="12" t="n">
        <v>29357.808</v>
      </c>
      <c r="F31" s="12" t="n">
        <v>30101.279</v>
      </c>
      <c r="G31" s="12" t="n">
        <v>30759.997</v>
      </c>
      <c r="H31" s="11" t="n">
        <v>8317.704</v>
      </c>
      <c r="I31" s="12" t="n">
        <v>8348.710999999999</v>
      </c>
      <c r="J31" s="12" t="n">
        <v>9135.003000000001</v>
      </c>
      <c r="K31" s="12" t="n">
        <v>30055.279</v>
      </c>
      <c r="L31" s="12" t="n">
        <v>30101.279</v>
      </c>
    </row>
    <row r="32">
      <c r="A32" s="20" t="inlineStr">
        <is>
          <t>자본금</t>
        </is>
      </c>
      <c r="B32" s="10" t="n"/>
      <c r="C32" s="21" t="n">
        <v>11283.167</v>
      </c>
      <c r="D32" s="22" t="n">
        <v>11283.167</v>
      </c>
      <c r="E32" s="22" t="n">
        <v>11283.167</v>
      </c>
      <c r="F32" s="22" t="n">
        <v>11283.167</v>
      </c>
      <c r="G32" s="22" t="n">
        <v>11283.167</v>
      </c>
      <c r="H32" s="21" t="n">
        <v>2256.921</v>
      </c>
      <c r="I32" s="22" t="n">
        <v>2256.921</v>
      </c>
      <c r="J32" s="22" t="n">
        <v>2256.921</v>
      </c>
      <c r="K32" s="22" t="n">
        <v>11283.167</v>
      </c>
      <c r="L32" s="22" t="n">
        <v>11283.167</v>
      </c>
    </row>
    <row r="33">
      <c r="A33" s="20" t="inlineStr">
        <is>
          <t>이익잉여금</t>
        </is>
      </c>
      <c r="B33" s="10" t="n"/>
      <c r="C33" s="21" t="n">
        <v>8692.218999999999</v>
      </c>
      <c r="D33" s="22" t="n">
        <v>8389.834999999999</v>
      </c>
      <c r="E33" s="22" t="n">
        <v>8465.573</v>
      </c>
      <c r="F33" s="22" t="n">
        <v>9232.621999999999</v>
      </c>
      <c r="G33" s="22" t="n">
        <v>9887.088</v>
      </c>
      <c r="H33" s="21" t="n">
        <v>5289.923</v>
      </c>
      <c r="I33" s="22" t="n">
        <v>5847.035</v>
      </c>
      <c r="J33" s="22" t="n">
        <v>6372.974</v>
      </c>
      <c r="K33" s="22" t="n">
        <v>9177.688</v>
      </c>
      <c r="L33" s="22" t="n">
        <v>9232.621999999999</v>
      </c>
    </row>
    <row r="34">
      <c r="A34" s="20" t="inlineStr">
        <is>
          <t>비지배지분</t>
        </is>
      </c>
      <c r="B34" s="10" t="n"/>
      <c r="C34" s="21" t="n">
        <v>207.501</v>
      </c>
      <c r="D34" s="22" t="n">
        <v>211.584</v>
      </c>
      <c r="E34" s="22" t="n">
        <v>217.259</v>
      </c>
      <c r="F34" s="22" t="n">
        <v>227.875</v>
      </c>
      <c r="G34" s="22" t="n">
        <v>229.521</v>
      </c>
      <c r="H34" s="21" t="n">
        <v>132.225</v>
      </c>
      <c r="I34" s="22" t="n">
        <v>137.428</v>
      </c>
      <c r="J34" s="22" t="n">
        <v>186.206</v>
      </c>
      <c r="K34" s="22" t="n">
        <v>202.102</v>
      </c>
      <c r="L34" s="22" t="n">
        <v>227.875</v>
      </c>
    </row>
    <row r="35">
      <c r="A35" s="9" t="inlineStr">
        <is>
          <t>자본총계</t>
        </is>
      </c>
      <c r="B35" s="10" t="n"/>
      <c r="C35" s="11" t="n">
        <v>29819.109</v>
      </c>
      <c r="D35" s="12" t="n">
        <v>29611.899</v>
      </c>
      <c r="E35" s="12" t="n">
        <v>29575.067</v>
      </c>
      <c r="F35" s="12" t="n">
        <v>30329.154</v>
      </c>
      <c r="G35" s="12" t="n">
        <v>30989.518</v>
      </c>
      <c r="H35" s="11" t="n">
        <v>8449.929</v>
      </c>
      <c r="I35" s="12" t="n">
        <v>8486.138999999999</v>
      </c>
      <c r="J35" s="12" t="n">
        <v>9321.209000000001</v>
      </c>
      <c r="K35" s="12" t="n">
        <v>30257.381</v>
      </c>
      <c r="L35" s="12" t="n">
        <v>30329.154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6223.575</v>
      </c>
      <c r="G37" s="12" t="n"/>
      <c r="H37" s="11" t="n">
        <v>3957.746</v>
      </c>
      <c r="I37" s="12" t="n">
        <v>3963.42</v>
      </c>
      <c r="J37" s="12" t="n">
        <v>2884.133</v>
      </c>
      <c r="K37" s="12" t="n">
        <v>5787.563</v>
      </c>
      <c r="L37" s="12" t="n">
        <v>6223.575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37442.946</v>
      </c>
      <c r="G38" s="22" t="n"/>
      <c r="H38" s="21" t="n">
        <v>1426.077</v>
      </c>
      <c r="I38" s="22" t="n">
        <v>770.3390000000001</v>
      </c>
      <c r="J38" s="22" t="n">
        <v>3618.776</v>
      </c>
      <c r="K38" s="22" t="n">
        <v>18553.763</v>
      </c>
      <c r="L38" s="22" t="n">
        <v>37442.946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>
        <v>161.619</v>
      </c>
      <c r="G40" s="22" t="n"/>
      <c r="H40" s="21" t="n">
        <v>108.912</v>
      </c>
      <c r="I40" s="22" t="n">
        <v>109.509</v>
      </c>
      <c r="J40" s="22" t="n">
        <v>125.621</v>
      </c>
      <c r="K40" s="22" t="n">
        <v>124.699</v>
      </c>
      <c r="L40" s="22" t="n">
        <v>161.619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24254.781</v>
      </c>
      <c r="D71" s="22" t="n">
        <v>10780.435</v>
      </c>
      <c r="E71" s="22" t="n">
        <v>12242.841</v>
      </c>
      <c r="F71" s="22" t="n">
        <v>15391.081</v>
      </c>
      <c r="G71" s="22" t="n">
        <v>17271.165</v>
      </c>
      <c r="H71" s="22" t="n">
        <v>5452.592</v>
      </c>
      <c r="I71" s="22" t="n">
        <v>4810.628</v>
      </c>
      <c r="J71" s="22" t="n">
        <v>5257.805</v>
      </c>
      <c r="K71" s="22" t="n">
        <v>29489.223</v>
      </c>
      <c r="L71" s="22" t="n">
        <v>15391.081</v>
      </c>
    </row>
    <row r="72">
      <c r="A72" s="20" t="inlineStr">
        <is>
          <t>매출채권</t>
        </is>
      </c>
      <c r="H72" s="22" t="n">
        <v>2700.19</v>
      </c>
      <c r="I72" s="22" t="n">
        <v>2392.419</v>
      </c>
    </row>
    <row r="73">
      <c r="A73" s="20" t="inlineStr">
        <is>
          <t>받을어음·매출채권·계약자산</t>
        </is>
      </c>
      <c r="C73" s="22" t="n">
        <v>2838.646</v>
      </c>
      <c r="D73" s="22" t="n">
        <v>2737.055</v>
      </c>
      <c r="E73" s="22" t="n">
        <v>3209.464</v>
      </c>
      <c r="F73" s="22" t="n">
        <v>4813.239</v>
      </c>
      <c r="G73" s="22" t="n">
        <v>4876.587</v>
      </c>
      <c r="I73" s="22" t="n">
        <v>2392.419</v>
      </c>
      <c r="J73" s="22" t="n">
        <v>3241.165</v>
      </c>
      <c r="K73" s="22" t="n">
        <v>7577.863</v>
      </c>
      <c r="L73" s="22" t="n">
        <v>4813.239</v>
      </c>
    </row>
    <row r="74">
      <c r="A74" s="20" t="inlineStr">
        <is>
          <t>상품·제품</t>
        </is>
      </c>
      <c r="C74" s="22" t="n">
        <v>30.244</v>
      </c>
      <c r="D74" s="22" t="n">
        <v>34.058</v>
      </c>
      <c r="E74" s="22" t="n">
        <v>461.792</v>
      </c>
      <c r="F74" s="22" t="n">
        <v>408.039</v>
      </c>
      <c r="G74" s="22" t="n">
        <v>16.057</v>
      </c>
      <c r="H74" s="22" t="n">
        <v>17.179</v>
      </c>
      <c r="I74" s="22" t="n">
        <v>13.384</v>
      </c>
      <c r="J74" s="22" t="n">
        <v>16.747</v>
      </c>
      <c r="K74" s="22" t="n">
        <v>30.845</v>
      </c>
      <c r="L74" s="22" t="n">
        <v>408.039</v>
      </c>
    </row>
    <row r="75">
      <c r="A75" s="20" t="inlineStr">
        <is>
          <t>재공품</t>
        </is>
      </c>
      <c r="C75" s="22" t="n">
        <v>18.31</v>
      </c>
      <c r="D75" s="22" t="n">
        <v>5.557</v>
      </c>
      <c r="E75" s="22" t="n">
        <v>37.509</v>
      </c>
      <c r="F75" s="22" t="n">
        <v>59.243</v>
      </c>
      <c r="G75" s="22" t="n">
        <v>31.401</v>
      </c>
      <c r="H75" s="22" t="n">
        <v>32.455</v>
      </c>
      <c r="I75" s="22" t="n">
        <v>0</v>
      </c>
      <c r="J75" s="22" t="n">
        <v>0</v>
      </c>
      <c r="K75" s="22" t="n">
        <v>33.278</v>
      </c>
      <c r="L75" s="22" t="n">
        <v>59.243</v>
      </c>
    </row>
    <row r="76">
      <c r="A76" s="20" t="inlineStr">
        <is>
          <t>저장품</t>
        </is>
      </c>
      <c r="C76" s="22" t="n">
        <v>468.821</v>
      </c>
      <c r="D76" s="22" t="n">
        <v>402.06</v>
      </c>
      <c r="E76" s="22" t="n">
        <v>523.0940000000001</v>
      </c>
      <c r="F76" s="22" t="n">
        <v>554.6</v>
      </c>
      <c r="G76" s="22" t="n">
        <v>457.962</v>
      </c>
      <c r="H76" s="22" t="n">
        <v>652.393</v>
      </c>
      <c r="I76" s="22" t="n">
        <v>526.641</v>
      </c>
      <c r="J76" s="22" t="n">
        <v>508.314</v>
      </c>
      <c r="K76" s="22" t="n">
        <v>468.449</v>
      </c>
      <c r="L76" s="22" t="n">
        <v>554.6</v>
      </c>
    </row>
    <row r="77">
      <c r="A77" s="20" t="inlineStr">
        <is>
          <t>기타</t>
        </is>
      </c>
      <c r="C77" s="22" t="n">
        <v>6105.545</v>
      </c>
      <c r="D77" s="22" t="n">
        <v>5753.726</v>
      </c>
      <c r="E77" s="22" t="n">
        <v>5636.488</v>
      </c>
      <c r="F77" s="22" t="n">
        <v>5051.385</v>
      </c>
      <c r="G77" s="22" t="n">
        <v>6443.651</v>
      </c>
      <c r="H77" s="22" t="n">
        <v>934.809</v>
      </c>
      <c r="I77" s="22" t="n">
        <v>1201.459</v>
      </c>
      <c r="J77" s="22" t="n">
        <v>1564.39</v>
      </c>
      <c r="K77" s="22" t="n">
        <v>4161.356</v>
      </c>
      <c r="L77" s="22" t="n">
        <v>5051.385</v>
      </c>
    </row>
    <row r="78">
      <c r="A78" s="20" t="inlineStr">
        <is>
          <t>대손충당금</t>
        </is>
      </c>
      <c r="C78" s="22" t="n">
        <v>-18.46</v>
      </c>
      <c r="D78" s="22" t="n">
        <v>-18.267</v>
      </c>
      <c r="E78" s="22" t="n">
        <v>-21.892</v>
      </c>
      <c r="F78" s="22" t="n">
        <v>-22.274</v>
      </c>
      <c r="G78" s="22" t="n">
        <v>-22.365</v>
      </c>
      <c r="H78" s="22" t="n">
        <v>-13.46</v>
      </c>
      <c r="I78" s="22" t="n">
        <v>-13.545</v>
      </c>
      <c r="J78" s="22" t="n">
        <v>-14.223</v>
      </c>
      <c r="K78" s="22" t="n">
        <v>-16.423</v>
      </c>
      <c r="L78" s="22" t="n">
        <v>-22.274</v>
      </c>
    </row>
    <row r="79">
      <c r="A79" s="9" t="inlineStr">
        <is>
          <t>유동자산 합계</t>
        </is>
      </c>
      <c r="C79" s="12" t="n">
        <v>33697.89</v>
      </c>
      <c r="D79" s="12" t="n">
        <v>19694.627</v>
      </c>
      <c r="E79" s="12" t="n">
        <v>22089.296</v>
      </c>
      <c r="F79" s="12" t="n">
        <v>26255.316</v>
      </c>
      <c r="G79" s="12" t="n">
        <v>29074.46</v>
      </c>
      <c r="H79" s="12" t="n">
        <v>9776.159</v>
      </c>
      <c r="I79" s="12" t="n">
        <v>8930.986999999999</v>
      </c>
      <c r="J79" s="12" t="n">
        <v>10574.2</v>
      </c>
      <c r="K79" s="12" t="n">
        <v>41744.592</v>
      </c>
      <c r="L79" s="12" t="n">
        <v>26255.316</v>
      </c>
    </row>
    <row r="80">
      <c r="A80" s="20" t="inlineStr">
        <is>
          <t>건물·구축물(순액)</t>
        </is>
      </c>
      <c r="C80" s="22" t="n">
        <v>9104.166999999999</v>
      </c>
      <c r="D80" s="22" t="n">
        <v>8955.968000000001</v>
      </c>
      <c r="E80" s="22" t="n">
        <v>8816.781999999999</v>
      </c>
      <c r="F80" s="22" t="n">
        <v>9862.441999999999</v>
      </c>
      <c r="G80" s="22" t="n">
        <v>12121.905</v>
      </c>
      <c r="H80" s="22" t="n">
        <v>7457.911</v>
      </c>
      <c r="I80" s="22" t="n">
        <v>6899.139</v>
      </c>
      <c r="J80" s="22" t="n">
        <v>6369.459</v>
      </c>
      <c r="K80" s="22" t="n">
        <v>6282.028</v>
      </c>
      <c r="L80" s="22" t="n">
        <v>9862.441999999999</v>
      </c>
    </row>
    <row r="81">
      <c r="A81" s="20" t="inlineStr">
        <is>
          <t>공구·기구·비품(순액)</t>
        </is>
      </c>
      <c r="C81" s="22" t="n">
        <v>14404.453</v>
      </c>
      <c r="D81" s="22" t="n">
        <v>26716.302</v>
      </c>
      <c r="E81" s="22" t="n">
        <v>26662.788</v>
      </c>
      <c r="F81" s="22" t="n">
        <v>17950.309</v>
      </c>
      <c r="G81" s="22" t="n">
        <v>16741.156</v>
      </c>
      <c r="H81" s="22" t="n">
        <v>2578.257</v>
      </c>
      <c r="I81" s="22" t="n">
        <v>1981.395</v>
      </c>
      <c r="J81" s="22" t="n">
        <v>2764.895</v>
      </c>
      <c r="K81" s="22" t="n">
        <v>16456.644</v>
      </c>
      <c r="L81" s="22" t="n">
        <v>17950.309</v>
      </c>
    </row>
    <row r="82">
      <c r="A82" s="20" t="inlineStr">
        <is>
          <t>토지</t>
        </is>
      </c>
      <c r="F82" s="22" t="n">
        <v>644.731</v>
      </c>
      <c r="H82" s="22" t="n">
        <v>640.139</v>
      </c>
      <c r="I82" s="22" t="n">
        <v>640.139</v>
      </c>
      <c r="J82" s="22" t="n">
        <v>644.731</v>
      </c>
      <c r="K82" s="22" t="n">
        <v>644.731</v>
      </c>
      <c r="L82" s="22" t="n">
        <v>644.731</v>
      </c>
    </row>
    <row r="83">
      <c r="A83" s="20" t="inlineStr">
        <is>
          <t>리스자산(순액)</t>
        </is>
      </c>
      <c r="C83" s="22" t="n">
        <v>11054.526</v>
      </c>
      <c r="D83" s="22" t="n">
        <v>11894.061</v>
      </c>
      <c r="E83" s="22" t="n">
        <v>12185.318</v>
      </c>
      <c r="F83" s="22" t="n">
        <v>13097.016</v>
      </c>
      <c r="G83" s="22" t="n">
        <v>15167.649</v>
      </c>
      <c r="H83" s="22" t="n">
        <v>5049.248</v>
      </c>
      <c r="I83" s="22" t="n">
        <v>5176.95</v>
      </c>
      <c r="J83" s="22" t="n">
        <v>6841.909</v>
      </c>
      <c r="K83" s="22" t="n">
        <v>7727.951</v>
      </c>
      <c r="L83" s="22" t="n">
        <v>13097.016</v>
      </c>
    </row>
    <row r="84">
      <c r="A84" s="20" t="inlineStr">
        <is>
          <t>건설중인자산</t>
        </is>
      </c>
      <c r="F84" s="22" t="n">
        <v>5168.003</v>
      </c>
      <c r="J84" s="22" t="n">
        <v>35.698</v>
      </c>
      <c r="K84" s="22" t="n">
        <v>2358.189</v>
      </c>
      <c r="L84" s="22" t="n">
        <v>5168.003</v>
      </c>
    </row>
    <row r="85">
      <c r="A85" s="20" t="inlineStr">
        <is>
          <t>기타(순액)</t>
        </is>
      </c>
      <c r="C85" s="22" t="n">
        <v>3317.475</v>
      </c>
      <c r="D85" s="22" t="n">
        <v>3624.613</v>
      </c>
      <c r="E85" s="22" t="n">
        <v>3549.686</v>
      </c>
      <c r="F85" s="22" t="n">
        <v>5812.735</v>
      </c>
      <c r="G85" s="22" t="n">
        <v>4863.616</v>
      </c>
      <c r="H85" s="22" t="n">
        <v>0</v>
      </c>
      <c r="I85" s="22" t="n">
        <v>18.477</v>
      </c>
      <c r="J85" s="22" t="n">
        <v>680.429</v>
      </c>
      <c r="K85" s="22" t="n">
        <v>3002.921</v>
      </c>
      <c r="L85" s="22" t="n">
        <v>5812.735</v>
      </c>
    </row>
    <row r="86">
      <c r="A86" s="20" t="inlineStr">
        <is>
          <t>유형자산 합계</t>
        </is>
      </c>
      <c r="C86" s="22" t="n">
        <v>37880.622</v>
      </c>
      <c r="D86" s="22" t="n">
        <v>51190.946</v>
      </c>
      <c r="E86" s="22" t="n">
        <v>51214.577</v>
      </c>
      <c r="F86" s="22" t="n">
        <v>46722.502</v>
      </c>
      <c r="G86" s="22" t="n">
        <v>48894.327</v>
      </c>
      <c r="H86" s="22" t="n">
        <v>15725.557</v>
      </c>
      <c r="I86" s="22" t="n">
        <v>14716.102</v>
      </c>
      <c r="J86" s="22" t="n">
        <v>16656.693</v>
      </c>
      <c r="K86" s="22" t="n">
        <v>33469.545</v>
      </c>
      <c r="L86" s="22" t="n">
        <v>46722.502</v>
      </c>
    </row>
    <row r="87">
      <c r="A87" s="20" t="inlineStr">
        <is>
          <t>기타</t>
        </is>
      </c>
      <c r="C87" s="22" t="n">
        <v>1403.956</v>
      </c>
      <c r="D87" s="22" t="n">
        <v>1565.479</v>
      </c>
      <c r="E87" s="22" t="n">
        <v>1831.062</v>
      </c>
      <c r="F87" s="22" t="n">
        <v>2018.177</v>
      </c>
      <c r="G87" s="22" t="n">
        <v>2109.37</v>
      </c>
      <c r="H87" s="22" t="n">
        <v>426.342</v>
      </c>
      <c r="I87" s="22" t="n">
        <v>508.025</v>
      </c>
      <c r="J87" s="22" t="n">
        <v>505.262</v>
      </c>
      <c r="K87" s="22" t="n">
        <v>1259.893</v>
      </c>
      <c r="L87" s="22" t="n">
        <v>2018.177</v>
      </c>
    </row>
    <row r="88">
      <c r="A88" s="20" t="inlineStr">
        <is>
          <t>무형자산 합계</t>
        </is>
      </c>
      <c r="C88" s="22" t="n">
        <v>1403.956</v>
      </c>
      <c r="D88" s="22" t="n">
        <v>1565.479</v>
      </c>
      <c r="E88" s="22" t="n">
        <v>1831.062</v>
      </c>
      <c r="F88" s="22" t="n">
        <v>2018.177</v>
      </c>
      <c r="G88" s="22" t="n">
        <v>2109.37</v>
      </c>
      <c r="H88" s="22" t="n">
        <v>426.342</v>
      </c>
      <c r="I88" s="22" t="n">
        <v>508.025</v>
      </c>
      <c r="J88" s="22" t="n">
        <v>505.262</v>
      </c>
      <c r="K88" s="22" t="n">
        <v>1259.893</v>
      </c>
      <c r="L88" s="22" t="n">
        <v>2018.177</v>
      </c>
    </row>
    <row r="89">
      <c r="A89" s="20" t="inlineStr">
        <is>
          <t>투자유가증권</t>
        </is>
      </c>
      <c r="F89" s="22" t="n">
        <v>820.74</v>
      </c>
      <c r="H89" s="22" t="n">
        <v>514.835</v>
      </c>
      <c r="I89" s="22" t="n">
        <v>517.9349999999999</v>
      </c>
      <c r="J89" s="22" t="n">
        <v>705.099</v>
      </c>
      <c r="K89" s="22" t="n">
        <v>682.27</v>
      </c>
      <c r="L89" s="22" t="n">
        <v>820.74</v>
      </c>
    </row>
    <row r="90">
      <c r="A90" s="20" t="inlineStr">
        <is>
          <t>장기선급비용</t>
        </is>
      </c>
      <c r="F90" s="22" t="n">
        <v>4822.678</v>
      </c>
      <c r="K90" s="22" t="n">
        <v>2902.618</v>
      </c>
      <c r="L90" s="22" t="n">
        <v>4822.678</v>
      </c>
    </row>
    <row r="91">
      <c r="A91" s="20" t="inlineStr">
        <is>
          <t>이연법인세자산</t>
        </is>
      </c>
      <c r="F91" s="22" t="n">
        <v>1313.522</v>
      </c>
      <c r="H91" s="22" t="n">
        <v>423.199</v>
      </c>
      <c r="I91" s="22" t="n">
        <v>364.355</v>
      </c>
      <c r="J91" s="22" t="n">
        <v>389.653</v>
      </c>
      <c r="K91" s="22" t="n">
        <v>846.556</v>
      </c>
      <c r="L91" s="22" t="n">
        <v>1313.522</v>
      </c>
    </row>
    <row r="92">
      <c r="A92" s="20" t="inlineStr">
        <is>
          <t>기타</t>
        </is>
      </c>
      <c r="C92" s="22" t="n">
        <v>8023.827</v>
      </c>
      <c r="D92" s="22" t="n">
        <v>7814.185</v>
      </c>
      <c r="E92" s="22" t="n">
        <v>7489.1</v>
      </c>
      <c r="F92" s="22" t="n">
        <v>7460.084</v>
      </c>
      <c r="G92" s="22" t="n">
        <v>7472.912</v>
      </c>
      <c r="H92" s="22" t="n">
        <v>1536.196</v>
      </c>
      <c r="I92" s="22" t="n">
        <v>1224.427</v>
      </c>
      <c r="J92" s="22" t="n">
        <v>1399.022</v>
      </c>
      <c r="K92" s="22" t="n">
        <v>519.325</v>
      </c>
      <c r="L92" s="22" t="n">
        <v>7460.084</v>
      </c>
    </row>
    <row r="93">
      <c r="A93" s="20" t="inlineStr">
        <is>
          <t>대손충당금</t>
        </is>
      </c>
      <c r="C93" s="22" t="n">
        <v>-5.272</v>
      </c>
      <c r="D93" s="22" t="n">
        <v>-5.212</v>
      </c>
      <c r="E93" s="22" t="n">
        <v>-5.172</v>
      </c>
      <c r="F93" s="22" t="n">
        <v>-5.004</v>
      </c>
      <c r="G93" s="22" t="n">
        <v>-4.944</v>
      </c>
      <c r="H93" s="22" t="n">
        <v>-5.964</v>
      </c>
      <c r="I93" s="22" t="n">
        <v>-5.724</v>
      </c>
      <c r="J93" s="22" t="n">
        <v>-5.484</v>
      </c>
      <c r="K93" s="22" t="n">
        <v>-5.332</v>
      </c>
      <c r="L93" s="22" t="n">
        <v>-5.004</v>
      </c>
    </row>
    <row r="94">
      <c r="A94" s="20" t="inlineStr">
        <is>
          <t>투자 및 기타자산 합계</t>
        </is>
      </c>
      <c r="C94" s="22" t="n">
        <v>8018.554</v>
      </c>
      <c r="D94" s="22" t="n">
        <v>7808.973</v>
      </c>
      <c r="E94" s="22" t="n">
        <v>7483.928</v>
      </c>
      <c r="F94" s="22" t="n">
        <v>7455.08</v>
      </c>
      <c r="G94" s="22" t="n">
        <v>7467.968</v>
      </c>
      <c r="H94" s="22" t="n">
        <v>2468.267</v>
      </c>
      <c r="I94" s="22" t="n">
        <v>2100.994</v>
      </c>
      <c r="J94" s="22" t="n">
        <v>2488.291</v>
      </c>
      <c r="K94" s="22" t="n">
        <v>4945.438</v>
      </c>
      <c r="L94" s="22" t="n">
        <v>7455.08</v>
      </c>
    </row>
    <row r="95">
      <c r="A95" s="9" t="inlineStr">
        <is>
          <t>비유동자산 합계</t>
        </is>
      </c>
      <c r="C95" s="12" t="n">
        <v>47303.133</v>
      </c>
      <c r="D95" s="12" t="n">
        <v>60565.398</v>
      </c>
      <c r="E95" s="12" t="n">
        <v>60529.567</v>
      </c>
      <c r="F95" s="12" t="n">
        <v>56195.76</v>
      </c>
      <c r="G95" s="12" t="n">
        <v>58471.666</v>
      </c>
      <c r="H95" s="12" t="n">
        <v>18620.168</v>
      </c>
      <c r="I95" s="12" t="n">
        <v>17325.122</v>
      </c>
      <c r="J95" s="12" t="n">
        <v>19650.247</v>
      </c>
      <c r="K95" s="12" t="n">
        <v>39674.878</v>
      </c>
      <c r="L95" s="12" t="n">
        <v>56195.76</v>
      </c>
    </row>
    <row r="96">
      <c r="A96" s="9" t="inlineStr">
        <is>
          <t>자산 합계</t>
        </is>
      </c>
      <c r="C96" s="12" t="n">
        <v>81001.024</v>
      </c>
      <c r="D96" s="12" t="n">
        <v>80260.02499999999</v>
      </c>
      <c r="E96" s="12" t="n">
        <v>82618.864</v>
      </c>
      <c r="F96" s="12" t="n">
        <v>82451.076</v>
      </c>
      <c r="G96" s="12" t="n">
        <v>87546.12699999999</v>
      </c>
      <c r="H96" s="12" t="n">
        <v>28396.327</v>
      </c>
      <c r="I96" s="12" t="n">
        <v>26256.109</v>
      </c>
      <c r="J96" s="12" t="n">
        <v>30224.447</v>
      </c>
      <c r="K96" s="12" t="n">
        <v>81419.47</v>
      </c>
      <c r="L96" s="12" t="n">
        <v>82451.076</v>
      </c>
    </row>
    <row r="97">
      <c r="A97" s="20" t="inlineStr">
        <is>
          <t>매입채무</t>
        </is>
      </c>
      <c r="C97" s="22" t="n">
        <v>607.006</v>
      </c>
      <c r="D97" s="22" t="n">
        <v>660.9299999999999</v>
      </c>
      <c r="E97" s="22" t="n">
        <v>816.725</v>
      </c>
      <c r="F97" s="22" t="n">
        <v>1245.523</v>
      </c>
      <c r="G97" s="22" t="n">
        <v>554.71</v>
      </c>
      <c r="H97" s="22" t="n">
        <v>1613.404</v>
      </c>
      <c r="I97" s="22" t="n">
        <v>917.034</v>
      </c>
      <c r="J97" s="22" t="n">
        <v>628.323</v>
      </c>
      <c r="K97" s="22" t="n">
        <v>1675.464</v>
      </c>
      <c r="L97" s="22" t="n">
        <v>1245.523</v>
      </c>
    </row>
    <row r="98">
      <c r="A98" s="20" t="inlineStr">
        <is>
          <t>설비관련 미지급금</t>
        </is>
      </c>
      <c r="F98" s="22" t="n">
        <v>206.704</v>
      </c>
      <c r="J98" s="22" t="n">
        <v>288.329</v>
      </c>
      <c r="K98" s="22" t="n">
        <v>8920.873</v>
      </c>
      <c r="L98" s="22" t="n">
        <v>206.704</v>
      </c>
    </row>
    <row r="99">
      <c r="A99" s="20" t="inlineStr">
        <is>
          <t>단기차입금</t>
        </is>
      </c>
      <c r="C99" s="22" t="n">
        <v>6741.667</v>
      </c>
      <c r="D99" s="22" t="n">
        <v>10675.668</v>
      </c>
      <c r="E99" s="22" t="n">
        <v>8255</v>
      </c>
      <c r="F99" s="22" t="n">
        <v>10687</v>
      </c>
      <c r="G99" s="22" t="n">
        <v>14742</v>
      </c>
      <c r="H99" s="22" t="n">
        <v>1451</v>
      </c>
      <c r="I99" s="22" t="n">
        <v>320</v>
      </c>
      <c r="J99" s="22" t="n">
        <v>417.668</v>
      </c>
      <c r="K99" s="22" t="n">
        <v>9261.668</v>
      </c>
      <c r="L99" s="22" t="n">
        <v>10687</v>
      </c>
    </row>
    <row r="100">
      <c r="A100" s="20" t="inlineStr">
        <is>
          <t>1년 내 상환 장기차입금</t>
        </is>
      </c>
      <c r="C100" s="22" t="n">
        <v>2668.38</v>
      </c>
      <c r="D100" s="22" t="n">
        <v>3657.66</v>
      </c>
      <c r="E100" s="22" t="n">
        <v>5323.383</v>
      </c>
      <c r="F100" s="22" t="n">
        <v>4796.832</v>
      </c>
      <c r="G100" s="22" t="n">
        <v>4242.518</v>
      </c>
      <c r="H100" s="22" t="n">
        <v>918.082</v>
      </c>
      <c r="I100" s="22" t="n">
        <v>813.183</v>
      </c>
      <c r="J100" s="22" t="n">
        <v>740.21</v>
      </c>
      <c r="K100" s="22" t="n">
        <v>2649.408</v>
      </c>
      <c r="L100" s="22" t="n">
        <v>4796.832</v>
      </c>
    </row>
    <row r="101">
      <c r="A101" s="20" t="inlineStr">
        <is>
          <t>리스부채</t>
        </is>
      </c>
      <c r="F101" s="22" t="n">
        <v>3101.105</v>
      </c>
      <c r="H101" s="22" t="n">
        <v>1196.356</v>
      </c>
      <c r="I101" s="22" t="n">
        <v>1225.371</v>
      </c>
      <c r="J101" s="22" t="n">
        <v>1686.876</v>
      </c>
      <c r="K101" s="22" t="n">
        <v>1928.797</v>
      </c>
      <c r="L101" s="22" t="n">
        <v>3101.105</v>
      </c>
    </row>
    <row r="102">
      <c r="A102" s="20" t="inlineStr">
        <is>
          <t>미지급법인세</t>
        </is>
      </c>
      <c r="C102" s="22" t="n">
        <v>68.706</v>
      </c>
      <c r="D102" s="22" t="n">
        <v>139.72</v>
      </c>
      <c r="E102" s="22" t="n">
        <v>104.46</v>
      </c>
      <c r="F102" s="22" t="n">
        <v>546.193</v>
      </c>
      <c r="G102" s="22" t="n">
        <v>550.664</v>
      </c>
      <c r="H102" s="22" t="n">
        <v>77.803</v>
      </c>
      <c r="I102" s="22" t="n">
        <v>230.986</v>
      </c>
      <c r="J102" s="22" t="n">
        <v>204.779</v>
      </c>
      <c r="K102" s="22" t="n">
        <v>1511.659</v>
      </c>
      <c r="L102" s="22" t="n">
        <v>546.193</v>
      </c>
    </row>
    <row r="103">
      <c r="A103" s="20" t="inlineStr">
        <is>
          <t>선수금</t>
        </is>
      </c>
      <c r="C103" s="22" t="n">
        <v>6487.599</v>
      </c>
      <c r="D103" s="22" t="n">
        <v>6801.252</v>
      </c>
      <c r="E103" s="22" t="n">
        <v>6588.892</v>
      </c>
      <c r="F103" s="22" t="n">
        <v>8658.592000000001</v>
      </c>
      <c r="G103" s="22" t="n">
        <v>8898.355</v>
      </c>
      <c r="H103" s="22" t="n">
        <v>4420.646</v>
      </c>
      <c r="I103" s="22" t="n">
        <v>4864.278</v>
      </c>
      <c r="J103" s="22" t="n">
        <v>4984.218</v>
      </c>
      <c r="K103" s="22" t="n">
        <v>6147.881</v>
      </c>
      <c r="L103" s="22" t="n">
        <v>8658.592000000001</v>
      </c>
    </row>
    <row r="104">
      <c r="A104" s="20" t="inlineStr">
        <is>
          <t>상여충당금</t>
        </is>
      </c>
      <c r="C104" s="22" t="n">
        <v>341.739</v>
      </c>
      <c r="D104" s="22" t="n">
        <v>699.272</v>
      </c>
      <c r="E104" s="22" t="n">
        <v>367.872</v>
      </c>
      <c r="F104" s="22" t="n">
        <v>772.41</v>
      </c>
      <c r="G104" s="22" t="n">
        <v>376.674</v>
      </c>
      <c r="H104" s="22" t="n">
        <v>353.18</v>
      </c>
      <c r="I104" s="22" t="n">
        <v>390.795</v>
      </c>
      <c r="J104" s="22" t="n">
        <v>451.171</v>
      </c>
      <c r="K104" s="22" t="n">
        <v>663.426</v>
      </c>
      <c r="L104" s="22" t="n">
        <v>772.41</v>
      </c>
    </row>
    <row r="105">
      <c r="A105" s="20" t="inlineStr">
        <is>
          <t>임원 상여충당금</t>
        </is>
      </c>
      <c r="C105" s="22" t="n">
        <v>0</v>
      </c>
      <c r="D105" s="22" t="n">
        <v>0</v>
      </c>
      <c r="E105" s="22" t="n">
        <v>0</v>
      </c>
      <c r="F105" s="22" t="n">
        <v>36.8</v>
      </c>
      <c r="G105" s="22" t="n">
        <v>0</v>
      </c>
      <c r="H105" s="22" t="n">
        <v>1.35</v>
      </c>
      <c r="I105" s="22" t="n">
        <v>6.75</v>
      </c>
      <c r="J105" s="22" t="n">
        <v>4.5</v>
      </c>
      <c r="K105" s="22" t="n">
        <v>53.235</v>
      </c>
      <c r="L105" s="22" t="n">
        <v>36.8</v>
      </c>
    </row>
    <row r="106">
      <c r="A106" s="20" t="inlineStr">
        <is>
          <t>Suspense Receipt</t>
        </is>
      </c>
      <c r="F106" s="22" t="n">
        <v>2228.485</v>
      </c>
      <c r="J106" s="22" t="n">
        <v>74.511</v>
      </c>
      <c r="K106" s="22" t="n">
        <v>4538.451</v>
      </c>
      <c r="L106" s="22" t="n">
        <v>2228.485</v>
      </c>
    </row>
    <row r="107">
      <c r="A107" s="20" t="inlineStr">
        <is>
          <t>기타</t>
        </is>
      </c>
      <c r="C107" s="22" t="n">
        <v>20835.843</v>
      </c>
      <c r="D107" s="22" t="n">
        <v>11560.128</v>
      </c>
      <c r="E107" s="22" t="n">
        <v>13343.426</v>
      </c>
      <c r="F107" s="22" t="n">
        <v>7111.581</v>
      </c>
      <c r="G107" s="22" t="n">
        <v>7550.549</v>
      </c>
      <c r="H107" s="22" t="n">
        <v>1277.474</v>
      </c>
      <c r="I107" s="22" t="n">
        <v>1072.113</v>
      </c>
      <c r="J107" s="22" t="n">
        <v>1117.777</v>
      </c>
      <c r="K107" s="22" t="n">
        <v>2996.624</v>
      </c>
      <c r="L107" s="22" t="n">
        <v>7111.581</v>
      </c>
    </row>
    <row r="108">
      <c r="A108" s="9" t="inlineStr">
        <is>
          <t>유동부채 합계</t>
        </is>
      </c>
      <c r="C108" s="12" t="n">
        <v>37750.942</v>
      </c>
      <c r="D108" s="12" t="n">
        <v>34194.632</v>
      </c>
      <c r="E108" s="12" t="n">
        <v>34799.76</v>
      </c>
      <c r="F108" s="12" t="n">
        <v>33854.933</v>
      </c>
      <c r="G108" s="12" t="n">
        <v>36915.473</v>
      </c>
      <c r="H108" s="12" t="n">
        <v>11309.298</v>
      </c>
      <c r="I108" s="12" t="n">
        <v>9840.513999999999</v>
      </c>
      <c r="J108" s="12" t="n">
        <v>10598.366</v>
      </c>
      <c r="K108" s="12" t="n">
        <v>40347.49</v>
      </c>
      <c r="L108" s="12" t="n">
        <v>33854.933</v>
      </c>
    </row>
    <row r="109">
      <c r="A109" s="20" t="inlineStr">
        <is>
          <t>장기차입금</t>
        </is>
      </c>
      <c r="C109" s="22" t="n">
        <v>2542.612</v>
      </c>
      <c r="D109" s="22" t="n">
        <v>4917.091</v>
      </c>
      <c r="E109" s="22" t="n">
        <v>6553.073</v>
      </c>
      <c r="F109" s="22" t="n">
        <v>5777.396</v>
      </c>
      <c r="G109" s="22" t="n">
        <v>5067.428</v>
      </c>
      <c r="H109" s="22" t="n">
        <v>3475.436</v>
      </c>
      <c r="I109" s="22" t="n">
        <v>2662.253</v>
      </c>
      <c r="J109" s="22" t="n">
        <v>3617.408</v>
      </c>
      <c r="K109" s="22" t="n">
        <v>3154.471</v>
      </c>
      <c r="L109" s="22" t="n">
        <v>5777.396</v>
      </c>
    </row>
    <row r="110">
      <c r="A110" s="20" t="inlineStr">
        <is>
          <t>리스부채</t>
        </is>
      </c>
      <c r="C110" s="22" t="n">
        <v>9857.245000000001</v>
      </c>
      <c r="D110" s="22" t="n">
        <v>10492.066</v>
      </c>
      <c r="E110" s="22" t="n">
        <v>10666.303</v>
      </c>
      <c r="F110" s="22" t="n">
        <v>11464.636</v>
      </c>
      <c r="G110" s="22" t="n">
        <v>13520.629</v>
      </c>
      <c r="H110" s="22" t="n">
        <v>4459.855</v>
      </c>
      <c r="I110" s="22" t="n">
        <v>4537.003</v>
      </c>
      <c r="J110" s="22" t="n">
        <v>5935.858</v>
      </c>
      <c r="K110" s="22" t="n">
        <v>6654.972</v>
      </c>
      <c r="L110" s="22" t="n">
        <v>11464.636</v>
      </c>
    </row>
    <row r="111">
      <c r="A111" s="20" t="inlineStr">
        <is>
          <t>자산복구부채</t>
        </is>
      </c>
      <c r="C111" s="22" t="n">
        <v>832.576</v>
      </c>
      <c r="D111" s="22" t="n">
        <v>833.048</v>
      </c>
      <c r="E111" s="22" t="n">
        <v>833.521</v>
      </c>
      <c r="F111" s="22" t="n">
        <v>833.995</v>
      </c>
      <c r="G111" s="22" t="n">
        <v>834.4690000000001</v>
      </c>
      <c r="H111" s="22" t="n">
        <v>677.412</v>
      </c>
      <c r="I111" s="22" t="n">
        <v>680.274</v>
      </c>
      <c r="J111" s="22" t="n">
        <v>683.136</v>
      </c>
      <c r="K111" s="22" t="n">
        <v>828.955</v>
      </c>
      <c r="L111" s="22" t="n">
        <v>833.995</v>
      </c>
    </row>
    <row r="112">
      <c r="A112" s="20" t="inlineStr">
        <is>
          <t>주식급여 충당금</t>
        </is>
      </c>
      <c r="C112" s="22" t="n">
        <v>100.543</v>
      </c>
      <c r="D112" s="22" t="n">
        <v>109.839</v>
      </c>
      <c r="E112" s="22" t="n">
        <v>86.771</v>
      </c>
      <c r="F112" s="22" t="n">
        <v>84.053</v>
      </c>
      <c r="G112" s="22" t="n">
        <v>95.23399999999999</v>
      </c>
      <c r="H112" s="22" t="n">
        <v>0</v>
      </c>
      <c r="I112" s="22" t="n">
        <v>28.666</v>
      </c>
      <c r="J112" s="22" t="n">
        <v>59.329</v>
      </c>
      <c r="K112" s="22" t="n">
        <v>90.515</v>
      </c>
      <c r="L112" s="22" t="n">
        <v>84.053</v>
      </c>
    </row>
    <row r="113">
      <c r="A113" s="20" t="inlineStr">
        <is>
          <t>임원 퇴직위로 충당금</t>
        </is>
      </c>
      <c r="C113" s="22" t="n">
        <v>63.441</v>
      </c>
      <c r="D113" s="22" t="n">
        <v>65.887</v>
      </c>
      <c r="E113" s="22" t="n">
        <v>68.333</v>
      </c>
      <c r="F113" s="22" t="n">
        <v>70.78</v>
      </c>
      <c r="G113" s="22" t="n">
        <v>85.226</v>
      </c>
      <c r="J113" s="22" t="n">
        <v>0</v>
      </c>
      <c r="K113" s="22" t="n">
        <v>50.638</v>
      </c>
      <c r="L113" s="22" t="n">
        <v>70.78</v>
      </c>
    </row>
    <row r="114">
      <c r="A114" s="20" t="inlineStr">
        <is>
          <t>퇴직급여부채</t>
        </is>
      </c>
      <c r="C114" s="22" t="n">
        <v>30</v>
      </c>
      <c r="D114" s="22" t="n">
        <v>31.5</v>
      </c>
      <c r="E114" s="22" t="n">
        <v>32.25</v>
      </c>
      <c r="F114" s="22" t="n">
        <v>33.05</v>
      </c>
      <c r="G114" s="22" t="n">
        <v>33.95</v>
      </c>
      <c r="K114" s="22" t="n">
        <v>30</v>
      </c>
      <c r="L114" s="22" t="n">
        <v>33.05</v>
      </c>
    </row>
    <row r="115">
      <c r="A115" s="20" t="inlineStr">
        <is>
          <t>기타</t>
        </is>
      </c>
      <c r="C115" s="22" t="n">
        <v>4.553</v>
      </c>
      <c r="D115" s="22" t="n">
        <v>4.06</v>
      </c>
      <c r="E115" s="22" t="n">
        <v>3.782</v>
      </c>
      <c r="F115" s="22" t="n">
        <v>3.076</v>
      </c>
      <c r="G115" s="22" t="n">
        <v>4.196</v>
      </c>
      <c r="H115" s="22" t="n">
        <v>24.395</v>
      </c>
      <c r="I115" s="22" t="n">
        <v>21.258</v>
      </c>
      <c r="J115" s="22" t="n">
        <v>9.138999999999999</v>
      </c>
      <c r="K115" s="22" t="n">
        <v>5.046</v>
      </c>
      <c r="L115" s="22" t="n">
        <v>3.076</v>
      </c>
    </row>
    <row r="116">
      <c r="A116" s="9" t="inlineStr">
        <is>
          <t>비유동부채 합계</t>
        </is>
      </c>
      <c r="C116" s="12" t="n">
        <v>13430.972</v>
      </c>
      <c r="D116" s="12" t="n">
        <v>16453.494</v>
      </c>
      <c r="E116" s="12" t="n">
        <v>18244.036</v>
      </c>
      <c r="F116" s="12" t="n">
        <v>18266.988</v>
      </c>
      <c r="G116" s="12" t="n">
        <v>19641.134</v>
      </c>
      <c r="H116" s="12" t="n">
        <v>8637.099</v>
      </c>
      <c r="I116" s="12" t="n">
        <v>7929.456</v>
      </c>
      <c r="J116" s="12" t="n">
        <v>10304.872</v>
      </c>
      <c r="K116" s="12" t="n">
        <v>10814.598</v>
      </c>
      <c r="L116" s="12" t="n">
        <v>18266.988</v>
      </c>
    </row>
    <row r="117">
      <c r="A117" s="9" t="inlineStr">
        <is>
          <t>부채 합계</t>
        </is>
      </c>
      <c r="C117" s="12" t="n">
        <v>51181.915</v>
      </c>
      <c r="D117" s="12" t="n">
        <v>50648.126</v>
      </c>
      <c r="E117" s="12" t="n">
        <v>53043.797</v>
      </c>
      <c r="F117" s="12" t="n">
        <v>52121.922</v>
      </c>
      <c r="G117" s="12" t="n">
        <v>56556.608</v>
      </c>
      <c r="H117" s="12" t="n">
        <v>19946.398</v>
      </c>
      <c r="I117" s="12" t="n">
        <v>17769.97</v>
      </c>
      <c r="J117" s="12" t="n">
        <v>20903.238</v>
      </c>
      <c r="K117" s="12" t="n">
        <v>51162.089</v>
      </c>
      <c r="L117" s="12" t="n">
        <v>52121.922</v>
      </c>
    </row>
    <row r="118">
      <c r="A118" s="20" t="inlineStr">
        <is>
          <t>자본금</t>
        </is>
      </c>
      <c r="C118" s="22" t="n">
        <v>11283.167</v>
      </c>
      <c r="D118" s="22" t="n">
        <v>11283.167</v>
      </c>
      <c r="E118" s="22" t="n">
        <v>11283.167</v>
      </c>
      <c r="F118" s="22" t="n">
        <v>11283.167</v>
      </c>
      <c r="G118" s="22" t="n">
        <v>11283.167</v>
      </c>
      <c r="H118" s="22" t="n">
        <v>2256.921</v>
      </c>
      <c r="I118" s="22" t="n">
        <v>2256.921</v>
      </c>
      <c r="J118" s="22" t="n">
        <v>2256.921</v>
      </c>
      <c r="K118" s="22" t="n">
        <v>11283.167</v>
      </c>
      <c r="L118" s="22" t="n">
        <v>11283.167</v>
      </c>
    </row>
    <row r="119">
      <c r="A119" s="20" t="inlineStr">
        <is>
          <t>자본잉여금</t>
        </is>
      </c>
      <c r="C119" s="22" t="n">
        <v>10577.023</v>
      </c>
      <c r="D119" s="22" t="n">
        <v>10649.91</v>
      </c>
      <c r="E119" s="22" t="n">
        <v>10649.91</v>
      </c>
      <c r="F119" s="22" t="n">
        <v>10649.91</v>
      </c>
      <c r="G119" s="22" t="n">
        <v>10649.91</v>
      </c>
      <c r="H119" s="22" t="n">
        <v>1366.388</v>
      </c>
      <c r="I119" s="22" t="n">
        <v>1378.747</v>
      </c>
      <c r="J119" s="22" t="n">
        <v>1478.896</v>
      </c>
      <c r="K119" s="22" t="n">
        <v>10577.023</v>
      </c>
      <c r="L119" s="22" t="n">
        <v>10649.91</v>
      </c>
    </row>
    <row r="120">
      <c r="A120" s="20" t="inlineStr">
        <is>
          <t>이익잉여금</t>
        </is>
      </c>
      <c r="C120" s="22" t="n">
        <v>8692.218999999999</v>
      </c>
      <c r="D120" s="22" t="n">
        <v>8389.834999999999</v>
      </c>
      <c r="E120" s="22" t="n">
        <v>8465.573</v>
      </c>
      <c r="F120" s="22" t="n">
        <v>9232.621999999999</v>
      </c>
      <c r="G120" s="22" t="n">
        <v>9887.088</v>
      </c>
      <c r="H120" s="22" t="n">
        <v>5289.923</v>
      </c>
      <c r="I120" s="22" t="n">
        <v>5847.035</v>
      </c>
      <c r="J120" s="22" t="n">
        <v>6372.974</v>
      </c>
      <c r="K120" s="22" t="n">
        <v>9177.688</v>
      </c>
      <c r="L120" s="22" t="n">
        <v>9232.621999999999</v>
      </c>
    </row>
    <row r="121">
      <c r="A121" s="20" t="inlineStr">
        <is>
          <t>자기주식</t>
        </is>
      </c>
      <c r="C121" s="22" t="n">
        <v>-1106.683</v>
      </c>
      <c r="D121" s="22" t="n">
        <v>-1094.615</v>
      </c>
      <c r="E121" s="22" t="n">
        <v>-1094.048</v>
      </c>
      <c r="F121" s="22" t="n">
        <v>-1093.229</v>
      </c>
      <c r="G121" s="22" t="n">
        <v>-1092.765</v>
      </c>
      <c r="H121" s="22" t="n">
        <v>-600.029</v>
      </c>
      <c r="I121" s="22" t="n">
        <v>-1145.475</v>
      </c>
      <c r="J121" s="22" t="n">
        <v>-1119.643</v>
      </c>
      <c r="K121" s="22" t="n">
        <v>-1106.853</v>
      </c>
      <c r="L121" s="22" t="n">
        <v>-1093.229</v>
      </c>
    </row>
    <row r="122">
      <c r="A122" s="9" t="inlineStr">
        <is>
          <t>주주자본 합계</t>
        </is>
      </c>
      <c r="C122" s="12" t="n">
        <v>29445.726</v>
      </c>
      <c r="D122" s="12" t="n">
        <v>29228.297</v>
      </c>
      <c r="E122" s="12" t="n">
        <v>29304.602</v>
      </c>
      <c r="F122" s="12" t="n">
        <v>30072.47</v>
      </c>
      <c r="G122" s="12" t="n">
        <v>30727.4</v>
      </c>
      <c r="H122" s="12" t="n">
        <v>8313.203</v>
      </c>
      <c r="I122" s="12" t="n">
        <v>8337.227999999999</v>
      </c>
      <c r="J122" s="12" t="n">
        <v>8989.147000000001</v>
      </c>
      <c r="K122" s="12" t="n">
        <v>29931.026</v>
      </c>
      <c r="L122" s="12" t="n">
        <v>30072.47</v>
      </c>
    </row>
    <row r="123">
      <c r="A123" s="20" t="inlineStr">
        <is>
          <t>기타유가증권 평가차액</t>
        </is>
      </c>
      <c r="C123" s="22" t="n">
        <v>156.575</v>
      </c>
      <c r="D123" s="22" t="n">
        <v>155.266</v>
      </c>
      <c r="E123" s="22" t="n">
        <v>32.906</v>
      </c>
      <c r="F123" s="22" t="n">
        <v>14.625</v>
      </c>
      <c r="G123" s="22" t="n">
        <v>15.577</v>
      </c>
      <c r="H123" s="22" t="n">
        <v>0.03</v>
      </c>
      <c r="I123" s="22" t="n">
        <v>4.632</v>
      </c>
      <c r="J123" s="22" t="n">
        <v>133.781</v>
      </c>
      <c r="K123" s="22" t="n">
        <v>112.597</v>
      </c>
      <c r="L123" s="22" t="n">
        <v>14.625</v>
      </c>
    </row>
    <row r="124">
      <c r="A124" s="20" t="inlineStr">
        <is>
          <t>해외사업환산조정</t>
        </is>
      </c>
      <c r="C124" s="22" t="n">
        <v>10.163</v>
      </c>
      <c r="D124" s="22" t="n">
        <v>11.521</v>
      </c>
      <c r="E124" s="22" t="n">
        <v>13.397</v>
      </c>
      <c r="F124" s="22" t="n">
        <v>13.893</v>
      </c>
      <c r="G124" s="22" t="n">
        <v>14.47</v>
      </c>
      <c r="H124" s="22" t="n">
        <v>4.468</v>
      </c>
      <c r="I124" s="22" t="n">
        <v>7.024</v>
      </c>
      <c r="J124" s="22" t="n">
        <v>11.89</v>
      </c>
      <c r="K124" s="22" t="n">
        <v>11.643</v>
      </c>
      <c r="L124" s="22" t="n">
        <v>13.893</v>
      </c>
    </row>
    <row r="125">
      <c r="A125" s="20" t="inlineStr">
        <is>
          <t>이연헤지손익</t>
        </is>
      </c>
      <c r="C125" s="22" t="n">
        <v>-0.858</v>
      </c>
      <c r="D125" s="22" t="n">
        <v>5.228</v>
      </c>
      <c r="E125" s="22" t="n">
        <v>6.9</v>
      </c>
      <c r="F125" s="22" t="n">
        <v>0.289</v>
      </c>
      <c r="G125" s="22" t="n">
        <v>2.548</v>
      </c>
      <c r="H125" s="22" t="n">
        <v>0</v>
      </c>
      <c r="I125" s="22" t="n">
        <v>-0.175</v>
      </c>
      <c r="J125" s="22" t="n">
        <v>0.183</v>
      </c>
      <c r="K125" s="22" t="n">
        <v>0.011</v>
      </c>
      <c r="L125" s="22" t="n">
        <v>0.289</v>
      </c>
    </row>
    <row r="126">
      <c r="A126" s="20" t="inlineStr">
        <is>
          <t>기타포괄손익누계액 합계</t>
        </is>
      </c>
      <c r="C126" s="22" t="n">
        <v>165.881</v>
      </c>
      <c r="D126" s="22" t="n">
        <v>172.016</v>
      </c>
      <c r="E126" s="22" t="n">
        <v>53.204</v>
      </c>
      <c r="F126" s="22" t="n">
        <v>28.808</v>
      </c>
      <c r="G126" s="22" t="n">
        <v>32.596</v>
      </c>
      <c r="H126" s="22" t="n">
        <v>4.499</v>
      </c>
      <c r="I126" s="22" t="n">
        <v>11.482</v>
      </c>
      <c r="J126" s="22" t="n">
        <v>145.855</v>
      </c>
      <c r="K126" s="22" t="n">
        <v>124.253</v>
      </c>
      <c r="L126" s="22" t="n">
        <v>28.808</v>
      </c>
    </row>
    <row r="127">
      <c r="A127" s="20" t="inlineStr">
        <is>
          <t>비지배지분</t>
        </is>
      </c>
      <c r="C127" s="22" t="n">
        <v>207.501</v>
      </c>
      <c r="D127" s="22" t="n">
        <v>211.584</v>
      </c>
      <c r="E127" s="22" t="n">
        <v>217.259</v>
      </c>
      <c r="F127" s="22" t="n">
        <v>227.875</v>
      </c>
      <c r="G127" s="22" t="n">
        <v>229.521</v>
      </c>
      <c r="H127" s="22" t="n">
        <v>132.225</v>
      </c>
      <c r="I127" s="22" t="n">
        <v>137.428</v>
      </c>
      <c r="J127" s="22" t="n">
        <v>186.206</v>
      </c>
      <c r="K127" s="22" t="n">
        <v>202.102</v>
      </c>
      <c r="L127" s="22" t="n">
        <v>227.875</v>
      </c>
    </row>
    <row r="128">
      <c r="A128" s="9" t="inlineStr">
        <is>
          <t>순자산 합계</t>
        </is>
      </c>
      <c r="C128" s="12" t="n">
        <v>29819.109</v>
      </c>
      <c r="D128" s="12" t="n">
        <v>29611.899</v>
      </c>
      <c r="E128" s="12" t="n">
        <v>29575.067</v>
      </c>
      <c r="F128" s="12" t="n">
        <v>30329.154</v>
      </c>
      <c r="G128" s="12" t="n">
        <v>30989.518</v>
      </c>
      <c r="H128" s="12" t="n">
        <v>8449.929</v>
      </c>
      <c r="I128" s="12" t="n">
        <v>8486.138999999999</v>
      </c>
      <c r="J128" s="12" t="n">
        <v>9321.209000000001</v>
      </c>
      <c r="K128" s="12" t="n">
        <v>30257.381</v>
      </c>
      <c r="L128" s="12" t="n">
        <v>30329.154</v>
      </c>
    </row>
    <row r="129">
      <c r="A129" s="9" t="inlineStr">
        <is>
          <t>부채·순자산 합계</t>
        </is>
      </c>
      <c r="C129" s="12" t="n">
        <v>81001.024</v>
      </c>
      <c r="D129" s="12" t="n">
        <v>80260.02499999999</v>
      </c>
      <c r="E129" s="12" t="n">
        <v>82618.864</v>
      </c>
      <c r="F129" s="12" t="n">
        <v>82451.076</v>
      </c>
      <c r="G129" s="12" t="n">
        <v>87546.12699999999</v>
      </c>
      <c r="H129" s="12" t="n">
        <v>28396.327</v>
      </c>
      <c r="I129" s="12" t="n">
        <v>26256.109</v>
      </c>
      <c r="J129" s="12" t="n">
        <v>30224.447</v>
      </c>
      <c r="K129" s="12" t="n">
        <v>81419.47</v>
      </c>
      <c r="L129" s="12" t="n">
        <v>82451.076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2026-07-28</t>
        </is>
      </c>
      <c r="B4" t="inlineStr">
        <is>
          <t>2027년 3월 결산기 1분기 결산단신</t>
        </is>
      </c>
      <c r="C4" t="inlineStr">
        <is>
          <t>https://www2.jpx.co.jp/disc/37780/140120260728500696.pdf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https://www2.jpx.co.jp/disc/37780/140120260427511113.pdf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https://www2.jpx.co.jp/disc/37780/140120260129541884.pdf</t>
        </is>
      </c>
    </row>
    <row r="7">
      <c r="A7" t="inlineStr">
        <is>
          <t>2025-10-28</t>
        </is>
      </c>
      <c r="B7" t="inlineStr">
        <is>
          <t>2026년 3월 결산기 2분기 결산단신</t>
        </is>
      </c>
      <c r="C7" t="inlineStr">
        <is>
          <t>https://www2.jpx.co.jp/disc/37780/140120251027579530.pdf</t>
        </is>
      </c>
    </row>
    <row r="8">
      <c r="A8" t="inlineStr">
        <is>
          <t>2025-07-28</t>
        </is>
      </c>
      <c r="B8" t="inlineStr">
        <is>
          <t>2026년 3월 결산기 1분기 결산단신</t>
        </is>
      </c>
      <c r="C8" t="inlineStr">
        <is>
          <t>https://www2.jpx.co.jp/disc/37780/140120250728521679.pdf</t>
        </is>
      </c>
    </row>
    <row r="9">
      <c r="A9" t="inlineStr">
        <is>
          <t>2025-04-28</t>
        </is>
      </c>
      <c r="B9" t="inlineStr">
        <is>
          <t>2025년 3월 결산기 연간 결산단신</t>
        </is>
      </c>
      <c r="C9" t="inlineStr">
        <is>
          <t>https://www2.jpx.co.jp/disc/37780/140120250425523471.pdf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https://www2.jpx.co.jp/disc/37780/140120250131559289.pdf</t>
        </is>
      </c>
    </row>
    <row r="11">
      <c r="A11" t="inlineStr">
        <is>
          <t>2024-10-28</t>
        </is>
      </c>
      <c r="B11" t="inlineStr">
        <is>
          <t>2025년 3월 결산기 2분기 결산단신</t>
        </is>
      </c>
      <c r="C11" t="inlineStr">
        <is>
          <t>https://www2.jpx.co.jp/disc/37780/140120241028503689.pdf</t>
        </is>
      </c>
    </row>
    <row r="12">
      <c r="A12" t="inlineStr">
        <is>
          <t>2024-07-29</t>
        </is>
      </c>
      <c r="B12" t="inlineStr">
        <is>
          <t>2025년 3월 결산기 1분기 결산단신</t>
        </is>
      </c>
      <c r="C12" t="inlineStr">
        <is>
          <t>https://www2.jpx.co.jp/disc/37780/140120240704544618.pdf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https://www2.jpx.co.jp/disc/37780/140120240416571384.pdf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https://www2.jpx.co.jp/disc/37780/140120240105511512.pdf</t>
        </is>
      </c>
    </row>
    <row r="15">
      <c r="A15" t="inlineStr">
        <is>
          <t>2023-10-30</t>
        </is>
      </c>
      <c r="B15" t="inlineStr">
        <is>
          <t>2024년 3월 결산기 2분기 결산단신</t>
        </is>
      </c>
      <c r="C15" t="inlineStr">
        <is>
          <t>https://www2.jpx.co.jp/disc/37780/140120230925558018.pdf</t>
        </is>
      </c>
    </row>
    <row r="16">
      <c r="A16" t="inlineStr">
        <is>
          <t>2023-07-31</t>
        </is>
      </c>
      <c r="B16" t="inlineStr">
        <is>
          <t>2024년 3월 결산기 1분기 결산단신</t>
        </is>
      </c>
      <c r="C16" t="inlineStr">
        <is>
          <t>https://www2.jpx.co.jp/disc/37780/140120230718523601.pdf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https://www2.jpx.co.jp/disc/37780/140120230315531230.pdf</t>
        </is>
      </c>
    </row>
    <row r="18">
      <c r="A18" t="inlineStr">
        <is>
          <t>2023-01-31</t>
        </is>
      </c>
      <c r="B18" t="inlineStr">
        <is>
          <t>2023년 3월 결산기 3분기 결산단신</t>
        </is>
      </c>
      <c r="C18" t="inlineStr">
        <is>
          <t>https://www2.jpx.co.jp/disc/37780/140120230119591013.pdf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https://www2.jpx.co.jp/disc/37780/140120221018545653.pdf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https://www2.jpx.co.jp/disc/37780/140120220414522291.pdf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https://www2.jpx.co.jp/disc/37780/140120210413493345.pdf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https://www2.jpx.co.jp/disc/37780/140120200331487869.pdf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https://www2.jpx.co.jp/disc/37780/140120190415405099.pdf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https://www2.jpx.co.jp/disc/37780/140120180403404220.pdf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2026-10-26T10:53:48Z</dcterms:created>
  <dcterms:modified xmlns:dcterms="http://purl.org/dc/terms/" xmlns:xsi="http://www.w3.org/2001/XMLSchema-instance" xsi:type="dcterms:W3CDTF">2026-10-26T10:53:48Z</dcterms:modified>
</cp:coreProperties>
</file>