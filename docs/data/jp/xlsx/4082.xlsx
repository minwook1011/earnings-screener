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4082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9234</v>
      </c>
      <c r="D4" s="12" t="n">
        <v>9174</v>
      </c>
      <c r="E4" s="12" t="n">
        <v>8487</v>
      </c>
      <c r="F4" s="12" t="n">
        <v>8431</v>
      </c>
      <c r="G4" s="12" t="n">
        <v>8581</v>
      </c>
      <c r="H4" s="12" t="n">
        <v>8059</v>
      </c>
      <c r="I4" s="12" t="n">
        <v>8570</v>
      </c>
      <c r="J4" s="12" t="n">
        <v>8100</v>
      </c>
      <c r="K4" s="12" t="n">
        <v>9048</v>
      </c>
      <c r="L4" s="12" t="n">
        <v>9166</v>
      </c>
      <c r="M4" s="12" t="n">
        <v>9437</v>
      </c>
      <c r="N4" s="12" t="n">
        <v>10113</v>
      </c>
      <c r="O4" s="11" t="n">
        <v>23399.222</v>
      </c>
      <c r="P4" s="12" t="n">
        <v>25537.829</v>
      </c>
      <c r="Q4" s="12" t="n">
        <v>27483.963</v>
      </c>
      <c r="R4" s="12" t="n">
        <v>26518.686</v>
      </c>
      <c r="S4" s="12" t="n">
        <v>23465.922</v>
      </c>
      <c r="T4" s="12" t="n">
        <v>29365.738</v>
      </c>
      <c r="U4" s="12" t="n">
        <v>35748</v>
      </c>
      <c r="V4" s="12" t="n">
        <v>35220</v>
      </c>
      <c r="W4" s="12" t="n">
        <v>33641</v>
      </c>
      <c r="X4" s="12" t="n">
        <v>35751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6764</v>
      </c>
      <c r="D11" s="22" t="n">
        <v>6717</v>
      </c>
      <c r="E11" s="22" t="n">
        <v>6820</v>
      </c>
      <c r="F11" s="22" t="n">
        <v>6268</v>
      </c>
      <c r="G11" s="22" t="n">
        <v>6361</v>
      </c>
      <c r="H11" s="22" t="n">
        <v>5657</v>
      </c>
      <c r="I11" s="22" t="n">
        <v>7003</v>
      </c>
      <c r="J11" s="22" t="n">
        <v>5714</v>
      </c>
      <c r="K11" s="22" t="n">
        <v>6877</v>
      </c>
      <c r="L11" s="22" t="n">
        <v>6044</v>
      </c>
      <c r="M11" s="22" t="n">
        <v>6783</v>
      </c>
      <c r="N11" s="22" t="n">
        <v>7194</v>
      </c>
      <c r="O11" s="21" t="n">
        <v>14972.612</v>
      </c>
      <c r="P11" s="22" t="n">
        <v>17039.492</v>
      </c>
      <c r="Q11" s="22" t="n">
        <v>19114.881</v>
      </c>
      <c r="R11" s="22" t="n">
        <v>19014.109</v>
      </c>
      <c r="S11" s="22" t="n">
        <v>17113.171</v>
      </c>
      <c r="T11" s="22" t="n">
        <v>21176.352</v>
      </c>
      <c r="U11" s="22" t="n">
        <v>25140</v>
      </c>
      <c r="V11" s="22" t="n">
        <v>26907</v>
      </c>
      <c r="W11" s="22" t="n">
        <v>25289</v>
      </c>
      <c r="X11" s="22" t="n">
        <v>25418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1470</v>
      </c>
      <c r="D17" s="22" t="n">
        <v>1535</v>
      </c>
      <c r="E17" s="22" t="n">
        <v>1604</v>
      </c>
      <c r="F17" s="22" t="n">
        <v>1404</v>
      </c>
      <c r="G17" s="22" t="n">
        <v>1423</v>
      </c>
      <c r="H17" s="22" t="n">
        <v>1630</v>
      </c>
      <c r="I17" s="22" t="n">
        <v>1612</v>
      </c>
      <c r="J17" s="22" t="n">
        <v>1859</v>
      </c>
      <c r="K17" s="22" t="n">
        <v>1601</v>
      </c>
      <c r="L17" s="22" t="n">
        <v>1482</v>
      </c>
      <c r="M17" s="22" t="n">
        <v>1911</v>
      </c>
      <c r="N17" s="22" t="n">
        <v>1766</v>
      </c>
      <c r="O17" s="21" t="n">
        <v>3356.662</v>
      </c>
      <c r="P17" s="22" t="n">
        <v>3865.587</v>
      </c>
      <c r="Q17" s="22" t="n">
        <v>4151.073</v>
      </c>
      <c r="R17" s="22" t="n">
        <v>4393.755</v>
      </c>
      <c r="S17" s="22" t="n">
        <v>4336.968</v>
      </c>
      <c r="T17" s="22" t="n">
        <v>4420.565</v>
      </c>
      <c r="U17" s="22" t="n">
        <v>5216</v>
      </c>
      <c r="V17" s="22" t="n">
        <v>5890</v>
      </c>
      <c r="W17" s="22" t="n">
        <v>6069</v>
      </c>
      <c r="X17" s="22" t="n">
        <v>6853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1000</v>
      </c>
      <c r="D19" s="12" t="n">
        <v>922</v>
      </c>
      <c r="E19" s="12" t="n">
        <v>63</v>
      </c>
      <c r="F19" s="12" t="n">
        <v>758</v>
      </c>
      <c r="G19" s="12" t="n">
        <v>797</v>
      </c>
      <c r="H19" s="12" t="n">
        <v>773</v>
      </c>
      <c r="I19" s="12" t="n">
        <v>-46</v>
      </c>
      <c r="J19" s="12" t="n">
        <v>525</v>
      </c>
      <c r="K19" s="12" t="n">
        <v>572</v>
      </c>
      <c r="L19" s="12" t="n">
        <v>1639</v>
      </c>
      <c r="M19" s="12" t="n">
        <v>743</v>
      </c>
      <c r="N19" s="12" t="n">
        <v>1152</v>
      </c>
      <c r="O19" s="11" t="n">
        <v>5069.947</v>
      </c>
      <c r="P19" s="12" t="n">
        <v>4632.749</v>
      </c>
      <c r="Q19" s="12" t="n">
        <v>4218.008</v>
      </c>
      <c r="R19" s="12" t="n">
        <v>3110.821</v>
      </c>
      <c r="S19" s="12" t="n">
        <v>2015.782</v>
      </c>
      <c r="T19" s="12" t="n">
        <v>3768.821</v>
      </c>
      <c r="U19" s="12" t="n">
        <v>5391</v>
      </c>
      <c r="V19" s="12" t="n">
        <v>2422</v>
      </c>
      <c r="W19" s="12" t="n">
        <v>2282</v>
      </c>
      <c r="X19" s="12" t="n">
        <v>3479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>
        <v>0</v>
      </c>
      <c r="F35" s="22" t="n"/>
      <c r="G35" s="22" t="n"/>
      <c r="H35" s="22" t="n">
        <v>766</v>
      </c>
      <c r="I35" s="22" t="n">
        <v>571</v>
      </c>
      <c r="J35" s="22" t="n">
        <v>0</v>
      </c>
      <c r="K35" s="22" t="n">
        <v>2</v>
      </c>
      <c r="L35" s="22" t="n">
        <v>268</v>
      </c>
      <c r="M35" s="22" t="n">
        <v>6</v>
      </c>
      <c r="N35" s="22" t="n">
        <v>1</v>
      </c>
      <c r="O35" s="21" t="n">
        <v>141.097</v>
      </c>
      <c r="P35" s="22" t="n">
        <v>0.9429999999999999</v>
      </c>
      <c r="Q35" s="22" t="n">
        <v>239.769</v>
      </c>
      <c r="R35" s="22" t="n">
        <v>714</v>
      </c>
      <c r="S35" s="22" t="n">
        <v>0</v>
      </c>
      <c r="T35" s="22" t="n">
        <v>0</v>
      </c>
      <c r="U35" s="22" t="n">
        <v>32</v>
      </c>
      <c r="V35" s="22" t="n">
        <v>0</v>
      </c>
      <c r="W35" s="22" t="n">
        <v>1337</v>
      </c>
      <c r="X35" s="22" t="n">
        <v>276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4</v>
      </c>
      <c r="D37" s="22" t="n">
        <v>14</v>
      </c>
      <c r="E37" s="22" t="n">
        <v>9</v>
      </c>
      <c r="F37" s="22" t="n">
        <v>3</v>
      </c>
      <c r="G37" s="22" t="n">
        <v>255</v>
      </c>
      <c r="H37" s="22" t="n">
        <v>-1</v>
      </c>
      <c r="I37" s="22" t="n">
        <v>3</v>
      </c>
      <c r="J37" s="22" t="n">
        <v>12</v>
      </c>
      <c r="K37" s="22" t="n">
        <v>0</v>
      </c>
      <c r="L37" s="22" t="n">
        <v>72</v>
      </c>
      <c r="M37" s="22" t="n">
        <v>10</v>
      </c>
      <c r="N37" s="22" t="n">
        <v>0</v>
      </c>
      <c r="O37" s="21" t="n">
        <v>26.768</v>
      </c>
      <c r="P37" s="22" t="n">
        <v>79.07599999999999</v>
      </c>
      <c r="Q37" s="22" t="n">
        <v>134.611</v>
      </c>
      <c r="R37" s="22" t="n">
        <v>527.728</v>
      </c>
      <c r="S37" s="22" t="n">
        <v>180.171</v>
      </c>
      <c r="T37" s="22" t="n">
        <v>2465.475</v>
      </c>
      <c r="U37" s="22" t="n">
        <v>192</v>
      </c>
      <c r="V37" s="22" t="n">
        <v>373</v>
      </c>
      <c r="W37" s="22" t="n">
        <v>260</v>
      </c>
      <c r="X37" s="22" t="n">
        <v>94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741</v>
      </c>
      <c r="D39" s="22" t="n">
        <v>-1262</v>
      </c>
      <c r="E39" s="22" t="n">
        <v>974</v>
      </c>
      <c r="F39" s="22" t="n">
        <v>770</v>
      </c>
      <c r="G39" s="22" t="n">
        <v>-290</v>
      </c>
      <c r="H39" s="22" t="n">
        <v>2</v>
      </c>
      <c r="I39" s="22" t="n">
        <v>-209</v>
      </c>
      <c r="J39" s="22" t="n">
        <v>383</v>
      </c>
      <c r="K39" s="22" t="n">
        <v>-243</v>
      </c>
      <c r="L39" s="22" t="n">
        <v>238</v>
      </c>
      <c r="M39" s="22" t="n">
        <v>525</v>
      </c>
      <c r="N39" s="22" t="n">
        <v>475</v>
      </c>
      <c r="O39" s="21" t="n">
        <v>117.414</v>
      </c>
      <c r="P39" s="22" t="n">
        <v>130.403</v>
      </c>
      <c r="Q39" s="22" t="n">
        <v>219.213</v>
      </c>
      <c r="R39" s="22" t="n">
        <v>196.951</v>
      </c>
      <c r="S39" s="22" t="n">
        <v>206.127</v>
      </c>
      <c r="T39" s="22" t="n">
        <v>2549.294</v>
      </c>
      <c r="U39" s="22" t="n">
        <v>1530</v>
      </c>
      <c r="V39" s="22" t="n">
        <v>2188</v>
      </c>
      <c r="W39" s="22" t="n">
        <v>273</v>
      </c>
      <c r="X39" s="22" t="n">
        <v>903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387</v>
      </c>
      <c r="D41" s="22" t="n">
        <v>-137</v>
      </c>
      <c r="E41" s="22" t="n">
        <v>710</v>
      </c>
      <c r="F41" s="22" t="n">
        <v>711</v>
      </c>
      <c r="G41" s="22" t="n">
        <v>1309</v>
      </c>
      <c r="H41" s="22" t="n">
        <v>-1203</v>
      </c>
      <c r="I41" s="22" t="n">
        <v>1107</v>
      </c>
      <c r="J41" s="22" t="n">
        <v>893</v>
      </c>
      <c r="K41" s="22" t="n">
        <v>-22</v>
      </c>
      <c r="L41" s="22" t="n">
        <v>-58</v>
      </c>
      <c r="M41" s="22" t="n">
        <v>314</v>
      </c>
      <c r="N41" s="22" t="n">
        <v>222</v>
      </c>
      <c r="O41" s="21" t="n">
        <v>165.718</v>
      </c>
      <c r="P41" s="22" t="n">
        <v>407.416</v>
      </c>
      <c r="Q41" s="22" t="n">
        <v>125.982</v>
      </c>
      <c r="R41" s="22" t="n">
        <v>205.033</v>
      </c>
      <c r="S41" s="22" t="n">
        <v>90.32599999999999</v>
      </c>
      <c r="T41" s="22" t="n">
        <v>317.412</v>
      </c>
      <c r="U41" s="22" t="n">
        <v>951</v>
      </c>
      <c r="V41" s="22" t="n">
        <v>1668</v>
      </c>
      <c r="W41" s="22" t="n">
        <v>1924</v>
      </c>
      <c r="X41" s="22" t="n">
        <v>1127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1351</v>
      </c>
      <c r="D43" s="12" t="n">
        <v>-218</v>
      </c>
      <c r="E43" s="12" t="n">
        <v>318</v>
      </c>
      <c r="F43" s="12" t="n">
        <v>813</v>
      </c>
      <c r="G43" s="12" t="n">
        <v>-1055</v>
      </c>
      <c r="H43" s="12" t="n">
        <v>2742</v>
      </c>
      <c r="I43" s="12" t="n">
        <v>-791</v>
      </c>
      <c r="J43" s="12" t="n">
        <v>3</v>
      </c>
      <c r="K43" s="12" t="n">
        <v>353</v>
      </c>
      <c r="L43" s="12" t="n">
        <v>2131</v>
      </c>
      <c r="M43" s="12" t="n">
        <v>950</v>
      </c>
      <c r="N43" s="12" t="n">
        <v>1406</v>
      </c>
      <c r="O43" s="11" t="n">
        <v>5135.972</v>
      </c>
      <c r="P43" s="12" t="n">
        <v>4277.603</v>
      </c>
      <c r="Q43" s="12" t="n">
        <v>4416.397</v>
      </c>
      <c r="R43" s="12" t="n">
        <v>3289.011</v>
      </c>
      <c r="S43" s="12" t="n">
        <v>1951.413</v>
      </c>
      <c r="T43" s="12" t="n">
        <v>3535.228</v>
      </c>
      <c r="U43" s="12" t="n">
        <v>5809</v>
      </c>
      <c r="V43" s="12" t="n">
        <v>2568</v>
      </c>
      <c r="W43" s="12" t="n">
        <v>1709</v>
      </c>
      <c r="X43" s="12" t="n">
        <v>3437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399</v>
      </c>
      <c r="D45" s="22" t="n">
        <v>109</v>
      </c>
      <c r="E45" s="22" t="n">
        <v>366</v>
      </c>
      <c r="F45" s="22" t="n">
        <v>406</v>
      </c>
      <c r="G45" s="22" t="n">
        <v>-207</v>
      </c>
      <c r="H45" s="22" t="n">
        <v>876</v>
      </c>
      <c r="I45" s="22" t="n">
        <v>-175</v>
      </c>
      <c r="J45" s="22" t="n">
        <v>5</v>
      </c>
      <c r="K45" s="22" t="n">
        <v>312</v>
      </c>
      <c r="L45" s="22" t="n">
        <v>575</v>
      </c>
      <c r="M45" s="22" t="n">
        <v>20</v>
      </c>
      <c r="N45" s="22" t="n">
        <v>450</v>
      </c>
      <c r="O45" s="21" t="n">
        <v>1501.591</v>
      </c>
      <c r="P45" s="22" t="n">
        <v>1298.923</v>
      </c>
      <c r="Q45" s="22" t="n">
        <v>1320.921</v>
      </c>
      <c r="R45" s="22" t="n">
        <v>924.557</v>
      </c>
      <c r="S45" s="22" t="n">
        <v>676.793</v>
      </c>
      <c r="T45" s="22" t="n">
        <v>1649.709</v>
      </c>
      <c r="U45" s="22" t="n">
        <v>1749</v>
      </c>
      <c r="V45" s="22" t="n">
        <v>1411</v>
      </c>
      <c r="W45" s="22" t="n">
        <v>900</v>
      </c>
      <c r="X45" s="22" t="n">
        <v>912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952</v>
      </c>
      <c r="D47" s="12" t="n">
        <v>-327</v>
      </c>
      <c r="E47" s="12" t="n">
        <v>-48</v>
      </c>
      <c r="F47" s="12" t="n">
        <v>407</v>
      </c>
      <c r="G47" s="12" t="n">
        <v>-849</v>
      </c>
      <c r="H47" s="12" t="n">
        <v>1867</v>
      </c>
      <c r="I47" s="12" t="n">
        <v>-617</v>
      </c>
      <c r="J47" s="12" t="n">
        <v>-2</v>
      </c>
      <c r="K47" s="12" t="n">
        <v>40</v>
      </c>
      <c r="L47" s="12" t="n">
        <v>1557</v>
      </c>
      <c r="M47" s="12" t="n">
        <v>929</v>
      </c>
      <c r="N47" s="12" t="n">
        <v>955</v>
      </c>
      <c r="O47" s="11" t="n">
        <v>3634.38</v>
      </c>
      <c r="P47" s="12" t="n">
        <v>2978.679</v>
      </c>
      <c r="Q47" s="12" t="n">
        <v>3095.475</v>
      </c>
      <c r="R47" s="12" t="n">
        <v>2364.453</v>
      </c>
      <c r="S47" s="12" t="n">
        <v>1274.62</v>
      </c>
      <c r="T47" s="12" t="n">
        <v>1885.519</v>
      </c>
      <c r="U47" s="12" t="n">
        <v>4060</v>
      </c>
      <c r="V47" s="12" t="n">
        <v>1157</v>
      </c>
      <c r="W47" s="12" t="n">
        <v>808</v>
      </c>
      <c r="X47" s="12" t="n">
        <v>2524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948</v>
      </c>
      <c r="D49" s="12" t="n">
        <v>-342</v>
      </c>
      <c r="E49" s="12" t="n">
        <v>-48</v>
      </c>
      <c r="F49" s="12" t="n">
        <v>403</v>
      </c>
      <c r="G49" s="12" t="n">
        <v>-853</v>
      </c>
      <c r="H49" s="12" t="n">
        <v>1864</v>
      </c>
      <c r="I49" s="12" t="n">
        <v>-622</v>
      </c>
      <c r="J49" s="12" t="n">
        <v>-1</v>
      </c>
      <c r="K49" s="12" t="n">
        <v>42</v>
      </c>
      <c r="L49" s="12" t="n">
        <v>1556</v>
      </c>
      <c r="M49" s="12" t="n">
        <v>917</v>
      </c>
      <c r="N49" s="12" t="n">
        <v>953</v>
      </c>
      <c r="O49" s="11" t="n">
        <v>3732.166</v>
      </c>
      <c r="P49" s="12" t="n">
        <v>2971.979</v>
      </c>
      <c r="Q49" s="12" t="n">
        <v>3093.943</v>
      </c>
      <c r="R49" s="12" t="n">
        <v>2348.133</v>
      </c>
      <c r="S49" s="12" t="n">
        <v>1235.393</v>
      </c>
      <c r="T49" s="12" t="n">
        <v>1849.531</v>
      </c>
      <c r="U49" s="12" t="n">
        <v>4020</v>
      </c>
      <c r="V49" s="12" t="n">
        <v>1140</v>
      </c>
      <c r="W49" s="12" t="n">
        <v>792</v>
      </c>
      <c r="X49" s="12" t="n">
        <v>2514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9234</v>
      </c>
      <c r="D84" s="12" t="n">
        <v>9174</v>
      </c>
      <c r="E84" s="12" t="n">
        <v>8487</v>
      </c>
      <c r="F84" s="12" t="n">
        <v>8431</v>
      </c>
      <c r="G84" s="12" t="n">
        <v>8581</v>
      </c>
      <c r="H84" s="12" t="n">
        <v>8059</v>
      </c>
      <c r="I84" s="12" t="n">
        <v>8570</v>
      </c>
      <c r="J84" s="12" t="n">
        <v>8100</v>
      </c>
      <c r="K84" s="12" t="n">
        <v>9048</v>
      </c>
      <c r="L84" s="12" t="n">
        <v>9166</v>
      </c>
      <c r="M84" s="12" t="n">
        <v>9437</v>
      </c>
      <c r="N84" s="12" t="n">
        <v>10113</v>
      </c>
      <c r="U84" s="12" t="n">
        <v>9279</v>
      </c>
      <c r="V84" s="12" t="n">
        <v>8487</v>
      </c>
      <c r="W84" s="12" t="n">
        <v>8570</v>
      </c>
      <c r="X84" s="12" t="n">
        <v>9437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6764</v>
      </c>
      <c r="D86" s="22" t="n">
        <v>6717</v>
      </c>
      <c r="E86" s="22" t="n">
        <v>6820</v>
      </c>
      <c r="F86" s="22" t="n">
        <v>6268</v>
      </c>
      <c r="G86" s="22" t="n">
        <v>6361</v>
      </c>
      <c r="H86" s="22" t="n">
        <v>5657</v>
      </c>
      <c r="I86" s="22" t="n">
        <v>7003</v>
      </c>
      <c r="J86" s="22" t="n">
        <v>5714</v>
      </c>
      <c r="K86" s="22" t="n">
        <v>6877</v>
      </c>
      <c r="L86" s="22" t="n">
        <v>6044</v>
      </c>
      <c r="M86" s="22" t="n">
        <v>6783</v>
      </c>
      <c r="N86" s="22" t="n">
        <v>7194</v>
      </c>
      <c r="U86" s="22" t="n">
        <v>7157</v>
      </c>
      <c r="V86" s="22" t="n">
        <v>6820</v>
      </c>
      <c r="W86" s="22" t="n">
        <v>7003</v>
      </c>
      <c r="X86" s="22" t="n">
        <v>6783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2469</v>
      </c>
      <c r="D88" s="12" t="n">
        <v>2457</v>
      </c>
      <c r="E88" s="12" t="n">
        <v>1668</v>
      </c>
      <c r="F88" s="12" t="n">
        <v>2163</v>
      </c>
      <c r="G88" s="12" t="n">
        <v>2220</v>
      </c>
      <c r="H88" s="12" t="n">
        <v>2402</v>
      </c>
      <c r="I88" s="12" t="n">
        <v>1567</v>
      </c>
      <c r="J88" s="12" t="n">
        <v>2385</v>
      </c>
      <c r="K88" s="12" t="n">
        <v>2172</v>
      </c>
      <c r="L88" s="12" t="n">
        <v>3122</v>
      </c>
      <c r="M88" s="12" t="n">
        <v>2654</v>
      </c>
      <c r="N88" s="12" t="n">
        <v>2919</v>
      </c>
      <c r="U88" s="12" t="n">
        <v>2122</v>
      </c>
      <c r="V88" s="12" t="n">
        <v>1668</v>
      </c>
      <c r="W88" s="12" t="n">
        <v>1567</v>
      </c>
      <c r="X88" s="12" t="n">
        <v>2654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1470</v>
      </c>
      <c r="D90" s="22" t="n">
        <v>1535</v>
      </c>
      <c r="E90" s="22" t="n">
        <v>1604</v>
      </c>
      <c r="F90" s="22" t="n">
        <v>1404</v>
      </c>
      <c r="G90" s="22" t="n">
        <v>1423</v>
      </c>
      <c r="H90" s="22" t="n">
        <v>1630</v>
      </c>
      <c r="I90" s="22" t="n">
        <v>1612</v>
      </c>
      <c r="J90" s="22" t="n">
        <v>1859</v>
      </c>
      <c r="K90" s="22" t="n">
        <v>1601</v>
      </c>
      <c r="L90" s="22" t="n">
        <v>1482</v>
      </c>
      <c r="M90" s="22" t="n">
        <v>1911</v>
      </c>
      <c r="N90" s="22" t="n">
        <v>1766</v>
      </c>
      <c r="U90" s="22" t="n">
        <v>1521</v>
      </c>
      <c r="V90" s="22" t="n">
        <v>1604</v>
      </c>
      <c r="W90" s="22" t="n">
        <v>1612</v>
      </c>
      <c r="X90" s="22" t="n">
        <v>1911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1000</v>
      </c>
      <c r="D92" s="12" t="n">
        <v>922</v>
      </c>
      <c r="E92" s="12" t="n">
        <v>63</v>
      </c>
      <c r="F92" s="12" t="n">
        <v>758</v>
      </c>
      <c r="G92" s="12" t="n">
        <v>797</v>
      </c>
      <c r="H92" s="12" t="n">
        <v>773</v>
      </c>
      <c r="I92" s="12" t="n">
        <v>-46</v>
      </c>
      <c r="J92" s="12" t="n">
        <v>525</v>
      </c>
      <c r="K92" s="12" t="n">
        <v>572</v>
      </c>
      <c r="L92" s="12" t="n">
        <v>1639</v>
      </c>
      <c r="M92" s="12" t="n">
        <v>743</v>
      </c>
      <c r="N92" s="12" t="n">
        <v>1152</v>
      </c>
      <c r="U92" s="12" t="n">
        <v>601</v>
      </c>
      <c r="V92" s="12" t="n">
        <v>63</v>
      </c>
      <c r="W92" s="12" t="n">
        <v>-46</v>
      </c>
      <c r="X92" s="12" t="n">
        <v>743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36</v>
      </c>
      <c r="D95" s="22" t="n">
        <v>23</v>
      </c>
      <c r="E95" s="22" t="n">
        <v>36</v>
      </c>
      <c r="F95" s="22" t="n">
        <v>12</v>
      </c>
      <c r="G95" s="22" t="n">
        <v>20</v>
      </c>
      <c r="H95" s="22" t="n">
        <v>15</v>
      </c>
      <c r="I95" s="22" t="n">
        <v>26</v>
      </c>
      <c r="J95" s="22" t="n">
        <v>14</v>
      </c>
      <c r="K95" s="22" t="n">
        <v>22</v>
      </c>
      <c r="L95" s="22" t="n">
        <v>12</v>
      </c>
      <c r="M95" s="22" t="n">
        <v>12</v>
      </c>
      <c r="N95" s="22" t="n">
        <v>4</v>
      </c>
      <c r="U95" s="22" t="n">
        <v>32</v>
      </c>
      <c r="V95" s="22" t="n">
        <v>36</v>
      </c>
      <c r="W95" s="22" t="n">
        <v>26</v>
      </c>
      <c r="X95" s="22" t="n">
        <v>12</v>
      </c>
    </row>
    <row r="96">
      <c r="A96" s="20" t="inlineStr">
        <is>
          <t>배당금수익</t>
        </is>
      </c>
      <c r="C96" s="22" t="n">
        <v>2</v>
      </c>
      <c r="D96" s="22" t="n">
        <v>5</v>
      </c>
      <c r="E96" s="22" t="n">
        <v>0</v>
      </c>
      <c r="F96" s="22" t="n">
        <v>16</v>
      </c>
      <c r="G96" s="22" t="n">
        <v>2</v>
      </c>
      <c r="H96" s="22" t="n">
        <v>8</v>
      </c>
      <c r="I96" s="22" t="n">
        <v>0</v>
      </c>
      <c r="J96" s="22" t="n">
        <v>23</v>
      </c>
      <c r="K96" s="22" t="n">
        <v>0</v>
      </c>
      <c r="L96" s="22" t="n">
        <v>16</v>
      </c>
      <c r="M96" s="22" t="n">
        <v>0</v>
      </c>
      <c r="N96" s="22" t="n">
        <v>13</v>
      </c>
      <c r="U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지분법이익</t>
        </is>
      </c>
      <c r="C97" s="22" t="n">
        <v>24</v>
      </c>
      <c r="D97" s="22" t="n">
        <v>3</v>
      </c>
      <c r="E97" s="22" t="n">
        <v>-32</v>
      </c>
      <c r="F97" s="22" t="n">
        <v>5</v>
      </c>
      <c r="G97" s="22" t="n">
        <v>39</v>
      </c>
      <c r="H97" s="22" t="n">
        <v>10</v>
      </c>
      <c r="I97" s="22" t="n">
        <v>14</v>
      </c>
      <c r="J97" s="22" t="n">
        <v>24</v>
      </c>
      <c r="K97" s="22" t="n">
        <v>2</v>
      </c>
      <c r="L97" s="22" t="n">
        <v>33</v>
      </c>
      <c r="M97" s="22" t="n">
        <v>48</v>
      </c>
      <c r="N97" s="22" t="n">
        <v>10</v>
      </c>
      <c r="U97" s="22" t="n">
        <v>-8</v>
      </c>
      <c r="V97" s="22" t="n">
        <v>-32</v>
      </c>
      <c r="W97" s="22" t="n">
        <v>14</v>
      </c>
      <c r="X97" s="22" t="n">
        <v>48</v>
      </c>
    </row>
    <row r="98">
      <c r="A98" s="20" t="inlineStr">
        <is>
          <t>외환차익</t>
        </is>
      </c>
      <c r="C98" s="22" t="n">
        <v>639</v>
      </c>
      <c r="D98" s="22" t="n">
        <v>-1317</v>
      </c>
      <c r="E98" s="22" t="n">
        <v>959</v>
      </c>
      <c r="F98" s="22" t="n">
        <v>723</v>
      </c>
      <c r="G98" s="22" t="n">
        <v>-723</v>
      </c>
      <c r="H98" s="22" t="n">
        <v>312</v>
      </c>
      <c r="I98" s="22" t="n">
        <v>-312</v>
      </c>
      <c r="J98" s="22" t="n">
        <v>0</v>
      </c>
      <c r="M98" s="22" t="n">
        <v>445</v>
      </c>
      <c r="N98" s="22" t="n">
        <v>396</v>
      </c>
      <c r="U98" s="22" t="n">
        <v>248</v>
      </c>
      <c r="V98" s="22" t="n">
        <v>959</v>
      </c>
      <c r="W98" s="22" t="n">
        <v>-312</v>
      </c>
      <c r="X98" s="22" t="n">
        <v>445</v>
      </c>
    </row>
    <row r="99">
      <c r="A99" s="20" t="inlineStr">
        <is>
          <t>파생상품 평가이익</t>
        </is>
      </c>
      <c r="F99" s="22" t="n">
        <v>0</v>
      </c>
      <c r="G99" s="22" t="n">
        <v>159</v>
      </c>
      <c r="J99" s="22" t="n">
        <v>169</v>
      </c>
      <c r="K99" s="22" t="n">
        <v>-168</v>
      </c>
      <c r="N99" s="22" t="n">
        <v>0</v>
      </c>
    </row>
    <row r="100">
      <c r="A100" s="20" t="inlineStr">
        <is>
          <t>보조금 수입</t>
        </is>
      </c>
      <c r="C100" s="22" t="n">
        <v>0</v>
      </c>
      <c r="D100" s="22" t="n">
        <v>0</v>
      </c>
      <c r="E100" s="22" t="n">
        <v>4</v>
      </c>
      <c r="F100" s="22" t="n">
        <v>2</v>
      </c>
      <c r="G100" s="22" t="n">
        <v>0</v>
      </c>
      <c r="H100" s="22" t="n">
        <v>0</v>
      </c>
      <c r="I100" s="22" t="n">
        <v>3</v>
      </c>
      <c r="J100" s="22" t="n">
        <v>2</v>
      </c>
      <c r="K100" s="22" t="n">
        <v>0</v>
      </c>
      <c r="L100" s="22" t="n">
        <v>0</v>
      </c>
      <c r="M100" s="22" t="n">
        <v>4</v>
      </c>
      <c r="N100" s="22" t="n">
        <v>2</v>
      </c>
      <c r="U100" s="22" t="n">
        <v>5</v>
      </c>
      <c r="V100" s="22" t="n">
        <v>4</v>
      </c>
      <c r="W100" s="22" t="n">
        <v>3</v>
      </c>
      <c r="X100" s="22" t="n">
        <v>4</v>
      </c>
    </row>
    <row r="101">
      <c r="A101" s="20" t="inlineStr">
        <is>
          <t>대손충당금 환입</t>
        </is>
      </c>
      <c r="F101" s="22" t="n">
        <v>0</v>
      </c>
      <c r="G101" s="22" t="n">
        <v>190</v>
      </c>
      <c r="J101" s="22" t="n">
        <v>103</v>
      </c>
      <c r="K101" s="22" t="n">
        <v>-89</v>
      </c>
      <c r="N101" s="22" t="n">
        <v>0</v>
      </c>
    </row>
    <row r="102">
      <c r="A102" s="20" t="inlineStr">
        <is>
          <t>기타</t>
        </is>
      </c>
      <c r="C102" s="22" t="n">
        <v>40</v>
      </c>
      <c r="D102" s="22" t="n">
        <v>24</v>
      </c>
      <c r="E102" s="22" t="n">
        <v>-12</v>
      </c>
      <c r="F102" s="22" t="n">
        <v>9</v>
      </c>
      <c r="G102" s="22" t="n">
        <v>22</v>
      </c>
      <c r="H102" s="22" t="n">
        <v>9</v>
      </c>
      <c r="I102" s="22" t="n">
        <v>4</v>
      </c>
      <c r="J102" s="22" t="n">
        <v>46</v>
      </c>
      <c r="K102" s="22" t="n">
        <v>-11</v>
      </c>
      <c r="L102" s="22" t="n">
        <v>30</v>
      </c>
      <c r="M102" s="22" t="n">
        <v>2</v>
      </c>
      <c r="N102" s="22" t="n">
        <v>48</v>
      </c>
      <c r="U102" s="22" t="n">
        <v>4</v>
      </c>
      <c r="V102" s="22" t="n">
        <v>-12</v>
      </c>
      <c r="W102" s="22" t="n">
        <v>4</v>
      </c>
      <c r="X102" s="22" t="n">
        <v>2</v>
      </c>
    </row>
    <row r="103">
      <c r="A103" s="20" t="inlineStr">
        <is>
          <t>영업외수익 합계</t>
        </is>
      </c>
      <c r="C103" s="22" t="n">
        <v>741</v>
      </c>
      <c r="D103" s="22" t="n">
        <v>-1262</v>
      </c>
      <c r="E103" s="22" t="n">
        <v>974</v>
      </c>
      <c r="F103" s="22" t="n">
        <v>770</v>
      </c>
      <c r="G103" s="22" t="n">
        <v>-290</v>
      </c>
      <c r="H103" s="22" t="n">
        <v>2</v>
      </c>
      <c r="I103" s="22" t="n">
        <v>-209</v>
      </c>
      <c r="J103" s="22" t="n">
        <v>383</v>
      </c>
      <c r="K103" s="22" t="n">
        <v>-243</v>
      </c>
      <c r="L103" s="22" t="n">
        <v>238</v>
      </c>
      <c r="M103" s="22" t="n">
        <v>525</v>
      </c>
      <c r="N103" s="22" t="n">
        <v>475</v>
      </c>
      <c r="U103" s="22" t="n">
        <v>295</v>
      </c>
      <c r="V103" s="22" t="n">
        <v>974</v>
      </c>
      <c r="W103" s="22" t="n">
        <v>-209</v>
      </c>
      <c r="X103" s="22" t="n">
        <v>525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IF(OR(G103="",C103=""),"",IF(G103*C103&lt;=0,"",IFERROR(G103/C103-1,"")))</f>
        <v/>
      </c>
      <c r="H104" s="17">
        <f>IF(OR(H103="",D103=""),"",IF(H103*D103&lt;=0,"",IFERROR(H103/D103-1,"")))</f>
        <v/>
      </c>
      <c r="I104" s="17">
        <f>IF(OR(I103="",E103=""),"",IF(I103*E103&lt;=0,"",IFERROR(I103/E103-1,"")))</f>
        <v/>
      </c>
      <c r="J104" s="17">
        <f>IF(OR(J103="",F103=""),"",IF(J103*F103&lt;=0,"",IFERROR(J103/F103-1,"")))</f>
        <v/>
      </c>
      <c r="K104" s="17">
        <f>IF(OR(K103="",G103=""),"",IF(K103*G103&lt;=0,"",IFERROR(K103/G103-1,"")))</f>
        <v/>
      </c>
      <c r="L104" s="17">
        <f>IF(OR(L103="",H103=""),"",IF(L103*H103&lt;=0,"",IFERROR(L103/H103-1,"")))</f>
        <v/>
      </c>
      <c r="M104" s="17">
        <f>IF(OR(M103="",I103=""),"",IF(M103*I103&lt;=0,"",IFERROR(M103/I103-1,"")))</f>
        <v/>
      </c>
      <c r="N104" s="17">
        <f>IF(OR(N103="",J103=""),"",IF(N103*J103&lt;=0,"",IFERROR(N103/J103-1,"")))</f>
        <v/>
      </c>
      <c r="U104" s="17">
        <f>IF(OR(U103="",T103=""),"",IF(U103*T103&lt;=0,"",IFERROR(U103/T103-1,"")))</f>
        <v/>
      </c>
      <c r="V104" s="17">
        <f>IF(OR(V103="",U103=""),"",IF(V103*U103&lt;=0,"",IFERROR(V103/U103-1,"")))</f>
        <v/>
      </c>
      <c r="W104" s="17">
        <f>IF(OR(W103="",V103=""),"",IF(W103*V103&lt;=0,"",IFERROR(W103/V103-1,"")))</f>
        <v/>
      </c>
      <c r="X104" s="17">
        <f>IF(OR(X103="",W103=""),"",IF(X103*W103&lt;=0,"",IFERROR(X103/W103-1,"")))</f>
        <v/>
      </c>
    </row>
    <row r="105">
      <c r="A105" s="20" t="inlineStr">
        <is>
          <t>이자비용</t>
        </is>
      </c>
      <c r="C105" s="22" t="n">
        <v>137</v>
      </c>
      <c r="D105" s="22" t="n">
        <v>110</v>
      </c>
      <c r="E105" s="22" t="n">
        <v>185</v>
      </c>
      <c r="F105" s="22" t="n">
        <v>140</v>
      </c>
      <c r="G105" s="22" t="n">
        <v>120</v>
      </c>
      <c r="H105" s="22" t="n">
        <v>149</v>
      </c>
      <c r="I105" s="22" t="n">
        <v>101</v>
      </c>
      <c r="J105" s="22" t="n">
        <v>160</v>
      </c>
      <c r="K105" s="22" t="n">
        <v>66</v>
      </c>
      <c r="L105" s="22" t="n">
        <v>125</v>
      </c>
      <c r="M105" s="22" t="n">
        <v>102</v>
      </c>
      <c r="N105" s="22" t="n">
        <v>116</v>
      </c>
      <c r="U105" s="22" t="n">
        <v>99</v>
      </c>
      <c r="V105" s="22" t="n">
        <v>185</v>
      </c>
      <c r="W105" s="22" t="n">
        <v>101</v>
      </c>
      <c r="X105" s="22" t="n">
        <v>102</v>
      </c>
    </row>
    <row r="106">
      <c r="A106" s="20" t="inlineStr">
        <is>
          <t>외환차손</t>
        </is>
      </c>
      <c r="F106" s="22" t="n">
        <v>0</v>
      </c>
      <c r="G106" s="22" t="n">
        <v>1734</v>
      </c>
      <c r="J106" s="22" t="n">
        <v>722</v>
      </c>
      <c r="K106" s="22" t="n">
        <v>-96</v>
      </c>
      <c r="N106" s="22" t="n">
        <v>0</v>
      </c>
    </row>
    <row r="107">
      <c r="A107" s="20" t="inlineStr">
        <is>
          <t>파생상품 평가손실</t>
        </is>
      </c>
      <c r="C107" s="22" t="n">
        <v>141</v>
      </c>
      <c r="D107" s="22" t="n">
        <v>-109</v>
      </c>
      <c r="E107" s="22" t="n">
        <v>275</v>
      </c>
      <c r="F107" s="22" t="n">
        <v>347</v>
      </c>
      <c r="G107" s="22" t="n">
        <v>-347</v>
      </c>
      <c r="H107" s="22" t="n">
        <v>224</v>
      </c>
      <c r="I107" s="22" t="n">
        <v>-178</v>
      </c>
      <c r="J107" s="22" t="n">
        <v>0</v>
      </c>
      <c r="M107" s="22" t="n">
        <v>54</v>
      </c>
      <c r="N107" s="22" t="n">
        <v>32</v>
      </c>
      <c r="U107" s="22" t="n">
        <v>12</v>
      </c>
      <c r="V107" s="22" t="n">
        <v>275</v>
      </c>
      <c r="W107" s="22" t="n">
        <v>-178</v>
      </c>
      <c r="X107" s="22" t="n">
        <v>54</v>
      </c>
    </row>
    <row r="108">
      <c r="A108" s="20" t="inlineStr">
        <is>
          <t>대손충당금 전입</t>
        </is>
      </c>
      <c r="C108" s="22" t="n">
        <v>101</v>
      </c>
      <c r="D108" s="22" t="n">
        <v>-171</v>
      </c>
      <c r="E108" s="22" t="n">
        <v>211</v>
      </c>
      <c r="F108" s="22" t="n">
        <v>212</v>
      </c>
      <c r="G108" s="22" t="n">
        <v>-212</v>
      </c>
      <c r="H108" s="22" t="n">
        <v>148</v>
      </c>
      <c r="I108" s="22" t="n">
        <v>-148</v>
      </c>
      <c r="J108" s="22" t="n">
        <v>0</v>
      </c>
      <c r="M108" s="22" t="n">
        <v>103</v>
      </c>
      <c r="N108" s="22" t="n">
        <v>55</v>
      </c>
      <c r="U108" s="22" t="n">
        <v>18</v>
      </c>
      <c r="V108" s="22" t="n">
        <v>211</v>
      </c>
      <c r="W108" s="22" t="n">
        <v>-148</v>
      </c>
      <c r="X108" s="22" t="n">
        <v>103</v>
      </c>
    </row>
    <row r="109">
      <c r="A109" s="20" t="inlineStr">
        <is>
          <t>기타</t>
        </is>
      </c>
      <c r="C109" s="22" t="n">
        <v>7</v>
      </c>
      <c r="D109" s="22" t="n">
        <v>33</v>
      </c>
      <c r="E109" s="22" t="n">
        <v>40</v>
      </c>
      <c r="F109" s="22" t="n">
        <v>11</v>
      </c>
      <c r="G109" s="22" t="n">
        <v>14</v>
      </c>
      <c r="H109" s="22" t="n">
        <v>9</v>
      </c>
      <c r="I109" s="22" t="n">
        <v>18</v>
      </c>
      <c r="J109" s="22" t="n">
        <v>9</v>
      </c>
      <c r="K109" s="22" t="n">
        <v>9</v>
      </c>
      <c r="L109" s="22" t="n">
        <v>41</v>
      </c>
      <c r="M109" s="22" t="n">
        <v>56</v>
      </c>
      <c r="N109" s="22" t="n">
        <v>18</v>
      </c>
      <c r="U109" s="22" t="n">
        <v>8</v>
      </c>
      <c r="V109" s="22" t="n">
        <v>40</v>
      </c>
      <c r="W109" s="22" t="n">
        <v>18</v>
      </c>
      <c r="X109" s="22" t="n">
        <v>56</v>
      </c>
    </row>
    <row r="110">
      <c r="A110" s="20" t="inlineStr">
        <is>
          <t>영업외비용 합계</t>
        </is>
      </c>
      <c r="C110" s="22" t="n">
        <v>387</v>
      </c>
      <c r="D110" s="22" t="n">
        <v>-137</v>
      </c>
      <c r="E110" s="22" t="n">
        <v>710</v>
      </c>
      <c r="F110" s="22" t="n">
        <v>711</v>
      </c>
      <c r="G110" s="22" t="n">
        <v>1309</v>
      </c>
      <c r="H110" s="22" t="n">
        <v>-1203</v>
      </c>
      <c r="I110" s="22" t="n">
        <v>1107</v>
      </c>
      <c r="J110" s="22" t="n">
        <v>893</v>
      </c>
      <c r="K110" s="22" t="n">
        <v>-22</v>
      </c>
      <c r="L110" s="22" t="n">
        <v>-58</v>
      </c>
      <c r="M110" s="22" t="n">
        <v>314</v>
      </c>
      <c r="N110" s="22" t="n">
        <v>222</v>
      </c>
      <c r="U110" s="22" t="n">
        <v>138</v>
      </c>
      <c r="V110" s="22" t="n">
        <v>710</v>
      </c>
      <c r="W110" s="22" t="n">
        <v>1107</v>
      </c>
      <c r="X110" s="22" t="n">
        <v>314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IF(OR(G110="",C110=""),"",IF(G110*C110&lt;=0,"",IFERROR(G110/C110-1,"")))</f>
        <v/>
      </c>
      <c r="H111" s="17">
        <f>IF(OR(H110="",D110=""),"",IF(H110*D110&lt;=0,"",IFERROR(H110/D110-1,"")))</f>
        <v/>
      </c>
      <c r="I111" s="17">
        <f>IF(OR(I110="",E110=""),"",IF(I110*E110&lt;=0,"",IFERROR(I110/E110-1,"")))</f>
        <v/>
      </c>
      <c r="J111" s="17">
        <f>IF(OR(J110="",F110=""),"",IF(J110*F110&lt;=0,"",IFERROR(J110/F110-1,"")))</f>
        <v/>
      </c>
      <c r="K111" s="17">
        <f>IF(OR(K110="",G110=""),"",IF(K110*G110&lt;=0,"",IFERROR(K110/G110-1,"")))</f>
        <v/>
      </c>
      <c r="L111" s="17">
        <f>IF(OR(L110="",H110=""),"",IF(L110*H110&lt;=0,"",IFERROR(L110/H110-1,"")))</f>
        <v/>
      </c>
      <c r="M111" s="17">
        <f>IF(OR(M110="",I110=""),"",IF(M110*I110&lt;=0,"",IFERROR(M110/I110-1,"")))</f>
        <v/>
      </c>
      <c r="N111" s="17">
        <f>IF(OR(N110="",J110=""),"",IF(N110*J110&lt;=0,"",IFERROR(N110/J110-1,"")))</f>
        <v/>
      </c>
      <c r="U111" s="17">
        <f>IF(OR(U110="",T110=""),"",IF(U110*T110&lt;=0,"",IFERROR(U110/T110-1,"")))</f>
        <v/>
      </c>
      <c r="V111" s="17">
        <f>IF(OR(V110="",U110=""),"",IF(V110*U110&lt;=0,"",IFERROR(V110/U110-1,"")))</f>
        <v/>
      </c>
      <c r="W111" s="17">
        <f>IF(OR(W110="",V110=""),"",IF(W110*V110&lt;=0,"",IFERROR(W110/V110-1,"")))</f>
        <v/>
      </c>
      <c r="X111" s="17">
        <f>IF(OR(X110="",W110=""),"",IF(X110*W110&lt;=0,"",IFERROR(X110/W110-1,"")))</f>
        <v/>
      </c>
    </row>
    <row r="112">
      <c r="A112" s="9" t="inlineStr">
        <is>
          <t>경상이익</t>
        </is>
      </c>
      <c r="C112" s="12" t="n">
        <v>1355</v>
      </c>
      <c r="D112" s="12" t="n">
        <v>-204</v>
      </c>
      <c r="E112" s="12" t="n">
        <v>327</v>
      </c>
      <c r="F112" s="12" t="n">
        <v>817</v>
      </c>
      <c r="G112" s="12" t="n">
        <v>-801</v>
      </c>
      <c r="H112" s="12" t="n">
        <v>1976</v>
      </c>
      <c r="I112" s="12" t="n">
        <v>-1360</v>
      </c>
      <c r="J112" s="12" t="n">
        <v>15</v>
      </c>
      <c r="K112" s="12" t="n">
        <v>351</v>
      </c>
      <c r="L112" s="12" t="n">
        <v>1936</v>
      </c>
      <c r="M112" s="12" t="n">
        <v>953</v>
      </c>
      <c r="N112" s="12" t="n">
        <v>1405</v>
      </c>
      <c r="U112" s="12" t="n">
        <v>757</v>
      </c>
      <c r="V112" s="12" t="n">
        <v>327</v>
      </c>
      <c r="W112" s="12" t="n">
        <v>-1360</v>
      </c>
      <c r="X112" s="12" t="n">
        <v>953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IF(OR(G112="",C112=""),"",IF(C112&lt;=0,"",IFERROR(G112/C112-1,"")))</f>
        <v/>
      </c>
      <c r="H113" s="17">
        <f>IF(OR(H112="",D112=""),"",IF(D112&lt;=0,"",IFERROR(H112/D112-1,"")))</f>
        <v/>
      </c>
      <c r="I113" s="17">
        <f>IF(OR(I112="",E112=""),"",IF(E112&lt;=0,"",IFERROR(I112/E112-1,"")))</f>
        <v/>
      </c>
      <c r="J113" s="17">
        <f>IF(OR(J112="",F112=""),"",IF(F112&lt;=0,"",IFERROR(J112/F112-1,"")))</f>
        <v/>
      </c>
      <c r="K113" s="17">
        <f>IF(OR(K112="",G112=""),"",IF(G112&lt;=0,"",IFERROR(K112/G112-1,"")))</f>
        <v/>
      </c>
      <c r="L113" s="17">
        <f>IF(OR(L112="",H112=""),"",IF(H112&lt;=0,"",IFERROR(L112/H112-1,"")))</f>
        <v/>
      </c>
      <c r="M113" s="17">
        <f>IF(OR(M112="",I112=""),"",IF(I112&lt;=0,"",IFERROR(M112/I112-1,"")))</f>
        <v/>
      </c>
      <c r="N113" s="17">
        <f>IF(OR(N112="",J112=""),"",IF(J112&lt;=0,"",IFERROR(N112/J112-1,"")))</f>
        <v/>
      </c>
      <c r="U113" s="17">
        <f>IF(OR(U112="",T112=""),"",IF(T112&lt;=0,"",IFERROR(U112/T112-1,"")))</f>
        <v/>
      </c>
      <c r="V113" s="17">
        <f>IF(OR(V112="",U112=""),"",IF(U112&lt;=0,"",IFERROR(V112/U112-1,"")))</f>
        <v/>
      </c>
      <c r="W113" s="17">
        <f>IF(OR(W112="",V112=""),"",IF(V112&lt;=0,"",IFERROR(W112/V112-1,"")))</f>
        <v/>
      </c>
      <c r="X113" s="17">
        <f>IF(OR(X112="",W112=""),"",IF(W112&lt;=0,"",IFERROR(X112/W112-1,"")))</f>
        <v/>
      </c>
    </row>
    <row r="114">
      <c r="A114" s="20" t="inlineStr">
        <is>
          <t>투자유가증권 매각이익</t>
        </is>
      </c>
      <c r="I114" s="22" t="n">
        <v>0</v>
      </c>
      <c r="M114" s="22" t="n">
        <v>0</v>
      </c>
      <c r="W114" s="22" t="n">
        <v>0</v>
      </c>
      <c r="X114" s="22" t="n">
        <v>0</v>
      </c>
    </row>
    <row r="115">
      <c r="A115" s="20" t="inlineStr">
        <is>
          <t>보조금 수입</t>
        </is>
      </c>
      <c r="E115" s="22" t="n">
        <v>0</v>
      </c>
      <c r="I115" s="22" t="n">
        <v>509</v>
      </c>
      <c r="M115" s="22" t="n">
        <v>0</v>
      </c>
      <c r="V115" s="22" t="n">
        <v>0</v>
      </c>
      <c r="W115" s="22" t="n">
        <v>509</v>
      </c>
      <c r="X115" s="22" t="n">
        <v>0</v>
      </c>
    </row>
    <row r="116">
      <c r="A116" s="20" t="inlineStr">
        <is>
          <t>상각채권 추심이익</t>
        </is>
      </c>
      <c r="E116" s="22" t="n">
        <v>0</v>
      </c>
      <c r="H116" s="22" t="n">
        <v>27</v>
      </c>
      <c r="I116" s="22" t="n">
        <v>47</v>
      </c>
      <c r="J116" s="22" t="n">
        <v>0</v>
      </c>
      <c r="K116" s="22" t="n">
        <v>2</v>
      </c>
      <c r="L116" s="22" t="n">
        <v>0</v>
      </c>
      <c r="M116" s="22" t="n">
        <v>7</v>
      </c>
      <c r="N116" s="22" t="n">
        <v>1</v>
      </c>
      <c r="V116" s="22" t="n">
        <v>0</v>
      </c>
      <c r="W116" s="22" t="n">
        <v>47</v>
      </c>
      <c r="X116" s="22" t="n">
        <v>7</v>
      </c>
    </row>
    <row r="117">
      <c r="A117" s="20" t="inlineStr">
        <is>
          <t>특별이익 합계</t>
        </is>
      </c>
      <c r="E117" s="22" t="n">
        <v>0</v>
      </c>
      <c r="H117" s="22" t="n">
        <v>766</v>
      </c>
      <c r="I117" s="22" t="n">
        <v>571</v>
      </c>
      <c r="J117" s="22" t="n">
        <v>0</v>
      </c>
      <c r="K117" s="22" t="n">
        <v>2</v>
      </c>
      <c r="L117" s="22" t="n">
        <v>268</v>
      </c>
      <c r="M117" s="22" t="n">
        <v>6</v>
      </c>
      <c r="N117" s="22" t="n">
        <v>1</v>
      </c>
      <c r="V117" s="22" t="n">
        <v>0</v>
      </c>
      <c r="W117" s="22" t="n">
        <v>571</v>
      </c>
      <c r="X117" s="22" t="n">
        <v>6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H118" s="17">
        <f>IF(OR(H117="",D117=""),"",IF(H117*D117&lt;=0,"",IFERROR(H117/D117-1,"")))</f>
        <v/>
      </c>
      <c r="I118" s="17">
        <f>IF(OR(I117="",E117=""),"",IF(I117*E117&lt;=0,"",IFERROR(I117/E117-1,"")))</f>
        <v/>
      </c>
      <c r="J118" s="17">
        <f>IF(OR(J117="",F117=""),"",IF(J117*F117&lt;=0,"",IFERROR(J117/F117-1,"")))</f>
        <v/>
      </c>
      <c r="K118" s="17">
        <f>IF(OR(K117="",G117=""),"",IF(K117*G117&lt;=0,"",IFERROR(K117/G117-1,"")))</f>
        <v/>
      </c>
      <c r="L118" s="17">
        <f>IF(OR(L117="",H117=""),"",IF(L117*H117&lt;=0,"",IFERROR(L117/H117-1,"")))</f>
        <v/>
      </c>
      <c r="M118" s="17">
        <f>IF(OR(M117="",I117=""),"",IF(M117*I117&lt;=0,"",IFERROR(M117/I117-1,"")))</f>
        <v/>
      </c>
      <c r="N118" s="17">
        <f>IF(OR(N117="",J117=""),"",IF(N117*J117&lt;=0,"",IFERROR(N117/J117-1,"")))</f>
        <v/>
      </c>
      <c r="V118" s="17">
        <f>IF(OR(V117="",U117=""),"",IF(V117*U117&lt;=0,"",IFERROR(V117/U117-1,"")))</f>
        <v/>
      </c>
      <c r="W118" s="17">
        <f>IF(OR(W117="",V117=""),"",IF(W117*V117&lt;=0,"",IFERROR(W117/V117-1,"")))</f>
        <v/>
      </c>
      <c r="X118" s="17">
        <f>IF(OR(X117="",W117=""),"",IF(X117*W117&lt;=0,"",IFERROR(X117/W117-1,"")))</f>
        <v/>
      </c>
    </row>
    <row r="119">
      <c r="A119" s="20" t="inlineStr">
        <is>
          <t>고정자산 제각손실</t>
        </is>
      </c>
      <c r="C119" s="22" t="n">
        <v>8</v>
      </c>
      <c r="D119" s="22" t="n">
        <v>9</v>
      </c>
      <c r="E119" s="22" t="n">
        <v>5</v>
      </c>
      <c r="F119" s="22" t="n">
        <v>3</v>
      </c>
      <c r="G119" s="22" t="n">
        <v>28</v>
      </c>
      <c r="H119" s="22" t="n">
        <v>0</v>
      </c>
      <c r="I119" s="22" t="n">
        <v>3</v>
      </c>
      <c r="J119" s="22" t="n">
        <v>12</v>
      </c>
      <c r="K119" s="22" t="n">
        <v>0</v>
      </c>
      <c r="L119" s="22" t="n">
        <v>72</v>
      </c>
      <c r="M119" s="22" t="n">
        <v>10</v>
      </c>
      <c r="N119" s="22" t="n">
        <v>0</v>
      </c>
      <c r="U119" s="22" t="n">
        <v>192</v>
      </c>
      <c r="V119" s="22" t="n">
        <v>5</v>
      </c>
      <c r="W119" s="22" t="n">
        <v>3</v>
      </c>
      <c r="X119" s="22" t="n">
        <v>10</v>
      </c>
    </row>
    <row r="120">
      <c r="A120" s="20" t="inlineStr">
        <is>
          <t>손상차손</t>
        </is>
      </c>
      <c r="C120" s="22" t="n">
        <v>-5</v>
      </c>
      <c r="D120" s="22" t="n">
        <v>6</v>
      </c>
      <c r="E120" s="22" t="n">
        <v>4</v>
      </c>
      <c r="F120" s="22" t="n">
        <v>0</v>
      </c>
      <c r="G120" s="22" t="n">
        <v>227</v>
      </c>
      <c r="H120" s="22" t="n">
        <v>-1</v>
      </c>
      <c r="I120" s="22" t="n">
        <v>0</v>
      </c>
      <c r="L120" s="22" t="n">
        <v>0</v>
      </c>
      <c r="M120" s="22" t="n">
        <v>0</v>
      </c>
      <c r="U120" s="22" t="n">
        <v>0</v>
      </c>
      <c r="V120" s="22" t="n">
        <v>4</v>
      </c>
      <c r="W120" s="22" t="n">
        <v>0</v>
      </c>
      <c r="X120" s="22" t="n">
        <v>0</v>
      </c>
    </row>
    <row r="121">
      <c r="A121" s="20" t="inlineStr">
        <is>
          <t>특별손실 합계</t>
        </is>
      </c>
      <c r="C121" s="22" t="n">
        <v>4</v>
      </c>
      <c r="D121" s="22" t="n">
        <v>14</v>
      </c>
      <c r="E121" s="22" t="n">
        <v>9</v>
      </c>
      <c r="F121" s="22" t="n">
        <v>3</v>
      </c>
      <c r="G121" s="22" t="n">
        <v>255</v>
      </c>
      <c r="H121" s="22" t="n">
        <v>-1</v>
      </c>
      <c r="I121" s="22" t="n">
        <v>3</v>
      </c>
      <c r="J121" s="22" t="n">
        <v>12</v>
      </c>
      <c r="K121" s="22" t="n">
        <v>0</v>
      </c>
      <c r="L121" s="22" t="n">
        <v>72</v>
      </c>
      <c r="M121" s="22" t="n">
        <v>10</v>
      </c>
      <c r="N121" s="22" t="n">
        <v>0</v>
      </c>
      <c r="U121" s="22" t="n">
        <v>192</v>
      </c>
      <c r="V121" s="22" t="n">
        <v>9</v>
      </c>
      <c r="W121" s="22" t="n">
        <v>3</v>
      </c>
      <c r="X121" s="22" t="n">
        <v>10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IF(OR(G121="",C121=""),"",IF(G121*C121&lt;=0,"",IFERROR(G121/C121-1,"")))</f>
        <v/>
      </c>
      <c r="H122" s="17">
        <f>IF(OR(H121="",D121=""),"",IF(H121*D121&lt;=0,"",IFERROR(H121/D121-1,"")))</f>
        <v/>
      </c>
      <c r="I122" s="17">
        <f>IF(OR(I121="",E121=""),"",IF(I121*E121&lt;=0,"",IFERROR(I121/E121-1,"")))</f>
        <v/>
      </c>
      <c r="J122" s="17">
        <f>IF(OR(J121="",F121=""),"",IF(J121*F121&lt;=0,"",IFERROR(J121/F121-1,"")))</f>
        <v/>
      </c>
      <c r="K122" s="17">
        <f>IF(OR(K121="",G121=""),"",IF(K121*G121&lt;=0,"",IFERROR(K121/G121-1,"")))</f>
        <v/>
      </c>
      <c r="L122" s="17">
        <f>IF(OR(L121="",H121=""),"",IF(L121*H121&lt;=0,"",IFERROR(L121/H121-1,"")))</f>
        <v/>
      </c>
      <c r="M122" s="17">
        <f>IF(OR(M121="",I121=""),"",IF(M121*I121&lt;=0,"",IFERROR(M121/I121-1,"")))</f>
        <v/>
      </c>
      <c r="N122" s="17">
        <f>IF(OR(N121="",J121=""),"",IF(N121*J121&lt;=0,"",IFERROR(N121/J121-1,"")))</f>
        <v/>
      </c>
      <c r="U122" s="17">
        <f>IF(OR(U121="",T121=""),"",IF(U121*T121&lt;=0,"",IFERROR(U121/T121-1,"")))</f>
        <v/>
      </c>
      <c r="V122" s="17">
        <f>IF(OR(V121="",U121=""),"",IF(V121*U121&lt;=0,"",IFERROR(V121/U121-1,"")))</f>
        <v/>
      </c>
      <c r="W122" s="17">
        <f>IF(OR(W121="",V121=""),"",IF(W121*V121&lt;=0,"",IFERROR(W121/V121-1,"")))</f>
        <v/>
      </c>
      <c r="X122" s="17">
        <f>IF(OR(X121="",W121=""),"",IF(X121*W121&lt;=0,"",IFERROR(X121/W121-1,"")))</f>
        <v/>
      </c>
    </row>
    <row r="123">
      <c r="A123" s="9" t="inlineStr">
        <is>
          <t>법인세차감전 순이익</t>
        </is>
      </c>
      <c r="C123" s="12" t="n">
        <v>1351</v>
      </c>
      <c r="D123" s="12" t="n">
        <v>-218</v>
      </c>
      <c r="E123" s="12" t="n">
        <v>318</v>
      </c>
      <c r="F123" s="12" t="n">
        <v>813</v>
      </c>
      <c r="G123" s="12" t="n">
        <v>-1055</v>
      </c>
      <c r="H123" s="12" t="n">
        <v>2742</v>
      </c>
      <c r="I123" s="12" t="n">
        <v>-791</v>
      </c>
      <c r="J123" s="12" t="n">
        <v>3</v>
      </c>
      <c r="K123" s="12" t="n">
        <v>353</v>
      </c>
      <c r="L123" s="12" t="n">
        <v>2131</v>
      </c>
      <c r="M123" s="12" t="n">
        <v>950</v>
      </c>
      <c r="N123" s="12" t="n">
        <v>1406</v>
      </c>
      <c r="U123" s="12" t="n">
        <v>598</v>
      </c>
      <c r="V123" s="12" t="n">
        <v>318</v>
      </c>
      <c r="W123" s="12" t="n">
        <v>-791</v>
      </c>
      <c r="X123" s="12" t="n">
        <v>950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IF(OR(G123="",C123=""),"",IF(C123&lt;=0,"",IFERROR(G123/C123-1,"")))</f>
        <v/>
      </c>
      <c r="H124" s="17">
        <f>IF(OR(H123="",D123=""),"",IF(D123&lt;=0,"",IFERROR(H123/D123-1,"")))</f>
        <v/>
      </c>
      <c r="I124" s="17">
        <f>IF(OR(I123="",E123=""),"",IF(E123&lt;=0,"",IFERROR(I123/E123-1,"")))</f>
        <v/>
      </c>
      <c r="J124" s="17">
        <f>IF(OR(J123="",F123=""),"",IF(F123&lt;=0,"",IFERROR(J123/F123-1,"")))</f>
        <v/>
      </c>
      <c r="K124" s="17">
        <f>IF(OR(K123="",G123=""),"",IF(G123&lt;=0,"",IFERROR(K123/G123-1,"")))</f>
        <v/>
      </c>
      <c r="L124" s="17">
        <f>IF(OR(L123="",H123=""),"",IF(H123&lt;=0,"",IFERROR(L123/H123-1,"")))</f>
        <v/>
      </c>
      <c r="M124" s="17">
        <f>IF(OR(M123="",I123=""),"",IF(I123&lt;=0,"",IFERROR(M123/I123-1,"")))</f>
        <v/>
      </c>
      <c r="N124" s="17">
        <f>IF(OR(N123="",J123=""),"",IF(J123&lt;=0,"",IFERROR(N123/J123-1,"")))</f>
        <v/>
      </c>
      <c r="U124" s="17">
        <f>IF(OR(U123="",T123=""),"",IF(T123&lt;=0,"",IFERROR(U123/T123-1,"")))</f>
        <v/>
      </c>
      <c r="V124" s="17">
        <f>IF(OR(V123="",U123=""),"",IF(U123&lt;=0,"",IFERROR(V123/U123-1,"")))</f>
        <v/>
      </c>
      <c r="W124" s="17">
        <f>IF(OR(W123="",V123=""),"",IF(V123&lt;=0,"",IFERROR(W123/V123-1,"")))</f>
        <v/>
      </c>
      <c r="X124" s="17">
        <f>IF(OR(X123="",W123=""),"",IF(W123&lt;=0,"",IFERROR(X123/W123-1,"")))</f>
        <v/>
      </c>
    </row>
    <row r="125">
      <c r="A125" s="20" t="inlineStr">
        <is>
          <t>법인세·주민세·사업세</t>
        </is>
      </c>
      <c r="C125" s="22" t="n">
        <v>449</v>
      </c>
      <c r="D125" s="22" t="n">
        <v>-41</v>
      </c>
      <c r="E125" s="22" t="n">
        <v>459</v>
      </c>
      <c r="F125" s="22" t="n">
        <v>510</v>
      </c>
      <c r="G125" s="22" t="n">
        <v>-339</v>
      </c>
      <c r="H125" s="22" t="n">
        <v>705</v>
      </c>
      <c r="I125" s="22" t="n">
        <v>-138</v>
      </c>
      <c r="J125" s="22" t="n">
        <v>24</v>
      </c>
      <c r="K125" s="22" t="n">
        <v>191</v>
      </c>
      <c r="L125" s="22" t="n">
        <v>459</v>
      </c>
      <c r="M125" s="22" t="n">
        <v>230</v>
      </c>
      <c r="N125" s="22" t="n">
        <v>264</v>
      </c>
      <c r="U125" s="22" t="n">
        <v>146</v>
      </c>
      <c r="V125" s="22" t="n">
        <v>459</v>
      </c>
      <c r="W125" s="22" t="n">
        <v>-138</v>
      </c>
      <c r="X125" s="22" t="n">
        <v>230</v>
      </c>
    </row>
    <row r="126">
      <c r="A126" s="20" t="inlineStr">
        <is>
          <t>법인세 조정액</t>
        </is>
      </c>
      <c r="C126" s="22" t="n">
        <v>-50</v>
      </c>
      <c r="D126" s="22" t="n">
        <v>149</v>
      </c>
      <c r="E126" s="22" t="n">
        <v>-93</v>
      </c>
      <c r="F126" s="22" t="n">
        <v>-103</v>
      </c>
      <c r="G126" s="22" t="n">
        <v>130</v>
      </c>
      <c r="H126" s="22" t="n">
        <v>171</v>
      </c>
      <c r="I126" s="22" t="n">
        <v>-37</v>
      </c>
      <c r="J126" s="22" t="n">
        <v>-18</v>
      </c>
      <c r="K126" s="22" t="n">
        <v>120</v>
      </c>
      <c r="L126" s="22" t="n">
        <v>115</v>
      </c>
      <c r="M126" s="22" t="n">
        <v>-209</v>
      </c>
      <c r="N126" s="22" t="n">
        <v>186</v>
      </c>
      <c r="U126" s="22" t="n">
        <v>-91</v>
      </c>
      <c r="V126" s="22" t="n">
        <v>-93</v>
      </c>
      <c r="W126" s="22" t="n">
        <v>-37</v>
      </c>
      <c r="X126" s="22" t="n">
        <v>-209</v>
      </c>
    </row>
    <row r="127">
      <c r="A127" s="20" t="inlineStr">
        <is>
          <t>법인세 등 합계</t>
        </is>
      </c>
      <c r="C127" s="22" t="n">
        <v>399</v>
      </c>
      <c r="D127" s="22" t="n">
        <v>109</v>
      </c>
      <c r="E127" s="22" t="n">
        <v>366</v>
      </c>
      <c r="F127" s="22" t="n">
        <v>406</v>
      </c>
      <c r="G127" s="22" t="n">
        <v>-207</v>
      </c>
      <c r="H127" s="22" t="n">
        <v>876</v>
      </c>
      <c r="I127" s="22" t="n">
        <v>-175</v>
      </c>
      <c r="J127" s="22" t="n">
        <v>5</v>
      </c>
      <c r="K127" s="22" t="n">
        <v>312</v>
      </c>
      <c r="L127" s="22" t="n">
        <v>575</v>
      </c>
      <c r="M127" s="22" t="n">
        <v>20</v>
      </c>
      <c r="N127" s="22" t="n">
        <v>450</v>
      </c>
      <c r="U127" s="22" t="n">
        <v>55</v>
      </c>
      <c r="V127" s="22" t="n">
        <v>366</v>
      </c>
      <c r="W127" s="22" t="n">
        <v>-175</v>
      </c>
      <c r="X127" s="22" t="n">
        <v>20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IF(OR(G127="",C127=""),"",IF(G127*C127&lt;=0,"",IFERROR(G127/C127-1,"")))</f>
        <v/>
      </c>
      <c r="H128" s="17">
        <f>IF(OR(H127="",D127=""),"",IF(H127*D127&lt;=0,"",IFERROR(H127/D127-1,"")))</f>
        <v/>
      </c>
      <c r="I128" s="17">
        <f>IF(OR(I127="",E127=""),"",IF(I127*E127&lt;=0,"",IFERROR(I127/E127-1,"")))</f>
        <v/>
      </c>
      <c r="J128" s="17">
        <f>IF(OR(J127="",F127=""),"",IF(J127*F127&lt;=0,"",IFERROR(J127/F127-1,"")))</f>
        <v/>
      </c>
      <c r="K128" s="17">
        <f>IF(OR(K127="",G127=""),"",IF(K127*G127&lt;=0,"",IFERROR(K127/G127-1,"")))</f>
        <v/>
      </c>
      <c r="L128" s="17">
        <f>IF(OR(L127="",H127=""),"",IF(L127*H127&lt;=0,"",IFERROR(L127/H127-1,"")))</f>
        <v/>
      </c>
      <c r="M128" s="17">
        <f>IF(OR(M127="",I127=""),"",IF(M127*I127&lt;=0,"",IFERROR(M127/I127-1,"")))</f>
        <v/>
      </c>
      <c r="N128" s="17">
        <f>IF(OR(N127="",J127=""),"",IF(N127*J127&lt;=0,"",IFERROR(N127/J127-1,"")))</f>
        <v/>
      </c>
      <c r="U128" s="17">
        <f>IF(OR(U127="",T127=""),"",IF(U127*T127&lt;=0,"",IFERROR(U127/T127-1,"")))</f>
        <v/>
      </c>
      <c r="V128" s="17">
        <f>IF(OR(V127="",U127=""),"",IF(V127*U127&lt;=0,"",IFERROR(V127/U127-1,"")))</f>
        <v/>
      </c>
      <c r="W128" s="17">
        <f>IF(OR(W127="",V127=""),"",IF(W127*V127&lt;=0,"",IFERROR(W127/V127-1,"")))</f>
        <v/>
      </c>
      <c r="X128" s="17">
        <f>IF(OR(X127="",W127=""),"",IF(X127*W127&lt;=0,"",IFERROR(X127/W127-1,"")))</f>
        <v/>
      </c>
    </row>
    <row r="129">
      <c r="A129" s="9" t="inlineStr">
        <is>
          <t>중간순이익(손실)</t>
        </is>
      </c>
      <c r="C129" s="12" t="n">
        <v>952</v>
      </c>
      <c r="D129" s="12" t="n">
        <v>-327</v>
      </c>
      <c r="E129" s="12" t="n">
        <v>-48</v>
      </c>
      <c r="F129" s="12" t="n">
        <v>407</v>
      </c>
      <c r="G129" s="12" t="n">
        <v>-849</v>
      </c>
      <c r="H129" s="12" t="n">
        <v>1867</v>
      </c>
      <c r="I129" s="12" t="n">
        <v>-617</v>
      </c>
      <c r="J129" s="12" t="n">
        <v>-2</v>
      </c>
      <c r="K129" s="12" t="n">
        <v>40</v>
      </c>
      <c r="L129" s="12" t="n">
        <v>1557</v>
      </c>
      <c r="M129" s="12" t="n">
        <v>929</v>
      </c>
      <c r="N129" s="12" t="n">
        <v>955</v>
      </c>
      <c r="U129" s="12" t="n">
        <v>544</v>
      </c>
      <c r="V129" s="12" t="n">
        <v>-48</v>
      </c>
      <c r="W129" s="12" t="n">
        <v>-617</v>
      </c>
      <c r="X129" s="12" t="n">
        <v>929</v>
      </c>
    </row>
    <row r="130">
      <c r="A130" s="45" t="inlineStr">
        <is>
          <t>YoY</t>
        </is>
      </c>
      <c r="B130" s="3" t="inlineStr">
        <is>
          <t>전년 같은 분기·전년 대비</t>
        </is>
      </c>
      <c r="G130" s="17">
        <f>IF(OR(G129="",C129=""),"",IF(C129&lt;=0,"",IFERROR(G129/C129-1,"")))</f>
        <v/>
      </c>
      <c r="H130" s="17">
        <f>IF(OR(H129="",D129=""),"",IF(D129&lt;=0,"",IFERROR(H129/D129-1,"")))</f>
        <v/>
      </c>
      <c r="I130" s="17">
        <f>IF(OR(I129="",E129=""),"",IF(E129&lt;=0,"",IFERROR(I129/E129-1,"")))</f>
        <v/>
      </c>
      <c r="J130" s="17">
        <f>IF(OR(J129="",F129=""),"",IF(F129&lt;=0,"",IFERROR(J129/F129-1,"")))</f>
        <v/>
      </c>
      <c r="K130" s="17">
        <f>IF(OR(K129="",G129=""),"",IF(G129&lt;=0,"",IFERROR(K129/G129-1,"")))</f>
        <v/>
      </c>
      <c r="L130" s="17">
        <f>IF(OR(L129="",H129=""),"",IF(H129&lt;=0,"",IFERROR(L129/H129-1,"")))</f>
        <v/>
      </c>
      <c r="M130" s="17">
        <f>IF(OR(M129="",I129=""),"",IF(I129&lt;=0,"",IFERROR(M129/I129-1,"")))</f>
        <v/>
      </c>
      <c r="N130" s="17">
        <f>IF(OR(N129="",J129=""),"",IF(J129&lt;=0,"",IFERROR(N129/J129-1,"")))</f>
        <v/>
      </c>
      <c r="U130" s="17">
        <f>IF(OR(U129="",T129=""),"",IF(T129&lt;=0,"",IFERROR(U129/T129-1,"")))</f>
        <v/>
      </c>
      <c r="V130" s="17">
        <f>IF(OR(V129="",U129=""),"",IF(U129&lt;=0,"",IFERROR(V129/U129-1,"")))</f>
        <v/>
      </c>
      <c r="W130" s="17">
        <f>IF(OR(W129="",V129=""),"",IF(V129&lt;=0,"",IFERROR(W129/V129-1,"")))</f>
        <v/>
      </c>
      <c r="X130" s="17">
        <f>IF(OR(X129="",W129=""),"",IF(W129&lt;=0,"",IFERROR(X129/W129-1,"")))</f>
        <v/>
      </c>
    </row>
    <row r="131">
      <c r="A131" s="9" t="inlineStr">
        <is>
          <t>비지배주주 순손익</t>
        </is>
      </c>
      <c r="C131" s="12" t="n">
        <v>3</v>
      </c>
      <c r="D131" s="12" t="n">
        <v>14</v>
      </c>
      <c r="E131" s="12" t="n">
        <v>1</v>
      </c>
      <c r="F131" s="12" t="n">
        <v>4</v>
      </c>
      <c r="G131" s="12" t="n">
        <v>4</v>
      </c>
      <c r="H131" s="12" t="n">
        <v>3</v>
      </c>
      <c r="I131" s="12" t="n">
        <v>5</v>
      </c>
      <c r="J131" s="12" t="n">
        <v>-1</v>
      </c>
      <c r="K131" s="12" t="n">
        <v>-1</v>
      </c>
      <c r="L131" s="12" t="n">
        <v>1</v>
      </c>
      <c r="M131" s="12" t="n">
        <v>11</v>
      </c>
      <c r="N131" s="12" t="n">
        <v>2</v>
      </c>
      <c r="U131" s="12" t="n">
        <v>-2</v>
      </c>
      <c r="V131" s="12" t="n">
        <v>1</v>
      </c>
      <c r="W131" s="12" t="n">
        <v>5</v>
      </c>
      <c r="X131" s="12" t="n">
        <v>11</v>
      </c>
    </row>
    <row r="132">
      <c r="A132" s="9" t="inlineStr">
        <is>
          <t>지배주주 귀속 중간순이익(손실)</t>
        </is>
      </c>
      <c r="C132" s="12" t="n">
        <v>948</v>
      </c>
      <c r="D132" s="12" t="n">
        <v>-342</v>
      </c>
      <c r="E132" s="12" t="n">
        <v>-48</v>
      </c>
      <c r="F132" s="12" t="n">
        <v>403</v>
      </c>
      <c r="G132" s="12" t="n">
        <v>-853</v>
      </c>
      <c r="H132" s="12" t="n">
        <v>1864</v>
      </c>
      <c r="I132" s="12" t="n">
        <v>-622</v>
      </c>
      <c r="J132" s="12" t="n">
        <v>-1</v>
      </c>
      <c r="K132" s="12" t="n">
        <v>42</v>
      </c>
      <c r="L132" s="12" t="n">
        <v>1556</v>
      </c>
      <c r="M132" s="12" t="n">
        <v>917</v>
      </c>
      <c r="N132" s="12" t="n">
        <v>953</v>
      </c>
      <c r="U132" s="12" t="n">
        <v>546</v>
      </c>
      <c r="V132" s="12" t="n">
        <v>-48</v>
      </c>
      <c r="W132" s="12" t="n">
        <v>-622</v>
      </c>
      <c r="X132" s="12" t="n">
        <v>917</v>
      </c>
    </row>
    <row r="133">
      <c r="A133" s="45" t="inlineStr">
        <is>
          <t>YoY</t>
        </is>
      </c>
      <c r="B133" s="3" t="inlineStr">
        <is>
          <t>전년 같은 분기·전년 대비</t>
        </is>
      </c>
      <c r="G133" s="17">
        <f>IF(OR(G132="",C132=""),"",IF(C132&lt;=0,"",IFERROR(G132/C132-1,"")))</f>
        <v/>
      </c>
      <c r="H133" s="17">
        <f>IF(OR(H132="",D132=""),"",IF(D132&lt;=0,"",IFERROR(H132/D132-1,"")))</f>
        <v/>
      </c>
      <c r="I133" s="17">
        <f>IF(OR(I132="",E132=""),"",IF(E132&lt;=0,"",IFERROR(I132/E132-1,"")))</f>
        <v/>
      </c>
      <c r="J133" s="17">
        <f>IF(OR(J132="",F132=""),"",IF(F132&lt;=0,"",IFERROR(J132/F132-1,"")))</f>
        <v/>
      </c>
      <c r="K133" s="17">
        <f>IF(OR(K132="",G132=""),"",IF(G132&lt;=0,"",IFERROR(K132/G132-1,"")))</f>
        <v/>
      </c>
      <c r="L133" s="17">
        <f>IF(OR(L132="",H132=""),"",IF(H132&lt;=0,"",IFERROR(L132/H132-1,"")))</f>
        <v/>
      </c>
      <c r="M133" s="17">
        <f>IF(OR(M132="",I132=""),"",IF(I132&lt;=0,"",IFERROR(M132/I132-1,"")))</f>
        <v/>
      </c>
      <c r="N133" s="17">
        <f>IF(OR(N132="",J132=""),"",IF(J132&lt;=0,"",IFERROR(N132/J132-1,"")))</f>
        <v/>
      </c>
      <c r="U133" s="17">
        <f>IF(OR(U132="",T132=""),"",IF(T132&lt;=0,"",IFERROR(U132/T132-1,"")))</f>
        <v/>
      </c>
      <c r="V133" s="17">
        <f>IF(OR(V132="",U132=""),"",IF(U132&lt;=0,"",IFERROR(V132/U132-1,"")))</f>
        <v/>
      </c>
      <c r="W133" s="17">
        <f>IF(OR(W132="",V132=""),"",IF(V132&lt;=0,"",IFERROR(W132/V132-1,"")))</f>
        <v/>
      </c>
      <c r="X133" s="17">
        <f>IF(OR(X132="",W132=""),"",IF(W132&lt;=0,"",IFERROR(X132/W132-1,"")))</f>
        <v/>
      </c>
    </row>
    <row r="135">
      <c r="A135" s="18" t="inlineStr">
        <is>
          <t>포괄손익 · 전 항목</t>
        </is>
      </c>
      <c r="B135" s="44" t="inlineStr">
        <is>
          <t>분기 = 3개월 단독</t>
        </is>
      </c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</row>
    <row r="136">
      <c r="A136" s="5" t="inlineStr">
        <is>
          <t>항목</t>
        </is>
      </c>
      <c r="B136" s="5" t="inlineStr">
        <is>
          <t>참고</t>
        </is>
      </c>
      <c r="C136" s="5" t="inlineStr">
        <is>
          <t>2024.2Q</t>
        </is>
      </c>
      <c r="D136" s="5" t="inlineStr">
        <is>
          <t>2024.3Q</t>
        </is>
      </c>
      <c r="E136" s="5" t="inlineStr">
        <is>
          <t>2024.4Q</t>
        </is>
      </c>
      <c r="F136" s="5" t="inlineStr">
        <is>
          <t>2025.1Q</t>
        </is>
      </c>
      <c r="G136" s="5" t="inlineStr">
        <is>
          <t>2025.2Q</t>
        </is>
      </c>
      <c r="H136" s="5" t="inlineStr">
        <is>
          <t>2025.3Q</t>
        </is>
      </c>
      <c r="I136" s="5" t="inlineStr">
        <is>
          <t>2025.4Q</t>
        </is>
      </c>
      <c r="J136" s="5" t="inlineStr">
        <is>
          <t>2026.1Q</t>
        </is>
      </c>
      <c r="K136" s="5" t="inlineStr">
        <is>
          <t>2026.2Q</t>
        </is>
      </c>
      <c r="L136" s="5" t="inlineStr">
        <is>
          <t>2026.3Q</t>
        </is>
      </c>
      <c r="M136" s="5" t="inlineStr">
        <is>
          <t>2026.4Q</t>
        </is>
      </c>
      <c r="N136" s="5" t="inlineStr">
        <is>
          <t>2027.1Q</t>
        </is>
      </c>
      <c r="O136" s="5" t="inlineStr">
        <is>
          <t>2017</t>
        </is>
      </c>
      <c r="P136" s="5" t="inlineStr">
        <is>
          <t>2018</t>
        </is>
      </c>
      <c r="Q136" s="5" t="inlineStr">
        <is>
          <t>2019</t>
        </is>
      </c>
      <c r="R136" s="5" t="inlineStr">
        <is>
          <t>2020</t>
        </is>
      </c>
      <c r="S136" s="5" t="inlineStr">
        <is>
          <t>2021</t>
        </is>
      </c>
      <c r="T136" s="5" t="inlineStr">
        <is>
          <t>2022</t>
        </is>
      </c>
      <c r="U136" s="5" t="inlineStr">
        <is>
          <t>2023</t>
        </is>
      </c>
      <c r="V136" s="5" t="inlineStr">
        <is>
          <t>2024</t>
        </is>
      </c>
      <c r="W136" s="5" t="inlineStr">
        <is>
          <t>2025</t>
        </is>
      </c>
      <c r="X136" s="5" t="inlineStr">
        <is>
          <t>2026</t>
        </is>
      </c>
      <c r="Y136" s="5" t="inlineStr">
        <is>
          <t>2027(MW)</t>
        </is>
      </c>
      <c r="Z136" s="5" t="inlineStr">
        <is>
          <t>2028(MW)</t>
        </is>
      </c>
      <c r="AA136" s="5" t="inlineStr">
        <is>
          <t>2029(MW)</t>
        </is>
      </c>
      <c r="AB136" s="5" t="inlineStr">
        <is>
          <t>2030(MW)</t>
        </is>
      </c>
      <c r="AC136" s="5" t="inlineStr">
        <is>
          <t>2031(MW)</t>
        </is>
      </c>
    </row>
    <row r="137">
      <c r="A137" s="9" t="inlineStr">
        <is>
          <t>중간순이익(손실)</t>
        </is>
      </c>
      <c r="C137" s="12" t="n">
        <v>952</v>
      </c>
      <c r="D137" s="12" t="n">
        <v>-327</v>
      </c>
      <c r="E137" s="12" t="n">
        <v>-48</v>
      </c>
      <c r="F137" s="12" t="n">
        <v>407</v>
      </c>
      <c r="G137" s="12" t="n">
        <v>-849</v>
      </c>
      <c r="H137" s="12" t="n">
        <v>1867</v>
      </c>
      <c r="I137" s="12" t="n">
        <v>-617</v>
      </c>
      <c r="J137" s="12" t="n">
        <v>-2</v>
      </c>
      <c r="K137" s="12" t="n">
        <v>40</v>
      </c>
      <c r="L137" s="12" t="n">
        <v>1557</v>
      </c>
      <c r="M137" s="12" t="n">
        <v>929</v>
      </c>
      <c r="N137" s="12" t="n">
        <v>955</v>
      </c>
      <c r="U137" s="12" t="n">
        <v>544</v>
      </c>
      <c r="V137" s="12" t="n">
        <v>-48</v>
      </c>
      <c r="W137" s="12" t="n">
        <v>-617</v>
      </c>
      <c r="X137" s="12" t="n">
        <v>929</v>
      </c>
    </row>
    <row r="138">
      <c r="A138" s="20" t="inlineStr">
        <is>
          <t>기타유가증권 평가차액</t>
        </is>
      </c>
      <c r="C138" s="22" t="n">
        <v>3</v>
      </c>
      <c r="D138" s="22" t="n">
        <v>-9</v>
      </c>
      <c r="E138" s="22" t="n">
        <v>107</v>
      </c>
      <c r="F138" s="22" t="n">
        <v>60</v>
      </c>
      <c r="G138" s="22" t="n">
        <v>-91</v>
      </c>
      <c r="H138" s="22" t="n">
        <v>-41</v>
      </c>
      <c r="I138" s="22" t="n">
        <v>-70</v>
      </c>
      <c r="J138" s="22" t="n">
        <v>36</v>
      </c>
      <c r="K138" s="22" t="n">
        <v>92</v>
      </c>
      <c r="L138" s="22" t="n">
        <v>-129</v>
      </c>
      <c r="M138" s="22" t="n">
        <v>51</v>
      </c>
      <c r="N138" s="22" t="n">
        <v>-41</v>
      </c>
      <c r="U138" s="22" t="n">
        <v>37</v>
      </c>
      <c r="V138" s="22" t="n">
        <v>107</v>
      </c>
      <c r="W138" s="22" t="n">
        <v>-70</v>
      </c>
      <c r="X138" s="22" t="n">
        <v>51</v>
      </c>
    </row>
    <row r="139">
      <c r="A139" s="20" t="inlineStr">
        <is>
          <t>해외사업환산조정</t>
        </is>
      </c>
      <c r="C139" s="22" t="n">
        <v>1004</v>
      </c>
      <c r="D139" s="22" t="n">
        <v>1382</v>
      </c>
      <c r="E139" s="22" t="n">
        <v>-2051</v>
      </c>
      <c r="F139" s="22" t="n">
        <v>86</v>
      </c>
      <c r="G139" s="22" t="n">
        <v>3235</v>
      </c>
      <c r="H139" s="22" t="n">
        <v>-3920</v>
      </c>
      <c r="I139" s="22" t="n">
        <v>2882</v>
      </c>
      <c r="J139" s="22" t="n">
        <v>-3</v>
      </c>
      <c r="K139" s="22" t="n">
        <v>-1596</v>
      </c>
      <c r="L139" s="22" t="n">
        <v>275</v>
      </c>
      <c r="M139" s="22" t="n">
        <v>-37</v>
      </c>
      <c r="N139" s="22" t="n">
        <v>-64</v>
      </c>
      <c r="U139" s="22" t="n">
        <v>-1428</v>
      </c>
      <c r="V139" s="22" t="n">
        <v>-2051</v>
      </c>
      <c r="W139" s="22" t="n">
        <v>2882</v>
      </c>
      <c r="X139" s="22" t="n">
        <v>-37</v>
      </c>
    </row>
    <row r="140">
      <c r="A140" s="20" t="inlineStr">
        <is>
          <t>퇴직급여 조정액</t>
        </is>
      </c>
      <c r="C140" s="22" t="n">
        <v>-7</v>
      </c>
      <c r="D140" s="22" t="n">
        <v>-7</v>
      </c>
      <c r="E140" s="22" t="n">
        <v>303</v>
      </c>
      <c r="F140" s="22" t="n">
        <v>-23</v>
      </c>
      <c r="G140" s="22" t="n">
        <v>-24</v>
      </c>
      <c r="H140" s="22" t="n">
        <v>-24</v>
      </c>
      <c r="I140" s="22" t="n">
        <v>8</v>
      </c>
      <c r="J140" s="22" t="n">
        <v>-31</v>
      </c>
      <c r="K140" s="22" t="n">
        <v>-32</v>
      </c>
      <c r="L140" s="22" t="n">
        <v>-31</v>
      </c>
      <c r="M140" s="22" t="n">
        <v>295</v>
      </c>
      <c r="N140" s="22" t="n">
        <v>-36</v>
      </c>
      <c r="U140" s="22" t="n">
        <v>17</v>
      </c>
      <c r="V140" s="22" t="n">
        <v>303</v>
      </c>
      <c r="W140" s="22" t="n">
        <v>8</v>
      </c>
      <c r="X140" s="22" t="n">
        <v>295</v>
      </c>
    </row>
    <row r="141">
      <c r="A141" s="20" t="inlineStr">
        <is>
          <t>지분법 적용회사 지분 해당액</t>
        </is>
      </c>
      <c r="C141" s="22" t="n">
        <v>15</v>
      </c>
      <c r="D141" s="22" t="n">
        <v>15</v>
      </c>
      <c r="E141" s="22" t="n">
        <v>-17</v>
      </c>
      <c r="F141" s="22" t="n">
        <v>26</v>
      </c>
      <c r="G141" s="22" t="n">
        <v>37</v>
      </c>
      <c r="H141" s="22" t="n">
        <v>-50</v>
      </c>
      <c r="I141" s="22" t="n">
        <v>39</v>
      </c>
      <c r="J141" s="22" t="n">
        <v>-35</v>
      </c>
      <c r="K141" s="22" t="n">
        <v>-13</v>
      </c>
      <c r="L141" s="22" t="n">
        <v>24</v>
      </c>
      <c r="M141" s="22" t="n">
        <v>56</v>
      </c>
      <c r="N141" s="22" t="n">
        <v>27</v>
      </c>
      <c r="U141" s="22" t="n">
        <v>-37</v>
      </c>
      <c r="V141" s="22" t="n">
        <v>-17</v>
      </c>
      <c r="W141" s="22" t="n">
        <v>39</v>
      </c>
      <c r="X141" s="22" t="n">
        <v>56</v>
      </c>
    </row>
    <row r="142">
      <c r="A142" s="20" t="inlineStr">
        <is>
          <t>기타포괄손익 합계</t>
        </is>
      </c>
      <c r="C142" s="22" t="n">
        <v>1015</v>
      </c>
      <c r="D142" s="22" t="n">
        <v>1382</v>
      </c>
      <c r="E142" s="22" t="n">
        <v>-1657</v>
      </c>
      <c r="F142" s="22" t="n">
        <v>149</v>
      </c>
      <c r="G142" s="22" t="n">
        <v>3155</v>
      </c>
      <c r="H142" s="22" t="n">
        <v>-4033</v>
      </c>
      <c r="I142" s="22" t="n">
        <v>2858</v>
      </c>
      <c r="J142" s="22" t="n">
        <v>-34</v>
      </c>
      <c r="K142" s="22" t="n">
        <v>-1549</v>
      </c>
      <c r="L142" s="22" t="n">
        <v>138</v>
      </c>
      <c r="M142" s="22" t="n">
        <v>370</v>
      </c>
      <c r="N142" s="22" t="n">
        <v>-114</v>
      </c>
      <c r="U142" s="22" t="n">
        <v>-1411</v>
      </c>
      <c r="V142" s="22" t="n">
        <v>-1657</v>
      </c>
      <c r="W142" s="22" t="n">
        <v>2858</v>
      </c>
      <c r="X142" s="22" t="n">
        <v>370</v>
      </c>
    </row>
    <row r="143">
      <c r="A143" s="9" t="inlineStr">
        <is>
          <t>포괄이익</t>
        </is>
      </c>
      <c r="C143" s="12" t="n">
        <v>1967</v>
      </c>
      <c r="D143" s="12" t="n">
        <v>1055</v>
      </c>
      <c r="E143" s="12" t="n">
        <v>-1705</v>
      </c>
      <c r="F143" s="12" t="n">
        <v>557</v>
      </c>
      <c r="G143" s="12" t="n">
        <v>2305</v>
      </c>
      <c r="H143" s="12" t="n">
        <v>-2166</v>
      </c>
      <c r="I143" s="12" t="n">
        <v>2242</v>
      </c>
      <c r="J143" s="12" t="n">
        <v>-37</v>
      </c>
      <c r="K143" s="12" t="n">
        <v>-1507</v>
      </c>
      <c r="L143" s="12" t="n">
        <v>1694</v>
      </c>
      <c r="M143" s="12" t="n">
        <v>1298</v>
      </c>
      <c r="N143" s="12" t="n">
        <v>840</v>
      </c>
      <c r="U143" s="12" t="n">
        <v>-867</v>
      </c>
      <c r="V143" s="12" t="n">
        <v>-1705</v>
      </c>
      <c r="W143" s="12" t="n">
        <v>2242</v>
      </c>
      <c r="X143" s="12" t="n">
        <v>1298</v>
      </c>
    </row>
    <row r="144">
      <c r="A144" s="9" t="inlineStr">
        <is>
          <t>지배주주 포괄이익</t>
        </is>
      </c>
      <c r="C144" s="12" t="n">
        <v>1960</v>
      </c>
      <c r="D144" s="12" t="n">
        <v>1040</v>
      </c>
      <c r="E144" s="12" t="n">
        <v>-1705</v>
      </c>
      <c r="F144" s="12" t="n">
        <v>550</v>
      </c>
      <c r="G144" s="12" t="n">
        <v>2301</v>
      </c>
      <c r="H144" s="12" t="n">
        <v>-2169</v>
      </c>
      <c r="I144" s="12" t="n">
        <v>2237</v>
      </c>
      <c r="J144" s="12" t="n">
        <v>-35</v>
      </c>
      <c r="K144" s="12" t="n">
        <v>-1506</v>
      </c>
      <c r="L144" s="12" t="n">
        <v>1692</v>
      </c>
      <c r="M144" s="12" t="n">
        <v>1287</v>
      </c>
      <c r="N144" s="12" t="n">
        <v>838</v>
      </c>
      <c r="U144" s="12" t="n">
        <v>-858</v>
      </c>
      <c r="V144" s="12" t="n">
        <v>-1705</v>
      </c>
      <c r="W144" s="12" t="n">
        <v>2237</v>
      </c>
      <c r="X144" s="12" t="n">
        <v>1287</v>
      </c>
    </row>
    <row r="145">
      <c r="A145" s="9" t="inlineStr">
        <is>
          <t>비지배주주 포괄이익</t>
        </is>
      </c>
      <c r="C145" s="12" t="n">
        <v>6</v>
      </c>
      <c r="D145" s="12" t="n">
        <v>16</v>
      </c>
      <c r="E145" s="12" t="n">
        <v>-1</v>
      </c>
      <c r="F145" s="12" t="n">
        <v>6</v>
      </c>
      <c r="G145" s="12" t="n">
        <v>4</v>
      </c>
      <c r="H145" s="12" t="n">
        <v>3</v>
      </c>
      <c r="I145" s="12" t="n">
        <v>5</v>
      </c>
      <c r="J145" s="12" t="n">
        <v>-1</v>
      </c>
      <c r="K145" s="12" t="n">
        <v>-1</v>
      </c>
      <c r="L145" s="12" t="n">
        <v>1</v>
      </c>
      <c r="M145" s="12" t="n">
        <v>11</v>
      </c>
      <c r="N145" s="12" t="n">
        <v>2</v>
      </c>
      <c r="U145" s="12" t="n">
        <v>-10</v>
      </c>
      <c r="V145" s="12" t="n">
        <v>-1</v>
      </c>
      <c r="W145" s="12" t="n">
        <v>5</v>
      </c>
      <c r="X145" s="12" t="n">
        <v>11</v>
      </c>
    </row>
    <row r="147">
      <c r="A147" s="18" t="inlineStr">
        <is>
          <t>현금흐름표 · 전 항목</t>
        </is>
      </c>
      <c r="B147" s="44" t="inlineStr">
        <is>
          <t>분기 = 결산기 첫날부터 누계(공시 그대로)</t>
        </is>
      </c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2024.2Q</t>
        </is>
      </c>
      <c r="D148" s="5" t="inlineStr">
        <is>
          <t>2024.3Q</t>
        </is>
      </c>
      <c r="E148" s="5" t="inlineStr">
        <is>
          <t>2024.4Q</t>
        </is>
      </c>
      <c r="F148" s="5" t="inlineStr">
        <is>
          <t>2025.1Q</t>
        </is>
      </c>
      <c r="G148" s="5" t="inlineStr">
        <is>
          <t>2025.2Q</t>
        </is>
      </c>
      <c r="H148" s="5" t="inlineStr">
        <is>
          <t>2025.3Q</t>
        </is>
      </c>
      <c r="I148" s="5" t="inlineStr">
        <is>
          <t>2025.4Q</t>
        </is>
      </c>
      <c r="J148" s="5" t="inlineStr">
        <is>
          <t>2026.1Q</t>
        </is>
      </c>
      <c r="K148" s="5" t="inlineStr">
        <is>
          <t>2026.2Q</t>
        </is>
      </c>
      <c r="L148" s="5" t="inlineStr">
        <is>
          <t>2026.3Q</t>
        </is>
      </c>
      <c r="M148" s="5" t="inlineStr">
        <is>
          <t>2026.4Q</t>
        </is>
      </c>
      <c r="N148" s="5" t="inlineStr">
        <is>
          <t>2027.1Q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9" t="inlineStr">
        <is>
          <t>법인세차감전 순이익</t>
        </is>
      </c>
      <c r="C149" s="12" t="n">
        <v>2468</v>
      </c>
      <c r="E149" s="12" t="n">
        <v>2568</v>
      </c>
      <c r="G149" s="12" t="n">
        <v>-242</v>
      </c>
      <c r="I149" s="12" t="n">
        <v>1709</v>
      </c>
      <c r="K149" s="12" t="n">
        <v>356</v>
      </c>
      <c r="M149" s="12" t="n">
        <v>3437</v>
      </c>
      <c r="O149" s="12" t="n">
        <v>5135.972</v>
      </c>
      <c r="P149" s="12" t="n">
        <v>4277.603</v>
      </c>
      <c r="Q149" s="12" t="n">
        <v>4416.397</v>
      </c>
      <c r="R149" s="12" t="n">
        <v>3289.011</v>
      </c>
      <c r="S149" s="12" t="n">
        <v>1951.413</v>
      </c>
      <c r="T149" s="12" t="n">
        <v>3535.228</v>
      </c>
      <c r="U149" s="12" t="n">
        <v>5809</v>
      </c>
      <c r="V149" s="12" t="n">
        <v>2568</v>
      </c>
      <c r="W149" s="12" t="n">
        <v>1709</v>
      </c>
      <c r="X149" s="12" t="n">
        <v>3437</v>
      </c>
    </row>
    <row r="150">
      <c r="A150" s="20" t="inlineStr">
        <is>
          <t>감가상각비</t>
        </is>
      </c>
      <c r="C150" s="22" t="n">
        <v>1258</v>
      </c>
      <c r="E150" s="22" t="n">
        <v>3104</v>
      </c>
      <c r="G150" s="22" t="n">
        <v>1731</v>
      </c>
      <c r="I150" s="22" t="n">
        <v>3572</v>
      </c>
      <c r="K150" s="22" t="n">
        <v>1625</v>
      </c>
      <c r="M150" s="22" t="n">
        <v>3317</v>
      </c>
      <c r="O150" s="22" t="n">
        <v>1344.227</v>
      </c>
      <c r="P150" s="22" t="n">
        <v>1966.287</v>
      </c>
      <c r="Q150" s="22" t="n">
        <v>2181.892</v>
      </c>
      <c r="R150" s="22" t="n">
        <v>2217.892</v>
      </c>
      <c r="S150" s="22" t="n">
        <v>2057.926</v>
      </c>
      <c r="T150" s="22" t="n">
        <v>2628.426</v>
      </c>
      <c r="U150" s="22" t="n">
        <v>2717</v>
      </c>
      <c r="V150" s="22" t="n">
        <v>3104</v>
      </c>
      <c r="W150" s="22" t="n">
        <v>3572</v>
      </c>
      <c r="X150" s="22" t="n">
        <v>3317</v>
      </c>
    </row>
    <row r="151">
      <c r="A151" s="20" t="inlineStr">
        <is>
          <t>손상차손</t>
        </is>
      </c>
      <c r="C151" s="22" t="n">
        <v>341</v>
      </c>
      <c r="E151" s="22" t="n">
        <v>351</v>
      </c>
      <c r="G151" s="22" t="n">
        <v>227</v>
      </c>
      <c r="I151" s="22" t="n">
        <v>226</v>
      </c>
      <c r="K151" s="22" t="n">
        <v>0</v>
      </c>
      <c r="M151" s="22" t="n">
        <v>0</v>
      </c>
      <c r="O151" s="22" t="n">
        <v>0</v>
      </c>
      <c r="P151" s="22" t="n">
        <v>69.91800000000001</v>
      </c>
      <c r="Q151" s="22" t="n">
        <v>0</v>
      </c>
      <c r="U151" s="22" t="n">
        <v>0</v>
      </c>
      <c r="V151" s="22" t="n">
        <v>351</v>
      </c>
      <c r="W151" s="22" t="n">
        <v>226</v>
      </c>
      <c r="X151" s="22" t="n">
        <v>0</v>
      </c>
    </row>
    <row r="152">
      <c r="A152" s="20" t="inlineStr">
        <is>
          <t>상여충당금 증감</t>
        </is>
      </c>
      <c r="C152" s="22" t="n">
        <v>8</v>
      </c>
      <c r="E152" s="22" t="n">
        <v>-78</v>
      </c>
      <c r="G152" s="22" t="n">
        <v>67</v>
      </c>
      <c r="I152" s="22" t="n">
        <v>24</v>
      </c>
      <c r="K152" s="22" t="n">
        <v>121</v>
      </c>
      <c r="M152" s="22" t="n">
        <v>229</v>
      </c>
      <c r="O152" s="22" t="n">
        <v>130.142</v>
      </c>
      <c r="P152" s="22" t="n">
        <v>-18.116</v>
      </c>
      <c r="Q152" s="22" t="n">
        <v>-172.533</v>
      </c>
      <c r="R152" s="22" t="n">
        <v>37.489</v>
      </c>
      <c r="S152" s="22" t="n">
        <v>87.56999999999999</v>
      </c>
      <c r="T152" s="22" t="n">
        <v>56.873</v>
      </c>
      <c r="U152" s="22" t="n">
        <v>-59</v>
      </c>
      <c r="V152" s="22" t="n">
        <v>-78</v>
      </c>
      <c r="W152" s="22" t="n">
        <v>24</v>
      </c>
      <c r="X152" s="22" t="n">
        <v>229</v>
      </c>
    </row>
    <row r="153">
      <c r="A153" s="20" t="inlineStr">
        <is>
          <t>임원 상여충당금 증감</t>
        </is>
      </c>
      <c r="S153" s="22" t="n">
        <v>0</v>
      </c>
      <c r="T153" s="22" t="n">
        <v>32.804</v>
      </c>
      <c r="U153" s="22" t="n">
        <v>63.456</v>
      </c>
    </row>
    <row r="154">
      <c r="A154" s="20" t="inlineStr">
        <is>
          <t>대손충당금 증감</t>
        </is>
      </c>
      <c r="C154" s="22" t="n">
        <v>353</v>
      </c>
      <c r="E154" s="22" t="n">
        <v>393</v>
      </c>
      <c r="G154" s="22" t="n">
        <v>-190</v>
      </c>
      <c r="I154" s="22" t="n">
        <v>-41</v>
      </c>
      <c r="K154" s="22" t="n">
        <v>-14</v>
      </c>
      <c r="M154" s="22" t="n">
        <v>258</v>
      </c>
      <c r="Q154" s="22" t="n">
        <v>0</v>
      </c>
      <c r="R154" s="22" t="n">
        <v>491</v>
      </c>
      <c r="S154" s="22" t="n">
        <v>152</v>
      </c>
      <c r="T154" s="22" t="n">
        <v>1784.018</v>
      </c>
      <c r="U154" s="22" t="n">
        <v>489</v>
      </c>
      <c r="V154" s="22" t="n">
        <v>393</v>
      </c>
      <c r="W154" s="22" t="n">
        <v>-41</v>
      </c>
      <c r="X154" s="22" t="n">
        <v>258</v>
      </c>
    </row>
    <row r="155">
      <c r="A155" s="20" t="inlineStr">
        <is>
          <t>퇴직급여자산 증감</t>
        </is>
      </c>
      <c r="C155" s="22" t="n">
        <v>-15</v>
      </c>
      <c r="E155" s="22" t="n">
        <v>-38</v>
      </c>
      <c r="G155" s="22" t="n">
        <v>-23</v>
      </c>
      <c r="I155" s="22" t="n">
        <v>-47</v>
      </c>
      <c r="K155" s="22" t="n">
        <v>-14</v>
      </c>
      <c r="M155" s="22" t="n">
        <v>-28</v>
      </c>
      <c r="O155" s="22" t="n">
        <v>-102.708</v>
      </c>
      <c r="P155" s="22" t="n">
        <v>-28.764</v>
      </c>
      <c r="Q155" s="22" t="n">
        <v>-34.199</v>
      </c>
      <c r="R155" s="22" t="n">
        <v>-57.706</v>
      </c>
      <c r="S155" s="22" t="n">
        <v>-29.512</v>
      </c>
      <c r="T155" s="22" t="n">
        <v>-39.998</v>
      </c>
      <c r="U155" s="22" t="n">
        <v>-42</v>
      </c>
      <c r="V155" s="22" t="n">
        <v>-38</v>
      </c>
      <c r="W155" s="22" t="n">
        <v>-47</v>
      </c>
      <c r="X155" s="22" t="n">
        <v>-28</v>
      </c>
    </row>
    <row r="156">
      <c r="A156" s="20" t="inlineStr">
        <is>
          <t>퇴직급여부채 증감</t>
        </is>
      </c>
      <c r="O156" s="22" t="n">
        <v>0.061</v>
      </c>
      <c r="P156" s="22" t="n">
        <v>0.112</v>
      </c>
      <c r="Q156" s="22" t="n">
        <v>0.035</v>
      </c>
      <c r="R156" s="22" t="n">
        <v>0.262</v>
      </c>
      <c r="S156" s="22" t="n">
        <v>0.172</v>
      </c>
      <c r="T156" s="22" t="n">
        <v>0.927</v>
      </c>
      <c r="U156" s="22" t="n">
        <v>0.09</v>
      </c>
    </row>
    <row r="157">
      <c r="A157" s="20" t="inlineStr">
        <is>
          <t>이자·배당금 수익</t>
        </is>
      </c>
      <c r="C157" s="22" t="n">
        <v>-86</v>
      </c>
      <c r="E157" s="22" t="n">
        <v>-151</v>
      </c>
      <c r="G157" s="22" t="n">
        <v>-51</v>
      </c>
      <c r="I157" s="22" t="n">
        <v>-100</v>
      </c>
      <c r="K157" s="22" t="n">
        <v>-60</v>
      </c>
      <c r="M157" s="22" t="n">
        <v>-99</v>
      </c>
      <c r="O157" s="22" t="n">
        <v>-18.456</v>
      </c>
      <c r="P157" s="22" t="n">
        <v>-32.356</v>
      </c>
      <c r="Q157" s="22" t="n">
        <v>-60.299</v>
      </c>
      <c r="R157" s="22" t="n">
        <v>-90.598</v>
      </c>
      <c r="S157" s="22" t="n">
        <v>-83.277</v>
      </c>
      <c r="T157" s="22" t="n">
        <v>-70.252</v>
      </c>
      <c r="U157" s="22" t="n">
        <v>-88</v>
      </c>
      <c r="V157" s="22" t="n">
        <v>-151</v>
      </c>
      <c r="W157" s="22" t="n">
        <v>-100</v>
      </c>
      <c r="X157" s="22" t="n">
        <v>-99</v>
      </c>
    </row>
    <row r="158">
      <c r="A158" s="20" t="inlineStr">
        <is>
          <t>상각채권 추심이익</t>
        </is>
      </c>
      <c r="E158" s="22" t="n">
        <v>0</v>
      </c>
      <c r="G158" s="22" t="n">
        <v>0</v>
      </c>
      <c r="I158" s="22" t="n">
        <v>-74</v>
      </c>
      <c r="K158" s="22" t="n">
        <v>-2</v>
      </c>
      <c r="M158" s="22" t="n">
        <v>-9</v>
      </c>
      <c r="V158" s="22" t="n">
        <v>0</v>
      </c>
      <c r="W158" s="22" t="n">
        <v>-74</v>
      </c>
      <c r="X158" s="22" t="n">
        <v>-9</v>
      </c>
    </row>
    <row r="159">
      <c r="A159" s="20" t="inlineStr">
        <is>
          <t>이자비용</t>
        </is>
      </c>
      <c r="C159" s="22" t="n">
        <v>251</v>
      </c>
      <c r="E159" s="22" t="n">
        <v>546</v>
      </c>
      <c r="G159" s="22" t="n">
        <v>260</v>
      </c>
      <c r="I159" s="22" t="n">
        <v>510</v>
      </c>
      <c r="K159" s="22" t="n">
        <v>226</v>
      </c>
      <c r="M159" s="22" t="n">
        <v>453</v>
      </c>
      <c r="O159" s="22" t="n">
        <v>6.391</v>
      </c>
      <c r="P159" s="22" t="n">
        <v>7.392</v>
      </c>
      <c r="Q159" s="22" t="n">
        <v>12.913</v>
      </c>
      <c r="R159" s="22" t="n">
        <v>41.294</v>
      </c>
      <c r="S159" s="22" t="n">
        <v>53.881</v>
      </c>
      <c r="T159" s="22" t="n">
        <v>83.062</v>
      </c>
      <c r="U159" s="22" t="n">
        <v>283</v>
      </c>
      <c r="V159" s="22" t="n">
        <v>546</v>
      </c>
      <c r="W159" s="22" t="n">
        <v>510</v>
      </c>
      <c r="X159" s="22" t="n">
        <v>453</v>
      </c>
    </row>
    <row r="160">
      <c r="A160" s="20" t="inlineStr">
        <is>
          <t>파생상품 평가손익</t>
        </is>
      </c>
      <c r="C160" s="22" t="n">
        <v>470</v>
      </c>
      <c r="E160" s="22" t="n">
        <v>636</v>
      </c>
      <c r="G160" s="22" t="n">
        <v>-159</v>
      </c>
      <c r="I160" s="22" t="n">
        <v>46</v>
      </c>
      <c r="K160" s="22" t="n">
        <v>-1</v>
      </c>
      <c r="M160" s="22" t="n">
        <v>301</v>
      </c>
      <c r="S160" s="22" t="n">
        <v>0</v>
      </c>
      <c r="T160" s="22" t="n">
        <v>222.396</v>
      </c>
      <c r="U160" s="22" t="n">
        <v>154</v>
      </c>
      <c r="V160" s="22" t="n">
        <v>636</v>
      </c>
      <c r="W160" s="22" t="n">
        <v>46</v>
      </c>
      <c r="X160" s="22" t="n">
        <v>301</v>
      </c>
    </row>
    <row r="161">
      <c r="A161" s="20" t="inlineStr">
        <is>
          <t>외환차손익</t>
        </is>
      </c>
      <c r="C161" s="22" t="n">
        <v>132</v>
      </c>
      <c r="E161" s="22" t="n">
        <v>104</v>
      </c>
      <c r="G161" s="22" t="n">
        <v>-106</v>
      </c>
      <c r="I161" s="22" t="n">
        <v>-69</v>
      </c>
      <c r="K161" s="22" t="n">
        <v>141</v>
      </c>
      <c r="M161" s="22" t="n">
        <v>-122</v>
      </c>
      <c r="O161" s="22" t="n">
        <v>68.202</v>
      </c>
      <c r="P161" s="22" t="n">
        <v>81.02800000000001</v>
      </c>
      <c r="Q161" s="22" t="n">
        <v>14.726</v>
      </c>
      <c r="R161" s="22" t="n">
        <v>23.502</v>
      </c>
      <c r="S161" s="22" t="n">
        <v>-23.708</v>
      </c>
      <c r="T161" s="22" t="n">
        <v>93.56999999999999</v>
      </c>
      <c r="U161" s="22" t="n">
        <v>-366</v>
      </c>
      <c r="V161" s="22" t="n">
        <v>104</v>
      </c>
      <c r="W161" s="22" t="n">
        <v>-69</v>
      </c>
      <c r="X161" s="22" t="n">
        <v>-122</v>
      </c>
    </row>
    <row r="162">
      <c r="A162" s="20" t="inlineStr">
        <is>
          <t>Loss On Valuation Of Advance Payments Ope CF</t>
        </is>
      </c>
      <c r="S162" s="22" t="n">
        <v>0</v>
      </c>
      <c r="T162" s="22" t="n">
        <v>546.271</v>
      </c>
      <c r="U162" s="22" t="n">
        <v>0</v>
      </c>
    </row>
    <row r="163">
      <c r="A163" s="20" t="inlineStr">
        <is>
          <t>보조금 수입</t>
        </is>
      </c>
      <c r="E163" s="22" t="n">
        <v>0</v>
      </c>
      <c r="I163" s="22" t="n">
        <v>-1247</v>
      </c>
      <c r="M163" s="22" t="n">
        <v>0</v>
      </c>
      <c r="O163" s="22" t="n">
        <v>-100</v>
      </c>
      <c r="P163" s="22" t="n">
        <v>0</v>
      </c>
      <c r="Q163" s="22" t="n">
        <v>-239.769</v>
      </c>
      <c r="R163" s="22" t="n">
        <v>-714</v>
      </c>
      <c r="S163" s="22" t="n">
        <v>-32.773</v>
      </c>
      <c r="T163" s="22" t="n">
        <v>0</v>
      </c>
      <c r="V163" s="22" t="n">
        <v>0</v>
      </c>
      <c r="W163" s="22" t="n">
        <v>-1247</v>
      </c>
      <c r="X163" s="22" t="n">
        <v>0</v>
      </c>
    </row>
    <row r="164">
      <c r="A164" s="20" t="inlineStr">
        <is>
          <t>고정자산 매각이익</t>
        </is>
      </c>
      <c r="E164" s="22" t="n">
        <v>0</v>
      </c>
      <c r="I164" s="22" t="n">
        <v>-15</v>
      </c>
      <c r="M164" s="22" t="n">
        <v>0</v>
      </c>
      <c r="T164" s="22" t="n">
        <v>0</v>
      </c>
      <c r="U164" s="22" t="n">
        <v>-32</v>
      </c>
      <c r="V164" s="22" t="n">
        <v>0</v>
      </c>
      <c r="W164" s="22" t="n">
        <v>-15</v>
      </c>
      <c r="X164" s="22" t="n">
        <v>0</v>
      </c>
    </row>
    <row r="165">
      <c r="A165" s="20" t="inlineStr">
        <is>
          <t>고정자산 제각손실</t>
        </is>
      </c>
      <c r="C165" s="22" t="n">
        <v>0</v>
      </c>
      <c r="E165" s="22" t="n">
        <v>22</v>
      </c>
      <c r="G165" s="22" t="n">
        <v>31</v>
      </c>
      <c r="I165" s="22" t="n">
        <v>34</v>
      </c>
      <c r="K165" s="22" t="n">
        <v>12</v>
      </c>
      <c r="M165" s="22" t="n">
        <v>94</v>
      </c>
      <c r="S165" s="22" t="n">
        <v>28.171</v>
      </c>
      <c r="T165" s="22" t="n">
        <v>114.476</v>
      </c>
      <c r="U165" s="22" t="n">
        <v>192</v>
      </c>
      <c r="V165" s="22" t="n">
        <v>22</v>
      </c>
      <c r="W165" s="22" t="n">
        <v>34</v>
      </c>
      <c r="X165" s="22" t="n">
        <v>94</v>
      </c>
    </row>
    <row r="166">
      <c r="A166" s="20" t="inlineStr">
        <is>
          <t>지분법손익</t>
        </is>
      </c>
      <c r="C166" s="22" t="n">
        <v>-40</v>
      </c>
      <c r="E166" s="22" t="n">
        <v>-11</v>
      </c>
      <c r="G166" s="22" t="n">
        <v>-44</v>
      </c>
      <c r="I166" s="22" t="n">
        <v>-68</v>
      </c>
      <c r="K166" s="22" t="n">
        <v>-26</v>
      </c>
      <c r="M166" s="22" t="n">
        <v>-107</v>
      </c>
      <c r="O166" s="22" t="n">
        <v>82.581</v>
      </c>
      <c r="P166" s="22" t="n">
        <v>201.469</v>
      </c>
      <c r="Q166" s="22" t="n">
        <v>88.88</v>
      </c>
      <c r="R166" s="22" t="n">
        <v>17.108</v>
      </c>
      <c r="S166" s="22" t="n">
        <v>-8.69</v>
      </c>
      <c r="T166" s="22" t="n">
        <v>-177.419</v>
      </c>
      <c r="U166" s="22" t="n">
        <v>-19</v>
      </c>
      <c r="V166" s="22" t="n">
        <v>-11</v>
      </c>
      <c r="W166" s="22" t="n">
        <v>-68</v>
      </c>
      <c r="X166" s="22" t="n">
        <v>-107</v>
      </c>
    </row>
    <row r="167">
      <c r="A167" s="20" t="inlineStr">
        <is>
          <t>투자유가증권 매각손익</t>
        </is>
      </c>
      <c r="I167" s="22" t="n">
        <v>0</v>
      </c>
      <c r="M167" s="22" t="n">
        <v>-267</v>
      </c>
      <c r="O167" s="22" t="n">
        <v>-41.097</v>
      </c>
      <c r="P167" s="22" t="n">
        <v>-0.9429999999999999</v>
      </c>
      <c r="Q167" s="22" t="n">
        <v>0</v>
      </c>
      <c r="W167" s="22" t="n">
        <v>0</v>
      </c>
      <c r="X167" s="22" t="n">
        <v>-267</v>
      </c>
    </row>
    <row r="168">
      <c r="A168" s="20" t="inlineStr">
        <is>
          <t>매출채권 증감</t>
        </is>
      </c>
      <c r="C168" s="22" t="n">
        <v>-320</v>
      </c>
      <c r="E168" s="22" t="n">
        <v>161</v>
      </c>
      <c r="G168" s="22" t="n">
        <v>707</v>
      </c>
      <c r="I168" s="22" t="n">
        <v>711</v>
      </c>
      <c r="K168" s="22" t="n">
        <v>-10</v>
      </c>
      <c r="M168" s="22" t="n">
        <v>-372</v>
      </c>
      <c r="O168" s="22" t="n">
        <v>-146.107</v>
      </c>
      <c r="P168" s="22" t="n">
        <v>-992.842</v>
      </c>
      <c r="Q168" s="22" t="n">
        <v>289.168</v>
      </c>
      <c r="R168" s="22" t="n">
        <v>255.972</v>
      </c>
      <c r="S168" s="22" t="n">
        <v>-1045.322</v>
      </c>
      <c r="T168" s="22" t="n">
        <v>233.173</v>
      </c>
      <c r="U168" s="22" t="n">
        <v>-655</v>
      </c>
      <c r="V168" s="22" t="n">
        <v>161</v>
      </c>
      <c r="W168" s="22" t="n">
        <v>711</v>
      </c>
      <c r="X168" s="22" t="n">
        <v>-372</v>
      </c>
    </row>
    <row r="169">
      <c r="A169" s="20" t="inlineStr">
        <is>
          <t>재고자산 증감</t>
        </is>
      </c>
      <c r="C169" s="22" t="n">
        <v>403</v>
      </c>
      <c r="E169" s="22" t="n">
        <v>312</v>
      </c>
      <c r="G169" s="22" t="n">
        <v>-2168</v>
      </c>
      <c r="I169" s="22" t="n">
        <v>1042</v>
      </c>
      <c r="K169" s="22" t="n">
        <v>-1829</v>
      </c>
      <c r="M169" s="22" t="n">
        <v>-2037</v>
      </c>
      <c r="O169" s="22" t="n">
        <v>-355.757</v>
      </c>
      <c r="P169" s="22" t="n">
        <v>-2929.989</v>
      </c>
      <c r="Q169" s="22" t="n">
        <v>-2622.296</v>
      </c>
      <c r="R169" s="22" t="n">
        <v>364.468</v>
      </c>
      <c r="S169" s="22" t="n">
        <v>2185.517</v>
      </c>
      <c r="T169" s="22" t="n">
        <v>-3095.44</v>
      </c>
      <c r="U169" s="22" t="n">
        <v>-2278</v>
      </c>
      <c r="V169" s="22" t="n">
        <v>312</v>
      </c>
      <c r="W169" s="22" t="n">
        <v>1042</v>
      </c>
      <c r="X169" s="22" t="n">
        <v>-2037</v>
      </c>
    </row>
    <row r="170">
      <c r="A170" s="20" t="inlineStr">
        <is>
          <t>미지급·미수 소비세 등 증감액</t>
        </is>
      </c>
      <c r="C170" s="22" t="n">
        <v>-402</v>
      </c>
      <c r="E170" s="22" t="n">
        <v>-642</v>
      </c>
      <c r="G170" s="22" t="n">
        <v>306</v>
      </c>
      <c r="I170" s="22" t="n">
        <v>317</v>
      </c>
      <c r="K170" s="22" t="n">
        <v>-22</v>
      </c>
      <c r="M170" s="22" t="n">
        <v>-448</v>
      </c>
      <c r="O170" s="22" t="n">
        <v>-159.915</v>
      </c>
      <c r="P170" s="22" t="n">
        <v>-224.758</v>
      </c>
      <c r="Q170" s="22" t="n">
        <v>-211.554</v>
      </c>
      <c r="R170" s="22" t="n">
        <v>24.259</v>
      </c>
      <c r="S170" s="22" t="n">
        <v>401.356</v>
      </c>
      <c r="T170" s="22" t="n">
        <v>-354.264</v>
      </c>
      <c r="U170" s="22" t="n">
        <v>-165</v>
      </c>
      <c r="V170" s="22" t="n">
        <v>-642</v>
      </c>
      <c r="W170" s="22" t="n">
        <v>317</v>
      </c>
      <c r="X170" s="22" t="n">
        <v>-448</v>
      </c>
    </row>
    <row r="171">
      <c r="A171" s="20" t="inlineStr">
        <is>
          <t>매입채무 증감</t>
        </is>
      </c>
      <c r="C171" s="22" t="n">
        <v>-224</v>
      </c>
      <c r="E171" s="22" t="n">
        <v>137</v>
      </c>
      <c r="G171" s="22" t="n">
        <v>183</v>
      </c>
      <c r="I171" s="22" t="n">
        <v>-715</v>
      </c>
      <c r="K171" s="22" t="n">
        <v>634</v>
      </c>
      <c r="M171" s="22" t="n">
        <v>828</v>
      </c>
      <c r="O171" s="22" t="n">
        <v>-319.409</v>
      </c>
      <c r="P171" s="22" t="n">
        <v>240.609</v>
      </c>
      <c r="Q171" s="22" t="n">
        <v>-183.128</v>
      </c>
      <c r="R171" s="22" t="n">
        <v>-383.956</v>
      </c>
      <c r="S171" s="22" t="n">
        <v>1241.051</v>
      </c>
      <c r="T171" s="22" t="n">
        <v>-1777.456</v>
      </c>
      <c r="U171" s="22" t="n">
        <v>-278</v>
      </c>
      <c r="V171" s="22" t="n">
        <v>137</v>
      </c>
      <c r="W171" s="22" t="n">
        <v>-715</v>
      </c>
      <c r="X171" s="22" t="n">
        <v>828</v>
      </c>
    </row>
    <row r="172">
      <c r="A172" s="20" t="inlineStr">
        <is>
          <t>미지급금·미지급비용 증감</t>
        </is>
      </c>
      <c r="C172" s="22" t="n">
        <v>-158</v>
      </c>
      <c r="E172" s="22" t="n">
        <v>59</v>
      </c>
      <c r="G172" s="22" t="n">
        <v>-373</v>
      </c>
      <c r="I172" s="22" t="n">
        <v>-311</v>
      </c>
      <c r="K172" s="22" t="n">
        <v>70</v>
      </c>
      <c r="M172" s="22" t="n">
        <v>202</v>
      </c>
      <c r="O172" s="22" t="n">
        <v>126.728</v>
      </c>
      <c r="P172" s="22" t="n">
        <v>-16.591</v>
      </c>
      <c r="Q172" s="22" t="n">
        <v>282.786</v>
      </c>
      <c r="R172" s="22" t="n">
        <v>-269.537</v>
      </c>
      <c r="S172" s="22" t="n">
        <v>75.494</v>
      </c>
      <c r="T172" s="22" t="n">
        <v>150.651</v>
      </c>
      <c r="U172" s="22" t="n">
        <v>-232</v>
      </c>
      <c r="V172" s="22" t="n">
        <v>59</v>
      </c>
      <c r="W172" s="22" t="n">
        <v>-311</v>
      </c>
      <c r="X172" s="22" t="n">
        <v>202</v>
      </c>
    </row>
    <row r="173">
      <c r="A173" s="20" t="inlineStr">
        <is>
          <t>기타</t>
        </is>
      </c>
      <c r="C173" s="22" t="n">
        <v>51</v>
      </c>
      <c r="E173" s="22" t="n">
        <v>155</v>
      </c>
      <c r="G173" s="22" t="n">
        <v>-751</v>
      </c>
      <c r="I173" s="22" t="n">
        <v>-627</v>
      </c>
      <c r="K173" s="22" t="n">
        <v>83</v>
      </c>
      <c r="M173" s="22" t="n">
        <v>289</v>
      </c>
      <c r="O173" s="22" t="n">
        <v>50.613</v>
      </c>
      <c r="P173" s="22" t="n">
        <v>-122.846</v>
      </c>
      <c r="Q173" s="22" t="n">
        <v>-20.223</v>
      </c>
      <c r="R173" s="22" t="n">
        <v>291.516</v>
      </c>
      <c r="S173" s="22" t="n">
        <v>-340.8</v>
      </c>
      <c r="T173" s="22" t="n">
        <v>-83.485</v>
      </c>
      <c r="U173" s="22" t="n">
        <v>746</v>
      </c>
      <c r="V173" s="22" t="n">
        <v>155</v>
      </c>
      <c r="W173" s="22" t="n">
        <v>-627</v>
      </c>
      <c r="X173" s="22" t="n">
        <v>289</v>
      </c>
    </row>
    <row r="174">
      <c r="A174" s="20" t="inlineStr">
        <is>
          <t>소계</t>
        </is>
      </c>
      <c r="C174" s="22" t="n">
        <v>4493</v>
      </c>
      <c r="E174" s="22" t="n">
        <v>7632</v>
      </c>
      <c r="G174" s="22" t="n">
        <v>-595</v>
      </c>
      <c r="I174" s="22" t="n">
        <v>4875</v>
      </c>
      <c r="K174" s="22" t="n">
        <v>1290</v>
      </c>
      <c r="M174" s="22" t="n">
        <v>5919</v>
      </c>
      <c r="O174" s="22" t="n">
        <v>5701.468</v>
      </c>
      <c r="P174" s="22" t="n">
        <v>2477.211</v>
      </c>
      <c r="Q174" s="22" t="n">
        <v>3742.797</v>
      </c>
      <c r="R174" s="22" t="n">
        <v>5537.978</v>
      </c>
      <c r="S174" s="22" t="n">
        <v>6670.469</v>
      </c>
      <c r="T174" s="22" t="n">
        <v>3883.564</v>
      </c>
      <c r="U174" s="22" t="n">
        <v>6174</v>
      </c>
      <c r="V174" s="22" t="n">
        <v>7632</v>
      </c>
      <c r="W174" s="22" t="n">
        <v>4875</v>
      </c>
      <c r="X174" s="22" t="n">
        <v>5919</v>
      </c>
    </row>
    <row r="175">
      <c r="A175" s="20" t="inlineStr">
        <is>
          <t>이자·배당금 수취</t>
        </is>
      </c>
      <c r="C175" s="22" t="n">
        <v>86</v>
      </c>
      <c r="E175" s="22" t="n">
        <v>151</v>
      </c>
      <c r="G175" s="22" t="n">
        <v>51</v>
      </c>
      <c r="I175" s="22" t="n">
        <v>98</v>
      </c>
      <c r="K175" s="22" t="n">
        <v>62</v>
      </c>
      <c r="M175" s="22" t="n">
        <v>101</v>
      </c>
      <c r="O175" s="22" t="n">
        <v>18.769</v>
      </c>
      <c r="P175" s="22" t="n">
        <v>31.575</v>
      </c>
      <c r="Q175" s="22" t="n">
        <v>60.309</v>
      </c>
      <c r="R175" s="22" t="n">
        <v>90.548</v>
      </c>
      <c r="S175" s="22" t="n">
        <v>83.261</v>
      </c>
      <c r="T175" s="22" t="n">
        <v>70.32599999999999</v>
      </c>
      <c r="U175" s="22" t="n">
        <v>87</v>
      </c>
      <c r="V175" s="22" t="n">
        <v>151</v>
      </c>
      <c r="W175" s="22" t="n">
        <v>98</v>
      </c>
      <c r="X175" s="22" t="n">
        <v>101</v>
      </c>
    </row>
    <row r="176">
      <c r="A176" s="20" t="inlineStr">
        <is>
          <t>지분법 적용 회사로부터의 배당금 수령액</t>
        </is>
      </c>
      <c r="I176" s="22" t="n">
        <v>0</v>
      </c>
      <c r="M176" s="22" t="n">
        <v>46</v>
      </c>
      <c r="W176" s="22" t="n">
        <v>0</v>
      </c>
      <c r="X176" s="22" t="n">
        <v>46</v>
      </c>
    </row>
    <row r="177">
      <c r="A177" s="20" t="inlineStr">
        <is>
          <t>이자 지급</t>
        </is>
      </c>
      <c r="C177" s="22" t="n">
        <v>-251</v>
      </c>
      <c r="E177" s="22" t="n">
        <v>-537</v>
      </c>
      <c r="G177" s="22" t="n">
        <v>-257</v>
      </c>
      <c r="I177" s="22" t="n">
        <v>-394</v>
      </c>
      <c r="K177" s="22" t="n">
        <v>-242</v>
      </c>
      <c r="M177" s="22" t="n">
        <v>-465</v>
      </c>
      <c r="O177" s="22" t="n">
        <v>-6.973</v>
      </c>
      <c r="P177" s="22" t="n">
        <v>-7.274</v>
      </c>
      <c r="Q177" s="22" t="n">
        <v>-9.763999999999999</v>
      </c>
      <c r="R177" s="22" t="n">
        <v>-42.546</v>
      </c>
      <c r="S177" s="22" t="n">
        <v>-54.16</v>
      </c>
      <c r="T177" s="22" t="n">
        <v>-83.212</v>
      </c>
      <c r="U177" s="22" t="n">
        <v>-287</v>
      </c>
      <c r="V177" s="22" t="n">
        <v>-537</v>
      </c>
      <c r="W177" s="22" t="n">
        <v>-394</v>
      </c>
      <c r="X177" s="22" t="n">
        <v>-465</v>
      </c>
    </row>
    <row r="178">
      <c r="A178" s="20" t="inlineStr">
        <is>
          <t>법인세 납부</t>
        </is>
      </c>
      <c r="C178" s="22" t="n">
        <v>-1046</v>
      </c>
      <c r="E178" s="22" t="n">
        <v>-1936</v>
      </c>
      <c r="G178" s="22" t="n">
        <v>-419</v>
      </c>
      <c r="I178" s="22" t="n">
        <v>-1081</v>
      </c>
      <c r="K178" s="22" t="n">
        <v>-68</v>
      </c>
      <c r="M178" s="22" t="n">
        <v>-444</v>
      </c>
      <c r="O178" s="22" t="n">
        <v>-1460.559</v>
      </c>
      <c r="P178" s="22" t="n">
        <v>-1727.319</v>
      </c>
      <c r="Q178" s="22" t="n">
        <v>-1151.536</v>
      </c>
      <c r="R178" s="22" t="n">
        <v>-1297.757</v>
      </c>
      <c r="S178" s="22" t="n">
        <v>-1040.763</v>
      </c>
      <c r="T178" s="22" t="n">
        <v>-638.8200000000001</v>
      </c>
      <c r="U178" s="22" t="n">
        <v>-2080</v>
      </c>
      <c r="V178" s="22" t="n">
        <v>-1936</v>
      </c>
      <c r="W178" s="22" t="n">
        <v>-1081</v>
      </c>
      <c r="X178" s="22" t="n">
        <v>-444</v>
      </c>
    </row>
    <row r="179">
      <c r="A179" s="9" t="inlineStr">
        <is>
          <t>영업활동 현금흐름</t>
        </is>
      </c>
      <c r="C179" s="12" t="n">
        <v>3281</v>
      </c>
      <c r="E179" s="12" t="n">
        <v>5310</v>
      </c>
      <c r="G179" s="12" t="n">
        <v>-1220</v>
      </c>
      <c r="I179" s="12" t="n">
        <v>3498</v>
      </c>
      <c r="K179" s="12" t="n">
        <v>1041</v>
      </c>
      <c r="M179" s="12" t="n">
        <v>5157</v>
      </c>
      <c r="O179" s="12" t="n">
        <v>4252.704</v>
      </c>
      <c r="P179" s="12" t="n">
        <v>774.193</v>
      </c>
      <c r="Q179" s="12" t="n">
        <v>2641.805</v>
      </c>
      <c r="R179" s="12" t="n">
        <v>4288.222</v>
      </c>
      <c r="S179" s="12" t="n">
        <v>5658.807</v>
      </c>
      <c r="T179" s="12" t="n">
        <v>3231.858</v>
      </c>
      <c r="U179" s="12" t="n">
        <v>3893</v>
      </c>
      <c r="V179" s="12" t="n">
        <v>5310</v>
      </c>
      <c r="W179" s="12" t="n">
        <v>3498</v>
      </c>
      <c r="X179" s="12" t="n">
        <v>5157</v>
      </c>
    </row>
    <row r="180">
      <c r="A180" s="20" t="inlineStr">
        <is>
          <t>단기대여금 순증감</t>
        </is>
      </c>
      <c r="E180" s="22" t="n">
        <v>0</v>
      </c>
      <c r="P180" s="22" t="n">
        <v>0</v>
      </c>
      <c r="Q180" s="22" t="n">
        <v>-1.35</v>
      </c>
      <c r="R180" s="22" t="n">
        <v>0</v>
      </c>
      <c r="S180" s="22" t="n">
        <v>0</v>
      </c>
      <c r="T180" s="22" t="n">
        <v>30</v>
      </c>
      <c r="U180" s="22" t="n">
        <v>80</v>
      </c>
      <c r="V180" s="22" t="n">
        <v>0</v>
      </c>
    </row>
    <row r="181">
      <c r="A181" s="20" t="inlineStr">
        <is>
          <t>Purchase Of Long Term Advance Payments Other Inv CF</t>
        </is>
      </c>
      <c r="P181" s="22" t="n">
        <v>0</v>
      </c>
      <c r="Q181" s="22" t="n">
        <v>-2447.727</v>
      </c>
      <c r="R181" s="22" t="n">
        <v>0</v>
      </c>
    </row>
    <row r="182">
      <c r="A182" s="20" t="inlineStr">
        <is>
          <t>정기예금 예입</t>
        </is>
      </c>
      <c r="C182" s="22" t="n">
        <v>0</v>
      </c>
      <c r="E182" s="22" t="n">
        <v>0</v>
      </c>
      <c r="Q182" s="22" t="n">
        <v>0</v>
      </c>
      <c r="R182" s="22" t="n">
        <v>-410.01</v>
      </c>
      <c r="S182" s="22" t="n">
        <v>-345</v>
      </c>
      <c r="T182" s="22" t="n">
        <v>-479.385</v>
      </c>
      <c r="U182" s="22" t="n">
        <v>-725</v>
      </c>
      <c r="V182" s="22" t="n">
        <v>0</v>
      </c>
    </row>
    <row r="183">
      <c r="A183" s="20" t="inlineStr">
        <is>
          <t>정기예금 인출</t>
        </is>
      </c>
      <c r="C183" s="22" t="n">
        <v>716</v>
      </c>
      <c r="E183" s="22" t="n">
        <v>736</v>
      </c>
      <c r="G183" s="22" t="n">
        <v>0</v>
      </c>
      <c r="I183" s="22" t="n">
        <v>0</v>
      </c>
      <c r="R183" s="22" t="n">
        <v>0</v>
      </c>
      <c r="S183" s="22" t="n">
        <v>522.1</v>
      </c>
      <c r="T183" s="22" t="n">
        <v>228.96</v>
      </c>
      <c r="U183" s="22" t="n">
        <v>585</v>
      </c>
      <c r="V183" s="22" t="n">
        <v>736</v>
      </c>
      <c r="W183" s="22" t="n">
        <v>0</v>
      </c>
    </row>
    <row r="184">
      <c r="A184" s="20" t="inlineStr">
        <is>
          <t>유형자산 취득(설비투자)</t>
        </is>
      </c>
      <c r="C184" s="22" t="n">
        <v>-2785</v>
      </c>
      <c r="E184" s="22" t="n">
        <v>-3814</v>
      </c>
      <c r="G184" s="22" t="n">
        <v>-435</v>
      </c>
      <c r="I184" s="22" t="n">
        <v>-1218</v>
      </c>
      <c r="K184" s="22" t="n">
        <v>-1149</v>
      </c>
      <c r="M184" s="22" t="n">
        <v>-1741</v>
      </c>
      <c r="O184" s="22" t="n">
        <v>-2486.062</v>
      </c>
      <c r="P184" s="22" t="n">
        <v>-2813.636</v>
      </c>
      <c r="Q184" s="22" t="n">
        <v>-3403.105</v>
      </c>
      <c r="R184" s="22" t="n">
        <v>-8358.708000000001</v>
      </c>
      <c r="S184" s="22" t="n">
        <v>-6886.206</v>
      </c>
      <c r="T184" s="22" t="n">
        <v>-3382.345</v>
      </c>
      <c r="U184" s="22" t="n">
        <v>-4274</v>
      </c>
      <c r="V184" s="22" t="n">
        <v>-3814</v>
      </c>
      <c r="W184" s="22" t="n">
        <v>-1218</v>
      </c>
      <c r="X184" s="22" t="n">
        <v>-1741</v>
      </c>
    </row>
    <row r="185">
      <c r="A185" s="20" t="inlineStr">
        <is>
          <t>유형자산 매각</t>
        </is>
      </c>
      <c r="E185" s="22" t="n">
        <v>0</v>
      </c>
      <c r="I185" s="22" t="n">
        <v>15</v>
      </c>
      <c r="M185" s="22" t="n">
        <v>0</v>
      </c>
      <c r="T185" s="22" t="n">
        <v>0</v>
      </c>
      <c r="U185" s="22" t="n">
        <v>35</v>
      </c>
      <c r="V185" s="22" t="n">
        <v>0</v>
      </c>
      <c r="W185" s="22" t="n">
        <v>15</v>
      </c>
      <c r="X185" s="22" t="n">
        <v>0</v>
      </c>
    </row>
    <row r="186">
      <c r="A186" s="20" t="inlineStr">
        <is>
          <t>무형자산 취득</t>
        </is>
      </c>
      <c r="C186" s="22" t="n">
        <v>-197</v>
      </c>
      <c r="E186" s="22" t="n">
        <v>-569</v>
      </c>
      <c r="G186" s="22" t="n">
        <v>-264</v>
      </c>
      <c r="I186" s="22" t="n">
        <v>-407</v>
      </c>
      <c r="K186" s="22" t="n">
        <v>-17</v>
      </c>
      <c r="M186" s="22" t="n">
        <v>-83</v>
      </c>
      <c r="O186" s="22" t="n">
        <v>-160.825</v>
      </c>
      <c r="P186" s="22" t="n">
        <v>-89.169</v>
      </c>
      <c r="Q186" s="22" t="n">
        <v>-85.617</v>
      </c>
      <c r="R186" s="22" t="n">
        <v>-242.665</v>
      </c>
      <c r="S186" s="22" t="n">
        <v>-129.296</v>
      </c>
      <c r="T186" s="22" t="n">
        <v>-411.064</v>
      </c>
      <c r="U186" s="22" t="n">
        <v>-145</v>
      </c>
      <c r="V186" s="22" t="n">
        <v>-569</v>
      </c>
      <c r="W186" s="22" t="n">
        <v>-407</v>
      </c>
      <c r="X186" s="22" t="n">
        <v>-83</v>
      </c>
    </row>
    <row r="187">
      <c r="A187" s="20" t="inlineStr">
        <is>
          <t>장기선급비용 지출</t>
        </is>
      </c>
      <c r="C187" s="22" t="n">
        <v>-46</v>
      </c>
      <c r="E187" s="22" t="n">
        <v>71</v>
      </c>
      <c r="G187" s="22" t="n">
        <v>0</v>
      </c>
      <c r="I187" s="22" t="n">
        <v>-123</v>
      </c>
      <c r="M187" s="22" t="n">
        <v>-53</v>
      </c>
      <c r="O187" s="22" t="n">
        <v>-19.326</v>
      </c>
      <c r="P187" s="22" t="n">
        <v>-5.591</v>
      </c>
      <c r="Q187" s="22" t="n">
        <v>-580.939</v>
      </c>
      <c r="R187" s="22" t="n">
        <v>-95.38200000000001</v>
      </c>
      <c r="S187" s="22" t="n">
        <v>-23.274</v>
      </c>
      <c r="T187" s="22" t="n">
        <v>-21.043</v>
      </c>
      <c r="V187" s="22" t="n">
        <v>71</v>
      </c>
      <c r="W187" s="22" t="n">
        <v>-123</v>
      </c>
      <c r="X187" s="22" t="n">
        <v>-53</v>
      </c>
    </row>
    <row r="188">
      <c r="A188" s="20" t="inlineStr">
        <is>
          <t>투자유가증권 취득</t>
        </is>
      </c>
      <c r="C188" s="22" t="n">
        <v>-6</v>
      </c>
      <c r="E188" s="22" t="n">
        <v>-13</v>
      </c>
      <c r="G188" s="22" t="n">
        <v>-4</v>
      </c>
      <c r="I188" s="22" t="n">
        <v>-9</v>
      </c>
      <c r="K188" s="22" t="n">
        <v>-5</v>
      </c>
      <c r="M188" s="22" t="n">
        <v>-35</v>
      </c>
      <c r="O188" s="22" t="n">
        <v>-3.038</v>
      </c>
      <c r="P188" s="22" t="n">
        <v>-8.226000000000001</v>
      </c>
      <c r="Q188" s="22" t="n">
        <v>-9.571999999999999</v>
      </c>
      <c r="R188" s="22" t="n">
        <v>-9.867000000000001</v>
      </c>
      <c r="S188" s="22" t="n">
        <v>-10.267</v>
      </c>
      <c r="T188" s="22" t="n">
        <v>-51.114</v>
      </c>
      <c r="U188" s="22" t="n">
        <v>-12</v>
      </c>
      <c r="V188" s="22" t="n">
        <v>-13</v>
      </c>
      <c r="W188" s="22" t="n">
        <v>-9</v>
      </c>
      <c r="X188" s="22" t="n">
        <v>-35</v>
      </c>
    </row>
    <row r="189">
      <c r="A189" s="20" t="inlineStr">
        <is>
          <t>대여</t>
        </is>
      </c>
      <c r="O189" s="22" t="n">
        <v>0</v>
      </c>
      <c r="P189" s="22" t="n">
        <v>-445</v>
      </c>
      <c r="Q189" s="22" t="n">
        <v>-1</v>
      </c>
      <c r="R189" s="22" t="n">
        <v>-42.6</v>
      </c>
      <c r="S189" s="22" t="n">
        <v>-21</v>
      </c>
      <c r="T189" s="22" t="n">
        <v>-0.5</v>
      </c>
    </row>
    <row r="190">
      <c r="A190" s="20" t="inlineStr">
        <is>
          <t>대여금 회수</t>
        </is>
      </c>
      <c r="O190" s="22" t="n">
        <v>4.089</v>
      </c>
      <c r="P190" s="22" t="n">
        <v>2.956</v>
      </c>
      <c r="Q190" s="22" t="n">
        <v>6.422</v>
      </c>
      <c r="R190" s="22" t="n">
        <v>1.356</v>
      </c>
      <c r="S190" s="22" t="n">
        <v>2.505</v>
      </c>
      <c r="T190" s="22" t="n">
        <v>1.221</v>
      </c>
    </row>
    <row r="191">
      <c r="A191" s="20" t="inlineStr">
        <is>
          <t>보조금 수취</t>
        </is>
      </c>
      <c r="O191" s="22" t="n">
        <v>100</v>
      </c>
      <c r="P191" s="22" t="n">
        <v>0</v>
      </c>
      <c r="Q191" s="22" t="n">
        <v>239.769</v>
      </c>
    </row>
    <row r="192">
      <c r="A192" s="20" t="inlineStr">
        <is>
          <t>관계회사 주식 취득</t>
        </is>
      </c>
      <c r="S192" s="22" t="n">
        <v>0</v>
      </c>
      <c r="T192" s="22" t="n">
        <v>-271.678</v>
      </c>
      <c r="U192" s="22" t="n">
        <v>0</v>
      </c>
    </row>
    <row r="193">
      <c r="A193" s="20" t="inlineStr">
        <is>
          <t>임차보증금·보증금 회수</t>
        </is>
      </c>
      <c r="S193" s="22" t="n">
        <v>3.417</v>
      </c>
      <c r="T193" s="22" t="n">
        <v>-2.11</v>
      </c>
    </row>
    <row r="194">
      <c r="A194" s="20" t="inlineStr">
        <is>
          <t>투자유가증권 매각</t>
        </is>
      </c>
      <c r="I194" s="22" t="n">
        <v>0</v>
      </c>
      <c r="M194" s="22" t="n">
        <v>360</v>
      </c>
      <c r="O194" s="22" t="n">
        <v>74.39700000000001</v>
      </c>
      <c r="P194" s="22" t="n">
        <v>16.063</v>
      </c>
      <c r="Q194" s="22" t="n">
        <v>0</v>
      </c>
      <c r="W194" s="22" t="n">
        <v>0</v>
      </c>
      <c r="X194" s="22" t="n">
        <v>360</v>
      </c>
    </row>
    <row r="195">
      <c r="A195" s="20" t="inlineStr">
        <is>
          <t>장기대여</t>
        </is>
      </c>
      <c r="C195" s="22" t="n">
        <v>-1</v>
      </c>
      <c r="E195" s="22" t="n">
        <v>-4</v>
      </c>
      <c r="G195" s="22" t="n">
        <v>-0</v>
      </c>
      <c r="I195" s="22" t="n">
        <v>-0</v>
      </c>
      <c r="K195" s="22" t="n">
        <v>-6</v>
      </c>
      <c r="M195" s="22" t="n">
        <v>-8</v>
      </c>
      <c r="T195" s="22" t="n">
        <v>-0.5</v>
      </c>
      <c r="U195" s="22" t="n">
        <v>-261</v>
      </c>
      <c r="V195" s="22" t="n">
        <v>-4</v>
      </c>
      <c r="W195" s="22" t="n">
        <v>-0</v>
      </c>
      <c r="X195" s="22" t="n">
        <v>-8</v>
      </c>
    </row>
    <row r="196">
      <c r="A196" s="20" t="inlineStr">
        <is>
          <t>장기대여금 회수</t>
        </is>
      </c>
      <c r="C196" s="22" t="n">
        <v>40</v>
      </c>
      <c r="G196" s="22" t="n">
        <v>2</v>
      </c>
      <c r="K196" s="22" t="n">
        <v>2</v>
      </c>
    </row>
    <row r="197">
      <c r="A197" s="20" t="inlineStr">
        <is>
          <t>보조금 수취</t>
        </is>
      </c>
      <c r="C197" s="22" t="n">
        <v>0</v>
      </c>
      <c r="E197" s="22" t="n">
        <v>0</v>
      </c>
      <c r="I197" s="22" t="n">
        <v>1247</v>
      </c>
      <c r="M197" s="22" t="n">
        <v>0</v>
      </c>
      <c r="Q197" s="22" t="n">
        <v>239.769</v>
      </c>
      <c r="R197" s="22" t="n">
        <v>0</v>
      </c>
      <c r="S197" s="22" t="n">
        <v>432.773</v>
      </c>
      <c r="T197" s="22" t="n">
        <v>200</v>
      </c>
      <c r="U197" s="22" t="n">
        <v>114</v>
      </c>
      <c r="V197" s="22" t="n">
        <v>0</v>
      </c>
      <c r="W197" s="22" t="n">
        <v>1247</v>
      </c>
      <c r="X197" s="22" t="n">
        <v>0</v>
      </c>
    </row>
    <row r="198">
      <c r="A198" s="20" t="inlineStr">
        <is>
          <t>기타</t>
        </is>
      </c>
      <c r="C198" s="22" t="n">
        <v>-27</v>
      </c>
      <c r="E198" s="22" t="n">
        <v>146</v>
      </c>
      <c r="G198" s="22" t="n">
        <v>-138</v>
      </c>
      <c r="I198" s="22" t="n">
        <v>-53</v>
      </c>
      <c r="K198" s="22" t="n">
        <v>-54</v>
      </c>
      <c r="M198" s="22" t="n">
        <v>79</v>
      </c>
      <c r="O198" s="22" t="n">
        <v>-1.372</v>
      </c>
      <c r="P198" s="22" t="n">
        <v>-82.76900000000001</v>
      </c>
      <c r="Q198" s="22" t="n">
        <v>-105.927</v>
      </c>
      <c r="R198" s="22" t="n">
        <v>22.512</v>
      </c>
      <c r="S198" s="22" t="n">
        <v>5.289</v>
      </c>
      <c r="T198" s="22" t="n">
        <v>-82.491</v>
      </c>
      <c r="U198" s="22" t="n">
        <v>180</v>
      </c>
      <c r="V198" s="22" t="n">
        <v>146</v>
      </c>
      <c r="W198" s="22" t="n">
        <v>-53</v>
      </c>
      <c r="X198" s="22" t="n">
        <v>79</v>
      </c>
    </row>
    <row r="199">
      <c r="A199" s="9" t="inlineStr">
        <is>
          <t>투자활동 현금흐름</t>
        </is>
      </c>
      <c r="C199" s="12" t="n">
        <v>-2308</v>
      </c>
      <c r="E199" s="12" t="n">
        <v>-3447</v>
      </c>
      <c r="G199" s="12" t="n">
        <v>-841</v>
      </c>
      <c r="I199" s="12" t="n">
        <v>-551</v>
      </c>
      <c r="K199" s="12" t="n">
        <v>-1230</v>
      </c>
      <c r="M199" s="12" t="n">
        <v>-1482</v>
      </c>
      <c r="O199" s="12" t="n">
        <v>-2492.139</v>
      </c>
      <c r="P199" s="12" t="n">
        <v>-3425.373</v>
      </c>
      <c r="Q199" s="12" t="n">
        <v>-6389.048</v>
      </c>
      <c r="R199" s="12" t="n">
        <v>-9135.365</v>
      </c>
      <c r="S199" s="12" t="n">
        <v>-6448.959</v>
      </c>
      <c r="T199" s="12" t="n">
        <v>-4219.619</v>
      </c>
      <c r="U199" s="12" t="n">
        <v>-4423</v>
      </c>
      <c r="V199" s="12" t="n">
        <v>-3447</v>
      </c>
      <c r="W199" s="12" t="n">
        <v>-551</v>
      </c>
      <c r="X199" s="12" t="n">
        <v>-1482</v>
      </c>
    </row>
    <row r="200">
      <c r="A200" s="20" t="inlineStr">
        <is>
          <t>단기차입금 순증감</t>
        </is>
      </c>
      <c r="C200" s="22" t="n">
        <v>-1400</v>
      </c>
      <c r="E200" s="22" t="n">
        <v>-1600</v>
      </c>
      <c r="G200" s="22" t="n">
        <v>2200</v>
      </c>
      <c r="I200" s="22" t="n">
        <v>-500</v>
      </c>
      <c r="K200" s="22" t="n">
        <v>600</v>
      </c>
      <c r="M200" s="22" t="n">
        <v>1900</v>
      </c>
      <c r="O200" s="22" t="n">
        <v>-300</v>
      </c>
      <c r="P200" s="22" t="n">
        <v>-100</v>
      </c>
      <c r="Q200" s="22" t="n">
        <v>600</v>
      </c>
      <c r="R200" s="22" t="n">
        <v>400</v>
      </c>
      <c r="S200" s="22" t="n">
        <v>-91.90600000000001</v>
      </c>
      <c r="T200" s="22" t="n">
        <v>1400</v>
      </c>
      <c r="U200" s="22" t="n">
        <v>-500</v>
      </c>
      <c r="V200" s="22" t="n">
        <v>-1600</v>
      </c>
      <c r="W200" s="22" t="n">
        <v>-500</v>
      </c>
      <c r="X200" s="22" t="n">
        <v>1900</v>
      </c>
    </row>
    <row r="201">
      <c r="A201" s="20" t="inlineStr">
        <is>
          <t>장기차입</t>
        </is>
      </c>
      <c r="C201" s="22" t="n">
        <v>3785</v>
      </c>
      <c r="E201" s="22" t="n">
        <v>3785</v>
      </c>
      <c r="G201" s="22" t="n">
        <v>1000</v>
      </c>
      <c r="I201" s="22" t="n">
        <v>3000</v>
      </c>
      <c r="K201" s="22" t="n">
        <v>2000</v>
      </c>
      <c r="M201" s="22" t="n">
        <v>3300</v>
      </c>
      <c r="O201" s="22" t="n">
        <v>2600</v>
      </c>
      <c r="P201" s="22" t="n">
        <v>2700</v>
      </c>
      <c r="Q201" s="22" t="n">
        <v>7500</v>
      </c>
      <c r="R201" s="22" t="n">
        <v>8100</v>
      </c>
      <c r="S201" s="22" t="n">
        <v>6000</v>
      </c>
      <c r="T201" s="22" t="n">
        <v>2341.53</v>
      </c>
      <c r="U201" s="22" t="n">
        <v>7120</v>
      </c>
      <c r="V201" s="22" t="n">
        <v>3785</v>
      </c>
      <c r="W201" s="22" t="n">
        <v>3000</v>
      </c>
      <c r="X201" s="22" t="n">
        <v>3300</v>
      </c>
    </row>
    <row r="202">
      <c r="A202" s="20" t="inlineStr">
        <is>
          <t>장기차입금 상환</t>
        </is>
      </c>
      <c r="C202" s="22" t="n">
        <v>-1655</v>
      </c>
      <c r="E202" s="22" t="n">
        <v>-3889</v>
      </c>
      <c r="G202" s="22" t="n">
        <v>-2569</v>
      </c>
      <c r="I202" s="22" t="n">
        <v>-5233</v>
      </c>
      <c r="K202" s="22" t="n">
        <v>-2554</v>
      </c>
      <c r="M202" s="22" t="n">
        <v>-5188</v>
      </c>
      <c r="O202" s="22" t="n">
        <v>-1440.51</v>
      </c>
      <c r="P202" s="22" t="n">
        <v>-1024.624</v>
      </c>
      <c r="Q202" s="22" t="n">
        <v>-1756.005</v>
      </c>
      <c r="R202" s="22" t="n">
        <v>-2630.074</v>
      </c>
      <c r="S202" s="22" t="n">
        <v>-2985.157</v>
      </c>
      <c r="T202" s="22" t="n">
        <v>-3150.157</v>
      </c>
      <c r="U202" s="22" t="n">
        <v>-3448</v>
      </c>
      <c r="V202" s="22" t="n">
        <v>-3889</v>
      </c>
      <c r="W202" s="22" t="n">
        <v>-5233</v>
      </c>
      <c r="X202" s="22" t="n">
        <v>-5188</v>
      </c>
    </row>
    <row r="203">
      <c r="A203" s="20" t="inlineStr">
        <is>
          <t>비지배주주 납입</t>
        </is>
      </c>
      <c r="P203" s="22" t="n">
        <v>0</v>
      </c>
      <c r="Q203" s="22" t="n">
        <v>0.001</v>
      </c>
      <c r="R203" s="22" t="n">
        <v>467.923</v>
      </c>
      <c r="S203" s="22" t="n">
        <v>0</v>
      </c>
    </row>
    <row r="204">
      <c r="A204" s="20" t="inlineStr">
        <is>
          <t>연결범위 변경 없는 자회사 주식 취득</t>
        </is>
      </c>
      <c r="C204" s="22" t="n">
        <v>0</v>
      </c>
      <c r="E204" s="22" t="n">
        <v>0</v>
      </c>
      <c r="G204" s="22" t="n">
        <v>-46</v>
      </c>
      <c r="I204" s="22" t="n">
        <v>-46</v>
      </c>
      <c r="K204" s="22" t="n">
        <v>0</v>
      </c>
      <c r="M204" s="22" t="n">
        <v>0</v>
      </c>
      <c r="O204" s="22" t="n">
        <v>-279.697</v>
      </c>
      <c r="P204" s="22" t="n">
        <v>0</v>
      </c>
      <c r="V204" s="22" t="n">
        <v>0</v>
      </c>
      <c r="W204" s="22" t="n">
        <v>-46</v>
      </c>
      <c r="X204" s="22" t="n">
        <v>0</v>
      </c>
    </row>
    <row r="205">
      <c r="A205" s="20" t="inlineStr">
        <is>
          <t>자기주식 취득</t>
        </is>
      </c>
      <c r="C205" s="22" t="n">
        <v>0</v>
      </c>
      <c r="E205" s="22" t="n">
        <v>0</v>
      </c>
      <c r="G205" s="22" t="n">
        <v>-113</v>
      </c>
      <c r="I205" s="22" t="n">
        <v>-113</v>
      </c>
      <c r="K205" s="22" t="n">
        <v>0</v>
      </c>
      <c r="M205" s="22" t="n">
        <v>-319</v>
      </c>
      <c r="O205" s="22" t="n">
        <v>-0.26</v>
      </c>
      <c r="P205" s="22" t="n">
        <v>0</v>
      </c>
      <c r="Q205" s="22" t="n">
        <v>-0.032</v>
      </c>
      <c r="R205" s="22" t="n">
        <v>0</v>
      </c>
      <c r="S205" s="22" t="n">
        <v>-0.041</v>
      </c>
      <c r="T205" s="22" t="n">
        <v>-0.096</v>
      </c>
      <c r="U205" s="22" t="n">
        <v>0</v>
      </c>
      <c r="V205" s="22" t="n">
        <v>0</v>
      </c>
      <c r="W205" s="22" t="n">
        <v>-113</v>
      </c>
      <c r="X205" s="22" t="n">
        <v>-319</v>
      </c>
    </row>
    <row r="206">
      <c r="A206" s="20" t="inlineStr">
        <is>
          <t>배당금 지급</t>
        </is>
      </c>
      <c r="C206" s="22" t="n">
        <v>-388</v>
      </c>
      <c r="E206" s="22" t="n">
        <v>-681</v>
      </c>
      <c r="G206" s="22" t="n">
        <v>-340</v>
      </c>
      <c r="I206" s="22" t="n">
        <v>-631</v>
      </c>
      <c r="K206" s="22" t="n">
        <v>-338</v>
      </c>
      <c r="M206" s="22" t="n">
        <v>-678</v>
      </c>
      <c r="O206" s="22" t="n">
        <v>-241.699</v>
      </c>
      <c r="P206" s="22" t="n">
        <v>-362.182</v>
      </c>
      <c r="Q206" s="22" t="n">
        <v>-435.082</v>
      </c>
      <c r="R206" s="22" t="n">
        <v>-460.06</v>
      </c>
      <c r="S206" s="22" t="n">
        <v>-437.216</v>
      </c>
      <c r="T206" s="22" t="n">
        <v>-558.189</v>
      </c>
      <c r="U206" s="22" t="n">
        <v>-679</v>
      </c>
      <c r="V206" s="22" t="n">
        <v>-681</v>
      </c>
      <c r="W206" s="22" t="n">
        <v>-631</v>
      </c>
      <c r="X206" s="22" t="n">
        <v>-678</v>
      </c>
    </row>
    <row r="207">
      <c r="A207" s="20" t="inlineStr">
        <is>
          <t>비지배주주 배당금 지급</t>
        </is>
      </c>
      <c r="C207" s="22" t="n">
        <v>-59</v>
      </c>
      <c r="E207" s="22" t="n">
        <v>-59</v>
      </c>
      <c r="G207" s="22" t="n">
        <v>0</v>
      </c>
      <c r="I207" s="22" t="n">
        <v>0</v>
      </c>
      <c r="K207" s="22" t="n">
        <v>-0</v>
      </c>
      <c r="M207" s="22" t="n">
        <v>-0</v>
      </c>
      <c r="S207" s="22" t="n">
        <v>0</v>
      </c>
      <c r="T207" s="22" t="n">
        <v>-41.159</v>
      </c>
      <c r="U207" s="22" t="n">
        <v>-37</v>
      </c>
      <c r="V207" s="22" t="n">
        <v>-59</v>
      </c>
      <c r="W207" s="22" t="n">
        <v>0</v>
      </c>
      <c r="X207" s="22" t="n">
        <v>-0</v>
      </c>
    </row>
    <row r="208">
      <c r="A208" s="9" t="inlineStr">
        <is>
          <t>재무활동 현금흐름</t>
        </is>
      </c>
      <c r="C208" s="12" t="n">
        <v>282</v>
      </c>
      <c r="E208" s="12" t="n">
        <v>-2444</v>
      </c>
      <c r="G208" s="12" t="n">
        <v>129</v>
      </c>
      <c r="I208" s="12" t="n">
        <v>-3525</v>
      </c>
      <c r="K208" s="12" t="n">
        <v>-293</v>
      </c>
      <c r="M208" s="12" t="n">
        <v>-986</v>
      </c>
      <c r="O208" s="12" t="n">
        <v>337.831</v>
      </c>
      <c r="P208" s="12" t="n">
        <v>1213.193</v>
      </c>
      <c r="Q208" s="12" t="n">
        <v>5908.88</v>
      </c>
      <c r="R208" s="12" t="n">
        <v>5877.788</v>
      </c>
      <c r="S208" s="12" t="n">
        <v>2485.678</v>
      </c>
      <c r="T208" s="12" t="n">
        <v>-8.071999999999999</v>
      </c>
      <c r="U208" s="12" t="n">
        <v>2454</v>
      </c>
      <c r="V208" s="12" t="n">
        <v>-2444</v>
      </c>
      <c r="W208" s="12" t="n">
        <v>-3525</v>
      </c>
      <c r="X208" s="12" t="n">
        <v>-986</v>
      </c>
    </row>
    <row r="209">
      <c r="A209" s="20" t="inlineStr">
        <is>
          <t>현금성자산 환산차이</t>
        </is>
      </c>
      <c r="C209" s="22" t="n">
        <v>-1293</v>
      </c>
      <c r="E209" s="22" t="n">
        <v>-1175</v>
      </c>
      <c r="G209" s="22" t="n">
        <v>1986</v>
      </c>
      <c r="I209" s="22" t="n">
        <v>1209</v>
      </c>
      <c r="K209" s="22" t="n">
        <v>-32</v>
      </c>
      <c r="M209" s="22" t="n">
        <v>-469</v>
      </c>
      <c r="O209" s="22" t="n">
        <v>-37.876</v>
      </c>
      <c r="P209" s="22" t="n">
        <v>15.785</v>
      </c>
      <c r="Q209" s="22" t="n">
        <v>-18.774</v>
      </c>
      <c r="R209" s="22" t="n">
        <v>32.278</v>
      </c>
      <c r="S209" s="22" t="n">
        <v>287.127</v>
      </c>
      <c r="T209" s="22" t="n">
        <v>-1297.771</v>
      </c>
      <c r="U209" s="22" t="n">
        <v>-210</v>
      </c>
      <c r="V209" s="22" t="n">
        <v>-1175</v>
      </c>
      <c r="W209" s="22" t="n">
        <v>1209</v>
      </c>
      <c r="X209" s="22" t="n">
        <v>-469</v>
      </c>
    </row>
    <row r="210">
      <c r="A210" s="20" t="inlineStr">
        <is>
          <t>현금성자산 증감</t>
        </is>
      </c>
      <c r="C210" s="22" t="n">
        <v>-38</v>
      </c>
      <c r="E210" s="22" t="n">
        <v>-1757</v>
      </c>
      <c r="G210" s="22" t="n">
        <v>54</v>
      </c>
      <c r="I210" s="22" t="n">
        <v>631</v>
      </c>
      <c r="K210" s="22" t="n">
        <v>-514</v>
      </c>
      <c r="M210" s="22" t="n">
        <v>2218</v>
      </c>
      <c r="O210" s="22" t="n">
        <v>2060.521</v>
      </c>
      <c r="P210" s="22" t="n">
        <v>-1422.201</v>
      </c>
      <c r="Q210" s="22" t="n">
        <v>2142.863</v>
      </c>
      <c r="R210" s="22" t="n">
        <v>1062.923</v>
      </c>
      <c r="S210" s="22" t="n">
        <v>1982.655</v>
      </c>
      <c r="T210" s="22" t="n">
        <v>-2293.605</v>
      </c>
      <c r="U210" s="22" t="n">
        <v>1713</v>
      </c>
      <c r="V210" s="22" t="n">
        <v>-1757</v>
      </c>
      <c r="W210" s="22" t="n">
        <v>631</v>
      </c>
      <c r="X210" s="22" t="n">
        <v>2218</v>
      </c>
    </row>
    <row r="211">
      <c r="A211" s="20" t="inlineStr">
        <is>
          <t>신규 연결 현금성자산 증가</t>
        </is>
      </c>
      <c r="S211" s="22" t="n">
        <v>0</v>
      </c>
      <c r="T211" s="22" t="n">
        <v>66.29900000000001</v>
      </c>
      <c r="U211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4082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30646</v>
      </c>
      <c r="D5" s="12" t="n">
        <v>32342</v>
      </c>
      <c r="E5" s="12" t="n">
        <v>35892</v>
      </c>
      <c r="F5" s="12" t="n">
        <v>36195</v>
      </c>
      <c r="G5" s="12" t="n">
        <v>35289</v>
      </c>
      <c r="H5" s="11" t="n">
        <v>28502.826</v>
      </c>
      <c r="I5" s="12" t="n">
        <v>33987</v>
      </c>
      <c r="J5" s="12" t="n">
        <v>32523</v>
      </c>
      <c r="K5" s="12" t="n">
        <v>31932</v>
      </c>
      <c r="L5" s="12" t="n">
        <v>36195</v>
      </c>
    </row>
    <row r="6">
      <c r="A6" s="20" t="inlineStr">
        <is>
          <t>현금및현금성자산</t>
        </is>
      </c>
      <c r="B6" s="10" t="n"/>
      <c r="C6" s="21" t="n">
        <v>8203</v>
      </c>
      <c r="D6" s="22" t="n">
        <v>8406</v>
      </c>
      <c r="E6" s="22" t="n">
        <v>8854</v>
      </c>
      <c r="F6" s="22" t="n">
        <v>11139</v>
      </c>
      <c r="G6" s="22" t="n">
        <v>9136</v>
      </c>
      <c r="H6" s="21" t="n">
        <v>8840.380999999999</v>
      </c>
      <c r="I6" s="22" t="n">
        <v>10750</v>
      </c>
      <c r="J6" s="22" t="n">
        <v>8289</v>
      </c>
      <c r="K6" s="22" t="n">
        <v>8920</v>
      </c>
      <c r="L6" s="22" t="n">
        <v>11139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>
        <v>0</v>
      </c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5941</v>
      </c>
      <c r="D8" s="22" t="n">
        <v>6332</v>
      </c>
      <c r="E8" s="22" t="n">
        <v>7140</v>
      </c>
      <c r="F8" s="22" t="n">
        <v>6633</v>
      </c>
      <c r="G8" s="22" t="n">
        <v>7060</v>
      </c>
      <c r="H8" s="21" t="n">
        <v>6025.223</v>
      </c>
      <c r="I8" s="22" t="n">
        <v>6623</v>
      </c>
      <c r="J8" s="22" t="n">
        <v>6814</v>
      </c>
      <c r="K8" s="22" t="n">
        <v>6233</v>
      </c>
      <c r="L8" s="22" t="n">
        <v>6633</v>
      </c>
    </row>
    <row r="9">
      <c r="A9" s="20" t="inlineStr">
        <is>
          <t>재고자산</t>
        </is>
      </c>
      <c r="B9" s="10" t="n"/>
      <c r="C9" s="21" t="n">
        <v>14180</v>
      </c>
      <c r="D9" s="22" t="n">
        <v>15282</v>
      </c>
      <c r="E9" s="22" t="n">
        <v>16908</v>
      </c>
      <c r="F9" s="22" t="n">
        <v>15748</v>
      </c>
      <c r="G9" s="22" t="n">
        <v>16976</v>
      </c>
      <c r="H9" s="21" t="n">
        <v>11815.191</v>
      </c>
      <c r="I9" s="22" t="n">
        <v>14439</v>
      </c>
      <c r="J9" s="22" t="n">
        <v>14319</v>
      </c>
      <c r="K9" s="22" t="n">
        <v>13613</v>
      </c>
      <c r="L9" s="22" t="n">
        <v>15748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31180</v>
      </c>
      <c r="D11" s="12" t="n">
        <v>30279</v>
      </c>
      <c r="E11" s="12" t="n">
        <v>29677</v>
      </c>
      <c r="F11" s="12" t="n">
        <v>30703</v>
      </c>
      <c r="G11" s="12" t="n">
        <v>30388</v>
      </c>
      <c r="H11" s="11" t="n">
        <v>29540.726</v>
      </c>
      <c r="I11" s="12" t="n">
        <v>32016</v>
      </c>
      <c r="J11" s="12" t="n">
        <v>33081</v>
      </c>
      <c r="K11" s="12" t="n">
        <v>32822</v>
      </c>
      <c r="L11" s="12" t="n">
        <v>30703</v>
      </c>
    </row>
    <row r="12">
      <c r="A12" s="20" t="inlineStr">
        <is>
          <t>유형자산</t>
        </is>
      </c>
      <c r="B12" s="10" t="n"/>
      <c r="C12" s="21" t="n">
        <v>25617</v>
      </c>
      <c r="D12" s="22" t="n">
        <v>24691</v>
      </c>
      <c r="E12" s="22" t="n">
        <v>24430</v>
      </c>
      <c r="F12" s="22" t="n">
        <v>24806</v>
      </c>
      <c r="G12" s="22" t="n">
        <v>24631</v>
      </c>
      <c r="H12" s="21" t="n">
        <v>24573.058</v>
      </c>
      <c r="I12" s="22" t="n">
        <v>27311</v>
      </c>
      <c r="J12" s="22" t="n">
        <v>27726</v>
      </c>
      <c r="K12" s="22" t="n">
        <v>26837</v>
      </c>
      <c r="L12" s="22" t="n">
        <v>24806</v>
      </c>
    </row>
    <row r="13">
      <c r="A13" s="20" t="inlineStr">
        <is>
          <t>무형자산</t>
        </is>
      </c>
      <c r="B13" s="10" t="n"/>
      <c r="C13" s="21" t="n">
        <v>964</v>
      </c>
      <c r="D13" s="22" t="n">
        <v>881</v>
      </c>
      <c r="E13" s="22" t="n">
        <v>876</v>
      </c>
      <c r="F13" s="22" t="n">
        <v>876</v>
      </c>
      <c r="G13" s="22" t="n">
        <v>866</v>
      </c>
      <c r="H13" s="21" t="n">
        <v>1385.494</v>
      </c>
      <c r="I13" s="22" t="n">
        <v>1280</v>
      </c>
      <c r="J13" s="22" t="n">
        <v>1490</v>
      </c>
      <c r="K13" s="22" t="n">
        <v>1746</v>
      </c>
      <c r="L13" s="22" t="n">
        <v>876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61827</v>
      </c>
      <c r="D16" s="12" t="n">
        <v>62622</v>
      </c>
      <c r="E16" s="12" t="n">
        <v>65570</v>
      </c>
      <c r="F16" s="12" t="n">
        <v>66898</v>
      </c>
      <c r="G16" s="12" t="n">
        <v>65678</v>
      </c>
      <c r="H16" s="11" t="n">
        <v>58043.553</v>
      </c>
      <c r="I16" s="12" t="n">
        <v>66004</v>
      </c>
      <c r="J16" s="12" t="n">
        <v>65605</v>
      </c>
      <c r="K16" s="12" t="n">
        <v>64754</v>
      </c>
      <c r="L16" s="12" t="n">
        <v>66898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8134</v>
      </c>
      <c r="D18" s="12" t="n">
        <v>9405</v>
      </c>
      <c r="E18" s="12" t="n">
        <v>11358</v>
      </c>
      <c r="F18" s="12" t="n">
        <v>12080</v>
      </c>
      <c r="G18" s="12" t="n">
        <v>9906</v>
      </c>
      <c r="H18" s="11" t="n">
        <v>10120.426</v>
      </c>
      <c r="I18" s="12" t="n">
        <v>10036</v>
      </c>
      <c r="J18" s="12" t="n">
        <v>9915</v>
      </c>
      <c r="K18" s="12" t="n">
        <v>8708</v>
      </c>
      <c r="L18" s="12" t="n">
        <v>12080</v>
      </c>
    </row>
    <row r="19">
      <c r="A19" s="20" t="inlineStr">
        <is>
          <t>매입채무</t>
        </is>
      </c>
      <c r="B19" s="10" t="n"/>
      <c r="C19" s="21" t="n">
        <v>869</v>
      </c>
      <c r="D19" s="22" t="n">
        <v>1403</v>
      </c>
      <c r="E19" s="22" t="n">
        <v>1135</v>
      </c>
      <c r="F19" s="22" t="n">
        <v>1950</v>
      </c>
      <c r="G19" s="22" t="n">
        <v>1791</v>
      </c>
      <c r="H19" s="21" t="n">
        <v>873.067</v>
      </c>
      <c r="I19" s="22" t="n">
        <v>977</v>
      </c>
      <c r="J19" s="22" t="n">
        <v>1474</v>
      </c>
      <c r="K19" s="22" t="n">
        <v>1179</v>
      </c>
      <c r="L19" s="22" t="n">
        <v>1950</v>
      </c>
    </row>
    <row r="20">
      <c r="A20" s="20" t="inlineStr">
        <is>
          <t>단기차입금</t>
        </is>
      </c>
      <c r="B20" s="10" t="n"/>
      <c r="C20" s="21" t="n">
        <v>300</v>
      </c>
      <c r="D20" s="22" t="n">
        <v>900</v>
      </c>
      <c r="E20" s="22" t="n">
        <v>2900</v>
      </c>
      <c r="F20" s="22" t="n">
        <v>2200</v>
      </c>
      <c r="G20" s="22" t="n">
        <v>500</v>
      </c>
      <c r="H20" s="21" t="n">
        <v>2900</v>
      </c>
      <c r="I20" s="22" t="n">
        <v>2400</v>
      </c>
      <c r="J20" s="22" t="n">
        <v>800</v>
      </c>
      <c r="K20" s="22" t="n">
        <v>300</v>
      </c>
      <c r="L20" s="22" t="n">
        <v>2200</v>
      </c>
    </row>
    <row r="21">
      <c r="A21" s="20" t="inlineStr">
        <is>
          <t>유동성장기부채</t>
        </is>
      </c>
      <c r="B21" s="10" t="n"/>
      <c r="C21" s="21" t="n">
        <v>4882</v>
      </c>
      <c r="D21" s="22" t="n">
        <v>5203</v>
      </c>
      <c r="E21" s="22" t="n">
        <v>5277</v>
      </c>
      <c r="F21" s="22" t="n">
        <v>5208</v>
      </c>
      <c r="G21" s="22" t="n">
        <v>5420</v>
      </c>
      <c r="H21" s="21" t="n">
        <v>3298.497</v>
      </c>
      <c r="I21" s="22" t="n">
        <v>3589</v>
      </c>
      <c r="J21" s="22" t="n">
        <v>5254</v>
      </c>
      <c r="K21" s="22" t="n">
        <v>5053</v>
      </c>
      <c r="L21" s="22" t="n">
        <v>5208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15580</v>
      </c>
      <c r="D23" s="12" t="n">
        <v>16598</v>
      </c>
      <c r="E23" s="12" t="n">
        <v>16318</v>
      </c>
      <c r="F23" s="12" t="n">
        <v>15796</v>
      </c>
      <c r="G23" s="12" t="n">
        <v>16237</v>
      </c>
      <c r="H23" s="11" t="n">
        <v>16106.687</v>
      </c>
      <c r="I23" s="12" t="n">
        <v>19816</v>
      </c>
      <c r="J23" s="12" t="n">
        <v>19373</v>
      </c>
      <c r="K23" s="12" t="n">
        <v>17562</v>
      </c>
      <c r="L23" s="12" t="n">
        <v>15796</v>
      </c>
    </row>
    <row r="24">
      <c r="A24" s="20" t="inlineStr">
        <is>
          <t>장기차입금</t>
        </is>
      </c>
      <c r="B24" s="10" t="n"/>
      <c r="C24" s="21" t="n">
        <v>14405</v>
      </c>
      <c r="D24" s="22" t="n">
        <v>15130</v>
      </c>
      <c r="E24" s="22" t="n">
        <v>14590</v>
      </c>
      <c r="F24" s="22" t="n">
        <v>14063</v>
      </c>
      <c r="G24" s="22" t="n">
        <v>14347</v>
      </c>
      <c r="H24" s="21" t="n">
        <v>15742.776</v>
      </c>
      <c r="I24" s="22" t="n">
        <v>19240</v>
      </c>
      <c r="J24" s="22" t="n">
        <v>18130</v>
      </c>
      <c r="K24" s="22" t="n">
        <v>15910</v>
      </c>
      <c r="L24" s="22" t="n">
        <v>14063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23715</v>
      </c>
      <c r="D27" s="12" t="n">
        <v>26003</v>
      </c>
      <c r="E27" s="12" t="n">
        <v>27677</v>
      </c>
      <c r="F27" s="12" t="n">
        <v>27876</v>
      </c>
      <c r="G27" s="12" t="n">
        <v>26144</v>
      </c>
      <c r="H27" s="11" t="n">
        <v>26227.113</v>
      </c>
      <c r="I27" s="12" t="n">
        <v>29853</v>
      </c>
      <c r="J27" s="12" t="n">
        <v>29288</v>
      </c>
      <c r="K27" s="12" t="n">
        <v>26271</v>
      </c>
      <c r="L27" s="12" t="n">
        <v>27876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37550</v>
      </c>
      <c r="D31" s="12" t="n">
        <v>36057</v>
      </c>
      <c r="E31" s="12" t="n">
        <v>37331</v>
      </c>
      <c r="F31" s="12" t="n">
        <v>38447</v>
      </c>
      <c r="G31" s="12" t="n">
        <v>38958</v>
      </c>
      <c r="H31" s="11" t="n">
        <v>31195.63</v>
      </c>
      <c r="I31" s="12" t="n">
        <v>35522</v>
      </c>
      <c r="J31" s="12" t="n">
        <v>35725</v>
      </c>
      <c r="K31" s="12" t="n">
        <v>37919</v>
      </c>
      <c r="L31" s="12" t="n">
        <v>38447</v>
      </c>
    </row>
    <row r="32">
      <c r="A32" s="20" t="inlineStr">
        <is>
          <t>자본금</t>
        </is>
      </c>
      <c r="B32" s="10" t="n"/>
      <c r="C32" s="21" t="n">
        <v>787</v>
      </c>
      <c r="D32" s="22" t="n">
        <v>787</v>
      </c>
      <c r="E32" s="22" t="n">
        <v>787</v>
      </c>
      <c r="F32" s="22" t="n">
        <v>787</v>
      </c>
      <c r="G32" s="22" t="n">
        <v>787</v>
      </c>
      <c r="H32" s="21" t="n">
        <v>787.1</v>
      </c>
      <c r="I32" s="22" t="n">
        <v>787</v>
      </c>
      <c r="J32" s="22" t="n">
        <v>787</v>
      </c>
      <c r="K32" s="22" t="n">
        <v>787</v>
      </c>
      <c r="L32" s="22" t="n">
        <v>787</v>
      </c>
    </row>
    <row r="33">
      <c r="A33" s="20" t="inlineStr">
        <is>
          <t>이익잉여금</t>
        </is>
      </c>
      <c r="B33" s="10" t="n"/>
      <c r="C33" s="21" t="n">
        <v>32720</v>
      </c>
      <c r="D33" s="22" t="n">
        <v>32763</v>
      </c>
      <c r="E33" s="22" t="n">
        <v>33979</v>
      </c>
      <c r="F33" s="22" t="n">
        <v>34894</v>
      </c>
      <c r="G33" s="22" t="n">
        <v>35507</v>
      </c>
      <c r="H33" s="21" t="n">
        <v>29102.373</v>
      </c>
      <c r="I33" s="22" t="n">
        <v>32442</v>
      </c>
      <c r="J33" s="22" t="n">
        <v>32901</v>
      </c>
      <c r="K33" s="22" t="n">
        <v>33062</v>
      </c>
      <c r="L33" s="22" t="n">
        <v>34894</v>
      </c>
    </row>
    <row r="34">
      <c r="A34" s="20" t="inlineStr">
        <is>
          <t>비지배지분</t>
        </is>
      </c>
      <c r="B34" s="10" t="n"/>
      <c r="C34" s="21" t="n">
        <v>562</v>
      </c>
      <c r="D34" s="22" t="n">
        <v>561</v>
      </c>
      <c r="E34" s="22" t="n">
        <v>562</v>
      </c>
      <c r="F34" s="22" t="n">
        <v>574</v>
      </c>
      <c r="G34" s="22" t="n">
        <v>576</v>
      </c>
      <c r="H34" s="21" t="n">
        <v>620.809</v>
      </c>
      <c r="I34" s="22" t="n">
        <v>629</v>
      </c>
      <c r="J34" s="22" t="n">
        <v>591</v>
      </c>
      <c r="K34" s="22" t="n">
        <v>564</v>
      </c>
      <c r="L34" s="22" t="n">
        <v>574</v>
      </c>
    </row>
    <row r="35">
      <c r="A35" s="9" t="inlineStr">
        <is>
          <t>자본총계</t>
        </is>
      </c>
      <c r="B35" s="10" t="n"/>
      <c r="C35" s="11" t="n">
        <v>38112</v>
      </c>
      <c r="D35" s="12" t="n">
        <v>36618</v>
      </c>
      <c r="E35" s="12" t="n">
        <v>37893</v>
      </c>
      <c r="F35" s="12" t="n">
        <v>39021</v>
      </c>
      <c r="G35" s="12" t="n">
        <v>39534</v>
      </c>
      <c r="H35" s="11" t="n">
        <v>31816.439</v>
      </c>
      <c r="I35" s="12" t="n">
        <v>36151</v>
      </c>
      <c r="J35" s="12" t="n">
        <v>36316</v>
      </c>
      <c r="K35" s="12" t="n">
        <v>38483</v>
      </c>
      <c r="L35" s="12" t="n">
        <v>39021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5759</v>
      </c>
      <c r="E37" s="12" t="n"/>
      <c r="F37" s="12" t="n">
        <v>5157</v>
      </c>
      <c r="G37" s="12" t="n"/>
      <c r="H37" s="11" t="n">
        <v>3231.858</v>
      </c>
      <c r="I37" s="12" t="n">
        <v>3893</v>
      </c>
      <c r="J37" s="12" t="n">
        <v>5310</v>
      </c>
      <c r="K37" s="12" t="n">
        <v>3498</v>
      </c>
      <c r="L37" s="12" t="n">
        <v>5157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2092</v>
      </c>
      <c r="E38" s="22" t="n"/>
      <c r="F38" s="22" t="n">
        <v>1824</v>
      </c>
      <c r="G38" s="22" t="n"/>
      <c r="H38" s="21" t="n">
        <v>3793.409</v>
      </c>
      <c r="I38" s="22" t="n">
        <v>4419</v>
      </c>
      <c r="J38" s="22" t="n">
        <v>4383</v>
      </c>
      <c r="K38" s="22" t="n">
        <v>1625</v>
      </c>
      <c r="L38" s="22" t="n">
        <v>1824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629</v>
      </c>
      <c r="E40" s="22" t="n"/>
      <c r="F40" s="22" t="n">
        <v>678</v>
      </c>
      <c r="G40" s="22" t="n"/>
      <c r="H40" s="21" t="n">
        <v>558.189</v>
      </c>
      <c r="I40" s="22" t="n">
        <v>679</v>
      </c>
      <c r="J40" s="22" t="n">
        <v>681</v>
      </c>
      <c r="K40" s="22" t="n">
        <v>631</v>
      </c>
      <c r="L40" s="22" t="n">
        <v>678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8203</v>
      </c>
      <c r="D71" s="22" t="n">
        <v>8406</v>
      </c>
      <c r="E71" s="22" t="n">
        <v>8854</v>
      </c>
      <c r="F71" s="22" t="n">
        <v>11139</v>
      </c>
      <c r="G71" s="22" t="n">
        <v>9136</v>
      </c>
      <c r="H71" s="22" t="n">
        <v>8840.380999999999</v>
      </c>
      <c r="I71" s="22" t="n">
        <v>10750</v>
      </c>
      <c r="J71" s="22" t="n">
        <v>8289</v>
      </c>
      <c r="K71" s="22" t="n">
        <v>8920</v>
      </c>
      <c r="L71" s="22" t="n">
        <v>11139</v>
      </c>
    </row>
    <row r="72">
      <c r="A72" s="20" t="inlineStr">
        <is>
          <t>받을어음·매출채권</t>
        </is>
      </c>
      <c r="C72" s="22" t="n">
        <v>5941</v>
      </c>
      <c r="D72" s="22" t="n">
        <v>6332</v>
      </c>
      <c r="E72" s="22" t="n">
        <v>7140</v>
      </c>
      <c r="F72" s="22" t="n">
        <v>6633</v>
      </c>
      <c r="G72" s="22" t="n">
        <v>7060</v>
      </c>
      <c r="H72" s="22" t="n">
        <v>6025.223</v>
      </c>
      <c r="I72" s="22" t="n">
        <v>6623</v>
      </c>
      <c r="J72" s="22" t="n">
        <v>6814</v>
      </c>
      <c r="K72" s="22" t="n">
        <v>6233</v>
      </c>
      <c r="L72" s="22" t="n">
        <v>6633</v>
      </c>
    </row>
    <row r="73">
      <c r="A73" s="20" t="inlineStr">
        <is>
          <t>유가증권</t>
        </is>
      </c>
      <c r="H73" s="22" t="n">
        <v>0</v>
      </c>
    </row>
    <row r="74">
      <c r="A74" s="20" t="inlineStr">
        <is>
          <t>제품</t>
        </is>
      </c>
      <c r="C74" s="22" t="n">
        <v>7471</v>
      </c>
      <c r="D74" s="22" t="n">
        <v>6711</v>
      </c>
      <c r="E74" s="22" t="n">
        <v>7475</v>
      </c>
      <c r="F74" s="22" t="n">
        <v>8538</v>
      </c>
      <c r="G74" s="22" t="n">
        <v>8087</v>
      </c>
      <c r="H74" s="22" t="n">
        <v>5619.407</v>
      </c>
      <c r="I74" s="22" t="n">
        <v>6380</v>
      </c>
      <c r="J74" s="22" t="n">
        <v>6724</v>
      </c>
      <c r="K74" s="22" t="n">
        <v>7006</v>
      </c>
      <c r="L74" s="22" t="n">
        <v>8538</v>
      </c>
    </row>
    <row r="75">
      <c r="A75" s="20" t="inlineStr">
        <is>
          <t>재공품</t>
        </is>
      </c>
      <c r="C75" s="22" t="n">
        <v>2726</v>
      </c>
      <c r="D75" s="22" t="n">
        <v>2785</v>
      </c>
      <c r="E75" s="22" t="n">
        <v>2926</v>
      </c>
      <c r="F75" s="22" t="n">
        <v>2867</v>
      </c>
      <c r="G75" s="22" t="n">
        <v>3186</v>
      </c>
      <c r="H75" s="22" t="n">
        <v>1986.425</v>
      </c>
      <c r="I75" s="22" t="n">
        <v>2434</v>
      </c>
      <c r="J75" s="22" t="n">
        <v>2776</v>
      </c>
      <c r="K75" s="22" t="n">
        <v>1946</v>
      </c>
      <c r="L75" s="22" t="n">
        <v>2867</v>
      </c>
    </row>
    <row r="76">
      <c r="A76" s="20" t="inlineStr">
        <is>
          <t>원재료·저장품</t>
        </is>
      </c>
      <c r="C76" s="22" t="n">
        <v>3983</v>
      </c>
      <c r="D76" s="22" t="n">
        <v>5786</v>
      </c>
      <c r="E76" s="22" t="n">
        <v>6507</v>
      </c>
      <c r="F76" s="22" t="n">
        <v>4343</v>
      </c>
      <c r="G76" s="22" t="n">
        <v>5703</v>
      </c>
      <c r="H76" s="22" t="n">
        <v>4209.359</v>
      </c>
      <c r="I76" s="22" t="n">
        <v>5625</v>
      </c>
      <c r="J76" s="22" t="n">
        <v>4819</v>
      </c>
      <c r="K76" s="22" t="n">
        <v>4661</v>
      </c>
      <c r="L76" s="22" t="n">
        <v>4343</v>
      </c>
    </row>
    <row r="77">
      <c r="A77" s="20" t="inlineStr">
        <is>
          <t>기타</t>
        </is>
      </c>
      <c r="C77" s="22" t="n">
        <v>2320</v>
      </c>
      <c r="D77" s="22" t="n">
        <v>2321</v>
      </c>
      <c r="E77" s="22" t="n">
        <v>2988</v>
      </c>
      <c r="F77" s="22" t="n">
        <v>2672</v>
      </c>
      <c r="G77" s="22" t="n">
        <v>2115</v>
      </c>
      <c r="H77" s="22" t="n">
        <v>1822.03</v>
      </c>
      <c r="I77" s="22" t="n">
        <v>2173</v>
      </c>
      <c r="J77" s="22" t="n">
        <v>3098</v>
      </c>
      <c r="K77" s="22" t="n">
        <v>3163</v>
      </c>
      <c r="L77" s="22" t="n">
        <v>2672</v>
      </c>
    </row>
    <row r="78">
      <c r="A78" s="9" t="inlineStr">
        <is>
          <t>유동자산 합계</t>
        </is>
      </c>
      <c r="C78" s="12" t="n">
        <v>30646</v>
      </c>
      <c r="D78" s="12" t="n">
        <v>32342</v>
      </c>
      <c r="E78" s="12" t="n">
        <v>35892</v>
      </c>
      <c r="F78" s="12" t="n">
        <v>36195</v>
      </c>
      <c r="G78" s="12" t="n">
        <v>35289</v>
      </c>
      <c r="H78" s="12" t="n">
        <v>28502.826</v>
      </c>
      <c r="I78" s="12" t="n">
        <v>33987</v>
      </c>
      <c r="J78" s="12" t="n">
        <v>32523</v>
      </c>
      <c r="K78" s="12" t="n">
        <v>31932</v>
      </c>
      <c r="L78" s="12" t="n">
        <v>36195</v>
      </c>
    </row>
    <row r="79">
      <c r="A79" s="20" t="inlineStr">
        <is>
          <t>건물·구축물</t>
        </is>
      </c>
      <c r="F79" s="22" t="n">
        <v>19778</v>
      </c>
      <c r="H79" s="22" t="n">
        <v>10237.781</v>
      </c>
      <c r="I79" s="22" t="n">
        <v>10809</v>
      </c>
      <c r="J79" s="22" t="n">
        <v>19251</v>
      </c>
      <c r="K79" s="22" t="n">
        <v>19800</v>
      </c>
      <c r="L79" s="22" t="n">
        <v>19778</v>
      </c>
    </row>
    <row r="80">
      <c r="A80" s="20" t="inlineStr">
        <is>
          <t>감가상각누계액</t>
        </is>
      </c>
      <c r="F80" s="22" t="n">
        <v>-7183</v>
      </c>
      <c r="H80" s="22" t="n">
        <v>-4453.751</v>
      </c>
      <c r="I80" s="22" t="n">
        <v>-4969</v>
      </c>
      <c r="J80" s="22" t="n">
        <v>-5249</v>
      </c>
      <c r="K80" s="22" t="n">
        <v>-6244</v>
      </c>
      <c r="L80" s="22" t="n">
        <v>-7183</v>
      </c>
    </row>
    <row r="81">
      <c r="A81" s="20" t="inlineStr">
        <is>
          <t>건물·구축물(순액)</t>
        </is>
      </c>
      <c r="C81" s="22" t="n">
        <v>12955</v>
      </c>
      <c r="D81" s="22" t="n">
        <v>12463</v>
      </c>
      <c r="E81" s="22" t="n">
        <v>12485</v>
      </c>
      <c r="F81" s="22" t="n">
        <v>12595</v>
      </c>
      <c r="G81" s="22" t="n">
        <v>12457</v>
      </c>
      <c r="H81" s="22" t="n">
        <v>5784.03</v>
      </c>
      <c r="I81" s="22" t="n">
        <v>5840</v>
      </c>
      <c r="J81" s="22" t="n">
        <v>14002</v>
      </c>
      <c r="K81" s="22" t="n">
        <v>13555</v>
      </c>
      <c r="L81" s="22" t="n">
        <v>12595</v>
      </c>
    </row>
    <row r="82">
      <c r="A82" s="20" t="inlineStr">
        <is>
          <t>기계장치·운반구</t>
        </is>
      </c>
      <c r="F82" s="22" t="n">
        <v>34536</v>
      </c>
      <c r="H82" s="22" t="n">
        <v>26998.743</v>
      </c>
      <c r="I82" s="22" t="n">
        <v>27790</v>
      </c>
      <c r="J82" s="22" t="n">
        <v>33446</v>
      </c>
      <c r="K82" s="22" t="n">
        <v>34249</v>
      </c>
      <c r="L82" s="22" t="n">
        <v>34536</v>
      </c>
    </row>
    <row r="83">
      <c r="A83" s="20" t="inlineStr">
        <is>
          <t>감가상각누계액</t>
        </is>
      </c>
      <c r="F83" s="22" t="n">
        <v>-26400</v>
      </c>
      <c r="H83" s="22" t="n">
        <v>-21130.682</v>
      </c>
      <c r="I83" s="22" t="n">
        <v>-22857</v>
      </c>
      <c r="J83" s="22" t="n">
        <v>-23464</v>
      </c>
      <c r="K83" s="22" t="n">
        <v>-25019</v>
      </c>
      <c r="L83" s="22" t="n">
        <v>-26400</v>
      </c>
    </row>
    <row r="84">
      <c r="A84" s="20" t="inlineStr">
        <is>
          <t>기계장치·운반구(순액)</t>
        </is>
      </c>
      <c r="C84" s="22" t="n">
        <v>8774</v>
      </c>
      <c r="D84" s="22" t="n">
        <v>8130</v>
      </c>
      <c r="E84" s="22" t="n">
        <v>8055</v>
      </c>
      <c r="F84" s="22" t="n">
        <v>8136</v>
      </c>
      <c r="G84" s="22" t="n">
        <v>7939</v>
      </c>
      <c r="H84" s="22" t="n">
        <v>5868.061</v>
      </c>
      <c r="I84" s="22" t="n">
        <v>4932</v>
      </c>
      <c r="J84" s="22" t="n">
        <v>9981</v>
      </c>
      <c r="K84" s="22" t="n">
        <v>9230</v>
      </c>
      <c r="L84" s="22" t="n">
        <v>8136</v>
      </c>
    </row>
    <row r="85">
      <c r="A85" s="20" t="inlineStr">
        <is>
          <t>토지</t>
        </is>
      </c>
      <c r="C85" s="22" t="n">
        <v>2217</v>
      </c>
      <c r="D85" s="22" t="n">
        <v>2217</v>
      </c>
      <c r="E85" s="22" t="n">
        <v>2217</v>
      </c>
      <c r="F85" s="22" t="n">
        <v>2217</v>
      </c>
      <c r="G85" s="22" t="n">
        <v>2217</v>
      </c>
      <c r="H85" s="22" t="n">
        <v>2235.721</v>
      </c>
      <c r="I85" s="22" t="n">
        <v>2233</v>
      </c>
      <c r="J85" s="22" t="n">
        <v>2233</v>
      </c>
      <c r="K85" s="22" t="n">
        <v>2217</v>
      </c>
      <c r="L85" s="22" t="n">
        <v>2217</v>
      </c>
    </row>
    <row r="86">
      <c r="A86" s="20" t="inlineStr">
        <is>
          <t>건설중인자산</t>
        </is>
      </c>
      <c r="C86" s="22" t="n">
        <v>536</v>
      </c>
      <c r="D86" s="22" t="n">
        <v>803</v>
      </c>
      <c r="E86" s="22" t="n">
        <v>634</v>
      </c>
      <c r="F86" s="22" t="n">
        <v>852</v>
      </c>
      <c r="G86" s="22" t="n">
        <v>1085</v>
      </c>
      <c r="H86" s="22" t="n">
        <v>10353.215</v>
      </c>
      <c r="I86" s="22" t="n">
        <v>13721</v>
      </c>
      <c r="J86" s="22" t="n">
        <v>332</v>
      </c>
      <c r="K86" s="22" t="n">
        <v>714</v>
      </c>
      <c r="L86" s="22" t="n">
        <v>852</v>
      </c>
    </row>
    <row r="87">
      <c r="A87" s="20" t="inlineStr">
        <is>
          <t>기타</t>
        </is>
      </c>
      <c r="F87" s="22" t="n">
        <v>4334</v>
      </c>
      <c r="H87" s="22" t="n">
        <v>2778.364</v>
      </c>
      <c r="I87" s="22" t="n">
        <v>3215</v>
      </c>
      <c r="J87" s="22" t="n">
        <v>3902</v>
      </c>
      <c r="K87" s="22" t="n">
        <v>4040</v>
      </c>
      <c r="L87" s="22" t="n">
        <v>4334</v>
      </c>
    </row>
    <row r="88">
      <c r="A88" s="20" t="inlineStr">
        <is>
          <t>감가상각누계액</t>
        </is>
      </c>
      <c r="F88" s="22" t="n">
        <v>-3329</v>
      </c>
      <c r="H88" s="22" t="n">
        <v>-2446.335</v>
      </c>
      <c r="I88" s="22" t="n">
        <v>-2631</v>
      </c>
      <c r="J88" s="22" t="n">
        <v>-2726</v>
      </c>
      <c r="K88" s="22" t="n">
        <v>-2921</v>
      </c>
      <c r="L88" s="22" t="n">
        <v>-3329</v>
      </c>
    </row>
    <row r="89">
      <c r="A89" s="20" t="inlineStr">
        <is>
          <t>기타(순액)</t>
        </is>
      </c>
      <c r="C89" s="22" t="n">
        <v>1134</v>
      </c>
      <c r="D89" s="22" t="n">
        <v>1075</v>
      </c>
      <c r="E89" s="22" t="n">
        <v>1036</v>
      </c>
      <c r="F89" s="22" t="n">
        <v>1005</v>
      </c>
      <c r="G89" s="22" t="n">
        <v>931</v>
      </c>
      <c r="H89" s="22" t="n">
        <v>332.029</v>
      </c>
      <c r="I89" s="22" t="n">
        <v>584</v>
      </c>
      <c r="J89" s="22" t="n">
        <v>1175</v>
      </c>
      <c r="K89" s="22" t="n">
        <v>1118</v>
      </c>
      <c r="L89" s="22" t="n">
        <v>1005</v>
      </c>
    </row>
    <row r="90">
      <c r="A90" s="20" t="inlineStr">
        <is>
          <t>유형자산 합계</t>
        </is>
      </c>
      <c r="C90" s="22" t="n">
        <v>25617</v>
      </c>
      <c r="D90" s="22" t="n">
        <v>24691</v>
      </c>
      <c r="E90" s="22" t="n">
        <v>24430</v>
      </c>
      <c r="F90" s="22" t="n">
        <v>24806</v>
      </c>
      <c r="G90" s="22" t="n">
        <v>24631</v>
      </c>
      <c r="H90" s="22" t="n">
        <v>24573.058</v>
      </c>
      <c r="I90" s="22" t="n">
        <v>27311</v>
      </c>
      <c r="J90" s="22" t="n">
        <v>27726</v>
      </c>
      <c r="K90" s="22" t="n">
        <v>26837</v>
      </c>
      <c r="L90" s="22" t="n">
        <v>24806</v>
      </c>
    </row>
    <row r="91">
      <c r="A91" s="20" t="inlineStr">
        <is>
          <t>무형자산</t>
        </is>
      </c>
      <c r="C91" s="22" t="n">
        <v>964</v>
      </c>
      <c r="D91" s="22" t="n">
        <v>881</v>
      </c>
      <c r="E91" s="22" t="n">
        <v>876</v>
      </c>
      <c r="F91" s="22" t="n">
        <v>876</v>
      </c>
      <c r="G91" s="22" t="n">
        <v>866</v>
      </c>
      <c r="H91" s="22" t="n">
        <v>1385.494</v>
      </c>
      <c r="I91" s="22" t="n">
        <v>1280</v>
      </c>
      <c r="J91" s="22" t="n">
        <v>1490</v>
      </c>
      <c r="K91" s="22" t="n">
        <v>1746</v>
      </c>
      <c r="L91" s="22" t="n">
        <v>876</v>
      </c>
    </row>
    <row r="92">
      <c r="A92" s="20" t="inlineStr">
        <is>
          <t>투자유가증권</t>
        </is>
      </c>
      <c r="F92" s="22" t="n">
        <v>837</v>
      </c>
      <c r="H92" s="22" t="n">
        <v>737.6319999999999</v>
      </c>
      <c r="I92" s="22" t="n">
        <v>781</v>
      </c>
      <c r="J92" s="22" t="n">
        <v>1062</v>
      </c>
      <c r="K92" s="22" t="n">
        <v>873</v>
      </c>
      <c r="L92" s="22" t="n">
        <v>837</v>
      </c>
    </row>
    <row r="93">
      <c r="A93" s="20" t="inlineStr">
        <is>
          <t>관계회사 주식</t>
        </is>
      </c>
      <c r="F93" s="22" t="n">
        <v>17</v>
      </c>
      <c r="H93" s="22" t="n">
        <v>17.5</v>
      </c>
      <c r="I93" s="22" t="n">
        <v>17</v>
      </c>
      <c r="J93" s="22" t="n">
        <v>17</v>
      </c>
      <c r="K93" s="22" t="n">
        <v>17</v>
      </c>
      <c r="L93" s="22" t="n">
        <v>17</v>
      </c>
    </row>
    <row r="94">
      <c r="A94" s="20" t="inlineStr">
        <is>
          <t>장기대여금</t>
        </is>
      </c>
      <c r="F94" s="22" t="n">
        <v>227</v>
      </c>
      <c r="H94" s="22" t="n">
        <v>390.959</v>
      </c>
      <c r="I94" s="22" t="n">
        <v>332</v>
      </c>
      <c r="J94" s="22" t="n">
        <v>244</v>
      </c>
      <c r="K94" s="22" t="n">
        <v>238</v>
      </c>
      <c r="L94" s="22" t="n">
        <v>227</v>
      </c>
    </row>
    <row r="95">
      <c r="A95" s="20" t="inlineStr">
        <is>
          <t>퇴직급여자산</t>
        </is>
      </c>
      <c r="F95" s="22" t="n">
        <v>1782</v>
      </c>
      <c r="H95" s="22" t="n">
        <v>609.165</v>
      </c>
      <c r="I95" s="22" t="n">
        <v>687</v>
      </c>
      <c r="J95" s="22" t="n">
        <v>1173</v>
      </c>
      <c r="K95" s="22" t="n">
        <v>1274</v>
      </c>
      <c r="L95" s="22" t="n">
        <v>1782</v>
      </c>
    </row>
    <row r="96">
      <c r="A96" s="20" t="inlineStr">
        <is>
          <t>이연법인세자산</t>
        </is>
      </c>
      <c r="F96" s="22" t="n">
        <v>38</v>
      </c>
      <c r="H96" s="22" t="n">
        <v>266.727</v>
      </c>
      <c r="I96" s="22" t="n">
        <v>398</v>
      </c>
      <c r="J96" s="22" t="n">
        <v>92</v>
      </c>
      <c r="K96" s="22" t="n">
        <v>388</v>
      </c>
      <c r="L96" s="22" t="n">
        <v>38</v>
      </c>
    </row>
    <row r="97">
      <c r="A97" s="20" t="inlineStr">
        <is>
          <t>Long Term Advance Payments IOA</t>
        </is>
      </c>
      <c r="H97" s="22" t="n">
        <v>2447.727</v>
      </c>
      <c r="I97" s="22" t="n">
        <v>0</v>
      </c>
    </row>
    <row r="98">
      <c r="A98" s="20" t="inlineStr">
        <is>
          <t>Long Term Accounts Receivable Other</t>
        </is>
      </c>
      <c r="F98" s="22" t="n">
        <v>3517</v>
      </c>
      <c r="H98" s="22" t="n">
        <v>706.671</v>
      </c>
      <c r="I98" s="22" t="n">
        <v>2937</v>
      </c>
      <c r="J98" s="22" t="n">
        <v>3331</v>
      </c>
      <c r="K98" s="22" t="n">
        <v>3289</v>
      </c>
      <c r="L98" s="22" t="n">
        <v>3517</v>
      </c>
    </row>
    <row r="99">
      <c r="A99" s="20" t="inlineStr">
        <is>
          <t>기타</t>
        </is>
      </c>
      <c r="C99" s="22" t="n">
        <v>7785</v>
      </c>
      <c r="D99" s="22" t="n">
        <v>7983</v>
      </c>
      <c r="E99" s="22" t="n">
        <v>7816</v>
      </c>
      <c r="F99" s="22" t="n">
        <v>8569</v>
      </c>
      <c r="G99" s="22" t="n">
        <v>8494</v>
      </c>
      <c r="H99" s="22" t="n">
        <v>854.727</v>
      </c>
      <c r="I99" s="22" t="n">
        <v>1209</v>
      </c>
      <c r="J99" s="22" t="n">
        <v>1275</v>
      </c>
      <c r="K99" s="22" t="n">
        <v>1446</v>
      </c>
      <c r="L99" s="22" t="n">
        <v>8569</v>
      </c>
    </row>
    <row r="100">
      <c r="A100" s="20" t="inlineStr">
        <is>
          <t>대손충당금</t>
        </is>
      </c>
      <c r="C100" s="22" t="n">
        <v>-3187</v>
      </c>
      <c r="D100" s="22" t="n">
        <v>-3276</v>
      </c>
      <c r="E100" s="22" t="n">
        <v>-3445</v>
      </c>
      <c r="F100" s="22" t="n">
        <v>-3549</v>
      </c>
      <c r="G100" s="22" t="n">
        <v>-3604</v>
      </c>
      <c r="H100" s="22" t="n">
        <v>-2448.937</v>
      </c>
      <c r="I100" s="22" t="n">
        <v>-2938</v>
      </c>
      <c r="J100" s="22" t="n">
        <v>-3332</v>
      </c>
      <c r="K100" s="22" t="n">
        <v>-3290</v>
      </c>
      <c r="L100" s="22" t="n">
        <v>-3549</v>
      </c>
    </row>
    <row r="101">
      <c r="A101" s="20" t="inlineStr">
        <is>
          <t>투자 및 기타자산 합계</t>
        </is>
      </c>
      <c r="C101" s="22" t="n">
        <v>4598</v>
      </c>
      <c r="D101" s="22" t="n">
        <v>4707</v>
      </c>
      <c r="E101" s="22" t="n">
        <v>4370</v>
      </c>
      <c r="F101" s="22" t="n">
        <v>5019</v>
      </c>
      <c r="G101" s="22" t="n">
        <v>4890</v>
      </c>
      <c r="H101" s="22" t="n">
        <v>3582.174</v>
      </c>
      <c r="I101" s="22" t="n">
        <v>3424</v>
      </c>
      <c r="J101" s="22" t="n">
        <v>3865</v>
      </c>
      <c r="K101" s="22" t="n">
        <v>4238</v>
      </c>
      <c r="L101" s="22" t="n">
        <v>5019</v>
      </c>
    </row>
    <row r="102">
      <c r="A102" s="9" t="inlineStr">
        <is>
          <t>비유동자산 합계</t>
        </is>
      </c>
      <c r="C102" s="12" t="n">
        <v>31180</v>
      </c>
      <c r="D102" s="12" t="n">
        <v>30279</v>
      </c>
      <c r="E102" s="12" t="n">
        <v>29677</v>
      </c>
      <c r="F102" s="12" t="n">
        <v>30703</v>
      </c>
      <c r="G102" s="12" t="n">
        <v>30388</v>
      </c>
      <c r="H102" s="12" t="n">
        <v>29540.726</v>
      </c>
      <c r="I102" s="12" t="n">
        <v>32016</v>
      </c>
      <c r="J102" s="12" t="n">
        <v>33081</v>
      </c>
      <c r="K102" s="12" t="n">
        <v>32822</v>
      </c>
      <c r="L102" s="12" t="n">
        <v>30703</v>
      </c>
    </row>
    <row r="103">
      <c r="A103" s="9" t="inlineStr">
        <is>
          <t>자산 합계</t>
        </is>
      </c>
      <c r="C103" s="12" t="n">
        <v>61827</v>
      </c>
      <c r="D103" s="12" t="n">
        <v>62622</v>
      </c>
      <c r="E103" s="12" t="n">
        <v>65570</v>
      </c>
      <c r="F103" s="12" t="n">
        <v>66898</v>
      </c>
      <c r="G103" s="12" t="n">
        <v>65678</v>
      </c>
      <c r="H103" s="12" t="n">
        <v>58043.553</v>
      </c>
      <c r="I103" s="12" t="n">
        <v>66004</v>
      </c>
      <c r="J103" s="12" t="n">
        <v>65605</v>
      </c>
      <c r="K103" s="12" t="n">
        <v>64754</v>
      </c>
      <c r="L103" s="12" t="n">
        <v>66898</v>
      </c>
    </row>
    <row r="104">
      <c r="A104" s="20" t="inlineStr">
        <is>
          <t>지급어음·매입채무</t>
        </is>
      </c>
      <c r="C104" s="22" t="n">
        <v>869</v>
      </c>
      <c r="D104" s="22" t="n">
        <v>1403</v>
      </c>
      <c r="E104" s="22" t="n">
        <v>1135</v>
      </c>
      <c r="F104" s="22" t="n">
        <v>1950</v>
      </c>
      <c r="G104" s="22" t="n">
        <v>1791</v>
      </c>
      <c r="H104" s="22" t="n">
        <v>873.067</v>
      </c>
      <c r="I104" s="22" t="n">
        <v>977</v>
      </c>
      <c r="J104" s="22" t="n">
        <v>1474</v>
      </c>
      <c r="K104" s="22" t="n">
        <v>1179</v>
      </c>
      <c r="L104" s="22" t="n">
        <v>1950</v>
      </c>
    </row>
    <row r="105">
      <c r="A105" s="20" t="inlineStr">
        <is>
          <t>단기차입금</t>
        </is>
      </c>
      <c r="C105" s="22" t="n">
        <v>300</v>
      </c>
      <c r="D105" s="22" t="n">
        <v>900</v>
      </c>
      <c r="E105" s="22" t="n">
        <v>2900</v>
      </c>
      <c r="F105" s="22" t="n">
        <v>2200</v>
      </c>
      <c r="G105" s="22" t="n">
        <v>500</v>
      </c>
      <c r="H105" s="22" t="n">
        <v>2900</v>
      </c>
      <c r="I105" s="22" t="n">
        <v>2400</v>
      </c>
      <c r="J105" s="22" t="n">
        <v>800</v>
      </c>
      <c r="K105" s="22" t="n">
        <v>300</v>
      </c>
      <c r="L105" s="22" t="n">
        <v>2200</v>
      </c>
    </row>
    <row r="106">
      <c r="A106" s="20" t="inlineStr">
        <is>
          <t>1년 내 상환 장기차입금</t>
        </is>
      </c>
      <c r="C106" s="22" t="n">
        <v>4882</v>
      </c>
      <c r="D106" s="22" t="n">
        <v>5203</v>
      </c>
      <c r="E106" s="22" t="n">
        <v>5277</v>
      </c>
      <c r="F106" s="22" t="n">
        <v>5208</v>
      </c>
      <c r="G106" s="22" t="n">
        <v>5420</v>
      </c>
      <c r="H106" s="22" t="n">
        <v>3298.497</v>
      </c>
      <c r="I106" s="22" t="n">
        <v>3589</v>
      </c>
      <c r="J106" s="22" t="n">
        <v>5254</v>
      </c>
      <c r="K106" s="22" t="n">
        <v>5053</v>
      </c>
      <c r="L106" s="22" t="n">
        <v>5208</v>
      </c>
    </row>
    <row r="107">
      <c r="A107" s="20" t="inlineStr">
        <is>
          <t>미지급법인세</t>
        </is>
      </c>
      <c r="C107" s="22" t="n">
        <v>21</v>
      </c>
      <c r="D107" s="22" t="n">
        <v>234</v>
      </c>
      <c r="E107" s="22" t="n">
        <v>325</v>
      </c>
      <c r="F107" s="22" t="n">
        <v>550</v>
      </c>
      <c r="G107" s="22" t="n">
        <v>264</v>
      </c>
      <c r="H107" s="22" t="n">
        <v>1253.479</v>
      </c>
      <c r="I107" s="22" t="n">
        <v>1104</v>
      </c>
      <c r="J107" s="22" t="n">
        <v>448</v>
      </c>
      <c r="K107" s="22" t="n">
        <v>91</v>
      </c>
      <c r="L107" s="22" t="n">
        <v>550</v>
      </c>
    </row>
    <row r="108">
      <c r="A108" s="20" t="inlineStr">
        <is>
          <t>상여충당금</t>
        </is>
      </c>
      <c r="C108" s="22" t="n">
        <v>207</v>
      </c>
      <c r="D108" s="22" t="n">
        <v>455</v>
      </c>
      <c r="E108" s="22" t="n">
        <v>220</v>
      </c>
      <c r="F108" s="22" t="n">
        <v>563</v>
      </c>
      <c r="G108" s="22" t="n">
        <v>224</v>
      </c>
      <c r="H108" s="22" t="n">
        <v>447.887</v>
      </c>
      <c r="I108" s="22" t="n">
        <v>388</v>
      </c>
      <c r="J108" s="22" t="n">
        <v>309</v>
      </c>
      <c r="K108" s="22" t="n">
        <v>334</v>
      </c>
      <c r="L108" s="22" t="n">
        <v>563</v>
      </c>
    </row>
    <row r="109">
      <c r="A109" s="20" t="inlineStr">
        <is>
          <t>임원 상여충당금</t>
        </is>
      </c>
      <c r="C109" s="22" t="n">
        <v>11</v>
      </c>
      <c r="D109" s="22" t="n">
        <v>0</v>
      </c>
      <c r="E109" s="22" t="n">
        <v>0</v>
      </c>
      <c r="F109" s="22" t="n">
        <v>112</v>
      </c>
      <c r="G109" s="22" t="n">
        <v>112</v>
      </c>
      <c r="H109" s="22" t="n">
        <v>32.804</v>
      </c>
      <c r="I109" s="22" t="n">
        <v>96</v>
      </c>
      <c r="J109" s="22" t="n">
        <v>28</v>
      </c>
      <c r="K109" s="22" t="n">
        <v>11</v>
      </c>
      <c r="L109" s="22" t="n">
        <v>112</v>
      </c>
    </row>
    <row r="110">
      <c r="A110" s="20" t="inlineStr">
        <is>
          <t>Forward Exchange Contracts CL</t>
        </is>
      </c>
      <c r="J110" s="22" t="n">
        <v>2</v>
      </c>
    </row>
    <row r="111">
      <c r="A111" s="20" t="inlineStr">
        <is>
          <t>미지급금</t>
        </is>
      </c>
      <c r="F111" s="22" t="n">
        <v>1038</v>
      </c>
      <c r="H111" s="22" t="n">
        <v>959.241</v>
      </c>
      <c r="I111" s="22" t="n">
        <v>1056</v>
      </c>
      <c r="J111" s="22" t="n">
        <v>1035</v>
      </c>
      <c r="K111" s="22" t="n">
        <v>952</v>
      </c>
      <c r="L111" s="22" t="n">
        <v>1038</v>
      </c>
    </row>
    <row r="112">
      <c r="A112" s="20" t="inlineStr">
        <is>
          <t>기타</t>
        </is>
      </c>
      <c r="C112" s="22" t="n">
        <v>1840</v>
      </c>
      <c r="D112" s="22" t="n">
        <v>1209</v>
      </c>
      <c r="E112" s="22" t="n">
        <v>1499</v>
      </c>
      <c r="F112" s="22" t="n">
        <v>1495</v>
      </c>
      <c r="G112" s="22" t="n">
        <v>1593</v>
      </c>
      <c r="H112" s="22" t="n">
        <v>355.449</v>
      </c>
      <c r="I112" s="22" t="n">
        <v>424</v>
      </c>
      <c r="J112" s="22" t="n">
        <v>565</v>
      </c>
      <c r="K112" s="22" t="n">
        <v>784</v>
      </c>
      <c r="L112" s="22" t="n">
        <v>1495</v>
      </c>
    </row>
    <row r="113">
      <c r="A113" s="9" t="inlineStr">
        <is>
          <t>유동부채 합계</t>
        </is>
      </c>
      <c r="C113" s="12" t="n">
        <v>8134</v>
      </c>
      <c r="D113" s="12" t="n">
        <v>9405</v>
      </c>
      <c r="E113" s="12" t="n">
        <v>11358</v>
      </c>
      <c r="F113" s="12" t="n">
        <v>12080</v>
      </c>
      <c r="G113" s="12" t="n">
        <v>9906</v>
      </c>
      <c r="H113" s="12" t="n">
        <v>10120.426</v>
      </c>
      <c r="I113" s="12" t="n">
        <v>10036</v>
      </c>
      <c r="J113" s="12" t="n">
        <v>9915</v>
      </c>
      <c r="K113" s="12" t="n">
        <v>8708</v>
      </c>
      <c r="L113" s="12" t="n">
        <v>12080</v>
      </c>
    </row>
    <row r="114">
      <c r="A114" s="20" t="inlineStr">
        <is>
          <t>장기차입금</t>
        </is>
      </c>
      <c r="C114" s="22" t="n">
        <v>14405</v>
      </c>
      <c r="D114" s="22" t="n">
        <v>15130</v>
      </c>
      <c r="E114" s="22" t="n">
        <v>14590</v>
      </c>
      <c r="F114" s="22" t="n">
        <v>14063</v>
      </c>
      <c r="G114" s="22" t="n">
        <v>14347</v>
      </c>
      <c r="H114" s="22" t="n">
        <v>15742.776</v>
      </c>
      <c r="I114" s="22" t="n">
        <v>19240</v>
      </c>
      <c r="J114" s="22" t="n">
        <v>18130</v>
      </c>
      <c r="K114" s="22" t="n">
        <v>15910</v>
      </c>
      <c r="L114" s="22" t="n">
        <v>14063</v>
      </c>
    </row>
    <row r="115">
      <c r="A115" s="20" t="inlineStr">
        <is>
          <t>퇴직급여부채</t>
        </is>
      </c>
      <c r="C115" s="22" t="n">
        <v>5</v>
      </c>
      <c r="D115" s="22" t="n">
        <v>5</v>
      </c>
      <c r="E115" s="22" t="n">
        <v>5</v>
      </c>
      <c r="F115" s="22" t="n">
        <v>6</v>
      </c>
      <c r="G115" s="22" t="n">
        <v>6</v>
      </c>
      <c r="H115" s="22" t="n">
        <v>2.55</v>
      </c>
      <c r="I115" s="22" t="n">
        <v>2</v>
      </c>
      <c r="J115" s="22" t="n">
        <v>3</v>
      </c>
      <c r="K115" s="22" t="n">
        <v>5</v>
      </c>
      <c r="L115" s="22" t="n">
        <v>6</v>
      </c>
    </row>
    <row r="116">
      <c r="A116" s="20" t="inlineStr">
        <is>
          <t>이연법인세부채</t>
        </is>
      </c>
      <c r="C116" s="22" t="n">
        <v>67</v>
      </c>
      <c r="D116" s="22" t="n">
        <v>195</v>
      </c>
      <c r="E116" s="22" t="n">
        <v>204</v>
      </c>
      <c r="F116" s="22" t="n">
        <v>148</v>
      </c>
      <c r="G116" s="22" t="n">
        <v>272</v>
      </c>
      <c r="J116" s="22" t="n">
        <v>0</v>
      </c>
      <c r="K116" s="22" t="n">
        <v>368</v>
      </c>
      <c r="L116" s="22" t="n">
        <v>148</v>
      </c>
    </row>
    <row r="117">
      <c r="A117" s="20" t="inlineStr">
        <is>
          <t>기타</t>
        </is>
      </c>
      <c r="C117" s="22" t="n">
        <v>1102</v>
      </c>
      <c r="D117" s="22" t="n">
        <v>1266</v>
      </c>
      <c r="E117" s="22" t="n">
        <v>1517</v>
      </c>
      <c r="F117" s="22" t="n">
        <v>1577</v>
      </c>
      <c r="G117" s="22" t="n">
        <v>1611</v>
      </c>
      <c r="H117" s="22" t="n">
        <v>361.361</v>
      </c>
      <c r="I117" s="22" t="n">
        <v>573</v>
      </c>
      <c r="J117" s="22" t="n">
        <v>1238</v>
      </c>
      <c r="K117" s="22" t="n">
        <v>1278</v>
      </c>
      <c r="L117" s="22" t="n">
        <v>1577</v>
      </c>
    </row>
    <row r="118">
      <c r="A118" s="9" t="inlineStr">
        <is>
          <t>비유동부채 합계</t>
        </is>
      </c>
      <c r="C118" s="12" t="n">
        <v>15580</v>
      </c>
      <c r="D118" s="12" t="n">
        <v>16598</v>
      </c>
      <c r="E118" s="12" t="n">
        <v>16318</v>
      </c>
      <c r="F118" s="12" t="n">
        <v>15796</v>
      </c>
      <c r="G118" s="12" t="n">
        <v>16237</v>
      </c>
      <c r="H118" s="12" t="n">
        <v>16106.687</v>
      </c>
      <c r="I118" s="12" t="n">
        <v>19816</v>
      </c>
      <c r="J118" s="12" t="n">
        <v>19373</v>
      </c>
      <c r="K118" s="12" t="n">
        <v>17562</v>
      </c>
      <c r="L118" s="12" t="n">
        <v>15796</v>
      </c>
    </row>
    <row r="119">
      <c r="A119" s="9" t="inlineStr">
        <is>
          <t>부채 합계</t>
        </is>
      </c>
      <c r="C119" s="12" t="n">
        <v>23715</v>
      </c>
      <c r="D119" s="12" t="n">
        <v>26003</v>
      </c>
      <c r="E119" s="12" t="n">
        <v>27677</v>
      </c>
      <c r="F119" s="12" t="n">
        <v>27876</v>
      </c>
      <c r="G119" s="12" t="n">
        <v>26144</v>
      </c>
      <c r="H119" s="12" t="n">
        <v>26227.113</v>
      </c>
      <c r="I119" s="12" t="n">
        <v>29853</v>
      </c>
      <c r="J119" s="12" t="n">
        <v>29288</v>
      </c>
      <c r="K119" s="12" t="n">
        <v>26271</v>
      </c>
      <c r="L119" s="12" t="n">
        <v>27876</v>
      </c>
    </row>
    <row r="120">
      <c r="A120" s="20" t="inlineStr">
        <is>
          <t>자본금</t>
        </is>
      </c>
      <c r="C120" s="22" t="n">
        <v>787</v>
      </c>
      <c r="D120" s="22" t="n">
        <v>787</v>
      </c>
      <c r="E120" s="22" t="n">
        <v>787</v>
      </c>
      <c r="F120" s="22" t="n">
        <v>787</v>
      </c>
      <c r="G120" s="22" t="n">
        <v>787</v>
      </c>
      <c r="H120" s="22" t="n">
        <v>787.1</v>
      </c>
      <c r="I120" s="22" t="n">
        <v>787</v>
      </c>
      <c r="J120" s="22" t="n">
        <v>787</v>
      </c>
      <c r="K120" s="22" t="n">
        <v>787</v>
      </c>
      <c r="L120" s="22" t="n">
        <v>787</v>
      </c>
    </row>
    <row r="121">
      <c r="A121" s="20" t="inlineStr">
        <is>
          <t>자본잉여금</t>
        </is>
      </c>
      <c r="C121" s="22" t="n">
        <v>1205</v>
      </c>
      <c r="D121" s="22" t="n">
        <v>1204</v>
      </c>
      <c r="E121" s="22" t="n">
        <v>1204</v>
      </c>
      <c r="F121" s="22" t="n">
        <v>1203</v>
      </c>
      <c r="G121" s="22" t="n">
        <v>1208</v>
      </c>
      <c r="H121" s="22" t="n">
        <v>1154.772</v>
      </c>
      <c r="I121" s="22" t="n">
        <v>1175</v>
      </c>
      <c r="J121" s="22" t="n">
        <v>1194</v>
      </c>
      <c r="K121" s="22" t="n">
        <v>1205</v>
      </c>
      <c r="L121" s="22" t="n">
        <v>1203</v>
      </c>
    </row>
    <row r="122">
      <c r="A122" s="20" t="inlineStr">
        <is>
          <t>이익잉여금</t>
        </is>
      </c>
      <c r="C122" s="22" t="n">
        <v>32720</v>
      </c>
      <c r="D122" s="22" t="n">
        <v>32763</v>
      </c>
      <c r="E122" s="22" t="n">
        <v>33979</v>
      </c>
      <c r="F122" s="22" t="n">
        <v>34894</v>
      </c>
      <c r="G122" s="22" t="n">
        <v>35507</v>
      </c>
      <c r="H122" s="22" t="n">
        <v>29102.373</v>
      </c>
      <c r="I122" s="22" t="n">
        <v>32442</v>
      </c>
      <c r="J122" s="22" t="n">
        <v>32901</v>
      </c>
      <c r="K122" s="22" t="n">
        <v>33062</v>
      </c>
      <c r="L122" s="22" t="n">
        <v>34894</v>
      </c>
    </row>
    <row r="123">
      <c r="A123" s="20" t="inlineStr">
        <is>
          <t>자기주식</t>
        </is>
      </c>
      <c r="C123" s="22" t="n">
        <v>-117</v>
      </c>
      <c r="D123" s="22" t="n">
        <v>-103</v>
      </c>
      <c r="E123" s="22" t="n">
        <v>-183</v>
      </c>
      <c r="F123" s="22" t="n">
        <v>-349</v>
      </c>
      <c r="G123" s="22" t="n">
        <v>-343</v>
      </c>
      <c r="H123" s="22" t="n">
        <v>-40.185</v>
      </c>
      <c r="I123" s="22" t="n">
        <v>-30</v>
      </c>
      <c r="J123" s="22" t="n">
        <v>-18</v>
      </c>
      <c r="K123" s="22" t="n">
        <v>-124</v>
      </c>
      <c r="L123" s="22" t="n">
        <v>-349</v>
      </c>
    </row>
    <row r="124">
      <c r="A124" s="9" t="inlineStr">
        <is>
          <t>주주자본 합계</t>
        </is>
      </c>
      <c r="C124" s="12" t="n">
        <v>34594</v>
      </c>
      <c r="D124" s="12" t="n">
        <v>34651</v>
      </c>
      <c r="E124" s="12" t="n">
        <v>35787</v>
      </c>
      <c r="F124" s="12" t="n">
        <v>36534</v>
      </c>
      <c r="G124" s="12" t="n">
        <v>37159</v>
      </c>
      <c r="H124" s="12" t="n">
        <v>31004.06</v>
      </c>
      <c r="I124" s="12" t="n">
        <v>34374</v>
      </c>
      <c r="J124" s="12" t="n">
        <v>34864</v>
      </c>
      <c r="K124" s="12" t="n">
        <v>34930</v>
      </c>
      <c r="L124" s="12" t="n">
        <v>36534</v>
      </c>
    </row>
    <row r="125">
      <c r="A125" s="20" t="inlineStr">
        <is>
          <t>기타유가증권 평가차액</t>
        </is>
      </c>
      <c r="C125" s="22" t="n">
        <v>411</v>
      </c>
      <c r="D125" s="22" t="n">
        <v>503</v>
      </c>
      <c r="E125" s="22" t="n">
        <v>373</v>
      </c>
      <c r="F125" s="22" t="n">
        <v>426</v>
      </c>
      <c r="G125" s="22" t="n">
        <v>384</v>
      </c>
      <c r="H125" s="22" t="n">
        <v>310.875</v>
      </c>
      <c r="I125" s="22" t="n">
        <v>332</v>
      </c>
      <c r="J125" s="22" t="n">
        <v>518</v>
      </c>
      <c r="K125" s="22" t="n">
        <v>375</v>
      </c>
      <c r="L125" s="22" t="n">
        <v>426</v>
      </c>
    </row>
    <row r="126">
      <c r="A126" s="20" t="inlineStr">
        <is>
          <t>해외사업환산조정</t>
        </is>
      </c>
      <c r="C126" s="22" t="n">
        <v>2219</v>
      </c>
      <c r="D126" s="22" t="n">
        <v>610</v>
      </c>
      <c r="E126" s="22" t="n">
        <v>909</v>
      </c>
      <c r="F126" s="22" t="n">
        <v>929</v>
      </c>
      <c r="G126" s="22" t="n">
        <v>892</v>
      </c>
      <c r="H126" s="22" t="n">
        <v>-258.272</v>
      </c>
      <c r="I126" s="22" t="n">
        <v>680</v>
      </c>
      <c r="J126" s="22" t="n">
        <v>-75</v>
      </c>
      <c r="K126" s="22" t="n">
        <v>2258</v>
      </c>
      <c r="L126" s="22" t="n">
        <v>929</v>
      </c>
    </row>
    <row r="127">
      <c r="A127" s="20" t="inlineStr">
        <is>
          <t>퇴직급여 조정누계액</t>
        </is>
      </c>
      <c r="C127" s="22" t="n">
        <v>323</v>
      </c>
      <c r="D127" s="22" t="n">
        <v>291</v>
      </c>
      <c r="E127" s="22" t="n">
        <v>259</v>
      </c>
      <c r="F127" s="22" t="n">
        <v>556</v>
      </c>
      <c r="G127" s="22" t="n">
        <v>520</v>
      </c>
      <c r="H127" s="22" t="n">
        <v>138.966</v>
      </c>
      <c r="I127" s="22" t="n">
        <v>134</v>
      </c>
      <c r="J127" s="22" t="n">
        <v>417</v>
      </c>
      <c r="K127" s="22" t="n">
        <v>354</v>
      </c>
      <c r="L127" s="22" t="n">
        <v>556</v>
      </c>
    </row>
    <row r="128">
      <c r="A128" s="20" t="inlineStr">
        <is>
          <t>기타포괄손익누계액 합계</t>
        </is>
      </c>
      <c r="C128" s="22" t="n">
        <v>2954</v>
      </c>
      <c r="D128" s="22" t="n">
        <v>1405</v>
      </c>
      <c r="E128" s="22" t="n">
        <v>1542</v>
      </c>
      <c r="F128" s="22" t="n">
        <v>1912</v>
      </c>
      <c r="G128" s="22" t="n">
        <v>1797</v>
      </c>
      <c r="H128" s="22" t="n">
        <v>191.569</v>
      </c>
      <c r="I128" s="22" t="n">
        <v>1147</v>
      </c>
      <c r="J128" s="22" t="n">
        <v>860</v>
      </c>
      <c r="K128" s="22" t="n">
        <v>2988</v>
      </c>
      <c r="L128" s="22" t="n">
        <v>1912</v>
      </c>
    </row>
    <row r="129">
      <c r="A129" s="20" t="inlineStr">
        <is>
          <t>비지배지분</t>
        </is>
      </c>
      <c r="C129" s="22" t="n">
        <v>562</v>
      </c>
      <c r="D129" s="22" t="n">
        <v>561</v>
      </c>
      <c r="E129" s="22" t="n">
        <v>562</v>
      </c>
      <c r="F129" s="22" t="n">
        <v>574</v>
      </c>
      <c r="G129" s="22" t="n">
        <v>576</v>
      </c>
      <c r="H129" s="22" t="n">
        <v>620.809</v>
      </c>
      <c r="I129" s="22" t="n">
        <v>629</v>
      </c>
      <c r="J129" s="22" t="n">
        <v>591</v>
      </c>
      <c r="K129" s="22" t="n">
        <v>564</v>
      </c>
      <c r="L129" s="22" t="n">
        <v>574</v>
      </c>
    </row>
    <row r="130">
      <c r="A130" s="9" t="inlineStr">
        <is>
          <t>순자산 합계</t>
        </is>
      </c>
      <c r="C130" s="12" t="n">
        <v>38112</v>
      </c>
      <c r="D130" s="12" t="n">
        <v>36618</v>
      </c>
      <c r="E130" s="12" t="n">
        <v>37893</v>
      </c>
      <c r="F130" s="12" t="n">
        <v>39021</v>
      </c>
      <c r="G130" s="12" t="n">
        <v>39534</v>
      </c>
      <c r="H130" s="12" t="n">
        <v>31816.439</v>
      </c>
      <c r="I130" s="12" t="n">
        <v>36151</v>
      </c>
      <c r="J130" s="12" t="n">
        <v>36316</v>
      </c>
      <c r="K130" s="12" t="n">
        <v>38483</v>
      </c>
      <c r="L130" s="12" t="n">
        <v>39021</v>
      </c>
    </row>
    <row r="131">
      <c r="A131" s="9" t="inlineStr">
        <is>
          <t>부채·순자산 합계</t>
        </is>
      </c>
      <c r="C131" s="12" t="n">
        <v>61827</v>
      </c>
      <c r="D131" s="12" t="n">
        <v>62622</v>
      </c>
      <c r="E131" s="12" t="n">
        <v>65570</v>
      </c>
      <c r="F131" s="12" t="n">
        <v>66898</v>
      </c>
      <c r="G131" s="12" t="n">
        <v>65678</v>
      </c>
      <c r="H131" s="12" t="n">
        <v>58043.553</v>
      </c>
      <c r="I131" s="12" t="n">
        <v>66004</v>
      </c>
      <c r="J131" s="12" t="n">
        <v>65605</v>
      </c>
      <c r="K131" s="12" t="n">
        <v>64754</v>
      </c>
      <c r="L131" s="12" t="n">
        <v>66898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44" customWidth="1" min="17" max="17"/>
  </cols>
  <sheetData>
    <row r="1">
      <c r="A1" s="52" t="inlineStr">
        <is>
          <t>4082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bs annual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</row>
    <row r="5">
      <c r="A5" s="55" t="inlineStr">
        <is>
          <t>항목</t>
        </is>
      </c>
      <c r="B5" s="55" t="inlineStr">
        <is>
          <t>2022</t>
        </is>
      </c>
      <c r="C5" s="55" t="inlineStr">
        <is>
          <t>2023</t>
        </is>
      </c>
      <c r="D5" s="55" t="inlineStr">
        <is>
          <t>2024</t>
        </is>
      </c>
      <c r="E5" s="55" t="inlineStr">
        <is>
          <t>2025</t>
        </is>
      </c>
      <c r="F5" s="55" t="inlineStr">
        <is>
          <t>2026</t>
        </is>
      </c>
      <c r="Q5" s="55" t="inlineStr">
        <is>
          <t>출처</t>
        </is>
      </c>
    </row>
    <row r="6">
      <c r="A6" s="56" t="inlineStr">
        <is>
          <t>labels</t>
        </is>
      </c>
      <c r="B6" s="57" t="n">
        <v>2022</v>
      </c>
      <c r="C6" s="57" t="n">
        <v>2023</v>
      </c>
      <c r="D6" s="57" t="n">
        <v>2024</v>
      </c>
      <c r="E6" s="57" t="n">
        <v>2025</v>
      </c>
      <c r="F6" s="57" t="n">
        <v>2026</v>
      </c>
      <c r="Q6" s="58" t="inlineStr">
        <is>
          <t>2단계 보고서 자료(회사 설명회 자료·공시)</t>
        </is>
      </c>
    </row>
    <row r="7">
      <c r="A7" s="56" t="inlineStr">
        <is>
          <t>current assets</t>
        </is>
      </c>
      <c r="B7" s="59" t="n">
        <v>285</v>
      </c>
      <c r="C7" s="59" t="n">
        <v>339.9</v>
      </c>
      <c r="D7" s="59" t="n">
        <v>325.2</v>
      </c>
      <c r="E7" s="59" t="n">
        <v>319.3</v>
      </c>
      <c r="F7" s="59" t="n">
        <v>361.9</v>
      </c>
    </row>
    <row r="8">
      <c r="A8" s="56" t="inlineStr">
        <is>
          <t>cash</t>
        </is>
      </c>
      <c r="B8" s="59" t="n">
        <v>88.40000000000001</v>
      </c>
      <c r="C8" s="59" t="n">
        <v>107.5</v>
      </c>
      <c r="D8" s="59" t="n">
        <v>82.90000000000001</v>
      </c>
      <c r="E8" s="59" t="n">
        <v>89.2</v>
      </c>
      <c r="F8" s="59" t="n">
        <v>111.4</v>
      </c>
    </row>
    <row r="9">
      <c r="A9" s="56" t="inlineStr">
        <is>
          <t>st fin</t>
        </is>
      </c>
      <c r="B9" s="59" t="n">
        <v>0</v>
      </c>
      <c r="C9" s="60" t="n"/>
      <c r="D9" s="60" t="n"/>
      <c r="E9" s="60" t="n"/>
      <c r="F9" s="60" t="n"/>
    </row>
    <row r="10">
      <c r="A10" s="56" t="inlineStr">
        <is>
          <t>receivables</t>
        </is>
      </c>
      <c r="B10" s="59" t="n">
        <v>60.3</v>
      </c>
      <c r="C10" s="59" t="n">
        <v>66.2</v>
      </c>
      <c r="D10" s="59" t="n">
        <v>68.09999999999999</v>
      </c>
      <c r="E10" s="59" t="n">
        <v>62.3</v>
      </c>
      <c r="F10" s="59" t="n">
        <v>66.3</v>
      </c>
    </row>
    <row r="11">
      <c r="A11" s="56" t="inlineStr">
        <is>
          <t>inventory</t>
        </is>
      </c>
      <c r="B11" s="59" t="n">
        <v>118.2</v>
      </c>
      <c r="C11" s="59" t="n">
        <v>144.4</v>
      </c>
      <c r="D11" s="59" t="n">
        <v>143.2</v>
      </c>
      <c r="E11" s="59" t="n">
        <v>136.1</v>
      </c>
      <c r="F11" s="59" t="n">
        <v>157.5</v>
      </c>
    </row>
    <row r="12">
      <c r="A12" s="56" t="inlineStr">
        <is>
          <t>noncurrent assets</t>
        </is>
      </c>
      <c r="B12" s="59" t="n">
        <v>295.4</v>
      </c>
      <c r="C12" s="59" t="n">
        <v>320.2</v>
      </c>
      <c r="D12" s="59" t="n">
        <v>330.8</v>
      </c>
      <c r="E12" s="59" t="n">
        <v>328.2</v>
      </c>
      <c r="F12" s="59" t="n">
        <v>307</v>
      </c>
    </row>
    <row r="13">
      <c r="A13" s="56" t="inlineStr">
        <is>
          <t>ppe</t>
        </is>
      </c>
      <c r="B13" s="59" t="n">
        <v>245.7</v>
      </c>
      <c r="C13" s="59" t="n">
        <v>273.1</v>
      </c>
      <c r="D13" s="59" t="n">
        <v>277.3</v>
      </c>
      <c r="E13" s="59" t="n">
        <v>268.4</v>
      </c>
      <c r="F13" s="59" t="n">
        <v>248.1</v>
      </c>
    </row>
    <row r="14">
      <c r="A14" s="56" t="inlineStr">
        <is>
          <t>intangibles</t>
        </is>
      </c>
      <c r="B14" s="59" t="n">
        <v>13.9</v>
      </c>
      <c r="C14" s="59" t="n">
        <v>12.8</v>
      </c>
      <c r="D14" s="59" t="n">
        <v>14.9</v>
      </c>
      <c r="E14" s="59" t="n">
        <v>17.5</v>
      </c>
      <c r="F14" s="59" t="n">
        <v>8.800000000000001</v>
      </c>
    </row>
    <row r="15">
      <c r="A15" s="56" t="inlineStr">
        <is>
          <t>inv property</t>
        </is>
      </c>
      <c r="B15" s="60" t="n"/>
      <c r="C15" s="60" t="n"/>
      <c r="D15" s="60" t="n"/>
      <c r="E15" s="60" t="n"/>
      <c r="F15" s="60" t="n"/>
    </row>
    <row r="16">
      <c r="A16" s="56" t="inlineStr">
        <is>
          <t>합계 assets</t>
        </is>
      </c>
      <c r="B16" s="59" t="n">
        <v>580.4</v>
      </c>
      <c r="C16" s="59" t="n">
        <v>660</v>
      </c>
      <c r="D16" s="59" t="n">
        <v>656</v>
      </c>
      <c r="E16" s="59" t="n">
        <v>647.5</v>
      </c>
      <c r="F16" s="59" t="n">
        <v>669</v>
      </c>
    </row>
    <row r="17">
      <c r="A17" s="56" t="inlineStr">
        <is>
          <t>current liab</t>
        </is>
      </c>
      <c r="B17" s="59" t="n">
        <v>101.2</v>
      </c>
      <c r="C17" s="59" t="n">
        <v>100.4</v>
      </c>
      <c r="D17" s="59" t="n">
        <v>99.2</v>
      </c>
      <c r="E17" s="59" t="n">
        <v>87.09999999999999</v>
      </c>
      <c r="F17" s="59" t="n">
        <v>120.8</v>
      </c>
    </row>
    <row r="18">
      <c r="A18" s="56" t="inlineStr">
        <is>
          <t>payables</t>
        </is>
      </c>
      <c r="B18" s="59" t="n">
        <v>8.699999999999999</v>
      </c>
      <c r="C18" s="59" t="n">
        <v>9.800000000000001</v>
      </c>
      <c r="D18" s="59" t="n">
        <v>14.7</v>
      </c>
      <c r="E18" s="59" t="n">
        <v>11.8</v>
      </c>
      <c r="F18" s="59" t="n">
        <v>19.5</v>
      </c>
    </row>
    <row r="19">
      <c r="A19" s="56" t="inlineStr">
        <is>
          <t>st debt</t>
        </is>
      </c>
      <c r="B19" s="59" t="n">
        <v>29</v>
      </c>
      <c r="C19" s="59" t="n">
        <v>24</v>
      </c>
      <c r="D19" s="59" t="n">
        <v>8</v>
      </c>
      <c r="E19" s="59" t="n">
        <v>3</v>
      </c>
      <c r="F19" s="59" t="n">
        <v>22</v>
      </c>
    </row>
    <row r="20">
      <c r="A20" s="56" t="inlineStr">
        <is>
          <t>noncurrent liab</t>
        </is>
      </c>
      <c r="B20" s="59" t="n">
        <v>161.1</v>
      </c>
      <c r="C20" s="59" t="n">
        <v>198.2</v>
      </c>
      <c r="D20" s="59" t="n">
        <v>193.7</v>
      </c>
      <c r="E20" s="59" t="n">
        <v>175.6</v>
      </c>
      <c r="F20" s="59" t="n">
        <v>158</v>
      </c>
    </row>
    <row r="21">
      <c r="A21" s="56" t="inlineStr">
        <is>
          <t>lt debt</t>
        </is>
      </c>
      <c r="B21" s="59" t="n">
        <v>157.4</v>
      </c>
      <c r="C21" s="59" t="n">
        <v>192.4</v>
      </c>
      <c r="D21" s="59" t="n">
        <v>181.3</v>
      </c>
      <c r="E21" s="59" t="n">
        <v>159.1</v>
      </c>
      <c r="F21" s="59" t="n">
        <v>140.6</v>
      </c>
    </row>
    <row r="22">
      <c r="A22" s="56" t="inlineStr">
        <is>
          <t>bonds</t>
        </is>
      </c>
      <c r="B22" s="60" t="n"/>
      <c r="C22" s="60" t="n"/>
      <c r="D22" s="60" t="n"/>
      <c r="E22" s="60" t="n"/>
      <c r="F22" s="60" t="n"/>
    </row>
    <row r="23">
      <c r="A23" s="56" t="inlineStr">
        <is>
          <t>합계 liab</t>
        </is>
      </c>
      <c r="B23" s="59" t="n">
        <v>262.3</v>
      </c>
      <c r="C23" s="59" t="n">
        <v>298.5</v>
      </c>
      <c r="D23" s="59" t="n">
        <v>292.9</v>
      </c>
      <c r="E23" s="59" t="n">
        <v>262.7</v>
      </c>
      <c r="F23" s="59" t="n">
        <v>278.8</v>
      </c>
    </row>
    <row r="24">
      <c r="A24" s="56" t="inlineStr">
        <is>
          <t>capital stock</t>
        </is>
      </c>
      <c r="B24" s="59" t="n">
        <v>7.9</v>
      </c>
      <c r="C24" s="59" t="n">
        <v>7.9</v>
      </c>
      <c r="D24" s="59" t="n">
        <v>7.9</v>
      </c>
      <c r="E24" s="59" t="n">
        <v>7.9</v>
      </c>
      <c r="F24" s="59" t="n">
        <v>7.9</v>
      </c>
    </row>
    <row r="25">
      <c r="A25" s="56" t="inlineStr">
        <is>
          <t>retained</t>
        </is>
      </c>
      <c r="B25" s="59" t="n">
        <v>291</v>
      </c>
      <c r="C25" s="59" t="n">
        <v>324.4</v>
      </c>
      <c r="D25" s="59" t="n">
        <v>329</v>
      </c>
      <c r="E25" s="59" t="n">
        <v>330.6</v>
      </c>
      <c r="F25" s="59" t="n">
        <v>348.9</v>
      </c>
    </row>
    <row r="26">
      <c r="A26" s="56" t="inlineStr">
        <is>
          <t>nci</t>
        </is>
      </c>
      <c r="B26" s="59" t="n">
        <v>6.2</v>
      </c>
      <c r="C26" s="59" t="n">
        <v>6.3</v>
      </c>
      <c r="D26" s="59" t="n">
        <v>5.9</v>
      </c>
      <c r="E26" s="59" t="n">
        <v>5.6</v>
      </c>
      <c r="F26" s="59" t="n">
        <v>5.7</v>
      </c>
    </row>
    <row r="27">
      <c r="A27" s="56" t="inlineStr">
        <is>
          <t>합계 equity</t>
        </is>
      </c>
      <c r="B27" s="59" t="n">
        <v>318.2</v>
      </c>
      <c r="C27" s="59" t="n">
        <v>361.5</v>
      </c>
      <c r="D27" s="59" t="n">
        <v>363.2</v>
      </c>
      <c r="E27" s="59" t="n">
        <v>384.8</v>
      </c>
      <c r="F27" s="59" t="n">
        <v>390.2</v>
      </c>
    </row>
    <row r="28">
      <c r="A28" s="56" t="inlineStr">
        <is>
          <t>current ltd</t>
        </is>
      </c>
      <c r="B28" s="59" t="n">
        <v>33</v>
      </c>
      <c r="C28" s="59" t="n">
        <v>35.9</v>
      </c>
      <c r="D28" s="59" t="n">
        <v>52.5</v>
      </c>
      <c r="E28" s="59" t="n">
        <v>50.5</v>
      </c>
      <c r="F28" s="59" t="n">
        <v>52.1</v>
      </c>
    </row>
    <row r="29">
      <c r="A29" s="56" t="inlineStr">
        <is>
          <t>equity owner</t>
        </is>
      </c>
      <c r="B29" s="59" t="n">
        <v>312</v>
      </c>
      <c r="C29" s="59" t="n">
        <v>355.2</v>
      </c>
      <c r="D29" s="59" t="n">
        <v>357.2</v>
      </c>
      <c r="E29" s="59" t="n">
        <v>379.2</v>
      </c>
      <c r="F29" s="59" t="n">
        <v>384.5</v>
      </c>
    </row>
    <row r="31">
      <c r="A31" s="54" t="inlineStr">
        <is>
          <t>cf annual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>
      <c r="A32" s="55" t="inlineStr">
        <is>
          <t>항목</t>
        </is>
      </c>
      <c r="B32" s="55" t="inlineStr">
        <is>
          <t>2022</t>
        </is>
      </c>
      <c r="C32" s="55" t="inlineStr">
        <is>
          <t>2023</t>
        </is>
      </c>
      <c r="D32" s="55" t="inlineStr">
        <is>
          <t>2024</t>
        </is>
      </c>
      <c r="E32" s="55" t="inlineStr">
        <is>
          <t>2025</t>
        </is>
      </c>
      <c r="F32" s="55" t="inlineStr">
        <is>
          <t>2026</t>
        </is>
      </c>
      <c r="Q32" s="55" t="inlineStr">
        <is>
          <t>출처</t>
        </is>
      </c>
    </row>
    <row r="33">
      <c r="A33" s="56" t="inlineStr">
        <is>
          <t>labels</t>
        </is>
      </c>
      <c r="B33" s="57" t="n">
        <v>2022</v>
      </c>
      <c r="C33" s="57" t="n">
        <v>2023</v>
      </c>
      <c r="D33" s="57" t="n">
        <v>2024</v>
      </c>
      <c r="E33" s="57" t="n">
        <v>2025</v>
      </c>
      <c r="F33" s="57" t="n">
        <v>2026</v>
      </c>
      <c r="Q33" s="58" t="inlineStr">
        <is>
          <t>2단계 보고서 자료(회사 설명회 자료·공시)</t>
        </is>
      </c>
    </row>
    <row r="34">
      <c r="A34" s="56" t="inlineStr">
        <is>
          <t>ocf</t>
        </is>
      </c>
      <c r="B34" s="59" t="n">
        <v>32.3</v>
      </c>
      <c r="C34" s="59" t="n">
        <v>38.9</v>
      </c>
      <c r="D34" s="59" t="n">
        <v>53.1</v>
      </c>
      <c r="E34" s="59" t="n">
        <v>35</v>
      </c>
      <c r="F34" s="59" t="n">
        <v>51.6</v>
      </c>
    </row>
    <row r="35">
      <c r="A35" s="56" t="inlineStr">
        <is>
          <t>설비투자</t>
        </is>
      </c>
      <c r="B35" s="59" t="n">
        <v>37.9</v>
      </c>
      <c r="C35" s="59" t="n">
        <v>44.2</v>
      </c>
      <c r="D35" s="59" t="n">
        <v>43.8</v>
      </c>
      <c r="E35" s="59" t="n">
        <v>16.2</v>
      </c>
      <c r="F35" s="59" t="n">
        <v>18.2</v>
      </c>
    </row>
    <row r="36">
      <c r="A36" s="56" t="inlineStr">
        <is>
          <t>dividends</t>
        </is>
      </c>
      <c r="B36" s="59" t="n">
        <v>5.6</v>
      </c>
      <c r="C36" s="59" t="n">
        <v>6.8</v>
      </c>
      <c r="D36" s="59" t="n">
        <v>6.8</v>
      </c>
      <c r="E36" s="59" t="n">
        <v>6.3</v>
      </c>
      <c r="F36" s="59" t="n">
        <v>6.8</v>
      </c>
    </row>
    <row r="38">
      <c r="A38" s="54" t="inlineStr">
        <is>
          <t>company 예상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</row>
    <row r="39">
      <c r="A39" s="55" t="inlineStr">
        <is>
          <t>항목</t>
        </is>
      </c>
      <c r="B39" s="55" t="inlineStr">
        <is>
          <t>값</t>
        </is>
      </c>
      <c r="Q39" s="55" t="inlineStr">
        <is>
          <t>출처</t>
        </is>
      </c>
    </row>
    <row r="40">
      <c r="A40" s="56" t="inlineStr">
        <is>
          <t>매출</t>
        </is>
      </c>
      <c r="B40" s="59" t="n">
        <v>370</v>
      </c>
      <c r="Q40" s="58" t="inlineStr">
        <is>
          <t>2단계 보고서 자료(회사 설명회 자료·공시)</t>
        </is>
      </c>
    </row>
    <row r="41">
      <c r="A41" s="56" t="inlineStr">
        <is>
          <t>영업이익</t>
        </is>
      </c>
      <c r="B41" s="59" t="n">
        <v>30</v>
      </c>
    </row>
    <row r="42">
      <c r="A42" s="56" t="inlineStr">
        <is>
          <t>경상이익</t>
        </is>
      </c>
      <c r="B42" s="59" t="n">
        <v>20</v>
      </c>
    </row>
    <row r="43">
      <c r="A43" s="56" t="inlineStr">
        <is>
          <t>순이익</t>
        </is>
      </c>
      <c r="B43" s="59" t="n">
        <v>15</v>
      </c>
    </row>
    <row r="44">
      <c r="A44" s="56" t="inlineStr">
        <is>
          <t>EPS</t>
        </is>
      </c>
      <c r="B44" s="59" t="n">
        <v>62.1</v>
      </c>
    </row>
    <row r="46">
      <c r="A46" s="54" t="inlineStr">
        <is>
          <t>ordinary q</t>
        </is>
      </c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</row>
    <row r="47">
      <c r="A47" s="55" t="inlineStr">
        <is>
          <t>항목</t>
        </is>
      </c>
      <c r="B47" s="55" t="inlineStr">
        <is>
          <t>2023.1Q</t>
        </is>
      </c>
      <c r="C47" s="55" t="inlineStr">
        <is>
          <t>2023.2Q</t>
        </is>
      </c>
      <c r="D47" s="55" t="inlineStr">
        <is>
          <t>2024.1Q</t>
        </is>
      </c>
      <c r="E47" s="55" t="inlineStr">
        <is>
          <t>2024.2Q</t>
        </is>
      </c>
      <c r="F47" s="55" t="inlineStr">
        <is>
          <t>2024.3Q</t>
        </is>
      </c>
      <c r="G47" s="55" t="inlineStr">
        <is>
          <t>2024.4Q</t>
        </is>
      </c>
      <c r="H47" s="55" t="inlineStr">
        <is>
          <t>2025.1Q</t>
        </is>
      </c>
      <c r="I47" s="55" t="inlineStr">
        <is>
          <t>2025.2Q</t>
        </is>
      </c>
      <c r="J47" s="55" t="inlineStr">
        <is>
          <t>2025.3Q</t>
        </is>
      </c>
      <c r="K47" s="55" t="inlineStr">
        <is>
          <t>2025.4Q</t>
        </is>
      </c>
      <c r="L47" s="55" t="inlineStr">
        <is>
          <t>2026.1Q</t>
        </is>
      </c>
      <c r="M47" s="55" t="inlineStr">
        <is>
          <t>2026.2Q</t>
        </is>
      </c>
      <c r="N47" s="55" t="inlineStr">
        <is>
          <t>2026.3Q</t>
        </is>
      </c>
      <c r="O47" s="55" t="inlineStr">
        <is>
          <t>2026.4Q</t>
        </is>
      </c>
      <c r="P47" s="55" t="inlineStr">
        <is>
          <t>2027.1Q</t>
        </is>
      </c>
      <c r="Q47" s="55" t="inlineStr">
        <is>
          <t>출처</t>
        </is>
      </c>
    </row>
    <row r="48">
      <c r="A48" s="56" t="inlineStr">
        <is>
          <t>ordinary</t>
        </is>
      </c>
      <c r="B48" s="59" t="n">
        <v>29.57</v>
      </c>
      <c r="C48" s="59" t="n">
        <v>22.87</v>
      </c>
      <c r="D48" s="59" t="n">
        <v>14.64</v>
      </c>
      <c r="E48" s="59" t="n">
        <v>13.55</v>
      </c>
      <c r="F48" s="59" t="n">
        <v>-2.04</v>
      </c>
      <c r="G48" s="59" t="n">
        <v>3.27</v>
      </c>
      <c r="H48" s="59" t="n">
        <v>8.17</v>
      </c>
      <c r="I48" s="59" t="n">
        <v>-8.01</v>
      </c>
      <c r="J48" s="59" t="n">
        <v>19.76</v>
      </c>
      <c r="K48" s="59" t="n">
        <v>-13.6</v>
      </c>
      <c r="L48" s="59" t="n">
        <v>0.15</v>
      </c>
      <c r="M48" s="59" t="n">
        <v>3.51</v>
      </c>
      <c r="N48" s="59" t="n">
        <v>19.36</v>
      </c>
      <c r="O48" s="59" t="n">
        <v>9.529999999999999</v>
      </c>
      <c r="P48" s="59" t="n">
        <v>14.05</v>
      </c>
      <c r="Q48" s="58" t="inlineStr">
        <is>
          <t>2단계 보고서 자료(회사 설명회 자료·공시)</t>
        </is>
      </c>
    </row>
    <row r="50">
      <c r="A50" s="54" t="inlineStr">
        <is>
          <t>EPS dps annual</t>
        </is>
      </c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</row>
    <row r="51">
      <c r="A51" s="55" t="inlineStr">
        <is>
          <t>항목</t>
        </is>
      </c>
      <c r="B51" s="55" t="inlineStr">
        <is>
          <t>2017</t>
        </is>
      </c>
      <c r="C51" s="55" t="inlineStr">
        <is>
          <t>2018</t>
        </is>
      </c>
      <c r="D51" s="55" t="inlineStr">
        <is>
          <t>2019</t>
        </is>
      </c>
      <c r="E51" s="55" t="inlineStr">
        <is>
          <t>2020</t>
        </is>
      </c>
      <c r="F51" s="55" t="inlineStr">
        <is>
          <t>2021</t>
        </is>
      </c>
      <c r="G51" s="55" t="inlineStr">
        <is>
          <t>2022</t>
        </is>
      </c>
      <c r="H51" s="55" t="inlineStr">
        <is>
          <t>2023</t>
        </is>
      </c>
      <c r="I51" s="55" t="inlineStr">
        <is>
          <t>2024</t>
        </is>
      </c>
      <c r="J51" s="55" t="inlineStr">
        <is>
          <t>2025</t>
        </is>
      </c>
      <c r="K51" s="55" t="inlineStr">
        <is>
          <t>2026</t>
        </is>
      </c>
      <c r="Q51" s="55" t="inlineStr">
        <is>
          <t>출처</t>
        </is>
      </c>
    </row>
    <row r="52">
      <c r="A52" s="56" t="inlineStr">
        <is>
          <t>labels</t>
        </is>
      </c>
      <c r="B52" s="57" t="n">
        <v>2017</v>
      </c>
      <c r="C52" s="57" t="n">
        <v>2018</v>
      </c>
      <c r="D52" s="57" t="n">
        <v>2019</v>
      </c>
      <c r="E52" s="57" t="n">
        <v>2020</v>
      </c>
      <c r="F52" s="57" t="n">
        <v>2021</v>
      </c>
      <c r="G52" s="57" t="n">
        <v>2022</v>
      </c>
      <c r="H52" s="57" t="n">
        <v>2023</v>
      </c>
      <c r="I52" s="57" t="n">
        <v>2024</v>
      </c>
      <c r="J52" s="57" t="n">
        <v>2025</v>
      </c>
      <c r="K52" s="57" t="n">
        <v>2026</v>
      </c>
      <c r="Q52" s="58" t="inlineStr">
        <is>
          <t>2단계 보고서 자료(회사 설명회 자료·공시)</t>
        </is>
      </c>
    </row>
    <row r="53">
      <c r="A53" s="56" t="inlineStr">
        <is>
          <t>EPS</t>
        </is>
      </c>
      <c r="B53" s="59" t="n">
        <v>154.37</v>
      </c>
      <c r="C53" s="59" t="n">
        <v>122.93</v>
      </c>
      <c r="D53" s="59" t="n">
        <v>127.9</v>
      </c>
      <c r="E53" s="59" t="n">
        <v>96.90000000000001</v>
      </c>
      <c r="F53" s="59" t="n">
        <v>50.91</v>
      </c>
      <c r="G53" s="59" t="n">
        <v>76.15000000000001</v>
      </c>
      <c r="H53" s="59" t="n">
        <v>165.4</v>
      </c>
      <c r="I53" s="59" t="n">
        <v>46.87</v>
      </c>
      <c r="J53" s="59" t="n">
        <v>32.64</v>
      </c>
      <c r="K53" s="59" t="n">
        <v>103.85</v>
      </c>
    </row>
    <row r="54">
      <c r="A54" s="56" t="inlineStr">
        <is>
          <t>dps</t>
        </is>
      </c>
      <c r="B54" s="57" t="n">
        <v>60</v>
      </c>
      <c r="C54" s="57" t="n">
        <v>16</v>
      </c>
      <c r="D54" s="57" t="n">
        <v>19</v>
      </c>
      <c r="E54" s="57" t="n">
        <v>20</v>
      </c>
      <c r="F54" s="57" t="n">
        <v>18</v>
      </c>
      <c r="G54" s="57" t="n">
        <v>23</v>
      </c>
      <c r="H54" s="57" t="n">
        <v>34</v>
      </c>
      <c r="I54" s="57" t="n">
        <v>26</v>
      </c>
      <c r="J54" s="57" t="n">
        <v>26</v>
      </c>
      <c r="K54" s="57" t="n">
        <v>28</v>
      </c>
    </row>
    <row r="55">
      <c r="A55" s="56" t="inlineStr">
        <is>
          <t>매출</t>
        </is>
      </c>
      <c r="B55" s="59" t="n">
        <v>234</v>
      </c>
      <c r="C55" s="59" t="n">
        <v>255.4</v>
      </c>
      <c r="D55" s="59" t="n">
        <v>274.8</v>
      </c>
      <c r="E55" s="59" t="n">
        <v>265.2</v>
      </c>
      <c r="F55" s="59" t="n">
        <v>234.7</v>
      </c>
      <c r="G55" s="59" t="n">
        <v>293.7</v>
      </c>
      <c r="H55" s="59" t="n">
        <v>357.5</v>
      </c>
      <c r="I55" s="59" t="n">
        <v>352.2</v>
      </c>
      <c r="J55" s="59" t="n">
        <v>336.4</v>
      </c>
      <c r="K55" s="59" t="n">
        <v>357.5</v>
      </c>
    </row>
    <row r="56">
      <c r="A56" s="56" t="inlineStr">
        <is>
          <t>영업이익</t>
        </is>
      </c>
      <c r="B56" s="59" t="n">
        <v>50.7</v>
      </c>
      <c r="C56" s="59" t="n">
        <v>46.3</v>
      </c>
      <c r="D56" s="59" t="n">
        <v>42.2</v>
      </c>
      <c r="E56" s="59" t="n">
        <v>31.1</v>
      </c>
      <c r="F56" s="59" t="n">
        <v>20.2</v>
      </c>
      <c r="G56" s="59" t="n">
        <v>37.7</v>
      </c>
      <c r="H56" s="59" t="n">
        <v>53.9</v>
      </c>
      <c r="I56" s="59" t="n">
        <v>24.2</v>
      </c>
      <c r="J56" s="59" t="n">
        <v>22.8</v>
      </c>
      <c r="K56" s="59" t="n">
        <v>34.8</v>
      </c>
    </row>
    <row r="57">
      <c r="A57" s="56" t="inlineStr">
        <is>
          <t>ordinary</t>
        </is>
      </c>
      <c r="B57" s="59" t="n">
        <v>50.2</v>
      </c>
      <c r="C57" s="59" t="n">
        <v>43.6</v>
      </c>
      <c r="D57" s="59" t="n">
        <v>43.1</v>
      </c>
      <c r="E57" s="59" t="n">
        <v>31</v>
      </c>
      <c r="F57" s="59" t="n">
        <v>21.3</v>
      </c>
      <c r="G57" s="59" t="n">
        <v>60</v>
      </c>
      <c r="H57" s="59" t="n">
        <v>59.7</v>
      </c>
      <c r="I57" s="59" t="n">
        <v>29.4</v>
      </c>
      <c r="J57" s="59" t="n">
        <v>6.3</v>
      </c>
      <c r="K57" s="59" t="n">
        <v>32.6</v>
      </c>
    </row>
    <row r="58">
      <c r="A58" s="56" t="inlineStr">
        <is>
          <t>순이익</t>
        </is>
      </c>
      <c r="B58" s="59" t="n">
        <v>37.3</v>
      </c>
      <c r="C58" s="59" t="n">
        <v>29.7</v>
      </c>
      <c r="D58" s="59" t="n">
        <v>30.9</v>
      </c>
      <c r="E58" s="59" t="n">
        <v>23.5</v>
      </c>
      <c r="F58" s="59" t="n">
        <v>12.4</v>
      </c>
      <c r="G58" s="59" t="n">
        <v>18.5</v>
      </c>
      <c r="H58" s="59" t="n">
        <v>40.2</v>
      </c>
      <c r="I58" s="59" t="n">
        <v>11.4</v>
      </c>
      <c r="J58" s="59" t="n">
        <v>7.9</v>
      </c>
      <c r="K58" s="59" t="n">
        <v>25.1</v>
      </c>
    </row>
    <row r="60">
      <c r="A60" s="54" t="inlineStr">
        <is>
          <t>revision 26 10 30 · 2Q calc</t>
        </is>
      </c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</row>
    <row r="61">
      <c r="A61" s="55" t="inlineStr">
        <is>
          <t>항목</t>
        </is>
      </c>
      <c r="B61" s="55" t="inlineStr">
        <is>
          <t>값</t>
        </is>
      </c>
      <c r="Q61" s="55" t="inlineStr">
        <is>
          <t>출처</t>
        </is>
      </c>
    </row>
    <row r="62">
      <c r="A62" s="56" t="inlineStr">
        <is>
          <t>매출</t>
        </is>
      </c>
      <c r="B62" s="59" t="n">
        <v>108.17</v>
      </c>
      <c r="Q62" s="58" t="inlineStr">
        <is>
          <t>https://www.release.tdnet.info/inbs/140120261029559492.pdf · 공식 PDF 직접 확인: 통기 전회 예상=370/30/20/15/62.12, 수정=425/35/33/24/99.36. 작업 지시문의 "연간 전회 425"는 원문과 다름 — 원문 사용(상향임).</t>
        </is>
      </c>
    </row>
    <row r="63">
      <c r="A63" s="56" t="inlineStr">
        <is>
          <t>영업이익</t>
        </is>
      </c>
      <c r="B63" s="59" t="n">
        <v>14.48</v>
      </c>
    </row>
    <row r="64">
      <c r="A64" s="56" t="inlineStr">
        <is>
          <t>ord</t>
        </is>
      </c>
      <c r="B64" s="59" t="n">
        <v>12.15</v>
      </c>
    </row>
    <row r="65">
      <c r="A65" s="56" t="inlineStr">
        <is>
          <t>순이익</t>
        </is>
      </c>
      <c r="B65" s="59" t="n">
        <v>9.07</v>
      </c>
    </row>
    <row r="66">
      <c r="A66" s="56" t="inlineStr">
        <is>
          <t>EPS</t>
        </is>
      </c>
      <c r="B66" s="59" t="n">
        <v>37.56</v>
      </c>
    </row>
    <row r="68">
      <c r="A68" s="54" t="inlineStr">
        <is>
          <t>revision 26 10 30 · 2H calc</t>
        </is>
      </c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</row>
    <row r="69">
      <c r="A69" s="55" t="inlineStr">
        <is>
          <t>항목</t>
        </is>
      </c>
      <c r="B69" s="55" t="inlineStr">
        <is>
          <t>값</t>
        </is>
      </c>
      <c r="Q69" s="55" t="inlineStr">
        <is>
          <t>출처</t>
        </is>
      </c>
    </row>
    <row r="70">
      <c r="A70" s="56" t="inlineStr">
        <is>
          <t>매출</t>
        </is>
      </c>
      <c r="B70" s="59" t="n">
        <v>215.7</v>
      </c>
      <c r="Q70" s="58" t="inlineStr">
        <is>
          <t>https://www.release.tdnet.info/inbs/140120261029559492.pdf · 공식 PDF 직접 확인: 통기 전회 예상=370/30/20/15/62.12, 수정=425/35/33/24/99.36. 작업 지시문의 "연간 전회 425"는 원문과 다름 — 원문 사용(상향임).</t>
        </is>
      </c>
    </row>
    <row r="71">
      <c r="A71" s="56" t="inlineStr">
        <is>
          <t>영업이익</t>
        </is>
      </c>
      <c r="B71" s="59" t="n">
        <v>9</v>
      </c>
    </row>
    <row r="72">
      <c r="A72" s="56" t="inlineStr">
        <is>
          <t>ord</t>
        </is>
      </c>
      <c r="B72" s="59" t="n">
        <v>6.8</v>
      </c>
    </row>
    <row r="73">
      <c r="A73" s="56" t="inlineStr">
        <is>
          <t>순이익</t>
        </is>
      </c>
      <c r="B73" s="59" t="n">
        <v>5.4</v>
      </c>
    </row>
    <row r="75">
      <c r="A75" s="54" t="inlineStr">
        <is>
          <t>revision 26 10 30 · 환율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/>
      <c r="Q75" s="54" t="n"/>
    </row>
    <row r="76">
      <c r="A76" s="55" t="inlineStr">
        <is>
          <t>항목</t>
        </is>
      </c>
      <c r="B76" s="55" t="inlineStr">
        <is>
          <t>값</t>
        </is>
      </c>
      <c r="Q76" s="55" t="inlineStr">
        <is>
          <t>출처</t>
        </is>
      </c>
    </row>
    <row r="77">
      <c r="A77" s="56" t="inlineStr">
        <is>
          <t>1H 기초 가정</t>
        </is>
      </c>
      <c r="B77" s="57" t="n">
        <v>151</v>
      </c>
      <c r="Q77" s="58" t="inlineStr">
        <is>
          <t>https://www.release.tdnet.info/inbs/140120261029559492.pdf · 공식 PDF 직접 확인: 통기 전회 예상=370/30/20/15/62.12, 수정=425/35/33/24/99.36. 작업 지시문의 "연간 전회 425"는 원문과 다름 — 원문 사용(상향임).</t>
        </is>
      </c>
    </row>
    <row r="78">
      <c r="A78" s="56" t="inlineStr">
        <is>
          <t>2H 가정</t>
        </is>
      </c>
      <c r="B78" s="57" t="n">
        <v>157</v>
      </c>
    </row>
    <row r="80">
      <c r="A80" s="54" t="inlineStr">
        <is>
          <t>revision 26 10 30 · 1Q cum</t>
        </is>
      </c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</row>
    <row r="81">
      <c r="A81" s="55" t="inlineStr">
        <is>
          <t>항목</t>
        </is>
      </c>
      <c r="B81" s="55" t="inlineStr">
        <is>
          <t>값</t>
        </is>
      </c>
      <c r="Q81" s="55" t="inlineStr">
        <is>
          <t>출처</t>
        </is>
      </c>
    </row>
    <row r="82">
      <c r="A82" s="56" t="inlineStr">
        <is>
          <t>매출</t>
        </is>
      </c>
      <c r="B82" s="59" t="n">
        <v>101.13</v>
      </c>
      <c r="Q82" s="58" t="inlineStr">
        <is>
          <t>https://www.release.tdnet.info/inbs/140120261029559492.pdf · 공식 PDF 직접 확인: 통기 전회 예상=370/30/20/15/62.12, 수정=425/35/33/24/99.36. 작업 지시문의 "연간 전회 425"는 원문과 다름 — 원문 사용(상향임).</t>
        </is>
      </c>
    </row>
    <row r="83">
      <c r="A83" s="56" t="inlineStr">
        <is>
          <t>영업이익</t>
        </is>
      </c>
      <c r="B83" s="59" t="n">
        <v>11.52</v>
      </c>
    </row>
    <row r="84">
      <c r="A84" s="56" t="inlineStr">
        <is>
          <t>ord</t>
        </is>
      </c>
      <c r="B84" s="59" t="n">
        <v>14.05</v>
      </c>
    </row>
    <row r="85">
      <c r="A85" s="56" t="inlineStr">
        <is>
          <t>순이익</t>
        </is>
      </c>
      <c r="B85" s="59" t="n">
        <v>9.529999999999999</v>
      </c>
    </row>
    <row r="86">
      <c r="A86" s="56" t="inlineStr">
        <is>
          <t>EPS</t>
        </is>
      </c>
      <c r="B86" s="59" t="n">
        <v>39.46</v>
      </c>
    </row>
    <row r="88">
      <c r="A88" s="54" t="inlineStr">
        <is>
          <t>컨센서스</t>
        </is>
      </c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  <c r="O88" s="54" t="n"/>
      <c r="P88" s="54" t="n"/>
      <c r="Q88" s="54" t="n"/>
    </row>
    <row r="89">
      <c r="A89" s="55" t="inlineStr">
        <is>
          <t>항목</t>
        </is>
      </c>
      <c r="B89" s="55" t="inlineStr">
        <is>
          <t>값</t>
        </is>
      </c>
      <c r="Q89" s="55" t="inlineStr">
        <is>
          <t>출처</t>
        </is>
      </c>
    </row>
    <row r="90">
      <c r="A90" s="56" t="inlineStr">
        <is>
          <t>2Q 매출</t>
        </is>
      </c>
      <c r="B90" s="59" t="n">
        <v>92.87</v>
      </c>
      <c r="Q90" s="58" t="inlineStr">
        <is>
          <t>애널리스트 1명 — 컨센 아님. 공시 전 추정</t>
        </is>
      </c>
    </row>
    <row r="91">
      <c r="A91" s="56" t="inlineStr">
        <is>
          <t>3Q 매출</t>
        </is>
      </c>
      <c r="B91" s="59" t="n">
        <v>97.5</v>
      </c>
    </row>
    <row r="93">
      <c r="A93" s="54" t="inlineStr">
        <is>
          <t>컨센서스 · FY27</t>
        </is>
      </c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</row>
    <row r="94">
      <c r="A94" s="55" t="inlineStr">
        <is>
          <t>항목</t>
        </is>
      </c>
      <c r="B94" s="55" t="inlineStr">
        <is>
          <t>값</t>
        </is>
      </c>
      <c r="Q94" s="55" t="inlineStr">
        <is>
          <t>출처</t>
        </is>
      </c>
    </row>
    <row r="95">
      <c r="A95" s="56" t="inlineStr">
        <is>
          <t>매출</t>
        </is>
      </c>
      <c r="B95" s="57" t="n">
        <v>385</v>
      </c>
      <c r="Q95" s="58" t="inlineStr">
        <is>
          <t>애널리스트 1명 — 컨센 아님. 공시 전 추정</t>
        </is>
      </c>
    </row>
    <row r="96">
      <c r="A96" s="56" t="inlineStr">
        <is>
          <t>EPS</t>
        </is>
      </c>
      <c r="B96" s="59" t="n">
        <v>91.09999999999999</v>
      </c>
    </row>
    <row r="98">
      <c r="A98" s="54" t="inlineStr">
        <is>
          <t>컨센서스 · FY28</t>
        </is>
      </c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</row>
    <row r="99">
      <c r="A99" s="55" t="inlineStr">
        <is>
          <t>항목</t>
        </is>
      </c>
      <c r="B99" s="55" t="inlineStr">
        <is>
          <t>값</t>
        </is>
      </c>
      <c r="Q99" s="55" t="inlineStr">
        <is>
          <t>출처</t>
        </is>
      </c>
    </row>
    <row r="100">
      <c r="A100" s="56" t="inlineStr">
        <is>
          <t>매출</t>
        </is>
      </c>
      <c r="B100" s="57" t="n">
        <v>405</v>
      </c>
      <c r="Q100" s="58" t="inlineStr">
        <is>
          <t>애널리스트 1명 — 컨센 아님. 공시 전 추정</t>
        </is>
      </c>
    </row>
    <row r="101">
      <c r="A101" s="56" t="inlineStr">
        <is>
          <t>EPS</t>
        </is>
      </c>
      <c r="B101" s="59" t="n">
        <v>107.7</v>
      </c>
    </row>
    <row r="103">
      <c r="A103" s="54" t="inlineStr">
        <is>
          <t>market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</row>
    <row r="104">
      <c r="A104" s="55" t="inlineStr">
        <is>
          <t>항목</t>
        </is>
      </c>
      <c r="B104" s="55" t="inlineStr">
        <is>
          <t>값</t>
        </is>
      </c>
      <c r="Q104" s="55" t="inlineStr">
        <is>
          <t>출처</t>
        </is>
      </c>
    </row>
    <row r="105">
      <c r="A105" s="56" t="inlineStr">
        <is>
          <t>가격</t>
        </is>
      </c>
      <c r="B105" s="57" t="n">
        <v>1701</v>
      </c>
      <c r="Q105" s="58" t="inlineStr">
        <is>
          <t>배당은 수정 공시에 없음 — 8/7 기준 30엔</t>
        </is>
      </c>
    </row>
    <row r="106">
      <c r="A106" s="56" t="inlineStr">
        <is>
          <t>mcap oku</t>
        </is>
      </c>
      <c r="B106" s="59" t="n">
        <v>410.8</v>
      </c>
    </row>
    <row r="107">
      <c r="A107" s="56" t="inlineStr">
        <is>
          <t>shares man</t>
        </is>
      </c>
      <c r="B107" s="57" t="n">
        <v>2415</v>
      </c>
    </row>
    <row r="108">
      <c r="A108" s="56" t="inlineStr">
        <is>
          <t>PER guide</t>
        </is>
      </c>
      <c r="B108" s="59" t="n">
        <v>17.1</v>
      </c>
    </row>
    <row r="109">
      <c r="A109" s="56" t="inlineStr">
        <is>
          <t>dps fc 직전</t>
        </is>
      </c>
      <c r="B109" s="57" t="n">
        <v>30</v>
      </c>
    </row>
    <row r="110">
      <c r="A110" s="56" t="inlineStr">
        <is>
          <t>yield</t>
        </is>
      </c>
      <c r="B110" s="59" t="n">
        <v>1.76</v>
      </c>
    </row>
    <row r="112">
      <c r="A112" s="54" t="inlineStr">
        <is>
          <t>filings</t>
        </is>
      </c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A113" s="55" t="inlineStr">
        <is>
          <t>항목</t>
        </is>
      </c>
      <c r="B113" s="55" t="inlineStr">
        <is>
          <t>title</t>
        </is>
      </c>
      <c r="C113" s="55" t="inlineStr">
        <is>
          <t>doc</t>
        </is>
      </c>
      <c r="Q113" s="55" t="inlineStr">
        <is>
          <t>출처</t>
        </is>
      </c>
    </row>
    <row r="114">
      <c r="A114" s="56" t="inlineStr">
        <is>
          <t>2026-08-07</t>
        </is>
      </c>
      <c r="B114" s="60" t="inlineStr">
        <is>
          <t>2027年３月期　第１四半期決算短信〔日本基準〕（連結）</t>
        </is>
      </c>
      <c r="C114" s="60" t="inlineStr">
        <is>
          <t>140120260806511826</t>
        </is>
      </c>
      <c r="Q114" s="58" t="inlineStr">
        <is>
          <t>2단계 보고서 자료(회사 설명회 자료·공시)</t>
        </is>
      </c>
    </row>
    <row r="115">
      <c r="A115" s="56" t="inlineStr">
        <is>
          <t>2026-05-14</t>
        </is>
      </c>
      <c r="B115" s="60" t="inlineStr">
        <is>
          <t>2026年３月期　決算短信〔日本基準〕（連結）</t>
        </is>
      </c>
      <c r="C115" s="60" t="inlineStr">
        <is>
          <t>140120260513528057</t>
        </is>
      </c>
    </row>
    <row r="116">
      <c r="A116" s="56" t="inlineStr">
        <is>
          <t>2026-02-12</t>
        </is>
      </c>
      <c r="B116" s="60" t="inlineStr">
        <is>
          <t>2026年３月期第３四半期決算短信〔日本基準〕(連結)</t>
        </is>
      </c>
      <c r="C116" s="60" t="inlineStr">
        <is>
          <t>140120260210554700</t>
        </is>
      </c>
    </row>
    <row r="117">
      <c r="A117" s="56" t="inlineStr">
        <is>
          <t>2025-11-13</t>
        </is>
      </c>
      <c r="B117" s="60" t="inlineStr">
        <is>
          <t>2026年３月期第２四半期（中間期）決算短信〔日本基準〕(連結)</t>
        </is>
      </c>
      <c r="C117" s="60" t="inlineStr">
        <is>
          <t>140120251112597212</t>
        </is>
      </c>
    </row>
    <row r="118">
      <c r="A118" s="56" t="inlineStr">
        <is>
          <t>2025-08-07</t>
        </is>
      </c>
      <c r="B118" s="60" t="inlineStr">
        <is>
          <t>2026年３月期　第１四半期決算短信〔日本基準〕（連結）</t>
        </is>
      </c>
      <c r="C118" s="60" t="inlineStr">
        <is>
          <t>140120250806531474</t>
        </is>
      </c>
    </row>
    <row r="119">
      <c r="A119" s="56" t="inlineStr">
        <is>
          <t>2025-05-13</t>
        </is>
      </c>
      <c r="B119" s="60" t="inlineStr">
        <is>
          <t>2025年３月期　決算短信〔日本基準〕（連結）</t>
        </is>
      </c>
      <c r="C119" s="60" t="inlineStr">
        <is>
          <t>140120250512541349</t>
        </is>
      </c>
    </row>
    <row r="120">
      <c r="A120" s="56" t="inlineStr">
        <is>
          <t>2025-02-13</t>
        </is>
      </c>
      <c r="B120" s="60" t="inlineStr">
        <is>
          <t>2025年３月期第３四半期決算短信〔日本基準〕(連結)</t>
        </is>
      </c>
      <c r="C120" s="60" t="inlineStr">
        <is>
          <t>140120250210568884</t>
        </is>
      </c>
    </row>
    <row r="121">
      <c r="A121" s="56" t="inlineStr">
        <is>
          <t>2024-11-12</t>
        </is>
      </c>
      <c r="B121" s="60" t="inlineStr">
        <is>
          <t>2025年３月期　第２四半期（中間期）決算短信〔日本基準〕（連結）</t>
        </is>
      </c>
      <c r="C121" s="60" t="inlineStr">
        <is>
          <t>140120241111518280</t>
        </is>
      </c>
    </row>
    <row r="122">
      <c r="A122" s="56" t="inlineStr">
        <is>
          <t>2024-08-08</t>
        </is>
      </c>
      <c r="B122" s="60" t="inlineStr">
        <is>
          <t>2025年３月期　第１四半期決算短信〔日本基準〕（連結）</t>
        </is>
      </c>
      <c r="C122" s="60" t="inlineStr">
        <is>
          <t>140120240807564582</t>
        </is>
      </c>
    </row>
    <row r="123">
      <c r="A123" s="56" t="inlineStr">
        <is>
          <t>2024-05-13</t>
        </is>
      </c>
      <c r="B123" s="60" t="inlineStr">
        <is>
          <t>2024年３月期決算短信〔日本基準〕(連結)</t>
        </is>
      </c>
      <c r="C123" s="60" t="inlineStr">
        <is>
          <t>140120240513591078</t>
        </is>
      </c>
    </row>
    <row r="124">
      <c r="A124" s="56" t="inlineStr">
        <is>
          <t>2024-02-09</t>
        </is>
      </c>
      <c r="B124" s="60" t="inlineStr">
        <is>
          <t>2024年３月期　第３四半期決算短信〔日本基準〕（連結）</t>
        </is>
      </c>
      <c r="C124" s="60" t="inlineStr">
        <is>
          <t>140120240207529175</t>
        </is>
      </c>
    </row>
    <row r="125">
      <c r="A125" s="56" t="inlineStr">
        <is>
          <t>2023-11-10</t>
        </is>
      </c>
      <c r="B125" s="60" t="inlineStr">
        <is>
          <t>2024年３月期　第２四半期決算短信〔日本基準〕（連結）</t>
        </is>
      </c>
      <c r="C125" s="60" t="inlineStr">
        <is>
          <t>140120231109583429</t>
        </is>
      </c>
    </row>
    <row r="126">
      <c r="A126" s="56" t="inlineStr">
        <is>
          <t>2023-08-10</t>
        </is>
      </c>
      <c r="B126" s="60" t="inlineStr">
        <is>
          <t>2024年３月期　第１四半期決算短信〔日本基準〕（連結）</t>
        </is>
      </c>
      <c r="C126" s="60" t="inlineStr">
        <is>
          <t>140120230809538219</t>
        </is>
      </c>
    </row>
    <row r="127">
      <c r="A127" s="56" t="inlineStr">
        <is>
          <t>2023-05-12</t>
        </is>
      </c>
      <c r="B127" s="60" t="inlineStr">
        <is>
          <t>2023年３月期　決算短信〔日本基準〕（連結）</t>
        </is>
      </c>
      <c r="C127" s="60" t="inlineStr">
        <is>
          <t>140120230511566841</t>
        </is>
      </c>
    </row>
    <row r="128">
      <c r="A128" s="56" t="inlineStr">
        <is>
          <t>2022-11-11</t>
        </is>
      </c>
      <c r="B128" s="60" t="inlineStr">
        <is>
          <t>2023年３月期　第２四半期決算短信〔日本基準〕（連結）</t>
        </is>
      </c>
      <c r="C128" s="60" t="inlineStr">
        <is>
          <t>140120221110562080</t>
        </is>
      </c>
    </row>
    <row r="129">
      <c r="A129" s="56" t="inlineStr">
        <is>
          <t>2022-08-10</t>
        </is>
      </c>
      <c r="B129" s="60" t="inlineStr">
        <is>
          <t>2023年３月期第１四半期決算短信〔日本基準〕(連結)</t>
        </is>
      </c>
      <c r="C129" s="60" t="inlineStr">
        <is>
          <t>140120220809515607</t>
        </is>
      </c>
    </row>
    <row r="130">
      <c r="A130" s="56" t="inlineStr">
        <is>
          <t>2022-05-13</t>
        </is>
      </c>
      <c r="B130" s="60" t="inlineStr">
        <is>
          <t>2022年３月期　決算短信〔日本基準〕(連結)</t>
        </is>
      </c>
      <c r="C130" s="60" t="inlineStr">
        <is>
          <t>140120220512543711</t>
        </is>
      </c>
    </row>
    <row r="131">
      <c r="A131" s="56" t="inlineStr">
        <is>
          <t>2021-05-14</t>
        </is>
      </c>
      <c r="B131" s="60" t="inlineStr">
        <is>
          <t>2021年３月期　決算短信〔日本基準〕（連結）</t>
        </is>
      </c>
      <c r="C131" s="60" t="inlineStr">
        <is>
          <t>140120210513415329</t>
        </is>
      </c>
    </row>
    <row r="132">
      <c r="A132" s="56" t="inlineStr">
        <is>
          <t>2020-05-14</t>
        </is>
      </c>
      <c r="B132" s="60" t="inlineStr">
        <is>
          <t>2020年３月期　決算短信〔日本基準〕(連結)</t>
        </is>
      </c>
      <c r="C132" s="60" t="inlineStr">
        <is>
          <t>140120200513412137</t>
        </is>
      </c>
    </row>
    <row r="133">
      <c r="A133" s="56" t="inlineStr">
        <is>
          <t>2019-05-13</t>
        </is>
      </c>
      <c r="B133" s="60" t="inlineStr">
        <is>
          <t>2019年３月期　決算短信[日本基準](連結)</t>
        </is>
      </c>
      <c r="C133" s="60" t="inlineStr">
        <is>
          <t>140120190510421454</t>
        </is>
      </c>
    </row>
    <row r="134">
      <c r="A134" s="56" t="inlineStr">
        <is>
          <t>2018-05-11</t>
        </is>
      </c>
      <c r="B134" s="60" t="inlineStr">
        <is>
          <t>平成30年3月期　決算短信〔日本基準〕（連結）</t>
        </is>
      </c>
      <c r="C134" s="60" t="inlineStr">
        <is>
          <t>140120180510432863</t>
        </is>
      </c>
    </row>
    <row r="136">
      <c r="A136" s="54" t="inlineStr">
        <is>
          <t>reactions</t>
        </is>
      </c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  <c r="O136" s="54" t="n"/>
      <c r="P136" s="54" t="n"/>
      <c r="Q136" s="54" t="n"/>
    </row>
    <row r="137">
      <c r="A137" s="55" t="inlineStr">
        <is>
          <t>항목</t>
        </is>
      </c>
      <c r="B137" s="55" t="inlineStr">
        <is>
          <t>기준일</t>
        </is>
      </c>
      <c r="C137" s="55" t="inlineStr">
        <is>
          <t>다음날</t>
        </is>
      </c>
      <c r="D137" s="55" t="inlineStr">
        <is>
          <t>등락%</t>
        </is>
      </c>
      <c r="Q137" s="55" t="inlineStr">
        <is>
          <t>출처</t>
        </is>
      </c>
    </row>
    <row r="138">
      <c r="A138" s="56" t="inlineStr">
        <is>
          <t>2024-11-12</t>
        </is>
      </c>
      <c r="B138" s="60" t="inlineStr">
        <is>
          <t>2024-11-12</t>
        </is>
      </c>
      <c r="C138" s="60" t="inlineStr">
        <is>
          <t>2024-11-13</t>
        </is>
      </c>
      <c r="D138" s="59" t="n">
        <v>-0.8</v>
      </c>
      <c r="Q138" s="58" t="inlineStr">
        <is>
          <t>2단계 보고서 자료(회사 설명회 자료·공시)</t>
        </is>
      </c>
    </row>
    <row r="139">
      <c r="A139" s="56" t="inlineStr">
        <is>
          <t>2025-02-13</t>
        </is>
      </c>
      <c r="B139" s="60" t="inlineStr">
        <is>
          <t>2025-02-13</t>
        </is>
      </c>
      <c r="C139" s="60" t="inlineStr">
        <is>
          <t>2025-02-14</t>
        </is>
      </c>
      <c r="D139" s="59" t="n">
        <v>1</v>
      </c>
    </row>
    <row r="140">
      <c r="A140" s="56" t="inlineStr">
        <is>
          <t>2025-05-13</t>
        </is>
      </c>
      <c r="B140" s="60" t="inlineStr">
        <is>
          <t>2025-05-13</t>
        </is>
      </c>
      <c r="C140" s="60" t="inlineStr">
        <is>
          <t>2025-05-14</t>
        </is>
      </c>
      <c r="D140" s="59" t="n">
        <v>-6.2</v>
      </c>
    </row>
    <row r="141">
      <c r="A141" s="56" t="inlineStr">
        <is>
          <t>2025-08-07</t>
        </is>
      </c>
      <c r="B141" s="60" t="inlineStr">
        <is>
          <t>2025-08-07</t>
        </is>
      </c>
      <c r="C141" s="60" t="inlineStr">
        <is>
          <t>2025-08-08</t>
        </is>
      </c>
      <c r="D141" s="59" t="n">
        <v>-2.4</v>
      </c>
    </row>
    <row r="142">
      <c r="A142" s="56" t="inlineStr">
        <is>
          <t>2025-11-13</t>
        </is>
      </c>
      <c r="B142" s="60" t="inlineStr">
        <is>
          <t>2025-11-13</t>
        </is>
      </c>
      <c r="C142" s="60" t="inlineStr">
        <is>
          <t>2025-11-14</t>
        </is>
      </c>
      <c r="D142" s="59" t="n">
        <v>4.9</v>
      </c>
    </row>
    <row r="143">
      <c r="A143" s="56" t="inlineStr">
        <is>
          <t>2026-02-12</t>
        </is>
      </c>
      <c r="B143" s="60" t="inlineStr">
        <is>
          <t>2026-02-12</t>
        </is>
      </c>
      <c r="C143" s="60" t="inlineStr">
        <is>
          <t>2026-02-13</t>
        </is>
      </c>
      <c r="D143" s="59" t="n">
        <v>-1.8</v>
      </c>
    </row>
    <row r="144">
      <c r="A144" s="56" t="inlineStr">
        <is>
          <t>2026-05-14</t>
        </is>
      </c>
      <c r="B144" s="60" t="inlineStr">
        <is>
          <t>2026-05-14</t>
        </is>
      </c>
      <c r="C144" s="60" t="inlineStr">
        <is>
          <t>2026-05-15</t>
        </is>
      </c>
      <c r="D144" s="59" t="n">
        <v>-13.5</v>
      </c>
    </row>
    <row r="145">
      <c r="A145" s="56" t="inlineStr">
        <is>
          <t>2026-08-07</t>
        </is>
      </c>
      <c r="B145" s="60" t="inlineStr">
        <is>
          <t>2026-08-07</t>
        </is>
      </c>
      <c r="C145" s="60" t="inlineStr">
        <is>
          <t>2026-08-10</t>
        </is>
      </c>
      <c r="D145" s="59" t="n">
        <v>-3.6</v>
      </c>
    </row>
    <row r="147">
      <c r="A147" s="54" t="inlineStr">
        <is>
          <t>fc history</t>
        </is>
      </c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  <c r="O147" s="54" t="n"/>
      <c r="P147" s="54" t="n"/>
      <c r="Q147" s="54" t="n"/>
    </row>
    <row r="148">
      <c r="A148" s="55" t="inlineStr">
        <is>
          <t>항목</t>
        </is>
      </c>
      <c r="B148" s="55" t="inlineStr">
        <is>
          <t>date</t>
        </is>
      </c>
      <c r="C148" s="55" t="inlineStr">
        <is>
          <t>매출</t>
        </is>
      </c>
      <c r="D148" s="55" t="inlineStr">
        <is>
          <t>영업이익</t>
        </is>
      </c>
      <c r="E148" s="55" t="inlineStr">
        <is>
          <t>ord</t>
        </is>
      </c>
      <c r="F148" s="55" t="inlineStr">
        <is>
          <t>순이익</t>
        </is>
      </c>
      <c r="G148" s="55" t="inlineStr">
        <is>
          <t>EPS</t>
        </is>
      </c>
      <c r="H148" s="55" t="inlineStr">
        <is>
          <t>dps</t>
        </is>
      </c>
      <c r="I148" s="55" t="inlineStr">
        <is>
          <t>kind</t>
        </is>
      </c>
      <c r="Q148" s="55" t="inlineStr">
        <is>
          <t>출처</t>
        </is>
      </c>
    </row>
    <row r="149">
      <c r="A149" s="56" t="inlineStr">
        <is>
          <t>2027/3</t>
        </is>
      </c>
      <c r="B149" s="60" t="inlineStr">
        <is>
          <t>2026-05-14</t>
        </is>
      </c>
      <c r="C149" s="57" t="n">
        <v>370</v>
      </c>
      <c r="D149" s="57" t="n">
        <v>30</v>
      </c>
      <c r="E149" s="57" t="n">
        <v>20</v>
      </c>
      <c r="F149" s="57" t="n">
        <v>15</v>
      </c>
      <c r="G149" s="59" t="n">
        <v>62.12</v>
      </c>
      <c r="H149" s="57" t="n">
        <v>30</v>
      </c>
      <c r="I149" s="60" t="inlineStr">
        <is>
          <t>최초</t>
        </is>
      </c>
      <c r="Q149" s="58" t="inlineStr">
        <is>
          <t>2단계 보고서 자료(회사 설명회 자료·공시)</t>
        </is>
      </c>
    </row>
    <row r="150">
      <c r="A150" s="56" t="inlineStr">
        <is>
          <t>2027/3</t>
        </is>
      </c>
      <c r="B150" s="60" t="inlineStr">
        <is>
          <t>2026-10-30</t>
        </is>
      </c>
      <c r="C150" s="57" t="n">
        <v>425</v>
      </c>
      <c r="D150" s="57" t="n">
        <v>35</v>
      </c>
      <c r="E150" s="57" t="n">
        <v>33</v>
      </c>
      <c r="F150" s="57" t="n">
        <v>24</v>
      </c>
      <c r="G150" s="59" t="n">
        <v>99.36</v>
      </c>
      <c r="H150" s="60" t="n"/>
      <c r="I150" s="60" t="inlineStr">
        <is>
          <t>수정</t>
        </is>
      </c>
    </row>
    <row r="151">
      <c r="A151" s="56" t="inlineStr">
        <is>
          <t>2026/3</t>
        </is>
      </c>
      <c r="B151" s="60" t="inlineStr">
        <is>
          <t>2025-05-13</t>
        </is>
      </c>
      <c r="C151" s="57" t="n">
        <v>340</v>
      </c>
      <c r="D151" s="57" t="n">
        <v>10</v>
      </c>
      <c r="E151" s="57" t="n">
        <v>2</v>
      </c>
      <c r="F151" s="59" t="n">
        <v>1.5</v>
      </c>
      <c r="G151" s="59" t="n">
        <v>6.19</v>
      </c>
      <c r="H151" s="57" t="n">
        <v>28</v>
      </c>
      <c r="I151" s="60" t="inlineStr">
        <is>
          <t>최초</t>
        </is>
      </c>
    </row>
    <row r="152">
      <c r="A152" s="56" t="inlineStr">
        <is>
          <t>2026/3</t>
        </is>
      </c>
      <c r="B152" s="60" t="inlineStr">
        <is>
          <t>2025-11-13</t>
        </is>
      </c>
      <c r="C152" s="57" t="n">
        <v>340</v>
      </c>
      <c r="D152" s="57" t="n">
        <v>24</v>
      </c>
      <c r="E152" s="57" t="n">
        <v>12</v>
      </c>
      <c r="F152" s="57" t="n">
        <v>10</v>
      </c>
      <c r="G152" s="59" t="n">
        <v>41.26</v>
      </c>
      <c r="H152" s="60" t="n"/>
      <c r="I152" s="60" t="inlineStr">
        <is>
          <t>수정</t>
        </is>
      </c>
    </row>
    <row r="153">
      <c r="A153" s="56" t="inlineStr">
        <is>
          <t>2026/3</t>
        </is>
      </c>
      <c r="B153" s="60" t="inlineStr">
        <is>
          <t>2026-02-12</t>
        </is>
      </c>
      <c r="C153" s="57" t="n">
        <v>353</v>
      </c>
      <c r="D153" s="57" t="n">
        <v>32</v>
      </c>
      <c r="E153" s="57" t="n">
        <v>24</v>
      </c>
      <c r="F153" s="57" t="n">
        <v>17</v>
      </c>
      <c r="G153" s="59" t="n">
        <v>70.16</v>
      </c>
      <c r="H153" s="60" t="n"/>
      <c r="I153" s="60" t="inlineStr">
        <is>
          <t>수정</t>
        </is>
      </c>
    </row>
    <row r="154">
      <c r="A154" s="56" t="inlineStr">
        <is>
          <t>2025/3</t>
        </is>
      </c>
      <c r="B154" s="60" t="inlineStr">
        <is>
          <t>2024-05-13</t>
        </is>
      </c>
      <c r="C154" s="57" t="n">
        <v>380</v>
      </c>
      <c r="D154" s="57" t="n">
        <v>30</v>
      </c>
      <c r="E154" s="57" t="n">
        <v>22</v>
      </c>
      <c r="F154" s="57" t="n">
        <v>12</v>
      </c>
      <c r="G154" s="59" t="n">
        <v>49.29</v>
      </c>
      <c r="H154" s="57" t="n">
        <v>26</v>
      </c>
      <c r="I154" s="60" t="inlineStr">
        <is>
          <t>최초</t>
        </is>
      </c>
    </row>
    <row r="155">
      <c r="A155" s="56" t="inlineStr">
        <is>
          <t>2025/3</t>
        </is>
      </c>
      <c r="B155" s="60" t="inlineStr">
        <is>
          <t>2024-11-12</t>
        </is>
      </c>
      <c r="C155" s="57" t="n">
        <v>340</v>
      </c>
      <c r="D155" s="57" t="n">
        <v>22</v>
      </c>
      <c r="E155" s="57" t="n">
        <v>14</v>
      </c>
      <c r="F155" s="57" t="n">
        <v>11</v>
      </c>
      <c r="G155" s="59" t="n">
        <v>45.25</v>
      </c>
      <c r="H155" s="60" t="n"/>
      <c r="I155" s="60" t="inlineStr">
        <is>
          <t>수정</t>
        </is>
      </c>
    </row>
    <row r="156">
      <c r="A156" s="56" t="inlineStr">
        <is>
          <t>2024/3</t>
        </is>
      </c>
      <c r="B156" s="60" t="inlineStr">
        <is>
          <t>2023-05-12</t>
        </is>
      </c>
      <c r="C156" s="57" t="n">
        <v>400</v>
      </c>
      <c r="D156" s="57" t="n">
        <v>30</v>
      </c>
      <c r="E156" s="57" t="n">
        <v>27</v>
      </c>
      <c r="F156" s="59" t="n">
        <v>17.5</v>
      </c>
      <c r="G156" s="57" t="n">
        <v>72</v>
      </c>
      <c r="H156" s="57" t="n">
        <v>26</v>
      </c>
      <c r="I156" s="60" t="inlineStr">
        <is>
          <t>최초</t>
        </is>
      </c>
    </row>
    <row r="157">
      <c r="A157" s="56" t="inlineStr">
        <is>
          <t>2024/3</t>
        </is>
      </c>
      <c r="B157" s="60" t="inlineStr">
        <is>
          <t>2023-11-10</t>
        </is>
      </c>
      <c r="C157" s="57" t="n">
        <v>370</v>
      </c>
      <c r="D157" s="57" t="n">
        <v>31</v>
      </c>
      <c r="E157" s="57" t="n">
        <v>35</v>
      </c>
      <c r="F157" s="57" t="n">
        <v>20</v>
      </c>
      <c r="G157" s="59" t="n">
        <v>82.22</v>
      </c>
      <c r="H157" s="60" t="n"/>
      <c r="I157" s="60" t="inlineStr">
        <is>
          <t>수정</t>
        </is>
      </c>
    </row>
    <row r="158">
      <c r="A158" s="56" t="inlineStr">
        <is>
          <t>2023/3</t>
        </is>
      </c>
      <c r="B158" s="60" t="inlineStr">
        <is>
          <t>2022-05-13</t>
        </is>
      </c>
      <c r="C158" s="57" t="n">
        <v>345</v>
      </c>
      <c r="D158" s="57" t="n">
        <v>48</v>
      </c>
      <c r="E158" s="57" t="n">
        <v>48</v>
      </c>
      <c r="F158" s="57" t="n">
        <v>39</v>
      </c>
      <c r="G158" s="59" t="n">
        <v>160.58</v>
      </c>
      <c r="H158" s="60" t="n"/>
      <c r="I158" s="60" t="inlineStr">
        <is>
          <t>최초</t>
        </is>
      </c>
    </row>
    <row r="159">
      <c r="A159" s="56" t="inlineStr">
        <is>
          <t>2023/3</t>
        </is>
      </c>
      <c r="B159" s="60" t="inlineStr">
        <is>
          <t>2022-11-11</t>
        </is>
      </c>
      <c r="C159" s="57" t="n">
        <v>362</v>
      </c>
      <c r="D159" s="57" t="n">
        <v>51</v>
      </c>
      <c r="E159" s="57" t="n">
        <v>55</v>
      </c>
      <c r="F159" s="57" t="n">
        <v>41</v>
      </c>
      <c r="G159" s="59" t="n">
        <v>168.73</v>
      </c>
      <c r="H159" s="60" t="n"/>
      <c r="I159" s="60" t="inlineStr">
        <is>
          <t>수정</t>
        </is>
      </c>
    </row>
    <row r="160">
      <c r="A160" s="56" t="inlineStr">
        <is>
          <t>2022/3</t>
        </is>
      </c>
      <c r="B160" s="60" t="inlineStr">
        <is>
          <t>2021-05-14</t>
        </is>
      </c>
      <c r="C160" s="57" t="n">
        <v>292</v>
      </c>
      <c r="D160" s="57" t="n">
        <v>30</v>
      </c>
      <c r="E160" s="57" t="n">
        <v>31</v>
      </c>
      <c r="F160" s="57" t="n">
        <v>21</v>
      </c>
      <c r="G160" s="60" t="n"/>
      <c r="H160" s="57" t="n">
        <v>20</v>
      </c>
      <c r="I160" s="60" t="inlineStr">
        <is>
          <t>최초</t>
        </is>
      </c>
    </row>
    <row r="161">
      <c r="A161" s="56" t="inlineStr">
        <is>
          <t>2020/3</t>
        </is>
      </c>
      <c r="B161" s="60" t="inlineStr">
        <is>
          <t>2019-05-13</t>
        </is>
      </c>
      <c r="C161" s="57" t="n">
        <v>290</v>
      </c>
      <c r="D161" s="57" t="n">
        <v>40</v>
      </c>
      <c r="E161" s="57" t="n">
        <v>40</v>
      </c>
      <c r="F161" s="57" t="n">
        <v>28</v>
      </c>
      <c r="G161" s="59" t="n">
        <v>115.65</v>
      </c>
      <c r="H161" s="57" t="n">
        <v>20</v>
      </c>
      <c r="I161" s="60" t="inlineStr">
        <is>
          <t>최초</t>
        </is>
      </c>
    </row>
    <row r="162">
      <c r="A162" s="56" t="inlineStr">
        <is>
          <t>2019/3</t>
        </is>
      </c>
      <c r="B162" s="60" t="inlineStr">
        <is>
          <t>2018-05-11</t>
        </is>
      </c>
      <c r="C162" s="57" t="n">
        <v>280</v>
      </c>
      <c r="D162" s="57" t="n">
        <v>41</v>
      </c>
      <c r="E162" s="57" t="n">
        <v>41</v>
      </c>
      <c r="F162" s="57" t="n">
        <v>29</v>
      </c>
      <c r="G162" s="59" t="n">
        <v>119.95</v>
      </c>
      <c r="H162" s="57" t="n">
        <v>18</v>
      </c>
      <c r="I162" s="60" t="inlineStr">
        <is>
          <t>최초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2026-08-07</t>
        </is>
      </c>
      <c r="B4" t="inlineStr">
        <is>
          <t>2027년 3월 결산기 １분기 결산단신</t>
        </is>
      </c>
      <c r="C4" t="inlineStr">
        <is>
          <t>https://www2.jpx.co.jp/disc/40820/140120260806511826.pdf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https://www2.jpx.co.jp/disc/40820/140120260513528057.pdf</t>
        </is>
      </c>
    </row>
    <row r="6">
      <c r="A6" t="inlineStr">
        <is>
          <t>2026-02-12</t>
        </is>
      </c>
      <c r="B6" t="inlineStr">
        <is>
          <t>2026년 3월 결산기 ３분기 결산단신</t>
        </is>
      </c>
      <c r="C6" t="inlineStr">
        <is>
          <t>https://www2.jpx.co.jp/disc/40820/140120260210554700.pdf</t>
        </is>
      </c>
    </row>
    <row r="7">
      <c r="A7" t="inlineStr">
        <is>
          <t>2025-11-13</t>
        </is>
      </c>
      <c r="B7" t="inlineStr">
        <is>
          <t>2026년 3월 결산기 ２분기 결산단신</t>
        </is>
      </c>
      <c r="C7" t="inlineStr">
        <is>
          <t>https://www2.jpx.co.jp/disc/40820/140120251112597212.pdf</t>
        </is>
      </c>
    </row>
    <row r="8">
      <c r="A8" t="inlineStr">
        <is>
          <t>2025-08-07</t>
        </is>
      </c>
      <c r="B8" t="inlineStr">
        <is>
          <t>2026년 3월 결산기 １분기 결산단신</t>
        </is>
      </c>
      <c r="C8" t="inlineStr">
        <is>
          <t>https://www2.jpx.co.jp/disc/40820/140120250806531474.pdf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https://www2.jpx.co.jp/disc/40820/140120250512541349.pdf</t>
        </is>
      </c>
    </row>
    <row r="10">
      <c r="A10" t="inlineStr">
        <is>
          <t>2025-02-13</t>
        </is>
      </c>
      <c r="B10" t="inlineStr">
        <is>
          <t>2025년 3월 결산기 ３분기 결산단신</t>
        </is>
      </c>
      <c r="C10" t="inlineStr">
        <is>
          <t>https://www2.jpx.co.jp/disc/40820/140120250210568884.pdf</t>
        </is>
      </c>
    </row>
    <row r="11">
      <c r="A11" t="inlineStr">
        <is>
          <t>2024-11-12</t>
        </is>
      </c>
      <c r="B11" t="inlineStr">
        <is>
          <t>2025년 3월 결산기 ２분기 결산단신</t>
        </is>
      </c>
      <c r="C11" t="inlineStr">
        <is>
          <t>https://www2.jpx.co.jp/disc/40820/140120241111518280.pdf</t>
        </is>
      </c>
    </row>
    <row r="12">
      <c r="A12" t="inlineStr">
        <is>
          <t>2024-08-08</t>
        </is>
      </c>
      <c r="B12" t="inlineStr">
        <is>
          <t>2025년 3월 결산기 １분기 결산단신</t>
        </is>
      </c>
      <c r="C12" t="inlineStr">
        <is>
          <t>https://www2.jpx.co.jp/disc/40820/140120240807564582.pdf</t>
        </is>
      </c>
    </row>
    <row r="13">
      <c r="A13" t="inlineStr">
        <is>
          <t>2024-05-13</t>
        </is>
      </c>
      <c r="B13" t="inlineStr">
        <is>
          <t>2024년 3월 결산기 연간 결산단신</t>
        </is>
      </c>
      <c r="C13" t="inlineStr">
        <is>
          <t>https://www2.jpx.co.jp/disc/40820/140120240513591078.pdf</t>
        </is>
      </c>
    </row>
    <row r="14">
      <c r="A14" t="inlineStr">
        <is>
          <t>2024-02-09</t>
        </is>
      </c>
      <c r="B14" t="inlineStr">
        <is>
          <t>2024년 3월 결산기 ３분기 결산단신</t>
        </is>
      </c>
      <c r="C14" t="inlineStr">
        <is>
          <t>https://www2.jpx.co.jp/disc/40820/140120240207529175.pdf</t>
        </is>
      </c>
    </row>
    <row r="15">
      <c r="A15" t="inlineStr">
        <is>
          <t>2023-11-10</t>
        </is>
      </c>
      <c r="B15" t="inlineStr">
        <is>
          <t>2024년 3월 결산기 ２분기 결산단신</t>
        </is>
      </c>
      <c r="C15" t="inlineStr">
        <is>
          <t>https://www2.jpx.co.jp/disc/40820/140120231109583429.pdf</t>
        </is>
      </c>
    </row>
    <row r="16">
      <c r="A16" t="inlineStr">
        <is>
          <t>2023-08-10</t>
        </is>
      </c>
      <c r="B16" t="inlineStr">
        <is>
          <t>2024년 3월 결산기 １분기 결산단신</t>
        </is>
      </c>
      <c r="C16" t="inlineStr">
        <is>
          <t>https://www2.jpx.co.jp/disc/40820/140120230809538219.pdf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https://www2.jpx.co.jp/disc/40820/140120230511566841.pdf</t>
        </is>
      </c>
    </row>
    <row r="18">
      <c r="A18" t="inlineStr">
        <is>
          <t>2022-11-11</t>
        </is>
      </c>
      <c r="B18" t="inlineStr">
        <is>
          <t>2023년 3월 결산기 ２분기 결산단신</t>
        </is>
      </c>
      <c r="C18" t="inlineStr">
        <is>
          <t>https://www2.jpx.co.jp/disc/40820/140120221110562080.pdf</t>
        </is>
      </c>
    </row>
    <row r="19">
      <c r="A19" t="inlineStr">
        <is>
          <t>2022-08-10</t>
        </is>
      </c>
      <c r="B19" t="inlineStr">
        <is>
          <t>2023년 3월 결산기 １분기 결산단신</t>
        </is>
      </c>
      <c r="C19" t="inlineStr">
        <is>
          <t>https://www2.jpx.co.jp/disc/40820/140120220809515607.pdf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https://www2.jpx.co.jp/disc/40820/140120220512543711.pdf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https://www2.jpx.co.jp/disc/40820/140120210513415329.pdf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https://www2.jpx.co.jp/disc/40820/140120200513412137.pdf</t>
        </is>
      </c>
    </row>
    <row r="23">
      <c r="A23" t="inlineStr">
        <is>
          <t>2019-05-13</t>
        </is>
      </c>
      <c r="B23" t="inlineStr">
        <is>
          <t>2019년 3월 결산기 연간 결산단신</t>
        </is>
      </c>
      <c r="C23" t="inlineStr">
        <is>
          <t>https://www2.jpx.co.jp/disc/40820/140120190510421454.pdf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https://www2.jpx.co.jp/disc/40820/140120180510432863.pdf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4082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36건(2017-08-08~2026-08-07).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3Q16</t>
        </is>
      </c>
      <c r="C4" s="65" t="inlineStr">
        <is>
          <t>4Q16</t>
        </is>
      </c>
      <c r="D4" s="65" t="inlineStr">
        <is>
          <t>1Q17</t>
        </is>
      </c>
      <c r="E4" s="65" t="inlineStr">
        <is>
          <t>2Q17</t>
        </is>
      </c>
      <c r="F4" s="65" t="inlineStr">
        <is>
          <t>3Q17</t>
        </is>
      </c>
      <c r="G4" s="65" t="inlineStr">
        <is>
          <t>4Q17</t>
        </is>
      </c>
      <c r="H4" s="65" t="inlineStr">
        <is>
          <t>1Q18</t>
        </is>
      </c>
      <c r="I4" s="65" t="inlineStr">
        <is>
          <t>2Q18</t>
        </is>
      </c>
      <c r="J4" s="65" t="inlineStr">
        <is>
          <t>3Q18</t>
        </is>
      </c>
      <c r="K4" s="65" t="inlineStr">
        <is>
          <t>4Q18</t>
        </is>
      </c>
      <c r="L4" s="65" t="inlineStr">
        <is>
          <t>1Q19</t>
        </is>
      </c>
      <c r="M4" s="65" t="inlineStr">
        <is>
          <t>2Q19</t>
        </is>
      </c>
      <c r="N4" s="65" t="inlineStr">
        <is>
          <t>3Q19</t>
        </is>
      </c>
      <c r="O4" s="65" t="inlineStr">
        <is>
          <t>4Q19</t>
        </is>
      </c>
      <c r="P4" s="65" t="inlineStr">
        <is>
          <t>1Q20</t>
        </is>
      </c>
      <c r="Q4" s="65" t="inlineStr">
        <is>
          <t>2Q20</t>
        </is>
      </c>
      <c r="R4" s="65" t="inlineStr">
        <is>
          <t>3Q20</t>
        </is>
      </c>
      <c r="S4" s="65" t="inlineStr">
        <is>
          <t>4Q20</t>
        </is>
      </c>
      <c r="T4" s="65" t="inlineStr">
        <is>
          <t>1Q21</t>
        </is>
      </c>
      <c r="U4" s="65" t="inlineStr">
        <is>
          <t>2Q21</t>
        </is>
      </c>
      <c r="V4" s="65" t="inlineStr">
        <is>
          <t>3Q21</t>
        </is>
      </c>
      <c r="W4" s="65" t="inlineStr">
        <is>
          <t>4Q21</t>
        </is>
      </c>
      <c r="X4" s="65" t="inlineStr">
        <is>
          <t>1Q22</t>
        </is>
      </c>
      <c r="Y4" s="65" t="inlineStr">
        <is>
          <t>2Q22</t>
        </is>
      </c>
      <c r="Z4" s="65" t="inlineStr">
        <is>
          <t>3Q22</t>
        </is>
      </c>
      <c r="AA4" s="65" t="inlineStr">
        <is>
          <t>4Q22</t>
        </is>
      </c>
      <c r="AB4" s="65" t="inlineStr">
        <is>
          <t>1Q23</t>
        </is>
      </c>
      <c r="AC4" s="65" t="inlineStr">
        <is>
          <t>2Q23</t>
        </is>
      </c>
      <c r="AD4" s="65" t="inlineStr">
        <is>
          <t>3Q23</t>
        </is>
      </c>
      <c r="AE4" s="65" t="inlineStr">
        <is>
          <t>4Q23</t>
        </is>
      </c>
      <c r="AF4" s="65" t="inlineStr">
        <is>
          <t>1Q24</t>
        </is>
      </c>
      <c r="AG4" s="65" t="inlineStr">
        <is>
          <t>2Q24</t>
        </is>
      </c>
      <c r="AH4" s="65" t="inlineStr">
        <is>
          <t>3Q24</t>
        </is>
      </c>
      <c r="AI4" s="65" t="inlineStr">
        <is>
          <t>4Q24</t>
        </is>
      </c>
      <c r="AJ4" s="65" t="inlineStr">
        <is>
          <t>1Q25</t>
        </is>
      </c>
      <c r="AK4" s="65" t="inlineStr">
        <is>
          <t>2Q25</t>
        </is>
      </c>
      <c r="AL4" s="65" t="inlineStr">
        <is>
          <t>3Q25</t>
        </is>
      </c>
      <c r="AM4" s="65" t="inlineStr">
        <is>
          <t>4Q25</t>
        </is>
      </c>
      <c r="AN4" s="65" t="inlineStr">
        <is>
          <t>1Q26</t>
        </is>
      </c>
      <c r="AO4" s="65" t="inlineStr">
        <is>
          <t>2Q26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>
        <v>55.5</v>
      </c>
      <c r="C5" s="67" t="n">
        <v>61.1</v>
      </c>
      <c r="D5" s="67" t="n">
        <v>60.5</v>
      </c>
      <c r="E5" s="67" t="n">
        <v>60.9</v>
      </c>
      <c r="F5" s="67" t="n">
        <v>58.9</v>
      </c>
      <c r="G5" s="67" t="n">
        <v>69.09999999999999</v>
      </c>
      <c r="H5" s="67" t="n">
        <v>66.5</v>
      </c>
      <c r="I5" s="67" t="n">
        <v>72</v>
      </c>
      <c r="J5" s="67" t="n">
        <v>65</v>
      </c>
      <c r="K5" s="67" t="n">
        <v>73.09999999999999</v>
      </c>
      <c r="L5" s="67" t="n">
        <v>64.7</v>
      </c>
      <c r="M5" s="67" t="n">
        <v>68.40000000000001</v>
      </c>
      <c r="N5" s="67" t="n">
        <v>69.7</v>
      </c>
      <c r="O5" s="67" t="n">
        <v>65.2</v>
      </c>
      <c r="P5" s="67" t="n">
        <v>62</v>
      </c>
      <c r="Q5" s="67" t="n">
        <v>43.4</v>
      </c>
      <c r="R5" s="67" t="n">
        <v>46.3</v>
      </c>
      <c r="S5" s="67" t="n">
        <v>64.5</v>
      </c>
      <c r="T5" s="67" t="n">
        <v>80.5</v>
      </c>
      <c r="U5" s="67" t="n">
        <v>75</v>
      </c>
      <c r="V5" s="67" t="n">
        <v>72.7</v>
      </c>
      <c r="W5" s="67" t="n">
        <v>68.5</v>
      </c>
      <c r="X5" s="67" t="n">
        <v>77.59999999999999</v>
      </c>
      <c r="Y5" s="67" t="n">
        <v>79.40000000000001</v>
      </c>
      <c r="Z5" s="67" t="n">
        <v>89.59999999999999</v>
      </c>
      <c r="AA5" s="67" t="n">
        <v>95.7</v>
      </c>
      <c r="AB5" s="67" t="n">
        <v>92.8</v>
      </c>
      <c r="AC5" s="67" t="n">
        <v>83.2</v>
      </c>
      <c r="AD5" s="67" t="n">
        <v>92.3</v>
      </c>
      <c r="AE5" s="67" t="n">
        <v>91.7</v>
      </c>
      <c r="AF5" s="67" t="n">
        <v>84.90000000000001</v>
      </c>
      <c r="AG5" s="67" t="n">
        <v>84.3</v>
      </c>
      <c r="AH5" s="67" t="n">
        <v>85.8</v>
      </c>
      <c r="AI5" s="67" t="n">
        <v>80.59999999999999</v>
      </c>
      <c r="AJ5" s="67" t="n">
        <v>85.7</v>
      </c>
      <c r="AK5" s="67" t="n">
        <v>81</v>
      </c>
      <c r="AL5" s="67" t="n">
        <v>90.5</v>
      </c>
      <c r="AM5" s="67" t="n">
        <v>91.7</v>
      </c>
      <c r="AN5" s="67" t="n">
        <v>94.40000000000001</v>
      </c>
      <c r="AO5" s="67" t="n">
        <v>101.1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>
        <v>6.1</v>
      </c>
      <c r="G6" s="68" t="n">
        <v>13.1</v>
      </c>
      <c r="H6" s="68" t="n">
        <v>9.9</v>
      </c>
      <c r="I6" s="68" t="n">
        <v>18.2</v>
      </c>
      <c r="J6" s="68" t="n">
        <v>10.4</v>
      </c>
      <c r="K6" s="68" t="n">
        <v>5.8</v>
      </c>
      <c r="L6" s="68" t="n">
        <v>-2.7</v>
      </c>
      <c r="M6" s="68" t="n">
        <v>-5</v>
      </c>
      <c r="N6" s="68" t="n">
        <v>7.2</v>
      </c>
      <c r="O6" s="68" t="n">
        <v>-10.8</v>
      </c>
      <c r="P6" s="68" t="n">
        <v>-4.2</v>
      </c>
      <c r="Q6" s="68" t="n">
        <v>-36.5</v>
      </c>
      <c r="R6" s="68" t="n">
        <v>-33.6</v>
      </c>
      <c r="S6" s="68" t="n">
        <v>-1.1</v>
      </c>
      <c r="T6" s="68" t="n">
        <v>29.8</v>
      </c>
      <c r="U6" s="68" t="n">
        <v>72.8</v>
      </c>
      <c r="V6" s="68" t="n">
        <v>57</v>
      </c>
      <c r="W6" s="68" t="n">
        <v>6.2</v>
      </c>
      <c r="X6" s="68" t="n">
        <v>-3.6</v>
      </c>
      <c r="Y6" s="68" t="n">
        <v>5.9</v>
      </c>
      <c r="Z6" s="68" t="n">
        <v>23.2</v>
      </c>
      <c r="AA6" s="68" t="n">
        <v>39.7</v>
      </c>
      <c r="AB6" s="68" t="n">
        <v>19.6</v>
      </c>
      <c r="AC6" s="68" t="n">
        <v>4.8</v>
      </c>
      <c r="AD6" s="68" t="n">
        <v>3</v>
      </c>
      <c r="AE6" s="68" t="n">
        <v>-4.2</v>
      </c>
      <c r="AF6" s="68" t="n">
        <v>-8.5</v>
      </c>
      <c r="AG6" s="68" t="n">
        <v>1.3</v>
      </c>
      <c r="AH6" s="68" t="n">
        <v>-7</v>
      </c>
      <c r="AI6" s="68" t="n">
        <v>-12.1</v>
      </c>
      <c r="AJ6" s="68" t="n">
        <v>0.9</v>
      </c>
      <c r="AK6" s="68" t="n">
        <v>-3.9</v>
      </c>
      <c r="AL6" s="68" t="n">
        <v>5.5</v>
      </c>
      <c r="AM6" s="68" t="n">
        <v>13.8</v>
      </c>
      <c r="AN6" s="68" t="n">
        <v>10.2</v>
      </c>
      <c r="AO6" s="68" t="n">
        <v>24.8</v>
      </c>
    </row>
    <row r="7">
      <c r="A7" s="66" t="inlineStr">
        <is>
          <t>영업이익</t>
        </is>
      </c>
      <c r="B7" s="67" t="n">
        <v>11.2</v>
      </c>
      <c r="C7" s="67" t="n">
        <v>14.6</v>
      </c>
      <c r="D7" s="67" t="n">
        <v>12.6</v>
      </c>
      <c r="E7" s="67" t="n">
        <v>12.4</v>
      </c>
      <c r="F7" s="67" t="n">
        <v>9.6</v>
      </c>
      <c r="G7" s="67" t="n">
        <v>14.8</v>
      </c>
      <c r="H7" s="67" t="n">
        <v>9.5</v>
      </c>
      <c r="I7" s="67" t="n">
        <v>13.1</v>
      </c>
      <c r="J7" s="67" t="n">
        <v>9.4</v>
      </c>
      <c r="K7" s="67" t="n">
        <v>12.6</v>
      </c>
      <c r="L7" s="67" t="n">
        <v>7.2</v>
      </c>
      <c r="M7" s="67" t="n">
        <v>9.5</v>
      </c>
      <c r="N7" s="67" t="n">
        <v>8.6</v>
      </c>
      <c r="O7" s="67" t="n">
        <v>7.8</v>
      </c>
      <c r="P7" s="67" t="n">
        <v>5.2</v>
      </c>
      <c r="Q7" s="67" t="n">
        <v>1.9</v>
      </c>
      <c r="R7" s="67" t="n">
        <v>-1.3</v>
      </c>
      <c r="S7" s="67" t="n">
        <v>9.199999999999999</v>
      </c>
      <c r="T7" s="67" t="n">
        <v>10.3</v>
      </c>
      <c r="U7" s="67" t="n">
        <v>10.5</v>
      </c>
      <c r="V7" s="67" t="n">
        <v>10.4</v>
      </c>
      <c r="W7" s="67" t="n">
        <v>8.1</v>
      </c>
      <c r="X7" s="67" t="n">
        <v>8.6</v>
      </c>
      <c r="Y7" s="67" t="n">
        <v>17.2</v>
      </c>
      <c r="Z7" s="67" t="n">
        <v>17.2</v>
      </c>
      <c r="AA7" s="67" t="n">
        <v>13.5</v>
      </c>
      <c r="AB7" s="67" t="n">
        <v>6</v>
      </c>
      <c r="AC7" s="67" t="n">
        <v>4.4</v>
      </c>
      <c r="AD7" s="67" t="n">
        <v>10</v>
      </c>
      <c r="AE7" s="67" t="n">
        <v>9.199999999999999</v>
      </c>
      <c r="AF7" s="67" t="n">
        <v>0.6</v>
      </c>
      <c r="AG7" s="67" t="n">
        <v>7.6</v>
      </c>
      <c r="AH7" s="67" t="n">
        <v>8</v>
      </c>
      <c r="AI7" s="67" t="n">
        <v>7.7</v>
      </c>
      <c r="AJ7" s="67" t="n">
        <v>-0.5</v>
      </c>
      <c r="AK7" s="67" t="n">
        <v>5.2</v>
      </c>
      <c r="AL7" s="67" t="n">
        <v>5.7</v>
      </c>
      <c r="AM7" s="67" t="n">
        <v>16.4</v>
      </c>
      <c r="AN7" s="67" t="n">
        <v>7.4</v>
      </c>
      <c r="AO7" s="67" t="n">
        <v>11.5</v>
      </c>
    </row>
    <row r="8">
      <c r="A8" s="66" t="inlineStr">
        <is>
          <t>영업이익률</t>
        </is>
      </c>
      <c r="B8" s="68" t="n">
        <v>20.2</v>
      </c>
      <c r="C8" s="68" t="n">
        <v>23.9</v>
      </c>
      <c r="D8" s="68" t="n">
        <v>20.8</v>
      </c>
      <c r="E8" s="68" t="n">
        <v>20.4</v>
      </c>
      <c r="F8" s="68" t="n">
        <v>16.3</v>
      </c>
      <c r="G8" s="68" t="n">
        <v>21.4</v>
      </c>
      <c r="H8" s="68" t="n">
        <v>14.3</v>
      </c>
      <c r="I8" s="68" t="n">
        <v>18.2</v>
      </c>
      <c r="J8" s="68" t="n">
        <v>14.5</v>
      </c>
      <c r="K8" s="68" t="n">
        <v>17.2</v>
      </c>
      <c r="L8" s="68" t="n">
        <v>11.1</v>
      </c>
      <c r="M8" s="68" t="n">
        <v>13.9</v>
      </c>
      <c r="N8" s="68" t="n">
        <v>12.3</v>
      </c>
      <c r="O8" s="68" t="n">
        <v>12</v>
      </c>
      <c r="P8" s="68" t="n">
        <v>8.4</v>
      </c>
      <c r="Q8" s="68" t="n">
        <v>4.4</v>
      </c>
      <c r="R8" s="68" t="n">
        <v>-2.8</v>
      </c>
      <c r="S8" s="68" t="n">
        <v>14.3</v>
      </c>
      <c r="T8" s="68" t="n">
        <v>12.8</v>
      </c>
      <c r="U8" s="68" t="n">
        <v>14</v>
      </c>
      <c r="V8" s="68" t="n">
        <v>14.3</v>
      </c>
      <c r="W8" s="68" t="n">
        <v>11.8</v>
      </c>
      <c r="X8" s="68" t="n">
        <v>11.1</v>
      </c>
      <c r="Y8" s="68" t="n">
        <v>21.7</v>
      </c>
      <c r="Z8" s="68" t="n">
        <v>19.2</v>
      </c>
      <c r="AA8" s="68" t="n">
        <v>14.1</v>
      </c>
      <c r="AB8" s="68" t="n">
        <v>6.5</v>
      </c>
      <c r="AC8" s="68" t="n">
        <v>5.3</v>
      </c>
      <c r="AD8" s="68" t="n">
        <v>10.8</v>
      </c>
      <c r="AE8" s="68" t="n">
        <v>10</v>
      </c>
      <c r="AF8" s="68" t="n">
        <v>0.7</v>
      </c>
      <c r="AG8" s="68" t="n">
        <v>9</v>
      </c>
      <c r="AH8" s="68" t="n">
        <v>9.300000000000001</v>
      </c>
      <c r="AI8" s="68" t="n">
        <v>9.6</v>
      </c>
      <c r="AJ8" s="68" t="n">
        <v>-0.6</v>
      </c>
      <c r="AK8" s="68" t="n">
        <v>6.4</v>
      </c>
      <c r="AL8" s="68" t="n">
        <v>6.3</v>
      </c>
      <c r="AM8" s="68" t="n">
        <v>17.9</v>
      </c>
      <c r="AN8" s="68" t="n">
        <v>7.8</v>
      </c>
      <c r="AO8" s="68" t="n">
        <v>11.4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>
        <v>-14.3</v>
      </c>
      <c r="G9" s="68" t="n">
        <v>1.4</v>
      </c>
      <c r="H9" s="68" t="n">
        <v>-24.6</v>
      </c>
      <c r="I9" s="68" t="n">
        <v>5.6</v>
      </c>
      <c r="J9" s="68" t="n">
        <v>-2.1</v>
      </c>
      <c r="K9" s="68" t="n">
        <v>-14.9</v>
      </c>
      <c r="L9" s="68" t="n">
        <v>-24.2</v>
      </c>
      <c r="M9" s="68" t="n">
        <v>-27.5</v>
      </c>
      <c r="N9" s="68" t="n">
        <v>-8.5</v>
      </c>
      <c r="O9" s="68" t="n">
        <v>-38.1</v>
      </c>
      <c r="P9" s="68" t="n">
        <v>-27.8</v>
      </c>
      <c r="Q9" s="68" t="n">
        <v>-80</v>
      </c>
      <c r="R9" s="68" t="n">
        <v>-115.1</v>
      </c>
      <c r="S9" s="68" t="n">
        <v>17.9</v>
      </c>
      <c r="T9" s="68" t="n">
        <v>98.09999999999999</v>
      </c>
      <c r="U9" s="68" t="n">
        <v>452.6</v>
      </c>
      <c r="V9" s="68" t="n"/>
      <c r="W9" s="68" t="n">
        <v>-12</v>
      </c>
      <c r="X9" s="68" t="n">
        <v>-16.5</v>
      </c>
      <c r="Y9" s="68" t="n">
        <v>63.8</v>
      </c>
      <c r="Z9" s="68" t="n">
        <v>65.40000000000001</v>
      </c>
      <c r="AA9" s="68" t="n">
        <v>66.7</v>
      </c>
      <c r="AB9" s="68" t="n">
        <v>-30.2</v>
      </c>
      <c r="AC9" s="68" t="n">
        <v>-74.40000000000001</v>
      </c>
      <c r="AD9" s="68" t="n">
        <v>-41.9</v>
      </c>
      <c r="AE9" s="68" t="n">
        <v>-31.9</v>
      </c>
      <c r="AF9" s="68" t="n">
        <v>-90</v>
      </c>
      <c r="AG9" s="68" t="n">
        <v>72.7</v>
      </c>
      <c r="AH9" s="68" t="n">
        <v>-20</v>
      </c>
      <c r="AI9" s="68" t="n">
        <v>-16.3</v>
      </c>
      <c r="AJ9" s="68" t="n">
        <v>-183.3</v>
      </c>
      <c r="AK9" s="68" t="n">
        <v>-31.6</v>
      </c>
      <c r="AL9" s="68" t="n">
        <v>-28.7</v>
      </c>
      <c r="AM9" s="68" t="n">
        <v>113</v>
      </c>
      <c r="AN9" s="68" t="n"/>
      <c r="AO9" s="68" t="n">
        <v>121.2</v>
      </c>
    </row>
    <row r="10">
      <c r="A10" s="66" t="inlineStr">
        <is>
          <t>유동자산</t>
        </is>
      </c>
      <c r="B10" s="67" t="n"/>
      <c r="C10" s="67" t="n"/>
      <c r="D10" s="67" t="n">
        <v>186.6</v>
      </c>
      <c r="E10" s="67" t="n">
        <v>178.2</v>
      </c>
      <c r="F10" s="67" t="n">
        <v>203.4</v>
      </c>
      <c r="G10" s="67" t="n">
        <v>207.9</v>
      </c>
      <c r="H10" s="67" t="n">
        <v>212.3</v>
      </c>
      <c r="I10" s="67" t="n">
        <v>248.5</v>
      </c>
      <c r="J10" s="67" t="n">
        <v>256.1</v>
      </c>
      <c r="K10" s="67" t="n">
        <v>285.5</v>
      </c>
      <c r="L10" s="67" t="n">
        <v>261</v>
      </c>
      <c r="M10" s="67" t="n">
        <v>259.2</v>
      </c>
      <c r="N10" s="67" t="n">
        <v>272.4</v>
      </c>
      <c r="O10" s="67" t="n">
        <v>267.3</v>
      </c>
      <c r="P10" s="67" t="n">
        <v>270.2</v>
      </c>
      <c r="Q10" s="67" t="n">
        <v>267.7</v>
      </c>
      <c r="R10" s="67" t="n">
        <v>265.2</v>
      </c>
      <c r="S10" s="67" t="n">
        <v>262.2</v>
      </c>
      <c r="T10" s="67" t="n">
        <v>275.3</v>
      </c>
      <c r="U10" s="67" t="n">
        <v>270.3</v>
      </c>
      <c r="V10" s="67" t="n">
        <v>285.9</v>
      </c>
      <c r="W10" s="67" t="n">
        <v>287.7</v>
      </c>
      <c r="X10" s="67" t="n">
        <v>285</v>
      </c>
      <c r="Y10" s="67" t="n">
        <v>304</v>
      </c>
      <c r="Z10" s="67" t="n">
        <v>342.4</v>
      </c>
      <c r="AA10" s="67" t="n"/>
      <c r="AB10" s="67" t="n">
        <v>339.9</v>
      </c>
      <c r="AC10" s="67" t="n">
        <v>353.7</v>
      </c>
      <c r="AD10" s="67" t="n">
        <v>346.9</v>
      </c>
      <c r="AE10" s="67" t="n">
        <v>342.2</v>
      </c>
      <c r="AF10" s="67" t="n">
        <v>325.2</v>
      </c>
      <c r="AG10" s="67" t="n">
        <v>322.7</v>
      </c>
      <c r="AH10" s="67" t="n">
        <v>348.9</v>
      </c>
      <c r="AI10" s="67" t="n">
        <v>339.6</v>
      </c>
      <c r="AJ10" s="67" t="n">
        <v>319.3</v>
      </c>
      <c r="AK10" s="67" t="n">
        <v>306.5</v>
      </c>
      <c r="AL10" s="67" t="n">
        <v>323.4</v>
      </c>
      <c r="AM10" s="67" t="n">
        <v>358.9</v>
      </c>
      <c r="AN10" s="67" t="n">
        <v>361.9</v>
      </c>
      <c r="AO10" s="67" t="n">
        <v>352.9</v>
      </c>
    </row>
    <row r="11">
      <c r="A11" s="66" t="inlineStr">
        <is>
          <t>유동부채</t>
        </is>
      </c>
      <c r="B11" s="67" t="n"/>
      <c r="C11" s="67" t="n"/>
      <c r="D11" s="67" t="n">
        <v>54.4</v>
      </c>
      <c r="E11" s="67" t="n">
        <v>44.1</v>
      </c>
      <c r="F11" s="67" t="n">
        <v>58.2</v>
      </c>
      <c r="G11" s="67" t="n">
        <v>50</v>
      </c>
      <c r="H11" s="67" t="n">
        <v>67.7</v>
      </c>
      <c r="I11" s="67" t="n">
        <v>71</v>
      </c>
      <c r="J11" s="67" t="n">
        <v>71.7</v>
      </c>
      <c r="K11" s="67" t="n">
        <v>67.7</v>
      </c>
      <c r="L11" s="67" t="n">
        <v>93.3</v>
      </c>
      <c r="M11" s="67" t="n">
        <v>80.2</v>
      </c>
      <c r="N11" s="67" t="n">
        <v>86.59999999999999</v>
      </c>
      <c r="O11" s="67" t="n">
        <v>71.7</v>
      </c>
      <c r="P11" s="67" t="n">
        <v>76</v>
      </c>
      <c r="Q11" s="67" t="n">
        <v>74.7</v>
      </c>
      <c r="R11" s="67" t="n">
        <v>78.8</v>
      </c>
      <c r="S11" s="67" t="n">
        <v>73</v>
      </c>
      <c r="T11" s="67" t="n">
        <v>85.90000000000001</v>
      </c>
      <c r="U11" s="67" t="n">
        <v>78.3</v>
      </c>
      <c r="V11" s="67" t="n">
        <v>85.5</v>
      </c>
      <c r="W11" s="67" t="n">
        <v>93.90000000000001</v>
      </c>
      <c r="X11" s="67" t="n">
        <v>101.2</v>
      </c>
      <c r="Y11" s="67" t="n">
        <v>116.4</v>
      </c>
      <c r="Z11" s="67" t="n">
        <v>99.7</v>
      </c>
      <c r="AA11" s="67" t="n"/>
      <c r="AB11" s="67" t="n">
        <v>100.4</v>
      </c>
      <c r="AC11" s="67" t="n">
        <v>93.59999999999999</v>
      </c>
      <c r="AD11" s="67" t="n">
        <v>103.4</v>
      </c>
      <c r="AE11" s="67" t="n">
        <v>99.59999999999999</v>
      </c>
      <c r="AF11" s="67" t="n">
        <v>99.2</v>
      </c>
      <c r="AG11" s="67" t="n">
        <v>105.5</v>
      </c>
      <c r="AH11" s="67" t="n">
        <v>121.7</v>
      </c>
      <c r="AI11" s="67" t="n">
        <v>124.3</v>
      </c>
      <c r="AJ11" s="67" t="n">
        <v>87.09999999999999</v>
      </c>
      <c r="AK11" s="67" t="n">
        <v>81.3</v>
      </c>
      <c r="AL11" s="67" t="n">
        <v>94</v>
      </c>
      <c r="AM11" s="67" t="n">
        <v>113.6</v>
      </c>
      <c r="AN11" s="67" t="n">
        <v>120.8</v>
      </c>
      <c r="AO11" s="67" t="n">
        <v>99.09999999999999</v>
      </c>
    </row>
    <row r="12">
      <c r="A12" s="66" t="inlineStr">
        <is>
          <t>부채총계</t>
        </is>
      </c>
      <c r="B12" s="67" t="n"/>
      <c r="C12" s="67" t="n"/>
      <c r="D12" s="67" t="n">
        <v>87.09999999999999</v>
      </c>
      <c r="E12" s="67" t="n">
        <v>74.5</v>
      </c>
      <c r="F12" s="67" t="n">
        <v>95.90000000000001</v>
      </c>
      <c r="G12" s="67" t="n">
        <v>96</v>
      </c>
      <c r="H12" s="67" t="n">
        <v>108.5</v>
      </c>
      <c r="I12" s="67" t="n">
        <v>136.7</v>
      </c>
      <c r="J12" s="67" t="n">
        <v>140.5</v>
      </c>
      <c r="K12" s="67" t="n">
        <v>167</v>
      </c>
      <c r="L12" s="67" t="n">
        <v>185</v>
      </c>
      <c r="M12" s="67" t="n">
        <v>183.5</v>
      </c>
      <c r="N12" s="67" t="n">
        <v>210.2</v>
      </c>
      <c r="O12" s="67" t="n">
        <v>210.1</v>
      </c>
      <c r="P12" s="67" t="n">
        <v>216.7</v>
      </c>
      <c r="Q12" s="67" t="n">
        <v>226.4</v>
      </c>
      <c r="R12" s="67" t="n">
        <v>235.2</v>
      </c>
      <c r="S12" s="67" t="n">
        <v>242.5</v>
      </c>
      <c r="T12" s="67" t="n">
        <v>254.7</v>
      </c>
      <c r="U12" s="67" t="n">
        <v>247.2</v>
      </c>
      <c r="V12" s="67" t="n">
        <v>254.7</v>
      </c>
      <c r="W12" s="67" t="n">
        <v>258.7</v>
      </c>
      <c r="X12" s="67" t="n">
        <v>262.3</v>
      </c>
      <c r="Y12" s="67" t="n">
        <v>281.5</v>
      </c>
      <c r="Z12" s="67" t="n">
        <v>309.7</v>
      </c>
      <c r="AA12" s="67" t="n"/>
      <c r="AB12" s="67" t="n">
        <v>298.5</v>
      </c>
      <c r="AC12" s="67" t="n">
        <v>320.4</v>
      </c>
      <c r="AD12" s="67" t="n">
        <v>321</v>
      </c>
      <c r="AE12" s="67" t="n">
        <v>300.3</v>
      </c>
      <c r="AF12" s="67" t="n">
        <v>292.9</v>
      </c>
      <c r="AG12" s="67" t="n">
        <v>291.1</v>
      </c>
      <c r="AH12" s="67" t="n">
        <v>295.7</v>
      </c>
      <c r="AI12" s="67" t="n">
        <v>295.8</v>
      </c>
      <c r="AJ12" s="67" t="n">
        <v>262.7</v>
      </c>
      <c r="AK12" s="67" t="n">
        <v>237.2</v>
      </c>
      <c r="AL12" s="67" t="n">
        <v>260</v>
      </c>
      <c r="AM12" s="67" t="n">
        <v>276.8</v>
      </c>
      <c r="AN12" s="67" t="n">
        <v>278.8</v>
      </c>
      <c r="AO12" s="67" t="n">
        <v>261.4</v>
      </c>
    </row>
    <row r="13">
      <c r="A13" s="66" t="inlineStr">
        <is>
          <t>자기자본</t>
        </is>
      </c>
      <c r="B13" s="68" t="n"/>
      <c r="C13" s="68" t="n"/>
      <c r="D13" s="68" t="n">
        <v>219.8</v>
      </c>
      <c r="E13" s="68" t="n">
        <v>226</v>
      </c>
      <c r="F13" s="68" t="n">
        <v>233.2</v>
      </c>
      <c r="G13" s="68" t="n">
        <v>241.2</v>
      </c>
      <c r="H13" s="68" t="n">
        <v>247</v>
      </c>
      <c r="I13" s="68" t="n">
        <v>252.5</v>
      </c>
      <c r="J13" s="68" t="n">
        <v>260.4</v>
      </c>
      <c r="K13" s="68" t="n">
        <v>266.9</v>
      </c>
      <c r="L13" s="68" t="n">
        <v>272.7</v>
      </c>
      <c r="M13" s="68" t="n">
        <v>276.8</v>
      </c>
      <c r="N13" s="68" t="n">
        <v>281.5</v>
      </c>
      <c r="O13" s="68" t="n">
        <v>290.9</v>
      </c>
      <c r="P13" s="68" t="n">
        <v>295.3</v>
      </c>
      <c r="Q13" s="68" t="n">
        <v>292</v>
      </c>
      <c r="R13" s="68" t="n">
        <v>292.9</v>
      </c>
      <c r="S13" s="68" t="n">
        <v>297.5</v>
      </c>
      <c r="T13" s="68" t="n">
        <v>307.8</v>
      </c>
      <c r="U13" s="68" t="n">
        <v>321.9</v>
      </c>
      <c r="V13" s="68" t="n">
        <v>330.7</v>
      </c>
      <c r="W13" s="68" t="n">
        <v>334.8</v>
      </c>
      <c r="X13" s="68" t="n">
        <v>318.2</v>
      </c>
      <c r="Y13" s="68" t="n">
        <v>331.1</v>
      </c>
      <c r="Z13" s="68" t="n">
        <v>355.3</v>
      </c>
      <c r="AA13" s="68" t="n"/>
      <c r="AB13" s="68" t="n">
        <v>361.5</v>
      </c>
      <c r="AC13" s="68" t="n">
        <v>353.2</v>
      </c>
      <c r="AD13" s="68" t="n">
        <v>372.6</v>
      </c>
      <c r="AE13" s="68" t="n">
        <v>380.2</v>
      </c>
      <c r="AF13" s="68" t="n">
        <v>363.2</v>
      </c>
      <c r="AG13" s="68" t="n">
        <v>365.3</v>
      </c>
      <c r="AH13" s="68" t="n">
        <v>387</v>
      </c>
      <c r="AI13" s="68" t="n">
        <v>362.4</v>
      </c>
      <c r="AJ13" s="68" t="n">
        <v>384.8</v>
      </c>
      <c r="AK13" s="68" t="n">
        <v>381.1</v>
      </c>
      <c r="AL13" s="68" t="n">
        <v>366.2</v>
      </c>
      <c r="AM13" s="68" t="n">
        <v>378.9</v>
      </c>
      <c r="AN13" s="68" t="n">
        <v>390.2</v>
      </c>
      <c r="AO13" s="68" t="n">
        <v>395.3</v>
      </c>
    </row>
    <row r="14">
      <c r="A14" s="66" t="inlineStr">
        <is>
          <t>유동비율</t>
        </is>
      </c>
      <c r="B14" s="68" t="n"/>
      <c r="C14" s="68" t="n"/>
      <c r="D14" s="68" t="n">
        <v>343</v>
      </c>
      <c r="E14" s="68" t="n">
        <v>404.1</v>
      </c>
      <c r="F14" s="68" t="n">
        <v>349.5</v>
      </c>
      <c r="G14" s="68" t="n">
        <v>415.8</v>
      </c>
      <c r="H14" s="68" t="n">
        <v>313.6</v>
      </c>
      <c r="I14" s="68" t="n">
        <v>350</v>
      </c>
      <c r="J14" s="68" t="n">
        <v>357.2</v>
      </c>
      <c r="K14" s="68" t="n">
        <v>421.7</v>
      </c>
      <c r="L14" s="68" t="n">
        <v>279.7</v>
      </c>
      <c r="M14" s="68" t="n">
        <v>323.2</v>
      </c>
      <c r="N14" s="68" t="n">
        <v>314.5</v>
      </c>
      <c r="O14" s="68" t="n">
        <v>372.8</v>
      </c>
      <c r="P14" s="68" t="n">
        <v>355.5</v>
      </c>
      <c r="Q14" s="68" t="n">
        <v>358.4</v>
      </c>
      <c r="R14" s="68" t="n">
        <v>336.5</v>
      </c>
      <c r="S14" s="68" t="n">
        <v>359.2</v>
      </c>
      <c r="T14" s="68" t="n">
        <v>320.5</v>
      </c>
      <c r="U14" s="68" t="n">
        <v>345.2</v>
      </c>
      <c r="V14" s="68" t="n">
        <v>334.4</v>
      </c>
      <c r="W14" s="68" t="n">
        <v>306.4</v>
      </c>
      <c r="X14" s="68" t="n">
        <v>281.6</v>
      </c>
      <c r="Y14" s="68" t="n">
        <v>261.2</v>
      </c>
      <c r="Z14" s="68" t="n">
        <v>343.4</v>
      </c>
      <c r="AA14" s="68" t="n"/>
      <c r="AB14" s="68" t="n">
        <v>338.5</v>
      </c>
      <c r="AC14" s="68" t="n">
        <v>377.9</v>
      </c>
      <c r="AD14" s="68" t="n">
        <v>335.5</v>
      </c>
      <c r="AE14" s="68" t="n">
        <v>343.6</v>
      </c>
      <c r="AF14" s="68" t="n">
        <v>327.8</v>
      </c>
      <c r="AG14" s="68" t="n">
        <v>305.9</v>
      </c>
      <c r="AH14" s="68" t="n">
        <v>286.7</v>
      </c>
      <c r="AI14" s="68" t="n">
        <v>273.2</v>
      </c>
      <c r="AJ14" s="68" t="n">
        <v>366.6</v>
      </c>
      <c r="AK14" s="68" t="n">
        <v>377</v>
      </c>
      <c r="AL14" s="68" t="n">
        <v>344</v>
      </c>
      <c r="AM14" s="68" t="n">
        <v>315.9</v>
      </c>
      <c r="AN14" s="68" t="n">
        <v>299.6</v>
      </c>
      <c r="AO14" s="68" t="n">
        <v>356.1</v>
      </c>
    </row>
    <row r="15">
      <c r="A15" s="66" t="inlineStr">
        <is>
          <t>부채비율</t>
        </is>
      </c>
      <c r="B15" s="68" t="n"/>
      <c r="C15" s="68" t="n"/>
      <c r="D15" s="68" t="n">
        <v>39.6</v>
      </c>
      <c r="E15" s="68" t="n">
        <v>33</v>
      </c>
      <c r="F15" s="68" t="n">
        <v>41.1</v>
      </c>
      <c r="G15" s="68" t="n">
        <v>39.8</v>
      </c>
      <c r="H15" s="68" t="n">
        <v>43.9</v>
      </c>
      <c r="I15" s="68" t="n">
        <v>54.1</v>
      </c>
      <c r="J15" s="68" t="n">
        <v>54</v>
      </c>
      <c r="K15" s="68" t="n">
        <v>62.6</v>
      </c>
      <c r="L15" s="68" t="n">
        <v>67.8</v>
      </c>
      <c r="M15" s="68" t="n">
        <v>66.3</v>
      </c>
      <c r="N15" s="68" t="n">
        <v>74.7</v>
      </c>
      <c r="O15" s="68" t="n">
        <v>72.2</v>
      </c>
      <c r="P15" s="68" t="n">
        <v>73.40000000000001</v>
      </c>
      <c r="Q15" s="68" t="n">
        <v>77.5</v>
      </c>
      <c r="R15" s="68" t="n">
        <v>80.3</v>
      </c>
      <c r="S15" s="68" t="n">
        <v>81.5</v>
      </c>
      <c r="T15" s="68" t="n">
        <v>82.7</v>
      </c>
      <c r="U15" s="68" t="n">
        <v>76.8</v>
      </c>
      <c r="V15" s="68" t="n">
        <v>77</v>
      </c>
      <c r="W15" s="68" t="n">
        <v>77.3</v>
      </c>
      <c r="X15" s="68" t="n">
        <v>82.40000000000001</v>
      </c>
      <c r="Y15" s="68" t="n">
        <v>85</v>
      </c>
      <c r="Z15" s="68" t="n">
        <v>87.2</v>
      </c>
      <c r="AA15" s="68" t="n"/>
      <c r="AB15" s="68" t="n">
        <v>82.59999999999999</v>
      </c>
      <c r="AC15" s="68" t="n">
        <v>90.7</v>
      </c>
      <c r="AD15" s="68" t="n">
        <v>86.2</v>
      </c>
      <c r="AE15" s="68" t="n">
        <v>79</v>
      </c>
      <c r="AF15" s="68" t="n">
        <v>80.59999999999999</v>
      </c>
      <c r="AG15" s="68" t="n">
        <v>79.7</v>
      </c>
      <c r="AH15" s="68" t="n">
        <v>76.40000000000001</v>
      </c>
      <c r="AI15" s="68" t="n">
        <v>81.59999999999999</v>
      </c>
      <c r="AJ15" s="68" t="n">
        <v>68.3</v>
      </c>
      <c r="AK15" s="68" t="n">
        <v>62.2</v>
      </c>
      <c r="AL15" s="68" t="n">
        <v>71</v>
      </c>
      <c r="AM15" s="68" t="n">
        <v>73.09999999999999</v>
      </c>
      <c r="AN15" s="68" t="n">
        <v>71.5</v>
      </c>
      <c r="AO15" s="68" t="n">
        <v>66.09999999999999</v>
      </c>
    </row>
    <row r="16">
      <c r="A16" s="66" t="inlineStr">
        <is>
          <t>순차입금/자기자본</t>
        </is>
      </c>
      <c r="B16" s="68" t="n"/>
      <c r="C16" s="68" t="n"/>
      <c r="D16" s="68" t="n">
        <v>-4.7</v>
      </c>
      <c r="E16" s="68" t="n">
        <v>-2</v>
      </c>
      <c r="F16" s="68" t="n">
        <v>-3.1</v>
      </c>
      <c r="G16" s="68" t="n">
        <v>4.8</v>
      </c>
      <c r="H16" s="68" t="n">
        <v>7.5</v>
      </c>
      <c r="I16" s="68" t="n">
        <v>16.5</v>
      </c>
      <c r="J16" s="68" t="n">
        <v>8.300000000000001</v>
      </c>
      <c r="K16" s="68" t="n">
        <v>17.5</v>
      </c>
      <c r="L16" s="68" t="n">
        <v>19.2</v>
      </c>
      <c r="M16" s="68" t="n">
        <v>24.7</v>
      </c>
      <c r="N16" s="68" t="n">
        <v>27.7</v>
      </c>
      <c r="O16" s="68" t="n">
        <v>33.5</v>
      </c>
      <c r="P16" s="68" t="n">
        <v>33.3</v>
      </c>
      <c r="Q16" s="68" t="n">
        <v>33.9</v>
      </c>
      <c r="R16" s="68" t="n">
        <v>37.6</v>
      </c>
      <c r="S16" s="68" t="n">
        <v>44.3</v>
      </c>
      <c r="T16" s="68" t="n">
        <v>37.8</v>
      </c>
      <c r="U16" s="68" t="n">
        <v>35.3</v>
      </c>
      <c r="V16" s="68" t="n">
        <v>31.8</v>
      </c>
      <c r="W16" s="68" t="n">
        <v>38.4</v>
      </c>
      <c r="X16" s="68" t="n">
        <v>41.2</v>
      </c>
      <c r="Y16" s="68" t="n">
        <v>43.6</v>
      </c>
      <c r="Z16" s="68" t="n">
        <v>45.5</v>
      </c>
      <c r="AA16" s="68" t="n"/>
      <c r="AB16" s="68" t="n">
        <v>40.1</v>
      </c>
      <c r="AC16" s="68" t="n">
        <v>45.6</v>
      </c>
      <c r="AD16" s="68" t="n">
        <v>44.5</v>
      </c>
      <c r="AE16" s="68" t="n">
        <v>42.2</v>
      </c>
      <c r="AF16" s="68" t="n">
        <v>43.8</v>
      </c>
      <c r="AG16" s="68" t="n">
        <v>42.5</v>
      </c>
      <c r="AH16" s="68" t="n">
        <v>41.6</v>
      </c>
      <c r="AI16" s="68" t="n">
        <v>44.9</v>
      </c>
      <c r="AJ16" s="68" t="n">
        <v>32.1</v>
      </c>
      <c r="AK16" s="68" t="n">
        <v>29.9</v>
      </c>
      <c r="AL16" s="68" t="n">
        <v>35</v>
      </c>
      <c r="AM16" s="68" t="n">
        <v>36.7</v>
      </c>
      <c r="AN16" s="68" t="n">
        <v>26.5</v>
      </c>
      <c r="AO16" s="68" t="n">
        <v>28.2</v>
      </c>
    </row>
    <row r="17">
      <c r="A17" s="66" t="inlineStr">
        <is>
          <t>재고자산</t>
        </is>
      </c>
      <c r="B17" s="67" t="n"/>
      <c r="C17" s="67" t="n"/>
      <c r="D17" s="67" t="n">
        <v>55.5</v>
      </c>
      <c r="E17" s="67" t="n">
        <v>57.5</v>
      </c>
      <c r="F17" s="67" t="n">
        <v>63.8</v>
      </c>
      <c r="G17" s="67" t="n">
        <v>71.5</v>
      </c>
      <c r="H17" s="67" t="n">
        <v>84.8</v>
      </c>
      <c r="I17" s="67" t="n">
        <v>98.09999999999999</v>
      </c>
      <c r="J17" s="67" t="n">
        <v>102.6</v>
      </c>
      <c r="K17" s="67" t="n">
        <v>108.6</v>
      </c>
      <c r="L17" s="67" t="n">
        <v>110.9</v>
      </c>
      <c r="M17" s="67" t="n">
        <v>112.6</v>
      </c>
      <c r="N17" s="67" t="n">
        <v>106.3</v>
      </c>
      <c r="O17" s="67" t="n">
        <v>107.1</v>
      </c>
      <c r="P17" s="67" t="n">
        <v>107.3</v>
      </c>
      <c r="Q17" s="67" t="n">
        <v>107.5</v>
      </c>
      <c r="R17" s="67" t="n">
        <v>108.5</v>
      </c>
      <c r="S17" s="67" t="n">
        <v>92.2</v>
      </c>
      <c r="T17" s="67" t="n">
        <v>85</v>
      </c>
      <c r="U17" s="67" t="n">
        <v>89.2</v>
      </c>
      <c r="V17" s="67" t="n">
        <v>98.7</v>
      </c>
      <c r="W17" s="67" t="n">
        <v>118.1</v>
      </c>
      <c r="X17" s="67" t="n">
        <v>118.2</v>
      </c>
      <c r="Y17" s="67" t="n">
        <v>140.1</v>
      </c>
      <c r="Z17" s="67" t="n">
        <v>157</v>
      </c>
      <c r="AA17" s="67" t="n"/>
      <c r="AB17" s="67" t="n">
        <v>144.3</v>
      </c>
      <c r="AC17" s="67" t="n">
        <v>150.9</v>
      </c>
      <c r="AD17" s="67" t="n">
        <v>143.3</v>
      </c>
      <c r="AE17" s="67" t="n">
        <v>145.3</v>
      </c>
      <c r="AF17" s="67" t="n">
        <v>143.2</v>
      </c>
      <c r="AG17" s="67" t="n">
        <v>146.8</v>
      </c>
      <c r="AH17" s="67" t="n">
        <v>169.1</v>
      </c>
      <c r="AI17" s="67" t="n">
        <v>162.2</v>
      </c>
      <c r="AJ17" s="67" t="n">
        <v>136.2</v>
      </c>
      <c r="AK17" s="67" t="n">
        <v>141.8</v>
      </c>
      <c r="AL17" s="67" t="n">
        <v>152.9</v>
      </c>
      <c r="AM17" s="67" t="n">
        <v>169.2</v>
      </c>
      <c r="AN17" s="67" t="n">
        <v>157.5</v>
      </c>
      <c r="AO17" s="67" t="n">
        <v>169.8</v>
      </c>
    </row>
    <row r="18">
      <c r="A18" s="66" t="inlineStr">
        <is>
          <t>재고자산 회전일수</t>
        </is>
      </c>
      <c r="B18" s="67" t="n"/>
      <c r="C18" s="67" t="n"/>
      <c r="D18" s="67" t="n">
        <v>131</v>
      </c>
      <c r="E18" s="67" t="n">
        <v>131</v>
      </c>
      <c r="F18" s="67" t="n">
        <v>144</v>
      </c>
      <c r="G18" s="67" t="n">
        <v>150</v>
      </c>
      <c r="H18" s="67" t="n">
        <v>165</v>
      </c>
      <c r="I18" s="67" t="n">
        <v>183</v>
      </c>
      <c r="J18" s="67" t="n">
        <v>204</v>
      </c>
      <c r="K18" s="67" t="n">
        <v>198</v>
      </c>
      <c r="L18" s="67" t="n">
        <v>217</v>
      </c>
      <c r="M18" s="67" t="n">
        <v>214</v>
      </c>
      <c r="N18" s="67" t="n">
        <v>192</v>
      </c>
      <c r="O18" s="67" t="n">
        <v>208</v>
      </c>
      <c r="P18" s="67" t="n">
        <v>217</v>
      </c>
      <c r="Q18" s="67" t="n">
        <v>319</v>
      </c>
      <c r="R18" s="67" t="n">
        <v>263</v>
      </c>
      <c r="S18" s="67" t="n">
        <v>189</v>
      </c>
      <c r="T18" s="67" t="n">
        <v>132</v>
      </c>
      <c r="U18" s="67" t="n">
        <v>151</v>
      </c>
      <c r="V18" s="67" t="n">
        <v>176</v>
      </c>
      <c r="W18" s="67" t="n">
        <v>213</v>
      </c>
      <c r="X18" s="67" t="n">
        <v>191</v>
      </c>
      <c r="Y18" s="67" t="n">
        <v>254</v>
      </c>
      <c r="Z18" s="67" t="n">
        <v>239</v>
      </c>
      <c r="AA18" s="67" t="n"/>
      <c r="AB18" s="67" t="n">
        <v>183</v>
      </c>
      <c r="AC18" s="67" t="n">
        <v>208</v>
      </c>
      <c r="AD18" s="67" t="n">
        <v>193</v>
      </c>
      <c r="AE18" s="67" t="n">
        <v>197</v>
      </c>
      <c r="AF18" s="67" t="n">
        <v>191</v>
      </c>
      <c r="AG18" s="67" t="n">
        <v>213</v>
      </c>
      <c r="AH18" s="67" t="n">
        <v>242</v>
      </c>
      <c r="AI18" s="67" t="n">
        <v>261</v>
      </c>
      <c r="AJ18" s="67" t="n">
        <v>177</v>
      </c>
      <c r="AK18" s="67" t="n">
        <v>226</v>
      </c>
      <c r="AL18" s="67" t="n">
        <v>202</v>
      </c>
      <c r="AM18" s="67" t="n">
        <v>255</v>
      </c>
      <c r="AN18" s="67" t="n">
        <v>211</v>
      </c>
      <c r="AO18" s="67" t="n">
        <v>215</v>
      </c>
    </row>
    <row r="19">
      <c r="A19" s="66" t="inlineStr">
        <is>
          <t>매출채권 회전일수</t>
        </is>
      </c>
      <c r="B19" s="67" t="n"/>
      <c r="C19" s="67" t="n"/>
      <c r="D19" s="67" t="n">
        <v>70</v>
      </c>
      <c r="E19" s="67" t="n">
        <v>68</v>
      </c>
      <c r="F19" s="67" t="n">
        <v>74</v>
      </c>
      <c r="G19" s="67" t="n">
        <v>70</v>
      </c>
      <c r="H19" s="67" t="n">
        <v>75</v>
      </c>
      <c r="I19" s="67" t="n">
        <v>75</v>
      </c>
      <c r="J19" s="67" t="n">
        <v>71</v>
      </c>
      <c r="K19" s="67" t="n">
        <v>66</v>
      </c>
      <c r="L19" s="67" t="n">
        <v>73</v>
      </c>
      <c r="M19" s="67" t="n">
        <v>75</v>
      </c>
      <c r="N19" s="67" t="n">
        <v>70</v>
      </c>
      <c r="O19" s="67" t="n">
        <v>73</v>
      </c>
      <c r="P19" s="67" t="n">
        <v>74</v>
      </c>
      <c r="Q19" s="67" t="n">
        <v>77</v>
      </c>
      <c r="R19" s="67" t="n">
        <v>77</v>
      </c>
      <c r="S19" s="67" t="n">
        <v>73</v>
      </c>
      <c r="T19" s="67" t="n">
        <v>71</v>
      </c>
      <c r="U19" s="67" t="n">
        <v>72</v>
      </c>
      <c r="V19" s="67" t="n">
        <v>71</v>
      </c>
      <c r="W19" s="67" t="n">
        <v>73</v>
      </c>
      <c r="X19" s="67" t="n">
        <v>71</v>
      </c>
      <c r="Y19" s="67" t="n">
        <v>69</v>
      </c>
      <c r="Z19" s="67" t="n">
        <v>67</v>
      </c>
      <c r="AA19" s="67" t="n"/>
      <c r="AB19" s="67" t="n">
        <v>65</v>
      </c>
      <c r="AC19" s="67" t="n">
        <v>72</v>
      </c>
      <c r="AD19" s="67" t="n">
        <v>72</v>
      </c>
      <c r="AE19" s="67" t="n">
        <v>71</v>
      </c>
      <c r="AF19" s="67" t="n">
        <v>73</v>
      </c>
      <c r="AG19" s="67" t="n">
        <v>69</v>
      </c>
      <c r="AH19" s="67" t="n">
        <v>68</v>
      </c>
      <c r="AI19" s="67" t="n">
        <v>71</v>
      </c>
      <c r="AJ19" s="67" t="n">
        <v>66</v>
      </c>
      <c r="AK19" s="67" t="n">
        <v>67</v>
      </c>
      <c r="AL19" s="67" t="n">
        <v>64</v>
      </c>
      <c r="AM19" s="67" t="n">
        <v>71</v>
      </c>
      <c r="AN19" s="67" t="n">
        <v>64</v>
      </c>
      <c r="AO19" s="67" t="n">
        <v>64</v>
      </c>
    </row>
    <row r="20">
      <c r="A20" s="66" t="inlineStr">
        <is>
          <t>매입채무 회전일수</t>
        </is>
      </c>
      <c r="B20" s="67" t="n"/>
      <c r="C20" s="67" t="n"/>
      <c r="D20" s="67" t="n">
        <v>18</v>
      </c>
      <c r="E20" s="67" t="n">
        <v>17</v>
      </c>
      <c r="F20" s="67" t="n">
        <v>23</v>
      </c>
      <c r="G20" s="67" t="n">
        <v>25</v>
      </c>
      <c r="H20" s="67" t="n">
        <v>32</v>
      </c>
      <c r="I20" s="67" t="n">
        <v>32</v>
      </c>
      <c r="J20" s="67" t="n">
        <v>30</v>
      </c>
      <c r="K20" s="67" t="n">
        <v>26</v>
      </c>
      <c r="L20" s="67" t="n">
        <v>29</v>
      </c>
      <c r="M20" s="67" t="n">
        <v>25</v>
      </c>
      <c r="N20" s="67" t="n">
        <v>17</v>
      </c>
      <c r="O20" s="67" t="n">
        <v>15</v>
      </c>
      <c r="P20" s="67" t="n">
        <v>21</v>
      </c>
      <c r="Q20" s="67" t="n">
        <v>19</v>
      </c>
      <c r="R20" s="67" t="n">
        <v>34</v>
      </c>
      <c r="S20" s="67" t="n">
        <v>15</v>
      </c>
      <c r="T20" s="67" t="n">
        <v>34</v>
      </c>
      <c r="U20" s="67" t="n">
        <v>30</v>
      </c>
      <c r="V20" s="67" t="n">
        <v>34</v>
      </c>
      <c r="W20" s="67" t="n">
        <v>37</v>
      </c>
      <c r="X20" s="67" t="n">
        <v>14</v>
      </c>
      <c r="Y20" s="67" t="n">
        <v>18</v>
      </c>
      <c r="Z20" s="67" t="n">
        <v>7</v>
      </c>
      <c r="AA20" s="67" t="n"/>
      <c r="AB20" s="67" t="n">
        <v>12</v>
      </c>
      <c r="AC20" s="67" t="n">
        <v>21</v>
      </c>
      <c r="AD20" s="67" t="n">
        <v>14</v>
      </c>
      <c r="AE20" s="67" t="n">
        <v>28</v>
      </c>
      <c r="AF20" s="67" t="n">
        <v>20</v>
      </c>
      <c r="AG20" s="67" t="n">
        <v>16</v>
      </c>
      <c r="AH20" s="67" t="n">
        <v>31</v>
      </c>
      <c r="AI20" s="67" t="n">
        <v>26</v>
      </c>
      <c r="AJ20" s="67" t="n">
        <v>15</v>
      </c>
      <c r="AK20" s="67" t="n">
        <v>14</v>
      </c>
      <c r="AL20" s="67" t="n">
        <v>19</v>
      </c>
      <c r="AM20" s="67" t="n">
        <v>17</v>
      </c>
      <c r="AN20" s="67" t="n">
        <v>26</v>
      </c>
      <c r="AO20" s="67" t="n">
        <v>23</v>
      </c>
    </row>
    <row r="21">
      <c r="A21" s="66" t="inlineStr">
        <is>
          <t>현금전환주기(CCC)</t>
        </is>
      </c>
      <c r="B21" s="67" t="n"/>
      <c r="C21" s="67" t="n"/>
      <c r="D21" s="67" t="n">
        <v>183</v>
      </c>
      <c r="E21" s="67" t="n">
        <v>182</v>
      </c>
      <c r="F21" s="67" t="n">
        <v>195</v>
      </c>
      <c r="G21" s="67" t="n">
        <v>195</v>
      </c>
      <c r="H21" s="67" t="n">
        <v>208</v>
      </c>
      <c r="I21" s="67" t="n">
        <v>226</v>
      </c>
      <c r="J21" s="67" t="n">
        <v>245</v>
      </c>
      <c r="K21" s="67" t="n">
        <v>238</v>
      </c>
      <c r="L21" s="67" t="n">
        <v>261</v>
      </c>
      <c r="M21" s="67" t="n">
        <v>264</v>
      </c>
      <c r="N21" s="67" t="n">
        <v>245</v>
      </c>
      <c r="O21" s="67" t="n">
        <v>266</v>
      </c>
      <c r="P21" s="67" t="n">
        <v>270</v>
      </c>
      <c r="Q21" s="67" t="n">
        <v>377</v>
      </c>
      <c r="R21" s="67" t="n">
        <v>306</v>
      </c>
      <c r="S21" s="67" t="n">
        <v>247</v>
      </c>
      <c r="T21" s="67" t="n">
        <v>169</v>
      </c>
      <c r="U21" s="67" t="n">
        <v>193</v>
      </c>
      <c r="V21" s="67" t="n">
        <v>213</v>
      </c>
      <c r="W21" s="67" t="n">
        <v>249</v>
      </c>
      <c r="X21" s="67" t="n">
        <v>248</v>
      </c>
      <c r="Y21" s="67" t="n">
        <v>305</v>
      </c>
      <c r="Z21" s="67" t="n">
        <v>299</v>
      </c>
      <c r="AA21" s="67" t="n"/>
      <c r="AB21" s="67" t="n">
        <v>236</v>
      </c>
      <c r="AC21" s="67" t="n">
        <v>259</v>
      </c>
      <c r="AD21" s="67" t="n">
        <v>251</v>
      </c>
      <c r="AE21" s="67" t="n">
        <v>240</v>
      </c>
      <c r="AF21" s="67" t="n">
        <v>244</v>
      </c>
      <c r="AG21" s="67" t="n">
        <v>266</v>
      </c>
      <c r="AH21" s="67" t="n">
        <v>279</v>
      </c>
      <c r="AI21" s="67" t="n">
        <v>306</v>
      </c>
      <c r="AJ21" s="67" t="n">
        <v>228</v>
      </c>
      <c r="AK21" s="67" t="n">
        <v>279</v>
      </c>
      <c r="AL21" s="67" t="n">
        <v>247</v>
      </c>
      <c r="AM21" s="67" t="n">
        <v>309</v>
      </c>
      <c r="AN21" s="67" t="n">
        <v>249</v>
      </c>
      <c r="AO21" s="67" t="n">
        <v>256</v>
      </c>
    </row>
    <row r="22">
      <c r="A22" s="66" t="inlineStr">
        <is>
          <t>총 차입금</t>
        </is>
      </c>
      <c r="B22" s="67" t="n"/>
      <c r="C22" s="67" t="n"/>
      <c r="D22" s="67" t="n">
        <v>45.5</v>
      </c>
      <c r="E22" s="67" t="n">
        <v>43.3</v>
      </c>
      <c r="F22" s="67" t="n">
        <v>53.9</v>
      </c>
      <c r="G22" s="67" t="n">
        <v>66</v>
      </c>
      <c r="H22" s="67" t="n">
        <v>61.09999999999999</v>
      </c>
      <c r="I22" s="67" t="n">
        <v>97.39999999999999</v>
      </c>
      <c r="J22" s="67" t="n">
        <v>99.09999999999999</v>
      </c>
      <c r="K22" s="67" t="n">
        <v>129.4</v>
      </c>
      <c r="L22" s="67" t="n">
        <v>124.5</v>
      </c>
      <c r="M22" s="67" t="n">
        <v>139.8</v>
      </c>
      <c r="N22" s="67" t="n">
        <v>163.9</v>
      </c>
      <c r="O22" s="67" t="n">
        <v>179.7</v>
      </c>
      <c r="P22" s="67" t="n">
        <v>183.2</v>
      </c>
      <c r="Q22" s="67" t="n">
        <v>203.9</v>
      </c>
      <c r="R22" s="67" t="n">
        <v>207.9</v>
      </c>
      <c r="S22" s="67" t="n">
        <v>218</v>
      </c>
      <c r="T22" s="67" t="n">
        <v>212.2</v>
      </c>
      <c r="U22" s="67" t="n">
        <v>205.8</v>
      </c>
      <c r="V22" s="67" t="n">
        <v>205.3</v>
      </c>
      <c r="W22" s="67" t="n">
        <v>217.7</v>
      </c>
      <c r="X22" s="67" t="n">
        <v>219.4</v>
      </c>
      <c r="Y22" s="67" t="n">
        <v>232.1</v>
      </c>
      <c r="Z22" s="67" t="n">
        <v>262.5</v>
      </c>
      <c r="AA22" s="67" t="n"/>
      <c r="AB22" s="67" t="n">
        <v>252.3</v>
      </c>
      <c r="AC22" s="67" t="n">
        <v>274</v>
      </c>
      <c r="AD22" s="67" t="n">
        <v>267.5</v>
      </c>
      <c r="AE22" s="67" t="n">
        <v>251.3</v>
      </c>
      <c r="AF22" s="67" t="n">
        <v>241.8</v>
      </c>
      <c r="AG22" s="67" t="n">
        <v>240.8</v>
      </c>
      <c r="AH22" s="67" t="n">
        <v>244.3</v>
      </c>
      <c r="AI22" s="67" t="n">
        <v>242.3</v>
      </c>
      <c r="AJ22" s="67" t="n">
        <v>212.6</v>
      </c>
      <c r="AK22" s="67" t="n">
        <v>195.9</v>
      </c>
      <c r="AL22" s="67" t="n">
        <v>212.3</v>
      </c>
      <c r="AM22" s="67" t="n">
        <v>227.7</v>
      </c>
      <c r="AN22" s="67" t="n">
        <v>214.7</v>
      </c>
      <c r="AO22" s="67" t="n">
        <v>202.7</v>
      </c>
    </row>
    <row r="23">
      <c r="A23" s="66" t="inlineStr">
        <is>
          <t>현금</t>
        </is>
      </c>
      <c r="B23" s="67" t="n"/>
      <c r="C23" s="67" t="n"/>
      <c r="D23" s="67" t="n">
        <v>55.9</v>
      </c>
      <c r="E23" s="67" t="n">
        <v>47.9</v>
      </c>
      <c r="F23" s="67" t="n">
        <v>61.1</v>
      </c>
      <c r="G23" s="67" t="n">
        <v>54.5</v>
      </c>
      <c r="H23" s="67" t="n">
        <v>42.5</v>
      </c>
      <c r="I23" s="67" t="n">
        <v>55.7</v>
      </c>
      <c r="J23" s="67" t="n">
        <v>77.5</v>
      </c>
      <c r="K23" s="67" t="n">
        <v>82.7</v>
      </c>
      <c r="L23" s="67" t="n">
        <v>72.2</v>
      </c>
      <c r="M23" s="67" t="n">
        <v>71.40000000000001</v>
      </c>
      <c r="N23" s="67" t="n">
        <v>85.8</v>
      </c>
      <c r="O23" s="67" t="n">
        <v>82.2</v>
      </c>
      <c r="P23" s="67" t="n">
        <v>84.90000000000001</v>
      </c>
      <c r="Q23" s="67" t="n">
        <v>105</v>
      </c>
      <c r="R23" s="67" t="n">
        <v>97.8</v>
      </c>
      <c r="S23" s="67" t="n">
        <v>86.3</v>
      </c>
      <c r="T23" s="67" t="n">
        <v>95.8</v>
      </c>
      <c r="U23" s="67" t="n">
        <v>92.09999999999999</v>
      </c>
      <c r="V23" s="67" t="n">
        <v>100</v>
      </c>
      <c r="W23" s="67" t="n">
        <v>89</v>
      </c>
      <c r="X23" s="67" t="n">
        <v>88.40000000000001</v>
      </c>
      <c r="Y23" s="67" t="n">
        <v>87.90000000000001</v>
      </c>
      <c r="Z23" s="67" t="n">
        <v>100.8</v>
      </c>
      <c r="AA23" s="67" t="n"/>
      <c r="AB23" s="67" t="n">
        <v>107.5</v>
      </c>
      <c r="AC23" s="67" t="n">
        <v>112.9</v>
      </c>
      <c r="AD23" s="67" t="n">
        <v>101.6</v>
      </c>
      <c r="AE23" s="67" t="n">
        <v>90.8</v>
      </c>
      <c r="AF23" s="67" t="n">
        <v>82.90000000000001</v>
      </c>
      <c r="AG23" s="67" t="n">
        <v>85.40000000000001</v>
      </c>
      <c r="AH23" s="67" t="n">
        <v>83.40000000000001</v>
      </c>
      <c r="AI23" s="67" t="n">
        <v>79.59999999999999</v>
      </c>
      <c r="AJ23" s="67" t="n">
        <v>89.2</v>
      </c>
      <c r="AK23" s="67" t="n">
        <v>82</v>
      </c>
      <c r="AL23" s="67" t="n">
        <v>84.09999999999999</v>
      </c>
      <c r="AM23" s="67" t="n">
        <v>88.5</v>
      </c>
      <c r="AN23" s="67" t="n">
        <v>111.4</v>
      </c>
      <c r="AO23" s="67" t="n">
        <v>91.40000000000001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2026-10-30T08:36:17Z</dcterms:created>
  <dcterms:modified xmlns:dcterms="http://purl.org/dc/terms/" xmlns:xsi="http://www.w3.org/2001/XMLSchema-instance" xsi:type="dcterms:W3CDTF">2026-10-30T08:36:19Z</dcterms:modified>
</cp:coreProperties>
</file>